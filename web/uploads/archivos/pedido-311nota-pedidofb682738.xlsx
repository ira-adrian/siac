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255" windowWidth="15600" windowHeight="11400" tabRatio="500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Trimestrales'!$A$9:$H$22</definedName>
    <definedName name="_xlnm.Print_Area" localSheetId="1">' NotaPedido'!$A$1:$G$22</definedName>
    <definedName name="_xlnm.Print_Area" localSheetId="2">'Autor Gastar'!$A$1:$Q$27</definedName>
    <definedName name="_xlnm.Print_Area" localSheetId="0">'Necesidades Trimestrales'!$D$9:$D$22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2" l="1"/>
  <c r="E23" i="2"/>
  <c r="E24" i="2"/>
  <c r="B22" i="2"/>
  <c r="B23" i="2"/>
  <c r="B24" i="2"/>
  <c r="B12" i="2"/>
  <c r="Q23" i="3" l="1"/>
  <c r="G13" i="2" l="1"/>
  <c r="G14" i="2"/>
  <c r="G15" i="2"/>
  <c r="G16" i="2"/>
  <c r="G17" i="2"/>
  <c r="G18" i="2"/>
  <c r="G19" i="2"/>
  <c r="G20" i="2"/>
  <c r="G21" i="2"/>
  <c r="G22" i="2"/>
  <c r="G23" i="2"/>
  <c r="G24" i="2"/>
  <c r="F13" i="2"/>
  <c r="F14" i="2"/>
  <c r="F15" i="2"/>
  <c r="F16" i="2"/>
  <c r="F17" i="2"/>
  <c r="F18" i="2"/>
  <c r="F19" i="2"/>
  <c r="F20" i="2"/>
  <c r="F21" i="2"/>
  <c r="F22" i="2"/>
  <c r="F23" i="2"/>
  <c r="F24" i="2"/>
  <c r="C13" i="2"/>
  <c r="C14" i="2"/>
  <c r="C15" i="2"/>
  <c r="C16" i="2"/>
  <c r="C17" i="2"/>
  <c r="C18" i="2"/>
  <c r="C19" i="2"/>
  <c r="C20" i="2"/>
  <c r="C21" i="2"/>
  <c r="C22" i="2"/>
  <c r="C23" i="2"/>
  <c r="C24" i="2"/>
  <c r="H22" i="1" l="1"/>
  <c r="H21" i="1"/>
  <c r="H20" i="1"/>
  <c r="H10" i="1" l="1"/>
  <c r="G12" i="2" l="1"/>
  <c r="F12" i="2"/>
  <c r="H19" i="1"/>
  <c r="H18" i="1"/>
  <c r="H17" i="1"/>
  <c r="H16" i="1"/>
  <c r="H15" i="1"/>
  <c r="H14" i="1"/>
  <c r="H13" i="1"/>
  <c r="F25" i="2" l="1"/>
  <c r="D4" i="2"/>
  <c r="D3" i="2"/>
  <c r="A10" i="3" l="1"/>
  <c r="B14" i="2" l="1"/>
  <c r="B16" i="2"/>
  <c r="B17" i="2"/>
  <c r="B18" i="2"/>
  <c r="B19" i="2"/>
  <c r="B20" i="2"/>
  <c r="B21" i="2"/>
  <c r="E14" i="2"/>
  <c r="E15" i="2"/>
  <c r="E16" i="2"/>
  <c r="E17" i="2"/>
  <c r="E18" i="2"/>
  <c r="E19" i="2"/>
  <c r="E20" i="2"/>
  <c r="E21" i="2"/>
  <c r="E13" i="2"/>
  <c r="B13" i="2"/>
  <c r="H12" i="1" l="1"/>
  <c r="H11" i="1"/>
  <c r="D1" i="3" l="1"/>
  <c r="E12" i="2"/>
  <c r="C12" i="2"/>
</calcChain>
</file>

<file path=xl/sharedStrings.xml><?xml version="1.0" encoding="utf-8"?>
<sst xmlns="http://schemas.openxmlformats.org/spreadsheetml/2006/main" count="131" uniqueCount="88">
  <si>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</si>
  <si>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</si>
  <si>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</si>
  <si>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</si>
  <si>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</si>
  <si>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</si>
  <si>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</si>
  <si>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</si>
  <si>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</si>
  <si>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</si>
  <si>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</si>
  <si>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</si>
  <si>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</si>
  <si>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</si>
  <si>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</si>
  <si>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</si>
  <si>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</si>
  <si>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</si>
  <si>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</si>
  <si>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</si>
  <si>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</si>
  <si>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</si>
  <si>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</si>
  <si>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</si>
  <si>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</si>
  <si>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</si>
  <si>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</si>
  <si>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</si>
  <si>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</si>
  <si>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</si>
  <si>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</si>
  <si>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</si>
  <si>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</si>
  <si>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</si>
  <si>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</si>
  <si>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</si>
  <si>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</si>
  <si>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</si>
  <si>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</si>
  <si>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</si>
  <si>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</si>
  <si>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</si>
  <si>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</si>
  <si>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</si>
  <si>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</si>
  <si>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</si>
  <si>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</si>
  <si>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</si>
  <si>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</si>
  <si>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</si>
  <si>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</si>
  <si>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</si>
  <si>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</si>
  <si>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</si>
  <si>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</si>
  <si>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PROD. MEDICO/FARMACEUTICOS/LAB</t>
  </si>
  <si>
    <t>Plazos y lugares de entrega</t>
  </si>
  <si>
    <t xml:space="preserve">45 dias habiles </t>
  </si>
  <si>
    <t>Mantenimiento de Oferta:</t>
  </si>
  <si>
    <t>1er TRIMESTRE - 2021</t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</si>
  <si>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</si>
  <si>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REACTIVOS P/LAB. TEC. MANUAL ; NOMBRE: SUERO HEMOTIPIFICADOR ANTI-A1, USO: HEMOTERAPIA, PRESENTACION: ENVASE X 10 mL</t>
  </si>
  <si>
    <t>REACTIVOS P/LAB. TEC. MANUAL ; NOMBRE: SUERO HEMOTIPIFICADOR ANTI-B, USO: HEMOTERAPIA, PRESENTACION: ENVASE X 10 mL</t>
  </si>
  <si>
    <t>REACTIVOS P/LAB. TEC. MANUAL ; NOMBRE: SUERO HEMOTIPIFICADOR ANTI-AB, USO: HEMOTERAPIA, PRESENTACION: ENVASE X 10 mL</t>
  </si>
  <si>
    <t>REACTIVO P/LAB TEC. MANUAL NOMBRE:SOLUCION DE BAJA FUERZA IONICA (LISS) USO: HEMOTERAPIA PRESENTACION FCO X 10 ML</t>
  </si>
  <si>
    <t>REACTIVOS P/LAB. TEC. MANUAL ; NOMBRE: SUERO HEMOTIPIFICADOR ANTI-D, USO: HEMOTERAPIA, PRESENTACION: ENVASE X 10 mL</t>
  </si>
  <si>
    <t>REACTIVOS P/LAB. TEC. MANUAL ; NOMBRE: SUERO COOMBS POLI.ANTI IGG/C3B, USO: HEMOTERAPIA, PRESENTACION: ENVASE X 10 mL</t>
  </si>
  <si>
    <t>TUBOS P/ANALISIS DE SANGRE; MATERIAL: POLIMETILMETACRILATO, DIMENSION: 13 X 115 mm, TIPO: C/CITRATO DE SODIO</t>
  </si>
  <si>
    <t>TUBOS P/ANALISIS DE SANGRE; MATERIAL: POLIMETILMETACRILATO, DIMENSION: 16 X 100 mm, TIPO: C/ACELER. COAG. C/ GEL SEPARAD</t>
  </si>
  <si>
    <t>MICROTUBOS P/LABORATORIO; MATERIAL: POLIPROPILENO, PRESENTACION: ENVASE X 1000 UN, MEDIDA: 2 mL, TIPO: EPPENDORF</t>
  </si>
  <si>
    <t>TIP P/MICROPIPETA; MATERIAL: PLASTICO DESCARTABLE, TAMAÑO: 1000 mL</t>
  </si>
  <si>
    <t>PORTAOBJETOS P/LABORATORIO; PRESENTACION: CAJA X 50 UN, MEDIDA: 2,5 X 7,5 Cm, USO: LABORATORIO, MATERIAL: VIDRIO</t>
  </si>
  <si>
    <t>FILTROS DE DESLUOCOTIZACION; USO: DERIVAR A BOLSA SATELITE , CAPACIDAD DE FILTRADO: 1 UNIDAD DE GLOBULOS ROJOS, CAPACIDAD DEL FILTRO: LOGARITMO 5</t>
  </si>
  <si>
    <t>FILTROS DE DESLUOCOTIZACION; USO: RETENCION DE LEUCOCITO, CAPACIDAD DE FILTRADO: 2 A 6 UNIDADES DE PLAQUETAS, CAPACIDAD DEL FILTRO: 5 LOGARITMOS</t>
  </si>
  <si>
    <t xml:space="preserve">UNIDAD  </t>
  </si>
  <si>
    <t>BOLSA X 1000U</t>
  </si>
  <si>
    <t>BOLSA X100 U</t>
  </si>
  <si>
    <t>CAJA X 50 UNID</t>
  </si>
  <si>
    <t xml:space="preserve">Adquisición de Insumos de Hemoterapia </t>
  </si>
  <si>
    <t>Servicio de Hemoterapia</t>
  </si>
  <si>
    <t>COSTO TOTAL ESTIMADO: Trescientos Nueve Mil Doscientos Quince Con 00/100.</t>
  </si>
  <si>
    <t>Compuestos Quimicos</t>
  </si>
  <si>
    <t xml:space="preserve">Utiles Menores Medico, Quirurgico y de Laboratorio </t>
  </si>
  <si>
    <t>TOTAL DE PESOS: Trescientos Nueve Mil Doscientos Quince Con 00/100.</t>
  </si>
  <si>
    <t>Para la adquisición de Insumos destinados al servico de Hemoterapia del Hospital Interzonal de Niños Eva Peron, para el normal funcionamiento del organismo.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</si>
  <si>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HEMOTERAPIA -HOSPITAL INT. DE NIÑOS – AV. VIRGEN DEL VALLE N° 1050-CATAMARCA DE 8:00 A 12:00HS., DEBIENDO CORRER LOS GASTOS DE FLETES, ACARREO, CARGA, DESCARGA Y SEGURO A CARGO DEL ADJUDICATARIO.</t>
    </r>
  </si>
  <si>
    <t>024/2021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</si>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</sst>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Arial"/>
      <family val="2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7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66" fontId="0" fillId="0" borderId="28" xfId="3" applyNumberFormat="1" applyFont="1" applyBorder="1" applyAlignment="1" applyProtection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3" fillId="0" borderId="38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0" fillId="0" borderId="45" xfId="0" applyBorder="1"/>
    <xf numFmtId="0" fontId="5" fillId="3" borderId="5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7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5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0" fillId="3" borderId="26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21" fillId="4" borderId="45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left" indent="3"/>
    </xf>
    <xf numFmtId="0" fontId="15" fillId="0" borderId="49" xfId="0" applyFont="1" applyBorder="1"/>
    <xf numFmtId="0" fontId="15" fillId="0" borderId="50" xfId="0" applyFont="1" applyBorder="1"/>
    <xf numFmtId="0" fontId="24" fillId="0" borderId="51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2" xfId="0" applyFont="1" applyBorder="1" applyAlignment="1">
      <alignment horizontal="center" wrapText="1"/>
    </xf>
    <xf numFmtId="0" fontId="15" fillId="0" borderId="51" xfId="0" applyFont="1" applyBorder="1" applyAlignment="1">
      <alignment horizontal="left" indent="3"/>
    </xf>
    <xf numFmtId="0" fontId="15" fillId="0" borderId="53" xfId="0" applyFont="1" applyBorder="1" applyAlignment="1">
      <alignment horizontal="left" indent="3"/>
    </xf>
    <xf numFmtId="0" fontId="15" fillId="0" borderId="54" xfId="0" applyFont="1" applyBorder="1"/>
    <xf numFmtId="0" fontId="15" fillId="0" borderId="55" xfId="0" applyFont="1" applyBorder="1"/>
    <xf numFmtId="169" fontId="14" fillId="0" borderId="0" xfId="1" applyNumberFormat="1" applyFill="1"/>
    <xf numFmtId="169" fontId="14" fillId="0" borderId="2" xfId="1" applyNumberFormat="1" applyFill="1" applyBorder="1"/>
    <xf numFmtId="0" fontId="15" fillId="0" borderId="0" xfId="0" applyFont="1" applyFill="1"/>
    <xf numFmtId="167" fontId="2" fillId="3" borderId="0" xfId="0" applyNumberFormat="1" applyFont="1" applyFill="1" applyBorder="1" applyAlignment="1">
      <alignment vertical="center"/>
    </xf>
    <xf numFmtId="166" fontId="0" fillId="0" borderId="0" xfId="0" applyNumberForma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45" xfId="0" applyBorder="1" applyAlignment="1">
      <alignment wrapText="1"/>
    </xf>
    <xf numFmtId="0" fontId="0" fillId="0" borderId="45" xfId="0" applyBorder="1" applyAlignment="1">
      <alignment vertical="center" wrapText="1"/>
    </xf>
    <xf numFmtId="0" fontId="14" fillId="3" borderId="45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/>
    </xf>
    <xf numFmtId="44" fontId="14" fillId="3" borderId="45" xfId="1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0" fontId="4" fillId="3" borderId="5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 applyProtection="1">
      <alignment horizontal="righ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4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166" fontId="4" fillId="3" borderId="45" xfId="1" applyNumberFormat="1" applyFont="1" applyFill="1" applyBorder="1" applyAlignment="1" applyProtection="1">
      <alignment horizontal="right" vertical="center" wrapText="1"/>
    </xf>
    <xf numFmtId="3" fontId="4" fillId="3" borderId="58" xfId="0" applyNumberFormat="1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left" vertical="center"/>
    </xf>
    <xf numFmtId="0" fontId="4" fillId="4" borderId="60" xfId="0" applyFont="1" applyFill="1" applyBorder="1" applyAlignment="1">
      <alignment horizontal="center" vertical="center"/>
    </xf>
    <xf numFmtId="166" fontId="4" fillId="3" borderId="60" xfId="1" applyNumberFormat="1" applyFont="1" applyFill="1" applyBorder="1" applyAlignment="1" applyProtection="1">
      <alignment horizontal="right" vertical="center" wrapText="1"/>
    </xf>
    <xf numFmtId="3" fontId="4" fillId="3" borderId="61" xfId="0" applyNumberFormat="1" applyFont="1" applyFill="1" applyBorder="1" applyAlignment="1">
      <alignment horizontal="center" vertical="center"/>
    </xf>
    <xf numFmtId="166" fontId="15" fillId="0" borderId="0" xfId="0" applyNumberFormat="1" applyFon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4" borderId="51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2" xfId="5" applyFont="1" applyFill="1" applyBorder="1" applyAlignment="1">
      <alignment horizontal="left" wrapText="1"/>
    </xf>
    <xf numFmtId="0" fontId="15" fillId="4" borderId="52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47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23" fillId="3" borderId="14" xfId="0" applyFont="1" applyFill="1" applyBorder="1" applyAlignment="1">
      <alignment horizontal="left" vertical="center"/>
    </xf>
    <xf numFmtId="0" fontId="23" fillId="3" borderId="47" xfId="0" applyFont="1" applyFill="1" applyBorder="1" applyAlignment="1">
      <alignment horizontal="left" vertical="center"/>
    </xf>
    <xf numFmtId="167" fontId="7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 indent="1"/>
    </xf>
    <xf numFmtId="0" fontId="6" fillId="4" borderId="12" xfId="0" applyFont="1" applyFill="1" applyBorder="1" applyAlignment="1">
      <alignment horizontal="left" vertical="center" wrapText="1" indent="1"/>
    </xf>
    <xf numFmtId="0" fontId="7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9" fillId="0" borderId="38" xfId="0" applyFont="1" applyBorder="1" applyAlignment="1">
      <alignment horizontal="left" vertical="center" wrapText="1"/>
    </xf>
    <xf numFmtId="0" fontId="0" fillId="0" borderId="16" xfId="0" applyBorder="1"/>
    <xf numFmtId="0" fontId="14" fillId="0" borderId="26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14" fillId="0" borderId="62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11" fillId="0" borderId="17" xfId="0" applyFont="1" applyBorder="1"/>
    <xf numFmtId="0" fontId="11" fillId="0" borderId="18" xfId="0" applyFont="1" applyBorder="1" applyAlignment="1">
      <alignment horizontal="left" vertical="center" wrapText="1" indent="1"/>
    </xf>
    <xf numFmtId="0" fontId="13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indent="1"/>
    </xf>
    <xf numFmtId="0" fontId="12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escargas\pedido\PEDIDO%20medicamentos%20caidos%20-%20SAF%2024%20-%203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040 - Ministerio de Salud</v>
          </cell>
        </row>
        <row r="5">
          <cell r="C5" t="str">
            <v>024 - Hospital Interzonal de Niños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2"/>
  <sheetViews>
    <sheetView tabSelected="1" zoomScaleNormal="100" workbookViewId="0">
      <selection activeCell="D6" sqref="D6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52.5703125" style="32" customWidth="1"/>
    <col min="5" max="5" width="11" style="32" customWidth="1"/>
    <col min="6" max="6" width="10.42578125" style="72" bestFit="1" customWidth="1"/>
    <col min="7" max="7" width="13.85546875" style="67" customWidth="1"/>
    <col min="8" max="8" width="18.5703125" style="32" customWidth="1"/>
    <col min="9" max="16384" width="11" style="32"/>
  </cols>
  <sheetData>
    <row r="2" spans="1:10" ht="27" x14ac:dyDescent="0.35">
      <c r="B2" s="106" t="s">
        <v>0</v>
      </c>
      <c r="C2" s="106"/>
      <c r="D2" s="106"/>
      <c r="E2" s="106"/>
      <c r="F2" s="106"/>
      <c r="G2" s="106"/>
    </row>
    <row r="3" spans="1:10" ht="12" customHeight="1" x14ac:dyDescent="0.2"/>
    <row r="4" spans="1:10" ht="18" customHeight="1" x14ac:dyDescent="0.25">
      <c r="A4" s="107" t="s">
        <v>1</v>
      </c>
      <c r="B4" s="107"/>
      <c r="C4" s="108" t="s">
        <v>52</v>
      </c>
      <c r="D4" s="108"/>
      <c r="E4" s="33"/>
      <c r="F4" s="73"/>
    </row>
    <row r="5" spans="1:10" ht="18" customHeight="1" x14ac:dyDescent="0.25">
      <c r="A5" s="107" t="s">
        <v>2</v>
      </c>
      <c r="B5" s="107"/>
      <c r="C5" s="108" t="s">
        <v>51</v>
      </c>
      <c r="D5" s="108"/>
      <c r="E5" s="33"/>
      <c r="F5" s="73"/>
    </row>
    <row r="6" spans="1:10" ht="16.5" customHeight="1" x14ac:dyDescent="0.25">
      <c r="A6" s="107" t="s">
        <v>3</v>
      </c>
      <c r="B6" s="107"/>
      <c r="C6" s="47">
        <v>2021</v>
      </c>
      <c r="D6" s="48"/>
      <c r="E6" s="33"/>
      <c r="F6" s="73"/>
    </row>
    <row r="7" spans="1:10" ht="16.5" customHeight="1" x14ac:dyDescent="0.25">
      <c r="A7" s="107" t="s">
        <v>4</v>
      </c>
      <c r="B7" s="107"/>
      <c r="C7" s="47">
        <v>1</v>
      </c>
      <c r="D7" s="48"/>
      <c r="E7" s="33"/>
      <c r="F7" s="73"/>
    </row>
    <row r="8" spans="1:10" ht="13.5" thickBot="1" x14ac:dyDescent="0.25">
      <c r="B8" s="33"/>
      <c r="C8" s="34"/>
      <c r="D8" s="33"/>
      <c r="E8" s="33"/>
      <c r="F8" s="73"/>
    </row>
    <row r="9" spans="1:10" ht="27" thickTop="1" thickBot="1" x14ac:dyDescent="0.25">
      <c r="A9" s="37" t="s">
        <v>5</v>
      </c>
      <c r="B9" s="35" t="s">
        <v>6</v>
      </c>
      <c r="C9" s="35" t="s">
        <v>7</v>
      </c>
      <c r="D9" s="55" t="s">
        <v>8</v>
      </c>
      <c r="E9" s="38" t="s">
        <v>9</v>
      </c>
      <c r="F9" s="35" t="s">
        <v>10</v>
      </c>
      <c r="G9" s="68" t="s">
        <v>11</v>
      </c>
      <c r="H9" s="35" t="s">
        <v>12</v>
      </c>
    </row>
    <row r="10" spans="1:10" ht="39" thickTop="1" x14ac:dyDescent="0.2">
      <c r="A10" s="36">
        <v>1</v>
      </c>
      <c r="B10" s="82">
        <v>251</v>
      </c>
      <c r="C10" s="39" t="s">
        <v>55</v>
      </c>
      <c r="D10" s="76" t="s">
        <v>61</v>
      </c>
      <c r="E10" s="54" t="s">
        <v>13</v>
      </c>
      <c r="F10" s="80">
        <v>4</v>
      </c>
      <c r="G10" s="81">
        <v>786</v>
      </c>
      <c r="H10" s="84">
        <f>+F10*G10</f>
        <v>3144</v>
      </c>
    </row>
    <row r="11" spans="1:10" ht="38.25" x14ac:dyDescent="0.2">
      <c r="A11" s="36">
        <v>2</v>
      </c>
      <c r="B11" s="82">
        <v>251</v>
      </c>
      <c r="C11" s="39" t="s">
        <v>55</v>
      </c>
      <c r="D11" s="76" t="s">
        <v>62</v>
      </c>
      <c r="E11" s="54" t="s">
        <v>13</v>
      </c>
      <c r="F11" s="80">
        <v>4</v>
      </c>
      <c r="G11" s="81">
        <v>786</v>
      </c>
      <c r="H11" s="83">
        <f>F11*G11</f>
        <v>3144</v>
      </c>
    </row>
    <row r="12" spans="1:10" ht="38.25" x14ac:dyDescent="0.2">
      <c r="A12" s="36">
        <v>3</v>
      </c>
      <c r="B12" s="82">
        <v>251</v>
      </c>
      <c r="C12" s="39" t="s">
        <v>55</v>
      </c>
      <c r="D12" s="76" t="s">
        <v>63</v>
      </c>
      <c r="E12" s="54" t="s">
        <v>13</v>
      </c>
      <c r="F12" s="80">
        <v>4</v>
      </c>
      <c r="G12" s="81">
        <v>797</v>
      </c>
      <c r="H12" s="83">
        <f t="shared" ref="H12" si="0">F12*G12</f>
        <v>3188</v>
      </c>
      <c r="J12" s="105"/>
    </row>
    <row r="13" spans="1:10" ht="38.25" x14ac:dyDescent="0.2">
      <c r="A13" s="36">
        <v>4</v>
      </c>
      <c r="B13" s="82">
        <v>251</v>
      </c>
      <c r="C13" s="39" t="s">
        <v>55</v>
      </c>
      <c r="D13" s="76" t="s">
        <v>64</v>
      </c>
      <c r="E13" s="54" t="s">
        <v>13</v>
      </c>
      <c r="F13" s="80">
        <v>4</v>
      </c>
      <c r="G13" s="81">
        <v>1487</v>
      </c>
      <c r="H13" s="83">
        <f t="shared" ref="H13:H19" si="1">+F13*G13</f>
        <v>5948</v>
      </c>
    </row>
    <row r="14" spans="1:10" ht="38.25" x14ac:dyDescent="0.2">
      <c r="A14" s="36">
        <v>5</v>
      </c>
      <c r="B14" s="82">
        <v>251</v>
      </c>
      <c r="C14" s="39" t="s">
        <v>55</v>
      </c>
      <c r="D14" s="76" t="s">
        <v>65</v>
      </c>
      <c r="E14" s="54" t="s">
        <v>13</v>
      </c>
      <c r="F14" s="80">
        <v>4</v>
      </c>
      <c r="G14" s="81">
        <v>1487</v>
      </c>
      <c r="H14" s="83">
        <f t="shared" si="1"/>
        <v>5948</v>
      </c>
    </row>
    <row r="15" spans="1:10" ht="38.25" x14ac:dyDescent="0.2">
      <c r="A15" s="36">
        <v>6</v>
      </c>
      <c r="B15" s="82">
        <v>251</v>
      </c>
      <c r="C15" s="39" t="s">
        <v>55</v>
      </c>
      <c r="D15" s="76" t="s">
        <v>66</v>
      </c>
      <c r="E15" s="54" t="s">
        <v>13</v>
      </c>
      <c r="F15" s="80">
        <v>4</v>
      </c>
      <c r="G15" s="81">
        <v>1840</v>
      </c>
      <c r="H15" s="83">
        <f t="shared" si="1"/>
        <v>7360</v>
      </c>
    </row>
    <row r="16" spans="1:10" ht="38.25" x14ac:dyDescent="0.2">
      <c r="A16" s="36">
        <v>7</v>
      </c>
      <c r="B16" s="82">
        <v>295</v>
      </c>
      <c r="C16" s="39" t="s">
        <v>55</v>
      </c>
      <c r="D16" s="76" t="s">
        <v>67</v>
      </c>
      <c r="E16" s="54" t="s">
        <v>13</v>
      </c>
      <c r="F16" s="80">
        <v>1500</v>
      </c>
      <c r="G16" s="81">
        <v>10</v>
      </c>
      <c r="H16" s="83">
        <f t="shared" si="1"/>
        <v>15000</v>
      </c>
      <c r="J16" s="105"/>
    </row>
    <row r="17" spans="1:10" ht="38.25" x14ac:dyDescent="0.2">
      <c r="A17" s="36">
        <v>8</v>
      </c>
      <c r="B17" s="82">
        <v>295</v>
      </c>
      <c r="C17" s="39" t="s">
        <v>55</v>
      </c>
      <c r="D17" s="76" t="s">
        <v>68</v>
      </c>
      <c r="E17" s="78" t="s">
        <v>74</v>
      </c>
      <c r="F17" s="80">
        <v>1500</v>
      </c>
      <c r="G17" s="81">
        <v>11</v>
      </c>
      <c r="H17" s="83">
        <f t="shared" si="1"/>
        <v>16500</v>
      </c>
    </row>
    <row r="18" spans="1:10" ht="38.25" x14ac:dyDescent="0.2">
      <c r="A18" s="36">
        <v>9</v>
      </c>
      <c r="B18" s="82">
        <v>295</v>
      </c>
      <c r="C18" s="39" t="s">
        <v>55</v>
      </c>
      <c r="D18" s="76" t="s">
        <v>69</v>
      </c>
      <c r="E18" s="79" t="s">
        <v>75</v>
      </c>
      <c r="F18" s="80">
        <v>1</v>
      </c>
      <c r="G18" s="81">
        <v>3101</v>
      </c>
      <c r="H18" s="83">
        <f t="shared" si="1"/>
        <v>3101</v>
      </c>
      <c r="J18" s="105"/>
    </row>
    <row r="19" spans="1:10" ht="25.5" x14ac:dyDescent="0.2">
      <c r="A19" s="36">
        <v>10</v>
      </c>
      <c r="B19" s="82">
        <v>295</v>
      </c>
      <c r="C19" s="39" t="s">
        <v>55</v>
      </c>
      <c r="D19" s="76" t="s">
        <v>70</v>
      </c>
      <c r="E19" s="79" t="s">
        <v>76</v>
      </c>
      <c r="F19" s="80">
        <v>1</v>
      </c>
      <c r="G19" s="81">
        <v>1356</v>
      </c>
      <c r="H19" s="83">
        <f t="shared" si="1"/>
        <v>1356</v>
      </c>
    </row>
    <row r="20" spans="1:10" ht="38.25" x14ac:dyDescent="0.2">
      <c r="A20" s="36">
        <v>11</v>
      </c>
      <c r="B20" s="82">
        <v>295</v>
      </c>
      <c r="C20" s="39" t="s">
        <v>55</v>
      </c>
      <c r="D20" s="77" t="s">
        <v>71</v>
      </c>
      <c r="E20" s="79" t="s">
        <v>77</v>
      </c>
      <c r="F20" s="80">
        <v>2</v>
      </c>
      <c r="G20" s="81">
        <v>138</v>
      </c>
      <c r="H20" s="83">
        <f t="shared" ref="H20:H22" si="2">+F20*G20</f>
        <v>276</v>
      </c>
    </row>
    <row r="21" spans="1:10" ht="51" x14ac:dyDescent="0.2">
      <c r="A21" s="36">
        <v>12</v>
      </c>
      <c r="B21" s="82">
        <v>295</v>
      </c>
      <c r="C21" s="39" t="s">
        <v>55</v>
      </c>
      <c r="D21" s="76" t="s">
        <v>72</v>
      </c>
      <c r="E21" s="78" t="s">
        <v>74</v>
      </c>
      <c r="F21" s="80">
        <v>25</v>
      </c>
      <c r="G21" s="81">
        <v>3790</v>
      </c>
      <c r="H21" s="83">
        <f t="shared" si="2"/>
        <v>94750</v>
      </c>
    </row>
    <row r="22" spans="1:10" ht="51" x14ac:dyDescent="0.2">
      <c r="A22" s="36">
        <v>13</v>
      </c>
      <c r="B22" s="82">
        <v>295</v>
      </c>
      <c r="C22" s="39" t="s">
        <v>55</v>
      </c>
      <c r="D22" s="76" t="s">
        <v>73</v>
      </c>
      <c r="E22" s="78" t="s">
        <v>74</v>
      </c>
      <c r="F22" s="80">
        <v>25</v>
      </c>
      <c r="G22" s="81">
        <v>5980</v>
      </c>
      <c r="H22" s="83">
        <f t="shared" si="2"/>
        <v>149500</v>
      </c>
    </row>
    <row r="24" spans="1:10" ht="13.5" thickBot="1" x14ac:dyDescent="0.25"/>
    <row r="25" spans="1:10" x14ac:dyDescent="0.2">
      <c r="B25" s="56" t="s">
        <v>56</v>
      </c>
      <c r="C25" s="57"/>
      <c r="D25" s="57"/>
      <c r="E25" s="58"/>
      <c r="F25" s="74"/>
      <c r="G25" s="69"/>
    </row>
    <row r="26" spans="1:10" ht="12.75" customHeight="1" x14ac:dyDescent="0.2">
      <c r="B26" s="109" t="s">
        <v>85</v>
      </c>
      <c r="C26" s="110"/>
      <c r="D26" s="110"/>
      <c r="E26" s="111"/>
      <c r="F26" s="74"/>
      <c r="G26" s="69"/>
    </row>
    <row r="27" spans="1:10" ht="26.25" customHeight="1" x14ac:dyDescent="0.2">
      <c r="B27" s="109"/>
      <c r="C27" s="110"/>
      <c r="D27" s="110"/>
      <c r="E27" s="111"/>
      <c r="F27" s="74"/>
      <c r="G27" s="69"/>
    </row>
    <row r="28" spans="1:10" ht="26.25" customHeight="1" x14ac:dyDescent="0.2">
      <c r="B28" s="109" t="s">
        <v>60</v>
      </c>
      <c r="C28" s="110"/>
      <c r="D28" s="110"/>
      <c r="E28" s="111"/>
      <c r="F28" s="74"/>
      <c r="G28" s="69"/>
    </row>
    <row r="29" spans="1:10" ht="26.25" customHeight="1" x14ac:dyDescent="0.2">
      <c r="B29" s="109" t="s">
        <v>87</v>
      </c>
      <c r="C29" s="110"/>
      <c r="D29" s="110"/>
      <c r="E29" s="111"/>
      <c r="F29" s="74"/>
      <c r="G29" s="69"/>
    </row>
    <row r="30" spans="1:10" x14ac:dyDescent="0.2">
      <c r="B30" s="59" t="s">
        <v>58</v>
      </c>
      <c r="C30" s="60"/>
      <c r="D30" s="61"/>
      <c r="E30" s="62"/>
      <c r="F30" s="74"/>
      <c r="G30" s="69"/>
    </row>
    <row r="31" spans="1:10" ht="26.25" customHeight="1" x14ac:dyDescent="0.2">
      <c r="B31" s="63"/>
      <c r="C31" s="112" t="s">
        <v>57</v>
      </c>
      <c r="D31" s="112"/>
      <c r="E31" s="112"/>
      <c r="F31" s="74"/>
      <c r="G31" s="69"/>
    </row>
    <row r="32" spans="1:10" ht="13.5" thickBot="1" x14ac:dyDescent="0.25">
      <c r="B32" s="64"/>
      <c r="C32" s="65"/>
      <c r="D32" s="65"/>
      <c r="E32" s="66"/>
      <c r="F32" s="74"/>
      <c r="G32" s="69"/>
    </row>
  </sheetData>
  <autoFilter ref="A9:H22"/>
  <sortState ref="D454:H576">
    <sortCondition ref="H576"/>
  </sortState>
  <mergeCells count="11">
    <mergeCell ref="B26:E27"/>
    <mergeCell ref="B29:E29"/>
    <mergeCell ref="C31:E31"/>
    <mergeCell ref="A6:B6"/>
    <mergeCell ref="A7:B7"/>
    <mergeCell ref="B28:E28"/>
    <mergeCell ref="B2:G2"/>
    <mergeCell ref="A4:B4"/>
    <mergeCell ref="C4:D4"/>
    <mergeCell ref="A5:B5"/>
    <mergeCell ref="C5:D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B25"/>
  <sheetViews>
    <sheetView topLeftCell="A10" zoomScaleNormal="100" workbookViewId="0">
      <selection activeCell="F12" sqref="F12"/>
    </sheetView>
  </sheetViews>
  <sheetFormatPr baseColWidth="10" defaultColWidth="9.140625" defaultRowHeight="12.75" x14ac:dyDescent="0.2"/>
  <cols>
    <col min="1" max="1" width="5.5703125" style="41" customWidth="1"/>
    <col min="2" max="2" width="15.140625" style="41" customWidth="1"/>
    <col min="3" max="3" width="54.5703125" style="41" customWidth="1"/>
    <col min="4" max="4" width="9.28515625" style="41" customWidth="1"/>
    <col min="5" max="5" width="15.5703125" style="41" customWidth="1"/>
    <col min="6" max="6" width="14.7109375" style="41" customWidth="1"/>
    <col min="7" max="7" width="15.5703125" style="41" customWidth="1"/>
    <col min="8" max="8" width="9.140625" style="41"/>
    <col min="9" max="9" width="13.85546875" style="41" bestFit="1" customWidth="1"/>
    <col min="10" max="1016" width="9.140625" style="41"/>
    <col min="1017" max="16384" width="9.140625" style="42"/>
  </cols>
  <sheetData>
    <row r="1" spans="1:7" ht="18" customHeight="1" thickBot="1" x14ac:dyDescent="0.25">
      <c r="A1" s="113" t="s">
        <v>14</v>
      </c>
      <c r="B1" s="113"/>
      <c r="C1" s="113"/>
      <c r="D1" s="113"/>
      <c r="E1" s="113"/>
      <c r="F1" s="40" t="s">
        <v>15</v>
      </c>
      <c r="G1" s="75" t="s">
        <v>86</v>
      </c>
    </row>
    <row r="2" spans="1:7" ht="18.75" customHeight="1" thickBot="1" x14ac:dyDescent="0.25">
      <c r="A2" s="43"/>
      <c r="B2" s="43"/>
      <c r="C2" s="43"/>
      <c r="D2" s="44"/>
      <c r="E2" s="44"/>
      <c r="F2" s="44"/>
      <c r="G2" s="44"/>
    </row>
    <row r="3" spans="1:7" ht="18.75" customHeight="1" thickBot="1" x14ac:dyDescent="0.25">
      <c r="A3" s="114" t="s">
        <v>48</v>
      </c>
      <c r="B3" s="114"/>
      <c r="C3" s="114"/>
      <c r="D3" s="116" t="str">
        <f>'[1]Necesidades Trimestrales'!C4</f>
        <v>040 - Ministerio de Salud</v>
      </c>
      <c r="E3" s="117"/>
      <c r="F3" s="117"/>
      <c r="G3" s="118"/>
    </row>
    <row r="4" spans="1:7" ht="18.75" customHeight="1" thickBot="1" x14ac:dyDescent="0.25">
      <c r="A4" s="115" t="s">
        <v>49</v>
      </c>
      <c r="B4" s="115"/>
      <c r="C4" s="115"/>
      <c r="D4" s="122" t="str">
        <f>'[1]Necesidades Trimestrales'!C5</f>
        <v>024 - Hospital Interzonal de Niños</v>
      </c>
      <c r="E4" s="122"/>
      <c r="F4" s="122"/>
      <c r="G4" s="122"/>
    </row>
    <row r="5" spans="1:7" ht="18.75" customHeight="1" thickBot="1" x14ac:dyDescent="0.25">
      <c r="A5" s="115" t="s">
        <v>27</v>
      </c>
      <c r="B5" s="115"/>
      <c r="C5" s="115"/>
      <c r="D5" s="122" t="s">
        <v>51</v>
      </c>
      <c r="E5" s="122"/>
      <c r="F5" s="122"/>
      <c r="G5" s="122"/>
    </row>
    <row r="6" spans="1:7" ht="16.5" customHeight="1" thickBot="1" x14ac:dyDescent="0.25">
      <c r="A6" s="114" t="s">
        <v>50</v>
      </c>
      <c r="B6" s="114"/>
      <c r="C6" s="114"/>
      <c r="D6" s="122" t="s">
        <v>79</v>
      </c>
      <c r="E6" s="122"/>
      <c r="F6" s="122"/>
      <c r="G6" s="122"/>
    </row>
    <row r="7" spans="1:7" ht="16.5" customHeight="1" thickBot="1" x14ac:dyDescent="0.25">
      <c r="A7" s="115" t="s">
        <v>16</v>
      </c>
      <c r="B7" s="115"/>
      <c r="C7" s="115"/>
      <c r="D7" s="122" t="s">
        <v>59</v>
      </c>
      <c r="E7" s="122"/>
      <c r="F7" s="122"/>
      <c r="G7" s="122"/>
    </row>
    <row r="8" spans="1:7" ht="16.5" customHeight="1" thickBot="1" x14ac:dyDescent="0.25">
      <c r="A8" s="124" t="s">
        <v>17</v>
      </c>
      <c r="B8" s="124"/>
      <c r="C8" s="124"/>
      <c r="D8" s="123" t="s">
        <v>78</v>
      </c>
      <c r="E8" s="123"/>
      <c r="F8" s="123"/>
      <c r="G8" s="123"/>
    </row>
    <row r="9" spans="1:7" ht="16.5" thickBot="1" x14ac:dyDescent="0.25">
      <c r="A9" s="45"/>
      <c r="B9" s="45"/>
      <c r="C9" s="45"/>
      <c r="D9" s="46"/>
      <c r="E9" s="46"/>
      <c r="F9" s="46"/>
      <c r="G9" s="46"/>
    </row>
    <row r="10" spans="1:7" ht="18.75" customHeight="1" thickBot="1" x14ac:dyDescent="0.25">
      <c r="A10" s="125" t="s">
        <v>18</v>
      </c>
      <c r="B10" s="126" t="s">
        <v>19</v>
      </c>
      <c r="C10" s="126" t="s">
        <v>20</v>
      </c>
      <c r="D10" s="126" t="s">
        <v>21</v>
      </c>
      <c r="E10" s="126" t="s">
        <v>22</v>
      </c>
      <c r="F10" s="126" t="s">
        <v>23</v>
      </c>
      <c r="G10" s="127" t="s">
        <v>24</v>
      </c>
    </row>
    <row r="11" spans="1:7" ht="24" customHeight="1" thickBot="1" x14ac:dyDescent="0.25">
      <c r="A11" s="125"/>
      <c r="B11" s="126"/>
      <c r="C11" s="126"/>
      <c r="D11" s="126"/>
      <c r="E11" s="126"/>
      <c r="F11" s="126"/>
      <c r="G11" s="127"/>
    </row>
    <row r="12" spans="1:7" ht="27.75" customHeight="1" x14ac:dyDescent="0.2">
      <c r="A12" s="85">
        <v>1</v>
      </c>
      <c r="B12" s="86">
        <f>'Necesidades Trimestrales'!B10</f>
        <v>251</v>
      </c>
      <c r="C12" s="87" t="str">
        <f>'Necesidades Trimestrales'!D10</f>
        <v>REACTIVOS P/LAB. TEC. MANUAL ; NOMBRE: SUERO HEMOTIPIFICADOR ANTI-A1, USO: HEMOTERAPIA, PRESENTACION: ENVASE X 10 mL</v>
      </c>
      <c r="D12" s="88" t="s">
        <v>54</v>
      </c>
      <c r="E12" s="89" t="str">
        <f>'Necesidades Trimestrales'!E10</f>
        <v>UNIDAD</v>
      </c>
      <c r="F12" s="90">
        <f>+'Necesidades Trimestrales'!G10</f>
        <v>786</v>
      </c>
      <c r="G12" s="91">
        <f>+'Necesidades Trimestrales'!F10</f>
        <v>4</v>
      </c>
    </row>
    <row r="13" spans="1:7" ht="20.25" customHeight="1" x14ac:dyDescent="0.2">
      <c r="A13" s="92">
        <v>2</v>
      </c>
      <c r="B13" s="93">
        <f>'Necesidades Trimestrales'!B11</f>
        <v>251</v>
      </c>
      <c r="C13" s="94" t="str">
        <f>'Necesidades Trimestrales'!D11</f>
        <v>REACTIVOS P/LAB. TEC. MANUAL ; NOMBRE: SUERO HEMOTIPIFICADOR ANTI-B, USO: HEMOTERAPIA, PRESENTACION: ENVASE X 10 mL</v>
      </c>
      <c r="D13" s="95" t="s">
        <v>54</v>
      </c>
      <c r="E13" s="96" t="str">
        <f>'Necesidades Trimestrales'!E11</f>
        <v>UNIDAD</v>
      </c>
      <c r="F13" s="97">
        <f>+'Necesidades Trimestrales'!G11</f>
        <v>786</v>
      </c>
      <c r="G13" s="98">
        <f>+'Necesidades Trimestrales'!F11</f>
        <v>4</v>
      </c>
    </row>
    <row r="14" spans="1:7" ht="20.25" customHeight="1" x14ac:dyDescent="0.2">
      <c r="A14" s="92">
        <v>3</v>
      </c>
      <c r="B14" s="93">
        <f>'Necesidades Trimestrales'!B12</f>
        <v>251</v>
      </c>
      <c r="C14" s="94" t="str">
        <f>'Necesidades Trimestrales'!D12</f>
        <v>REACTIVOS P/LAB. TEC. MANUAL ; NOMBRE: SUERO HEMOTIPIFICADOR ANTI-AB, USO: HEMOTERAPIA, PRESENTACION: ENVASE X 10 mL</v>
      </c>
      <c r="D14" s="95" t="s">
        <v>54</v>
      </c>
      <c r="E14" s="96" t="str">
        <f>'Necesidades Trimestrales'!E12</f>
        <v>UNIDAD</v>
      </c>
      <c r="F14" s="97">
        <f>+'Necesidades Trimestrales'!G12</f>
        <v>797</v>
      </c>
      <c r="G14" s="98">
        <f>+'Necesidades Trimestrales'!F12</f>
        <v>4</v>
      </c>
    </row>
    <row r="15" spans="1:7" ht="20.25" customHeight="1" x14ac:dyDescent="0.2">
      <c r="A15" s="92">
        <v>4</v>
      </c>
      <c r="B15" s="93">
        <v>252</v>
      </c>
      <c r="C15" s="94" t="str">
        <f>'Necesidades Trimestrales'!D13</f>
        <v>REACTIVO P/LAB TEC. MANUAL NOMBRE:SOLUCION DE BAJA FUERZA IONICA (LISS) USO: HEMOTERAPIA PRESENTACION FCO X 10 ML</v>
      </c>
      <c r="D15" s="95" t="s">
        <v>54</v>
      </c>
      <c r="E15" s="96" t="str">
        <f>'Necesidades Trimestrales'!E13</f>
        <v>UNIDAD</v>
      </c>
      <c r="F15" s="97">
        <f>+'Necesidades Trimestrales'!G13</f>
        <v>1487</v>
      </c>
      <c r="G15" s="98">
        <f>+'Necesidades Trimestrales'!F13</f>
        <v>4</v>
      </c>
    </row>
    <row r="16" spans="1:7" ht="20.25" customHeight="1" x14ac:dyDescent="0.2">
      <c r="A16" s="92">
        <v>5</v>
      </c>
      <c r="B16" s="93">
        <f>'Necesidades Trimestrales'!B14</f>
        <v>251</v>
      </c>
      <c r="C16" s="94" t="str">
        <f>'Necesidades Trimestrales'!D14</f>
        <v>REACTIVOS P/LAB. TEC. MANUAL ; NOMBRE: SUERO HEMOTIPIFICADOR ANTI-D, USO: HEMOTERAPIA, PRESENTACION: ENVASE X 10 mL</v>
      </c>
      <c r="D16" s="95" t="s">
        <v>54</v>
      </c>
      <c r="E16" s="96" t="str">
        <f>'Necesidades Trimestrales'!E14</f>
        <v>UNIDAD</v>
      </c>
      <c r="F16" s="97">
        <f>+'Necesidades Trimestrales'!G14</f>
        <v>1487</v>
      </c>
      <c r="G16" s="98">
        <f>+'Necesidades Trimestrales'!F14</f>
        <v>4</v>
      </c>
    </row>
    <row r="17" spans="1:9" ht="20.25" customHeight="1" x14ac:dyDescent="0.2">
      <c r="A17" s="92">
        <v>6</v>
      </c>
      <c r="B17" s="93">
        <f>'Necesidades Trimestrales'!B15</f>
        <v>251</v>
      </c>
      <c r="C17" s="94" t="str">
        <f>'Necesidades Trimestrales'!D15</f>
        <v>REACTIVOS P/LAB. TEC. MANUAL ; NOMBRE: SUERO COOMBS POLI.ANTI IGG/C3B, USO: HEMOTERAPIA, PRESENTACION: ENVASE X 10 mL</v>
      </c>
      <c r="D17" s="95" t="s">
        <v>54</v>
      </c>
      <c r="E17" s="96" t="str">
        <f>'Necesidades Trimestrales'!E15</f>
        <v>UNIDAD</v>
      </c>
      <c r="F17" s="97">
        <f>+'Necesidades Trimestrales'!G15</f>
        <v>1840</v>
      </c>
      <c r="G17" s="98">
        <f>+'Necesidades Trimestrales'!F15</f>
        <v>4</v>
      </c>
    </row>
    <row r="18" spans="1:9" ht="20.25" customHeight="1" x14ac:dyDescent="0.2">
      <c r="A18" s="92">
        <v>7</v>
      </c>
      <c r="B18" s="93">
        <f>'Necesidades Trimestrales'!B16</f>
        <v>295</v>
      </c>
      <c r="C18" s="94" t="str">
        <f>'Necesidades Trimestrales'!D16</f>
        <v>TUBOS P/ANALISIS DE SANGRE; MATERIAL: POLIMETILMETACRILATO, DIMENSION: 13 X 115 mm, TIPO: C/CITRATO DE SODIO</v>
      </c>
      <c r="D18" s="95" t="s">
        <v>54</v>
      </c>
      <c r="E18" s="96" t="str">
        <f>'Necesidades Trimestrales'!E16</f>
        <v>UNIDAD</v>
      </c>
      <c r="F18" s="97">
        <f>+'Necesidades Trimestrales'!G16</f>
        <v>10</v>
      </c>
      <c r="G18" s="98">
        <f>+'Necesidades Trimestrales'!F16</f>
        <v>1500</v>
      </c>
    </row>
    <row r="19" spans="1:9" ht="20.25" customHeight="1" x14ac:dyDescent="0.2">
      <c r="A19" s="92">
        <v>8</v>
      </c>
      <c r="B19" s="93">
        <f>'Necesidades Trimestrales'!B17</f>
        <v>295</v>
      </c>
      <c r="C19" s="94" t="str">
        <f>'Necesidades Trimestrales'!D17</f>
        <v>TUBOS P/ANALISIS DE SANGRE; MATERIAL: POLIMETILMETACRILATO, DIMENSION: 16 X 100 mm, TIPO: C/ACELER. COAG. C/ GEL SEPARAD</v>
      </c>
      <c r="D19" s="95" t="s">
        <v>54</v>
      </c>
      <c r="E19" s="96" t="str">
        <f>'Necesidades Trimestrales'!E17</f>
        <v xml:space="preserve">UNIDAD  </v>
      </c>
      <c r="F19" s="97">
        <f>+'Necesidades Trimestrales'!G17</f>
        <v>11</v>
      </c>
      <c r="G19" s="98">
        <f>+'Necesidades Trimestrales'!F17</f>
        <v>1500</v>
      </c>
    </row>
    <row r="20" spans="1:9" ht="20.25" customHeight="1" x14ac:dyDescent="0.2">
      <c r="A20" s="92">
        <v>9</v>
      </c>
      <c r="B20" s="93">
        <f>'Necesidades Trimestrales'!B18</f>
        <v>295</v>
      </c>
      <c r="C20" s="94" t="str">
        <f>'Necesidades Trimestrales'!D18</f>
        <v>MICROTUBOS P/LABORATORIO; MATERIAL: POLIPROPILENO, PRESENTACION: ENVASE X 1000 UN, MEDIDA: 2 mL, TIPO: EPPENDORF</v>
      </c>
      <c r="D20" s="95" t="s">
        <v>54</v>
      </c>
      <c r="E20" s="96" t="str">
        <f>'Necesidades Trimestrales'!E18</f>
        <v>BOLSA X 1000U</v>
      </c>
      <c r="F20" s="97">
        <f>+'Necesidades Trimestrales'!G18</f>
        <v>3101</v>
      </c>
      <c r="G20" s="98">
        <f>+'Necesidades Trimestrales'!F18</f>
        <v>1</v>
      </c>
    </row>
    <row r="21" spans="1:9" ht="20.25" customHeight="1" x14ac:dyDescent="0.2">
      <c r="A21" s="92">
        <v>10</v>
      </c>
      <c r="B21" s="93">
        <f>'Necesidades Trimestrales'!B19</f>
        <v>295</v>
      </c>
      <c r="C21" s="94" t="str">
        <f>'Necesidades Trimestrales'!D19</f>
        <v>TIP P/MICROPIPETA; MATERIAL: PLASTICO DESCARTABLE, TAMAÑO: 1000 mL</v>
      </c>
      <c r="D21" s="95" t="s">
        <v>54</v>
      </c>
      <c r="E21" s="96" t="str">
        <f>'Necesidades Trimestrales'!E19</f>
        <v>BOLSA X100 U</v>
      </c>
      <c r="F21" s="97">
        <f>+'Necesidades Trimestrales'!G19</f>
        <v>1356</v>
      </c>
      <c r="G21" s="98">
        <f>+'Necesidades Trimestrales'!F19</f>
        <v>1</v>
      </c>
    </row>
    <row r="22" spans="1:9" ht="20.25" customHeight="1" x14ac:dyDescent="0.2">
      <c r="A22" s="92">
        <v>11</v>
      </c>
      <c r="B22" s="93">
        <f>'Necesidades Trimestrales'!B20</f>
        <v>295</v>
      </c>
      <c r="C22" s="94" t="str">
        <f>'Necesidades Trimestrales'!D20</f>
        <v>PORTAOBJETOS P/LABORATORIO; PRESENTACION: CAJA X 50 UN, MEDIDA: 2,5 X 7,5 Cm, USO: LABORATORIO, MATERIAL: VIDRIO</v>
      </c>
      <c r="D22" s="95" t="s">
        <v>54</v>
      </c>
      <c r="E22" s="96" t="str">
        <f>'Necesidades Trimestrales'!E20</f>
        <v>CAJA X 50 UNID</v>
      </c>
      <c r="F22" s="97">
        <f>+'Necesidades Trimestrales'!G20</f>
        <v>138</v>
      </c>
      <c r="G22" s="98">
        <f>+'Necesidades Trimestrales'!F20</f>
        <v>2</v>
      </c>
    </row>
    <row r="23" spans="1:9" ht="20.25" customHeight="1" x14ac:dyDescent="0.2">
      <c r="A23" s="92">
        <v>12</v>
      </c>
      <c r="B23" s="93">
        <f>'Necesidades Trimestrales'!B21</f>
        <v>295</v>
      </c>
      <c r="C23" s="94" t="str">
        <f>'Necesidades Trimestrales'!D21</f>
        <v>FILTROS DE DESLUOCOTIZACION; USO: DERIVAR A BOLSA SATELITE , CAPACIDAD DE FILTRADO: 1 UNIDAD DE GLOBULOS ROJOS, CAPACIDAD DEL FILTRO: LOGARITMO 5</v>
      </c>
      <c r="D23" s="95" t="s">
        <v>54</v>
      </c>
      <c r="E23" s="96" t="str">
        <f>'Necesidades Trimestrales'!E21</f>
        <v xml:space="preserve">UNIDAD  </v>
      </c>
      <c r="F23" s="97">
        <f>+'Necesidades Trimestrales'!G21</f>
        <v>3790</v>
      </c>
      <c r="G23" s="98">
        <f>+'Necesidades Trimestrales'!F21</f>
        <v>25</v>
      </c>
    </row>
    <row r="24" spans="1:9" ht="20.25" customHeight="1" thickBot="1" x14ac:dyDescent="0.25">
      <c r="A24" s="99">
        <v>13</v>
      </c>
      <c r="B24" s="100">
        <f>'Necesidades Trimestrales'!B22</f>
        <v>295</v>
      </c>
      <c r="C24" s="101" t="str">
        <f>'Necesidades Trimestrales'!D22</f>
        <v>FILTROS DE DESLUOCOTIZACION; USO: RETENCION DE LEUCOCITO, CAPACIDAD DE FILTRADO: 2 A 6 UNIDADES DE PLAQUETAS, CAPACIDAD DEL FILTRO: 5 LOGARITMOS</v>
      </c>
      <c r="D24" s="102" t="s">
        <v>54</v>
      </c>
      <c r="E24" s="96" t="str">
        <f>'Necesidades Trimestrales'!E22</f>
        <v xml:space="preserve">UNIDAD  </v>
      </c>
      <c r="F24" s="103">
        <f>+'Necesidades Trimestrales'!G22</f>
        <v>5980</v>
      </c>
      <c r="G24" s="104">
        <f>+'Necesidades Trimestrales'!F22</f>
        <v>25</v>
      </c>
    </row>
    <row r="25" spans="1:9" ht="25.5" customHeight="1" thickBot="1" x14ac:dyDescent="0.25">
      <c r="A25" s="119" t="s">
        <v>80</v>
      </c>
      <c r="B25" s="120"/>
      <c r="C25" s="120"/>
      <c r="D25" s="120"/>
      <c r="E25" s="120"/>
      <c r="F25" s="121">
        <f>SUMPRODUCT(F12:F24,G12:G24)</f>
        <v>309215</v>
      </c>
      <c r="G25" s="121"/>
      <c r="I25" s="70"/>
    </row>
  </sheetData>
  <mergeCells count="22">
    <mergeCell ref="A25:E25"/>
    <mergeCell ref="F25:G25"/>
    <mergeCell ref="D4:G4"/>
    <mergeCell ref="D5:G5"/>
    <mergeCell ref="D6:G6"/>
    <mergeCell ref="D7:G7"/>
    <mergeCell ref="D8:G8"/>
    <mergeCell ref="A8:C8"/>
    <mergeCell ref="A10:A11"/>
    <mergeCell ref="B10:B11"/>
    <mergeCell ref="C10:C11"/>
    <mergeCell ref="D10:D11"/>
    <mergeCell ref="E10:E11"/>
    <mergeCell ref="F10:F11"/>
    <mergeCell ref="G10:G11"/>
    <mergeCell ref="A1:E1"/>
    <mergeCell ref="A6:C6"/>
    <mergeCell ref="A7:C7"/>
    <mergeCell ref="A3:C3"/>
    <mergeCell ref="D3:G3"/>
    <mergeCell ref="A4:C4"/>
    <mergeCell ref="A5:C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130" zoomScaleNormal="130" workbookViewId="0">
      <selection activeCell="A12" sqref="A12:Q1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53" t="s">
        <v>3</v>
      </c>
      <c r="B1" s="153"/>
      <c r="C1" s="153"/>
      <c r="D1" s="154">
        <f>'Necesidades Trimestrales'!C6</f>
        <v>2021</v>
      </c>
      <c r="E1" s="154"/>
      <c r="F1" s="3"/>
      <c r="G1" s="3"/>
      <c r="H1" s="4"/>
      <c r="I1" s="4"/>
      <c r="J1" s="4"/>
      <c r="K1" s="4"/>
      <c r="L1" s="4"/>
      <c r="M1" s="4"/>
      <c r="N1" s="4"/>
      <c r="P1" s="155" t="s">
        <v>25</v>
      </c>
      <c r="Q1" s="155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55"/>
      <c r="Q2" s="155"/>
    </row>
    <row r="4" spans="1:19" s="5" customFormat="1" ht="18" customHeight="1" thickBot="1" x14ac:dyDescent="0.25">
      <c r="A4" s="156" t="s">
        <v>26</v>
      </c>
      <c r="B4" s="156"/>
      <c r="C4" s="156"/>
      <c r="D4" s="156"/>
      <c r="E4" s="156"/>
      <c r="F4" s="156"/>
      <c r="G4" s="151" t="s">
        <v>52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9" s="5" customFormat="1" ht="18" customHeight="1" thickBot="1" x14ac:dyDescent="0.25">
      <c r="A5" s="148" t="s">
        <v>49</v>
      </c>
      <c r="B5" s="149"/>
      <c r="C5" s="149"/>
      <c r="D5" s="149"/>
      <c r="E5" s="149"/>
      <c r="F5" s="150"/>
      <c r="G5" s="151" t="s">
        <v>51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9" s="5" customFormat="1" ht="18" customHeight="1" thickBot="1" x14ac:dyDescent="0.25">
      <c r="A6" s="148" t="s">
        <v>27</v>
      </c>
      <c r="B6" s="149"/>
      <c r="C6" s="149"/>
      <c r="D6" s="149"/>
      <c r="E6" s="149"/>
      <c r="F6" s="150"/>
      <c r="G6" s="151" t="s">
        <v>51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9" s="5" customFormat="1" ht="18" customHeight="1" thickBot="1" x14ac:dyDescent="0.25">
      <c r="A7" s="148" t="s">
        <v>50</v>
      </c>
      <c r="B7" s="149"/>
      <c r="C7" s="149"/>
      <c r="D7" s="149"/>
      <c r="E7" s="149"/>
      <c r="F7" s="150"/>
      <c r="G7" s="151" t="s">
        <v>79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9" ht="18" customHeight="1" thickBot="1" x14ac:dyDescent="0.25">
      <c r="A8" s="152" t="s">
        <v>28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9" ht="18" customHeight="1" x14ac:dyDescent="0.2">
      <c r="A9" s="142" t="s">
        <v>29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6"/>
    </row>
    <row r="10" spans="1:19" ht="54.75" customHeight="1" x14ac:dyDescent="0.2">
      <c r="A10" s="143" t="str">
        <f>"Autorizo la realización de los  trámites correspondientes, a fin de proveer a  este Organismo los bienes y/o servicios que se detallan en Nota  de Pedido N° " &amp; ' NotaPedido'!G1&amp;",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024/2021,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9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44" t="s">
        <v>30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9" ht="15.75" customHeight="1" x14ac:dyDescent="0.2">
      <c r="A13" s="145" t="s">
        <v>31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32</v>
      </c>
      <c r="P13" s="146"/>
      <c r="Q13" s="147" t="s">
        <v>33</v>
      </c>
    </row>
    <row r="14" spans="1:19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6"/>
      <c r="P14" s="146"/>
      <c r="Q14" s="147"/>
    </row>
    <row r="15" spans="1:19" ht="27.75" customHeight="1" x14ac:dyDescent="0.2">
      <c r="A15" s="49">
        <v>36</v>
      </c>
      <c r="B15" s="50"/>
      <c r="C15" s="50"/>
      <c r="D15" s="50">
        <v>1</v>
      </c>
      <c r="E15" s="50"/>
      <c r="F15" s="50">
        <v>4901</v>
      </c>
      <c r="G15" s="50">
        <v>3</v>
      </c>
      <c r="H15" s="50">
        <v>310</v>
      </c>
      <c r="I15" s="51">
        <v>2</v>
      </c>
      <c r="J15" s="51">
        <v>5</v>
      </c>
      <c r="K15" s="51">
        <v>1</v>
      </c>
      <c r="L15" s="50"/>
      <c r="M15" s="52">
        <v>1</v>
      </c>
      <c r="N15" s="53" t="s">
        <v>53</v>
      </c>
      <c r="O15" s="138" t="s">
        <v>81</v>
      </c>
      <c r="P15" s="139"/>
      <c r="Q15" s="16">
        <v>28732</v>
      </c>
      <c r="S15" s="71"/>
    </row>
    <row r="16" spans="1:19" ht="26.25" customHeight="1" x14ac:dyDescent="0.2">
      <c r="A16" s="17">
        <v>36</v>
      </c>
      <c r="B16" s="18"/>
      <c r="C16" s="18"/>
      <c r="D16" s="18">
        <v>1</v>
      </c>
      <c r="E16" s="18"/>
      <c r="F16" s="18">
        <v>4901</v>
      </c>
      <c r="G16" s="18">
        <v>3</v>
      </c>
      <c r="H16" s="18">
        <v>310</v>
      </c>
      <c r="I16" s="18">
        <v>2</v>
      </c>
      <c r="J16" s="18">
        <v>9</v>
      </c>
      <c r="K16" s="18">
        <v>5</v>
      </c>
      <c r="L16" s="18"/>
      <c r="M16" s="19">
        <v>1</v>
      </c>
      <c r="N16" s="24" t="s">
        <v>53</v>
      </c>
      <c r="O16" s="140" t="s">
        <v>82</v>
      </c>
      <c r="P16" s="141"/>
      <c r="Q16" s="21">
        <v>280483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3"/>
      <c r="P17" s="133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3"/>
      <c r="P18" s="13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3"/>
      <c r="P19" s="133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3"/>
      <c r="P20" s="133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4"/>
      <c r="P21" s="13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5"/>
      <c r="P22" s="135"/>
      <c r="Q22" s="30"/>
    </row>
    <row r="23" spans="1:18" ht="29.25" customHeight="1" x14ac:dyDescent="0.2">
      <c r="A23" s="136" t="s">
        <v>83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31">
        <f>SUM(Q15:Q22)</f>
        <v>309215</v>
      </c>
    </row>
    <row r="24" spans="1:18" ht="18" customHeight="1" thickBot="1" x14ac:dyDescent="0.25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</row>
    <row r="25" spans="1:18" ht="17.25" customHeight="1" thickBot="1" x14ac:dyDescent="0.25">
      <c r="A25" s="128" t="s">
        <v>47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8" ht="18" customHeight="1" thickBot="1" x14ac:dyDescent="0.25">
      <c r="A26" s="132" t="s">
        <v>84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8" ht="15" customHeight="1" x14ac:dyDescent="0.2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2021-03-09T13:56:01Z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