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OLFO SARTOR\Downloads\"/>
    </mc:Choice>
  </mc:AlternateContent>
  <xr:revisionPtr revIDLastSave="0" documentId="8_{AE90318B-88B3-4FA9-82A3-1DD9F992E3F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H6" i="1" l="1"/>
  <c r="I10" i="1" l="1"/>
  <c r="D10" i="1"/>
</calcChain>
</file>

<file path=xl/sharedStrings.xml><?xml version="1.0" encoding="utf-8"?>
<sst xmlns="http://schemas.openxmlformats.org/spreadsheetml/2006/main" count="31" uniqueCount="31">
  <si>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</si>
  <si>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</si>
  <si>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</si>
  <si>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</si>
  <si>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</si>
  <si>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</si>
  <si>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</si>
  <si>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</si>
  <si>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</si>
  <si>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</si>
  <si>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</si>
  <si>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</si>
  <si>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</si>
  <si>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</si>
  <si>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</si>
  <si>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</si>
  <si>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</si>
  <si>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</si>
  <si>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</si>
  <si>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Garantia</t>
  </si>
  <si>
    <t>65- Ministerio de Agua, Energía y Medio Ambiente</t>
  </si>
  <si>
    <t>31-Ministerio de Agua, Energía y Medio Ambiente</t>
  </si>
  <si>
    <t>2.4.4-6818.181</t>
  </si>
  <si>
    <t>REPUESTOS</t>
  </si>
  <si>
    <t>NEUMATICOS; VEHICULO: CAMION, CONSTRUCCION: RADIAL, ARMADO: S/CAMARA, MEDIDA: 295/80R22,5</t>
  </si>
  <si>
    <t>Primera Calidad</t>
  </si>
  <si>
    <t>CUBIERTAS 295/80 R 22,5- Distinadas a los los rodados Camión FORD CARGO 1722 dominio FLK 854 y Camión FORD CARGO 1722 dominio FLK 855</t>
  </si>
  <si>
    <t>Mínimo cinco (05) años de garantía por defecto de fábrica</t>
  </si>
  <si>
    <t>Diez  (10)  días  hábiles  en  el  Ministerio  de  Agua,  Energía  y  Medio  Ambiente sito  Av. República Venezuela S/N°- Pabellón N° 2- CAPE.</t>
  </si>
  <si>
    <t>Mantenimiento de oferta:</t>
  </si>
  <si>
    <t>cuarenta y cinco (45) días hábiles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</si>
</sst>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&quot; €&quot;_-;\-* #,##0.00&quot; €&quot;_-;_-* \-??&quot; €&quot;_-;_-@_-"/>
    <numFmt numFmtId="165" formatCode="[$$-2C0A]\ #,##0.00;[$$-2C0A]&quot; -&quot;#,##0.00"/>
  </numFmts>
  <fonts count="13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3" fillId="0" borderId="0" applyBorder="0" applyProtection="0"/>
    <xf numFmtId="0" fontId="1" fillId="0" borderId="1" applyProtection="0"/>
    <xf numFmtId="0" fontId="2" fillId="2" borderId="0" applyBorder="0" applyProtection="0"/>
  </cellStyleXfs>
  <cellXfs count="41">
    <xf numFmtId="0" fontId="0" fillId="0" borderId="0" xfId="0"/>
    <xf numFmtId="0" fontId="4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10" fillId="4" borderId="0" xfId="0" applyFont="1" applyFill="1" applyAlignment="1">
      <alignment horizontal="left" wrapText="1" indent="1"/>
    </xf>
    <xf numFmtId="0" fontId="8" fillId="3" borderId="0" xfId="0" applyFont="1" applyFill="1" applyAlignment="1">
      <alignment horizontal="left" wrapText="1"/>
    </xf>
    <xf numFmtId="0" fontId="4" fillId="3" borderId="0" xfId="0" applyFont="1" applyFill="1"/>
    <xf numFmtId="0" fontId="7" fillId="3" borderId="0" xfId="0" applyFont="1" applyFill="1" applyAlignment="1">
      <alignment horizontal="left" wrapText="1"/>
    </xf>
    <xf numFmtId="0" fontId="7" fillId="3" borderId="0" xfId="0" applyFont="1" applyFill="1" applyAlignment="1">
      <alignment horizont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top"/>
    </xf>
    <xf numFmtId="0" fontId="9" fillId="3" borderId="2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0" fontId="4" fillId="3" borderId="5" xfId="0" applyFont="1" applyFill="1" applyBorder="1"/>
    <xf numFmtId="0" fontId="4" fillId="3" borderId="0" xfId="0" applyFont="1" applyFill="1" applyBorder="1"/>
    <xf numFmtId="0" fontId="4" fillId="3" borderId="6" xfId="0" applyFont="1" applyFill="1" applyBorder="1"/>
    <xf numFmtId="0" fontId="9" fillId="3" borderId="5" xfId="0" applyFont="1" applyFill="1" applyBorder="1" applyAlignment="1">
      <alignment horizontal="left" indent="3"/>
    </xf>
    <xf numFmtId="0" fontId="4" fillId="3" borderId="5" xfId="0" applyFont="1" applyFill="1" applyBorder="1" applyAlignment="1">
      <alignment horizontal="left" indent="3"/>
    </xf>
    <xf numFmtId="0" fontId="4" fillId="3" borderId="0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left" indent="3"/>
    </xf>
    <xf numFmtId="0" fontId="4" fillId="3" borderId="8" xfId="0" applyFont="1" applyFill="1" applyBorder="1"/>
    <xf numFmtId="0" fontId="4" fillId="3" borderId="9" xfId="0" applyFont="1" applyFill="1" applyBorder="1"/>
    <xf numFmtId="0" fontId="11" fillId="3" borderId="10" xfId="0" applyFont="1" applyFill="1" applyBorder="1" applyAlignment="1">
      <alignment vertical="top"/>
    </xf>
    <xf numFmtId="0" fontId="11" fillId="3" borderId="10" xfId="0" applyFont="1" applyFill="1" applyBorder="1" applyAlignment="1">
      <alignment vertical="top" wrapText="1"/>
    </xf>
    <xf numFmtId="0" fontId="11" fillId="3" borderId="10" xfId="0" applyFont="1" applyFill="1" applyBorder="1" applyAlignment="1">
      <alignment horizontal="center" vertical="top"/>
    </xf>
    <xf numFmtId="0" fontId="12" fillId="4" borderId="10" xfId="0" applyFont="1" applyFill="1" applyBorder="1" applyAlignment="1">
      <alignment horizontal="center" vertical="top" wrapText="1"/>
    </xf>
    <xf numFmtId="0" fontId="12" fillId="3" borderId="10" xfId="0" applyFont="1" applyFill="1" applyBorder="1" applyAlignment="1">
      <alignment horizontal="center" vertical="top" wrapText="1"/>
    </xf>
    <xf numFmtId="165" fontId="11" fillId="4" borderId="10" xfId="1" applyNumberFormat="1" applyFont="1" applyFill="1" applyBorder="1" applyAlignment="1" applyProtection="1">
      <alignment horizontal="right" vertical="top" wrapText="1"/>
    </xf>
    <xf numFmtId="0" fontId="4" fillId="4" borderId="6" xfId="0" applyFont="1" applyFill="1" applyBorder="1" applyAlignment="1">
      <alignment horizontal="left" vertical="top" wrapText="1"/>
    </xf>
    <xf numFmtId="0" fontId="4" fillId="4" borderId="6" xfId="0" applyFont="1" applyFill="1" applyBorder="1" applyAlignment="1">
      <alignment horizontal="left" wrapText="1"/>
    </xf>
    <xf numFmtId="0" fontId="4" fillId="4" borderId="6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 vertical="center" wrapText="1"/>
    </xf>
    <xf numFmtId="0" fontId="4" fillId="4" borderId="0" xfId="0" applyFont="1" applyFill="1" applyBorder="1" applyAlignment="1">
      <alignment horizontal="left" vertical="top" wrapText="1"/>
    </xf>
    <xf numFmtId="0" fontId="4" fillId="4" borderId="6" xfId="0" applyFont="1" applyFill="1" applyBorder="1" applyAlignment="1">
      <alignment horizontal="left" vertical="top"/>
    </xf>
    <xf numFmtId="0" fontId="4" fillId="4" borderId="6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0" fillId="4" borderId="0" xfId="0" applyFont="1" applyFill="1" applyBorder="1" applyAlignment="1">
      <alignment horizontal="left" wrapText="1" indent="1"/>
    </xf>
  </cellXfs>
  <cellStyles count="4">
    <cellStyle name="Encabezado 1" xfId="2" xr:uid="{00000000-0005-0000-0000-000000000000}"/>
    <cellStyle name="Moneda" xfId="1" builtinId="4"/>
    <cellStyle name="Neutral 1" xfId="3" xr:uid="{00000000-0005-0000-0000-000002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2"/>
  <sheetViews>
    <sheetView tabSelected="1" zoomScale="130" zoomScaleNormal="130" workbookViewId="0">
      <selection activeCell="C26" sqref="C26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39" t="s">
        <v>0</v>
      </c>
      <c r="C2" s="39"/>
      <c r="D2" s="39"/>
      <c r="E2" s="39"/>
      <c r="F2" s="39"/>
      <c r="G2" s="39"/>
      <c r="H2" s="39"/>
    </row>
    <row r="4" spans="1:9" ht="18" customHeight="1" x14ac:dyDescent="0.25">
      <c r="A4" s="35" t="s">
        <v>1</v>
      </c>
      <c r="B4" s="35"/>
      <c r="C4" s="40" t="s">
        <v>20</v>
      </c>
      <c r="D4" s="40"/>
      <c r="E4" s="40"/>
      <c r="F4" s="2"/>
      <c r="G4" s="3"/>
      <c r="H4" s="2"/>
    </row>
    <row r="5" spans="1:9" ht="18" customHeight="1" x14ac:dyDescent="0.25">
      <c r="A5" s="35" t="s">
        <v>2</v>
      </c>
      <c r="B5" s="35"/>
      <c r="C5" s="40" t="s">
        <v>21</v>
      </c>
      <c r="D5" s="40"/>
      <c r="E5" s="40"/>
      <c r="F5" s="2"/>
      <c r="G5" s="3"/>
      <c r="H5" s="2"/>
    </row>
    <row r="6" spans="1:9" ht="16.5" customHeight="1" x14ac:dyDescent="0.25">
      <c r="A6" s="35" t="s">
        <v>3</v>
      </c>
      <c r="B6" s="35"/>
      <c r="C6" s="4">
        <v>2021</v>
      </c>
      <c r="D6" s="5"/>
      <c r="E6" s="5"/>
      <c r="F6" s="2"/>
      <c r="G6" s="3"/>
      <c r="H6" s="2">
        <f>360000/H10</f>
        <v>2.1818181818181817</v>
      </c>
    </row>
    <row r="7" spans="1:9" ht="16.5" customHeight="1" x14ac:dyDescent="0.25">
      <c r="A7" s="35" t="s">
        <v>4</v>
      </c>
      <c r="B7" s="35"/>
      <c r="C7" s="4">
        <v>4</v>
      </c>
      <c r="D7" s="5"/>
      <c r="E7" s="5"/>
      <c r="F7" s="2"/>
      <c r="G7" s="3"/>
      <c r="H7" s="2"/>
    </row>
    <row r="8" spans="1:9" ht="13.5" thickBot="1" x14ac:dyDescent="0.25">
      <c r="A8" s="6"/>
      <c r="B8" s="7"/>
      <c r="C8" s="8"/>
      <c r="D8" s="7"/>
      <c r="E8" s="7"/>
      <c r="F8" s="2"/>
      <c r="G8" s="3"/>
      <c r="H8" s="2"/>
    </row>
    <row r="9" spans="1:9" s="6" customFormat="1" ht="39" thickBot="1" x14ac:dyDescent="0.25">
      <c r="A9" s="9" t="s">
        <v>5</v>
      </c>
      <c r="B9" s="10" t="s">
        <v>6</v>
      </c>
      <c r="C9" s="10" t="s">
        <v>7</v>
      </c>
      <c r="D9" s="10" t="s">
        <v>8</v>
      </c>
      <c r="E9" s="10" t="s">
        <v>9</v>
      </c>
      <c r="F9" s="10" t="s">
        <v>10</v>
      </c>
      <c r="G9" s="10" t="s">
        <v>11</v>
      </c>
      <c r="H9" s="10" t="s">
        <v>12</v>
      </c>
      <c r="I9" s="11" t="s">
        <v>13</v>
      </c>
    </row>
    <row r="10" spans="1:9" s="12" customFormat="1" ht="36" customHeight="1" x14ac:dyDescent="0.2">
      <c r="A10" s="28">
        <v>1</v>
      </c>
      <c r="B10" s="29" t="s">
        <v>22</v>
      </c>
      <c r="C10" s="26" t="s">
        <v>23</v>
      </c>
      <c r="D10" s="30" t="str">
        <f>LEFT(B10,5)</f>
        <v>2.4.4</v>
      </c>
      <c r="E10" s="27" t="s">
        <v>24</v>
      </c>
      <c r="F10" s="29" t="s">
        <v>14</v>
      </c>
      <c r="G10" s="29">
        <v>12</v>
      </c>
      <c r="H10" s="31">
        <v>165000</v>
      </c>
      <c r="I10" s="31">
        <f>H10*G10</f>
        <v>1980000</v>
      </c>
    </row>
    <row r="11" spans="1:9" s="6" customFormat="1" x14ac:dyDescent="0.2"/>
    <row r="12" spans="1:9" s="6" customFormat="1" x14ac:dyDescent="0.2"/>
    <row r="13" spans="1:9" s="6" customFormat="1" x14ac:dyDescent="0.2">
      <c r="B13" s="13" t="s">
        <v>15</v>
      </c>
      <c r="C13" s="14"/>
      <c r="D13" s="14"/>
      <c r="E13" s="15"/>
    </row>
    <row r="14" spans="1:9" s="6" customFormat="1" ht="5.25" customHeight="1" x14ac:dyDescent="0.2">
      <c r="B14" s="16"/>
      <c r="C14" s="17"/>
      <c r="D14" s="17"/>
      <c r="E14" s="18"/>
    </row>
    <row r="15" spans="1:9" s="6" customFormat="1" x14ac:dyDescent="0.2">
      <c r="B15" s="19" t="s">
        <v>16</v>
      </c>
      <c r="C15" s="17"/>
      <c r="D15" s="17"/>
      <c r="E15" s="18"/>
    </row>
    <row r="16" spans="1:9" s="6" customFormat="1" ht="20.45" customHeight="1" x14ac:dyDescent="0.2">
      <c r="B16" s="19"/>
      <c r="C16" s="36" t="s">
        <v>26</v>
      </c>
      <c r="D16" s="36"/>
      <c r="E16" s="32"/>
    </row>
    <row r="17" spans="2:5" s="6" customFormat="1" x14ac:dyDescent="0.2">
      <c r="B17" s="19" t="s">
        <v>17</v>
      </c>
      <c r="C17" s="17"/>
      <c r="D17" s="17"/>
      <c r="E17" s="18"/>
    </row>
    <row r="18" spans="2:5" s="6" customFormat="1" ht="22.15" customHeight="1" x14ac:dyDescent="0.2">
      <c r="B18" s="20"/>
      <c r="C18" s="32" t="s">
        <v>28</v>
      </c>
      <c r="D18" s="37"/>
      <c r="E18" s="37"/>
    </row>
    <row r="19" spans="2:5" s="6" customFormat="1" ht="3" customHeight="1" x14ac:dyDescent="0.2">
      <c r="B19" s="20"/>
      <c r="C19" s="38"/>
      <c r="D19" s="38"/>
      <c r="E19" s="38"/>
    </row>
    <row r="20" spans="2:5" s="6" customFormat="1" x14ac:dyDescent="0.2">
      <c r="B20" s="19" t="s">
        <v>18</v>
      </c>
      <c r="C20" s="17"/>
      <c r="D20" s="17"/>
      <c r="E20" s="18"/>
    </row>
    <row r="21" spans="2:5" s="6" customFormat="1" ht="21" customHeight="1" x14ac:dyDescent="0.2">
      <c r="B21" s="20"/>
      <c r="C21" s="32" t="s">
        <v>25</v>
      </c>
      <c r="D21" s="32"/>
      <c r="E21" s="32"/>
    </row>
    <row r="22" spans="2:5" s="6" customFormat="1" x14ac:dyDescent="0.2">
      <c r="B22" s="19" t="s">
        <v>29</v>
      </c>
      <c r="C22" s="21"/>
      <c r="D22" s="21"/>
      <c r="E22" s="22"/>
    </row>
    <row r="23" spans="2:5" s="6" customFormat="1" ht="17.45" customHeight="1" x14ac:dyDescent="0.2">
      <c r="B23" s="20"/>
      <c r="C23" s="33" t="s">
        <v>30</v>
      </c>
      <c r="D23" s="33"/>
      <c r="E23" s="33"/>
    </row>
    <row r="24" spans="2:5" s="6" customFormat="1" x14ac:dyDescent="0.2">
      <c r="B24" s="19" t="s">
        <v>19</v>
      </c>
      <c r="C24" s="17"/>
      <c r="D24" s="17"/>
      <c r="E24" s="18"/>
    </row>
    <row r="25" spans="2:5" s="6" customFormat="1" ht="23.25" customHeight="1" x14ac:dyDescent="0.2">
      <c r="B25" s="19"/>
      <c r="C25" s="34" t="s">
        <v>27</v>
      </c>
      <c r="D25" s="34"/>
      <c r="E25" s="34"/>
    </row>
    <row r="26" spans="2:5" s="6" customFormat="1" x14ac:dyDescent="0.2">
      <c r="B26" s="23"/>
      <c r="C26" s="24"/>
      <c r="D26" s="24"/>
      <c r="E26" s="25"/>
    </row>
    <row r="27" spans="2:5" s="6" customFormat="1" x14ac:dyDescent="0.2"/>
    <row r="28" spans="2:5" s="6" customFormat="1" x14ac:dyDescent="0.2"/>
    <row r="29" spans="2:5" s="6" customFormat="1" x14ac:dyDescent="0.2"/>
    <row r="30" spans="2:5" s="6" customFormat="1" x14ac:dyDescent="0.2"/>
    <row r="31" spans="2:5" s="6" customFormat="1" x14ac:dyDescent="0.2"/>
    <row r="32" spans="2:5" s="6" customFormat="1" x14ac:dyDescent="0.2"/>
  </sheetData>
  <mergeCells count="13">
    <mergeCell ref="B2:H2"/>
    <mergeCell ref="A4:B4"/>
    <mergeCell ref="C4:E4"/>
    <mergeCell ref="A5:B5"/>
    <mergeCell ref="C5:E5"/>
    <mergeCell ref="C21:E21"/>
    <mergeCell ref="C23:E23"/>
    <mergeCell ref="C25:E25"/>
    <mergeCell ref="A6:B6"/>
    <mergeCell ref="A7:B7"/>
    <mergeCell ref="C16:E16"/>
    <mergeCell ref="C18:E18"/>
    <mergeCell ref="C19:E19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RODOLFO SARTOR</cp:lastModifiedBy>
  <cp:revision>2</cp:revision>
  <cp:lastPrinted>2020-07-17T22:18:48Z</cp:lastPrinted>
  <dcterms:created xsi:type="dcterms:W3CDTF">2020-07-17T23:44:49Z</dcterms:created>
  <dcterms:modified xsi:type="dcterms:W3CDTF">2021-11-15T11:48:28Z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