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ED61A78-EE93-4FC8-858F-57765B81092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FORMATICA" sheetId="4" r:id="rId1"/>
    <sheet name=" NotaPedido" sheetId="2" r:id="rId2"/>
    <sheet name="Autor Gastar" sheetId="3" r:id="rId3"/>
  </sheets>
  <definedNames>
    <definedName name="_xlnm._FilterDatabase" localSheetId="0" hidden="1">INFORMATICA!$A$9:$I$20</definedName>
    <definedName name="_xlnm.Print_Area" localSheetId="1">' NotaPedido'!$A$1:$K$22</definedName>
    <definedName name="_xlnm.Print_Area" localSheetId="2">'Autor Gastar'!$A$1:$Q$25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2" l="1"/>
  <c r="M13" i="2"/>
  <c r="M14" i="2"/>
  <c r="M15" i="2"/>
  <c r="M16" i="2"/>
  <c r="M17" i="2"/>
  <c r="M18" i="2"/>
  <c r="M19" i="2"/>
  <c r="M20" i="2"/>
  <c r="M21" i="2"/>
  <c r="M12" i="2"/>
  <c r="K13" i="2" l="1"/>
  <c r="K14" i="2"/>
  <c r="K15" i="2"/>
  <c r="K16" i="2"/>
  <c r="K17" i="2"/>
  <c r="K18" i="2"/>
  <c r="K19" i="2"/>
  <c r="K20" i="2"/>
  <c r="K21" i="2"/>
  <c r="K12" i="2"/>
  <c r="J13" i="2"/>
  <c r="J14" i="2"/>
  <c r="J15" i="2"/>
  <c r="J16" i="2"/>
  <c r="J17" i="2"/>
  <c r="J18" i="2"/>
  <c r="J19" i="2"/>
  <c r="J20" i="2"/>
  <c r="J21" i="2"/>
  <c r="J12" i="2"/>
  <c r="I13" i="2"/>
  <c r="I14" i="2"/>
  <c r="I15" i="2"/>
  <c r="I16" i="2"/>
  <c r="I17" i="2"/>
  <c r="I18" i="2"/>
  <c r="I19" i="2"/>
  <c r="I20" i="2"/>
  <c r="I21" i="2"/>
  <c r="I12" i="2"/>
  <c r="C13" i="2"/>
  <c r="C14" i="2"/>
  <c r="C15" i="2"/>
  <c r="C16" i="2"/>
  <c r="C17" i="2"/>
  <c r="C18" i="2"/>
  <c r="C19" i="2"/>
  <c r="C20" i="2"/>
  <c r="C21" i="2"/>
  <c r="C12" i="2"/>
  <c r="B13" i="2"/>
  <c r="B14" i="2"/>
  <c r="B15" i="2"/>
  <c r="B16" i="2"/>
  <c r="B17" i="2"/>
  <c r="B18" i="2"/>
  <c r="B19" i="2"/>
  <c r="B20" i="2"/>
  <c r="B21" i="2"/>
  <c r="B12" i="2"/>
  <c r="A13" i="2"/>
  <c r="A14" i="2"/>
  <c r="A15" i="2"/>
  <c r="A16" i="2"/>
  <c r="A17" i="2"/>
  <c r="A18" i="2"/>
  <c r="A19" i="2"/>
  <c r="A20" i="2"/>
  <c r="A21" i="2"/>
  <c r="A12" i="2"/>
  <c r="I11" i="4" l="1"/>
  <c r="I12" i="4"/>
  <c r="I13" i="4"/>
  <c r="I14" i="4"/>
  <c r="I15" i="4"/>
  <c r="I16" i="4"/>
  <c r="I17" i="4"/>
  <c r="I18" i="4"/>
  <c r="Q20" i="3" s="1"/>
  <c r="I19" i="4"/>
  <c r="Q19" i="3" s="1"/>
  <c r="I10" i="4"/>
  <c r="D14" i="4"/>
  <c r="D15" i="4"/>
  <c r="D17" i="4"/>
  <c r="D18" i="4"/>
  <c r="D19" i="4"/>
  <c r="Q15" i="3" l="1"/>
  <c r="Q21" i="3" s="1"/>
  <c r="D13" i="4"/>
  <c r="D12" i="4" l="1"/>
  <c r="D11" i="4"/>
  <c r="D1" i="3" l="1"/>
  <c r="A22" i="2" l="1"/>
  <c r="A21" i="3" s="1"/>
  <c r="I20" i="4"/>
  <c r="J22" i="2" s="1"/>
  <c r="D4" i="2" l="1"/>
  <c r="G5" i="3" s="1"/>
  <c r="D3" i="2"/>
  <c r="A24" i="3" l="1"/>
  <c r="G7" i="3" l="1"/>
  <c r="G4" i="3"/>
</calcChain>
</file>

<file path=xl/sharedStrings.xml><?xml version="1.0" encoding="utf-8"?>
<sst xmlns="http://schemas.openxmlformats.org/spreadsheetml/2006/main" count="166" uniqueCount="120">
  <si>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</si>
  <si>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</si>
  <si>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</si>
  <si>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</si>
  <si>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</si>
  <si>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</si>
  <si>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</si>
  <si>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</si>
  <si>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</si>
  <si>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</si>
  <si>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</si>
  <si>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</si>
  <si>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</si>
  <si>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</si>
  <si>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Mantenimiento</t>
  </si>
  <si>
    <t>NOTA DE PEDIDO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</si>
  <si>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</si>
  <si>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</si>
  <si>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</si>
  <si>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</si>
  <si>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</si>
  <si>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</si>
  <si>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</si>
  <si>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</si>
  <si>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</si>
  <si>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</si>
  <si>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</si>
  <si>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</si>
  <si>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</si>
  <si>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</si>
  <si>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</si>
  <si>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</si>
  <si>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</si>
  <si>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</si>
  <si>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</si>
  <si>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</si>
  <si>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</si>
  <si>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</si>
  <si>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</si>
  <si>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</si>
  <si>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</si>
  <si>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</si>
  <si>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</si>
  <si>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</si>
  <si>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</si>
  <si>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</si>
  <si>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</si>
  <si>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</si>
  <si>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</si>
  <si>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</si>
  <si>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</si>
  <si>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</si>
  <si>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</si>
  <si>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Descripción técnica</t>
  </si>
  <si>
    <t>INFORMATICA</t>
  </si>
  <si>
    <t>UNIDAD</t>
  </si>
  <si>
    <t>Ministerio de Trabajo y Recursos Humanos</t>
  </si>
  <si>
    <t>Adquisición de Computadoras mas los implementos informaticos para este Ministerio.</t>
  </si>
  <si>
    <t>12 - Ministerio de Trabajo</t>
  </si>
  <si>
    <t>22 - SECRETARIA DE ADMINISTRACION - MINISTERIO DE TRABAJO Y RECURSOS HUMANOS</t>
  </si>
  <si>
    <t>5 años</t>
  </si>
  <si>
    <t xml:space="preserve">Que Cumpla con lo Solicitado de Forma Integra. </t>
  </si>
  <si>
    <t xml:space="preserve">30 (treinta)  días </t>
  </si>
  <si>
    <r>
      <rPr>
        <b/>
        <i/>
        <u/>
        <sz val="10"/>
        <rFont val="Times New Roman"/>
        <family val="1"/>
      </rPr>
      <t>GARANTIA:</t>
    </r>
    <r>
      <rPr>
        <sz val="10"/>
        <rFont val="Times New Roman"/>
        <family val="1"/>
      </rPr>
      <t xml:space="preserve"> El oferente deberá Indicar expresamente los términos de la garantía en los bienes ofrecidos como así también en las condiciones dadas por sus fabricantes y alcances de las mismas, como se detalla a continuación:
1) Extender el periodo de garantía del equipamiento contra eventuales defectos de fabricación, debidamente comprobados por un periodo de 12 (DOCE) meses.
2) Dentro del periodo de garantía las piezas o componentes que se comprueben a juicio de nuestros técnicos que presenten defectos de fabricación o fallas en su funcionamiento, deberán ser reparadas o sustituidas en parte o en su totalidad por el oferente, dejando constancia de su reparación o reemplazo.
3) Los periféricos como Mouse, parlantes y teclados, tienen una garantía de 06 (SEIS) meses desde la fecha de recepción definitiva de los mismos.
4) Los productos deben presentarse con su embalaje original y con todos sus accesorios (caja, manual, cables, drivers, etc.), sin daños físicos ni quemaduras, los cuales anulan la garantía. La garantía debe contemplar específicamente el reemplazo de  microprocesador, placa madre o motherboard, módulos de memoria RAM, en caso de fallas propias de fabricación, debidamente comprobables, dentro de un plazo de 12 (meses) a partir del día de la recepción definitiva de los bienes.</t>
    </r>
  </si>
  <si>
    <t>Especificidades Ítem N° 02:</t>
  </si>
  <si>
    <t>Especificidades Ítem N° 03:</t>
  </si>
  <si>
    <t>Calidad Mínima esperada</t>
  </si>
  <si>
    <t>Garantía</t>
  </si>
  <si>
    <t>Especificidades Ítem N° 01:</t>
  </si>
  <si>
    <t>Autorizo la realización de los  trámites correspondientes, a fin de proveer a  este Organismo los bienes y/o servicios que se detallan en Nota  de Pedido,  afectando la erogación resultante a los créditos presupuestarios aprobados a favor de esta Unidad Ejecutora, conforme al siguiente detalle</t>
  </si>
  <si>
    <t>4.3.6-3351.2</t>
  </si>
  <si>
    <t>KIT PERIFERICOS P/PC; COMPONENTES: TECLADO Y MOUSE</t>
  </si>
  <si>
    <t>2.9.6-1583.28</t>
  </si>
  <si>
    <t>TECLADOS; TECLAS: 104, EXPANDIDO: SIN VALOR, CONEXIÓN: USB, JOYSTICK: SIN, ERGONOMICO: SIN VALOR, TIPO DE CONEXION: USB, TIPO: SIN VALOR</t>
  </si>
  <si>
    <t>2.9.6-1576.27</t>
  </si>
  <si>
    <t>MOUSE; TIPO: OPTICO C/RUEDA SCROLL, CANTIDAD DE BOTONES: 2, TIPO DE CONEXION: USB</t>
  </si>
  <si>
    <t>2.9.6-6417.17</t>
  </si>
  <si>
    <t>REPUESTOS</t>
  </si>
  <si>
    <t>REP.Y ACC.P/COMPUTADORA; MARCA EQUIPO: GENERICO, MODELO EQUIPO: GENERICO, TIPO: ESCRITORIO, ELEMENTO: FUENTE DE ALIMENTACION</t>
  </si>
  <si>
    <t>2.9.3-4210.39</t>
  </si>
  <si>
    <t>ELECTRICIDAD Y TELEFONIA</t>
  </si>
  <si>
    <t>CABLES CONECTORES; FUNCION: HDMI, REVESTIMIENTO: GOMA, TRANSMISION: DIGITAL</t>
  </si>
  <si>
    <t>2.9.3-5901.24</t>
  </si>
  <si>
    <t>CABLES P/VIDEO; LARGO: 2 M, CONECTOR EXTREMO 1: VGA MACHO, CONECTOR EXTREMO 2: VGA MACHO</t>
  </si>
  <si>
    <t>2.9.2-9597.5</t>
  </si>
  <si>
    <t>LIBRERIA,PAP. Y UTILES OFICINA</t>
  </si>
  <si>
    <t>MEMORIAS USB; CAPACIDAD: 32 Gb, TIPO: PEN DRIVE</t>
  </si>
  <si>
    <t>4.3.6-6160.4</t>
  </si>
  <si>
    <t>COMPUTADORAS; CODIGO ETAP: PC-004, TIPO: DE ESCRITORIO AVANZADA, VERSION ETAP: VERANO 2001( V 6.0 )</t>
  </si>
  <si>
    <t>4.3.6-9181.30</t>
  </si>
  <si>
    <t>EQUIPO DE OFICINA Y MUEBLES</t>
  </si>
  <si>
    <t>ESCANERS; TIPO: ESCRITORIO, RESOLUCION: 1200 X 1200 DPI, ALIMENTACION: 220 V</t>
  </si>
  <si>
    <t>4.3.5-1615.82</t>
  </si>
  <si>
    <t>EQUIPOS</t>
  </si>
  <si>
    <t>PROYECTORES; PANTALLA: SIN, RESOLUCION: 1920 X 1080 PXL, LENTE: ZOOM ENFOQUE</t>
  </si>
  <si>
    <t>Kits teclado y mouse USB. Teclado con teclas numéricas. Mouse Óptico. SIMILAR  Marca Logitech o Genius.</t>
  </si>
  <si>
    <t>Teclados QWERTY. Con teclado numérico. Tipo de teclado: membrana. Tecla cilíndrica. Con conector USB. Similar a teclado Genius KB-116.</t>
  </si>
  <si>
    <t>Especificidades Ítem N° 04:</t>
  </si>
  <si>
    <t>Fuentes de alimentación para PC. Potencia de salida de 600W. Fuente de tipo ATX. Refrigeración por aire.</t>
  </si>
  <si>
    <t>Especificidades Ítem N° 05:</t>
  </si>
  <si>
    <t>Especificidades Ítem N° 06:</t>
  </si>
  <si>
    <t>Cables HDMI. V1.4. longitud de cable 1.5m.</t>
  </si>
  <si>
    <t>Especificidades Ítem N° 07:</t>
  </si>
  <si>
    <t>Cables para monitor VGA.</t>
  </si>
  <si>
    <t>Especificidades Ítem N° 08:</t>
  </si>
  <si>
    <t>Pendrives USB 3.0. Capacidad 32GB</t>
  </si>
  <si>
    <t>Especificidades Ítem N° 09:</t>
  </si>
  <si>
    <t>• PC de Escritorio. Gabinete. Procesador Intel Core i3 10100 (Gráficos integrados), 4 núcleos, 8 subprocesos, 4,30Ghz max. Motherboard marca ASUS o Gibabyte compatible. Memoria Ram de 16GB configurada en dos módulos de 8GB DDR4 Dual cannel marca kingston. Memoria de almacenamiento SSD de 480Gb marca Kingston, Western Digital o Crucial. Placa de Red Wifi interna. Monitor Led de 19 Pulgadas, relación de aspecto 16:9, marca Samsung o Lenovo. Kit periféricos, teclado mouse y parlantes.</t>
  </si>
  <si>
    <t>Especificidades Ítem N° 10:</t>
  </si>
  <si>
    <t>PROYECTOR:  Conexiones de entrada: USB-A, HDMI, VGA, RCA, Video por componentes. Conexiones de salida: Audio L/R - RCA. Resolución nativa: 1920px x 1080px. Relación de contraste 3000:1. Proyecta imagen de 50" - 200". Control remoto incluido. Con parlante incorporado en el proyector. Similar a Proyector Gadnic Ultra View 6000 6000lm negro y gris 110V/240V.</t>
  </si>
  <si>
    <t>2.9.6</t>
  </si>
  <si>
    <t>Plazos y lugares de entrega</t>
  </si>
  <si>
    <t>Útiles y Materiales Eléctricos</t>
  </si>
  <si>
    <t>Repuestos y Accesorios</t>
  </si>
  <si>
    <t xml:space="preserve"> Equipo Educacional y Recreativo</t>
  </si>
  <si>
    <t>Equipos para Computación</t>
  </si>
  <si>
    <t>Mouses USB. Rueda de desplazamiento. 2 botones. Con sensor óptico. Resolución de 1000dpi. Similar a Genius DX-110.</t>
  </si>
  <si>
    <r>
      <rPr>
        <b/>
        <sz val="10"/>
        <rFont val="Times New Roman"/>
        <family val="1"/>
      </rPr>
      <t>a)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 en la Secretaria de Administración - Pabellón Nº 20 Ministerio de Trabajo y Recursos Humanos (CAPE), sito en Av. Presidente Castillo y Av.  Venezuela - Capital - De 08 a 12 horas. 
</t>
    </r>
    <r>
      <rPr>
        <b/>
        <sz val="10"/>
        <rFont val="Times New Roman"/>
        <family val="1"/>
      </rPr>
      <t>b)  PLAZO DE ENTREGA:</t>
    </r>
    <r>
      <rPr>
        <sz val="10"/>
        <rFont val="Times New Roman"/>
        <family val="1"/>
      </rPr>
      <t xml:space="preserve"> El Oferente deberá establecer plazo de entrega de los elementos cotizados, debiendo ser expresado en días hábiles; que no podrá ser superior a</t>
    </r>
    <r>
      <rPr>
        <b/>
        <sz val="10"/>
        <rFont val="Times New Roman"/>
        <family val="1"/>
      </rPr>
      <t xml:space="preserve"> QUINCE (15) días</t>
    </r>
    <r>
      <rPr>
        <sz val="10"/>
        <rFont val="Times New Roman"/>
        <family val="1"/>
      </rPr>
      <t xml:space="preserve"> hábiles contados a partir de la recepción de la comunicación prevista en el Reglamento Parcial N° 2 de la ley 4938.</t>
    </r>
  </si>
  <si>
    <r>
      <rPr>
        <b/>
        <u/>
        <sz val="10"/>
        <rFont val="Times New Roman"/>
        <family val="1"/>
      </rPr>
      <t>COSTO ESTIMADO TOTAL</t>
    </r>
    <r>
      <rPr>
        <sz val="10"/>
        <rFont val="Times New Roman"/>
        <family val="1"/>
      </rPr>
      <t>: UN MILLON QUINIENTOS TRECE MIL CIENTO NOVENTA CON 00/100</t>
    </r>
  </si>
  <si>
    <t xml:space="preserve"> Escaner Vertical SIMILAR: Kodak Alaris S2050 Duplex 50ppm Scanner USB.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</si>
</sst>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i/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1">
    <xf numFmtId="0" fontId="0" fillId="0" borderId="0" xfId="0"/>
    <xf numFmtId="0" fontId="5" fillId="0" borderId="0" xfId="0" applyFont="1"/>
    <xf numFmtId="0" fontId="5" fillId="0" borderId="0" xfId="0" applyFont="1" applyBorder="1"/>
    <xf numFmtId="3" fontId="11" fillId="0" borderId="0" xfId="0" applyNumberFormat="1" applyFont="1" applyBorder="1" applyAlignment="1"/>
    <xf numFmtId="168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4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left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3" borderId="0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 vertical="center" wrapText="1"/>
    </xf>
    <xf numFmtId="0" fontId="0" fillId="0" borderId="0" xfId="0" applyBorder="1"/>
    <xf numFmtId="0" fontId="20" fillId="3" borderId="3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indent="3"/>
    </xf>
    <xf numFmtId="0" fontId="21" fillId="0" borderId="7" xfId="0" applyFont="1" applyBorder="1" applyAlignment="1">
      <alignment horizontal="left" indent="3"/>
    </xf>
    <xf numFmtId="0" fontId="16" fillId="4" borderId="8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center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5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20" fillId="3" borderId="35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left" vertical="center" wrapText="1"/>
    </xf>
    <xf numFmtId="0" fontId="15" fillId="3" borderId="31" xfId="0" applyFont="1" applyFill="1" applyBorder="1" applyAlignment="1">
      <alignment horizontal="center" vertical="center" wrapText="1"/>
    </xf>
    <xf numFmtId="169" fontId="20" fillId="3" borderId="31" xfId="1" applyNumberFormat="1" applyFont="1" applyFill="1" applyBorder="1" applyAlignment="1" applyProtection="1">
      <alignment horizontal="right" vertical="center" wrapText="1"/>
    </xf>
    <xf numFmtId="169" fontId="20" fillId="3" borderId="36" xfId="1" applyNumberFormat="1" applyFont="1" applyFill="1" applyBorder="1" applyAlignment="1" applyProtection="1">
      <alignment horizontal="right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9" fontId="16" fillId="0" borderId="14" xfId="0" applyNumberFormat="1" applyFont="1" applyBorder="1"/>
    <xf numFmtId="0" fontId="8" fillId="3" borderId="0" xfId="0" applyFont="1" applyFill="1" applyBorder="1" applyAlignment="1">
      <alignment horizontal="right" vertical="center"/>
    </xf>
    <xf numFmtId="17" fontId="6" fillId="3" borderId="0" xfId="0" applyNumberFormat="1" applyFont="1" applyFill="1" applyBorder="1" applyAlignment="1">
      <alignment horizontal="center" vertical="center"/>
    </xf>
    <xf numFmtId="0" fontId="23" fillId="0" borderId="5" xfId="0" applyFont="1" applyBorder="1" applyAlignment="1">
      <alignment horizontal="left"/>
    </xf>
    <xf numFmtId="0" fontId="20" fillId="3" borderId="43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/>
    </xf>
    <xf numFmtId="0" fontId="16" fillId="3" borderId="0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1" fillId="0" borderId="2" xfId="0" applyFont="1" applyBorder="1" applyAlignment="1">
      <alignment horizontal="left" indent="3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5" fillId="0" borderId="33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3" borderId="43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169" fontId="4" fillId="0" borderId="43" xfId="1" applyNumberFormat="1" applyBorder="1"/>
    <xf numFmtId="167" fontId="5" fillId="0" borderId="0" xfId="0" applyNumberFormat="1" applyFont="1"/>
    <xf numFmtId="166" fontId="5" fillId="0" borderId="0" xfId="3" applyNumberFormat="1" applyFont="1" applyFill="1" applyBorder="1" applyAlignment="1" applyProtection="1">
      <alignment horizontal="center" vertical="center"/>
    </xf>
    <xf numFmtId="169" fontId="5" fillId="0" borderId="10" xfId="0" applyNumberFormat="1" applyFont="1" applyBorder="1"/>
    <xf numFmtId="169" fontId="5" fillId="0" borderId="25" xfId="0" applyNumberFormat="1" applyFont="1" applyBorder="1"/>
    <xf numFmtId="169" fontId="9" fillId="0" borderId="27" xfId="0" applyNumberFormat="1" applyFont="1" applyBorder="1" applyAlignment="1">
      <alignment horizontal="center" vertical="center"/>
    </xf>
    <xf numFmtId="169" fontId="5" fillId="0" borderId="0" xfId="0" applyNumberFormat="1" applyFont="1"/>
    <xf numFmtId="0" fontId="9" fillId="0" borderId="43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/>
    </xf>
    <xf numFmtId="0" fontId="5" fillId="0" borderId="43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169" fontId="5" fillId="0" borderId="54" xfId="3" applyNumberFormat="1" applyFont="1" applyFill="1" applyBorder="1" applyAlignment="1" applyProtection="1">
      <alignment horizontal="center" vertical="center"/>
    </xf>
    <xf numFmtId="169" fontId="5" fillId="0" borderId="54" xfId="0" applyNumberFormat="1" applyFont="1" applyBorder="1"/>
    <xf numFmtId="0" fontId="5" fillId="0" borderId="55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/>
    </xf>
    <xf numFmtId="169" fontId="5" fillId="0" borderId="57" xfId="3" applyNumberFormat="1" applyFont="1" applyFill="1" applyBorder="1" applyAlignment="1" applyProtection="1">
      <alignment horizontal="center" vertical="center"/>
    </xf>
    <xf numFmtId="169" fontId="19" fillId="0" borderId="3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3" fillId="0" borderId="3" xfId="0" applyFont="1" applyBorder="1" applyAlignment="1">
      <alignment horizontal="left"/>
    </xf>
    <xf numFmtId="0" fontId="18" fillId="0" borderId="0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" wrapText="1"/>
    </xf>
    <xf numFmtId="0" fontId="16" fillId="4" borderId="0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12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left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 wrapText="1" indent="1"/>
    </xf>
    <xf numFmtId="0" fontId="9" fillId="3" borderId="16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167" fontId="9" fillId="3" borderId="34" xfId="0" applyNumberFormat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left" vertical="center" wrapText="1" indent="1"/>
    </xf>
    <xf numFmtId="0" fontId="5" fillId="0" borderId="19" xfId="0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0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wrapText="1" indent="1"/>
    </xf>
    <xf numFmtId="0" fontId="10" fillId="0" borderId="29" xfId="0" applyFont="1" applyBorder="1" applyAlignment="1">
      <alignment horizontal="left" wrapText="1" indent="1"/>
    </xf>
    <xf numFmtId="0" fontId="10" fillId="0" borderId="30" xfId="0" applyFont="1" applyBorder="1" applyAlignment="1">
      <alignment horizontal="left" wrapText="1" indent="1"/>
    </xf>
    <xf numFmtId="0" fontId="8" fillId="0" borderId="11" xfId="0" applyFont="1" applyBorder="1" applyAlignment="1">
      <alignment horizontal="left"/>
    </xf>
    <xf numFmtId="0" fontId="10" fillId="0" borderId="22" xfId="0" applyFont="1" applyBorder="1"/>
    <xf numFmtId="0" fontId="10" fillId="0" borderId="23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169" fontId="9" fillId="0" borderId="52" xfId="0" applyNumberFormat="1" applyFont="1" applyBorder="1" applyAlignment="1">
      <alignment horizontal="center" vertical="center"/>
    </xf>
    <xf numFmtId="169" fontId="9" fillId="0" borderId="54" xfId="0" applyNumberFormat="1" applyFont="1" applyBorder="1" applyAlignment="1">
      <alignment horizontal="center" vertical="center"/>
    </xf>
    <xf numFmtId="0" fontId="5" fillId="0" borderId="56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Fill="1" applyBorder="1" applyAlignment="1">
      <alignment horizontal="left" vertical="center" wrapText="1" indent="1"/>
    </xf>
    <xf numFmtId="0" fontId="11" fillId="0" borderId="27" xfId="0" applyFont="1" applyBorder="1" applyAlignment="1">
      <alignment horizontal="left" vertical="center" wrapText="1"/>
    </xf>
    <xf numFmtId="0" fontId="5" fillId="0" borderId="21" xfId="0" applyFont="1" applyBorder="1"/>
    <xf numFmtId="0" fontId="5" fillId="0" borderId="43" xfId="0" applyFont="1" applyFill="1" applyBorder="1" applyAlignment="1">
      <alignment horizontal="left" vertical="center" wrapText="1"/>
    </xf>
    <xf numFmtId="0" fontId="5" fillId="0" borderId="47" xfId="0" applyFont="1" applyFill="1" applyBorder="1" applyAlignment="1">
      <alignment horizontal="left" vertical="center" wrapText="1"/>
    </xf>
    <xf numFmtId="0" fontId="5" fillId="0" borderId="49" xfId="0" applyFont="1" applyFill="1" applyBorder="1" applyAlignment="1">
      <alignment horizontal="left" vertical="center" wrapText="1"/>
    </xf>
    <xf numFmtId="169" fontId="5" fillId="3" borderId="0" xfId="0" applyNumberFormat="1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4"/>
  <sheetViews>
    <sheetView tabSelected="1" workbookViewId="0">
      <selection activeCell="E77" sqref="E77"/>
    </sheetView>
  </sheetViews>
  <sheetFormatPr baseColWidth="10" defaultRowHeight="12.75" x14ac:dyDescent="0.2"/>
  <cols>
    <col min="1" max="1" width="4.7109375" customWidth="1"/>
    <col min="2" max="2" width="15.85546875" style="30" customWidth="1"/>
    <col min="3" max="3" width="17.42578125" style="73" customWidth="1"/>
    <col min="4" max="4" width="7.7109375" style="73" customWidth="1"/>
    <col min="5" max="5" width="67.140625" style="73" customWidth="1"/>
    <col min="7" max="7" width="10.28515625" customWidth="1"/>
    <col min="9" max="9" width="13.5703125" customWidth="1"/>
  </cols>
  <sheetData>
    <row r="2" spans="1:9" ht="27" x14ac:dyDescent="0.35">
      <c r="A2" s="15"/>
      <c r="B2" s="103" t="s">
        <v>0</v>
      </c>
      <c r="C2" s="103"/>
      <c r="D2" s="103"/>
      <c r="E2" s="103"/>
      <c r="F2" s="103"/>
      <c r="G2" s="103"/>
      <c r="H2" s="103"/>
      <c r="I2" s="15"/>
    </row>
    <row r="3" spans="1:9" x14ac:dyDescent="0.2">
      <c r="A3" s="15"/>
      <c r="B3" s="29"/>
      <c r="C3" s="60"/>
      <c r="D3" s="60"/>
      <c r="E3" s="60"/>
      <c r="F3" s="15"/>
      <c r="G3" s="15"/>
      <c r="H3" s="15"/>
      <c r="I3" s="15"/>
    </row>
    <row r="4" spans="1:9" ht="15.6" customHeight="1" x14ac:dyDescent="0.25">
      <c r="A4" s="99" t="s">
        <v>1</v>
      </c>
      <c r="B4" s="99"/>
      <c r="C4" s="104" t="s">
        <v>58</v>
      </c>
      <c r="D4" s="104"/>
      <c r="E4" s="104"/>
      <c r="F4" s="16"/>
      <c r="G4" s="17"/>
      <c r="H4" s="16"/>
      <c r="I4" s="15"/>
    </row>
    <row r="5" spans="1:9" ht="15.75" x14ac:dyDescent="0.25">
      <c r="A5" s="99" t="s">
        <v>2</v>
      </c>
      <c r="B5" s="99"/>
      <c r="C5" s="104" t="s">
        <v>59</v>
      </c>
      <c r="D5" s="104"/>
      <c r="E5" s="104"/>
      <c r="F5" s="16"/>
      <c r="G5" s="17"/>
      <c r="H5" s="16"/>
      <c r="I5" s="15"/>
    </row>
    <row r="6" spans="1:9" ht="15.75" x14ac:dyDescent="0.25">
      <c r="A6" s="99" t="s">
        <v>3</v>
      </c>
      <c r="B6" s="99"/>
      <c r="C6" s="61">
        <v>2021</v>
      </c>
      <c r="D6" s="62"/>
      <c r="E6" s="62"/>
      <c r="F6" s="16"/>
      <c r="G6" s="17"/>
      <c r="H6" s="16"/>
      <c r="I6" s="15"/>
    </row>
    <row r="7" spans="1:9" ht="15.75" x14ac:dyDescent="0.25">
      <c r="A7" s="99" t="s">
        <v>4</v>
      </c>
      <c r="B7" s="99"/>
      <c r="C7" s="61">
        <v>4</v>
      </c>
      <c r="D7" s="62"/>
      <c r="E7" s="62"/>
      <c r="F7" s="16"/>
      <c r="G7" s="17"/>
      <c r="H7" s="16"/>
      <c r="I7" s="15"/>
    </row>
    <row r="8" spans="1:9" ht="13.5" thickBot="1" x14ac:dyDescent="0.25">
      <c r="A8" s="15"/>
      <c r="B8" s="16"/>
      <c r="C8" s="17"/>
      <c r="D8" s="17"/>
      <c r="E8" s="17"/>
      <c r="F8" s="16"/>
      <c r="G8" s="17"/>
      <c r="H8" s="16"/>
      <c r="I8" s="15"/>
    </row>
    <row r="9" spans="1:9" ht="39" thickBot="1" x14ac:dyDescent="0.25">
      <c r="A9" s="40" t="s">
        <v>5</v>
      </c>
      <c r="B9" s="41" t="s">
        <v>6</v>
      </c>
      <c r="C9" s="42" t="s">
        <v>7</v>
      </c>
      <c r="D9" s="20" t="s">
        <v>8</v>
      </c>
      <c r="E9" s="43" t="s">
        <v>9</v>
      </c>
      <c r="F9" s="44" t="s">
        <v>10</v>
      </c>
      <c r="G9" s="44" t="s">
        <v>11</v>
      </c>
      <c r="H9" s="44" t="s">
        <v>12</v>
      </c>
      <c r="I9" s="45" t="s">
        <v>13</v>
      </c>
    </row>
    <row r="10" spans="1:9" ht="18" customHeight="1" x14ac:dyDescent="0.2">
      <c r="A10" s="35">
        <v>1</v>
      </c>
      <c r="B10" s="36" t="s">
        <v>70</v>
      </c>
      <c r="C10" s="37" t="s">
        <v>54</v>
      </c>
      <c r="D10" s="23" t="s">
        <v>110</v>
      </c>
      <c r="E10" s="37" t="s">
        <v>71</v>
      </c>
      <c r="F10" s="37" t="s">
        <v>55</v>
      </c>
      <c r="G10" s="37">
        <v>40</v>
      </c>
      <c r="H10" s="38">
        <v>1326</v>
      </c>
      <c r="I10" s="39">
        <f>+H10*G10</f>
        <v>53040</v>
      </c>
    </row>
    <row r="11" spans="1:9" ht="24" x14ac:dyDescent="0.2">
      <c r="A11" s="22">
        <v>2</v>
      </c>
      <c r="B11" s="24" t="s">
        <v>72</v>
      </c>
      <c r="C11" s="23" t="s">
        <v>54</v>
      </c>
      <c r="D11" s="23" t="str">
        <f>+LEFT(B11,5)</f>
        <v>2.9.6</v>
      </c>
      <c r="E11" s="63" t="s">
        <v>73</v>
      </c>
      <c r="F11" s="37" t="s">
        <v>55</v>
      </c>
      <c r="G11" s="23">
        <v>20</v>
      </c>
      <c r="H11" s="94">
        <v>719</v>
      </c>
      <c r="I11" s="39">
        <f t="shared" ref="I11:I19" si="0">+H11*G11</f>
        <v>14380</v>
      </c>
    </row>
    <row r="12" spans="1:9" ht="24" x14ac:dyDescent="0.2">
      <c r="A12" s="50">
        <v>3</v>
      </c>
      <c r="B12" s="24" t="s">
        <v>74</v>
      </c>
      <c r="C12" s="23" t="s">
        <v>54</v>
      </c>
      <c r="D12" s="23" t="str">
        <f>+LEFT(B12,5)</f>
        <v>2.9.6</v>
      </c>
      <c r="E12" s="63" t="s">
        <v>75</v>
      </c>
      <c r="F12" s="37" t="s">
        <v>55</v>
      </c>
      <c r="G12" s="23">
        <v>20</v>
      </c>
      <c r="H12" s="94">
        <v>329</v>
      </c>
      <c r="I12" s="39">
        <f t="shared" si="0"/>
        <v>6580</v>
      </c>
    </row>
    <row r="13" spans="1:9" ht="24" x14ac:dyDescent="0.2">
      <c r="A13" s="35">
        <v>4</v>
      </c>
      <c r="B13" s="24" t="s">
        <v>76</v>
      </c>
      <c r="C13" s="23" t="s">
        <v>77</v>
      </c>
      <c r="D13" s="23" t="str">
        <f t="shared" ref="D13:D19" si="1">+LEFT(B13,5)</f>
        <v>2.9.6</v>
      </c>
      <c r="E13" s="63" t="s">
        <v>78</v>
      </c>
      <c r="F13" s="37" t="s">
        <v>55</v>
      </c>
      <c r="G13" s="23">
        <v>40</v>
      </c>
      <c r="H13" s="94">
        <v>1683</v>
      </c>
      <c r="I13" s="39">
        <f t="shared" si="0"/>
        <v>67320</v>
      </c>
    </row>
    <row r="14" spans="1:9" ht="24" x14ac:dyDescent="0.2">
      <c r="A14" s="22">
        <v>5</v>
      </c>
      <c r="B14" s="24" t="s">
        <v>79</v>
      </c>
      <c r="C14" s="23" t="s">
        <v>80</v>
      </c>
      <c r="D14" s="23" t="str">
        <f t="shared" si="1"/>
        <v>2.9.3</v>
      </c>
      <c r="E14" s="63" t="s">
        <v>81</v>
      </c>
      <c r="F14" s="37" t="s">
        <v>55</v>
      </c>
      <c r="G14" s="23">
        <v>10</v>
      </c>
      <c r="H14" s="94">
        <v>300</v>
      </c>
      <c r="I14" s="39">
        <f t="shared" si="0"/>
        <v>3000</v>
      </c>
    </row>
    <row r="15" spans="1:9" ht="24" x14ac:dyDescent="0.2">
      <c r="A15" s="50">
        <v>6</v>
      </c>
      <c r="B15" s="24" t="s">
        <v>82</v>
      </c>
      <c r="C15" s="23" t="s">
        <v>80</v>
      </c>
      <c r="D15" s="23" t="str">
        <f t="shared" si="1"/>
        <v>2.9.3</v>
      </c>
      <c r="E15" s="63" t="s">
        <v>83</v>
      </c>
      <c r="F15" s="37" t="s">
        <v>55</v>
      </c>
      <c r="G15" s="23">
        <v>10</v>
      </c>
      <c r="H15" s="94">
        <v>450</v>
      </c>
      <c r="I15" s="39">
        <f t="shared" si="0"/>
        <v>4500</v>
      </c>
    </row>
    <row r="16" spans="1:9" ht="24" x14ac:dyDescent="0.2">
      <c r="A16" s="35">
        <v>7</v>
      </c>
      <c r="B16" s="24" t="s">
        <v>84</v>
      </c>
      <c r="C16" s="23" t="s">
        <v>85</v>
      </c>
      <c r="D16" s="23" t="s">
        <v>110</v>
      </c>
      <c r="E16" s="63" t="s">
        <v>86</v>
      </c>
      <c r="F16" s="37" t="s">
        <v>55</v>
      </c>
      <c r="G16" s="23">
        <v>10</v>
      </c>
      <c r="H16" s="94">
        <v>747</v>
      </c>
      <c r="I16" s="39">
        <f t="shared" si="0"/>
        <v>7470</v>
      </c>
    </row>
    <row r="17" spans="1:9" ht="24" x14ac:dyDescent="0.2">
      <c r="A17" s="22">
        <v>8</v>
      </c>
      <c r="B17" s="24" t="s">
        <v>87</v>
      </c>
      <c r="C17" s="23" t="s">
        <v>54</v>
      </c>
      <c r="D17" s="23" t="str">
        <f t="shared" si="1"/>
        <v>4.3.6</v>
      </c>
      <c r="E17" s="63" t="s">
        <v>88</v>
      </c>
      <c r="F17" s="37" t="s">
        <v>55</v>
      </c>
      <c r="G17" s="23">
        <v>14</v>
      </c>
      <c r="H17" s="94">
        <v>80000</v>
      </c>
      <c r="I17" s="39">
        <f t="shared" si="0"/>
        <v>1120000</v>
      </c>
    </row>
    <row r="18" spans="1:9" s="95" customFormat="1" ht="32.25" customHeight="1" x14ac:dyDescent="0.2">
      <c r="A18" s="50">
        <v>9</v>
      </c>
      <c r="B18" s="24" t="s">
        <v>89</v>
      </c>
      <c r="C18" s="23" t="s">
        <v>90</v>
      </c>
      <c r="D18" s="23" t="str">
        <f t="shared" si="1"/>
        <v>4.3.6</v>
      </c>
      <c r="E18" s="63" t="s">
        <v>91</v>
      </c>
      <c r="F18" s="37" t="s">
        <v>55</v>
      </c>
      <c r="G18" s="23">
        <v>2</v>
      </c>
      <c r="H18" s="94">
        <v>95000</v>
      </c>
      <c r="I18" s="39">
        <f t="shared" si="0"/>
        <v>190000</v>
      </c>
    </row>
    <row r="19" spans="1:9" ht="27" customHeight="1" thickBot="1" x14ac:dyDescent="0.25">
      <c r="A19" s="35">
        <v>10</v>
      </c>
      <c r="B19" s="24" t="s">
        <v>92</v>
      </c>
      <c r="C19" s="23" t="s">
        <v>93</v>
      </c>
      <c r="D19" s="23" t="str">
        <f t="shared" si="1"/>
        <v>4.3.5</v>
      </c>
      <c r="E19" s="63" t="s">
        <v>94</v>
      </c>
      <c r="F19" s="37" t="s">
        <v>55</v>
      </c>
      <c r="G19" s="23">
        <v>1</v>
      </c>
      <c r="H19" s="94">
        <v>46900</v>
      </c>
      <c r="I19" s="39">
        <f t="shared" si="0"/>
        <v>46900</v>
      </c>
    </row>
    <row r="20" spans="1:9" ht="22.5" customHeight="1" thickBot="1" x14ac:dyDescent="0.25">
      <c r="A20" s="100" t="s">
        <v>118</v>
      </c>
      <c r="B20" s="101"/>
      <c r="C20" s="101"/>
      <c r="D20" s="101"/>
      <c r="E20" s="101"/>
      <c r="F20" s="101"/>
      <c r="G20" s="101"/>
      <c r="H20" s="102"/>
      <c r="I20" s="46">
        <f>SUM(I10:I19)</f>
        <v>1513190</v>
      </c>
    </row>
    <row r="21" spans="1:9" x14ac:dyDescent="0.2">
      <c r="C21" s="64"/>
      <c r="D21" s="64"/>
      <c r="E21" s="64"/>
    </row>
    <row r="22" spans="1:9" ht="13.5" thickBot="1" x14ac:dyDescent="0.25">
      <c r="C22" s="64"/>
      <c r="D22" s="64"/>
      <c r="E22" s="64"/>
    </row>
    <row r="23" spans="1:9" x14ac:dyDescent="0.2">
      <c r="B23" s="97" t="s">
        <v>68</v>
      </c>
      <c r="C23" s="98"/>
      <c r="D23" s="65"/>
      <c r="E23" s="66"/>
    </row>
    <row r="24" spans="1:9" x14ac:dyDescent="0.2">
      <c r="B24" s="31"/>
      <c r="C24" s="52"/>
      <c r="D24" s="52"/>
      <c r="E24" s="53"/>
    </row>
    <row r="25" spans="1:9" x14ac:dyDescent="0.2">
      <c r="B25" s="32" t="s">
        <v>53</v>
      </c>
      <c r="C25" s="52"/>
      <c r="D25" s="52"/>
      <c r="E25" s="53"/>
    </row>
    <row r="26" spans="1:9" ht="21" customHeight="1" x14ac:dyDescent="0.2">
      <c r="B26" s="32"/>
      <c r="C26" s="108" t="s">
        <v>95</v>
      </c>
      <c r="D26" s="108"/>
      <c r="E26" s="109"/>
    </row>
    <row r="27" spans="1:9" ht="14.25" customHeight="1" thickBot="1" x14ac:dyDescent="0.25">
      <c r="B27" s="32"/>
      <c r="C27" s="67"/>
      <c r="D27" s="67"/>
      <c r="E27" s="68"/>
    </row>
    <row r="28" spans="1:9" s="21" customFormat="1" ht="16.5" customHeight="1" x14ac:dyDescent="0.2">
      <c r="B28" s="97" t="s">
        <v>64</v>
      </c>
      <c r="C28" s="98"/>
      <c r="D28" s="65"/>
      <c r="E28" s="66"/>
    </row>
    <row r="29" spans="1:9" x14ac:dyDescent="0.2">
      <c r="B29" s="31"/>
      <c r="C29" s="52"/>
      <c r="D29" s="52"/>
      <c r="E29" s="53"/>
    </row>
    <row r="30" spans="1:9" ht="15" customHeight="1" x14ac:dyDescent="0.2">
      <c r="B30" s="32" t="s">
        <v>53</v>
      </c>
      <c r="C30" s="52"/>
      <c r="D30" s="52"/>
      <c r="E30" s="53"/>
    </row>
    <row r="31" spans="1:9" ht="31.5" customHeight="1" x14ac:dyDescent="0.2">
      <c r="B31" s="32"/>
      <c r="C31" s="108" t="s">
        <v>96</v>
      </c>
      <c r="D31" s="108"/>
      <c r="E31" s="109"/>
    </row>
    <row r="32" spans="1:9" ht="19.5" customHeight="1" thickBot="1" x14ac:dyDescent="0.25">
      <c r="B32" s="33"/>
      <c r="C32" s="69"/>
      <c r="D32" s="69"/>
      <c r="E32" s="70"/>
    </row>
    <row r="33" spans="2:5" x14ac:dyDescent="0.2">
      <c r="B33" s="49" t="s">
        <v>65</v>
      </c>
      <c r="C33" s="52"/>
      <c r="D33" s="52"/>
      <c r="E33" s="53"/>
    </row>
    <row r="34" spans="2:5" x14ac:dyDescent="0.2">
      <c r="B34" s="31"/>
      <c r="C34" s="52"/>
      <c r="D34" s="52"/>
      <c r="E34" s="53"/>
    </row>
    <row r="35" spans="2:5" ht="13.5" customHeight="1" x14ac:dyDescent="0.2">
      <c r="B35" s="25" t="s">
        <v>53</v>
      </c>
      <c r="C35" s="52"/>
      <c r="D35" s="52"/>
      <c r="E35" s="53"/>
    </row>
    <row r="36" spans="2:5" ht="23.25" customHeight="1" x14ac:dyDescent="0.2">
      <c r="B36" s="25"/>
      <c r="C36" s="112" t="s">
        <v>116</v>
      </c>
      <c r="D36" s="112"/>
      <c r="E36" s="113"/>
    </row>
    <row r="37" spans="2:5" ht="16.5" customHeight="1" thickBot="1" x14ac:dyDescent="0.25">
      <c r="B37" s="26"/>
      <c r="C37" s="27"/>
      <c r="D37" s="27"/>
      <c r="E37" s="28"/>
    </row>
    <row r="38" spans="2:5" x14ac:dyDescent="0.2">
      <c r="B38" s="97" t="s">
        <v>97</v>
      </c>
      <c r="C38" s="98"/>
      <c r="D38" s="65"/>
      <c r="E38" s="66"/>
    </row>
    <row r="39" spans="2:5" x14ac:dyDescent="0.2">
      <c r="B39" s="31"/>
      <c r="C39" s="52"/>
      <c r="D39" s="52"/>
      <c r="E39" s="53"/>
    </row>
    <row r="40" spans="2:5" x14ac:dyDescent="0.2">
      <c r="B40" s="32" t="s">
        <v>53</v>
      </c>
      <c r="C40" s="52"/>
      <c r="D40" s="52"/>
      <c r="E40" s="53"/>
    </row>
    <row r="41" spans="2:5" ht="24.75" customHeight="1" thickBot="1" x14ac:dyDescent="0.25">
      <c r="B41" s="33"/>
      <c r="C41" s="114" t="s">
        <v>98</v>
      </c>
      <c r="D41" s="114"/>
      <c r="E41" s="115"/>
    </row>
    <row r="42" spans="2:5" x14ac:dyDescent="0.2">
      <c r="B42" s="51" t="s">
        <v>99</v>
      </c>
      <c r="C42" s="65"/>
      <c r="D42" s="65"/>
      <c r="E42" s="66"/>
    </row>
    <row r="43" spans="2:5" x14ac:dyDescent="0.2">
      <c r="B43" s="31"/>
      <c r="C43" s="52"/>
      <c r="D43" s="52"/>
      <c r="E43" s="53"/>
    </row>
    <row r="44" spans="2:5" ht="13.5" customHeight="1" x14ac:dyDescent="0.2">
      <c r="B44" s="25" t="s">
        <v>53</v>
      </c>
      <c r="C44" s="52"/>
      <c r="D44" s="52"/>
      <c r="E44" s="53"/>
    </row>
    <row r="45" spans="2:5" ht="18" customHeight="1" x14ac:dyDescent="0.2">
      <c r="B45" s="25"/>
      <c r="C45" s="112" t="s">
        <v>101</v>
      </c>
      <c r="D45" s="112"/>
      <c r="E45" s="113"/>
    </row>
    <row r="46" spans="2:5" ht="16.5" customHeight="1" thickBot="1" x14ac:dyDescent="0.25">
      <c r="B46" s="26"/>
      <c r="C46" s="27"/>
      <c r="D46" s="27"/>
      <c r="E46" s="28"/>
    </row>
    <row r="47" spans="2:5" x14ac:dyDescent="0.2">
      <c r="B47" s="97" t="s">
        <v>100</v>
      </c>
      <c r="C47" s="98"/>
      <c r="D47" s="65"/>
      <c r="E47" s="66"/>
    </row>
    <row r="48" spans="2:5" x14ac:dyDescent="0.2">
      <c r="B48" s="31"/>
      <c r="C48" s="52"/>
      <c r="D48" s="52"/>
      <c r="E48" s="53"/>
    </row>
    <row r="49" spans="2:5" x14ac:dyDescent="0.2">
      <c r="B49" s="32" t="s">
        <v>53</v>
      </c>
      <c r="C49" s="52"/>
      <c r="D49" s="52"/>
      <c r="E49" s="53"/>
    </row>
    <row r="50" spans="2:5" ht="19.5" customHeight="1" x14ac:dyDescent="0.2">
      <c r="B50" s="32"/>
      <c r="C50" s="117" t="s">
        <v>103</v>
      </c>
      <c r="D50" s="117"/>
      <c r="E50" s="118"/>
    </row>
    <row r="51" spans="2:5" ht="19.5" customHeight="1" thickBot="1" x14ac:dyDescent="0.25">
      <c r="B51" s="33"/>
      <c r="C51" s="114"/>
      <c r="D51" s="114"/>
      <c r="E51" s="115"/>
    </row>
    <row r="52" spans="2:5" s="21" customFormat="1" ht="24" customHeight="1" x14ac:dyDescent="0.2">
      <c r="B52" s="97" t="s">
        <v>102</v>
      </c>
      <c r="C52" s="98"/>
      <c r="D52" s="65"/>
      <c r="E52" s="66"/>
    </row>
    <row r="53" spans="2:5" x14ac:dyDescent="0.2">
      <c r="B53" s="31"/>
      <c r="C53" s="52"/>
      <c r="D53" s="52"/>
      <c r="E53" s="53"/>
    </row>
    <row r="54" spans="2:5" ht="15" customHeight="1" x14ac:dyDescent="0.2">
      <c r="B54" s="32" t="s">
        <v>53</v>
      </c>
      <c r="C54" s="52"/>
      <c r="D54" s="52"/>
      <c r="E54" s="53"/>
    </row>
    <row r="55" spans="2:5" ht="16.5" customHeight="1" x14ac:dyDescent="0.2">
      <c r="B55" s="32"/>
      <c r="C55" s="117" t="s">
        <v>105</v>
      </c>
      <c r="D55" s="117"/>
      <c r="E55" s="118"/>
    </row>
    <row r="56" spans="2:5" ht="12.75" customHeight="1" thickBot="1" x14ac:dyDescent="0.25">
      <c r="B56" s="33"/>
      <c r="C56" s="114"/>
      <c r="D56" s="114"/>
      <c r="E56" s="115"/>
    </row>
    <row r="57" spans="2:5" x14ac:dyDescent="0.2">
      <c r="B57" s="51" t="s">
        <v>104</v>
      </c>
      <c r="C57" s="65"/>
      <c r="D57" s="65"/>
      <c r="E57" s="66"/>
    </row>
    <row r="58" spans="2:5" x14ac:dyDescent="0.2">
      <c r="B58" s="31"/>
      <c r="C58" s="52"/>
      <c r="D58" s="52"/>
      <c r="E58" s="53"/>
    </row>
    <row r="59" spans="2:5" ht="13.5" customHeight="1" x14ac:dyDescent="0.2">
      <c r="B59" s="25" t="s">
        <v>53</v>
      </c>
      <c r="C59" s="52"/>
      <c r="D59" s="52"/>
      <c r="E59" s="53"/>
    </row>
    <row r="60" spans="2:5" ht="73.5" customHeight="1" x14ac:dyDescent="0.2">
      <c r="B60" s="25"/>
      <c r="C60" s="112" t="s">
        <v>107</v>
      </c>
      <c r="D60" s="112"/>
      <c r="E60" s="113"/>
    </row>
    <row r="61" spans="2:5" ht="16.5" customHeight="1" x14ac:dyDescent="0.2">
      <c r="B61" s="25"/>
      <c r="C61" s="54"/>
      <c r="D61" s="54"/>
      <c r="E61" s="55"/>
    </row>
    <row r="62" spans="2:5" s="21" customFormat="1" ht="23.25" customHeight="1" x14ac:dyDescent="0.2">
      <c r="B62" s="119" t="s">
        <v>106</v>
      </c>
      <c r="C62" s="120"/>
      <c r="D62" s="52"/>
      <c r="E62" s="53"/>
    </row>
    <row r="63" spans="2:5" x14ac:dyDescent="0.2">
      <c r="B63" s="31"/>
      <c r="C63" s="52"/>
      <c r="D63" s="52"/>
      <c r="E63" s="53"/>
    </row>
    <row r="64" spans="2:5" ht="15" customHeight="1" x14ac:dyDescent="0.2">
      <c r="B64" s="32" t="s">
        <v>53</v>
      </c>
      <c r="C64" s="52"/>
      <c r="D64" s="52"/>
      <c r="E64" s="53"/>
    </row>
    <row r="65" spans="2:9" ht="20.25" customHeight="1" x14ac:dyDescent="0.2">
      <c r="B65" s="32"/>
      <c r="C65" s="117" t="s">
        <v>119</v>
      </c>
      <c r="D65" s="117"/>
      <c r="E65" s="118"/>
    </row>
    <row r="66" spans="2:9" ht="24" customHeight="1" thickBot="1" x14ac:dyDescent="0.25">
      <c r="B66" s="33"/>
      <c r="C66" s="114"/>
      <c r="D66" s="114"/>
      <c r="E66" s="115"/>
    </row>
    <row r="67" spans="2:9" x14ac:dyDescent="0.2">
      <c r="B67" s="51" t="s">
        <v>108</v>
      </c>
      <c r="C67" s="65"/>
      <c r="D67" s="65"/>
      <c r="E67" s="66"/>
    </row>
    <row r="68" spans="2:9" x14ac:dyDescent="0.2">
      <c r="B68" s="31"/>
      <c r="C68" s="52"/>
      <c r="D68" s="52"/>
      <c r="E68" s="53"/>
    </row>
    <row r="69" spans="2:9" ht="13.5" customHeight="1" x14ac:dyDescent="0.2">
      <c r="B69" s="25" t="s">
        <v>53</v>
      </c>
      <c r="C69" s="52"/>
      <c r="D69" s="52"/>
      <c r="E69" s="53"/>
    </row>
    <row r="70" spans="2:9" ht="66" customHeight="1" thickBot="1" x14ac:dyDescent="0.25">
      <c r="B70" s="25"/>
      <c r="C70" s="108" t="s">
        <v>109</v>
      </c>
      <c r="D70" s="108"/>
      <c r="E70" s="109"/>
    </row>
    <row r="71" spans="2:9" ht="19.5" customHeight="1" x14ac:dyDescent="0.2">
      <c r="B71" s="57" t="s">
        <v>111</v>
      </c>
      <c r="C71" s="58"/>
      <c r="D71" s="58"/>
      <c r="E71" s="59"/>
    </row>
    <row r="72" spans="2:9" ht="125.25" customHeight="1" x14ac:dyDescent="0.2">
      <c r="B72" s="25"/>
      <c r="C72" s="105" t="s">
        <v>117</v>
      </c>
      <c r="D72" s="105"/>
      <c r="E72" s="116"/>
    </row>
    <row r="73" spans="2:9" ht="16.5" customHeight="1" thickBot="1" x14ac:dyDescent="0.25">
      <c r="B73" s="26"/>
      <c r="C73" s="27"/>
      <c r="D73" s="27"/>
      <c r="E73" s="28"/>
    </row>
    <row r="74" spans="2:9" ht="16.5" customHeight="1" x14ac:dyDescent="0.2">
      <c r="B74" s="25"/>
      <c r="C74" s="54"/>
      <c r="D74" s="54"/>
      <c r="E74" s="55"/>
    </row>
    <row r="75" spans="2:9" ht="16.5" customHeight="1" x14ac:dyDescent="0.2">
      <c r="B75" s="25"/>
      <c r="C75" s="54"/>
      <c r="D75" s="54"/>
      <c r="E75" s="55"/>
    </row>
    <row r="76" spans="2:9" ht="12.75" customHeight="1" x14ac:dyDescent="0.2">
      <c r="B76" s="25"/>
      <c r="C76" s="54"/>
      <c r="D76" s="54"/>
      <c r="E76" s="55"/>
    </row>
    <row r="77" spans="2:9" x14ac:dyDescent="0.2">
      <c r="B77" s="32" t="s">
        <v>66</v>
      </c>
      <c r="C77" s="52"/>
      <c r="D77" s="52"/>
      <c r="E77" s="53"/>
    </row>
    <row r="78" spans="2:9" ht="24" customHeight="1" x14ac:dyDescent="0.2">
      <c r="B78" s="31"/>
      <c r="C78" s="110" t="s">
        <v>61</v>
      </c>
      <c r="D78" s="110"/>
      <c r="E78" s="111"/>
    </row>
    <row r="79" spans="2:9" x14ac:dyDescent="0.2">
      <c r="B79" s="32" t="s">
        <v>14</v>
      </c>
      <c r="C79" s="18"/>
      <c r="D79" s="18"/>
      <c r="E79" s="19"/>
    </row>
    <row r="80" spans="2:9" ht="17.25" customHeight="1" x14ac:dyDescent="0.2">
      <c r="B80" s="31"/>
      <c r="C80" s="112" t="s">
        <v>62</v>
      </c>
      <c r="D80" s="112"/>
      <c r="E80" s="113"/>
      <c r="I80" s="56"/>
    </row>
    <row r="81" spans="2:5" x14ac:dyDescent="0.2">
      <c r="B81" s="32" t="s">
        <v>67</v>
      </c>
      <c r="C81" s="52"/>
      <c r="D81" s="52"/>
      <c r="E81" s="53"/>
    </row>
    <row r="82" spans="2:5" ht="187.5" customHeight="1" x14ac:dyDescent="0.2">
      <c r="B82" s="32"/>
      <c r="C82" s="105" t="s">
        <v>63</v>
      </c>
      <c r="D82" s="106"/>
      <c r="E82" s="107"/>
    </row>
    <row r="83" spans="2:5" ht="13.5" thickBot="1" x14ac:dyDescent="0.25">
      <c r="B83" s="34"/>
      <c r="C83" s="71"/>
      <c r="D83" s="71"/>
      <c r="E83" s="72"/>
    </row>
    <row r="84" spans="2:5" x14ac:dyDescent="0.2">
      <c r="C84" s="64"/>
      <c r="D84" s="64"/>
      <c r="E84" s="64"/>
    </row>
  </sheetData>
  <autoFilter ref="A9:I20" xr:uid="{00000000-0009-0000-0000-000000000000}"/>
  <mergeCells count="31">
    <mergeCell ref="C66:E66"/>
    <mergeCell ref="C50:E50"/>
    <mergeCell ref="C55:E55"/>
    <mergeCell ref="C65:E65"/>
    <mergeCell ref="C60:E60"/>
    <mergeCell ref="B62:C62"/>
    <mergeCell ref="C82:E82"/>
    <mergeCell ref="C26:E26"/>
    <mergeCell ref="C78:E78"/>
    <mergeCell ref="C80:E80"/>
    <mergeCell ref="C31:E31"/>
    <mergeCell ref="C36:E36"/>
    <mergeCell ref="B28:C28"/>
    <mergeCell ref="B38:C38"/>
    <mergeCell ref="C41:E41"/>
    <mergeCell ref="C45:E45"/>
    <mergeCell ref="B47:C47"/>
    <mergeCell ref="C51:E51"/>
    <mergeCell ref="B52:C52"/>
    <mergeCell ref="C56:E56"/>
    <mergeCell ref="C72:E72"/>
    <mergeCell ref="C70:E70"/>
    <mergeCell ref="B23:C23"/>
    <mergeCell ref="A7:B7"/>
    <mergeCell ref="A20:H20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"/>
  <sheetViews>
    <sheetView zoomScale="85" zoomScaleNormal="85" workbookViewId="0">
      <selection activeCell="M23" sqref="M23"/>
    </sheetView>
  </sheetViews>
  <sheetFormatPr baseColWidth="10" defaultColWidth="9.140625" defaultRowHeight="13.5" x14ac:dyDescent="0.25"/>
  <cols>
    <col min="1" max="1" width="5.5703125" style="9" customWidth="1"/>
    <col min="2" max="2" width="15.140625" style="9" customWidth="1"/>
    <col min="3" max="3" width="14.140625" style="9" customWidth="1"/>
    <col min="4" max="4" width="26" style="9" customWidth="1"/>
    <col min="5" max="5" width="8" style="9" customWidth="1"/>
    <col min="6" max="6" width="7.85546875" style="9" customWidth="1"/>
    <col min="7" max="7" width="42" style="9" customWidth="1"/>
    <col min="8" max="8" width="9.28515625" style="9" customWidth="1"/>
    <col min="9" max="9" width="15.5703125" style="9" customWidth="1"/>
    <col min="10" max="10" width="14.7109375" style="9" customWidth="1"/>
    <col min="11" max="11" width="15.5703125" style="9" customWidth="1"/>
    <col min="12" max="12" width="5.85546875" style="9" customWidth="1"/>
    <col min="13" max="13" width="18.140625" style="9" customWidth="1"/>
    <col min="14" max="14" width="5.85546875" style="9" customWidth="1"/>
    <col min="15" max="15" width="12.5703125" style="9" customWidth="1"/>
    <col min="16" max="1024" width="9.140625" style="9"/>
    <col min="1025" max="16384" width="9.140625" style="10"/>
  </cols>
  <sheetData>
    <row r="1" spans="1:13" ht="26.25" customHeight="1" x14ac:dyDescent="0.25">
      <c r="A1" s="121" t="s">
        <v>15</v>
      </c>
      <c r="B1" s="121"/>
      <c r="C1" s="121"/>
      <c r="D1" s="121"/>
      <c r="E1" s="121"/>
      <c r="F1" s="121"/>
      <c r="G1" s="121"/>
      <c r="H1" s="121"/>
      <c r="I1" s="121"/>
      <c r="J1" s="47"/>
      <c r="K1" s="48"/>
    </row>
    <row r="2" spans="1:13" ht="18.75" customHeight="1" thickBot="1" x14ac:dyDescent="0.3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</row>
    <row r="3" spans="1:13" ht="18.75" customHeight="1" thickBot="1" x14ac:dyDescent="0.3">
      <c r="A3" s="122" t="s">
        <v>48</v>
      </c>
      <c r="B3" s="122"/>
      <c r="C3" s="122"/>
      <c r="D3" s="123" t="str">
        <f>+INFORMATICA!C4</f>
        <v>12 - Ministerio de Trabajo</v>
      </c>
      <c r="E3" s="123"/>
      <c r="F3" s="123"/>
      <c r="G3" s="123"/>
      <c r="H3" s="123"/>
      <c r="I3" s="123"/>
      <c r="J3" s="123"/>
      <c r="K3" s="123"/>
    </row>
    <row r="4" spans="1:13" ht="18.75" customHeight="1" thickBot="1" x14ac:dyDescent="0.3">
      <c r="A4" s="124" t="s">
        <v>49</v>
      </c>
      <c r="B4" s="124"/>
      <c r="C4" s="124"/>
      <c r="D4" s="123" t="str">
        <f>+INFORMATICA!C5</f>
        <v>22 - SECRETARIA DE ADMINISTRACION - MINISTERIO DE TRABAJO Y RECURSOS HUMANOS</v>
      </c>
      <c r="E4" s="123"/>
      <c r="F4" s="123"/>
      <c r="G4" s="123"/>
      <c r="H4" s="123"/>
      <c r="I4" s="123"/>
      <c r="J4" s="123"/>
      <c r="K4" s="123"/>
    </row>
    <row r="5" spans="1:13" ht="18.75" customHeight="1" thickBot="1" x14ac:dyDescent="0.3">
      <c r="A5" s="124" t="s">
        <v>28</v>
      </c>
      <c r="B5" s="124"/>
      <c r="C5" s="124"/>
      <c r="D5" s="123" t="s">
        <v>56</v>
      </c>
      <c r="E5" s="123"/>
      <c r="F5" s="123"/>
      <c r="G5" s="123"/>
      <c r="H5" s="123"/>
      <c r="I5" s="123"/>
      <c r="J5" s="123"/>
      <c r="K5" s="123"/>
    </row>
    <row r="6" spans="1:13" ht="16.5" customHeight="1" thickBot="1" x14ac:dyDescent="0.3">
      <c r="A6" s="122" t="s">
        <v>50</v>
      </c>
      <c r="B6" s="122"/>
      <c r="C6" s="122"/>
      <c r="D6" s="123" t="s">
        <v>56</v>
      </c>
      <c r="E6" s="123"/>
      <c r="F6" s="123"/>
      <c r="G6" s="123"/>
      <c r="H6" s="123"/>
      <c r="I6" s="123"/>
      <c r="J6" s="123"/>
      <c r="K6" s="123"/>
    </row>
    <row r="7" spans="1:13" ht="16.5" customHeight="1" x14ac:dyDescent="0.25">
      <c r="A7" s="124" t="s">
        <v>16</v>
      </c>
      <c r="B7" s="124"/>
      <c r="C7" s="124"/>
      <c r="D7" s="123" t="s">
        <v>60</v>
      </c>
      <c r="E7" s="123"/>
      <c r="F7" s="123"/>
      <c r="G7" s="123"/>
      <c r="H7" s="123"/>
      <c r="I7" s="123"/>
      <c r="J7" s="123"/>
      <c r="K7" s="123"/>
    </row>
    <row r="8" spans="1:13" ht="16.5" customHeight="1" x14ac:dyDescent="0.25">
      <c r="A8" s="128" t="s">
        <v>17</v>
      </c>
      <c r="B8" s="128"/>
      <c r="C8" s="128"/>
      <c r="D8" s="129" t="s">
        <v>57</v>
      </c>
      <c r="E8" s="129"/>
      <c r="F8" s="129"/>
      <c r="G8" s="129"/>
      <c r="H8" s="129"/>
      <c r="I8" s="129"/>
      <c r="J8" s="129"/>
      <c r="K8" s="129"/>
    </row>
    <row r="9" spans="1:13" ht="14.25" thickBot="1" x14ac:dyDescent="0.3">
      <c r="A9" s="13"/>
      <c r="B9" s="13"/>
      <c r="C9" s="13"/>
      <c r="D9" s="14"/>
      <c r="E9" s="14"/>
      <c r="F9" s="14"/>
      <c r="G9" s="14"/>
      <c r="H9" s="14"/>
      <c r="I9" s="14"/>
      <c r="J9" s="14"/>
      <c r="K9" s="14"/>
    </row>
    <row r="10" spans="1:13" ht="18.75" customHeight="1" thickBot="1" x14ac:dyDescent="0.3">
      <c r="A10" s="130" t="s">
        <v>18</v>
      </c>
      <c r="B10" s="134" t="s">
        <v>19</v>
      </c>
      <c r="C10" s="134" t="s">
        <v>20</v>
      </c>
      <c r="D10" s="134"/>
      <c r="E10" s="134"/>
      <c r="F10" s="134"/>
      <c r="G10" s="134"/>
      <c r="H10" s="134" t="s">
        <v>21</v>
      </c>
      <c r="I10" s="134" t="s">
        <v>22</v>
      </c>
      <c r="J10" s="134" t="s">
        <v>23</v>
      </c>
      <c r="K10" s="132" t="s">
        <v>24</v>
      </c>
    </row>
    <row r="11" spans="1:13" ht="24" customHeight="1" x14ac:dyDescent="0.25">
      <c r="A11" s="131"/>
      <c r="B11" s="135"/>
      <c r="C11" s="135"/>
      <c r="D11" s="135"/>
      <c r="E11" s="135"/>
      <c r="F11" s="135"/>
      <c r="G11" s="135"/>
      <c r="H11" s="135"/>
      <c r="I11" s="135"/>
      <c r="J11" s="135"/>
      <c r="K11" s="133"/>
    </row>
    <row r="12" spans="1:13" ht="24" customHeight="1" x14ac:dyDescent="0.25">
      <c r="A12" s="74">
        <f>+INFORMATICA!A10</f>
        <v>1</v>
      </c>
      <c r="B12" s="75" t="str">
        <f>+INFORMATICA!B10</f>
        <v>4.3.6-3351.2</v>
      </c>
      <c r="C12" s="125" t="str">
        <f>+INFORMATICA!E10</f>
        <v>KIT PERIFERICOS P/PC; COMPONENTES: TECLADO Y MOUSE</v>
      </c>
      <c r="D12" s="126"/>
      <c r="E12" s="126"/>
      <c r="F12" s="126"/>
      <c r="G12" s="127"/>
      <c r="H12" s="75" t="s">
        <v>25</v>
      </c>
      <c r="I12" s="76" t="str">
        <f>+INFORMATICA!F10</f>
        <v>UNIDAD</v>
      </c>
      <c r="J12" s="77">
        <f>+INFORMATICA!H10</f>
        <v>1326</v>
      </c>
      <c r="K12" s="75">
        <f>+INFORMATICA!G10</f>
        <v>40</v>
      </c>
      <c r="M12" s="170">
        <f>J12*K12</f>
        <v>53040</v>
      </c>
    </row>
    <row r="13" spans="1:13" ht="24" customHeight="1" x14ac:dyDescent="0.25">
      <c r="A13" s="74">
        <f>+INFORMATICA!A11</f>
        <v>2</v>
      </c>
      <c r="B13" s="75" t="str">
        <f>+INFORMATICA!B11</f>
        <v>2.9.6-1583.28</v>
      </c>
      <c r="C13" s="125" t="str">
        <f>+INFORMATICA!E11</f>
        <v>TECLADOS; TECLAS: 104, EXPANDIDO: SIN VALOR, CONEXIÓN: USB, JOYSTICK: SIN, ERGONOMICO: SIN VALOR, TIPO DE CONEXION: USB, TIPO: SIN VALOR</v>
      </c>
      <c r="D13" s="126"/>
      <c r="E13" s="126"/>
      <c r="F13" s="126"/>
      <c r="G13" s="127"/>
      <c r="H13" s="75" t="s">
        <v>25</v>
      </c>
      <c r="I13" s="76" t="str">
        <f>+INFORMATICA!F11</f>
        <v>UNIDAD</v>
      </c>
      <c r="J13" s="77">
        <f>+INFORMATICA!H11</f>
        <v>719</v>
      </c>
      <c r="K13" s="75">
        <f>+INFORMATICA!G11</f>
        <v>20</v>
      </c>
      <c r="M13" s="170">
        <f t="shared" ref="M13:M21" si="0">J13*K13</f>
        <v>14380</v>
      </c>
    </row>
    <row r="14" spans="1:13" ht="24" customHeight="1" x14ac:dyDescent="0.25">
      <c r="A14" s="74">
        <f>+INFORMATICA!A12</f>
        <v>3</v>
      </c>
      <c r="B14" s="75" t="str">
        <f>+INFORMATICA!B12</f>
        <v>2.9.6-1576.27</v>
      </c>
      <c r="C14" s="125" t="str">
        <f>+INFORMATICA!E12</f>
        <v>MOUSE; TIPO: OPTICO C/RUEDA SCROLL, CANTIDAD DE BOTONES: 2, TIPO DE CONEXION: USB</v>
      </c>
      <c r="D14" s="126"/>
      <c r="E14" s="126"/>
      <c r="F14" s="126"/>
      <c r="G14" s="127"/>
      <c r="H14" s="75" t="s">
        <v>25</v>
      </c>
      <c r="I14" s="76" t="str">
        <f>+INFORMATICA!F12</f>
        <v>UNIDAD</v>
      </c>
      <c r="J14" s="77">
        <f>+INFORMATICA!H12</f>
        <v>329</v>
      </c>
      <c r="K14" s="75">
        <f>+INFORMATICA!G12</f>
        <v>20</v>
      </c>
      <c r="M14" s="170">
        <f t="shared" si="0"/>
        <v>6580</v>
      </c>
    </row>
    <row r="15" spans="1:13" ht="29.25" customHeight="1" x14ac:dyDescent="0.25">
      <c r="A15" s="74">
        <f>+INFORMATICA!A13</f>
        <v>4</v>
      </c>
      <c r="B15" s="75" t="str">
        <f>+INFORMATICA!B13</f>
        <v>2.9.6-6417.17</v>
      </c>
      <c r="C15" s="125" t="str">
        <f>+INFORMATICA!E13</f>
        <v>REP.Y ACC.P/COMPUTADORA; MARCA EQUIPO: GENERICO, MODELO EQUIPO: GENERICO, TIPO: ESCRITORIO, ELEMENTO: FUENTE DE ALIMENTACION</v>
      </c>
      <c r="D15" s="126"/>
      <c r="E15" s="126"/>
      <c r="F15" s="126"/>
      <c r="G15" s="127"/>
      <c r="H15" s="75" t="s">
        <v>25</v>
      </c>
      <c r="I15" s="76" t="str">
        <f>+INFORMATICA!F13</f>
        <v>UNIDAD</v>
      </c>
      <c r="J15" s="77">
        <f>+INFORMATICA!H13</f>
        <v>1683</v>
      </c>
      <c r="K15" s="75">
        <f>+INFORMATICA!G13</f>
        <v>40</v>
      </c>
      <c r="M15" s="170">
        <f t="shared" si="0"/>
        <v>67320</v>
      </c>
    </row>
    <row r="16" spans="1:13" ht="29.25" customHeight="1" x14ac:dyDescent="0.25">
      <c r="A16" s="74">
        <f>+INFORMATICA!A14</f>
        <v>5</v>
      </c>
      <c r="B16" s="75" t="str">
        <f>+INFORMATICA!B14</f>
        <v>2.9.3-4210.39</v>
      </c>
      <c r="C16" s="125" t="str">
        <f>+INFORMATICA!E14</f>
        <v>CABLES CONECTORES; FUNCION: HDMI, REVESTIMIENTO: GOMA, TRANSMISION: DIGITAL</v>
      </c>
      <c r="D16" s="126"/>
      <c r="E16" s="126"/>
      <c r="F16" s="126"/>
      <c r="G16" s="127"/>
      <c r="H16" s="75" t="s">
        <v>25</v>
      </c>
      <c r="I16" s="76" t="str">
        <f>+INFORMATICA!F14</f>
        <v>UNIDAD</v>
      </c>
      <c r="J16" s="77">
        <f>+INFORMATICA!H14</f>
        <v>300</v>
      </c>
      <c r="K16" s="75">
        <f>+INFORMATICA!G14</f>
        <v>10</v>
      </c>
      <c r="M16" s="170">
        <f t="shared" si="0"/>
        <v>3000</v>
      </c>
    </row>
    <row r="17" spans="1:13" ht="24" customHeight="1" x14ac:dyDescent="0.25">
      <c r="A17" s="74">
        <f>+INFORMATICA!A15</f>
        <v>6</v>
      </c>
      <c r="B17" s="75" t="str">
        <f>+INFORMATICA!B15</f>
        <v>2.9.3-5901.24</v>
      </c>
      <c r="C17" s="125" t="str">
        <f>+INFORMATICA!E15</f>
        <v>CABLES P/VIDEO; LARGO: 2 M, CONECTOR EXTREMO 1: VGA MACHO, CONECTOR EXTREMO 2: VGA MACHO</v>
      </c>
      <c r="D17" s="126"/>
      <c r="E17" s="126"/>
      <c r="F17" s="126"/>
      <c r="G17" s="127"/>
      <c r="H17" s="75" t="s">
        <v>25</v>
      </c>
      <c r="I17" s="76" t="str">
        <f>+INFORMATICA!F15</f>
        <v>UNIDAD</v>
      </c>
      <c r="J17" s="77">
        <f>+INFORMATICA!H15</f>
        <v>450</v>
      </c>
      <c r="K17" s="75">
        <f>+INFORMATICA!G15</f>
        <v>10</v>
      </c>
      <c r="M17" s="170">
        <f t="shared" si="0"/>
        <v>4500</v>
      </c>
    </row>
    <row r="18" spans="1:13" ht="24" customHeight="1" x14ac:dyDescent="0.25">
      <c r="A18" s="74">
        <f>+INFORMATICA!A16</f>
        <v>7</v>
      </c>
      <c r="B18" s="75" t="str">
        <f>+INFORMATICA!B16</f>
        <v>2.9.2-9597.5</v>
      </c>
      <c r="C18" s="125" t="str">
        <f>+INFORMATICA!E16</f>
        <v>MEMORIAS USB; CAPACIDAD: 32 Gb, TIPO: PEN DRIVE</v>
      </c>
      <c r="D18" s="126"/>
      <c r="E18" s="126"/>
      <c r="F18" s="126"/>
      <c r="G18" s="127"/>
      <c r="H18" s="75" t="s">
        <v>25</v>
      </c>
      <c r="I18" s="76" t="str">
        <f>+INFORMATICA!F16</f>
        <v>UNIDAD</v>
      </c>
      <c r="J18" s="77">
        <f>+INFORMATICA!H16</f>
        <v>747</v>
      </c>
      <c r="K18" s="75">
        <f>+INFORMATICA!G16</f>
        <v>10</v>
      </c>
      <c r="M18" s="170">
        <f t="shared" si="0"/>
        <v>7470</v>
      </c>
    </row>
    <row r="19" spans="1:13" ht="27.75" customHeight="1" x14ac:dyDescent="0.25">
      <c r="A19" s="74">
        <f>+INFORMATICA!A17</f>
        <v>8</v>
      </c>
      <c r="B19" s="75" t="str">
        <f>+INFORMATICA!B17</f>
        <v>4.3.6-6160.4</v>
      </c>
      <c r="C19" s="125" t="str">
        <f>+INFORMATICA!E17</f>
        <v>COMPUTADORAS; CODIGO ETAP: PC-004, TIPO: DE ESCRITORIO AVANZADA, VERSION ETAP: VERANO 2001( V 6.0 )</v>
      </c>
      <c r="D19" s="126"/>
      <c r="E19" s="126"/>
      <c r="F19" s="126"/>
      <c r="G19" s="127"/>
      <c r="H19" s="75" t="s">
        <v>25</v>
      </c>
      <c r="I19" s="76" t="str">
        <f>+INFORMATICA!F17</f>
        <v>UNIDAD</v>
      </c>
      <c r="J19" s="77">
        <f>+INFORMATICA!H17</f>
        <v>80000</v>
      </c>
      <c r="K19" s="75">
        <f>+INFORMATICA!G17</f>
        <v>14</v>
      </c>
      <c r="M19" s="170">
        <f t="shared" si="0"/>
        <v>1120000</v>
      </c>
    </row>
    <row r="20" spans="1:13" ht="43.5" customHeight="1" x14ac:dyDescent="0.25">
      <c r="A20" s="74">
        <f>+INFORMATICA!A18</f>
        <v>9</v>
      </c>
      <c r="B20" s="75" t="str">
        <f>+INFORMATICA!B18</f>
        <v>4.3.6-9181.30</v>
      </c>
      <c r="C20" s="125" t="str">
        <f>+INFORMATICA!E18</f>
        <v>ESCANERS; TIPO: ESCRITORIO, RESOLUCION: 1200 X 1200 DPI, ALIMENTACION: 220 V</v>
      </c>
      <c r="D20" s="126"/>
      <c r="E20" s="126"/>
      <c r="F20" s="126"/>
      <c r="G20" s="127"/>
      <c r="H20" s="75" t="s">
        <v>25</v>
      </c>
      <c r="I20" s="76" t="str">
        <f>+INFORMATICA!F18</f>
        <v>UNIDAD</v>
      </c>
      <c r="J20" s="77">
        <f>+INFORMATICA!H18</f>
        <v>95000</v>
      </c>
      <c r="K20" s="75">
        <f>+INFORMATICA!G18</f>
        <v>2</v>
      </c>
      <c r="M20" s="170">
        <f t="shared" si="0"/>
        <v>190000</v>
      </c>
    </row>
    <row r="21" spans="1:13" ht="29.25" customHeight="1" x14ac:dyDescent="0.25">
      <c r="A21" s="74">
        <f>+INFORMATICA!A19</f>
        <v>10</v>
      </c>
      <c r="B21" s="75" t="str">
        <f>+INFORMATICA!B19</f>
        <v>4.3.5-1615.82</v>
      </c>
      <c r="C21" s="125" t="str">
        <f>+INFORMATICA!E19</f>
        <v>PROYECTORES; PANTALLA: SIN, RESOLUCION: 1920 X 1080 PXL, LENTE: ZOOM ENFOQUE</v>
      </c>
      <c r="D21" s="126"/>
      <c r="E21" s="126"/>
      <c r="F21" s="126"/>
      <c r="G21" s="127"/>
      <c r="H21" s="75" t="s">
        <v>25</v>
      </c>
      <c r="I21" s="76" t="str">
        <f>+INFORMATICA!F19</f>
        <v>UNIDAD</v>
      </c>
      <c r="J21" s="77">
        <f>+INFORMATICA!H19</f>
        <v>46900</v>
      </c>
      <c r="K21" s="75">
        <f>+INFORMATICA!G19</f>
        <v>1</v>
      </c>
      <c r="M21" s="170">
        <f t="shared" si="0"/>
        <v>46900</v>
      </c>
    </row>
    <row r="22" spans="1:13" ht="20.25" customHeight="1" thickBot="1" x14ac:dyDescent="0.3">
      <c r="A22" s="137" t="str">
        <f>+INFORMATICA!A20</f>
        <v>COSTO ESTIMADO TOTAL: UN MILLON QUINIENTOS TRECE MIL CIENTO NOVENTA CON 00/100</v>
      </c>
      <c r="B22" s="137"/>
      <c r="C22" s="137"/>
      <c r="D22" s="137"/>
      <c r="E22" s="137"/>
      <c r="F22" s="137"/>
      <c r="G22" s="137"/>
      <c r="H22" s="137"/>
      <c r="I22" s="137"/>
      <c r="J22" s="136">
        <f>+INFORMATICA!I20</f>
        <v>1513190</v>
      </c>
      <c r="K22" s="136"/>
      <c r="M22" s="170">
        <f>SUM(M12:M21)</f>
        <v>1513190</v>
      </c>
    </row>
  </sheetData>
  <mergeCells count="32">
    <mergeCell ref="C15:G15"/>
    <mergeCell ref="C16:G16"/>
    <mergeCell ref="J22:K22"/>
    <mergeCell ref="A22:I22"/>
    <mergeCell ref="C20:G20"/>
    <mergeCell ref="C21:G21"/>
    <mergeCell ref="C17:G17"/>
    <mergeCell ref="C18:G18"/>
    <mergeCell ref="C19:G19"/>
    <mergeCell ref="C12:G12"/>
    <mergeCell ref="C13:G13"/>
    <mergeCell ref="C14:G14"/>
    <mergeCell ref="A8:C8"/>
    <mergeCell ref="D8:K8"/>
    <mergeCell ref="A10:A11"/>
    <mergeCell ref="K10:K11"/>
    <mergeCell ref="B10:B11"/>
    <mergeCell ref="C10:G11"/>
    <mergeCell ref="H10:H11"/>
    <mergeCell ref="I10:I11"/>
    <mergeCell ref="J10:J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10" zoomScale="115" zoomScaleNormal="115" workbookViewId="0">
      <selection activeCell="A10" sqref="A10:Q10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5" width="14.85546875" style="5" customWidth="1"/>
    <col min="16" max="16" width="14.85546875" style="1" customWidth="1"/>
    <col min="17" max="17" width="14.85546875" style="83" customWidth="1"/>
    <col min="18" max="18" width="16.85546875" style="1" customWidth="1"/>
    <col min="19" max="16384" width="11" style="1"/>
  </cols>
  <sheetData>
    <row r="1" spans="1:17" ht="15.75" customHeight="1" x14ac:dyDescent="0.25">
      <c r="A1" s="138" t="s">
        <v>3</v>
      </c>
      <c r="B1" s="138"/>
      <c r="C1" s="138"/>
      <c r="D1" s="139">
        <f>+INFORMATICA!C6</f>
        <v>2021</v>
      </c>
      <c r="E1" s="139"/>
      <c r="F1" s="3"/>
      <c r="G1" s="3"/>
      <c r="H1" s="4"/>
      <c r="I1" s="4"/>
      <c r="J1" s="4"/>
      <c r="K1" s="4"/>
      <c r="L1" s="4"/>
      <c r="M1" s="4"/>
      <c r="N1" s="4"/>
      <c r="P1" s="140" t="s">
        <v>26</v>
      </c>
      <c r="Q1" s="140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140"/>
      <c r="Q2" s="140"/>
    </row>
    <row r="4" spans="1:17" ht="18" customHeight="1" thickBot="1" x14ac:dyDescent="0.35">
      <c r="A4" s="141" t="s">
        <v>27</v>
      </c>
      <c r="B4" s="141"/>
      <c r="C4" s="141"/>
      <c r="D4" s="141"/>
      <c r="E4" s="141"/>
      <c r="F4" s="141"/>
      <c r="G4" s="142" t="str">
        <f>' NotaPedido'!D3</f>
        <v>12 - Ministerio de Trabajo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ht="33" customHeight="1" thickBot="1" x14ac:dyDescent="0.35">
      <c r="A5" s="143" t="s">
        <v>49</v>
      </c>
      <c r="B5" s="144"/>
      <c r="C5" s="144"/>
      <c r="D5" s="144"/>
      <c r="E5" s="144"/>
      <c r="F5" s="145"/>
      <c r="G5" s="146" t="str">
        <f>' NotaPedido'!D4</f>
        <v>22 - SECRETARIA DE ADMINISTRACION - MINISTERIO DE TRABAJO Y RECURSOS HUMANOS</v>
      </c>
      <c r="H5" s="147"/>
      <c r="I5" s="147"/>
      <c r="J5" s="147"/>
      <c r="K5" s="147"/>
      <c r="L5" s="147"/>
      <c r="M5" s="147"/>
      <c r="N5" s="147"/>
      <c r="O5" s="147"/>
      <c r="P5" s="147"/>
      <c r="Q5" s="148"/>
    </row>
    <row r="6" spans="1:17" ht="18" customHeight="1" thickBot="1" x14ac:dyDescent="0.35">
      <c r="A6" s="143" t="s">
        <v>28</v>
      </c>
      <c r="B6" s="144"/>
      <c r="C6" s="144"/>
      <c r="D6" s="144"/>
      <c r="E6" s="144"/>
      <c r="F6" s="145"/>
      <c r="G6" s="142" t="s">
        <v>56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8" customHeight="1" thickBot="1" x14ac:dyDescent="0.35">
      <c r="A7" s="143" t="s">
        <v>50</v>
      </c>
      <c r="B7" s="144"/>
      <c r="C7" s="144"/>
      <c r="D7" s="144"/>
      <c r="E7" s="144"/>
      <c r="F7" s="145"/>
      <c r="G7" s="142" t="str">
        <f>' NotaPedido'!D6</f>
        <v>Ministerio de Trabajo y Recursos Humanos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3">
      <c r="A8" s="149" t="s">
        <v>51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3">
      <c r="A9" s="150" t="s">
        <v>29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96"/>
      <c r="P9" s="2"/>
      <c r="Q9" s="80"/>
    </row>
    <row r="10" spans="1:17" ht="65.25" customHeight="1" x14ac:dyDescent="0.25">
      <c r="A10" s="151" t="s">
        <v>69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7" ht="9" customHeigh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8"/>
      <c r="P11" s="7"/>
      <c r="Q11" s="81"/>
    </row>
    <row r="12" spans="1:17" ht="15.75" customHeight="1" thickBot="1" x14ac:dyDescent="0.3">
      <c r="A12" s="152" t="s">
        <v>30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7" ht="15.75" customHeight="1" x14ac:dyDescent="0.25">
      <c r="A13" s="153" t="s">
        <v>31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32</v>
      </c>
      <c r="P13" s="155"/>
      <c r="Q13" s="157" t="s">
        <v>33</v>
      </c>
    </row>
    <row r="14" spans="1:17" ht="15.75" customHeight="1" x14ac:dyDescent="0.25">
      <c r="A14" s="87" t="s">
        <v>34</v>
      </c>
      <c r="B14" s="84" t="s">
        <v>35</v>
      </c>
      <c r="C14" s="84" t="s">
        <v>36</v>
      </c>
      <c r="D14" s="84" t="s">
        <v>37</v>
      </c>
      <c r="E14" s="84" t="s">
        <v>38</v>
      </c>
      <c r="F14" s="84" t="s">
        <v>39</v>
      </c>
      <c r="G14" s="85" t="s">
        <v>40</v>
      </c>
      <c r="H14" s="84" t="s">
        <v>41</v>
      </c>
      <c r="I14" s="84" t="s">
        <v>42</v>
      </c>
      <c r="J14" s="84" t="s">
        <v>43</v>
      </c>
      <c r="K14" s="84" t="s">
        <v>43</v>
      </c>
      <c r="L14" s="84" t="s">
        <v>44</v>
      </c>
      <c r="M14" s="84" t="s">
        <v>45</v>
      </c>
      <c r="N14" s="84" t="s">
        <v>46</v>
      </c>
      <c r="O14" s="156"/>
      <c r="P14" s="156"/>
      <c r="Q14" s="158"/>
    </row>
    <row r="15" spans="1:17" ht="17.25" customHeight="1" x14ac:dyDescent="0.25">
      <c r="A15" s="88">
        <v>6</v>
      </c>
      <c r="B15" s="86">
        <v>0</v>
      </c>
      <c r="C15" s="86">
        <v>0</v>
      </c>
      <c r="D15" s="86">
        <v>3</v>
      </c>
      <c r="E15" s="86">
        <v>0</v>
      </c>
      <c r="F15" s="86">
        <v>4901</v>
      </c>
      <c r="G15" s="86">
        <v>1</v>
      </c>
      <c r="H15" s="86">
        <v>8</v>
      </c>
      <c r="I15" s="86">
        <v>2</v>
      </c>
      <c r="J15" s="86">
        <v>9</v>
      </c>
      <c r="K15" s="86">
        <v>3</v>
      </c>
      <c r="L15" s="86">
        <v>0</v>
      </c>
      <c r="M15" s="86">
        <v>1</v>
      </c>
      <c r="N15" s="86" t="s">
        <v>52</v>
      </c>
      <c r="O15" s="167" t="s">
        <v>112</v>
      </c>
      <c r="P15" s="167"/>
      <c r="Q15" s="89">
        <f>+INFORMATICA!I14+INFORMATICA!I15</f>
        <v>7500</v>
      </c>
    </row>
    <row r="16" spans="1:17" ht="17.25" customHeight="1" x14ac:dyDescent="0.25">
      <c r="A16" s="88">
        <v>1</v>
      </c>
      <c r="B16" s="86">
        <v>0</v>
      </c>
      <c r="C16" s="86">
        <v>0</v>
      </c>
      <c r="D16" s="86">
        <v>1</v>
      </c>
      <c r="E16" s="86">
        <v>0</v>
      </c>
      <c r="F16" s="86">
        <v>4901</v>
      </c>
      <c r="G16" s="86">
        <v>3</v>
      </c>
      <c r="H16" s="86">
        <v>6</v>
      </c>
      <c r="I16" s="86">
        <v>2</v>
      </c>
      <c r="J16" s="86">
        <v>9</v>
      </c>
      <c r="K16" s="86">
        <v>6</v>
      </c>
      <c r="L16" s="86">
        <v>0</v>
      </c>
      <c r="M16" s="86">
        <v>1</v>
      </c>
      <c r="N16" s="86" t="s">
        <v>52</v>
      </c>
      <c r="O16" s="167" t="s">
        <v>113</v>
      </c>
      <c r="P16" s="167"/>
      <c r="Q16" s="90">
        <v>18790</v>
      </c>
    </row>
    <row r="17" spans="1:19" ht="17.25" customHeight="1" x14ac:dyDescent="0.25">
      <c r="A17" s="88">
        <v>2</v>
      </c>
      <c r="B17" s="86">
        <v>0</v>
      </c>
      <c r="C17" s="86">
        <v>0</v>
      </c>
      <c r="D17" s="86">
        <v>1</v>
      </c>
      <c r="E17" s="86">
        <v>0</v>
      </c>
      <c r="F17" s="86">
        <v>4901</v>
      </c>
      <c r="G17" s="86">
        <v>3</v>
      </c>
      <c r="H17" s="86">
        <v>6</v>
      </c>
      <c r="I17" s="86">
        <v>2</v>
      </c>
      <c r="J17" s="86">
        <v>9</v>
      </c>
      <c r="K17" s="86">
        <v>6</v>
      </c>
      <c r="L17" s="86">
        <v>0</v>
      </c>
      <c r="M17" s="86">
        <v>1</v>
      </c>
      <c r="N17" s="86" t="s">
        <v>52</v>
      </c>
      <c r="O17" s="167" t="s">
        <v>113</v>
      </c>
      <c r="P17" s="167"/>
      <c r="Q17" s="89">
        <v>91000</v>
      </c>
      <c r="R17" s="79"/>
      <c r="S17" s="78"/>
    </row>
    <row r="18" spans="1:19" ht="17.25" customHeight="1" x14ac:dyDescent="0.25">
      <c r="A18" s="88">
        <v>3</v>
      </c>
      <c r="B18" s="86">
        <v>0</v>
      </c>
      <c r="C18" s="86">
        <v>0</v>
      </c>
      <c r="D18" s="86">
        <v>1</v>
      </c>
      <c r="E18" s="86">
        <v>0</v>
      </c>
      <c r="F18" s="86">
        <v>4901</v>
      </c>
      <c r="G18" s="86">
        <v>1</v>
      </c>
      <c r="H18" s="86">
        <v>3</v>
      </c>
      <c r="I18" s="86">
        <v>2</v>
      </c>
      <c r="J18" s="86">
        <v>9</v>
      </c>
      <c r="K18" s="86">
        <v>6</v>
      </c>
      <c r="L18" s="86">
        <v>0</v>
      </c>
      <c r="M18" s="86">
        <v>1</v>
      </c>
      <c r="N18" s="86" t="s">
        <v>52</v>
      </c>
      <c r="O18" s="168" t="s">
        <v>113</v>
      </c>
      <c r="P18" s="169"/>
      <c r="Q18" s="89">
        <v>39000</v>
      </c>
      <c r="R18" s="79"/>
      <c r="S18" s="78"/>
    </row>
    <row r="19" spans="1:19" ht="25.5" customHeight="1" x14ac:dyDescent="0.25">
      <c r="A19" s="88">
        <v>1</v>
      </c>
      <c r="B19" s="86">
        <v>0</v>
      </c>
      <c r="C19" s="86">
        <v>0</v>
      </c>
      <c r="D19" s="86">
        <v>1</v>
      </c>
      <c r="E19" s="86">
        <v>0</v>
      </c>
      <c r="F19" s="86">
        <v>4901</v>
      </c>
      <c r="G19" s="86">
        <v>3</v>
      </c>
      <c r="H19" s="86">
        <v>6</v>
      </c>
      <c r="I19" s="86">
        <v>4</v>
      </c>
      <c r="J19" s="86">
        <v>3</v>
      </c>
      <c r="K19" s="86">
        <v>5</v>
      </c>
      <c r="L19" s="86">
        <v>0</v>
      </c>
      <c r="M19" s="86">
        <v>1</v>
      </c>
      <c r="N19" s="86" t="s">
        <v>52</v>
      </c>
      <c r="O19" s="167" t="s">
        <v>114</v>
      </c>
      <c r="P19" s="167"/>
      <c r="Q19" s="89">
        <f>+INFORMATICA!I19</f>
        <v>46900</v>
      </c>
    </row>
    <row r="20" spans="1:19" ht="17.25" customHeight="1" thickBot="1" x14ac:dyDescent="0.3">
      <c r="A20" s="91">
        <v>1</v>
      </c>
      <c r="B20" s="92">
        <v>0</v>
      </c>
      <c r="C20" s="92">
        <v>0</v>
      </c>
      <c r="D20" s="92">
        <v>1</v>
      </c>
      <c r="E20" s="92">
        <v>0</v>
      </c>
      <c r="F20" s="92">
        <v>4901</v>
      </c>
      <c r="G20" s="92">
        <v>3</v>
      </c>
      <c r="H20" s="92">
        <v>6</v>
      </c>
      <c r="I20" s="92">
        <v>4</v>
      </c>
      <c r="J20" s="92">
        <v>3</v>
      </c>
      <c r="K20" s="92">
        <v>6</v>
      </c>
      <c r="L20" s="92">
        <v>0</v>
      </c>
      <c r="M20" s="92">
        <v>1</v>
      </c>
      <c r="N20" s="92" t="s">
        <v>52</v>
      </c>
      <c r="O20" s="159" t="s">
        <v>115</v>
      </c>
      <c r="P20" s="159"/>
      <c r="Q20" s="93">
        <f>+INFORMATICA!I18+INFORMATICA!I17</f>
        <v>1310000</v>
      </c>
    </row>
    <row r="21" spans="1:19" ht="28.5" customHeight="1" thickBot="1" x14ac:dyDescent="0.3">
      <c r="A21" s="165" t="str">
        <f>+' NotaPedido'!A22:I22</f>
        <v>COSTO ESTIMADO TOTAL: UN MILLON QUINIENTOS TRECE MIL CIENTO NOVENTA CON 00/100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82">
        <f>SUM(Q15:Q20)</f>
        <v>1513190</v>
      </c>
    </row>
    <row r="22" spans="1:19" ht="18" customHeight="1" thickBot="1" x14ac:dyDescent="0.3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</row>
    <row r="23" spans="1:19" ht="17.25" customHeight="1" thickBot="1" x14ac:dyDescent="0.3">
      <c r="A23" s="160" t="s">
        <v>47</v>
      </c>
      <c r="B23" s="161"/>
      <c r="C23" s="161"/>
      <c r="D23" s="161"/>
      <c r="E23" s="161"/>
      <c r="F23" s="162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  <row r="24" spans="1:19" ht="18" customHeight="1" thickBot="1" x14ac:dyDescent="0.3">
      <c r="A24" s="164" t="str">
        <f>' NotaPedido'!D8</f>
        <v>Adquisición de Computadoras mas los implementos informaticos para este Ministerio.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9" ht="15" customHeight="1" x14ac:dyDescent="0.25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</sheetData>
  <mergeCells count="29">
    <mergeCell ref="O19:P19"/>
    <mergeCell ref="O16:P16"/>
    <mergeCell ref="O17:P17"/>
    <mergeCell ref="O15:P15"/>
    <mergeCell ref="O18:P18"/>
    <mergeCell ref="O20:P20"/>
    <mergeCell ref="A23:F23"/>
    <mergeCell ref="G23:Q23"/>
    <mergeCell ref="A24:Q25"/>
    <mergeCell ref="A21:P21"/>
    <mergeCell ref="A22:Q22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INFORMATICA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ELIAS QUINTAR</dc:creator>
  <dc:description/>
  <cp:lastModifiedBy>ELIAS QUINTAR</cp:lastModifiedBy>
  <cp:revision>2</cp:revision>
  <cp:lastPrinted>2020-11-24T14:25:44Z</cp:lastPrinted>
  <dcterms:created xsi:type="dcterms:W3CDTF">2020-07-17T23:44:49Z</dcterms:created>
  <dcterms:modified xsi:type="dcterms:W3CDTF">2021-11-10T12:33:45Z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