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Trimestrales'!$A$9:$I$27</definedName>
    <definedName name="_xlnm.Print_Area" localSheetId="1">' NotaPedido'!$A$1:$K$32</definedName>
    <definedName name="_xlnm.Print_Area" localSheetId="2">'Autor Gastar'!$A$1:$Q$25</definedName>
    <definedName name="_xlnm.Print_Area" localSheetId="0">'Necesidades Trimestrales'!$E$9:$E$12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1" i="2" l="1"/>
  <c r="J31" i="2"/>
  <c r="I31" i="2"/>
  <c r="C31" i="2"/>
  <c r="B31" i="2"/>
  <c r="H20" i="1"/>
  <c r="H19" i="1"/>
  <c r="H18" i="1"/>
  <c r="H17" i="1"/>
  <c r="H16" i="1"/>
  <c r="H15" i="1"/>
  <c r="H10" i="1"/>
  <c r="I29" i="1"/>
  <c r="B12" i="2" l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K30" i="2" l="1"/>
  <c r="J30" i="2"/>
  <c r="I30" i="2"/>
  <c r="C30" i="2"/>
  <c r="I28" i="1"/>
  <c r="K15" i="2" l="1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I15" i="2"/>
  <c r="I16" i="2"/>
  <c r="I17" i="2"/>
  <c r="I18" i="2"/>
  <c r="I19" i="2"/>
  <c r="I20" i="2"/>
  <c r="I21" i="2"/>
  <c r="I22" i="2"/>
  <c r="I23" i="2"/>
  <c r="I24" i="2"/>
  <c r="I27" i="2"/>
  <c r="I28" i="2"/>
  <c r="I29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6" i="2"/>
  <c r="I25" i="2"/>
  <c r="C12" i="2" l="1"/>
  <c r="C13" i="2"/>
  <c r="C14" i="2"/>
  <c r="I12" i="2"/>
  <c r="I13" i="2"/>
  <c r="I14" i="2"/>
  <c r="K12" i="2"/>
  <c r="K13" i="2"/>
  <c r="K14" i="2"/>
  <c r="J12" i="2"/>
  <c r="J32" i="2" s="1"/>
  <c r="J13" i="2"/>
  <c r="J14" i="2"/>
  <c r="I10" i="1"/>
  <c r="I11" i="1"/>
  <c r="I12" i="1"/>
  <c r="A10" i="3" l="1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<sst xmlns="http://schemas.openxmlformats.org/spreadsheetml/2006/main" count="175" uniqueCount="113">
  <si>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</si>
  <si>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</si>
  <si>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</si>
  <si>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</si>
  <si>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</si>
  <si>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</si>
  <si>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</si>
  <si>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</si>
  <si>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</si>
  <si>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</si>
  <si>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</si>
  <si>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</si>
  <si>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</si>
  <si>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</si>
  <si>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</si>
  <si>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</si>
  <si>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</si>
  <si>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</si>
  <si>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</si>
  <si>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</si>
  <si>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</si>
  <si>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</si>
  <si>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</si>
  <si>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</si>
  <si>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</si>
  <si>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</si>
  <si>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</si>
  <si>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</si>
  <si>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</si>
  <si>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</si>
  <si>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</si>
  <si>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</si>
  <si>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</si>
  <si>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</si>
  <si>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</si>
  <si>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</si>
  <si>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</si>
  <si>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</si>
  <si>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</si>
  <si>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</si>
  <si>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</si>
  <si>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</si>
  <si>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</si>
  <si>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</si>
  <si>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</si>
  <si>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</si>
  <si>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</si>
  <si>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</si>
  <si>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</si>
  <si>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</si>
  <si>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</si>
  <si>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</si>
  <si>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NO</t>
  </si>
  <si>
    <t xml:space="preserve"> </t>
  </si>
  <si>
    <t>Servicio de Farmacia</t>
  </si>
  <si>
    <t>PROD. MEDICO/FARMACEUTICOS/LAB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</si>
  <si>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</si>
  <si>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</si>
  <si>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</si>
  <si>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Cuatrimestral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</si>
  <si>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</si>
  <si>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 xml:space="preserve">2.9.5-428.21 </t>
  </si>
  <si>
    <t>2.9.5-428.36</t>
  </si>
  <si>
    <t xml:space="preserve">2.9.5-4198.9 </t>
  </si>
  <si>
    <t>2.2.2-915.15</t>
  </si>
  <si>
    <t>2.9.5-1909.135</t>
  </si>
  <si>
    <t>2.9.5-1909.203</t>
  </si>
  <si>
    <t>2.9.5-1909.172</t>
  </si>
  <si>
    <t>2.9.5-1909.174</t>
  </si>
  <si>
    <t>2.9.5-1909.173</t>
  </si>
  <si>
    <t>2.9.5-1909.169</t>
  </si>
  <si>
    <t>2.9.5-1909.168</t>
  </si>
  <si>
    <t>2.9.5-4198.171</t>
  </si>
  <si>
    <t>BARBIJOS; TIPO: 3 CAPAS</t>
  </si>
  <si>
    <t>BARBIJOS; TIPO: COPA N95 SIN VALVULA, MATERIAL: NO TEJIDO, CANTIDAD DE CAPAS: DOS, DESCARTABLE: SI, PRESENTACION: UNIDAD</t>
  </si>
  <si>
    <t>ELEMENTOS DESC. P/CIRUGIAS; TIPO: BOTA CAÑA ALTA CON TIRAS, CANTIDAD: 1, PRESENTACION: 1</t>
  </si>
  <si>
    <t>ROPA DESCARTABLE; ELEMENTO: COFIA, VARIEDAD: CON ELASTICO, ESPECIFICACION: CON ELASTICO</t>
  </si>
  <si>
    <t>GUANTES USO MEDICINAL; TIPO: ESTERIL, TAMAÑO: 6 1/2 CAÑA LARGA, MATERIAL: LATEX, PRESENTACION: PAR, ESTERIL: SI, TALCO: SIN, DESCARTABLE: SI</t>
  </si>
  <si>
    <t>GUANTES USO MEDICINAL; TIPO: ESTERIL, TAMAÑO: 7 CAÑA LARGA, MATERIAL: LATEX, PRESENTACION: PAR, ESTERIL: SI, TALCO: SIN, DESCARTABLE: SI</t>
  </si>
  <si>
    <t>GUANTES USO MEDICINAL; TIPO: EXAMINACION, TAMAÑO: S 6/7, MATERIAL: NITRILO, PRESENTACION: ENVASE X 100 UN, ESTERIL: NO, TALCO: SIN, DESCARTABLE: SI</t>
  </si>
  <si>
    <t>GUANTES USO MEDICINAL; TIPO: EXAMINACION, TAMAÑO: L 8/9, MATERIAL: NITRILO, PRESENTACION: ENVASE X 100 UN, ESTERIL: NO, TALCO: SIN, DESCARTABLE: SI</t>
  </si>
  <si>
    <t>GUANTES USO MEDICINAL; TIPO: EXAMINACION, TAMAÑO: M 7/8, MATERIAL: NITRILO, PRESENTACION: ENVASE X 100 UN, ESTERIL: NO, TALCO: SIN, DESCARTABLE: SI</t>
  </si>
  <si>
    <t>GUANTES USO MEDICINAL; TIPO: EXAMINACION, TAMAÑO: L 8/9, MATERIAL: VINILO, PRESENTACION: ENVASE X 100 UN, ESTERIL: NO, TALCO: SIN, DESCARTABLE: SI</t>
  </si>
  <si>
    <t>GUANTES USO MEDICINAL; TIPO: EXAMINACION, TAMAÑO: M 7/8, MATERIAL: VINILO, PRESENTACION: ENVASE X 100 UN, ESTERIL: NO, TALCO: SIN, DESCARTABLE: SI</t>
  </si>
  <si>
    <t>ELEMENTOS DESC. P/CIRUGIAS; TIPO: KIT DE CAMISOLIN 50 GRS CON PUÑO DE ALGODON + COFIA + BOTAS PAR, PRESENTACION: INDIVIDUAL, ESTERIL: NO</t>
  </si>
  <si>
    <t>CAJA</t>
  </si>
  <si>
    <t>PAR</t>
  </si>
  <si>
    <t>UTILES MENORES MEDICO, QUIRURGICO Y DE LABORATORIO</t>
  </si>
  <si>
    <t xml:space="preserve">2.9.5-4198.170 </t>
  </si>
  <si>
    <t>ELEMENTOS DESC. P/CIRUGIAS; TIPO: CAMISOLIN HEMORREP. DE 30 GRAMOS CON MANGAS Y PUÑOS ELASTICOS DE 1,4 MTRS DE LARGO, CANTIDAD: POR UNIDAD, PRESENTACION: UNIDAD</t>
  </si>
  <si>
    <t xml:space="preserve">2.9.5-4198.169 </t>
  </si>
  <si>
    <t>ELEMENTOS DESC. P/CIRUGIAS; TIPO: CAMISOLIN HEMORREP. DE 50 GRAMOS CON MANGAS Y PUÑOS ALGODON DE 1,4 MTRS DE LARGO, CANTIDAD: POR UNIDAD, PRESENTACION: UNIDAD</t>
  </si>
  <si>
    <t>INDUMENT TEXTIL Y CONFECCIONES</t>
  </si>
  <si>
    <t>2.9.5-1909.184</t>
  </si>
  <si>
    <t>GUANTES USO MEDICINAL; TIPO: ESTERIL, TAMAÑO: 7 1/2 CAÑA LARGA, MATERIAL: LATEX, PRESENTACION: PAR, ESTERIL: SI, TALCO: SIN, DESCARTABLE: SI</t>
  </si>
  <si>
    <t>2.9.5-1909.202</t>
  </si>
  <si>
    <t>GUANTES USO MEDICINAL; TIPO: ESTERIL, TAMAÑO: 8 CAÑA LARGA, MATERIAL: LATEX, PRESENTACION: PAR, ESTERIL: SI, TALCO: SIN, DESCARTABLE: SI</t>
  </si>
  <si>
    <t>2.9.5-1909.223</t>
  </si>
  <si>
    <t>GUANTES USO MEDICINAL; TIPO: ESTERIL, TAMAÑO: 8 1/2 CAÑA LARGA, MATERIAL: LATEX, PRESENTACION: PAR, ESTERIL: SI, TALCO: SIN, DESCARTABLE: SI</t>
  </si>
  <si>
    <t>2.9.5-1909.78</t>
  </si>
  <si>
    <t>GUANTES USO MEDICINAL; TIPO: EXAMINACION , TAMAÑO: GRANDE, MATERIAL: LATEX, PRESENTACION: ENVASE X 100 UN</t>
  </si>
  <si>
    <t>2.9.5-1909.79</t>
  </si>
  <si>
    <t>GUANTES USO MEDICINAL; TIPO: EXAMINACION , TAMAÑO: MEDIANO, MATERIAL: LATEX, PRESENTACION: ENVASE X 100 UN</t>
  </si>
  <si>
    <t>2.9.5-1909.195</t>
  </si>
  <si>
    <t>GUANTES USO MEDICINAL; TIPO: EXAMINACION, TAMAÑO: S 6/7, MATERIAL: LATEX, PRESENTACION: ENVASE X 100 UN, ESTERIL: NO, TALCO: CON, DESCARTABLE: SI</t>
  </si>
  <si>
    <r>
      <t>Mantenimiento de Oferta</t>
    </r>
    <r>
      <rPr>
        <sz val="10"/>
        <rFont val="Times New Roman"/>
        <family val="1"/>
      </rPr>
      <t xml:space="preserve">: Cuarenta y Cinco (45) dias habiles </t>
    </r>
  </si>
  <si>
    <t>40 - Ministerio de Salud</t>
  </si>
  <si>
    <t>24 - Direccion de Administracion del Hospital Interzonal de Niños</t>
  </si>
  <si>
    <t>Costo total estimado: Cinco Millones Trescientos Sesenta y Siete Mil Novecientos Sesenta y Siete Con 00/100.</t>
  </si>
  <si>
    <t>077/2022</t>
  </si>
  <si>
    <t>Material de Curacion</t>
  </si>
  <si>
    <t>TOTAL DE PESOS: CINCO MILLONES TRESCIENTOS SESENTA Y SIETE MIL NOVECIENTOS SESENTA Y SIETE CON 00/100.</t>
  </si>
  <si>
    <t>Para la adquisición de Material de Curacion destinados al Servicio de Farmacia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</si>
</sst>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&quot;$&quot;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C0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8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  <xf numFmtId="0" fontId="28" fillId="0" borderId="0"/>
  </cellStyleXfs>
  <cellXfs count="13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0" xfId="0" applyFont="1" applyBorder="1"/>
    <xf numFmtId="166" fontId="16" fillId="0" borderId="0" xfId="0" applyNumberFormat="1" applyFont="1"/>
    <xf numFmtId="0" fontId="6" fillId="3" borderId="10" xfId="0" applyFont="1" applyFill="1" applyBorder="1" applyAlignment="1">
      <alignment horizontal="right" vertical="center"/>
    </xf>
    <xf numFmtId="0" fontId="7" fillId="4" borderId="1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2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169" fontId="21" fillId="0" borderId="0" xfId="0" applyNumberFormat="1" applyFont="1" applyFill="1"/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left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3" fontId="5" fillId="3" borderId="55" xfId="0" applyNumberFormat="1" applyFont="1" applyFill="1" applyBorder="1" applyAlignment="1">
      <alignment horizontal="center" vertical="center"/>
    </xf>
    <xf numFmtId="166" fontId="5" fillId="3" borderId="53" xfId="1" applyNumberFormat="1" applyFont="1" applyFill="1" applyBorder="1" applyAlignment="1" applyProtection="1">
      <alignment horizontal="right" vertical="center" wrapText="1"/>
    </xf>
    <xf numFmtId="0" fontId="5" fillId="4" borderId="53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169" fontId="25" fillId="0" borderId="14" xfId="0" applyNumberFormat="1" applyFont="1" applyBorder="1" applyAlignment="1">
      <alignment horizontal="center" vertical="center" wrapText="1"/>
    </xf>
    <xf numFmtId="166" fontId="14" fillId="3" borderId="36" xfId="0" applyNumberFormat="1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0" fontId="23" fillId="0" borderId="2" xfId="0" applyFont="1" applyBorder="1" applyAlignment="1">
      <alignment horizontal="left" indent="3"/>
    </xf>
    <xf numFmtId="0" fontId="16" fillId="0" borderId="0" xfId="0" applyFont="1" applyBorder="1" applyAlignment="1">
      <alignment horizontal="left" indent="3"/>
    </xf>
    <xf numFmtId="0" fontId="16" fillId="0" borderId="5" xfId="0" applyFont="1" applyFill="1" applyBorder="1"/>
    <xf numFmtId="0" fontId="23" fillId="0" borderId="7" xfId="0" applyFont="1" applyBorder="1" applyAlignment="1"/>
    <xf numFmtId="0" fontId="16" fillId="0" borderId="8" xfId="0" applyFont="1" applyBorder="1" applyAlignment="1">
      <alignment horizontal="center" wrapText="1"/>
    </xf>
    <xf numFmtId="0" fontId="16" fillId="0" borderId="8" xfId="0" applyFont="1" applyFill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5" fillId="3" borderId="53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166" fontId="21" fillId="0" borderId="55" xfId="1" applyNumberFormat="1" applyFont="1" applyFill="1" applyBorder="1" applyAlignment="1" applyProtection="1">
      <alignment horizontal="right" vertical="center" wrapText="1"/>
    </xf>
    <xf numFmtId="170" fontId="16" fillId="0" borderId="0" xfId="0" applyNumberFormat="1" applyFont="1"/>
    <xf numFmtId="0" fontId="27" fillId="5" borderId="53" xfId="0" applyFont="1" applyFill="1" applyBorder="1" applyAlignment="1">
      <alignment horizontal="center" vertical="center"/>
    </xf>
    <xf numFmtId="0" fontId="15" fillId="3" borderId="53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left" wrapText="1"/>
    </xf>
    <xf numFmtId="0" fontId="0" fillId="0" borderId="53" xfId="0" applyBorder="1" applyAlignment="1">
      <alignment horizontal="center" vertical="center" wrapText="1"/>
    </xf>
    <xf numFmtId="0" fontId="29" fillId="3" borderId="53" xfId="0" applyFont="1" applyFill="1" applyBorder="1" applyAlignment="1">
      <alignment horizontal="center" vertical="center"/>
    </xf>
    <xf numFmtId="0" fontId="15" fillId="6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27" fillId="0" borderId="53" xfId="0" applyFont="1" applyFill="1" applyBorder="1" applyAlignment="1">
      <alignment horizontal="center" vertical="center"/>
    </xf>
    <xf numFmtId="171" fontId="0" fillId="3" borderId="53" xfId="0" applyNumberFormat="1" applyFont="1" applyFill="1" applyBorder="1" applyAlignment="1">
      <alignment horizontal="center" vertical="center"/>
    </xf>
    <xf numFmtId="171" fontId="0" fillId="3" borderId="53" xfId="0" applyNumberFormat="1" applyFill="1" applyBorder="1" applyAlignment="1">
      <alignment horizontal="center" vertical="center"/>
    </xf>
    <xf numFmtId="0" fontId="0" fillId="0" borderId="53" xfId="0" applyBorder="1" applyAlignment="1">
      <alignment wrapText="1"/>
    </xf>
    <xf numFmtId="0" fontId="0" fillId="0" borderId="53" xfId="0" applyBorder="1" applyAlignment="1">
      <alignment vertical="center" wrapText="1"/>
    </xf>
    <xf numFmtId="0" fontId="0" fillId="0" borderId="53" xfId="0" applyFill="1" applyBorder="1" applyAlignment="1">
      <alignment wrapText="1"/>
    </xf>
    <xf numFmtId="0" fontId="16" fillId="4" borderId="5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6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5" fillId="3" borderId="53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 indent="1"/>
    </xf>
    <xf numFmtId="167" fontId="8" fillId="3" borderId="14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 wrapText="1" indent="1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left" vertical="center" wrapText="1" indent="1"/>
    </xf>
    <xf numFmtId="0" fontId="15" fillId="0" borderId="58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10" fillId="3" borderId="36" xfId="0" applyFont="1" applyFill="1" applyBorder="1" applyAlignment="1">
      <alignment horizontal="left" vertical="center" wrapText="1"/>
    </xf>
    <xf numFmtId="0" fontId="0" fillId="0" borderId="21" xfId="0" applyBorder="1"/>
    <xf numFmtId="0" fontId="26" fillId="0" borderId="28" xfId="0" applyFont="1" applyFill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37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2" xfId="0" applyFont="1" applyBorder="1"/>
    <xf numFmtId="0" fontId="12" fillId="0" borderId="23" xfId="0" applyFont="1" applyBorder="1" applyAlignment="1">
      <alignment horizontal="left" vertical="center" wrapText="1" indent="1"/>
    </xf>
    <xf numFmtId="0" fontId="14" fillId="0" borderId="21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indent="1"/>
    </xf>
    <xf numFmtId="0" fontId="13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0" fillId="0" borderId="20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3" fillId="0" borderId="11" xfId="0" applyFont="1" applyBorder="1"/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" xfId="7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39"/>
  <sheetViews>
    <sheetView tabSelected="1" zoomScale="93" zoomScaleNormal="93" workbookViewId="0">
      <selection activeCell="I30" sqref="I30"/>
    </sheetView>
  </sheetViews>
  <sheetFormatPr baseColWidth="10" defaultColWidth="11" defaultRowHeight="12.75" x14ac:dyDescent="0.2"/>
  <cols>
    <col min="1" max="1" width="6.140625" style="20" customWidth="1"/>
    <col min="2" max="2" width="16.85546875" style="20" customWidth="1"/>
    <col min="3" max="3" width="30.140625" style="20" customWidth="1"/>
    <col min="4" max="4" width="8.42578125" style="20" customWidth="1"/>
    <col min="5" max="5" width="57.7109375" style="20" customWidth="1"/>
    <col min="6" max="6" width="14.42578125" style="20" customWidth="1"/>
    <col min="7" max="7" width="10.85546875" style="20" customWidth="1"/>
    <col min="8" max="8" width="15.7109375" style="39" customWidth="1"/>
    <col min="9" max="9" width="18.5703125" style="20" customWidth="1"/>
    <col min="10" max="10" width="11" style="20"/>
    <col min="11" max="11" width="13.140625" style="20" customWidth="1"/>
    <col min="12" max="16384" width="11" style="20"/>
  </cols>
  <sheetData>
    <row r="2" spans="1:10" ht="27" x14ac:dyDescent="0.35">
      <c r="B2" s="94" t="s">
        <v>0</v>
      </c>
      <c r="C2" s="94"/>
      <c r="D2" s="94"/>
      <c r="E2" s="94"/>
      <c r="F2" s="94"/>
      <c r="G2" s="94"/>
      <c r="H2" s="94"/>
    </row>
    <row r="3" spans="1:10" ht="12" customHeight="1" x14ac:dyDescent="0.2"/>
    <row r="4" spans="1:10" ht="18" customHeight="1" x14ac:dyDescent="0.25">
      <c r="A4" s="93" t="s">
        <v>1</v>
      </c>
      <c r="B4" s="93"/>
      <c r="C4" s="95" t="s">
        <v>106</v>
      </c>
      <c r="D4" s="95"/>
      <c r="E4" s="95"/>
      <c r="F4" s="21"/>
      <c r="G4" s="22"/>
      <c r="H4" s="40"/>
    </row>
    <row r="5" spans="1:10" ht="18" customHeight="1" x14ac:dyDescent="0.25">
      <c r="A5" s="93" t="s">
        <v>2</v>
      </c>
      <c r="B5" s="93"/>
      <c r="C5" s="95" t="s">
        <v>107</v>
      </c>
      <c r="D5" s="95"/>
      <c r="E5" s="95"/>
      <c r="F5" s="21"/>
      <c r="G5" s="22" t="s">
        <v>53</v>
      </c>
      <c r="H5" s="40"/>
    </row>
    <row r="6" spans="1:10" ht="16.5" customHeight="1" x14ac:dyDescent="0.25">
      <c r="A6" s="93" t="s">
        <v>3</v>
      </c>
      <c r="B6" s="93"/>
      <c r="C6" s="36">
        <v>2022</v>
      </c>
      <c r="D6" s="37"/>
      <c r="E6" s="37"/>
      <c r="F6" s="21"/>
      <c r="G6" s="22"/>
      <c r="H6" s="40"/>
    </row>
    <row r="7" spans="1:10" ht="16.5" customHeight="1" x14ac:dyDescent="0.25">
      <c r="A7" s="93" t="s">
        <v>4</v>
      </c>
      <c r="B7" s="93"/>
      <c r="C7" s="36">
        <v>3</v>
      </c>
      <c r="D7" s="37"/>
      <c r="E7" s="37"/>
      <c r="F7" s="21"/>
      <c r="G7" s="22"/>
      <c r="H7" s="40"/>
    </row>
    <row r="8" spans="1:10" ht="13.5" thickBot="1" x14ac:dyDescent="0.25">
      <c r="B8" s="21"/>
      <c r="C8" s="22"/>
      <c r="D8" s="21"/>
      <c r="E8" s="21"/>
      <c r="F8" s="21"/>
      <c r="G8" s="22"/>
      <c r="H8" s="40"/>
      <c r="J8" s="38"/>
    </row>
    <row r="9" spans="1:10" ht="36.75" thickBot="1" x14ac:dyDescent="0.25">
      <c r="A9" s="60" t="s">
        <v>5</v>
      </c>
      <c r="B9" s="60" t="s">
        <v>6</v>
      </c>
      <c r="C9" s="60" t="s">
        <v>7</v>
      </c>
      <c r="D9" s="60" t="s">
        <v>8</v>
      </c>
      <c r="E9" s="60" t="s">
        <v>9</v>
      </c>
      <c r="F9" s="60" t="s">
        <v>10</v>
      </c>
      <c r="G9" s="60" t="s">
        <v>11</v>
      </c>
      <c r="H9" s="61" t="s">
        <v>12</v>
      </c>
      <c r="I9" s="60" t="s">
        <v>13</v>
      </c>
    </row>
    <row r="10" spans="1:10" ht="25.5" x14ac:dyDescent="0.2">
      <c r="A10" s="73">
        <v>1</v>
      </c>
      <c r="B10" s="72" t="s">
        <v>61</v>
      </c>
      <c r="C10" s="78" t="s">
        <v>55</v>
      </c>
      <c r="D10" s="79">
        <v>295</v>
      </c>
      <c r="E10" s="88" t="s">
        <v>73</v>
      </c>
      <c r="F10" s="77" t="s">
        <v>56</v>
      </c>
      <c r="G10" s="83">
        <v>80000</v>
      </c>
      <c r="H10" s="86">
        <f>5*1.21</f>
        <v>6.05</v>
      </c>
      <c r="I10" s="74">
        <f t="shared" ref="I10:I27" si="0">+G10*H10</f>
        <v>484000</v>
      </c>
    </row>
    <row r="11" spans="1:10" ht="38.25" x14ac:dyDescent="0.2">
      <c r="A11" s="73">
        <v>2</v>
      </c>
      <c r="B11" s="72" t="s">
        <v>62</v>
      </c>
      <c r="C11" s="78" t="s">
        <v>55</v>
      </c>
      <c r="D11" s="76">
        <v>295</v>
      </c>
      <c r="E11" s="87" t="s">
        <v>74</v>
      </c>
      <c r="F11" s="77" t="s">
        <v>56</v>
      </c>
      <c r="G11" s="83">
        <v>6000</v>
      </c>
      <c r="H11" s="85">
        <v>85</v>
      </c>
      <c r="I11" s="74">
        <f t="shared" si="0"/>
        <v>510000</v>
      </c>
    </row>
    <row r="12" spans="1:10" ht="25.5" x14ac:dyDescent="0.2">
      <c r="A12" s="73">
        <v>3</v>
      </c>
      <c r="B12" s="72" t="s">
        <v>63</v>
      </c>
      <c r="C12" s="78" t="s">
        <v>55</v>
      </c>
      <c r="D12" s="76">
        <v>295</v>
      </c>
      <c r="E12" s="87" t="s">
        <v>75</v>
      </c>
      <c r="F12" s="77" t="s">
        <v>56</v>
      </c>
      <c r="G12" s="83">
        <v>4000</v>
      </c>
      <c r="H12" s="85">
        <v>24</v>
      </c>
      <c r="I12" s="74">
        <f t="shared" si="0"/>
        <v>96000</v>
      </c>
    </row>
    <row r="13" spans="1:10" ht="51" x14ac:dyDescent="0.2">
      <c r="A13" s="73">
        <v>4</v>
      </c>
      <c r="B13" s="72" t="s">
        <v>88</v>
      </c>
      <c r="C13" s="78" t="s">
        <v>55</v>
      </c>
      <c r="D13" s="80">
        <v>295</v>
      </c>
      <c r="E13" s="87" t="s">
        <v>89</v>
      </c>
      <c r="F13" s="77" t="s">
        <v>56</v>
      </c>
      <c r="G13" s="83">
        <v>2000</v>
      </c>
      <c r="H13" s="85">
        <v>85</v>
      </c>
      <c r="I13" s="74">
        <f t="shared" si="0"/>
        <v>170000</v>
      </c>
    </row>
    <row r="14" spans="1:10" ht="51" x14ac:dyDescent="0.2">
      <c r="A14" s="73">
        <v>5</v>
      </c>
      <c r="B14" s="72" t="s">
        <v>90</v>
      </c>
      <c r="C14" s="78" t="s">
        <v>55</v>
      </c>
      <c r="D14" s="80">
        <v>295</v>
      </c>
      <c r="E14" s="87" t="s">
        <v>91</v>
      </c>
      <c r="F14" s="77" t="s">
        <v>56</v>
      </c>
      <c r="G14" s="84">
        <v>2000</v>
      </c>
      <c r="H14" s="85">
        <v>120</v>
      </c>
      <c r="I14" s="74">
        <f t="shared" si="0"/>
        <v>240000</v>
      </c>
    </row>
    <row r="15" spans="1:10" ht="25.5" x14ac:dyDescent="0.2">
      <c r="A15" s="73">
        <v>6</v>
      </c>
      <c r="B15" s="72" t="s">
        <v>64</v>
      </c>
      <c r="C15" s="78" t="s">
        <v>92</v>
      </c>
      <c r="D15" s="80">
        <v>295</v>
      </c>
      <c r="E15" s="88" t="s">
        <v>76</v>
      </c>
      <c r="F15" s="77" t="s">
        <v>56</v>
      </c>
      <c r="G15" s="83">
        <v>20000</v>
      </c>
      <c r="H15" s="86">
        <f>4*1.21</f>
        <v>4.84</v>
      </c>
      <c r="I15" s="74">
        <f t="shared" si="0"/>
        <v>96800</v>
      </c>
    </row>
    <row r="16" spans="1:10" ht="38.25" x14ac:dyDescent="0.2">
      <c r="A16" s="73">
        <v>7</v>
      </c>
      <c r="B16" s="72" t="s">
        <v>65</v>
      </c>
      <c r="C16" s="78" t="s">
        <v>55</v>
      </c>
      <c r="D16" s="76">
        <v>295</v>
      </c>
      <c r="E16" s="88" t="s">
        <v>77</v>
      </c>
      <c r="F16" s="77" t="s">
        <v>86</v>
      </c>
      <c r="G16" s="83">
        <v>3000</v>
      </c>
      <c r="H16" s="86">
        <f>43*1.21</f>
        <v>52.03</v>
      </c>
      <c r="I16" s="74">
        <f t="shared" si="0"/>
        <v>156090</v>
      </c>
    </row>
    <row r="17" spans="1:9" ht="38.25" x14ac:dyDescent="0.2">
      <c r="A17" s="73">
        <v>8</v>
      </c>
      <c r="B17" s="72" t="s">
        <v>66</v>
      </c>
      <c r="C17" s="78" t="s">
        <v>55</v>
      </c>
      <c r="D17" s="76">
        <v>295</v>
      </c>
      <c r="E17" s="87" t="s">
        <v>78</v>
      </c>
      <c r="F17" s="77" t="s">
        <v>86</v>
      </c>
      <c r="G17" s="83">
        <v>5000</v>
      </c>
      <c r="H17" s="86">
        <f t="shared" ref="H17:H20" si="1">43*1.21</f>
        <v>52.03</v>
      </c>
      <c r="I17" s="74">
        <f t="shared" si="0"/>
        <v>260150</v>
      </c>
    </row>
    <row r="18" spans="1:9" ht="38.25" x14ac:dyDescent="0.2">
      <c r="A18" s="73">
        <v>9</v>
      </c>
      <c r="B18" s="72" t="s">
        <v>93</v>
      </c>
      <c r="C18" s="78" t="s">
        <v>55</v>
      </c>
      <c r="D18" s="76">
        <v>295</v>
      </c>
      <c r="E18" s="88" t="s">
        <v>94</v>
      </c>
      <c r="F18" s="77" t="s">
        <v>86</v>
      </c>
      <c r="G18" s="83">
        <v>5000</v>
      </c>
      <c r="H18" s="86">
        <f t="shared" si="1"/>
        <v>52.03</v>
      </c>
      <c r="I18" s="74">
        <f t="shared" si="0"/>
        <v>260150</v>
      </c>
    </row>
    <row r="19" spans="1:9" ht="38.25" x14ac:dyDescent="0.2">
      <c r="A19" s="73">
        <v>10</v>
      </c>
      <c r="B19" s="72" t="s">
        <v>95</v>
      </c>
      <c r="C19" s="78" t="s">
        <v>55</v>
      </c>
      <c r="D19" s="76">
        <v>295</v>
      </c>
      <c r="E19" s="87" t="s">
        <v>96</v>
      </c>
      <c r="F19" s="77" t="s">
        <v>86</v>
      </c>
      <c r="G19" s="83">
        <v>1500</v>
      </c>
      <c r="H19" s="86">
        <f t="shared" si="1"/>
        <v>52.03</v>
      </c>
      <c r="I19" s="74">
        <f t="shared" si="0"/>
        <v>78045</v>
      </c>
    </row>
    <row r="20" spans="1:9" ht="38.25" x14ac:dyDescent="0.2">
      <c r="A20" s="73">
        <v>11</v>
      </c>
      <c r="B20" s="81" t="s">
        <v>97</v>
      </c>
      <c r="C20" s="78" t="s">
        <v>55</v>
      </c>
      <c r="D20" s="76">
        <v>295</v>
      </c>
      <c r="E20" s="87" t="s">
        <v>98</v>
      </c>
      <c r="F20" s="77" t="s">
        <v>86</v>
      </c>
      <c r="G20" s="83">
        <v>1000</v>
      </c>
      <c r="H20" s="86">
        <f t="shared" si="1"/>
        <v>52.03</v>
      </c>
      <c r="I20" s="74">
        <f t="shared" si="0"/>
        <v>52030</v>
      </c>
    </row>
    <row r="21" spans="1:9" ht="38.25" x14ac:dyDescent="0.2">
      <c r="A21" s="73">
        <v>12</v>
      </c>
      <c r="B21" s="72" t="s">
        <v>99</v>
      </c>
      <c r="C21" s="78" t="s">
        <v>55</v>
      </c>
      <c r="D21" s="76">
        <v>295</v>
      </c>
      <c r="E21" s="87" t="s">
        <v>100</v>
      </c>
      <c r="F21" s="77" t="s">
        <v>85</v>
      </c>
      <c r="G21" s="83">
        <v>1000</v>
      </c>
      <c r="H21" s="86">
        <v>531.6</v>
      </c>
      <c r="I21" s="74">
        <f t="shared" si="0"/>
        <v>531600</v>
      </c>
    </row>
    <row r="22" spans="1:9" ht="38.25" x14ac:dyDescent="0.2">
      <c r="A22" s="73">
        <v>13</v>
      </c>
      <c r="B22" s="72" t="s">
        <v>101</v>
      </c>
      <c r="C22" s="78" t="s">
        <v>55</v>
      </c>
      <c r="D22" s="76">
        <v>295</v>
      </c>
      <c r="E22" s="88" t="s">
        <v>102</v>
      </c>
      <c r="F22" s="77" t="s">
        <v>85</v>
      </c>
      <c r="G22" s="83">
        <v>2000</v>
      </c>
      <c r="H22" s="86">
        <v>531.6</v>
      </c>
      <c r="I22" s="74">
        <f t="shared" si="0"/>
        <v>1063200</v>
      </c>
    </row>
    <row r="23" spans="1:9" ht="38.25" x14ac:dyDescent="0.2">
      <c r="A23" s="73">
        <v>14</v>
      </c>
      <c r="B23" s="72" t="s">
        <v>103</v>
      </c>
      <c r="C23" s="78" t="s">
        <v>55</v>
      </c>
      <c r="D23" s="76">
        <v>295</v>
      </c>
      <c r="E23" s="88" t="s">
        <v>104</v>
      </c>
      <c r="F23" s="77" t="s">
        <v>85</v>
      </c>
      <c r="G23" s="83">
        <v>2000</v>
      </c>
      <c r="H23" s="86">
        <v>531.6</v>
      </c>
      <c r="I23" s="74">
        <f t="shared" si="0"/>
        <v>1063200</v>
      </c>
    </row>
    <row r="24" spans="1:9" ht="38.25" x14ac:dyDescent="0.2">
      <c r="A24" s="73">
        <v>15</v>
      </c>
      <c r="B24" s="72" t="s">
        <v>67</v>
      </c>
      <c r="C24" s="78" t="s">
        <v>55</v>
      </c>
      <c r="D24" s="80">
        <v>295</v>
      </c>
      <c r="E24" s="88" t="s">
        <v>79</v>
      </c>
      <c r="F24" s="77" t="s">
        <v>85</v>
      </c>
      <c r="G24" s="83">
        <v>20</v>
      </c>
      <c r="H24" s="86">
        <v>575.70000000000005</v>
      </c>
      <c r="I24" s="74">
        <f t="shared" si="0"/>
        <v>11514</v>
      </c>
    </row>
    <row r="25" spans="1:9" ht="38.25" x14ac:dyDescent="0.2">
      <c r="A25" s="73">
        <v>16</v>
      </c>
      <c r="B25" s="72" t="s">
        <v>68</v>
      </c>
      <c r="C25" s="78" t="s">
        <v>55</v>
      </c>
      <c r="D25" s="80">
        <v>295</v>
      </c>
      <c r="E25" s="87" t="s">
        <v>80</v>
      </c>
      <c r="F25" s="77" t="s">
        <v>85</v>
      </c>
      <c r="G25" s="83">
        <v>20</v>
      </c>
      <c r="H25" s="86">
        <v>575.70000000000005</v>
      </c>
      <c r="I25" s="74">
        <f t="shared" si="0"/>
        <v>11514</v>
      </c>
    </row>
    <row r="26" spans="1:9" ht="38.25" x14ac:dyDescent="0.2">
      <c r="A26" s="73">
        <v>17</v>
      </c>
      <c r="B26" s="72" t="s">
        <v>69</v>
      </c>
      <c r="C26" s="78" t="s">
        <v>55</v>
      </c>
      <c r="D26" s="80">
        <v>295</v>
      </c>
      <c r="E26" s="88" t="s">
        <v>81</v>
      </c>
      <c r="F26" s="77" t="s">
        <v>85</v>
      </c>
      <c r="G26" s="83">
        <v>20</v>
      </c>
      <c r="H26" s="86">
        <v>575.70000000000005</v>
      </c>
      <c r="I26" s="74">
        <f t="shared" si="0"/>
        <v>11514</v>
      </c>
    </row>
    <row r="27" spans="1:9" ht="33.75" customHeight="1" x14ac:dyDescent="0.2">
      <c r="A27" s="73">
        <v>18</v>
      </c>
      <c r="B27" s="72" t="s">
        <v>70</v>
      </c>
      <c r="C27" s="78" t="s">
        <v>55</v>
      </c>
      <c r="D27" s="80">
        <v>295</v>
      </c>
      <c r="E27" s="87" t="s">
        <v>82</v>
      </c>
      <c r="F27" s="77" t="s">
        <v>85</v>
      </c>
      <c r="G27" s="83">
        <v>10</v>
      </c>
      <c r="H27" s="86">
        <v>608</v>
      </c>
      <c r="I27" s="74">
        <f t="shared" si="0"/>
        <v>6080</v>
      </c>
    </row>
    <row r="28" spans="1:9" ht="38.25" x14ac:dyDescent="0.2">
      <c r="A28" s="73">
        <v>19</v>
      </c>
      <c r="B28" s="72" t="s">
        <v>71</v>
      </c>
      <c r="C28" s="78" t="s">
        <v>55</v>
      </c>
      <c r="D28" s="80">
        <v>295</v>
      </c>
      <c r="E28" s="87" t="s">
        <v>83</v>
      </c>
      <c r="F28" s="77" t="s">
        <v>85</v>
      </c>
      <c r="G28" s="83">
        <v>10</v>
      </c>
      <c r="H28" s="86">
        <v>608</v>
      </c>
      <c r="I28" s="74">
        <f t="shared" ref="I28" si="2">+G28*H28</f>
        <v>6080</v>
      </c>
    </row>
    <row r="29" spans="1:9" ht="38.25" x14ac:dyDescent="0.2">
      <c r="A29" s="73">
        <v>20</v>
      </c>
      <c r="B29" s="81" t="s">
        <v>72</v>
      </c>
      <c r="C29" s="78" t="s">
        <v>55</v>
      </c>
      <c r="D29" s="82">
        <v>295</v>
      </c>
      <c r="E29" s="89" t="s">
        <v>84</v>
      </c>
      <c r="F29" s="72" t="s">
        <v>56</v>
      </c>
      <c r="G29" s="84">
        <v>2000</v>
      </c>
      <c r="H29" s="85">
        <v>130</v>
      </c>
      <c r="I29" s="74">
        <f t="shared" ref="I29" si="3">+G29*H29</f>
        <v>260000</v>
      </c>
    </row>
    <row r="30" spans="1:9" ht="13.5" thickBot="1" x14ac:dyDescent="0.25">
      <c r="I30" s="27"/>
    </row>
    <row r="31" spans="1:9" x14ac:dyDescent="0.2">
      <c r="C31" s="65" t="s">
        <v>57</v>
      </c>
      <c r="D31" s="23"/>
      <c r="E31" s="23"/>
      <c r="F31" s="24"/>
      <c r="I31" s="75"/>
    </row>
    <row r="32" spans="1:9" ht="12" customHeight="1" x14ac:dyDescent="0.2">
      <c r="C32" s="90" t="s">
        <v>58</v>
      </c>
      <c r="D32" s="91"/>
      <c r="E32" s="91"/>
      <c r="F32" s="92"/>
      <c r="G32" s="25"/>
    </row>
    <row r="33" spans="2:8" ht="29.25" customHeight="1" x14ac:dyDescent="0.2">
      <c r="C33" s="90"/>
      <c r="D33" s="91"/>
      <c r="E33" s="91"/>
      <c r="F33" s="92"/>
      <c r="G33" s="25"/>
    </row>
    <row r="34" spans="2:8" x14ac:dyDescent="0.2">
      <c r="C34" s="90" t="s">
        <v>60</v>
      </c>
      <c r="D34" s="91"/>
      <c r="E34" s="91"/>
      <c r="F34" s="92"/>
      <c r="G34" s="25"/>
    </row>
    <row r="35" spans="2:8" s="42" customFormat="1" ht="13.5" thickBot="1" x14ac:dyDescent="0.25">
      <c r="B35" s="20"/>
      <c r="C35" s="68" t="s">
        <v>105</v>
      </c>
      <c r="D35" s="69"/>
      <c r="E35" s="70"/>
      <c r="F35" s="71"/>
      <c r="G35" s="67"/>
      <c r="H35" s="43"/>
    </row>
    <row r="36" spans="2:8" x14ac:dyDescent="0.2">
      <c r="B36" s="66"/>
      <c r="C36" s="26"/>
      <c r="D36" s="26"/>
      <c r="E36" s="26"/>
      <c r="F36" s="26"/>
      <c r="G36" s="26"/>
    </row>
    <row r="37" spans="2:8" ht="12" customHeight="1" x14ac:dyDescent="0.2"/>
    <row r="39" spans="2:8" x14ac:dyDescent="0.2">
      <c r="E39" s="20" t="s">
        <v>53</v>
      </c>
    </row>
  </sheetData>
  <autoFilter ref="A9:I27"/>
  <mergeCells count="9">
    <mergeCell ref="C32:F33"/>
    <mergeCell ref="C34:F34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topLeftCell="A25" zoomScale="80" zoomScaleNormal="80" workbookViewId="0">
      <selection activeCell="C10" sqref="C10:G11"/>
    </sheetView>
  </sheetViews>
  <sheetFormatPr baseColWidth="10" defaultColWidth="9.140625" defaultRowHeight="12.75" x14ac:dyDescent="0.2"/>
  <cols>
    <col min="1" max="1" width="5.5703125" style="30" customWidth="1"/>
    <col min="2" max="2" width="15.140625" style="30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48.5703125" style="30" customWidth="1"/>
    <col min="8" max="8" width="9.28515625" style="30" customWidth="1"/>
    <col min="9" max="9" width="15.5703125" style="30" customWidth="1"/>
    <col min="10" max="10" width="14.7109375" style="30" customWidth="1"/>
    <col min="11" max="11" width="15.5703125" style="30" customWidth="1"/>
    <col min="12" max="13" width="5.85546875" style="30" customWidth="1"/>
    <col min="14" max="14" width="14.140625" style="30" customWidth="1"/>
    <col min="15" max="15" width="12.5703125" style="30" customWidth="1"/>
    <col min="16" max="1024" width="9.140625" style="30"/>
    <col min="1025" max="16384" width="9.140625" style="31"/>
  </cols>
  <sheetData>
    <row r="1" spans="1:11" ht="18" customHeight="1" x14ac:dyDescent="0.2">
      <c r="A1" s="103" t="s">
        <v>14</v>
      </c>
      <c r="B1" s="103"/>
      <c r="C1" s="103"/>
      <c r="D1" s="103"/>
      <c r="E1" s="103"/>
      <c r="F1" s="103"/>
      <c r="G1" s="103"/>
      <c r="H1" s="103"/>
      <c r="I1" s="103"/>
      <c r="J1" s="28" t="s">
        <v>15</v>
      </c>
      <c r="K1" s="29" t="s">
        <v>109</v>
      </c>
    </row>
    <row r="2" spans="1:11" ht="18.75" customHeight="1" thickBot="1" x14ac:dyDescent="0.25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1" ht="18.75" customHeight="1" thickBot="1" x14ac:dyDescent="0.25">
      <c r="A3" s="104" t="s">
        <v>48</v>
      </c>
      <c r="B3" s="104"/>
      <c r="C3" s="104"/>
      <c r="D3" s="97" t="str">
        <f>'Necesidades Trimestrales'!C4</f>
        <v>40 - Ministerio de Salud</v>
      </c>
      <c r="E3" s="97"/>
      <c r="F3" s="97"/>
      <c r="G3" s="97"/>
      <c r="H3" s="97"/>
      <c r="I3" s="97"/>
      <c r="J3" s="97"/>
      <c r="K3" s="97"/>
    </row>
    <row r="4" spans="1:11" ht="18.75" customHeight="1" thickBot="1" x14ac:dyDescent="0.25">
      <c r="A4" s="105" t="s">
        <v>49</v>
      </c>
      <c r="B4" s="105"/>
      <c r="C4" s="105"/>
      <c r="D4" s="97" t="str">
        <f>'Necesidades Trimestrales'!C5</f>
        <v>24 - Direccion de Administracion del Hospital Interzonal de Niños</v>
      </c>
      <c r="E4" s="97"/>
      <c r="F4" s="97"/>
      <c r="G4" s="97"/>
      <c r="H4" s="97"/>
      <c r="I4" s="97"/>
      <c r="J4" s="97"/>
      <c r="K4" s="97"/>
    </row>
    <row r="5" spans="1:11" ht="18.75" customHeight="1" thickBot="1" x14ac:dyDescent="0.25">
      <c r="A5" s="105" t="s">
        <v>27</v>
      </c>
      <c r="B5" s="105"/>
      <c r="C5" s="105"/>
      <c r="D5" s="97" t="s">
        <v>107</v>
      </c>
      <c r="E5" s="97"/>
      <c r="F5" s="97"/>
      <c r="G5" s="97"/>
      <c r="H5" s="97"/>
      <c r="I5" s="97"/>
      <c r="J5" s="97"/>
      <c r="K5" s="97"/>
    </row>
    <row r="6" spans="1:11" ht="16.5" customHeight="1" thickBot="1" x14ac:dyDescent="0.25">
      <c r="A6" s="104" t="s">
        <v>50</v>
      </c>
      <c r="B6" s="104"/>
      <c r="C6" s="104"/>
      <c r="D6" s="97" t="s">
        <v>54</v>
      </c>
      <c r="E6" s="97"/>
      <c r="F6" s="97"/>
      <c r="G6" s="97"/>
      <c r="H6" s="97"/>
      <c r="I6" s="97"/>
      <c r="J6" s="97"/>
      <c r="K6" s="97"/>
    </row>
    <row r="7" spans="1:11" ht="16.5" customHeight="1" x14ac:dyDescent="0.2">
      <c r="A7" s="105" t="s">
        <v>16</v>
      </c>
      <c r="B7" s="105"/>
      <c r="C7" s="105"/>
      <c r="D7" s="97" t="s">
        <v>59</v>
      </c>
      <c r="E7" s="97"/>
      <c r="F7" s="97"/>
      <c r="G7" s="97"/>
      <c r="H7" s="97"/>
      <c r="I7" s="97"/>
      <c r="J7" s="97"/>
      <c r="K7" s="97"/>
    </row>
    <row r="8" spans="1:11" ht="16.5" customHeight="1" x14ac:dyDescent="0.2">
      <c r="A8" s="99" t="s">
        <v>17</v>
      </c>
      <c r="B8" s="99"/>
      <c r="C8" s="99"/>
      <c r="D8" s="100" t="s">
        <v>110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1" ht="18.75" customHeight="1" x14ac:dyDescent="0.2">
      <c r="A10" s="101" t="s">
        <v>18</v>
      </c>
      <c r="B10" s="102" t="s">
        <v>19</v>
      </c>
      <c r="C10" s="102" t="s">
        <v>20</v>
      </c>
      <c r="D10" s="102"/>
      <c r="E10" s="102"/>
      <c r="F10" s="102"/>
      <c r="G10" s="102"/>
      <c r="H10" s="102" t="s">
        <v>21</v>
      </c>
      <c r="I10" s="102" t="s">
        <v>22</v>
      </c>
      <c r="J10" s="102" t="s">
        <v>23</v>
      </c>
      <c r="K10" s="106" t="s">
        <v>24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6"/>
    </row>
    <row r="12" spans="1:11" ht="27.75" customHeight="1" x14ac:dyDescent="0.2">
      <c r="A12" s="63">
        <v>1</v>
      </c>
      <c r="B12" s="64" t="str">
        <f>'Necesidades Trimestrales'!B10</f>
        <v xml:space="preserve">2.9.5-428.21 </v>
      </c>
      <c r="C12" s="96" t="str">
        <f>'Necesidades Trimestrales'!E10</f>
        <v>BARBIJOS; TIPO: 3 CAPAS</v>
      </c>
      <c r="D12" s="96"/>
      <c r="E12" s="96"/>
      <c r="F12" s="96"/>
      <c r="G12" s="96"/>
      <c r="H12" s="58" t="s">
        <v>52</v>
      </c>
      <c r="I12" s="59" t="str">
        <f>'Necesidades Trimestrales'!F10</f>
        <v>UNIDAD</v>
      </c>
      <c r="J12" s="57">
        <f>'Necesidades Trimestrales'!H10</f>
        <v>6.05</v>
      </c>
      <c r="K12" s="56">
        <f>'Necesidades Trimestrales'!G10</f>
        <v>80000</v>
      </c>
    </row>
    <row r="13" spans="1:11" ht="27.75" customHeight="1" x14ac:dyDescent="0.2">
      <c r="A13" s="55">
        <v>2</v>
      </c>
      <c r="B13" s="64" t="str">
        <f>'Necesidades Trimestrales'!B11</f>
        <v>2.9.5-428.36</v>
      </c>
      <c r="C13" s="96" t="str">
        <f>'Necesidades Trimestrales'!E11</f>
        <v>BARBIJOS; TIPO: COPA N95 SIN VALVULA, MATERIAL: NO TEJIDO, CANTIDAD DE CAPAS: DOS, DESCARTABLE: SI, PRESENTACION: UNIDAD</v>
      </c>
      <c r="D13" s="96"/>
      <c r="E13" s="96"/>
      <c r="F13" s="96"/>
      <c r="G13" s="96"/>
      <c r="H13" s="58" t="s">
        <v>52</v>
      </c>
      <c r="I13" s="59" t="str">
        <f>'Necesidades Trimestrales'!F11</f>
        <v>UNIDAD</v>
      </c>
      <c r="J13" s="57">
        <f>'Necesidades Trimestrales'!H11</f>
        <v>85</v>
      </c>
      <c r="K13" s="56">
        <f>'Necesidades Trimestrales'!G11</f>
        <v>6000</v>
      </c>
    </row>
    <row r="14" spans="1:11" ht="27.75" customHeight="1" x14ac:dyDescent="0.2">
      <c r="A14" s="63">
        <v>3</v>
      </c>
      <c r="B14" s="64" t="str">
        <f>'Necesidades Trimestrales'!B12</f>
        <v xml:space="preserve">2.9.5-4198.9 </v>
      </c>
      <c r="C14" s="96" t="str">
        <f>'Necesidades Trimestrales'!E12</f>
        <v>ELEMENTOS DESC. P/CIRUGIAS; TIPO: BOTA CAÑA ALTA CON TIRAS, CANTIDAD: 1, PRESENTACION: 1</v>
      </c>
      <c r="D14" s="96"/>
      <c r="E14" s="96"/>
      <c r="F14" s="96"/>
      <c r="G14" s="96"/>
      <c r="H14" s="58" t="s">
        <v>52</v>
      </c>
      <c r="I14" s="59" t="str">
        <f>'Necesidades Trimestrales'!F12</f>
        <v>UNIDAD</v>
      </c>
      <c r="J14" s="57">
        <f>'Necesidades Trimestrales'!H12</f>
        <v>24</v>
      </c>
      <c r="K14" s="56">
        <f>'Necesidades Trimestrales'!G12</f>
        <v>4000</v>
      </c>
    </row>
    <row r="15" spans="1:11" ht="27.75" customHeight="1" x14ac:dyDescent="0.2">
      <c r="A15" s="55">
        <v>4</v>
      </c>
      <c r="B15" s="64" t="str">
        <f>'Necesidades Trimestrales'!B13</f>
        <v xml:space="preserve">2.9.5-4198.170 </v>
      </c>
      <c r="C15" s="96" t="str">
        <f>'Necesidades Trimestrales'!E13</f>
        <v>ELEMENTOS DESC. P/CIRUGIAS; TIPO: CAMISOLIN HEMORREP. DE 30 GRAMOS CON MANGAS Y PUÑOS ELASTICOS DE 1,4 MTRS DE LARGO, CANTIDAD: POR UNIDAD, PRESENTACION: UNIDAD</v>
      </c>
      <c r="D15" s="96"/>
      <c r="E15" s="96"/>
      <c r="F15" s="96"/>
      <c r="G15" s="96"/>
      <c r="H15" s="58" t="s">
        <v>52</v>
      </c>
      <c r="I15" s="59" t="str">
        <f>'Necesidades Trimestrales'!F13</f>
        <v>UNIDAD</v>
      </c>
      <c r="J15" s="57">
        <f>'Necesidades Trimestrales'!H13</f>
        <v>85</v>
      </c>
      <c r="K15" s="56">
        <f>'Necesidades Trimestrales'!G13</f>
        <v>2000</v>
      </c>
    </row>
    <row r="16" spans="1:11" ht="27.75" customHeight="1" x14ac:dyDescent="0.2">
      <c r="A16" s="63">
        <v>5</v>
      </c>
      <c r="B16" s="64" t="str">
        <f>'Necesidades Trimestrales'!B14</f>
        <v xml:space="preserve">2.9.5-4198.169 </v>
      </c>
      <c r="C16" s="96" t="str">
        <f>'Necesidades Trimestrales'!E14</f>
        <v>ELEMENTOS DESC. P/CIRUGIAS; TIPO: CAMISOLIN HEMORREP. DE 50 GRAMOS CON MANGAS Y PUÑOS ALGODON DE 1,4 MTRS DE LARGO, CANTIDAD: POR UNIDAD, PRESENTACION: UNIDAD</v>
      </c>
      <c r="D16" s="96"/>
      <c r="E16" s="96"/>
      <c r="F16" s="96"/>
      <c r="G16" s="96"/>
      <c r="H16" s="58" t="s">
        <v>52</v>
      </c>
      <c r="I16" s="59" t="str">
        <f>'Necesidades Trimestrales'!F14</f>
        <v>UNIDAD</v>
      </c>
      <c r="J16" s="57">
        <f>'Necesidades Trimestrales'!H14</f>
        <v>120</v>
      </c>
      <c r="K16" s="56">
        <f>'Necesidades Trimestrales'!G14</f>
        <v>2000</v>
      </c>
    </row>
    <row r="17" spans="1:14" ht="27.75" customHeight="1" x14ac:dyDescent="0.2">
      <c r="A17" s="55">
        <v>6</v>
      </c>
      <c r="B17" s="64" t="str">
        <f>'Necesidades Trimestrales'!B15</f>
        <v>2.2.2-915.15</v>
      </c>
      <c r="C17" s="96" t="str">
        <f>'Necesidades Trimestrales'!E15</f>
        <v>ROPA DESCARTABLE; ELEMENTO: COFIA, VARIEDAD: CON ELASTICO, ESPECIFICACION: CON ELASTICO</v>
      </c>
      <c r="D17" s="96"/>
      <c r="E17" s="96"/>
      <c r="F17" s="96"/>
      <c r="G17" s="96"/>
      <c r="H17" s="58" t="s">
        <v>52</v>
      </c>
      <c r="I17" s="59" t="str">
        <f>'Necesidades Trimestrales'!F15</f>
        <v>UNIDAD</v>
      </c>
      <c r="J17" s="57">
        <f>'Necesidades Trimestrales'!H15</f>
        <v>4.84</v>
      </c>
      <c r="K17" s="56">
        <f>'Necesidades Trimestrales'!G15</f>
        <v>20000</v>
      </c>
    </row>
    <row r="18" spans="1:14" ht="27.75" customHeight="1" x14ac:dyDescent="0.2">
      <c r="A18" s="63">
        <v>7</v>
      </c>
      <c r="B18" s="64" t="str">
        <f>'Necesidades Trimestrales'!B16</f>
        <v>2.9.5-1909.135</v>
      </c>
      <c r="C18" s="96" t="str">
        <f>'Necesidades Trimestrales'!E16</f>
        <v>GUANTES USO MEDICINAL; TIPO: ESTERIL, TAMAÑO: 6 1/2 CAÑA LARGA, MATERIAL: LATEX, PRESENTACION: PAR, ESTERIL: SI, TALCO: SIN, DESCARTABLE: SI</v>
      </c>
      <c r="D18" s="96"/>
      <c r="E18" s="96"/>
      <c r="F18" s="96"/>
      <c r="G18" s="96"/>
      <c r="H18" s="58" t="s">
        <v>52</v>
      </c>
      <c r="I18" s="59" t="str">
        <f>'Necesidades Trimestrales'!F16</f>
        <v>PAR</v>
      </c>
      <c r="J18" s="57">
        <f>'Necesidades Trimestrales'!H16</f>
        <v>52.03</v>
      </c>
      <c r="K18" s="56">
        <f>'Necesidades Trimestrales'!G16</f>
        <v>3000</v>
      </c>
    </row>
    <row r="19" spans="1:14" ht="27.75" customHeight="1" x14ac:dyDescent="0.2">
      <c r="A19" s="55">
        <v>8</v>
      </c>
      <c r="B19" s="64" t="str">
        <f>'Necesidades Trimestrales'!B17</f>
        <v>2.9.5-1909.203</v>
      </c>
      <c r="C19" s="96" t="str">
        <f>'Necesidades Trimestrales'!E17</f>
        <v>GUANTES USO MEDICINAL; TIPO: ESTERIL, TAMAÑO: 7 CAÑA LARGA, MATERIAL: LATEX, PRESENTACION: PAR, ESTERIL: SI, TALCO: SIN, DESCARTABLE: SI</v>
      </c>
      <c r="D19" s="96"/>
      <c r="E19" s="96"/>
      <c r="F19" s="96"/>
      <c r="G19" s="96"/>
      <c r="H19" s="58" t="s">
        <v>52</v>
      </c>
      <c r="I19" s="59" t="str">
        <f>'Necesidades Trimestrales'!F17</f>
        <v>PAR</v>
      </c>
      <c r="J19" s="57">
        <f>'Necesidades Trimestrales'!H17</f>
        <v>52.03</v>
      </c>
      <c r="K19" s="56">
        <f>'Necesidades Trimestrales'!G17</f>
        <v>5000</v>
      </c>
    </row>
    <row r="20" spans="1:14" ht="27.75" customHeight="1" x14ac:dyDescent="0.2">
      <c r="A20" s="63">
        <v>9</v>
      </c>
      <c r="B20" s="64" t="str">
        <f>'Necesidades Trimestrales'!B18</f>
        <v>2.9.5-1909.184</v>
      </c>
      <c r="C20" s="96" t="str">
        <f>'Necesidades Trimestrales'!E18</f>
        <v>GUANTES USO MEDICINAL; TIPO: ESTERIL, TAMAÑO: 7 1/2 CAÑA LARGA, MATERIAL: LATEX, PRESENTACION: PAR, ESTERIL: SI, TALCO: SIN, DESCARTABLE: SI</v>
      </c>
      <c r="D20" s="96"/>
      <c r="E20" s="96"/>
      <c r="F20" s="96"/>
      <c r="G20" s="96"/>
      <c r="H20" s="58" t="s">
        <v>52</v>
      </c>
      <c r="I20" s="59" t="str">
        <f>'Necesidades Trimestrales'!F18</f>
        <v>PAR</v>
      </c>
      <c r="J20" s="57">
        <f>'Necesidades Trimestrales'!H18</f>
        <v>52.03</v>
      </c>
      <c r="K20" s="56">
        <f>'Necesidades Trimestrales'!G18</f>
        <v>5000</v>
      </c>
    </row>
    <row r="21" spans="1:14" ht="27.75" customHeight="1" x14ac:dyDescent="0.2">
      <c r="A21" s="55">
        <v>10</v>
      </c>
      <c r="B21" s="64" t="str">
        <f>'Necesidades Trimestrales'!B19</f>
        <v>2.9.5-1909.202</v>
      </c>
      <c r="C21" s="96" t="str">
        <f>'Necesidades Trimestrales'!E19</f>
        <v>GUANTES USO MEDICINAL; TIPO: ESTERIL, TAMAÑO: 8 CAÑA LARGA, MATERIAL: LATEX, PRESENTACION: PAR, ESTERIL: SI, TALCO: SIN, DESCARTABLE: SI</v>
      </c>
      <c r="D21" s="96"/>
      <c r="E21" s="96"/>
      <c r="F21" s="96"/>
      <c r="G21" s="96"/>
      <c r="H21" s="58" t="s">
        <v>52</v>
      </c>
      <c r="I21" s="59" t="str">
        <f>'Necesidades Trimestrales'!F19</f>
        <v>PAR</v>
      </c>
      <c r="J21" s="57">
        <f>'Necesidades Trimestrales'!H19</f>
        <v>52.03</v>
      </c>
      <c r="K21" s="56">
        <f>'Necesidades Trimestrales'!G19</f>
        <v>1500</v>
      </c>
    </row>
    <row r="22" spans="1:14" ht="27.75" customHeight="1" x14ac:dyDescent="0.2">
      <c r="A22" s="63">
        <v>11</v>
      </c>
      <c r="B22" s="64" t="str">
        <f>'Necesidades Trimestrales'!B20</f>
        <v>2.9.5-1909.223</v>
      </c>
      <c r="C22" s="96" t="str">
        <f>'Necesidades Trimestrales'!E20</f>
        <v>GUANTES USO MEDICINAL; TIPO: ESTERIL, TAMAÑO: 8 1/2 CAÑA LARGA, MATERIAL: LATEX, PRESENTACION: PAR, ESTERIL: SI, TALCO: SIN, DESCARTABLE: SI</v>
      </c>
      <c r="D22" s="96"/>
      <c r="E22" s="96"/>
      <c r="F22" s="96"/>
      <c r="G22" s="96"/>
      <c r="H22" s="58" t="s">
        <v>52</v>
      </c>
      <c r="I22" s="59" t="str">
        <f>'Necesidades Trimestrales'!F20</f>
        <v>PAR</v>
      </c>
      <c r="J22" s="57">
        <f>'Necesidades Trimestrales'!H20</f>
        <v>52.03</v>
      </c>
      <c r="K22" s="56">
        <f>'Necesidades Trimestrales'!G20</f>
        <v>1000</v>
      </c>
    </row>
    <row r="23" spans="1:14" ht="27.75" customHeight="1" x14ac:dyDescent="0.2">
      <c r="A23" s="55">
        <v>12</v>
      </c>
      <c r="B23" s="64" t="str">
        <f>'Necesidades Trimestrales'!B21</f>
        <v>2.9.5-1909.78</v>
      </c>
      <c r="C23" s="96" t="str">
        <f>'Necesidades Trimestrales'!E21</f>
        <v>GUANTES USO MEDICINAL; TIPO: EXAMINACION , TAMAÑO: GRANDE, MATERIAL: LATEX, PRESENTACION: ENVASE X 100 UN</v>
      </c>
      <c r="D23" s="96"/>
      <c r="E23" s="96"/>
      <c r="F23" s="96"/>
      <c r="G23" s="96"/>
      <c r="H23" s="58" t="s">
        <v>52</v>
      </c>
      <c r="I23" s="59" t="str">
        <f>'Necesidades Trimestrales'!F21</f>
        <v>CAJA</v>
      </c>
      <c r="J23" s="57">
        <f>'Necesidades Trimestrales'!H21</f>
        <v>531.6</v>
      </c>
      <c r="K23" s="56">
        <f>'Necesidades Trimestrales'!G21</f>
        <v>1000</v>
      </c>
    </row>
    <row r="24" spans="1:14" ht="27.75" customHeight="1" x14ac:dyDescent="0.2">
      <c r="A24" s="63">
        <v>13</v>
      </c>
      <c r="B24" s="64" t="str">
        <f>'Necesidades Trimestrales'!B22</f>
        <v>2.9.5-1909.79</v>
      </c>
      <c r="C24" s="96" t="str">
        <f>'Necesidades Trimestrales'!E22</f>
        <v>GUANTES USO MEDICINAL; TIPO: EXAMINACION , TAMAÑO: MEDIANO, MATERIAL: LATEX, PRESENTACION: ENVASE X 100 UN</v>
      </c>
      <c r="D24" s="96"/>
      <c r="E24" s="96"/>
      <c r="F24" s="96"/>
      <c r="G24" s="96"/>
      <c r="H24" s="58" t="s">
        <v>52</v>
      </c>
      <c r="I24" s="59" t="str">
        <f>'Necesidades Trimestrales'!F22</f>
        <v>CAJA</v>
      </c>
      <c r="J24" s="57">
        <f>'Necesidades Trimestrales'!H22</f>
        <v>531.6</v>
      </c>
      <c r="K24" s="56">
        <f>'Necesidades Trimestrales'!G22</f>
        <v>2000</v>
      </c>
    </row>
    <row r="25" spans="1:14" ht="27.75" customHeight="1" x14ac:dyDescent="0.2">
      <c r="A25" s="55">
        <v>14</v>
      </c>
      <c r="B25" s="64" t="str">
        <f>'Necesidades Trimestrales'!B23</f>
        <v>2.9.5-1909.195</v>
      </c>
      <c r="C25" s="96" t="str">
        <f>'Necesidades Trimestrales'!E23</f>
        <v>GUANTES USO MEDICINAL; TIPO: EXAMINACION, TAMAÑO: S 6/7, MATERIAL: LATEX, PRESENTACION: ENVASE X 100 UN, ESTERIL: NO, TALCO: CON, DESCARTABLE: SI</v>
      </c>
      <c r="D25" s="96"/>
      <c r="E25" s="96"/>
      <c r="F25" s="96"/>
      <c r="G25" s="96"/>
      <c r="H25" s="58" t="s">
        <v>52</v>
      </c>
      <c r="I25" s="59" t="str">
        <f>'Necesidades Trimestrales'!F23</f>
        <v>CAJA</v>
      </c>
      <c r="J25" s="57">
        <f>'Necesidades Trimestrales'!H23</f>
        <v>531.6</v>
      </c>
      <c r="K25" s="56">
        <f>'Necesidades Trimestrales'!G23</f>
        <v>2000</v>
      </c>
    </row>
    <row r="26" spans="1:14" ht="27.75" customHeight="1" x14ac:dyDescent="0.2">
      <c r="A26" s="63">
        <v>15</v>
      </c>
      <c r="B26" s="64" t="str">
        <f>'Necesidades Trimestrales'!B24</f>
        <v>2.9.5-1909.172</v>
      </c>
      <c r="C26" s="96" t="str">
        <f>'Necesidades Trimestrales'!E24</f>
        <v>GUANTES USO MEDICINAL; TIPO: EXAMINACION, TAMAÑO: S 6/7, MATERIAL: NITRILO, PRESENTACION: ENVASE X 100 UN, ESTERIL: NO, TALCO: SIN, DESCARTABLE: SI</v>
      </c>
      <c r="D26" s="96"/>
      <c r="E26" s="96"/>
      <c r="F26" s="96"/>
      <c r="G26" s="96"/>
      <c r="H26" s="58" t="s">
        <v>52</v>
      </c>
      <c r="I26" s="59" t="str">
        <f>'Necesidades Trimestrales'!F24</f>
        <v>CAJA</v>
      </c>
      <c r="J26" s="57">
        <f>'Necesidades Trimestrales'!H24</f>
        <v>575.70000000000005</v>
      </c>
      <c r="K26" s="56">
        <f>'Necesidades Trimestrales'!G24</f>
        <v>20</v>
      </c>
    </row>
    <row r="27" spans="1:14" ht="27.75" customHeight="1" x14ac:dyDescent="0.2">
      <c r="A27" s="55">
        <v>16</v>
      </c>
      <c r="B27" s="64" t="str">
        <f>'Necesidades Trimestrales'!B25</f>
        <v>2.9.5-1909.174</v>
      </c>
      <c r="C27" s="96" t="str">
        <f>'Necesidades Trimestrales'!E25</f>
        <v>GUANTES USO MEDICINAL; TIPO: EXAMINACION, TAMAÑO: L 8/9, MATERIAL: NITRILO, PRESENTACION: ENVASE X 100 UN, ESTERIL: NO, TALCO: SIN, DESCARTABLE: SI</v>
      </c>
      <c r="D27" s="96"/>
      <c r="E27" s="96"/>
      <c r="F27" s="96"/>
      <c r="G27" s="96"/>
      <c r="H27" s="58" t="s">
        <v>52</v>
      </c>
      <c r="I27" s="59" t="str">
        <f>'Necesidades Trimestrales'!F25</f>
        <v>CAJA</v>
      </c>
      <c r="J27" s="57">
        <f>'Necesidades Trimestrales'!H25</f>
        <v>575.70000000000005</v>
      </c>
      <c r="K27" s="56">
        <f>'Necesidades Trimestrales'!G25</f>
        <v>20</v>
      </c>
    </row>
    <row r="28" spans="1:14" ht="27.75" customHeight="1" x14ac:dyDescent="0.2">
      <c r="A28" s="63">
        <v>17</v>
      </c>
      <c r="B28" s="64" t="str">
        <f>'Necesidades Trimestrales'!B26</f>
        <v>2.9.5-1909.173</v>
      </c>
      <c r="C28" s="96" t="str">
        <f>'Necesidades Trimestrales'!E26</f>
        <v>GUANTES USO MEDICINAL; TIPO: EXAMINACION, TAMAÑO: M 7/8, MATERIAL: NITRILO, PRESENTACION: ENVASE X 100 UN, ESTERIL: NO, TALCO: SIN, DESCARTABLE: SI</v>
      </c>
      <c r="D28" s="96"/>
      <c r="E28" s="96"/>
      <c r="F28" s="96"/>
      <c r="G28" s="96"/>
      <c r="H28" s="58" t="s">
        <v>52</v>
      </c>
      <c r="I28" s="59" t="str">
        <f>'Necesidades Trimestrales'!F26</f>
        <v>CAJA</v>
      </c>
      <c r="J28" s="57">
        <f>'Necesidades Trimestrales'!H26</f>
        <v>575.70000000000005</v>
      </c>
      <c r="K28" s="56">
        <f>'Necesidades Trimestrales'!G26</f>
        <v>20</v>
      </c>
    </row>
    <row r="29" spans="1:14" ht="27.75" customHeight="1" x14ac:dyDescent="0.2">
      <c r="A29" s="55">
        <v>18</v>
      </c>
      <c r="B29" s="64" t="str">
        <f>'Necesidades Trimestrales'!B27</f>
        <v>2.9.5-1909.169</v>
      </c>
      <c r="C29" s="96" t="str">
        <f>'Necesidades Trimestrales'!E27</f>
        <v>GUANTES USO MEDICINAL; TIPO: EXAMINACION, TAMAÑO: L 8/9, MATERIAL: VINILO, PRESENTACION: ENVASE X 100 UN, ESTERIL: NO, TALCO: SIN, DESCARTABLE: SI</v>
      </c>
      <c r="D29" s="96"/>
      <c r="E29" s="96"/>
      <c r="F29" s="96"/>
      <c r="G29" s="96"/>
      <c r="H29" s="58" t="s">
        <v>52</v>
      </c>
      <c r="I29" s="59" t="str">
        <f>'Necesidades Trimestrales'!F27</f>
        <v>CAJA</v>
      </c>
      <c r="J29" s="57">
        <f>'Necesidades Trimestrales'!H27</f>
        <v>608</v>
      </c>
      <c r="K29" s="56">
        <f>'Necesidades Trimestrales'!G27</f>
        <v>10</v>
      </c>
    </row>
    <row r="30" spans="1:14" ht="27.75" customHeight="1" x14ac:dyDescent="0.2">
      <c r="A30" s="63">
        <v>19</v>
      </c>
      <c r="B30" s="64" t="str">
        <f>'Necesidades Trimestrales'!B28</f>
        <v>2.9.5-1909.168</v>
      </c>
      <c r="C30" s="96" t="str">
        <f>'Necesidades Trimestrales'!E28</f>
        <v>GUANTES USO MEDICINAL; TIPO: EXAMINACION, TAMAÑO: M 7/8, MATERIAL: VINILO, PRESENTACION: ENVASE X 100 UN, ESTERIL: NO, TALCO: SIN, DESCARTABLE: SI</v>
      </c>
      <c r="D30" s="96"/>
      <c r="E30" s="96"/>
      <c r="F30" s="96"/>
      <c r="G30" s="96"/>
      <c r="H30" s="58" t="s">
        <v>52</v>
      </c>
      <c r="I30" s="59" t="str">
        <f>'Necesidades Trimestrales'!F28</f>
        <v>CAJA</v>
      </c>
      <c r="J30" s="57">
        <f>'Necesidades Trimestrales'!H28</f>
        <v>608</v>
      </c>
      <c r="K30" s="56">
        <f>'Necesidades Trimestrales'!G28</f>
        <v>10</v>
      </c>
    </row>
    <row r="31" spans="1:14" ht="27.75" customHeight="1" thickBot="1" x14ac:dyDescent="0.25">
      <c r="A31" s="55">
        <v>20</v>
      </c>
      <c r="B31" s="64" t="str">
        <f>'Necesidades Trimestrales'!B29</f>
        <v>2.9.5-4198.171</v>
      </c>
      <c r="C31" s="96" t="str">
        <f>'Necesidades Trimestrales'!E29</f>
        <v>ELEMENTOS DESC. P/CIRUGIAS; TIPO: KIT DE CAMISOLIN 50 GRS CON PUÑO DE ALGODON + COFIA + BOTAS PAR, PRESENTACION: INDIVIDUAL, ESTERIL: NO</v>
      </c>
      <c r="D31" s="96"/>
      <c r="E31" s="96"/>
      <c r="F31" s="96"/>
      <c r="G31" s="96"/>
      <c r="H31" s="58" t="s">
        <v>52</v>
      </c>
      <c r="I31" s="59" t="str">
        <f>'Necesidades Trimestrales'!F29</f>
        <v>UNIDAD</v>
      </c>
      <c r="J31" s="57">
        <f>'Necesidades Trimestrales'!H29</f>
        <v>130</v>
      </c>
      <c r="K31" s="56">
        <f>'Necesidades Trimestrales'!G29</f>
        <v>2000</v>
      </c>
    </row>
    <row r="32" spans="1:14" ht="20.25" customHeight="1" thickBot="1" x14ac:dyDescent="0.25">
      <c r="A32" s="97" t="s">
        <v>108</v>
      </c>
      <c r="B32" s="97"/>
      <c r="C32" s="97"/>
      <c r="D32" s="97"/>
      <c r="E32" s="97"/>
      <c r="F32" s="97"/>
      <c r="G32" s="97"/>
      <c r="H32" s="97"/>
      <c r="I32" s="97"/>
      <c r="J32" s="98">
        <f>SUMPRODUCT(J12:J31,K12:K31)</f>
        <v>5367967</v>
      </c>
      <c r="K32" s="98"/>
      <c r="N32" s="41"/>
    </row>
  </sheetData>
  <mergeCells count="42">
    <mergeCell ref="C29:G29"/>
    <mergeCell ref="C24:G24"/>
    <mergeCell ref="C25:G25"/>
    <mergeCell ref="C26:G26"/>
    <mergeCell ref="C27:G27"/>
    <mergeCell ref="C28:G28"/>
    <mergeCell ref="C19:G19"/>
    <mergeCell ref="C20:G20"/>
    <mergeCell ref="C21:G21"/>
    <mergeCell ref="C22:G22"/>
    <mergeCell ref="C23:G23"/>
    <mergeCell ref="C18:G1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H10:H11"/>
    <mergeCell ref="I10:I11"/>
    <mergeCell ref="J10:J11"/>
    <mergeCell ref="K10:K11"/>
    <mergeCell ref="A8:C8"/>
    <mergeCell ref="D8:K8"/>
    <mergeCell ref="A10:A11"/>
    <mergeCell ref="B10:B11"/>
    <mergeCell ref="C10:G11"/>
    <mergeCell ref="A32:I32"/>
    <mergeCell ref="J32:K32"/>
    <mergeCell ref="C12:G12"/>
    <mergeCell ref="C13:G13"/>
    <mergeCell ref="C14:G14"/>
    <mergeCell ref="C15:G15"/>
    <mergeCell ref="C16:G16"/>
    <mergeCell ref="C17:G17"/>
    <mergeCell ref="C30:G30"/>
    <mergeCell ref="C31:G3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A26" sqref="A2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5" width="14.85546875" customWidth="1"/>
    <col min="16" max="16" width="15.5703125" customWidth="1"/>
    <col min="17" max="17" width="14.7109375" customWidth="1"/>
  </cols>
  <sheetData>
    <row r="1" spans="1:17" ht="15.75" customHeight="1" x14ac:dyDescent="0.25">
      <c r="A1" s="134" t="s">
        <v>3</v>
      </c>
      <c r="B1" s="134"/>
      <c r="C1" s="134"/>
      <c r="D1" s="135">
        <f>'Necesidades Trimestrales'!C6</f>
        <v>2022</v>
      </c>
      <c r="E1" s="135"/>
      <c r="F1" s="3"/>
      <c r="G1" s="3"/>
      <c r="H1" s="4"/>
      <c r="I1" s="4"/>
      <c r="J1" s="4"/>
      <c r="K1" s="4"/>
      <c r="L1" s="4"/>
      <c r="M1" s="4"/>
      <c r="N1" s="4"/>
      <c r="P1" s="136" t="s">
        <v>25</v>
      </c>
      <c r="Q1" s="13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6"/>
      <c r="Q2" s="136"/>
    </row>
    <row r="4" spans="1:17" s="5" customFormat="1" ht="18" customHeight="1" thickBot="1" x14ac:dyDescent="0.25">
      <c r="A4" s="137" t="s">
        <v>26</v>
      </c>
      <c r="B4" s="137"/>
      <c r="C4" s="137"/>
      <c r="D4" s="137"/>
      <c r="E4" s="137"/>
      <c r="F4" s="137"/>
      <c r="G4" s="132" t="str">
        <f>' NotaPedido'!D3</f>
        <v>40 - Ministerio de Salud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7" s="5" customFormat="1" ht="18" customHeight="1" thickBot="1" x14ac:dyDescent="0.25">
      <c r="A5" s="129" t="s">
        <v>49</v>
      </c>
      <c r="B5" s="130"/>
      <c r="C5" s="130"/>
      <c r="D5" s="130"/>
      <c r="E5" s="130"/>
      <c r="F5" s="131"/>
      <c r="G5" s="132" t="str">
        <f>' NotaPedido'!D4</f>
        <v>24 - Direccion de Administracion del Hospital Interzonal de Niños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7" s="5" customFormat="1" ht="18" customHeight="1" thickBot="1" x14ac:dyDescent="0.25">
      <c r="A6" s="129" t="s">
        <v>27</v>
      </c>
      <c r="B6" s="130"/>
      <c r="C6" s="130"/>
      <c r="D6" s="130"/>
      <c r="E6" s="130"/>
      <c r="F6" s="131"/>
      <c r="G6" s="132" t="str">
        <f>' NotaPedido'!D5</f>
        <v>24 - Direccion de Administracion del Hospital Interzonal de Niños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7" s="5" customFormat="1" ht="18" customHeight="1" thickBot="1" x14ac:dyDescent="0.25">
      <c r="A7" s="129" t="s">
        <v>50</v>
      </c>
      <c r="B7" s="130"/>
      <c r="C7" s="130"/>
      <c r="D7" s="130"/>
      <c r="E7" s="130"/>
      <c r="F7" s="131"/>
      <c r="G7" s="132" t="s">
        <v>54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7" ht="18" customHeight="1" thickBot="1" x14ac:dyDescent="0.25">
      <c r="A8" s="133" t="s">
        <v>28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ht="18" customHeight="1" x14ac:dyDescent="0.2">
      <c r="A9" s="118" t="s">
        <v>29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6"/>
    </row>
    <row r="10" spans="1:17" ht="54.75" customHeight="1" x14ac:dyDescent="0.2">
      <c r="A10" s="11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077/2022,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20" t="s">
        <v>30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thickBot="1" x14ac:dyDescent="0.25">
      <c r="A13" s="121" t="s">
        <v>31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32</v>
      </c>
      <c r="P13" s="124"/>
      <c r="Q13" s="127" t="s">
        <v>33</v>
      </c>
    </row>
    <row r="14" spans="1:17" ht="15.75" customHeight="1" thickBot="1" x14ac:dyDescent="0.25">
      <c r="A14" s="48" t="s">
        <v>34</v>
      </c>
      <c r="B14" s="49" t="s">
        <v>35</v>
      </c>
      <c r="C14" s="49" t="s">
        <v>36</v>
      </c>
      <c r="D14" s="49" t="s">
        <v>37</v>
      </c>
      <c r="E14" s="49" t="s">
        <v>38</v>
      </c>
      <c r="F14" s="49" t="s">
        <v>39</v>
      </c>
      <c r="G14" s="50" t="s">
        <v>40</v>
      </c>
      <c r="H14" s="49" t="s">
        <v>41</v>
      </c>
      <c r="I14" s="49" t="s">
        <v>42</v>
      </c>
      <c r="J14" s="49" t="s">
        <v>43</v>
      </c>
      <c r="K14" s="49" t="s">
        <v>43</v>
      </c>
      <c r="L14" s="49" t="s">
        <v>44</v>
      </c>
      <c r="M14" s="51" t="s">
        <v>45</v>
      </c>
      <c r="N14" s="52" t="s">
        <v>46</v>
      </c>
      <c r="O14" s="125"/>
      <c r="P14" s="126"/>
      <c r="Q14" s="128"/>
    </row>
    <row r="15" spans="1:17" ht="26.25" customHeight="1" x14ac:dyDescent="0.2">
      <c r="A15" s="44">
        <v>36</v>
      </c>
      <c r="B15" s="45"/>
      <c r="C15" s="45"/>
      <c r="D15" s="45">
        <v>1</v>
      </c>
      <c r="E15" s="45"/>
      <c r="F15" s="45">
        <v>4901</v>
      </c>
      <c r="G15" s="45">
        <v>3</v>
      </c>
      <c r="H15" s="45">
        <v>310</v>
      </c>
      <c r="I15" s="45">
        <v>2</v>
      </c>
      <c r="J15" s="45">
        <v>9</v>
      </c>
      <c r="K15" s="45">
        <v>5</v>
      </c>
      <c r="L15" s="45"/>
      <c r="M15" s="46">
        <v>1</v>
      </c>
      <c r="N15" s="47" t="s">
        <v>51</v>
      </c>
      <c r="O15" s="113" t="s">
        <v>87</v>
      </c>
      <c r="P15" s="113"/>
      <c r="Q15" s="53">
        <v>5367967</v>
      </c>
    </row>
    <row r="16" spans="1:17" ht="28.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54"/>
      <c r="O16" s="113"/>
      <c r="P16" s="113"/>
      <c r="Q16" s="15"/>
    </row>
    <row r="17" spans="1:18" ht="27.7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08"/>
      <c r="P17" s="109"/>
      <c r="Q17" s="15"/>
    </row>
    <row r="18" spans="1:18" ht="27" customHeight="1" x14ac:dyDescent="0.2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54"/>
      <c r="O18" s="108"/>
      <c r="P18" s="109"/>
      <c r="Q18" s="15"/>
    </row>
    <row r="19" spans="1:18" ht="24.75" customHeight="1" x14ac:dyDescent="0.2">
      <c r="A19" s="11"/>
      <c r="B19" s="12"/>
      <c r="C19" s="12"/>
      <c r="D19" s="12"/>
      <c r="E19" s="12"/>
      <c r="F19" s="14"/>
      <c r="G19" s="12"/>
      <c r="H19" s="12"/>
      <c r="I19" s="12"/>
      <c r="J19" s="12"/>
      <c r="K19" s="12"/>
      <c r="L19" s="12"/>
      <c r="M19" s="13"/>
      <c r="N19" s="14"/>
      <c r="O19" s="108"/>
      <c r="P19" s="109"/>
      <c r="Q19" s="15"/>
      <c r="R19" s="1"/>
    </row>
    <row r="20" spans="1:18" ht="17.25" customHeight="1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7"/>
      <c r="O20" s="110"/>
      <c r="P20" s="110"/>
      <c r="Q20" s="19"/>
    </row>
    <row r="21" spans="1:18" ht="29.25" customHeight="1" x14ac:dyDescent="0.2">
      <c r="A21" s="111" t="s">
        <v>111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62">
        <f>SUM(Q15:Q20)</f>
        <v>5367967</v>
      </c>
    </row>
    <row r="22" spans="1:18" ht="18" customHeight="1" thickBot="1" x14ac:dyDescent="0.25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</row>
    <row r="23" spans="1:18" ht="17.25" customHeight="1" thickBot="1" x14ac:dyDescent="0.25">
      <c r="A23" s="114" t="s">
        <v>47</v>
      </c>
      <c r="B23" s="115"/>
      <c r="C23" s="115"/>
      <c r="D23" s="115"/>
      <c r="E23" s="115"/>
      <c r="F23" s="116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</row>
    <row r="24" spans="1:18" ht="18" customHeight="1" thickBot="1" x14ac:dyDescent="0.25">
      <c r="A24" s="107" t="s">
        <v>112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</row>
    <row r="25" spans="1:18" ht="26.25" customHeight="1" x14ac:dyDescent="0.2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2022-04-27T11:16:48Z</cp:lastPrinted>
  <dcterms:created xsi:type="dcterms:W3CDTF">2020-07-17T23:44:49Z</dcterms:created>
  <dcterms:modified xsi:type="dcterms:W3CDTF">2022-08-18T13:42:57Z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