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0D47C0B7-4D33-429C-964E-1430B69CD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3" r:id="rId1"/>
    <sheet name=" NotaPedido" sheetId="4" r:id="rId2"/>
    <sheet name="Autor Gastar" sheetId="1" r:id="rId3"/>
  </sheets>
  <definedNames>
    <definedName name="_xlnm._FilterDatabase" localSheetId="0" hidden="1">'Necesidades Trimestrales'!$E$2:$E$63</definedName>
    <definedName name="_xlnm.Print_Area" localSheetId="1">' NotaPedido'!$A$1:$K$23</definedName>
    <definedName name="_xlnm.Print_Area" localSheetId="2">'Autor Gastar'!$A$1:$Q$25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4" l="1"/>
  <c r="B12" i="4"/>
  <c r="H10" i="3" l="1"/>
  <c r="J12" i="4" s="1"/>
  <c r="J23" i="4" s="1"/>
  <c r="I10" i="3" l="1"/>
  <c r="I11" i="3" s="1"/>
  <c r="I12" i="3"/>
  <c r="Q21" i="1"/>
</calcChain>
</file>

<file path=xl/sharedStrings.xml><?xml version="1.0" encoding="utf-8"?>
<sst xmlns="http://schemas.openxmlformats.org/spreadsheetml/2006/main" count="99" uniqueCount="91">
  <si>
    <t>EJERCICIO:</t>
  </si>
  <si>
    <t>AUTORIZACION PARA GASTAR</t>
  </si>
  <si>
    <t>JURISDICCIÓN:</t>
  </si>
  <si>
    <t>SAF: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</si>
  <si>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</si>
  <si>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</si>
  <si>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</si>
  <si>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</si>
  <si>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</si>
  <si>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</si>
  <si>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</si>
  <si>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</si>
  <si>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</si>
  <si>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</si>
  <si>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</si>
  <si>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</si>
  <si>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</si>
  <si>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</si>
  <si>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</si>
  <si>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</si>
  <si>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</si>
  <si>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</si>
  <si>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</si>
  <si>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</si>
  <si>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</si>
  <si>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</si>
  <si>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</si>
  <si>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NOTA DE PEDIDO</t>
  </si>
  <si>
    <t>N°</t>
  </si>
  <si>
    <t xml:space="preserve">JURISDICCIÓN: </t>
  </si>
  <si>
    <t>OBJETO:</t>
  </si>
  <si>
    <t>Ítem</t>
  </si>
  <si>
    <t>DESCRIPCION</t>
  </si>
  <si>
    <t>Adjunta Detalle Técnico</t>
  </si>
  <si>
    <t>Unidad Medida</t>
  </si>
  <si>
    <t>Precio Unitario Estimado</t>
  </si>
  <si>
    <t>Cantidad Solicitada</t>
  </si>
  <si>
    <t>SI</t>
  </si>
  <si>
    <t xml:space="preserve">40 - Ministerio de Salud  </t>
  </si>
  <si>
    <t xml:space="preserve">382 - Secretaría de Planificación y Gestión en Salud </t>
  </si>
  <si>
    <t>TOTAL DE PESOS: CATORCE MILLONES QUINIENTOS VEINTE MIL CON 00/100.-</t>
  </si>
  <si>
    <t>“Contratación de servicio de mantenimiento de software de la Historia Clínica Electrónica” para ser aplicada en los Centros Asistenciales dependientes del Ministerio de Salud de la Provincia de Catamarca.</t>
  </si>
  <si>
    <t>40 - Ministerio de Salud</t>
  </si>
  <si>
    <t xml:space="preserve">SAF 11 - Dirección Provincial de Administración del Ministerio de Salud </t>
  </si>
  <si>
    <t>4 meses o 120 días</t>
  </si>
  <si>
    <t>Pedido de Necesidades Trimestrales</t>
  </si>
  <si>
    <t>JURISDICCION:</t>
  </si>
  <si>
    <t>40 - MINISTERIO DE SALUD</t>
  </si>
  <si>
    <t xml:space="preserve">SAF N°: 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</si>
  <si>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</si>
  <si>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</si>
  <si>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</si>
  <si>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</si>
  <si>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</si>
  <si>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</si>
  <si>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</si>
  <si>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</si>
  <si>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</si>
  <si>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3.2.6-8376.1</t>
  </si>
  <si>
    <t>ALQUILER</t>
  </si>
  <si>
    <t>ALQ. DE LICENCIAS DE SOFTWARE; DESCRIPCION: ALQ.DE LIC. DE SOFTWARE</t>
  </si>
  <si>
    <t>TOTAL DEL RUBRO</t>
  </si>
  <si>
    <t>TOTAL</t>
  </si>
  <si>
    <t xml:space="preserve">VER ANEXO I </t>
  </si>
  <si>
    <t>Descripción técnica</t>
  </si>
  <si>
    <t>Plazos y lugares de entrega</t>
  </si>
  <si>
    <t>Mantenimiento</t>
  </si>
  <si>
    <t>1ro y 2do</t>
  </si>
  <si>
    <t>Calidad Mínima esperada</t>
  </si>
  <si>
    <t>30 días hábiles, renovables por igual periodo automáticamente</t>
  </si>
  <si>
    <t>Garantía</t>
  </si>
  <si>
    <t>011 - Dirección Provincial de Administración - Ministerio de Salud</t>
  </si>
  <si>
    <t>Especificidades Ítem N° 1:</t>
  </si>
  <si>
    <t xml:space="preserve">741 - Departamento de Informática y Bioestadística </t>
  </si>
  <si>
    <t>Funcionamiento (prestación de servicio de Historia Clínica Electrónica)</t>
  </si>
  <si>
    <t>741 - Depto. De Informática y Bioestadística</t>
  </si>
  <si>
    <t>Servicios de Informática y Sistemas Computarizados</t>
  </si>
  <si>
    <t>PERIODO UTILIZACIÓN:</t>
  </si>
  <si>
    <t>Codigo Item</t>
  </si>
  <si>
    <t>DESCRIPCIÓN</t>
  </si>
  <si>
    <t>SERIVICIO</t>
  </si>
  <si>
    <t>SERVICIO</t>
  </si>
  <si>
    <t>Costo total estimado: Catorce Millones Quinientos Veinte Mil con 00/100</t>
  </si>
  <si>
    <t>Mantenimiento de oferta: 30 días hábiles</t>
  </si>
  <si>
    <t>Plazo de entrega o instalación: 7 días hábiles</t>
  </si>
  <si>
    <t>Deberá incluir soporte técnico y capacitación</t>
  </si>
  <si>
    <t>Lugar de entrega: Hospital Monovalente Carlos Malbran - AV Circunvalación Néstor Kirchner acceso Sur</t>
  </si>
  <si>
    <t>Ley 5684</t>
  </si>
  <si>
    <t>A partir del día 01 de Marzo y hasta el día 30 de Junio inclusive o por el plazo de Ciento Veinte (120) días, con opción a prorroga por igual término - Hospital Monovalente Carlos Malbran - AV Circunvalación Néstor Kirchner acceso Sur</t>
  </si>
  <si>
    <t>0007/2021</t>
  </si>
  <si>
    <t>Autorizo la realización de los  trámites correspondientes, a fin de proveer a  este Organismo los servicios que se detallan en Nota  de Pedido N° 007/2021,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</si>
</sst>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\-mm\-yy;@"/>
    <numFmt numFmtId="165" formatCode="_(\$* #,##0.00_);_(\$* \(#,##0.00\);_(\$* \-??_);_(@_)"/>
    <numFmt numFmtId="166" formatCode="[$$-2C0A]\ #,##0.00;[$$-2C0A]&quot; -&quot;#,##0.00"/>
    <numFmt numFmtId="167" formatCode="[$$-2C0A]\ #,##0.00"/>
    <numFmt numFmtId="168" formatCode="_-[$$-2C0A]\ * #,##0.00_-;\-[$$-2C0A]\ * #,##0.00_-;_-[$$-2C0A]\ * &quot;-&quot;??_-;_-@_-"/>
    <numFmt numFmtId="169" formatCode="_-* #,##0.00&quot; €&quot;_-;\-* #,##0.00&quot; €&quot;_-;_-* \-??&quot; €&quot;_-;_-@_-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libri Light"/>
      <family val="1"/>
      <scheme val="major"/>
    </font>
    <font>
      <b/>
      <sz val="14"/>
      <name val="Arial"/>
      <family val="2"/>
    </font>
    <font>
      <b/>
      <sz val="14"/>
      <name val="Calibri Light"/>
      <family val="1"/>
      <scheme val="major"/>
    </font>
    <font>
      <sz val="9"/>
      <name val="Times New Roman"/>
      <family val="1"/>
    </font>
    <font>
      <u/>
      <sz val="9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165" fontId="5" fillId="0" borderId="0" applyBorder="0" applyProtection="0"/>
    <xf numFmtId="44" fontId="2" fillId="0" borderId="0" applyFont="0" applyFill="0" applyBorder="0" applyAlignment="0" applyProtection="0"/>
    <xf numFmtId="165" fontId="7" fillId="0" borderId="0" applyBorder="0" applyProtection="0"/>
    <xf numFmtId="0" fontId="7" fillId="0" borderId="0"/>
    <xf numFmtId="0" fontId="1" fillId="0" borderId="0"/>
    <xf numFmtId="0" fontId="36" fillId="0" borderId="63" applyProtection="0"/>
    <xf numFmtId="0" fontId="37" fillId="4" borderId="0" applyBorder="0" applyProtection="0"/>
    <xf numFmtId="0" fontId="7" fillId="0" borderId="0"/>
    <xf numFmtId="0" fontId="7" fillId="0" borderId="0"/>
    <xf numFmtId="0" fontId="7" fillId="0" borderId="0"/>
  </cellStyleXfs>
  <cellXfs count="187">
    <xf numFmtId="0" fontId="0" fillId="0" borderId="0" xfId="0"/>
    <xf numFmtId="3" fontId="3" fillId="0" borderId="0" xfId="0" applyNumberFormat="1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12" xfId="0" applyBorder="1"/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6" fontId="0" fillId="0" borderId="29" xfId="2" applyNumberFormat="1" applyFont="1" applyBorder="1" applyAlignment="1" applyProtection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6" fontId="0" fillId="0" borderId="31" xfId="2" applyNumberFormat="1" applyFont="1" applyBorder="1" applyAlignment="1" applyProtection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2" applyNumberFormat="1" applyFont="1" applyBorder="1" applyAlignment="1" applyProtection="1">
      <alignment horizontal="center" vertical="center"/>
    </xf>
    <xf numFmtId="166" fontId="11" fillId="0" borderId="36" xfId="0" applyNumberFormat="1" applyFont="1" applyBorder="1" applyAlignment="1">
      <alignment horizontal="center" vertical="center"/>
    </xf>
    <xf numFmtId="43" fontId="7" fillId="0" borderId="0" xfId="1" applyFont="1"/>
    <xf numFmtId="0" fontId="14" fillId="0" borderId="41" xfId="0" applyFont="1" applyBorder="1" applyAlignment="1">
      <alignment horizontal="right" vertical="center"/>
    </xf>
    <xf numFmtId="0" fontId="14" fillId="0" borderId="43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6" fillId="0" borderId="49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 indent="1"/>
    </xf>
    <xf numFmtId="0" fontId="22" fillId="0" borderId="0" xfId="0" applyFont="1" applyAlignment="1">
      <alignment horizontal="center"/>
    </xf>
    <xf numFmtId="168" fontId="22" fillId="0" borderId="0" xfId="0" applyNumberFormat="1" applyFont="1" applyAlignment="1">
      <alignment horizontal="right" vertical="center"/>
    </xf>
    <xf numFmtId="0" fontId="22" fillId="0" borderId="0" xfId="0" applyFo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168" fontId="7" fillId="0" borderId="0" xfId="4" applyNumberFormat="1" applyAlignment="1">
      <alignment horizontal="right" vertical="center"/>
    </xf>
    <xf numFmtId="0" fontId="27" fillId="0" borderId="0" xfId="0" applyFont="1" applyFill="1" applyAlignment="1">
      <alignment horizontal="center" wrapText="1"/>
    </xf>
    <xf numFmtId="0" fontId="27" fillId="0" borderId="0" xfId="0" applyFont="1" applyFill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9" fillId="0" borderId="56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168" fontId="20" fillId="0" borderId="60" xfId="4" applyNumberFormat="1" applyFont="1" applyBorder="1" applyAlignment="1">
      <alignment horizontal="center" vertical="center" wrapText="1"/>
    </xf>
    <xf numFmtId="168" fontId="29" fillId="0" borderId="46" xfId="0" applyNumberFormat="1" applyFont="1" applyBorder="1" applyAlignment="1">
      <alignment horizontal="center" vertical="center" wrapText="1"/>
    </xf>
    <xf numFmtId="0" fontId="8" fillId="0" borderId="56" xfId="0" applyFont="1" applyFill="1" applyBorder="1" applyAlignment="1">
      <alignment horizontal="center" vertical="center" wrapText="1"/>
    </xf>
    <xf numFmtId="0" fontId="30" fillId="0" borderId="57" xfId="0" applyFont="1" applyFill="1" applyBorder="1" applyAlignment="1">
      <alignment horizontal="center" vertical="center" wrapText="1"/>
    </xf>
    <xf numFmtId="0" fontId="8" fillId="0" borderId="58" xfId="5" applyFont="1" applyFill="1" applyBorder="1" applyAlignment="1">
      <alignment horizontal="center" vertical="center" wrapText="1"/>
    </xf>
    <xf numFmtId="0" fontId="30" fillId="0" borderId="59" xfId="0" applyFont="1" applyFill="1" applyBorder="1" applyAlignment="1">
      <alignment horizontal="left" vertical="center" wrapText="1"/>
    </xf>
    <xf numFmtId="0" fontId="8" fillId="0" borderId="57" xfId="5" applyFont="1" applyFill="1" applyBorder="1" applyAlignment="1">
      <alignment horizontal="center" vertical="center" wrapText="1"/>
    </xf>
    <xf numFmtId="3" fontId="9" fillId="0" borderId="57" xfId="6" applyNumberFormat="1" applyFont="1" applyBorder="1" applyAlignment="1">
      <alignment horizontal="center" vertical="center"/>
    </xf>
    <xf numFmtId="44" fontId="9" fillId="0" borderId="60" xfId="3" applyFont="1" applyBorder="1" applyAlignment="1">
      <alignment horizontal="center" vertical="center" wrapText="1"/>
    </xf>
    <xf numFmtId="168" fontId="8" fillId="0" borderId="46" xfId="4" applyNumberFormat="1" applyFont="1" applyFill="1" applyBorder="1" applyAlignment="1">
      <alignment horizontal="center" vertical="center" wrapText="1"/>
    </xf>
    <xf numFmtId="168" fontId="31" fillId="0" borderId="46" xfId="0" applyNumberFormat="1" applyFont="1" applyBorder="1" applyAlignment="1">
      <alignment horizontal="center" vertical="center" wrapText="1"/>
    </xf>
    <xf numFmtId="168" fontId="33" fillId="0" borderId="6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0" fontId="22" fillId="0" borderId="50" xfId="0" applyFont="1" applyBorder="1" applyAlignment="1">
      <alignment horizontal="left" vertical="center"/>
    </xf>
    <xf numFmtId="0" fontId="22" fillId="0" borderId="50" xfId="0" applyFont="1" applyBorder="1" applyAlignment="1">
      <alignment horizontal="center"/>
    </xf>
    <xf numFmtId="0" fontId="22" fillId="0" borderId="51" xfId="0" applyFont="1" applyBorder="1" applyAlignment="1">
      <alignment horizontal="left" vertical="center"/>
    </xf>
    <xf numFmtId="0" fontId="34" fillId="0" borderId="49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/>
    </xf>
    <xf numFmtId="0" fontId="22" fillId="0" borderId="44" xfId="0" applyFont="1" applyBorder="1" applyAlignment="1">
      <alignment horizontal="left" vertical="center"/>
    </xf>
    <xf numFmtId="0" fontId="35" fillId="0" borderId="49" xfId="0" applyFont="1" applyBorder="1" applyAlignment="1">
      <alignment horizontal="center" vertical="center" wrapText="1"/>
    </xf>
    <xf numFmtId="3" fontId="9" fillId="0" borderId="0" xfId="5" applyNumberFormat="1" applyFont="1" applyBorder="1" applyAlignment="1">
      <alignment horizontal="center" vertical="center"/>
    </xf>
    <xf numFmtId="169" fontId="9" fillId="0" borderId="0" xfId="4" applyNumberFormat="1" applyFont="1" applyBorder="1" applyAlignment="1">
      <alignment horizontal="center" vertical="center" wrapText="1"/>
    </xf>
    <xf numFmtId="169" fontId="7" fillId="0" borderId="0" xfId="4" applyNumberFormat="1" applyFont="1" applyBorder="1" applyAlignment="1">
      <alignment horizontal="center" vertical="center"/>
    </xf>
    <xf numFmtId="0" fontId="22" fillId="0" borderId="0" xfId="0" applyFont="1" applyFill="1" applyAlignment="1">
      <alignment wrapText="1"/>
    </xf>
    <xf numFmtId="0" fontId="34" fillId="0" borderId="53" xfId="0" applyFont="1" applyBorder="1" applyAlignment="1">
      <alignment horizontal="center" vertical="center" wrapText="1"/>
    </xf>
    <xf numFmtId="0" fontId="25" fillId="0" borderId="0" xfId="0" applyFont="1" applyFill="1" applyAlignment="1">
      <alignment horizontal="left" vertical="center" wrapText="1"/>
    </xf>
    <xf numFmtId="0" fontId="15" fillId="0" borderId="4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 indent="1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left" vertical="center"/>
    </xf>
    <xf numFmtId="0" fontId="9" fillId="0" borderId="66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 wrapText="1"/>
    </xf>
    <xf numFmtId="3" fontId="9" fillId="0" borderId="67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69" xfId="0" applyFont="1" applyBorder="1" applyAlignment="1">
      <alignment horizontal="left" vertical="center"/>
    </xf>
    <xf numFmtId="0" fontId="9" fillId="0" borderId="69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 wrapText="1"/>
    </xf>
    <xf numFmtId="3" fontId="9" fillId="0" borderId="70" xfId="0" applyNumberFormat="1" applyFont="1" applyBorder="1" applyAlignment="1">
      <alignment horizontal="center" vertical="center"/>
    </xf>
    <xf numFmtId="44" fontId="9" fillId="0" borderId="66" xfId="0" applyNumberFormat="1" applyFont="1" applyBorder="1" applyAlignment="1">
      <alignment horizontal="center" vertical="center" wrapText="1"/>
    </xf>
    <xf numFmtId="0" fontId="22" fillId="0" borderId="52" xfId="0" applyFont="1" applyFill="1" applyBorder="1" applyAlignment="1">
      <alignment horizontal="center"/>
    </xf>
    <xf numFmtId="0" fontId="22" fillId="0" borderId="54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44" xfId="0" applyFont="1" applyFill="1" applyBorder="1" applyAlignment="1">
      <alignment horizontal="center"/>
    </xf>
    <xf numFmtId="0" fontId="22" fillId="0" borderId="44" xfId="0" applyFont="1" applyFill="1" applyBorder="1" applyAlignment="1">
      <alignment horizontal="center" wrapText="1"/>
    </xf>
    <xf numFmtId="0" fontId="22" fillId="0" borderId="0" xfId="0" applyFont="1" applyFill="1" applyBorder="1" applyAlignment="1">
      <alignment horizontal="left" vertical="center" wrapText="1"/>
    </xf>
    <xf numFmtId="0" fontId="22" fillId="0" borderId="44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22" fillId="0" borderId="0" xfId="0" applyFont="1" applyBorder="1" applyAlignment="1">
      <alignment horizontal="left" vertical="top" wrapText="1"/>
    </xf>
    <xf numFmtId="0" fontId="22" fillId="0" borderId="44" xfId="0" applyFont="1" applyBorder="1" applyAlignment="1">
      <alignment horizontal="left" vertical="top" wrapText="1"/>
    </xf>
    <xf numFmtId="0" fontId="22" fillId="0" borderId="0" xfId="0" applyFont="1" applyBorder="1" applyAlignment="1">
      <alignment vertical="center"/>
    </xf>
    <xf numFmtId="0" fontId="22" fillId="0" borderId="44" xfId="0" applyFont="1" applyBorder="1" applyAlignment="1">
      <alignment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44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wrapText="1"/>
    </xf>
    <xf numFmtId="0" fontId="23" fillId="0" borderId="0" xfId="0" applyFont="1" applyBorder="1" applyAlignment="1">
      <alignment horizont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right" vertical="center"/>
    </xf>
    <xf numFmtId="0" fontId="25" fillId="0" borderId="0" xfId="0" applyFont="1" applyFill="1" applyBorder="1" applyAlignment="1">
      <alignment horizontal="left" wrapText="1" indent="1"/>
    </xf>
    <xf numFmtId="0" fontId="25" fillId="0" borderId="0" xfId="0" applyFont="1" applyFill="1" applyBorder="1" applyAlignment="1">
      <alignment horizontal="center" wrapText="1"/>
    </xf>
    <xf numFmtId="0" fontId="16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 indent="1"/>
    </xf>
    <xf numFmtId="0" fontId="13" fillId="0" borderId="40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 wrapText="1"/>
    </xf>
    <xf numFmtId="0" fontId="16" fillId="0" borderId="48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 wrapText="1" indent="1"/>
    </xf>
    <xf numFmtId="0" fontId="16" fillId="0" borderId="69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6" fillId="0" borderId="66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left" vertical="center" wrapText="1" indent="1"/>
    </xf>
    <xf numFmtId="167" fontId="16" fillId="0" borderId="55" xfId="0" applyNumberFormat="1" applyFont="1" applyBorder="1" applyAlignment="1">
      <alignment horizontal="center" vertical="center"/>
    </xf>
    <xf numFmtId="0" fontId="16" fillId="0" borderId="6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wrapText="1" indent="1"/>
    </xf>
    <xf numFmtId="0" fontId="8" fillId="0" borderId="6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3" xfId="0" applyFont="1" applyBorder="1"/>
    <xf numFmtId="0" fontId="6" fillId="0" borderId="3" xfId="0" applyFont="1" applyBorder="1" applyAlignment="1">
      <alignment horizontal="left" indent="1"/>
    </xf>
    <xf numFmtId="0" fontId="6" fillId="0" borderId="36" xfId="0" applyFont="1" applyBorder="1" applyAlignment="1">
      <alignment horizontal="left" indent="1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2" fillId="0" borderId="2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/>
    </xf>
    <xf numFmtId="0" fontId="6" fillId="0" borderId="7" xfId="0" applyFont="1" applyBorder="1"/>
    <xf numFmtId="0" fontId="8" fillId="0" borderId="9" xfId="0" applyFont="1" applyBorder="1" applyAlignment="1">
      <alignment horizontal="justify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13" xfId="0" applyBorder="1"/>
    <xf numFmtId="0" fontId="3" fillId="0" borderId="1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3" fillId="0" borderId="38" xfId="0" applyFont="1" applyBorder="1" applyAlignment="1">
      <alignment vertical="center" wrapText="1"/>
    </xf>
    <xf numFmtId="0" fontId="6" fillId="0" borderId="39" xfId="0" applyFont="1" applyBorder="1" applyAlignment="1">
      <alignment vertical="center" wrapText="1"/>
    </xf>
    <xf numFmtId="0" fontId="6" fillId="3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3" fillId="0" borderId="36" xfId="0" applyFont="1" applyBorder="1" applyAlignment="1">
      <alignment horizontal="left" vertical="center" wrapText="1"/>
    </xf>
  </cellXfs>
  <cellStyles count="12">
    <cellStyle name="Encabezado 1" xfId="7" xr:uid="{00000000-0005-0000-0000-000000000000}"/>
    <cellStyle name="Millares" xfId="1" builtinId="3"/>
    <cellStyle name="Moneda" xfId="3" builtinId="4"/>
    <cellStyle name="Moneda 2" xfId="4" xr:uid="{00000000-0005-0000-0000-000003000000}"/>
    <cellStyle name="Moneda_AUTORIZACION Y NOTA DE PEDIDO" xfId="2" xr:uid="{00000000-0005-0000-0000-000004000000}"/>
    <cellStyle name="Neutral 1" xfId="8" xr:uid="{00000000-0005-0000-0000-000005000000}"/>
    <cellStyle name="Normal" xfId="0" builtinId="0"/>
    <cellStyle name="Normal 2" xfId="5" xr:uid="{00000000-0005-0000-0000-000007000000}"/>
    <cellStyle name="Normal 3" xfId="9" xr:uid="{00000000-0005-0000-0000-000008000000}"/>
    <cellStyle name="Normal 3 2" xfId="10" xr:uid="{00000000-0005-0000-0000-000009000000}"/>
    <cellStyle name="Normal 4" xfId="11" xr:uid="{00000000-0005-0000-0000-00000A000000}"/>
    <cellStyle name="Normal 5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22EC05EC-1DA9-457F-BF15-26C50C240B17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22B491E7-56C9-49E4-8C4A-2318A399CF9B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4158F8D9-C87E-4C26-925C-0A2CFA4E4C64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56091F0-8E70-49FB-9D35-E86608F8D703}"/>
            </a:ext>
          </a:extLst>
        </xdr:cNvPr>
        <xdr:cNvSpPr/>
      </xdr:nvSpPr>
      <xdr:spPr>
        <a:xfrm>
          <a:off x="68864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tabSelected="1" zoomScale="78" zoomScaleNormal="78" workbookViewId="0">
      <selection activeCell="H23" sqref="H23"/>
    </sheetView>
  </sheetViews>
  <sheetFormatPr baseColWidth="10" defaultColWidth="11" defaultRowHeight="12.75" x14ac:dyDescent="0.2"/>
  <cols>
    <col min="1" max="1" width="8.42578125" style="39" customWidth="1"/>
    <col min="2" max="2" width="17.5703125" style="66" customWidth="1"/>
    <col min="3" max="3" width="32.42578125" style="67" customWidth="1"/>
    <col min="4" max="4" width="8.42578125" style="39" customWidth="1"/>
    <col min="5" max="5" width="79" style="67" customWidth="1"/>
    <col min="6" max="6" width="11" style="39"/>
    <col min="7" max="7" width="13.42578125" style="68" customWidth="1"/>
    <col min="8" max="8" width="16.42578125" style="44" customWidth="1"/>
    <col min="9" max="9" width="25.42578125" style="40" customWidth="1"/>
    <col min="10" max="10" width="22.5703125" style="41" customWidth="1"/>
    <col min="11" max="11" width="14.7109375" style="41" customWidth="1"/>
    <col min="12" max="12" width="13.7109375" style="41" customWidth="1"/>
    <col min="13" max="16384" width="11" style="41"/>
  </cols>
  <sheetData>
    <row r="2" spans="1:9" ht="27" x14ac:dyDescent="0.35">
      <c r="B2" s="128" t="s">
        <v>45</v>
      </c>
      <c r="C2" s="128"/>
      <c r="D2" s="128"/>
      <c r="E2" s="128"/>
      <c r="F2" s="128"/>
      <c r="G2" s="129"/>
      <c r="H2" s="130"/>
    </row>
    <row r="3" spans="1:9" ht="18" customHeight="1" x14ac:dyDescent="0.25">
      <c r="A3" s="109"/>
      <c r="B3" s="109"/>
      <c r="C3" s="131"/>
      <c r="D3" s="132"/>
      <c r="E3" s="131"/>
      <c r="F3" s="42"/>
      <c r="G3" s="43"/>
    </row>
    <row r="4" spans="1:9" ht="18" customHeight="1" x14ac:dyDescent="0.25">
      <c r="A4" s="109" t="s">
        <v>46</v>
      </c>
      <c r="B4" s="109"/>
      <c r="C4" s="127" t="s">
        <v>47</v>
      </c>
      <c r="D4" s="127"/>
      <c r="E4" s="127"/>
      <c r="F4" s="42"/>
      <c r="G4" s="43"/>
    </row>
    <row r="5" spans="1:9" ht="18" customHeight="1" x14ac:dyDescent="0.25">
      <c r="A5" s="109" t="s">
        <v>48</v>
      </c>
      <c r="B5" s="109"/>
      <c r="C5" s="127" t="s">
        <v>71</v>
      </c>
      <c r="D5" s="127"/>
      <c r="E5" s="127"/>
      <c r="F5" s="42"/>
      <c r="G5" s="43"/>
    </row>
    <row r="6" spans="1:9" ht="16.5" customHeight="1" x14ac:dyDescent="0.2">
      <c r="A6" s="109" t="s">
        <v>0</v>
      </c>
      <c r="B6" s="109"/>
      <c r="C6" s="83">
        <v>2021</v>
      </c>
      <c r="D6" s="45"/>
      <c r="E6" s="46"/>
      <c r="F6" s="42"/>
      <c r="G6" s="43"/>
    </row>
    <row r="7" spans="1:9" ht="15.75" x14ac:dyDescent="0.2">
      <c r="A7" s="109" t="s">
        <v>49</v>
      </c>
      <c r="B7" s="109"/>
      <c r="C7" s="83" t="s">
        <v>67</v>
      </c>
      <c r="D7" s="45"/>
      <c r="E7" s="46"/>
      <c r="F7" s="42"/>
      <c r="G7" s="43"/>
    </row>
    <row r="8" spans="1:9" ht="13.5" thickBot="1" x14ac:dyDescent="0.25">
      <c r="B8" s="47"/>
      <c r="C8" s="48"/>
      <c r="D8" s="42"/>
      <c r="E8" s="48"/>
      <c r="F8" s="42"/>
      <c r="G8" s="43"/>
    </row>
    <row r="9" spans="1:9" ht="57" customHeight="1" thickBot="1" x14ac:dyDescent="0.25">
      <c r="A9" s="49" t="s">
        <v>50</v>
      </c>
      <c r="B9" s="50" t="s">
        <v>51</v>
      </c>
      <c r="C9" s="50" t="s">
        <v>52</v>
      </c>
      <c r="D9" s="51" t="s">
        <v>53</v>
      </c>
      <c r="E9" s="52" t="s">
        <v>32</v>
      </c>
      <c r="F9" s="53" t="s">
        <v>54</v>
      </c>
      <c r="G9" s="50" t="s">
        <v>55</v>
      </c>
      <c r="H9" s="54" t="s">
        <v>56</v>
      </c>
      <c r="I9" s="55" t="s">
        <v>57</v>
      </c>
    </row>
    <row r="10" spans="1:9" ht="43.5" customHeight="1" thickBot="1" x14ac:dyDescent="0.25">
      <c r="A10" s="56">
        <v>7</v>
      </c>
      <c r="B10" s="57" t="s">
        <v>58</v>
      </c>
      <c r="C10" s="60" t="s">
        <v>59</v>
      </c>
      <c r="D10" s="58">
        <v>326</v>
      </c>
      <c r="E10" s="59" t="s">
        <v>60</v>
      </c>
      <c r="F10" s="60" t="s">
        <v>80</v>
      </c>
      <c r="G10" s="61">
        <v>4</v>
      </c>
      <c r="H10" s="62">
        <f>3000000*1.21</f>
        <v>3630000</v>
      </c>
      <c r="I10" s="63">
        <f>G10*H10</f>
        <v>14520000</v>
      </c>
    </row>
    <row r="11" spans="1:9" ht="43.5" customHeight="1" thickBot="1" x14ac:dyDescent="0.25">
      <c r="A11" s="110"/>
      <c r="B11" s="111"/>
      <c r="C11" s="111"/>
      <c r="D11" s="112"/>
      <c r="E11" s="113" t="s">
        <v>61</v>
      </c>
      <c r="F11" s="114"/>
      <c r="G11" s="114"/>
      <c r="H11" s="115"/>
      <c r="I11" s="64">
        <f>SUM(I10:I10)</f>
        <v>14520000</v>
      </c>
    </row>
    <row r="12" spans="1:9" ht="31.5" customHeight="1" thickBot="1" x14ac:dyDescent="0.25">
      <c r="A12" s="116" t="s">
        <v>62</v>
      </c>
      <c r="B12" s="117"/>
      <c r="C12" s="117"/>
      <c r="D12" s="117"/>
      <c r="E12" s="117"/>
      <c r="F12" s="117"/>
      <c r="G12" s="117"/>
      <c r="H12" s="118"/>
      <c r="I12" s="65">
        <f>SUM(I10)</f>
        <v>14520000</v>
      </c>
    </row>
    <row r="13" spans="1:9" ht="27" customHeight="1" thickBot="1" x14ac:dyDescent="0.25"/>
    <row r="14" spans="1:9" ht="24" x14ac:dyDescent="0.2">
      <c r="B14" s="69" t="s">
        <v>72</v>
      </c>
      <c r="C14" s="70" t="s">
        <v>63</v>
      </c>
      <c r="D14" s="71"/>
      <c r="E14" s="72"/>
    </row>
    <row r="15" spans="1:9" ht="24.75" customHeight="1" x14ac:dyDescent="0.2">
      <c r="B15" s="73"/>
      <c r="C15" s="74"/>
      <c r="D15" s="75"/>
      <c r="E15" s="76"/>
    </row>
    <row r="16" spans="1:9" ht="24.75" customHeight="1" x14ac:dyDescent="0.2">
      <c r="B16" s="77" t="s">
        <v>64</v>
      </c>
      <c r="C16" s="119"/>
      <c r="D16" s="119"/>
      <c r="E16" s="120"/>
    </row>
    <row r="17" spans="1:12" ht="24.75" customHeight="1" x14ac:dyDescent="0.2">
      <c r="B17" s="77"/>
      <c r="C17" s="104"/>
      <c r="D17" s="104"/>
      <c r="E17" s="104"/>
    </row>
    <row r="18" spans="1:12" ht="24.75" customHeight="1" x14ac:dyDescent="0.2">
      <c r="B18" s="77" t="s">
        <v>65</v>
      </c>
      <c r="C18" s="121" t="s">
        <v>88</v>
      </c>
      <c r="D18" s="121"/>
      <c r="E18" s="122"/>
    </row>
    <row r="19" spans="1:12" ht="24.75" customHeight="1" x14ac:dyDescent="0.2">
      <c r="B19" s="77"/>
      <c r="C19" s="123"/>
      <c r="D19" s="123"/>
      <c r="E19" s="124"/>
    </row>
    <row r="20" spans="1:12" ht="24.75" customHeight="1" x14ac:dyDescent="0.2">
      <c r="B20" s="77"/>
      <c r="C20" s="123"/>
      <c r="D20" s="123"/>
      <c r="E20" s="124"/>
    </row>
    <row r="21" spans="1:12" s="81" customFormat="1" ht="24.75" customHeight="1" x14ac:dyDescent="0.2">
      <c r="A21" s="39"/>
      <c r="B21" s="73"/>
      <c r="C21" s="125"/>
      <c r="D21" s="125"/>
      <c r="E21" s="126"/>
      <c r="F21" s="39"/>
      <c r="G21" s="68"/>
      <c r="H21" s="44"/>
      <c r="I21" s="40"/>
      <c r="J21" s="78"/>
      <c r="K21" s="79"/>
      <c r="L21" s="80"/>
    </row>
    <row r="22" spans="1:12" ht="24.75" customHeight="1" x14ac:dyDescent="0.2">
      <c r="B22" s="73"/>
      <c r="C22" s="103"/>
      <c r="D22" s="103"/>
      <c r="E22" s="103"/>
      <c r="J22" s="78"/>
      <c r="K22" s="79"/>
      <c r="L22" s="80"/>
    </row>
    <row r="23" spans="1:12" ht="24.75" customHeight="1" x14ac:dyDescent="0.2">
      <c r="B23" s="77" t="s">
        <v>68</v>
      </c>
      <c r="C23" s="102"/>
      <c r="D23" s="102"/>
      <c r="E23" s="103"/>
      <c r="J23" s="78"/>
      <c r="K23" s="79"/>
      <c r="L23" s="80"/>
    </row>
    <row r="24" spans="1:12" ht="24.75" customHeight="1" x14ac:dyDescent="0.2">
      <c r="B24" s="73"/>
      <c r="C24" s="104"/>
      <c r="D24" s="104"/>
      <c r="E24" s="104"/>
      <c r="J24" s="78"/>
      <c r="K24" s="79"/>
      <c r="L24" s="80"/>
    </row>
    <row r="25" spans="1:12" ht="24.75" customHeight="1" x14ac:dyDescent="0.2">
      <c r="B25" s="77" t="s">
        <v>66</v>
      </c>
      <c r="C25" s="105" t="s">
        <v>69</v>
      </c>
      <c r="D25" s="105"/>
      <c r="E25" s="106"/>
      <c r="J25" s="78"/>
      <c r="K25" s="79"/>
      <c r="L25" s="80"/>
    </row>
    <row r="26" spans="1:12" ht="24.75" customHeight="1" x14ac:dyDescent="0.2">
      <c r="B26" s="73"/>
      <c r="C26" s="104"/>
      <c r="D26" s="104"/>
      <c r="E26" s="104"/>
    </row>
    <row r="27" spans="1:12" ht="24.75" customHeight="1" x14ac:dyDescent="0.2">
      <c r="B27" s="77" t="s">
        <v>70</v>
      </c>
      <c r="C27" s="107" t="s">
        <v>85</v>
      </c>
      <c r="D27" s="107"/>
      <c r="E27" s="108"/>
    </row>
    <row r="28" spans="1:12" ht="24.75" customHeight="1" x14ac:dyDescent="0.2">
      <c r="B28" s="77"/>
      <c r="C28" s="103"/>
      <c r="D28" s="103"/>
      <c r="E28" s="103"/>
    </row>
    <row r="29" spans="1:12" ht="24.75" customHeight="1" thickBot="1" x14ac:dyDescent="0.25">
      <c r="B29" s="82"/>
      <c r="C29" s="100"/>
      <c r="D29" s="100"/>
      <c r="E29" s="101"/>
    </row>
    <row r="30" spans="1:12" x14ac:dyDescent="0.2">
      <c r="J30" s="78"/>
      <c r="K30" s="79"/>
      <c r="L30" s="80"/>
    </row>
  </sheetData>
  <mergeCells count="26">
    <mergeCell ref="A5:B5"/>
    <mergeCell ref="C5:E5"/>
    <mergeCell ref="B2:H2"/>
    <mergeCell ref="A3:B3"/>
    <mergeCell ref="C3:E3"/>
    <mergeCell ref="A4:B4"/>
    <mergeCell ref="C4:E4"/>
    <mergeCell ref="C22:E22"/>
    <mergeCell ref="A6:B6"/>
    <mergeCell ref="A7:B7"/>
    <mergeCell ref="A11:D11"/>
    <mergeCell ref="E11:H11"/>
    <mergeCell ref="A12:H12"/>
    <mergeCell ref="C16:E16"/>
    <mergeCell ref="C17:E17"/>
    <mergeCell ref="C18:E18"/>
    <mergeCell ref="C19:E19"/>
    <mergeCell ref="C20:E20"/>
    <mergeCell ref="C21:E21"/>
    <mergeCell ref="C29:E29"/>
    <mergeCell ref="C23:E23"/>
    <mergeCell ref="C24:E24"/>
    <mergeCell ref="C25:E25"/>
    <mergeCell ref="C26:E26"/>
    <mergeCell ref="C27:E27"/>
    <mergeCell ref="C28:E2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3"/>
  <sheetViews>
    <sheetView zoomScale="115" zoomScaleNormal="115" workbookViewId="0">
      <selection activeCell="N20" sqref="N20"/>
    </sheetView>
  </sheetViews>
  <sheetFormatPr baseColWidth="10" defaultColWidth="9.140625" defaultRowHeight="12.75" x14ac:dyDescent="0.2"/>
  <cols>
    <col min="1" max="1" width="5.5703125" style="85" customWidth="1"/>
    <col min="2" max="2" width="15.140625" style="85" customWidth="1"/>
    <col min="3" max="3" width="14.140625" style="85" customWidth="1"/>
    <col min="4" max="4" width="26" style="85" customWidth="1"/>
    <col min="5" max="5" width="8" style="85" customWidth="1"/>
    <col min="6" max="6" width="7.85546875" style="85" customWidth="1"/>
    <col min="7" max="7" width="28.5703125" style="85" customWidth="1"/>
    <col min="8" max="8" width="9.28515625" style="85" customWidth="1"/>
    <col min="9" max="9" width="15.5703125" style="85" customWidth="1"/>
    <col min="10" max="10" width="14.7109375" style="85" customWidth="1"/>
    <col min="11" max="11" width="15.5703125" style="85" customWidth="1"/>
    <col min="12" max="14" width="5.85546875" style="85" customWidth="1"/>
    <col min="15" max="15" width="12.5703125" style="85" customWidth="1"/>
    <col min="16" max="1024" width="9.140625" style="85"/>
  </cols>
  <sheetData>
    <row r="1" spans="1:11" ht="27" customHeight="1" thickBot="1" x14ac:dyDescent="0.25">
      <c r="A1" s="135" t="s">
        <v>27</v>
      </c>
      <c r="B1" s="135"/>
      <c r="C1" s="135"/>
      <c r="D1" s="135"/>
      <c r="E1" s="135"/>
      <c r="F1" s="135"/>
      <c r="G1" s="135"/>
      <c r="H1" s="135"/>
      <c r="I1" s="135"/>
      <c r="J1" s="33" t="s">
        <v>28</v>
      </c>
      <c r="K1" s="84" t="s">
        <v>89</v>
      </c>
    </row>
    <row r="2" spans="1:11" ht="18.75" customHeight="1" thickBot="1" x14ac:dyDescent="0.25">
      <c r="A2" s="34"/>
      <c r="B2" s="35"/>
      <c r="C2" s="35"/>
      <c r="D2" s="86"/>
      <c r="E2" s="86"/>
      <c r="F2" s="86"/>
      <c r="G2" s="86"/>
      <c r="H2" s="86"/>
      <c r="I2" s="86"/>
      <c r="J2" s="86"/>
      <c r="K2" s="36"/>
    </row>
    <row r="3" spans="1:11" ht="18.75" customHeight="1" thickBot="1" x14ac:dyDescent="0.25">
      <c r="A3" s="136" t="s">
        <v>29</v>
      </c>
      <c r="B3" s="136"/>
      <c r="C3" s="136"/>
      <c r="D3" s="134" t="s">
        <v>42</v>
      </c>
      <c r="E3" s="134"/>
      <c r="F3" s="134"/>
      <c r="G3" s="134"/>
      <c r="H3" s="134"/>
      <c r="I3" s="134"/>
      <c r="J3" s="134"/>
      <c r="K3" s="134"/>
    </row>
    <row r="4" spans="1:11" ht="18.75" customHeight="1" thickBot="1" x14ac:dyDescent="0.25">
      <c r="A4" s="133" t="s">
        <v>3</v>
      </c>
      <c r="B4" s="133"/>
      <c r="C4" s="133"/>
      <c r="D4" s="134" t="s">
        <v>43</v>
      </c>
      <c r="E4" s="134"/>
      <c r="F4" s="134"/>
      <c r="G4" s="134"/>
      <c r="H4" s="134"/>
      <c r="I4" s="134"/>
      <c r="J4" s="134"/>
      <c r="K4" s="134"/>
    </row>
    <row r="5" spans="1:11" ht="18.75" customHeight="1" thickBot="1" x14ac:dyDescent="0.25">
      <c r="A5" s="133" t="s">
        <v>4</v>
      </c>
      <c r="B5" s="133"/>
      <c r="C5" s="133"/>
      <c r="D5" s="134" t="s">
        <v>73</v>
      </c>
      <c r="E5" s="134"/>
      <c r="F5" s="134"/>
      <c r="G5" s="134"/>
      <c r="H5" s="134"/>
      <c r="I5" s="134"/>
      <c r="J5" s="134"/>
      <c r="K5" s="134"/>
    </row>
    <row r="6" spans="1:11" ht="16.5" customHeight="1" thickBot="1" x14ac:dyDescent="0.25">
      <c r="A6" s="136" t="s">
        <v>5</v>
      </c>
      <c r="B6" s="136"/>
      <c r="C6" s="136"/>
      <c r="D6" s="134" t="s">
        <v>39</v>
      </c>
      <c r="E6" s="134"/>
      <c r="F6" s="134"/>
      <c r="G6" s="134"/>
      <c r="H6" s="134"/>
      <c r="I6" s="134"/>
      <c r="J6" s="134"/>
      <c r="K6" s="134"/>
    </row>
    <row r="7" spans="1:11" ht="16.5" customHeight="1" thickBot="1" x14ac:dyDescent="0.25">
      <c r="A7" s="133" t="s">
        <v>77</v>
      </c>
      <c r="B7" s="133"/>
      <c r="C7" s="133"/>
      <c r="D7" s="134" t="s">
        <v>44</v>
      </c>
      <c r="E7" s="134"/>
      <c r="F7" s="134"/>
      <c r="G7" s="134"/>
      <c r="H7" s="134"/>
      <c r="I7" s="134"/>
      <c r="J7" s="134"/>
      <c r="K7" s="134"/>
    </row>
    <row r="8" spans="1:11" ht="16.5" customHeight="1" thickBot="1" x14ac:dyDescent="0.25">
      <c r="A8" s="137" t="s">
        <v>30</v>
      </c>
      <c r="B8" s="137"/>
      <c r="C8" s="137"/>
      <c r="D8" s="138" t="s">
        <v>74</v>
      </c>
      <c r="E8" s="138"/>
      <c r="F8" s="138"/>
      <c r="G8" s="138"/>
      <c r="H8" s="138"/>
      <c r="I8" s="138"/>
      <c r="J8" s="138"/>
      <c r="K8" s="138"/>
    </row>
    <row r="9" spans="1:11" ht="16.5" thickBot="1" x14ac:dyDescent="0.25">
      <c r="A9" s="37"/>
      <c r="B9" s="87"/>
      <c r="C9" s="87"/>
      <c r="D9" s="88"/>
      <c r="E9" s="88"/>
      <c r="F9" s="88"/>
      <c r="G9" s="88"/>
      <c r="H9" s="88"/>
      <c r="I9" s="88"/>
      <c r="J9" s="88"/>
      <c r="K9" s="38"/>
    </row>
    <row r="10" spans="1:11" ht="18.75" customHeight="1" thickBot="1" x14ac:dyDescent="0.25">
      <c r="A10" s="140" t="s">
        <v>31</v>
      </c>
      <c r="B10" s="141" t="s">
        <v>78</v>
      </c>
      <c r="C10" s="141" t="s">
        <v>79</v>
      </c>
      <c r="D10" s="141"/>
      <c r="E10" s="141"/>
      <c r="F10" s="141"/>
      <c r="G10" s="141"/>
      <c r="H10" s="141" t="s">
        <v>33</v>
      </c>
      <c r="I10" s="141" t="s">
        <v>34</v>
      </c>
      <c r="J10" s="141" t="s">
        <v>35</v>
      </c>
      <c r="K10" s="142" t="s">
        <v>36</v>
      </c>
    </row>
    <row r="11" spans="1:11" ht="24" customHeight="1" thickBot="1" x14ac:dyDescent="0.25">
      <c r="A11" s="140"/>
      <c r="B11" s="141"/>
      <c r="C11" s="141"/>
      <c r="D11" s="141"/>
      <c r="E11" s="141"/>
      <c r="F11" s="141"/>
      <c r="G11" s="141"/>
      <c r="H11" s="141"/>
      <c r="I11" s="141"/>
      <c r="J11" s="141"/>
      <c r="K11" s="142"/>
    </row>
    <row r="12" spans="1:11" ht="24" customHeight="1" x14ac:dyDescent="0.2">
      <c r="A12" s="89">
        <v>1</v>
      </c>
      <c r="B12" s="90" t="str">
        <f>+'Necesidades Trimestrales'!B10</f>
        <v>3.2.6-8376.1</v>
      </c>
      <c r="C12" s="143" t="str">
        <f>+'Necesidades Trimestrales'!E10</f>
        <v>ALQ. DE LICENCIAS DE SOFTWARE; DESCRIPCION: ALQ.DE LIC. DE SOFTWARE</v>
      </c>
      <c r="D12" s="143"/>
      <c r="E12" s="143"/>
      <c r="F12" s="143"/>
      <c r="G12" s="143"/>
      <c r="H12" s="91" t="s">
        <v>37</v>
      </c>
      <c r="I12" s="92" t="s">
        <v>81</v>
      </c>
      <c r="J12" s="99">
        <f>+'Necesidades Trimestrales'!H10</f>
        <v>3630000</v>
      </c>
      <c r="K12" s="93">
        <v>4</v>
      </c>
    </row>
    <row r="13" spans="1:11" ht="24" customHeight="1" x14ac:dyDescent="0.2">
      <c r="A13" s="94"/>
      <c r="B13" s="95"/>
      <c r="C13" s="139"/>
      <c r="D13" s="139"/>
      <c r="E13" s="139"/>
      <c r="F13" s="139"/>
      <c r="G13" s="139"/>
      <c r="H13" s="96"/>
      <c r="I13" s="97"/>
      <c r="J13" s="97"/>
      <c r="K13" s="98"/>
    </row>
    <row r="14" spans="1:11" ht="24" customHeight="1" x14ac:dyDescent="0.2">
      <c r="A14" s="94"/>
      <c r="B14" s="95"/>
      <c r="C14" s="139"/>
      <c r="D14" s="139"/>
      <c r="E14" s="139"/>
      <c r="F14" s="139"/>
      <c r="G14" s="139"/>
      <c r="H14" s="96"/>
      <c r="I14" s="97"/>
      <c r="J14" s="97"/>
      <c r="K14" s="98"/>
    </row>
    <row r="15" spans="1:11" ht="24" customHeight="1" x14ac:dyDescent="0.2">
      <c r="A15" s="94"/>
      <c r="B15" s="95"/>
      <c r="C15" s="139"/>
      <c r="D15" s="139"/>
      <c r="E15" s="139"/>
      <c r="F15" s="139"/>
      <c r="G15" s="139"/>
      <c r="H15" s="96"/>
      <c r="I15" s="97"/>
      <c r="J15" s="97"/>
      <c r="K15" s="98"/>
    </row>
    <row r="16" spans="1:11" ht="24" customHeight="1" x14ac:dyDescent="0.2">
      <c r="A16" s="94"/>
      <c r="B16" s="95"/>
      <c r="C16" s="139"/>
      <c r="D16" s="139"/>
      <c r="E16" s="139"/>
      <c r="F16" s="139"/>
      <c r="G16" s="139"/>
      <c r="H16" s="96"/>
      <c r="I16" s="97"/>
      <c r="J16" s="97"/>
      <c r="K16" s="98"/>
    </row>
    <row r="17" spans="1:11" ht="24" customHeight="1" x14ac:dyDescent="0.2">
      <c r="A17" s="94"/>
      <c r="B17" s="95"/>
      <c r="C17" s="139"/>
      <c r="D17" s="139"/>
      <c r="E17" s="139"/>
      <c r="F17" s="139"/>
      <c r="G17" s="139"/>
      <c r="H17" s="96"/>
      <c r="I17" s="97"/>
      <c r="J17" s="97"/>
      <c r="K17" s="98"/>
    </row>
    <row r="18" spans="1:11" ht="24" customHeight="1" x14ac:dyDescent="0.2">
      <c r="A18" s="94"/>
      <c r="B18" s="95"/>
      <c r="C18" s="146" t="s">
        <v>83</v>
      </c>
      <c r="D18" s="146"/>
      <c r="E18" s="146"/>
      <c r="F18" s="146"/>
      <c r="G18" s="146"/>
      <c r="H18" s="96"/>
      <c r="I18" s="97"/>
      <c r="J18" s="97"/>
      <c r="K18" s="98"/>
    </row>
    <row r="19" spans="1:11" ht="24" customHeight="1" x14ac:dyDescent="0.2">
      <c r="A19" s="94"/>
      <c r="B19" s="95"/>
      <c r="C19" s="146" t="s">
        <v>84</v>
      </c>
      <c r="D19" s="146"/>
      <c r="E19" s="146"/>
      <c r="F19" s="146"/>
      <c r="G19" s="146"/>
      <c r="H19" s="96"/>
      <c r="I19" s="97"/>
      <c r="J19" s="97"/>
      <c r="K19" s="98"/>
    </row>
    <row r="20" spans="1:11" ht="32.25" customHeight="1" x14ac:dyDescent="0.2">
      <c r="A20" s="94"/>
      <c r="B20" s="95"/>
      <c r="C20" s="146" t="s">
        <v>86</v>
      </c>
      <c r="D20" s="146"/>
      <c r="E20" s="146"/>
      <c r="F20" s="146"/>
      <c r="G20" s="146"/>
      <c r="H20" s="96"/>
      <c r="I20" s="97"/>
      <c r="J20" s="97"/>
      <c r="K20" s="98"/>
    </row>
    <row r="21" spans="1:11" ht="24" customHeight="1" x14ac:dyDescent="0.2">
      <c r="A21" s="94"/>
      <c r="B21" s="95"/>
      <c r="C21" s="146" t="s">
        <v>85</v>
      </c>
      <c r="D21" s="146"/>
      <c r="E21" s="146"/>
      <c r="F21" s="146"/>
      <c r="G21" s="146"/>
      <c r="H21" s="96"/>
      <c r="I21" s="97"/>
      <c r="J21" s="97"/>
      <c r="K21" s="98"/>
    </row>
    <row r="22" spans="1:11" ht="24" customHeight="1" x14ac:dyDescent="0.2">
      <c r="A22" s="94"/>
      <c r="B22" s="95"/>
      <c r="C22" s="139"/>
      <c r="D22" s="139"/>
      <c r="E22" s="139"/>
      <c r="F22" s="139"/>
      <c r="G22" s="139"/>
      <c r="H22" s="96"/>
      <c r="I22" s="97"/>
      <c r="J22" s="97"/>
      <c r="K22" s="98"/>
    </row>
    <row r="23" spans="1:11" ht="25.5" customHeight="1" thickBot="1" x14ac:dyDescent="0.25">
      <c r="A23" s="144" t="s">
        <v>82</v>
      </c>
      <c r="B23" s="144"/>
      <c r="C23" s="144"/>
      <c r="D23" s="144"/>
      <c r="E23" s="144"/>
      <c r="F23" s="144"/>
      <c r="G23" s="144"/>
      <c r="H23" s="144"/>
      <c r="I23" s="144"/>
      <c r="J23" s="145">
        <f>+J12*K12</f>
        <v>14520000</v>
      </c>
      <c r="K23" s="145"/>
    </row>
  </sheetData>
  <mergeCells count="33">
    <mergeCell ref="A23:I23"/>
    <mergeCell ref="J23:K23"/>
    <mergeCell ref="C17:G17"/>
    <mergeCell ref="C18:G18"/>
    <mergeCell ref="C19:G19"/>
    <mergeCell ref="C20:G20"/>
    <mergeCell ref="C21:G21"/>
    <mergeCell ref="C22:G22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view="pageBreakPreview" zoomScaleNormal="115" zoomScaleSheetLayoutView="100" workbookViewId="0">
      <selection activeCell="U12" sqref="U1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  <col min="19" max="19" width="11.140625" bestFit="1" customWidth="1"/>
    <col min="20" max="20" width="11.28515625" bestFit="1" customWidth="1"/>
  </cols>
  <sheetData>
    <row r="1" spans="1:20" ht="15.75" customHeight="1" thickBot="1" x14ac:dyDescent="0.3">
      <c r="A1" s="153" t="s">
        <v>0</v>
      </c>
      <c r="B1" s="153"/>
      <c r="C1" s="153"/>
      <c r="D1" s="154">
        <v>2021</v>
      </c>
      <c r="E1" s="154"/>
      <c r="F1" s="1"/>
      <c r="G1" s="1"/>
      <c r="H1" s="2"/>
      <c r="I1" s="2"/>
      <c r="J1" s="2"/>
      <c r="K1" s="2"/>
      <c r="L1" s="2"/>
      <c r="M1" s="2"/>
      <c r="N1" s="2"/>
      <c r="P1" s="155" t="s">
        <v>1</v>
      </c>
      <c r="Q1" s="155"/>
    </row>
    <row r="2" spans="1:20" ht="15.75" customHeight="1" thickBot="1" x14ac:dyDescent="0.25">
      <c r="H2" s="2"/>
      <c r="I2" s="2"/>
      <c r="J2" s="2"/>
      <c r="K2" s="2"/>
      <c r="L2" s="2"/>
      <c r="M2" s="2"/>
      <c r="N2" s="2"/>
      <c r="P2" s="156"/>
      <c r="Q2" s="156"/>
    </row>
    <row r="3" spans="1:20" ht="13.5" thickBot="1" x14ac:dyDescent="0.25">
      <c r="P3" s="160" t="s">
        <v>87</v>
      </c>
      <c r="Q3" s="161"/>
    </row>
    <row r="4" spans="1:20" s="4" customFormat="1" ht="18" customHeight="1" thickBot="1" x14ac:dyDescent="0.25">
      <c r="A4" s="157" t="s">
        <v>2</v>
      </c>
      <c r="B4" s="157"/>
      <c r="C4" s="157"/>
      <c r="D4" s="157"/>
      <c r="E4" s="157"/>
      <c r="F4" s="157"/>
      <c r="G4" s="158" t="s">
        <v>38</v>
      </c>
      <c r="H4" s="158"/>
      <c r="I4" s="158"/>
      <c r="J4" s="158"/>
      <c r="K4" s="158"/>
      <c r="L4" s="158"/>
      <c r="M4" s="158"/>
      <c r="N4" s="158"/>
      <c r="O4" s="158"/>
      <c r="P4" s="159"/>
      <c r="Q4" s="159"/>
    </row>
    <row r="5" spans="1:20" s="4" customFormat="1" ht="31.5" customHeight="1" thickBot="1" x14ac:dyDescent="0.25">
      <c r="A5" s="147" t="s">
        <v>3</v>
      </c>
      <c r="B5" s="148"/>
      <c r="C5" s="148"/>
      <c r="D5" s="148"/>
      <c r="E5" s="148"/>
      <c r="F5" s="149"/>
      <c r="G5" s="150" t="s">
        <v>43</v>
      </c>
      <c r="H5" s="151"/>
      <c r="I5" s="151"/>
      <c r="J5" s="151"/>
      <c r="K5" s="151"/>
      <c r="L5" s="151"/>
      <c r="M5" s="151"/>
      <c r="N5" s="151"/>
      <c r="O5" s="151"/>
      <c r="P5" s="151"/>
      <c r="Q5" s="152"/>
    </row>
    <row r="6" spans="1:20" s="4" customFormat="1" ht="18" customHeight="1" thickBot="1" x14ac:dyDescent="0.25">
      <c r="A6" s="163" t="s">
        <v>4</v>
      </c>
      <c r="B6" s="164"/>
      <c r="C6" s="164"/>
      <c r="D6" s="164"/>
      <c r="E6" s="164"/>
      <c r="F6" s="165"/>
      <c r="G6" s="158" t="s">
        <v>75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20" s="4" customFormat="1" ht="18" customHeight="1" thickBot="1" x14ac:dyDescent="0.25">
      <c r="A7" s="163" t="s">
        <v>5</v>
      </c>
      <c r="B7" s="164"/>
      <c r="C7" s="164"/>
      <c r="D7" s="164"/>
      <c r="E7" s="164"/>
      <c r="F7" s="165"/>
      <c r="G7" s="158" t="s">
        <v>39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20" ht="18" customHeight="1" thickBot="1" x14ac:dyDescent="0.25">
      <c r="A8" s="166" t="s">
        <v>6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20" ht="18" customHeight="1" x14ac:dyDescent="0.2">
      <c r="A9" s="167" t="s">
        <v>7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Q9" s="5"/>
    </row>
    <row r="10" spans="1:20" ht="54.75" customHeight="1" x14ac:dyDescent="0.2">
      <c r="A10" s="168" t="s">
        <v>90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1" spans="1:20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20" ht="15.75" customHeight="1" thickBot="1" x14ac:dyDescent="0.25">
      <c r="A12" s="169" t="s">
        <v>8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</row>
    <row r="13" spans="1:20" ht="15.75" customHeight="1" thickBot="1" x14ac:dyDescent="0.25">
      <c r="A13" s="170" t="s">
        <v>9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10</v>
      </c>
      <c r="P13" s="173"/>
      <c r="Q13" s="176" t="s">
        <v>11</v>
      </c>
    </row>
    <row r="14" spans="1:20" ht="15.75" customHeight="1" thickBot="1" x14ac:dyDescent="0.25">
      <c r="A14" s="10" t="s">
        <v>12</v>
      </c>
      <c r="B14" s="11" t="s">
        <v>13</v>
      </c>
      <c r="C14" s="11" t="s">
        <v>14</v>
      </c>
      <c r="D14" s="11" t="s">
        <v>15</v>
      </c>
      <c r="E14" s="11" t="s">
        <v>16</v>
      </c>
      <c r="F14" s="11" t="s">
        <v>17</v>
      </c>
      <c r="G14" s="12" t="s">
        <v>18</v>
      </c>
      <c r="H14" s="11" t="s">
        <v>19</v>
      </c>
      <c r="I14" s="11" t="s">
        <v>20</v>
      </c>
      <c r="J14" s="11" t="s">
        <v>21</v>
      </c>
      <c r="K14" s="11" t="s">
        <v>21</v>
      </c>
      <c r="L14" s="11" t="s">
        <v>22</v>
      </c>
      <c r="M14" s="13" t="s">
        <v>23</v>
      </c>
      <c r="N14" s="14" t="s">
        <v>24</v>
      </c>
      <c r="O14" s="174"/>
      <c r="P14" s="175"/>
      <c r="Q14" s="177"/>
    </row>
    <row r="15" spans="1:20" ht="26.25" customHeight="1" x14ac:dyDescent="0.2">
      <c r="A15" s="15">
        <v>2</v>
      </c>
      <c r="B15" s="16"/>
      <c r="C15" s="16"/>
      <c r="D15" s="16">
        <v>8</v>
      </c>
      <c r="E15" s="16"/>
      <c r="F15" s="16">
        <v>4901</v>
      </c>
      <c r="G15" s="16">
        <v>1</v>
      </c>
      <c r="H15" s="16">
        <v>3</v>
      </c>
      <c r="I15" s="16">
        <v>3</v>
      </c>
      <c r="J15" s="16">
        <v>4</v>
      </c>
      <c r="K15" s="16">
        <v>6</v>
      </c>
      <c r="L15" s="16"/>
      <c r="M15" s="17">
        <v>1</v>
      </c>
      <c r="N15" s="18" t="s">
        <v>25</v>
      </c>
      <c r="O15" s="162" t="s">
        <v>76</v>
      </c>
      <c r="P15" s="162"/>
      <c r="Q15" s="19">
        <v>14520000</v>
      </c>
      <c r="T15" s="20"/>
    </row>
    <row r="16" spans="1:20" ht="23.25" customHeight="1" x14ac:dyDescent="0.2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7"/>
      <c r="N16" s="18"/>
      <c r="O16" s="162"/>
      <c r="P16" s="162"/>
      <c r="Q16" s="19"/>
      <c r="T16" s="20"/>
    </row>
    <row r="17" spans="1:20" ht="17.25" customHeight="1" x14ac:dyDescent="0.2">
      <c r="A17" s="15"/>
      <c r="B17" s="16"/>
      <c r="C17" s="16"/>
      <c r="D17" s="16"/>
      <c r="E17" s="16"/>
      <c r="F17" s="21"/>
      <c r="G17" s="16"/>
      <c r="H17" s="16"/>
      <c r="I17" s="16"/>
      <c r="J17" s="16"/>
      <c r="K17" s="16"/>
      <c r="L17" s="16"/>
      <c r="M17" s="17"/>
      <c r="N17" s="18"/>
      <c r="O17" s="162"/>
      <c r="P17" s="162"/>
      <c r="Q17" s="22"/>
      <c r="T17" s="20"/>
    </row>
    <row r="18" spans="1:20" ht="17.25" customHeight="1" x14ac:dyDescent="0.2">
      <c r="A18" s="15"/>
      <c r="B18" s="16"/>
      <c r="C18" s="16"/>
      <c r="D18" s="16"/>
      <c r="E18" s="16"/>
      <c r="F18" s="21"/>
      <c r="G18" s="16"/>
      <c r="H18" s="16"/>
      <c r="I18" s="16"/>
      <c r="J18" s="16"/>
      <c r="K18" s="16"/>
      <c r="L18" s="16"/>
      <c r="M18" s="17"/>
      <c r="N18" s="21"/>
      <c r="O18" s="184"/>
      <c r="P18" s="184"/>
      <c r="Q18" s="22"/>
      <c r="T18" s="20"/>
    </row>
    <row r="19" spans="1:20" ht="17.25" customHeight="1" x14ac:dyDescent="0.2">
      <c r="A19" s="23"/>
      <c r="B19" s="24"/>
      <c r="C19" s="24"/>
      <c r="D19" s="24"/>
      <c r="E19" s="24"/>
      <c r="F19" s="21"/>
      <c r="G19" s="24"/>
      <c r="H19" s="24"/>
      <c r="I19" s="24"/>
      <c r="J19" s="24"/>
      <c r="K19" s="24"/>
      <c r="L19" s="24"/>
      <c r="M19" s="25"/>
      <c r="N19" s="26"/>
      <c r="O19" s="184"/>
      <c r="P19" s="184"/>
      <c r="Q19" s="22"/>
    </row>
    <row r="20" spans="1:20" ht="17.25" customHeight="1" thickBot="1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28"/>
      <c r="O20" s="185"/>
      <c r="P20" s="185"/>
      <c r="Q20" s="30"/>
    </row>
    <row r="21" spans="1:20" ht="32.25" customHeight="1" thickBot="1" x14ac:dyDescent="0.25">
      <c r="A21" s="186" t="s">
        <v>40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31">
        <f>SUM(Q15:Q20)</f>
        <v>14520000</v>
      </c>
      <c r="T21" s="32"/>
    </row>
    <row r="22" spans="1:20" ht="18" customHeight="1" thickBot="1" x14ac:dyDescent="0.25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</row>
    <row r="23" spans="1:20" ht="17.25" customHeight="1" thickBot="1" x14ac:dyDescent="0.25">
      <c r="A23" s="179" t="s">
        <v>26</v>
      </c>
      <c r="B23" s="180"/>
      <c r="C23" s="180"/>
      <c r="D23" s="180"/>
      <c r="E23" s="180"/>
      <c r="F23" s="181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</row>
    <row r="24" spans="1:20" ht="18" customHeight="1" thickBot="1" x14ac:dyDescent="0.25">
      <c r="A24" s="183" t="s">
        <v>41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</row>
    <row r="25" spans="1:20" ht="45" customHeight="1" thickBot="1" x14ac:dyDescent="0.25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</row>
  </sheetData>
  <mergeCells count="30">
    <mergeCell ref="A22:Q22"/>
    <mergeCell ref="A23:F23"/>
    <mergeCell ref="G23:Q23"/>
    <mergeCell ref="A24:Q25"/>
    <mergeCell ref="O16:P16"/>
    <mergeCell ref="O17:P17"/>
    <mergeCell ref="O18:P18"/>
    <mergeCell ref="O19:P19"/>
    <mergeCell ref="O20:P20"/>
    <mergeCell ref="A21:P21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  <mergeCell ref="P3:Q3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NICOLA</dc:creator>
  <cp:lastModifiedBy>elias quintar</cp:lastModifiedBy>
  <dcterms:created xsi:type="dcterms:W3CDTF">2020-10-26T16:38:27Z</dcterms:created>
  <dcterms:modified xsi:type="dcterms:W3CDTF">2021-08-17T13:06:48Z</dcterms:modified>
</cp:coreProperties>
</file>