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E47FEBA5-E7E1-402F-9660-E354A352ADA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Trimestrales'!$A$9:$I$53</definedName>
    <definedName name="_xlnm.Print_Area" localSheetId="1">' NotaPedido'!$A$1:$K$53</definedName>
    <definedName name="_xlnm.Print_Area" localSheetId="2">'Autor Gastar'!$A$1:$Q$31</definedName>
  </definedNames>
  <calcPr calcId="181029"/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I12" i="1" l="1"/>
  <c r="I11" i="1"/>
  <c r="D7" i="2"/>
  <c r="A53" i="2" l="1"/>
  <c r="A27" i="3" s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12" i="2"/>
  <c r="A13" i="2"/>
  <c r="A12" i="2"/>
  <c r="I48" i="1"/>
  <c r="D47" i="1"/>
  <c r="D48" i="1"/>
  <c r="D46" i="1"/>
  <c r="I50" i="1"/>
  <c r="D50" i="1"/>
  <c r="I49" i="1"/>
  <c r="D49" i="1"/>
  <c r="I47" i="1"/>
  <c r="I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D12" i="1"/>
  <c r="D11" i="1"/>
  <c r="I10" i="1"/>
  <c r="D10" i="1"/>
  <c r="J53" i="2" l="1"/>
  <c r="I51" i="1"/>
  <c r="Q27" i="3"/>
  <c r="A30" i="3" l="1"/>
  <c r="A10" i="3"/>
  <c r="G7" i="3" l="1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<sst xmlns="http://schemas.openxmlformats.org/spreadsheetml/2006/main" count="302" uniqueCount="158">
  <si>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</si>
  <si>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</si>
  <si>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</si>
  <si>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</si>
  <si>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</si>
  <si>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</si>
  <si>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</si>
  <si>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</si>
  <si>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</si>
  <si>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</si>
  <si>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</si>
  <si>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</si>
  <si>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</si>
  <si>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</si>
  <si>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</si>
  <si>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</si>
  <si>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</si>
  <si>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</si>
  <si>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</si>
  <si>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</si>
  <si>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</si>
  <si>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</si>
  <si>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</si>
  <si>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</si>
  <si>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</si>
  <si>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</si>
  <si>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</si>
  <si>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</si>
  <si>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</si>
  <si>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</si>
  <si>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</si>
  <si>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</si>
  <si>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</si>
  <si>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</si>
  <si>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</si>
  <si>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</si>
  <si>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</si>
  <si>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</si>
  <si>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</si>
  <si>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</si>
  <si>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</si>
  <si>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</si>
  <si>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</si>
  <si>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</si>
  <si>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</si>
  <si>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</si>
  <si>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</si>
  <si>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</si>
  <si>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</si>
  <si>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</si>
  <si>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</si>
  <si>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</si>
  <si>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</si>
  <si>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</si>
  <si>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12 -Ministerio de Trabajo y Recursos Humanos</t>
  </si>
  <si>
    <t xml:space="preserve">Secretaria de Administracion </t>
  </si>
  <si>
    <t>Ministerio de Trabajo y Reursos Humanos</t>
  </si>
  <si>
    <t>UNIDAD</t>
  </si>
  <si>
    <t>Descripción técnica</t>
  </si>
  <si>
    <t>NO</t>
  </si>
  <si>
    <t>22 - Secretaria de Administración del Ministerio de Trabajo y Recursos Humanos</t>
  </si>
  <si>
    <t>2.3.4-5442.13</t>
  </si>
  <si>
    <t>BAZAR Y MENAJE</t>
  </si>
  <si>
    <r>
      <rPr>
        <b/>
        <sz val="11"/>
        <rFont val="Times New Roman"/>
        <family val="1"/>
      </rPr>
      <t>ROLLOS P/COCINA</t>
    </r>
    <r>
      <rPr>
        <sz val="11"/>
        <rFont val="Times New Roman"/>
        <family val="1"/>
      </rPr>
      <t>; DIMENSION: 21 X 20 Cm, PRESENTACION: ENVASE X 3 UN</t>
    </r>
  </si>
  <si>
    <t>ELEMENTOS DE LIMPIEZA</t>
  </si>
  <si>
    <t>2.3.4-783.66</t>
  </si>
  <si>
    <r>
      <rPr>
        <b/>
        <sz val="11"/>
        <rFont val="Times New Roman"/>
        <family val="1"/>
      </rPr>
      <t>TOALLAS DE PAPEL</t>
    </r>
    <r>
      <rPr>
        <sz val="11"/>
        <rFont val="Times New Roman"/>
        <family val="1"/>
      </rPr>
      <t xml:space="preserve">; MATERIAL: PAPEL GOFRADO, GRAMAJE: SIN VALOR, DIMENSION: ANCHO 20 Cm, PRESENTACION: </t>
    </r>
    <r>
      <rPr>
        <b/>
        <sz val="11"/>
        <rFont val="Times New Roman"/>
        <family val="1"/>
      </rPr>
      <t>ROLLO X 304 M</t>
    </r>
  </si>
  <si>
    <t>2.3.4-786.80</t>
  </si>
  <si>
    <r>
      <rPr>
        <b/>
        <sz val="11"/>
        <rFont val="Times New Roman"/>
        <family val="1"/>
      </rPr>
      <t>PAPEL HIGIENICO</t>
    </r>
    <r>
      <rPr>
        <sz val="11"/>
        <rFont val="Times New Roman"/>
        <family val="1"/>
      </rPr>
      <t>; PRESENTACION: PAQUETE X 4, TIPO: ROLLO, ANCHO: 10 Cm, LARGO: 90 M, TIPO DE HOJA: DOBLE</t>
    </r>
  </si>
  <si>
    <t>2.5.4-505.19</t>
  </si>
  <si>
    <r>
      <rPr>
        <b/>
        <sz val="11"/>
        <rFont val="Times New Roman"/>
        <family val="1"/>
      </rPr>
      <t>DESINFECTANTES</t>
    </r>
    <r>
      <rPr>
        <sz val="11"/>
        <rFont val="Times New Roman"/>
        <family val="1"/>
      </rPr>
      <t xml:space="preserve">; PRESENTACION: ENVASE X 5 L, USO P/CONTROL: </t>
    </r>
    <r>
      <rPr>
        <b/>
        <sz val="11"/>
        <rFont val="Times New Roman"/>
        <family val="1"/>
      </rPr>
      <t>BACTERIAS, CAPACIDAD: 5 L</t>
    </r>
    <r>
      <rPr>
        <sz val="11"/>
        <rFont val="Times New Roman"/>
        <family val="1"/>
      </rPr>
      <t>, CONTROL: BACTERIAS, PRINCIPIO ACTIVO: HIPOCLORITO DE SODIO</t>
    </r>
  </si>
  <si>
    <t>2.5.4-505.73</t>
  </si>
  <si>
    <r>
      <t xml:space="preserve">DESINFECTANTES; PRINCIPIO ACTIVO: 2-FENILFENOL, CONTROL: </t>
    </r>
    <r>
      <rPr>
        <b/>
        <sz val="11"/>
        <rFont val="Times New Roman"/>
        <family val="1"/>
      </rPr>
      <t>BACTERIAS, HONGOS Y VIRUS</t>
    </r>
    <r>
      <rPr>
        <sz val="11"/>
        <rFont val="Times New Roman"/>
        <family val="1"/>
      </rPr>
      <t>, PRESENTACION: ENVASE X 360 CM3</t>
    </r>
  </si>
  <si>
    <t>2.5.4-506.192</t>
  </si>
  <si>
    <t>2.5.4-506.194</t>
  </si>
  <si>
    <r>
      <t xml:space="preserve">INSECTICIDAS; PRINCIPIO ACTIVO: TETRAMETRINA, </t>
    </r>
    <r>
      <rPr>
        <b/>
        <sz val="11"/>
        <rFont val="Times New Roman"/>
        <family val="1"/>
      </rPr>
      <t>CONTROL: HORMIGAS</t>
    </r>
    <r>
      <rPr>
        <sz val="11"/>
        <rFont val="Times New Roman"/>
        <family val="1"/>
      </rPr>
      <t>, ACCION: VOLTEO Y RESIDUAL, PRESENTACION: ENVASE X 360 CM3</t>
    </r>
  </si>
  <si>
    <t>2.5.4-506.209</t>
  </si>
  <si>
    <r>
      <t xml:space="preserve">INSECTICIDAS; PRINCIPIO ACTIVO: DIFETHIALONE 0.0025 %, </t>
    </r>
    <r>
      <rPr>
        <b/>
        <sz val="11"/>
        <rFont val="Times New Roman"/>
        <family val="1"/>
      </rPr>
      <t>CONTROL: ROEDORES</t>
    </r>
    <r>
      <rPr>
        <sz val="11"/>
        <rFont val="Times New Roman"/>
        <family val="1"/>
      </rPr>
      <t>, ACCION:,: CEBO X 1 Kg</t>
    </r>
  </si>
  <si>
    <t>2.5.4-506.200</t>
  </si>
  <si>
    <r>
      <t xml:space="preserve">INSECTICIDAS; PRINCIPIO ACTIVO: D-FENOTRINA, D-TETRA, PRAL, CONTROL: </t>
    </r>
    <r>
      <rPr>
        <b/>
        <sz val="11"/>
        <rFont val="Times New Roman"/>
        <family val="1"/>
      </rPr>
      <t>MOSCAS Y MOSQUITOS</t>
    </r>
    <r>
      <rPr>
        <sz val="11"/>
        <rFont val="Times New Roman"/>
        <family val="1"/>
      </rPr>
      <t>, ACCION: INSECTICIDA, PRESENTACION: ENVASE X 360 CM3</t>
    </r>
  </si>
  <si>
    <t>2.9.1-1156.1</t>
  </si>
  <si>
    <r>
      <rPr>
        <b/>
        <sz val="11"/>
        <rFont val="Times New Roman"/>
        <family val="1"/>
      </rPr>
      <t>PLUMEROS</t>
    </r>
    <r>
      <rPr>
        <sz val="11"/>
        <rFont val="Times New Roman"/>
        <family val="1"/>
      </rPr>
      <t>; PLUMA: SINTETICA, CLASE: SUAVE, MATERIAL MANGO: MADERA, LARGO MANGO: 60 Cm, Nº VUELTAS PENACHO: 6, TIPO: SUAVE</t>
    </r>
  </si>
  <si>
    <t>2.9.1-1164.18</t>
  </si>
  <si>
    <r>
      <rPr>
        <b/>
        <sz val="11"/>
        <rFont val="Times New Roman"/>
        <family val="1"/>
      </rPr>
      <t>ESPONJAS; MATERIAL: METAL</t>
    </r>
    <r>
      <rPr>
        <sz val="11"/>
        <rFont val="Times New Roman"/>
        <family val="1"/>
      </rPr>
      <t>, USO: PARA COCINA, ADITAMENTO: SIN VALOR, FORMA: REDONDA, LARGO X ANCHO X ESP: ROLLO X 30 GR, COLOR: DORADO</t>
    </r>
  </si>
  <si>
    <t>2.9.1-1164.35</t>
  </si>
  <si>
    <r>
      <rPr>
        <b/>
        <sz val="11"/>
        <rFont val="Times New Roman"/>
        <family val="1"/>
      </rPr>
      <t>ESPONJAS; MATERIAL: FIBRA</t>
    </r>
    <r>
      <rPr>
        <sz val="11"/>
        <rFont val="Times New Roman"/>
        <family val="1"/>
      </rPr>
      <t>, USO: DOMESTICO, ADITAMENTO: FIBRA, FORMA: RECTANGULAR, LARGO X ANCHO X ESP: 10 X 6 X 4 Cm</t>
    </r>
  </si>
  <si>
    <t>2.9.1-2425.2</t>
  </si>
  <si>
    <r>
      <rPr>
        <b/>
        <sz val="11"/>
        <rFont val="Times New Roman"/>
        <family val="1"/>
      </rPr>
      <t>LAMPAZOS</t>
    </r>
    <r>
      <rPr>
        <sz val="11"/>
        <rFont val="Times New Roman"/>
        <family val="1"/>
      </rPr>
      <t>; MATERIAL: HILO, MANGO: MADERA</t>
    </r>
  </si>
  <si>
    <t>2.9.1-2661.20</t>
  </si>
  <si>
    <r>
      <rPr>
        <b/>
        <sz val="11"/>
        <rFont val="Times New Roman"/>
        <family val="1"/>
      </rPr>
      <t>TACHOS DE RESIDUOS</t>
    </r>
    <r>
      <rPr>
        <sz val="11"/>
        <rFont val="Times New Roman"/>
        <family val="1"/>
      </rPr>
      <t>; MATERIAL: PLASTICO, SECCION: CIRCULAR, DIMENSION: 12 L, TAPA: CON</t>
    </r>
  </si>
  <si>
    <t>2.9.1-4784.37</t>
  </si>
  <si>
    <r>
      <rPr>
        <b/>
        <sz val="11"/>
        <rFont val="Times New Roman"/>
        <family val="1"/>
      </rPr>
      <t>LIMPIADORES MULTIUSO;</t>
    </r>
    <r>
      <rPr>
        <sz val="11"/>
        <rFont val="Times New Roman"/>
        <family val="1"/>
      </rPr>
      <t xml:space="preserve"> TIPO: P/</t>
    </r>
    <r>
      <rPr>
        <b/>
        <sz val="11"/>
        <rFont val="Times New Roman"/>
        <family val="1"/>
      </rPr>
      <t>LAMPAZO</t>
    </r>
    <r>
      <rPr>
        <sz val="11"/>
        <rFont val="Times New Roman"/>
        <family val="1"/>
      </rPr>
      <t>, PRESENTACION: ENVASE X 5 L</t>
    </r>
  </si>
  <si>
    <t>2.9.1-544.82</t>
  </si>
  <si>
    <r>
      <t xml:space="preserve">DESODORANTES DE AMBIENTE; FORMATO: </t>
    </r>
    <r>
      <rPr>
        <b/>
        <sz val="11"/>
        <rFont val="Times New Roman"/>
        <family val="1"/>
      </rPr>
      <t>AEROSOL, FRAGANCIA</t>
    </r>
    <r>
      <rPr>
        <sz val="11"/>
        <rFont val="Times New Roman"/>
        <family val="1"/>
      </rPr>
      <t>: ORIGINAL, PRESENTACION: ENVASE X 360</t>
    </r>
  </si>
  <si>
    <t>2.9.1-564.18</t>
  </si>
  <si>
    <r>
      <rPr>
        <b/>
        <sz val="11"/>
        <rFont val="Times New Roman"/>
        <family val="1"/>
      </rPr>
      <t>BALDES DE PLASTICO</t>
    </r>
    <r>
      <rPr>
        <sz val="11"/>
        <rFont val="Times New Roman"/>
        <family val="1"/>
      </rPr>
      <t>; CAPACIDAD: 14 L</t>
    </r>
  </si>
  <si>
    <t>2.9.1-646.6</t>
  </si>
  <si>
    <r>
      <rPr>
        <b/>
        <sz val="11"/>
        <rFont val="Times New Roman"/>
        <family val="1"/>
      </rPr>
      <t>BOLSAS DE RESIDUOS; DIMENSION: 45 X 60</t>
    </r>
    <r>
      <rPr>
        <sz val="11"/>
        <rFont val="Times New Roman"/>
        <family val="1"/>
      </rPr>
      <t xml:space="preserve"> Cm, PRESENTACION: BOLSA X 10, COLOR: SIN VALOR, ESPESOR: SIN VALOR</t>
    </r>
  </si>
  <si>
    <t>2.9.1-646.56</t>
  </si>
  <si>
    <r>
      <rPr>
        <b/>
        <sz val="11"/>
        <rFont val="Times New Roman"/>
        <family val="1"/>
      </rPr>
      <t xml:space="preserve">BOLSAS DE RESIDUOS; DIMENSION: 100 X 80 </t>
    </r>
    <r>
      <rPr>
        <sz val="11"/>
        <rFont val="Times New Roman"/>
        <family val="1"/>
      </rPr>
      <t>Cm, PRESENTACION: BOLSA X 10 UN, ESPESOR: 80 Mn, COLOR: NEGRO</t>
    </r>
  </si>
  <si>
    <t>2.9.1-678.1</t>
  </si>
  <si>
    <r>
      <rPr>
        <b/>
        <sz val="11"/>
        <rFont val="Times New Roman"/>
        <family val="1"/>
      </rPr>
      <t>TRAPOS REJILLA</t>
    </r>
    <r>
      <rPr>
        <sz val="11"/>
        <rFont val="Times New Roman"/>
        <family val="1"/>
      </rPr>
      <t>; DIMENSION: 38 X 42 Cm, MATERIAL: PURO ALGODON, COLOR: BLANCO</t>
    </r>
  </si>
  <si>
    <t>2.9.1-683.6</t>
  </si>
  <si>
    <r>
      <rPr>
        <b/>
        <sz val="11"/>
        <rFont val="Times New Roman"/>
        <family val="1"/>
      </rPr>
      <t>SECADORES DE GOMA</t>
    </r>
    <r>
      <rPr>
        <sz val="11"/>
        <rFont val="Times New Roman"/>
        <family val="1"/>
      </rPr>
      <t>; COLOR: NEGRO, LARGO: 50 Cm</t>
    </r>
  </si>
  <si>
    <t>2.9.1-6950.30</t>
  </si>
  <si>
    <r>
      <rPr>
        <b/>
        <sz val="11"/>
        <rFont val="Times New Roman"/>
        <family val="1"/>
      </rPr>
      <t>LUSTRADORES</t>
    </r>
    <r>
      <rPr>
        <sz val="11"/>
        <rFont val="Times New Roman"/>
        <family val="1"/>
      </rPr>
      <t>; TIPO: LUSTRAMUEBLES, PRESENTACION: AEROSOL X 360 CM3</t>
    </r>
  </si>
  <si>
    <t>2.9.1-6951.12</t>
  </si>
  <si>
    <r>
      <t xml:space="preserve">LIMPIADORES; PRESENTACION: ENVASE X 5 L, TIPO: </t>
    </r>
    <r>
      <rPr>
        <b/>
        <sz val="11"/>
        <rFont val="Times New Roman"/>
        <family val="1"/>
      </rPr>
      <t>DETERGENTE</t>
    </r>
  </si>
  <si>
    <t>2.9.1-6951.137</t>
  </si>
  <si>
    <t>LIMPIADORES; TIPO: QUITASARRO, PRESENTACION: ENVASE X 5 L</t>
  </si>
  <si>
    <t>2.9.1-6951.116</t>
  </si>
  <si>
    <r>
      <t xml:space="preserve">LIMPIADORES; TIPO: </t>
    </r>
    <r>
      <rPr>
        <b/>
        <sz val="11"/>
        <rFont val="Times New Roman"/>
        <family val="1"/>
      </rPr>
      <t>LIMPIAVIDRIOS</t>
    </r>
    <r>
      <rPr>
        <sz val="11"/>
        <rFont val="Times New Roman"/>
        <family val="1"/>
      </rPr>
      <t>, PRESENTACION: ENVASE X 5 L</t>
    </r>
  </si>
  <si>
    <t>2.9.1-6951.30</t>
  </si>
  <si>
    <r>
      <t>LIMPIADORES; TIPO:</t>
    </r>
    <r>
      <rPr>
        <b/>
        <sz val="11"/>
        <rFont val="Times New Roman"/>
        <family val="1"/>
      </rPr>
      <t xml:space="preserve"> LAVANDINA</t>
    </r>
    <r>
      <rPr>
        <sz val="11"/>
        <rFont val="Times New Roman"/>
        <family val="1"/>
      </rPr>
      <t>, PRESENTACION: ENVASE X 5 L</t>
    </r>
  </si>
  <si>
    <t>2.9.1-6951.98</t>
  </si>
  <si>
    <r>
      <t>LIMPIADORES; TIPO:</t>
    </r>
    <r>
      <rPr>
        <b/>
        <sz val="11"/>
        <rFont val="Times New Roman"/>
        <family val="1"/>
      </rPr>
      <t xml:space="preserve"> LIMPIA ALFOMBRAS</t>
    </r>
    <r>
      <rPr>
        <sz val="11"/>
        <rFont val="Times New Roman"/>
        <family val="1"/>
      </rPr>
      <t>, PRESENTACION: ENVASE X 5 L</t>
    </r>
  </si>
  <si>
    <t>2.9.1-6952.29</t>
  </si>
  <si>
    <r>
      <t>CEPILLOS; TIPO:</t>
    </r>
    <r>
      <rPr>
        <b/>
        <sz val="11"/>
        <rFont val="Times New Roman"/>
        <family val="1"/>
      </rPr>
      <t xml:space="preserve"> ESCOBILLA LIMPIA INODORO</t>
    </r>
    <r>
      <rPr>
        <sz val="11"/>
        <rFont val="Times New Roman"/>
        <family val="1"/>
      </rPr>
      <t>, MATERIAL: PLASTICO</t>
    </r>
  </si>
  <si>
    <t>2.9.1-6952.45</t>
  </si>
  <si>
    <r>
      <t xml:space="preserve">CEPILLOS; TIPO: </t>
    </r>
    <r>
      <rPr>
        <b/>
        <sz val="11"/>
        <rFont val="Times New Roman"/>
        <family val="1"/>
      </rPr>
      <t xml:space="preserve">ESCOBILLA LIMPIAVIDRIOS, </t>
    </r>
    <r>
      <rPr>
        <sz val="11"/>
        <rFont val="Times New Roman"/>
        <family val="1"/>
      </rPr>
      <t>MATERIAL: PLASTICO Y GOMA</t>
    </r>
  </si>
  <si>
    <t>2.9.1-6952.87</t>
  </si>
  <si>
    <r>
      <t>CEPILLOS; TIPO:</t>
    </r>
    <r>
      <rPr>
        <b/>
        <sz val="11"/>
        <rFont val="Times New Roman"/>
        <family val="1"/>
      </rPr>
      <t xml:space="preserve"> ESCOBA</t>
    </r>
    <r>
      <rPr>
        <sz val="11"/>
        <rFont val="Times New Roman"/>
        <family val="1"/>
      </rPr>
      <t>, MATERIAL: PLASTICO</t>
    </r>
  </si>
  <si>
    <t>2.9.1-6956.73</t>
  </si>
  <si>
    <r>
      <t>ARTICULOS DE HIGIENE PERSONAL; TIPO:</t>
    </r>
    <r>
      <rPr>
        <b/>
        <sz val="11"/>
        <rFont val="Times New Roman"/>
        <family val="1"/>
      </rPr>
      <t xml:space="preserve"> JABON LIQUIDO</t>
    </r>
    <r>
      <rPr>
        <sz val="11"/>
        <rFont val="Times New Roman"/>
        <family val="1"/>
      </rPr>
      <t>, PRESENTACION: ENVASE X 5 L</t>
    </r>
  </si>
  <si>
    <t>2.9.1-6961.17</t>
  </si>
  <si>
    <r>
      <t xml:space="preserve">ELEM. P/LIMPIEZA </t>
    </r>
    <r>
      <rPr>
        <b/>
        <sz val="11"/>
        <rFont val="Times New Roman"/>
        <family val="1"/>
      </rPr>
      <t>SANITARIOS; TIPO: SANITIZANTE</t>
    </r>
    <r>
      <rPr>
        <sz val="11"/>
        <rFont val="Times New Roman"/>
        <family val="1"/>
      </rPr>
      <t>, PRESENTACION: BIDON X 5 L</t>
    </r>
  </si>
  <si>
    <t>2.9.1-6961.9</t>
  </si>
  <si>
    <r>
      <t xml:space="preserve">ELEM. P/LIMPIEZA SANITARIOS; TIPO: </t>
    </r>
    <r>
      <rPr>
        <b/>
        <sz val="11"/>
        <rFont val="Times New Roman"/>
        <family val="1"/>
      </rPr>
      <t xml:space="preserve">PASTILLA DESODORANTE, </t>
    </r>
    <r>
      <rPr>
        <sz val="11"/>
        <rFont val="Times New Roman"/>
        <family val="1"/>
      </rPr>
      <t>PRESENTACION: CAJA X 24 UN</t>
    </r>
  </si>
  <si>
    <t>2.9.1-6963.15</t>
  </si>
  <si>
    <t>2.9.1-713.19</t>
  </si>
  <si>
    <r>
      <rPr>
        <b/>
        <sz val="11"/>
        <rFont val="Times New Roman"/>
        <family val="1"/>
      </rPr>
      <t>TRAPOS DE PISO</t>
    </r>
    <r>
      <rPr>
        <sz val="11"/>
        <rFont val="Times New Roman"/>
        <family val="1"/>
      </rPr>
      <t>; DIMENSION: 40 X 60 Cm, RECICLADO: SIN VALOR</t>
    </r>
  </si>
  <si>
    <t>2.9.1-714.2</t>
  </si>
  <si>
    <r>
      <rPr>
        <b/>
        <sz val="11"/>
        <rFont val="Times New Roman"/>
        <family val="1"/>
      </rPr>
      <t>FRANELAS</t>
    </r>
    <r>
      <rPr>
        <sz val="11"/>
        <rFont val="Times New Roman"/>
        <family val="1"/>
      </rPr>
      <t>; DIMENSION: 50 X 50 Cm</t>
    </r>
  </si>
  <si>
    <t>2.9.1-761.2</t>
  </si>
  <si>
    <r>
      <rPr>
        <b/>
        <sz val="11"/>
        <rFont val="Times New Roman"/>
        <family val="1"/>
      </rPr>
      <t>GUANTES</t>
    </r>
    <r>
      <rPr>
        <sz val="11"/>
        <rFont val="Times New Roman"/>
        <family val="1"/>
      </rPr>
      <t xml:space="preserve"> P/LIMPIEZA; MATERIAL: LATEX, TAMAÑO: MEDIANO</t>
    </r>
  </si>
  <si>
    <t>2.9.1-8853.3</t>
  </si>
  <si>
    <r>
      <rPr>
        <b/>
        <sz val="11"/>
        <rFont val="Times New Roman"/>
        <family val="1"/>
      </rPr>
      <t>MOPAS</t>
    </r>
    <r>
      <rPr>
        <sz val="11"/>
        <rFont val="Times New Roman"/>
        <family val="1"/>
      </rPr>
      <t>; LARGO MANGO: 1 M, MATERIAL: ALGODON</t>
    </r>
  </si>
  <si>
    <t>2.9.9-3916.13</t>
  </si>
  <si>
    <r>
      <rPr>
        <b/>
        <sz val="11"/>
        <rFont val="Times New Roman"/>
        <family val="1"/>
      </rPr>
      <t>DISPENSADOR P/TOALLA DE PAPEL;</t>
    </r>
    <r>
      <rPr>
        <sz val="11"/>
        <rFont val="Times New Roman"/>
        <family val="1"/>
      </rPr>
      <t xml:space="preserve"> MATERIAL: ACRILICO, DIMENSION: 30 X 30 X 21 Cm, CAPACIDAD: ROLLO X 400 M, APERTURA: 20 Cm</t>
    </r>
  </si>
  <si>
    <t>2.9.9-3919.2</t>
  </si>
  <si>
    <r>
      <rPr>
        <b/>
        <sz val="11"/>
        <rFont val="Times New Roman"/>
        <family val="1"/>
      </rPr>
      <t>DISPENSADOR P/JABON LIQUIDO;</t>
    </r>
    <r>
      <rPr>
        <sz val="11"/>
        <rFont val="Times New Roman"/>
        <family val="1"/>
      </rPr>
      <t xml:space="preserve"> MATERIAL: ACRILICO IRROMPIBLE, DIMENSION: 23 X 38 X 7,5 Cm, CAPACIDAD: 375 UN, ACCIONAMIENTO: P/MANOS</t>
    </r>
  </si>
  <si>
    <t>Especificidades Item N° 1: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</si>
  <si>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Pabellón Nº 20 Ministerio de Trabajo y Recursos Humanos (CAPE), sito en Av. Presidente Castillo y Av.  Venezuela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</si>
  <si>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Calidad Minima esperada</t>
  </si>
  <si>
    <t>Que cumpla íntegramente con lo solicitado</t>
  </si>
  <si>
    <t>30 (treinta) días</t>
  </si>
  <si>
    <t>Garantia</t>
  </si>
  <si>
    <r>
      <t xml:space="preserve">INSECTICIDAS; PRINCIPIO ACTIVO: TETRAMETRINA, </t>
    </r>
    <r>
      <rPr>
        <b/>
        <sz val="11"/>
        <rFont val="Times New Roman"/>
        <family val="1"/>
      </rPr>
      <t>CONTROL: CUCARACHA,</t>
    </r>
    <r>
      <rPr>
        <sz val="11"/>
        <rFont val="Times New Roman"/>
        <family val="1"/>
      </rPr>
      <t xml:space="preserve"> ACCION: CONTROL, PRESENTACION: AEROSOL X 360 CM3</t>
    </r>
  </si>
  <si>
    <r>
      <t xml:space="preserve">UTENSILLOS P/HIGIENE PERSONAL; TIPO: </t>
    </r>
    <r>
      <rPr>
        <b/>
        <sz val="11"/>
        <rFont val="Times New Roman"/>
        <family val="1"/>
      </rPr>
      <t>ALCOHOL EN GEL</t>
    </r>
    <r>
      <rPr>
        <sz val="11"/>
        <rFont val="Times New Roman"/>
        <family val="1"/>
      </rPr>
      <t>, PRESENTACION: ENVASE X 5 L</t>
    </r>
  </si>
  <si>
    <t>2.9.9-3916.2</t>
  </si>
  <si>
    <t>DISPENSADOR P/TOALLA DE PAPEL; MATERIAL: ACRILICO, DIMENSION: 38 X 23 X 10 Cm, CAPACIDAD: 200, APERTURA: 22 Cm</t>
  </si>
  <si>
    <t>Adquisición de ELEMENTOS DE LIMPIEZA para las distintas dependencias de este Ministerio.</t>
  </si>
  <si>
    <t>Productos de Papel y Cartón</t>
  </si>
  <si>
    <t>Insecticidas, Fumigantes y Otros</t>
  </si>
  <si>
    <t>Elementos de Limpieza</t>
  </si>
  <si>
    <t>Otros No Especificados Precedentemente (N.E.P.)</t>
  </si>
  <si>
    <t>007/2021</t>
  </si>
  <si>
    <r>
      <rPr>
        <b/>
        <sz val="10"/>
        <rFont val="Times New Roman"/>
        <family val="1"/>
      </rPr>
      <t>COSTO ESTIMADO TOTAL</t>
    </r>
    <r>
      <rPr>
        <sz val="10"/>
        <rFont val="Times New Roman"/>
        <family val="1"/>
      </rPr>
      <t>: SON PESOS TRESCIENTOS SESENTA Y TRES MIL DOSCIENTOS OCHENTA Y OCHO 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</si>
</sst>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96">
    <xf numFmtId="0" fontId="0" fillId="0" borderId="0" xfId="0"/>
    <xf numFmtId="0" fontId="5" fillId="0" borderId="0" xfId="0" applyFont="1"/>
    <xf numFmtId="0" fontId="5" fillId="0" borderId="0" xfId="0" applyFont="1" applyBorder="1"/>
    <xf numFmtId="3" fontId="14" fillId="0" borderId="0" xfId="0" applyNumberFormat="1" applyFont="1" applyBorder="1" applyAlignment="1"/>
    <xf numFmtId="16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0" xfId="0" applyFont="1" applyBorder="1"/>
    <xf numFmtId="0" fontId="5" fillId="0" borderId="22" xfId="0" applyFont="1" applyBorder="1"/>
    <xf numFmtId="0" fontId="5" fillId="0" borderId="12" xfId="0" applyFont="1" applyBorder="1"/>
    <xf numFmtId="0" fontId="5" fillId="0" borderId="12" xfId="0" applyFont="1" applyBorder="1" applyAlignment="1">
      <alignment horizontal="left"/>
    </xf>
    <xf numFmtId="0" fontId="5" fillId="0" borderId="23" xfId="0" applyFont="1" applyBorder="1"/>
    <xf numFmtId="0" fontId="9" fillId="3" borderId="1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/>
    <xf numFmtId="0" fontId="9" fillId="3" borderId="12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 wrapText="1" indent="1"/>
    </xf>
    <xf numFmtId="0" fontId="10" fillId="3" borderId="27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 wrapText="1"/>
    </xf>
    <xf numFmtId="164" fontId="10" fillId="3" borderId="27" xfId="0" applyNumberFormat="1" applyFont="1" applyFill="1" applyBorder="1" applyAlignment="1">
      <alignment horizontal="center" vertical="center" wrapText="1"/>
    </xf>
    <xf numFmtId="3" fontId="10" fillId="3" borderId="27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 wrapText="1"/>
    </xf>
    <xf numFmtId="17" fontId="7" fillId="3" borderId="11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3" xfId="0" applyFont="1" applyBorder="1"/>
    <xf numFmtId="0" fontId="18" fillId="0" borderId="0" xfId="0" applyFont="1" applyBorder="1"/>
    <xf numFmtId="0" fontId="18" fillId="0" borderId="8" xfId="0" applyFont="1" applyBorder="1"/>
    <xf numFmtId="0" fontId="18" fillId="0" borderId="5" xfId="0" applyFont="1" applyBorder="1" applyAlignment="1">
      <alignment horizontal="left" indent="3"/>
    </xf>
    <xf numFmtId="0" fontId="19" fillId="0" borderId="5" xfId="0" applyFont="1" applyBorder="1" applyAlignment="1">
      <alignment horizontal="left" indent="3"/>
    </xf>
    <xf numFmtId="0" fontId="18" fillId="0" borderId="7" xfId="0" applyFont="1" applyBorder="1" applyAlignment="1">
      <alignment horizontal="left" indent="3"/>
    </xf>
    <xf numFmtId="0" fontId="18" fillId="0" borderId="0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6" xfId="0" applyFont="1" applyFill="1" applyBorder="1" applyAlignment="1">
      <alignment horizontal="left" wrapText="1"/>
    </xf>
    <xf numFmtId="0" fontId="18" fillId="0" borderId="6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68" fontId="5" fillId="0" borderId="0" xfId="0" applyNumberFormat="1" applyFont="1"/>
    <xf numFmtId="0" fontId="5" fillId="0" borderId="33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8" xfId="0" applyFont="1" applyBorder="1" applyAlignment="1">
      <alignment horizontal="left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167" fontId="5" fillId="0" borderId="31" xfId="3" applyNumberFormat="1" applyFont="1" applyFill="1" applyBorder="1" applyAlignment="1" applyProtection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167" fontId="5" fillId="0" borderId="34" xfId="3" applyNumberFormat="1" applyFont="1" applyFill="1" applyBorder="1" applyAlignment="1" applyProtection="1">
      <alignment horizontal="center" vertical="center"/>
    </xf>
    <xf numFmtId="0" fontId="5" fillId="0" borderId="56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167" fontId="5" fillId="0" borderId="36" xfId="3" applyNumberFormat="1" applyFont="1" applyFill="1" applyBorder="1" applyAlignment="1" applyProtection="1">
      <alignment horizontal="center" vertical="center"/>
    </xf>
    <xf numFmtId="0" fontId="16" fillId="0" borderId="0" xfId="0" applyFont="1" applyFill="1" applyAlignment="1">
      <alignment horizontal="center" wrapText="1"/>
    </xf>
    <xf numFmtId="0" fontId="17" fillId="0" borderId="0" xfId="0" applyFont="1" applyFill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left" wrapText="1"/>
    </xf>
    <xf numFmtId="0" fontId="18" fillId="0" borderId="0" xfId="0" applyFont="1" applyAlignment="1">
      <alignment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vertical="center"/>
    </xf>
    <xf numFmtId="0" fontId="20" fillId="0" borderId="33" xfId="0" applyFont="1" applyBorder="1" applyAlignment="1">
      <alignment vertical="center" wrapText="1"/>
    </xf>
    <xf numFmtId="0" fontId="20" fillId="0" borderId="33" xfId="0" applyFont="1" applyFill="1" applyBorder="1" applyAlignment="1">
      <alignment horizontal="center" vertical="center" wrapText="1"/>
    </xf>
    <xf numFmtId="167" fontId="20" fillId="0" borderId="33" xfId="1" applyNumberFormat="1" applyFont="1" applyFill="1" applyBorder="1" applyAlignment="1" applyProtection="1">
      <alignment horizontal="right" vertical="center" wrapText="1"/>
    </xf>
    <xf numFmtId="167" fontId="20" fillId="0" borderId="34" xfId="1" applyNumberFormat="1" applyFont="1" applyFill="1" applyBorder="1" applyAlignment="1" applyProtection="1">
      <alignment horizontal="right" vertical="center" wrapText="1"/>
    </xf>
    <xf numFmtId="0" fontId="20" fillId="0" borderId="33" xfId="0" applyFont="1" applyFill="1" applyBorder="1" applyAlignment="1">
      <alignment vertical="center" wrapText="1"/>
    </xf>
    <xf numFmtId="0" fontId="20" fillId="0" borderId="33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20" fillId="0" borderId="33" xfId="0" applyFont="1" applyBorder="1" applyAlignment="1">
      <alignment horizontal="center" vertical="center" wrapText="1"/>
    </xf>
    <xf numFmtId="167" fontId="20" fillId="0" borderId="36" xfId="1" applyNumberFormat="1" applyFont="1" applyFill="1" applyBorder="1" applyAlignment="1" applyProtection="1">
      <alignment horizontal="right" vertical="center" wrapText="1"/>
    </xf>
    <xf numFmtId="0" fontId="18" fillId="0" borderId="0" xfId="0" applyFont="1" applyAlignment="1">
      <alignment wrapText="1"/>
    </xf>
    <xf numFmtId="167" fontId="21" fillId="0" borderId="63" xfId="0" applyNumberFormat="1" applyFont="1" applyBorder="1"/>
    <xf numFmtId="0" fontId="19" fillId="0" borderId="2" xfId="0" applyFont="1" applyBorder="1"/>
    <xf numFmtId="0" fontId="18" fillId="0" borderId="4" xfId="0" applyFont="1" applyBorder="1" applyAlignment="1">
      <alignment wrapText="1"/>
    </xf>
    <xf numFmtId="0" fontId="18" fillId="0" borderId="5" xfId="0" applyFont="1" applyBorder="1"/>
    <xf numFmtId="0" fontId="18" fillId="0" borderId="6" xfId="0" applyFont="1" applyBorder="1" applyAlignment="1">
      <alignment wrapText="1"/>
    </xf>
    <xf numFmtId="0" fontId="18" fillId="0" borderId="0" xfId="0" applyNumberFormat="1" applyFont="1" applyFill="1" applyBorder="1" applyAlignment="1">
      <alignment horizontal="justify" wrapText="1"/>
    </xf>
    <xf numFmtId="0" fontId="18" fillId="0" borderId="6" xfId="0" applyNumberFormat="1" applyFont="1" applyFill="1" applyBorder="1" applyAlignment="1">
      <alignment horizontal="justify" wrapText="1"/>
    </xf>
    <xf numFmtId="0" fontId="18" fillId="0" borderId="0" xfId="0" applyFont="1" applyFill="1" applyBorder="1" applyAlignment="1">
      <alignment horizontal="center"/>
    </xf>
    <xf numFmtId="0" fontId="18" fillId="0" borderId="6" xfId="0" applyFont="1" applyBorder="1" applyAlignment="1">
      <alignment horizontal="center" wrapText="1"/>
    </xf>
    <xf numFmtId="0" fontId="18" fillId="0" borderId="9" xfId="0" applyFont="1" applyBorder="1" applyAlignment="1">
      <alignment wrapText="1"/>
    </xf>
    <xf numFmtId="0" fontId="16" fillId="0" borderId="0" xfId="0" applyFont="1" applyFill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NumberFormat="1" applyFont="1" applyFill="1" applyBorder="1" applyAlignment="1">
      <alignment horizontal="center" wrapText="1"/>
    </xf>
    <xf numFmtId="0" fontId="18" fillId="0" borderId="0" xfId="0" applyFont="1" applyFill="1" applyBorder="1" applyAlignment="1">
      <alignment horizontal="center" wrapText="1"/>
    </xf>
    <xf numFmtId="0" fontId="18" fillId="0" borderId="8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0" borderId="65" xfId="0" applyFont="1" applyBorder="1" applyAlignment="1">
      <alignment vertical="center"/>
    </xf>
    <xf numFmtId="0" fontId="20" fillId="0" borderId="65" xfId="0" applyFont="1" applyBorder="1" applyAlignment="1">
      <alignment horizontal="center" vertical="center" wrapText="1"/>
    </xf>
    <xf numFmtId="0" fontId="20" fillId="0" borderId="65" xfId="0" applyFont="1" applyBorder="1" applyAlignment="1">
      <alignment vertical="center" wrapText="1"/>
    </xf>
    <xf numFmtId="0" fontId="20" fillId="0" borderId="65" xfId="0" applyFont="1" applyFill="1" applyBorder="1" applyAlignment="1">
      <alignment horizontal="center" vertical="center" wrapText="1"/>
    </xf>
    <xf numFmtId="167" fontId="20" fillId="0" borderId="65" xfId="1" applyNumberFormat="1" applyFont="1" applyFill="1" applyBorder="1" applyAlignment="1" applyProtection="1">
      <alignment horizontal="right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 wrapText="1"/>
    </xf>
    <xf numFmtId="0" fontId="21" fillId="0" borderId="61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167" fontId="10" fillId="0" borderId="14" xfId="0" applyNumberFormat="1" applyFont="1" applyBorder="1" applyAlignment="1">
      <alignment horizontal="center" vertical="center"/>
    </xf>
    <xf numFmtId="0" fontId="12" fillId="3" borderId="0" xfId="0" applyFont="1" applyFill="1" applyBorder="1" applyAlignment="1">
      <alignment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6" xfId="0" applyFont="1" applyFill="1" applyBorder="1" applyAlignment="1">
      <alignment horizontal="left" wrapText="1"/>
    </xf>
    <xf numFmtId="0" fontId="24" fillId="0" borderId="0" xfId="0" applyFont="1" applyBorder="1" applyAlignment="1">
      <alignment vertical="center" wrapText="1"/>
    </xf>
    <xf numFmtId="0" fontId="18" fillId="0" borderId="19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1" fillId="3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left" vertical="center" wrapText="1" indent="1"/>
    </xf>
    <xf numFmtId="168" fontId="10" fillId="3" borderId="14" xfId="0" applyNumberFormat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left" vertical="center" wrapText="1" indent="1"/>
    </xf>
    <xf numFmtId="0" fontId="10" fillId="3" borderId="28" xfId="0" applyFont="1" applyFill="1" applyBorder="1" applyAlignment="1">
      <alignment horizontal="left" vertical="center" wrapText="1" indent="1"/>
    </xf>
    <xf numFmtId="0" fontId="10" fillId="3" borderId="20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 indent="1"/>
    </xf>
    <xf numFmtId="0" fontId="8" fillId="3" borderId="15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left" vertical="center" wrapText="1" indent="1"/>
    </xf>
    <xf numFmtId="0" fontId="13" fillId="0" borderId="0" xfId="0" applyFont="1" applyFill="1" applyBorder="1" applyAlignment="1">
      <alignment horizontal="left" vertical="center" wrapText="1" indent="1"/>
    </xf>
    <xf numFmtId="0" fontId="13" fillId="0" borderId="10" xfId="0" applyFont="1" applyFill="1" applyBorder="1" applyAlignment="1">
      <alignment horizontal="left" vertical="center" wrapText="1" indent="1"/>
    </xf>
    <xf numFmtId="0" fontId="13" fillId="0" borderId="22" xfId="0" applyFont="1" applyFill="1" applyBorder="1" applyAlignment="1">
      <alignment horizontal="left" vertical="center" wrapText="1" indent="1"/>
    </xf>
    <xf numFmtId="0" fontId="13" fillId="0" borderId="12" xfId="0" applyFont="1" applyFill="1" applyBorder="1" applyAlignment="1">
      <alignment horizontal="left" vertical="center" wrapText="1" indent="1"/>
    </xf>
    <xf numFmtId="0" fontId="13" fillId="0" borderId="23" xfId="0" applyFont="1" applyFill="1" applyBorder="1" applyAlignment="1">
      <alignment horizontal="left" vertical="center" wrapText="1" indent="1"/>
    </xf>
    <xf numFmtId="0" fontId="14" fillId="0" borderId="19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5" fillId="0" borderId="21" xfId="0" applyFont="1" applyBorder="1"/>
    <xf numFmtId="0" fontId="5" fillId="0" borderId="0" xfId="0" applyFont="1" applyBorder="1"/>
    <xf numFmtId="0" fontId="5" fillId="0" borderId="10" xfId="0" applyFont="1" applyBorder="1"/>
    <xf numFmtId="0" fontId="5" fillId="0" borderId="35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left" vertical="center" wrapText="1"/>
    </xf>
    <xf numFmtId="0" fontId="5" fillId="0" borderId="39" xfId="0" applyFont="1" applyFill="1" applyBorder="1" applyAlignment="1">
      <alignment horizontal="left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4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40" xfId="0" applyFont="1" applyBorder="1" applyAlignment="1">
      <alignment vertical="center" wrapText="1"/>
    </xf>
    <xf numFmtId="0" fontId="13" fillId="0" borderId="37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5" fillId="0" borderId="54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3" fontId="14" fillId="0" borderId="28" xfId="0" applyNumberFormat="1" applyFont="1" applyBorder="1" applyAlignment="1">
      <alignment horizontal="center"/>
    </xf>
    <xf numFmtId="3" fontId="14" fillId="0" borderId="20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13" xfId="0" applyFont="1" applyBorder="1"/>
    <xf numFmtId="0" fontId="5" fillId="0" borderId="25" xfId="0" applyFont="1" applyBorder="1"/>
    <xf numFmtId="0" fontId="5" fillId="0" borderId="26" xfId="0" applyFont="1" applyBorder="1"/>
    <xf numFmtId="0" fontId="13" fillId="0" borderId="13" xfId="0" applyFont="1" applyBorder="1" applyAlignment="1">
      <alignment horizontal="left" indent="1"/>
    </xf>
    <xf numFmtId="0" fontId="13" fillId="0" borderId="25" xfId="0" applyFont="1" applyBorder="1" applyAlignment="1">
      <alignment horizontal="left" indent="1"/>
    </xf>
    <xf numFmtId="0" fontId="13" fillId="0" borderId="26" xfId="0" applyFont="1" applyBorder="1" applyAlignment="1">
      <alignment horizontal="left" indent="1"/>
    </xf>
    <xf numFmtId="0" fontId="13" fillId="0" borderId="15" xfId="0" applyFont="1" applyBorder="1"/>
    <xf numFmtId="0" fontId="13" fillId="0" borderId="37" xfId="0" applyFont="1" applyBorder="1"/>
    <xf numFmtId="0" fontId="13" fillId="0" borderId="21" xfId="0" applyFont="1" applyBorder="1" applyAlignment="1">
      <alignment horizontal="left" vertical="center" wrapText="1" indent="1"/>
    </xf>
    <xf numFmtId="0" fontId="13" fillId="0" borderId="0" xfId="0" applyFont="1" applyBorder="1" applyAlignment="1">
      <alignment horizontal="left" vertical="center" wrapText="1" indent="1"/>
    </xf>
    <xf numFmtId="0" fontId="13" fillId="0" borderId="10" xfId="0" applyFont="1" applyBorder="1" applyAlignment="1">
      <alignment horizontal="left" vertical="center" wrapText="1" indent="1"/>
    </xf>
    <xf numFmtId="0" fontId="10" fillId="0" borderId="15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7"/>
  <sheetViews>
    <sheetView tabSelected="1" zoomScale="80" zoomScaleNormal="80" workbookViewId="0">
      <selection activeCell="I43" sqref="I43"/>
    </sheetView>
  </sheetViews>
  <sheetFormatPr baseColWidth="10" defaultColWidth="11" defaultRowHeight="13.5" x14ac:dyDescent="0.25"/>
  <cols>
    <col min="1" max="1" width="4.5703125" style="13" customWidth="1"/>
    <col min="2" max="2" width="17.28515625" style="24" customWidth="1"/>
    <col min="3" max="3" width="15.85546875" style="92" customWidth="1"/>
    <col min="4" max="4" width="8.42578125" style="13" customWidth="1"/>
    <col min="5" max="5" width="77.7109375" style="13" customWidth="1"/>
    <col min="6" max="6" width="11" style="13"/>
    <col min="7" max="7" width="10.7109375" style="13" customWidth="1"/>
    <col min="8" max="8" width="13.85546875" style="13" customWidth="1"/>
    <col min="9" max="9" width="17.42578125" style="13" customWidth="1"/>
    <col min="10" max="10" width="11" style="13"/>
    <col min="11" max="11" width="11.7109375" style="13" bestFit="1" customWidth="1"/>
    <col min="12" max="16384" width="11" style="13"/>
  </cols>
  <sheetData>
    <row r="2" spans="1:9" ht="28.5" x14ac:dyDescent="0.4">
      <c r="B2" s="117" t="s">
        <v>0</v>
      </c>
      <c r="C2" s="117"/>
      <c r="D2" s="117"/>
      <c r="E2" s="117"/>
      <c r="F2" s="117"/>
      <c r="G2" s="117"/>
      <c r="H2" s="117"/>
    </row>
    <row r="4" spans="1:9" ht="18" customHeight="1" x14ac:dyDescent="0.25">
      <c r="A4" s="106" t="s">
        <v>1</v>
      </c>
      <c r="B4" s="106"/>
      <c r="C4" s="118" t="s">
        <v>54</v>
      </c>
      <c r="D4" s="118"/>
      <c r="E4" s="118"/>
      <c r="F4" s="22"/>
      <c r="G4" s="23"/>
      <c r="H4" s="22"/>
    </row>
    <row r="5" spans="1:9" ht="27" customHeight="1" x14ac:dyDescent="0.25">
      <c r="A5" s="106" t="s">
        <v>2</v>
      </c>
      <c r="B5" s="106"/>
      <c r="C5" s="118" t="s">
        <v>60</v>
      </c>
      <c r="D5" s="118"/>
      <c r="E5" s="118"/>
      <c r="F5" s="22"/>
      <c r="G5" s="23"/>
      <c r="H5" s="22"/>
    </row>
    <row r="6" spans="1:9" ht="16.5" customHeight="1" x14ac:dyDescent="0.25">
      <c r="A6" s="106" t="s">
        <v>3</v>
      </c>
      <c r="B6" s="106"/>
      <c r="C6" s="85">
        <v>2021</v>
      </c>
      <c r="D6" s="25"/>
      <c r="E6" s="25"/>
      <c r="F6" s="22"/>
      <c r="G6" s="23"/>
      <c r="H6" s="22"/>
    </row>
    <row r="7" spans="1:9" s="27" customFormat="1" ht="24" customHeight="1" x14ac:dyDescent="0.25">
      <c r="A7" s="113" t="s">
        <v>4</v>
      </c>
      <c r="B7" s="113"/>
      <c r="C7" s="57">
        <v>2</v>
      </c>
      <c r="D7" s="58"/>
      <c r="E7" s="58"/>
      <c r="F7" s="59"/>
      <c r="G7" s="60"/>
      <c r="H7" s="61"/>
    </row>
    <row r="8" spans="1:9" s="27" customFormat="1" thickBot="1" x14ac:dyDescent="0.25">
      <c r="B8" s="61"/>
      <c r="C8" s="60"/>
      <c r="D8" s="61"/>
      <c r="E8" s="61"/>
      <c r="F8" s="59"/>
      <c r="G8" s="60"/>
      <c r="H8" s="61"/>
    </row>
    <row r="9" spans="1:9" s="27" customFormat="1" ht="39" thickTop="1" x14ac:dyDescent="0.2">
      <c r="A9" s="99" t="s">
        <v>5</v>
      </c>
      <c r="B9" s="100" t="s">
        <v>6</v>
      </c>
      <c r="C9" s="101" t="s">
        <v>7</v>
      </c>
      <c r="D9" s="102" t="s">
        <v>8</v>
      </c>
      <c r="E9" s="101" t="s">
        <v>9</v>
      </c>
      <c r="F9" s="103" t="s">
        <v>10</v>
      </c>
      <c r="G9" s="104" t="s">
        <v>11</v>
      </c>
      <c r="H9" s="104" t="s">
        <v>12</v>
      </c>
      <c r="I9" s="104" t="s">
        <v>13</v>
      </c>
    </row>
    <row r="10" spans="1:9" s="62" customFormat="1" ht="30" x14ac:dyDescent="0.2">
      <c r="A10" s="63">
        <v>1</v>
      </c>
      <c r="B10" s="64" t="s">
        <v>61</v>
      </c>
      <c r="C10" s="72" t="s">
        <v>62</v>
      </c>
      <c r="D10" s="72" t="str">
        <f>+LEFT(B10,5)</f>
        <v>2.3.4</v>
      </c>
      <c r="E10" s="65" t="s">
        <v>63</v>
      </c>
      <c r="F10" s="66" t="s">
        <v>57</v>
      </c>
      <c r="G10" s="66">
        <v>50</v>
      </c>
      <c r="H10" s="67">
        <v>80</v>
      </c>
      <c r="I10" s="68">
        <f t="shared" ref="I10:I50" si="0">+H10*G10</f>
        <v>4000</v>
      </c>
    </row>
    <row r="11" spans="1:9" s="62" customFormat="1" ht="30" x14ac:dyDescent="0.2">
      <c r="A11" s="63">
        <v>2</v>
      </c>
      <c r="B11" s="64" t="s">
        <v>65</v>
      </c>
      <c r="C11" s="72" t="s">
        <v>64</v>
      </c>
      <c r="D11" s="72" t="str">
        <f t="shared" ref="D11:D50" si="1">+LEFT(B11,5)</f>
        <v>2.3.4</v>
      </c>
      <c r="E11" s="69" t="s">
        <v>66</v>
      </c>
      <c r="F11" s="66" t="s">
        <v>57</v>
      </c>
      <c r="G11" s="66">
        <v>20</v>
      </c>
      <c r="H11" s="67">
        <v>394</v>
      </c>
      <c r="I11" s="68">
        <f t="shared" si="0"/>
        <v>7880</v>
      </c>
    </row>
    <row r="12" spans="1:9" s="62" customFormat="1" ht="30" x14ac:dyDescent="0.2">
      <c r="A12" s="63">
        <v>3</v>
      </c>
      <c r="B12" s="64" t="s">
        <v>67</v>
      </c>
      <c r="C12" s="72" t="s">
        <v>64</v>
      </c>
      <c r="D12" s="72" t="str">
        <f t="shared" si="1"/>
        <v>2.3.4</v>
      </c>
      <c r="E12" s="65" t="s">
        <v>68</v>
      </c>
      <c r="F12" s="66" t="s">
        <v>57</v>
      </c>
      <c r="G12" s="86">
        <v>50</v>
      </c>
      <c r="H12" s="67">
        <v>125</v>
      </c>
      <c r="I12" s="68">
        <f t="shared" si="0"/>
        <v>6250</v>
      </c>
    </row>
    <row r="13" spans="1:9" s="62" customFormat="1" ht="45" x14ac:dyDescent="0.2">
      <c r="A13" s="63">
        <v>4</v>
      </c>
      <c r="B13" s="64" t="s">
        <v>69</v>
      </c>
      <c r="C13" s="72" t="s">
        <v>64</v>
      </c>
      <c r="D13" s="72" t="str">
        <f t="shared" si="1"/>
        <v>2.5.4</v>
      </c>
      <c r="E13" s="65" t="s">
        <v>70</v>
      </c>
      <c r="F13" s="66" t="s">
        <v>57</v>
      </c>
      <c r="G13" s="66">
        <v>10</v>
      </c>
      <c r="H13" s="67">
        <v>300</v>
      </c>
      <c r="I13" s="68">
        <f t="shared" si="0"/>
        <v>3000</v>
      </c>
    </row>
    <row r="14" spans="1:9" s="62" customFormat="1" ht="30" x14ac:dyDescent="0.2">
      <c r="A14" s="63">
        <v>5</v>
      </c>
      <c r="B14" s="64" t="s">
        <v>71</v>
      </c>
      <c r="C14" s="72" t="s">
        <v>64</v>
      </c>
      <c r="D14" s="72" t="str">
        <f t="shared" si="1"/>
        <v>2.5.4</v>
      </c>
      <c r="E14" s="65" t="s">
        <v>72</v>
      </c>
      <c r="F14" s="66" t="s">
        <v>57</v>
      </c>
      <c r="G14" s="66">
        <v>30</v>
      </c>
      <c r="H14" s="67">
        <v>275</v>
      </c>
      <c r="I14" s="68">
        <f t="shared" si="0"/>
        <v>8250</v>
      </c>
    </row>
    <row r="15" spans="1:9" s="62" customFormat="1" ht="30" x14ac:dyDescent="0.2">
      <c r="A15" s="63">
        <v>6</v>
      </c>
      <c r="B15" s="64" t="s">
        <v>73</v>
      </c>
      <c r="C15" s="72" t="s">
        <v>64</v>
      </c>
      <c r="D15" s="72" t="str">
        <f t="shared" si="1"/>
        <v>2.5.4</v>
      </c>
      <c r="E15" s="65" t="s">
        <v>147</v>
      </c>
      <c r="F15" s="66" t="s">
        <v>57</v>
      </c>
      <c r="G15" s="66">
        <v>20</v>
      </c>
      <c r="H15" s="67">
        <v>244</v>
      </c>
      <c r="I15" s="68">
        <f t="shared" si="0"/>
        <v>4880</v>
      </c>
    </row>
    <row r="16" spans="1:9" s="62" customFormat="1" ht="45" x14ac:dyDescent="0.2">
      <c r="A16" s="63">
        <v>7</v>
      </c>
      <c r="B16" s="64" t="s">
        <v>74</v>
      </c>
      <c r="C16" s="72" t="s">
        <v>64</v>
      </c>
      <c r="D16" s="72" t="str">
        <f t="shared" si="1"/>
        <v>2.5.4</v>
      </c>
      <c r="E16" s="65" t="s">
        <v>75</v>
      </c>
      <c r="F16" s="66" t="s">
        <v>57</v>
      </c>
      <c r="G16" s="66">
        <v>20</v>
      </c>
      <c r="H16" s="67">
        <v>194</v>
      </c>
      <c r="I16" s="68">
        <f t="shared" si="0"/>
        <v>3880</v>
      </c>
    </row>
    <row r="17" spans="1:9" s="71" customFormat="1" ht="30" x14ac:dyDescent="0.2">
      <c r="A17" s="63">
        <v>8</v>
      </c>
      <c r="B17" s="70" t="s">
        <v>76</v>
      </c>
      <c r="C17" s="66" t="s">
        <v>64</v>
      </c>
      <c r="D17" s="72" t="str">
        <f t="shared" si="1"/>
        <v>2.5.4</v>
      </c>
      <c r="E17" s="69" t="s">
        <v>77</v>
      </c>
      <c r="F17" s="66" t="s">
        <v>57</v>
      </c>
      <c r="G17" s="66">
        <v>8</v>
      </c>
      <c r="H17" s="67">
        <v>680</v>
      </c>
      <c r="I17" s="68">
        <f t="shared" si="0"/>
        <v>5440</v>
      </c>
    </row>
    <row r="18" spans="1:9" s="62" customFormat="1" ht="45" x14ac:dyDescent="0.2">
      <c r="A18" s="63">
        <v>9</v>
      </c>
      <c r="B18" s="64" t="s">
        <v>78</v>
      </c>
      <c r="C18" s="72" t="s">
        <v>64</v>
      </c>
      <c r="D18" s="72" t="str">
        <f t="shared" si="1"/>
        <v>2.5.4</v>
      </c>
      <c r="E18" s="65" t="s">
        <v>79</v>
      </c>
      <c r="F18" s="66" t="s">
        <v>57</v>
      </c>
      <c r="G18" s="66">
        <v>30</v>
      </c>
      <c r="H18" s="67">
        <v>285</v>
      </c>
      <c r="I18" s="68">
        <f t="shared" si="0"/>
        <v>8550</v>
      </c>
    </row>
    <row r="19" spans="1:9" s="62" customFormat="1" ht="30" x14ac:dyDescent="0.2">
      <c r="A19" s="63">
        <v>10</v>
      </c>
      <c r="B19" s="64" t="s">
        <v>80</v>
      </c>
      <c r="C19" s="72" t="s">
        <v>64</v>
      </c>
      <c r="D19" s="72" t="str">
        <f t="shared" si="1"/>
        <v>2.9.1</v>
      </c>
      <c r="E19" s="65" t="s">
        <v>81</v>
      </c>
      <c r="F19" s="66" t="s">
        <v>57</v>
      </c>
      <c r="G19" s="66">
        <v>15</v>
      </c>
      <c r="H19" s="67">
        <v>2350</v>
      </c>
      <c r="I19" s="68">
        <f t="shared" si="0"/>
        <v>35250</v>
      </c>
    </row>
    <row r="20" spans="1:9" s="62" customFormat="1" ht="45" x14ac:dyDescent="0.2">
      <c r="A20" s="63">
        <v>11</v>
      </c>
      <c r="B20" s="64" t="s">
        <v>82</v>
      </c>
      <c r="C20" s="72" t="s">
        <v>64</v>
      </c>
      <c r="D20" s="72" t="str">
        <f t="shared" si="1"/>
        <v>2.9.1</v>
      </c>
      <c r="E20" s="65" t="s">
        <v>83</v>
      </c>
      <c r="F20" s="66" t="s">
        <v>57</v>
      </c>
      <c r="G20" s="66">
        <v>20</v>
      </c>
      <c r="H20" s="67">
        <v>125</v>
      </c>
      <c r="I20" s="68">
        <f t="shared" si="0"/>
        <v>2500</v>
      </c>
    </row>
    <row r="21" spans="1:9" s="62" customFormat="1" ht="30" x14ac:dyDescent="0.2">
      <c r="A21" s="63">
        <v>12</v>
      </c>
      <c r="B21" s="64" t="s">
        <v>84</v>
      </c>
      <c r="C21" s="72" t="s">
        <v>64</v>
      </c>
      <c r="D21" s="72" t="str">
        <f t="shared" si="1"/>
        <v>2.9.1</v>
      </c>
      <c r="E21" s="65" t="s">
        <v>85</v>
      </c>
      <c r="F21" s="66" t="s">
        <v>57</v>
      </c>
      <c r="G21" s="66">
        <v>20</v>
      </c>
      <c r="H21" s="67">
        <v>65</v>
      </c>
      <c r="I21" s="68">
        <f t="shared" si="0"/>
        <v>1300</v>
      </c>
    </row>
    <row r="22" spans="1:9" s="62" customFormat="1" ht="30" x14ac:dyDescent="0.2">
      <c r="A22" s="63">
        <v>13</v>
      </c>
      <c r="B22" s="64" t="s">
        <v>86</v>
      </c>
      <c r="C22" s="72" t="s">
        <v>64</v>
      </c>
      <c r="D22" s="72" t="str">
        <f t="shared" si="1"/>
        <v>2.9.1</v>
      </c>
      <c r="E22" s="65" t="s">
        <v>87</v>
      </c>
      <c r="F22" s="66" t="s">
        <v>57</v>
      </c>
      <c r="G22" s="66">
        <v>5</v>
      </c>
      <c r="H22" s="67">
        <v>385</v>
      </c>
      <c r="I22" s="68">
        <f t="shared" si="0"/>
        <v>1925</v>
      </c>
    </row>
    <row r="23" spans="1:9" s="62" customFormat="1" ht="30" x14ac:dyDescent="0.2">
      <c r="A23" s="63">
        <v>14</v>
      </c>
      <c r="B23" s="64" t="s">
        <v>88</v>
      </c>
      <c r="C23" s="72" t="s">
        <v>64</v>
      </c>
      <c r="D23" s="72" t="str">
        <f t="shared" si="1"/>
        <v>2.9.1</v>
      </c>
      <c r="E23" s="65" t="s">
        <v>89</v>
      </c>
      <c r="F23" s="66" t="s">
        <v>57</v>
      </c>
      <c r="G23" s="66">
        <v>20</v>
      </c>
      <c r="H23" s="67">
        <v>1584</v>
      </c>
      <c r="I23" s="68">
        <f t="shared" si="0"/>
        <v>31680</v>
      </c>
    </row>
    <row r="24" spans="1:9" s="62" customFormat="1" ht="30" x14ac:dyDescent="0.2">
      <c r="A24" s="63">
        <v>15</v>
      </c>
      <c r="B24" s="64" t="s">
        <v>90</v>
      </c>
      <c r="C24" s="72" t="s">
        <v>64</v>
      </c>
      <c r="D24" s="72" t="str">
        <f t="shared" si="1"/>
        <v>2.9.1</v>
      </c>
      <c r="E24" s="65" t="s">
        <v>91</v>
      </c>
      <c r="F24" s="66" t="s">
        <v>57</v>
      </c>
      <c r="G24" s="66">
        <v>10</v>
      </c>
      <c r="H24" s="67">
        <v>950</v>
      </c>
      <c r="I24" s="68">
        <f t="shared" si="0"/>
        <v>9500</v>
      </c>
    </row>
    <row r="25" spans="1:9" s="62" customFormat="1" ht="30" x14ac:dyDescent="0.2">
      <c r="A25" s="63">
        <v>16</v>
      </c>
      <c r="B25" s="64" t="s">
        <v>92</v>
      </c>
      <c r="C25" s="72" t="s">
        <v>64</v>
      </c>
      <c r="D25" s="72" t="str">
        <f t="shared" si="1"/>
        <v>2.9.1</v>
      </c>
      <c r="E25" s="65" t="s">
        <v>93</v>
      </c>
      <c r="F25" s="66" t="s">
        <v>57</v>
      </c>
      <c r="G25" s="66">
        <v>60</v>
      </c>
      <c r="H25" s="67">
        <v>225</v>
      </c>
      <c r="I25" s="68">
        <f t="shared" si="0"/>
        <v>13500</v>
      </c>
    </row>
    <row r="26" spans="1:9" s="62" customFormat="1" ht="30" x14ac:dyDescent="0.2">
      <c r="A26" s="63">
        <v>17</v>
      </c>
      <c r="B26" s="64" t="s">
        <v>94</v>
      </c>
      <c r="C26" s="72" t="s">
        <v>64</v>
      </c>
      <c r="D26" s="72" t="str">
        <f t="shared" si="1"/>
        <v>2.9.1</v>
      </c>
      <c r="E26" s="65" t="s">
        <v>95</v>
      </c>
      <c r="F26" s="66" t="s">
        <v>57</v>
      </c>
      <c r="G26" s="66">
        <v>10</v>
      </c>
      <c r="H26" s="67">
        <v>375</v>
      </c>
      <c r="I26" s="68">
        <f t="shared" si="0"/>
        <v>3750</v>
      </c>
    </row>
    <row r="27" spans="1:9" s="62" customFormat="1" ht="30" x14ac:dyDescent="0.2">
      <c r="A27" s="63">
        <v>18</v>
      </c>
      <c r="B27" s="64" t="s">
        <v>96</v>
      </c>
      <c r="C27" s="72" t="s">
        <v>64</v>
      </c>
      <c r="D27" s="72" t="str">
        <f t="shared" si="1"/>
        <v>2.9.1</v>
      </c>
      <c r="E27" s="65" t="s">
        <v>97</v>
      </c>
      <c r="F27" s="66" t="s">
        <v>57</v>
      </c>
      <c r="G27" s="66">
        <v>300</v>
      </c>
      <c r="H27" s="67">
        <v>120</v>
      </c>
      <c r="I27" s="68">
        <f t="shared" si="0"/>
        <v>36000</v>
      </c>
    </row>
    <row r="28" spans="1:9" s="62" customFormat="1" ht="30" x14ac:dyDescent="0.2">
      <c r="A28" s="63">
        <v>19</v>
      </c>
      <c r="B28" s="64" t="s">
        <v>98</v>
      </c>
      <c r="C28" s="72" t="s">
        <v>64</v>
      </c>
      <c r="D28" s="72" t="str">
        <f t="shared" si="1"/>
        <v>2.9.1</v>
      </c>
      <c r="E28" s="65" t="s">
        <v>99</v>
      </c>
      <c r="F28" s="66" t="s">
        <v>57</v>
      </c>
      <c r="G28" s="66">
        <v>100</v>
      </c>
      <c r="H28" s="67">
        <v>190</v>
      </c>
      <c r="I28" s="68">
        <f t="shared" si="0"/>
        <v>19000</v>
      </c>
    </row>
    <row r="29" spans="1:9" s="62" customFormat="1" ht="30" x14ac:dyDescent="0.2">
      <c r="A29" s="63">
        <v>20</v>
      </c>
      <c r="B29" s="64" t="s">
        <v>100</v>
      </c>
      <c r="C29" s="72" t="s">
        <v>64</v>
      </c>
      <c r="D29" s="72" t="str">
        <f t="shared" si="1"/>
        <v>2.9.1</v>
      </c>
      <c r="E29" s="65" t="s">
        <v>101</v>
      </c>
      <c r="F29" s="66" t="s">
        <v>57</v>
      </c>
      <c r="G29" s="66">
        <v>30</v>
      </c>
      <c r="H29" s="67">
        <v>95</v>
      </c>
      <c r="I29" s="68">
        <f t="shared" si="0"/>
        <v>2850</v>
      </c>
    </row>
    <row r="30" spans="1:9" s="62" customFormat="1" ht="30" x14ac:dyDescent="0.2">
      <c r="A30" s="63">
        <v>21</v>
      </c>
      <c r="B30" s="64" t="s">
        <v>102</v>
      </c>
      <c r="C30" s="72" t="s">
        <v>64</v>
      </c>
      <c r="D30" s="72" t="str">
        <f t="shared" si="1"/>
        <v>2.9.1</v>
      </c>
      <c r="E30" s="65" t="s">
        <v>103</v>
      </c>
      <c r="F30" s="66" t="s">
        <v>57</v>
      </c>
      <c r="G30" s="66">
        <v>20</v>
      </c>
      <c r="H30" s="67">
        <v>175</v>
      </c>
      <c r="I30" s="68">
        <f t="shared" si="0"/>
        <v>3500</v>
      </c>
    </row>
    <row r="31" spans="1:9" s="62" customFormat="1" ht="30" x14ac:dyDescent="0.2">
      <c r="A31" s="63">
        <v>22</v>
      </c>
      <c r="B31" s="64" t="s">
        <v>104</v>
      </c>
      <c r="C31" s="72" t="s">
        <v>64</v>
      </c>
      <c r="D31" s="72" t="str">
        <f t="shared" si="1"/>
        <v>2.9.1</v>
      </c>
      <c r="E31" s="65" t="s">
        <v>105</v>
      </c>
      <c r="F31" s="66" t="s">
        <v>57</v>
      </c>
      <c r="G31" s="66">
        <v>30</v>
      </c>
      <c r="H31" s="67">
        <v>275</v>
      </c>
      <c r="I31" s="68">
        <f t="shared" si="0"/>
        <v>8250</v>
      </c>
    </row>
    <row r="32" spans="1:9" s="62" customFormat="1" ht="30" x14ac:dyDescent="0.2">
      <c r="A32" s="63">
        <v>23</v>
      </c>
      <c r="B32" s="64" t="s">
        <v>106</v>
      </c>
      <c r="C32" s="72" t="s">
        <v>64</v>
      </c>
      <c r="D32" s="72" t="str">
        <f t="shared" si="1"/>
        <v>2.9.1</v>
      </c>
      <c r="E32" s="65" t="s">
        <v>107</v>
      </c>
      <c r="F32" s="66" t="s">
        <v>57</v>
      </c>
      <c r="G32" s="66">
        <v>15</v>
      </c>
      <c r="H32" s="67">
        <v>645</v>
      </c>
      <c r="I32" s="68">
        <f t="shared" si="0"/>
        <v>9675</v>
      </c>
    </row>
    <row r="33" spans="1:9" s="62" customFormat="1" ht="30" x14ac:dyDescent="0.2">
      <c r="A33" s="63">
        <v>24</v>
      </c>
      <c r="B33" s="64" t="s">
        <v>108</v>
      </c>
      <c r="C33" s="72" t="s">
        <v>64</v>
      </c>
      <c r="D33" s="72" t="str">
        <f t="shared" si="1"/>
        <v>2.9.1</v>
      </c>
      <c r="E33" s="65" t="s">
        <v>109</v>
      </c>
      <c r="F33" s="66" t="s">
        <v>57</v>
      </c>
      <c r="G33" s="66">
        <v>15</v>
      </c>
      <c r="H33" s="67">
        <v>1100</v>
      </c>
      <c r="I33" s="68">
        <f t="shared" si="0"/>
        <v>16500</v>
      </c>
    </row>
    <row r="34" spans="1:9" s="62" customFormat="1" ht="30" x14ac:dyDescent="0.2">
      <c r="A34" s="63">
        <v>25</v>
      </c>
      <c r="B34" s="64" t="s">
        <v>110</v>
      </c>
      <c r="C34" s="72" t="s">
        <v>64</v>
      </c>
      <c r="D34" s="72" t="str">
        <f t="shared" si="1"/>
        <v>2.9.1</v>
      </c>
      <c r="E34" s="65" t="s">
        <v>111</v>
      </c>
      <c r="F34" s="66" t="s">
        <v>57</v>
      </c>
      <c r="G34" s="66">
        <v>15</v>
      </c>
      <c r="H34" s="67">
        <v>850</v>
      </c>
      <c r="I34" s="68">
        <f t="shared" si="0"/>
        <v>12750</v>
      </c>
    </row>
    <row r="35" spans="1:9" s="62" customFormat="1" ht="30" x14ac:dyDescent="0.2">
      <c r="A35" s="63">
        <v>26</v>
      </c>
      <c r="B35" s="64" t="s">
        <v>112</v>
      </c>
      <c r="C35" s="72" t="s">
        <v>64</v>
      </c>
      <c r="D35" s="72" t="str">
        <f t="shared" si="1"/>
        <v>2.9.1</v>
      </c>
      <c r="E35" s="65" t="s">
        <v>113</v>
      </c>
      <c r="F35" s="66" t="s">
        <v>57</v>
      </c>
      <c r="G35" s="66">
        <v>15</v>
      </c>
      <c r="H35" s="67">
        <v>295</v>
      </c>
      <c r="I35" s="68">
        <f t="shared" si="0"/>
        <v>4425</v>
      </c>
    </row>
    <row r="36" spans="1:9" s="62" customFormat="1" ht="30" x14ac:dyDescent="0.2">
      <c r="A36" s="63">
        <v>27</v>
      </c>
      <c r="B36" s="64" t="s">
        <v>114</v>
      </c>
      <c r="C36" s="72" t="s">
        <v>64</v>
      </c>
      <c r="D36" s="72" t="str">
        <f t="shared" si="1"/>
        <v>2.9.1</v>
      </c>
      <c r="E36" s="65" t="s">
        <v>115</v>
      </c>
      <c r="F36" s="66" t="s">
        <v>57</v>
      </c>
      <c r="G36" s="66">
        <v>4</v>
      </c>
      <c r="H36" s="67">
        <v>1072</v>
      </c>
      <c r="I36" s="68">
        <f t="shared" si="0"/>
        <v>4288</v>
      </c>
    </row>
    <row r="37" spans="1:9" s="62" customFormat="1" ht="30" x14ac:dyDescent="0.2">
      <c r="A37" s="63">
        <v>28</v>
      </c>
      <c r="B37" s="64" t="s">
        <v>116</v>
      </c>
      <c r="C37" s="72" t="s">
        <v>64</v>
      </c>
      <c r="D37" s="72" t="str">
        <f t="shared" si="1"/>
        <v>2.9.1</v>
      </c>
      <c r="E37" s="65" t="s">
        <v>117</v>
      </c>
      <c r="F37" s="66" t="s">
        <v>57</v>
      </c>
      <c r="G37" s="66">
        <v>15</v>
      </c>
      <c r="H37" s="67">
        <v>95</v>
      </c>
      <c r="I37" s="68">
        <f t="shared" si="0"/>
        <v>1425</v>
      </c>
    </row>
    <row r="38" spans="1:9" s="62" customFormat="1" ht="30" x14ac:dyDescent="0.2">
      <c r="A38" s="63">
        <v>29</v>
      </c>
      <c r="B38" s="64" t="s">
        <v>118</v>
      </c>
      <c r="C38" s="72" t="s">
        <v>64</v>
      </c>
      <c r="D38" s="72" t="str">
        <f t="shared" si="1"/>
        <v>2.9.1</v>
      </c>
      <c r="E38" s="65" t="s">
        <v>119</v>
      </c>
      <c r="F38" s="66" t="s">
        <v>57</v>
      </c>
      <c r="G38" s="66">
        <v>15</v>
      </c>
      <c r="H38" s="67">
        <v>198</v>
      </c>
      <c r="I38" s="68">
        <f t="shared" si="0"/>
        <v>2970</v>
      </c>
    </row>
    <row r="39" spans="1:9" s="62" customFormat="1" ht="30" x14ac:dyDescent="0.2">
      <c r="A39" s="63">
        <v>30</v>
      </c>
      <c r="B39" s="64" t="s">
        <v>120</v>
      </c>
      <c r="C39" s="72" t="s">
        <v>64</v>
      </c>
      <c r="D39" s="72" t="str">
        <f t="shared" si="1"/>
        <v>2.9.1</v>
      </c>
      <c r="E39" s="65" t="s">
        <v>121</v>
      </c>
      <c r="F39" s="66" t="s">
        <v>57</v>
      </c>
      <c r="G39" s="66">
        <v>10</v>
      </c>
      <c r="H39" s="67">
        <v>325</v>
      </c>
      <c r="I39" s="68">
        <f t="shared" si="0"/>
        <v>3250</v>
      </c>
    </row>
    <row r="40" spans="1:9" s="62" customFormat="1" ht="30" x14ac:dyDescent="0.2">
      <c r="A40" s="63">
        <v>31</v>
      </c>
      <c r="B40" s="64" t="s">
        <v>122</v>
      </c>
      <c r="C40" s="72" t="s">
        <v>64</v>
      </c>
      <c r="D40" s="72" t="str">
        <f t="shared" si="1"/>
        <v>2.9.1</v>
      </c>
      <c r="E40" s="65" t="s">
        <v>123</v>
      </c>
      <c r="F40" s="66" t="s">
        <v>57</v>
      </c>
      <c r="G40" s="66">
        <v>15</v>
      </c>
      <c r="H40" s="67">
        <v>640</v>
      </c>
      <c r="I40" s="68">
        <f t="shared" si="0"/>
        <v>9600</v>
      </c>
    </row>
    <row r="41" spans="1:9" s="62" customFormat="1" ht="30" x14ac:dyDescent="0.2">
      <c r="A41" s="63">
        <v>32</v>
      </c>
      <c r="B41" s="64" t="s">
        <v>124</v>
      </c>
      <c r="C41" s="72" t="s">
        <v>64</v>
      </c>
      <c r="D41" s="72" t="str">
        <f t="shared" si="1"/>
        <v>2.9.1</v>
      </c>
      <c r="E41" s="65" t="s">
        <v>125</v>
      </c>
      <c r="F41" s="66" t="s">
        <v>57</v>
      </c>
      <c r="G41" s="66">
        <v>10</v>
      </c>
      <c r="H41" s="67">
        <v>640</v>
      </c>
      <c r="I41" s="68">
        <f t="shared" si="0"/>
        <v>6400</v>
      </c>
    </row>
    <row r="42" spans="1:9" s="62" customFormat="1" ht="30" x14ac:dyDescent="0.2">
      <c r="A42" s="63">
        <v>33</v>
      </c>
      <c r="B42" s="64" t="s">
        <v>126</v>
      </c>
      <c r="C42" s="72" t="s">
        <v>64</v>
      </c>
      <c r="D42" s="72" t="str">
        <f t="shared" si="1"/>
        <v>2.9.1</v>
      </c>
      <c r="E42" s="65" t="s">
        <v>127</v>
      </c>
      <c r="F42" s="66" t="s">
        <v>57</v>
      </c>
      <c r="G42" s="66">
        <v>60</v>
      </c>
      <c r="H42" s="67">
        <v>110</v>
      </c>
      <c r="I42" s="68">
        <f t="shared" si="0"/>
        <v>6600</v>
      </c>
    </row>
    <row r="43" spans="1:9" s="62" customFormat="1" ht="30" x14ac:dyDescent="0.2">
      <c r="A43" s="63">
        <v>34</v>
      </c>
      <c r="B43" s="64" t="s">
        <v>128</v>
      </c>
      <c r="C43" s="72" t="s">
        <v>64</v>
      </c>
      <c r="D43" s="72" t="str">
        <f t="shared" si="1"/>
        <v>2.9.1</v>
      </c>
      <c r="E43" s="65" t="s">
        <v>148</v>
      </c>
      <c r="F43" s="66" t="s">
        <v>57</v>
      </c>
      <c r="G43" s="66">
        <v>20</v>
      </c>
      <c r="H43" s="67">
        <v>835</v>
      </c>
      <c r="I43" s="68">
        <f t="shared" si="0"/>
        <v>16700</v>
      </c>
    </row>
    <row r="44" spans="1:9" s="62" customFormat="1" ht="30" x14ac:dyDescent="0.2">
      <c r="A44" s="63">
        <v>35</v>
      </c>
      <c r="B44" s="64" t="s">
        <v>129</v>
      </c>
      <c r="C44" s="72" t="s">
        <v>64</v>
      </c>
      <c r="D44" s="72" t="str">
        <f t="shared" si="1"/>
        <v>2.9.1</v>
      </c>
      <c r="E44" s="65" t="s">
        <v>130</v>
      </c>
      <c r="F44" s="66" t="s">
        <v>57</v>
      </c>
      <c r="G44" s="66">
        <v>40</v>
      </c>
      <c r="H44" s="67">
        <v>120</v>
      </c>
      <c r="I44" s="68">
        <f t="shared" si="0"/>
        <v>4800</v>
      </c>
    </row>
    <row r="45" spans="1:9" s="62" customFormat="1" ht="30" x14ac:dyDescent="0.2">
      <c r="A45" s="63">
        <v>36</v>
      </c>
      <c r="B45" s="64" t="s">
        <v>131</v>
      </c>
      <c r="C45" s="72" t="s">
        <v>64</v>
      </c>
      <c r="D45" s="72" t="str">
        <f t="shared" si="1"/>
        <v>2.9.1</v>
      </c>
      <c r="E45" s="65" t="s">
        <v>132</v>
      </c>
      <c r="F45" s="66" t="s">
        <v>57</v>
      </c>
      <c r="G45" s="66">
        <v>20</v>
      </c>
      <c r="H45" s="67">
        <v>110</v>
      </c>
      <c r="I45" s="68">
        <f t="shared" si="0"/>
        <v>2200</v>
      </c>
    </row>
    <row r="46" spans="1:9" s="62" customFormat="1" ht="30" x14ac:dyDescent="0.2">
      <c r="A46" s="63">
        <v>37</v>
      </c>
      <c r="B46" s="64" t="s">
        <v>133</v>
      </c>
      <c r="C46" s="72" t="s">
        <v>64</v>
      </c>
      <c r="D46" s="72" t="str">
        <f>+LEFT(B46,5)</f>
        <v>2.9.1</v>
      </c>
      <c r="E46" s="65" t="s">
        <v>134</v>
      </c>
      <c r="F46" s="66" t="s">
        <v>57</v>
      </c>
      <c r="G46" s="66">
        <v>30</v>
      </c>
      <c r="H46" s="67">
        <v>195</v>
      </c>
      <c r="I46" s="68">
        <f t="shared" si="0"/>
        <v>5850</v>
      </c>
    </row>
    <row r="47" spans="1:9" s="62" customFormat="1" ht="30" x14ac:dyDescent="0.2">
      <c r="A47" s="63">
        <v>38</v>
      </c>
      <c r="B47" s="64" t="s">
        <v>135</v>
      </c>
      <c r="C47" s="72" t="s">
        <v>64</v>
      </c>
      <c r="D47" s="72" t="str">
        <f t="shared" ref="D47:D48" si="2">+LEFT(B47,5)</f>
        <v>2.9.1</v>
      </c>
      <c r="E47" s="65" t="s">
        <v>136</v>
      </c>
      <c r="F47" s="66" t="s">
        <v>57</v>
      </c>
      <c r="G47" s="66">
        <v>15</v>
      </c>
      <c r="H47" s="67">
        <v>385</v>
      </c>
      <c r="I47" s="68">
        <f t="shared" si="0"/>
        <v>5775</v>
      </c>
    </row>
    <row r="48" spans="1:9" s="62" customFormat="1" ht="30" x14ac:dyDescent="0.2">
      <c r="A48" s="63">
        <v>39</v>
      </c>
      <c r="B48" s="64" t="s">
        <v>149</v>
      </c>
      <c r="C48" s="72" t="s">
        <v>64</v>
      </c>
      <c r="D48" s="72" t="str">
        <f t="shared" si="2"/>
        <v>2.9.9</v>
      </c>
      <c r="E48" s="65" t="s">
        <v>150</v>
      </c>
      <c r="F48" s="66" t="s">
        <v>57</v>
      </c>
      <c r="G48" s="66">
        <v>10</v>
      </c>
      <c r="H48" s="67">
        <v>958</v>
      </c>
      <c r="I48" s="68">
        <f t="shared" si="0"/>
        <v>9580</v>
      </c>
    </row>
    <row r="49" spans="1:9" s="62" customFormat="1" ht="45" x14ac:dyDescent="0.2">
      <c r="A49" s="63">
        <v>40</v>
      </c>
      <c r="B49" s="64" t="s">
        <v>137</v>
      </c>
      <c r="C49" s="72" t="s">
        <v>64</v>
      </c>
      <c r="D49" s="72" t="str">
        <f t="shared" si="1"/>
        <v>2.9.9</v>
      </c>
      <c r="E49" s="65" t="s">
        <v>138</v>
      </c>
      <c r="F49" s="66" t="s">
        <v>57</v>
      </c>
      <c r="G49" s="66">
        <v>5</v>
      </c>
      <c r="H49" s="67">
        <v>1939</v>
      </c>
      <c r="I49" s="68">
        <f t="shared" si="0"/>
        <v>9695</v>
      </c>
    </row>
    <row r="50" spans="1:9" s="62" customFormat="1" ht="45.75" thickBot="1" x14ac:dyDescent="0.25">
      <c r="A50" s="93">
        <v>41</v>
      </c>
      <c r="B50" s="94" t="s">
        <v>139</v>
      </c>
      <c r="C50" s="95" t="s">
        <v>64</v>
      </c>
      <c r="D50" s="95" t="str">
        <f t="shared" si="1"/>
        <v>2.9.9</v>
      </c>
      <c r="E50" s="96" t="s">
        <v>140</v>
      </c>
      <c r="F50" s="97" t="s">
        <v>57</v>
      </c>
      <c r="G50" s="97">
        <v>10</v>
      </c>
      <c r="H50" s="98">
        <v>967</v>
      </c>
      <c r="I50" s="73">
        <f t="shared" si="0"/>
        <v>9670</v>
      </c>
    </row>
    <row r="51" spans="1:9" s="27" customFormat="1" ht="27" customHeight="1" thickBot="1" x14ac:dyDescent="0.25">
      <c r="A51" s="114" t="s">
        <v>157</v>
      </c>
      <c r="B51" s="115"/>
      <c r="C51" s="115"/>
      <c r="D51" s="115"/>
      <c r="E51" s="115"/>
      <c r="F51" s="115"/>
      <c r="G51" s="115"/>
      <c r="H51" s="116"/>
      <c r="I51" s="75">
        <f>SUM(I10:I50)</f>
        <v>363288</v>
      </c>
    </row>
    <row r="52" spans="1:9" s="27" customFormat="1" thickBot="1" x14ac:dyDescent="0.25">
      <c r="C52" s="28"/>
      <c r="E52" s="74"/>
      <c r="F52" s="29"/>
    </row>
    <row r="53" spans="1:9" s="27" customFormat="1" ht="12.75" x14ac:dyDescent="0.2">
      <c r="B53" s="76" t="s">
        <v>141</v>
      </c>
      <c r="C53" s="87"/>
      <c r="D53" s="30"/>
      <c r="E53" s="77"/>
      <c r="F53" s="29"/>
    </row>
    <row r="54" spans="1:9" s="27" customFormat="1" ht="48" customHeight="1" x14ac:dyDescent="0.2">
      <c r="B54" s="78"/>
      <c r="C54" s="107"/>
      <c r="D54" s="107"/>
      <c r="E54" s="108"/>
      <c r="F54" s="29"/>
    </row>
    <row r="55" spans="1:9" s="27" customFormat="1" ht="12.75" x14ac:dyDescent="0.2">
      <c r="B55" s="34" t="s">
        <v>58</v>
      </c>
      <c r="C55" s="88"/>
      <c r="D55" s="31"/>
      <c r="E55" s="79"/>
      <c r="F55" s="29"/>
    </row>
    <row r="56" spans="1:9" s="27" customFormat="1" ht="12.75" x14ac:dyDescent="0.2">
      <c r="B56" s="34"/>
      <c r="C56" s="89"/>
      <c r="D56" s="80"/>
      <c r="E56" s="81"/>
      <c r="F56" s="29"/>
    </row>
    <row r="57" spans="1:9" s="27" customFormat="1" ht="12.75" x14ac:dyDescent="0.2">
      <c r="B57" s="34" t="s">
        <v>14</v>
      </c>
      <c r="C57" s="88"/>
      <c r="D57" s="31"/>
      <c r="E57" s="79"/>
      <c r="F57" s="29"/>
    </row>
    <row r="58" spans="1:9" s="27" customFormat="1" ht="102.75" customHeight="1" x14ac:dyDescent="0.2">
      <c r="B58" s="33"/>
      <c r="C58" s="109" t="s">
        <v>142</v>
      </c>
      <c r="D58" s="109"/>
      <c r="E58" s="110"/>
      <c r="F58" s="29"/>
    </row>
    <row r="59" spans="1:9" s="27" customFormat="1" ht="12.75" x14ac:dyDescent="0.2">
      <c r="B59" s="33"/>
      <c r="C59" s="82"/>
      <c r="D59" s="82"/>
      <c r="E59" s="39"/>
      <c r="F59" s="29"/>
    </row>
    <row r="60" spans="1:9" s="27" customFormat="1" ht="12.75" x14ac:dyDescent="0.2">
      <c r="B60" s="34" t="s">
        <v>143</v>
      </c>
      <c r="C60" s="88"/>
      <c r="D60" s="31"/>
      <c r="E60" s="79"/>
      <c r="F60" s="29"/>
    </row>
    <row r="61" spans="1:9" s="27" customFormat="1" ht="25.5" customHeight="1" x14ac:dyDescent="0.2">
      <c r="B61" s="33"/>
      <c r="C61" s="111" t="s">
        <v>144</v>
      </c>
      <c r="D61" s="111"/>
      <c r="E61" s="112"/>
      <c r="F61" s="29"/>
    </row>
    <row r="62" spans="1:9" s="27" customFormat="1" ht="12.75" x14ac:dyDescent="0.2">
      <c r="B62" s="34" t="s">
        <v>15</v>
      </c>
      <c r="C62" s="36"/>
      <c r="D62" s="36"/>
      <c r="E62" s="83"/>
      <c r="F62" s="29"/>
    </row>
    <row r="63" spans="1:9" s="27" customFormat="1" ht="12.75" x14ac:dyDescent="0.2">
      <c r="B63" s="33"/>
      <c r="C63" s="90" t="s">
        <v>145</v>
      </c>
      <c r="D63" s="37"/>
      <c r="E63" s="38"/>
      <c r="F63" s="29"/>
    </row>
    <row r="64" spans="1:9" s="27" customFormat="1" ht="12.75" x14ac:dyDescent="0.2">
      <c r="B64" s="34" t="s">
        <v>146</v>
      </c>
      <c r="C64" s="88"/>
      <c r="D64" s="31"/>
      <c r="E64" s="79"/>
      <c r="F64" s="29"/>
    </row>
    <row r="65" spans="2:6" s="27" customFormat="1" ht="12.75" x14ac:dyDescent="0.2">
      <c r="B65" s="34"/>
      <c r="C65" s="82"/>
      <c r="D65" s="82"/>
      <c r="E65" s="39"/>
      <c r="F65" s="29"/>
    </row>
    <row r="66" spans="2:6" s="27" customFormat="1" thickBot="1" x14ac:dyDescent="0.25">
      <c r="B66" s="35"/>
      <c r="C66" s="91"/>
      <c r="D66" s="32"/>
      <c r="E66" s="84"/>
      <c r="F66" s="29"/>
    </row>
    <row r="67" spans="2:6" s="27" customFormat="1" ht="12.75" x14ac:dyDescent="0.2">
      <c r="C67" s="28"/>
      <c r="E67" s="74"/>
      <c r="F67" s="29"/>
    </row>
  </sheetData>
  <mergeCells count="11">
    <mergeCell ref="B2:H2"/>
    <mergeCell ref="A4:B4"/>
    <mergeCell ref="C4:E4"/>
    <mergeCell ref="A5:B5"/>
    <mergeCell ref="C5:E5"/>
    <mergeCell ref="A6:B6"/>
    <mergeCell ref="C54:E54"/>
    <mergeCell ref="C58:E58"/>
    <mergeCell ref="C61:E61"/>
    <mergeCell ref="A7:B7"/>
    <mergeCell ref="A51:H51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3"/>
  <sheetViews>
    <sheetView topLeftCell="A39" zoomScale="85" zoomScaleNormal="85" workbookViewId="0">
      <selection activeCell="J53" sqref="J53:K53"/>
    </sheetView>
  </sheetViews>
  <sheetFormatPr baseColWidth="10" defaultColWidth="9.140625" defaultRowHeight="13.5" x14ac:dyDescent="0.25"/>
  <cols>
    <col min="1" max="1" width="5.5703125" style="12" customWidth="1"/>
    <col min="2" max="2" width="15.140625" style="41" customWidth="1"/>
    <col min="3" max="3" width="14.140625" style="12" customWidth="1"/>
    <col min="4" max="4" width="26" style="12" customWidth="1"/>
    <col min="5" max="5" width="8" style="12" customWidth="1"/>
    <col min="6" max="6" width="7.85546875" style="12" customWidth="1"/>
    <col min="7" max="7" width="42" style="12" customWidth="1"/>
    <col min="8" max="8" width="9.28515625" style="12" customWidth="1"/>
    <col min="9" max="9" width="15.5703125" style="12" customWidth="1"/>
    <col min="10" max="10" width="14.7109375" style="12" customWidth="1"/>
    <col min="11" max="11" width="20" style="12" bestFit="1" customWidth="1"/>
    <col min="12" max="14" width="5.85546875" style="12" customWidth="1"/>
    <col min="15" max="15" width="12.5703125" style="12" customWidth="1"/>
    <col min="16" max="1024" width="9.140625" style="12"/>
    <col min="1025" max="16384" width="9.140625" style="13"/>
  </cols>
  <sheetData>
    <row r="1" spans="1:11" ht="26.25" customHeight="1" x14ac:dyDescent="0.25">
      <c r="A1" s="128" t="s">
        <v>16</v>
      </c>
      <c r="B1" s="128"/>
      <c r="C1" s="128"/>
      <c r="D1" s="128"/>
      <c r="E1" s="128"/>
      <c r="F1" s="128"/>
      <c r="G1" s="128"/>
      <c r="H1" s="128"/>
      <c r="I1" s="128"/>
      <c r="J1" s="11" t="s">
        <v>17</v>
      </c>
      <c r="K1" s="26" t="s">
        <v>156</v>
      </c>
    </row>
    <row r="2" spans="1:11" ht="18.75" customHeight="1" thickBot="1" x14ac:dyDescent="0.3">
      <c r="A2" s="14"/>
      <c r="B2" s="40"/>
      <c r="C2" s="14"/>
      <c r="D2" s="15"/>
      <c r="E2" s="15"/>
      <c r="F2" s="15"/>
      <c r="G2" s="15"/>
      <c r="H2" s="15"/>
      <c r="I2" s="15"/>
      <c r="J2" s="15"/>
      <c r="K2" s="15"/>
    </row>
    <row r="3" spans="1:11" ht="18.75" customHeight="1" thickBot="1" x14ac:dyDescent="0.3">
      <c r="A3" s="129" t="s">
        <v>49</v>
      </c>
      <c r="B3" s="129"/>
      <c r="C3" s="129"/>
      <c r="D3" s="130" t="str">
        <f>'Necesidades Trimestrales'!C4</f>
        <v>12 -Ministerio de Trabajo y Recursos Humanos</v>
      </c>
      <c r="E3" s="130"/>
      <c r="F3" s="130"/>
      <c r="G3" s="130"/>
      <c r="H3" s="130"/>
      <c r="I3" s="130"/>
      <c r="J3" s="130"/>
      <c r="K3" s="130"/>
    </row>
    <row r="4" spans="1:11" ht="18.75" customHeight="1" thickBot="1" x14ac:dyDescent="0.3">
      <c r="A4" s="131" t="s">
        <v>50</v>
      </c>
      <c r="B4" s="131"/>
      <c r="C4" s="131"/>
      <c r="D4" s="130" t="str">
        <f>'Necesidades Trimestrales'!C5</f>
        <v>22 - Secretaria de Administración del Ministerio de Trabajo y Recursos Humanos</v>
      </c>
      <c r="E4" s="130"/>
      <c r="F4" s="130"/>
      <c r="G4" s="130"/>
      <c r="H4" s="130"/>
      <c r="I4" s="130"/>
      <c r="J4" s="130"/>
      <c r="K4" s="130"/>
    </row>
    <row r="5" spans="1:11" ht="18.75" customHeight="1" thickBot="1" x14ac:dyDescent="0.3">
      <c r="A5" s="131" t="s">
        <v>29</v>
      </c>
      <c r="B5" s="131"/>
      <c r="C5" s="131"/>
      <c r="D5" s="130" t="s">
        <v>55</v>
      </c>
      <c r="E5" s="130"/>
      <c r="F5" s="130"/>
      <c r="G5" s="130"/>
      <c r="H5" s="130"/>
      <c r="I5" s="130"/>
      <c r="J5" s="130"/>
      <c r="K5" s="130"/>
    </row>
    <row r="6" spans="1:11" ht="16.5" customHeight="1" thickBot="1" x14ac:dyDescent="0.3">
      <c r="A6" s="129" t="s">
        <v>51</v>
      </c>
      <c r="B6" s="129"/>
      <c r="C6" s="129"/>
      <c r="D6" s="130" t="s">
        <v>55</v>
      </c>
      <c r="E6" s="130"/>
      <c r="F6" s="130"/>
      <c r="G6" s="130"/>
      <c r="H6" s="130"/>
      <c r="I6" s="130"/>
      <c r="J6" s="130"/>
      <c r="K6" s="130"/>
    </row>
    <row r="7" spans="1:11" ht="16.5" customHeight="1" x14ac:dyDescent="0.25">
      <c r="A7" s="131" t="s">
        <v>18</v>
      </c>
      <c r="B7" s="131"/>
      <c r="C7" s="131"/>
      <c r="D7" s="130" t="str">
        <f>'Necesidades Trimestrales'!C7 &amp; "° Trimestre - Año " &amp; 'Necesidades Trimestrales'!C6</f>
        <v>2° Trimestre - Año 2021</v>
      </c>
      <c r="E7" s="130"/>
      <c r="F7" s="130"/>
      <c r="G7" s="130"/>
      <c r="H7" s="130"/>
      <c r="I7" s="130"/>
      <c r="J7" s="130"/>
      <c r="K7" s="130"/>
    </row>
    <row r="8" spans="1:11" ht="16.5" customHeight="1" x14ac:dyDescent="0.25">
      <c r="A8" s="125" t="s">
        <v>19</v>
      </c>
      <c r="B8" s="125"/>
      <c r="C8" s="125"/>
      <c r="D8" s="126" t="s">
        <v>151</v>
      </c>
      <c r="E8" s="126"/>
      <c r="F8" s="126"/>
      <c r="G8" s="126"/>
      <c r="H8" s="126"/>
      <c r="I8" s="126"/>
      <c r="J8" s="126"/>
      <c r="K8" s="126"/>
    </row>
    <row r="9" spans="1:11" ht="14.25" thickBot="1" x14ac:dyDescent="0.3">
      <c r="A9" s="16"/>
      <c r="C9" s="16"/>
      <c r="D9" s="17"/>
      <c r="E9" s="17"/>
      <c r="F9" s="17"/>
      <c r="G9" s="17"/>
      <c r="H9" s="17"/>
      <c r="I9" s="17"/>
      <c r="J9" s="17"/>
      <c r="K9" s="17"/>
    </row>
    <row r="10" spans="1:11" ht="18.75" customHeight="1" thickBot="1" x14ac:dyDescent="0.3">
      <c r="A10" s="127" t="s">
        <v>20</v>
      </c>
      <c r="B10" s="123" t="s">
        <v>21</v>
      </c>
      <c r="C10" s="123" t="s">
        <v>22</v>
      </c>
      <c r="D10" s="123"/>
      <c r="E10" s="123"/>
      <c r="F10" s="123"/>
      <c r="G10" s="123"/>
      <c r="H10" s="123" t="s">
        <v>23</v>
      </c>
      <c r="I10" s="123" t="s">
        <v>24</v>
      </c>
      <c r="J10" s="123" t="s">
        <v>25</v>
      </c>
      <c r="K10" s="132" t="s">
        <v>26</v>
      </c>
    </row>
    <row r="11" spans="1:11" ht="24" customHeight="1" thickBot="1" x14ac:dyDescent="0.3">
      <c r="A11" s="127"/>
      <c r="B11" s="123"/>
      <c r="C11" s="123"/>
      <c r="D11" s="123"/>
      <c r="E11" s="123"/>
      <c r="F11" s="123"/>
      <c r="G11" s="123"/>
      <c r="H11" s="123"/>
      <c r="I11" s="123"/>
      <c r="J11" s="123"/>
      <c r="K11" s="132"/>
    </row>
    <row r="12" spans="1:11" ht="29.25" customHeight="1" x14ac:dyDescent="0.25">
      <c r="A12" s="18">
        <f>+'Necesidades Trimestrales'!A10</f>
        <v>1</v>
      </c>
      <c r="B12" s="19" t="str">
        <f>+'Necesidades Trimestrales'!B10</f>
        <v>2.3.4-5442.13</v>
      </c>
      <c r="C12" s="124" t="str">
        <f>+'Necesidades Trimestrales'!E10</f>
        <v>ROLLOS P/COCINA; DIMENSION: 21 X 20 Cm, PRESENTACION: ENVASE X 3 UN</v>
      </c>
      <c r="D12" s="124"/>
      <c r="E12" s="124"/>
      <c r="F12" s="124"/>
      <c r="G12" s="124"/>
      <c r="H12" s="19" t="s">
        <v>59</v>
      </c>
      <c r="I12" s="19" t="str">
        <f>+'Necesidades Trimestrales'!F10</f>
        <v>UNIDAD</v>
      </c>
      <c r="J12" s="20">
        <f>+'Necesidades Trimestrales'!H10</f>
        <v>80</v>
      </c>
      <c r="K12" s="21">
        <f>+'Necesidades Trimestrales'!G10</f>
        <v>50</v>
      </c>
    </row>
    <row r="13" spans="1:11" ht="40.5" customHeight="1" x14ac:dyDescent="0.25">
      <c r="A13" s="18">
        <f>+'Necesidades Trimestrales'!A11</f>
        <v>2</v>
      </c>
      <c r="B13" s="19" t="str">
        <f>+'Necesidades Trimestrales'!B11</f>
        <v>2.3.4-783.66</v>
      </c>
      <c r="C13" s="124" t="str">
        <f>+'Necesidades Trimestrales'!E11</f>
        <v>TOALLAS DE PAPEL; MATERIAL: PAPEL GOFRADO, GRAMAJE: SIN VALOR, DIMENSION: ANCHO 20 Cm, PRESENTACION: ROLLO X 304 M</v>
      </c>
      <c r="D13" s="124"/>
      <c r="E13" s="124"/>
      <c r="F13" s="124"/>
      <c r="G13" s="124"/>
      <c r="H13" s="19" t="s">
        <v>59</v>
      </c>
      <c r="I13" s="19" t="str">
        <f>+'Necesidades Trimestrales'!F11</f>
        <v>UNIDAD</v>
      </c>
      <c r="J13" s="20">
        <f>+'Necesidades Trimestrales'!H11</f>
        <v>394</v>
      </c>
      <c r="K13" s="21">
        <f>+'Necesidades Trimestrales'!G11</f>
        <v>20</v>
      </c>
    </row>
    <row r="14" spans="1:11" ht="37.5" customHeight="1" x14ac:dyDescent="0.25">
      <c r="A14" s="18">
        <f>+'Necesidades Trimestrales'!A12</f>
        <v>3</v>
      </c>
      <c r="B14" s="19" t="str">
        <f>+'Necesidades Trimestrales'!B12</f>
        <v>2.3.4-786.80</v>
      </c>
      <c r="C14" s="124" t="str">
        <f>+'Necesidades Trimestrales'!E12</f>
        <v>PAPEL HIGIENICO; PRESENTACION: PAQUETE X 4, TIPO: ROLLO, ANCHO: 10 Cm, LARGO: 90 M, TIPO DE HOJA: DOBLE</v>
      </c>
      <c r="D14" s="124"/>
      <c r="E14" s="124"/>
      <c r="F14" s="124"/>
      <c r="G14" s="124"/>
      <c r="H14" s="19" t="s">
        <v>59</v>
      </c>
      <c r="I14" s="19" t="str">
        <f>+'Necesidades Trimestrales'!F12</f>
        <v>UNIDAD</v>
      </c>
      <c r="J14" s="20">
        <f>+'Necesidades Trimestrales'!H12</f>
        <v>125</v>
      </c>
      <c r="K14" s="21">
        <f>+'Necesidades Trimestrales'!G12</f>
        <v>50</v>
      </c>
    </row>
    <row r="15" spans="1:11" ht="47.25" customHeight="1" x14ac:dyDescent="0.25">
      <c r="A15" s="18">
        <f>+'Necesidades Trimestrales'!A13</f>
        <v>4</v>
      </c>
      <c r="B15" s="19" t="str">
        <f>+'Necesidades Trimestrales'!B13</f>
        <v>2.5.4-505.19</v>
      </c>
      <c r="C15" s="124" t="str">
        <f>+'Necesidades Trimestrales'!E13</f>
        <v>DESINFECTANTES; PRESENTACION: ENVASE X 5 L, USO P/CONTROL: BACTERIAS, CAPACIDAD: 5 L, CONTROL: BACTERIAS, PRINCIPIO ACTIVO: HIPOCLORITO DE SODIO</v>
      </c>
      <c r="D15" s="124"/>
      <c r="E15" s="124"/>
      <c r="F15" s="124"/>
      <c r="G15" s="124"/>
      <c r="H15" s="19" t="s">
        <v>59</v>
      </c>
      <c r="I15" s="19" t="str">
        <f>+'Necesidades Trimestrales'!F13</f>
        <v>UNIDAD</v>
      </c>
      <c r="J15" s="20">
        <f>+'Necesidades Trimestrales'!H13</f>
        <v>300</v>
      </c>
      <c r="K15" s="21">
        <f>+'Necesidades Trimestrales'!G13</f>
        <v>10</v>
      </c>
    </row>
    <row r="16" spans="1:11" ht="44.25" customHeight="1" x14ac:dyDescent="0.25">
      <c r="A16" s="18">
        <f>+'Necesidades Trimestrales'!A14</f>
        <v>5</v>
      </c>
      <c r="B16" s="19" t="str">
        <f>+'Necesidades Trimestrales'!B14</f>
        <v>2.5.4-505.73</v>
      </c>
      <c r="C16" s="124" t="str">
        <f>+'Necesidades Trimestrales'!E14</f>
        <v>DESINFECTANTES; PRINCIPIO ACTIVO: 2-FENILFENOL, CONTROL: BACTERIAS, HONGOS Y VIRUS, PRESENTACION: ENVASE X 360 CM3</v>
      </c>
      <c r="D16" s="124"/>
      <c r="E16" s="124"/>
      <c r="F16" s="124"/>
      <c r="G16" s="124"/>
      <c r="H16" s="19" t="s">
        <v>59</v>
      </c>
      <c r="I16" s="19" t="str">
        <f>+'Necesidades Trimestrales'!F14</f>
        <v>UNIDAD</v>
      </c>
      <c r="J16" s="20">
        <f>+'Necesidades Trimestrales'!H14</f>
        <v>275</v>
      </c>
      <c r="K16" s="21">
        <f>+'Necesidades Trimestrales'!G14</f>
        <v>30</v>
      </c>
    </row>
    <row r="17" spans="1:11" ht="29.25" customHeight="1" x14ac:dyDescent="0.25">
      <c r="A17" s="18">
        <f>+'Necesidades Trimestrales'!A15</f>
        <v>6</v>
      </c>
      <c r="B17" s="19" t="str">
        <f>+'Necesidades Trimestrales'!B15</f>
        <v>2.5.4-506.192</v>
      </c>
      <c r="C17" s="124" t="str">
        <f>+'Necesidades Trimestrales'!E15</f>
        <v>INSECTICIDAS; PRINCIPIO ACTIVO: TETRAMETRINA, CONTROL: CUCARACHA, ACCION: CONTROL, PRESENTACION: AEROSOL X 360 CM3</v>
      </c>
      <c r="D17" s="124"/>
      <c r="E17" s="124"/>
      <c r="F17" s="124"/>
      <c r="G17" s="124"/>
      <c r="H17" s="19" t="s">
        <v>59</v>
      </c>
      <c r="I17" s="19" t="str">
        <f>+'Necesidades Trimestrales'!F15</f>
        <v>UNIDAD</v>
      </c>
      <c r="J17" s="20">
        <f>+'Necesidades Trimestrales'!H15</f>
        <v>244</v>
      </c>
      <c r="K17" s="21">
        <f>+'Necesidades Trimestrales'!G15</f>
        <v>20</v>
      </c>
    </row>
    <row r="18" spans="1:11" ht="39.75" customHeight="1" x14ac:dyDescent="0.25">
      <c r="A18" s="18">
        <f>+'Necesidades Trimestrales'!A16</f>
        <v>7</v>
      </c>
      <c r="B18" s="19" t="str">
        <f>+'Necesidades Trimestrales'!B16</f>
        <v>2.5.4-506.194</v>
      </c>
      <c r="C18" s="124" t="str">
        <f>+'Necesidades Trimestrales'!E16</f>
        <v>INSECTICIDAS; PRINCIPIO ACTIVO: TETRAMETRINA, CONTROL: HORMIGAS, ACCION: VOLTEO Y RESIDUAL, PRESENTACION: ENVASE X 360 CM3</v>
      </c>
      <c r="D18" s="124"/>
      <c r="E18" s="124"/>
      <c r="F18" s="124"/>
      <c r="G18" s="124"/>
      <c r="H18" s="19" t="s">
        <v>59</v>
      </c>
      <c r="I18" s="19" t="str">
        <f>+'Necesidades Trimestrales'!F16</f>
        <v>UNIDAD</v>
      </c>
      <c r="J18" s="20">
        <f>+'Necesidades Trimestrales'!H16</f>
        <v>194</v>
      </c>
      <c r="K18" s="21">
        <f>+'Necesidades Trimestrales'!G16</f>
        <v>20</v>
      </c>
    </row>
    <row r="19" spans="1:11" ht="39" customHeight="1" x14ac:dyDescent="0.25">
      <c r="A19" s="18">
        <f>+'Necesidades Trimestrales'!A17</f>
        <v>8</v>
      </c>
      <c r="B19" s="19" t="str">
        <f>+'Necesidades Trimestrales'!B17</f>
        <v>2.5.4-506.209</v>
      </c>
      <c r="C19" s="124" t="str">
        <f>+'Necesidades Trimestrales'!E17</f>
        <v>INSECTICIDAS; PRINCIPIO ACTIVO: DIFETHIALONE 0.0025 %, CONTROL: ROEDORES, ACCION:,: CEBO X 1 Kg</v>
      </c>
      <c r="D19" s="124"/>
      <c r="E19" s="124"/>
      <c r="F19" s="124"/>
      <c r="G19" s="124"/>
      <c r="H19" s="19" t="s">
        <v>59</v>
      </c>
      <c r="I19" s="19" t="str">
        <f>+'Necesidades Trimestrales'!F17</f>
        <v>UNIDAD</v>
      </c>
      <c r="J19" s="20">
        <f>+'Necesidades Trimestrales'!H17</f>
        <v>680</v>
      </c>
      <c r="K19" s="21">
        <f>+'Necesidades Trimestrales'!G17</f>
        <v>8</v>
      </c>
    </row>
    <row r="20" spans="1:11" ht="41.25" customHeight="1" x14ac:dyDescent="0.25">
      <c r="A20" s="18">
        <f>+'Necesidades Trimestrales'!A18</f>
        <v>9</v>
      </c>
      <c r="B20" s="19" t="str">
        <f>+'Necesidades Trimestrales'!B18</f>
        <v>2.5.4-506.200</v>
      </c>
      <c r="C20" s="124" t="str">
        <f>+'Necesidades Trimestrales'!E18</f>
        <v>INSECTICIDAS; PRINCIPIO ACTIVO: D-FENOTRINA, D-TETRA, PRAL, CONTROL: MOSCAS Y MOSQUITOS, ACCION: INSECTICIDA, PRESENTACION: ENVASE X 360 CM3</v>
      </c>
      <c r="D20" s="124"/>
      <c r="E20" s="124"/>
      <c r="F20" s="124"/>
      <c r="G20" s="124"/>
      <c r="H20" s="19" t="s">
        <v>59</v>
      </c>
      <c r="I20" s="19" t="str">
        <f>+'Necesidades Trimestrales'!F18</f>
        <v>UNIDAD</v>
      </c>
      <c r="J20" s="20">
        <f>+'Necesidades Trimestrales'!H18</f>
        <v>285</v>
      </c>
      <c r="K20" s="21">
        <f>+'Necesidades Trimestrales'!G18</f>
        <v>30</v>
      </c>
    </row>
    <row r="21" spans="1:11" ht="41.25" customHeight="1" x14ac:dyDescent="0.25">
      <c r="A21" s="18">
        <f>+'Necesidades Trimestrales'!A19</f>
        <v>10</v>
      </c>
      <c r="B21" s="19" t="str">
        <f>+'Necesidades Trimestrales'!B19</f>
        <v>2.9.1-1156.1</v>
      </c>
      <c r="C21" s="124" t="str">
        <f>+'Necesidades Trimestrales'!E19</f>
        <v>PLUMEROS; PLUMA: SINTETICA, CLASE: SUAVE, MATERIAL MANGO: MADERA, LARGO MANGO: 60 Cm, Nº VUELTAS PENACHO: 6, TIPO: SUAVE</v>
      </c>
      <c r="D21" s="124"/>
      <c r="E21" s="124"/>
      <c r="F21" s="124"/>
      <c r="G21" s="124"/>
      <c r="H21" s="19" t="s">
        <v>59</v>
      </c>
      <c r="I21" s="19" t="str">
        <f>+'Necesidades Trimestrales'!F19</f>
        <v>UNIDAD</v>
      </c>
      <c r="J21" s="20">
        <f>+'Necesidades Trimestrales'!H19</f>
        <v>2350</v>
      </c>
      <c r="K21" s="21">
        <f>+'Necesidades Trimestrales'!G19</f>
        <v>15</v>
      </c>
    </row>
    <row r="22" spans="1:11" ht="41.25" customHeight="1" x14ac:dyDescent="0.25">
      <c r="A22" s="18">
        <f>+'Necesidades Trimestrales'!A20</f>
        <v>11</v>
      </c>
      <c r="B22" s="19" t="str">
        <f>+'Necesidades Trimestrales'!B20</f>
        <v>2.9.1-1164.18</v>
      </c>
      <c r="C22" s="124" t="str">
        <f>+'Necesidades Trimestrales'!E20</f>
        <v>ESPONJAS; MATERIAL: METAL, USO: PARA COCINA, ADITAMENTO: SIN VALOR, FORMA: REDONDA, LARGO X ANCHO X ESP: ROLLO X 30 GR, COLOR: DORADO</v>
      </c>
      <c r="D22" s="124"/>
      <c r="E22" s="124"/>
      <c r="F22" s="124"/>
      <c r="G22" s="124"/>
      <c r="H22" s="19" t="s">
        <v>59</v>
      </c>
      <c r="I22" s="19" t="str">
        <f>+'Necesidades Trimestrales'!F20</f>
        <v>UNIDAD</v>
      </c>
      <c r="J22" s="20">
        <f>+'Necesidades Trimestrales'!H20</f>
        <v>125</v>
      </c>
      <c r="K22" s="21">
        <f>+'Necesidades Trimestrales'!G20</f>
        <v>20</v>
      </c>
    </row>
    <row r="23" spans="1:11" ht="29.25" customHeight="1" x14ac:dyDescent="0.25">
      <c r="A23" s="18">
        <f>+'Necesidades Trimestrales'!A21</f>
        <v>12</v>
      </c>
      <c r="B23" s="19" t="str">
        <f>+'Necesidades Trimestrales'!B21</f>
        <v>2.9.1-1164.35</v>
      </c>
      <c r="C23" s="124" t="str">
        <f>+'Necesidades Trimestrales'!E21</f>
        <v>ESPONJAS; MATERIAL: FIBRA, USO: DOMESTICO, ADITAMENTO: FIBRA, FORMA: RECTANGULAR, LARGO X ANCHO X ESP: 10 X 6 X 4 Cm</v>
      </c>
      <c r="D23" s="124"/>
      <c r="E23" s="124"/>
      <c r="F23" s="124"/>
      <c r="G23" s="124"/>
      <c r="H23" s="19" t="s">
        <v>59</v>
      </c>
      <c r="I23" s="19" t="str">
        <f>+'Necesidades Trimestrales'!F21</f>
        <v>UNIDAD</v>
      </c>
      <c r="J23" s="20">
        <f>+'Necesidades Trimestrales'!H21</f>
        <v>65</v>
      </c>
      <c r="K23" s="21">
        <f>+'Necesidades Trimestrales'!G21</f>
        <v>20</v>
      </c>
    </row>
    <row r="24" spans="1:11" ht="29.25" customHeight="1" x14ac:dyDescent="0.25">
      <c r="A24" s="18">
        <f>+'Necesidades Trimestrales'!A22</f>
        <v>13</v>
      </c>
      <c r="B24" s="19" t="str">
        <f>+'Necesidades Trimestrales'!B22</f>
        <v>2.9.1-2425.2</v>
      </c>
      <c r="C24" s="124" t="str">
        <f>+'Necesidades Trimestrales'!E22</f>
        <v>LAMPAZOS; MATERIAL: HILO, MANGO: MADERA</v>
      </c>
      <c r="D24" s="124"/>
      <c r="E24" s="124"/>
      <c r="F24" s="124"/>
      <c r="G24" s="124"/>
      <c r="H24" s="19" t="s">
        <v>59</v>
      </c>
      <c r="I24" s="19" t="str">
        <f>+'Necesidades Trimestrales'!F22</f>
        <v>UNIDAD</v>
      </c>
      <c r="J24" s="20">
        <f>+'Necesidades Trimestrales'!H22</f>
        <v>385</v>
      </c>
      <c r="K24" s="21">
        <f>+'Necesidades Trimestrales'!G22</f>
        <v>5</v>
      </c>
    </row>
    <row r="25" spans="1:11" ht="29.25" customHeight="1" x14ac:dyDescent="0.25">
      <c r="A25" s="18">
        <f>+'Necesidades Trimestrales'!A23</f>
        <v>14</v>
      </c>
      <c r="B25" s="19" t="str">
        <f>+'Necesidades Trimestrales'!B23</f>
        <v>2.9.1-2661.20</v>
      </c>
      <c r="C25" s="124" t="str">
        <f>+'Necesidades Trimestrales'!E23</f>
        <v>TACHOS DE RESIDUOS; MATERIAL: PLASTICO, SECCION: CIRCULAR, DIMENSION: 12 L, TAPA: CON</v>
      </c>
      <c r="D25" s="124"/>
      <c r="E25" s="124"/>
      <c r="F25" s="124"/>
      <c r="G25" s="124"/>
      <c r="H25" s="19" t="s">
        <v>59</v>
      </c>
      <c r="I25" s="19" t="str">
        <f>+'Necesidades Trimestrales'!F23</f>
        <v>UNIDAD</v>
      </c>
      <c r="J25" s="20">
        <f>+'Necesidades Trimestrales'!H23</f>
        <v>1584</v>
      </c>
      <c r="K25" s="21">
        <f>+'Necesidades Trimestrales'!G23</f>
        <v>20</v>
      </c>
    </row>
    <row r="26" spans="1:11" ht="29.25" customHeight="1" x14ac:dyDescent="0.25">
      <c r="A26" s="18">
        <f>+'Necesidades Trimestrales'!A24</f>
        <v>15</v>
      </c>
      <c r="B26" s="19" t="str">
        <f>+'Necesidades Trimestrales'!B24</f>
        <v>2.9.1-4784.37</v>
      </c>
      <c r="C26" s="124" t="str">
        <f>+'Necesidades Trimestrales'!E24</f>
        <v>LIMPIADORES MULTIUSO; TIPO: P/LAMPAZO, PRESENTACION: ENVASE X 5 L</v>
      </c>
      <c r="D26" s="124"/>
      <c r="E26" s="124"/>
      <c r="F26" s="124"/>
      <c r="G26" s="124"/>
      <c r="H26" s="19" t="s">
        <v>59</v>
      </c>
      <c r="I26" s="19" t="str">
        <f>+'Necesidades Trimestrales'!F24</f>
        <v>UNIDAD</v>
      </c>
      <c r="J26" s="20">
        <f>+'Necesidades Trimestrales'!H24</f>
        <v>950</v>
      </c>
      <c r="K26" s="21">
        <f>+'Necesidades Trimestrales'!G24</f>
        <v>10</v>
      </c>
    </row>
    <row r="27" spans="1:11" ht="29.25" customHeight="1" x14ac:dyDescent="0.25">
      <c r="A27" s="18">
        <f>+'Necesidades Trimestrales'!A25</f>
        <v>16</v>
      </c>
      <c r="B27" s="19" t="str">
        <f>+'Necesidades Trimestrales'!B25</f>
        <v>2.9.1-544.82</v>
      </c>
      <c r="C27" s="124" t="str">
        <f>+'Necesidades Trimestrales'!E25</f>
        <v>DESODORANTES DE AMBIENTE; FORMATO: AEROSOL, FRAGANCIA: ORIGINAL, PRESENTACION: ENVASE X 360</v>
      </c>
      <c r="D27" s="124"/>
      <c r="E27" s="124"/>
      <c r="F27" s="124"/>
      <c r="G27" s="124"/>
      <c r="H27" s="19" t="s">
        <v>59</v>
      </c>
      <c r="I27" s="19" t="str">
        <f>+'Necesidades Trimestrales'!F25</f>
        <v>UNIDAD</v>
      </c>
      <c r="J27" s="20">
        <f>+'Necesidades Trimestrales'!H25</f>
        <v>225</v>
      </c>
      <c r="K27" s="21">
        <f>+'Necesidades Trimestrales'!G25</f>
        <v>60</v>
      </c>
    </row>
    <row r="28" spans="1:11" ht="29.25" customHeight="1" x14ac:dyDescent="0.25">
      <c r="A28" s="18">
        <f>+'Necesidades Trimestrales'!A26</f>
        <v>17</v>
      </c>
      <c r="B28" s="19" t="str">
        <f>+'Necesidades Trimestrales'!B26</f>
        <v>2.9.1-564.18</v>
      </c>
      <c r="C28" s="124" t="str">
        <f>+'Necesidades Trimestrales'!E26</f>
        <v>BALDES DE PLASTICO; CAPACIDAD: 14 L</v>
      </c>
      <c r="D28" s="124"/>
      <c r="E28" s="124"/>
      <c r="F28" s="124"/>
      <c r="G28" s="124"/>
      <c r="H28" s="19" t="s">
        <v>59</v>
      </c>
      <c r="I28" s="19" t="str">
        <f>+'Necesidades Trimestrales'!F26</f>
        <v>UNIDAD</v>
      </c>
      <c r="J28" s="20">
        <f>+'Necesidades Trimestrales'!H26</f>
        <v>375</v>
      </c>
      <c r="K28" s="21">
        <f>+'Necesidades Trimestrales'!G26</f>
        <v>10</v>
      </c>
    </row>
    <row r="29" spans="1:11" ht="29.25" customHeight="1" x14ac:dyDescent="0.25">
      <c r="A29" s="18">
        <f>+'Necesidades Trimestrales'!A27</f>
        <v>18</v>
      </c>
      <c r="B29" s="19" t="str">
        <f>+'Necesidades Trimestrales'!B27</f>
        <v>2.9.1-646.6</v>
      </c>
      <c r="C29" s="124" t="str">
        <f>+'Necesidades Trimestrales'!E27</f>
        <v>BOLSAS DE RESIDUOS; DIMENSION: 45 X 60 Cm, PRESENTACION: BOLSA X 10, COLOR: SIN VALOR, ESPESOR: SIN VALOR</v>
      </c>
      <c r="D29" s="124"/>
      <c r="E29" s="124"/>
      <c r="F29" s="124"/>
      <c r="G29" s="124"/>
      <c r="H29" s="19" t="s">
        <v>59</v>
      </c>
      <c r="I29" s="19" t="str">
        <f>+'Necesidades Trimestrales'!F27</f>
        <v>UNIDAD</v>
      </c>
      <c r="J29" s="20">
        <f>+'Necesidades Trimestrales'!H27</f>
        <v>120</v>
      </c>
      <c r="K29" s="21">
        <f>+'Necesidades Trimestrales'!G27</f>
        <v>300</v>
      </c>
    </row>
    <row r="30" spans="1:11" ht="29.25" customHeight="1" x14ac:dyDescent="0.25">
      <c r="A30" s="18">
        <f>+'Necesidades Trimestrales'!A28</f>
        <v>19</v>
      </c>
      <c r="B30" s="19" t="str">
        <f>+'Necesidades Trimestrales'!B28</f>
        <v>2.9.1-646.56</v>
      </c>
      <c r="C30" s="124" t="str">
        <f>+'Necesidades Trimestrales'!E28</f>
        <v>BOLSAS DE RESIDUOS; DIMENSION: 100 X 80 Cm, PRESENTACION: BOLSA X 10 UN, ESPESOR: 80 Mn, COLOR: NEGRO</v>
      </c>
      <c r="D30" s="124"/>
      <c r="E30" s="124"/>
      <c r="F30" s="124"/>
      <c r="G30" s="124"/>
      <c r="H30" s="19" t="s">
        <v>59</v>
      </c>
      <c r="I30" s="19" t="str">
        <f>+'Necesidades Trimestrales'!F28</f>
        <v>UNIDAD</v>
      </c>
      <c r="J30" s="20">
        <f>+'Necesidades Trimestrales'!H28</f>
        <v>190</v>
      </c>
      <c r="K30" s="21">
        <f>+'Necesidades Trimestrales'!G28</f>
        <v>100</v>
      </c>
    </row>
    <row r="31" spans="1:11" ht="29.25" customHeight="1" x14ac:dyDescent="0.25">
      <c r="A31" s="18">
        <f>+'Necesidades Trimestrales'!A29</f>
        <v>20</v>
      </c>
      <c r="B31" s="19" t="str">
        <f>+'Necesidades Trimestrales'!B29</f>
        <v>2.9.1-678.1</v>
      </c>
      <c r="C31" s="124" t="str">
        <f>+'Necesidades Trimestrales'!E29</f>
        <v>TRAPOS REJILLA; DIMENSION: 38 X 42 Cm, MATERIAL: PURO ALGODON, COLOR: BLANCO</v>
      </c>
      <c r="D31" s="124"/>
      <c r="E31" s="124"/>
      <c r="F31" s="124"/>
      <c r="G31" s="124"/>
      <c r="H31" s="19" t="s">
        <v>59</v>
      </c>
      <c r="I31" s="19" t="str">
        <f>+'Necesidades Trimestrales'!F29</f>
        <v>UNIDAD</v>
      </c>
      <c r="J31" s="20">
        <f>+'Necesidades Trimestrales'!H29</f>
        <v>95</v>
      </c>
      <c r="K31" s="21">
        <f>+'Necesidades Trimestrales'!G29</f>
        <v>30</v>
      </c>
    </row>
    <row r="32" spans="1:11" ht="29.25" customHeight="1" x14ac:dyDescent="0.25">
      <c r="A32" s="18">
        <f>+'Necesidades Trimestrales'!A30</f>
        <v>21</v>
      </c>
      <c r="B32" s="19" t="str">
        <f>+'Necesidades Trimestrales'!B30</f>
        <v>2.9.1-683.6</v>
      </c>
      <c r="C32" s="124" t="str">
        <f>+'Necesidades Trimestrales'!E30</f>
        <v>SECADORES DE GOMA; COLOR: NEGRO, LARGO: 50 Cm</v>
      </c>
      <c r="D32" s="124"/>
      <c r="E32" s="124"/>
      <c r="F32" s="124"/>
      <c r="G32" s="124"/>
      <c r="H32" s="19" t="s">
        <v>59</v>
      </c>
      <c r="I32" s="19" t="str">
        <f>+'Necesidades Trimestrales'!F30</f>
        <v>UNIDAD</v>
      </c>
      <c r="J32" s="20">
        <f>+'Necesidades Trimestrales'!H30</f>
        <v>175</v>
      </c>
      <c r="K32" s="21">
        <f>+'Necesidades Trimestrales'!G30</f>
        <v>20</v>
      </c>
    </row>
    <row r="33" spans="1:11" ht="29.25" customHeight="1" x14ac:dyDescent="0.25">
      <c r="A33" s="18">
        <f>+'Necesidades Trimestrales'!A31</f>
        <v>22</v>
      </c>
      <c r="B33" s="19" t="str">
        <f>+'Necesidades Trimestrales'!B31</f>
        <v>2.9.1-6950.30</v>
      </c>
      <c r="C33" s="124" t="str">
        <f>+'Necesidades Trimestrales'!E31</f>
        <v>LUSTRADORES; TIPO: LUSTRAMUEBLES, PRESENTACION: AEROSOL X 360 CM3</v>
      </c>
      <c r="D33" s="124"/>
      <c r="E33" s="124"/>
      <c r="F33" s="124"/>
      <c r="G33" s="124"/>
      <c r="H33" s="19" t="s">
        <v>59</v>
      </c>
      <c r="I33" s="19" t="str">
        <f>+'Necesidades Trimestrales'!F31</f>
        <v>UNIDAD</v>
      </c>
      <c r="J33" s="20">
        <f>+'Necesidades Trimestrales'!H31</f>
        <v>275</v>
      </c>
      <c r="K33" s="21">
        <f>+'Necesidades Trimestrales'!G31</f>
        <v>30</v>
      </c>
    </row>
    <row r="34" spans="1:11" ht="29.25" customHeight="1" x14ac:dyDescent="0.25">
      <c r="A34" s="18">
        <f>+'Necesidades Trimestrales'!A32</f>
        <v>23</v>
      </c>
      <c r="B34" s="19" t="str">
        <f>+'Necesidades Trimestrales'!B32</f>
        <v>2.9.1-6951.12</v>
      </c>
      <c r="C34" s="124" t="str">
        <f>+'Necesidades Trimestrales'!E32</f>
        <v>LIMPIADORES; PRESENTACION: ENVASE X 5 L, TIPO: DETERGENTE</v>
      </c>
      <c r="D34" s="124"/>
      <c r="E34" s="124"/>
      <c r="F34" s="124"/>
      <c r="G34" s="124"/>
      <c r="H34" s="19" t="s">
        <v>59</v>
      </c>
      <c r="I34" s="19" t="str">
        <f>+'Necesidades Trimestrales'!F32</f>
        <v>UNIDAD</v>
      </c>
      <c r="J34" s="20">
        <f>+'Necesidades Trimestrales'!H32</f>
        <v>645</v>
      </c>
      <c r="K34" s="21">
        <f>+'Necesidades Trimestrales'!G32</f>
        <v>15</v>
      </c>
    </row>
    <row r="35" spans="1:11" ht="29.25" customHeight="1" x14ac:dyDescent="0.25">
      <c r="A35" s="18">
        <f>+'Necesidades Trimestrales'!A33</f>
        <v>24</v>
      </c>
      <c r="B35" s="19" t="str">
        <f>+'Necesidades Trimestrales'!B33</f>
        <v>2.9.1-6951.137</v>
      </c>
      <c r="C35" s="124" t="str">
        <f>+'Necesidades Trimestrales'!E33</f>
        <v>LIMPIADORES; TIPO: QUITASARRO, PRESENTACION: ENVASE X 5 L</v>
      </c>
      <c r="D35" s="124"/>
      <c r="E35" s="124"/>
      <c r="F35" s="124"/>
      <c r="G35" s="124"/>
      <c r="H35" s="19" t="s">
        <v>59</v>
      </c>
      <c r="I35" s="19" t="str">
        <f>+'Necesidades Trimestrales'!F33</f>
        <v>UNIDAD</v>
      </c>
      <c r="J35" s="20">
        <f>+'Necesidades Trimestrales'!H33</f>
        <v>1100</v>
      </c>
      <c r="K35" s="21">
        <f>+'Necesidades Trimestrales'!G33</f>
        <v>15</v>
      </c>
    </row>
    <row r="36" spans="1:11" ht="29.25" customHeight="1" x14ac:dyDescent="0.25">
      <c r="A36" s="18">
        <f>+'Necesidades Trimestrales'!A34</f>
        <v>25</v>
      </c>
      <c r="B36" s="19" t="str">
        <f>+'Necesidades Trimestrales'!B34</f>
        <v>2.9.1-6951.116</v>
      </c>
      <c r="C36" s="124" t="str">
        <f>+'Necesidades Trimestrales'!E34</f>
        <v>LIMPIADORES; TIPO: LIMPIAVIDRIOS, PRESENTACION: ENVASE X 5 L</v>
      </c>
      <c r="D36" s="124"/>
      <c r="E36" s="124"/>
      <c r="F36" s="124"/>
      <c r="G36" s="124"/>
      <c r="H36" s="19" t="s">
        <v>59</v>
      </c>
      <c r="I36" s="19" t="str">
        <f>+'Necesidades Trimestrales'!F34</f>
        <v>UNIDAD</v>
      </c>
      <c r="J36" s="20">
        <f>+'Necesidades Trimestrales'!H34</f>
        <v>850</v>
      </c>
      <c r="K36" s="21">
        <f>+'Necesidades Trimestrales'!G34</f>
        <v>15</v>
      </c>
    </row>
    <row r="37" spans="1:11" ht="29.25" customHeight="1" x14ac:dyDescent="0.25">
      <c r="A37" s="18">
        <f>+'Necesidades Trimestrales'!A35</f>
        <v>26</v>
      </c>
      <c r="B37" s="19" t="str">
        <f>+'Necesidades Trimestrales'!B35</f>
        <v>2.9.1-6951.30</v>
      </c>
      <c r="C37" s="124" t="str">
        <f>+'Necesidades Trimestrales'!E35</f>
        <v>LIMPIADORES; TIPO: LAVANDINA, PRESENTACION: ENVASE X 5 L</v>
      </c>
      <c r="D37" s="124"/>
      <c r="E37" s="124"/>
      <c r="F37" s="124"/>
      <c r="G37" s="124"/>
      <c r="H37" s="19" t="s">
        <v>59</v>
      </c>
      <c r="I37" s="19" t="str">
        <f>+'Necesidades Trimestrales'!F35</f>
        <v>UNIDAD</v>
      </c>
      <c r="J37" s="20">
        <f>+'Necesidades Trimestrales'!H35</f>
        <v>295</v>
      </c>
      <c r="K37" s="21">
        <f>+'Necesidades Trimestrales'!G35</f>
        <v>15</v>
      </c>
    </row>
    <row r="38" spans="1:11" ht="29.25" customHeight="1" x14ac:dyDescent="0.25">
      <c r="A38" s="18">
        <f>+'Necesidades Trimestrales'!A36</f>
        <v>27</v>
      </c>
      <c r="B38" s="19" t="str">
        <f>+'Necesidades Trimestrales'!B36</f>
        <v>2.9.1-6951.98</v>
      </c>
      <c r="C38" s="124" t="str">
        <f>+'Necesidades Trimestrales'!E36</f>
        <v>LIMPIADORES; TIPO: LIMPIA ALFOMBRAS, PRESENTACION: ENVASE X 5 L</v>
      </c>
      <c r="D38" s="124"/>
      <c r="E38" s="124"/>
      <c r="F38" s="124"/>
      <c r="G38" s="124"/>
      <c r="H38" s="19" t="s">
        <v>59</v>
      </c>
      <c r="I38" s="19" t="str">
        <f>+'Necesidades Trimestrales'!F36</f>
        <v>UNIDAD</v>
      </c>
      <c r="J38" s="20">
        <f>+'Necesidades Trimestrales'!H36</f>
        <v>1072</v>
      </c>
      <c r="K38" s="21">
        <f>+'Necesidades Trimestrales'!G36</f>
        <v>4</v>
      </c>
    </row>
    <row r="39" spans="1:11" ht="29.25" customHeight="1" x14ac:dyDescent="0.25">
      <c r="A39" s="18">
        <f>+'Necesidades Trimestrales'!A37</f>
        <v>28</v>
      </c>
      <c r="B39" s="19" t="str">
        <f>+'Necesidades Trimestrales'!B37</f>
        <v>2.9.1-6952.29</v>
      </c>
      <c r="C39" s="124" t="str">
        <f>+'Necesidades Trimestrales'!E37</f>
        <v>CEPILLOS; TIPO: ESCOBILLA LIMPIA INODORO, MATERIAL: PLASTICO</v>
      </c>
      <c r="D39" s="124"/>
      <c r="E39" s="124"/>
      <c r="F39" s="124"/>
      <c r="G39" s="124"/>
      <c r="H39" s="19" t="s">
        <v>59</v>
      </c>
      <c r="I39" s="19" t="str">
        <f>+'Necesidades Trimestrales'!F37</f>
        <v>UNIDAD</v>
      </c>
      <c r="J39" s="20">
        <f>+'Necesidades Trimestrales'!H37</f>
        <v>95</v>
      </c>
      <c r="K39" s="21">
        <f>+'Necesidades Trimestrales'!G37</f>
        <v>15</v>
      </c>
    </row>
    <row r="40" spans="1:11" ht="29.25" customHeight="1" x14ac:dyDescent="0.25">
      <c r="A40" s="18">
        <f>+'Necesidades Trimestrales'!A38</f>
        <v>29</v>
      </c>
      <c r="B40" s="19" t="str">
        <f>+'Necesidades Trimestrales'!B38</f>
        <v>2.9.1-6952.45</v>
      </c>
      <c r="C40" s="124" t="str">
        <f>+'Necesidades Trimestrales'!E38</f>
        <v>CEPILLOS; TIPO: ESCOBILLA LIMPIAVIDRIOS, MATERIAL: PLASTICO Y GOMA</v>
      </c>
      <c r="D40" s="124"/>
      <c r="E40" s="124"/>
      <c r="F40" s="124"/>
      <c r="G40" s="124"/>
      <c r="H40" s="19" t="s">
        <v>59</v>
      </c>
      <c r="I40" s="19" t="str">
        <f>+'Necesidades Trimestrales'!F38</f>
        <v>UNIDAD</v>
      </c>
      <c r="J40" s="20">
        <f>+'Necesidades Trimestrales'!H38</f>
        <v>198</v>
      </c>
      <c r="K40" s="21">
        <f>+'Necesidades Trimestrales'!G38</f>
        <v>15</v>
      </c>
    </row>
    <row r="41" spans="1:11" ht="29.25" customHeight="1" x14ac:dyDescent="0.25">
      <c r="A41" s="18">
        <f>+'Necesidades Trimestrales'!A39</f>
        <v>30</v>
      </c>
      <c r="B41" s="19" t="str">
        <f>+'Necesidades Trimestrales'!B39</f>
        <v>2.9.1-6952.87</v>
      </c>
      <c r="C41" s="124" t="str">
        <f>+'Necesidades Trimestrales'!E39</f>
        <v>CEPILLOS; TIPO: ESCOBA, MATERIAL: PLASTICO</v>
      </c>
      <c r="D41" s="124"/>
      <c r="E41" s="124"/>
      <c r="F41" s="124"/>
      <c r="G41" s="124"/>
      <c r="H41" s="19" t="s">
        <v>59</v>
      </c>
      <c r="I41" s="19" t="str">
        <f>+'Necesidades Trimestrales'!F39</f>
        <v>UNIDAD</v>
      </c>
      <c r="J41" s="20">
        <f>+'Necesidades Trimestrales'!H39</f>
        <v>325</v>
      </c>
      <c r="K41" s="21">
        <f>+'Necesidades Trimestrales'!G39</f>
        <v>10</v>
      </c>
    </row>
    <row r="42" spans="1:11" ht="29.25" customHeight="1" x14ac:dyDescent="0.25">
      <c r="A42" s="18">
        <f>+'Necesidades Trimestrales'!A40</f>
        <v>31</v>
      </c>
      <c r="B42" s="19" t="str">
        <f>+'Necesidades Trimestrales'!B40</f>
        <v>2.9.1-6956.73</v>
      </c>
      <c r="C42" s="124" t="str">
        <f>+'Necesidades Trimestrales'!E40</f>
        <v>ARTICULOS DE HIGIENE PERSONAL; TIPO: JABON LIQUIDO, PRESENTACION: ENVASE X 5 L</v>
      </c>
      <c r="D42" s="124"/>
      <c r="E42" s="124"/>
      <c r="F42" s="124"/>
      <c r="G42" s="124"/>
      <c r="H42" s="19" t="s">
        <v>59</v>
      </c>
      <c r="I42" s="19" t="str">
        <f>+'Necesidades Trimestrales'!F40</f>
        <v>UNIDAD</v>
      </c>
      <c r="J42" s="20">
        <f>+'Necesidades Trimestrales'!H40</f>
        <v>640</v>
      </c>
      <c r="K42" s="21">
        <f>+'Necesidades Trimestrales'!G40</f>
        <v>15</v>
      </c>
    </row>
    <row r="43" spans="1:11" ht="29.25" customHeight="1" x14ac:dyDescent="0.25">
      <c r="A43" s="18">
        <f>+'Necesidades Trimestrales'!A41</f>
        <v>32</v>
      </c>
      <c r="B43" s="19" t="str">
        <f>+'Necesidades Trimestrales'!B41</f>
        <v>2.9.1-6961.17</v>
      </c>
      <c r="C43" s="124" t="str">
        <f>+'Necesidades Trimestrales'!E41</f>
        <v>ELEM. P/LIMPIEZA SANITARIOS; TIPO: SANITIZANTE, PRESENTACION: BIDON X 5 L</v>
      </c>
      <c r="D43" s="124"/>
      <c r="E43" s="124"/>
      <c r="F43" s="124"/>
      <c r="G43" s="124"/>
      <c r="H43" s="19" t="s">
        <v>59</v>
      </c>
      <c r="I43" s="19" t="str">
        <f>+'Necesidades Trimestrales'!F41</f>
        <v>UNIDAD</v>
      </c>
      <c r="J43" s="20">
        <f>+'Necesidades Trimestrales'!H41</f>
        <v>640</v>
      </c>
      <c r="K43" s="21">
        <f>+'Necesidades Trimestrales'!G41</f>
        <v>10</v>
      </c>
    </row>
    <row r="44" spans="1:11" ht="29.25" customHeight="1" x14ac:dyDescent="0.25">
      <c r="A44" s="18">
        <f>+'Necesidades Trimestrales'!A42</f>
        <v>33</v>
      </c>
      <c r="B44" s="19" t="str">
        <f>+'Necesidades Trimestrales'!B42</f>
        <v>2.9.1-6961.9</v>
      </c>
      <c r="C44" s="124" t="str">
        <f>+'Necesidades Trimestrales'!E42</f>
        <v>ELEM. P/LIMPIEZA SANITARIOS; TIPO: PASTILLA DESODORANTE, PRESENTACION: CAJA X 24 UN</v>
      </c>
      <c r="D44" s="124"/>
      <c r="E44" s="124"/>
      <c r="F44" s="124"/>
      <c r="G44" s="124"/>
      <c r="H44" s="19" t="s">
        <v>59</v>
      </c>
      <c r="I44" s="19" t="str">
        <f>+'Necesidades Trimestrales'!F42</f>
        <v>UNIDAD</v>
      </c>
      <c r="J44" s="20">
        <f>+'Necesidades Trimestrales'!H42</f>
        <v>110</v>
      </c>
      <c r="K44" s="21">
        <f>+'Necesidades Trimestrales'!G42</f>
        <v>60</v>
      </c>
    </row>
    <row r="45" spans="1:11" ht="29.25" customHeight="1" x14ac:dyDescent="0.25">
      <c r="A45" s="18">
        <f>+'Necesidades Trimestrales'!A43</f>
        <v>34</v>
      </c>
      <c r="B45" s="19" t="str">
        <f>+'Necesidades Trimestrales'!B43</f>
        <v>2.9.1-6963.15</v>
      </c>
      <c r="C45" s="124" t="str">
        <f>+'Necesidades Trimestrales'!E43</f>
        <v>UTENSILLOS P/HIGIENE PERSONAL; TIPO: ALCOHOL EN GEL, PRESENTACION: ENVASE X 5 L</v>
      </c>
      <c r="D45" s="124"/>
      <c r="E45" s="124"/>
      <c r="F45" s="124"/>
      <c r="G45" s="124"/>
      <c r="H45" s="19" t="s">
        <v>59</v>
      </c>
      <c r="I45" s="19" t="str">
        <f>+'Necesidades Trimestrales'!F43</f>
        <v>UNIDAD</v>
      </c>
      <c r="J45" s="20">
        <f>+'Necesidades Trimestrales'!H43</f>
        <v>835</v>
      </c>
      <c r="K45" s="21">
        <f>+'Necesidades Trimestrales'!G43</f>
        <v>20</v>
      </c>
    </row>
    <row r="46" spans="1:11" ht="29.25" customHeight="1" x14ac:dyDescent="0.25">
      <c r="A46" s="18">
        <f>+'Necesidades Trimestrales'!A44</f>
        <v>35</v>
      </c>
      <c r="B46" s="19" t="str">
        <f>+'Necesidades Trimestrales'!B44</f>
        <v>2.9.1-713.19</v>
      </c>
      <c r="C46" s="124" t="str">
        <f>+'Necesidades Trimestrales'!E44</f>
        <v>TRAPOS DE PISO; DIMENSION: 40 X 60 Cm, RECICLADO: SIN VALOR</v>
      </c>
      <c r="D46" s="124"/>
      <c r="E46" s="124"/>
      <c r="F46" s="124"/>
      <c r="G46" s="124"/>
      <c r="H46" s="19" t="s">
        <v>59</v>
      </c>
      <c r="I46" s="19" t="str">
        <f>+'Necesidades Trimestrales'!F44</f>
        <v>UNIDAD</v>
      </c>
      <c r="J46" s="20">
        <f>+'Necesidades Trimestrales'!H44</f>
        <v>120</v>
      </c>
      <c r="K46" s="21">
        <f>+'Necesidades Trimestrales'!G44</f>
        <v>40</v>
      </c>
    </row>
    <row r="47" spans="1:11" ht="29.25" customHeight="1" x14ac:dyDescent="0.25">
      <c r="A47" s="18">
        <f>+'Necesidades Trimestrales'!A45</f>
        <v>36</v>
      </c>
      <c r="B47" s="19" t="str">
        <f>+'Necesidades Trimestrales'!B45</f>
        <v>2.9.1-714.2</v>
      </c>
      <c r="C47" s="124" t="str">
        <f>+'Necesidades Trimestrales'!E45</f>
        <v>FRANELAS; DIMENSION: 50 X 50 Cm</v>
      </c>
      <c r="D47" s="124"/>
      <c r="E47" s="124"/>
      <c r="F47" s="124"/>
      <c r="G47" s="124"/>
      <c r="H47" s="19" t="s">
        <v>59</v>
      </c>
      <c r="I47" s="19" t="str">
        <f>+'Necesidades Trimestrales'!F45</f>
        <v>UNIDAD</v>
      </c>
      <c r="J47" s="20">
        <f>+'Necesidades Trimestrales'!H45</f>
        <v>110</v>
      </c>
      <c r="K47" s="21">
        <f>+'Necesidades Trimestrales'!G45</f>
        <v>20</v>
      </c>
    </row>
    <row r="48" spans="1:11" ht="29.25" customHeight="1" x14ac:dyDescent="0.25">
      <c r="A48" s="18">
        <f>+'Necesidades Trimestrales'!A46</f>
        <v>37</v>
      </c>
      <c r="B48" s="19" t="str">
        <f>+'Necesidades Trimestrales'!B46</f>
        <v>2.9.1-761.2</v>
      </c>
      <c r="C48" s="124" t="str">
        <f>+'Necesidades Trimestrales'!E46</f>
        <v>GUANTES P/LIMPIEZA; MATERIAL: LATEX, TAMAÑO: MEDIANO</v>
      </c>
      <c r="D48" s="124"/>
      <c r="E48" s="124"/>
      <c r="F48" s="124"/>
      <c r="G48" s="124"/>
      <c r="H48" s="19" t="s">
        <v>59</v>
      </c>
      <c r="I48" s="19" t="str">
        <f>+'Necesidades Trimestrales'!F46</f>
        <v>UNIDAD</v>
      </c>
      <c r="J48" s="20">
        <f>+'Necesidades Trimestrales'!H46</f>
        <v>195</v>
      </c>
      <c r="K48" s="21">
        <f>+'Necesidades Trimestrales'!G46</f>
        <v>30</v>
      </c>
    </row>
    <row r="49" spans="1:11" ht="29.25" customHeight="1" x14ac:dyDescent="0.25">
      <c r="A49" s="18">
        <f>+'Necesidades Trimestrales'!A47</f>
        <v>38</v>
      </c>
      <c r="B49" s="19" t="str">
        <f>+'Necesidades Trimestrales'!B47</f>
        <v>2.9.1-8853.3</v>
      </c>
      <c r="C49" s="124" t="str">
        <f>+'Necesidades Trimestrales'!E47</f>
        <v>MOPAS; LARGO MANGO: 1 M, MATERIAL: ALGODON</v>
      </c>
      <c r="D49" s="124"/>
      <c r="E49" s="124"/>
      <c r="F49" s="124"/>
      <c r="G49" s="124"/>
      <c r="H49" s="19" t="s">
        <v>59</v>
      </c>
      <c r="I49" s="19" t="str">
        <f>+'Necesidades Trimestrales'!F47</f>
        <v>UNIDAD</v>
      </c>
      <c r="J49" s="20">
        <f>+'Necesidades Trimestrales'!H47</f>
        <v>385</v>
      </c>
      <c r="K49" s="21">
        <f>+'Necesidades Trimestrales'!G47</f>
        <v>15</v>
      </c>
    </row>
    <row r="50" spans="1:11" ht="29.25" customHeight="1" x14ac:dyDescent="0.25">
      <c r="A50" s="18">
        <f>+'Necesidades Trimestrales'!A48</f>
        <v>39</v>
      </c>
      <c r="B50" s="19" t="str">
        <f>+'Necesidades Trimestrales'!B48</f>
        <v>2.9.9-3916.2</v>
      </c>
      <c r="C50" s="124" t="str">
        <f>+'Necesidades Trimestrales'!E48</f>
        <v>DISPENSADOR P/TOALLA DE PAPEL; MATERIAL: ACRILICO, DIMENSION: 38 X 23 X 10 Cm, CAPACIDAD: 200, APERTURA: 22 Cm</v>
      </c>
      <c r="D50" s="124"/>
      <c r="E50" s="124"/>
      <c r="F50" s="124"/>
      <c r="G50" s="124"/>
      <c r="H50" s="19" t="s">
        <v>59</v>
      </c>
      <c r="I50" s="19" t="str">
        <f>+'Necesidades Trimestrales'!F48</f>
        <v>UNIDAD</v>
      </c>
      <c r="J50" s="20">
        <f>+'Necesidades Trimestrales'!H48</f>
        <v>958</v>
      </c>
      <c r="K50" s="21">
        <f>+'Necesidades Trimestrales'!G48</f>
        <v>10</v>
      </c>
    </row>
    <row r="51" spans="1:11" ht="29.25" customHeight="1" x14ac:dyDescent="0.25">
      <c r="A51" s="18">
        <f>+'Necesidades Trimestrales'!A49</f>
        <v>40</v>
      </c>
      <c r="B51" s="19" t="str">
        <f>+'Necesidades Trimestrales'!B49</f>
        <v>2.9.9-3916.13</v>
      </c>
      <c r="C51" s="124" t="str">
        <f>+'Necesidades Trimestrales'!E49</f>
        <v>DISPENSADOR P/TOALLA DE PAPEL; MATERIAL: ACRILICO, DIMENSION: 30 X 30 X 21 Cm, CAPACIDAD: ROLLO X 400 M, APERTURA: 20 Cm</v>
      </c>
      <c r="D51" s="124"/>
      <c r="E51" s="124"/>
      <c r="F51" s="124"/>
      <c r="G51" s="124"/>
      <c r="H51" s="19" t="s">
        <v>59</v>
      </c>
      <c r="I51" s="19" t="str">
        <f>+'Necesidades Trimestrales'!F49</f>
        <v>UNIDAD</v>
      </c>
      <c r="J51" s="20">
        <f>+'Necesidades Trimestrales'!H49</f>
        <v>1939</v>
      </c>
      <c r="K51" s="21">
        <f>+'Necesidades Trimestrales'!G49</f>
        <v>5</v>
      </c>
    </row>
    <row r="52" spans="1:11" ht="29.25" customHeight="1" thickBot="1" x14ac:dyDescent="0.3">
      <c r="A52" s="18">
        <f>+'Necesidades Trimestrales'!A50</f>
        <v>41</v>
      </c>
      <c r="B52" s="19" t="str">
        <f>+'Necesidades Trimestrales'!B50</f>
        <v>2.9.9-3919.2</v>
      </c>
      <c r="C52" s="124" t="str">
        <f>+'Necesidades Trimestrales'!E50</f>
        <v>DISPENSADOR P/JABON LIQUIDO; MATERIAL: ACRILICO IRROMPIBLE, DIMENSION: 23 X 38 X 7,5 Cm, CAPACIDAD: 375 UN, ACCIONAMIENTO: P/MANOS</v>
      </c>
      <c r="D52" s="124"/>
      <c r="E52" s="124"/>
      <c r="F52" s="124"/>
      <c r="G52" s="124"/>
      <c r="H52" s="19" t="s">
        <v>59</v>
      </c>
      <c r="I52" s="19" t="str">
        <f>+'Necesidades Trimestrales'!F50</f>
        <v>UNIDAD</v>
      </c>
      <c r="J52" s="20">
        <f>+'Necesidades Trimestrales'!H50</f>
        <v>967</v>
      </c>
      <c r="K52" s="21">
        <f>+'Necesidades Trimestrales'!G50</f>
        <v>10</v>
      </c>
    </row>
    <row r="53" spans="1:11" ht="30.75" customHeight="1" thickBot="1" x14ac:dyDescent="0.3">
      <c r="A53" s="120" t="str">
        <f>+'Necesidades Trimestrales'!A51:H51</f>
        <v>COSTO ESTIMADO TOTAL: SON PESOS TRESCIENTOS SESENTA Y TRES MIL DOSCIENTOS OCHENTA Y OCHO  CON 00/100</v>
      </c>
      <c r="B53" s="121"/>
      <c r="C53" s="121"/>
      <c r="D53" s="121"/>
      <c r="E53" s="121"/>
      <c r="F53" s="121"/>
      <c r="G53" s="121"/>
      <c r="H53" s="121"/>
      <c r="I53" s="122"/>
      <c r="J53" s="119">
        <f>SUMPRODUCT(J12:J52,K12:K52)</f>
        <v>363288</v>
      </c>
      <c r="K53" s="119"/>
    </row>
  </sheetData>
  <mergeCells count="63">
    <mergeCell ref="C46:G4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5:G25"/>
    <mergeCell ref="C26:G26"/>
    <mergeCell ref="C28:G28"/>
    <mergeCell ref="C29:G29"/>
    <mergeCell ref="C43:G43"/>
    <mergeCell ref="C44:G44"/>
    <mergeCell ref="C30:G30"/>
    <mergeCell ref="C31:G31"/>
    <mergeCell ref="C32:G32"/>
    <mergeCell ref="C33:G33"/>
    <mergeCell ref="C34:G34"/>
    <mergeCell ref="C35:G35"/>
    <mergeCell ref="C36:G36"/>
    <mergeCell ref="C37:G37"/>
    <mergeCell ref="C45:G45"/>
    <mergeCell ref="C42:G42"/>
    <mergeCell ref="C38:G38"/>
    <mergeCell ref="C39:G39"/>
    <mergeCell ref="C40:G40"/>
    <mergeCell ref="C41:G41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  <mergeCell ref="J53:K53"/>
    <mergeCell ref="A53:I53"/>
    <mergeCell ref="B10:B11"/>
    <mergeCell ref="C10:G11"/>
    <mergeCell ref="H10:H11"/>
    <mergeCell ref="I10:I11"/>
    <mergeCell ref="J10:J11"/>
    <mergeCell ref="C52:G52"/>
    <mergeCell ref="C47:G47"/>
    <mergeCell ref="C48:G48"/>
    <mergeCell ref="C49:G49"/>
    <mergeCell ref="C50:G50"/>
    <mergeCell ref="C51:G51"/>
    <mergeCell ref="C23:G23"/>
    <mergeCell ref="C24:G24"/>
    <mergeCell ref="C27:G2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1"/>
  <sheetViews>
    <sheetView topLeftCell="A13" zoomScale="115" zoomScaleNormal="115" workbookViewId="0">
      <selection activeCell="S21" sqref="S21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5" width="14.85546875" style="1" customWidth="1"/>
    <col min="16" max="16" width="17" style="1" customWidth="1"/>
    <col min="17" max="17" width="14.7109375" style="1" customWidth="1"/>
    <col min="18" max="18" width="16.42578125" style="1" customWidth="1"/>
    <col min="19" max="16384" width="11" style="1"/>
  </cols>
  <sheetData>
    <row r="1" spans="1:17" ht="15.75" customHeight="1" thickBot="1" x14ac:dyDescent="0.3">
      <c r="A1" s="168" t="s">
        <v>3</v>
      </c>
      <c r="B1" s="169"/>
      <c r="C1" s="169"/>
      <c r="D1" s="170">
        <f>'Necesidades Trimestrales'!C6</f>
        <v>2021</v>
      </c>
      <c r="E1" s="171"/>
      <c r="F1" s="3"/>
      <c r="G1" s="3"/>
      <c r="H1" s="4"/>
      <c r="I1" s="4"/>
      <c r="J1" s="4"/>
      <c r="K1" s="4"/>
      <c r="L1" s="4"/>
      <c r="M1" s="4"/>
      <c r="N1" s="4"/>
      <c r="P1" s="172" t="s">
        <v>27</v>
      </c>
      <c r="Q1" s="173"/>
    </row>
    <row r="2" spans="1:17" ht="15.75" customHeight="1" thickBot="1" x14ac:dyDescent="0.3">
      <c r="H2" s="4"/>
      <c r="I2" s="4"/>
      <c r="J2" s="4"/>
      <c r="K2" s="4"/>
      <c r="L2" s="4"/>
      <c r="M2" s="4"/>
      <c r="N2" s="4"/>
      <c r="P2" s="174"/>
      <c r="Q2" s="175"/>
    </row>
    <row r="3" spans="1:17" ht="14.25" thickBot="1" x14ac:dyDescent="0.3"/>
    <row r="4" spans="1:17" ht="18" customHeight="1" thickBot="1" x14ac:dyDescent="0.35">
      <c r="A4" s="176" t="s">
        <v>28</v>
      </c>
      <c r="B4" s="177"/>
      <c r="C4" s="177"/>
      <c r="D4" s="177"/>
      <c r="E4" s="177"/>
      <c r="F4" s="178"/>
      <c r="G4" s="179" t="str">
        <f>' NotaPedido'!D3</f>
        <v>12 -Ministerio de Trabajo y Recursos Humanos</v>
      </c>
      <c r="H4" s="180"/>
      <c r="I4" s="180"/>
      <c r="J4" s="180"/>
      <c r="K4" s="180"/>
      <c r="L4" s="180"/>
      <c r="M4" s="180"/>
      <c r="N4" s="180"/>
      <c r="O4" s="180"/>
      <c r="P4" s="180"/>
      <c r="Q4" s="181"/>
    </row>
    <row r="5" spans="1:17" ht="18" customHeight="1" thickBot="1" x14ac:dyDescent="0.35">
      <c r="A5" s="190" t="s">
        <v>50</v>
      </c>
      <c r="B5" s="191"/>
      <c r="C5" s="191"/>
      <c r="D5" s="191"/>
      <c r="E5" s="191"/>
      <c r="F5" s="192"/>
      <c r="G5" s="179" t="str">
        <f>' NotaPedido'!D4</f>
        <v>22 - Secretaria de Administración del Ministerio de Trabajo y Recursos Humanos</v>
      </c>
      <c r="H5" s="180"/>
      <c r="I5" s="180"/>
      <c r="J5" s="180"/>
      <c r="K5" s="180"/>
      <c r="L5" s="180"/>
      <c r="M5" s="180"/>
      <c r="N5" s="180"/>
      <c r="O5" s="180"/>
      <c r="P5" s="180"/>
      <c r="Q5" s="181"/>
    </row>
    <row r="6" spans="1:17" ht="18" customHeight="1" thickBot="1" x14ac:dyDescent="0.35">
      <c r="A6" s="190" t="s">
        <v>29</v>
      </c>
      <c r="B6" s="191"/>
      <c r="C6" s="191"/>
      <c r="D6" s="191"/>
      <c r="E6" s="191"/>
      <c r="F6" s="192"/>
      <c r="G6" s="179" t="s">
        <v>56</v>
      </c>
      <c r="H6" s="180"/>
      <c r="I6" s="180"/>
      <c r="J6" s="180"/>
      <c r="K6" s="180"/>
      <c r="L6" s="180"/>
      <c r="M6" s="180"/>
      <c r="N6" s="180"/>
      <c r="O6" s="180"/>
      <c r="P6" s="180"/>
      <c r="Q6" s="181"/>
    </row>
    <row r="7" spans="1:17" ht="18" customHeight="1" thickBot="1" x14ac:dyDescent="0.35">
      <c r="A7" s="190" t="s">
        <v>51</v>
      </c>
      <c r="B7" s="191"/>
      <c r="C7" s="191"/>
      <c r="D7" s="191"/>
      <c r="E7" s="191"/>
      <c r="F7" s="192"/>
      <c r="G7" s="179" t="str">
        <f>' NotaPedido'!D6</f>
        <v xml:space="preserve">Secretaria de Administracion </v>
      </c>
      <c r="H7" s="180"/>
      <c r="I7" s="180"/>
      <c r="J7" s="180"/>
      <c r="K7" s="180"/>
      <c r="L7" s="180"/>
      <c r="M7" s="180"/>
      <c r="N7" s="180"/>
      <c r="O7" s="180"/>
      <c r="P7" s="180"/>
      <c r="Q7" s="181"/>
    </row>
    <row r="8" spans="1:17" ht="18" customHeight="1" thickBot="1" x14ac:dyDescent="0.3">
      <c r="A8" s="193" t="s">
        <v>52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5"/>
    </row>
    <row r="9" spans="1:17" ht="18" customHeight="1" x14ac:dyDescent="0.3">
      <c r="A9" s="182" t="s">
        <v>30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2"/>
      <c r="P9" s="2"/>
      <c r="Q9" s="6"/>
    </row>
    <row r="10" spans="1:17" ht="65.25" customHeight="1" x14ac:dyDescent="0.25">
      <c r="A10" s="18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007/2021,  afectando la erogación resultante a los créditos presupuestarios aprobados a favor de esta Unidad Ejecutora, conforme al siguiente detalle: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6"/>
    </row>
    <row r="11" spans="1:17" ht="9" customHeight="1" thickBot="1" x14ac:dyDescent="0.3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3">
      <c r="A12" s="187" t="s">
        <v>31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9"/>
    </row>
    <row r="13" spans="1:17" ht="15.75" customHeight="1" thickBot="1" x14ac:dyDescent="0.3">
      <c r="A13" s="151" t="s">
        <v>32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4" t="s">
        <v>33</v>
      </c>
      <c r="P13" s="155"/>
      <c r="Q13" s="158" t="s">
        <v>34</v>
      </c>
    </row>
    <row r="14" spans="1:17" ht="15.75" customHeight="1" thickBot="1" x14ac:dyDescent="0.3">
      <c r="A14" s="44" t="s">
        <v>35</v>
      </c>
      <c r="B14" s="45" t="s">
        <v>36</v>
      </c>
      <c r="C14" s="45" t="s">
        <v>37</v>
      </c>
      <c r="D14" s="45" t="s">
        <v>38</v>
      </c>
      <c r="E14" s="45" t="s">
        <v>39</v>
      </c>
      <c r="F14" s="45" t="s">
        <v>40</v>
      </c>
      <c r="G14" s="46" t="s">
        <v>41</v>
      </c>
      <c r="H14" s="45" t="s">
        <v>42</v>
      </c>
      <c r="I14" s="45" t="s">
        <v>43</v>
      </c>
      <c r="J14" s="45" t="s">
        <v>44</v>
      </c>
      <c r="K14" s="45" t="s">
        <v>44</v>
      </c>
      <c r="L14" s="45" t="s">
        <v>45</v>
      </c>
      <c r="M14" s="47" t="s">
        <v>46</v>
      </c>
      <c r="N14" s="48" t="s">
        <v>47</v>
      </c>
      <c r="O14" s="156"/>
      <c r="P14" s="157"/>
      <c r="Q14" s="159"/>
    </row>
    <row r="15" spans="1:17" ht="17.25" customHeight="1" x14ac:dyDescent="0.25">
      <c r="A15" s="49">
        <v>1</v>
      </c>
      <c r="B15" s="50">
        <v>0</v>
      </c>
      <c r="C15" s="50">
        <v>0</v>
      </c>
      <c r="D15" s="50">
        <v>1</v>
      </c>
      <c r="E15" s="50">
        <v>0</v>
      </c>
      <c r="F15" s="50">
        <v>4901</v>
      </c>
      <c r="G15" s="50">
        <v>3</v>
      </c>
      <c r="H15" s="50">
        <v>6</v>
      </c>
      <c r="I15" s="50">
        <v>2</v>
      </c>
      <c r="J15" s="50">
        <v>3</v>
      </c>
      <c r="K15" s="50">
        <v>4</v>
      </c>
      <c r="L15" s="50">
        <v>0</v>
      </c>
      <c r="M15" s="50">
        <v>1</v>
      </c>
      <c r="N15" s="50" t="s">
        <v>53</v>
      </c>
      <c r="O15" s="166" t="s">
        <v>152</v>
      </c>
      <c r="P15" s="167"/>
      <c r="Q15" s="51">
        <v>18130</v>
      </c>
    </row>
    <row r="16" spans="1:17" ht="17.25" customHeight="1" x14ac:dyDescent="0.25">
      <c r="A16" s="52">
        <v>1</v>
      </c>
      <c r="B16" s="43">
        <v>0</v>
      </c>
      <c r="C16" s="43">
        <v>0</v>
      </c>
      <c r="D16" s="43">
        <v>1</v>
      </c>
      <c r="E16" s="43">
        <v>0</v>
      </c>
      <c r="F16" s="43">
        <v>4901</v>
      </c>
      <c r="G16" s="43">
        <v>3</v>
      </c>
      <c r="H16" s="43">
        <v>6</v>
      </c>
      <c r="I16" s="43">
        <v>2</v>
      </c>
      <c r="J16" s="43">
        <v>5</v>
      </c>
      <c r="K16" s="43">
        <v>4</v>
      </c>
      <c r="L16" s="43">
        <v>0</v>
      </c>
      <c r="M16" s="43">
        <v>1</v>
      </c>
      <c r="N16" s="43" t="s">
        <v>53</v>
      </c>
      <c r="O16" s="149" t="s">
        <v>153</v>
      </c>
      <c r="P16" s="150"/>
      <c r="Q16" s="53">
        <v>34000</v>
      </c>
    </row>
    <row r="17" spans="1:18" ht="17.25" customHeight="1" x14ac:dyDescent="0.25">
      <c r="A17" s="52">
        <v>1</v>
      </c>
      <c r="B17" s="43">
        <v>0</v>
      </c>
      <c r="C17" s="43">
        <v>0</v>
      </c>
      <c r="D17" s="43">
        <v>1</v>
      </c>
      <c r="E17" s="43">
        <v>0</v>
      </c>
      <c r="F17" s="43">
        <v>4901</v>
      </c>
      <c r="G17" s="43">
        <v>3</v>
      </c>
      <c r="H17" s="43">
        <v>6</v>
      </c>
      <c r="I17" s="43">
        <v>2</v>
      </c>
      <c r="J17" s="43">
        <v>9</v>
      </c>
      <c r="K17" s="43">
        <v>1</v>
      </c>
      <c r="L17" s="43">
        <v>0</v>
      </c>
      <c r="M17" s="43">
        <v>1</v>
      </c>
      <c r="N17" s="43" t="s">
        <v>53</v>
      </c>
      <c r="O17" s="146" t="s">
        <v>154</v>
      </c>
      <c r="P17" s="146"/>
      <c r="Q17" s="53">
        <v>142213</v>
      </c>
      <c r="R17" s="42"/>
    </row>
    <row r="18" spans="1:18" ht="27" customHeight="1" x14ac:dyDescent="0.25">
      <c r="A18" s="52">
        <v>1</v>
      </c>
      <c r="B18" s="43">
        <v>0</v>
      </c>
      <c r="C18" s="43">
        <v>0</v>
      </c>
      <c r="D18" s="43">
        <v>1</v>
      </c>
      <c r="E18" s="43">
        <v>0</v>
      </c>
      <c r="F18" s="43">
        <v>4901</v>
      </c>
      <c r="G18" s="43">
        <v>3</v>
      </c>
      <c r="H18" s="43">
        <v>6</v>
      </c>
      <c r="I18" s="43">
        <v>2</v>
      </c>
      <c r="J18" s="43">
        <v>9</v>
      </c>
      <c r="K18" s="43">
        <v>9</v>
      </c>
      <c r="L18" s="43">
        <v>0</v>
      </c>
      <c r="M18" s="43">
        <v>1</v>
      </c>
      <c r="N18" s="43" t="s">
        <v>53</v>
      </c>
      <c r="O18" s="147" t="s">
        <v>155</v>
      </c>
      <c r="P18" s="148"/>
      <c r="Q18" s="53">
        <v>16470</v>
      </c>
    </row>
    <row r="19" spans="1:18" ht="17.25" customHeight="1" x14ac:dyDescent="0.25">
      <c r="A19" s="52">
        <v>2</v>
      </c>
      <c r="B19" s="43">
        <v>0</v>
      </c>
      <c r="C19" s="43">
        <v>0</v>
      </c>
      <c r="D19" s="43">
        <v>1</v>
      </c>
      <c r="E19" s="43">
        <v>0</v>
      </c>
      <c r="F19" s="43">
        <v>4901</v>
      </c>
      <c r="G19" s="43">
        <v>3</v>
      </c>
      <c r="H19" s="43">
        <v>6</v>
      </c>
      <c r="I19" s="43">
        <v>2</v>
      </c>
      <c r="J19" s="43">
        <v>9</v>
      </c>
      <c r="K19" s="43">
        <v>1</v>
      </c>
      <c r="L19" s="43">
        <v>0</v>
      </c>
      <c r="M19" s="43">
        <v>1</v>
      </c>
      <c r="N19" s="43" t="s">
        <v>53</v>
      </c>
      <c r="O19" s="146" t="s">
        <v>154</v>
      </c>
      <c r="P19" s="146"/>
      <c r="Q19" s="53">
        <v>50000</v>
      </c>
      <c r="R19" s="42"/>
    </row>
    <row r="20" spans="1:18" ht="24" customHeight="1" x14ac:dyDescent="0.25">
      <c r="A20" s="52">
        <v>3</v>
      </c>
      <c r="B20" s="43">
        <v>0</v>
      </c>
      <c r="C20" s="43">
        <v>0</v>
      </c>
      <c r="D20" s="43">
        <v>1</v>
      </c>
      <c r="E20" s="43">
        <v>0</v>
      </c>
      <c r="F20" s="43">
        <v>4901</v>
      </c>
      <c r="G20" s="43">
        <v>1</v>
      </c>
      <c r="H20" s="43">
        <v>3</v>
      </c>
      <c r="I20" s="43">
        <v>2</v>
      </c>
      <c r="J20" s="43">
        <v>9</v>
      </c>
      <c r="K20" s="43">
        <v>1</v>
      </c>
      <c r="L20" s="43">
        <v>0</v>
      </c>
      <c r="M20" s="43">
        <v>1</v>
      </c>
      <c r="N20" s="43" t="s">
        <v>53</v>
      </c>
      <c r="O20" s="146" t="s">
        <v>154</v>
      </c>
      <c r="P20" s="146"/>
      <c r="Q20" s="53">
        <v>50000</v>
      </c>
    </row>
    <row r="21" spans="1:18" ht="29.25" customHeight="1" x14ac:dyDescent="0.25">
      <c r="A21" s="52">
        <v>3</v>
      </c>
      <c r="B21" s="43">
        <v>0</v>
      </c>
      <c r="C21" s="43">
        <v>0</v>
      </c>
      <c r="D21" s="43">
        <v>1</v>
      </c>
      <c r="E21" s="43">
        <v>0</v>
      </c>
      <c r="F21" s="43">
        <v>4901</v>
      </c>
      <c r="G21" s="43">
        <v>1</v>
      </c>
      <c r="H21" s="43">
        <v>3</v>
      </c>
      <c r="I21" s="43">
        <v>2</v>
      </c>
      <c r="J21" s="43">
        <v>9</v>
      </c>
      <c r="K21" s="43">
        <v>9</v>
      </c>
      <c r="L21" s="43">
        <v>0</v>
      </c>
      <c r="M21" s="43">
        <v>1</v>
      </c>
      <c r="N21" s="43" t="s">
        <v>53</v>
      </c>
      <c r="O21" s="147" t="s">
        <v>155</v>
      </c>
      <c r="P21" s="148"/>
      <c r="Q21" s="53">
        <v>8750</v>
      </c>
      <c r="R21" s="42"/>
    </row>
    <row r="22" spans="1:18" ht="20.25" customHeight="1" x14ac:dyDescent="0.25">
      <c r="A22" s="52">
        <v>4</v>
      </c>
      <c r="B22" s="43">
        <v>0</v>
      </c>
      <c r="C22" s="43">
        <v>0</v>
      </c>
      <c r="D22" s="43">
        <v>1</v>
      </c>
      <c r="E22" s="43">
        <v>0</v>
      </c>
      <c r="F22" s="43">
        <v>4901</v>
      </c>
      <c r="G22" s="43">
        <v>3</v>
      </c>
      <c r="H22" s="43">
        <v>4</v>
      </c>
      <c r="I22" s="43">
        <v>2</v>
      </c>
      <c r="J22" s="43">
        <v>9</v>
      </c>
      <c r="K22" s="43">
        <v>1</v>
      </c>
      <c r="L22" s="43">
        <v>0</v>
      </c>
      <c r="M22" s="43">
        <v>1</v>
      </c>
      <c r="N22" s="43" t="s">
        <v>53</v>
      </c>
      <c r="O22" s="146" t="s">
        <v>154</v>
      </c>
      <c r="P22" s="146"/>
      <c r="Q22" s="53">
        <v>20000</v>
      </c>
    </row>
    <row r="23" spans="1:18" ht="29.25" customHeight="1" x14ac:dyDescent="0.25">
      <c r="A23" s="52">
        <v>5</v>
      </c>
      <c r="B23" s="43">
        <v>0</v>
      </c>
      <c r="C23" s="43">
        <v>0</v>
      </c>
      <c r="D23" s="43">
        <v>1</v>
      </c>
      <c r="E23" s="43">
        <v>0</v>
      </c>
      <c r="F23" s="43">
        <v>4901</v>
      </c>
      <c r="G23" s="43">
        <v>3</v>
      </c>
      <c r="H23" s="43">
        <v>6</v>
      </c>
      <c r="I23" s="43">
        <v>2</v>
      </c>
      <c r="J23" s="43">
        <v>9</v>
      </c>
      <c r="K23" s="43">
        <v>9</v>
      </c>
      <c r="L23" s="43">
        <v>0</v>
      </c>
      <c r="M23" s="43">
        <v>1</v>
      </c>
      <c r="N23" s="43" t="s">
        <v>53</v>
      </c>
      <c r="O23" s="146" t="s">
        <v>155</v>
      </c>
      <c r="P23" s="146"/>
      <c r="Q23" s="53">
        <v>1835</v>
      </c>
    </row>
    <row r="24" spans="1:18" ht="20.25" customHeight="1" x14ac:dyDescent="0.25">
      <c r="A24" s="52">
        <v>6</v>
      </c>
      <c r="B24" s="43">
        <v>0</v>
      </c>
      <c r="C24" s="43">
        <v>0</v>
      </c>
      <c r="D24" s="43">
        <v>1</v>
      </c>
      <c r="E24" s="43">
        <v>0</v>
      </c>
      <c r="F24" s="43">
        <v>4901</v>
      </c>
      <c r="G24" s="43">
        <v>1</v>
      </c>
      <c r="H24" s="43">
        <v>3</v>
      </c>
      <c r="I24" s="43">
        <v>2</v>
      </c>
      <c r="J24" s="43">
        <v>9</v>
      </c>
      <c r="K24" s="43">
        <v>1</v>
      </c>
      <c r="L24" s="43">
        <v>0</v>
      </c>
      <c r="M24" s="43">
        <v>1</v>
      </c>
      <c r="N24" s="43" t="s">
        <v>53</v>
      </c>
      <c r="O24" s="146" t="s">
        <v>154</v>
      </c>
      <c r="P24" s="146"/>
      <c r="Q24" s="53">
        <v>10000</v>
      </c>
    </row>
    <row r="25" spans="1:18" ht="20.25" customHeight="1" x14ac:dyDescent="0.25">
      <c r="A25" s="52">
        <v>7</v>
      </c>
      <c r="B25" s="43">
        <v>0</v>
      </c>
      <c r="C25" s="43">
        <v>0</v>
      </c>
      <c r="D25" s="43">
        <v>1</v>
      </c>
      <c r="E25" s="43">
        <v>0</v>
      </c>
      <c r="F25" s="43">
        <v>4901</v>
      </c>
      <c r="G25" s="43">
        <v>1</v>
      </c>
      <c r="H25" s="43">
        <v>3</v>
      </c>
      <c r="I25" s="43">
        <v>2</v>
      </c>
      <c r="J25" s="43">
        <v>9</v>
      </c>
      <c r="K25" s="43">
        <v>1</v>
      </c>
      <c r="L25" s="43">
        <v>0</v>
      </c>
      <c r="M25" s="43">
        <v>1</v>
      </c>
      <c r="N25" s="43" t="s">
        <v>53</v>
      </c>
      <c r="O25" s="146" t="s">
        <v>154</v>
      </c>
      <c r="P25" s="146"/>
      <c r="Q25" s="53">
        <v>10000</v>
      </c>
    </row>
    <row r="26" spans="1:18" ht="29.25" customHeight="1" thickBot="1" x14ac:dyDescent="0.3">
      <c r="A26" s="54">
        <v>8</v>
      </c>
      <c r="B26" s="55">
        <v>0</v>
      </c>
      <c r="C26" s="55">
        <v>0</v>
      </c>
      <c r="D26" s="55">
        <v>1</v>
      </c>
      <c r="E26" s="55">
        <v>0</v>
      </c>
      <c r="F26" s="55">
        <v>4901</v>
      </c>
      <c r="G26" s="55">
        <v>3</v>
      </c>
      <c r="H26" s="55">
        <v>6</v>
      </c>
      <c r="I26" s="55">
        <v>2</v>
      </c>
      <c r="J26" s="55">
        <v>9</v>
      </c>
      <c r="K26" s="55">
        <v>9</v>
      </c>
      <c r="L26" s="55">
        <v>0</v>
      </c>
      <c r="M26" s="55">
        <v>1</v>
      </c>
      <c r="N26" s="55" t="s">
        <v>53</v>
      </c>
      <c r="O26" s="145" t="s">
        <v>155</v>
      </c>
      <c r="P26" s="145"/>
      <c r="Q26" s="56">
        <v>1890</v>
      </c>
      <c r="R26" s="42"/>
    </row>
    <row r="27" spans="1:18" ht="28.5" customHeight="1" thickBot="1" x14ac:dyDescent="0.3">
      <c r="A27" s="139" t="str">
        <f>+' NotaPedido'!A53:I53</f>
        <v>COSTO ESTIMADO TOTAL: SON PESOS TRESCIENTOS SESENTA Y TRES MIL DOSCIENTOS OCHENTA Y OCHO  CON 00/100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1"/>
      <c r="Q27" s="105">
        <f>SUM(Q15:Q26)</f>
        <v>363288</v>
      </c>
      <c r="R27" s="42"/>
    </row>
    <row r="28" spans="1:18" ht="18" customHeight="1" thickBot="1" x14ac:dyDescent="0.3">
      <c r="A28" s="142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4"/>
    </row>
    <row r="29" spans="1:18" ht="17.25" customHeight="1" thickBot="1" x14ac:dyDescent="0.3">
      <c r="A29" s="160" t="s">
        <v>48</v>
      </c>
      <c r="B29" s="161"/>
      <c r="C29" s="161"/>
      <c r="D29" s="161"/>
      <c r="E29" s="161"/>
      <c r="F29" s="162"/>
      <c r="G29" s="163"/>
      <c r="H29" s="164"/>
      <c r="I29" s="164"/>
      <c r="J29" s="164"/>
      <c r="K29" s="164"/>
      <c r="L29" s="164"/>
      <c r="M29" s="164"/>
      <c r="N29" s="164"/>
      <c r="O29" s="164"/>
      <c r="P29" s="164"/>
      <c r="Q29" s="165"/>
    </row>
    <row r="30" spans="1:18" ht="18" customHeight="1" x14ac:dyDescent="0.25">
      <c r="A30" s="133" t="str">
        <f>' NotaPedido'!D8</f>
        <v>Adquisición de ELEMENTOS DE LIMPIEZA para las distintas dependencias de este Ministerio.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5"/>
    </row>
    <row r="31" spans="1:18" ht="15" customHeight="1" thickBot="1" x14ac:dyDescent="0.3">
      <c r="A31" s="136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8"/>
    </row>
  </sheetData>
  <mergeCells count="35">
    <mergeCell ref="G6:Q6"/>
    <mergeCell ref="A7:F7"/>
    <mergeCell ref="G7:Q7"/>
    <mergeCell ref="Q13:Q14"/>
    <mergeCell ref="A29:F29"/>
    <mergeCell ref="G29:Q29"/>
    <mergeCell ref="O15:P15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O16:P16"/>
    <mergeCell ref="O24:P24"/>
    <mergeCell ref="O25:P25"/>
    <mergeCell ref="O23:P23"/>
    <mergeCell ref="A13:N13"/>
    <mergeCell ref="O13:P14"/>
    <mergeCell ref="O18:P18"/>
    <mergeCell ref="O21:P21"/>
    <mergeCell ref="O20:P20"/>
    <mergeCell ref="O19:P19"/>
    <mergeCell ref="O17:P17"/>
    <mergeCell ref="A30:Q31"/>
    <mergeCell ref="A27:P27"/>
    <mergeCell ref="A28:Q28"/>
    <mergeCell ref="O26:P26"/>
    <mergeCell ref="O22:P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dc:description/>
  <cp:lastModifiedBy>COMPRAS</cp:lastModifiedBy>
  <cp:revision>2</cp:revision>
  <cp:lastPrinted>2020-11-24T14:25:44Z</cp:lastPrinted>
  <dcterms:created xsi:type="dcterms:W3CDTF">2020-07-17T23:44:49Z</dcterms:created>
  <dcterms:modified xsi:type="dcterms:W3CDTF">2021-08-17T12:16:36Z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