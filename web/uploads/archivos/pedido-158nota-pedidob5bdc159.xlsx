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B7EE1F3-31BD-4A9E-8351-38B2E1314776}" xr6:coauthVersionLast="47" xr6:coauthVersionMax="47" xr10:uidLastSave="{00000000-0000-0000-0000-000000000000}"/>
  <bookViews>
    <workbookView xWindow="-120" yWindow="-120" windowWidth="29040" windowHeight="15840" tabRatio="703" xr2:uid="{00000000-000D-0000-FFFF-FFFF00000000}"/>
  </bookViews>
  <sheets>
    <sheet name=" NotaPedido" sheetId="9" r:id="rId1"/>
    <sheet name="Necesidades Trimestrales" sheetId="5" r:id="rId2"/>
    <sheet name="Autor Gastar" sheetId="3" r:id="rId3"/>
    <sheet name="Hoja1" sheetId="10" r:id="rId4"/>
  </sheets>
  <definedNames>
    <definedName name="_xlnm._FilterDatabase" localSheetId="1" hidden="1">'Necesidades Trimestrales'!$E$2:$E$63</definedName>
    <definedName name="_xlnm.Print_Area" localSheetId="0">' NotaPedido'!$A$1:$K$18</definedName>
    <definedName name="_xlnm.Print_Area" localSheetId="2">'Autor Gastar'!$A$1:$Q$27</definedName>
    <definedName name="_xlnm.Print_Area" localSheetId="1">'Necesidades Trimestrales'!$E$10</definedName>
  </definedNames>
  <calcPr calcId="181029"/>
</workbook>
</file>

<file path=xl/calcChain.xml><?xml version="1.0" encoding="utf-8"?>
<calcChain xmlns="http://schemas.openxmlformats.org/spreadsheetml/2006/main">
  <c r="E10" i="5" l="1"/>
  <c r="B10" i="5"/>
  <c r="I10" i="5"/>
  <c r="I11" i="5" s="1"/>
  <c r="I12" i="5" s="1"/>
  <c r="Q23" i="3" l="1"/>
</calcChain>
</file>

<file path=xl/sharedStrings.xml><?xml version="1.0" encoding="utf-8"?>
<sst xmlns="http://schemas.openxmlformats.org/spreadsheetml/2006/main" count="97" uniqueCount="88">
  <si>
    <t>Pedido de Necesidades Trimestrales</t>
  </si>
  <si>
    <t>JURISDICCION: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</si>
  <si>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</si>
  <si>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</si>
  <si>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</si>
  <si>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</si>
  <si>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</si>
  <si>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</si>
  <si>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</si>
  <si>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</si>
  <si>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</si>
  <si>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</si>
  <si>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</si>
  <si>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</si>
  <si>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</si>
  <si>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</si>
  <si>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</si>
  <si>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</si>
  <si>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</si>
  <si>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</si>
  <si>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</si>
  <si>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</si>
  <si>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</si>
  <si>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</si>
  <si>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</si>
  <si>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</si>
  <si>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</si>
  <si>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</si>
  <si>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</si>
  <si>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</si>
  <si>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</si>
  <si>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</si>
  <si>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</si>
  <si>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</si>
  <si>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</si>
  <si>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</si>
  <si>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</si>
  <si>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</si>
  <si>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</si>
  <si>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</si>
  <si>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</si>
  <si>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</si>
  <si>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</si>
  <si>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</si>
  <si>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</si>
  <si>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</si>
  <si>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</si>
  <si>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</si>
  <si>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</si>
  <si>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</si>
  <si>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</si>
  <si>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</si>
  <si>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</si>
  <si>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</si>
  <si>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</si>
  <si>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Secretaría de Planificación y Gestión en Salud</t>
  </si>
  <si>
    <t xml:space="preserve">SAF N°: </t>
  </si>
  <si>
    <t>011 - Direccion Provincial de Administración - Ministerio de Salud</t>
  </si>
  <si>
    <t>TOTAL DEL RUBRO</t>
  </si>
  <si>
    <t>TOTAL</t>
  </si>
  <si>
    <t>Especificidades Item N° 1</t>
  </si>
  <si>
    <t>Ver anexo I</t>
  </si>
  <si>
    <t>040 - Ministerio de Salud</t>
  </si>
  <si>
    <t>011- Dirección Provincial de Administración</t>
  </si>
  <si>
    <t xml:space="preserve">049 - Secretaría de Planificacio y Gestión en Salud </t>
  </si>
  <si>
    <t>Funcionamiento</t>
  </si>
  <si>
    <t>UNIDAD</t>
  </si>
  <si>
    <t xml:space="preserve">049 - Secretaría de Planificación y Gestión eb Salud </t>
  </si>
  <si>
    <t xml:space="preserve">Secretaría de Planificación y Gestión en Salud </t>
  </si>
  <si>
    <t>1.1</t>
  </si>
  <si>
    <t>Equipo Sanitario y de Laboratorio</t>
  </si>
  <si>
    <t>TOTAL DE PESOS: Setenta y Cuatro Millones con 00/100</t>
  </si>
  <si>
    <t>10 años</t>
  </si>
  <si>
    <t>SI</t>
  </si>
  <si>
    <t>21/2020</t>
  </si>
  <si>
    <t>040 - MINISTERIO DE SALUD</t>
  </si>
  <si>
    <t>Adquisición de Equipos Sanitarios (Mamógrafos Digitales) con destino a los Hospitales de los Departamentos Belén (Área Prog. 11) y Santa María (Área Prog. 12) dependeintes del Ministerio de Salud de la Provincia de Catamarca.</t>
  </si>
  <si>
    <t xml:space="preserve">DETECTOR DE SELENIO AMORFO (aSe) de 24 cm x 30cm aprox, RESOLUCION MINIMA DE PIXEL: 50 x 50 μm / pixel - Matriz de Imagen: 4728 x 5928 - Profundidad de bits de salida mínima: 16 bits o más; TRE DISPAROS MAXIMO DE 15 SEG.; 3 MODOS DE EXPOSICION DOFERENTES, FULL-AUTO, SEMI-AUTOMATICO Y MANUAL; EXPOSIMETRO ATUM. AEC; CON MAS DE 20 ZONAS DE MEDICION; SISTEMA AEC INTELIGENTE (iAEC); FUNCION DE DESCOMPRESION AUOTM.; WORKSTATION CONTORL RADIOLOGIOC EN PANTALLA; TUBO DE RX  Ánodo de Tungsteno -  Ánodo rotatorio, con filtro específico de Be. - Corriente del tubo de 20 a 200 mA en foco grueso y de  20 a 61 mA en foco fino -  Rango de mAs de tubo de RX (W): 2mAs a 600mAs en foco grueso, y 2mAs a 300mAs en foco fino - Voltaje kV rango nominal de operación: 22kV a 49kV, pasos de 1kV - Selección automática de combinaciones  Ánodo/Filtro - W/Rh - W/Al - Doble foco: Foco Fino / Foco Grueso -Potencia nominal máxima: 7 kW (35kVx200mA – 40ms); Especificaciones  Detector de RX: Método de captura: Conversión Directa - Material detector: Selenio Amorfo - Tamaño Sensor: 24cm x 30cm  Resolución mínima de pixel: 50 x 50 μm / pixel - Matriz de Imagen: 4728 x 5928 - Profundidad de bits de salida mínima: 16 bits o más - </t>
  </si>
  <si>
    <t>EQUIPOS</t>
  </si>
  <si>
    <t xml:space="preserve">12 meses </t>
  </si>
  <si>
    <t>Costo total estimado: SETENTA Y CUATRO MILLONES CON 00/100</t>
  </si>
  <si>
    <t>Autorizo la realización de los  trámites correspondientes, a fin de proveer a  este Organismo los bienes y/o servicios que se detallan en Nota de pedido y Entrega N° 021/2020,  afectando la erogación resultante a los créditos presupuestarios aprobados a favor de esta Unidad Ejecutora, conforme al siguiente detalle:</t>
  </si>
  <si>
    <t>4.3.3-4084.38</t>
  </si>
  <si>
    <t>EQUIPOS DE RAYOS X; USO: MAMOGRAFIA, FRECUENCIA: 120 KHZ, REGULACION: 22 - 49 Kv, AMPLIACION DE APLIQUE: 1,8 X, COMANDO: DIGITAL</t>
  </si>
  <si>
    <t>Plazo de entrega 30 dias hábiles</t>
  </si>
  <si>
    <t xml:space="preserve">Contacto de referencia aspectos técnicos: ING. SAUCEDO, Santiago - cel 3834-403800 </t>
  </si>
  <si>
    <t>45 días hábiles</t>
  </si>
  <si>
    <t>Lugar de entraga: Chacabuco N° 169 - Secretaría de Planificación y Gestión en Salud - Ministerio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</si>
</sst>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&quot;$ &quot;* #,##0.00_ ;_ &quot;$ &quot;* \-#,##0.00_ ;_ &quot;$ &quot;* \-??_ ;_ @_ "/>
    <numFmt numFmtId="170" formatCode="_-[$$-2C0A]\ * #,##0.00_-;\-[$$-2C0A]\ * #,##0.00_-;_-[$$-2C0A]\ * &quot;-&quot;??_-;_-@_-"/>
    <numFmt numFmtId="171" formatCode="_-&quot;$&quot;\ * #,##0.000_-;\-&quot;$&quot;\ * #,##0.000_-;_-&quot;$&quot;\ * &quot;-&quot;??_-;_-@_-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2">
    <xf numFmtId="0" fontId="0" fillId="0" borderId="0"/>
    <xf numFmtId="165" fontId="16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25" fillId="0" borderId="0"/>
    <xf numFmtId="169" fontId="26" fillId="0" borderId="0" applyBorder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</cellStyleXfs>
  <cellXfs count="196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5" fillId="0" borderId="44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center" wrapText="1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170" fontId="17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170" fontId="26" fillId="0" borderId="0" xfId="6" applyNumberFormat="1" applyAlignment="1">
      <alignment horizontal="right" vertical="center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 wrapText="1"/>
    </xf>
    <xf numFmtId="170" fontId="28" fillId="0" borderId="52" xfId="6" applyNumberFormat="1" applyFont="1" applyBorder="1" applyAlignment="1">
      <alignment horizontal="center" vertical="center" wrapText="1"/>
    </xf>
    <xf numFmtId="170" fontId="27" fillId="0" borderId="53" xfId="0" applyNumberFormat="1" applyFont="1" applyBorder="1" applyAlignment="1">
      <alignment horizontal="center" vertical="center" wrapText="1"/>
    </xf>
    <xf numFmtId="0" fontId="29" fillId="0" borderId="50" xfId="7" applyFont="1" applyFill="1" applyBorder="1" applyAlignment="1">
      <alignment horizontal="center" vertical="center" wrapText="1"/>
    </xf>
    <xf numFmtId="0" fontId="29" fillId="0" borderId="49" xfId="7" applyFont="1" applyFill="1" applyBorder="1" applyAlignment="1">
      <alignment horizontal="center" vertical="center" wrapText="1"/>
    </xf>
    <xf numFmtId="3" fontId="5" fillId="0" borderId="49" xfId="8" applyNumberFormat="1" applyFont="1" applyBorder="1" applyAlignment="1">
      <alignment horizontal="center" vertical="center"/>
    </xf>
    <xf numFmtId="170" fontId="29" fillId="0" borderId="53" xfId="6" applyNumberFormat="1" applyFont="1" applyFill="1" applyBorder="1" applyAlignment="1">
      <alignment horizontal="right" vertical="center" wrapText="1"/>
    </xf>
    <xf numFmtId="0" fontId="17" fillId="0" borderId="0" xfId="0" applyFont="1" applyFill="1"/>
    <xf numFmtId="0" fontId="2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170" fontId="33" fillId="0" borderId="57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3" fontId="5" fillId="0" borderId="0" xfId="7" applyNumberFormat="1" applyFont="1" applyBorder="1" applyAlignment="1">
      <alignment horizontal="center" vertical="center"/>
    </xf>
    <xf numFmtId="165" fontId="5" fillId="0" borderId="0" xfId="6" applyNumberFormat="1" applyFont="1" applyBorder="1" applyAlignment="1">
      <alignment horizontal="center" vertical="center" wrapText="1"/>
    </xf>
    <xf numFmtId="165" fontId="26" fillId="0" borderId="0" xfId="6" applyNumberFormat="1" applyFont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0" fontId="22" fillId="0" borderId="7" xfId="0" applyFont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44" fontId="26" fillId="4" borderId="17" xfId="1" applyNumberFormat="1" applyFont="1" applyFill="1" applyBorder="1" applyAlignment="1" applyProtection="1">
      <alignment horizontal="center" vertical="center" wrapText="1"/>
    </xf>
    <xf numFmtId="3" fontId="0" fillId="4" borderId="17" xfId="0" applyNumberFormat="1" applyFont="1" applyFill="1" applyBorder="1" applyAlignment="1">
      <alignment horizontal="center" vertical="center"/>
    </xf>
    <xf numFmtId="44" fontId="3" fillId="0" borderId="0" xfId="0" applyNumberFormat="1" applyFont="1" applyBorder="1" applyAlignment="1">
      <alignment vertical="center"/>
    </xf>
    <xf numFmtId="44" fontId="26" fillId="0" borderId="18" xfId="1" applyNumberFormat="1" applyFont="1" applyBorder="1" applyAlignment="1">
      <alignment vertical="center"/>
    </xf>
    <xf numFmtId="3" fontId="0" fillId="4" borderId="18" xfId="0" applyNumberFormat="1" applyFont="1" applyFill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44" fontId="0" fillId="0" borderId="0" xfId="0" applyNumberFormat="1"/>
    <xf numFmtId="0" fontId="10" fillId="0" borderId="66" xfId="0" applyFont="1" applyBorder="1" applyAlignment="1">
      <alignment horizontal="left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44" fontId="5" fillId="0" borderId="66" xfId="0" applyNumberFormat="1" applyFont="1" applyBorder="1" applyAlignment="1">
      <alignment horizontal="center" vertical="center" wrapText="1"/>
    </xf>
    <xf numFmtId="3" fontId="5" fillId="0" borderId="66" xfId="0" applyNumberFormat="1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30" fillId="0" borderId="51" xfId="0" applyFont="1" applyFill="1" applyBorder="1" applyAlignment="1">
      <alignment horizontal="left" vertical="top" wrapText="1"/>
    </xf>
    <xf numFmtId="0" fontId="29" fillId="0" borderId="48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 vertical="center" wrapText="1"/>
    </xf>
    <xf numFmtId="170" fontId="31" fillId="0" borderId="53" xfId="0" applyNumberFormat="1" applyFont="1" applyBorder="1" applyAlignment="1">
      <alignment vertical="center" wrapText="1"/>
    </xf>
    <xf numFmtId="0" fontId="24" fillId="0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 indent="1"/>
    </xf>
    <xf numFmtId="167" fontId="8" fillId="0" borderId="0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6" fillId="0" borderId="68" xfId="0" applyFont="1" applyBorder="1" applyAlignment="1">
      <alignment horizontal="left" vertical="center"/>
    </xf>
    <xf numFmtId="0" fontId="26" fillId="0" borderId="69" xfId="0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171" fontId="37" fillId="0" borderId="55" xfId="0" applyNumberFormat="1" applyFont="1" applyBorder="1" applyAlignment="1">
      <alignment horizontal="center" vertical="center" wrapText="1"/>
    </xf>
    <xf numFmtId="171" fontId="37" fillId="0" borderId="56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36" fillId="4" borderId="60" xfId="0" applyFont="1" applyFill="1" applyBorder="1" applyAlignment="1">
      <alignment horizontal="left" vertical="top" wrapText="1"/>
    </xf>
    <xf numFmtId="0" fontId="36" fillId="4" borderId="59" xfId="0" applyFont="1" applyFill="1" applyBorder="1" applyAlignment="1">
      <alignment horizontal="left" vertical="top" wrapText="1"/>
    </xf>
    <xf numFmtId="0" fontId="36" fillId="4" borderId="61" xfId="0" applyFont="1" applyFill="1" applyBorder="1" applyAlignment="1">
      <alignment horizontal="left" vertical="top" wrapText="1"/>
    </xf>
    <xf numFmtId="0" fontId="36" fillId="4" borderId="63" xfId="0" applyFont="1" applyFill="1" applyBorder="1" applyAlignment="1">
      <alignment horizontal="left" vertical="center" wrapText="1"/>
    </xf>
    <xf numFmtId="0" fontId="36" fillId="4" borderId="64" xfId="0" applyFont="1" applyFill="1" applyBorder="1" applyAlignment="1">
      <alignment horizontal="left" vertical="center" wrapText="1"/>
    </xf>
    <xf numFmtId="0" fontId="36" fillId="4" borderId="65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center" wrapText="1"/>
    </xf>
    <xf numFmtId="0" fontId="17" fillId="0" borderId="6" xfId="0" applyFont="1" applyFill="1" applyBorder="1" applyAlignment="1">
      <alignment horizontal="center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6" xfId="0" applyFont="1" applyFill="1" applyBorder="1" applyAlignment="1">
      <alignment horizontal="center" wrapText="1"/>
    </xf>
    <xf numFmtId="0" fontId="17" fillId="0" borderId="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wrapText="1"/>
    </xf>
    <xf numFmtId="0" fontId="17" fillId="0" borderId="6" xfId="0" applyFont="1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1" fillId="0" borderId="20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3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1" fillId="0" borderId="44" xfId="0" applyFont="1" applyBorder="1" applyAlignment="1">
      <alignment horizontal="left" vertical="center" wrapText="1"/>
    </xf>
    <xf numFmtId="0" fontId="0" fillId="0" borderId="22" xfId="0" applyBorder="1"/>
    <xf numFmtId="0" fontId="0" fillId="0" borderId="32" xfId="0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3" fillId="0" borderId="23" xfId="0" applyFont="1" applyBorder="1"/>
    <xf numFmtId="0" fontId="13" fillId="0" borderId="23" xfId="0" applyNumberFormat="1" applyFont="1" applyBorder="1" applyAlignment="1">
      <alignment horizontal="left" vertical="center" wrapText="1" indent="1"/>
    </xf>
    <xf numFmtId="0" fontId="13" fillId="0" borderId="0" xfId="0" applyNumberFormat="1" applyFont="1" applyBorder="1" applyAlignment="1">
      <alignment horizontal="left" vertical="center" wrapText="1" indent="1"/>
    </xf>
    <xf numFmtId="0" fontId="13" fillId="0" borderId="10" xfId="0" applyNumberFormat="1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indent="1"/>
    </xf>
    <xf numFmtId="0" fontId="14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1" fillId="0" borderId="2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3" fillId="0" borderId="11" xfId="0" applyFont="1" applyBorder="1"/>
  </cellXfs>
  <cellStyles count="12">
    <cellStyle name="Encabezado 1" xfId="2" xr:uid="{00000000-0005-0000-0000-000000000000}"/>
    <cellStyle name="Moneda" xfId="1" builtinId="4"/>
    <cellStyle name="Moneda 2" xfId="6" xr:uid="{00000000-0005-0000-0000-000002000000}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3" xfId="9" xr:uid="{00000000-0005-0000-0000-000008000000}"/>
    <cellStyle name="Normal 3 2" xfId="10" xr:uid="{00000000-0005-0000-0000-000009000000}"/>
    <cellStyle name="Normal 4" xfId="11" xr:uid="{00000000-0005-0000-0000-00000A000000}"/>
    <cellStyle name="Normal 5" xfId="8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7"/>
  <sheetViews>
    <sheetView tabSelected="1" zoomScale="110" zoomScaleNormal="110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4.5703125" style="2" customWidth="1"/>
    <col min="10" max="10" width="16" style="2" customWidth="1"/>
    <col min="11" max="11" width="15.5703125" style="2" customWidth="1"/>
    <col min="12" max="12" width="5.85546875" style="2" customWidth="1"/>
    <col min="13" max="13" width="15.7109375" style="2" customWidth="1"/>
    <col min="14" max="14" width="5.85546875" style="2" customWidth="1"/>
    <col min="15" max="15" width="12.5703125" style="2" customWidth="1"/>
    <col min="16" max="1024" width="9.140625" style="2"/>
  </cols>
  <sheetData>
    <row r="1" spans="1:13" ht="18" customHeight="1" thickBot="1" x14ac:dyDescent="0.25">
      <c r="A1" s="137" t="s">
        <v>18</v>
      </c>
      <c r="B1" s="137"/>
      <c r="C1" s="137"/>
      <c r="D1" s="137"/>
      <c r="E1" s="137"/>
      <c r="F1" s="137"/>
      <c r="G1" s="137"/>
      <c r="H1" s="137"/>
      <c r="I1" s="137"/>
      <c r="J1" s="3" t="s">
        <v>19</v>
      </c>
      <c r="K1" s="88" t="s">
        <v>74</v>
      </c>
    </row>
    <row r="2" spans="1:13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3" ht="18.75" customHeight="1" thickBot="1" x14ac:dyDescent="0.25">
      <c r="A3" s="132" t="s">
        <v>52</v>
      </c>
      <c r="B3" s="132"/>
      <c r="C3" s="132"/>
      <c r="D3" s="133" t="s">
        <v>62</v>
      </c>
      <c r="E3" s="133"/>
      <c r="F3" s="133"/>
      <c r="G3" s="133"/>
      <c r="H3" s="133"/>
      <c r="I3" s="133"/>
      <c r="J3" s="133"/>
      <c r="K3" s="133"/>
    </row>
    <row r="4" spans="1:13" ht="18.75" customHeight="1" thickBot="1" x14ac:dyDescent="0.25">
      <c r="A4" s="134" t="s">
        <v>53</v>
      </c>
      <c r="B4" s="134"/>
      <c r="C4" s="134"/>
      <c r="D4" s="133" t="s">
        <v>57</v>
      </c>
      <c r="E4" s="133"/>
      <c r="F4" s="133"/>
      <c r="G4" s="133"/>
      <c r="H4" s="133"/>
      <c r="I4" s="133"/>
      <c r="J4" s="133"/>
      <c r="K4" s="133"/>
    </row>
    <row r="5" spans="1:13" ht="18.75" customHeight="1" thickBot="1" x14ac:dyDescent="0.25">
      <c r="A5" s="134" t="s">
        <v>31</v>
      </c>
      <c r="B5" s="134"/>
      <c r="C5" s="134"/>
      <c r="D5" s="133" t="s">
        <v>64</v>
      </c>
      <c r="E5" s="133"/>
      <c r="F5" s="133"/>
      <c r="G5" s="133"/>
      <c r="H5" s="133"/>
      <c r="I5" s="133"/>
      <c r="J5" s="133"/>
      <c r="K5" s="133"/>
    </row>
    <row r="6" spans="1:13" ht="16.5" customHeight="1" thickBot="1" x14ac:dyDescent="0.25">
      <c r="A6" s="132" t="s">
        <v>54</v>
      </c>
      <c r="B6" s="132"/>
      <c r="C6" s="132"/>
      <c r="D6" s="133" t="s">
        <v>55</v>
      </c>
      <c r="E6" s="133"/>
      <c r="F6" s="133"/>
      <c r="G6" s="133"/>
      <c r="H6" s="133"/>
      <c r="I6" s="133"/>
      <c r="J6" s="133"/>
      <c r="K6" s="133"/>
    </row>
    <row r="7" spans="1:13" ht="16.5" customHeight="1" thickBot="1" x14ac:dyDescent="0.25">
      <c r="A7" s="134" t="s">
        <v>20</v>
      </c>
      <c r="B7" s="134"/>
      <c r="C7" s="134"/>
      <c r="D7" s="133" t="s">
        <v>72</v>
      </c>
      <c r="E7" s="133"/>
      <c r="F7" s="133"/>
      <c r="G7" s="133"/>
      <c r="H7" s="133"/>
      <c r="I7" s="133"/>
      <c r="J7" s="133"/>
      <c r="K7" s="133"/>
    </row>
    <row r="8" spans="1:13" ht="16.5" customHeight="1" thickBot="1" x14ac:dyDescent="0.25">
      <c r="A8" s="135" t="s">
        <v>21</v>
      </c>
      <c r="B8" s="135"/>
      <c r="C8" s="135"/>
      <c r="D8" s="136" t="s">
        <v>65</v>
      </c>
      <c r="E8" s="136"/>
      <c r="F8" s="136"/>
      <c r="G8" s="136"/>
      <c r="H8" s="136"/>
      <c r="I8" s="136"/>
      <c r="J8" s="136"/>
      <c r="K8" s="136"/>
    </row>
    <row r="9" spans="1:13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3" ht="18.75" customHeight="1" thickBot="1" x14ac:dyDescent="0.25">
      <c r="A10" s="131" t="s">
        <v>22</v>
      </c>
      <c r="B10" s="130" t="s">
        <v>23</v>
      </c>
      <c r="C10" s="130" t="s">
        <v>24</v>
      </c>
      <c r="D10" s="130"/>
      <c r="E10" s="130"/>
      <c r="F10" s="130"/>
      <c r="G10" s="130"/>
      <c r="H10" s="130" t="s">
        <v>25</v>
      </c>
      <c r="I10" s="130" t="s">
        <v>26</v>
      </c>
      <c r="J10" s="130" t="s">
        <v>27</v>
      </c>
      <c r="K10" s="123" t="s">
        <v>28</v>
      </c>
    </row>
    <row r="11" spans="1:13" ht="24" customHeight="1" thickBot="1" x14ac:dyDescent="0.25">
      <c r="A11" s="131"/>
      <c r="B11" s="130"/>
      <c r="C11" s="130"/>
      <c r="D11" s="130"/>
      <c r="E11" s="130"/>
      <c r="F11" s="130"/>
      <c r="G11" s="130"/>
      <c r="H11" s="130"/>
      <c r="I11" s="130"/>
      <c r="J11" s="130"/>
      <c r="K11" s="123"/>
    </row>
    <row r="12" spans="1:13" ht="33.75" customHeight="1" x14ac:dyDescent="0.2">
      <c r="A12" s="89">
        <v>1</v>
      </c>
      <c r="B12" s="89" t="s">
        <v>82</v>
      </c>
      <c r="C12" s="124" t="s">
        <v>83</v>
      </c>
      <c r="D12" s="125"/>
      <c r="E12" s="125"/>
      <c r="F12" s="125"/>
      <c r="G12" s="126"/>
      <c r="H12" s="90" t="s">
        <v>73</v>
      </c>
      <c r="I12" s="91" t="s">
        <v>66</v>
      </c>
      <c r="J12" s="92">
        <v>37000000</v>
      </c>
      <c r="K12" s="93">
        <v>2</v>
      </c>
      <c r="M12" s="94"/>
    </row>
    <row r="13" spans="1:13" ht="15.95" customHeight="1" x14ac:dyDescent="0.2">
      <c r="A13" s="8"/>
      <c r="B13" s="9"/>
      <c r="C13" s="127"/>
      <c r="D13" s="128"/>
      <c r="E13" s="128"/>
      <c r="F13" s="128"/>
      <c r="G13" s="129"/>
      <c r="H13" s="10"/>
      <c r="I13" s="91"/>
      <c r="J13" s="95"/>
      <c r="K13" s="96"/>
      <c r="M13" s="94"/>
    </row>
    <row r="14" spans="1:13" ht="15.95" customHeight="1" x14ac:dyDescent="0.2">
      <c r="A14" s="8"/>
      <c r="B14" s="9"/>
      <c r="C14" s="127"/>
      <c r="D14" s="128"/>
      <c r="E14" s="128"/>
      <c r="F14" s="128"/>
      <c r="G14" s="129"/>
      <c r="H14" s="10"/>
      <c r="I14" s="91"/>
      <c r="J14" s="95"/>
      <c r="K14" s="96"/>
      <c r="M14" s="94"/>
    </row>
    <row r="15" spans="1:13" ht="15.95" customHeight="1" x14ac:dyDescent="0.2">
      <c r="A15" s="97"/>
      <c r="B15" s="99"/>
      <c r="C15" s="112" t="s">
        <v>87</v>
      </c>
      <c r="D15" s="113"/>
      <c r="E15" s="113"/>
      <c r="F15" s="113"/>
      <c r="G15" s="114"/>
      <c r="H15" s="100"/>
      <c r="I15" s="101"/>
      <c r="J15" s="102"/>
      <c r="K15" s="103"/>
      <c r="M15" s="94"/>
    </row>
    <row r="16" spans="1:13" ht="15.95" customHeight="1" thickBot="1" x14ac:dyDescent="0.25">
      <c r="A16" s="11"/>
      <c r="B16" s="12"/>
      <c r="C16" s="115"/>
      <c r="D16" s="116"/>
      <c r="E16" s="116"/>
      <c r="F16" s="116"/>
      <c r="G16" s="117"/>
      <c r="H16" s="100"/>
      <c r="I16" s="101"/>
      <c r="J16" s="102"/>
      <c r="K16" s="103"/>
      <c r="M16" s="94"/>
    </row>
    <row r="17" spans="1:13" ht="15.95" customHeight="1" thickBot="1" x14ac:dyDescent="0.25">
      <c r="A17" s="118" t="s">
        <v>80</v>
      </c>
      <c r="B17" s="119"/>
      <c r="C17" s="119"/>
      <c r="D17" s="119"/>
      <c r="E17" s="119"/>
      <c r="F17" s="119"/>
      <c r="G17" s="119"/>
      <c r="H17" s="119"/>
      <c r="I17" s="120"/>
      <c r="J17" s="121">
        <v>74000000</v>
      </c>
      <c r="K17" s="122"/>
      <c r="M17" s="94"/>
    </row>
    <row r="18" spans="1:13" ht="15.95" customHeight="1" x14ac:dyDescent="0.2">
      <c r="A18" s="110"/>
      <c r="B18" s="110"/>
      <c r="C18" s="110"/>
      <c r="D18" s="110"/>
      <c r="E18" s="110"/>
      <c r="F18" s="110"/>
      <c r="G18" s="110"/>
      <c r="H18" s="110"/>
      <c r="I18" s="110"/>
      <c r="J18" s="111"/>
      <c r="K18" s="111"/>
      <c r="M18" s="94"/>
    </row>
    <row r="19" spans="1:13" ht="15.95" customHeight="1" x14ac:dyDescent="0.2">
      <c r="M19" s="94"/>
    </row>
    <row r="20" spans="1:13" ht="15.95" customHeight="1" x14ac:dyDescent="0.2">
      <c r="M20" s="94"/>
    </row>
    <row r="21" spans="1:13" ht="15.95" customHeight="1" x14ac:dyDescent="0.2">
      <c r="M21" s="94"/>
    </row>
    <row r="22" spans="1:13" ht="15.95" customHeight="1" x14ac:dyDescent="0.2">
      <c r="M22" s="94"/>
    </row>
    <row r="23" spans="1:13" ht="15.95" customHeight="1" x14ac:dyDescent="0.2">
      <c r="M23" s="94"/>
    </row>
    <row r="24" spans="1:13" ht="15.95" customHeight="1" x14ac:dyDescent="0.2">
      <c r="M24" s="94"/>
    </row>
    <row r="25" spans="1:13" ht="15.95" customHeight="1" x14ac:dyDescent="0.2">
      <c r="M25" s="94"/>
    </row>
    <row r="26" spans="1:13" ht="15.95" customHeight="1" x14ac:dyDescent="0.2">
      <c r="M26" s="94"/>
    </row>
    <row r="27" spans="1:13" ht="15.95" customHeight="1" x14ac:dyDescent="0.2">
      <c r="M27" s="94"/>
    </row>
    <row r="28" spans="1:13" ht="15.95" customHeight="1" x14ac:dyDescent="0.2">
      <c r="M28" s="94"/>
    </row>
    <row r="29" spans="1:13" ht="15.95" customHeight="1" x14ac:dyDescent="0.2">
      <c r="M29" s="94"/>
    </row>
    <row r="30" spans="1:13" ht="15.95" customHeight="1" x14ac:dyDescent="0.2">
      <c r="M30" s="94"/>
    </row>
    <row r="31" spans="1:13" ht="15.95" customHeight="1" x14ac:dyDescent="0.2">
      <c r="M31" s="94"/>
    </row>
    <row r="32" spans="1:13" ht="15.95" customHeight="1" x14ac:dyDescent="0.2">
      <c r="M32" s="94"/>
    </row>
    <row r="33" spans="13:13" ht="15.95" customHeight="1" x14ac:dyDescent="0.2">
      <c r="M33" s="94"/>
    </row>
    <row r="34" spans="13:13" ht="15.95" customHeight="1" x14ac:dyDescent="0.2">
      <c r="M34" s="94"/>
    </row>
    <row r="35" spans="13:13" ht="15.95" customHeight="1" x14ac:dyDescent="0.2">
      <c r="M35" s="94"/>
    </row>
    <row r="36" spans="13:13" ht="15.95" customHeight="1" x14ac:dyDescent="0.2">
      <c r="M36" s="94"/>
    </row>
    <row r="37" spans="13:13" ht="15.95" customHeight="1" x14ac:dyDescent="0.2">
      <c r="M37" s="94"/>
    </row>
    <row r="38" spans="13:13" ht="15.95" customHeight="1" x14ac:dyDescent="0.2">
      <c r="M38" s="94"/>
    </row>
    <row r="39" spans="13:13" ht="15.95" customHeight="1" x14ac:dyDescent="0.2">
      <c r="M39" s="94"/>
    </row>
    <row r="40" spans="13:13" ht="15.95" customHeight="1" x14ac:dyDescent="0.2">
      <c r="M40" s="94"/>
    </row>
    <row r="41" spans="13:13" ht="15.95" customHeight="1" x14ac:dyDescent="0.2">
      <c r="M41" s="94"/>
    </row>
    <row r="42" spans="13:13" ht="15.95" customHeight="1" x14ac:dyDescent="0.2">
      <c r="M42" s="94"/>
    </row>
    <row r="43" spans="13:13" ht="15.95" customHeight="1" x14ac:dyDescent="0.2">
      <c r="M43" s="94"/>
    </row>
    <row r="44" spans="13:13" ht="15.95" customHeight="1" x14ac:dyDescent="0.2">
      <c r="M44" s="94"/>
    </row>
    <row r="45" spans="13:13" ht="15.95" customHeight="1" x14ac:dyDescent="0.2">
      <c r="M45" s="94"/>
    </row>
    <row r="46" spans="13:13" ht="15.95" customHeight="1" x14ac:dyDescent="0.2">
      <c r="M46" s="94"/>
    </row>
    <row r="47" spans="13:13" ht="15.95" customHeight="1" x14ac:dyDescent="0.2">
      <c r="M47" s="94"/>
    </row>
    <row r="48" spans="13:13" ht="15.95" customHeight="1" x14ac:dyDescent="0.2">
      <c r="M48" s="94"/>
    </row>
    <row r="49" spans="12:1024" ht="15.95" customHeight="1" x14ac:dyDescent="0.2">
      <c r="M49" s="94"/>
    </row>
    <row r="50" spans="12:1024" ht="15.95" customHeight="1" x14ac:dyDescent="0.2">
      <c r="M50" s="94"/>
    </row>
    <row r="51" spans="12:1024" ht="15.95" customHeight="1" x14ac:dyDescent="0.2">
      <c r="M51" s="94"/>
    </row>
    <row r="52" spans="12:1024" ht="15.95" customHeight="1" x14ac:dyDescent="0.2">
      <c r="M52" s="94"/>
    </row>
    <row r="53" spans="12:1024" ht="15.95" customHeight="1" x14ac:dyDescent="0.2">
      <c r="M53" s="94"/>
    </row>
    <row r="54" spans="12:1024" ht="15.95" customHeight="1" x14ac:dyDescent="0.2">
      <c r="M54" s="94"/>
    </row>
    <row r="55" spans="12:1024" ht="15.95" customHeight="1" x14ac:dyDescent="0.2">
      <c r="L55"/>
      <c r="M55" s="98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2:1024" ht="15.95" customHeight="1" x14ac:dyDescent="0.2">
      <c r="L56"/>
      <c r="M56" s="98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2:1024" ht="15.95" customHeight="1" x14ac:dyDescent="0.2">
      <c r="L57"/>
      <c r="M57" s="98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 x14ac:dyDescent="0.2">
      <c r="L58"/>
      <c r="M58" s="9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 x14ac:dyDescent="0.2">
      <c r="L59"/>
      <c r="M59" s="98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 x14ac:dyDescent="0.2">
      <c r="L60"/>
      <c r="M60" s="98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 x14ac:dyDescent="0.2">
      <c r="L61"/>
      <c r="M61" s="98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 x14ac:dyDescent="0.2">
      <c r="L62"/>
      <c r="M62" s="98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 x14ac:dyDescent="0.2">
      <c r="L63"/>
      <c r="M63" s="98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 x14ac:dyDescent="0.2">
      <c r="L64"/>
      <c r="M64" s="98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 x14ac:dyDescent="0.2">
      <c r="L65"/>
      <c r="M65" s="98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15.95" customHeight="1" x14ac:dyDescent="0.2">
      <c r="L66"/>
      <c r="M66" s="98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2:1024" ht="20.25" customHeight="1" x14ac:dyDescent="0.2">
      <c r="L67"/>
      <c r="M67" s="98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13:G13"/>
    <mergeCell ref="C14:G14"/>
    <mergeCell ref="J10:J11"/>
    <mergeCell ref="A18:I18"/>
    <mergeCell ref="J18:K18"/>
    <mergeCell ref="C15:G15"/>
    <mergeCell ref="C16:G16"/>
    <mergeCell ref="A17:I17"/>
    <mergeCell ref="J17:K17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0"/>
  <sheetViews>
    <sheetView zoomScale="78" zoomScaleNormal="78" workbookViewId="0">
      <selection activeCell="C21" sqref="C21:E21"/>
    </sheetView>
  </sheetViews>
  <sheetFormatPr baseColWidth="10" defaultColWidth="11" defaultRowHeight="12.75" x14ac:dyDescent="0.2"/>
  <cols>
    <col min="1" max="1" width="8.42578125" style="44" customWidth="1"/>
    <col min="2" max="2" width="17.5703125" style="69" customWidth="1"/>
    <col min="3" max="3" width="32.42578125" style="70" customWidth="1"/>
    <col min="4" max="4" width="8.42578125" style="71" customWidth="1"/>
    <col min="5" max="5" width="80.42578125" style="70" customWidth="1"/>
    <col min="6" max="6" width="11" style="71"/>
    <col min="7" max="7" width="13.42578125" style="73" customWidth="1"/>
    <col min="8" max="8" width="16.42578125" style="51" customWidth="1"/>
    <col min="9" max="9" width="23.5703125" style="49" customWidth="1"/>
    <col min="10" max="10" width="11" style="44"/>
    <col min="11" max="11" width="14.7109375" style="44" customWidth="1"/>
    <col min="12" max="12" width="13.7109375" style="44" customWidth="1"/>
    <col min="13" max="16384" width="11" style="44"/>
  </cols>
  <sheetData>
    <row r="2" spans="1:9" ht="27" x14ac:dyDescent="0.35">
      <c r="B2" s="140" t="s">
        <v>0</v>
      </c>
      <c r="C2" s="140"/>
      <c r="D2" s="140"/>
      <c r="E2" s="140"/>
      <c r="F2" s="140"/>
      <c r="G2" s="141"/>
      <c r="H2" s="142"/>
    </row>
    <row r="3" spans="1:9" ht="18" customHeight="1" x14ac:dyDescent="0.25">
      <c r="A3" s="138"/>
      <c r="B3" s="138"/>
      <c r="C3" s="143"/>
      <c r="D3" s="144"/>
      <c r="E3" s="143"/>
      <c r="F3" s="45"/>
      <c r="G3" s="50"/>
    </row>
    <row r="4" spans="1:9" ht="18" customHeight="1" x14ac:dyDescent="0.25">
      <c r="A4" s="138" t="s">
        <v>1</v>
      </c>
      <c r="B4" s="138"/>
      <c r="C4" s="139" t="s">
        <v>75</v>
      </c>
      <c r="D4" s="139"/>
      <c r="E4" s="139"/>
      <c r="F4" s="45"/>
      <c r="G4" s="50"/>
    </row>
    <row r="5" spans="1:9" ht="18" customHeight="1" x14ac:dyDescent="0.25">
      <c r="A5" s="138" t="s">
        <v>56</v>
      </c>
      <c r="B5" s="138"/>
      <c r="C5" s="139" t="s">
        <v>57</v>
      </c>
      <c r="D5" s="139"/>
      <c r="E5" s="139"/>
      <c r="F5" s="45"/>
      <c r="G5" s="50"/>
    </row>
    <row r="6" spans="1:9" ht="16.5" customHeight="1" x14ac:dyDescent="0.2">
      <c r="A6" s="138" t="s">
        <v>2</v>
      </c>
      <c r="B6" s="138"/>
      <c r="C6" s="109">
        <v>2021</v>
      </c>
      <c r="D6" s="52"/>
      <c r="E6" s="53"/>
      <c r="F6" s="45"/>
      <c r="G6" s="50"/>
    </row>
    <row r="7" spans="1:9" ht="15.75" x14ac:dyDescent="0.2">
      <c r="A7" s="138" t="s">
        <v>3</v>
      </c>
      <c r="B7" s="138"/>
      <c r="C7" s="109">
        <v>1</v>
      </c>
      <c r="D7" s="52"/>
      <c r="E7" s="53"/>
      <c r="F7" s="45"/>
      <c r="G7" s="50"/>
    </row>
    <row r="8" spans="1:9" ht="13.5" thickBot="1" x14ac:dyDescent="0.25">
      <c r="B8" s="54"/>
      <c r="C8" s="55"/>
      <c r="D8" s="45"/>
      <c r="E8" s="55"/>
      <c r="F8" s="45"/>
      <c r="G8" s="50"/>
    </row>
    <row r="9" spans="1:9" ht="51" customHeight="1" thickBot="1" x14ac:dyDescent="0.25">
      <c r="A9" s="56" t="s">
        <v>4</v>
      </c>
      <c r="B9" s="57" t="s">
        <v>5</v>
      </c>
      <c r="C9" s="58" t="s">
        <v>6</v>
      </c>
      <c r="D9" s="59" t="s">
        <v>7</v>
      </c>
      <c r="E9" s="60" t="s">
        <v>8</v>
      </c>
      <c r="F9" s="61" t="s">
        <v>9</v>
      </c>
      <c r="G9" s="58" t="s">
        <v>10</v>
      </c>
      <c r="H9" s="62" t="s">
        <v>11</v>
      </c>
      <c r="I9" s="63" t="s">
        <v>12</v>
      </c>
    </row>
    <row r="10" spans="1:9" s="68" customFormat="1" ht="39" customHeight="1" thickBot="1" x14ac:dyDescent="0.25">
      <c r="A10" s="106">
        <v>1</v>
      </c>
      <c r="B10" s="107" t="str">
        <f>+' NotaPedido'!B12</f>
        <v>4.3.3-4084.38</v>
      </c>
      <c r="C10" s="65" t="s">
        <v>78</v>
      </c>
      <c r="D10" s="64">
        <v>433</v>
      </c>
      <c r="E10" s="105" t="str">
        <f>+' NotaPedido'!C12</f>
        <v>EQUIPOS DE RAYOS X; USO: MAMOGRAFIA, FRECUENCIA: 120 KHZ, REGULACION: 22 - 49 Kv, AMPLIACION DE APLIQUE: 1,8 X, COMANDO: DIGITAL</v>
      </c>
      <c r="F10" s="65" t="s">
        <v>66</v>
      </c>
      <c r="G10" s="66">
        <v>2</v>
      </c>
      <c r="H10" s="67">
        <v>37000000</v>
      </c>
      <c r="I10" s="67">
        <f>G10*H10</f>
        <v>74000000</v>
      </c>
    </row>
    <row r="11" spans="1:9" ht="43.5" customHeight="1" thickBot="1" x14ac:dyDescent="0.25">
      <c r="A11" s="146"/>
      <c r="B11" s="147"/>
      <c r="C11" s="147"/>
      <c r="D11" s="148"/>
      <c r="E11" s="149" t="s">
        <v>58</v>
      </c>
      <c r="F11" s="150"/>
      <c r="G11" s="150"/>
      <c r="H11" s="151"/>
      <c r="I11" s="108">
        <f>SUM(I10:I10)</f>
        <v>74000000</v>
      </c>
    </row>
    <row r="12" spans="1:9" ht="18.75" thickBot="1" x14ac:dyDescent="0.3">
      <c r="E12" s="152" t="s">
        <v>59</v>
      </c>
      <c r="F12" s="152"/>
      <c r="G12" s="152"/>
      <c r="H12" s="152"/>
      <c r="I12" s="72">
        <f>+I11</f>
        <v>74000000</v>
      </c>
    </row>
    <row r="13" spans="1:9" ht="27" customHeight="1" thickTop="1" thickBot="1" x14ac:dyDescent="0.25"/>
    <row r="14" spans="1:9" ht="24" x14ac:dyDescent="0.2">
      <c r="B14" s="74" t="s">
        <v>60</v>
      </c>
      <c r="C14" s="75" t="s">
        <v>61</v>
      </c>
      <c r="D14" s="76"/>
      <c r="E14" s="77"/>
    </row>
    <row r="15" spans="1:9" ht="24.75" customHeight="1" x14ac:dyDescent="0.2">
      <c r="B15" s="78"/>
      <c r="C15" s="79"/>
      <c r="D15" s="80"/>
      <c r="E15" s="81"/>
    </row>
    <row r="16" spans="1:9" ht="24.75" customHeight="1" x14ac:dyDescent="0.2">
      <c r="B16" s="82" t="s">
        <v>13</v>
      </c>
      <c r="C16" s="153"/>
      <c r="D16" s="153"/>
      <c r="E16" s="154"/>
    </row>
    <row r="17" spans="1:12" ht="24.75" customHeight="1" x14ac:dyDescent="0.2">
      <c r="B17" s="82"/>
      <c r="C17" s="155"/>
      <c r="D17" s="155"/>
      <c r="E17" s="155"/>
    </row>
    <row r="18" spans="1:12" ht="24.75" customHeight="1" x14ac:dyDescent="0.2">
      <c r="B18" s="82" t="s">
        <v>14</v>
      </c>
      <c r="C18" s="156" t="s">
        <v>84</v>
      </c>
      <c r="D18" s="156"/>
      <c r="E18" s="157"/>
    </row>
    <row r="19" spans="1:12" x14ac:dyDescent="0.2">
      <c r="B19" s="82"/>
      <c r="C19" s="156"/>
      <c r="D19" s="156"/>
      <c r="E19" s="157"/>
    </row>
    <row r="20" spans="1:12" ht="24.75" customHeight="1" x14ac:dyDescent="0.2">
      <c r="B20" s="82"/>
      <c r="C20" s="156" t="s">
        <v>87</v>
      </c>
      <c r="D20" s="156"/>
      <c r="E20" s="157"/>
    </row>
    <row r="21" spans="1:12" s="86" customFormat="1" ht="24.75" customHeight="1" x14ac:dyDescent="0.2">
      <c r="A21" s="44"/>
      <c r="B21" s="78"/>
      <c r="C21" s="158" t="s">
        <v>85</v>
      </c>
      <c r="D21" s="158"/>
      <c r="E21" s="159"/>
      <c r="F21" s="71"/>
      <c r="G21" s="73"/>
      <c r="H21" s="51"/>
      <c r="I21" s="49"/>
      <c r="J21" s="83"/>
      <c r="K21" s="84"/>
      <c r="L21" s="85"/>
    </row>
    <row r="22" spans="1:12" ht="24.75" customHeight="1" x14ac:dyDescent="0.2">
      <c r="B22" s="78"/>
      <c r="C22" s="145"/>
      <c r="D22" s="145"/>
      <c r="E22" s="145"/>
      <c r="J22" s="83"/>
      <c r="K22" s="84"/>
      <c r="L22" s="85"/>
    </row>
    <row r="23" spans="1:12" ht="24.75" customHeight="1" x14ac:dyDescent="0.2">
      <c r="B23" s="82" t="s">
        <v>15</v>
      </c>
      <c r="C23" s="162"/>
      <c r="D23" s="162"/>
      <c r="E23" s="145"/>
      <c r="J23" s="83"/>
      <c r="K23" s="84"/>
      <c r="L23" s="85"/>
    </row>
    <row r="24" spans="1:12" ht="24.75" customHeight="1" x14ac:dyDescent="0.2">
      <c r="B24" s="78"/>
      <c r="C24" s="155"/>
      <c r="D24" s="155"/>
      <c r="E24" s="155"/>
      <c r="J24" s="83"/>
      <c r="K24" s="84"/>
      <c r="L24" s="85"/>
    </row>
    <row r="25" spans="1:12" ht="24.75" customHeight="1" x14ac:dyDescent="0.2">
      <c r="B25" s="82" t="s">
        <v>16</v>
      </c>
      <c r="C25" s="163" t="s">
        <v>86</v>
      </c>
      <c r="D25" s="163"/>
      <c r="E25" s="164"/>
      <c r="J25" s="83"/>
      <c r="K25" s="84"/>
      <c r="L25" s="85"/>
    </row>
    <row r="26" spans="1:12" ht="24.75" customHeight="1" x14ac:dyDescent="0.2">
      <c r="B26" s="78"/>
      <c r="C26" s="155"/>
      <c r="D26" s="155"/>
      <c r="E26" s="155"/>
    </row>
    <row r="27" spans="1:12" ht="24.75" customHeight="1" x14ac:dyDescent="0.2">
      <c r="B27" s="82" t="s">
        <v>17</v>
      </c>
      <c r="C27" s="165" t="s">
        <v>79</v>
      </c>
      <c r="D27" s="165"/>
      <c r="E27" s="166"/>
    </row>
    <row r="28" spans="1:12" ht="24.75" customHeight="1" x14ac:dyDescent="0.2">
      <c r="B28" s="82"/>
      <c r="C28" s="145"/>
      <c r="D28" s="145"/>
      <c r="E28" s="145"/>
    </row>
    <row r="29" spans="1:12" ht="24.75" customHeight="1" thickBot="1" x14ac:dyDescent="0.25">
      <c r="B29" s="87"/>
      <c r="C29" s="160"/>
      <c r="D29" s="160"/>
      <c r="E29" s="161"/>
    </row>
    <row r="30" spans="1:12" x14ac:dyDescent="0.2">
      <c r="J30" s="83"/>
      <c r="K30" s="84"/>
      <c r="L30" s="85"/>
    </row>
  </sheetData>
  <mergeCells count="26">
    <mergeCell ref="C29:E29"/>
    <mergeCell ref="C23:E23"/>
    <mergeCell ref="C24:E24"/>
    <mergeCell ref="C25:E25"/>
    <mergeCell ref="C26:E26"/>
    <mergeCell ref="C27:E27"/>
    <mergeCell ref="C28:E28"/>
    <mergeCell ref="C22:E22"/>
    <mergeCell ref="A6:B6"/>
    <mergeCell ref="A7:B7"/>
    <mergeCell ref="A11:D11"/>
    <mergeCell ref="E11:H11"/>
    <mergeCell ref="E12:H12"/>
    <mergeCell ref="C16:E16"/>
    <mergeCell ref="C17:E17"/>
    <mergeCell ref="C18:E18"/>
    <mergeCell ref="C19:E19"/>
    <mergeCell ref="C20:E20"/>
    <mergeCell ref="C21:E21"/>
    <mergeCell ref="A5:B5"/>
    <mergeCell ref="C5:E5"/>
    <mergeCell ref="B2:H2"/>
    <mergeCell ref="A3:B3"/>
    <mergeCell ref="C3:E3"/>
    <mergeCell ref="A4:B4"/>
    <mergeCell ref="C4:E4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4" workbookViewId="0">
      <selection activeCell="V18" sqref="V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92" t="s">
        <v>2</v>
      </c>
      <c r="B1" s="192"/>
      <c r="C1" s="192"/>
      <c r="D1" s="193">
        <v>2020</v>
      </c>
      <c r="E1" s="193"/>
      <c r="F1" s="14"/>
      <c r="G1" s="14"/>
      <c r="H1" s="15"/>
      <c r="I1" s="15"/>
      <c r="J1" s="15"/>
      <c r="K1" s="15"/>
      <c r="L1" s="15"/>
      <c r="M1" s="15"/>
      <c r="N1" s="15"/>
      <c r="P1" s="194" t="s">
        <v>29</v>
      </c>
      <c r="Q1" s="194"/>
    </row>
    <row r="2" spans="1:17" ht="15.75" customHeight="1" x14ac:dyDescent="0.2">
      <c r="H2" s="15"/>
      <c r="I2" s="15"/>
      <c r="J2" s="15"/>
      <c r="K2" s="15"/>
      <c r="L2" s="15"/>
      <c r="M2" s="15"/>
      <c r="N2" s="15"/>
      <c r="P2" s="194"/>
      <c r="Q2" s="194"/>
    </row>
    <row r="4" spans="1:17" s="16" customFormat="1" ht="18" customHeight="1" thickBot="1" x14ac:dyDescent="0.25">
      <c r="A4" s="195" t="s">
        <v>30</v>
      </c>
      <c r="B4" s="195"/>
      <c r="C4" s="195"/>
      <c r="D4" s="195"/>
      <c r="E4" s="195"/>
      <c r="F4" s="195"/>
      <c r="G4" s="190" t="s">
        <v>62</v>
      </c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r="5" spans="1:17" s="16" customFormat="1" ht="18" customHeight="1" thickBot="1" x14ac:dyDescent="0.25">
      <c r="A5" s="187" t="s">
        <v>53</v>
      </c>
      <c r="B5" s="188"/>
      <c r="C5" s="188"/>
      <c r="D5" s="188"/>
      <c r="E5" s="188"/>
      <c r="F5" s="189"/>
      <c r="G5" s="190" t="s">
        <v>63</v>
      </c>
      <c r="H5" s="190"/>
      <c r="I5" s="190"/>
      <c r="J5" s="190"/>
      <c r="K5" s="190"/>
      <c r="L5" s="190"/>
      <c r="M5" s="190"/>
      <c r="N5" s="190"/>
      <c r="O5" s="190"/>
      <c r="P5" s="190"/>
      <c r="Q5" s="190"/>
    </row>
    <row r="6" spans="1:17" s="16" customFormat="1" ht="18" customHeight="1" thickBot="1" x14ac:dyDescent="0.25">
      <c r="A6" s="187" t="s">
        <v>31</v>
      </c>
      <c r="B6" s="188"/>
      <c r="C6" s="188"/>
      <c r="D6" s="188"/>
      <c r="E6" s="188"/>
      <c r="F6" s="189"/>
      <c r="G6" s="190" t="s">
        <v>67</v>
      </c>
      <c r="H6" s="190"/>
      <c r="I6" s="190"/>
      <c r="J6" s="190"/>
      <c r="K6" s="190"/>
      <c r="L6" s="190"/>
      <c r="M6" s="190"/>
      <c r="N6" s="190"/>
      <c r="O6" s="190"/>
      <c r="P6" s="190"/>
      <c r="Q6" s="190"/>
    </row>
    <row r="7" spans="1:17" s="16" customFormat="1" ht="18" customHeight="1" thickBot="1" x14ac:dyDescent="0.25">
      <c r="A7" s="187" t="s">
        <v>54</v>
      </c>
      <c r="B7" s="188"/>
      <c r="C7" s="188"/>
      <c r="D7" s="188"/>
      <c r="E7" s="188"/>
      <c r="F7" s="189"/>
      <c r="G7" s="190" t="s">
        <v>68</v>
      </c>
      <c r="H7" s="190"/>
      <c r="I7" s="190"/>
      <c r="J7" s="190"/>
      <c r="K7" s="190"/>
      <c r="L7" s="190"/>
      <c r="M7" s="190"/>
      <c r="N7" s="190"/>
      <c r="O7" s="190"/>
      <c r="P7" s="190"/>
      <c r="Q7" s="190"/>
    </row>
    <row r="8" spans="1:17" ht="18" customHeight="1" thickBot="1" x14ac:dyDescent="0.25">
      <c r="A8" s="191" t="s">
        <v>32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</row>
    <row r="9" spans="1:17" ht="18" customHeight="1" x14ac:dyDescent="0.2">
      <c r="A9" s="179" t="s">
        <v>33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"/>
      <c r="P9" s="1"/>
      <c r="Q9" s="17"/>
    </row>
    <row r="10" spans="1:17" ht="57" customHeight="1" x14ac:dyDescent="0.2">
      <c r="A10" s="180" t="s">
        <v>81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83" t="s">
        <v>34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customHeight="1" x14ac:dyDescent="0.2">
      <c r="A13" s="184" t="s">
        <v>35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36</v>
      </c>
      <c r="P13" s="185"/>
      <c r="Q13" s="186" t="s">
        <v>37</v>
      </c>
    </row>
    <row r="14" spans="1:17" ht="15.75" customHeight="1" x14ac:dyDescent="0.2">
      <c r="A14" s="22" t="s">
        <v>38</v>
      </c>
      <c r="B14" s="23" t="s">
        <v>39</v>
      </c>
      <c r="C14" s="23" t="s">
        <v>40</v>
      </c>
      <c r="D14" s="23" t="s">
        <v>41</v>
      </c>
      <c r="E14" s="23" t="s">
        <v>42</v>
      </c>
      <c r="F14" s="23" t="s">
        <v>43</v>
      </c>
      <c r="G14" s="24" t="s">
        <v>44</v>
      </c>
      <c r="H14" s="23" t="s">
        <v>45</v>
      </c>
      <c r="I14" s="23" t="s">
        <v>46</v>
      </c>
      <c r="J14" s="23" t="s">
        <v>47</v>
      </c>
      <c r="K14" s="23" t="s">
        <v>47</v>
      </c>
      <c r="L14" s="23" t="s">
        <v>48</v>
      </c>
      <c r="M14" s="25" t="s">
        <v>49</v>
      </c>
      <c r="N14" s="26" t="s">
        <v>50</v>
      </c>
      <c r="O14" s="185"/>
      <c r="P14" s="185"/>
      <c r="Q14" s="186"/>
    </row>
    <row r="15" spans="1:17" ht="17.25" customHeight="1" x14ac:dyDescent="0.2">
      <c r="A15" s="46">
        <v>2</v>
      </c>
      <c r="B15" s="47"/>
      <c r="C15" s="47"/>
      <c r="D15" s="47">
        <v>1</v>
      </c>
      <c r="E15" s="47"/>
      <c r="F15" s="47">
        <v>4901</v>
      </c>
      <c r="G15" s="47">
        <v>1</v>
      </c>
      <c r="H15" s="47">
        <v>3</v>
      </c>
      <c r="I15" s="27">
        <v>4</v>
      </c>
      <c r="J15" s="27">
        <v>3</v>
      </c>
      <c r="K15" s="27">
        <v>3</v>
      </c>
      <c r="L15" s="47"/>
      <c r="M15" s="48">
        <v>1</v>
      </c>
      <c r="N15" s="104" t="s">
        <v>69</v>
      </c>
      <c r="O15" s="177" t="s">
        <v>70</v>
      </c>
      <c r="P15" s="178"/>
      <c r="Q15" s="28">
        <v>74000000</v>
      </c>
    </row>
    <row r="16" spans="1:17" ht="17.25" customHeight="1" x14ac:dyDescent="0.2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2"/>
      <c r="O16" s="173"/>
      <c r="P16" s="172"/>
      <c r="Q16" s="33"/>
    </row>
    <row r="17" spans="1:18" ht="17.25" customHeight="1" x14ac:dyDescent="0.2">
      <c r="A17" s="29"/>
      <c r="B17" s="30"/>
      <c r="C17" s="30"/>
      <c r="D17" s="30"/>
      <c r="E17" s="30"/>
      <c r="F17" s="32"/>
      <c r="G17" s="30"/>
      <c r="H17" s="30"/>
      <c r="I17" s="30"/>
      <c r="J17" s="30"/>
      <c r="K17" s="30"/>
      <c r="L17" s="30"/>
      <c r="M17" s="31"/>
      <c r="N17" s="32"/>
      <c r="O17" s="173"/>
      <c r="P17" s="172"/>
      <c r="Q17" s="33"/>
    </row>
    <row r="18" spans="1:18" ht="17.2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72"/>
      <c r="P18" s="172"/>
      <c r="Q18" s="33"/>
    </row>
    <row r="19" spans="1:18" ht="17.25" customHeight="1" x14ac:dyDescent="0.2">
      <c r="A19" s="29"/>
      <c r="B19" s="30"/>
      <c r="C19" s="30"/>
      <c r="D19" s="30"/>
      <c r="E19" s="30"/>
      <c r="F19" s="32"/>
      <c r="G19" s="30"/>
      <c r="H19" s="30"/>
      <c r="I19" s="30"/>
      <c r="J19" s="30"/>
      <c r="K19" s="30"/>
      <c r="L19" s="30"/>
      <c r="M19" s="31"/>
      <c r="N19" s="32"/>
      <c r="O19" s="172"/>
      <c r="P19" s="172"/>
      <c r="Q19" s="33"/>
    </row>
    <row r="20" spans="1:18" ht="17.25" customHeight="1" x14ac:dyDescent="0.2">
      <c r="A20" s="29"/>
      <c r="B20" s="30"/>
      <c r="C20" s="30"/>
      <c r="D20" s="30"/>
      <c r="E20" s="30"/>
      <c r="F20" s="32"/>
      <c r="G20" s="30"/>
      <c r="H20" s="30"/>
      <c r="I20" s="30"/>
      <c r="J20" s="30"/>
      <c r="K20" s="30"/>
      <c r="L20" s="30"/>
      <c r="M20" s="31"/>
      <c r="N20" s="32"/>
      <c r="O20" s="172"/>
      <c r="P20" s="172"/>
      <c r="Q20" s="33"/>
    </row>
    <row r="21" spans="1:18" ht="17.25" customHeight="1" x14ac:dyDescent="0.2">
      <c r="A21" s="34"/>
      <c r="B21" s="35"/>
      <c r="C21" s="35"/>
      <c r="D21" s="35"/>
      <c r="E21" s="35"/>
      <c r="F21" s="36"/>
      <c r="G21" s="35"/>
      <c r="H21" s="35"/>
      <c r="I21" s="35"/>
      <c r="J21" s="35"/>
      <c r="K21" s="35"/>
      <c r="L21" s="35"/>
      <c r="M21" s="37"/>
      <c r="N21" s="38"/>
      <c r="O21" s="173"/>
      <c r="P21" s="173"/>
      <c r="Q21" s="33"/>
      <c r="R21" s="1"/>
    </row>
    <row r="22" spans="1:18" ht="17.25" customHeight="1" x14ac:dyDescent="0.2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  <c r="N22" s="40"/>
      <c r="O22" s="174"/>
      <c r="P22" s="174"/>
      <c r="Q22" s="42"/>
    </row>
    <row r="23" spans="1:18" ht="20.25" customHeight="1" x14ac:dyDescent="0.2">
      <c r="A23" s="175" t="s">
        <v>71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43">
        <f>SUM(Q15:Q22)</f>
        <v>74000000</v>
      </c>
    </row>
    <row r="24" spans="1:18" ht="18" customHeight="1" thickBot="1" x14ac:dyDescent="0.25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</row>
    <row r="25" spans="1:18" ht="17.25" customHeight="1" thickBot="1" x14ac:dyDescent="0.25">
      <c r="A25" s="167" t="s">
        <v>51</v>
      </c>
      <c r="B25" s="168"/>
      <c r="C25" s="168"/>
      <c r="D25" s="168"/>
      <c r="E25" s="168"/>
      <c r="F25" s="169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</row>
    <row r="26" spans="1:18" ht="18" customHeight="1" thickBot="1" x14ac:dyDescent="0.25">
      <c r="A26" s="171" t="s">
        <v>76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</row>
    <row r="27" spans="1:18" ht="28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>
    <row r="1" spans="1:1" x14ac:dyDescent="0.2">
      <c r="A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 NotaPedido</vt:lpstr>
      <vt:lpstr>Necesidades Trimestrales</vt:lpstr>
      <vt:lpstr>Autor Gastar</vt:lpstr>
      <vt:lpstr>Hoja1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2020-12-23T12:16:27Z</cp:lastPrinted>
  <dcterms:created xsi:type="dcterms:W3CDTF">2020-07-17T23:44:49Z</dcterms:created>
  <dcterms:modified xsi:type="dcterms:W3CDTF">2021-08-12T13:42:23Z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