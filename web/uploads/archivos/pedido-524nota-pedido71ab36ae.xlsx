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POLLO\"/>
    </mc:Choice>
  </mc:AlternateContent>
  <xr:revisionPtr revIDLastSave="0" documentId="8_{36E78621-9881-4E2F-A854-049D88529C6F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PERECEDEROS'!$E$1:$E$199</definedName>
    <definedName name="_xlnm.Print_Area" localSheetId="1">' NotaPedido'!$A$1:$K$13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 l="1"/>
  <c r="D10" i="1"/>
  <c r="K12" i="2"/>
  <c r="J12" i="2"/>
  <c r="I12" i="2"/>
  <c r="C12" i="2"/>
  <c r="B12" i="2"/>
  <c r="A12" i="2"/>
  <c r="A10" i="3" l="1"/>
  <c r="Q19" i="3" l="1"/>
  <c r="D7" i="2"/>
  <c r="J13" i="2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<sst xmlns="http://schemas.openxmlformats.org/spreadsheetml/2006/main" count="84" uniqueCount="79">
  <si>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</si>
  <si>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</si>
  <si>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</si>
  <si>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</si>
  <si>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</si>
  <si>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</si>
  <si>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</si>
  <si>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</si>
  <si>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</si>
  <si>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</si>
  <si>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</si>
  <si>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</si>
  <si>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</si>
  <si>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</si>
  <si>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</si>
  <si>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</si>
  <si>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</si>
  <si>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</si>
  <si>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</si>
  <si>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</si>
  <si>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</si>
  <si>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</si>
  <si>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</si>
  <si>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</si>
  <si>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</si>
  <si>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</si>
  <si>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</si>
  <si>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</si>
  <si>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</si>
  <si>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</si>
  <si>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</si>
  <si>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</si>
  <si>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</si>
  <si>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</si>
  <si>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</si>
  <si>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</si>
  <si>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</si>
  <si>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</si>
  <si>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</si>
  <si>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</si>
  <si>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</si>
  <si>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</si>
  <si>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</si>
  <si>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</si>
  <si>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</si>
  <si>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</si>
  <si>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</si>
  <si>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</si>
  <si>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</si>
  <si>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</si>
  <si>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</si>
  <si>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</si>
  <si>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</si>
  <si>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</si>
  <si>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</si>
  <si>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</si>
  <si>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CAJA</t>
  </si>
  <si>
    <t>RUBRO</t>
  </si>
  <si>
    <t>2.1.1-621.20</t>
  </si>
  <si>
    <t>AVES; TIPO: POLLO, PRESENTACION: CAJA X 22 Kg, EVISCERADO: SI, ELEM. TRANSPORTE: SIN, MATERIAL ELEM. TRANSPORTE: SIN, LIBRE DE GLUTEN: SIN VALOR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</si>
  <si>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</si>
  <si>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</si>
  <si>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</si>
  <si>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</si>
  <si>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</si>
  <si>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</si>
  <si>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</si>
  <si>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</si>
  <si>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</si>
  <si>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8 a 10 Hs</t>
  </si>
  <si>
    <t>30 (treinta) dias habiles</t>
  </si>
  <si>
    <t xml:space="preserve">Servicio de Nutrición </t>
  </si>
  <si>
    <t>/2022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</si>
  <si>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</si>
  <si>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>Especificidades Item N° 1:</t>
  </si>
  <si>
    <t>Para la adquisición de de alimentos perecederos(pollo) para ser destinados al Servicio de Nutricion de la Maternidad Provincial 25 de Mayo del Ministerio de Salud.</t>
  </si>
  <si>
    <t>Adquisición de Alimentos Perecederos (pollo) para el Servicio de Nutrición</t>
  </si>
  <si>
    <t>TOTAL DE PESOS: UN MILLON OCHENTA Y NUEVE MIL CON 00/100.</t>
  </si>
  <si>
    <t>Costo total estimado: UN MILLON OCHENTA Y NUEVE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</si>
</sst>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0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166" fontId="21" fillId="0" borderId="2" xfId="1" applyNumberFormat="1" applyFont="1" applyBorder="1" applyAlignment="1" applyProtection="1">
      <alignment horizontal="right" vertical="center" wrapText="1"/>
    </xf>
    <xf numFmtId="0" fontId="6" fillId="0" borderId="6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169" fontId="16" fillId="0" borderId="0" xfId="0" applyNumberFormat="1" applyFont="1"/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" fillId="0" borderId="2" xfId="5" applyBorder="1" applyAlignment="1">
      <alignment horizontal="left" vertical="center" wrapText="1"/>
    </xf>
    <xf numFmtId="170" fontId="16" fillId="0" borderId="0" xfId="0" applyNumberFormat="1" applyFont="1"/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9" fontId="19" fillId="0" borderId="2" xfId="0" applyNumberFormat="1" applyFont="1" applyBorder="1" applyAlignment="1">
      <alignment horizontal="center" vertical="center" wrapText="1"/>
    </xf>
    <xf numFmtId="0" fontId="1" fillId="0" borderId="2" xfId="5" applyBorder="1" applyAlignment="1">
      <alignment vertical="center"/>
    </xf>
    <xf numFmtId="0" fontId="26" fillId="0" borderId="0" xfId="0" applyFont="1"/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9" fontId="19" fillId="0" borderId="0" xfId="0" applyNumberFormat="1" applyFont="1" applyAlignment="1">
      <alignment horizontal="center" vertical="center" wrapText="1"/>
    </xf>
    <xf numFmtId="166" fontId="21" fillId="0" borderId="0" xfId="1" applyNumberFormat="1" applyFont="1" applyBorder="1" applyAlignment="1" applyProtection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16" fillId="0" borderId="4" xfId="0" applyFont="1" applyBorder="1"/>
    <xf numFmtId="0" fontId="2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23" fillId="0" borderId="31" xfId="0" applyFont="1" applyBorder="1" applyAlignment="1">
      <alignment horizontal="left" indent="3"/>
    </xf>
    <xf numFmtId="0" fontId="16" fillId="0" borderId="3" xfId="0" applyFont="1" applyBorder="1"/>
    <xf numFmtId="0" fontId="16" fillId="0" borderId="38" xfId="0" applyFont="1" applyBorder="1"/>
    <xf numFmtId="0" fontId="23" fillId="0" borderId="0" xfId="0" applyFont="1" applyAlignment="1">
      <alignment horizontal="left" indent="3"/>
    </xf>
    <xf numFmtId="0" fontId="29" fillId="0" borderId="37" xfId="0" applyFont="1" applyBorder="1"/>
    <xf numFmtId="0" fontId="29" fillId="0" borderId="39" xfId="0" applyFont="1" applyBorder="1" applyAlignment="1">
      <alignment horizontal="left" indent="3"/>
    </xf>
    <xf numFmtId="0" fontId="30" fillId="0" borderId="39" xfId="0" applyFont="1" applyBorder="1" applyAlignment="1">
      <alignment horizontal="left" indent="3"/>
    </xf>
    <xf numFmtId="0" fontId="30" fillId="0" borderId="39" xfId="0" applyFont="1" applyBorder="1"/>
    <xf numFmtId="0" fontId="29" fillId="0" borderId="39" xfId="0" applyFont="1" applyBorder="1" applyAlignment="1">
      <alignment horizontal="left" vertical="center" indent="3"/>
    </xf>
    <xf numFmtId="0" fontId="7" fillId="3" borderId="7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50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167" fontId="3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24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7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3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67" fontId="25" fillId="3" borderId="31" xfId="0" applyNumberFormat="1" applyFont="1" applyFill="1" applyBorder="1" applyAlignment="1">
      <alignment horizontal="center" vertical="center"/>
    </xf>
    <xf numFmtId="167" fontId="25" fillId="3" borderId="30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  <xf numFmtId="0" fontId="7" fillId="3" borderId="30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0" fillId="0" borderId="17" xfId="0" applyBorder="1"/>
    <xf numFmtId="0" fontId="12" fillId="0" borderId="18" xfId="0" applyFont="1" applyBorder="1"/>
    <xf numFmtId="0" fontId="12" fillId="3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99"/>
  <sheetViews>
    <sheetView zoomScale="77" zoomScaleNormal="77" workbookViewId="0">
      <selection activeCell="J15" sqref="J15"/>
    </sheetView>
  </sheetViews>
  <sheetFormatPr baseColWidth="10" defaultColWidth="11" defaultRowHeight="23.25" x14ac:dyDescent="0.35"/>
  <cols>
    <col min="1" max="1" width="4.5703125" style="29" customWidth="1"/>
    <col min="2" max="2" width="14.5703125" style="29" customWidth="1"/>
    <col min="3" max="3" width="32.42578125" style="37" customWidth="1"/>
    <col min="4" max="4" width="8.42578125" style="29" customWidth="1"/>
    <col min="5" max="5" width="79" style="33" customWidth="1"/>
    <col min="6" max="6" width="11" style="29"/>
    <col min="7" max="7" width="12.7109375" style="29" customWidth="1"/>
    <col min="8" max="8" width="13.85546875" style="38" customWidth="1"/>
    <col min="9" max="9" width="18.5703125" style="29" customWidth="1"/>
    <col min="10" max="10" width="42.5703125" style="29" customWidth="1"/>
    <col min="11" max="11" width="11" style="61"/>
    <col min="12" max="16384" width="11" style="29"/>
  </cols>
  <sheetData>
    <row r="2" spans="1:11" ht="27" x14ac:dyDescent="0.35">
      <c r="B2" s="99" t="s">
        <v>0</v>
      </c>
      <c r="C2" s="99"/>
      <c r="D2" s="99"/>
      <c r="E2" s="99"/>
      <c r="F2" s="99"/>
      <c r="G2" s="99"/>
      <c r="H2" s="99"/>
    </row>
    <row r="4" spans="1:11" ht="18" customHeight="1" x14ac:dyDescent="0.35">
      <c r="A4" s="98" t="s">
        <v>1</v>
      </c>
      <c r="B4" s="98"/>
      <c r="C4" s="100" t="s">
        <v>67</v>
      </c>
      <c r="D4" s="100"/>
      <c r="E4" s="100"/>
      <c r="F4" s="35"/>
      <c r="G4" s="39"/>
      <c r="H4" s="40"/>
    </row>
    <row r="5" spans="1:11" ht="18" customHeight="1" x14ac:dyDescent="0.35">
      <c r="A5" s="98" t="s">
        <v>2</v>
      </c>
      <c r="B5" s="98"/>
      <c r="C5" s="100" t="s">
        <v>54</v>
      </c>
      <c r="D5" s="100"/>
      <c r="E5" s="100"/>
      <c r="F5" s="35"/>
      <c r="G5" s="39"/>
      <c r="H5" s="40"/>
    </row>
    <row r="6" spans="1:11" ht="16.5" customHeight="1" x14ac:dyDescent="0.35">
      <c r="A6" s="98" t="s">
        <v>3</v>
      </c>
      <c r="B6" s="98"/>
      <c r="C6" s="41">
        <v>2022</v>
      </c>
      <c r="D6" s="42"/>
      <c r="E6" s="34"/>
      <c r="F6" s="35"/>
      <c r="G6" s="39"/>
      <c r="H6" s="40"/>
    </row>
    <row r="7" spans="1:11" ht="16.5" customHeight="1" x14ac:dyDescent="0.35">
      <c r="A7" s="98" t="s">
        <v>4</v>
      </c>
      <c r="B7" s="98"/>
      <c r="C7" s="41">
        <v>4</v>
      </c>
      <c r="D7" s="42"/>
      <c r="E7" s="34"/>
      <c r="F7" s="35"/>
      <c r="G7" s="39"/>
      <c r="H7" s="40"/>
    </row>
    <row r="8" spans="1:11" ht="24" thickBot="1" x14ac:dyDescent="0.4">
      <c r="B8" s="35"/>
      <c r="C8" s="43"/>
      <c r="D8" s="35"/>
      <c r="E8" s="36"/>
      <c r="F8" s="35"/>
      <c r="G8" s="39"/>
      <c r="H8" s="40"/>
    </row>
    <row r="9" spans="1:11" ht="38.25" x14ac:dyDescent="0.35">
      <c r="A9" s="44" t="s">
        <v>5</v>
      </c>
      <c r="B9" s="44" t="s">
        <v>6</v>
      </c>
      <c r="C9" s="69" t="s">
        <v>57</v>
      </c>
      <c r="D9" s="70" t="s">
        <v>7</v>
      </c>
      <c r="E9" s="44" t="s">
        <v>8</v>
      </c>
      <c r="F9" s="69" t="s">
        <v>9</v>
      </c>
      <c r="G9" s="71" t="s">
        <v>10</v>
      </c>
      <c r="H9" s="72" t="s">
        <v>11</v>
      </c>
      <c r="I9" s="73" t="s">
        <v>12</v>
      </c>
    </row>
    <row r="10" spans="1:11" ht="58.5" customHeight="1" x14ac:dyDescent="0.35">
      <c r="A10" s="30">
        <v>1</v>
      </c>
      <c r="B10" s="60" t="s">
        <v>58</v>
      </c>
      <c r="C10" s="32" t="s">
        <v>55</v>
      </c>
      <c r="D10" s="31" t="str">
        <f t="shared" ref="D10" si="0">LEFT(B10,5)</f>
        <v>2.1.1</v>
      </c>
      <c r="E10" s="45" t="s">
        <v>59</v>
      </c>
      <c r="F10" s="58" t="s">
        <v>56</v>
      </c>
      <c r="G10" s="58">
        <v>90</v>
      </c>
      <c r="H10" s="59">
        <v>12100</v>
      </c>
      <c r="I10" s="16">
        <f t="shared" ref="I10" si="1">H10*G10</f>
        <v>1089000</v>
      </c>
    </row>
    <row r="11" spans="1:11" ht="17.25" customHeight="1" x14ac:dyDescent="0.35">
      <c r="A11" s="62"/>
      <c r="B11" s="63"/>
      <c r="C11" s="63"/>
      <c r="D11" s="64"/>
      <c r="E11" s="65"/>
      <c r="F11" s="43"/>
      <c r="G11" s="43"/>
      <c r="H11" s="66"/>
      <c r="I11" s="67"/>
      <c r="J11" s="46"/>
    </row>
    <row r="12" spans="1:11" ht="14.25" customHeight="1" x14ac:dyDescent="0.35">
      <c r="A12" s="62"/>
      <c r="B12" s="63"/>
      <c r="C12" s="83"/>
      <c r="D12" s="78"/>
      <c r="E12" s="78"/>
      <c r="F12" s="78"/>
      <c r="G12" s="61"/>
      <c r="H12" s="29"/>
      <c r="K12" s="29"/>
    </row>
    <row r="13" spans="1:11" ht="14.25" customHeight="1" thickBot="1" x14ac:dyDescent="0.4">
      <c r="A13" s="62"/>
      <c r="B13" s="63"/>
      <c r="C13" s="83"/>
      <c r="D13" s="78"/>
      <c r="E13" s="78"/>
      <c r="F13" s="78"/>
      <c r="G13" s="61"/>
      <c r="H13" s="29"/>
      <c r="K13" s="29"/>
    </row>
    <row r="14" spans="1:11" ht="14.25" customHeight="1" x14ac:dyDescent="0.35">
      <c r="A14" s="62"/>
      <c r="B14" s="63"/>
      <c r="C14" s="84" t="s">
        <v>74</v>
      </c>
      <c r="D14" s="81"/>
      <c r="E14" s="81"/>
      <c r="F14" s="82"/>
      <c r="G14" s="61"/>
      <c r="H14" s="29"/>
      <c r="K14" s="29"/>
    </row>
    <row r="15" spans="1:11" ht="14.25" customHeight="1" x14ac:dyDescent="0.35">
      <c r="A15" s="62"/>
      <c r="B15" s="63"/>
      <c r="C15" s="87"/>
      <c r="E15" s="29"/>
      <c r="F15" s="74"/>
      <c r="G15" s="61"/>
      <c r="H15" s="29"/>
      <c r="K15" s="29"/>
    </row>
    <row r="16" spans="1:11" ht="14.25" customHeight="1" x14ac:dyDescent="0.35">
      <c r="A16" s="62"/>
      <c r="B16" s="63"/>
      <c r="C16" s="88" t="s">
        <v>13</v>
      </c>
      <c r="D16" s="101"/>
      <c r="E16" s="102"/>
      <c r="F16" s="74"/>
      <c r="G16" s="61"/>
      <c r="H16" s="29"/>
      <c r="K16" s="29"/>
    </row>
    <row r="17" spans="1:11" ht="14.25" customHeight="1" x14ac:dyDescent="0.35">
      <c r="A17" s="62"/>
      <c r="B17" s="63"/>
      <c r="C17" s="85"/>
      <c r="D17" s="103"/>
      <c r="E17" s="104"/>
      <c r="F17" s="104"/>
      <c r="G17" s="61"/>
      <c r="H17" s="29"/>
      <c r="K17" s="29"/>
    </row>
    <row r="18" spans="1:11" ht="14.25" customHeight="1" x14ac:dyDescent="0.35">
      <c r="A18" s="62"/>
      <c r="B18" s="63"/>
      <c r="C18" s="85"/>
      <c r="D18" s="75"/>
      <c r="E18" s="76"/>
      <c r="F18" s="77"/>
      <c r="G18" s="61"/>
      <c r="H18" s="29"/>
      <c r="K18" s="29"/>
    </row>
    <row r="19" spans="1:11" ht="134.25" customHeight="1" x14ac:dyDescent="0.35">
      <c r="A19" s="62"/>
      <c r="B19" s="63"/>
      <c r="C19" s="85" t="s">
        <v>62</v>
      </c>
      <c r="E19" s="76" t="s">
        <v>73</v>
      </c>
      <c r="F19" s="74"/>
      <c r="G19" s="61"/>
      <c r="H19" s="29"/>
      <c r="K19" s="29"/>
    </row>
    <row r="20" spans="1:11" ht="14.25" customHeight="1" x14ac:dyDescent="0.35">
      <c r="A20" s="62"/>
      <c r="B20" s="63"/>
      <c r="C20" s="86"/>
      <c r="D20" s="106"/>
      <c r="E20" s="106"/>
      <c r="F20" s="106"/>
      <c r="G20" s="61"/>
      <c r="H20" s="29"/>
      <c r="K20" s="29"/>
    </row>
    <row r="21" spans="1:11" ht="14.25" customHeight="1" x14ac:dyDescent="0.35">
      <c r="A21" s="62"/>
      <c r="B21" s="63"/>
      <c r="C21" s="85" t="s">
        <v>63</v>
      </c>
      <c r="D21" s="106" t="s">
        <v>65</v>
      </c>
      <c r="E21" s="106"/>
      <c r="F21" s="106"/>
      <c r="G21" s="61"/>
      <c r="H21" s="29"/>
      <c r="K21" s="29"/>
    </row>
    <row r="22" spans="1:11" ht="14.25" customHeight="1" x14ac:dyDescent="0.35">
      <c r="A22" s="62"/>
      <c r="B22" s="63"/>
      <c r="C22" s="85"/>
      <c r="D22" s="78"/>
      <c r="E22" s="78"/>
      <c r="F22" s="79"/>
      <c r="G22" s="61"/>
      <c r="H22" s="29"/>
      <c r="K22" s="29"/>
    </row>
    <row r="23" spans="1:11" ht="14.25" customHeight="1" x14ac:dyDescent="0.35">
      <c r="A23" s="62"/>
      <c r="B23" s="63"/>
      <c r="C23" s="85" t="s">
        <v>64</v>
      </c>
      <c r="D23" s="78"/>
      <c r="E23" s="78" t="s">
        <v>69</v>
      </c>
      <c r="F23" s="79"/>
      <c r="G23" s="61"/>
      <c r="H23" s="29"/>
      <c r="K23" s="29"/>
    </row>
    <row r="24" spans="1:11" ht="14.25" customHeight="1" x14ac:dyDescent="0.35">
      <c r="A24" s="62"/>
      <c r="B24" s="63"/>
      <c r="C24" s="85"/>
      <c r="D24" s="78"/>
      <c r="E24" s="78"/>
      <c r="F24" s="79"/>
      <c r="G24" s="61"/>
      <c r="H24" s="29"/>
      <c r="K24" s="29"/>
    </row>
    <row r="25" spans="1:11" ht="14.25" customHeight="1" x14ac:dyDescent="0.35">
      <c r="A25" s="62"/>
      <c r="B25" s="63"/>
      <c r="C25" s="85" t="s">
        <v>14</v>
      </c>
      <c r="E25" s="29"/>
      <c r="F25" s="74"/>
      <c r="G25" s="61"/>
      <c r="H25" s="29"/>
      <c r="K25" s="29"/>
    </row>
    <row r="26" spans="1:11" ht="14.25" customHeight="1" x14ac:dyDescent="0.35">
      <c r="A26" s="62"/>
      <c r="B26" s="63"/>
      <c r="C26" s="86"/>
      <c r="D26" s="104"/>
      <c r="E26" s="104"/>
      <c r="F26" s="104"/>
      <c r="G26" s="61"/>
      <c r="H26" s="29"/>
      <c r="K26" s="29"/>
    </row>
    <row r="27" spans="1:11" ht="14.25" customHeight="1" x14ac:dyDescent="0.35">
      <c r="A27" s="62"/>
      <c r="B27" s="63"/>
      <c r="C27" s="85" t="s">
        <v>15</v>
      </c>
      <c r="D27" s="76"/>
      <c r="E27" s="76" t="s">
        <v>70</v>
      </c>
      <c r="F27" s="77"/>
      <c r="G27" s="61"/>
      <c r="H27" s="29"/>
      <c r="K27" s="29"/>
    </row>
    <row r="28" spans="1:11" ht="14.25" customHeight="1" x14ac:dyDescent="0.35">
      <c r="A28" s="62"/>
      <c r="B28" s="63"/>
      <c r="C28" s="86"/>
      <c r="D28" s="104"/>
      <c r="E28" s="104"/>
      <c r="F28" s="104"/>
      <c r="G28" s="61"/>
      <c r="H28" s="29"/>
      <c r="K28" s="29"/>
    </row>
    <row r="29" spans="1:11" ht="14.25" customHeight="1" x14ac:dyDescent="0.35">
      <c r="A29" s="62"/>
      <c r="B29" s="63"/>
      <c r="C29" s="85" t="s">
        <v>16</v>
      </c>
      <c r="E29" s="29"/>
      <c r="F29" s="74"/>
      <c r="G29" s="61"/>
      <c r="H29" s="29"/>
      <c r="K29" s="29"/>
    </row>
    <row r="30" spans="1:11" ht="14.25" customHeight="1" thickBot="1" x14ac:dyDescent="0.4">
      <c r="A30" s="62"/>
      <c r="B30" s="63"/>
      <c r="C30" s="80"/>
      <c r="D30" s="105"/>
      <c r="E30" s="105"/>
      <c r="F30" s="105"/>
      <c r="G30" s="61"/>
      <c r="H30" s="29"/>
      <c r="K30" s="29"/>
    </row>
    <row r="31" spans="1:11" ht="14.25" customHeight="1" x14ac:dyDescent="0.35">
      <c r="A31" s="62"/>
      <c r="B31" s="63"/>
      <c r="C31" s="83"/>
      <c r="D31" s="78"/>
      <c r="E31" s="78"/>
      <c r="F31" s="78"/>
      <c r="G31" s="61"/>
      <c r="H31" s="29"/>
      <c r="K31" s="29"/>
    </row>
    <row r="32" spans="1:11" ht="14.25" customHeight="1" x14ac:dyDescent="0.35">
      <c r="A32" s="62"/>
      <c r="B32" s="63"/>
      <c r="G32" s="43"/>
      <c r="H32" s="66"/>
      <c r="I32" s="67"/>
      <c r="J32" s="46"/>
    </row>
    <row r="33" spans="1:10" ht="14.25" customHeight="1" x14ac:dyDescent="0.35">
      <c r="A33" s="62"/>
      <c r="B33" s="63"/>
      <c r="G33" s="43"/>
      <c r="H33" s="66"/>
      <c r="I33" s="67"/>
      <c r="J33" s="46"/>
    </row>
    <row r="34" spans="1:10" ht="14.25" customHeight="1" x14ac:dyDescent="0.35">
      <c r="A34" s="62"/>
      <c r="B34" s="63"/>
      <c r="G34" s="43"/>
      <c r="H34" s="66"/>
      <c r="I34" s="67"/>
      <c r="J34" s="46"/>
    </row>
    <row r="35" spans="1:10" ht="14.25" customHeight="1" x14ac:dyDescent="0.35">
      <c r="A35" s="62"/>
      <c r="B35" s="63"/>
      <c r="G35" s="43"/>
      <c r="H35" s="66"/>
      <c r="I35" s="67"/>
      <c r="J35" s="46"/>
    </row>
    <row r="36" spans="1:10" ht="14.25" customHeight="1" x14ac:dyDescent="0.35">
      <c r="A36" s="62"/>
      <c r="B36" s="63"/>
      <c r="G36" s="43"/>
      <c r="H36" s="66"/>
      <c r="I36" s="67"/>
      <c r="J36" s="46"/>
    </row>
    <row r="37" spans="1:10" ht="14.25" customHeight="1" x14ac:dyDescent="0.35">
      <c r="A37" s="62"/>
      <c r="B37" s="63"/>
      <c r="G37" s="43"/>
      <c r="H37" s="66"/>
      <c r="I37" s="67"/>
      <c r="J37" s="46"/>
    </row>
    <row r="38" spans="1:10" ht="14.25" customHeight="1" x14ac:dyDescent="0.35">
      <c r="A38" s="62"/>
      <c r="B38" s="63"/>
      <c r="G38" s="43"/>
      <c r="H38" s="66"/>
      <c r="I38" s="67"/>
      <c r="J38" s="46"/>
    </row>
    <row r="39" spans="1:10" ht="14.25" customHeight="1" x14ac:dyDescent="0.35">
      <c r="A39" s="62"/>
      <c r="B39" s="63"/>
      <c r="G39" s="43"/>
      <c r="H39" s="66"/>
      <c r="I39" s="67"/>
      <c r="J39" s="46"/>
    </row>
    <row r="40" spans="1:10" ht="14.25" customHeight="1" x14ac:dyDescent="0.35">
      <c r="A40" s="62"/>
      <c r="G40" s="43"/>
      <c r="H40" s="66"/>
      <c r="I40" s="67"/>
      <c r="J40" s="46"/>
    </row>
    <row r="41" spans="1:10" ht="14.25" customHeight="1" x14ac:dyDescent="0.35">
      <c r="A41" s="62"/>
      <c r="G41" s="43"/>
      <c r="H41" s="66"/>
      <c r="I41" s="67"/>
      <c r="J41" s="46"/>
    </row>
    <row r="42" spans="1:10" ht="14.25" customHeight="1" x14ac:dyDescent="0.35">
      <c r="A42" s="62"/>
      <c r="G42" s="43"/>
      <c r="H42" s="66"/>
      <c r="I42" s="67"/>
      <c r="J42" s="46"/>
    </row>
    <row r="43" spans="1:10" ht="30" customHeight="1" x14ac:dyDescent="0.35">
      <c r="A43" s="62"/>
      <c r="G43" s="43"/>
      <c r="H43" s="66"/>
      <c r="I43" s="67"/>
      <c r="J43" s="46"/>
    </row>
    <row r="44" spans="1:10" ht="14.25" customHeight="1" x14ac:dyDescent="0.35">
      <c r="A44" s="62"/>
      <c r="G44" s="43"/>
      <c r="H44" s="66"/>
      <c r="I44" s="67"/>
      <c r="J44" s="46"/>
    </row>
    <row r="45" spans="1:10" ht="14.25" customHeight="1" x14ac:dyDescent="0.35">
      <c r="A45" s="62"/>
      <c r="G45" s="43"/>
      <c r="H45" s="66"/>
      <c r="I45" s="67"/>
      <c r="J45" s="46"/>
    </row>
    <row r="46" spans="1:10" ht="14.25" customHeight="1" x14ac:dyDescent="0.35">
      <c r="A46" s="62"/>
      <c r="G46" s="43"/>
      <c r="H46" s="66"/>
      <c r="I46" s="67"/>
      <c r="J46" s="46"/>
    </row>
    <row r="47" spans="1:10" ht="14.25" customHeight="1" x14ac:dyDescent="0.35">
      <c r="A47" s="62"/>
      <c r="G47" s="43"/>
      <c r="H47" s="66"/>
      <c r="I47" s="67"/>
      <c r="J47" s="46"/>
    </row>
    <row r="48" spans="1:10" ht="14.25" customHeight="1" x14ac:dyDescent="0.35">
      <c r="A48" s="62"/>
      <c r="G48" s="43"/>
      <c r="H48" s="66"/>
      <c r="I48" s="67"/>
      <c r="J48" s="46"/>
    </row>
    <row r="49" spans="1:10" ht="14.25" customHeight="1" x14ac:dyDescent="0.35">
      <c r="A49" s="62"/>
      <c r="G49" s="43"/>
      <c r="H49" s="66"/>
      <c r="I49" s="67"/>
      <c r="J49" s="46"/>
    </row>
    <row r="50" spans="1:10" ht="14.25" customHeight="1" x14ac:dyDescent="0.35">
      <c r="A50" s="62"/>
      <c r="G50" s="43"/>
      <c r="H50" s="66"/>
      <c r="I50" s="67"/>
      <c r="J50" s="46"/>
    </row>
    <row r="51" spans="1:10" ht="14.25" customHeight="1" x14ac:dyDescent="0.35">
      <c r="A51" s="62"/>
      <c r="G51" s="43"/>
      <c r="H51" s="66"/>
      <c r="I51" s="67"/>
      <c r="J51" s="46"/>
    </row>
    <row r="52" spans="1:10" ht="14.25" customHeight="1" x14ac:dyDescent="0.35">
      <c r="A52" s="62"/>
      <c r="G52" s="43"/>
      <c r="H52" s="66"/>
      <c r="I52" s="67"/>
      <c r="J52" s="46"/>
    </row>
    <row r="53" spans="1:10" ht="14.25" customHeight="1" x14ac:dyDescent="0.35">
      <c r="A53" s="62"/>
      <c r="G53" s="43"/>
      <c r="H53" s="66"/>
      <c r="I53" s="67"/>
      <c r="J53" s="46"/>
    </row>
    <row r="54" spans="1:10" ht="14.25" customHeight="1" x14ac:dyDescent="0.35">
      <c r="A54" s="62"/>
      <c r="G54" s="43"/>
      <c r="H54" s="66"/>
      <c r="I54" s="67"/>
      <c r="J54" s="46"/>
    </row>
    <row r="55" spans="1:10" ht="14.25" customHeight="1" x14ac:dyDescent="0.35">
      <c r="A55" s="62"/>
      <c r="G55" s="43"/>
      <c r="H55" s="66"/>
      <c r="I55" s="67"/>
      <c r="J55" s="46"/>
    </row>
    <row r="56" spans="1:10" ht="14.25" customHeight="1" x14ac:dyDescent="0.35">
      <c r="A56" s="62"/>
      <c r="G56" s="43"/>
      <c r="H56" s="66"/>
      <c r="I56" s="67"/>
      <c r="J56" s="46"/>
    </row>
    <row r="57" spans="1:10" ht="14.25" customHeight="1" x14ac:dyDescent="0.35">
      <c r="A57" s="62"/>
      <c r="G57" s="43"/>
      <c r="H57" s="66"/>
      <c r="I57" s="67"/>
      <c r="J57" s="46"/>
    </row>
    <row r="58" spans="1:10" ht="14.25" customHeight="1" x14ac:dyDescent="0.35">
      <c r="A58" s="62"/>
      <c r="G58" s="43"/>
      <c r="H58" s="66"/>
      <c r="I58" s="67"/>
      <c r="J58" s="46"/>
    </row>
    <row r="59" spans="1:10" ht="14.25" customHeight="1" x14ac:dyDescent="0.35">
      <c r="A59" s="62"/>
      <c r="G59" s="43"/>
      <c r="H59" s="66"/>
      <c r="I59" s="67"/>
      <c r="J59" s="46"/>
    </row>
    <row r="60" spans="1:10" ht="14.25" customHeight="1" x14ac:dyDescent="0.35">
      <c r="A60" s="62"/>
      <c r="G60" s="43"/>
      <c r="H60" s="66"/>
      <c r="I60" s="67"/>
      <c r="J60" s="46"/>
    </row>
    <row r="61" spans="1:10" ht="14.25" customHeight="1" x14ac:dyDescent="0.35">
      <c r="A61" s="62"/>
      <c r="G61" s="43"/>
      <c r="H61" s="66"/>
      <c r="I61" s="67"/>
      <c r="J61" s="46"/>
    </row>
    <row r="62" spans="1:10" ht="14.25" customHeight="1" x14ac:dyDescent="0.35">
      <c r="A62" s="62"/>
      <c r="G62" s="43"/>
      <c r="H62" s="66"/>
      <c r="I62" s="67"/>
      <c r="J62" s="46"/>
    </row>
    <row r="63" spans="1:10" ht="14.25" customHeight="1" x14ac:dyDescent="0.35">
      <c r="A63" s="62"/>
      <c r="G63" s="43"/>
      <c r="H63" s="66"/>
      <c r="I63" s="67"/>
      <c r="J63" s="46"/>
    </row>
    <row r="64" spans="1:10" ht="14.25" customHeight="1" x14ac:dyDescent="0.35">
      <c r="A64" s="62"/>
      <c r="G64" s="43"/>
      <c r="H64" s="66"/>
      <c r="I64" s="67"/>
      <c r="J64" s="46"/>
    </row>
    <row r="65" spans="1:10" ht="14.25" customHeight="1" x14ac:dyDescent="0.35">
      <c r="A65" s="62"/>
      <c r="G65" s="43"/>
      <c r="H65" s="66"/>
      <c r="I65" s="67"/>
      <c r="J65" s="46"/>
    </row>
    <row r="66" spans="1:10" ht="14.25" customHeight="1" x14ac:dyDescent="0.35">
      <c r="A66" s="62"/>
      <c r="G66" s="43"/>
      <c r="H66" s="66"/>
      <c r="I66" s="67"/>
      <c r="J66" s="46"/>
    </row>
    <row r="67" spans="1:10" ht="14.25" customHeight="1" x14ac:dyDescent="0.35">
      <c r="A67" s="62"/>
      <c r="G67" s="43"/>
      <c r="H67" s="66"/>
      <c r="I67" s="67"/>
      <c r="J67" s="46"/>
    </row>
    <row r="68" spans="1:10" ht="14.25" customHeight="1" x14ac:dyDescent="0.35">
      <c r="A68" s="62"/>
      <c r="G68" s="43"/>
      <c r="H68" s="66"/>
      <c r="I68" s="67"/>
      <c r="J68" s="46"/>
    </row>
    <row r="69" spans="1:10" ht="14.25" customHeight="1" x14ac:dyDescent="0.35">
      <c r="A69" s="62"/>
      <c r="G69" s="43"/>
      <c r="H69" s="66"/>
      <c r="I69" s="67"/>
      <c r="J69" s="46"/>
    </row>
    <row r="70" spans="1:10" ht="14.25" customHeight="1" x14ac:dyDescent="0.35">
      <c r="A70" s="62"/>
      <c r="G70" s="43"/>
      <c r="H70" s="66"/>
      <c r="I70" s="67"/>
      <c r="J70" s="46"/>
    </row>
    <row r="71" spans="1:10" ht="14.25" customHeight="1" x14ac:dyDescent="0.35">
      <c r="A71" s="62"/>
      <c r="G71" s="43"/>
      <c r="H71" s="66"/>
      <c r="I71" s="67"/>
      <c r="J71" s="46"/>
    </row>
    <row r="72" spans="1:10" ht="14.25" customHeight="1" x14ac:dyDescent="0.35">
      <c r="A72" s="62"/>
      <c r="G72" s="43"/>
      <c r="H72" s="66"/>
      <c r="I72" s="67"/>
      <c r="J72" s="46"/>
    </row>
    <row r="73" spans="1:10" ht="14.25" customHeight="1" x14ac:dyDescent="0.35">
      <c r="A73" s="62"/>
      <c r="G73" s="43"/>
      <c r="H73" s="66"/>
      <c r="I73" s="67"/>
      <c r="J73" s="46"/>
    </row>
    <row r="74" spans="1:10" ht="14.25" customHeight="1" x14ac:dyDescent="0.35">
      <c r="A74" s="62"/>
      <c r="G74" s="43"/>
      <c r="H74" s="66"/>
      <c r="I74" s="67"/>
      <c r="J74" s="46"/>
    </row>
    <row r="75" spans="1:10" ht="14.25" customHeight="1" x14ac:dyDescent="0.35">
      <c r="A75" s="62"/>
      <c r="G75" s="43"/>
      <c r="H75" s="66"/>
      <c r="I75" s="67"/>
      <c r="J75" s="46"/>
    </row>
    <row r="76" spans="1:10" ht="14.25" customHeight="1" x14ac:dyDescent="0.35">
      <c r="A76" s="62"/>
      <c r="G76" s="43"/>
      <c r="H76" s="66"/>
      <c r="I76" s="67"/>
      <c r="J76" s="46"/>
    </row>
    <row r="77" spans="1:10" ht="14.25" customHeight="1" x14ac:dyDescent="0.35">
      <c r="A77" s="62"/>
      <c r="G77" s="43"/>
      <c r="H77" s="66"/>
      <c r="I77" s="67"/>
      <c r="J77" s="46"/>
    </row>
    <row r="78" spans="1:10" ht="14.25" customHeight="1" x14ac:dyDescent="0.35">
      <c r="A78" s="62"/>
      <c r="G78" s="43"/>
      <c r="H78" s="66"/>
      <c r="I78" s="67"/>
      <c r="J78" s="46"/>
    </row>
    <row r="79" spans="1:10" ht="23.25" customHeight="1" x14ac:dyDescent="0.35">
      <c r="A79" s="62"/>
      <c r="G79" s="43"/>
      <c r="H79" s="66"/>
      <c r="I79" s="67"/>
      <c r="J79" s="46"/>
    </row>
    <row r="80" spans="1:10" ht="14.25" customHeight="1" x14ac:dyDescent="0.35">
      <c r="A80" s="62"/>
      <c r="G80" s="43"/>
      <c r="H80" s="66"/>
      <c r="I80" s="67"/>
      <c r="J80" s="46"/>
    </row>
    <row r="81" spans="1:10" ht="14.25" customHeight="1" x14ac:dyDescent="0.35">
      <c r="A81" s="62"/>
      <c r="G81" s="43"/>
      <c r="H81" s="66"/>
      <c r="I81" s="67"/>
      <c r="J81" s="46"/>
    </row>
    <row r="82" spans="1:10" ht="14.25" customHeight="1" x14ac:dyDescent="0.35">
      <c r="A82" s="62"/>
      <c r="G82" s="43"/>
      <c r="H82" s="66"/>
      <c r="I82" s="67"/>
      <c r="J82" s="46"/>
    </row>
    <row r="83" spans="1:10" ht="14.25" customHeight="1" x14ac:dyDescent="0.35">
      <c r="A83" s="62"/>
      <c r="G83" s="43"/>
      <c r="H83" s="66"/>
      <c r="I83" s="67"/>
      <c r="J83" s="46"/>
    </row>
    <row r="84" spans="1:10" ht="14.25" customHeight="1" x14ac:dyDescent="0.35">
      <c r="A84" s="62"/>
      <c r="G84" s="43"/>
      <c r="H84" s="66"/>
      <c r="I84" s="67"/>
      <c r="J84" s="46"/>
    </row>
    <row r="85" spans="1:10" ht="14.25" customHeight="1" x14ac:dyDescent="0.35">
      <c r="A85" s="62"/>
      <c r="G85" s="43"/>
      <c r="H85" s="66"/>
      <c r="I85" s="67"/>
      <c r="J85" s="46"/>
    </row>
    <row r="86" spans="1:10" ht="14.25" customHeight="1" x14ac:dyDescent="0.35">
      <c r="A86" s="62"/>
      <c r="G86" s="43"/>
      <c r="H86" s="66"/>
      <c r="I86" s="67"/>
      <c r="J86" s="46"/>
    </row>
    <row r="87" spans="1:10" ht="14.25" customHeight="1" x14ac:dyDescent="0.35">
      <c r="A87" s="62"/>
      <c r="G87" s="43"/>
      <c r="H87" s="66"/>
      <c r="I87" s="67"/>
      <c r="J87" s="46"/>
    </row>
    <row r="88" spans="1:10" ht="14.25" customHeight="1" x14ac:dyDescent="0.35">
      <c r="A88" s="62"/>
      <c r="G88" s="43"/>
      <c r="H88" s="66"/>
      <c r="I88" s="67"/>
      <c r="J88" s="46"/>
    </row>
    <row r="89" spans="1:10" ht="14.25" customHeight="1" x14ac:dyDescent="0.35">
      <c r="A89" s="62"/>
      <c r="G89" s="43"/>
      <c r="H89" s="66"/>
      <c r="I89" s="67"/>
      <c r="J89" s="46"/>
    </row>
    <row r="90" spans="1:10" ht="14.25" customHeight="1" x14ac:dyDescent="0.35">
      <c r="A90" s="62"/>
      <c r="G90" s="43"/>
      <c r="H90" s="66"/>
      <c r="I90" s="67"/>
      <c r="J90" s="46"/>
    </row>
    <row r="91" spans="1:10" ht="14.25" customHeight="1" x14ac:dyDescent="0.35">
      <c r="A91" s="62"/>
      <c r="G91" s="43"/>
      <c r="H91" s="66"/>
      <c r="I91" s="67"/>
      <c r="J91" s="46"/>
    </row>
    <row r="92" spans="1:10" ht="14.25" customHeight="1" x14ac:dyDescent="0.35">
      <c r="A92" s="62"/>
      <c r="G92" s="43"/>
      <c r="H92" s="66"/>
      <c r="I92" s="67"/>
      <c r="J92" s="46"/>
    </row>
    <row r="93" spans="1:10" ht="14.25" customHeight="1" x14ac:dyDescent="0.35">
      <c r="A93" s="62"/>
      <c r="G93" s="43"/>
      <c r="H93" s="66"/>
      <c r="I93" s="67"/>
      <c r="J93" s="46"/>
    </row>
    <row r="94" spans="1:10" ht="14.25" customHeight="1" x14ac:dyDescent="0.35">
      <c r="A94" s="62"/>
      <c r="G94" s="43"/>
      <c r="H94" s="66"/>
      <c r="I94" s="67"/>
      <c r="J94" s="46"/>
    </row>
    <row r="95" spans="1:10" ht="14.25" customHeight="1" x14ac:dyDescent="0.35">
      <c r="A95" s="62"/>
      <c r="G95" s="43"/>
      <c r="H95" s="66"/>
      <c r="I95" s="67"/>
      <c r="J95" s="46"/>
    </row>
    <row r="96" spans="1:10" ht="14.25" customHeight="1" x14ac:dyDescent="0.35">
      <c r="A96" s="62"/>
      <c r="G96" s="43"/>
      <c r="H96" s="66"/>
      <c r="I96" s="67"/>
      <c r="J96" s="46"/>
    </row>
    <row r="97" spans="1:10" ht="14.25" customHeight="1" x14ac:dyDescent="0.35">
      <c r="A97" s="62"/>
      <c r="G97" s="43"/>
      <c r="H97" s="66"/>
      <c r="I97" s="67"/>
      <c r="J97" s="46"/>
    </row>
    <row r="98" spans="1:10" ht="14.25" customHeight="1" x14ac:dyDescent="0.35">
      <c r="A98" s="62"/>
      <c r="G98" s="43"/>
      <c r="H98" s="66"/>
      <c r="I98" s="67"/>
      <c r="J98" s="46"/>
    </row>
    <row r="99" spans="1:10" ht="14.25" customHeight="1" x14ac:dyDescent="0.35">
      <c r="A99" s="62"/>
      <c r="G99" s="43"/>
      <c r="H99" s="66"/>
      <c r="I99" s="67"/>
      <c r="J99" s="46"/>
    </row>
    <row r="100" spans="1:10" ht="14.25" customHeight="1" x14ac:dyDescent="0.35">
      <c r="A100" s="62"/>
      <c r="G100" s="43"/>
      <c r="H100" s="66"/>
      <c r="I100" s="67"/>
      <c r="J100" s="46"/>
    </row>
    <row r="101" spans="1:10" ht="14.25" customHeight="1" x14ac:dyDescent="0.35">
      <c r="A101" s="62"/>
      <c r="G101" s="43"/>
      <c r="H101" s="66"/>
      <c r="I101" s="67"/>
      <c r="J101" s="46"/>
    </row>
    <row r="102" spans="1:10" ht="14.25" customHeight="1" x14ac:dyDescent="0.35">
      <c r="A102" s="62"/>
      <c r="G102" s="43"/>
      <c r="H102" s="66"/>
      <c r="I102" s="67"/>
      <c r="J102" s="46"/>
    </row>
    <row r="103" spans="1:10" ht="14.25" customHeight="1" x14ac:dyDescent="0.35">
      <c r="A103" s="62"/>
      <c r="G103" s="43"/>
      <c r="H103" s="66"/>
      <c r="I103" s="67"/>
      <c r="J103" s="46"/>
    </row>
    <row r="104" spans="1:10" ht="14.25" customHeight="1" x14ac:dyDescent="0.35">
      <c r="A104" s="62"/>
      <c r="G104" s="43"/>
      <c r="H104" s="66"/>
      <c r="I104" s="67"/>
      <c r="J104" s="46"/>
    </row>
    <row r="105" spans="1:10" ht="14.25" customHeight="1" x14ac:dyDescent="0.35">
      <c r="A105" s="62"/>
      <c r="G105" s="43"/>
      <c r="H105" s="66"/>
      <c r="I105" s="67"/>
      <c r="J105" s="46"/>
    </row>
    <row r="106" spans="1:10" ht="14.25" customHeight="1" x14ac:dyDescent="0.35">
      <c r="A106" s="62"/>
      <c r="G106" s="43"/>
      <c r="H106" s="66"/>
      <c r="I106" s="67"/>
      <c r="J106" s="46"/>
    </row>
    <row r="107" spans="1:10" ht="14.25" customHeight="1" x14ac:dyDescent="0.35">
      <c r="A107" s="62"/>
      <c r="G107" s="43"/>
      <c r="H107" s="66"/>
      <c r="I107" s="67"/>
      <c r="J107" s="46"/>
    </row>
    <row r="108" spans="1:10" ht="14.25" customHeight="1" x14ac:dyDescent="0.35">
      <c r="A108" s="62"/>
      <c r="G108" s="43"/>
      <c r="H108" s="66"/>
      <c r="I108" s="67"/>
      <c r="J108" s="46"/>
    </row>
    <row r="109" spans="1:10" ht="14.25" customHeight="1" x14ac:dyDescent="0.35">
      <c r="A109" s="62"/>
      <c r="G109" s="43"/>
      <c r="H109" s="66"/>
      <c r="I109" s="67"/>
      <c r="J109" s="46"/>
    </row>
    <row r="110" spans="1:10" ht="14.25" customHeight="1" x14ac:dyDescent="0.35">
      <c r="A110" s="62"/>
      <c r="G110" s="43"/>
      <c r="H110" s="66"/>
      <c r="I110" s="67"/>
      <c r="J110" s="46"/>
    </row>
    <row r="111" spans="1:10" ht="14.25" customHeight="1" x14ac:dyDescent="0.35">
      <c r="A111" s="62"/>
      <c r="G111" s="43"/>
      <c r="H111" s="66"/>
      <c r="I111" s="67"/>
      <c r="J111" s="46"/>
    </row>
    <row r="112" spans="1:10" ht="14.25" customHeight="1" x14ac:dyDescent="0.35">
      <c r="A112" s="62"/>
      <c r="G112" s="43"/>
      <c r="H112" s="66"/>
      <c r="I112" s="67"/>
      <c r="J112" s="46"/>
    </row>
    <row r="113" spans="1:10" ht="14.25" customHeight="1" x14ac:dyDescent="0.35">
      <c r="A113" s="62"/>
      <c r="G113" s="43"/>
      <c r="H113" s="66"/>
      <c r="I113" s="67"/>
      <c r="J113" s="46"/>
    </row>
    <row r="114" spans="1:10" ht="14.25" customHeight="1" x14ac:dyDescent="0.35">
      <c r="A114" s="62"/>
      <c r="G114" s="43"/>
      <c r="H114" s="66"/>
      <c r="I114" s="67"/>
      <c r="J114" s="46"/>
    </row>
    <row r="115" spans="1:10" ht="27" customHeight="1" x14ac:dyDescent="0.35">
      <c r="A115" s="62"/>
      <c r="G115" s="43"/>
      <c r="H115" s="66"/>
      <c r="I115" s="67"/>
      <c r="J115" s="46"/>
    </row>
    <row r="116" spans="1:10" ht="14.25" customHeight="1" x14ac:dyDescent="0.35">
      <c r="A116" s="62"/>
      <c r="G116" s="43"/>
      <c r="H116" s="66"/>
      <c r="I116" s="67"/>
      <c r="J116" s="46"/>
    </row>
    <row r="117" spans="1:10" ht="14.25" customHeight="1" x14ac:dyDescent="0.35">
      <c r="A117" s="62"/>
      <c r="G117" s="43"/>
      <c r="H117" s="66"/>
      <c r="I117" s="67"/>
      <c r="J117" s="46"/>
    </row>
    <row r="118" spans="1:10" ht="14.25" customHeight="1" x14ac:dyDescent="0.35">
      <c r="A118" s="62"/>
      <c r="G118" s="43"/>
      <c r="H118" s="66"/>
      <c r="I118" s="67"/>
      <c r="J118" s="46"/>
    </row>
    <row r="119" spans="1:10" ht="14.25" customHeight="1" x14ac:dyDescent="0.35">
      <c r="A119" s="62"/>
      <c r="G119" s="43"/>
      <c r="H119" s="66"/>
      <c r="I119" s="67"/>
      <c r="J119" s="46"/>
    </row>
    <row r="120" spans="1:10" ht="14.25" customHeight="1" x14ac:dyDescent="0.35">
      <c r="A120" s="62"/>
      <c r="G120" s="43"/>
      <c r="H120" s="66"/>
      <c r="I120" s="67"/>
      <c r="J120" s="46"/>
    </row>
    <row r="121" spans="1:10" ht="14.25" customHeight="1" x14ac:dyDescent="0.35">
      <c r="A121" s="62"/>
      <c r="G121" s="43"/>
      <c r="H121" s="66"/>
      <c r="I121" s="67"/>
      <c r="J121" s="46"/>
    </row>
    <row r="122" spans="1:10" ht="14.25" customHeight="1" x14ac:dyDescent="0.35">
      <c r="A122" s="62"/>
      <c r="G122" s="43"/>
      <c r="H122" s="66"/>
      <c r="I122" s="67"/>
      <c r="J122" s="46"/>
    </row>
    <row r="123" spans="1:10" ht="14.25" customHeight="1" x14ac:dyDescent="0.35">
      <c r="A123" s="62"/>
      <c r="G123" s="43"/>
      <c r="H123" s="66"/>
      <c r="I123" s="67"/>
      <c r="J123" s="46"/>
    </row>
    <row r="124" spans="1:10" ht="14.25" customHeight="1" x14ac:dyDescent="0.35">
      <c r="A124" s="62"/>
      <c r="G124" s="43"/>
      <c r="H124" s="66"/>
      <c r="I124" s="67"/>
      <c r="J124" s="46"/>
    </row>
    <row r="125" spans="1:10" ht="14.25" customHeight="1" x14ac:dyDescent="0.35">
      <c r="A125" s="62"/>
      <c r="G125" s="43"/>
      <c r="H125" s="66"/>
      <c r="I125" s="67"/>
      <c r="J125" s="46"/>
    </row>
    <row r="126" spans="1:10" ht="14.25" customHeight="1" x14ac:dyDescent="0.35">
      <c r="A126" s="62"/>
      <c r="G126" s="43"/>
      <c r="H126" s="66"/>
      <c r="I126" s="67"/>
      <c r="J126" s="46"/>
    </row>
    <row r="127" spans="1:10" ht="14.25" customHeight="1" x14ac:dyDescent="0.35">
      <c r="A127" s="62"/>
      <c r="G127" s="43"/>
      <c r="H127" s="66"/>
      <c r="I127" s="67"/>
      <c r="J127" s="46"/>
    </row>
    <row r="128" spans="1:10" ht="14.25" customHeight="1" x14ac:dyDescent="0.35">
      <c r="A128" s="62"/>
      <c r="G128" s="43"/>
      <c r="H128" s="66"/>
      <c r="I128" s="67"/>
      <c r="J128" s="46"/>
    </row>
    <row r="129" spans="1:10" ht="14.25" customHeight="1" x14ac:dyDescent="0.35">
      <c r="A129" s="62"/>
      <c r="G129" s="43"/>
      <c r="H129" s="66"/>
      <c r="I129" s="67"/>
      <c r="J129" s="46"/>
    </row>
    <row r="130" spans="1:10" ht="14.25" customHeight="1" x14ac:dyDescent="0.35">
      <c r="A130" s="62"/>
      <c r="G130" s="43"/>
      <c r="H130" s="66"/>
      <c r="I130" s="67"/>
      <c r="J130" s="46"/>
    </row>
    <row r="131" spans="1:10" ht="14.25" customHeight="1" x14ac:dyDescent="0.35">
      <c r="A131" s="62"/>
      <c r="G131" s="43"/>
      <c r="H131" s="66"/>
      <c r="I131" s="67"/>
      <c r="J131" s="46"/>
    </row>
    <row r="132" spans="1:10" ht="14.25" customHeight="1" x14ac:dyDescent="0.35">
      <c r="A132" s="62"/>
      <c r="G132" s="43"/>
      <c r="H132" s="66"/>
      <c r="I132" s="67"/>
      <c r="J132" s="46"/>
    </row>
    <row r="133" spans="1:10" ht="31.5" customHeight="1" x14ac:dyDescent="0.35">
      <c r="A133" s="62"/>
      <c r="G133" s="43"/>
      <c r="H133" s="66"/>
      <c r="I133" s="67"/>
      <c r="J133" s="46"/>
    </row>
    <row r="134" spans="1:10" ht="14.25" customHeight="1" x14ac:dyDescent="0.35">
      <c r="A134" s="68"/>
      <c r="G134" s="43"/>
      <c r="H134" s="66"/>
      <c r="I134" s="67"/>
      <c r="J134" s="46"/>
    </row>
    <row r="135" spans="1:10" ht="14.25" customHeight="1" x14ac:dyDescent="0.35">
      <c r="A135" s="68"/>
      <c r="G135" s="43"/>
      <c r="H135" s="66"/>
      <c r="I135" s="67"/>
      <c r="J135" s="46"/>
    </row>
    <row r="136" spans="1:10" ht="14.25" customHeight="1" x14ac:dyDescent="0.35">
      <c r="A136" s="62"/>
      <c r="G136" s="43"/>
      <c r="H136" s="66"/>
      <c r="I136" s="67"/>
      <c r="J136" s="46"/>
    </row>
    <row r="137" spans="1:10" ht="14.25" customHeight="1" x14ac:dyDescent="0.35">
      <c r="A137" s="62"/>
      <c r="G137" s="43"/>
      <c r="H137" s="66"/>
      <c r="I137" s="67"/>
      <c r="J137" s="46"/>
    </row>
    <row r="138" spans="1:10" ht="14.25" customHeight="1" x14ac:dyDescent="0.35">
      <c r="A138" s="62"/>
      <c r="G138" s="43"/>
      <c r="H138" s="66"/>
      <c r="I138" s="67"/>
      <c r="J138" s="46"/>
    </row>
    <row r="139" spans="1:10" ht="14.25" customHeight="1" x14ac:dyDescent="0.35">
      <c r="A139" s="62"/>
      <c r="G139" s="43"/>
      <c r="H139" s="66"/>
      <c r="I139" s="67"/>
      <c r="J139" s="46"/>
    </row>
    <row r="140" spans="1:10" ht="14.25" customHeight="1" x14ac:dyDescent="0.35">
      <c r="A140" s="62"/>
      <c r="G140" s="43"/>
      <c r="H140" s="66"/>
      <c r="I140" s="67"/>
      <c r="J140" s="46"/>
    </row>
    <row r="141" spans="1:10" ht="14.25" customHeight="1" x14ac:dyDescent="0.35">
      <c r="A141" s="62"/>
      <c r="G141" s="43"/>
      <c r="H141" s="66"/>
      <c r="I141" s="67"/>
      <c r="J141" s="46"/>
    </row>
    <row r="142" spans="1:10" ht="14.25" customHeight="1" x14ac:dyDescent="0.35">
      <c r="A142" s="62"/>
      <c r="G142" s="43"/>
      <c r="H142" s="66"/>
      <c r="I142" s="67"/>
      <c r="J142" s="46"/>
    </row>
    <row r="143" spans="1:10" ht="14.25" customHeight="1" x14ac:dyDescent="0.35">
      <c r="A143" s="62"/>
      <c r="G143" s="43"/>
      <c r="H143" s="66"/>
      <c r="I143" s="67"/>
      <c r="J143" s="46"/>
    </row>
    <row r="144" spans="1:10" ht="14.25" customHeight="1" x14ac:dyDescent="0.35">
      <c r="A144" s="62"/>
      <c r="G144" s="43"/>
      <c r="H144" s="66"/>
      <c r="I144" s="67"/>
      <c r="J144" s="46"/>
    </row>
    <row r="145" spans="1:10" ht="14.25" customHeight="1" x14ac:dyDescent="0.35">
      <c r="A145" s="62"/>
      <c r="G145" s="43"/>
      <c r="H145" s="66"/>
      <c r="I145" s="67"/>
      <c r="J145" s="46"/>
    </row>
    <row r="146" spans="1:10" ht="14.25" customHeight="1" x14ac:dyDescent="0.35">
      <c r="A146" s="62"/>
      <c r="G146" s="43"/>
      <c r="H146" s="66"/>
      <c r="I146" s="67"/>
      <c r="J146" s="46"/>
    </row>
    <row r="147" spans="1:10" ht="14.25" customHeight="1" x14ac:dyDescent="0.35">
      <c r="A147" s="62"/>
      <c r="G147" s="43"/>
      <c r="H147" s="66"/>
      <c r="I147" s="67"/>
      <c r="J147" s="46"/>
    </row>
    <row r="148" spans="1:10" ht="14.25" customHeight="1" x14ac:dyDescent="0.35">
      <c r="A148" s="62"/>
      <c r="G148" s="43"/>
      <c r="H148" s="66"/>
      <c r="I148" s="67"/>
      <c r="J148" s="46"/>
    </row>
    <row r="149" spans="1:10" ht="14.25" customHeight="1" x14ac:dyDescent="0.35">
      <c r="A149" s="62"/>
      <c r="G149" s="43"/>
      <c r="H149" s="66"/>
      <c r="I149" s="67"/>
      <c r="J149" s="46"/>
    </row>
    <row r="150" spans="1:10" ht="14.25" customHeight="1" x14ac:dyDescent="0.35">
      <c r="A150" s="62"/>
      <c r="G150" s="43"/>
      <c r="H150" s="66"/>
      <c r="I150" s="67"/>
      <c r="J150" s="46"/>
    </row>
    <row r="151" spans="1:10" ht="14.25" customHeight="1" x14ac:dyDescent="0.35">
      <c r="A151" s="62"/>
      <c r="G151" s="43"/>
      <c r="H151" s="66"/>
      <c r="I151" s="67"/>
      <c r="J151" s="46"/>
    </row>
    <row r="152" spans="1:10" ht="14.25" customHeight="1" x14ac:dyDescent="0.35">
      <c r="A152" s="62"/>
      <c r="G152" s="43"/>
      <c r="H152" s="66"/>
      <c r="I152" s="67"/>
      <c r="J152" s="46"/>
    </row>
    <row r="153" spans="1:10" ht="14.25" customHeight="1" x14ac:dyDescent="0.35">
      <c r="A153" s="62"/>
      <c r="G153" s="43"/>
      <c r="H153" s="66"/>
      <c r="I153" s="67"/>
      <c r="J153" s="46"/>
    </row>
    <row r="154" spans="1:10" ht="14.25" customHeight="1" x14ac:dyDescent="0.35">
      <c r="A154" s="62"/>
      <c r="G154" s="43"/>
      <c r="H154" s="66"/>
      <c r="I154" s="67"/>
      <c r="J154" s="46"/>
    </row>
    <row r="155" spans="1:10" ht="14.25" customHeight="1" x14ac:dyDescent="0.35">
      <c r="A155" s="62"/>
      <c r="G155" s="43"/>
      <c r="H155" s="66"/>
      <c r="I155" s="67"/>
      <c r="J155" s="46"/>
    </row>
    <row r="156" spans="1:10" ht="14.25" customHeight="1" x14ac:dyDescent="0.35">
      <c r="A156" s="62"/>
      <c r="G156" s="43"/>
      <c r="H156" s="66"/>
      <c r="I156" s="67"/>
      <c r="J156" s="46"/>
    </row>
    <row r="157" spans="1:10" ht="14.25" customHeight="1" x14ac:dyDescent="0.35">
      <c r="A157" s="62"/>
      <c r="G157" s="43"/>
      <c r="H157" s="66"/>
      <c r="I157" s="67"/>
      <c r="J157" s="46"/>
    </row>
    <row r="158" spans="1:10" ht="14.25" customHeight="1" x14ac:dyDescent="0.35">
      <c r="A158" s="62"/>
      <c r="G158" s="43"/>
      <c r="H158" s="66"/>
      <c r="I158" s="67"/>
      <c r="J158" s="46"/>
    </row>
    <row r="159" spans="1:10" ht="14.25" customHeight="1" x14ac:dyDescent="0.35">
      <c r="A159" s="62"/>
      <c r="G159" s="43"/>
      <c r="H159" s="66"/>
      <c r="I159" s="67"/>
      <c r="J159" s="46"/>
    </row>
    <row r="160" spans="1:10" ht="14.25" customHeight="1" x14ac:dyDescent="0.35">
      <c r="A160" s="62"/>
      <c r="G160" s="43"/>
      <c r="H160" s="66"/>
      <c r="I160" s="67"/>
      <c r="J160" s="46"/>
    </row>
    <row r="161" spans="1:10" ht="14.25" customHeight="1" x14ac:dyDescent="0.35">
      <c r="A161" s="62"/>
      <c r="G161" s="43"/>
      <c r="H161" s="66"/>
      <c r="I161" s="67"/>
      <c r="J161" s="46"/>
    </row>
    <row r="162" spans="1:10" ht="14.25" customHeight="1" x14ac:dyDescent="0.35">
      <c r="A162" s="62"/>
      <c r="G162" s="43"/>
      <c r="H162" s="66"/>
      <c r="I162" s="67"/>
      <c r="J162" s="46"/>
    </row>
    <row r="163" spans="1:10" ht="14.25" customHeight="1" x14ac:dyDescent="0.35">
      <c r="A163" s="62"/>
      <c r="G163" s="43"/>
      <c r="H163" s="66"/>
      <c r="I163" s="67"/>
      <c r="J163" s="46"/>
    </row>
    <row r="164" spans="1:10" ht="14.25" customHeight="1" x14ac:dyDescent="0.35">
      <c r="A164" s="62"/>
      <c r="G164" s="43"/>
      <c r="H164" s="66"/>
      <c r="I164" s="67"/>
      <c r="J164" s="46"/>
    </row>
    <row r="165" spans="1:10" ht="14.25" customHeight="1" x14ac:dyDescent="0.35">
      <c r="A165" s="62"/>
      <c r="G165" s="43"/>
      <c r="H165" s="66"/>
      <c r="I165" s="67"/>
      <c r="J165" s="46"/>
    </row>
    <row r="166" spans="1:10" ht="14.25" customHeight="1" x14ac:dyDescent="0.35">
      <c r="A166" s="62"/>
      <c r="G166" s="43"/>
      <c r="H166" s="66"/>
      <c r="I166" s="67"/>
      <c r="J166" s="46"/>
    </row>
    <row r="167" spans="1:10" ht="14.25" customHeight="1" x14ac:dyDescent="0.35">
      <c r="A167" s="62"/>
      <c r="G167" s="43"/>
      <c r="H167" s="66"/>
      <c r="I167" s="67"/>
      <c r="J167" s="46"/>
    </row>
    <row r="168" spans="1:10" ht="14.25" customHeight="1" x14ac:dyDescent="0.35">
      <c r="A168" s="62"/>
      <c r="G168" s="43"/>
      <c r="H168" s="66"/>
      <c r="I168" s="67"/>
      <c r="J168" s="46"/>
    </row>
    <row r="169" spans="1:10" ht="14.25" customHeight="1" x14ac:dyDescent="0.35">
      <c r="A169" s="62"/>
      <c r="G169" s="43"/>
      <c r="H169" s="66"/>
      <c r="I169" s="67"/>
      <c r="J169" s="46"/>
    </row>
    <row r="170" spans="1:10" ht="14.25" customHeight="1" x14ac:dyDescent="0.35">
      <c r="A170" s="62"/>
      <c r="G170" s="43"/>
      <c r="H170" s="66"/>
      <c r="I170" s="67"/>
      <c r="J170" s="46"/>
    </row>
    <row r="171" spans="1:10" ht="14.25" customHeight="1" x14ac:dyDescent="0.35">
      <c r="A171" s="62"/>
      <c r="G171" s="43"/>
      <c r="H171" s="66"/>
      <c r="I171" s="67"/>
      <c r="J171" s="46"/>
    </row>
    <row r="172" spans="1:10" ht="14.25" customHeight="1" x14ac:dyDescent="0.35">
      <c r="A172" s="62"/>
      <c r="G172" s="43"/>
      <c r="H172" s="66"/>
      <c r="I172" s="67"/>
      <c r="J172" s="46"/>
    </row>
    <row r="173" spans="1:10" ht="14.25" customHeight="1" x14ac:dyDescent="0.35">
      <c r="A173" s="62"/>
      <c r="G173" s="43"/>
      <c r="H173" s="66"/>
      <c r="I173" s="67"/>
      <c r="J173" s="46"/>
    </row>
    <row r="174" spans="1:10" ht="14.25" customHeight="1" x14ac:dyDescent="0.35">
      <c r="A174" s="62"/>
      <c r="G174" s="43"/>
      <c r="H174" s="66"/>
      <c r="I174" s="67"/>
      <c r="J174" s="46"/>
    </row>
    <row r="175" spans="1:10" ht="14.25" customHeight="1" x14ac:dyDescent="0.35">
      <c r="A175" s="62"/>
      <c r="G175" s="43"/>
      <c r="H175" s="66"/>
      <c r="I175" s="67"/>
      <c r="J175" s="46"/>
    </row>
    <row r="176" spans="1:10" ht="14.25" customHeight="1" x14ac:dyDescent="0.35">
      <c r="A176" s="62"/>
      <c r="G176" s="43"/>
      <c r="H176" s="66"/>
      <c r="I176" s="67"/>
      <c r="J176" s="46"/>
    </row>
    <row r="177" spans="1:10" ht="14.25" customHeight="1" x14ac:dyDescent="0.35">
      <c r="A177" s="62"/>
      <c r="G177" s="43"/>
      <c r="H177" s="66"/>
      <c r="I177" s="67"/>
      <c r="J177" s="46"/>
    </row>
    <row r="178" spans="1:10" ht="14.25" customHeight="1" x14ac:dyDescent="0.35">
      <c r="A178" s="62"/>
      <c r="G178" s="43"/>
      <c r="H178" s="66"/>
      <c r="I178" s="67"/>
      <c r="J178" s="46"/>
    </row>
    <row r="179" spans="1:10" ht="14.25" customHeight="1" x14ac:dyDescent="0.35">
      <c r="A179" s="62"/>
      <c r="G179" s="43"/>
      <c r="H179" s="66"/>
      <c r="I179" s="67"/>
      <c r="J179" s="46"/>
    </row>
    <row r="180" spans="1:10" ht="14.25" customHeight="1" x14ac:dyDescent="0.35">
      <c r="A180" s="62"/>
      <c r="G180" s="43"/>
      <c r="H180" s="66"/>
      <c r="I180" s="67"/>
      <c r="J180" s="46"/>
    </row>
    <row r="181" spans="1:10" ht="14.25" customHeight="1" x14ac:dyDescent="0.35">
      <c r="A181" s="62"/>
      <c r="G181" s="43"/>
      <c r="H181" s="66"/>
      <c r="I181" s="67"/>
      <c r="J181" s="46"/>
    </row>
    <row r="182" spans="1:10" ht="14.25" customHeight="1" x14ac:dyDescent="0.35">
      <c r="A182" s="62"/>
      <c r="G182" s="43"/>
      <c r="H182" s="66"/>
      <c r="I182" s="67"/>
      <c r="J182" s="46"/>
    </row>
    <row r="183" spans="1:10" ht="14.25" customHeight="1" x14ac:dyDescent="0.35">
      <c r="A183" s="62"/>
      <c r="G183" s="43"/>
      <c r="H183" s="66"/>
      <c r="I183" s="67"/>
      <c r="J183" s="46"/>
    </row>
    <row r="184" spans="1:10" ht="14.25" customHeight="1" x14ac:dyDescent="0.35">
      <c r="A184" s="62"/>
      <c r="G184" s="43"/>
      <c r="H184" s="66"/>
      <c r="I184" s="67"/>
      <c r="J184" s="46"/>
    </row>
    <row r="185" spans="1:10" ht="14.25" customHeight="1" x14ac:dyDescent="0.35">
      <c r="A185" s="62"/>
      <c r="G185" s="43"/>
      <c r="H185" s="66"/>
      <c r="I185" s="67"/>
      <c r="J185" s="46"/>
    </row>
    <row r="186" spans="1:10" ht="14.25" customHeight="1" x14ac:dyDescent="0.35">
      <c r="A186" s="62"/>
      <c r="G186" s="43"/>
      <c r="H186" s="66"/>
      <c r="I186" s="67"/>
      <c r="J186" s="46"/>
    </row>
    <row r="187" spans="1:10" ht="14.25" customHeight="1" x14ac:dyDescent="0.35">
      <c r="A187" s="62"/>
      <c r="G187" s="43"/>
      <c r="H187" s="66"/>
      <c r="I187" s="67"/>
      <c r="J187" s="46"/>
    </row>
    <row r="188" spans="1:10" ht="14.25" customHeight="1" x14ac:dyDescent="0.35">
      <c r="A188" s="62"/>
      <c r="G188" s="43"/>
      <c r="H188" s="66"/>
      <c r="I188" s="67"/>
      <c r="J188" s="46"/>
    </row>
    <row r="189" spans="1:10" ht="14.25" customHeight="1" x14ac:dyDescent="0.35">
      <c r="A189" s="62"/>
      <c r="G189" s="43"/>
      <c r="H189" s="66"/>
      <c r="I189" s="67"/>
      <c r="J189" s="46"/>
    </row>
    <row r="190" spans="1:10" ht="14.25" customHeight="1" x14ac:dyDescent="0.35">
      <c r="A190" s="62"/>
      <c r="G190" s="43"/>
      <c r="H190" s="66"/>
      <c r="I190" s="67"/>
      <c r="J190" s="46"/>
    </row>
    <row r="191" spans="1:10" ht="14.25" customHeight="1" x14ac:dyDescent="0.35">
      <c r="A191" s="62"/>
      <c r="G191" s="43"/>
      <c r="H191" s="66"/>
      <c r="I191" s="67"/>
      <c r="J191" s="46"/>
    </row>
    <row r="192" spans="1:10" ht="14.25" customHeight="1" x14ac:dyDescent="0.35">
      <c r="A192" s="62"/>
      <c r="G192" s="43"/>
      <c r="H192" s="66"/>
      <c r="I192" s="67"/>
      <c r="J192" s="46"/>
    </row>
    <row r="193" spans="1:10" ht="14.25" customHeight="1" x14ac:dyDescent="0.35">
      <c r="A193" s="62"/>
      <c r="G193" s="43"/>
      <c r="H193" s="66"/>
      <c r="I193" s="67"/>
      <c r="J193" s="46"/>
    </row>
    <row r="194" spans="1:10" ht="14.25" customHeight="1" x14ac:dyDescent="0.35">
      <c r="A194" s="62"/>
      <c r="G194" s="43"/>
      <c r="H194" s="66"/>
      <c r="I194" s="67"/>
      <c r="J194" s="46"/>
    </row>
    <row r="195" spans="1:10" ht="14.25" customHeight="1" x14ac:dyDescent="0.35">
      <c r="A195" s="62"/>
      <c r="G195" s="43"/>
      <c r="H195" s="66"/>
      <c r="I195" s="67"/>
      <c r="J195" s="46"/>
    </row>
    <row r="196" spans="1:10" ht="14.25" customHeight="1" x14ac:dyDescent="0.35">
      <c r="A196" s="62"/>
      <c r="G196" s="43"/>
      <c r="H196" s="66"/>
      <c r="I196" s="67"/>
      <c r="J196" s="46"/>
    </row>
    <row r="197" spans="1:10" ht="14.25" customHeight="1" x14ac:dyDescent="0.35">
      <c r="A197" s="62"/>
      <c r="G197" s="43"/>
      <c r="H197" s="66"/>
      <c r="I197" s="67"/>
      <c r="J197" s="46"/>
    </row>
    <row r="198" spans="1:10" ht="14.25" customHeight="1" x14ac:dyDescent="0.35">
      <c r="A198" s="62"/>
      <c r="G198" s="43"/>
      <c r="H198" s="66"/>
      <c r="I198" s="67"/>
      <c r="J198" s="46"/>
    </row>
    <row r="199" spans="1:10" ht="14.25" customHeight="1" x14ac:dyDescent="0.35">
      <c r="A199" s="62"/>
      <c r="G199" s="43"/>
      <c r="H199" s="66"/>
      <c r="I199" s="67"/>
      <c r="J199" s="46"/>
    </row>
  </sheetData>
  <autoFilter ref="E1:E199" xr:uid="{00000000-0009-0000-0000-000000000000}"/>
  <mergeCells count="14">
    <mergeCell ref="D16:E16"/>
    <mergeCell ref="D17:F17"/>
    <mergeCell ref="D28:F28"/>
    <mergeCell ref="D30:F30"/>
    <mergeCell ref="D20:F20"/>
    <mergeCell ref="D21:F21"/>
    <mergeCell ref="D26:F26"/>
    <mergeCell ref="A6:B6"/>
    <mergeCell ref="A7:B7"/>
    <mergeCell ref="B2:H2"/>
    <mergeCell ref="A4:B4"/>
    <mergeCell ref="C4:E4"/>
    <mergeCell ref="A5:B5"/>
    <mergeCell ref="C5:E5"/>
  </mergeCells>
  <pageMargins left="0" right="0" top="0" bottom="0" header="0" footer="0"/>
  <pageSetup paperSize="5" scale="65" firstPageNumber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tabSelected="1" topLeftCell="A4" zoomScale="72" zoomScaleNormal="72" workbookViewId="0">
      <selection activeCell="A13" sqref="A13:I13"/>
    </sheetView>
  </sheetViews>
  <sheetFormatPr baseColWidth="10" defaultColWidth="9.140625" defaultRowHeight="50.1" customHeight="1" x14ac:dyDescent="0.2"/>
  <cols>
    <col min="1" max="1" width="5.5703125" style="18" customWidth="1"/>
    <col min="2" max="2" width="15.140625" style="18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18" customWidth="1"/>
    <col min="9" max="9" width="15.5703125" style="18" customWidth="1"/>
    <col min="10" max="10" width="14.7109375" style="18" customWidth="1"/>
    <col min="11" max="11" width="15.5703125" style="18" customWidth="1"/>
    <col min="12" max="13" width="5.85546875" style="18" customWidth="1"/>
    <col min="14" max="14" width="20.140625" style="18" customWidth="1"/>
    <col min="15" max="15" width="12.5703125" style="18" customWidth="1"/>
    <col min="16" max="1024" width="9.140625" style="18"/>
  </cols>
  <sheetData>
    <row r="1" spans="1:1024" ht="27.75" customHeight="1" x14ac:dyDescent="0.2">
      <c r="A1" s="112" t="s">
        <v>17</v>
      </c>
      <c r="B1" s="112"/>
      <c r="C1" s="112"/>
      <c r="D1" s="112"/>
      <c r="E1" s="112"/>
      <c r="F1" s="112"/>
      <c r="G1" s="112"/>
      <c r="H1" s="112"/>
      <c r="I1" s="112"/>
      <c r="J1" s="17" t="s">
        <v>18</v>
      </c>
      <c r="K1" s="89" t="s">
        <v>72</v>
      </c>
    </row>
    <row r="2" spans="1:1024" ht="12" customHeight="1" thickBot="1" x14ac:dyDescent="0.25">
      <c r="A2" s="19"/>
      <c r="B2" s="19"/>
      <c r="C2" s="23"/>
      <c r="D2" s="24"/>
      <c r="E2" s="24"/>
      <c r="F2" s="24"/>
      <c r="G2" s="24"/>
      <c r="H2" s="20"/>
      <c r="I2" s="20"/>
      <c r="J2" s="20"/>
      <c r="K2" s="20"/>
    </row>
    <row r="3" spans="1:1024" ht="22.5" customHeight="1" thickBot="1" x14ac:dyDescent="0.25">
      <c r="A3" s="113" t="s">
        <v>51</v>
      </c>
      <c r="B3" s="113"/>
      <c r="C3" s="113"/>
      <c r="D3" s="114" t="str">
        <f>'ALIMENTOS PERECEDEROS'!C4</f>
        <v>40-Ministerio de Salud</v>
      </c>
      <c r="E3" s="114"/>
      <c r="F3" s="114"/>
      <c r="G3" s="114"/>
      <c r="H3" s="114"/>
      <c r="I3" s="114"/>
      <c r="J3" s="114"/>
      <c r="K3" s="114"/>
    </row>
    <row r="4" spans="1:1024" ht="16.5" customHeight="1" thickBot="1" x14ac:dyDescent="0.25">
      <c r="A4" s="115" t="s">
        <v>52</v>
      </c>
      <c r="B4" s="115"/>
      <c r="C4" s="115"/>
      <c r="D4" s="114" t="str">
        <f>'ALIMENTOS PERECEDEROS'!C5</f>
        <v>28- Maternidad Provincial 25 de Mayo</v>
      </c>
      <c r="E4" s="114"/>
      <c r="F4" s="114"/>
      <c r="G4" s="114"/>
      <c r="H4" s="114"/>
      <c r="I4" s="114"/>
      <c r="J4" s="114"/>
      <c r="K4" s="114"/>
    </row>
    <row r="5" spans="1:1024" ht="17.25" customHeight="1" thickBot="1" x14ac:dyDescent="0.25">
      <c r="A5" s="115" t="s">
        <v>30</v>
      </c>
      <c r="B5" s="115"/>
      <c r="C5" s="115"/>
      <c r="D5" s="114" t="s">
        <v>68</v>
      </c>
      <c r="E5" s="114"/>
      <c r="F5" s="114"/>
      <c r="G5" s="114"/>
      <c r="H5" s="114"/>
      <c r="I5" s="114"/>
      <c r="J5" s="114"/>
      <c r="K5" s="114"/>
    </row>
    <row r="6" spans="1:1024" ht="20.25" customHeight="1" thickBot="1" x14ac:dyDescent="0.25">
      <c r="A6" s="113" t="s">
        <v>53</v>
      </c>
      <c r="B6" s="113"/>
      <c r="C6" s="113"/>
      <c r="D6" s="114" t="s">
        <v>71</v>
      </c>
      <c r="E6" s="114"/>
      <c r="F6" s="114"/>
      <c r="G6" s="114"/>
      <c r="H6" s="114"/>
      <c r="I6" s="114"/>
      <c r="J6" s="114"/>
      <c r="K6" s="114"/>
    </row>
    <row r="7" spans="1:1024" ht="18.75" customHeight="1" x14ac:dyDescent="0.2">
      <c r="A7" s="115" t="s">
        <v>19</v>
      </c>
      <c r="B7" s="115"/>
      <c r="C7" s="115"/>
      <c r="D7" s="114" t="str">
        <f>'ALIMENTOS PERECEDEROS'!C7 &amp; "° Trimestre - Año " &amp; 'ALIMENTOS PERECEDEROS'!C6</f>
        <v>4° Trimestre - Año 2022</v>
      </c>
      <c r="E7" s="114"/>
      <c r="F7" s="114"/>
      <c r="G7" s="114"/>
      <c r="H7" s="114"/>
      <c r="I7" s="114"/>
      <c r="J7" s="114"/>
      <c r="K7" s="114"/>
    </row>
    <row r="8" spans="1:1024" ht="16.5" customHeight="1" x14ac:dyDescent="0.2">
      <c r="A8" s="116" t="s">
        <v>20</v>
      </c>
      <c r="B8" s="116"/>
      <c r="C8" s="116"/>
      <c r="D8" s="118" t="s">
        <v>76</v>
      </c>
      <c r="E8" s="118"/>
      <c r="F8" s="118"/>
      <c r="G8" s="118"/>
      <c r="H8" s="118"/>
      <c r="I8" s="118"/>
      <c r="J8" s="118"/>
      <c r="K8" s="118"/>
    </row>
    <row r="9" spans="1:1024" ht="18" customHeight="1" x14ac:dyDescent="0.2">
      <c r="A9" s="21"/>
      <c r="B9" s="21"/>
      <c r="C9" s="25"/>
      <c r="D9" s="26"/>
      <c r="E9" s="26"/>
      <c r="F9" s="26"/>
      <c r="G9" s="26"/>
      <c r="H9" s="22"/>
      <c r="I9" s="22"/>
      <c r="J9" s="22"/>
      <c r="K9" s="22"/>
    </row>
    <row r="10" spans="1:1024" ht="50.1" customHeight="1" thickBot="1" x14ac:dyDescent="0.25">
      <c r="A10" s="123" t="s">
        <v>21</v>
      </c>
      <c r="B10" s="119" t="s">
        <v>22</v>
      </c>
      <c r="C10" s="119" t="s">
        <v>23</v>
      </c>
      <c r="D10" s="119"/>
      <c r="E10" s="119"/>
      <c r="F10" s="119"/>
      <c r="G10" s="119"/>
      <c r="H10" s="119" t="s">
        <v>24</v>
      </c>
      <c r="I10" s="119" t="s">
        <v>25</v>
      </c>
      <c r="J10" s="119" t="s">
        <v>26</v>
      </c>
      <c r="K10" s="121" t="s">
        <v>27</v>
      </c>
    </row>
    <row r="11" spans="1:1024" ht="50.1" customHeight="1" thickBot="1" x14ac:dyDescent="0.25">
      <c r="A11" s="124"/>
      <c r="B11" s="120"/>
      <c r="C11" s="120"/>
      <c r="D11" s="120"/>
      <c r="E11" s="120"/>
      <c r="F11" s="120"/>
      <c r="G11" s="120"/>
      <c r="H11" s="120"/>
      <c r="I11" s="120"/>
      <c r="J11" s="120"/>
      <c r="K11" s="122"/>
    </row>
    <row r="12" spans="1:1024" s="28" customFormat="1" ht="50.1" customHeight="1" x14ac:dyDescent="0.2">
      <c r="A12" s="90">
        <f>+'ALIMENTOS PERECEDEROS'!A10</f>
        <v>1</v>
      </c>
      <c r="B12" s="94" t="str">
        <f>+'ALIMENTOS PERECEDEROS'!B10</f>
        <v>2.1.1-621.20</v>
      </c>
      <c r="C12" s="117" t="str">
        <f>+'ALIMENTOS PERECEDEROS'!E10</f>
        <v>AVES; TIPO: POLLO, PRESENTACION: CAJA X 22 Kg, EVISCERADO: SI, ELEM. TRANSPORTE: SIN, MATERIAL ELEM. TRANSPORTE: SIN, LIBRE DE GLUTEN: SIN VALOR</v>
      </c>
      <c r="D12" s="117"/>
      <c r="E12" s="117"/>
      <c r="F12" s="117"/>
      <c r="G12" s="117"/>
      <c r="H12" s="91" t="s">
        <v>66</v>
      </c>
      <c r="I12" s="91" t="str">
        <f>+'ALIMENTOS PERECEDEROS'!F10</f>
        <v>CAJA</v>
      </c>
      <c r="J12" s="92">
        <f>+'ALIMENTOS PERECEDEROS'!H10</f>
        <v>12100</v>
      </c>
      <c r="K12" s="93">
        <f>+'ALIMENTOS PERECEDEROS'!G10</f>
        <v>90</v>
      </c>
      <c r="L12" s="95"/>
      <c r="M12" s="27"/>
      <c r="N12" s="9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ht="50.1" customHeight="1" thickBot="1" x14ac:dyDescent="0.25">
      <c r="A13" s="109" t="s">
        <v>78</v>
      </c>
      <c r="B13" s="110"/>
      <c r="C13" s="110"/>
      <c r="D13" s="110"/>
      <c r="E13" s="110"/>
      <c r="F13" s="110"/>
      <c r="G13" s="110"/>
      <c r="H13" s="110"/>
      <c r="I13" s="111"/>
      <c r="J13" s="107">
        <f>SUMPRODUCT(J12:J12,K12:K12)</f>
        <v>1089000</v>
      </c>
      <c r="K13" s="108"/>
      <c r="L13" s="96"/>
    </row>
  </sheetData>
  <mergeCells count="23">
    <mergeCell ref="J10:J11"/>
    <mergeCell ref="K10:K11"/>
    <mergeCell ref="A10:A11"/>
    <mergeCell ref="B10:B11"/>
    <mergeCell ref="C10:G11"/>
    <mergeCell ref="H10:H11"/>
    <mergeCell ref="I10:I11"/>
    <mergeCell ref="J13:K13"/>
    <mergeCell ref="A13:I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2:G12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zoomScale="130" zoomScaleNormal="130" workbookViewId="0">
      <selection activeCell="A19" sqref="A19:P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28515625" customWidth="1"/>
  </cols>
  <sheetData>
    <row r="1" spans="1:17" ht="15.75" customHeight="1" x14ac:dyDescent="0.25">
      <c r="A1" s="146" t="s">
        <v>3</v>
      </c>
      <c r="B1" s="146"/>
      <c r="C1" s="146"/>
      <c r="D1" s="147">
        <f>'ALIMENTOS PERECEDEROS'!C6</f>
        <v>2022</v>
      </c>
      <c r="E1" s="147"/>
      <c r="F1" s="2"/>
      <c r="G1" s="2"/>
      <c r="H1" s="3"/>
      <c r="I1" s="3"/>
      <c r="J1" s="3"/>
      <c r="K1" s="3"/>
      <c r="L1" s="3"/>
      <c r="M1" s="3"/>
      <c r="N1" s="3"/>
      <c r="P1" s="148" t="s">
        <v>28</v>
      </c>
      <c r="Q1" s="148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48"/>
      <c r="Q2" s="148"/>
    </row>
    <row r="4" spans="1:17" s="4" customFormat="1" ht="18" customHeight="1" thickBot="1" x14ac:dyDescent="0.25">
      <c r="A4" s="149" t="s">
        <v>29</v>
      </c>
      <c r="B4" s="149"/>
      <c r="C4" s="149"/>
      <c r="D4" s="149"/>
      <c r="E4" s="149"/>
      <c r="F4" s="149"/>
      <c r="G4" s="144" t="str">
        <f>' NotaPedido'!D3</f>
        <v>40-Ministerio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4" customFormat="1" ht="18" customHeight="1" thickBot="1" x14ac:dyDescent="0.25">
      <c r="A5" s="141" t="s">
        <v>52</v>
      </c>
      <c r="B5" s="142"/>
      <c r="C5" s="142"/>
      <c r="D5" s="142"/>
      <c r="E5" s="142"/>
      <c r="F5" s="143"/>
      <c r="G5" s="144" t="str">
        <f>' NotaPedido'!D4</f>
        <v>28- Maternidad Provincial 25 de Mayo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4" customFormat="1" ht="18" customHeight="1" thickBot="1" x14ac:dyDescent="0.25">
      <c r="A6" s="141" t="s">
        <v>30</v>
      </c>
      <c r="B6" s="142"/>
      <c r="C6" s="142"/>
      <c r="D6" s="142"/>
      <c r="E6" s="142"/>
      <c r="F6" s="143"/>
      <c r="G6" s="144" t="str">
        <f>' NotaPedido'!D5</f>
        <v xml:space="preserve">169-Direccion Asistencial 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4" customFormat="1" ht="18" customHeight="1" thickBot="1" x14ac:dyDescent="0.25">
      <c r="A7" s="141" t="s">
        <v>53</v>
      </c>
      <c r="B7" s="142"/>
      <c r="C7" s="142"/>
      <c r="D7" s="142"/>
      <c r="E7" s="142"/>
      <c r="F7" s="143"/>
      <c r="G7" s="144" t="str">
        <f>' NotaPedido'!D6</f>
        <v xml:space="preserve">Servicio de Nutrición 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31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32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Q9" s="5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37" t="s">
        <v>33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34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35</v>
      </c>
      <c r="P13" s="139"/>
      <c r="Q13" s="140" t="s">
        <v>36</v>
      </c>
    </row>
    <row r="14" spans="1:17" ht="15.75" customHeight="1" thickBot="1" x14ac:dyDescent="0.25">
      <c r="A14" s="10" t="s">
        <v>37</v>
      </c>
      <c r="B14" s="11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2" t="s">
        <v>43</v>
      </c>
      <c r="H14" s="11" t="s">
        <v>44</v>
      </c>
      <c r="I14" s="11" t="s">
        <v>45</v>
      </c>
      <c r="J14" s="11" t="s">
        <v>46</v>
      </c>
      <c r="K14" s="11" t="s">
        <v>46</v>
      </c>
      <c r="L14" s="11" t="s">
        <v>47</v>
      </c>
      <c r="M14" s="13" t="s">
        <v>48</v>
      </c>
      <c r="N14" s="14" t="s">
        <v>49</v>
      </c>
      <c r="O14" s="139"/>
      <c r="P14" s="139"/>
      <c r="Q14" s="140"/>
    </row>
    <row r="15" spans="1:17" ht="17.25" customHeight="1" x14ac:dyDescent="0.2">
      <c r="A15" s="49">
        <v>42</v>
      </c>
      <c r="B15" s="50"/>
      <c r="C15" s="50"/>
      <c r="D15" s="50">
        <v>2</v>
      </c>
      <c r="E15" s="50"/>
      <c r="F15" s="50">
        <v>4901</v>
      </c>
      <c r="G15" s="50">
        <v>3</v>
      </c>
      <c r="H15" s="50">
        <v>1</v>
      </c>
      <c r="I15" s="50">
        <v>2</v>
      </c>
      <c r="J15" s="50">
        <v>1</v>
      </c>
      <c r="K15" s="50">
        <v>1</v>
      </c>
      <c r="L15" s="50"/>
      <c r="M15" s="50"/>
      <c r="N15" s="50" t="s">
        <v>60</v>
      </c>
      <c r="O15" s="125" t="s">
        <v>61</v>
      </c>
      <c r="P15" s="125"/>
      <c r="Q15" s="51">
        <v>1089000</v>
      </c>
    </row>
    <row r="16" spans="1:17" ht="17.25" customHeight="1" x14ac:dyDescent="0.2">
      <c r="A16" s="53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131"/>
      <c r="P16" s="131"/>
      <c r="Q16" s="52"/>
    </row>
    <row r="17" spans="1:17" ht="17.25" customHeight="1" x14ac:dyDescent="0.2">
      <c r="A17" s="54"/>
      <c r="B17" s="48"/>
      <c r="C17" s="48"/>
      <c r="D17" s="48"/>
      <c r="E17" s="48"/>
      <c r="F17" s="47"/>
      <c r="G17" s="48"/>
      <c r="H17" s="48"/>
      <c r="I17" s="48"/>
      <c r="J17" s="48"/>
      <c r="K17" s="48"/>
      <c r="L17" s="48"/>
      <c r="M17" s="48"/>
      <c r="N17" s="48"/>
      <c r="O17" s="131"/>
      <c r="P17" s="131"/>
      <c r="Q17" s="52"/>
    </row>
    <row r="18" spans="1:17" ht="17.25" customHeight="1" thickBot="1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32"/>
      <c r="P18" s="132"/>
      <c r="Q18" s="57"/>
    </row>
    <row r="19" spans="1:17" ht="25.5" customHeight="1" thickBot="1" x14ac:dyDescent="0.25">
      <c r="A19" s="133" t="s">
        <v>77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5">
        <f>SUM(Q15:Q18)</f>
        <v>1089000</v>
      </c>
    </row>
    <row r="20" spans="1:17" ht="18" customHeight="1" thickBot="1" x14ac:dyDescent="0.25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  <row r="21" spans="1:17" ht="17.25" customHeight="1" thickBot="1" x14ac:dyDescent="0.25">
      <c r="A21" s="126" t="s">
        <v>50</v>
      </c>
      <c r="B21" s="127"/>
      <c r="C21" s="127"/>
      <c r="D21" s="127"/>
      <c r="E21" s="127"/>
      <c r="F21" s="128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</row>
    <row r="22" spans="1:17" ht="18" customHeight="1" thickBot="1" x14ac:dyDescent="0.25">
      <c r="A22" s="130" t="s">
        <v>75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7" ht="15" customHeight="1" x14ac:dyDescent="0.2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2022-06-27T14:10:52Z</cp:lastPrinted>
  <dcterms:created xsi:type="dcterms:W3CDTF">2020-07-17T23:44:49Z</dcterms:created>
  <dcterms:modified xsi:type="dcterms:W3CDTF">2022-09-13T13:51:46Z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