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8_{8FEA9F54-08C2-4E49-9D60-7E10DAB43451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Necesidades Trimestrales" sheetId="1" r:id="rId1"/>
    <sheet name=" NotaPedido" sheetId="2" r:id="rId2"/>
    <sheet name="Autor Gastar" sheetId="3" r:id="rId3"/>
  </sheets>
  <definedNames>
    <definedName name="_xlnm.Print_Area" localSheetId="1">' NotaPedido'!$A$1:$K$125</definedName>
    <definedName name="_xlnm.Print_Area" localSheetId="2">'Autor Gastar'!$A$1:$Q$27</definedName>
  </definedNames>
  <calcPr calcId="181029"/>
</workbook>
</file>

<file path=xl/calcChain.xml><?xml version="1.0" encoding="utf-8"?>
<calcChain xmlns="http://schemas.openxmlformats.org/spreadsheetml/2006/main">
  <c r="D13" i="1" l="1"/>
  <c r="D14" i="1"/>
  <c r="D15" i="1"/>
  <c r="D16" i="1"/>
  <c r="D17" i="1"/>
  <c r="D18" i="1"/>
  <c r="D19" i="1"/>
  <c r="I12" i="1"/>
  <c r="I11" i="1"/>
  <c r="I10" i="1"/>
  <c r="J13" i="2" l="1"/>
  <c r="J14" i="2"/>
  <c r="D10" i="1" l="1"/>
  <c r="K124" i="2" l="1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45" i="2"/>
  <c r="K44" i="2"/>
  <c r="K43" i="2"/>
  <c r="K42" i="2"/>
  <c r="K41" i="2"/>
  <c r="K40" i="2"/>
  <c r="K39" i="2"/>
  <c r="K38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20" i="2"/>
  <c r="K19" i="2"/>
  <c r="K18" i="2"/>
  <c r="K17" i="2"/>
  <c r="K14" i="2"/>
  <c r="K13" i="2"/>
  <c r="K12" i="2"/>
  <c r="I124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5" i="2"/>
  <c r="I104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4" i="2"/>
  <c r="I13" i="2"/>
  <c r="I12" i="2"/>
  <c r="B124" i="2"/>
  <c r="B123" i="2"/>
  <c r="B122" i="2"/>
  <c r="B121" i="2"/>
  <c r="B120" i="2"/>
  <c r="B119" i="2"/>
  <c r="B118" i="2"/>
  <c r="B117" i="2"/>
  <c r="B116" i="2"/>
  <c r="B115" i="2"/>
  <c r="B114" i="2"/>
  <c r="B113" i="2"/>
  <c r="B112" i="2"/>
  <c r="B111" i="2"/>
  <c r="B110" i="2"/>
  <c r="B109" i="2"/>
  <c r="B108" i="2"/>
  <c r="B107" i="2"/>
  <c r="B106" i="2"/>
  <c r="B105" i="2"/>
  <c r="B104" i="2"/>
  <c r="B103" i="2"/>
  <c r="B102" i="2"/>
  <c r="B101" i="2"/>
  <c r="B100" i="2"/>
  <c r="B99" i="2"/>
  <c r="B98" i="2"/>
  <c r="B97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4" i="2"/>
  <c r="B13" i="2"/>
  <c r="C124" i="2"/>
  <c r="C123" i="2"/>
  <c r="C122" i="2"/>
  <c r="C121" i="2"/>
  <c r="C120" i="2"/>
  <c r="C119" i="2"/>
  <c r="C118" i="2"/>
  <c r="C117" i="2"/>
  <c r="C116" i="2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4" i="2"/>
  <c r="C13" i="2"/>
  <c r="C12" i="2"/>
  <c r="B12" i="2"/>
  <c r="D12" i="1" l="1"/>
  <c r="D11" i="1"/>
  <c r="I16" i="3" l="1"/>
  <c r="K16" i="3"/>
  <c r="J16" i="3"/>
  <c r="G6" i="3"/>
  <c r="G7" i="3"/>
  <c r="D7" i="2"/>
  <c r="D3" i="2"/>
  <c r="G4" i="3" s="1"/>
  <c r="D4" i="2"/>
  <c r="G5" i="3" s="1"/>
  <c r="A10" i="3" l="1"/>
  <c r="D1" i="3"/>
  <c r="J12" i="2"/>
  <c r="Q23" i="3"/>
  <c r="I15" i="3"/>
  <c r="J125" i="2" l="1"/>
  <c r="K15" i="3"/>
  <c r="J15" i="3"/>
</calcChain>
</file>

<file path=xl/sharedStrings.xml><?xml version="1.0" encoding="utf-8"?>
<sst xmlns="http://schemas.openxmlformats.org/spreadsheetml/2006/main" count="207" uniqueCount="78">
  <si>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</si>
  <si>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</si>
  <si>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</si>
  <si>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</si>
  <si>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</si>
  <si>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</si>
  <si>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</si>
  <si>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</si>
  <si>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</si>
  <si>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</si>
  <si>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</si>
  <si>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</si>
  <si>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</si>
  <si>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</si>
  <si>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Especificidades Item N° 1:</t>
  </si>
  <si>
    <t>Descripción técnica</t>
  </si>
  <si>
    <t>Plazos y lugares de entrega</t>
  </si>
  <si>
    <t>Especificidades Item N° 2: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</si>
  <si>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</si>
  <si>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</si>
  <si>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</si>
  <si>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</si>
  <si>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</si>
  <si>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</si>
  <si>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</si>
  <si>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</si>
  <si>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</si>
  <si>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</si>
  <si>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</si>
  <si>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</si>
  <si>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</si>
  <si>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</si>
  <si>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</si>
  <si>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</si>
  <si>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</si>
  <si>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</si>
  <si>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</si>
  <si>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</si>
  <si>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</si>
  <si>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</si>
  <si>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</si>
  <si>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</si>
  <si>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</si>
  <si>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</si>
  <si>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</si>
  <si>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</si>
  <si>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</si>
  <si>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</si>
  <si>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</si>
  <si>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</si>
  <si>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</si>
  <si>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</si>
  <si>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</si>
  <si>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</si>
  <si>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Costo total estimado:</t>
  </si>
  <si>
    <r>
      <t>AUTORIZACIÓN</t>
    </r>
    <r>
      <rPr>
        <b/>
        <sz val="10"/>
        <rFont val="Calibri"/>
        <family val="2"/>
        <scheme val="minor"/>
      </rPr>
      <t>:</t>
    </r>
  </si>
  <si>
    <t>65 - Ministerio de Agua, Energia y Medio Ambiente</t>
  </si>
  <si>
    <t>31 - Secretaria de Energia</t>
  </si>
  <si>
    <t>NO</t>
  </si>
  <si>
    <t>2.6.4-3176.56</t>
  </si>
  <si>
    <t>MATERIALES DE CONSTRUCCION</t>
  </si>
  <si>
    <t>POSTE DE HORMIGON</t>
  </si>
  <si>
    <t>PZA</t>
  </si>
  <si>
    <t>2.6.4-2905.12</t>
  </si>
  <si>
    <t>CRUCETAS DE HORMIGON</t>
  </si>
  <si>
    <t>Especificidades Item N° 3:</t>
  </si>
  <si>
    <r>
      <t xml:space="preserve">ESPECIFICACIONES TECNICAS
CRUCETAS DE HORMIGON ARMADO
PRODUCTO:
CRUCETAS DE HORMIGON; LARGO: 2,00M, CENTRAL, ACCESORIO: SIN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9"/>
        <rFont val="Calibri"/>
        <family val="2"/>
        <scheme val="minor"/>
      </rPr>
      <t>CODIFICACION DE MERCADO:  Crucetas MN 157 2,00 C/G</t>
    </r>
    <r>
      <rPr>
        <sz val="9"/>
        <rFont val="Calibri"/>
        <family val="2"/>
        <scheme val="minor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Las  Crucetas cumplirán con las condiciones establecidas, cuando se ensayen, según corresponda de acuerdo con las normas IRAM  1605         </t>
    </r>
  </si>
  <si>
    <r>
      <t xml:space="preserve">ESPECIFICACIONES TECNICAS
POSTES DE HORMIGON ARMADO
PRODUCTO:
POSTES DE HORMIGON; LARGO:12,00 Mts, ROTURA: 2400 ACCESORIOS: SIN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9"/>
        <rFont val="Calibri"/>
        <family val="2"/>
        <scheme val="minor"/>
      </rPr>
      <t>CODIFICACION DE MERCADO:  Po 12,00 Ro 2400</t>
    </r>
    <r>
      <rPr>
        <sz val="9"/>
        <rFont val="Calibri"/>
        <family val="2"/>
        <scheme val="minor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Los postes cumplirán con las condiciones establecidas, cuando se ensayen, según corresponda de acuerdo con las normas IRAM  1605         </t>
    </r>
  </si>
  <si>
    <r>
      <t xml:space="preserve">ESPECIFICACIONES TECNICAS
POSTES DE HORMIGON ARMADO
PRODUCTO:
POSTES DE HORMIGON; LARGO: 7,50 Mts, ROTURA: 2400 ACCESORIOS: SIN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9"/>
        <rFont val="Calibri"/>
        <family val="2"/>
        <scheme val="minor"/>
      </rPr>
      <t>CODIFICACION DE MERCADO:  Po 7,50 Ro 2400</t>
    </r>
    <r>
      <rPr>
        <sz val="9"/>
        <rFont val="Calibri"/>
        <family val="2"/>
        <scheme val="minor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Los postes cumplirán con las condiciones establecidas, cuando se ensayen, según corresponda de acuerdo con las normas IRAM  1605         </t>
    </r>
  </si>
  <si>
    <t>SI</t>
  </si>
  <si>
    <t>185/2020</t>
  </si>
  <si>
    <t>Secretaria de Energía - Direccion de Estudio y Proyectos de Obra</t>
  </si>
  <si>
    <t>Adquisición de columnas y crucetas de H° A° para diferentes obras de la Secretaria de
Energía - MAEMA</t>
  </si>
  <si>
    <t>PRODUCTOS DE CEMENTO, CAL Y YESO</t>
  </si>
  <si>
    <t>1.1</t>
  </si>
  <si>
    <t>Para la Adquisición de columnas y crucetas de H° A° para diferentes obras de la Secretaria de
Energía - MAEMA, con motivo de la implementación del Compr.Ar.</t>
  </si>
  <si>
    <t>TOTAL DE PESOS: UN MILLON DOSCIENTOS OCHENTA Y NUEVE MIL TRECEIENTOS DIECINUEVE CON 72/100</t>
  </si>
  <si>
    <t xml:space="preserve">Se efectuaran una (1) entregas, la entrega debe efectuarse  dentro de los cinco (30) dias de recibida la orden de compra. Detalle de entrega: Una (1) entrega de 13 Unidades o Plazas en el deposito de la Secretaria de Energia sito en Av. Venezuela S/Nº predio CAPE- San Fdo. del V. de Catamarca. Asi mismo el proveedor debera presentar Remito para conformidad de recepcion provisoria y su posterior recepcion definitiva.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</si>
</sst>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  <numFmt numFmtId="169" formatCode="&quot;$&quot;\ #,##0.00"/>
    <numFmt numFmtId="170" formatCode="_-[$$-2C0A]\ * #,##0.00_-;\-[$$-2C0A]\ * #,##0.00_-;_-[$$-2C0A]\ * &quot;-&quot;??_-;_-@_-"/>
  </numFmts>
  <fonts count="26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name val="Times New Roman"/>
      <family val="1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b/>
      <sz val="12"/>
      <color rgb="FF000000"/>
      <name val="Times New Roman"/>
      <family val="1"/>
    </font>
    <font>
      <sz val="10"/>
      <name val="Calibri"/>
      <family val="2"/>
      <scheme val="minor"/>
    </font>
    <font>
      <b/>
      <u/>
      <sz val="10"/>
      <name val="Calibri"/>
      <family val="2"/>
      <scheme val="minor"/>
    </font>
    <font>
      <b/>
      <sz val="10"/>
      <name val="Calibri"/>
      <family val="2"/>
      <scheme val="minor"/>
    </font>
    <font>
      <sz val="8"/>
      <name val="Times New Roman"/>
      <family val="1"/>
      <charset val="1"/>
    </font>
    <font>
      <sz val="9"/>
      <name val="Calibri"/>
      <family val="2"/>
      <scheme val="minor"/>
    </font>
    <font>
      <u/>
      <sz val="9"/>
      <name val="Calibri"/>
      <family val="2"/>
      <scheme val="minor"/>
    </font>
    <font>
      <b/>
      <sz val="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79998168889431442"/>
        <bgColor rgb="FFFFFF00"/>
      </patternFill>
    </fill>
  </fills>
  <borders count="63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indexed="64"/>
      </left>
      <right style="thick">
        <color auto="1"/>
      </right>
      <top style="medium">
        <color indexed="64"/>
      </top>
      <bottom/>
      <diagonal/>
    </border>
    <border>
      <left style="thick">
        <color auto="1"/>
      </left>
      <right style="thick">
        <color auto="1"/>
      </right>
      <top style="medium">
        <color indexed="64"/>
      </top>
      <bottom/>
      <diagonal/>
    </border>
    <border>
      <left style="thick">
        <color auto="1"/>
      </left>
      <right style="medium">
        <color indexed="64"/>
      </right>
      <top style="medium">
        <color indexed="64"/>
      </top>
      <bottom/>
      <diagonal/>
    </border>
  </borders>
  <cellStyleXfs count="5">
    <xf numFmtId="0" fontId="0" fillId="0" borderId="0"/>
    <xf numFmtId="165" fontId="10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</cellStyleXfs>
  <cellXfs count="155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/>
    </xf>
    <xf numFmtId="0" fontId="7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 wrapText="1" indent="1"/>
    </xf>
    <xf numFmtId="0" fontId="4" fillId="0" borderId="28" xfId="0" applyFont="1" applyBorder="1" applyAlignment="1">
      <alignment horizontal="center" vertical="center"/>
    </xf>
    <xf numFmtId="0" fontId="9" fillId="0" borderId="29" xfId="0" applyFont="1" applyBorder="1" applyAlignment="1">
      <alignment horizontal="left" vertical="center"/>
    </xf>
    <xf numFmtId="0" fontId="4" fillId="0" borderId="29" xfId="0" applyFont="1" applyBorder="1" applyAlignment="1">
      <alignment horizontal="center" vertical="center" wrapText="1"/>
    </xf>
    <xf numFmtId="3" fontId="4" fillId="0" borderId="29" xfId="0" applyNumberFormat="1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9" fillId="0" borderId="30" xfId="0" applyFont="1" applyBorder="1" applyAlignment="1">
      <alignment horizontal="left" vertical="center"/>
    </xf>
    <xf numFmtId="0" fontId="4" fillId="0" borderId="30" xfId="0" applyFont="1" applyBorder="1" applyAlignment="1">
      <alignment horizontal="center" vertical="center" wrapText="1"/>
    </xf>
    <xf numFmtId="3" fontId="4" fillId="0" borderId="30" xfId="0" applyNumberFormat="1" applyFont="1" applyBorder="1" applyAlignment="1">
      <alignment horizontal="center" vertical="center"/>
    </xf>
    <xf numFmtId="0" fontId="2" fillId="0" borderId="0" xfId="0" applyFont="1"/>
    <xf numFmtId="0" fontId="11" fillId="0" borderId="0" xfId="0" applyFont="1"/>
    <xf numFmtId="0" fontId="14" fillId="0" borderId="0" xfId="0" applyFont="1" applyAlignment="1">
      <alignment horizontal="left" wrapText="1"/>
    </xf>
    <xf numFmtId="0" fontId="14" fillId="0" borderId="0" xfId="0" applyFont="1" applyAlignment="1">
      <alignment horizontal="center" wrapText="1"/>
    </xf>
    <xf numFmtId="0" fontId="16" fillId="0" borderId="2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left" vertical="center" wrapText="1"/>
    </xf>
    <xf numFmtId="0" fontId="14" fillId="0" borderId="6" xfId="0" applyFont="1" applyBorder="1" applyAlignment="1">
      <alignment horizontal="center" wrapText="1"/>
    </xf>
    <xf numFmtId="0" fontId="14" fillId="0" borderId="7" xfId="0" applyFont="1" applyBorder="1" applyAlignment="1">
      <alignment horizontal="right" wrapText="1"/>
    </xf>
    <xf numFmtId="0" fontId="16" fillId="0" borderId="8" xfId="0" applyFont="1" applyBorder="1" applyAlignment="1">
      <alignment horizontal="center" vertical="center"/>
    </xf>
    <xf numFmtId="0" fontId="17" fillId="0" borderId="9" xfId="0" applyFont="1" applyBorder="1" applyAlignment="1">
      <alignment horizontal="center" vertical="center" wrapText="1"/>
    </xf>
    <xf numFmtId="0" fontId="17" fillId="0" borderId="9" xfId="0" applyFont="1" applyBorder="1" applyAlignment="1">
      <alignment horizontal="left" vertical="center" wrapText="1"/>
    </xf>
    <xf numFmtId="0" fontId="14" fillId="0" borderId="9" xfId="0" applyFont="1" applyBorder="1" applyAlignment="1">
      <alignment horizontal="center" wrapText="1"/>
    </xf>
    <xf numFmtId="0" fontId="14" fillId="0" borderId="10" xfId="0" applyFont="1" applyBorder="1" applyAlignment="1">
      <alignment horizontal="right" wrapText="1"/>
    </xf>
    <xf numFmtId="168" fontId="19" fillId="0" borderId="0" xfId="0" applyNumberFormat="1" applyFont="1" applyAlignment="1">
      <alignment horizontal="left"/>
    </xf>
    <xf numFmtId="0" fontId="19" fillId="0" borderId="0" xfId="0" applyFont="1"/>
    <xf numFmtId="0" fontId="19" fillId="0" borderId="0" xfId="0" applyFont="1" applyAlignment="1">
      <alignment horizontal="left"/>
    </xf>
    <xf numFmtId="0" fontId="19" fillId="0" borderId="0" xfId="0" applyFont="1" applyBorder="1"/>
    <xf numFmtId="0" fontId="19" fillId="0" borderId="19" xfId="0" applyFont="1" applyBorder="1"/>
    <xf numFmtId="0" fontId="19" fillId="0" borderId="36" xfId="0" applyFont="1" applyBorder="1"/>
    <xf numFmtId="0" fontId="19" fillId="0" borderId="21" xfId="0" applyFont="1" applyBorder="1"/>
    <xf numFmtId="0" fontId="19" fillId="0" borderId="21" xfId="0" applyFont="1" applyBorder="1" applyAlignment="1">
      <alignment horizontal="left"/>
    </xf>
    <xf numFmtId="0" fontId="19" fillId="0" borderId="37" xfId="0" applyFont="1" applyBorder="1"/>
    <xf numFmtId="0" fontId="21" fillId="0" borderId="39" xfId="0" applyFont="1" applyBorder="1" applyAlignment="1">
      <alignment horizontal="center" vertical="center"/>
    </xf>
    <xf numFmtId="0" fontId="21" fillId="0" borderId="40" xfId="0" applyFont="1" applyBorder="1" applyAlignment="1">
      <alignment horizontal="center" vertical="center"/>
    </xf>
    <xf numFmtId="0" fontId="21" fillId="0" borderId="40" xfId="0" applyFont="1" applyBorder="1" applyAlignment="1">
      <alignment horizontal="left" vertical="center"/>
    </xf>
    <xf numFmtId="0" fontId="21" fillId="0" borderId="41" xfId="0" applyFont="1" applyBorder="1" applyAlignment="1">
      <alignment horizontal="center" vertical="center"/>
    </xf>
    <xf numFmtId="0" fontId="21" fillId="0" borderId="35" xfId="0" applyFont="1" applyBorder="1" applyAlignment="1">
      <alignment horizontal="center" vertical="center"/>
    </xf>
    <xf numFmtId="166" fontId="19" fillId="0" borderId="45" xfId="3" applyNumberFormat="1" applyFont="1" applyBorder="1" applyAlignment="1" applyProtection="1">
      <alignment horizontal="center" vertical="center"/>
    </xf>
    <xf numFmtId="0" fontId="19" fillId="0" borderId="46" xfId="0" applyFont="1" applyBorder="1" applyAlignment="1">
      <alignment horizontal="center" vertical="center"/>
    </xf>
    <xf numFmtId="0" fontId="19" fillId="0" borderId="47" xfId="0" applyFont="1" applyBorder="1" applyAlignment="1">
      <alignment horizontal="center" vertical="center"/>
    </xf>
    <xf numFmtId="0" fontId="19" fillId="0" borderId="48" xfId="0" applyFont="1" applyBorder="1" applyAlignment="1">
      <alignment horizontal="center" vertical="center"/>
    </xf>
    <xf numFmtId="0" fontId="19" fillId="0" borderId="49" xfId="0" applyFont="1" applyBorder="1" applyAlignment="1">
      <alignment horizontal="center" vertical="center"/>
    </xf>
    <xf numFmtId="166" fontId="19" fillId="0" borderId="50" xfId="3" applyNumberFormat="1" applyFont="1" applyBorder="1" applyAlignment="1" applyProtection="1">
      <alignment horizontal="center" vertical="center"/>
    </xf>
    <xf numFmtId="0" fontId="19" fillId="0" borderId="51" xfId="0" applyFont="1" applyBorder="1" applyAlignment="1">
      <alignment horizontal="center" vertical="center"/>
    </xf>
    <xf numFmtId="0" fontId="19" fillId="0" borderId="52" xfId="0" applyFont="1" applyBorder="1" applyAlignment="1">
      <alignment horizontal="center" vertical="center"/>
    </xf>
    <xf numFmtId="0" fontId="19" fillId="0" borderId="53" xfId="0" applyFont="1" applyBorder="1" applyAlignment="1">
      <alignment horizontal="center" vertical="center"/>
    </xf>
    <xf numFmtId="166" fontId="19" fillId="0" borderId="54" xfId="3" applyNumberFormat="1" applyFont="1" applyBorder="1" applyAlignment="1" applyProtection="1">
      <alignment horizontal="center" vertical="center"/>
    </xf>
    <xf numFmtId="166" fontId="21" fillId="0" borderId="55" xfId="0" applyNumberFormat="1" applyFont="1" applyBorder="1" applyAlignment="1">
      <alignment horizontal="center" vertical="center"/>
    </xf>
    <xf numFmtId="3" fontId="21" fillId="0" borderId="0" xfId="0" applyNumberFormat="1" applyFont="1" applyBorder="1" applyAlignment="1"/>
    <xf numFmtId="0" fontId="4" fillId="0" borderId="59" xfId="0" applyFont="1" applyBorder="1" applyAlignment="1">
      <alignment horizontal="center" vertical="center"/>
    </xf>
    <xf numFmtId="0" fontId="4" fillId="0" borderId="28" xfId="0" applyFont="1" applyFill="1" applyBorder="1" applyAlignment="1">
      <alignment horizontal="left" vertical="center"/>
    </xf>
    <xf numFmtId="0" fontId="4" fillId="0" borderId="28" xfId="0" applyFont="1" applyFill="1" applyBorder="1" applyAlignment="1">
      <alignment horizontal="center" vertical="center"/>
    </xf>
    <xf numFmtId="0" fontId="4" fillId="0" borderId="28" xfId="0" applyFont="1" applyFill="1" applyBorder="1" applyAlignment="1">
      <alignment horizontal="center" vertical="center" wrapText="1"/>
    </xf>
    <xf numFmtId="166" fontId="4" fillId="0" borderId="28" xfId="1" applyNumberFormat="1" applyFont="1" applyFill="1" applyBorder="1" applyAlignment="1" applyProtection="1">
      <alignment horizontal="right" vertical="center" wrapText="1"/>
    </xf>
    <xf numFmtId="3" fontId="4" fillId="0" borderId="28" xfId="0" applyNumberFormat="1" applyFont="1" applyFill="1" applyBorder="1" applyAlignment="1">
      <alignment horizontal="center" vertical="center"/>
    </xf>
    <xf numFmtId="0" fontId="4" fillId="0" borderId="59" xfId="0" applyFont="1" applyFill="1" applyBorder="1" applyAlignment="1">
      <alignment horizontal="left" vertical="center"/>
    </xf>
    <xf numFmtId="0" fontId="4" fillId="0" borderId="59" xfId="0" applyFont="1" applyFill="1" applyBorder="1" applyAlignment="1">
      <alignment horizontal="center" vertical="center"/>
    </xf>
    <xf numFmtId="0" fontId="4" fillId="0" borderId="59" xfId="0" applyFont="1" applyFill="1" applyBorder="1" applyAlignment="1">
      <alignment horizontal="center" vertical="center" wrapText="1"/>
    </xf>
    <xf numFmtId="166" fontId="4" fillId="0" borderId="59" xfId="1" applyNumberFormat="1" applyFont="1" applyFill="1" applyBorder="1" applyAlignment="1" applyProtection="1">
      <alignment horizontal="right" vertical="center" wrapText="1"/>
    </xf>
    <xf numFmtId="3" fontId="4" fillId="0" borderId="59" xfId="0" applyNumberFormat="1" applyFont="1" applyFill="1" applyBorder="1" applyAlignment="1">
      <alignment horizontal="center" vertical="center"/>
    </xf>
    <xf numFmtId="0" fontId="17" fillId="0" borderId="3" xfId="0" applyFont="1" applyFill="1" applyBorder="1" applyAlignment="1">
      <alignment horizontal="center" vertical="center" wrapText="1"/>
    </xf>
    <xf numFmtId="0" fontId="17" fillId="0" borderId="3" xfId="0" applyFont="1" applyFill="1" applyBorder="1" applyAlignment="1">
      <alignment horizontal="left" vertical="center" wrapText="1"/>
    </xf>
    <xf numFmtId="166" fontId="16" fillId="0" borderId="3" xfId="1" applyNumberFormat="1" applyFont="1" applyFill="1" applyBorder="1" applyAlignment="1" applyProtection="1">
      <alignment horizontal="right" vertical="center" wrapText="1"/>
    </xf>
    <xf numFmtId="0" fontId="14" fillId="0" borderId="6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right" vertical="center" wrapText="1"/>
    </xf>
    <xf numFmtId="0" fontId="17" fillId="0" borderId="0" xfId="0" applyFont="1" applyAlignment="1">
      <alignment horizontal="left" wrapText="1"/>
    </xf>
    <xf numFmtId="0" fontId="17" fillId="0" borderId="6" xfId="0" applyFont="1" applyBorder="1" applyAlignment="1">
      <alignment horizontal="center" wrapText="1"/>
    </xf>
    <xf numFmtId="0" fontId="17" fillId="0" borderId="9" xfId="0" applyFont="1" applyBorder="1" applyAlignment="1">
      <alignment horizontal="center" wrapText="1"/>
    </xf>
    <xf numFmtId="0" fontId="16" fillId="0" borderId="0" xfId="0" applyFont="1"/>
    <xf numFmtId="0" fontId="23" fillId="0" borderId="0" xfId="0" applyFont="1"/>
    <xf numFmtId="0" fontId="24" fillId="0" borderId="11" xfId="0" applyFont="1" applyBorder="1"/>
    <xf numFmtId="0" fontId="23" fillId="0" borderId="12" xfId="0" applyFont="1" applyBorder="1"/>
    <xf numFmtId="0" fontId="23" fillId="0" borderId="13" xfId="0" applyFont="1" applyBorder="1"/>
    <xf numFmtId="0" fontId="23" fillId="0" borderId="14" xfId="0" applyFont="1" applyBorder="1"/>
    <xf numFmtId="0" fontId="23" fillId="0" borderId="0" xfId="0" applyFont="1" applyBorder="1"/>
    <xf numFmtId="0" fontId="23" fillId="0" borderId="15" xfId="0" applyFont="1" applyBorder="1"/>
    <xf numFmtId="0" fontId="24" fillId="0" borderId="14" xfId="0" applyFont="1" applyBorder="1" applyAlignment="1">
      <alignment horizontal="left" indent="3"/>
    </xf>
    <xf numFmtId="0" fontId="23" fillId="0" borderId="14" xfId="0" applyFont="1" applyBorder="1" applyAlignment="1">
      <alignment horizontal="left" indent="3"/>
    </xf>
    <xf numFmtId="0" fontId="23" fillId="0" borderId="16" xfId="0" applyFont="1" applyBorder="1" applyAlignment="1">
      <alignment horizontal="left" indent="3"/>
    </xf>
    <xf numFmtId="0" fontId="23" fillId="0" borderId="17" xfId="0" applyFont="1" applyBorder="1"/>
    <xf numFmtId="0" fontId="23" fillId="0" borderId="18" xfId="0" applyFont="1" applyBorder="1"/>
    <xf numFmtId="0" fontId="5" fillId="0" borderId="19" xfId="0" applyFont="1" applyFill="1" applyBorder="1" applyAlignment="1">
      <alignment horizontal="right" vertical="center"/>
    </xf>
    <xf numFmtId="0" fontId="6" fillId="0" borderId="20" xfId="0" applyFont="1" applyFill="1" applyBorder="1" applyAlignment="1">
      <alignment horizontal="center" vertical="center"/>
    </xf>
    <xf numFmtId="0" fontId="5" fillId="0" borderId="21" xfId="0" applyFont="1" applyFill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19" fillId="0" borderId="42" xfId="0" applyFont="1" applyFill="1" applyBorder="1" applyAlignment="1">
      <alignment horizontal="center" vertical="center"/>
    </xf>
    <xf numFmtId="0" fontId="19" fillId="0" borderId="43" xfId="0" applyFont="1" applyFill="1" applyBorder="1" applyAlignment="1">
      <alignment horizontal="center" vertical="center"/>
    </xf>
    <xf numFmtId="0" fontId="19" fillId="0" borderId="44" xfId="0" applyFont="1" applyFill="1" applyBorder="1" applyAlignment="1">
      <alignment horizontal="center" vertical="center"/>
    </xf>
    <xf numFmtId="0" fontId="19" fillId="0" borderId="46" xfId="0" applyFont="1" applyFill="1" applyBorder="1" applyAlignment="1">
      <alignment horizontal="center" vertical="center"/>
    </xf>
    <xf numFmtId="0" fontId="19" fillId="0" borderId="47" xfId="0" applyFont="1" applyFill="1" applyBorder="1" applyAlignment="1">
      <alignment horizontal="center" vertical="center"/>
    </xf>
    <xf numFmtId="0" fontId="19" fillId="0" borderId="48" xfId="0" applyFont="1" applyFill="1" applyBorder="1" applyAlignment="1">
      <alignment horizontal="center" vertical="center"/>
    </xf>
    <xf numFmtId="0" fontId="19" fillId="0" borderId="49" xfId="0" applyFont="1" applyFill="1" applyBorder="1" applyAlignment="1">
      <alignment horizontal="center" vertical="center"/>
    </xf>
    <xf numFmtId="0" fontId="15" fillId="0" borderId="60" xfId="0" applyFont="1" applyBorder="1" applyAlignment="1">
      <alignment horizontal="center" vertical="center" wrapText="1"/>
    </xf>
    <xf numFmtId="0" fontId="15" fillId="0" borderId="61" xfId="0" applyFont="1" applyBorder="1" applyAlignment="1">
      <alignment horizontal="center" vertical="center" wrapText="1"/>
    </xf>
    <xf numFmtId="0" fontId="15" fillId="0" borderId="62" xfId="0" applyFont="1" applyBorder="1" applyAlignment="1">
      <alignment horizontal="center" vertical="center" wrapText="1"/>
    </xf>
    <xf numFmtId="169" fontId="14" fillId="0" borderId="6" xfId="0" applyNumberFormat="1" applyFont="1" applyBorder="1" applyAlignment="1">
      <alignment horizontal="right" wrapText="1"/>
    </xf>
    <xf numFmtId="169" fontId="14" fillId="0" borderId="6" xfId="0" applyNumberFormat="1" applyFont="1" applyBorder="1" applyAlignment="1">
      <alignment horizontal="right" vertical="center" wrapText="1"/>
    </xf>
    <xf numFmtId="170" fontId="10" fillId="0" borderId="7" xfId="1" applyNumberFormat="1" applyBorder="1"/>
    <xf numFmtId="170" fontId="10" fillId="0" borderId="4" xfId="1" applyNumberFormat="1" applyBorder="1" applyProtection="1"/>
    <xf numFmtId="0" fontId="12" fillId="0" borderId="0" xfId="0" applyFont="1" applyBorder="1" applyAlignment="1">
      <alignment horizontal="center"/>
    </xf>
    <xf numFmtId="0" fontId="13" fillId="0" borderId="6" xfId="0" applyFont="1" applyBorder="1" applyAlignment="1">
      <alignment horizontal="left" vertical="center" wrapText="1"/>
    </xf>
    <xf numFmtId="0" fontId="18" fillId="0" borderId="6" xfId="0" applyFont="1" applyFill="1" applyBorder="1" applyAlignment="1">
      <alignment horizontal="left" wrapText="1" indent="1"/>
    </xf>
    <xf numFmtId="0" fontId="23" fillId="4" borderId="15" xfId="0" applyFont="1" applyFill="1" applyBorder="1" applyAlignment="1">
      <alignment horizontal="center" vertical="top" wrapText="1"/>
    </xf>
    <xf numFmtId="0" fontId="19" fillId="3" borderId="0" xfId="0" applyFont="1" applyFill="1" applyAlignment="1">
      <alignment vertical="center" wrapText="1"/>
    </xf>
    <xf numFmtId="0" fontId="11" fillId="3" borderId="0" xfId="0" applyFont="1" applyFill="1" applyAlignment="1">
      <alignment vertical="center" wrapText="1"/>
    </xf>
    <xf numFmtId="0" fontId="11" fillId="3" borderId="15" xfId="0" applyFont="1" applyFill="1" applyBorder="1" applyAlignment="1">
      <alignment vertical="center" wrapText="1"/>
    </xf>
    <xf numFmtId="0" fontId="23" fillId="3" borderId="0" xfId="0" applyFont="1" applyFill="1" applyAlignment="1">
      <alignment vertical="center" wrapText="1"/>
    </xf>
    <xf numFmtId="0" fontId="16" fillId="3" borderId="0" xfId="0" applyFont="1" applyFill="1" applyAlignment="1">
      <alignment vertical="center" wrapText="1"/>
    </xf>
    <xf numFmtId="0" fontId="16" fillId="3" borderId="15" xfId="0" applyFont="1" applyFill="1" applyBorder="1" applyAlignment="1">
      <alignment vertical="center" wrapText="1"/>
    </xf>
    <xf numFmtId="0" fontId="18" fillId="0" borderId="6" xfId="0" applyFont="1" applyFill="1" applyBorder="1" applyAlignment="1">
      <alignment horizontal="left" wrapText="1"/>
    </xf>
    <xf numFmtId="0" fontId="5" fillId="0" borderId="0" xfId="0" applyFont="1" applyFill="1" applyBorder="1" applyAlignment="1">
      <alignment horizontal="center" vertical="center"/>
    </xf>
    <xf numFmtId="0" fontId="7" fillId="0" borderId="22" xfId="0" applyFont="1" applyFill="1" applyBorder="1" applyAlignment="1">
      <alignment horizontal="left" vertical="center" wrapText="1"/>
    </xf>
    <xf numFmtId="0" fontId="6" fillId="0" borderId="23" xfId="0" applyFont="1" applyFill="1" applyBorder="1" applyAlignment="1">
      <alignment horizontal="left" vertical="center" wrapText="1" indent="1"/>
    </xf>
    <xf numFmtId="0" fontId="7" fillId="0" borderId="24" xfId="0" applyFont="1" applyFill="1" applyBorder="1" applyAlignment="1">
      <alignment horizontal="left" vertical="center" wrapText="1"/>
    </xf>
    <xf numFmtId="0" fontId="7" fillId="0" borderId="25" xfId="0" applyFont="1" applyFill="1" applyBorder="1" applyAlignment="1">
      <alignment horizontal="left" vertical="center"/>
    </xf>
    <xf numFmtId="0" fontId="6" fillId="0" borderId="26" xfId="0" applyFont="1" applyFill="1" applyBorder="1" applyAlignment="1">
      <alignment horizontal="left" vertical="center" indent="1"/>
    </xf>
    <xf numFmtId="0" fontId="8" fillId="0" borderId="25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 wrapText="1"/>
    </xf>
    <xf numFmtId="0" fontId="8" fillId="0" borderId="26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left" vertical="center" wrapText="1" indent="1"/>
    </xf>
    <xf numFmtId="167" fontId="7" fillId="0" borderId="23" xfId="0" applyNumberFormat="1" applyFont="1" applyBorder="1" applyAlignment="1">
      <alignment horizontal="center" vertical="center"/>
    </xf>
    <xf numFmtId="0" fontId="22" fillId="0" borderId="28" xfId="0" applyFont="1" applyFill="1" applyBorder="1" applyAlignment="1">
      <alignment horizontal="center" vertical="center" wrapText="1"/>
    </xf>
    <xf numFmtId="0" fontId="22" fillId="0" borderId="29" xfId="0" applyFont="1" applyBorder="1" applyAlignment="1">
      <alignment horizontal="center" vertical="center" wrapText="1"/>
    </xf>
    <xf numFmtId="0" fontId="22" fillId="0" borderId="30" xfId="0" applyFont="1" applyBorder="1" applyAlignment="1">
      <alignment horizontal="center" vertical="center" wrapText="1"/>
    </xf>
    <xf numFmtId="0" fontId="22" fillId="0" borderId="29" xfId="0" applyFont="1" applyFill="1" applyBorder="1" applyAlignment="1">
      <alignment horizontal="center" vertical="center" wrapText="1"/>
    </xf>
    <xf numFmtId="0" fontId="19" fillId="0" borderId="31" xfId="0" applyFont="1" applyBorder="1" applyAlignment="1">
      <alignment horizontal="center"/>
    </xf>
    <xf numFmtId="3" fontId="21" fillId="0" borderId="32" xfId="0" applyNumberFormat="1" applyFont="1" applyBorder="1" applyAlignment="1">
      <alignment horizontal="center"/>
    </xf>
    <xf numFmtId="0" fontId="21" fillId="0" borderId="20" xfId="0" applyFont="1" applyBorder="1" applyAlignment="1">
      <alignment horizontal="center" vertical="center" wrapText="1"/>
    </xf>
    <xf numFmtId="0" fontId="19" fillId="0" borderId="20" xfId="0" applyFont="1" applyBorder="1"/>
    <xf numFmtId="0" fontId="19" fillId="0" borderId="20" xfId="0" applyFont="1" applyBorder="1" applyAlignment="1">
      <alignment horizontal="left" indent="1"/>
    </xf>
    <xf numFmtId="0" fontId="19" fillId="0" borderId="22" xfId="0" applyFont="1" applyBorder="1" applyAlignment="1">
      <alignment horizontal="left" vertical="center" wrapText="1"/>
    </xf>
    <xf numFmtId="0" fontId="19" fillId="0" borderId="57" xfId="0" applyFont="1" applyBorder="1" applyAlignment="1">
      <alignment horizontal="left" vertical="center" wrapText="1"/>
    </xf>
    <xf numFmtId="0" fontId="19" fillId="0" borderId="58" xfId="0" applyFont="1" applyBorder="1" applyAlignment="1">
      <alignment horizontal="left" vertical="center" wrapText="1"/>
    </xf>
    <xf numFmtId="0" fontId="20" fillId="0" borderId="20" xfId="0" applyFont="1" applyBorder="1" applyAlignment="1">
      <alignment horizontal="left"/>
    </xf>
    <xf numFmtId="0" fontId="19" fillId="0" borderId="34" xfId="0" applyFont="1" applyBorder="1"/>
    <xf numFmtId="0" fontId="19" fillId="0" borderId="35" xfId="0" applyFont="1" applyBorder="1" applyAlignment="1">
      <alignment horizontal="left" vertical="center" wrapText="1" indent="1"/>
    </xf>
    <xf numFmtId="0" fontId="21" fillId="0" borderId="33" xfId="0" applyFont="1" applyBorder="1" applyAlignment="1">
      <alignment horizontal="center" vertical="center"/>
    </xf>
    <xf numFmtId="0" fontId="21" fillId="0" borderId="20" xfId="0" applyFont="1" applyBorder="1" applyAlignment="1">
      <alignment horizontal="center" vertical="center"/>
    </xf>
    <xf numFmtId="0" fontId="21" fillId="0" borderId="33" xfId="0" applyFont="1" applyBorder="1" applyAlignment="1">
      <alignment horizontal="center" vertical="center" wrapText="1"/>
    </xf>
    <xf numFmtId="0" fontId="21" fillId="0" borderId="38" xfId="0" applyFont="1" applyBorder="1" applyAlignment="1">
      <alignment horizontal="center" vertical="center"/>
    </xf>
    <xf numFmtId="0" fontId="19" fillId="0" borderId="43" xfId="0" applyFont="1" applyBorder="1" applyAlignment="1">
      <alignment horizontal="left" vertical="center"/>
    </xf>
    <xf numFmtId="0" fontId="19" fillId="0" borderId="49" xfId="0" applyFont="1" applyBorder="1" applyAlignment="1">
      <alignment horizontal="left" vertical="center"/>
    </xf>
    <xf numFmtId="0" fontId="21" fillId="0" borderId="31" xfId="0" applyFont="1" applyBorder="1" applyAlignment="1">
      <alignment vertical="center" wrapText="1"/>
    </xf>
    <xf numFmtId="0" fontId="21" fillId="0" borderId="56" xfId="0" applyFont="1" applyBorder="1" applyAlignment="1">
      <alignment vertical="center" wrapText="1"/>
    </xf>
    <xf numFmtId="0" fontId="21" fillId="0" borderId="26" xfId="0" applyFont="1" applyBorder="1" applyAlignment="1">
      <alignment vertical="center" wrapText="1"/>
    </xf>
    <xf numFmtId="0" fontId="19" fillId="0" borderId="38" xfId="0" applyFont="1" applyBorder="1" applyAlignment="1">
      <alignment vertical="center" wrapText="1"/>
    </xf>
    <xf numFmtId="0" fontId="19" fillId="0" borderId="55" xfId="0" applyFont="1" applyFill="1" applyBorder="1" applyAlignment="1">
      <alignment horizontal="left" vertical="center" wrapText="1" indent="1"/>
    </xf>
    <xf numFmtId="0" fontId="19" fillId="0" borderId="52" xfId="0" applyFont="1" applyBorder="1" applyAlignment="1">
      <alignment horizontal="left" vertical="center"/>
    </xf>
    <xf numFmtId="0" fontId="21" fillId="0" borderId="55" xfId="0" applyFont="1" applyBorder="1" applyAlignment="1">
      <alignment horizontal="left" vertical="center" wrapText="1"/>
    </xf>
    <xf numFmtId="0" fontId="19" fillId="0" borderId="33" xfId="0" applyFont="1" applyBorder="1"/>
  </cellXfs>
  <cellStyles count="5">
    <cellStyle name="Encabezado 1" xfId="2" xr:uid="{00000000-0005-0000-0000-000000000000}"/>
    <cellStyle name="Moneda" xfId="1" builtinId="4"/>
    <cellStyle name="Moneda_AUTORIZACION Y NOTA DE PEDIDO" xfId="3" xr:uid="{00000000-0005-0000-0000-000002000000}"/>
    <cellStyle name="Neutral 1" xfId="4" xr:uid="{00000000-0005-0000-0000-000003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49"/>
  <sheetViews>
    <sheetView tabSelected="1" topLeftCell="A9" zoomScale="90" zoomScaleNormal="90" workbookViewId="0">
      <selection activeCell="B16" sqref="B16"/>
    </sheetView>
  </sheetViews>
  <sheetFormatPr baseColWidth="10" defaultColWidth="11" defaultRowHeight="12.75" x14ac:dyDescent="0.2"/>
  <cols>
    <col min="1" max="1" width="4.5703125" style="14" customWidth="1"/>
    <col min="2" max="2" width="12.85546875" style="14" customWidth="1"/>
    <col min="3" max="3" width="32.42578125" style="14" customWidth="1"/>
    <col min="4" max="4" width="8.42578125" style="14" customWidth="1"/>
    <col min="5" max="5" width="79" style="14" customWidth="1"/>
    <col min="6" max="6" width="11" style="73"/>
    <col min="7" max="7" width="12.7109375" style="14" customWidth="1"/>
    <col min="8" max="8" width="13.85546875" style="14" customWidth="1"/>
    <col min="9" max="9" width="18.5703125" style="14" customWidth="1"/>
    <col min="10" max="16384" width="11" style="14"/>
  </cols>
  <sheetData>
    <row r="2" spans="1:9" ht="27" x14ac:dyDescent="0.35">
      <c r="B2" s="104" t="s">
        <v>0</v>
      </c>
      <c r="C2" s="104"/>
      <c r="D2" s="104"/>
      <c r="E2" s="104"/>
      <c r="F2" s="104"/>
      <c r="G2" s="104"/>
      <c r="H2" s="104"/>
    </row>
    <row r="4" spans="1:9" ht="18" customHeight="1" x14ac:dyDescent="0.25">
      <c r="A4" s="105" t="s">
        <v>1</v>
      </c>
      <c r="B4" s="105"/>
      <c r="C4" s="106" t="s">
        <v>56</v>
      </c>
      <c r="D4" s="106"/>
      <c r="E4" s="106"/>
      <c r="F4" s="70"/>
      <c r="G4" s="16"/>
      <c r="H4" s="15"/>
    </row>
    <row r="5" spans="1:9" ht="18" customHeight="1" x14ac:dyDescent="0.25">
      <c r="A5" s="105" t="s">
        <v>2</v>
      </c>
      <c r="B5" s="105"/>
      <c r="C5" s="106" t="s">
        <v>57</v>
      </c>
      <c r="D5" s="106"/>
      <c r="E5" s="106"/>
      <c r="F5" s="70"/>
      <c r="G5" s="16"/>
      <c r="H5" s="15"/>
    </row>
    <row r="6" spans="1:9" ht="16.5" customHeight="1" x14ac:dyDescent="0.25">
      <c r="A6" s="105" t="s">
        <v>3</v>
      </c>
      <c r="B6" s="105"/>
      <c r="C6" s="114">
        <v>2020</v>
      </c>
      <c r="D6" s="114"/>
      <c r="E6" s="114"/>
      <c r="F6" s="70"/>
      <c r="G6" s="16"/>
      <c r="H6" s="15"/>
    </row>
    <row r="7" spans="1:9" ht="16.5" customHeight="1" x14ac:dyDescent="0.25">
      <c r="A7" s="105" t="s">
        <v>4</v>
      </c>
      <c r="B7" s="105"/>
      <c r="C7" s="114">
        <v>4</v>
      </c>
      <c r="D7" s="114"/>
      <c r="E7" s="114"/>
      <c r="F7" s="70"/>
      <c r="G7" s="16"/>
      <c r="H7" s="15"/>
    </row>
    <row r="8" spans="1:9" ht="13.5" thickBot="1" x14ac:dyDescent="0.25">
      <c r="B8" s="15"/>
      <c r="C8" s="16"/>
      <c r="D8" s="15"/>
      <c r="E8" s="15"/>
      <c r="F8" s="70"/>
      <c r="G8" s="16"/>
      <c r="H8" s="15"/>
    </row>
    <row r="9" spans="1:9" ht="39" thickBot="1" x14ac:dyDescent="0.25">
      <c r="A9" s="97" t="s">
        <v>5</v>
      </c>
      <c r="B9" s="98" t="s">
        <v>6</v>
      </c>
      <c r="C9" s="98" t="s">
        <v>7</v>
      </c>
      <c r="D9" s="98" t="s">
        <v>8</v>
      </c>
      <c r="E9" s="98" t="s">
        <v>9</v>
      </c>
      <c r="F9" s="98" t="s">
        <v>10</v>
      </c>
      <c r="G9" s="98" t="s">
        <v>11</v>
      </c>
      <c r="H9" s="98" t="s">
        <v>12</v>
      </c>
      <c r="I9" s="99" t="s">
        <v>13</v>
      </c>
    </row>
    <row r="10" spans="1:9" x14ac:dyDescent="0.2">
      <c r="A10" s="17">
        <v>1</v>
      </c>
      <c r="B10" s="65" t="s">
        <v>59</v>
      </c>
      <c r="C10" s="66" t="s">
        <v>60</v>
      </c>
      <c r="D10" s="65" t="str">
        <f>LEFT(B10,5)</f>
        <v>2.6.4</v>
      </c>
      <c r="E10" s="66" t="s">
        <v>61</v>
      </c>
      <c r="F10" s="65" t="s">
        <v>62</v>
      </c>
      <c r="G10" s="65">
        <v>13</v>
      </c>
      <c r="H10" s="67">
        <v>33115.11</v>
      </c>
      <c r="I10" s="103">
        <f>G10*H10</f>
        <v>430496.43</v>
      </c>
    </row>
    <row r="11" spans="1:9" x14ac:dyDescent="0.2">
      <c r="A11" s="18">
        <v>2</v>
      </c>
      <c r="B11" s="19" t="s">
        <v>59</v>
      </c>
      <c r="C11" s="20" t="s">
        <v>60</v>
      </c>
      <c r="D11" s="19" t="str">
        <f t="shared" ref="D11:D19" si="0">LEFT(B11,5)</f>
        <v>2.6.4</v>
      </c>
      <c r="E11" s="20" t="s">
        <v>61</v>
      </c>
      <c r="F11" s="71" t="s">
        <v>62</v>
      </c>
      <c r="G11" s="21">
        <v>13</v>
      </c>
      <c r="H11" s="100">
        <v>56782.71</v>
      </c>
      <c r="I11" s="102">
        <f t="shared" ref="I11:I12" si="1">G11*H11</f>
        <v>738175.23</v>
      </c>
    </row>
    <row r="12" spans="1:9" x14ac:dyDescent="0.2">
      <c r="A12" s="18">
        <v>3</v>
      </c>
      <c r="B12" s="19" t="s">
        <v>63</v>
      </c>
      <c r="C12" s="20" t="s">
        <v>60</v>
      </c>
      <c r="D12" s="19" t="str">
        <f t="shared" si="0"/>
        <v>2.6.4</v>
      </c>
      <c r="E12" s="20" t="s">
        <v>64</v>
      </c>
      <c r="F12" s="19" t="s">
        <v>62</v>
      </c>
      <c r="G12" s="68">
        <v>13</v>
      </c>
      <c r="H12" s="101">
        <v>9280.6200000000008</v>
      </c>
      <c r="I12" s="102">
        <f t="shared" si="1"/>
        <v>120648.06000000001</v>
      </c>
    </row>
    <row r="13" spans="1:9" x14ac:dyDescent="0.2">
      <c r="A13" s="18">
        <v>4</v>
      </c>
      <c r="B13" s="19"/>
      <c r="C13" s="20"/>
      <c r="D13" s="19" t="str">
        <f t="shared" si="0"/>
        <v/>
      </c>
      <c r="E13" s="20"/>
      <c r="F13" s="19"/>
      <c r="G13" s="68"/>
      <c r="H13" s="68"/>
      <c r="I13" s="69"/>
    </row>
    <row r="14" spans="1:9" x14ac:dyDescent="0.2">
      <c r="A14" s="18">
        <v>5</v>
      </c>
      <c r="B14" s="19"/>
      <c r="C14" s="20"/>
      <c r="D14" s="19" t="str">
        <f t="shared" si="0"/>
        <v/>
      </c>
      <c r="E14" s="20"/>
      <c r="F14" s="71"/>
      <c r="G14" s="21"/>
      <c r="H14" s="21"/>
      <c r="I14" s="22"/>
    </row>
    <row r="15" spans="1:9" x14ac:dyDescent="0.2">
      <c r="A15" s="18">
        <v>6</v>
      </c>
      <c r="B15" s="19"/>
      <c r="C15" s="20"/>
      <c r="D15" s="19" t="str">
        <f t="shared" si="0"/>
        <v/>
      </c>
      <c r="E15" s="20"/>
      <c r="F15" s="71"/>
      <c r="G15" s="21"/>
      <c r="H15" s="21"/>
      <c r="I15" s="22"/>
    </row>
    <row r="16" spans="1:9" x14ac:dyDescent="0.2">
      <c r="A16" s="18">
        <v>7</v>
      </c>
      <c r="B16" s="19"/>
      <c r="C16" s="20"/>
      <c r="D16" s="19" t="str">
        <f t="shared" si="0"/>
        <v/>
      </c>
      <c r="E16" s="20"/>
      <c r="F16" s="71"/>
      <c r="G16" s="21"/>
      <c r="H16" s="21"/>
      <c r="I16" s="22"/>
    </row>
    <row r="17" spans="1:9" x14ac:dyDescent="0.2">
      <c r="A17" s="18">
        <v>8</v>
      </c>
      <c r="B17" s="19"/>
      <c r="C17" s="20"/>
      <c r="D17" s="19" t="str">
        <f t="shared" si="0"/>
        <v/>
      </c>
      <c r="E17" s="20"/>
      <c r="F17" s="71"/>
      <c r="G17" s="21"/>
      <c r="H17" s="21"/>
      <c r="I17" s="22"/>
    </row>
    <row r="18" spans="1:9" x14ac:dyDescent="0.2">
      <c r="A18" s="18">
        <v>9</v>
      </c>
      <c r="B18" s="19"/>
      <c r="C18" s="20"/>
      <c r="D18" s="19" t="str">
        <f t="shared" si="0"/>
        <v/>
      </c>
      <c r="E18" s="20"/>
      <c r="F18" s="71"/>
      <c r="G18" s="21"/>
      <c r="H18" s="21"/>
      <c r="I18" s="22"/>
    </row>
    <row r="19" spans="1:9" ht="12.75" customHeight="1" thickBot="1" x14ac:dyDescent="0.25">
      <c r="A19" s="23">
        <v>10</v>
      </c>
      <c r="B19" s="24"/>
      <c r="C19" s="25"/>
      <c r="D19" s="24" t="str">
        <f t="shared" si="0"/>
        <v/>
      </c>
      <c r="E19" s="25"/>
      <c r="F19" s="72"/>
      <c r="G19" s="26"/>
      <c r="H19" s="26"/>
      <c r="I19" s="27"/>
    </row>
    <row r="20" spans="1:9" s="74" customFormat="1" thickBot="1" x14ac:dyDescent="0.25"/>
    <row r="21" spans="1:9" s="74" customFormat="1" ht="12" x14ac:dyDescent="0.2">
      <c r="B21" s="75" t="s">
        <v>14</v>
      </c>
      <c r="C21" s="76"/>
      <c r="D21" s="76"/>
      <c r="E21" s="77"/>
    </row>
    <row r="22" spans="1:9" s="74" customFormat="1" ht="5.25" customHeight="1" x14ac:dyDescent="0.2">
      <c r="B22" s="78"/>
      <c r="C22" s="79"/>
      <c r="D22" s="79"/>
      <c r="E22" s="80"/>
    </row>
    <row r="23" spans="1:9" s="74" customFormat="1" ht="12" x14ac:dyDescent="0.2">
      <c r="B23" s="81" t="s">
        <v>15</v>
      </c>
      <c r="C23" s="79"/>
      <c r="D23" s="79"/>
      <c r="E23" s="80"/>
    </row>
    <row r="24" spans="1:9" s="74" customFormat="1" ht="130.5" customHeight="1" x14ac:dyDescent="0.2">
      <c r="B24" s="81"/>
      <c r="C24" s="107" t="s">
        <v>68</v>
      </c>
      <c r="D24" s="107"/>
      <c r="E24" s="107"/>
    </row>
    <row r="25" spans="1:9" s="74" customFormat="1" ht="12" x14ac:dyDescent="0.2">
      <c r="B25" s="81" t="s">
        <v>16</v>
      </c>
      <c r="C25" s="79"/>
      <c r="D25" s="79"/>
      <c r="E25" s="80"/>
    </row>
    <row r="26" spans="1:9" s="74" customFormat="1" x14ac:dyDescent="0.2">
      <c r="B26" s="82"/>
      <c r="C26" s="108"/>
      <c r="D26" s="109"/>
      <c r="E26" s="110"/>
    </row>
    <row r="27" spans="1:9" s="74" customFormat="1" ht="65.25" customHeight="1" x14ac:dyDescent="0.2">
      <c r="B27" s="82"/>
      <c r="C27" s="111" t="s">
        <v>77</v>
      </c>
      <c r="D27" s="112"/>
      <c r="E27" s="113"/>
    </row>
    <row r="28" spans="1:9" s="74" customFormat="1" thickBot="1" x14ac:dyDescent="0.25">
      <c r="B28" s="83"/>
      <c r="C28" s="84"/>
      <c r="D28" s="84"/>
      <c r="E28" s="85"/>
    </row>
    <row r="29" spans="1:9" s="74" customFormat="1" thickBot="1" x14ac:dyDescent="0.25"/>
    <row r="30" spans="1:9" s="74" customFormat="1" ht="12" x14ac:dyDescent="0.2">
      <c r="B30" s="75" t="s">
        <v>17</v>
      </c>
      <c r="C30" s="76"/>
      <c r="D30" s="76"/>
      <c r="E30" s="77"/>
    </row>
    <row r="31" spans="1:9" s="74" customFormat="1" ht="7.5" customHeight="1" x14ac:dyDescent="0.2">
      <c r="B31" s="78"/>
      <c r="C31" s="79"/>
      <c r="D31" s="79"/>
      <c r="E31" s="80"/>
    </row>
    <row r="32" spans="1:9" s="74" customFormat="1" ht="12.75" customHeight="1" x14ac:dyDescent="0.2">
      <c r="B32" s="81" t="s">
        <v>15</v>
      </c>
      <c r="C32" s="79"/>
      <c r="D32" s="79"/>
      <c r="E32" s="80"/>
    </row>
    <row r="33" spans="2:5" s="74" customFormat="1" ht="122.25" customHeight="1" x14ac:dyDescent="0.2">
      <c r="B33" s="81"/>
      <c r="C33" s="107" t="s">
        <v>67</v>
      </c>
      <c r="D33" s="107"/>
      <c r="E33" s="107"/>
    </row>
    <row r="34" spans="2:5" s="74" customFormat="1" ht="12" x14ac:dyDescent="0.2">
      <c r="B34" s="81" t="s">
        <v>16</v>
      </c>
      <c r="C34" s="79"/>
      <c r="D34" s="79"/>
      <c r="E34" s="80"/>
    </row>
    <row r="35" spans="2:5" s="74" customFormat="1" x14ac:dyDescent="0.2">
      <c r="B35" s="82"/>
      <c r="C35" s="108"/>
      <c r="D35" s="109"/>
      <c r="E35" s="110"/>
    </row>
    <row r="36" spans="2:5" s="74" customFormat="1" ht="59.25" customHeight="1" x14ac:dyDescent="0.2">
      <c r="B36" s="82"/>
      <c r="C36" s="111" t="s">
        <v>77</v>
      </c>
      <c r="D36" s="112"/>
      <c r="E36" s="113"/>
    </row>
    <row r="37" spans="2:5" s="74" customFormat="1" thickBot="1" x14ac:dyDescent="0.25">
      <c r="B37" s="83"/>
      <c r="C37" s="84"/>
      <c r="D37" s="84"/>
      <c r="E37" s="85"/>
    </row>
    <row r="38" spans="2:5" s="74" customFormat="1" ht="12" x14ac:dyDescent="0.2"/>
    <row r="41" spans="2:5" ht="13.5" thickBot="1" x14ac:dyDescent="0.25"/>
    <row r="42" spans="2:5" s="74" customFormat="1" ht="12" x14ac:dyDescent="0.2">
      <c r="B42" s="75" t="s">
        <v>65</v>
      </c>
      <c r="C42" s="76"/>
      <c r="D42" s="76"/>
      <c r="E42" s="77"/>
    </row>
    <row r="43" spans="2:5" s="74" customFormat="1" ht="7.5" customHeight="1" x14ac:dyDescent="0.2">
      <c r="B43" s="78"/>
      <c r="C43" s="79"/>
      <c r="D43" s="79"/>
      <c r="E43" s="80"/>
    </row>
    <row r="44" spans="2:5" s="74" customFormat="1" ht="12.75" customHeight="1" x14ac:dyDescent="0.2">
      <c r="B44" s="81" t="s">
        <v>15</v>
      </c>
      <c r="C44" s="79"/>
      <c r="D44" s="79"/>
      <c r="E44" s="80"/>
    </row>
    <row r="45" spans="2:5" s="74" customFormat="1" ht="122.25" customHeight="1" x14ac:dyDescent="0.2">
      <c r="B45" s="81"/>
      <c r="C45" s="107" t="s">
        <v>66</v>
      </c>
      <c r="D45" s="107"/>
      <c r="E45" s="107"/>
    </row>
    <row r="46" spans="2:5" s="74" customFormat="1" ht="12" x14ac:dyDescent="0.2">
      <c r="B46" s="81" t="s">
        <v>16</v>
      </c>
      <c r="C46" s="79"/>
      <c r="D46" s="79"/>
      <c r="E46" s="80"/>
    </row>
    <row r="47" spans="2:5" s="74" customFormat="1" x14ac:dyDescent="0.2">
      <c r="B47" s="82"/>
      <c r="C47" s="108"/>
      <c r="D47" s="109"/>
      <c r="E47" s="110"/>
    </row>
    <row r="48" spans="2:5" s="74" customFormat="1" ht="59.25" customHeight="1" x14ac:dyDescent="0.2">
      <c r="B48" s="82"/>
      <c r="C48" s="111" t="s">
        <v>77</v>
      </c>
      <c r="D48" s="112"/>
      <c r="E48" s="113"/>
    </row>
    <row r="49" spans="2:5" s="74" customFormat="1" thickBot="1" x14ac:dyDescent="0.25">
      <c r="B49" s="83"/>
      <c r="C49" s="84"/>
      <c r="D49" s="84"/>
      <c r="E49" s="85"/>
    </row>
  </sheetData>
  <mergeCells count="18">
    <mergeCell ref="C48:E48"/>
    <mergeCell ref="C36:E36"/>
    <mergeCell ref="C33:E33"/>
    <mergeCell ref="C35:E35"/>
    <mergeCell ref="C45:E45"/>
    <mergeCell ref="C47:E47"/>
    <mergeCell ref="A6:B6"/>
    <mergeCell ref="A7:B7"/>
    <mergeCell ref="C24:E24"/>
    <mergeCell ref="C26:E26"/>
    <mergeCell ref="C27:E27"/>
    <mergeCell ref="C6:E6"/>
    <mergeCell ref="C7:E7"/>
    <mergeCell ref="B2:H2"/>
    <mergeCell ref="A4:B4"/>
    <mergeCell ref="C4:E4"/>
    <mergeCell ref="A5:B5"/>
    <mergeCell ref="C5:E5"/>
  </mergeCells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MJ125"/>
  <sheetViews>
    <sheetView zoomScale="80" zoomScaleNormal="80" workbookViewId="0">
      <selection activeCell="D129" sqref="D129"/>
    </sheetView>
  </sheetViews>
  <sheetFormatPr baseColWidth="10" defaultColWidth="9.140625" defaultRowHeight="12.75" x14ac:dyDescent="0.2"/>
  <cols>
    <col min="1" max="1" width="5.5703125" style="2" customWidth="1"/>
    <col min="2" max="2" width="15.140625" style="2" customWidth="1"/>
    <col min="3" max="3" width="14.140625" style="2" customWidth="1"/>
    <col min="4" max="4" width="26" style="2" customWidth="1"/>
    <col min="5" max="5" width="8" style="2" customWidth="1"/>
    <col min="6" max="6" width="7.85546875" style="2" customWidth="1"/>
    <col min="7" max="7" width="42" style="2" customWidth="1"/>
    <col min="8" max="8" width="9.28515625" style="2" customWidth="1"/>
    <col min="9" max="9" width="15.5703125" style="2" customWidth="1"/>
    <col min="10" max="10" width="14.7109375" style="2" customWidth="1"/>
    <col min="11" max="11" width="15.5703125" style="2" customWidth="1"/>
    <col min="12" max="14" width="5.85546875" style="2" customWidth="1"/>
    <col min="15" max="15" width="12.5703125" style="2" customWidth="1"/>
    <col min="16" max="1024" width="9.140625" style="2"/>
  </cols>
  <sheetData>
    <row r="1" spans="1:11" ht="18" customHeight="1" x14ac:dyDescent="0.2">
      <c r="A1" s="115" t="s">
        <v>18</v>
      </c>
      <c r="B1" s="115"/>
      <c r="C1" s="115"/>
      <c r="D1" s="115"/>
      <c r="E1" s="115"/>
      <c r="F1" s="115"/>
      <c r="G1" s="115"/>
      <c r="H1" s="115"/>
      <c r="I1" s="115"/>
      <c r="J1" s="86" t="s">
        <v>19</v>
      </c>
      <c r="K1" s="87" t="s">
        <v>70</v>
      </c>
    </row>
    <row r="2" spans="1:11" ht="18.75" customHeight="1" thickBot="1" x14ac:dyDescent="0.25">
      <c r="A2" s="88"/>
      <c r="B2" s="88"/>
      <c r="C2" s="88"/>
      <c r="D2" s="89"/>
      <c r="E2" s="89"/>
      <c r="F2" s="89"/>
      <c r="G2" s="89"/>
      <c r="H2" s="89"/>
      <c r="I2" s="89"/>
      <c r="J2" s="89"/>
      <c r="K2" s="89"/>
    </row>
    <row r="3" spans="1:11" ht="18.75" customHeight="1" thickBot="1" x14ac:dyDescent="0.25">
      <c r="A3" s="116" t="s">
        <v>51</v>
      </c>
      <c r="B3" s="116"/>
      <c r="C3" s="116"/>
      <c r="D3" s="117" t="str">
        <f>'Necesidades Trimestrales'!C4</f>
        <v>65 - Ministerio de Agua, Energia y Medio Ambiente</v>
      </c>
      <c r="E3" s="117"/>
      <c r="F3" s="117"/>
      <c r="G3" s="117"/>
      <c r="H3" s="117"/>
      <c r="I3" s="117"/>
      <c r="J3" s="117"/>
      <c r="K3" s="117"/>
    </row>
    <row r="4" spans="1:11" ht="18.75" customHeight="1" thickBot="1" x14ac:dyDescent="0.25">
      <c r="A4" s="118" t="s">
        <v>52</v>
      </c>
      <c r="B4" s="118"/>
      <c r="C4" s="118"/>
      <c r="D4" s="117" t="str">
        <f>'Necesidades Trimestrales'!C5</f>
        <v>31 - Secretaria de Energia</v>
      </c>
      <c r="E4" s="117"/>
      <c r="F4" s="117"/>
      <c r="G4" s="117"/>
      <c r="H4" s="117"/>
      <c r="I4" s="117"/>
      <c r="J4" s="117"/>
      <c r="K4" s="117"/>
    </row>
    <row r="5" spans="1:11" ht="18.75" customHeight="1" thickBot="1" x14ac:dyDescent="0.25">
      <c r="A5" s="118" t="s">
        <v>31</v>
      </c>
      <c r="B5" s="118"/>
      <c r="C5" s="118"/>
      <c r="D5" s="117" t="s">
        <v>71</v>
      </c>
      <c r="E5" s="117"/>
      <c r="F5" s="117"/>
      <c r="G5" s="117"/>
      <c r="H5" s="117"/>
      <c r="I5" s="117"/>
      <c r="J5" s="117"/>
      <c r="K5" s="117"/>
    </row>
    <row r="6" spans="1:11" ht="16.5" customHeight="1" thickBot="1" x14ac:dyDescent="0.25">
      <c r="A6" s="116" t="s">
        <v>53</v>
      </c>
      <c r="B6" s="116"/>
      <c r="C6" s="116"/>
      <c r="D6" s="117" t="s">
        <v>71</v>
      </c>
      <c r="E6" s="117"/>
      <c r="F6" s="117"/>
      <c r="G6" s="117"/>
      <c r="H6" s="117"/>
      <c r="I6" s="117"/>
      <c r="J6" s="117"/>
      <c r="K6" s="117"/>
    </row>
    <row r="7" spans="1:11" ht="16.5" customHeight="1" thickBot="1" x14ac:dyDescent="0.25">
      <c r="A7" s="118" t="s">
        <v>20</v>
      </c>
      <c r="B7" s="118"/>
      <c r="C7" s="118"/>
      <c r="D7" s="117" t="str">
        <f>'Necesidades Trimestrales'!C7 &amp; "° Trimestre - Año " &amp; 'Necesidades Trimestrales'!C6</f>
        <v>4° Trimestre - Año 2020</v>
      </c>
      <c r="E7" s="117"/>
      <c r="F7" s="117"/>
      <c r="G7" s="117"/>
      <c r="H7" s="117"/>
      <c r="I7" s="117"/>
      <c r="J7" s="117"/>
      <c r="K7" s="117"/>
    </row>
    <row r="8" spans="1:11" ht="16.5" customHeight="1" x14ac:dyDescent="0.2">
      <c r="A8" s="119" t="s">
        <v>21</v>
      </c>
      <c r="B8" s="119"/>
      <c r="C8" s="119"/>
      <c r="D8" s="120" t="s">
        <v>72</v>
      </c>
      <c r="E8" s="120"/>
      <c r="F8" s="120"/>
      <c r="G8" s="120"/>
      <c r="H8" s="120"/>
      <c r="I8" s="120"/>
      <c r="J8" s="120"/>
      <c r="K8" s="120"/>
    </row>
    <row r="9" spans="1:11" ht="15.75" x14ac:dyDescent="0.2">
      <c r="A9" s="3"/>
      <c r="B9" s="3"/>
      <c r="C9" s="3"/>
      <c r="D9" s="4"/>
      <c r="E9" s="4"/>
      <c r="F9" s="4"/>
      <c r="G9" s="4"/>
      <c r="H9" s="4"/>
      <c r="I9" s="4"/>
      <c r="J9" s="4"/>
      <c r="K9" s="4"/>
    </row>
    <row r="10" spans="1:11" ht="18.75" customHeight="1" x14ac:dyDescent="0.2">
      <c r="A10" s="121" t="s">
        <v>22</v>
      </c>
      <c r="B10" s="122" t="s">
        <v>23</v>
      </c>
      <c r="C10" s="122" t="s">
        <v>24</v>
      </c>
      <c r="D10" s="122"/>
      <c r="E10" s="122"/>
      <c r="F10" s="122"/>
      <c r="G10" s="122"/>
      <c r="H10" s="122" t="s">
        <v>25</v>
      </c>
      <c r="I10" s="122" t="s">
        <v>26</v>
      </c>
      <c r="J10" s="122" t="s">
        <v>27</v>
      </c>
      <c r="K10" s="123" t="s">
        <v>28</v>
      </c>
    </row>
    <row r="11" spans="1:11" ht="24" customHeight="1" x14ac:dyDescent="0.2">
      <c r="A11" s="121"/>
      <c r="B11" s="122"/>
      <c r="C11" s="122"/>
      <c r="D11" s="122"/>
      <c r="E11" s="122"/>
      <c r="F11" s="122"/>
      <c r="G11" s="122"/>
      <c r="H11" s="122"/>
      <c r="I11" s="122"/>
      <c r="J11" s="122"/>
      <c r="K11" s="123"/>
    </row>
    <row r="12" spans="1:11" ht="15.75" customHeight="1" x14ac:dyDescent="0.2">
      <c r="A12" s="5">
        <v>1</v>
      </c>
      <c r="B12" s="55" t="str">
        <f>'Necesidades Trimestrales'!B10</f>
        <v>2.6.4-3176.56</v>
      </c>
      <c r="C12" s="126" t="str">
        <f>'Necesidades Trimestrales'!E10</f>
        <v>POSTE DE HORMIGON</v>
      </c>
      <c r="D12" s="126"/>
      <c r="E12" s="126"/>
      <c r="F12" s="126"/>
      <c r="G12" s="126"/>
      <c r="H12" s="56" t="s">
        <v>69</v>
      </c>
      <c r="I12" s="57" t="str">
        <f>'Necesidades Trimestrales'!F10</f>
        <v>PZA</v>
      </c>
      <c r="J12" s="58">
        <f>'Necesidades Trimestrales'!H10</f>
        <v>33115.11</v>
      </c>
      <c r="K12" s="59">
        <f>'Necesidades Trimestrales'!G10</f>
        <v>13</v>
      </c>
    </row>
    <row r="13" spans="1:11" ht="15.75" customHeight="1" x14ac:dyDescent="0.2">
      <c r="A13" s="54">
        <v>2</v>
      </c>
      <c r="B13" s="60" t="str">
        <f>'Necesidades Trimestrales'!B11</f>
        <v>2.6.4-3176.56</v>
      </c>
      <c r="C13" s="129" t="str">
        <f>'Necesidades Trimestrales'!E11</f>
        <v>POSTE DE HORMIGON</v>
      </c>
      <c r="D13" s="129"/>
      <c r="E13" s="129"/>
      <c r="F13" s="129"/>
      <c r="G13" s="129"/>
      <c r="H13" s="61" t="s">
        <v>69</v>
      </c>
      <c r="I13" s="62" t="str">
        <f>'Necesidades Trimestrales'!F11</f>
        <v>PZA</v>
      </c>
      <c r="J13" s="63">
        <f>'Necesidades Trimestrales'!H11</f>
        <v>56782.71</v>
      </c>
      <c r="K13" s="64">
        <f>'Necesidades Trimestrales'!G11</f>
        <v>13</v>
      </c>
    </row>
    <row r="14" spans="1:11" ht="15.75" customHeight="1" x14ac:dyDescent="0.2">
      <c r="A14" s="54">
        <v>3</v>
      </c>
      <c r="B14" s="60" t="str">
        <f>'Necesidades Trimestrales'!B12</f>
        <v>2.6.4-2905.12</v>
      </c>
      <c r="C14" s="129" t="str">
        <f>'Necesidades Trimestrales'!E12</f>
        <v>CRUCETAS DE HORMIGON</v>
      </c>
      <c r="D14" s="129"/>
      <c r="E14" s="129"/>
      <c r="F14" s="129"/>
      <c r="G14" s="129"/>
      <c r="H14" s="61" t="s">
        <v>69</v>
      </c>
      <c r="I14" s="62" t="str">
        <f>'Necesidades Trimestrales'!F12</f>
        <v>PZA</v>
      </c>
      <c r="J14" s="63">
        <f>'Necesidades Trimestrales'!H12</f>
        <v>9280.6200000000008</v>
      </c>
      <c r="K14" s="64">
        <f>'Necesidades Trimestrales'!G12</f>
        <v>13</v>
      </c>
    </row>
    <row r="15" spans="1:11" ht="15.75" customHeight="1" x14ac:dyDescent="0.2">
      <c r="A15" s="54">
        <v>4</v>
      </c>
      <c r="B15" s="60"/>
      <c r="C15" s="129"/>
      <c r="D15" s="129"/>
      <c r="E15" s="129"/>
      <c r="F15" s="129"/>
      <c r="G15" s="129"/>
      <c r="H15" s="61"/>
      <c r="I15" s="62"/>
      <c r="J15" s="63"/>
      <c r="K15" s="64"/>
    </row>
    <row r="16" spans="1:11" ht="15.75" customHeight="1" thickBot="1" x14ac:dyDescent="0.25">
      <c r="A16" s="54">
        <v>5</v>
      </c>
      <c r="B16" s="60"/>
      <c r="C16" s="129"/>
      <c r="D16" s="129"/>
      <c r="E16" s="129"/>
      <c r="F16" s="129"/>
      <c r="G16" s="129"/>
      <c r="H16" s="61"/>
      <c r="I16" s="62"/>
      <c r="J16" s="63"/>
      <c r="K16" s="64"/>
    </row>
    <row r="17" spans="1:11" ht="15.75" hidden="1" customHeight="1" x14ac:dyDescent="0.2">
      <c r="A17" s="54">
        <v>6</v>
      </c>
      <c r="B17" s="60">
        <f>'Necesidades Trimestrales'!B15</f>
        <v>0</v>
      </c>
      <c r="C17" s="129">
        <f>'Necesidades Trimestrales'!E15</f>
        <v>0</v>
      </c>
      <c r="D17" s="129"/>
      <c r="E17" s="129"/>
      <c r="F17" s="129"/>
      <c r="G17" s="129"/>
      <c r="H17" s="61" t="s">
        <v>58</v>
      </c>
      <c r="I17" s="62">
        <f>'Necesidades Trimestrales'!F15</f>
        <v>0</v>
      </c>
      <c r="J17" s="63"/>
      <c r="K17" s="64">
        <f>'Necesidades Trimestrales'!G15</f>
        <v>0</v>
      </c>
    </row>
    <row r="18" spans="1:11" ht="15.75" hidden="1" customHeight="1" x14ac:dyDescent="0.2">
      <c r="A18" s="54">
        <v>7</v>
      </c>
      <c r="B18" s="60">
        <f>'Necesidades Trimestrales'!B16</f>
        <v>0</v>
      </c>
      <c r="C18" s="129">
        <f>'Necesidades Trimestrales'!E16</f>
        <v>0</v>
      </c>
      <c r="D18" s="129"/>
      <c r="E18" s="129"/>
      <c r="F18" s="129"/>
      <c r="G18" s="129"/>
      <c r="H18" s="61" t="s">
        <v>58</v>
      </c>
      <c r="I18" s="62">
        <f>'Necesidades Trimestrales'!F16</f>
        <v>0</v>
      </c>
      <c r="J18" s="63"/>
      <c r="K18" s="64">
        <f>'Necesidades Trimestrales'!G16</f>
        <v>0</v>
      </c>
    </row>
    <row r="19" spans="1:11" ht="15.75" hidden="1" customHeight="1" x14ac:dyDescent="0.2">
      <c r="A19" s="54">
        <v>8</v>
      </c>
      <c r="B19" s="60">
        <f>'Necesidades Trimestrales'!B17</f>
        <v>0</v>
      </c>
      <c r="C19" s="129">
        <f>'Necesidades Trimestrales'!E17</f>
        <v>0</v>
      </c>
      <c r="D19" s="129"/>
      <c r="E19" s="129"/>
      <c r="F19" s="129"/>
      <c r="G19" s="129"/>
      <c r="H19" s="61" t="s">
        <v>58</v>
      </c>
      <c r="I19" s="62">
        <f>'Necesidades Trimestrales'!F17</f>
        <v>0</v>
      </c>
      <c r="J19" s="63"/>
      <c r="K19" s="64">
        <f>'Necesidades Trimestrales'!G17</f>
        <v>0</v>
      </c>
    </row>
    <row r="20" spans="1:11" ht="15.75" hidden="1" customHeight="1" x14ac:dyDescent="0.2">
      <c r="A20" s="54">
        <v>9</v>
      </c>
      <c r="B20" s="60">
        <f>'Necesidades Trimestrales'!B18</f>
        <v>0</v>
      </c>
      <c r="C20" s="129">
        <f>'Necesidades Trimestrales'!E18</f>
        <v>0</v>
      </c>
      <c r="D20" s="129"/>
      <c r="E20" s="129"/>
      <c r="F20" s="129"/>
      <c r="G20" s="129"/>
      <c r="H20" s="61" t="s">
        <v>58</v>
      </c>
      <c r="I20" s="62">
        <f>'Necesidades Trimestrales'!F18</f>
        <v>0</v>
      </c>
      <c r="J20" s="63"/>
      <c r="K20" s="64">
        <f>'Necesidades Trimestrales'!G18</f>
        <v>0</v>
      </c>
    </row>
    <row r="21" spans="1:11" ht="15.75" hidden="1" customHeight="1" x14ac:dyDescent="0.2">
      <c r="A21" s="54">
        <v>10</v>
      </c>
      <c r="B21" s="60">
        <f>'Necesidades Trimestrales'!B19</f>
        <v>0</v>
      </c>
      <c r="C21" s="129">
        <f>'Necesidades Trimestrales'!E19</f>
        <v>0</v>
      </c>
      <c r="D21" s="129"/>
      <c r="E21" s="129"/>
      <c r="F21" s="129"/>
      <c r="G21" s="129"/>
      <c r="H21" s="61" t="s">
        <v>58</v>
      </c>
      <c r="I21" s="62">
        <f>'Necesidades Trimestrales'!F19</f>
        <v>0</v>
      </c>
      <c r="J21" s="63"/>
      <c r="K21" s="64">
        <f>'Necesidades Trimestrales'!G19</f>
        <v>0</v>
      </c>
    </row>
    <row r="22" spans="1:11" ht="15.75" hidden="1" customHeight="1" x14ac:dyDescent="0.2">
      <c r="A22" s="54">
        <v>11</v>
      </c>
      <c r="B22" s="60" t="e">
        <f>'Necesidades Trimestrales'!#REF!</f>
        <v>#REF!</v>
      </c>
      <c r="C22" s="129" t="e">
        <f>'Necesidades Trimestrales'!#REF!</f>
        <v>#REF!</v>
      </c>
      <c r="D22" s="129"/>
      <c r="E22" s="129"/>
      <c r="F22" s="129"/>
      <c r="G22" s="129"/>
      <c r="H22" s="61" t="s">
        <v>58</v>
      </c>
      <c r="I22" s="62" t="e">
        <f>'Necesidades Trimestrales'!#REF!</f>
        <v>#REF!</v>
      </c>
      <c r="J22" s="63"/>
      <c r="K22" s="64" t="e">
        <f>'Necesidades Trimestrales'!#REF!</f>
        <v>#REF!</v>
      </c>
    </row>
    <row r="23" spans="1:11" ht="15.75" hidden="1" customHeight="1" x14ac:dyDescent="0.2">
      <c r="A23" s="54">
        <v>12</v>
      </c>
      <c r="B23" s="60" t="e">
        <f>'Necesidades Trimestrales'!#REF!</f>
        <v>#REF!</v>
      </c>
      <c r="C23" s="129" t="e">
        <f>'Necesidades Trimestrales'!#REF!</f>
        <v>#REF!</v>
      </c>
      <c r="D23" s="129"/>
      <c r="E23" s="129"/>
      <c r="F23" s="129"/>
      <c r="G23" s="129"/>
      <c r="H23" s="61" t="s">
        <v>58</v>
      </c>
      <c r="I23" s="62" t="e">
        <f>'Necesidades Trimestrales'!#REF!</f>
        <v>#REF!</v>
      </c>
      <c r="J23" s="63"/>
      <c r="K23" s="64" t="e">
        <f>'Necesidades Trimestrales'!#REF!</f>
        <v>#REF!</v>
      </c>
    </row>
    <row r="24" spans="1:11" ht="15.75" hidden="1" customHeight="1" x14ac:dyDescent="0.2">
      <c r="A24" s="54">
        <v>13</v>
      </c>
      <c r="B24" s="60" t="e">
        <f>'Necesidades Trimestrales'!#REF!</f>
        <v>#REF!</v>
      </c>
      <c r="C24" s="129" t="e">
        <f>'Necesidades Trimestrales'!#REF!</f>
        <v>#REF!</v>
      </c>
      <c r="D24" s="129"/>
      <c r="E24" s="129"/>
      <c r="F24" s="129"/>
      <c r="G24" s="129"/>
      <c r="H24" s="61" t="s">
        <v>58</v>
      </c>
      <c r="I24" s="62" t="e">
        <f>'Necesidades Trimestrales'!#REF!</f>
        <v>#REF!</v>
      </c>
      <c r="J24" s="63"/>
      <c r="K24" s="64" t="e">
        <f>'Necesidades Trimestrales'!#REF!</f>
        <v>#REF!</v>
      </c>
    </row>
    <row r="25" spans="1:11" ht="15.75" hidden="1" customHeight="1" x14ac:dyDescent="0.2">
      <c r="A25" s="54">
        <v>14</v>
      </c>
      <c r="B25" s="60" t="e">
        <f>'Necesidades Trimestrales'!#REF!</f>
        <v>#REF!</v>
      </c>
      <c r="C25" s="129" t="e">
        <f>'Necesidades Trimestrales'!#REF!</f>
        <v>#REF!</v>
      </c>
      <c r="D25" s="129"/>
      <c r="E25" s="129"/>
      <c r="F25" s="129"/>
      <c r="G25" s="129"/>
      <c r="H25" s="61" t="s">
        <v>58</v>
      </c>
      <c r="I25" s="62" t="e">
        <f>'Necesidades Trimestrales'!#REF!</f>
        <v>#REF!</v>
      </c>
      <c r="J25" s="63"/>
      <c r="K25" s="64" t="e">
        <f>'Necesidades Trimestrales'!#REF!</f>
        <v>#REF!</v>
      </c>
    </row>
    <row r="26" spans="1:11" ht="15.75" hidden="1" customHeight="1" x14ac:dyDescent="0.2">
      <c r="A26" s="54">
        <v>15</v>
      </c>
      <c r="B26" s="60" t="e">
        <f>'Necesidades Trimestrales'!#REF!</f>
        <v>#REF!</v>
      </c>
      <c r="C26" s="129" t="e">
        <f>'Necesidades Trimestrales'!#REF!</f>
        <v>#REF!</v>
      </c>
      <c r="D26" s="129"/>
      <c r="E26" s="129"/>
      <c r="F26" s="129"/>
      <c r="G26" s="129"/>
      <c r="H26" s="61" t="s">
        <v>58</v>
      </c>
      <c r="I26" s="62" t="e">
        <f>'Necesidades Trimestrales'!#REF!</f>
        <v>#REF!</v>
      </c>
      <c r="J26" s="63"/>
      <c r="K26" s="64" t="e">
        <f>'Necesidades Trimestrales'!#REF!</f>
        <v>#REF!</v>
      </c>
    </row>
    <row r="27" spans="1:11" ht="15.75" hidden="1" customHeight="1" x14ac:dyDescent="0.2">
      <c r="A27" s="54">
        <v>16</v>
      </c>
      <c r="B27" s="60" t="e">
        <f>'Necesidades Trimestrales'!#REF!</f>
        <v>#REF!</v>
      </c>
      <c r="C27" s="129" t="e">
        <f>'Necesidades Trimestrales'!#REF!</f>
        <v>#REF!</v>
      </c>
      <c r="D27" s="129"/>
      <c r="E27" s="129"/>
      <c r="F27" s="129"/>
      <c r="G27" s="129"/>
      <c r="H27" s="61" t="s">
        <v>58</v>
      </c>
      <c r="I27" s="62" t="e">
        <f>'Necesidades Trimestrales'!#REF!</f>
        <v>#REF!</v>
      </c>
      <c r="J27" s="63"/>
      <c r="K27" s="64" t="e">
        <f>'Necesidades Trimestrales'!#REF!</f>
        <v>#REF!</v>
      </c>
    </row>
    <row r="28" spans="1:11" ht="15.75" hidden="1" customHeight="1" x14ac:dyDescent="0.2">
      <c r="A28" s="54">
        <v>17</v>
      </c>
      <c r="B28" s="60" t="e">
        <f>'Necesidades Trimestrales'!#REF!</f>
        <v>#REF!</v>
      </c>
      <c r="C28" s="129" t="e">
        <f>'Necesidades Trimestrales'!#REF!</f>
        <v>#REF!</v>
      </c>
      <c r="D28" s="129"/>
      <c r="E28" s="129"/>
      <c r="F28" s="129"/>
      <c r="G28" s="129"/>
      <c r="H28" s="61" t="s">
        <v>58</v>
      </c>
      <c r="I28" s="62" t="e">
        <f>'Necesidades Trimestrales'!#REF!</f>
        <v>#REF!</v>
      </c>
      <c r="J28" s="63"/>
      <c r="K28" s="64" t="e">
        <f>'Necesidades Trimestrales'!#REF!</f>
        <v>#REF!</v>
      </c>
    </row>
    <row r="29" spans="1:11" ht="15.75" hidden="1" customHeight="1" x14ac:dyDescent="0.2">
      <c r="A29" s="54">
        <v>18</v>
      </c>
      <c r="B29" s="60" t="e">
        <f>'Necesidades Trimestrales'!#REF!</f>
        <v>#REF!</v>
      </c>
      <c r="C29" s="129" t="e">
        <f>'Necesidades Trimestrales'!#REF!</f>
        <v>#REF!</v>
      </c>
      <c r="D29" s="129"/>
      <c r="E29" s="129"/>
      <c r="F29" s="129"/>
      <c r="G29" s="129"/>
      <c r="H29" s="61" t="s">
        <v>58</v>
      </c>
      <c r="I29" s="62" t="e">
        <f>'Necesidades Trimestrales'!#REF!</f>
        <v>#REF!</v>
      </c>
      <c r="J29" s="63"/>
      <c r="K29" s="64" t="e">
        <f>'Necesidades Trimestrales'!#REF!</f>
        <v>#REF!</v>
      </c>
    </row>
    <row r="30" spans="1:11" ht="15.75" hidden="1" customHeight="1" x14ac:dyDescent="0.2">
      <c r="A30" s="54">
        <v>19</v>
      </c>
      <c r="B30" s="60" t="e">
        <f>'Necesidades Trimestrales'!#REF!</f>
        <v>#REF!</v>
      </c>
      <c r="C30" s="129" t="e">
        <f>'Necesidades Trimestrales'!#REF!</f>
        <v>#REF!</v>
      </c>
      <c r="D30" s="129"/>
      <c r="E30" s="129"/>
      <c r="F30" s="129"/>
      <c r="G30" s="129"/>
      <c r="H30" s="61" t="s">
        <v>58</v>
      </c>
      <c r="I30" s="62" t="e">
        <f>'Necesidades Trimestrales'!#REF!</f>
        <v>#REF!</v>
      </c>
      <c r="J30" s="63"/>
      <c r="K30" s="64" t="e">
        <f>'Necesidades Trimestrales'!#REF!</f>
        <v>#REF!</v>
      </c>
    </row>
    <row r="31" spans="1:11" ht="15.75" hidden="1" customHeight="1" x14ac:dyDescent="0.2">
      <c r="A31" s="54">
        <v>20</v>
      </c>
      <c r="B31" s="60" t="e">
        <f>'Necesidades Trimestrales'!#REF!</f>
        <v>#REF!</v>
      </c>
      <c r="C31" s="129" t="e">
        <f>'Necesidades Trimestrales'!#REF!</f>
        <v>#REF!</v>
      </c>
      <c r="D31" s="129"/>
      <c r="E31" s="129"/>
      <c r="F31" s="129"/>
      <c r="G31" s="129"/>
      <c r="H31" s="61" t="s">
        <v>58</v>
      </c>
      <c r="I31" s="62" t="e">
        <f>'Necesidades Trimestrales'!#REF!</f>
        <v>#REF!</v>
      </c>
      <c r="J31" s="63"/>
      <c r="K31" s="64" t="e">
        <f>'Necesidades Trimestrales'!#REF!</f>
        <v>#REF!</v>
      </c>
    </row>
    <row r="32" spans="1:11" ht="15.75" hidden="1" customHeight="1" x14ac:dyDescent="0.2">
      <c r="A32" s="54">
        <v>21</v>
      </c>
      <c r="B32" s="60" t="e">
        <f>'Necesidades Trimestrales'!#REF!</f>
        <v>#REF!</v>
      </c>
      <c r="C32" s="129" t="e">
        <f>'Necesidades Trimestrales'!#REF!</f>
        <v>#REF!</v>
      </c>
      <c r="D32" s="129"/>
      <c r="E32" s="129"/>
      <c r="F32" s="129"/>
      <c r="G32" s="129"/>
      <c r="H32" s="61" t="s">
        <v>58</v>
      </c>
      <c r="I32" s="62" t="e">
        <f>'Necesidades Trimestrales'!#REF!</f>
        <v>#REF!</v>
      </c>
      <c r="J32" s="63"/>
      <c r="K32" s="64" t="e">
        <f>'Necesidades Trimestrales'!#REF!</f>
        <v>#REF!</v>
      </c>
    </row>
    <row r="33" spans="1:11" ht="15.75" hidden="1" customHeight="1" x14ac:dyDescent="0.2">
      <c r="A33" s="54">
        <v>22</v>
      </c>
      <c r="B33" s="60" t="e">
        <f>'Necesidades Trimestrales'!#REF!</f>
        <v>#REF!</v>
      </c>
      <c r="C33" s="129" t="e">
        <f>'Necesidades Trimestrales'!#REF!</f>
        <v>#REF!</v>
      </c>
      <c r="D33" s="129"/>
      <c r="E33" s="129"/>
      <c r="F33" s="129"/>
      <c r="G33" s="129"/>
      <c r="H33" s="61" t="s">
        <v>58</v>
      </c>
      <c r="I33" s="62" t="e">
        <f>'Necesidades Trimestrales'!#REF!</f>
        <v>#REF!</v>
      </c>
      <c r="J33" s="63"/>
      <c r="K33" s="64" t="e">
        <f>'Necesidades Trimestrales'!#REF!</f>
        <v>#REF!</v>
      </c>
    </row>
    <row r="34" spans="1:11" ht="15.75" hidden="1" customHeight="1" x14ac:dyDescent="0.2">
      <c r="A34" s="54">
        <v>23</v>
      </c>
      <c r="B34" s="60" t="e">
        <f>'Necesidades Trimestrales'!#REF!</f>
        <v>#REF!</v>
      </c>
      <c r="C34" s="129" t="e">
        <f>'Necesidades Trimestrales'!#REF!</f>
        <v>#REF!</v>
      </c>
      <c r="D34" s="129"/>
      <c r="E34" s="129"/>
      <c r="F34" s="129"/>
      <c r="G34" s="129"/>
      <c r="H34" s="61" t="s">
        <v>58</v>
      </c>
      <c r="I34" s="62" t="e">
        <f>'Necesidades Trimestrales'!#REF!</f>
        <v>#REF!</v>
      </c>
      <c r="J34" s="63"/>
      <c r="K34" s="64" t="e">
        <f>'Necesidades Trimestrales'!#REF!</f>
        <v>#REF!</v>
      </c>
    </row>
    <row r="35" spans="1:11" ht="15.75" hidden="1" customHeight="1" x14ac:dyDescent="0.2">
      <c r="A35" s="54">
        <v>24</v>
      </c>
      <c r="B35" s="60" t="e">
        <f>'Necesidades Trimestrales'!#REF!</f>
        <v>#REF!</v>
      </c>
      <c r="C35" s="129" t="e">
        <f>'Necesidades Trimestrales'!#REF!</f>
        <v>#REF!</v>
      </c>
      <c r="D35" s="129"/>
      <c r="E35" s="129"/>
      <c r="F35" s="129"/>
      <c r="G35" s="129"/>
      <c r="H35" s="61" t="s">
        <v>58</v>
      </c>
      <c r="I35" s="62" t="e">
        <f>'Necesidades Trimestrales'!#REF!</f>
        <v>#REF!</v>
      </c>
      <c r="J35" s="63"/>
      <c r="K35" s="64" t="e">
        <f>'Necesidades Trimestrales'!#REF!</f>
        <v>#REF!</v>
      </c>
    </row>
    <row r="36" spans="1:11" ht="15.75" hidden="1" customHeight="1" x14ac:dyDescent="0.2">
      <c r="A36" s="54">
        <v>25</v>
      </c>
      <c r="B36" s="60" t="e">
        <f>'Necesidades Trimestrales'!#REF!</f>
        <v>#REF!</v>
      </c>
      <c r="C36" s="129" t="e">
        <f>'Necesidades Trimestrales'!#REF!</f>
        <v>#REF!</v>
      </c>
      <c r="D36" s="129"/>
      <c r="E36" s="129"/>
      <c r="F36" s="129"/>
      <c r="G36" s="129"/>
      <c r="H36" s="61" t="s">
        <v>58</v>
      </c>
      <c r="I36" s="62" t="e">
        <f>'Necesidades Trimestrales'!#REF!</f>
        <v>#REF!</v>
      </c>
      <c r="J36" s="63"/>
      <c r="K36" s="64" t="e">
        <f>'Necesidades Trimestrales'!#REF!</f>
        <v>#REF!</v>
      </c>
    </row>
    <row r="37" spans="1:11" ht="15.75" hidden="1" customHeight="1" x14ac:dyDescent="0.2">
      <c r="A37" s="54">
        <v>26</v>
      </c>
      <c r="B37" s="60" t="e">
        <f>'Necesidades Trimestrales'!#REF!</f>
        <v>#REF!</v>
      </c>
      <c r="C37" s="129" t="e">
        <f>'Necesidades Trimestrales'!#REF!</f>
        <v>#REF!</v>
      </c>
      <c r="D37" s="129"/>
      <c r="E37" s="129"/>
      <c r="F37" s="129"/>
      <c r="G37" s="129"/>
      <c r="H37" s="61" t="s">
        <v>58</v>
      </c>
      <c r="I37" s="62" t="e">
        <f>'Necesidades Trimestrales'!#REF!</f>
        <v>#REF!</v>
      </c>
      <c r="J37" s="63"/>
      <c r="K37" s="64" t="e">
        <f>'Necesidades Trimestrales'!#REF!</f>
        <v>#REF!</v>
      </c>
    </row>
    <row r="38" spans="1:11" ht="15.75" hidden="1" customHeight="1" x14ac:dyDescent="0.2">
      <c r="A38" s="54">
        <v>27</v>
      </c>
      <c r="B38" s="60" t="e">
        <f>'Necesidades Trimestrales'!#REF!</f>
        <v>#REF!</v>
      </c>
      <c r="C38" s="129" t="e">
        <f>'Necesidades Trimestrales'!#REF!</f>
        <v>#REF!</v>
      </c>
      <c r="D38" s="129"/>
      <c r="E38" s="129"/>
      <c r="F38" s="129"/>
      <c r="G38" s="129"/>
      <c r="H38" s="61" t="s">
        <v>58</v>
      </c>
      <c r="I38" s="62" t="e">
        <f>'Necesidades Trimestrales'!#REF!</f>
        <v>#REF!</v>
      </c>
      <c r="J38" s="63"/>
      <c r="K38" s="64" t="e">
        <f>'Necesidades Trimestrales'!#REF!</f>
        <v>#REF!</v>
      </c>
    </row>
    <row r="39" spans="1:11" ht="15.75" hidden="1" customHeight="1" x14ac:dyDescent="0.2">
      <c r="A39" s="54">
        <v>28</v>
      </c>
      <c r="B39" s="60" t="e">
        <f>'Necesidades Trimestrales'!#REF!</f>
        <v>#REF!</v>
      </c>
      <c r="C39" s="129" t="e">
        <f>'Necesidades Trimestrales'!#REF!</f>
        <v>#REF!</v>
      </c>
      <c r="D39" s="129"/>
      <c r="E39" s="129"/>
      <c r="F39" s="129"/>
      <c r="G39" s="129"/>
      <c r="H39" s="61" t="s">
        <v>58</v>
      </c>
      <c r="I39" s="62" t="e">
        <f>'Necesidades Trimestrales'!#REF!</f>
        <v>#REF!</v>
      </c>
      <c r="J39" s="63"/>
      <c r="K39" s="64" t="e">
        <f>'Necesidades Trimestrales'!#REF!</f>
        <v>#REF!</v>
      </c>
    </row>
    <row r="40" spans="1:11" ht="15.75" hidden="1" customHeight="1" x14ac:dyDescent="0.2">
      <c r="A40" s="54">
        <v>29</v>
      </c>
      <c r="B40" s="60" t="e">
        <f>'Necesidades Trimestrales'!#REF!</f>
        <v>#REF!</v>
      </c>
      <c r="C40" s="129" t="e">
        <f>'Necesidades Trimestrales'!#REF!</f>
        <v>#REF!</v>
      </c>
      <c r="D40" s="129"/>
      <c r="E40" s="129"/>
      <c r="F40" s="129"/>
      <c r="G40" s="129"/>
      <c r="H40" s="61" t="s">
        <v>58</v>
      </c>
      <c r="I40" s="62" t="e">
        <f>'Necesidades Trimestrales'!#REF!</f>
        <v>#REF!</v>
      </c>
      <c r="J40" s="63"/>
      <c r="K40" s="64" t="e">
        <f>'Necesidades Trimestrales'!#REF!</f>
        <v>#REF!</v>
      </c>
    </row>
    <row r="41" spans="1:11" ht="15.75" hidden="1" customHeight="1" x14ac:dyDescent="0.2">
      <c r="A41" s="54">
        <v>30</v>
      </c>
      <c r="B41" s="60" t="e">
        <f>'Necesidades Trimestrales'!#REF!</f>
        <v>#REF!</v>
      </c>
      <c r="C41" s="129" t="e">
        <f>'Necesidades Trimestrales'!#REF!</f>
        <v>#REF!</v>
      </c>
      <c r="D41" s="129"/>
      <c r="E41" s="129"/>
      <c r="F41" s="129"/>
      <c r="G41" s="129"/>
      <c r="H41" s="61" t="s">
        <v>58</v>
      </c>
      <c r="I41" s="62" t="e">
        <f>'Necesidades Trimestrales'!#REF!</f>
        <v>#REF!</v>
      </c>
      <c r="J41" s="63"/>
      <c r="K41" s="64" t="e">
        <f>'Necesidades Trimestrales'!#REF!</f>
        <v>#REF!</v>
      </c>
    </row>
    <row r="42" spans="1:11" ht="15.75" hidden="1" customHeight="1" x14ac:dyDescent="0.2">
      <c r="A42" s="54">
        <v>31</v>
      </c>
      <c r="B42" s="60" t="e">
        <f>'Necesidades Trimestrales'!#REF!</f>
        <v>#REF!</v>
      </c>
      <c r="C42" s="129" t="e">
        <f>'Necesidades Trimestrales'!#REF!</f>
        <v>#REF!</v>
      </c>
      <c r="D42" s="129"/>
      <c r="E42" s="129"/>
      <c r="F42" s="129"/>
      <c r="G42" s="129"/>
      <c r="H42" s="61" t="s">
        <v>58</v>
      </c>
      <c r="I42" s="62" t="e">
        <f>'Necesidades Trimestrales'!#REF!</f>
        <v>#REF!</v>
      </c>
      <c r="J42" s="63"/>
      <c r="K42" s="64" t="e">
        <f>'Necesidades Trimestrales'!#REF!</f>
        <v>#REF!</v>
      </c>
    </row>
    <row r="43" spans="1:11" ht="15.75" hidden="1" customHeight="1" x14ac:dyDescent="0.2">
      <c r="A43" s="54">
        <v>32</v>
      </c>
      <c r="B43" s="60" t="e">
        <f>'Necesidades Trimestrales'!#REF!</f>
        <v>#REF!</v>
      </c>
      <c r="C43" s="129" t="e">
        <f>'Necesidades Trimestrales'!#REF!</f>
        <v>#REF!</v>
      </c>
      <c r="D43" s="129"/>
      <c r="E43" s="129"/>
      <c r="F43" s="129"/>
      <c r="G43" s="129"/>
      <c r="H43" s="61" t="s">
        <v>58</v>
      </c>
      <c r="I43" s="62" t="e">
        <f>'Necesidades Trimestrales'!#REF!</f>
        <v>#REF!</v>
      </c>
      <c r="J43" s="63"/>
      <c r="K43" s="64" t="e">
        <f>'Necesidades Trimestrales'!#REF!</f>
        <v>#REF!</v>
      </c>
    </row>
    <row r="44" spans="1:11" ht="15.75" hidden="1" customHeight="1" x14ac:dyDescent="0.2">
      <c r="A44" s="54">
        <v>33</v>
      </c>
      <c r="B44" s="60" t="e">
        <f>'Necesidades Trimestrales'!#REF!</f>
        <v>#REF!</v>
      </c>
      <c r="C44" s="129" t="e">
        <f>'Necesidades Trimestrales'!#REF!</f>
        <v>#REF!</v>
      </c>
      <c r="D44" s="129"/>
      <c r="E44" s="129"/>
      <c r="F44" s="129"/>
      <c r="G44" s="129"/>
      <c r="H44" s="61" t="s">
        <v>58</v>
      </c>
      <c r="I44" s="62" t="e">
        <f>'Necesidades Trimestrales'!#REF!</f>
        <v>#REF!</v>
      </c>
      <c r="J44" s="63"/>
      <c r="K44" s="64" t="e">
        <f>'Necesidades Trimestrales'!#REF!</f>
        <v>#REF!</v>
      </c>
    </row>
    <row r="45" spans="1:11" ht="15.75" hidden="1" customHeight="1" x14ac:dyDescent="0.2">
      <c r="A45" s="54">
        <v>34</v>
      </c>
      <c r="B45" s="60" t="e">
        <f>'Necesidades Trimestrales'!#REF!</f>
        <v>#REF!</v>
      </c>
      <c r="C45" s="129" t="e">
        <f>'Necesidades Trimestrales'!#REF!</f>
        <v>#REF!</v>
      </c>
      <c r="D45" s="129"/>
      <c r="E45" s="129"/>
      <c r="F45" s="129"/>
      <c r="G45" s="129"/>
      <c r="H45" s="61" t="s">
        <v>58</v>
      </c>
      <c r="I45" s="62" t="e">
        <f>'Necesidades Trimestrales'!#REF!</f>
        <v>#REF!</v>
      </c>
      <c r="J45" s="63"/>
      <c r="K45" s="64" t="e">
        <f>'Necesidades Trimestrales'!#REF!</f>
        <v>#REF!</v>
      </c>
    </row>
    <row r="46" spans="1:11" ht="15.75" hidden="1" customHeight="1" x14ac:dyDescent="0.2">
      <c r="A46" s="54">
        <v>35</v>
      </c>
      <c r="B46" s="60" t="e">
        <f>'Necesidades Trimestrales'!#REF!</f>
        <v>#REF!</v>
      </c>
      <c r="C46" s="129" t="e">
        <f>'Necesidades Trimestrales'!#REF!</f>
        <v>#REF!</v>
      </c>
      <c r="D46" s="129"/>
      <c r="E46" s="129"/>
      <c r="F46" s="129"/>
      <c r="G46" s="129"/>
      <c r="H46" s="61" t="s">
        <v>58</v>
      </c>
      <c r="I46" s="62" t="e">
        <f>'Necesidades Trimestrales'!#REF!</f>
        <v>#REF!</v>
      </c>
      <c r="J46" s="63"/>
      <c r="K46" s="64" t="e">
        <f>'Necesidades Trimestrales'!#REF!</f>
        <v>#REF!</v>
      </c>
    </row>
    <row r="47" spans="1:11" ht="15.75" hidden="1" customHeight="1" x14ac:dyDescent="0.2">
      <c r="A47" s="54">
        <v>36</v>
      </c>
      <c r="B47" s="60" t="e">
        <f>'Necesidades Trimestrales'!#REF!</f>
        <v>#REF!</v>
      </c>
      <c r="C47" s="129" t="e">
        <f>'Necesidades Trimestrales'!#REF!</f>
        <v>#REF!</v>
      </c>
      <c r="D47" s="129"/>
      <c r="E47" s="129"/>
      <c r="F47" s="129"/>
      <c r="G47" s="129"/>
      <c r="H47" s="61" t="s">
        <v>58</v>
      </c>
      <c r="I47" s="62" t="e">
        <f>'Necesidades Trimestrales'!#REF!</f>
        <v>#REF!</v>
      </c>
      <c r="J47" s="63"/>
      <c r="K47" s="64" t="e">
        <f>'Necesidades Trimestrales'!#REF!</f>
        <v>#REF!</v>
      </c>
    </row>
    <row r="48" spans="1:11" ht="15.75" hidden="1" customHeight="1" x14ac:dyDescent="0.2">
      <c r="A48" s="54">
        <v>37</v>
      </c>
      <c r="B48" s="60" t="e">
        <f>'Necesidades Trimestrales'!#REF!</f>
        <v>#REF!</v>
      </c>
      <c r="C48" s="129" t="e">
        <f>'Necesidades Trimestrales'!#REF!</f>
        <v>#REF!</v>
      </c>
      <c r="D48" s="129"/>
      <c r="E48" s="129"/>
      <c r="F48" s="129"/>
      <c r="G48" s="129"/>
      <c r="H48" s="61" t="s">
        <v>58</v>
      </c>
      <c r="I48" s="62" t="e">
        <f>'Necesidades Trimestrales'!#REF!</f>
        <v>#REF!</v>
      </c>
      <c r="J48" s="63"/>
      <c r="K48" s="64" t="e">
        <f>'Necesidades Trimestrales'!#REF!</f>
        <v>#REF!</v>
      </c>
    </row>
    <row r="49" spans="1:11" ht="15.75" hidden="1" customHeight="1" x14ac:dyDescent="0.2">
      <c r="A49" s="54">
        <v>38</v>
      </c>
      <c r="B49" s="60" t="e">
        <f>'Necesidades Trimestrales'!#REF!</f>
        <v>#REF!</v>
      </c>
      <c r="C49" s="129" t="e">
        <f>'Necesidades Trimestrales'!#REF!</f>
        <v>#REF!</v>
      </c>
      <c r="D49" s="129"/>
      <c r="E49" s="129"/>
      <c r="F49" s="129"/>
      <c r="G49" s="129"/>
      <c r="H49" s="61" t="s">
        <v>58</v>
      </c>
      <c r="I49" s="62" t="e">
        <f>'Necesidades Trimestrales'!#REF!</f>
        <v>#REF!</v>
      </c>
      <c r="J49" s="63"/>
      <c r="K49" s="64" t="e">
        <f>'Necesidades Trimestrales'!#REF!</f>
        <v>#REF!</v>
      </c>
    </row>
    <row r="50" spans="1:11" ht="15.75" hidden="1" customHeight="1" x14ac:dyDescent="0.2">
      <c r="A50" s="54">
        <v>39</v>
      </c>
      <c r="B50" s="60" t="e">
        <f>'Necesidades Trimestrales'!#REF!</f>
        <v>#REF!</v>
      </c>
      <c r="C50" s="129" t="e">
        <f>'Necesidades Trimestrales'!#REF!</f>
        <v>#REF!</v>
      </c>
      <c r="D50" s="129"/>
      <c r="E50" s="129"/>
      <c r="F50" s="129"/>
      <c r="G50" s="129"/>
      <c r="H50" s="61" t="s">
        <v>58</v>
      </c>
      <c r="I50" s="62" t="e">
        <f>'Necesidades Trimestrales'!#REF!</f>
        <v>#REF!</v>
      </c>
      <c r="J50" s="63"/>
      <c r="K50" s="64" t="e">
        <f>'Necesidades Trimestrales'!#REF!</f>
        <v>#REF!</v>
      </c>
    </row>
    <row r="51" spans="1:11" ht="15.75" hidden="1" customHeight="1" x14ac:dyDescent="0.2">
      <c r="A51" s="54">
        <v>40</v>
      </c>
      <c r="B51" s="60" t="e">
        <f>'Necesidades Trimestrales'!#REF!</f>
        <v>#REF!</v>
      </c>
      <c r="C51" s="129" t="e">
        <f>'Necesidades Trimestrales'!#REF!</f>
        <v>#REF!</v>
      </c>
      <c r="D51" s="129"/>
      <c r="E51" s="129"/>
      <c r="F51" s="129"/>
      <c r="G51" s="129"/>
      <c r="H51" s="61" t="s">
        <v>58</v>
      </c>
      <c r="I51" s="62" t="e">
        <f>'Necesidades Trimestrales'!#REF!</f>
        <v>#REF!</v>
      </c>
      <c r="J51" s="63"/>
      <c r="K51" s="64" t="e">
        <f>'Necesidades Trimestrales'!#REF!</f>
        <v>#REF!</v>
      </c>
    </row>
    <row r="52" spans="1:11" ht="15.75" hidden="1" customHeight="1" x14ac:dyDescent="0.2">
      <c r="A52" s="54">
        <v>41</v>
      </c>
      <c r="B52" s="60" t="e">
        <f>'Necesidades Trimestrales'!#REF!</f>
        <v>#REF!</v>
      </c>
      <c r="C52" s="129" t="e">
        <f>'Necesidades Trimestrales'!#REF!</f>
        <v>#REF!</v>
      </c>
      <c r="D52" s="129"/>
      <c r="E52" s="129"/>
      <c r="F52" s="129"/>
      <c r="G52" s="129"/>
      <c r="H52" s="61" t="s">
        <v>58</v>
      </c>
      <c r="I52" s="62" t="e">
        <f>'Necesidades Trimestrales'!#REF!</f>
        <v>#REF!</v>
      </c>
      <c r="J52" s="63"/>
      <c r="K52" s="64" t="e">
        <f>'Necesidades Trimestrales'!#REF!</f>
        <v>#REF!</v>
      </c>
    </row>
    <row r="53" spans="1:11" ht="15.75" hidden="1" customHeight="1" x14ac:dyDescent="0.2">
      <c r="A53" s="54">
        <v>42</v>
      </c>
      <c r="B53" s="60" t="e">
        <f>'Necesidades Trimestrales'!#REF!</f>
        <v>#REF!</v>
      </c>
      <c r="C53" s="129" t="e">
        <f>'Necesidades Trimestrales'!#REF!</f>
        <v>#REF!</v>
      </c>
      <c r="D53" s="129"/>
      <c r="E53" s="129"/>
      <c r="F53" s="129"/>
      <c r="G53" s="129"/>
      <c r="H53" s="61" t="s">
        <v>58</v>
      </c>
      <c r="I53" s="62" t="e">
        <f>'Necesidades Trimestrales'!#REF!</f>
        <v>#REF!</v>
      </c>
      <c r="J53" s="63"/>
      <c r="K53" s="64" t="e">
        <f>'Necesidades Trimestrales'!#REF!</f>
        <v>#REF!</v>
      </c>
    </row>
    <row r="54" spans="1:11" ht="15.75" hidden="1" customHeight="1" x14ac:dyDescent="0.2">
      <c r="A54" s="54">
        <v>43</v>
      </c>
      <c r="B54" s="60" t="e">
        <f>'Necesidades Trimestrales'!#REF!</f>
        <v>#REF!</v>
      </c>
      <c r="C54" s="129" t="e">
        <f>'Necesidades Trimestrales'!#REF!</f>
        <v>#REF!</v>
      </c>
      <c r="D54" s="129"/>
      <c r="E54" s="129"/>
      <c r="F54" s="129"/>
      <c r="G54" s="129"/>
      <c r="H54" s="61" t="s">
        <v>58</v>
      </c>
      <c r="I54" s="62" t="e">
        <f>'Necesidades Trimestrales'!#REF!</f>
        <v>#REF!</v>
      </c>
      <c r="J54" s="63"/>
      <c r="K54" s="64" t="e">
        <f>'Necesidades Trimestrales'!#REF!</f>
        <v>#REF!</v>
      </c>
    </row>
    <row r="55" spans="1:11" ht="15.75" hidden="1" customHeight="1" x14ac:dyDescent="0.2">
      <c r="A55" s="54">
        <v>44</v>
      </c>
      <c r="B55" s="60" t="e">
        <f>'Necesidades Trimestrales'!#REF!</f>
        <v>#REF!</v>
      </c>
      <c r="C55" s="129" t="e">
        <f>'Necesidades Trimestrales'!#REF!</f>
        <v>#REF!</v>
      </c>
      <c r="D55" s="129"/>
      <c r="E55" s="129"/>
      <c r="F55" s="129"/>
      <c r="G55" s="129"/>
      <c r="H55" s="61" t="s">
        <v>58</v>
      </c>
      <c r="I55" s="62" t="e">
        <f>'Necesidades Trimestrales'!#REF!</f>
        <v>#REF!</v>
      </c>
      <c r="J55" s="63"/>
      <c r="K55" s="64" t="e">
        <f>'Necesidades Trimestrales'!#REF!</f>
        <v>#REF!</v>
      </c>
    </row>
    <row r="56" spans="1:11" ht="15.75" hidden="1" customHeight="1" x14ac:dyDescent="0.2">
      <c r="A56" s="54">
        <v>45</v>
      </c>
      <c r="B56" s="60" t="e">
        <f>'Necesidades Trimestrales'!#REF!</f>
        <v>#REF!</v>
      </c>
      <c r="C56" s="129" t="e">
        <f>'Necesidades Trimestrales'!#REF!</f>
        <v>#REF!</v>
      </c>
      <c r="D56" s="129"/>
      <c r="E56" s="129"/>
      <c r="F56" s="129"/>
      <c r="G56" s="129"/>
      <c r="H56" s="61" t="s">
        <v>58</v>
      </c>
      <c r="I56" s="62" t="e">
        <f>'Necesidades Trimestrales'!#REF!</f>
        <v>#REF!</v>
      </c>
      <c r="J56" s="63"/>
      <c r="K56" s="64" t="e">
        <f>'Necesidades Trimestrales'!#REF!</f>
        <v>#REF!</v>
      </c>
    </row>
    <row r="57" spans="1:11" ht="15.75" hidden="1" customHeight="1" x14ac:dyDescent="0.2">
      <c r="A57" s="54">
        <v>46</v>
      </c>
      <c r="B57" s="60" t="e">
        <f>'Necesidades Trimestrales'!#REF!</f>
        <v>#REF!</v>
      </c>
      <c r="C57" s="129" t="e">
        <f>'Necesidades Trimestrales'!#REF!</f>
        <v>#REF!</v>
      </c>
      <c r="D57" s="129"/>
      <c r="E57" s="129"/>
      <c r="F57" s="129"/>
      <c r="G57" s="129"/>
      <c r="H57" s="61" t="s">
        <v>58</v>
      </c>
      <c r="I57" s="62" t="e">
        <f>'Necesidades Trimestrales'!#REF!</f>
        <v>#REF!</v>
      </c>
      <c r="J57" s="63"/>
      <c r="K57" s="64" t="e">
        <f>'Necesidades Trimestrales'!#REF!</f>
        <v>#REF!</v>
      </c>
    </row>
    <row r="58" spans="1:11" ht="15.75" hidden="1" customHeight="1" x14ac:dyDescent="0.2">
      <c r="A58" s="54">
        <v>47</v>
      </c>
      <c r="B58" s="60" t="e">
        <f>'Necesidades Trimestrales'!#REF!</f>
        <v>#REF!</v>
      </c>
      <c r="C58" s="129" t="e">
        <f>'Necesidades Trimestrales'!#REF!</f>
        <v>#REF!</v>
      </c>
      <c r="D58" s="129"/>
      <c r="E58" s="129"/>
      <c r="F58" s="129"/>
      <c r="G58" s="129"/>
      <c r="H58" s="61" t="s">
        <v>58</v>
      </c>
      <c r="I58" s="62" t="e">
        <f>'Necesidades Trimestrales'!#REF!</f>
        <v>#REF!</v>
      </c>
      <c r="J58" s="63"/>
      <c r="K58" s="64" t="e">
        <f>'Necesidades Trimestrales'!#REF!</f>
        <v>#REF!</v>
      </c>
    </row>
    <row r="59" spans="1:11" ht="15.75" hidden="1" customHeight="1" x14ac:dyDescent="0.2">
      <c r="A59" s="54">
        <v>48</v>
      </c>
      <c r="B59" s="60" t="e">
        <f>'Necesidades Trimestrales'!#REF!</f>
        <v>#REF!</v>
      </c>
      <c r="C59" s="129" t="e">
        <f>'Necesidades Trimestrales'!#REF!</f>
        <v>#REF!</v>
      </c>
      <c r="D59" s="129"/>
      <c r="E59" s="129"/>
      <c r="F59" s="129"/>
      <c r="G59" s="129"/>
      <c r="H59" s="61" t="s">
        <v>58</v>
      </c>
      <c r="I59" s="62" t="e">
        <f>'Necesidades Trimestrales'!#REF!</f>
        <v>#REF!</v>
      </c>
      <c r="J59" s="63"/>
      <c r="K59" s="64" t="e">
        <f>'Necesidades Trimestrales'!#REF!</f>
        <v>#REF!</v>
      </c>
    </row>
    <row r="60" spans="1:11" ht="15.75" hidden="1" customHeight="1" x14ac:dyDescent="0.2">
      <c r="A60" s="54">
        <v>49</v>
      </c>
      <c r="B60" s="60" t="e">
        <f>'Necesidades Trimestrales'!#REF!</f>
        <v>#REF!</v>
      </c>
      <c r="C60" s="129" t="e">
        <f>'Necesidades Trimestrales'!#REF!</f>
        <v>#REF!</v>
      </c>
      <c r="D60" s="129"/>
      <c r="E60" s="129"/>
      <c r="F60" s="129"/>
      <c r="G60" s="129"/>
      <c r="H60" s="61" t="s">
        <v>58</v>
      </c>
      <c r="I60" s="62" t="e">
        <f>'Necesidades Trimestrales'!#REF!</f>
        <v>#REF!</v>
      </c>
      <c r="J60" s="63"/>
      <c r="K60" s="64" t="e">
        <f>'Necesidades Trimestrales'!#REF!</f>
        <v>#REF!</v>
      </c>
    </row>
    <row r="61" spans="1:11" ht="15.75" hidden="1" customHeight="1" thickBot="1" x14ac:dyDescent="0.25">
      <c r="A61" s="54">
        <v>50</v>
      </c>
      <c r="B61" s="60" t="e">
        <f>'Necesidades Trimestrales'!#REF!</f>
        <v>#REF!</v>
      </c>
      <c r="C61" s="129" t="e">
        <f>'Necesidades Trimestrales'!#REF!</f>
        <v>#REF!</v>
      </c>
      <c r="D61" s="129"/>
      <c r="E61" s="129"/>
      <c r="F61" s="129"/>
      <c r="G61" s="129"/>
      <c r="H61" s="61" t="s">
        <v>58</v>
      </c>
      <c r="I61" s="62" t="e">
        <f>'Necesidades Trimestrales'!#REF!</f>
        <v>#REF!</v>
      </c>
      <c r="J61" s="63"/>
      <c r="K61" s="64" t="e">
        <f>'Necesidades Trimestrales'!#REF!</f>
        <v>#REF!</v>
      </c>
    </row>
    <row r="62" spans="1:11" ht="20.25" hidden="1" customHeight="1" x14ac:dyDescent="0.2">
      <c r="A62" s="54">
        <v>51</v>
      </c>
      <c r="B62" s="60" t="e">
        <f>'Necesidades Trimestrales'!#REF!</f>
        <v>#REF!</v>
      </c>
      <c r="C62" s="129" t="e">
        <f>'Necesidades Trimestrales'!#REF!</f>
        <v>#REF!</v>
      </c>
      <c r="D62" s="129"/>
      <c r="E62" s="129"/>
      <c r="F62" s="129"/>
      <c r="G62" s="129"/>
      <c r="H62" s="61" t="s">
        <v>58</v>
      </c>
      <c r="I62" s="62" t="e">
        <f>'Necesidades Trimestrales'!#REF!</f>
        <v>#REF!</v>
      </c>
      <c r="J62" s="63"/>
      <c r="K62" s="64" t="e">
        <f>'Necesidades Trimestrales'!#REF!</f>
        <v>#REF!</v>
      </c>
    </row>
    <row r="63" spans="1:11" ht="20.25" hidden="1" customHeight="1" x14ac:dyDescent="0.2">
      <c r="A63" s="54">
        <v>52</v>
      </c>
      <c r="B63" s="60" t="e">
        <f>'Necesidades Trimestrales'!#REF!</f>
        <v>#REF!</v>
      </c>
      <c r="C63" s="129" t="e">
        <f>'Necesidades Trimestrales'!#REF!</f>
        <v>#REF!</v>
      </c>
      <c r="D63" s="129"/>
      <c r="E63" s="129"/>
      <c r="F63" s="129"/>
      <c r="G63" s="129"/>
      <c r="H63" s="61" t="s">
        <v>58</v>
      </c>
      <c r="I63" s="62" t="e">
        <f>'Necesidades Trimestrales'!#REF!</f>
        <v>#REF!</v>
      </c>
      <c r="J63" s="63"/>
      <c r="K63" s="64" t="e">
        <f>'Necesidades Trimestrales'!#REF!</f>
        <v>#REF!</v>
      </c>
    </row>
    <row r="64" spans="1:11" ht="20.25" hidden="1" customHeight="1" x14ac:dyDescent="0.2">
      <c r="A64" s="54">
        <v>53</v>
      </c>
      <c r="B64" s="60" t="e">
        <f>'Necesidades Trimestrales'!#REF!</f>
        <v>#REF!</v>
      </c>
      <c r="C64" s="129" t="e">
        <f>'Necesidades Trimestrales'!#REF!</f>
        <v>#REF!</v>
      </c>
      <c r="D64" s="129"/>
      <c r="E64" s="129"/>
      <c r="F64" s="129"/>
      <c r="G64" s="129"/>
      <c r="H64" s="61" t="s">
        <v>58</v>
      </c>
      <c r="I64" s="62" t="e">
        <f>'Necesidades Trimestrales'!#REF!</f>
        <v>#REF!</v>
      </c>
      <c r="J64" s="63"/>
      <c r="K64" s="64" t="e">
        <f>'Necesidades Trimestrales'!#REF!</f>
        <v>#REF!</v>
      </c>
    </row>
    <row r="65" spans="1:11" ht="20.25" hidden="1" customHeight="1" x14ac:dyDescent="0.2">
      <c r="A65" s="54">
        <v>54</v>
      </c>
      <c r="B65" s="60" t="e">
        <f>'Necesidades Trimestrales'!#REF!</f>
        <v>#REF!</v>
      </c>
      <c r="C65" s="129" t="e">
        <f>'Necesidades Trimestrales'!#REF!</f>
        <v>#REF!</v>
      </c>
      <c r="D65" s="129"/>
      <c r="E65" s="129"/>
      <c r="F65" s="129"/>
      <c r="G65" s="129"/>
      <c r="H65" s="61" t="s">
        <v>58</v>
      </c>
      <c r="I65" s="62" t="e">
        <f>'Necesidades Trimestrales'!#REF!</f>
        <v>#REF!</v>
      </c>
      <c r="J65" s="63"/>
      <c r="K65" s="64" t="e">
        <f>'Necesidades Trimestrales'!#REF!</f>
        <v>#REF!</v>
      </c>
    </row>
    <row r="66" spans="1:11" ht="20.25" hidden="1" customHeight="1" x14ac:dyDescent="0.2">
      <c r="A66" s="54">
        <v>55</v>
      </c>
      <c r="B66" s="60" t="e">
        <f>'Necesidades Trimestrales'!#REF!</f>
        <v>#REF!</v>
      </c>
      <c r="C66" s="129" t="e">
        <f>'Necesidades Trimestrales'!#REF!</f>
        <v>#REF!</v>
      </c>
      <c r="D66" s="129"/>
      <c r="E66" s="129"/>
      <c r="F66" s="129"/>
      <c r="G66" s="129"/>
      <c r="H66" s="61" t="s">
        <v>58</v>
      </c>
      <c r="I66" s="62" t="e">
        <f>'Necesidades Trimestrales'!#REF!</f>
        <v>#REF!</v>
      </c>
      <c r="J66" s="63"/>
      <c r="K66" s="64" t="e">
        <f>'Necesidades Trimestrales'!#REF!</f>
        <v>#REF!</v>
      </c>
    </row>
    <row r="67" spans="1:11" ht="20.25" hidden="1" customHeight="1" x14ac:dyDescent="0.2">
      <c r="A67" s="54">
        <v>56</v>
      </c>
      <c r="B67" s="60" t="e">
        <f>'Necesidades Trimestrales'!#REF!</f>
        <v>#REF!</v>
      </c>
      <c r="C67" s="129" t="e">
        <f>'Necesidades Trimestrales'!#REF!</f>
        <v>#REF!</v>
      </c>
      <c r="D67" s="129"/>
      <c r="E67" s="129"/>
      <c r="F67" s="129"/>
      <c r="G67" s="129"/>
      <c r="H67" s="61" t="s">
        <v>58</v>
      </c>
      <c r="I67" s="62" t="e">
        <f>'Necesidades Trimestrales'!#REF!</f>
        <v>#REF!</v>
      </c>
      <c r="J67" s="63"/>
      <c r="K67" s="64" t="e">
        <f>'Necesidades Trimestrales'!#REF!</f>
        <v>#REF!</v>
      </c>
    </row>
    <row r="68" spans="1:11" ht="20.25" hidden="1" customHeight="1" x14ac:dyDescent="0.2">
      <c r="A68" s="54">
        <v>57</v>
      </c>
      <c r="B68" s="60" t="e">
        <f>'Necesidades Trimestrales'!#REF!</f>
        <v>#REF!</v>
      </c>
      <c r="C68" s="129" t="e">
        <f>'Necesidades Trimestrales'!#REF!</f>
        <v>#REF!</v>
      </c>
      <c r="D68" s="129"/>
      <c r="E68" s="129"/>
      <c r="F68" s="129"/>
      <c r="G68" s="129"/>
      <c r="H68" s="61" t="s">
        <v>58</v>
      </c>
      <c r="I68" s="62" t="e">
        <f>'Necesidades Trimestrales'!#REF!</f>
        <v>#REF!</v>
      </c>
      <c r="J68" s="63"/>
      <c r="K68" s="64" t="e">
        <f>'Necesidades Trimestrales'!#REF!</f>
        <v>#REF!</v>
      </c>
    </row>
    <row r="69" spans="1:11" ht="20.25" hidden="1" customHeight="1" x14ac:dyDescent="0.2">
      <c r="A69" s="54">
        <v>58</v>
      </c>
      <c r="B69" s="60" t="e">
        <f>'Necesidades Trimestrales'!#REF!</f>
        <v>#REF!</v>
      </c>
      <c r="C69" s="129" t="e">
        <f>'Necesidades Trimestrales'!#REF!</f>
        <v>#REF!</v>
      </c>
      <c r="D69" s="129"/>
      <c r="E69" s="129"/>
      <c r="F69" s="129"/>
      <c r="G69" s="129"/>
      <c r="H69" s="61" t="s">
        <v>58</v>
      </c>
      <c r="I69" s="62" t="e">
        <f>'Necesidades Trimestrales'!#REF!</f>
        <v>#REF!</v>
      </c>
      <c r="J69" s="63"/>
      <c r="K69" s="64" t="e">
        <f>'Necesidades Trimestrales'!#REF!</f>
        <v>#REF!</v>
      </c>
    </row>
    <row r="70" spans="1:11" ht="20.25" hidden="1" customHeight="1" x14ac:dyDescent="0.2">
      <c r="A70" s="54">
        <v>59</v>
      </c>
      <c r="B70" s="60" t="e">
        <f>'Necesidades Trimestrales'!#REF!</f>
        <v>#REF!</v>
      </c>
      <c r="C70" s="129" t="e">
        <f>'Necesidades Trimestrales'!#REF!</f>
        <v>#REF!</v>
      </c>
      <c r="D70" s="129"/>
      <c r="E70" s="129"/>
      <c r="F70" s="129"/>
      <c r="G70" s="129"/>
      <c r="H70" s="61" t="s">
        <v>58</v>
      </c>
      <c r="I70" s="62" t="e">
        <f>'Necesidades Trimestrales'!#REF!</f>
        <v>#REF!</v>
      </c>
      <c r="J70" s="63"/>
      <c r="K70" s="64" t="e">
        <f>'Necesidades Trimestrales'!#REF!</f>
        <v>#REF!</v>
      </c>
    </row>
    <row r="71" spans="1:11" ht="20.25" hidden="1" customHeight="1" x14ac:dyDescent="0.2">
      <c r="A71" s="54">
        <v>60</v>
      </c>
      <c r="B71" s="60" t="e">
        <f>'Necesidades Trimestrales'!#REF!</f>
        <v>#REF!</v>
      </c>
      <c r="C71" s="129" t="e">
        <f>'Necesidades Trimestrales'!#REF!</f>
        <v>#REF!</v>
      </c>
      <c r="D71" s="129"/>
      <c r="E71" s="129"/>
      <c r="F71" s="129"/>
      <c r="G71" s="129"/>
      <c r="H71" s="61" t="s">
        <v>58</v>
      </c>
      <c r="I71" s="62" t="e">
        <f>'Necesidades Trimestrales'!#REF!</f>
        <v>#REF!</v>
      </c>
      <c r="J71" s="63"/>
      <c r="K71" s="64" t="e">
        <f>'Necesidades Trimestrales'!#REF!</f>
        <v>#REF!</v>
      </c>
    </row>
    <row r="72" spans="1:11" ht="20.25" hidden="1" customHeight="1" x14ac:dyDescent="0.2">
      <c r="A72" s="54">
        <v>61</v>
      </c>
      <c r="B72" s="60" t="e">
        <f>'Necesidades Trimestrales'!#REF!</f>
        <v>#REF!</v>
      </c>
      <c r="C72" s="129" t="e">
        <f>'Necesidades Trimestrales'!#REF!</f>
        <v>#REF!</v>
      </c>
      <c r="D72" s="129"/>
      <c r="E72" s="129"/>
      <c r="F72" s="129"/>
      <c r="G72" s="129"/>
      <c r="H72" s="61" t="s">
        <v>58</v>
      </c>
      <c r="I72" s="62" t="e">
        <f>'Necesidades Trimestrales'!#REF!</f>
        <v>#REF!</v>
      </c>
      <c r="J72" s="63"/>
      <c r="K72" s="64" t="e">
        <f>'Necesidades Trimestrales'!#REF!</f>
        <v>#REF!</v>
      </c>
    </row>
    <row r="73" spans="1:11" ht="20.25" hidden="1" customHeight="1" x14ac:dyDescent="0.2">
      <c r="A73" s="54">
        <v>62</v>
      </c>
      <c r="B73" s="60" t="e">
        <f>'Necesidades Trimestrales'!#REF!</f>
        <v>#REF!</v>
      </c>
      <c r="C73" s="129" t="e">
        <f>'Necesidades Trimestrales'!#REF!</f>
        <v>#REF!</v>
      </c>
      <c r="D73" s="129"/>
      <c r="E73" s="129"/>
      <c r="F73" s="129"/>
      <c r="G73" s="129"/>
      <c r="H73" s="61" t="s">
        <v>58</v>
      </c>
      <c r="I73" s="62" t="e">
        <f>'Necesidades Trimestrales'!#REF!</f>
        <v>#REF!</v>
      </c>
      <c r="J73" s="63"/>
      <c r="K73" s="64" t="e">
        <f>'Necesidades Trimestrales'!#REF!</f>
        <v>#REF!</v>
      </c>
    </row>
    <row r="74" spans="1:11" ht="20.25" hidden="1" customHeight="1" x14ac:dyDescent="0.2">
      <c r="A74" s="54">
        <v>63</v>
      </c>
      <c r="B74" s="60" t="e">
        <f>'Necesidades Trimestrales'!#REF!</f>
        <v>#REF!</v>
      </c>
      <c r="C74" s="129" t="e">
        <f>'Necesidades Trimestrales'!#REF!</f>
        <v>#REF!</v>
      </c>
      <c r="D74" s="129"/>
      <c r="E74" s="129"/>
      <c r="F74" s="129"/>
      <c r="G74" s="129"/>
      <c r="H74" s="61" t="s">
        <v>58</v>
      </c>
      <c r="I74" s="62" t="e">
        <f>'Necesidades Trimestrales'!#REF!</f>
        <v>#REF!</v>
      </c>
      <c r="J74" s="63"/>
      <c r="K74" s="64" t="e">
        <f>'Necesidades Trimestrales'!#REF!</f>
        <v>#REF!</v>
      </c>
    </row>
    <row r="75" spans="1:11" ht="20.25" hidden="1" customHeight="1" x14ac:dyDescent="0.2">
      <c r="A75" s="54">
        <v>64</v>
      </c>
      <c r="B75" s="60" t="e">
        <f>'Necesidades Trimestrales'!#REF!</f>
        <v>#REF!</v>
      </c>
      <c r="C75" s="129" t="e">
        <f>'Necesidades Trimestrales'!#REF!</f>
        <v>#REF!</v>
      </c>
      <c r="D75" s="129"/>
      <c r="E75" s="129"/>
      <c r="F75" s="129"/>
      <c r="G75" s="129"/>
      <c r="H75" s="61" t="s">
        <v>58</v>
      </c>
      <c r="I75" s="62" t="e">
        <f>'Necesidades Trimestrales'!#REF!</f>
        <v>#REF!</v>
      </c>
      <c r="J75" s="63"/>
      <c r="K75" s="64" t="e">
        <f>'Necesidades Trimestrales'!#REF!</f>
        <v>#REF!</v>
      </c>
    </row>
    <row r="76" spans="1:11" ht="20.25" hidden="1" customHeight="1" x14ac:dyDescent="0.2">
      <c r="A76" s="54">
        <v>65</v>
      </c>
      <c r="B76" s="60" t="e">
        <f>'Necesidades Trimestrales'!#REF!</f>
        <v>#REF!</v>
      </c>
      <c r="C76" s="129" t="e">
        <f>'Necesidades Trimestrales'!#REF!</f>
        <v>#REF!</v>
      </c>
      <c r="D76" s="129"/>
      <c r="E76" s="129"/>
      <c r="F76" s="129"/>
      <c r="G76" s="129"/>
      <c r="H76" s="61" t="s">
        <v>58</v>
      </c>
      <c r="I76" s="62" t="e">
        <f>'Necesidades Trimestrales'!#REF!</f>
        <v>#REF!</v>
      </c>
      <c r="J76" s="63"/>
      <c r="K76" s="64" t="e">
        <f>'Necesidades Trimestrales'!#REF!</f>
        <v>#REF!</v>
      </c>
    </row>
    <row r="77" spans="1:11" ht="20.25" hidden="1" customHeight="1" x14ac:dyDescent="0.2">
      <c r="A77" s="54">
        <v>66</v>
      </c>
      <c r="B77" s="60" t="e">
        <f>'Necesidades Trimestrales'!#REF!</f>
        <v>#REF!</v>
      </c>
      <c r="C77" s="129" t="e">
        <f>'Necesidades Trimestrales'!#REF!</f>
        <v>#REF!</v>
      </c>
      <c r="D77" s="129"/>
      <c r="E77" s="129"/>
      <c r="F77" s="129"/>
      <c r="G77" s="129"/>
      <c r="H77" s="61" t="s">
        <v>58</v>
      </c>
      <c r="I77" s="62" t="e">
        <f>'Necesidades Trimestrales'!#REF!</f>
        <v>#REF!</v>
      </c>
      <c r="J77" s="63"/>
      <c r="K77" s="64" t="e">
        <f>'Necesidades Trimestrales'!#REF!</f>
        <v>#REF!</v>
      </c>
    </row>
    <row r="78" spans="1:11" ht="20.25" hidden="1" customHeight="1" x14ac:dyDescent="0.2">
      <c r="A78" s="54">
        <v>67</v>
      </c>
      <c r="B78" s="60" t="e">
        <f>'Necesidades Trimestrales'!#REF!</f>
        <v>#REF!</v>
      </c>
      <c r="C78" s="129" t="e">
        <f>'Necesidades Trimestrales'!#REF!</f>
        <v>#REF!</v>
      </c>
      <c r="D78" s="129"/>
      <c r="E78" s="129"/>
      <c r="F78" s="129"/>
      <c r="G78" s="129"/>
      <c r="H78" s="61" t="s">
        <v>58</v>
      </c>
      <c r="I78" s="62" t="e">
        <f>'Necesidades Trimestrales'!#REF!</f>
        <v>#REF!</v>
      </c>
      <c r="J78" s="63"/>
      <c r="K78" s="64" t="e">
        <f>'Necesidades Trimestrales'!#REF!</f>
        <v>#REF!</v>
      </c>
    </row>
    <row r="79" spans="1:11" ht="20.25" hidden="1" customHeight="1" x14ac:dyDescent="0.2">
      <c r="A79" s="54">
        <v>68</v>
      </c>
      <c r="B79" s="60" t="e">
        <f>'Necesidades Trimestrales'!#REF!</f>
        <v>#REF!</v>
      </c>
      <c r="C79" s="129" t="e">
        <f>'Necesidades Trimestrales'!#REF!</f>
        <v>#REF!</v>
      </c>
      <c r="D79" s="129"/>
      <c r="E79" s="129"/>
      <c r="F79" s="129"/>
      <c r="G79" s="129"/>
      <c r="H79" s="61" t="s">
        <v>58</v>
      </c>
      <c r="I79" s="62" t="e">
        <f>'Necesidades Trimestrales'!#REF!</f>
        <v>#REF!</v>
      </c>
      <c r="J79" s="63"/>
      <c r="K79" s="64" t="e">
        <f>'Necesidades Trimestrales'!#REF!</f>
        <v>#REF!</v>
      </c>
    </row>
    <row r="80" spans="1:11" ht="20.25" hidden="1" customHeight="1" x14ac:dyDescent="0.2">
      <c r="A80" s="54">
        <v>69</v>
      </c>
      <c r="B80" s="60" t="e">
        <f>'Necesidades Trimestrales'!#REF!</f>
        <v>#REF!</v>
      </c>
      <c r="C80" s="129" t="e">
        <f>'Necesidades Trimestrales'!#REF!</f>
        <v>#REF!</v>
      </c>
      <c r="D80" s="129"/>
      <c r="E80" s="129"/>
      <c r="F80" s="129"/>
      <c r="G80" s="129"/>
      <c r="H80" s="61" t="s">
        <v>58</v>
      </c>
      <c r="I80" s="62" t="e">
        <f>'Necesidades Trimestrales'!#REF!</f>
        <v>#REF!</v>
      </c>
      <c r="J80" s="63"/>
      <c r="K80" s="64" t="e">
        <f>'Necesidades Trimestrales'!#REF!</f>
        <v>#REF!</v>
      </c>
    </row>
    <row r="81" spans="1:11" ht="20.25" hidden="1" customHeight="1" x14ac:dyDescent="0.2">
      <c r="A81" s="54">
        <v>70</v>
      </c>
      <c r="B81" s="60" t="e">
        <f>'Necesidades Trimestrales'!#REF!</f>
        <v>#REF!</v>
      </c>
      <c r="C81" s="129" t="e">
        <f>'Necesidades Trimestrales'!#REF!</f>
        <v>#REF!</v>
      </c>
      <c r="D81" s="129"/>
      <c r="E81" s="129"/>
      <c r="F81" s="129"/>
      <c r="G81" s="129"/>
      <c r="H81" s="61" t="s">
        <v>58</v>
      </c>
      <c r="I81" s="62" t="e">
        <f>'Necesidades Trimestrales'!#REF!</f>
        <v>#REF!</v>
      </c>
      <c r="J81" s="63"/>
      <c r="K81" s="64" t="e">
        <f>'Necesidades Trimestrales'!#REF!</f>
        <v>#REF!</v>
      </c>
    </row>
    <row r="82" spans="1:11" ht="20.25" hidden="1" customHeight="1" x14ac:dyDescent="0.2">
      <c r="A82" s="54">
        <v>71</v>
      </c>
      <c r="B82" s="60" t="e">
        <f>'Necesidades Trimestrales'!#REF!</f>
        <v>#REF!</v>
      </c>
      <c r="C82" s="129" t="e">
        <f>'Necesidades Trimestrales'!#REF!</f>
        <v>#REF!</v>
      </c>
      <c r="D82" s="129"/>
      <c r="E82" s="129"/>
      <c r="F82" s="129"/>
      <c r="G82" s="129"/>
      <c r="H82" s="61" t="s">
        <v>58</v>
      </c>
      <c r="I82" s="62" t="e">
        <f>'Necesidades Trimestrales'!#REF!</f>
        <v>#REF!</v>
      </c>
      <c r="J82" s="63"/>
      <c r="K82" s="64" t="e">
        <f>'Necesidades Trimestrales'!#REF!</f>
        <v>#REF!</v>
      </c>
    </row>
    <row r="83" spans="1:11" ht="20.25" hidden="1" customHeight="1" x14ac:dyDescent="0.2">
      <c r="A83" s="54">
        <v>72</v>
      </c>
      <c r="B83" s="60" t="e">
        <f>'Necesidades Trimestrales'!#REF!</f>
        <v>#REF!</v>
      </c>
      <c r="C83" s="129" t="e">
        <f>'Necesidades Trimestrales'!#REF!</f>
        <v>#REF!</v>
      </c>
      <c r="D83" s="129"/>
      <c r="E83" s="129"/>
      <c r="F83" s="129"/>
      <c r="G83" s="129"/>
      <c r="H83" s="61" t="s">
        <v>58</v>
      </c>
      <c r="I83" s="62" t="e">
        <f>'Necesidades Trimestrales'!#REF!</f>
        <v>#REF!</v>
      </c>
      <c r="J83" s="63"/>
      <c r="K83" s="64" t="e">
        <f>'Necesidades Trimestrales'!#REF!</f>
        <v>#REF!</v>
      </c>
    </row>
    <row r="84" spans="1:11" ht="20.25" hidden="1" customHeight="1" x14ac:dyDescent="0.2">
      <c r="A84" s="54">
        <v>73</v>
      </c>
      <c r="B84" s="60" t="e">
        <f>'Necesidades Trimestrales'!#REF!</f>
        <v>#REF!</v>
      </c>
      <c r="C84" s="129" t="e">
        <f>'Necesidades Trimestrales'!#REF!</f>
        <v>#REF!</v>
      </c>
      <c r="D84" s="129"/>
      <c r="E84" s="129"/>
      <c r="F84" s="129"/>
      <c r="G84" s="129"/>
      <c r="H84" s="61" t="s">
        <v>58</v>
      </c>
      <c r="I84" s="62" t="e">
        <f>'Necesidades Trimestrales'!#REF!</f>
        <v>#REF!</v>
      </c>
      <c r="J84" s="63"/>
      <c r="K84" s="64" t="e">
        <f>'Necesidades Trimestrales'!#REF!</f>
        <v>#REF!</v>
      </c>
    </row>
    <row r="85" spans="1:11" ht="20.25" hidden="1" customHeight="1" x14ac:dyDescent="0.2">
      <c r="A85" s="54">
        <v>74</v>
      </c>
      <c r="B85" s="60" t="e">
        <f>'Necesidades Trimestrales'!#REF!</f>
        <v>#REF!</v>
      </c>
      <c r="C85" s="129" t="e">
        <f>'Necesidades Trimestrales'!#REF!</f>
        <v>#REF!</v>
      </c>
      <c r="D85" s="129"/>
      <c r="E85" s="129"/>
      <c r="F85" s="129"/>
      <c r="G85" s="129"/>
      <c r="H85" s="61" t="s">
        <v>58</v>
      </c>
      <c r="I85" s="62" t="e">
        <f>'Necesidades Trimestrales'!#REF!</f>
        <v>#REF!</v>
      </c>
      <c r="J85" s="63"/>
      <c r="K85" s="64" t="e">
        <f>'Necesidades Trimestrales'!#REF!</f>
        <v>#REF!</v>
      </c>
    </row>
    <row r="86" spans="1:11" ht="20.25" hidden="1" customHeight="1" x14ac:dyDescent="0.2">
      <c r="A86" s="54">
        <v>75</v>
      </c>
      <c r="B86" s="60" t="e">
        <f>'Necesidades Trimestrales'!#REF!</f>
        <v>#REF!</v>
      </c>
      <c r="C86" s="129" t="e">
        <f>'Necesidades Trimestrales'!#REF!</f>
        <v>#REF!</v>
      </c>
      <c r="D86" s="129"/>
      <c r="E86" s="129"/>
      <c r="F86" s="129"/>
      <c r="G86" s="129"/>
      <c r="H86" s="61" t="s">
        <v>58</v>
      </c>
      <c r="I86" s="62" t="e">
        <f>'Necesidades Trimestrales'!#REF!</f>
        <v>#REF!</v>
      </c>
      <c r="J86" s="63"/>
      <c r="K86" s="64" t="e">
        <f>'Necesidades Trimestrales'!#REF!</f>
        <v>#REF!</v>
      </c>
    </row>
    <row r="87" spans="1:11" ht="20.25" hidden="1" customHeight="1" x14ac:dyDescent="0.2">
      <c r="A87" s="54">
        <v>76</v>
      </c>
      <c r="B87" s="60" t="e">
        <f>'Necesidades Trimestrales'!#REF!</f>
        <v>#REF!</v>
      </c>
      <c r="C87" s="129" t="e">
        <f>'Necesidades Trimestrales'!#REF!</f>
        <v>#REF!</v>
      </c>
      <c r="D87" s="129"/>
      <c r="E87" s="129"/>
      <c r="F87" s="129"/>
      <c r="G87" s="129"/>
      <c r="H87" s="61" t="s">
        <v>58</v>
      </c>
      <c r="I87" s="62" t="e">
        <f>'Necesidades Trimestrales'!#REF!</f>
        <v>#REF!</v>
      </c>
      <c r="J87" s="63"/>
      <c r="K87" s="64" t="e">
        <f>'Necesidades Trimestrales'!#REF!</f>
        <v>#REF!</v>
      </c>
    </row>
    <row r="88" spans="1:11" ht="20.25" hidden="1" customHeight="1" x14ac:dyDescent="0.2">
      <c r="A88" s="54">
        <v>77</v>
      </c>
      <c r="B88" s="60" t="e">
        <f>'Necesidades Trimestrales'!#REF!</f>
        <v>#REF!</v>
      </c>
      <c r="C88" s="129" t="e">
        <f>'Necesidades Trimestrales'!#REF!</f>
        <v>#REF!</v>
      </c>
      <c r="D88" s="129"/>
      <c r="E88" s="129"/>
      <c r="F88" s="129"/>
      <c r="G88" s="129"/>
      <c r="H88" s="61" t="s">
        <v>58</v>
      </c>
      <c r="I88" s="62" t="e">
        <f>'Necesidades Trimestrales'!#REF!</f>
        <v>#REF!</v>
      </c>
      <c r="J88" s="63"/>
      <c r="K88" s="64" t="e">
        <f>'Necesidades Trimestrales'!#REF!</f>
        <v>#REF!</v>
      </c>
    </row>
    <row r="89" spans="1:11" ht="20.25" hidden="1" customHeight="1" x14ac:dyDescent="0.2">
      <c r="A89" s="54">
        <v>78</v>
      </c>
      <c r="B89" s="60" t="e">
        <f>'Necesidades Trimestrales'!#REF!</f>
        <v>#REF!</v>
      </c>
      <c r="C89" s="129" t="e">
        <f>'Necesidades Trimestrales'!#REF!</f>
        <v>#REF!</v>
      </c>
      <c r="D89" s="129"/>
      <c r="E89" s="129"/>
      <c r="F89" s="129"/>
      <c r="G89" s="129"/>
      <c r="H89" s="61" t="s">
        <v>58</v>
      </c>
      <c r="I89" s="62" t="e">
        <f>'Necesidades Trimestrales'!#REF!</f>
        <v>#REF!</v>
      </c>
      <c r="J89" s="63"/>
      <c r="K89" s="64" t="e">
        <f>'Necesidades Trimestrales'!#REF!</f>
        <v>#REF!</v>
      </c>
    </row>
    <row r="90" spans="1:11" ht="20.25" hidden="1" customHeight="1" x14ac:dyDescent="0.2">
      <c r="A90" s="54">
        <v>79</v>
      </c>
      <c r="B90" s="60" t="e">
        <f>'Necesidades Trimestrales'!#REF!</f>
        <v>#REF!</v>
      </c>
      <c r="C90" s="129" t="e">
        <f>'Necesidades Trimestrales'!#REF!</f>
        <v>#REF!</v>
      </c>
      <c r="D90" s="129"/>
      <c r="E90" s="129"/>
      <c r="F90" s="129"/>
      <c r="G90" s="129"/>
      <c r="H90" s="61" t="s">
        <v>58</v>
      </c>
      <c r="I90" s="62" t="e">
        <f>'Necesidades Trimestrales'!#REF!</f>
        <v>#REF!</v>
      </c>
      <c r="J90" s="63"/>
      <c r="K90" s="64" t="e">
        <f>'Necesidades Trimestrales'!#REF!</f>
        <v>#REF!</v>
      </c>
    </row>
    <row r="91" spans="1:11" ht="20.25" hidden="1" customHeight="1" x14ac:dyDescent="0.2">
      <c r="A91" s="54">
        <v>80</v>
      </c>
      <c r="B91" s="60" t="e">
        <f>'Necesidades Trimestrales'!#REF!</f>
        <v>#REF!</v>
      </c>
      <c r="C91" s="129" t="e">
        <f>'Necesidades Trimestrales'!#REF!</f>
        <v>#REF!</v>
      </c>
      <c r="D91" s="129"/>
      <c r="E91" s="129"/>
      <c r="F91" s="129"/>
      <c r="G91" s="129"/>
      <c r="H91" s="61" t="s">
        <v>58</v>
      </c>
      <c r="I91" s="62" t="e">
        <f>'Necesidades Trimestrales'!#REF!</f>
        <v>#REF!</v>
      </c>
      <c r="J91" s="63"/>
      <c r="K91" s="64" t="e">
        <f>'Necesidades Trimestrales'!#REF!</f>
        <v>#REF!</v>
      </c>
    </row>
    <row r="92" spans="1:11" ht="20.25" hidden="1" customHeight="1" x14ac:dyDescent="0.2">
      <c r="A92" s="54">
        <v>81</v>
      </c>
      <c r="B92" s="60" t="e">
        <f>'Necesidades Trimestrales'!#REF!</f>
        <v>#REF!</v>
      </c>
      <c r="C92" s="129" t="e">
        <f>'Necesidades Trimestrales'!#REF!</f>
        <v>#REF!</v>
      </c>
      <c r="D92" s="129"/>
      <c r="E92" s="129"/>
      <c r="F92" s="129"/>
      <c r="G92" s="129"/>
      <c r="H92" s="61" t="s">
        <v>58</v>
      </c>
      <c r="I92" s="62" t="e">
        <f>'Necesidades Trimestrales'!#REF!</f>
        <v>#REF!</v>
      </c>
      <c r="J92" s="63"/>
      <c r="K92" s="64" t="e">
        <f>'Necesidades Trimestrales'!#REF!</f>
        <v>#REF!</v>
      </c>
    </row>
    <row r="93" spans="1:11" ht="20.25" hidden="1" customHeight="1" x14ac:dyDescent="0.2">
      <c r="A93" s="54">
        <v>82</v>
      </c>
      <c r="B93" s="60" t="e">
        <f>'Necesidades Trimestrales'!#REF!</f>
        <v>#REF!</v>
      </c>
      <c r="C93" s="129" t="e">
        <f>'Necesidades Trimestrales'!#REF!</f>
        <v>#REF!</v>
      </c>
      <c r="D93" s="129"/>
      <c r="E93" s="129"/>
      <c r="F93" s="129"/>
      <c r="G93" s="129"/>
      <c r="H93" s="61" t="s">
        <v>58</v>
      </c>
      <c r="I93" s="62" t="e">
        <f>'Necesidades Trimestrales'!#REF!</f>
        <v>#REF!</v>
      </c>
      <c r="J93" s="63"/>
      <c r="K93" s="64" t="e">
        <f>'Necesidades Trimestrales'!#REF!</f>
        <v>#REF!</v>
      </c>
    </row>
    <row r="94" spans="1:11" ht="20.25" hidden="1" customHeight="1" x14ac:dyDescent="0.2">
      <c r="A94" s="54">
        <v>83</v>
      </c>
      <c r="B94" s="60" t="e">
        <f>'Necesidades Trimestrales'!#REF!</f>
        <v>#REF!</v>
      </c>
      <c r="C94" s="129" t="e">
        <f>'Necesidades Trimestrales'!#REF!</f>
        <v>#REF!</v>
      </c>
      <c r="D94" s="129"/>
      <c r="E94" s="129"/>
      <c r="F94" s="129"/>
      <c r="G94" s="129"/>
      <c r="H94" s="61" t="s">
        <v>58</v>
      </c>
      <c r="I94" s="62" t="e">
        <f>'Necesidades Trimestrales'!#REF!</f>
        <v>#REF!</v>
      </c>
      <c r="J94" s="63"/>
      <c r="K94" s="64" t="e">
        <f>'Necesidades Trimestrales'!#REF!</f>
        <v>#REF!</v>
      </c>
    </row>
    <row r="95" spans="1:11" ht="20.25" hidden="1" customHeight="1" x14ac:dyDescent="0.2">
      <c r="A95" s="54">
        <v>84</v>
      </c>
      <c r="B95" s="60" t="e">
        <f>'Necesidades Trimestrales'!#REF!</f>
        <v>#REF!</v>
      </c>
      <c r="C95" s="129" t="e">
        <f>'Necesidades Trimestrales'!#REF!</f>
        <v>#REF!</v>
      </c>
      <c r="D95" s="129"/>
      <c r="E95" s="129"/>
      <c r="F95" s="129"/>
      <c r="G95" s="129"/>
      <c r="H95" s="61" t="s">
        <v>58</v>
      </c>
      <c r="I95" s="62" t="e">
        <f>'Necesidades Trimestrales'!#REF!</f>
        <v>#REF!</v>
      </c>
      <c r="J95" s="63"/>
      <c r="K95" s="64" t="e">
        <f>'Necesidades Trimestrales'!#REF!</f>
        <v>#REF!</v>
      </c>
    </row>
    <row r="96" spans="1:11" ht="20.25" hidden="1" customHeight="1" x14ac:dyDescent="0.2">
      <c r="A96" s="54">
        <v>85</v>
      </c>
      <c r="B96" s="60" t="e">
        <f>'Necesidades Trimestrales'!#REF!</f>
        <v>#REF!</v>
      </c>
      <c r="C96" s="129" t="e">
        <f>'Necesidades Trimestrales'!#REF!</f>
        <v>#REF!</v>
      </c>
      <c r="D96" s="129"/>
      <c r="E96" s="129"/>
      <c r="F96" s="129"/>
      <c r="G96" s="129"/>
      <c r="H96" s="61" t="s">
        <v>58</v>
      </c>
      <c r="I96" s="62" t="e">
        <f>'Necesidades Trimestrales'!#REF!</f>
        <v>#REF!</v>
      </c>
      <c r="J96" s="63"/>
      <c r="K96" s="64" t="e">
        <f>'Necesidades Trimestrales'!#REF!</f>
        <v>#REF!</v>
      </c>
    </row>
    <row r="97" spans="1:11" ht="20.25" hidden="1" customHeight="1" x14ac:dyDescent="0.2">
      <c r="A97" s="54">
        <v>86</v>
      </c>
      <c r="B97" s="60" t="e">
        <f>'Necesidades Trimestrales'!#REF!</f>
        <v>#REF!</v>
      </c>
      <c r="C97" s="129" t="e">
        <f>'Necesidades Trimestrales'!#REF!</f>
        <v>#REF!</v>
      </c>
      <c r="D97" s="129"/>
      <c r="E97" s="129"/>
      <c r="F97" s="129"/>
      <c r="G97" s="129"/>
      <c r="H97" s="61" t="s">
        <v>58</v>
      </c>
      <c r="I97" s="62" t="e">
        <f>'Necesidades Trimestrales'!#REF!</f>
        <v>#REF!</v>
      </c>
      <c r="J97" s="63"/>
      <c r="K97" s="64" t="e">
        <f>'Necesidades Trimestrales'!#REF!</f>
        <v>#REF!</v>
      </c>
    </row>
    <row r="98" spans="1:11" ht="20.25" hidden="1" customHeight="1" x14ac:dyDescent="0.2">
      <c r="A98" s="54">
        <v>87</v>
      </c>
      <c r="B98" s="60" t="e">
        <f>'Necesidades Trimestrales'!#REF!</f>
        <v>#REF!</v>
      </c>
      <c r="C98" s="129" t="e">
        <f>'Necesidades Trimestrales'!#REF!</f>
        <v>#REF!</v>
      </c>
      <c r="D98" s="129"/>
      <c r="E98" s="129"/>
      <c r="F98" s="129"/>
      <c r="G98" s="129"/>
      <c r="H98" s="61" t="s">
        <v>58</v>
      </c>
      <c r="I98" s="62" t="e">
        <f>'Necesidades Trimestrales'!#REF!</f>
        <v>#REF!</v>
      </c>
      <c r="J98" s="63"/>
      <c r="K98" s="64" t="e">
        <f>'Necesidades Trimestrales'!#REF!</f>
        <v>#REF!</v>
      </c>
    </row>
    <row r="99" spans="1:11" ht="20.25" hidden="1" customHeight="1" x14ac:dyDescent="0.2">
      <c r="A99" s="54">
        <v>88</v>
      </c>
      <c r="B99" s="60" t="e">
        <f>'Necesidades Trimestrales'!#REF!</f>
        <v>#REF!</v>
      </c>
      <c r="C99" s="129" t="e">
        <f>'Necesidades Trimestrales'!#REF!</f>
        <v>#REF!</v>
      </c>
      <c r="D99" s="129"/>
      <c r="E99" s="129"/>
      <c r="F99" s="129"/>
      <c r="G99" s="129"/>
      <c r="H99" s="61" t="s">
        <v>58</v>
      </c>
      <c r="I99" s="62" t="e">
        <f>'Necesidades Trimestrales'!#REF!</f>
        <v>#REF!</v>
      </c>
      <c r="J99" s="63"/>
      <c r="K99" s="64" t="e">
        <f>'Necesidades Trimestrales'!#REF!</f>
        <v>#REF!</v>
      </c>
    </row>
    <row r="100" spans="1:11" ht="20.25" hidden="1" customHeight="1" x14ac:dyDescent="0.2">
      <c r="A100" s="54">
        <v>89</v>
      </c>
      <c r="B100" s="60" t="e">
        <f>'Necesidades Trimestrales'!#REF!</f>
        <v>#REF!</v>
      </c>
      <c r="C100" s="129" t="e">
        <f>'Necesidades Trimestrales'!#REF!</f>
        <v>#REF!</v>
      </c>
      <c r="D100" s="129"/>
      <c r="E100" s="129"/>
      <c r="F100" s="129"/>
      <c r="G100" s="129"/>
      <c r="H100" s="61" t="s">
        <v>58</v>
      </c>
      <c r="I100" s="62" t="e">
        <f>'Necesidades Trimestrales'!#REF!</f>
        <v>#REF!</v>
      </c>
      <c r="J100" s="63"/>
      <c r="K100" s="64" t="e">
        <f>'Necesidades Trimestrales'!#REF!</f>
        <v>#REF!</v>
      </c>
    </row>
    <row r="101" spans="1:11" ht="20.25" hidden="1" customHeight="1" x14ac:dyDescent="0.2">
      <c r="A101" s="54">
        <v>90</v>
      </c>
      <c r="B101" s="60" t="e">
        <f>'Necesidades Trimestrales'!#REF!</f>
        <v>#REF!</v>
      </c>
      <c r="C101" s="129" t="e">
        <f>'Necesidades Trimestrales'!#REF!</f>
        <v>#REF!</v>
      </c>
      <c r="D101" s="129"/>
      <c r="E101" s="129"/>
      <c r="F101" s="129"/>
      <c r="G101" s="129"/>
      <c r="H101" s="61" t="s">
        <v>58</v>
      </c>
      <c r="I101" s="62" t="e">
        <f>'Necesidades Trimestrales'!#REF!</f>
        <v>#REF!</v>
      </c>
      <c r="J101" s="63"/>
      <c r="K101" s="64" t="e">
        <f>'Necesidades Trimestrales'!#REF!</f>
        <v>#REF!</v>
      </c>
    </row>
    <row r="102" spans="1:11" ht="20.25" hidden="1" customHeight="1" x14ac:dyDescent="0.2">
      <c r="A102" s="54">
        <v>91</v>
      </c>
      <c r="B102" s="60" t="e">
        <f>'Necesidades Trimestrales'!#REF!</f>
        <v>#REF!</v>
      </c>
      <c r="C102" s="129" t="e">
        <f>'Necesidades Trimestrales'!#REF!</f>
        <v>#REF!</v>
      </c>
      <c r="D102" s="129"/>
      <c r="E102" s="129"/>
      <c r="F102" s="129"/>
      <c r="G102" s="129"/>
      <c r="H102" s="61" t="s">
        <v>58</v>
      </c>
      <c r="I102" s="62" t="e">
        <f>'Necesidades Trimestrales'!#REF!</f>
        <v>#REF!</v>
      </c>
      <c r="J102" s="63"/>
      <c r="K102" s="64" t="e">
        <f>'Necesidades Trimestrales'!#REF!</f>
        <v>#REF!</v>
      </c>
    </row>
    <row r="103" spans="1:11" ht="20.25" hidden="1" customHeight="1" x14ac:dyDescent="0.2">
      <c r="A103" s="54">
        <v>92</v>
      </c>
      <c r="B103" s="60" t="e">
        <f>'Necesidades Trimestrales'!#REF!</f>
        <v>#REF!</v>
      </c>
      <c r="C103" s="129" t="e">
        <f>'Necesidades Trimestrales'!#REF!</f>
        <v>#REF!</v>
      </c>
      <c r="D103" s="129"/>
      <c r="E103" s="129"/>
      <c r="F103" s="129"/>
      <c r="G103" s="129"/>
      <c r="H103" s="61" t="s">
        <v>58</v>
      </c>
      <c r="I103" s="62" t="e">
        <f>'Necesidades Trimestrales'!#REF!</f>
        <v>#REF!</v>
      </c>
      <c r="J103" s="63"/>
      <c r="K103" s="64" t="e">
        <f>'Necesidades Trimestrales'!#REF!</f>
        <v>#REF!</v>
      </c>
    </row>
    <row r="104" spans="1:11" ht="20.25" hidden="1" customHeight="1" x14ac:dyDescent="0.2">
      <c r="A104" s="54">
        <v>93</v>
      </c>
      <c r="B104" s="60" t="e">
        <f>'Necesidades Trimestrales'!#REF!</f>
        <v>#REF!</v>
      </c>
      <c r="C104" s="129" t="e">
        <f>'Necesidades Trimestrales'!#REF!</f>
        <v>#REF!</v>
      </c>
      <c r="D104" s="129"/>
      <c r="E104" s="129"/>
      <c r="F104" s="129"/>
      <c r="G104" s="129"/>
      <c r="H104" s="61" t="s">
        <v>58</v>
      </c>
      <c r="I104" s="62" t="e">
        <f>'Necesidades Trimestrales'!#REF!</f>
        <v>#REF!</v>
      </c>
      <c r="J104" s="63"/>
      <c r="K104" s="64" t="e">
        <f>'Necesidades Trimestrales'!#REF!</f>
        <v>#REF!</v>
      </c>
    </row>
    <row r="105" spans="1:11" ht="20.25" hidden="1" customHeight="1" x14ac:dyDescent="0.2">
      <c r="A105" s="54">
        <v>94</v>
      </c>
      <c r="B105" s="60" t="e">
        <f>'Necesidades Trimestrales'!#REF!</f>
        <v>#REF!</v>
      </c>
      <c r="C105" s="129" t="e">
        <f>'Necesidades Trimestrales'!#REF!</f>
        <v>#REF!</v>
      </c>
      <c r="D105" s="129"/>
      <c r="E105" s="129"/>
      <c r="F105" s="129"/>
      <c r="G105" s="129"/>
      <c r="H105" s="61" t="s">
        <v>58</v>
      </c>
      <c r="I105" s="62" t="e">
        <f>'Necesidades Trimestrales'!#REF!</f>
        <v>#REF!</v>
      </c>
      <c r="J105" s="63"/>
      <c r="K105" s="64" t="e">
        <f>'Necesidades Trimestrales'!#REF!</f>
        <v>#REF!</v>
      </c>
    </row>
    <row r="106" spans="1:11" ht="20.25" hidden="1" customHeight="1" x14ac:dyDescent="0.2">
      <c r="A106" s="54">
        <v>95</v>
      </c>
      <c r="B106" s="60" t="e">
        <f>'Necesidades Trimestrales'!#REF!</f>
        <v>#REF!</v>
      </c>
      <c r="C106" s="129" t="e">
        <f>'Necesidades Trimestrales'!#REF!</f>
        <v>#REF!</v>
      </c>
      <c r="D106" s="129"/>
      <c r="E106" s="129"/>
      <c r="F106" s="129"/>
      <c r="G106" s="129"/>
      <c r="H106" s="61" t="s">
        <v>58</v>
      </c>
      <c r="I106" s="62" t="e">
        <f>'Necesidades Trimestrales'!#REF!</f>
        <v>#REF!</v>
      </c>
      <c r="J106" s="63"/>
      <c r="K106" s="64" t="e">
        <f>'Necesidades Trimestrales'!#REF!</f>
        <v>#REF!</v>
      </c>
    </row>
    <row r="107" spans="1:11" ht="20.25" hidden="1" customHeight="1" x14ac:dyDescent="0.2">
      <c r="A107" s="54">
        <v>96</v>
      </c>
      <c r="B107" s="60" t="e">
        <f>'Necesidades Trimestrales'!#REF!</f>
        <v>#REF!</v>
      </c>
      <c r="C107" s="129" t="e">
        <f>'Necesidades Trimestrales'!#REF!</f>
        <v>#REF!</v>
      </c>
      <c r="D107" s="129"/>
      <c r="E107" s="129"/>
      <c r="F107" s="129"/>
      <c r="G107" s="129"/>
      <c r="H107" s="61" t="s">
        <v>58</v>
      </c>
      <c r="I107" s="62" t="e">
        <f>'Necesidades Trimestrales'!#REF!</f>
        <v>#REF!</v>
      </c>
      <c r="J107" s="63"/>
      <c r="K107" s="64" t="e">
        <f>'Necesidades Trimestrales'!#REF!</f>
        <v>#REF!</v>
      </c>
    </row>
    <row r="108" spans="1:11" ht="20.25" hidden="1" customHeight="1" x14ac:dyDescent="0.2">
      <c r="A108" s="54">
        <v>97</v>
      </c>
      <c r="B108" s="60" t="e">
        <f>'Necesidades Trimestrales'!#REF!</f>
        <v>#REF!</v>
      </c>
      <c r="C108" s="129" t="e">
        <f>'Necesidades Trimestrales'!#REF!</f>
        <v>#REF!</v>
      </c>
      <c r="D108" s="129"/>
      <c r="E108" s="129"/>
      <c r="F108" s="129"/>
      <c r="G108" s="129"/>
      <c r="H108" s="61" t="s">
        <v>58</v>
      </c>
      <c r="I108" s="62" t="e">
        <f>'Necesidades Trimestrales'!#REF!</f>
        <v>#REF!</v>
      </c>
      <c r="J108" s="63"/>
      <c r="K108" s="64" t="e">
        <f>'Necesidades Trimestrales'!#REF!</f>
        <v>#REF!</v>
      </c>
    </row>
    <row r="109" spans="1:11" ht="20.25" hidden="1" customHeight="1" x14ac:dyDescent="0.2">
      <c r="A109" s="54">
        <v>98</v>
      </c>
      <c r="B109" s="60" t="e">
        <f>'Necesidades Trimestrales'!#REF!</f>
        <v>#REF!</v>
      </c>
      <c r="C109" s="129" t="e">
        <f>'Necesidades Trimestrales'!#REF!</f>
        <v>#REF!</v>
      </c>
      <c r="D109" s="129"/>
      <c r="E109" s="129"/>
      <c r="F109" s="129"/>
      <c r="G109" s="129"/>
      <c r="H109" s="61" t="s">
        <v>58</v>
      </c>
      <c r="I109" s="62" t="e">
        <f>'Necesidades Trimestrales'!#REF!</f>
        <v>#REF!</v>
      </c>
      <c r="J109" s="63"/>
      <c r="K109" s="64" t="e">
        <f>'Necesidades Trimestrales'!#REF!</f>
        <v>#REF!</v>
      </c>
    </row>
    <row r="110" spans="1:11" ht="20.25" hidden="1" customHeight="1" x14ac:dyDescent="0.2">
      <c r="A110" s="54">
        <v>99</v>
      </c>
      <c r="B110" s="60" t="e">
        <f>'Necesidades Trimestrales'!#REF!</f>
        <v>#REF!</v>
      </c>
      <c r="C110" s="129" t="e">
        <f>'Necesidades Trimestrales'!#REF!</f>
        <v>#REF!</v>
      </c>
      <c r="D110" s="129"/>
      <c r="E110" s="129"/>
      <c r="F110" s="129"/>
      <c r="G110" s="129"/>
      <c r="H110" s="61" t="s">
        <v>58</v>
      </c>
      <c r="I110" s="62" t="e">
        <f>'Necesidades Trimestrales'!#REF!</f>
        <v>#REF!</v>
      </c>
      <c r="J110" s="63"/>
      <c r="K110" s="64" t="e">
        <f>'Necesidades Trimestrales'!#REF!</f>
        <v>#REF!</v>
      </c>
    </row>
    <row r="111" spans="1:11" ht="20.25" hidden="1" customHeight="1" x14ac:dyDescent="0.2">
      <c r="A111" s="54">
        <v>100</v>
      </c>
      <c r="B111" s="60" t="e">
        <f>'Necesidades Trimestrales'!#REF!</f>
        <v>#REF!</v>
      </c>
      <c r="C111" s="129" t="e">
        <f>'Necesidades Trimestrales'!#REF!</f>
        <v>#REF!</v>
      </c>
      <c r="D111" s="129"/>
      <c r="E111" s="129"/>
      <c r="F111" s="129"/>
      <c r="G111" s="129"/>
      <c r="H111" s="61" t="s">
        <v>58</v>
      </c>
      <c r="I111" s="62" t="e">
        <f>'Necesidades Trimestrales'!#REF!</f>
        <v>#REF!</v>
      </c>
      <c r="J111" s="63"/>
      <c r="K111" s="64" t="e">
        <f>'Necesidades Trimestrales'!#REF!</f>
        <v>#REF!</v>
      </c>
    </row>
    <row r="112" spans="1:11" ht="20.25" hidden="1" customHeight="1" x14ac:dyDescent="0.2">
      <c r="A112" s="54">
        <v>101</v>
      </c>
      <c r="B112" s="60" t="e">
        <f>'Necesidades Trimestrales'!#REF!</f>
        <v>#REF!</v>
      </c>
      <c r="C112" s="129" t="e">
        <f>'Necesidades Trimestrales'!#REF!</f>
        <v>#REF!</v>
      </c>
      <c r="D112" s="129"/>
      <c r="E112" s="129"/>
      <c r="F112" s="129"/>
      <c r="G112" s="129"/>
      <c r="H112" s="61" t="s">
        <v>58</v>
      </c>
      <c r="I112" s="62" t="e">
        <f>'Necesidades Trimestrales'!#REF!</f>
        <v>#REF!</v>
      </c>
      <c r="J112" s="63"/>
      <c r="K112" s="64" t="e">
        <f>'Necesidades Trimestrales'!#REF!</f>
        <v>#REF!</v>
      </c>
    </row>
    <row r="113" spans="1:11" ht="20.25" hidden="1" customHeight="1" x14ac:dyDescent="0.2">
      <c r="A113" s="54">
        <v>102</v>
      </c>
      <c r="B113" s="60" t="e">
        <f>'Necesidades Trimestrales'!#REF!</f>
        <v>#REF!</v>
      </c>
      <c r="C113" s="129" t="e">
        <f>'Necesidades Trimestrales'!#REF!</f>
        <v>#REF!</v>
      </c>
      <c r="D113" s="129"/>
      <c r="E113" s="129"/>
      <c r="F113" s="129"/>
      <c r="G113" s="129"/>
      <c r="H113" s="61" t="s">
        <v>58</v>
      </c>
      <c r="I113" s="62" t="e">
        <f>'Necesidades Trimestrales'!#REF!</f>
        <v>#REF!</v>
      </c>
      <c r="J113" s="63"/>
      <c r="K113" s="64" t="e">
        <f>'Necesidades Trimestrales'!#REF!</f>
        <v>#REF!</v>
      </c>
    </row>
    <row r="114" spans="1:11" ht="20.25" hidden="1" customHeight="1" x14ac:dyDescent="0.2">
      <c r="A114" s="54">
        <v>103</v>
      </c>
      <c r="B114" s="60" t="e">
        <f>'Necesidades Trimestrales'!#REF!</f>
        <v>#REF!</v>
      </c>
      <c r="C114" s="129" t="e">
        <f>'Necesidades Trimestrales'!#REF!</f>
        <v>#REF!</v>
      </c>
      <c r="D114" s="129"/>
      <c r="E114" s="129"/>
      <c r="F114" s="129"/>
      <c r="G114" s="129"/>
      <c r="H114" s="61" t="s">
        <v>58</v>
      </c>
      <c r="I114" s="62" t="e">
        <f>'Necesidades Trimestrales'!#REF!</f>
        <v>#REF!</v>
      </c>
      <c r="J114" s="63"/>
      <c r="K114" s="64" t="e">
        <f>'Necesidades Trimestrales'!#REF!</f>
        <v>#REF!</v>
      </c>
    </row>
    <row r="115" spans="1:11" ht="20.25" hidden="1" customHeight="1" x14ac:dyDescent="0.2">
      <c r="A115" s="54">
        <v>104</v>
      </c>
      <c r="B115" s="60" t="e">
        <f>'Necesidades Trimestrales'!#REF!</f>
        <v>#REF!</v>
      </c>
      <c r="C115" s="129" t="e">
        <f>'Necesidades Trimestrales'!#REF!</f>
        <v>#REF!</v>
      </c>
      <c r="D115" s="129"/>
      <c r="E115" s="129"/>
      <c r="F115" s="129"/>
      <c r="G115" s="129"/>
      <c r="H115" s="61" t="s">
        <v>58</v>
      </c>
      <c r="I115" s="62" t="e">
        <f>'Necesidades Trimestrales'!#REF!</f>
        <v>#REF!</v>
      </c>
      <c r="J115" s="63"/>
      <c r="K115" s="64" t="e">
        <f>'Necesidades Trimestrales'!#REF!</f>
        <v>#REF!</v>
      </c>
    </row>
    <row r="116" spans="1:11" ht="20.25" hidden="1" customHeight="1" x14ac:dyDescent="0.2">
      <c r="A116" s="54">
        <v>105</v>
      </c>
      <c r="B116" s="60" t="e">
        <f>'Necesidades Trimestrales'!#REF!</f>
        <v>#REF!</v>
      </c>
      <c r="C116" s="129" t="e">
        <f>'Necesidades Trimestrales'!#REF!</f>
        <v>#REF!</v>
      </c>
      <c r="D116" s="129"/>
      <c r="E116" s="129"/>
      <c r="F116" s="129"/>
      <c r="G116" s="129"/>
      <c r="H116" s="61" t="s">
        <v>58</v>
      </c>
      <c r="I116" s="62" t="e">
        <f>'Necesidades Trimestrales'!#REF!</f>
        <v>#REF!</v>
      </c>
      <c r="J116" s="63"/>
      <c r="K116" s="64" t="e">
        <f>'Necesidades Trimestrales'!#REF!</f>
        <v>#REF!</v>
      </c>
    </row>
    <row r="117" spans="1:11" ht="20.25" hidden="1" customHeight="1" x14ac:dyDescent="0.2">
      <c r="A117" s="54">
        <v>106</v>
      </c>
      <c r="B117" s="60" t="e">
        <f>'Necesidades Trimestrales'!#REF!</f>
        <v>#REF!</v>
      </c>
      <c r="C117" s="129" t="e">
        <f>'Necesidades Trimestrales'!#REF!</f>
        <v>#REF!</v>
      </c>
      <c r="D117" s="129"/>
      <c r="E117" s="129"/>
      <c r="F117" s="129"/>
      <c r="G117" s="129"/>
      <c r="H117" s="61" t="s">
        <v>58</v>
      </c>
      <c r="I117" s="62" t="e">
        <f>'Necesidades Trimestrales'!#REF!</f>
        <v>#REF!</v>
      </c>
      <c r="J117" s="63"/>
      <c r="K117" s="64" t="e">
        <f>'Necesidades Trimestrales'!#REF!</f>
        <v>#REF!</v>
      </c>
    </row>
    <row r="118" spans="1:11" ht="20.25" hidden="1" customHeight="1" x14ac:dyDescent="0.2">
      <c r="A118" s="54">
        <v>107</v>
      </c>
      <c r="B118" s="60" t="e">
        <f>'Necesidades Trimestrales'!#REF!</f>
        <v>#REF!</v>
      </c>
      <c r="C118" s="129" t="e">
        <f>'Necesidades Trimestrales'!#REF!</f>
        <v>#REF!</v>
      </c>
      <c r="D118" s="129"/>
      <c r="E118" s="129"/>
      <c r="F118" s="129"/>
      <c r="G118" s="129"/>
      <c r="H118" s="61" t="s">
        <v>58</v>
      </c>
      <c r="I118" s="62" t="e">
        <f>'Necesidades Trimestrales'!#REF!</f>
        <v>#REF!</v>
      </c>
      <c r="J118" s="63"/>
      <c r="K118" s="64" t="e">
        <f>'Necesidades Trimestrales'!#REF!</f>
        <v>#REF!</v>
      </c>
    </row>
    <row r="119" spans="1:11" ht="20.25" hidden="1" customHeight="1" x14ac:dyDescent="0.2">
      <c r="A119" s="54">
        <v>108</v>
      </c>
      <c r="B119" s="60" t="e">
        <f>'Necesidades Trimestrales'!#REF!</f>
        <v>#REF!</v>
      </c>
      <c r="C119" s="129" t="e">
        <f>'Necesidades Trimestrales'!#REF!</f>
        <v>#REF!</v>
      </c>
      <c r="D119" s="129"/>
      <c r="E119" s="129"/>
      <c r="F119" s="129"/>
      <c r="G119" s="129"/>
      <c r="H119" s="61" t="s">
        <v>58</v>
      </c>
      <c r="I119" s="62" t="e">
        <f>'Necesidades Trimestrales'!#REF!</f>
        <v>#REF!</v>
      </c>
      <c r="J119" s="63"/>
      <c r="K119" s="64" t="e">
        <f>'Necesidades Trimestrales'!#REF!</f>
        <v>#REF!</v>
      </c>
    </row>
    <row r="120" spans="1:11" ht="20.25" hidden="1" customHeight="1" x14ac:dyDescent="0.2">
      <c r="A120" s="54">
        <v>109</v>
      </c>
      <c r="B120" s="60" t="e">
        <f>'Necesidades Trimestrales'!#REF!</f>
        <v>#REF!</v>
      </c>
      <c r="C120" s="129" t="e">
        <f>'Necesidades Trimestrales'!#REF!</f>
        <v>#REF!</v>
      </c>
      <c r="D120" s="129"/>
      <c r="E120" s="129"/>
      <c r="F120" s="129"/>
      <c r="G120" s="129"/>
      <c r="H120" s="61" t="s">
        <v>58</v>
      </c>
      <c r="I120" s="62" t="e">
        <f>'Necesidades Trimestrales'!#REF!</f>
        <v>#REF!</v>
      </c>
      <c r="J120" s="63"/>
      <c r="K120" s="64" t="e">
        <f>'Necesidades Trimestrales'!#REF!</f>
        <v>#REF!</v>
      </c>
    </row>
    <row r="121" spans="1:11" ht="20.25" hidden="1" customHeight="1" x14ac:dyDescent="0.2">
      <c r="A121" s="54">
        <v>110</v>
      </c>
      <c r="B121" s="6" t="e">
        <f>'Necesidades Trimestrales'!#REF!</f>
        <v>#REF!</v>
      </c>
      <c r="C121" s="127" t="e">
        <f>'Necesidades Trimestrales'!#REF!</f>
        <v>#REF!</v>
      </c>
      <c r="D121" s="127"/>
      <c r="E121" s="127"/>
      <c r="F121" s="127"/>
      <c r="G121" s="127"/>
      <c r="H121" s="61" t="s">
        <v>58</v>
      </c>
      <c r="I121" s="7" t="e">
        <f>'Necesidades Trimestrales'!#REF!</f>
        <v>#REF!</v>
      </c>
      <c r="J121" s="7"/>
      <c r="K121" s="8" t="e">
        <f>'Necesidades Trimestrales'!#REF!</f>
        <v>#REF!</v>
      </c>
    </row>
    <row r="122" spans="1:11" ht="20.25" hidden="1" customHeight="1" x14ac:dyDescent="0.2">
      <c r="A122" s="54">
        <v>111</v>
      </c>
      <c r="B122" s="6" t="e">
        <f>'Necesidades Trimestrales'!#REF!</f>
        <v>#REF!</v>
      </c>
      <c r="C122" s="127" t="e">
        <f>'Necesidades Trimestrales'!#REF!</f>
        <v>#REF!</v>
      </c>
      <c r="D122" s="127"/>
      <c r="E122" s="127"/>
      <c r="F122" s="127"/>
      <c r="G122" s="127"/>
      <c r="H122" s="61" t="s">
        <v>58</v>
      </c>
      <c r="I122" s="7" t="e">
        <f>'Necesidades Trimestrales'!#REF!</f>
        <v>#REF!</v>
      </c>
      <c r="J122" s="7"/>
      <c r="K122" s="8" t="e">
        <f>'Necesidades Trimestrales'!#REF!</f>
        <v>#REF!</v>
      </c>
    </row>
    <row r="123" spans="1:11" ht="20.25" hidden="1" customHeight="1" x14ac:dyDescent="0.2">
      <c r="A123" s="54">
        <v>112</v>
      </c>
      <c r="B123" s="6" t="e">
        <f>'Necesidades Trimestrales'!#REF!</f>
        <v>#REF!</v>
      </c>
      <c r="C123" s="127" t="e">
        <f>'Necesidades Trimestrales'!#REF!</f>
        <v>#REF!</v>
      </c>
      <c r="D123" s="127"/>
      <c r="E123" s="127"/>
      <c r="F123" s="127"/>
      <c r="G123" s="127"/>
      <c r="H123" s="61" t="s">
        <v>58</v>
      </c>
      <c r="I123" s="7" t="e">
        <f>'Necesidades Trimestrales'!#REF!</f>
        <v>#REF!</v>
      </c>
      <c r="J123" s="7"/>
      <c r="K123" s="8" t="e">
        <f>'Necesidades Trimestrales'!#REF!</f>
        <v>#REF!</v>
      </c>
    </row>
    <row r="124" spans="1:11" ht="20.25" hidden="1" customHeight="1" thickBot="1" x14ac:dyDescent="0.25">
      <c r="A124" s="9">
        <v>113</v>
      </c>
      <c r="B124" s="10" t="e">
        <f>'Necesidades Trimestrales'!#REF!</f>
        <v>#REF!</v>
      </c>
      <c r="C124" s="128" t="e">
        <f>'Necesidades Trimestrales'!#REF!</f>
        <v>#REF!</v>
      </c>
      <c r="D124" s="128"/>
      <c r="E124" s="128"/>
      <c r="F124" s="128"/>
      <c r="G124" s="128"/>
      <c r="H124" s="61" t="s">
        <v>58</v>
      </c>
      <c r="I124" s="11" t="e">
        <f>'Necesidades Trimestrales'!#REF!</f>
        <v>#REF!</v>
      </c>
      <c r="J124" s="11"/>
      <c r="K124" s="12" t="e">
        <f>'Necesidades Trimestrales'!#REF!</f>
        <v>#REF!</v>
      </c>
    </row>
    <row r="125" spans="1:11" ht="20.25" customHeight="1" thickBot="1" x14ac:dyDescent="0.25">
      <c r="A125" s="124" t="s">
        <v>54</v>
      </c>
      <c r="B125" s="124"/>
      <c r="C125" s="124"/>
      <c r="D125" s="124"/>
      <c r="E125" s="124"/>
      <c r="F125" s="124"/>
      <c r="G125" s="124"/>
      <c r="H125" s="124"/>
      <c r="I125" s="124"/>
      <c r="J125" s="125" t="e">
        <f>SUMPRODUCT(J12:J124,K12:K124)</f>
        <v>#REF!</v>
      </c>
      <c r="K125" s="125"/>
    </row>
  </sheetData>
  <mergeCells count="135">
    <mergeCell ref="C117:G117"/>
    <mergeCell ref="C118:G118"/>
    <mergeCell ref="C119:G119"/>
    <mergeCell ref="C120:G120"/>
    <mergeCell ref="C112:G112"/>
    <mergeCell ref="C113:G113"/>
    <mergeCell ref="C114:G114"/>
    <mergeCell ref="C115:G115"/>
    <mergeCell ref="C116:G116"/>
    <mergeCell ref="C107:G107"/>
    <mergeCell ref="C108:G108"/>
    <mergeCell ref="C109:G109"/>
    <mergeCell ref="C110:G110"/>
    <mergeCell ref="C111:G111"/>
    <mergeCell ref="C102:G102"/>
    <mergeCell ref="C103:G103"/>
    <mergeCell ref="C104:G104"/>
    <mergeCell ref="C105:G105"/>
    <mergeCell ref="C106:G106"/>
    <mergeCell ref="C97:G97"/>
    <mergeCell ref="C98:G98"/>
    <mergeCell ref="C99:G99"/>
    <mergeCell ref="C100:G100"/>
    <mergeCell ref="C101:G101"/>
    <mergeCell ref="C92:G92"/>
    <mergeCell ref="C93:G93"/>
    <mergeCell ref="C94:G94"/>
    <mergeCell ref="C95:G95"/>
    <mergeCell ref="C96:G96"/>
    <mergeCell ref="C87:G87"/>
    <mergeCell ref="C88:G88"/>
    <mergeCell ref="C89:G89"/>
    <mergeCell ref="C90:G90"/>
    <mergeCell ref="C91:G91"/>
    <mergeCell ref="C82:G82"/>
    <mergeCell ref="C83:G83"/>
    <mergeCell ref="C84:G84"/>
    <mergeCell ref="C85:G85"/>
    <mergeCell ref="C86:G86"/>
    <mergeCell ref="C77:G77"/>
    <mergeCell ref="C78:G78"/>
    <mergeCell ref="C79:G79"/>
    <mergeCell ref="C80:G80"/>
    <mergeCell ref="C81:G81"/>
    <mergeCell ref="C72:G72"/>
    <mergeCell ref="C73:G73"/>
    <mergeCell ref="C74:G74"/>
    <mergeCell ref="C75:G75"/>
    <mergeCell ref="C76:G76"/>
    <mergeCell ref="C67:G67"/>
    <mergeCell ref="C68:G68"/>
    <mergeCell ref="C69:G69"/>
    <mergeCell ref="C70:G70"/>
    <mergeCell ref="C71:G71"/>
    <mergeCell ref="C62:G62"/>
    <mergeCell ref="C63:G63"/>
    <mergeCell ref="C64:G64"/>
    <mergeCell ref="C65:G65"/>
    <mergeCell ref="C66:G66"/>
    <mergeCell ref="C57:G57"/>
    <mergeCell ref="C58:G58"/>
    <mergeCell ref="C59:G59"/>
    <mergeCell ref="C60:G60"/>
    <mergeCell ref="C61:G61"/>
    <mergeCell ref="C52:G52"/>
    <mergeCell ref="C53:G53"/>
    <mergeCell ref="C54:G54"/>
    <mergeCell ref="C55:G55"/>
    <mergeCell ref="C56:G56"/>
    <mergeCell ref="C47:G47"/>
    <mergeCell ref="C48:G48"/>
    <mergeCell ref="C49:G49"/>
    <mergeCell ref="C50:G50"/>
    <mergeCell ref="C51:G51"/>
    <mergeCell ref="C42:G42"/>
    <mergeCell ref="C43:G43"/>
    <mergeCell ref="C44:G44"/>
    <mergeCell ref="C45:G45"/>
    <mergeCell ref="C46:G46"/>
    <mergeCell ref="C25:G25"/>
    <mergeCell ref="C26:G26"/>
    <mergeCell ref="C37:G37"/>
    <mergeCell ref="C38:G38"/>
    <mergeCell ref="C39:G39"/>
    <mergeCell ref="C40:G40"/>
    <mergeCell ref="C41:G41"/>
    <mergeCell ref="C32:G32"/>
    <mergeCell ref="C33:G33"/>
    <mergeCell ref="C34:G34"/>
    <mergeCell ref="C35:G35"/>
    <mergeCell ref="C36:G36"/>
    <mergeCell ref="A125:I125"/>
    <mergeCell ref="J125:K125"/>
    <mergeCell ref="C12:G12"/>
    <mergeCell ref="C121:G121"/>
    <mergeCell ref="C122:G122"/>
    <mergeCell ref="C123:G123"/>
    <mergeCell ref="C124:G124"/>
    <mergeCell ref="C13:G13"/>
    <mergeCell ref="C14:G14"/>
    <mergeCell ref="C15:G15"/>
    <mergeCell ref="C16:G16"/>
    <mergeCell ref="C17:G17"/>
    <mergeCell ref="C18:G18"/>
    <mergeCell ref="C19:G19"/>
    <mergeCell ref="C20:G20"/>
    <mergeCell ref="C21:G21"/>
    <mergeCell ref="C27:G27"/>
    <mergeCell ref="C28:G28"/>
    <mergeCell ref="C29:G29"/>
    <mergeCell ref="C30:G30"/>
    <mergeCell ref="C31:G31"/>
    <mergeCell ref="C22:G22"/>
    <mergeCell ref="C23:G23"/>
    <mergeCell ref="C24:G24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</mergeCells>
  <printOptions horizontalCentered="1"/>
  <pageMargins left="0.196527777777778" right="0.196527777777778" top="0.98402777777777795" bottom="0.98402777777777795" header="0.51180555555555496" footer="0.51180555555555496"/>
  <pageSetup paperSize="9" scale="85" firstPageNumber="0" fitToHeight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7"/>
  <sheetViews>
    <sheetView topLeftCell="A13" zoomScale="80" zoomScaleNormal="80" workbookViewId="0">
      <selection activeCell="A23" sqref="A23:P23"/>
    </sheetView>
  </sheetViews>
  <sheetFormatPr baseColWidth="10" defaultColWidth="11" defaultRowHeight="12.75" x14ac:dyDescent="0.2"/>
  <cols>
    <col min="1" max="5" width="4.42578125" style="29" customWidth="1"/>
    <col min="6" max="6" width="5.5703125" style="29" customWidth="1"/>
    <col min="7" max="7" width="4.42578125" style="30" customWidth="1"/>
    <col min="8" max="14" width="4.42578125" style="29" customWidth="1"/>
    <col min="15" max="15" width="14.85546875" style="29" customWidth="1"/>
    <col min="16" max="16" width="20.5703125" style="29" customWidth="1"/>
    <col min="17" max="17" width="14.7109375" style="29" customWidth="1"/>
  </cols>
  <sheetData>
    <row r="1" spans="1:17" ht="15.75" customHeight="1" x14ac:dyDescent="0.2">
      <c r="A1" s="130" t="s">
        <v>3</v>
      </c>
      <c r="B1" s="130"/>
      <c r="C1" s="130"/>
      <c r="D1" s="131">
        <f>'Necesidades Trimestrales'!C6</f>
        <v>2020</v>
      </c>
      <c r="E1" s="131"/>
      <c r="F1" s="53"/>
      <c r="G1" s="53"/>
      <c r="H1" s="28"/>
      <c r="I1" s="28"/>
      <c r="J1" s="28"/>
      <c r="K1" s="28"/>
      <c r="L1" s="28"/>
      <c r="M1" s="28"/>
      <c r="N1" s="28"/>
      <c r="P1" s="132" t="s">
        <v>29</v>
      </c>
      <c r="Q1" s="132"/>
    </row>
    <row r="2" spans="1:17" ht="15.75" customHeight="1" x14ac:dyDescent="0.2">
      <c r="H2" s="28"/>
      <c r="I2" s="28"/>
      <c r="J2" s="28"/>
      <c r="K2" s="28"/>
      <c r="L2" s="28"/>
      <c r="M2" s="28"/>
      <c r="N2" s="28"/>
      <c r="P2" s="132"/>
      <c r="Q2" s="132"/>
    </row>
    <row r="4" spans="1:17" s="13" customFormat="1" ht="18" customHeight="1" thickBot="1" x14ac:dyDescent="0.25">
      <c r="A4" s="133" t="s">
        <v>30</v>
      </c>
      <c r="B4" s="133"/>
      <c r="C4" s="133"/>
      <c r="D4" s="133"/>
      <c r="E4" s="133"/>
      <c r="F4" s="133"/>
      <c r="G4" s="134" t="str">
        <f>' NotaPedido'!D3</f>
        <v>65 - Ministerio de Agua, Energia y Medio Ambiente</v>
      </c>
      <c r="H4" s="134"/>
      <c r="I4" s="134"/>
      <c r="J4" s="134"/>
      <c r="K4" s="134"/>
      <c r="L4" s="134"/>
      <c r="M4" s="134"/>
      <c r="N4" s="134"/>
      <c r="O4" s="134"/>
      <c r="P4" s="134"/>
      <c r="Q4" s="134"/>
    </row>
    <row r="5" spans="1:17" s="13" customFormat="1" ht="18" customHeight="1" thickBot="1" x14ac:dyDescent="0.25">
      <c r="A5" s="135" t="s">
        <v>52</v>
      </c>
      <c r="B5" s="136"/>
      <c r="C5" s="136"/>
      <c r="D5" s="136"/>
      <c r="E5" s="136"/>
      <c r="F5" s="137"/>
      <c r="G5" s="134" t="str">
        <f>' NotaPedido'!D4</f>
        <v>31 - Secretaria de Energia</v>
      </c>
      <c r="H5" s="134"/>
      <c r="I5" s="134"/>
      <c r="J5" s="134"/>
      <c r="K5" s="134"/>
      <c r="L5" s="134"/>
      <c r="M5" s="134"/>
      <c r="N5" s="134"/>
      <c r="O5" s="134"/>
      <c r="P5" s="134"/>
      <c r="Q5" s="134"/>
    </row>
    <row r="6" spans="1:17" s="13" customFormat="1" ht="18" customHeight="1" thickBot="1" x14ac:dyDescent="0.25">
      <c r="A6" s="135" t="s">
        <v>31</v>
      </c>
      <c r="B6" s="136"/>
      <c r="C6" s="136"/>
      <c r="D6" s="136"/>
      <c r="E6" s="136"/>
      <c r="F6" s="137"/>
      <c r="G6" s="134" t="str">
        <f>' NotaPedido'!D5</f>
        <v>Secretaria de Energía - Direccion de Estudio y Proyectos de Obra</v>
      </c>
      <c r="H6" s="134"/>
      <c r="I6" s="134"/>
      <c r="J6" s="134"/>
      <c r="K6" s="134"/>
      <c r="L6" s="134"/>
      <c r="M6" s="134"/>
      <c r="N6" s="134"/>
      <c r="O6" s="134"/>
      <c r="P6" s="134"/>
      <c r="Q6" s="134"/>
    </row>
    <row r="7" spans="1:17" s="13" customFormat="1" ht="18" customHeight="1" thickBot="1" x14ac:dyDescent="0.25">
      <c r="A7" s="135" t="s">
        <v>53</v>
      </c>
      <c r="B7" s="136"/>
      <c r="C7" s="136"/>
      <c r="D7" s="136"/>
      <c r="E7" s="136"/>
      <c r="F7" s="137"/>
      <c r="G7" s="134" t="str">
        <f>' NotaPedido'!D6</f>
        <v>Secretaria de Energía - Direccion de Estudio y Proyectos de Obra</v>
      </c>
      <c r="H7" s="134"/>
      <c r="I7" s="134"/>
      <c r="J7" s="134"/>
      <c r="K7" s="134"/>
      <c r="L7" s="134"/>
      <c r="M7" s="134"/>
      <c r="N7" s="134"/>
      <c r="O7" s="134"/>
      <c r="P7" s="134"/>
      <c r="Q7" s="134"/>
    </row>
    <row r="8" spans="1:17" ht="18" customHeight="1" thickBot="1" x14ac:dyDescent="0.25">
      <c r="A8" s="138" t="s">
        <v>55</v>
      </c>
      <c r="B8" s="138"/>
      <c r="C8" s="138"/>
      <c r="D8" s="138"/>
      <c r="E8" s="138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</row>
    <row r="9" spans="1:17" ht="18" customHeight="1" x14ac:dyDescent="0.2">
      <c r="A9" s="139" t="s">
        <v>32</v>
      </c>
      <c r="B9" s="139"/>
      <c r="C9" s="139"/>
      <c r="D9" s="139"/>
      <c r="E9" s="139"/>
      <c r="F9" s="139"/>
      <c r="G9" s="139"/>
      <c r="H9" s="139"/>
      <c r="I9" s="139"/>
      <c r="J9" s="139"/>
      <c r="K9" s="139"/>
      <c r="L9" s="139"/>
      <c r="M9" s="139"/>
      <c r="N9" s="139"/>
      <c r="O9" s="31"/>
      <c r="P9" s="31"/>
      <c r="Q9" s="32"/>
    </row>
    <row r="10" spans="1:17" ht="54.75" customHeight="1" x14ac:dyDescent="0.2">
      <c r="A10" s="140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185/2020,  afectando la erogación resultante a los créditos presupuestarios aprobados a favor de esta Unidad Ejecutora, conforme al siguiente detalle:</v>
      </c>
      <c r="B10" s="140"/>
      <c r="C10" s="140"/>
      <c r="D10" s="140"/>
      <c r="E10" s="140"/>
      <c r="F10" s="140"/>
      <c r="G10" s="140"/>
      <c r="H10" s="140"/>
      <c r="I10" s="140"/>
      <c r="J10" s="140"/>
      <c r="K10" s="140"/>
      <c r="L10" s="140"/>
      <c r="M10" s="140"/>
      <c r="N10" s="140"/>
      <c r="O10" s="140"/>
      <c r="P10" s="140"/>
      <c r="Q10" s="140"/>
    </row>
    <row r="11" spans="1:17" ht="9" customHeight="1" x14ac:dyDescent="0.2">
      <c r="A11" s="33"/>
      <c r="B11" s="34"/>
      <c r="C11" s="34"/>
      <c r="D11" s="34"/>
      <c r="E11" s="34"/>
      <c r="F11" s="34"/>
      <c r="G11" s="35"/>
      <c r="H11" s="34"/>
      <c r="I11" s="34"/>
      <c r="J11" s="34"/>
      <c r="K11" s="34"/>
      <c r="L11" s="34"/>
      <c r="M11" s="34"/>
      <c r="N11" s="34"/>
      <c r="O11" s="34"/>
      <c r="P11" s="34"/>
      <c r="Q11" s="36"/>
    </row>
    <row r="12" spans="1:17" ht="15.75" customHeight="1" x14ac:dyDescent="0.2">
      <c r="A12" s="141" t="s">
        <v>33</v>
      </c>
      <c r="B12" s="141"/>
      <c r="C12" s="141"/>
      <c r="D12" s="141"/>
      <c r="E12" s="141"/>
      <c r="F12" s="141"/>
      <c r="G12" s="141"/>
      <c r="H12" s="141"/>
      <c r="I12" s="141"/>
      <c r="J12" s="141"/>
      <c r="K12" s="141"/>
      <c r="L12" s="141"/>
      <c r="M12" s="141"/>
      <c r="N12" s="141"/>
      <c r="O12" s="141"/>
      <c r="P12" s="141"/>
      <c r="Q12" s="141"/>
    </row>
    <row r="13" spans="1:17" ht="15.75" customHeight="1" x14ac:dyDescent="0.2">
      <c r="A13" s="142" t="s">
        <v>34</v>
      </c>
      <c r="B13" s="142"/>
      <c r="C13" s="142"/>
      <c r="D13" s="142"/>
      <c r="E13" s="142"/>
      <c r="F13" s="142"/>
      <c r="G13" s="142"/>
      <c r="H13" s="142"/>
      <c r="I13" s="142"/>
      <c r="J13" s="142"/>
      <c r="K13" s="142"/>
      <c r="L13" s="142"/>
      <c r="M13" s="142"/>
      <c r="N13" s="142"/>
      <c r="O13" s="143" t="s">
        <v>35</v>
      </c>
      <c r="P13" s="143"/>
      <c r="Q13" s="144" t="s">
        <v>36</v>
      </c>
    </row>
    <row r="14" spans="1:17" ht="15.75" customHeight="1" thickBot="1" x14ac:dyDescent="0.25">
      <c r="A14" s="37" t="s">
        <v>37</v>
      </c>
      <c r="B14" s="38" t="s">
        <v>38</v>
      </c>
      <c r="C14" s="38" t="s">
        <v>39</v>
      </c>
      <c r="D14" s="38" t="s">
        <v>40</v>
      </c>
      <c r="E14" s="38" t="s">
        <v>41</v>
      </c>
      <c r="F14" s="38" t="s">
        <v>42</v>
      </c>
      <c r="G14" s="39" t="s">
        <v>43</v>
      </c>
      <c r="H14" s="38" t="s">
        <v>44</v>
      </c>
      <c r="I14" s="38" t="s">
        <v>45</v>
      </c>
      <c r="J14" s="38" t="s">
        <v>46</v>
      </c>
      <c r="K14" s="38" t="s">
        <v>46</v>
      </c>
      <c r="L14" s="38" t="s">
        <v>47</v>
      </c>
      <c r="M14" s="40" t="s">
        <v>48</v>
      </c>
      <c r="N14" s="41" t="s">
        <v>49</v>
      </c>
      <c r="O14" s="143"/>
      <c r="P14" s="143"/>
      <c r="Q14" s="144"/>
    </row>
    <row r="15" spans="1:17" ht="17.25" customHeight="1" x14ac:dyDescent="0.2">
      <c r="A15" s="90">
        <v>2</v>
      </c>
      <c r="B15" s="91">
        <v>0</v>
      </c>
      <c r="C15" s="91">
        <v>0</v>
      </c>
      <c r="D15" s="91">
        <v>1</v>
      </c>
      <c r="E15" s="91">
        <v>0</v>
      </c>
      <c r="F15" s="91">
        <v>4901</v>
      </c>
      <c r="G15" s="91">
        <v>1</v>
      </c>
      <c r="H15" s="91">
        <v>4</v>
      </c>
      <c r="I15" s="91" t="str">
        <f>LEFT('Necesidades Trimestrales'!D10,1)</f>
        <v>2</v>
      </c>
      <c r="J15" s="91" t="str">
        <f>MID('Necesidades Trimestrales'!D10,3,1)</f>
        <v>6</v>
      </c>
      <c r="K15" s="91" t="str">
        <f>RIGHT('Necesidades Trimestrales'!D10,1)</f>
        <v>4</v>
      </c>
      <c r="L15" s="91">
        <v>0</v>
      </c>
      <c r="M15" s="92">
        <v>1</v>
      </c>
      <c r="N15" s="91" t="s">
        <v>74</v>
      </c>
      <c r="O15" s="145" t="s">
        <v>73</v>
      </c>
      <c r="P15" s="145"/>
      <c r="Q15" s="42">
        <v>700000</v>
      </c>
    </row>
    <row r="16" spans="1:17" ht="17.25" customHeight="1" x14ac:dyDescent="0.2">
      <c r="A16" s="93">
        <v>10</v>
      </c>
      <c r="B16" s="94">
        <v>0</v>
      </c>
      <c r="C16" s="94">
        <v>0</v>
      </c>
      <c r="D16" s="94">
        <v>1</v>
      </c>
      <c r="E16" s="94">
        <v>0</v>
      </c>
      <c r="F16" s="94">
        <v>4901</v>
      </c>
      <c r="G16" s="94">
        <v>1</v>
      </c>
      <c r="H16" s="94">
        <v>3</v>
      </c>
      <c r="I16" s="94" t="str">
        <f>LEFT('Necesidades Trimestrales'!D11,1)</f>
        <v>2</v>
      </c>
      <c r="J16" s="94" t="str">
        <f>MID('Necesidades Trimestrales'!D11,3,1)</f>
        <v>6</v>
      </c>
      <c r="K16" s="94" t="str">
        <f>RIGHT('Necesidades Trimestrales'!D11,1)</f>
        <v>4</v>
      </c>
      <c r="L16" s="94">
        <v>0</v>
      </c>
      <c r="M16" s="95">
        <v>1</v>
      </c>
      <c r="N16" s="96" t="s">
        <v>74</v>
      </c>
      <c r="O16" s="146" t="s">
        <v>73</v>
      </c>
      <c r="P16" s="146"/>
      <c r="Q16" s="47">
        <v>589319.72</v>
      </c>
    </row>
    <row r="17" spans="1:18" ht="17.25" customHeight="1" x14ac:dyDescent="0.2">
      <c r="A17" s="43"/>
      <c r="B17" s="44"/>
      <c r="C17" s="44"/>
      <c r="D17" s="44"/>
      <c r="E17" s="44"/>
      <c r="F17" s="46"/>
      <c r="G17" s="44"/>
      <c r="H17" s="44"/>
      <c r="I17" s="44"/>
      <c r="J17" s="44"/>
      <c r="K17" s="44"/>
      <c r="L17" s="44"/>
      <c r="M17" s="45"/>
      <c r="N17" s="46"/>
      <c r="O17" s="146"/>
      <c r="P17" s="146"/>
      <c r="Q17" s="47"/>
    </row>
    <row r="18" spans="1:18" ht="17.25" customHeight="1" x14ac:dyDescent="0.2">
      <c r="A18" s="43"/>
      <c r="B18" s="44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5"/>
      <c r="N18" s="46"/>
      <c r="O18" s="146"/>
      <c r="P18" s="146"/>
      <c r="Q18" s="47"/>
    </row>
    <row r="19" spans="1:18" ht="17.25" customHeight="1" x14ac:dyDescent="0.2">
      <c r="A19" s="43"/>
      <c r="B19" s="44"/>
      <c r="C19" s="44"/>
      <c r="D19" s="44"/>
      <c r="E19" s="44"/>
      <c r="F19" s="46"/>
      <c r="G19" s="44"/>
      <c r="H19" s="44"/>
      <c r="I19" s="44"/>
      <c r="J19" s="44"/>
      <c r="K19" s="44"/>
      <c r="L19" s="44"/>
      <c r="M19" s="45"/>
      <c r="N19" s="46"/>
      <c r="O19" s="146"/>
      <c r="P19" s="146"/>
      <c r="Q19" s="47"/>
    </row>
    <row r="20" spans="1:18" ht="17.25" customHeight="1" x14ac:dyDescent="0.2">
      <c r="A20" s="43"/>
      <c r="B20" s="44"/>
      <c r="C20" s="44"/>
      <c r="D20" s="44"/>
      <c r="E20" s="44"/>
      <c r="F20" s="46"/>
      <c r="G20" s="44"/>
      <c r="H20" s="44"/>
      <c r="I20" s="44"/>
      <c r="J20" s="44"/>
      <c r="K20" s="44"/>
      <c r="L20" s="44"/>
      <c r="M20" s="45"/>
      <c r="N20" s="46"/>
      <c r="O20" s="146"/>
      <c r="P20" s="146"/>
      <c r="Q20" s="47"/>
    </row>
    <row r="21" spans="1:18" ht="17.25" customHeight="1" x14ac:dyDescent="0.2">
      <c r="A21" s="43"/>
      <c r="B21" s="44"/>
      <c r="C21" s="44"/>
      <c r="D21" s="44"/>
      <c r="E21" s="44"/>
      <c r="F21" s="46"/>
      <c r="G21" s="44"/>
      <c r="H21" s="44"/>
      <c r="I21" s="44"/>
      <c r="J21" s="44"/>
      <c r="K21" s="44"/>
      <c r="L21" s="44"/>
      <c r="M21" s="45"/>
      <c r="N21" s="46"/>
      <c r="O21" s="146"/>
      <c r="P21" s="146"/>
      <c r="Q21" s="47"/>
      <c r="R21" s="1"/>
    </row>
    <row r="22" spans="1:18" ht="17.25" customHeight="1" x14ac:dyDescent="0.2">
      <c r="A22" s="48"/>
      <c r="B22" s="49"/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50"/>
      <c r="N22" s="49"/>
      <c r="O22" s="152"/>
      <c r="P22" s="152"/>
      <c r="Q22" s="51"/>
    </row>
    <row r="23" spans="1:18" ht="20.25" customHeight="1" x14ac:dyDescent="0.2">
      <c r="A23" s="153" t="s">
        <v>76</v>
      </c>
      <c r="B23" s="153"/>
      <c r="C23" s="153"/>
      <c r="D23" s="153"/>
      <c r="E23" s="153"/>
      <c r="F23" s="153"/>
      <c r="G23" s="153"/>
      <c r="H23" s="153"/>
      <c r="I23" s="153"/>
      <c r="J23" s="153"/>
      <c r="K23" s="153"/>
      <c r="L23" s="153"/>
      <c r="M23" s="153"/>
      <c r="N23" s="153"/>
      <c r="O23" s="153"/>
      <c r="P23" s="153"/>
      <c r="Q23" s="52">
        <f>SUM(Q15:Q22)</f>
        <v>1289319.72</v>
      </c>
    </row>
    <row r="24" spans="1:18" ht="18" customHeight="1" thickBot="1" x14ac:dyDescent="0.25">
      <c r="A24" s="154"/>
      <c r="B24" s="154"/>
      <c r="C24" s="154"/>
      <c r="D24" s="154"/>
      <c r="E24" s="154"/>
      <c r="F24" s="154"/>
      <c r="G24" s="154"/>
      <c r="H24" s="154"/>
      <c r="I24" s="154"/>
      <c r="J24" s="154"/>
      <c r="K24" s="154"/>
      <c r="L24" s="154"/>
      <c r="M24" s="154"/>
      <c r="N24" s="154"/>
      <c r="O24" s="154"/>
      <c r="P24" s="154"/>
      <c r="Q24" s="154"/>
    </row>
    <row r="25" spans="1:18" ht="17.25" customHeight="1" thickBot="1" x14ac:dyDescent="0.25">
      <c r="A25" s="147" t="s">
        <v>50</v>
      </c>
      <c r="B25" s="148"/>
      <c r="C25" s="148"/>
      <c r="D25" s="148"/>
      <c r="E25" s="148"/>
      <c r="F25" s="149"/>
      <c r="G25" s="150"/>
      <c r="H25" s="150"/>
      <c r="I25" s="150"/>
      <c r="J25" s="150"/>
      <c r="K25" s="150"/>
      <c r="L25" s="150"/>
      <c r="M25" s="150"/>
      <c r="N25" s="150"/>
      <c r="O25" s="150"/>
      <c r="P25" s="150"/>
      <c r="Q25" s="150"/>
    </row>
    <row r="26" spans="1:18" ht="18" customHeight="1" thickBot="1" x14ac:dyDescent="0.25">
      <c r="A26" s="151" t="s">
        <v>75</v>
      </c>
      <c r="B26" s="151"/>
      <c r="C26" s="151"/>
      <c r="D26" s="151"/>
      <c r="E26" s="151"/>
      <c r="F26" s="151"/>
      <c r="G26" s="151"/>
      <c r="H26" s="151"/>
      <c r="I26" s="151"/>
      <c r="J26" s="151"/>
      <c r="K26" s="151"/>
      <c r="L26" s="151"/>
      <c r="M26" s="151"/>
      <c r="N26" s="151"/>
      <c r="O26" s="151"/>
      <c r="P26" s="151"/>
      <c r="Q26" s="151"/>
    </row>
    <row r="27" spans="1:18" ht="15" customHeight="1" x14ac:dyDescent="0.2">
      <c r="A27" s="151"/>
      <c r="B27" s="151"/>
      <c r="C27" s="151"/>
      <c r="D27" s="151"/>
      <c r="E27" s="151"/>
      <c r="F27" s="151"/>
      <c r="G27" s="151"/>
      <c r="H27" s="151"/>
      <c r="I27" s="151"/>
      <c r="J27" s="151"/>
      <c r="K27" s="151"/>
      <c r="L27" s="151"/>
      <c r="M27" s="151"/>
      <c r="N27" s="151"/>
      <c r="O27" s="151"/>
      <c r="P27" s="151"/>
      <c r="Q27" s="151"/>
    </row>
  </sheetData>
  <mergeCells count="31">
    <mergeCell ref="A25:F25"/>
    <mergeCell ref="G25:Q25"/>
    <mergeCell ref="A26:Q27"/>
    <mergeCell ref="O20:P20"/>
    <mergeCell ref="O21:P21"/>
    <mergeCell ref="O22:P22"/>
    <mergeCell ref="A23:P23"/>
    <mergeCell ref="A24:Q24"/>
    <mergeCell ref="O15:P15"/>
    <mergeCell ref="O16:P16"/>
    <mergeCell ref="O17:P17"/>
    <mergeCell ref="O18:P18"/>
    <mergeCell ref="O19:P19"/>
    <mergeCell ref="A9:N9"/>
    <mergeCell ref="A10:Q10"/>
    <mergeCell ref="A12:Q12"/>
    <mergeCell ref="A13:N13"/>
    <mergeCell ref="O13:P14"/>
    <mergeCell ref="Q13:Q14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 NotaPedido</vt:lpstr>
      <vt:lpstr>Autor Gastar</vt:lpstr>
      <vt:lpstr>' NotaPedido'!Área_de_impresión</vt:lpstr>
      <vt:lpstr>'Autor Gastar'!Área_de_impresión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</dc:creator>
  <dc:description/>
  <cp:lastModifiedBy>USUARIO</cp:lastModifiedBy>
  <cp:revision>2</cp:revision>
  <cp:lastPrinted>2020-10-01T01:46:41Z</cp:lastPrinted>
  <dcterms:created xsi:type="dcterms:W3CDTF">2020-07-17T23:44:49Z</dcterms:created>
  <dcterms:modified xsi:type="dcterms:W3CDTF">2021-08-18T13:01:05Z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