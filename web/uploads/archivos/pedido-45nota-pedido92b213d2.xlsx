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M SALUD\REACTIVOS PARA AGUA\corregido\"/>
    </mc:Choice>
  </mc:AlternateContent>
  <xr:revisionPtr revIDLastSave="0" documentId="13_ncr:1_{F21AA153-6E9B-4C44-96FC-B50FDDC05E8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011'!$A$7:$AY$7</definedName>
  </definedNames>
  <calcPr calcId="181029"/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12" i="2"/>
  <c r="J13" i="2"/>
  <c r="M13" i="2" s="1"/>
  <c r="J14" i="2"/>
  <c r="M14" i="2" s="1"/>
  <c r="J15" i="2"/>
  <c r="M15" i="2" s="1"/>
  <c r="J16" i="2"/>
  <c r="M16" i="2" s="1"/>
  <c r="J17" i="2"/>
  <c r="M17" i="2" s="1"/>
  <c r="J18" i="2"/>
  <c r="M18" i="2" s="1"/>
  <c r="J19" i="2"/>
  <c r="M19" i="2" s="1"/>
  <c r="J20" i="2"/>
  <c r="M20" i="2" s="1"/>
  <c r="J21" i="2"/>
  <c r="M21" i="2" s="1"/>
  <c r="J22" i="2"/>
  <c r="M22" i="2" s="1"/>
  <c r="J23" i="2"/>
  <c r="M23" i="2" s="1"/>
  <c r="J24" i="2"/>
  <c r="M24" i="2" s="1"/>
  <c r="J25" i="2"/>
  <c r="M25" i="2" s="1"/>
  <c r="J26" i="2"/>
  <c r="M26" i="2" s="1"/>
  <c r="J27" i="2"/>
  <c r="M27" i="2" s="1"/>
  <c r="J28" i="2"/>
  <c r="M28" i="2" s="1"/>
  <c r="J29" i="2"/>
  <c r="M29" i="2" s="1"/>
  <c r="J30" i="2"/>
  <c r="M30" i="2" s="1"/>
  <c r="J31" i="2"/>
  <c r="M31" i="2" s="1"/>
  <c r="J32" i="2"/>
  <c r="M32" i="2" s="1"/>
  <c r="J33" i="2"/>
  <c r="M33" i="2" s="1"/>
  <c r="J34" i="2"/>
  <c r="M34" i="2" s="1"/>
  <c r="J35" i="2"/>
  <c r="M35" i="2" s="1"/>
  <c r="J36" i="2"/>
  <c r="M36" i="2" s="1"/>
  <c r="J37" i="2"/>
  <c r="M37" i="2" s="1"/>
  <c r="J38" i="2"/>
  <c r="M38" i="2" s="1"/>
  <c r="J39" i="2"/>
  <c r="M39" i="2" s="1"/>
  <c r="J40" i="2"/>
  <c r="M40" i="2" s="1"/>
  <c r="J41" i="2"/>
  <c r="M41" i="2" s="1"/>
  <c r="J42" i="2"/>
  <c r="M42" i="2" s="1"/>
  <c r="J43" i="2"/>
  <c r="M43" i="2" s="1"/>
  <c r="J44" i="2"/>
  <c r="M44" i="2" s="1"/>
  <c r="J45" i="2"/>
  <c r="M45" i="2" s="1"/>
  <c r="J46" i="2"/>
  <c r="M46" i="2" s="1"/>
  <c r="J47" i="2"/>
  <c r="M47" i="2" s="1"/>
  <c r="J48" i="2"/>
  <c r="M48" i="2" s="1"/>
  <c r="J49" i="2"/>
  <c r="M49" i="2" s="1"/>
  <c r="J50" i="2"/>
  <c r="M50" i="2" s="1"/>
  <c r="J51" i="2"/>
  <c r="M51" i="2" s="1"/>
  <c r="J52" i="2"/>
  <c r="M52" i="2" s="1"/>
  <c r="J53" i="2"/>
  <c r="M53" i="2" s="1"/>
  <c r="J54" i="2"/>
  <c r="M54" i="2" s="1"/>
  <c r="J55" i="2"/>
  <c r="M55" i="2" s="1"/>
  <c r="J56" i="2"/>
  <c r="M56" i="2" s="1"/>
  <c r="J57" i="2"/>
  <c r="M57" i="2" s="1"/>
  <c r="J58" i="2"/>
  <c r="M58" i="2" s="1"/>
  <c r="J59" i="2"/>
  <c r="M59" i="2" s="1"/>
  <c r="J60" i="2"/>
  <c r="M60" i="2" s="1"/>
  <c r="J61" i="2"/>
  <c r="M61" i="2" s="1"/>
  <c r="J62" i="2"/>
  <c r="M62" i="2" s="1"/>
  <c r="J63" i="2"/>
  <c r="M63" i="2" s="1"/>
  <c r="J12" i="2"/>
  <c r="M12" i="2" s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12" i="2"/>
  <c r="A41" i="3"/>
  <c r="G7" i="3"/>
  <c r="G6" i="3"/>
  <c r="D4" i="2"/>
  <c r="G5" i="3" s="1"/>
  <c r="D3" i="2"/>
  <c r="G4" i="3" s="1"/>
  <c r="M65" i="2" l="1"/>
  <c r="J65" i="2" s="1"/>
  <c r="Q15" i="3" s="1"/>
  <c r="Q38" i="3" s="1"/>
  <c r="AF60" i="1"/>
  <c r="T60" i="1"/>
  <c r="AW59" i="1"/>
  <c r="AY59" i="1" s="1"/>
  <c r="AF59" i="1"/>
  <c r="T59" i="1"/>
  <c r="AW58" i="1"/>
  <c r="AY58" i="1" s="1"/>
  <c r="AF58" i="1"/>
  <c r="T58" i="1"/>
  <c r="AW57" i="1"/>
  <c r="AY57" i="1" s="1"/>
  <c r="AF57" i="1"/>
  <c r="T57" i="1"/>
  <c r="AW56" i="1"/>
  <c r="AY56" i="1" s="1"/>
  <c r="AF56" i="1"/>
  <c r="T56" i="1"/>
  <c r="AW55" i="1"/>
  <c r="AY55" i="1" s="1"/>
  <c r="AF55" i="1"/>
  <c r="T55" i="1"/>
  <c r="AW54" i="1"/>
  <c r="AY54" i="1" s="1"/>
  <c r="AF54" i="1"/>
  <c r="T54" i="1"/>
  <c r="AW53" i="1"/>
  <c r="AY53" i="1" s="1"/>
  <c r="AF53" i="1"/>
  <c r="T53" i="1"/>
  <c r="AW52" i="1"/>
  <c r="AY52" i="1" s="1"/>
  <c r="AF52" i="1"/>
  <c r="T52" i="1"/>
  <c r="AW51" i="1"/>
  <c r="AY51" i="1" s="1"/>
  <c r="AF51" i="1"/>
  <c r="T51" i="1"/>
  <c r="AW50" i="1"/>
  <c r="AY50" i="1" s="1"/>
  <c r="AF50" i="1"/>
  <c r="T50" i="1"/>
  <c r="AW49" i="1"/>
  <c r="AY49" i="1" s="1"/>
  <c r="AF49" i="1"/>
  <c r="T49" i="1"/>
  <c r="AW48" i="1"/>
  <c r="AY48" i="1" s="1"/>
  <c r="AF48" i="1"/>
  <c r="T48" i="1"/>
  <c r="AW47" i="1"/>
  <c r="AY47" i="1" s="1"/>
  <c r="AF47" i="1"/>
  <c r="T47" i="1"/>
  <c r="AW46" i="1"/>
  <c r="AY46" i="1" s="1"/>
  <c r="AF46" i="1"/>
  <c r="T46" i="1"/>
  <c r="AW45" i="1"/>
  <c r="AY45" i="1" s="1"/>
  <c r="AF45" i="1"/>
  <c r="T45" i="1"/>
  <c r="AW44" i="1"/>
  <c r="AY44" i="1" s="1"/>
  <c r="AF44" i="1"/>
  <c r="T44" i="1"/>
  <c r="AW43" i="1"/>
  <c r="AY43" i="1" s="1"/>
  <c r="AF43" i="1"/>
  <c r="T43" i="1"/>
  <c r="AW42" i="1"/>
  <c r="AY42" i="1" s="1"/>
  <c r="AF42" i="1"/>
  <c r="T42" i="1"/>
  <c r="AW41" i="1"/>
  <c r="AY41" i="1" s="1"/>
  <c r="AF41" i="1"/>
  <c r="T41" i="1"/>
  <c r="AW40" i="1"/>
  <c r="AY40" i="1" s="1"/>
  <c r="AF40" i="1"/>
  <c r="T40" i="1"/>
  <c r="AW39" i="1"/>
  <c r="AY39" i="1" s="1"/>
  <c r="AF39" i="1"/>
  <c r="T39" i="1"/>
  <c r="AW38" i="1"/>
  <c r="AY38" i="1" s="1"/>
  <c r="AF38" i="1"/>
  <c r="T38" i="1"/>
  <c r="AW37" i="1"/>
  <c r="AY37" i="1" s="1"/>
  <c r="AF37" i="1"/>
  <c r="T37" i="1"/>
  <c r="AW36" i="1"/>
  <c r="AY36" i="1" s="1"/>
  <c r="AF36" i="1"/>
  <c r="T36" i="1"/>
  <c r="AW35" i="1"/>
  <c r="AY35" i="1" s="1"/>
  <c r="AF35" i="1"/>
  <c r="T35" i="1"/>
  <c r="AW34" i="1"/>
  <c r="AY34" i="1" s="1"/>
  <c r="AF34" i="1"/>
  <c r="AW33" i="1"/>
  <c r="AY33" i="1" s="1"/>
  <c r="AF33" i="1"/>
  <c r="T33" i="1"/>
  <c r="AW32" i="1"/>
  <c r="AY32" i="1" s="1"/>
  <c r="AF32" i="1"/>
  <c r="T32" i="1"/>
  <c r="AW31" i="1"/>
  <c r="AY31" i="1" s="1"/>
  <c r="AF31" i="1"/>
  <c r="T31" i="1"/>
  <c r="AW30" i="1"/>
  <c r="AY30" i="1" s="1"/>
  <c r="AF30" i="1"/>
  <c r="T30" i="1"/>
  <c r="AW29" i="1"/>
  <c r="AY29" i="1" s="1"/>
  <c r="AF29" i="1"/>
  <c r="T29" i="1"/>
  <c r="AW28" i="1"/>
  <c r="AY28" i="1" s="1"/>
  <c r="AF28" i="1"/>
  <c r="T28" i="1"/>
  <c r="AW27" i="1"/>
  <c r="AY27" i="1" s="1"/>
  <c r="AF27" i="1"/>
  <c r="T27" i="1"/>
  <c r="AW26" i="1"/>
  <c r="AY26" i="1" s="1"/>
  <c r="AF26" i="1"/>
  <c r="T26" i="1"/>
  <c r="AW25" i="1"/>
  <c r="AY25" i="1" s="1"/>
  <c r="AF25" i="1"/>
  <c r="T25" i="1"/>
  <c r="AW24" i="1"/>
  <c r="AY24" i="1" s="1"/>
  <c r="AF24" i="1"/>
  <c r="T24" i="1"/>
  <c r="AW23" i="1"/>
  <c r="AY23" i="1" s="1"/>
  <c r="AF23" i="1"/>
  <c r="T23" i="1"/>
  <c r="AW22" i="1"/>
  <c r="AY22" i="1" s="1"/>
  <c r="AF22" i="1"/>
  <c r="AW21" i="1"/>
  <c r="AY21" i="1" s="1"/>
  <c r="AF21" i="1"/>
  <c r="Z21" i="1"/>
  <c r="AW20" i="1"/>
  <c r="AY20" i="1" s="1"/>
  <c r="AF20" i="1"/>
  <c r="AW19" i="1"/>
  <c r="AY19" i="1" s="1"/>
  <c r="AP19" i="1"/>
  <c r="AN19" i="1"/>
  <c r="AL19" i="1"/>
  <c r="AH19" i="1"/>
  <c r="AF19" i="1"/>
  <c r="AD19" i="1"/>
  <c r="AB19" i="1"/>
  <c r="Z19" i="1"/>
  <c r="X19" i="1"/>
  <c r="R19" i="1"/>
  <c r="P19" i="1"/>
  <c r="N19" i="1"/>
  <c r="J19" i="1"/>
  <c r="H19" i="1"/>
  <c r="AW18" i="1"/>
  <c r="AY18" i="1" s="1"/>
  <c r="AF18" i="1"/>
  <c r="Z18" i="1"/>
  <c r="J18" i="1"/>
  <c r="H18" i="1"/>
  <c r="AW17" i="1"/>
  <c r="AY17" i="1" s="1"/>
  <c r="AF17" i="1"/>
  <c r="AW16" i="1"/>
  <c r="AY16" i="1" s="1"/>
  <c r="AF16" i="1"/>
  <c r="X16" i="1"/>
  <c r="AW15" i="1"/>
  <c r="AY15" i="1" s="1"/>
  <c r="AL15" i="1"/>
  <c r="AF15" i="1"/>
  <c r="P15" i="1"/>
  <c r="H15" i="1"/>
  <c r="AW14" i="1"/>
  <c r="AY14" i="1" s="1"/>
  <c r="AF14" i="1"/>
  <c r="AW13" i="1"/>
  <c r="AY13" i="1" s="1"/>
  <c r="AF13" i="1"/>
  <c r="X13" i="1"/>
  <c r="AW12" i="1"/>
  <c r="AY12" i="1" s="1"/>
  <c r="AF12" i="1"/>
  <c r="AW11" i="1"/>
  <c r="AY11" i="1" s="1"/>
  <c r="AF11" i="1"/>
  <c r="AW10" i="1"/>
  <c r="AY10" i="1" s="1"/>
  <c r="AF10" i="1"/>
  <c r="AW9" i="1"/>
  <c r="AY9" i="1" s="1"/>
  <c r="AF9" i="1"/>
  <c r="AW8" i="1"/>
  <c r="AY8" i="1" s="1"/>
  <c r="AF8" i="1"/>
  <c r="AY60" i="1" l="1"/>
</calcChain>
</file>

<file path=xl/sharedStrings.xml><?xml version="1.0" encoding="utf-8"?>
<sst xmlns="http://schemas.openxmlformats.org/spreadsheetml/2006/main" count="433" uniqueCount="224">
  <si>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</si>
  <si>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</si>
  <si>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</si>
  <si>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</si>
  <si>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</si>
  <si>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</si>
  <si>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</si>
  <si>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</si>
  <si>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</si>
  <si>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</si>
  <si>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</si>
  <si>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</si>
  <si>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</si>
  <si>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</si>
  <si>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</si>
  <si>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</si>
  <si>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</si>
  <si>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</si>
  <si>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</si>
  <si>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</si>
  <si>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</si>
  <si>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</si>
  <si>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</si>
  <si>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</si>
  <si>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</si>
  <si>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</si>
  <si>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</si>
  <si>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</si>
  <si>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</si>
  <si>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</si>
  <si>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</si>
  <si>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TOTAL 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</si>
  <si>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</si>
  <si>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</si>
  <si>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</si>
  <si>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</si>
  <si>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</si>
  <si>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</si>
  <si>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</si>
  <si>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</si>
  <si>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</si>
  <si>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</si>
  <si>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CRONICAS</t>
  </si>
  <si>
    <t>TOTAL CRONICAS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</si>
  <si>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</si>
  <si>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</si>
  <si>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</si>
  <si>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</si>
  <si>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</si>
  <si>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</si>
  <si>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</si>
  <si>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</si>
  <si>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EPIDEMIOLOGIA</t>
  </si>
  <si>
    <t>TOTAL EPIDEMIOLOGIA</t>
  </si>
  <si>
    <t>AREA 1</t>
  </si>
  <si>
    <t>TOTAL AREA 1</t>
  </si>
  <si>
    <t>CANTIDAD TOTAL</t>
  </si>
  <si>
    <t>PRECIO UNITARIO ESTIMADO</t>
  </si>
  <si>
    <t xml:space="preserve">IMPORTE TOTAL ESTIMADO </t>
  </si>
  <si>
    <t>ESPECIFICACION TECNICA</t>
  </si>
  <si>
    <t>UNIDAD</t>
  </si>
  <si>
    <t>2.5.1-9009.29</t>
  </si>
  <si>
    <t>QUIMICOS</t>
  </si>
  <si>
    <t>2.5.1</t>
  </si>
  <si>
    <t>2.5.1-9009.99</t>
  </si>
  <si>
    <t>ACIDOS; COMPUESTO QUIMICO: AC. SULFURICO, ESTADO: LIQUIDO, CALIDAD: PRO ANALISIS, CONCENTRACION/PUREZA: 98 %, PRESENTACION: ENVASE X 1 L</t>
  </si>
  <si>
    <t>2.5.1-9013.22</t>
  </si>
  <si>
    <t>2.5.1-9015.66</t>
  </si>
  <si>
    <t>BASES; COMPUESTO QUIMICO: HIDROXIDO DE POTASIO, ESTADO: SOLIDO, CALIDAD: FARMACOPEA, CONCENTRACION/PUREZA: 98 %, PRESENTACION: ENVASE X 1 Kg</t>
  </si>
  <si>
    <t>2.5.1-9015.52</t>
  </si>
  <si>
    <t>BASES; COMPUESTO QUIMICO: HIDROXIDO DE SODIO, ESTADO: SOLUCION, CALIDAD: PRO ANALISIS, CONCENTRACION/PUREZA: 0,1 N, PRESENTACION: ENVASE X 1 L</t>
  </si>
  <si>
    <t>HIDROCARBUROS; COMPUESTO QUIMICO: CICLOHEXANO, ESTADO: LIQUIDO, CONCENTRACION/PUREZA: 100 %, PRESENTACION: ENVASE X 1 L, CALIDAD: PRO ANALISIS</t>
  </si>
  <si>
    <t>2.5.1-9016.184</t>
  </si>
  <si>
    <t>QUÍMICOS</t>
  </si>
  <si>
    <t>MEDIOS DE CULTIVO Y SUPLEMENTO; NOMBRE DEL PRODUCTO: AGAR BAIRD PARKER, ESTADO: SOLIDO, PRESENTACION: ENVASE X 500 GR</t>
  </si>
  <si>
    <t>2.5.1-9016.774</t>
  </si>
  <si>
    <t>MEDIOS DE CULTIVO Y SUPLEMENTO; NOMBRE DEL PRODUCTO: AGAR BASE BACILLUS CEREUS, ESTADO: SOLIDO, PRESENTACION: ENVASE X 500 GR</t>
  </si>
  <si>
    <t>MEDIOS DE CULTIVO Y SUPLEMENTO; NOMBRE DEL PRODUCTO: AGAR BASE SANGRE, ESTADO: SOLIDO, PRESENTACION: ENVASE X 500 Ml</t>
  </si>
  <si>
    <t>2.5.1-9016.205</t>
  </si>
  <si>
    <t>MEDIOS DE CULTIVO Y SUPLEMENTO; NOMBRE DEL PRODUCTO: AGAR BILIS ESCULINA AZIDA, ESTADO: SOLIDO, PRESENTACION: ENVASE X 100 GR</t>
  </si>
  <si>
    <t>2.5.1-9016.78</t>
  </si>
  <si>
    <t>MEDIOS DE CULTIVO Y SUPLEMENTO; NOMBRE DEL PRODUCTO: AGAR CETRIMIDA, ESTADO: SOLIDO, PRESENTACION: ENVASE X 500 GR</t>
  </si>
  <si>
    <t>2.5.1-9016.646</t>
  </si>
  <si>
    <t>2.5.1-9016.244</t>
  </si>
  <si>
    <t>MEDIOS DE CULTIVO Y SUPLEMENTO; NOMBRE DEL PRODUCTO: AGAR MAC CONKEY SORBITOL, ESTADO: SOLIDO, PRESENTACION: ENVASE X 500 GR</t>
  </si>
  <si>
    <t>2.5.1-9016.241</t>
  </si>
  <si>
    <t>MEDIOS DE CULTIVO Y SUPLEMENTO; NOMBRE DEL PRODUCTO: AGAR MAC CONKEY, ESTADO: SOLIDO, PRESENTACION: ENVASE X 500 GR</t>
  </si>
  <si>
    <t>2.5.1-9016.952</t>
  </si>
  <si>
    <t>MEDIOS DE CULTIVO Y SUPLEMENTO; NOMBRE DEL PRODUCTO: AGAR MANITOL SALADO, ESTADO: SOLIDO, PRESENTACION: ENVASE X 100 GR</t>
  </si>
  <si>
    <t>2.5.1-9016.200</t>
  </si>
  <si>
    <t>MEDIOS DE CULTIVO Y SUPLEMENTO; NOMBRE DEL PRODUCTO: AGAR NUTRITIVO, ESTADO: SOLIDO, PRESENTACION: ENVASE X 500 GR</t>
  </si>
  <si>
    <t>2.5.1-9016.86</t>
  </si>
  <si>
    <t>MEDIOS DE CULTIVO Y SUPLEMENTO; NOMBRE DEL PRODUCTO: AGAR RECUENTO TOTAL, ESTADO: SOLIDO, PRESENTACION: ENVASE X 500 GR</t>
  </si>
  <si>
    <t>2.5.1-9016.264</t>
  </si>
  <si>
    <t>MEDIOS DE CULTIVO Y SUPLEMENTO; NOMBRE DEL PRODUCTO: AGAR SABOURAUD GLUCOSA, ESTADO: SOLIDO, PRESENTACION: ENVASE X 500 GR</t>
  </si>
  <si>
    <t>2.5.1-9016.392</t>
  </si>
  <si>
    <t>MEDIOS DE CULTIVO Y SUPLEMENTO; NOMBRE DEL PRODUCTO: AGAR SALMONELLA- SHIGELLA, ESTADO: SOLIDO, PRESENTACION: ENVASE X 500 GR</t>
  </si>
  <si>
    <t>2.5.1-9016.826</t>
  </si>
  <si>
    <t>MEDIOS DE CULTIVO Y SUPLEMENTO; NOMBRE DEL PRODUCTO: AGAR TIOGLICOLATO RESAZURINA, ESTADO: SOLIDO, PRESENTACION: ENVASE X 500 GR</t>
  </si>
  <si>
    <t>2.5.1-9016.874</t>
  </si>
  <si>
    <t>MEDIOS DE CULTIVO Y SUPLEMENTO; NOMBRE DEL PRODUCTO: AGAR VIOLETA ROJO BILIS GLUCOS, ESTADO: SOLIDO, PRESENTACION: ENVASE X 500 GR</t>
  </si>
  <si>
    <t>2.5.1-9016.366</t>
  </si>
  <si>
    <t>MEDIOS DE CULTIVO Y SUPLEMENTO; NOMBRE DEL PRODUCTO: AGAR VIOLETA ROJO NEUTRO BILIS, ESTADO: SOLIDO, PRESENTACION: ENVASE X 500 GR</t>
  </si>
  <si>
    <t>2.5.1-9016.71</t>
  </si>
  <si>
    <t>MEDIOS DE CULTIVO Y SUPLEMENTO; NOMBRE DEL PRODUCTO: AGAR XLT, ESTADO: SOLIDO, PRESENTACION: ENVASE X 500 GR</t>
  </si>
  <si>
    <t>2.5.1-9016.664</t>
  </si>
  <si>
    <t>MEDIOS DE CULTIVO Y SUPLEMENTO; NOMBRE DEL PRODUCTO: C.LAURIL SULFATO TRIPTOSA MODI, ESTADO: SOLIDO, PRESENTACION: ENVASE X 500 mGr</t>
  </si>
  <si>
    <t>2.5.1-9016.145</t>
  </si>
  <si>
    <t>MEDIOS DE CULTIVO Y SUPLEMENTO; NOMBRE DEL PRODUCTO: CALDO AZIDA GLUCOSA, ESTADO: SOLIDO, PRESENTACION: ENVASE X 500 GR</t>
  </si>
  <si>
    <t>2.5.1-9016.373</t>
  </si>
  <si>
    <t>MEDIOS DE CULTIVO Y SUPLEMENTO; NOMBRE DEL PRODUCTO: CALDO ESCHERICHIA COLI, ESTADO: SOLIDO, PRESENTACION: ENVASE X 500 GR</t>
  </si>
  <si>
    <t>2.5.1-9016.503</t>
  </si>
  <si>
    <t>MEDIOS DE CULTIVO Y SUPLEMENTO; NOMBRE DEL PRODUCTO: CALDO GIOLITTI CANTONI, ESTADO: SOLIDO, PRESENTACION: ENVASE X 500 GR</t>
  </si>
  <si>
    <t>2.5.1-9016.54</t>
  </si>
  <si>
    <t>MEDIOS DE CULTIVO Y SUPLEMENTO; NOMBRE DEL PRODUCTO: CALDO SELENITO VERDE BRILLANTE, ESTADO: SOLIDO, PRESENTACION: ENVASE X 500 GR</t>
  </si>
  <si>
    <t>2.5.1-9016.46</t>
  </si>
  <si>
    <t xml:space="preserve">MEDIOS DE CULTIVO Y SUPLEMENTO; NOMBRE DEL PRODUCTO: CALDO TETRATIONATO, ESTADO: SOLIDO, PRESENTACION: ENVASE X 500 GR            </t>
  </si>
  <si>
    <t>2.5.1-8976.27</t>
  </si>
  <si>
    <t>MEDIOS DE CULTIVO Y SUPLEMENTO; NOMBRE DEL PRODUCTO: GENERADORES DE ANAEROBIOSIS, ESTADO: SOLIDO, PRESENTACION: ENVASE X 10 UN</t>
  </si>
  <si>
    <t>2.5.1-9016.848</t>
  </si>
  <si>
    <t>MEDIOS DE CULTIVO Y SUPLEMENTO; NOMBRE DEL PRODUCTO: NOVOBIOCINA MONOSODICA, ESTADO: SOLIDO, PRESENTACION: ENVASE X 10 GR</t>
  </si>
  <si>
    <t>2.5.1-9016.640</t>
  </si>
  <si>
    <t xml:space="preserve">MEDIOS DE CULTIVO Y SUPLEMENTO; NOMBRE DEL PRODUCTO: PEPTONA ACIDA DE CASEINA, ESTADO: SOLIDO, PRESENTACION: ENVASE X 100 GR            </t>
  </si>
  <si>
    <t>2.5.1-9016.410</t>
  </si>
  <si>
    <t>MEDIOS DE CULTIVO Y SUPLEMENTO; NOMBRE DEL PRODUCTO: SUP.EMULSION YEMA DE HUEVO, ESTADO: SOLUCION, PRESENTACION: ENVASE X 100 mL</t>
  </si>
  <si>
    <t>2.5.1-9016.709</t>
  </si>
  <si>
    <t>MEDIOS DE CULTIVO Y SUPLEMENTO; NOMBRE DEL PRODUCTO: TIOGLICOLATO USP MEDIO, ESTADO: SOLIDO, PRESENTACION: ENVASE X 500 GR</t>
  </si>
  <si>
    <t>2.5.1-9052.2018</t>
  </si>
  <si>
    <t>2.5.1-9052.1090</t>
  </si>
  <si>
    <t>REACTIVOS P/LAB. TEC. MANUAL ; NOMBRE: DET BACT AEROBIC/HONGOS Y LEV., USO: MICROBIOLOGIA, PRESENTACION: ENVASE X 60 DETERM.</t>
  </si>
  <si>
    <t>2.5.1-9052.305</t>
  </si>
  <si>
    <t>REACTIVOS P/LAB. TEC. MANUAL ; NOMBRE: DET. DE CLORO LIBRE, USO: ANALISIS DE AGUA, PRESENTACION: ENVASE X 50 DETERM.</t>
  </si>
  <si>
    <t>2.5.1-9052.1171</t>
  </si>
  <si>
    <t>REACTIVOS P/LAB. TEC. MANUAL ; NOMBRE: DETERMINACION DE AMONIO, USO: ANALISIS DE AGUA, PRESENTACION: ENVASE X 30 DETERM.</t>
  </si>
  <si>
    <t>2.5.1-9052.1172</t>
  </si>
  <si>
    <t>REACTIVOS P/LAB. TEC. MANUAL ; NOMBRE: DETERMINACION DE CLORURO, USO: ANALISIS DE AGUA, PRESENTACION: ENVASE X 30 DETERM.</t>
  </si>
  <si>
    <t>2.5.1-9052.1173</t>
  </si>
  <si>
    <t>REACTIVOS P/LAB. TEC. MANUAL ; NOMBRE: DETERMINACION DE CROMO, USO: ANALISIS DE AGUA, PRESENTACION: ENVASE X 30 DETERM.</t>
  </si>
  <si>
    <t>2.5.1-9052.1176</t>
  </si>
  <si>
    <t>REACTIVOS P/LAB. TEC. MANUAL ; NOMBRE: DETERMINACION DE DETERGENTES, USO: ANALISIS DE AGUA, PRESENTACION: ENVASE X 30 DETERM.</t>
  </si>
  <si>
    <t>2.5.1-9052.1177</t>
  </si>
  <si>
    <t>REACTIVOS P/LAB. TEC. MANUAL ; NOMBRE: DETERMINACION DE DUREZA, USO: ANALISIS DE AGUA, PRESENTACION: ENVASE X 30 DETERM.</t>
  </si>
  <si>
    <t>2.5.1-9052.1187</t>
  </si>
  <si>
    <t>REACTIVOS P/LAB. TEC. MANUAL ; NOMBRE: DETERMINACION DE FENOLES, USO: ANALISIS DE AGUA, PRESENTACION: ENVASE X 30 DETERM.</t>
  </si>
  <si>
    <t>2.5.1-9052.1188</t>
  </si>
  <si>
    <t>REACTIVOS P/LAB. TEC. MANUAL ; NOMBRE: DETERMINACION DE FOSFATO, USO: ANALISIS DE AGUA, PRESENTACION: ENVASE X 30 DETERM.</t>
  </si>
  <si>
    <t>2.5.1-9052.1178</t>
  </si>
  <si>
    <t>REACTIVOS P/LAB. TEC. MANUAL ; NOMBRE: DETERMINACION DE HIERRO, USO: ANALISIS DE AGUA, PRESENTACION: ENVASE X 30 DETERM.</t>
  </si>
  <si>
    <t>2.5.1-9052.1181</t>
  </si>
  <si>
    <t>REACTIVOS P/LAB. TEC. MANUAL ; NOMBRE: DETERMINACION DE NITRATOS, USO: ANALISIS DE AGUA, PRESENTACION: ENVASE X 30 DETERM.</t>
  </si>
  <si>
    <t>2.5.1-9052.1182</t>
  </si>
  <si>
    <t>REACTIVOS P/LAB. TEC. MANUAL ; NOMBRE: DETERMINACION DE NITRITOS, USO: ANALISIS DE AGUA, PRESENTACION: ENVASE X 30 DETERM.</t>
  </si>
  <si>
    <t>2.5.1-9052.1189</t>
  </si>
  <si>
    <t>REACTIVOS P/LAB. TEC. MANUAL ; NOMBRE: DETERMINACION DE SILICE, USO: ANALISIS DE AGUA, PRESENTACION: ENVASE X 30 DETERM.</t>
  </si>
  <si>
    <t>2.5.1-9052.1190</t>
  </si>
  <si>
    <t>REACTIVOS P/LAB. TEC. MANUAL ; NOMBRE: DETERMINACION DE SULFATO, USO: ANALISIS DE AGUA, PRESENTACION: ENVASE X 30 DETERM.</t>
  </si>
  <si>
    <t>2.5.1-9052.2022</t>
  </si>
  <si>
    <t>REACTIVOS P/LAB. TEC. MANUAL ; NOMBRE: KIT DETERM DE FLUOR, USO: ANALISIS DE AGUA, PRESENTACION: ENVASE X 150 UN</t>
  </si>
  <si>
    <t>2.5.1-9004.912</t>
  </si>
  <si>
    <t xml:space="preserve">SALES; COMPUESTO QUIMICO: NITRATO DE PLATA, ESTADO: SOLUCION, CALIDAD: PRO ANALISIS, CONCENTRACION/PUREZA: 0,1 N, PRESENTACION: ENVASE X 1 L, GRADO HIDRATACION: SOLUCION  </t>
  </si>
  <si>
    <t>2.5.1-9004.334</t>
  </si>
  <si>
    <t xml:space="preserve">SALES; COMPUESTO QUIMICO: TELURITO DE POTASIO, ESTADO: SOLIDO, CALIDAD: PRO ANALISIS, CONCENTRACION/PUREZA: 99 %, PRESENTACION: ENVASE X 25 GR, GRADO HIDRATACION: ANHIDRO            </t>
  </si>
  <si>
    <t>TOTAL RUBRO QUIMICOS PARA AGUA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</si>
  <si>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</si>
  <si>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</si>
  <si>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</si>
  <si>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</si>
  <si>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</si>
  <si>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</si>
  <si>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</si>
  <si>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</si>
  <si>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</si>
  <si>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</si>
  <si>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</si>
  <si>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</si>
  <si>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</si>
  <si>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</si>
  <si>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</si>
  <si>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</si>
  <si>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</si>
  <si>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</si>
  <si>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</si>
  <si>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</si>
  <si>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</si>
  <si>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</si>
  <si>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</si>
  <si>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</si>
  <si>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</si>
  <si>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</si>
  <si>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</si>
  <si>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</si>
  <si>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</si>
  <si>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</si>
  <si>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</si>
  <si>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</si>
  <si>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</si>
  <si>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</si>
  <si>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</si>
  <si>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</si>
  <si>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DIRECCION PROVINCIAL DE SALUD Y MEDIO AMBIENTE</t>
  </si>
  <si>
    <t>1° TRIMESTRE 2022</t>
  </si>
  <si>
    <r>
      <t>AUTORIZACIÓN</t>
    </r>
    <r>
      <rPr>
        <b/>
        <sz val="10"/>
        <rFont val="Arial"/>
        <family val="2"/>
      </rPr>
      <t>:</t>
    </r>
  </si>
  <si>
    <t>ALDEHIDOS Y CETONAS; COMPUESTO QUIMICO: ACETONA, ESTADO: LIQUIDO, CALIDAD: PRO ANALISIS, CONCENTRACION/PUREZA: 99 %, PRESENTACION: ENVASE X 1 L</t>
  </si>
  <si>
    <t>REACTIVOS P/LAB. TEC. MANUAL ; NOMBRE: KIT DETERM DE ALCALINIDAD, USO: ANALISIS DE AGUA, PRESENTACION: ENVASE X 100  UN</t>
  </si>
  <si>
    <t>NO</t>
  </si>
  <si>
    <t>Costo total estimado: UN MILLON CIENTO DIECISIETE MIL SEISCIENTOS SETENTA Y NUEVE CON 48/100.-</t>
  </si>
  <si>
    <t>1.1</t>
  </si>
  <si>
    <t>COMPUESTOS QUIMICOS</t>
  </si>
  <si>
    <t>TOTAL DE PESOS: UN MILLON CIENTO DIECISIETE MIL SEISCIENTOS SETENTA Y NUEVE CON 48/100.-</t>
  </si>
  <si>
    <t>DETALLE TECNICO Y ESPECIFICACIONES</t>
  </si>
  <si>
    <t>Plazos de entrega</t>
  </si>
  <si>
    <t>Lugar de Entrega:</t>
  </si>
  <si>
    <t>Calidad Minima esperada</t>
  </si>
  <si>
    <t>Mantenimiento</t>
  </si>
  <si>
    <t>cuarenta y cinco (45) días</t>
  </si>
  <si>
    <t>Avenida Enrique Ocampo N° 257, Capital Catamarca. - en el horario de 8:00hs a 12:00hs de lunes a viernes</t>
  </si>
  <si>
    <t xml:space="preserve"> 01/2022</t>
  </si>
  <si>
    <t>ADQUISICION DEL RUBRO REACTIVOS PARA AGUA</t>
  </si>
  <si>
    <t>2.5.1-9016.181</t>
  </si>
  <si>
    <t>2.5.1-9016.368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</si>
  <si>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</si>
  <si>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veinte  (20) dias habiles</t>
  </si>
  <si>
    <t>MEDIOS DE CULTIVO Y SUPLEMENTO; NOMBRE DEL PRODUCTO: AGAR EMB, ESTADO: SOLIDO, PRESENTACION: ENVASE X 100 GR</t>
  </si>
  <si>
    <t>ACIDOS; COMPUESTO QUIMICO: AC. CLORHIDRICO, ESTADO: SOLUCION, CALIDAD: PRO ANALISIS, CONCENTRACION/PUREZA: 37 %, PRESENTACION: ENVASE X 1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</si>
</sst>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theme="0"/>
      <name val="Calibri"/>
      <family val="2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9" fillId="0" borderId="0"/>
    <xf numFmtId="164" fontId="9" fillId="0" borderId="0" applyBorder="0" applyAlignment="0" applyProtection="0"/>
    <xf numFmtId="0" fontId="1" fillId="0" borderId="0"/>
    <xf numFmtId="0" fontId="9" fillId="0" borderId="0"/>
    <xf numFmtId="0" fontId="9" fillId="0" borderId="0"/>
    <xf numFmtId="169" fontId="20" fillId="0" borderId="0" applyBorder="0" applyProtection="0"/>
    <xf numFmtId="0" fontId="23" fillId="0" borderId="62" applyProtection="0"/>
    <xf numFmtId="0" fontId="23" fillId="0" borderId="62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Border="0" applyAlignment="0" applyProtection="0"/>
    <xf numFmtId="171" fontId="9" fillId="0" borderId="0" applyBorder="0" applyProtection="0"/>
    <xf numFmtId="171" fontId="9" fillId="0" borderId="0" applyBorder="0" applyProtection="0"/>
    <xf numFmtId="171" fontId="9" fillId="0" borderId="0" applyBorder="0" applyProtection="0"/>
    <xf numFmtId="0" fontId="24" fillId="4" borderId="0" applyBorder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54">
    <xf numFmtId="0" fontId="0" fillId="0" borderId="0" xfId="0"/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 wrapText="1"/>
    </xf>
    <xf numFmtId="3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4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 wrapText="1"/>
    </xf>
    <xf numFmtId="166" fontId="7" fillId="0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Fill="1" applyBorder="1" applyAlignment="1">
      <alignment horizontal="center" vertical="center"/>
    </xf>
    <xf numFmtId="165" fontId="7" fillId="0" borderId="3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 wrapText="1"/>
    </xf>
    <xf numFmtId="3" fontId="7" fillId="0" borderId="7" xfId="2" applyNumberFormat="1" applyFont="1" applyBorder="1" applyAlignment="1">
      <alignment horizontal="center" vertical="center" wrapText="1"/>
    </xf>
    <xf numFmtId="3" fontId="7" fillId="0" borderId="6" xfId="2" applyNumberFormat="1" applyFont="1" applyBorder="1" applyAlignment="1">
      <alignment horizontal="center" vertical="center" wrapText="1"/>
    </xf>
    <xf numFmtId="166" fontId="10" fillId="2" borderId="10" xfId="2" applyNumberFormat="1" applyFont="1" applyFill="1" applyBorder="1" applyAlignment="1">
      <alignment horizontal="center" vertical="center" wrapText="1"/>
    </xf>
    <xf numFmtId="165" fontId="7" fillId="0" borderId="3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3" fontId="7" fillId="0" borderId="3" xfId="2" applyNumberFormat="1" applyFont="1" applyBorder="1" applyAlignment="1">
      <alignment horizontal="center" vertical="center" wrapText="1"/>
    </xf>
    <xf numFmtId="166" fontId="7" fillId="2" borderId="3" xfId="2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0" fontId="7" fillId="0" borderId="1" xfId="0" applyFont="1" applyBorder="1"/>
    <xf numFmtId="0" fontId="7" fillId="0" borderId="0" xfId="0" applyFont="1" applyFill="1"/>
    <xf numFmtId="0" fontId="10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165" fontId="7" fillId="2" borderId="3" xfId="0" applyNumberFormat="1" applyFont="1" applyFill="1" applyBorder="1" applyAlignment="1">
      <alignment horizontal="center" vertical="center" wrapText="1"/>
    </xf>
    <xf numFmtId="0" fontId="7" fillId="2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3" fontId="10" fillId="0" borderId="9" xfId="0" applyNumberFormat="1" applyFont="1" applyBorder="1" applyAlignment="1">
      <alignment horizontal="center" vertical="center"/>
    </xf>
    <xf numFmtId="166" fontId="10" fillId="0" borderId="9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166" fontId="7" fillId="0" borderId="3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0" xfId="0" applyFont="1"/>
    <xf numFmtId="165" fontId="7" fillId="0" borderId="1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/>
    <xf numFmtId="0" fontId="10" fillId="0" borderId="0" xfId="0" applyFont="1"/>
    <xf numFmtId="0" fontId="7" fillId="0" borderId="1" xfId="0" applyFont="1" applyBorder="1" applyAlignment="1">
      <alignment wrapText="1"/>
    </xf>
    <xf numFmtId="0" fontId="7" fillId="2" borderId="1" xfId="4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4" applyFont="1" applyFill="1" applyBorder="1" applyAlignment="1">
      <alignment horizontal="left" vertical="center" wrapText="1"/>
    </xf>
    <xf numFmtId="0" fontId="7" fillId="0" borderId="1" xfId="5" applyFont="1" applyFill="1" applyBorder="1" applyAlignment="1">
      <alignment horizontal="center" vertical="center" wrapText="1"/>
    </xf>
    <xf numFmtId="167" fontId="7" fillId="0" borderId="1" xfId="2" applyNumberFormat="1" applyFont="1" applyFill="1" applyBorder="1" applyAlignment="1">
      <alignment horizontal="center" vertical="center" wrapText="1"/>
    </xf>
    <xf numFmtId="3" fontId="7" fillId="0" borderId="1" xfId="4" applyNumberFormat="1" applyFont="1" applyFill="1" applyBorder="1" applyAlignment="1">
      <alignment horizontal="center" vertical="center"/>
    </xf>
    <xf numFmtId="3" fontId="7" fillId="0" borderId="1" xfId="5" applyNumberFormat="1" applyFont="1" applyFill="1" applyBorder="1" applyAlignment="1">
      <alignment horizontal="center" vertical="center" wrapText="1"/>
    </xf>
    <xf numFmtId="0" fontId="7" fillId="0" borderId="1" xfId="4" applyFont="1" applyFill="1" applyBorder="1" applyAlignment="1">
      <alignment horizontal="left" vertical="center" wrapText="1"/>
    </xf>
    <xf numFmtId="0" fontId="7" fillId="0" borderId="1" xfId="0" applyFont="1" applyFill="1" applyBorder="1"/>
    <xf numFmtId="0" fontId="7" fillId="0" borderId="1" xfId="4" applyFont="1" applyFill="1" applyBorder="1" applyAlignment="1">
      <alignment horizontal="center" vertical="center" wrapText="1"/>
    </xf>
    <xf numFmtId="3" fontId="7" fillId="0" borderId="1" xfId="5" applyNumberFormat="1" applyFont="1" applyFill="1" applyBorder="1" applyAlignment="1">
      <alignment horizontal="center" vertical="center"/>
    </xf>
    <xf numFmtId="166" fontId="7" fillId="2" borderId="1" xfId="2" applyNumberFormat="1" applyFont="1" applyFill="1" applyBorder="1" applyAlignment="1">
      <alignment horizontal="right" vertical="center" wrapText="1"/>
    </xf>
    <xf numFmtId="0" fontId="7" fillId="0" borderId="1" xfId="2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/>
    </xf>
    <xf numFmtId="166" fontId="7" fillId="0" borderId="1" xfId="0" applyNumberFormat="1" applyFont="1" applyBorder="1"/>
    <xf numFmtId="0" fontId="7" fillId="0" borderId="3" xfId="0" applyNumberFormat="1" applyFont="1" applyBorder="1"/>
    <xf numFmtId="0" fontId="7" fillId="0" borderId="3" xfId="0" applyFont="1" applyBorder="1"/>
    <xf numFmtId="165" fontId="7" fillId="0" borderId="2" xfId="0" applyNumberFormat="1" applyFont="1" applyFill="1" applyBorder="1" applyAlignment="1">
      <alignment horizontal="center" vertical="center" wrapText="1"/>
    </xf>
    <xf numFmtId="0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6" fontId="8" fillId="0" borderId="2" xfId="0" applyNumberFormat="1" applyFont="1" applyBorder="1" applyAlignment="1">
      <alignment vertical="center"/>
    </xf>
    <xf numFmtId="166" fontId="7" fillId="2" borderId="5" xfId="2" applyNumberFormat="1" applyFont="1" applyFill="1" applyBorder="1" applyAlignment="1">
      <alignment horizontal="center" vertical="center" wrapText="1"/>
    </xf>
    <xf numFmtId="165" fontId="10" fillId="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4" fillId="0" borderId="23" xfId="0" applyFont="1" applyBorder="1" applyAlignment="1">
      <alignment horizontal="left"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 wrapText="1" indent="1"/>
    </xf>
    <xf numFmtId="0" fontId="13" fillId="0" borderId="17" xfId="0" applyFont="1" applyBorder="1" applyAlignment="1">
      <alignment horizontal="left" vertical="center" wrapText="1" indent="1"/>
    </xf>
    <xf numFmtId="0" fontId="16" fillId="0" borderId="1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3" fontId="18" fillId="0" borderId="34" xfId="0" applyNumberFormat="1" applyFont="1" applyBorder="1" applyAlignment="1"/>
    <xf numFmtId="168" fontId="0" fillId="0" borderId="34" xfId="0" applyNumberFormat="1" applyBorder="1" applyAlignment="1">
      <alignment horizontal="left"/>
    </xf>
    <xf numFmtId="0" fontId="0" fillId="0" borderId="34" xfId="0" applyBorder="1"/>
    <xf numFmtId="0" fontId="0" fillId="0" borderId="23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7" xfId="0" applyBorder="1"/>
    <xf numFmtId="0" fontId="0" fillId="0" borderId="15" xfId="0" applyBorder="1"/>
    <xf numFmtId="0" fontId="0" fillId="0" borderId="16" xfId="0" applyBorder="1"/>
    <xf numFmtId="0" fontId="0" fillId="0" borderId="16" xfId="0" applyBorder="1" applyAlignment="1">
      <alignment horizontal="left"/>
    </xf>
    <xf numFmtId="0" fontId="0" fillId="0" borderId="40" xfId="0" applyBorder="1"/>
    <xf numFmtId="0" fontId="22" fillId="0" borderId="43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2" fillId="0" borderId="44" xfId="0" applyFont="1" applyBorder="1" applyAlignment="1">
      <alignment horizontal="left" vertical="center"/>
    </xf>
    <xf numFmtId="0" fontId="22" fillId="0" borderId="45" xfId="0" applyFont="1" applyBorder="1" applyAlignment="1">
      <alignment horizontal="center" vertical="center"/>
    </xf>
    <xf numFmtId="0" fontId="22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170" fontId="0" fillId="0" borderId="50" xfId="7" applyNumberFormat="1" applyFont="1" applyBorder="1" applyAlignment="1" applyProtection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170" fontId="0" fillId="0" borderId="55" xfId="7" applyNumberFormat="1" applyFont="1" applyBorder="1" applyAlignment="1" applyProtection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21" fillId="0" borderId="52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1" fillId="0" borderId="53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70" fontId="0" fillId="0" borderId="59" xfId="7" applyNumberFormat="1" applyFont="1" applyBorder="1" applyAlignment="1" applyProtection="1">
      <alignment horizontal="center" vertical="center"/>
    </xf>
    <xf numFmtId="170" fontId="22" fillId="0" borderId="61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27" xfId="0" applyFont="1" applyBorder="1" applyAlignment="1">
      <alignment horizontal="center" vertical="center" wrapText="1"/>
    </xf>
    <xf numFmtId="3" fontId="16" fillId="0" borderId="2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16" fillId="0" borderId="29" xfId="0" applyFont="1" applyBorder="1" applyAlignment="1">
      <alignment horizontal="center" vertical="center" wrapText="1"/>
    </xf>
    <xf numFmtId="3" fontId="16" fillId="0" borderId="30" xfId="0" applyNumberFormat="1" applyFont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wrapText="1"/>
    </xf>
    <xf numFmtId="3" fontId="16" fillId="0" borderId="64" xfId="0" applyNumberFormat="1" applyFont="1" applyBorder="1" applyAlignment="1">
      <alignment horizontal="center" vertical="center" wrapText="1"/>
    </xf>
    <xf numFmtId="166" fontId="12" fillId="0" borderId="13" xfId="0" applyNumberFormat="1" applyFont="1" applyBorder="1" applyAlignment="1">
      <alignment horizontal="right" vertical="center"/>
    </xf>
    <xf numFmtId="166" fontId="12" fillId="0" borderId="0" xfId="0" applyNumberFormat="1" applyFont="1" applyBorder="1" applyAlignment="1">
      <alignment vertical="center"/>
    </xf>
    <xf numFmtId="166" fontId="13" fillId="0" borderId="0" xfId="0" applyNumberFormat="1" applyFont="1" applyBorder="1" applyAlignment="1">
      <alignment horizontal="left" vertical="center" wrapText="1" indent="1"/>
    </xf>
    <xf numFmtId="166" fontId="16" fillId="0" borderId="11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166" fontId="16" fillId="0" borderId="2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5" fillId="0" borderId="0" xfId="0" applyNumberFormat="1" applyFont="1"/>
    <xf numFmtId="166" fontId="31" fillId="0" borderId="0" xfId="0" applyNumberFormat="1" applyFont="1" applyAlignment="1">
      <alignment vertical="center" wrapText="1"/>
    </xf>
    <xf numFmtId="166" fontId="31" fillId="0" borderId="0" xfId="0" applyNumberFormat="1" applyFont="1" applyAlignment="1">
      <alignment wrapText="1"/>
    </xf>
    <xf numFmtId="0" fontId="32" fillId="0" borderId="12" xfId="5" applyFont="1" applyFill="1" applyBorder="1" applyAlignment="1">
      <alignment horizontal="center" vertical="center" wrapText="1"/>
    </xf>
    <xf numFmtId="0" fontId="3" fillId="0" borderId="34" xfId="5" applyFont="1" applyFill="1" applyBorder="1" applyAlignment="1">
      <alignment vertical="center" wrapText="1"/>
    </xf>
    <xf numFmtId="0" fontId="32" fillId="0" borderId="23" xfId="5" applyFont="1" applyFill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2" fillId="0" borderId="23" xfId="5" applyFont="1" applyFill="1" applyBorder="1" applyAlignment="1">
      <alignment horizont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center" vertical="center"/>
    </xf>
    <xf numFmtId="0" fontId="3" fillId="0" borderId="0" xfId="5" applyFont="1" applyFill="1" applyBorder="1" applyAlignment="1">
      <alignment vertical="center"/>
    </xf>
    <xf numFmtId="0" fontId="32" fillId="0" borderId="23" xfId="5" applyFont="1" applyBorder="1" applyAlignment="1">
      <alignment horizontal="center" wrapText="1"/>
    </xf>
    <xf numFmtId="0" fontId="3" fillId="0" borderId="0" xfId="5" applyFont="1" applyBorder="1" applyAlignment="1">
      <alignment horizontal="center" vertical="center"/>
    </xf>
    <xf numFmtId="0" fontId="32" fillId="0" borderId="67" xfId="5" applyFont="1" applyBorder="1" applyAlignment="1">
      <alignment horizontal="center" wrapText="1"/>
    </xf>
    <xf numFmtId="0" fontId="3" fillId="0" borderId="68" xfId="5" applyFont="1" applyBorder="1" applyAlignment="1">
      <alignment horizontal="left" vertical="center"/>
    </xf>
    <xf numFmtId="0" fontId="3" fillId="0" borderId="0" xfId="5" applyFont="1" applyFill="1" applyBorder="1" applyAlignment="1">
      <alignment horizontal="center"/>
    </xf>
    <xf numFmtId="0" fontId="3" fillId="0" borderId="0" xfId="5" applyFont="1" applyBorder="1" applyAlignment="1">
      <alignment horizontal="center"/>
    </xf>
    <xf numFmtId="0" fontId="3" fillId="0" borderId="17" xfId="5" applyFont="1" applyFill="1" applyBorder="1" applyAlignment="1">
      <alignment horizontal="left" vertical="center" wrapText="1"/>
    </xf>
    <xf numFmtId="0" fontId="3" fillId="0" borderId="68" xfId="5" applyFont="1" applyBorder="1" applyAlignment="1">
      <alignment horizontal="center"/>
    </xf>
    <xf numFmtId="0" fontId="3" fillId="0" borderId="69" xfId="5" applyFont="1" applyFill="1" applyBorder="1" applyAlignment="1">
      <alignment vertical="center" wrapText="1"/>
    </xf>
    <xf numFmtId="0" fontId="3" fillId="0" borderId="17" xfId="5" applyFont="1" applyFill="1" applyBorder="1" applyAlignment="1">
      <alignment vertical="center"/>
    </xf>
    <xf numFmtId="0" fontId="3" fillId="0" borderId="0" xfId="5" applyFont="1" applyFill="1" applyBorder="1" applyAlignment="1">
      <alignment vertical="center" wrapText="1"/>
    </xf>
    <xf numFmtId="0" fontId="0" fillId="0" borderId="0" xfId="0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3" fillId="0" borderId="17" xfId="5" applyFont="1" applyFill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 wrapText="1"/>
    </xf>
    <xf numFmtId="0" fontId="3" fillId="0" borderId="70" xfId="5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vertical="center"/>
    </xf>
    <xf numFmtId="0" fontId="7" fillId="0" borderId="1" xfId="2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/>
    </xf>
    <xf numFmtId="0" fontId="16" fillId="0" borderId="65" xfId="0" applyFont="1" applyBorder="1" applyAlignment="1">
      <alignment horizontal="left" vertical="center" wrapText="1"/>
    </xf>
    <xf numFmtId="0" fontId="16" fillId="0" borderId="66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4" fillId="0" borderId="20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left" vertical="center" wrapText="1" indent="1"/>
    </xf>
    <xf numFmtId="0" fontId="14" fillId="0" borderId="18" xfId="0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 wrapText="1" indent="1"/>
    </xf>
    <xf numFmtId="0" fontId="15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left" vertical="center" wrapText="1"/>
    </xf>
    <xf numFmtId="166" fontId="15" fillId="0" borderId="25" xfId="0" applyNumberFormat="1" applyFont="1" applyBorder="1" applyAlignment="1">
      <alignment horizontal="center" vertical="center" wrapText="1"/>
    </xf>
    <xf numFmtId="0" fontId="17" fillId="0" borderId="19" xfId="0" applyFont="1" applyBorder="1" applyAlignment="1">
      <alignment horizontal="left" vertical="center" wrapText="1" indent="1"/>
    </xf>
    <xf numFmtId="167" fontId="14" fillId="0" borderId="19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21" fillId="0" borderId="38" xfId="0" applyFont="1" applyBorder="1" applyAlignment="1">
      <alignment horizontal="left" vertical="center"/>
    </xf>
    <xf numFmtId="0" fontId="0" fillId="0" borderId="32" xfId="0" applyFont="1" applyBorder="1" applyAlignment="1">
      <alignment horizontal="center"/>
    </xf>
    <xf numFmtId="3" fontId="18" fillId="0" borderId="33" xfId="0" applyNumberFormat="1" applyFont="1" applyBorder="1" applyAlignment="1">
      <alignment horizontal="center"/>
    </xf>
    <xf numFmtId="0" fontId="19" fillId="0" borderId="14" xfId="0" applyFont="1" applyBorder="1" applyAlignment="1">
      <alignment horizontal="center" vertical="center" wrapText="1"/>
    </xf>
    <xf numFmtId="0" fontId="9" fillId="0" borderId="35" xfId="0" applyFont="1" applyBorder="1" applyAlignment="1">
      <alignment vertical="center"/>
    </xf>
    <xf numFmtId="0" fontId="27" fillId="0" borderId="36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 wrapText="1"/>
    </xf>
    <xf numFmtId="0" fontId="29" fillId="0" borderId="37" xfId="0" applyFont="1" applyBorder="1" applyAlignment="1">
      <alignment horizontal="left" vertical="center"/>
    </xf>
    <xf numFmtId="0" fontId="0" fillId="0" borderId="54" xfId="0" applyFont="1" applyBorder="1" applyAlignment="1">
      <alignment horizontal="center" vertical="center"/>
    </xf>
    <xf numFmtId="49" fontId="21" fillId="0" borderId="39" xfId="0" applyNumberFormat="1" applyFont="1" applyBorder="1" applyAlignment="1">
      <alignment horizontal="justify" vertical="center" wrapText="1"/>
    </xf>
    <xf numFmtId="0" fontId="22" fillId="0" borderId="38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/>
    </xf>
    <xf numFmtId="0" fontId="0" fillId="0" borderId="48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54" xfId="0" applyBorder="1" applyAlignment="1">
      <alignment horizontal="center"/>
    </xf>
    <xf numFmtId="0" fontId="18" fillId="0" borderId="19" xfId="0" applyFont="1" applyBorder="1" applyAlignment="1">
      <alignment vertical="center" wrapText="1"/>
    </xf>
    <xf numFmtId="0" fontId="21" fillId="0" borderId="42" xfId="0" applyFont="1" applyBorder="1" applyAlignment="1">
      <alignment vertical="center" wrapText="1"/>
    </xf>
    <xf numFmtId="0" fontId="21" fillId="0" borderId="31" xfId="0" applyFont="1" applyBorder="1" applyAlignment="1">
      <alignment horizontal="left" vertical="center" wrapText="1" indent="1"/>
    </xf>
    <xf numFmtId="0" fontId="0" fillId="0" borderId="54" xfId="0" applyBorder="1" applyAlignment="1">
      <alignment horizontal="left" vertical="center"/>
    </xf>
    <xf numFmtId="0" fontId="0" fillId="0" borderId="57" xfId="0" applyBorder="1" applyAlignment="1">
      <alignment horizontal="left" vertical="center"/>
    </xf>
    <xf numFmtId="0" fontId="18" fillId="0" borderId="60" xfId="0" applyFont="1" applyBorder="1" applyAlignment="1">
      <alignment horizontal="left" vertical="center" wrapText="1"/>
    </xf>
    <xf numFmtId="0" fontId="0" fillId="0" borderId="38" xfId="0" applyBorder="1"/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0"/>
  <sheetViews>
    <sheetView tabSelected="1" zoomScaleNormal="100" workbookViewId="0">
      <selection activeCell="BE8" sqref="BE8"/>
    </sheetView>
  </sheetViews>
  <sheetFormatPr baseColWidth="10" defaultRowHeight="15" x14ac:dyDescent="0.25"/>
  <cols>
    <col min="1" max="1" width="4.85546875" style="107" bestFit="1" customWidth="1"/>
    <col min="2" max="2" width="20.7109375" style="107" customWidth="1"/>
    <col min="3" max="3" width="34" style="107" customWidth="1"/>
    <col min="4" max="4" width="5.5703125" style="107" bestFit="1" customWidth="1"/>
    <col min="5" max="5" width="75.7109375" style="108" bestFit="1" customWidth="1"/>
    <col min="6" max="6" width="10.5703125" style="107" bestFit="1" customWidth="1"/>
    <col min="7" max="7" width="17.140625" style="107" hidden="1" customWidth="1"/>
    <col min="8" max="8" width="10.85546875" style="107" hidden="1" customWidth="1"/>
    <col min="9" max="9" width="8" style="107" hidden="1" customWidth="1"/>
    <col min="10" max="10" width="14.5703125" style="107" hidden="1" customWidth="1"/>
    <col min="11" max="11" width="9.42578125" style="107" hidden="1" customWidth="1"/>
    <col min="12" max="12" width="14" style="107" hidden="1" customWidth="1"/>
    <col min="13" max="13" width="8.28515625" style="107" hidden="1" customWidth="1"/>
    <col min="14" max="14" width="14.140625" style="107" hidden="1" customWidth="1"/>
    <col min="15" max="15" width="4.5703125" style="107" hidden="1" customWidth="1"/>
    <col min="16" max="16" width="12.42578125" style="107" hidden="1" customWidth="1"/>
    <col min="17" max="17" width="14.7109375" style="107" hidden="1" customWidth="1"/>
    <col min="18" max="18" width="13.42578125" style="107" hidden="1" customWidth="1"/>
    <col min="19" max="19" width="10.5703125" style="109" hidden="1" customWidth="1"/>
    <col min="20" max="20" width="10.5703125" style="110" hidden="1" customWidth="1"/>
    <col min="21" max="21" width="14.7109375" style="107" hidden="1" customWidth="1"/>
    <col min="22" max="22" width="12.85546875" style="107" hidden="1" customWidth="1"/>
    <col min="23" max="23" width="6" style="107" hidden="1" customWidth="1"/>
    <col min="24" max="24" width="12.5703125" style="107" hidden="1" customWidth="1"/>
    <col min="25" max="25" width="10.140625" style="107" hidden="1" customWidth="1"/>
    <col min="26" max="26" width="13.5703125" style="107" hidden="1" customWidth="1"/>
    <col min="27" max="28" width="14.42578125" style="107" hidden="1" customWidth="1"/>
    <col min="29" max="29" width="5.7109375" style="107" hidden="1" customWidth="1"/>
    <col min="30" max="30" width="12.28515625" style="107" hidden="1" customWidth="1"/>
    <col min="31" max="31" width="10.140625" style="107" hidden="1" customWidth="1"/>
    <col min="32" max="32" width="13.5703125" style="107" hidden="1" customWidth="1"/>
    <col min="33" max="33" width="12.140625" style="107" hidden="1" customWidth="1"/>
    <col min="34" max="34" width="13" style="107" hidden="1" customWidth="1"/>
    <col min="35" max="36" width="10.5703125" style="107" hidden="1" customWidth="1"/>
    <col min="37" max="37" width="4.7109375" style="107" hidden="1" customWidth="1"/>
    <col min="38" max="38" width="11.28515625" style="107" hidden="1" customWidth="1"/>
    <col min="39" max="39" width="6.5703125" style="107" hidden="1" customWidth="1"/>
    <col min="40" max="40" width="13.5703125" style="110" hidden="1" customWidth="1"/>
    <col min="41" max="41" width="14.85546875" style="107" hidden="1" customWidth="1"/>
    <col min="42" max="42" width="13.5703125" style="107" hidden="1" customWidth="1"/>
    <col min="43" max="43" width="13.85546875" style="107" hidden="1" customWidth="1"/>
    <col min="44" max="44" width="12.85546875" style="110" hidden="1" customWidth="1"/>
    <col min="45" max="45" width="15.28515625" style="111" hidden="1" customWidth="1"/>
    <col min="46" max="46" width="15.28515625" style="107" hidden="1" customWidth="1"/>
    <col min="47" max="47" width="7.28515625" style="111" hidden="1" customWidth="1"/>
    <col min="48" max="48" width="13.85546875" style="107" hidden="1" customWidth="1"/>
    <col min="49" max="49" width="10.42578125" style="109" bestFit="1" customWidth="1"/>
    <col min="50" max="50" width="11.42578125" style="110" bestFit="1" customWidth="1"/>
    <col min="51" max="51" width="16.28515625" style="110" bestFit="1" customWidth="1"/>
    <col min="52" max="52" width="23.7109375" hidden="1" customWidth="1"/>
  </cols>
  <sheetData>
    <row r="1" spans="1:52" ht="18.75" x14ac:dyDescent="0.25">
      <c r="A1" s="1"/>
      <c r="B1" s="212" t="s">
        <v>0</v>
      </c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2"/>
      <c r="AP1" s="212"/>
      <c r="AQ1" s="212"/>
      <c r="AR1" s="212"/>
      <c r="AS1" s="212"/>
      <c r="AT1" s="212"/>
      <c r="AU1" s="212"/>
      <c r="AV1" s="212"/>
      <c r="AW1" s="212"/>
      <c r="AX1" s="212"/>
      <c r="AY1" s="2"/>
    </row>
    <row r="2" spans="1:52" x14ac:dyDescent="0.25">
      <c r="A2" s="211" t="s">
        <v>1</v>
      </c>
      <c r="B2" s="211"/>
      <c r="C2" s="159" t="s">
        <v>2</v>
      </c>
      <c r="D2" s="159"/>
      <c r="E2" s="159"/>
      <c r="F2" s="4"/>
      <c r="G2" s="4"/>
      <c r="H2" s="4"/>
      <c r="I2" s="4"/>
      <c r="J2" s="4"/>
      <c r="K2" s="4"/>
      <c r="L2" s="4"/>
      <c r="M2" s="5"/>
      <c r="N2" s="6"/>
      <c r="O2" s="7"/>
      <c r="P2" s="4"/>
      <c r="Q2" s="5"/>
      <c r="R2" s="4"/>
      <c r="S2" s="7"/>
      <c r="T2" s="8"/>
      <c r="U2" s="5"/>
      <c r="V2" s="4"/>
      <c r="W2" s="7"/>
      <c r="X2" s="4"/>
      <c r="Y2" s="7"/>
      <c r="Z2" s="4"/>
      <c r="AA2" s="7"/>
      <c r="AB2" s="4"/>
      <c r="AC2" s="7"/>
      <c r="AD2" s="4"/>
      <c r="AE2" s="7"/>
      <c r="AF2" s="4"/>
      <c r="AG2" s="7"/>
      <c r="AH2" s="4"/>
      <c r="AI2" s="7"/>
      <c r="AJ2" s="4"/>
      <c r="AK2" s="7"/>
      <c r="AL2" s="4"/>
      <c r="AM2" s="7"/>
      <c r="AN2" s="8"/>
      <c r="AO2" s="7"/>
      <c r="AP2" s="4"/>
      <c r="AQ2" s="7"/>
      <c r="AR2" s="8"/>
      <c r="AS2" s="9"/>
      <c r="AT2" s="4"/>
      <c r="AU2" s="9"/>
      <c r="AV2" s="4"/>
      <c r="AW2" s="7"/>
      <c r="AX2" s="3"/>
      <c r="AY2" s="2"/>
    </row>
    <row r="3" spans="1:52" ht="15" customHeight="1" x14ac:dyDescent="0.25">
      <c r="A3" s="211" t="s">
        <v>3</v>
      </c>
      <c r="B3" s="211"/>
      <c r="C3" s="159" t="s">
        <v>4</v>
      </c>
      <c r="D3" s="159"/>
      <c r="E3" s="159"/>
      <c r="F3" s="4"/>
      <c r="G3" s="4"/>
      <c r="H3" s="4"/>
      <c r="I3" s="4"/>
      <c r="J3" s="4"/>
      <c r="K3" s="4"/>
      <c r="L3" s="4"/>
      <c r="M3" s="5"/>
      <c r="N3" s="6"/>
      <c r="O3" s="7"/>
      <c r="P3" s="4"/>
      <c r="Q3" s="5"/>
      <c r="R3" s="4"/>
      <c r="S3" s="7"/>
      <c r="T3" s="8"/>
      <c r="U3" s="5"/>
      <c r="V3" s="4"/>
      <c r="W3" s="7"/>
      <c r="X3" s="4"/>
      <c r="Y3" s="7"/>
      <c r="Z3" s="4"/>
      <c r="AA3" s="7"/>
      <c r="AB3" s="4"/>
      <c r="AC3" s="7"/>
      <c r="AD3" s="4"/>
      <c r="AE3" s="7"/>
      <c r="AF3" s="4"/>
      <c r="AG3" s="7"/>
      <c r="AH3" s="4"/>
      <c r="AI3" s="7"/>
      <c r="AJ3" s="4"/>
      <c r="AK3" s="7"/>
      <c r="AL3" s="4"/>
      <c r="AM3" s="7"/>
      <c r="AN3" s="8"/>
      <c r="AO3" s="7"/>
      <c r="AP3" s="4"/>
      <c r="AQ3" s="7"/>
      <c r="AR3" s="8"/>
      <c r="AS3" s="9"/>
      <c r="AT3" s="4"/>
      <c r="AU3" s="9"/>
      <c r="AV3" s="4"/>
      <c r="AW3" s="7"/>
      <c r="AX3" s="3"/>
      <c r="AY3" s="2"/>
    </row>
    <row r="4" spans="1:52" x14ac:dyDescent="0.25">
      <c r="A4" s="211" t="s">
        <v>5</v>
      </c>
      <c r="B4" s="211"/>
      <c r="C4" s="10">
        <v>2022</v>
      </c>
      <c r="D4" s="11"/>
      <c r="E4" s="10"/>
      <c r="F4" s="4"/>
      <c r="G4" s="4"/>
      <c r="H4" s="4"/>
      <c r="I4" s="4"/>
      <c r="J4" s="4"/>
      <c r="K4" s="4"/>
      <c r="L4" s="4"/>
      <c r="M4" s="5"/>
      <c r="N4" s="6"/>
      <c r="O4" s="7"/>
      <c r="P4" s="4"/>
      <c r="Q4" s="5"/>
      <c r="R4" s="4"/>
      <c r="S4" s="7"/>
      <c r="T4" s="8"/>
      <c r="U4" s="5"/>
      <c r="V4" s="4"/>
      <c r="W4" s="7"/>
      <c r="X4" s="4"/>
      <c r="Y4" s="7"/>
      <c r="Z4" s="4"/>
      <c r="AA4" s="7"/>
      <c r="AB4" s="4"/>
      <c r="AC4" s="7"/>
      <c r="AD4" s="4"/>
      <c r="AE4" s="7"/>
      <c r="AF4" s="4"/>
      <c r="AG4" s="7"/>
      <c r="AH4" s="4"/>
      <c r="AI4" s="7"/>
      <c r="AJ4" s="4"/>
      <c r="AK4" s="7"/>
      <c r="AL4" s="4"/>
      <c r="AM4" s="7"/>
      <c r="AN4" s="8"/>
      <c r="AO4" s="7"/>
      <c r="AP4" s="4"/>
      <c r="AQ4" s="7"/>
      <c r="AR4" s="8"/>
      <c r="AS4" s="9"/>
      <c r="AT4" s="4"/>
      <c r="AU4" s="9"/>
      <c r="AV4" s="4"/>
      <c r="AW4" s="7"/>
      <c r="AX4" s="3"/>
      <c r="AY4" s="2"/>
    </row>
    <row r="5" spans="1:52" x14ac:dyDescent="0.25">
      <c r="A5" s="211" t="s">
        <v>6</v>
      </c>
      <c r="B5" s="211"/>
      <c r="C5" s="10" t="s">
        <v>7</v>
      </c>
      <c r="D5" s="11"/>
      <c r="E5" s="10"/>
      <c r="F5" s="4"/>
      <c r="G5" s="4"/>
      <c r="H5" s="4"/>
      <c r="I5" s="4"/>
      <c r="J5" s="4"/>
      <c r="K5" s="4"/>
      <c r="L5" s="4"/>
      <c r="M5" s="5"/>
      <c r="N5" s="6"/>
      <c r="O5" s="7"/>
      <c r="P5" s="4"/>
      <c r="Q5" s="5"/>
      <c r="R5" s="4"/>
      <c r="S5" s="7"/>
      <c r="T5" s="8"/>
      <c r="U5" s="5"/>
      <c r="V5" s="4"/>
      <c r="W5" s="7"/>
      <c r="X5" s="4"/>
      <c r="Y5" s="7"/>
      <c r="Z5" s="4"/>
      <c r="AA5" s="7"/>
      <c r="AB5" s="4"/>
      <c r="AC5" s="7"/>
      <c r="AD5" s="4"/>
      <c r="AE5" s="7"/>
      <c r="AF5" s="4"/>
      <c r="AG5" s="7"/>
      <c r="AH5" s="4"/>
      <c r="AI5" s="7"/>
      <c r="AJ5" s="4"/>
      <c r="AK5" s="7"/>
      <c r="AL5" s="4"/>
      <c r="AM5" s="7"/>
      <c r="AN5" s="8"/>
      <c r="AO5" s="7"/>
      <c r="AP5" s="4"/>
      <c r="AQ5" s="7"/>
      <c r="AR5" s="8"/>
      <c r="AS5" s="9"/>
      <c r="AT5" s="4"/>
      <c r="AU5" s="9"/>
      <c r="AV5" s="4"/>
      <c r="AW5" s="7"/>
      <c r="AX5" s="3"/>
      <c r="AY5" s="2"/>
    </row>
    <row r="6" spans="1:52" x14ac:dyDescent="0.25">
      <c r="A6" s="1"/>
      <c r="B6" s="4"/>
      <c r="C6" s="4"/>
      <c r="D6" s="4"/>
      <c r="E6" s="12"/>
      <c r="F6" s="4"/>
      <c r="G6" s="4"/>
      <c r="H6" s="4"/>
      <c r="I6" s="4"/>
      <c r="J6" s="4"/>
      <c r="K6" s="4"/>
      <c r="L6" s="4"/>
      <c r="M6" s="5"/>
      <c r="N6" s="6"/>
      <c r="O6" s="7"/>
      <c r="P6" s="4"/>
      <c r="Q6" s="5"/>
      <c r="R6" s="4"/>
      <c r="S6" s="7"/>
      <c r="T6" s="8"/>
      <c r="U6" s="5"/>
      <c r="V6" s="4"/>
      <c r="W6" s="7"/>
      <c r="X6" s="4"/>
      <c r="Y6" s="7"/>
      <c r="Z6" s="4"/>
      <c r="AA6" s="7"/>
      <c r="AB6" s="4"/>
      <c r="AC6" s="7"/>
      <c r="AD6" s="4"/>
      <c r="AE6" s="7"/>
      <c r="AF6" s="4"/>
      <c r="AG6" s="7"/>
      <c r="AH6" s="4"/>
      <c r="AI6" s="7"/>
      <c r="AJ6" s="4"/>
      <c r="AK6" s="7"/>
      <c r="AL6" s="4"/>
      <c r="AM6" s="7"/>
      <c r="AN6" s="8"/>
      <c r="AO6" s="7"/>
      <c r="AP6" s="4"/>
      <c r="AQ6" s="7"/>
      <c r="AR6" s="8"/>
      <c r="AS6" s="9"/>
      <c r="AT6" s="4"/>
      <c r="AU6" s="9"/>
      <c r="AV6" s="4"/>
      <c r="AW6" s="7"/>
      <c r="AX6" s="3"/>
      <c r="AY6" s="2"/>
    </row>
    <row r="7" spans="1:52" ht="38.25" x14ac:dyDescent="0.25">
      <c r="A7" s="13" t="s">
        <v>8</v>
      </c>
      <c r="B7" s="13" t="s">
        <v>9</v>
      </c>
      <c r="C7" s="14" t="s">
        <v>10</v>
      </c>
      <c r="D7" s="13" t="s">
        <v>11</v>
      </c>
      <c r="E7" s="14" t="s">
        <v>12</v>
      </c>
      <c r="F7" s="14" t="s">
        <v>13</v>
      </c>
      <c r="G7" s="14" t="s">
        <v>14</v>
      </c>
      <c r="H7" s="14" t="s">
        <v>15</v>
      </c>
      <c r="I7" s="15" t="s">
        <v>16</v>
      </c>
      <c r="J7" s="14" t="s">
        <v>17</v>
      </c>
      <c r="K7" s="14" t="s">
        <v>18</v>
      </c>
      <c r="L7" s="14" t="s">
        <v>19</v>
      </c>
      <c r="M7" s="16" t="s">
        <v>20</v>
      </c>
      <c r="N7" s="17" t="s">
        <v>21</v>
      </c>
      <c r="O7" s="18" t="s">
        <v>22</v>
      </c>
      <c r="P7" s="14" t="s">
        <v>23</v>
      </c>
      <c r="Q7" s="16" t="s">
        <v>24</v>
      </c>
      <c r="R7" s="14" t="s">
        <v>25</v>
      </c>
      <c r="S7" s="18" t="s">
        <v>26</v>
      </c>
      <c r="T7" s="19" t="s">
        <v>27</v>
      </c>
      <c r="U7" s="16" t="s">
        <v>28</v>
      </c>
      <c r="V7" s="14" t="s">
        <v>29</v>
      </c>
      <c r="W7" s="18" t="s">
        <v>30</v>
      </c>
      <c r="X7" s="14" t="s">
        <v>31</v>
      </c>
      <c r="Y7" s="18" t="s">
        <v>32</v>
      </c>
      <c r="Z7" s="14" t="s">
        <v>33</v>
      </c>
      <c r="AA7" s="18" t="s">
        <v>34</v>
      </c>
      <c r="AB7" s="14" t="s">
        <v>35</v>
      </c>
      <c r="AC7" s="20" t="s">
        <v>36</v>
      </c>
      <c r="AD7" s="14" t="s">
        <v>37</v>
      </c>
      <c r="AE7" s="18" t="s">
        <v>38</v>
      </c>
      <c r="AF7" s="14" t="s">
        <v>39</v>
      </c>
      <c r="AG7" s="18" t="s">
        <v>40</v>
      </c>
      <c r="AH7" s="14" t="s">
        <v>41</v>
      </c>
      <c r="AI7" s="18" t="s">
        <v>42</v>
      </c>
      <c r="AJ7" s="14" t="s">
        <v>43</v>
      </c>
      <c r="AK7" s="18" t="s">
        <v>44</v>
      </c>
      <c r="AL7" s="14" t="s">
        <v>45</v>
      </c>
      <c r="AM7" s="20" t="s">
        <v>46</v>
      </c>
      <c r="AN7" s="19" t="s">
        <v>47</v>
      </c>
      <c r="AO7" s="20" t="s">
        <v>48</v>
      </c>
      <c r="AP7" s="14" t="s">
        <v>49</v>
      </c>
      <c r="AQ7" s="18" t="s">
        <v>50</v>
      </c>
      <c r="AR7" s="19" t="s">
        <v>51</v>
      </c>
      <c r="AS7" s="21" t="s">
        <v>52</v>
      </c>
      <c r="AT7" s="14" t="s">
        <v>53</v>
      </c>
      <c r="AU7" s="21" t="s">
        <v>54</v>
      </c>
      <c r="AV7" s="14" t="s">
        <v>55</v>
      </c>
      <c r="AW7" s="18" t="s">
        <v>56</v>
      </c>
      <c r="AX7" s="22" t="s">
        <v>57</v>
      </c>
      <c r="AY7" s="19" t="s">
        <v>58</v>
      </c>
      <c r="AZ7" s="23" t="s">
        <v>59</v>
      </c>
    </row>
    <row r="8" spans="1:52" s="78" customFormat="1" ht="25.5" x14ac:dyDescent="0.2">
      <c r="A8" s="59">
        <v>1</v>
      </c>
      <c r="B8" s="61" t="s">
        <v>61</v>
      </c>
      <c r="C8" s="59" t="s">
        <v>62</v>
      </c>
      <c r="D8" s="59" t="s">
        <v>63</v>
      </c>
      <c r="E8" s="60" t="s">
        <v>223</v>
      </c>
      <c r="F8" s="59" t="s">
        <v>60</v>
      </c>
      <c r="G8" s="59"/>
      <c r="H8" s="59"/>
      <c r="I8" s="59"/>
      <c r="J8" s="59"/>
      <c r="K8" s="59"/>
      <c r="L8" s="73"/>
      <c r="M8" s="74"/>
      <c r="N8" s="73"/>
      <c r="O8" s="75"/>
      <c r="P8" s="76"/>
      <c r="Q8" s="74"/>
      <c r="R8" s="59"/>
      <c r="S8" s="75"/>
      <c r="T8" s="76"/>
      <c r="U8" s="74"/>
      <c r="V8" s="73"/>
      <c r="W8" s="75"/>
      <c r="X8" s="59"/>
      <c r="Y8" s="75"/>
      <c r="Z8" s="76"/>
      <c r="AA8" s="75"/>
      <c r="AB8" s="59"/>
      <c r="AC8" s="75"/>
      <c r="AD8" s="59"/>
      <c r="AE8" s="75">
        <v>2</v>
      </c>
      <c r="AF8" s="32">
        <f t="shared" ref="AF8:AF60" si="0">+AE8*AX8</f>
        <v>2537.52</v>
      </c>
      <c r="AG8" s="75"/>
      <c r="AH8" s="59"/>
      <c r="AI8" s="75"/>
      <c r="AJ8" s="59"/>
      <c r="AK8" s="75"/>
      <c r="AL8" s="73"/>
      <c r="AM8" s="75"/>
      <c r="AN8" s="76"/>
      <c r="AO8" s="75"/>
      <c r="AP8" s="59"/>
      <c r="AQ8" s="75"/>
      <c r="AR8" s="76"/>
      <c r="AS8" s="77"/>
      <c r="AT8" s="76"/>
      <c r="AU8" s="77"/>
      <c r="AV8" s="76"/>
      <c r="AW8" s="50">
        <f t="shared" ref="AW8" si="1">+AQ8+AO8+AM8+AK8+AI8+AG8+AE8+AC8+AA8+Y8+W8+U8+S8+Q8+O8+M8+K8+I8+AS8+G8+AU8</f>
        <v>2</v>
      </c>
      <c r="AX8" s="209">
        <v>1268.76</v>
      </c>
      <c r="AY8" s="51">
        <f t="shared" ref="AY8:AY59" si="2">+AW8*AX8</f>
        <v>2537.52</v>
      </c>
      <c r="AZ8" s="55"/>
    </row>
    <row r="9" spans="1:52" s="78" customFormat="1" ht="25.5" x14ac:dyDescent="0.2">
      <c r="A9" s="64">
        <v>2</v>
      </c>
      <c r="B9" s="26" t="s">
        <v>64</v>
      </c>
      <c r="C9" s="64" t="s">
        <v>62</v>
      </c>
      <c r="D9" s="64" t="s">
        <v>63</v>
      </c>
      <c r="E9" s="65" t="s">
        <v>65</v>
      </c>
      <c r="F9" s="64" t="s">
        <v>60</v>
      </c>
      <c r="G9" s="64"/>
      <c r="H9" s="64"/>
      <c r="I9" s="64"/>
      <c r="J9" s="64"/>
      <c r="K9" s="64"/>
      <c r="L9" s="79"/>
      <c r="M9" s="28"/>
      <c r="N9" s="79"/>
      <c r="O9" s="30"/>
      <c r="P9" s="31"/>
      <c r="Q9" s="28"/>
      <c r="R9" s="64"/>
      <c r="S9" s="30"/>
      <c r="T9" s="31"/>
      <c r="U9" s="28"/>
      <c r="V9" s="79"/>
      <c r="W9" s="30"/>
      <c r="X9" s="64"/>
      <c r="Y9" s="30"/>
      <c r="Z9" s="31"/>
      <c r="AA9" s="30"/>
      <c r="AB9" s="64"/>
      <c r="AC9" s="30"/>
      <c r="AD9" s="64"/>
      <c r="AE9" s="30">
        <v>2</v>
      </c>
      <c r="AF9" s="32">
        <f t="shared" si="0"/>
        <v>2564.1360000000004</v>
      </c>
      <c r="AG9" s="30"/>
      <c r="AH9" s="64"/>
      <c r="AI9" s="30"/>
      <c r="AJ9" s="64"/>
      <c r="AK9" s="30"/>
      <c r="AL9" s="79"/>
      <c r="AM9" s="30"/>
      <c r="AN9" s="31"/>
      <c r="AO9" s="30"/>
      <c r="AP9" s="64"/>
      <c r="AQ9" s="30"/>
      <c r="AR9" s="31"/>
      <c r="AS9" s="77"/>
      <c r="AT9" s="76"/>
      <c r="AU9" s="77"/>
      <c r="AV9" s="76"/>
      <c r="AW9" s="33">
        <f t="shared" ref="AW9:AW59" si="3">+AQ9+AO9+AM9+AK9+AI9+AG9+AE9+AC9+AA9+Y9+W9+U9+S9+Q9+O9+M9+K9+I9+AS9+G9+AU9</f>
        <v>2</v>
      </c>
      <c r="AX9" s="209">
        <v>1282.0680000000002</v>
      </c>
      <c r="AY9" s="51">
        <f t="shared" si="2"/>
        <v>2564.1360000000004</v>
      </c>
      <c r="AZ9" s="55"/>
    </row>
    <row r="10" spans="1:52" s="78" customFormat="1" ht="30.75" customHeight="1" x14ac:dyDescent="0.2">
      <c r="A10" s="64">
        <v>3</v>
      </c>
      <c r="B10" s="26" t="s">
        <v>66</v>
      </c>
      <c r="C10" s="64" t="s">
        <v>62</v>
      </c>
      <c r="D10" s="64" t="s">
        <v>63</v>
      </c>
      <c r="E10" s="65" t="s">
        <v>202</v>
      </c>
      <c r="F10" s="64" t="s">
        <v>60</v>
      </c>
      <c r="G10" s="64"/>
      <c r="H10" s="64"/>
      <c r="I10" s="64"/>
      <c r="J10" s="64"/>
      <c r="K10" s="64"/>
      <c r="L10" s="79"/>
      <c r="M10" s="28"/>
      <c r="N10" s="79"/>
      <c r="O10" s="30"/>
      <c r="P10" s="31"/>
      <c r="Q10" s="28"/>
      <c r="R10" s="64"/>
      <c r="S10" s="30"/>
      <c r="T10" s="31"/>
      <c r="U10" s="28"/>
      <c r="V10" s="79"/>
      <c r="W10" s="30"/>
      <c r="X10" s="64"/>
      <c r="Y10" s="30"/>
      <c r="Z10" s="31"/>
      <c r="AA10" s="30"/>
      <c r="AB10" s="64"/>
      <c r="AC10" s="30"/>
      <c r="AD10" s="64"/>
      <c r="AE10" s="30">
        <v>2</v>
      </c>
      <c r="AF10" s="32">
        <f t="shared" si="0"/>
        <v>14916.168</v>
      </c>
      <c r="AG10" s="30"/>
      <c r="AH10" s="64"/>
      <c r="AI10" s="30"/>
      <c r="AJ10" s="64"/>
      <c r="AK10" s="30"/>
      <c r="AL10" s="79"/>
      <c r="AM10" s="30"/>
      <c r="AN10" s="31"/>
      <c r="AO10" s="30"/>
      <c r="AP10" s="64"/>
      <c r="AQ10" s="30"/>
      <c r="AR10" s="31"/>
      <c r="AS10" s="77"/>
      <c r="AT10" s="76"/>
      <c r="AU10" s="77"/>
      <c r="AV10" s="76"/>
      <c r="AW10" s="33">
        <f t="shared" si="3"/>
        <v>2</v>
      </c>
      <c r="AX10" s="209">
        <v>7458.0839999999998</v>
      </c>
      <c r="AY10" s="51">
        <f t="shared" si="2"/>
        <v>14916.168</v>
      </c>
      <c r="AZ10" s="55"/>
    </row>
    <row r="11" spans="1:52" s="78" customFormat="1" ht="25.5" x14ac:dyDescent="0.2">
      <c r="A11" s="64">
        <v>4</v>
      </c>
      <c r="B11" s="26" t="s">
        <v>67</v>
      </c>
      <c r="C11" s="64" t="s">
        <v>62</v>
      </c>
      <c r="D11" s="64" t="s">
        <v>63</v>
      </c>
      <c r="E11" s="65" t="s">
        <v>68</v>
      </c>
      <c r="F11" s="64" t="s">
        <v>60</v>
      </c>
      <c r="G11" s="64"/>
      <c r="H11" s="64"/>
      <c r="I11" s="64"/>
      <c r="J11" s="64"/>
      <c r="K11" s="64"/>
      <c r="L11" s="79"/>
      <c r="M11" s="28"/>
      <c r="N11" s="79"/>
      <c r="O11" s="30"/>
      <c r="P11" s="31"/>
      <c r="Q11" s="28"/>
      <c r="R11" s="64"/>
      <c r="S11" s="30"/>
      <c r="T11" s="31"/>
      <c r="U11" s="28"/>
      <c r="V11" s="79"/>
      <c r="W11" s="30"/>
      <c r="X11" s="64"/>
      <c r="Y11" s="30"/>
      <c r="Z11" s="31"/>
      <c r="AA11" s="30"/>
      <c r="AB11" s="64"/>
      <c r="AC11" s="30"/>
      <c r="AD11" s="64"/>
      <c r="AE11" s="30">
        <v>2</v>
      </c>
      <c r="AF11" s="32">
        <f t="shared" si="0"/>
        <v>1567.2</v>
      </c>
      <c r="AG11" s="30"/>
      <c r="AH11" s="64"/>
      <c r="AI11" s="30"/>
      <c r="AJ11" s="64"/>
      <c r="AK11" s="30"/>
      <c r="AL11" s="79"/>
      <c r="AM11" s="30"/>
      <c r="AN11" s="31"/>
      <c r="AO11" s="30"/>
      <c r="AP11" s="64"/>
      <c r="AQ11" s="30"/>
      <c r="AR11" s="31"/>
      <c r="AS11" s="77"/>
      <c r="AT11" s="76"/>
      <c r="AU11" s="77"/>
      <c r="AV11" s="76"/>
      <c r="AW11" s="33">
        <f t="shared" si="3"/>
        <v>2</v>
      </c>
      <c r="AX11" s="209">
        <v>783.6</v>
      </c>
      <c r="AY11" s="51">
        <f t="shared" si="2"/>
        <v>1567.2</v>
      </c>
      <c r="AZ11" s="55"/>
    </row>
    <row r="12" spans="1:52" s="78" customFormat="1" ht="25.5" x14ac:dyDescent="0.2">
      <c r="A12" s="64">
        <v>5</v>
      </c>
      <c r="B12" s="26" t="s">
        <v>69</v>
      </c>
      <c r="C12" s="64" t="s">
        <v>62</v>
      </c>
      <c r="D12" s="64" t="s">
        <v>63</v>
      </c>
      <c r="E12" s="65" t="s">
        <v>70</v>
      </c>
      <c r="F12" s="64" t="s">
        <v>60</v>
      </c>
      <c r="G12" s="64"/>
      <c r="H12" s="64"/>
      <c r="I12" s="64"/>
      <c r="J12" s="64"/>
      <c r="K12" s="64"/>
      <c r="L12" s="79"/>
      <c r="M12" s="28"/>
      <c r="N12" s="79"/>
      <c r="O12" s="30"/>
      <c r="P12" s="31"/>
      <c r="Q12" s="28"/>
      <c r="R12" s="64"/>
      <c r="S12" s="30"/>
      <c r="T12" s="31"/>
      <c r="U12" s="28"/>
      <c r="V12" s="79"/>
      <c r="W12" s="30"/>
      <c r="X12" s="64"/>
      <c r="Y12" s="30"/>
      <c r="Z12" s="31"/>
      <c r="AA12" s="30"/>
      <c r="AB12" s="64"/>
      <c r="AC12" s="30"/>
      <c r="AD12" s="64"/>
      <c r="AE12" s="30">
        <v>2</v>
      </c>
      <c r="AF12" s="32">
        <f t="shared" si="0"/>
        <v>1495.2</v>
      </c>
      <c r="AG12" s="30"/>
      <c r="AH12" s="64"/>
      <c r="AI12" s="30"/>
      <c r="AJ12" s="64"/>
      <c r="AK12" s="30"/>
      <c r="AL12" s="79"/>
      <c r="AM12" s="30"/>
      <c r="AN12" s="31"/>
      <c r="AO12" s="30"/>
      <c r="AP12" s="64"/>
      <c r="AQ12" s="30"/>
      <c r="AR12" s="31"/>
      <c r="AS12" s="77"/>
      <c r="AT12" s="76"/>
      <c r="AU12" s="77"/>
      <c r="AV12" s="76"/>
      <c r="AW12" s="33">
        <f t="shared" si="3"/>
        <v>2</v>
      </c>
      <c r="AX12" s="209">
        <v>747.6</v>
      </c>
      <c r="AY12" s="51">
        <f t="shared" si="2"/>
        <v>1495.2</v>
      </c>
      <c r="AZ12" s="55"/>
    </row>
    <row r="13" spans="1:52" s="78" customFormat="1" ht="25.5" x14ac:dyDescent="0.2">
      <c r="A13" s="64">
        <v>6</v>
      </c>
      <c r="B13" s="26" t="s">
        <v>117</v>
      </c>
      <c r="C13" s="64" t="s">
        <v>62</v>
      </c>
      <c r="D13" s="64" t="s">
        <v>63</v>
      </c>
      <c r="E13" s="65" t="s">
        <v>71</v>
      </c>
      <c r="F13" s="64" t="s">
        <v>60</v>
      </c>
      <c r="G13" s="64"/>
      <c r="H13" s="64"/>
      <c r="I13" s="64"/>
      <c r="J13" s="64"/>
      <c r="K13" s="64"/>
      <c r="L13" s="79"/>
      <c r="M13" s="28"/>
      <c r="N13" s="79"/>
      <c r="O13" s="30"/>
      <c r="P13" s="31"/>
      <c r="Q13" s="28"/>
      <c r="R13" s="64"/>
      <c r="S13" s="30"/>
      <c r="T13" s="31"/>
      <c r="U13" s="28"/>
      <c r="V13" s="79"/>
      <c r="W13" s="30"/>
      <c r="X13" s="31">
        <f>+W13*AX13</f>
        <v>0</v>
      </c>
      <c r="Y13" s="30"/>
      <c r="Z13" s="31"/>
      <c r="AA13" s="30"/>
      <c r="AB13" s="64"/>
      <c r="AC13" s="30"/>
      <c r="AD13" s="64"/>
      <c r="AE13" s="30">
        <v>2</v>
      </c>
      <c r="AF13" s="32">
        <f t="shared" si="0"/>
        <v>12775.2</v>
      </c>
      <c r="AG13" s="30"/>
      <c r="AH13" s="64"/>
      <c r="AI13" s="30"/>
      <c r="AJ13" s="64"/>
      <c r="AK13" s="30"/>
      <c r="AL13" s="79"/>
      <c r="AM13" s="30"/>
      <c r="AN13" s="31"/>
      <c r="AO13" s="30"/>
      <c r="AP13" s="64"/>
      <c r="AQ13" s="30"/>
      <c r="AR13" s="31"/>
      <c r="AS13" s="77"/>
      <c r="AT13" s="76"/>
      <c r="AU13" s="77"/>
      <c r="AV13" s="76"/>
      <c r="AW13" s="33">
        <f t="shared" si="3"/>
        <v>2</v>
      </c>
      <c r="AX13" s="209">
        <v>6387.6</v>
      </c>
      <c r="AY13" s="51">
        <f t="shared" si="2"/>
        <v>12775.2</v>
      </c>
      <c r="AZ13" s="55"/>
    </row>
    <row r="14" spans="1:52" s="78" customFormat="1" ht="25.5" x14ac:dyDescent="0.2">
      <c r="A14" s="64">
        <v>7</v>
      </c>
      <c r="B14" s="26" t="s">
        <v>72</v>
      </c>
      <c r="C14" s="64" t="s">
        <v>73</v>
      </c>
      <c r="D14" s="64" t="s">
        <v>63</v>
      </c>
      <c r="E14" s="65" t="s">
        <v>74</v>
      </c>
      <c r="F14" s="64" t="s">
        <v>60</v>
      </c>
      <c r="G14" s="64"/>
      <c r="H14" s="31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30"/>
      <c r="T14" s="31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>
        <v>1</v>
      </c>
      <c r="AF14" s="32">
        <f t="shared" si="0"/>
        <v>19988.519999999997</v>
      </c>
      <c r="AG14" s="64"/>
      <c r="AH14" s="64"/>
      <c r="AI14" s="64"/>
      <c r="AJ14" s="64"/>
      <c r="AK14" s="64"/>
      <c r="AL14" s="64"/>
      <c r="AM14" s="64"/>
      <c r="AN14" s="31"/>
      <c r="AO14" s="64"/>
      <c r="AP14" s="64"/>
      <c r="AQ14" s="64"/>
      <c r="AR14" s="31"/>
      <c r="AS14" s="77"/>
      <c r="AT14" s="76"/>
      <c r="AU14" s="77"/>
      <c r="AV14" s="76"/>
      <c r="AW14" s="33">
        <f t="shared" si="3"/>
        <v>1</v>
      </c>
      <c r="AX14" s="209">
        <v>19988.519999999997</v>
      </c>
      <c r="AY14" s="51">
        <f t="shared" si="2"/>
        <v>19988.519999999997</v>
      </c>
      <c r="AZ14" s="83"/>
    </row>
    <row r="15" spans="1:52" s="78" customFormat="1" ht="25.5" x14ac:dyDescent="0.2">
      <c r="A15" s="64">
        <v>8</v>
      </c>
      <c r="B15" s="64" t="s">
        <v>75</v>
      </c>
      <c r="C15" s="64" t="s">
        <v>73</v>
      </c>
      <c r="D15" s="64" t="s">
        <v>63</v>
      </c>
      <c r="E15" s="65" t="s">
        <v>76</v>
      </c>
      <c r="F15" s="64" t="s">
        <v>60</v>
      </c>
      <c r="G15" s="64"/>
      <c r="H15" s="31">
        <f>SUM(H14)</f>
        <v>0</v>
      </c>
      <c r="I15" s="64"/>
      <c r="J15" s="64"/>
      <c r="K15" s="64"/>
      <c r="L15" s="79"/>
      <c r="M15" s="28"/>
      <c r="N15" s="79"/>
      <c r="O15" s="30"/>
      <c r="P15" s="31">
        <f>SUM(P14:P14)</f>
        <v>0</v>
      </c>
      <c r="Q15" s="28"/>
      <c r="R15" s="64"/>
      <c r="S15" s="30"/>
      <c r="T15" s="31"/>
      <c r="U15" s="28"/>
      <c r="V15" s="79"/>
      <c r="W15" s="30"/>
      <c r="X15" s="64"/>
      <c r="Y15" s="30"/>
      <c r="Z15" s="31"/>
      <c r="AA15" s="30"/>
      <c r="AB15" s="64"/>
      <c r="AC15" s="30"/>
      <c r="AD15" s="64"/>
      <c r="AE15" s="30">
        <v>2</v>
      </c>
      <c r="AF15" s="32">
        <f t="shared" si="0"/>
        <v>41281.823999999993</v>
      </c>
      <c r="AG15" s="30"/>
      <c r="AH15" s="64"/>
      <c r="AI15" s="30"/>
      <c r="AJ15" s="64"/>
      <c r="AK15" s="30"/>
      <c r="AL15" s="79">
        <f>SUM(AL8:AL14)</f>
        <v>0</v>
      </c>
      <c r="AM15" s="30"/>
      <c r="AN15" s="31"/>
      <c r="AO15" s="30"/>
      <c r="AP15" s="64"/>
      <c r="AQ15" s="30"/>
      <c r="AR15" s="31"/>
      <c r="AS15" s="77"/>
      <c r="AT15" s="59"/>
      <c r="AU15" s="77"/>
      <c r="AV15" s="59"/>
      <c r="AW15" s="33">
        <f t="shared" si="3"/>
        <v>2</v>
      </c>
      <c r="AX15" s="209">
        <v>20640.911999999997</v>
      </c>
      <c r="AY15" s="51">
        <f t="shared" si="2"/>
        <v>41281.823999999993</v>
      </c>
      <c r="AZ15" s="55"/>
    </row>
    <row r="16" spans="1:52" s="78" customFormat="1" ht="25.5" x14ac:dyDescent="0.2">
      <c r="A16" s="64">
        <v>9</v>
      </c>
      <c r="B16" s="26" t="s">
        <v>89</v>
      </c>
      <c r="C16" s="64" t="s">
        <v>73</v>
      </c>
      <c r="D16" s="64" t="s">
        <v>63</v>
      </c>
      <c r="E16" s="65" t="s">
        <v>77</v>
      </c>
      <c r="F16" s="64" t="s">
        <v>60</v>
      </c>
      <c r="G16" s="24"/>
      <c r="H16" s="24"/>
      <c r="I16" s="24"/>
      <c r="J16" s="24"/>
      <c r="K16" s="24"/>
      <c r="L16" s="67"/>
      <c r="M16" s="66"/>
      <c r="N16" s="67"/>
      <c r="O16" s="25"/>
      <c r="P16" s="67"/>
      <c r="Q16" s="66"/>
      <c r="R16" s="67"/>
      <c r="S16" s="25"/>
      <c r="T16" s="27"/>
      <c r="U16" s="66"/>
      <c r="V16" s="67"/>
      <c r="W16" s="25"/>
      <c r="X16" s="67">
        <f>+W16*AX16</f>
        <v>0</v>
      </c>
      <c r="Y16" s="25"/>
      <c r="Z16" s="67"/>
      <c r="AA16" s="25"/>
      <c r="AB16" s="67"/>
      <c r="AC16" s="25"/>
      <c r="AD16" s="67"/>
      <c r="AE16" s="25">
        <v>1</v>
      </c>
      <c r="AF16" s="32">
        <f t="shared" si="0"/>
        <v>6360</v>
      </c>
      <c r="AG16" s="25"/>
      <c r="AH16" s="67"/>
      <c r="AI16" s="25"/>
      <c r="AJ16" s="67"/>
      <c r="AK16" s="25"/>
      <c r="AL16" s="67"/>
      <c r="AM16" s="25"/>
      <c r="AN16" s="27"/>
      <c r="AO16" s="25"/>
      <c r="AP16" s="67"/>
      <c r="AQ16" s="25"/>
      <c r="AR16" s="27"/>
      <c r="AS16" s="63"/>
      <c r="AT16" s="62"/>
      <c r="AU16" s="63"/>
      <c r="AV16" s="62"/>
      <c r="AW16" s="33">
        <f t="shared" si="3"/>
        <v>1</v>
      </c>
      <c r="AX16" s="209">
        <v>6360</v>
      </c>
      <c r="AY16" s="51">
        <f t="shared" si="2"/>
        <v>6360</v>
      </c>
      <c r="AZ16" s="55"/>
    </row>
    <row r="17" spans="1:52" s="78" customFormat="1" ht="25.5" x14ac:dyDescent="0.2">
      <c r="A17" s="24">
        <v>10</v>
      </c>
      <c r="B17" s="84" t="s">
        <v>78</v>
      </c>
      <c r="C17" s="85" t="s">
        <v>73</v>
      </c>
      <c r="D17" s="85" t="s">
        <v>63</v>
      </c>
      <c r="E17" s="86" t="s">
        <v>79</v>
      </c>
      <c r="F17" s="85" t="s">
        <v>60</v>
      </c>
      <c r="G17" s="24"/>
      <c r="H17" s="24"/>
      <c r="I17" s="24"/>
      <c r="J17" s="24"/>
      <c r="K17" s="24"/>
      <c r="L17" s="67"/>
      <c r="M17" s="66"/>
      <c r="N17" s="67"/>
      <c r="O17" s="25"/>
      <c r="P17" s="67"/>
      <c r="Q17" s="66"/>
      <c r="R17" s="67"/>
      <c r="S17" s="25"/>
      <c r="T17" s="27"/>
      <c r="U17" s="66"/>
      <c r="V17" s="67"/>
      <c r="W17" s="25"/>
      <c r="X17" s="67"/>
      <c r="Y17" s="25"/>
      <c r="Z17" s="67"/>
      <c r="AA17" s="25"/>
      <c r="AB17" s="67"/>
      <c r="AC17" s="25"/>
      <c r="AD17" s="67"/>
      <c r="AE17" s="25">
        <v>1</v>
      </c>
      <c r="AF17" s="32">
        <f t="shared" si="0"/>
        <v>12526.175999999999</v>
      </c>
      <c r="AG17" s="25"/>
      <c r="AH17" s="67"/>
      <c r="AI17" s="25"/>
      <c r="AJ17" s="67"/>
      <c r="AK17" s="25"/>
      <c r="AL17" s="67"/>
      <c r="AM17" s="25"/>
      <c r="AN17" s="27"/>
      <c r="AO17" s="25"/>
      <c r="AP17" s="67"/>
      <c r="AQ17" s="25"/>
      <c r="AR17" s="27"/>
      <c r="AS17" s="63"/>
      <c r="AT17" s="62"/>
      <c r="AU17" s="63"/>
      <c r="AV17" s="62"/>
      <c r="AW17" s="33">
        <f t="shared" si="3"/>
        <v>1</v>
      </c>
      <c r="AX17" s="209">
        <v>12526.175999999999</v>
      </c>
      <c r="AY17" s="51">
        <f t="shared" si="2"/>
        <v>12526.175999999999</v>
      </c>
      <c r="AZ17" s="55"/>
    </row>
    <row r="18" spans="1:52" s="56" customFormat="1" ht="25.5" x14ac:dyDescent="0.2">
      <c r="A18" s="24">
        <v>11</v>
      </c>
      <c r="B18" s="84" t="s">
        <v>80</v>
      </c>
      <c r="C18" s="85" t="s">
        <v>73</v>
      </c>
      <c r="D18" s="85" t="s">
        <v>63</v>
      </c>
      <c r="E18" s="86" t="s">
        <v>81</v>
      </c>
      <c r="F18" s="85" t="s">
        <v>60</v>
      </c>
      <c r="G18" s="87"/>
      <c r="H18" s="88">
        <f>+G18*AR18</f>
        <v>0</v>
      </c>
      <c r="I18" s="87">
        <v>0</v>
      </c>
      <c r="J18" s="88">
        <f>+I18*AX18</f>
        <v>0</v>
      </c>
      <c r="K18" s="34"/>
      <c r="L18" s="32"/>
      <c r="M18" s="38"/>
      <c r="N18" s="32"/>
      <c r="O18" s="39"/>
      <c r="P18" s="32"/>
      <c r="Q18" s="38"/>
      <c r="R18" s="32"/>
      <c r="S18" s="39"/>
      <c r="T18" s="40"/>
      <c r="U18" s="38"/>
      <c r="V18" s="32"/>
      <c r="W18" s="89"/>
      <c r="X18" s="32"/>
      <c r="Y18" s="39"/>
      <c r="Z18" s="32">
        <f>+Y18*AX18</f>
        <v>0</v>
      </c>
      <c r="AA18" s="39"/>
      <c r="AB18" s="32"/>
      <c r="AC18" s="90"/>
      <c r="AD18" s="32"/>
      <c r="AE18" s="39">
        <v>1</v>
      </c>
      <c r="AF18" s="32">
        <f t="shared" si="0"/>
        <v>24630.923999999999</v>
      </c>
      <c r="AG18" s="39"/>
      <c r="AH18" s="32"/>
      <c r="AI18" s="39"/>
      <c r="AJ18" s="32"/>
      <c r="AK18" s="39"/>
      <c r="AL18" s="32"/>
      <c r="AM18" s="39"/>
      <c r="AN18" s="40"/>
      <c r="AO18" s="39"/>
      <c r="AP18" s="32"/>
      <c r="AQ18" s="39"/>
      <c r="AR18" s="40"/>
      <c r="AS18" s="44"/>
      <c r="AT18" s="43"/>
      <c r="AU18" s="44"/>
      <c r="AV18" s="43"/>
      <c r="AW18" s="33">
        <f t="shared" si="3"/>
        <v>1</v>
      </c>
      <c r="AX18" s="209">
        <v>24630.923999999999</v>
      </c>
      <c r="AY18" s="51">
        <f t="shared" si="2"/>
        <v>24630.923999999999</v>
      </c>
      <c r="AZ18" s="32"/>
    </row>
    <row r="19" spans="1:52" s="56" customFormat="1" ht="29.25" customHeight="1" x14ac:dyDescent="0.2">
      <c r="A19" s="34">
        <v>12</v>
      </c>
      <c r="B19" s="35" t="s">
        <v>82</v>
      </c>
      <c r="C19" s="34" t="s">
        <v>73</v>
      </c>
      <c r="D19" s="34" t="s">
        <v>63</v>
      </c>
      <c r="E19" s="91" t="s">
        <v>222</v>
      </c>
      <c r="F19" s="36" t="s">
        <v>60</v>
      </c>
      <c r="G19" s="87"/>
      <c r="H19" s="88">
        <f>+G19*AR19</f>
        <v>0</v>
      </c>
      <c r="I19" s="87"/>
      <c r="J19" s="88">
        <f>+I19*AX19</f>
        <v>0</v>
      </c>
      <c r="K19" s="34"/>
      <c r="L19" s="32"/>
      <c r="M19" s="38"/>
      <c r="N19" s="32">
        <f>+M19*AX19</f>
        <v>0</v>
      </c>
      <c r="O19" s="39"/>
      <c r="P19" s="32">
        <f>+O19*AX19</f>
        <v>0</v>
      </c>
      <c r="Q19" s="38"/>
      <c r="R19" s="32">
        <f>+Q19*AX19</f>
        <v>0</v>
      </c>
      <c r="S19" s="39"/>
      <c r="T19" s="40"/>
      <c r="U19" s="38"/>
      <c r="V19" s="32"/>
      <c r="W19" s="39"/>
      <c r="X19" s="32">
        <f>+W19*AX19</f>
        <v>0</v>
      </c>
      <c r="Y19" s="39"/>
      <c r="Z19" s="32">
        <f>+Y19*AX19</f>
        <v>0</v>
      </c>
      <c r="AA19" s="39"/>
      <c r="AB19" s="32">
        <f>+AA19*AX19</f>
        <v>0</v>
      </c>
      <c r="AC19" s="90"/>
      <c r="AD19" s="32">
        <f>+AC19*AX19</f>
        <v>0</v>
      </c>
      <c r="AE19" s="39">
        <v>2</v>
      </c>
      <c r="AF19" s="32">
        <f t="shared" si="0"/>
        <v>47492.592000000004</v>
      </c>
      <c r="AG19" s="39"/>
      <c r="AH19" s="32">
        <f>+AG19*AX19</f>
        <v>0</v>
      </c>
      <c r="AI19" s="39"/>
      <c r="AJ19" s="32"/>
      <c r="AK19" s="39"/>
      <c r="AL19" s="32">
        <f>+AK19*AX19</f>
        <v>0</v>
      </c>
      <c r="AM19" s="39"/>
      <c r="AN19" s="40">
        <f>+AM19*AX19</f>
        <v>0</v>
      </c>
      <c r="AO19" s="39"/>
      <c r="AP19" s="32">
        <f>+AO19*AX19</f>
        <v>0</v>
      </c>
      <c r="AQ19" s="39"/>
      <c r="AR19" s="40"/>
      <c r="AS19" s="44"/>
      <c r="AT19" s="43"/>
      <c r="AU19" s="44"/>
      <c r="AV19" s="43"/>
      <c r="AW19" s="33">
        <f t="shared" si="3"/>
        <v>2</v>
      </c>
      <c r="AX19" s="209">
        <v>23746.296000000002</v>
      </c>
      <c r="AY19" s="51">
        <f t="shared" si="2"/>
        <v>47492.592000000004</v>
      </c>
      <c r="AZ19" s="92"/>
    </row>
    <row r="20" spans="1:52" s="56" customFormat="1" ht="25.5" x14ac:dyDescent="0.2">
      <c r="A20" s="34">
        <v>13</v>
      </c>
      <c r="B20" s="93" t="s">
        <v>83</v>
      </c>
      <c r="C20" s="34" t="s">
        <v>73</v>
      </c>
      <c r="D20" s="34" t="s">
        <v>63</v>
      </c>
      <c r="E20" s="91" t="s">
        <v>84</v>
      </c>
      <c r="F20" s="36" t="s">
        <v>60</v>
      </c>
      <c r="G20" s="36"/>
      <c r="H20" s="36"/>
      <c r="I20" s="36"/>
      <c r="J20" s="36"/>
      <c r="K20" s="36"/>
      <c r="L20" s="29"/>
      <c r="M20" s="37"/>
      <c r="N20" s="29"/>
      <c r="O20" s="41"/>
      <c r="P20" s="29"/>
      <c r="Q20" s="37"/>
      <c r="R20" s="29"/>
      <c r="S20" s="41"/>
      <c r="T20" s="42"/>
      <c r="U20" s="37"/>
      <c r="V20" s="29"/>
      <c r="W20" s="41"/>
      <c r="X20" s="29"/>
      <c r="Y20" s="41"/>
      <c r="Z20" s="29"/>
      <c r="AA20" s="41"/>
      <c r="AB20" s="29"/>
      <c r="AC20" s="94"/>
      <c r="AD20" s="29"/>
      <c r="AE20" s="41">
        <v>1</v>
      </c>
      <c r="AF20" s="32">
        <f t="shared" si="0"/>
        <v>20170.416000000001</v>
      </c>
      <c r="AG20" s="41"/>
      <c r="AH20" s="29"/>
      <c r="AI20" s="41"/>
      <c r="AJ20" s="29"/>
      <c r="AK20" s="41"/>
      <c r="AL20" s="29"/>
      <c r="AM20" s="41"/>
      <c r="AN20" s="42"/>
      <c r="AO20" s="41"/>
      <c r="AP20" s="29"/>
      <c r="AQ20" s="41"/>
      <c r="AR20" s="42"/>
      <c r="AS20" s="49"/>
      <c r="AT20" s="48"/>
      <c r="AU20" s="49"/>
      <c r="AV20" s="48"/>
      <c r="AW20" s="33">
        <f t="shared" si="3"/>
        <v>1</v>
      </c>
      <c r="AX20" s="209">
        <v>20170.416000000001</v>
      </c>
      <c r="AY20" s="51">
        <f t="shared" si="2"/>
        <v>20170.416000000001</v>
      </c>
      <c r="AZ20" s="92"/>
    </row>
    <row r="21" spans="1:52" s="78" customFormat="1" ht="25.5" x14ac:dyDescent="0.2">
      <c r="A21" s="34">
        <v>14</v>
      </c>
      <c r="B21" s="35" t="s">
        <v>85</v>
      </c>
      <c r="C21" s="36" t="s">
        <v>73</v>
      </c>
      <c r="D21" s="36" t="s">
        <v>63</v>
      </c>
      <c r="E21" s="91" t="s">
        <v>86</v>
      </c>
      <c r="F21" s="36" t="s">
        <v>60</v>
      </c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30"/>
      <c r="T21" s="31"/>
      <c r="U21" s="64"/>
      <c r="V21" s="64"/>
      <c r="W21" s="64"/>
      <c r="X21" s="64"/>
      <c r="Y21" s="64"/>
      <c r="Z21" s="31">
        <f>+Y21*AX21</f>
        <v>0</v>
      </c>
      <c r="AA21" s="64"/>
      <c r="AB21" s="64"/>
      <c r="AC21" s="64"/>
      <c r="AD21" s="64"/>
      <c r="AE21" s="64">
        <v>2</v>
      </c>
      <c r="AF21" s="32">
        <f t="shared" si="0"/>
        <v>35950.080000000002</v>
      </c>
      <c r="AG21" s="64"/>
      <c r="AH21" s="64"/>
      <c r="AI21" s="64"/>
      <c r="AJ21" s="64"/>
      <c r="AK21" s="64"/>
      <c r="AL21" s="64"/>
      <c r="AM21" s="64"/>
      <c r="AN21" s="31"/>
      <c r="AO21" s="64"/>
      <c r="AP21" s="64"/>
      <c r="AQ21" s="64"/>
      <c r="AR21" s="31"/>
      <c r="AS21" s="77"/>
      <c r="AT21" s="59"/>
      <c r="AU21" s="77"/>
      <c r="AV21" s="59"/>
      <c r="AW21" s="33">
        <f t="shared" si="3"/>
        <v>2</v>
      </c>
      <c r="AX21" s="209">
        <v>17975.04</v>
      </c>
      <c r="AY21" s="51">
        <f t="shared" si="2"/>
        <v>35950.080000000002</v>
      </c>
      <c r="AZ21" s="95"/>
    </row>
    <row r="22" spans="1:52" s="78" customFormat="1" ht="25.5" x14ac:dyDescent="0.2">
      <c r="A22" s="26">
        <v>15</v>
      </c>
      <c r="B22" s="64" t="s">
        <v>218</v>
      </c>
      <c r="C22" s="64" t="s">
        <v>62</v>
      </c>
      <c r="D22" s="210" t="s">
        <v>63</v>
      </c>
      <c r="E22" s="65" t="s">
        <v>88</v>
      </c>
      <c r="F22" s="96" t="s">
        <v>60</v>
      </c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30"/>
      <c r="T22" s="31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>
        <v>1</v>
      </c>
      <c r="AF22" s="32">
        <f t="shared" si="0"/>
        <v>12737.16</v>
      </c>
      <c r="AG22" s="64"/>
      <c r="AH22" s="64"/>
      <c r="AI22" s="64"/>
      <c r="AJ22" s="64"/>
      <c r="AK22" s="64"/>
      <c r="AL22" s="64"/>
      <c r="AM22" s="64"/>
      <c r="AN22" s="31"/>
      <c r="AO22" s="64"/>
      <c r="AP22" s="64"/>
      <c r="AQ22" s="64"/>
      <c r="AR22" s="31"/>
      <c r="AS22" s="77"/>
      <c r="AT22" s="59"/>
      <c r="AU22" s="77"/>
      <c r="AV22" s="59"/>
      <c r="AW22" s="33">
        <f t="shared" si="3"/>
        <v>1</v>
      </c>
      <c r="AX22" s="209">
        <v>12737.16</v>
      </c>
      <c r="AY22" s="51">
        <f t="shared" si="2"/>
        <v>12737.16</v>
      </c>
      <c r="AZ22" s="95"/>
    </row>
    <row r="23" spans="1:52" s="78" customFormat="1" ht="25.5" x14ac:dyDescent="0.2">
      <c r="A23" s="26">
        <v>16</v>
      </c>
      <c r="B23" s="26" t="s">
        <v>105</v>
      </c>
      <c r="C23" s="26" t="s">
        <v>73</v>
      </c>
      <c r="D23" s="26" t="s">
        <v>63</v>
      </c>
      <c r="E23" s="65" t="s">
        <v>90</v>
      </c>
      <c r="F23" s="96" t="s">
        <v>60</v>
      </c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30"/>
      <c r="T23" s="31">
        <f t="shared" ref="T23:T33" si="4">+S23*AX23</f>
        <v>0</v>
      </c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>
        <v>1</v>
      </c>
      <c r="AF23" s="32">
        <f t="shared" si="0"/>
        <v>5808.3600000000006</v>
      </c>
      <c r="AG23" s="64"/>
      <c r="AH23" s="64"/>
      <c r="AI23" s="64"/>
      <c r="AJ23" s="64"/>
      <c r="AK23" s="64"/>
      <c r="AL23" s="64"/>
      <c r="AM23" s="64"/>
      <c r="AN23" s="31"/>
      <c r="AO23" s="64"/>
      <c r="AP23" s="64"/>
      <c r="AQ23" s="64"/>
      <c r="AR23" s="31"/>
      <c r="AS23" s="77"/>
      <c r="AT23" s="59"/>
      <c r="AU23" s="77"/>
      <c r="AV23" s="59"/>
      <c r="AW23" s="33">
        <f t="shared" si="3"/>
        <v>1</v>
      </c>
      <c r="AX23" s="209">
        <v>5808.3600000000006</v>
      </c>
      <c r="AY23" s="51">
        <f t="shared" si="2"/>
        <v>5808.3600000000006</v>
      </c>
      <c r="AZ23" s="55"/>
    </row>
    <row r="24" spans="1:52" s="78" customFormat="1" ht="25.5" x14ac:dyDescent="0.2">
      <c r="A24" s="64">
        <v>17</v>
      </c>
      <c r="B24" s="64" t="s">
        <v>91</v>
      </c>
      <c r="C24" s="64" t="s">
        <v>62</v>
      </c>
      <c r="D24" s="64" t="s">
        <v>63</v>
      </c>
      <c r="E24" s="65" t="s">
        <v>92</v>
      </c>
      <c r="F24" s="64" t="s">
        <v>60</v>
      </c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30"/>
      <c r="T24" s="31">
        <f t="shared" si="4"/>
        <v>0</v>
      </c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>
        <v>2</v>
      </c>
      <c r="AF24" s="32">
        <f t="shared" si="0"/>
        <v>10490.255999999999</v>
      </c>
      <c r="AG24" s="64"/>
      <c r="AH24" s="64"/>
      <c r="AI24" s="64"/>
      <c r="AJ24" s="64"/>
      <c r="AK24" s="64"/>
      <c r="AL24" s="64"/>
      <c r="AM24" s="64"/>
      <c r="AN24" s="31"/>
      <c r="AO24" s="64"/>
      <c r="AP24" s="64"/>
      <c r="AQ24" s="64"/>
      <c r="AR24" s="31"/>
      <c r="AS24" s="77"/>
      <c r="AT24" s="59"/>
      <c r="AU24" s="77"/>
      <c r="AV24" s="59"/>
      <c r="AW24" s="33">
        <f t="shared" si="3"/>
        <v>2</v>
      </c>
      <c r="AX24" s="209">
        <v>5245.1279999999997</v>
      </c>
      <c r="AY24" s="51">
        <f t="shared" si="2"/>
        <v>10490.255999999999</v>
      </c>
      <c r="AZ24" s="55"/>
    </row>
    <row r="25" spans="1:52" s="78" customFormat="1" ht="25.5" x14ac:dyDescent="0.2">
      <c r="A25" s="64">
        <v>18</v>
      </c>
      <c r="B25" s="64" t="s">
        <v>93</v>
      </c>
      <c r="C25" s="64" t="s">
        <v>73</v>
      </c>
      <c r="D25" s="64" t="s">
        <v>63</v>
      </c>
      <c r="E25" s="65" t="s">
        <v>94</v>
      </c>
      <c r="F25" s="64" t="s">
        <v>60</v>
      </c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97"/>
      <c r="T25" s="31">
        <f t="shared" si="4"/>
        <v>0</v>
      </c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>
        <v>1</v>
      </c>
      <c r="AF25" s="32">
        <f t="shared" si="0"/>
        <v>11269.92</v>
      </c>
      <c r="AG25" s="55"/>
      <c r="AH25" s="55"/>
      <c r="AI25" s="55"/>
      <c r="AJ25" s="55"/>
      <c r="AK25" s="55"/>
      <c r="AL25" s="55"/>
      <c r="AM25" s="55"/>
      <c r="AN25" s="98"/>
      <c r="AO25" s="55"/>
      <c r="AP25" s="55"/>
      <c r="AQ25" s="55"/>
      <c r="AR25" s="98"/>
      <c r="AS25" s="99"/>
      <c r="AT25" s="100"/>
      <c r="AU25" s="99"/>
      <c r="AV25" s="100"/>
      <c r="AW25" s="33">
        <f t="shared" si="3"/>
        <v>1</v>
      </c>
      <c r="AX25" s="209">
        <v>11269.92</v>
      </c>
      <c r="AY25" s="51">
        <f t="shared" si="2"/>
        <v>11269.92</v>
      </c>
      <c r="AZ25" s="55"/>
    </row>
    <row r="26" spans="1:52" s="78" customFormat="1" ht="25.5" x14ac:dyDescent="0.2">
      <c r="A26" s="64">
        <v>19</v>
      </c>
      <c r="B26" s="64" t="s">
        <v>95</v>
      </c>
      <c r="C26" s="64" t="s">
        <v>73</v>
      </c>
      <c r="D26" s="64" t="s">
        <v>63</v>
      </c>
      <c r="E26" s="83" t="s">
        <v>96</v>
      </c>
      <c r="F26" s="64" t="s">
        <v>60</v>
      </c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30"/>
      <c r="T26" s="31">
        <f t="shared" si="4"/>
        <v>0</v>
      </c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>
        <v>1</v>
      </c>
      <c r="AF26" s="32">
        <f t="shared" si="0"/>
        <v>16270.691999999999</v>
      </c>
      <c r="AG26" s="64"/>
      <c r="AH26" s="64"/>
      <c r="AI26" s="64"/>
      <c r="AJ26" s="64"/>
      <c r="AK26" s="64"/>
      <c r="AL26" s="64"/>
      <c r="AM26" s="64"/>
      <c r="AN26" s="31"/>
      <c r="AO26" s="64"/>
      <c r="AP26" s="64"/>
      <c r="AQ26" s="64"/>
      <c r="AR26" s="31"/>
      <c r="AS26" s="77"/>
      <c r="AT26" s="59"/>
      <c r="AU26" s="77"/>
      <c r="AV26" s="59"/>
      <c r="AW26" s="33">
        <f t="shared" si="3"/>
        <v>1</v>
      </c>
      <c r="AX26" s="209">
        <v>16270.691999999999</v>
      </c>
      <c r="AY26" s="51">
        <f t="shared" si="2"/>
        <v>16270.691999999999</v>
      </c>
      <c r="AZ26" s="55"/>
    </row>
    <row r="27" spans="1:52" s="78" customFormat="1" ht="25.5" x14ac:dyDescent="0.2">
      <c r="A27" s="64">
        <v>20</v>
      </c>
      <c r="B27" s="64" t="s">
        <v>125</v>
      </c>
      <c r="C27" s="64" t="s">
        <v>62</v>
      </c>
      <c r="D27" s="64" t="s">
        <v>63</v>
      </c>
      <c r="E27" s="65" t="s">
        <v>98</v>
      </c>
      <c r="F27" s="64" t="s">
        <v>60</v>
      </c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30"/>
      <c r="T27" s="31">
        <f t="shared" si="4"/>
        <v>0</v>
      </c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>
        <v>1</v>
      </c>
      <c r="AF27" s="32">
        <f t="shared" si="0"/>
        <v>47244.371999999996</v>
      </c>
      <c r="AG27" s="64"/>
      <c r="AH27" s="64"/>
      <c r="AI27" s="64"/>
      <c r="AJ27" s="64"/>
      <c r="AK27" s="64"/>
      <c r="AL27" s="64"/>
      <c r="AM27" s="64"/>
      <c r="AN27" s="31"/>
      <c r="AO27" s="64"/>
      <c r="AP27" s="64"/>
      <c r="AQ27" s="64"/>
      <c r="AR27" s="31"/>
      <c r="AS27" s="77"/>
      <c r="AT27" s="59"/>
      <c r="AU27" s="77"/>
      <c r="AV27" s="59"/>
      <c r="AW27" s="33">
        <f t="shared" si="3"/>
        <v>1</v>
      </c>
      <c r="AX27" s="209">
        <v>47244.371999999996</v>
      </c>
      <c r="AY27" s="51">
        <f t="shared" si="2"/>
        <v>47244.371999999996</v>
      </c>
      <c r="AZ27" s="55"/>
    </row>
    <row r="28" spans="1:52" s="78" customFormat="1" ht="25.5" x14ac:dyDescent="0.2">
      <c r="A28" s="64">
        <v>21</v>
      </c>
      <c r="B28" s="64" t="s">
        <v>99</v>
      </c>
      <c r="C28" s="64" t="s">
        <v>73</v>
      </c>
      <c r="D28" s="64" t="s">
        <v>63</v>
      </c>
      <c r="E28" s="65" t="s">
        <v>100</v>
      </c>
      <c r="F28" s="64" t="s">
        <v>60</v>
      </c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30"/>
      <c r="T28" s="31">
        <f t="shared" si="4"/>
        <v>0</v>
      </c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>
        <v>2</v>
      </c>
      <c r="AF28" s="32">
        <f t="shared" si="0"/>
        <v>32714.543999999998</v>
      </c>
      <c r="AG28" s="64"/>
      <c r="AH28" s="64"/>
      <c r="AI28" s="64"/>
      <c r="AJ28" s="64"/>
      <c r="AK28" s="64"/>
      <c r="AL28" s="64"/>
      <c r="AM28" s="64"/>
      <c r="AN28" s="31"/>
      <c r="AO28" s="64"/>
      <c r="AP28" s="64"/>
      <c r="AQ28" s="64"/>
      <c r="AR28" s="31"/>
      <c r="AS28" s="77"/>
      <c r="AT28" s="59"/>
      <c r="AU28" s="77"/>
      <c r="AV28" s="59"/>
      <c r="AW28" s="33">
        <f t="shared" si="3"/>
        <v>2</v>
      </c>
      <c r="AX28" s="209">
        <v>16357.271999999999</v>
      </c>
      <c r="AY28" s="51">
        <f t="shared" si="2"/>
        <v>32714.543999999998</v>
      </c>
      <c r="AZ28" s="55"/>
    </row>
    <row r="29" spans="1:52" s="78" customFormat="1" ht="25.5" x14ac:dyDescent="0.2">
      <c r="A29" s="64">
        <v>22</v>
      </c>
      <c r="B29" s="64" t="s">
        <v>101</v>
      </c>
      <c r="C29" s="64" t="s">
        <v>73</v>
      </c>
      <c r="D29" s="64" t="s">
        <v>63</v>
      </c>
      <c r="E29" s="65" t="s">
        <v>102</v>
      </c>
      <c r="F29" s="64" t="s">
        <v>60</v>
      </c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30"/>
      <c r="T29" s="31">
        <f t="shared" si="4"/>
        <v>0</v>
      </c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>
        <v>2</v>
      </c>
      <c r="AF29" s="32">
        <f t="shared" si="0"/>
        <v>24955.343999999997</v>
      </c>
      <c r="AG29" s="64"/>
      <c r="AH29" s="64"/>
      <c r="AI29" s="64"/>
      <c r="AJ29" s="64"/>
      <c r="AK29" s="64"/>
      <c r="AL29" s="64"/>
      <c r="AM29" s="64"/>
      <c r="AN29" s="31"/>
      <c r="AO29" s="64"/>
      <c r="AP29" s="64"/>
      <c r="AQ29" s="64"/>
      <c r="AR29" s="31"/>
      <c r="AS29" s="77"/>
      <c r="AT29" s="59"/>
      <c r="AU29" s="77"/>
      <c r="AV29" s="59"/>
      <c r="AW29" s="33">
        <f t="shared" si="3"/>
        <v>2</v>
      </c>
      <c r="AX29" s="209">
        <v>12477.671999999999</v>
      </c>
      <c r="AY29" s="51">
        <f t="shared" si="2"/>
        <v>24955.343999999997</v>
      </c>
      <c r="AZ29" s="55"/>
    </row>
    <row r="30" spans="1:52" s="78" customFormat="1" ht="25.5" x14ac:dyDescent="0.2">
      <c r="A30" s="64">
        <v>23</v>
      </c>
      <c r="B30" s="64" t="s">
        <v>103</v>
      </c>
      <c r="C30" s="64" t="s">
        <v>62</v>
      </c>
      <c r="D30" s="64" t="s">
        <v>63</v>
      </c>
      <c r="E30" s="65" t="s">
        <v>104</v>
      </c>
      <c r="F30" s="64" t="s">
        <v>60</v>
      </c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30"/>
      <c r="T30" s="31">
        <f t="shared" si="4"/>
        <v>0</v>
      </c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>
        <v>1</v>
      </c>
      <c r="AF30" s="32">
        <f t="shared" si="0"/>
        <v>93271.175999999992</v>
      </c>
      <c r="AG30" s="64"/>
      <c r="AH30" s="64"/>
      <c r="AI30" s="64"/>
      <c r="AJ30" s="64"/>
      <c r="AK30" s="64"/>
      <c r="AL30" s="64"/>
      <c r="AM30" s="64"/>
      <c r="AN30" s="31"/>
      <c r="AO30" s="64"/>
      <c r="AP30" s="64"/>
      <c r="AQ30" s="64"/>
      <c r="AR30" s="31"/>
      <c r="AS30" s="77"/>
      <c r="AT30" s="59"/>
      <c r="AU30" s="77"/>
      <c r="AV30" s="59"/>
      <c r="AW30" s="33">
        <f t="shared" si="3"/>
        <v>1</v>
      </c>
      <c r="AX30" s="209">
        <v>93271.175999999992</v>
      </c>
      <c r="AY30" s="51">
        <f t="shared" si="2"/>
        <v>93271.175999999992</v>
      </c>
      <c r="AZ30" s="55"/>
    </row>
    <row r="31" spans="1:52" s="78" customFormat="1" ht="25.5" x14ac:dyDescent="0.2">
      <c r="A31" s="64">
        <v>24</v>
      </c>
      <c r="B31" s="64" t="s">
        <v>219</v>
      </c>
      <c r="C31" s="64" t="s">
        <v>73</v>
      </c>
      <c r="D31" s="64" t="s">
        <v>63</v>
      </c>
      <c r="E31" s="65" t="s">
        <v>106</v>
      </c>
      <c r="F31" s="64" t="s">
        <v>60</v>
      </c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30"/>
      <c r="T31" s="31">
        <f t="shared" si="4"/>
        <v>0</v>
      </c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>
        <v>2</v>
      </c>
      <c r="AF31" s="32">
        <f t="shared" si="0"/>
        <v>40264.080000000002</v>
      </c>
      <c r="AG31" s="64"/>
      <c r="AH31" s="64"/>
      <c r="AI31" s="64"/>
      <c r="AJ31" s="64"/>
      <c r="AK31" s="64"/>
      <c r="AL31" s="64"/>
      <c r="AM31" s="64"/>
      <c r="AN31" s="31"/>
      <c r="AO31" s="64"/>
      <c r="AP31" s="64"/>
      <c r="AQ31" s="64"/>
      <c r="AR31" s="31"/>
      <c r="AS31" s="77"/>
      <c r="AT31" s="59"/>
      <c r="AU31" s="77"/>
      <c r="AV31" s="59"/>
      <c r="AW31" s="33">
        <f t="shared" si="3"/>
        <v>2</v>
      </c>
      <c r="AX31" s="209">
        <v>20132.04</v>
      </c>
      <c r="AY31" s="51">
        <f t="shared" si="2"/>
        <v>40264.080000000002</v>
      </c>
      <c r="AZ31" s="55"/>
    </row>
    <row r="32" spans="1:52" s="78" customFormat="1" ht="25.5" x14ac:dyDescent="0.2">
      <c r="A32" s="64">
        <v>25</v>
      </c>
      <c r="B32" s="64" t="s">
        <v>107</v>
      </c>
      <c r="C32" s="64" t="s">
        <v>73</v>
      </c>
      <c r="D32" s="64" t="s">
        <v>63</v>
      </c>
      <c r="E32" s="65" t="s">
        <v>108</v>
      </c>
      <c r="F32" s="64" t="s">
        <v>60</v>
      </c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30"/>
      <c r="T32" s="31">
        <f t="shared" si="4"/>
        <v>0</v>
      </c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>
        <v>1</v>
      </c>
      <c r="AF32" s="32">
        <f t="shared" si="0"/>
        <v>21878.400000000001</v>
      </c>
      <c r="AG32" s="64"/>
      <c r="AH32" s="64"/>
      <c r="AI32" s="64"/>
      <c r="AJ32" s="64"/>
      <c r="AK32" s="64"/>
      <c r="AL32" s="64"/>
      <c r="AM32" s="64"/>
      <c r="AN32" s="31"/>
      <c r="AO32" s="64"/>
      <c r="AP32" s="64"/>
      <c r="AQ32" s="64"/>
      <c r="AR32" s="31"/>
      <c r="AS32" s="77"/>
      <c r="AT32" s="59"/>
      <c r="AU32" s="77"/>
      <c r="AV32" s="59"/>
      <c r="AW32" s="33">
        <f t="shared" si="3"/>
        <v>1</v>
      </c>
      <c r="AX32" s="209">
        <v>21878.400000000001</v>
      </c>
      <c r="AY32" s="51">
        <f t="shared" si="2"/>
        <v>21878.400000000001</v>
      </c>
      <c r="AZ32" s="55"/>
    </row>
    <row r="33" spans="1:52" s="78" customFormat="1" ht="25.5" x14ac:dyDescent="0.2">
      <c r="A33" s="64">
        <v>26</v>
      </c>
      <c r="B33" s="64" t="s">
        <v>109</v>
      </c>
      <c r="C33" s="64" t="s">
        <v>73</v>
      </c>
      <c r="D33" s="64" t="s">
        <v>63</v>
      </c>
      <c r="E33" s="65" t="s">
        <v>110</v>
      </c>
      <c r="F33" s="64" t="s">
        <v>60</v>
      </c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30"/>
      <c r="T33" s="31">
        <f t="shared" si="4"/>
        <v>0</v>
      </c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>
        <v>2</v>
      </c>
      <c r="AF33" s="32">
        <f t="shared" si="0"/>
        <v>38476.800000000003</v>
      </c>
      <c r="AG33" s="64"/>
      <c r="AH33" s="64"/>
      <c r="AI33" s="64"/>
      <c r="AJ33" s="64"/>
      <c r="AK33" s="64"/>
      <c r="AL33" s="64"/>
      <c r="AM33" s="64"/>
      <c r="AN33" s="31"/>
      <c r="AO33" s="64"/>
      <c r="AP33" s="64"/>
      <c r="AQ33" s="64"/>
      <c r="AR33" s="31"/>
      <c r="AS33" s="77"/>
      <c r="AT33" s="59"/>
      <c r="AU33" s="77"/>
      <c r="AV33" s="59"/>
      <c r="AW33" s="33">
        <f t="shared" si="3"/>
        <v>2</v>
      </c>
      <c r="AX33" s="209">
        <v>19238.400000000001</v>
      </c>
      <c r="AY33" s="51">
        <f t="shared" si="2"/>
        <v>38476.800000000003</v>
      </c>
      <c r="AZ33" s="55"/>
    </row>
    <row r="34" spans="1:52" s="78" customFormat="1" ht="25.5" x14ac:dyDescent="0.2">
      <c r="A34" s="64">
        <v>27</v>
      </c>
      <c r="B34" s="64" t="s">
        <v>111</v>
      </c>
      <c r="C34" s="64" t="s">
        <v>73</v>
      </c>
      <c r="D34" s="64" t="s">
        <v>63</v>
      </c>
      <c r="E34" s="65" t="s">
        <v>112</v>
      </c>
      <c r="F34" s="64" t="s">
        <v>60</v>
      </c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30"/>
      <c r="T34" s="31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>
        <v>1</v>
      </c>
      <c r="AF34" s="32">
        <f t="shared" si="0"/>
        <v>30958.151999999998</v>
      </c>
      <c r="AG34" s="64"/>
      <c r="AH34" s="64"/>
      <c r="AI34" s="64"/>
      <c r="AJ34" s="64"/>
      <c r="AK34" s="64"/>
      <c r="AL34" s="64"/>
      <c r="AM34" s="64"/>
      <c r="AN34" s="31"/>
      <c r="AO34" s="64"/>
      <c r="AP34" s="64"/>
      <c r="AQ34" s="64"/>
      <c r="AR34" s="31"/>
      <c r="AS34" s="77"/>
      <c r="AT34" s="59"/>
      <c r="AU34" s="77"/>
      <c r="AV34" s="59"/>
      <c r="AW34" s="33">
        <f t="shared" si="3"/>
        <v>1</v>
      </c>
      <c r="AX34" s="209">
        <v>30958.151999999998</v>
      </c>
      <c r="AY34" s="51">
        <f t="shared" si="2"/>
        <v>30958.151999999998</v>
      </c>
      <c r="AZ34" s="95"/>
    </row>
    <row r="35" spans="1:52" s="78" customFormat="1" ht="25.5" x14ac:dyDescent="0.2">
      <c r="A35" s="26">
        <v>28</v>
      </c>
      <c r="B35" s="26" t="s">
        <v>113</v>
      </c>
      <c r="C35" s="26" t="s">
        <v>73</v>
      </c>
      <c r="D35" s="26" t="s">
        <v>63</v>
      </c>
      <c r="E35" s="65" t="s">
        <v>114</v>
      </c>
      <c r="F35" s="96" t="s">
        <v>60</v>
      </c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30"/>
      <c r="T35" s="31">
        <f t="shared" ref="T35:T60" si="5">+S35*AX35</f>
        <v>0</v>
      </c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>
        <v>2</v>
      </c>
      <c r="AF35" s="32">
        <f t="shared" si="0"/>
        <v>73214.903999999995</v>
      </c>
      <c r="AG35" s="64"/>
      <c r="AH35" s="64"/>
      <c r="AI35" s="64"/>
      <c r="AJ35" s="64"/>
      <c r="AK35" s="64"/>
      <c r="AL35" s="64"/>
      <c r="AM35" s="64"/>
      <c r="AN35" s="31"/>
      <c r="AO35" s="64"/>
      <c r="AP35" s="64"/>
      <c r="AQ35" s="64"/>
      <c r="AR35" s="31"/>
      <c r="AS35" s="77"/>
      <c r="AT35" s="59"/>
      <c r="AU35" s="77"/>
      <c r="AV35" s="59"/>
      <c r="AW35" s="33">
        <f t="shared" si="3"/>
        <v>2</v>
      </c>
      <c r="AX35" s="209">
        <v>36607.451999999997</v>
      </c>
      <c r="AY35" s="51">
        <f t="shared" si="2"/>
        <v>73214.903999999995</v>
      </c>
      <c r="AZ35" s="55"/>
    </row>
    <row r="36" spans="1:52" s="78" customFormat="1" ht="25.5" x14ac:dyDescent="0.2">
      <c r="A36" s="64">
        <v>29</v>
      </c>
      <c r="B36" s="64" t="s">
        <v>115</v>
      </c>
      <c r="C36" s="64" t="s">
        <v>73</v>
      </c>
      <c r="D36" s="64" t="s">
        <v>63</v>
      </c>
      <c r="E36" s="65" t="s">
        <v>116</v>
      </c>
      <c r="F36" s="64" t="s">
        <v>60</v>
      </c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30"/>
      <c r="T36" s="31">
        <f t="shared" si="5"/>
        <v>0</v>
      </c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>
        <v>1</v>
      </c>
      <c r="AF36" s="32">
        <f t="shared" si="0"/>
        <v>3882.7439999999997</v>
      </c>
      <c r="AG36" s="64"/>
      <c r="AH36" s="64"/>
      <c r="AI36" s="64"/>
      <c r="AJ36" s="64"/>
      <c r="AK36" s="64"/>
      <c r="AL36" s="64"/>
      <c r="AM36" s="64"/>
      <c r="AN36" s="31"/>
      <c r="AO36" s="64"/>
      <c r="AP36" s="64"/>
      <c r="AQ36" s="64"/>
      <c r="AR36" s="31"/>
      <c r="AS36" s="77"/>
      <c r="AT36" s="59"/>
      <c r="AU36" s="77"/>
      <c r="AV36" s="59"/>
      <c r="AW36" s="33">
        <f t="shared" si="3"/>
        <v>1</v>
      </c>
      <c r="AX36" s="209">
        <v>3882.7439999999997</v>
      </c>
      <c r="AY36" s="51">
        <f t="shared" si="2"/>
        <v>3882.7439999999997</v>
      </c>
      <c r="AZ36" s="55"/>
    </row>
    <row r="37" spans="1:52" s="78" customFormat="1" ht="25.5" x14ac:dyDescent="0.2">
      <c r="A37" s="64">
        <v>30</v>
      </c>
      <c r="B37" s="64" t="s">
        <v>97</v>
      </c>
      <c r="C37" s="64" t="s">
        <v>62</v>
      </c>
      <c r="D37" s="64" t="s">
        <v>63</v>
      </c>
      <c r="E37" s="65" t="s">
        <v>118</v>
      </c>
      <c r="F37" s="64" t="s">
        <v>60</v>
      </c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30"/>
      <c r="T37" s="31">
        <f t="shared" si="5"/>
        <v>0</v>
      </c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>
        <v>2</v>
      </c>
      <c r="AF37" s="32">
        <f t="shared" si="0"/>
        <v>10951.2</v>
      </c>
      <c r="AG37" s="64"/>
      <c r="AH37" s="64"/>
      <c r="AI37" s="64"/>
      <c r="AJ37" s="64"/>
      <c r="AK37" s="64"/>
      <c r="AL37" s="64"/>
      <c r="AM37" s="64"/>
      <c r="AN37" s="31"/>
      <c r="AO37" s="64"/>
      <c r="AP37" s="64"/>
      <c r="AQ37" s="64"/>
      <c r="AR37" s="31"/>
      <c r="AS37" s="77"/>
      <c r="AT37" s="59"/>
      <c r="AU37" s="77"/>
      <c r="AV37" s="59"/>
      <c r="AW37" s="33">
        <f t="shared" si="3"/>
        <v>2</v>
      </c>
      <c r="AX37" s="209">
        <v>5475.6</v>
      </c>
      <c r="AY37" s="51">
        <f t="shared" si="2"/>
        <v>10951.2</v>
      </c>
      <c r="AZ37" s="55"/>
    </row>
    <row r="38" spans="1:52" s="78" customFormat="1" ht="25.5" x14ac:dyDescent="0.2">
      <c r="A38" s="64">
        <v>31</v>
      </c>
      <c r="B38" s="64" t="s">
        <v>119</v>
      </c>
      <c r="C38" s="64" t="s">
        <v>73</v>
      </c>
      <c r="D38" s="64" t="s">
        <v>63</v>
      </c>
      <c r="E38" s="65" t="s">
        <v>120</v>
      </c>
      <c r="F38" s="64" t="s">
        <v>60</v>
      </c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30"/>
      <c r="T38" s="31">
        <f t="shared" si="5"/>
        <v>0</v>
      </c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>
        <v>1</v>
      </c>
      <c r="AF38" s="32">
        <f t="shared" si="0"/>
        <v>33924.875999999997</v>
      </c>
      <c r="AG38" s="64"/>
      <c r="AH38" s="64"/>
      <c r="AI38" s="64"/>
      <c r="AJ38" s="64"/>
      <c r="AK38" s="64"/>
      <c r="AL38" s="64"/>
      <c r="AM38" s="64"/>
      <c r="AN38" s="31"/>
      <c r="AO38" s="64"/>
      <c r="AP38" s="64"/>
      <c r="AQ38" s="64"/>
      <c r="AR38" s="31"/>
      <c r="AS38" s="77"/>
      <c r="AT38" s="59"/>
      <c r="AU38" s="77"/>
      <c r="AV38" s="59"/>
      <c r="AW38" s="33">
        <f t="shared" si="3"/>
        <v>1</v>
      </c>
      <c r="AX38" s="209">
        <v>33924.875999999997</v>
      </c>
      <c r="AY38" s="51">
        <f t="shared" si="2"/>
        <v>33924.875999999997</v>
      </c>
      <c r="AZ38" s="55"/>
    </row>
    <row r="39" spans="1:52" s="78" customFormat="1" ht="25.5" x14ac:dyDescent="0.2">
      <c r="A39" s="64">
        <v>32</v>
      </c>
      <c r="B39" s="64" t="s">
        <v>121</v>
      </c>
      <c r="C39" s="64" t="s">
        <v>73</v>
      </c>
      <c r="D39" s="64" t="s">
        <v>63</v>
      </c>
      <c r="E39" s="65" t="s">
        <v>122</v>
      </c>
      <c r="F39" s="64" t="s">
        <v>60</v>
      </c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30"/>
      <c r="T39" s="31">
        <f t="shared" si="5"/>
        <v>0</v>
      </c>
      <c r="U39" s="64"/>
      <c r="V39" s="64"/>
      <c r="W39" s="64"/>
      <c r="X39" s="64"/>
      <c r="Y39" s="64"/>
      <c r="Z39" s="64"/>
      <c r="AA39" s="64"/>
      <c r="AB39" s="64"/>
      <c r="AC39" s="64"/>
      <c r="AD39" s="64"/>
      <c r="AE39" s="64">
        <v>4</v>
      </c>
      <c r="AF39" s="32">
        <f t="shared" si="0"/>
        <v>36592.031999999999</v>
      </c>
      <c r="AG39" s="64"/>
      <c r="AH39" s="64"/>
      <c r="AI39" s="64"/>
      <c r="AJ39" s="64"/>
      <c r="AK39" s="64"/>
      <c r="AL39" s="64"/>
      <c r="AM39" s="64"/>
      <c r="AN39" s="31"/>
      <c r="AO39" s="64"/>
      <c r="AP39" s="64"/>
      <c r="AQ39" s="64"/>
      <c r="AR39" s="31"/>
      <c r="AS39" s="77"/>
      <c r="AT39" s="59"/>
      <c r="AU39" s="77"/>
      <c r="AV39" s="59"/>
      <c r="AW39" s="33">
        <f t="shared" si="3"/>
        <v>4</v>
      </c>
      <c r="AX39" s="209">
        <v>9148.0079999999998</v>
      </c>
      <c r="AY39" s="51">
        <f t="shared" si="2"/>
        <v>36592.031999999999</v>
      </c>
      <c r="AZ39" s="55"/>
    </row>
    <row r="40" spans="1:52" s="78" customFormat="1" ht="25.5" x14ac:dyDescent="0.2">
      <c r="A40" s="64">
        <v>33</v>
      </c>
      <c r="B40" s="64" t="s">
        <v>123</v>
      </c>
      <c r="C40" s="64" t="s">
        <v>73</v>
      </c>
      <c r="D40" s="64" t="s">
        <v>63</v>
      </c>
      <c r="E40" s="65" t="s">
        <v>124</v>
      </c>
      <c r="F40" s="64" t="s">
        <v>60</v>
      </c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30"/>
      <c r="T40" s="31">
        <f t="shared" si="5"/>
        <v>0</v>
      </c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>
        <v>2</v>
      </c>
      <c r="AF40" s="32">
        <f t="shared" si="0"/>
        <v>74118.767999999996</v>
      </c>
      <c r="AG40" s="64"/>
      <c r="AH40" s="64"/>
      <c r="AI40" s="64"/>
      <c r="AJ40" s="64"/>
      <c r="AK40" s="64"/>
      <c r="AL40" s="64"/>
      <c r="AM40" s="64"/>
      <c r="AN40" s="31"/>
      <c r="AO40" s="64"/>
      <c r="AP40" s="64"/>
      <c r="AQ40" s="64"/>
      <c r="AR40" s="31"/>
      <c r="AS40" s="77"/>
      <c r="AT40" s="59"/>
      <c r="AU40" s="77"/>
      <c r="AV40" s="59"/>
      <c r="AW40" s="33">
        <f t="shared" si="3"/>
        <v>2</v>
      </c>
      <c r="AX40" s="209">
        <v>37059.383999999998</v>
      </c>
      <c r="AY40" s="51">
        <f t="shared" si="2"/>
        <v>74118.767999999996</v>
      </c>
      <c r="AZ40" s="55"/>
    </row>
    <row r="41" spans="1:52" s="78" customFormat="1" ht="25.5" x14ac:dyDescent="0.2">
      <c r="A41" s="64">
        <v>34</v>
      </c>
      <c r="B41" s="64" t="s">
        <v>87</v>
      </c>
      <c r="C41" s="64" t="s">
        <v>62</v>
      </c>
      <c r="D41" s="64" t="s">
        <v>63</v>
      </c>
      <c r="E41" s="65" t="s">
        <v>126</v>
      </c>
      <c r="F41" s="64" t="s">
        <v>60</v>
      </c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30"/>
      <c r="T41" s="31">
        <f t="shared" si="5"/>
        <v>0</v>
      </c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>
        <v>1</v>
      </c>
      <c r="AF41" s="32">
        <f t="shared" si="0"/>
        <v>32278.188000000002</v>
      </c>
      <c r="AG41" s="64"/>
      <c r="AH41" s="64"/>
      <c r="AI41" s="64"/>
      <c r="AJ41" s="64"/>
      <c r="AK41" s="64"/>
      <c r="AL41" s="64"/>
      <c r="AM41" s="64"/>
      <c r="AN41" s="31"/>
      <c r="AO41" s="64"/>
      <c r="AP41" s="64"/>
      <c r="AQ41" s="64"/>
      <c r="AR41" s="31"/>
      <c r="AS41" s="77"/>
      <c r="AT41" s="59"/>
      <c r="AU41" s="77"/>
      <c r="AV41" s="59"/>
      <c r="AW41" s="33">
        <f t="shared" si="3"/>
        <v>1</v>
      </c>
      <c r="AX41" s="209">
        <v>32278.188000000002</v>
      </c>
      <c r="AY41" s="51">
        <f t="shared" si="2"/>
        <v>32278.188000000002</v>
      </c>
      <c r="AZ41" s="55"/>
    </row>
    <row r="42" spans="1:52" s="78" customFormat="1" ht="25.5" x14ac:dyDescent="0.2">
      <c r="A42" s="64">
        <v>35</v>
      </c>
      <c r="B42" s="64" t="s">
        <v>127</v>
      </c>
      <c r="C42" s="64" t="s">
        <v>62</v>
      </c>
      <c r="D42" s="64" t="s">
        <v>63</v>
      </c>
      <c r="E42" s="65" t="s">
        <v>203</v>
      </c>
      <c r="F42" s="64" t="s">
        <v>60</v>
      </c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30"/>
      <c r="T42" s="31">
        <f t="shared" si="5"/>
        <v>0</v>
      </c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>
        <v>3</v>
      </c>
      <c r="AF42" s="32">
        <f t="shared" si="0"/>
        <v>7223.8320000000003</v>
      </c>
      <c r="AG42" s="64"/>
      <c r="AH42" s="64"/>
      <c r="AI42" s="64"/>
      <c r="AJ42" s="64"/>
      <c r="AK42" s="64"/>
      <c r="AL42" s="64"/>
      <c r="AM42" s="64"/>
      <c r="AN42" s="31"/>
      <c r="AO42" s="64"/>
      <c r="AP42" s="64"/>
      <c r="AQ42" s="64"/>
      <c r="AR42" s="31"/>
      <c r="AS42" s="77"/>
      <c r="AT42" s="59"/>
      <c r="AU42" s="77"/>
      <c r="AV42" s="59"/>
      <c r="AW42" s="33">
        <f t="shared" si="3"/>
        <v>3</v>
      </c>
      <c r="AX42" s="209">
        <v>2407.944</v>
      </c>
      <c r="AY42" s="51">
        <f t="shared" si="2"/>
        <v>7223.8320000000003</v>
      </c>
      <c r="AZ42" s="55"/>
    </row>
    <row r="43" spans="1:52" s="78" customFormat="1" ht="25.5" x14ac:dyDescent="0.2">
      <c r="A43" s="64">
        <v>36</v>
      </c>
      <c r="B43" s="64" t="s">
        <v>128</v>
      </c>
      <c r="C43" s="64" t="s">
        <v>62</v>
      </c>
      <c r="D43" s="64" t="s">
        <v>63</v>
      </c>
      <c r="E43" s="65" t="s">
        <v>129</v>
      </c>
      <c r="F43" s="64" t="s">
        <v>60</v>
      </c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30"/>
      <c r="T43" s="31">
        <f t="shared" si="5"/>
        <v>0</v>
      </c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>
        <v>1</v>
      </c>
      <c r="AF43" s="32">
        <f t="shared" si="0"/>
        <v>17418.167999999998</v>
      </c>
      <c r="AG43" s="64"/>
      <c r="AH43" s="64"/>
      <c r="AI43" s="64"/>
      <c r="AJ43" s="64"/>
      <c r="AK43" s="64"/>
      <c r="AL43" s="64"/>
      <c r="AM43" s="64"/>
      <c r="AN43" s="31"/>
      <c r="AO43" s="64"/>
      <c r="AP43" s="64"/>
      <c r="AQ43" s="64"/>
      <c r="AR43" s="31"/>
      <c r="AS43" s="77"/>
      <c r="AT43" s="59"/>
      <c r="AU43" s="77"/>
      <c r="AV43" s="59"/>
      <c r="AW43" s="33">
        <f t="shared" si="3"/>
        <v>1</v>
      </c>
      <c r="AX43" s="209">
        <v>17418.167999999998</v>
      </c>
      <c r="AY43" s="51">
        <f t="shared" si="2"/>
        <v>17418.167999999998</v>
      </c>
      <c r="AZ43" s="55"/>
    </row>
    <row r="44" spans="1:52" s="78" customFormat="1" ht="25.5" x14ac:dyDescent="0.2">
      <c r="A44" s="64">
        <v>37</v>
      </c>
      <c r="B44" s="64" t="s">
        <v>130</v>
      </c>
      <c r="C44" s="64" t="s">
        <v>62</v>
      </c>
      <c r="D44" s="64" t="s">
        <v>63</v>
      </c>
      <c r="E44" s="65" t="s">
        <v>131</v>
      </c>
      <c r="F44" s="64" t="s">
        <v>60</v>
      </c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30"/>
      <c r="T44" s="31">
        <f t="shared" si="5"/>
        <v>0</v>
      </c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>
        <v>4</v>
      </c>
      <c r="AF44" s="32">
        <f t="shared" si="0"/>
        <v>14984.016</v>
      </c>
      <c r="AG44" s="64"/>
      <c r="AH44" s="64"/>
      <c r="AI44" s="64"/>
      <c r="AJ44" s="64"/>
      <c r="AK44" s="64"/>
      <c r="AL44" s="64"/>
      <c r="AM44" s="64"/>
      <c r="AN44" s="31"/>
      <c r="AO44" s="64"/>
      <c r="AP44" s="64"/>
      <c r="AQ44" s="64"/>
      <c r="AR44" s="31"/>
      <c r="AS44" s="77"/>
      <c r="AT44" s="59"/>
      <c r="AU44" s="77"/>
      <c r="AV44" s="59"/>
      <c r="AW44" s="33">
        <f t="shared" si="3"/>
        <v>4</v>
      </c>
      <c r="AX44" s="209">
        <v>3746.0039999999999</v>
      </c>
      <c r="AY44" s="51">
        <f t="shared" si="2"/>
        <v>14984.016</v>
      </c>
      <c r="AZ44" s="55"/>
    </row>
    <row r="45" spans="1:52" s="78" customFormat="1" ht="25.5" x14ac:dyDescent="0.2">
      <c r="A45" s="64">
        <v>38</v>
      </c>
      <c r="B45" s="64" t="s">
        <v>132</v>
      </c>
      <c r="C45" s="64" t="s">
        <v>62</v>
      </c>
      <c r="D45" s="64" t="s">
        <v>63</v>
      </c>
      <c r="E45" s="65" t="s">
        <v>133</v>
      </c>
      <c r="F45" s="64" t="s">
        <v>60</v>
      </c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30"/>
      <c r="T45" s="31">
        <f t="shared" si="5"/>
        <v>0</v>
      </c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>
        <v>6</v>
      </c>
      <c r="AF45" s="32">
        <f t="shared" si="0"/>
        <v>12259.44</v>
      </c>
      <c r="AG45" s="64"/>
      <c r="AH45" s="64"/>
      <c r="AI45" s="64"/>
      <c r="AJ45" s="64"/>
      <c r="AK45" s="64"/>
      <c r="AL45" s="64"/>
      <c r="AM45" s="64"/>
      <c r="AN45" s="31"/>
      <c r="AO45" s="64"/>
      <c r="AP45" s="64"/>
      <c r="AQ45" s="64"/>
      <c r="AR45" s="31"/>
      <c r="AS45" s="77"/>
      <c r="AT45" s="59"/>
      <c r="AU45" s="77"/>
      <c r="AV45" s="59"/>
      <c r="AW45" s="33">
        <f t="shared" si="3"/>
        <v>6</v>
      </c>
      <c r="AX45" s="209">
        <v>2043.24</v>
      </c>
      <c r="AY45" s="51">
        <f t="shared" si="2"/>
        <v>12259.44</v>
      </c>
      <c r="AZ45" s="55"/>
    </row>
    <row r="46" spans="1:52" s="78" customFormat="1" ht="25.5" x14ac:dyDescent="0.2">
      <c r="A46" s="64">
        <v>39</v>
      </c>
      <c r="B46" s="64" t="s">
        <v>134</v>
      </c>
      <c r="C46" s="64" t="s">
        <v>62</v>
      </c>
      <c r="D46" s="64" t="s">
        <v>63</v>
      </c>
      <c r="E46" s="65" t="s">
        <v>135</v>
      </c>
      <c r="F46" s="64" t="s">
        <v>60</v>
      </c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30"/>
      <c r="T46" s="31">
        <f t="shared" si="5"/>
        <v>0</v>
      </c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>
        <v>6</v>
      </c>
      <c r="AF46" s="32">
        <f t="shared" si="0"/>
        <v>12834.432000000001</v>
      </c>
      <c r="AG46" s="64"/>
      <c r="AH46" s="64"/>
      <c r="AI46" s="64"/>
      <c r="AJ46" s="64"/>
      <c r="AK46" s="64"/>
      <c r="AL46" s="64"/>
      <c r="AM46" s="64"/>
      <c r="AN46" s="31"/>
      <c r="AO46" s="64"/>
      <c r="AP46" s="64"/>
      <c r="AQ46" s="64"/>
      <c r="AR46" s="31"/>
      <c r="AS46" s="77"/>
      <c r="AT46" s="59"/>
      <c r="AU46" s="77"/>
      <c r="AV46" s="59"/>
      <c r="AW46" s="33">
        <f t="shared" si="3"/>
        <v>6</v>
      </c>
      <c r="AX46" s="209">
        <v>2139.0720000000001</v>
      </c>
      <c r="AY46" s="51">
        <f t="shared" si="2"/>
        <v>12834.432000000001</v>
      </c>
      <c r="AZ46" s="55"/>
    </row>
    <row r="47" spans="1:52" s="78" customFormat="1" ht="25.5" x14ac:dyDescent="0.2">
      <c r="A47" s="64">
        <v>40</v>
      </c>
      <c r="B47" s="64" t="s">
        <v>136</v>
      </c>
      <c r="C47" s="64" t="s">
        <v>62</v>
      </c>
      <c r="D47" s="64" t="s">
        <v>63</v>
      </c>
      <c r="E47" s="65" t="s">
        <v>137</v>
      </c>
      <c r="F47" s="64" t="s">
        <v>60</v>
      </c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30"/>
      <c r="T47" s="31">
        <f t="shared" si="5"/>
        <v>0</v>
      </c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>
        <v>3</v>
      </c>
      <c r="AF47" s="32">
        <f t="shared" si="0"/>
        <v>8027.2800000000007</v>
      </c>
      <c r="AG47" s="64"/>
      <c r="AH47" s="64"/>
      <c r="AI47" s="64"/>
      <c r="AJ47" s="64"/>
      <c r="AK47" s="64"/>
      <c r="AL47" s="64"/>
      <c r="AM47" s="64"/>
      <c r="AN47" s="31"/>
      <c r="AO47" s="64"/>
      <c r="AP47" s="64"/>
      <c r="AQ47" s="64"/>
      <c r="AR47" s="31"/>
      <c r="AS47" s="77"/>
      <c r="AT47" s="59"/>
      <c r="AU47" s="77"/>
      <c r="AV47" s="59"/>
      <c r="AW47" s="33">
        <f t="shared" si="3"/>
        <v>3</v>
      </c>
      <c r="AX47" s="209">
        <v>2675.76</v>
      </c>
      <c r="AY47" s="51">
        <f t="shared" si="2"/>
        <v>8027.2800000000007</v>
      </c>
      <c r="AZ47" s="55"/>
    </row>
    <row r="48" spans="1:52" s="78" customFormat="1" ht="25.5" x14ac:dyDescent="0.2">
      <c r="A48" s="64">
        <v>41</v>
      </c>
      <c r="B48" s="64" t="s">
        <v>138</v>
      </c>
      <c r="C48" s="64" t="s">
        <v>62</v>
      </c>
      <c r="D48" s="64" t="s">
        <v>63</v>
      </c>
      <c r="E48" s="65" t="s">
        <v>139</v>
      </c>
      <c r="F48" s="64" t="s">
        <v>60</v>
      </c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30"/>
      <c r="T48" s="31">
        <f t="shared" si="5"/>
        <v>0</v>
      </c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>
        <v>3</v>
      </c>
      <c r="AF48" s="32">
        <f t="shared" si="0"/>
        <v>10434.528</v>
      </c>
      <c r="AG48" s="64"/>
      <c r="AH48" s="64"/>
      <c r="AI48" s="64"/>
      <c r="AJ48" s="64"/>
      <c r="AK48" s="64"/>
      <c r="AL48" s="64"/>
      <c r="AM48" s="64"/>
      <c r="AN48" s="31"/>
      <c r="AO48" s="64"/>
      <c r="AP48" s="64"/>
      <c r="AQ48" s="64"/>
      <c r="AR48" s="31"/>
      <c r="AS48" s="77"/>
      <c r="AT48" s="59"/>
      <c r="AU48" s="77"/>
      <c r="AV48" s="59"/>
      <c r="AW48" s="33">
        <f t="shared" si="3"/>
        <v>3</v>
      </c>
      <c r="AX48" s="209">
        <v>3478.1759999999999</v>
      </c>
      <c r="AY48" s="51">
        <f t="shared" si="2"/>
        <v>10434.528</v>
      </c>
      <c r="AZ48" s="55"/>
    </row>
    <row r="49" spans="1:52" s="78" customFormat="1" ht="25.5" x14ac:dyDescent="0.2">
      <c r="A49" s="64">
        <v>42</v>
      </c>
      <c r="B49" s="64" t="s">
        <v>140</v>
      </c>
      <c r="C49" s="64" t="s">
        <v>62</v>
      </c>
      <c r="D49" s="64" t="s">
        <v>63</v>
      </c>
      <c r="E49" s="65" t="s">
        <v>141</v>
      </c>
      <c r="F49" s="64" t="s">
        <v>60</v>
      </c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30"/>
      <c r="T49" s="31">
        <f t="shared" si="5"/>
        <v>0</v>
      </c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>
        <v>3</v>
      </c>
      <c r="AF49" s="32">
        <f t="shared" si="0"/>
        <v>6129.72</v>
      </c>
      <c r="AG49" s="64"/>
      <c r="AH49" s="64"/>
      <c r="AI49" s="64"/>
      <c r="AJ49" s="64"/>
      <c r="AK49" s="64"/>
      <c r="AL49" s="64"/>
      <c r="AM49" s="64"/>
      <c r="AN49" s="31"/>
      <c r="AO49" s="64"/>
      <c r="AP49" s="64"/>
      <c r="AQ49" s="64"/>
      <c r="AR49" s="31"/>
      <c r="AS49" s="77"/>
      <c r="AT49" s="59"/>
      <c r="AU49" s="77"/>
      <c r="AV49" s="59"/>
      <c r="AW49" s="33">
        <f t="shared" si="3"/>
        <v>3</v>
      </c>
      <c r="AX49" s="209">
        <v>2043.24</v>
      </c>
      <c r="AY49" s="51">
        <f t="shared" si="2"/>
        <v>6129.72</v>
      </c>
      <c r="AZ49" s="55"/>
    </row>
    <row r="50" spans="1:52" s="78" customFormat="1" ht="25.5" x14ac:dyDescent="0.2">
      <c r="A50" s="64">
        <v>43</v>
      </c>
      <c r="B50" s="64" t="s">
        <v>142</v>
      </c>
      <c r="C50" s="64" t="s">
        <v>62</v>
      </c>
      <c r="D50" s="64" t="s">
        <v>63</v>
      </c>
      <c r="E50" s="65" t="s">
        <v>143</v>
      </c>
      <c r="F50" s="64" t="s">
        <v>60</v>
      </c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30"/>
      <c r="T50" s="31">
        <f t="shared" si="5"/>
        <v>0</v>
      </c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>
        <v>3</v>
      </c>
      <c r="AF50" s="32">
        <f t="shared" si="0"/>
        <v>15324.804</v>
      </c>
      <c r="AG50" s="64"/>
      <c r="AH50" s="64"/>
      <c r="AI50" s="64"/>
      <c r="AJ50" s="64"/>
      <c r="AK50" s="64"/>
      <c r="AL50" s="64"/>
      <c r="AM50" s="64"/>
      <c r="AN50" s="31"/>
      <c r="AO50" s="64"/>
      <c r="AP50" s="64"/>
      <c r="AQ50" s="64"/>
      <c r="AR50" s="31"/>
      <c r="AS50" s="77"/>
      <c r="AT50" s="59"/>
      <c r="AU50" s="77"/>
      <c r="AV50" s="59"/>
      <c r="AW50" s="33">
        <f t="shared" si="3"/>
        <v>3</v>
      </c>
      <c r="AX50" s="209">
        <v>5108.268</v>
      </c>
      <c r="AY50" s="51">
        <f t="shared" si="2"/>
        <v>15324.804</v>
      </c>
      <c r="AZ50" s="55"/>
    </row>
    <row r="51" spans="1:52" s="78" customFormat="1" ht="25.5" x14ac:dyDescent="0.2">
      <c r="A51" s="64">
        <v>44</v>
      </c>
      <c r="B51" s="64" t="s">
        <v>144</v>
      </c>
      <c r="C51" s="64" t="s">
        <v>62</v>
      </c>
      <c r="D51" s="64" t="s">
        <v>63</v>
      </c>
      <c r="E51" s="65" t="s">
        <v>145</v>
      </c>
      <c r="F51" s="64" t="s">
        <v>60</v>
      </c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30"/>
      <c r="T51" s="31">
        <f t="shared" si="5"/>
        <v>0</v>
      </c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>
        <v>2</v>
      </c>
      <c r="AF51" s="32">
        <f t="shared" si="0"/>
        <v>14983.967999999999</v>
      </c>
      <c r="AG51" s="64"/>
      <c r="AH51" s="64"/>
      <c r="AI51" s="64"/>
      <c r="AJ51" s="64"/>
      <c r="AK51" s="64"/>
      <c r="AL51" s="64"/>
      <c r="AM51" s="64"/>
      <c r="AN51" s="31"/>
      <c r="AO51" s="64"/>
      <c r="AP51" s="64"/>
      <c r="AQ51" s="64"/>
      <c r="AR51" s="31"/>
      <c r="AS51" s="77"/>
      <c r="AT51" s="59"/>
      <c r="AU51" s="77"/>
      <c r="AV51" s="59"/>
      <c r="AW51" s="33">
        <f t="shared" si="3"/>
        <v>2</v>
      </c>
      <c r="AX51" s="209">
        <v>7491.9839999999995</v>
      </c>
      <c r="AY51" s="51">
        <f t="shared" si="2"/>
        <v>14983.967999999999</v>
      </c>
      <c r="AZ51" s="55"/>
    </row>
    <row r="52" spans="1:52" s="78" customFormat="1" ht="25.5" x14ac:dyDescent="0.2">
      <c r="A52" s="64">
        <v>45</v>
      </c>
      <c r="B52" s="64" t="s">
        <v>146</v>
      </c>
      <c r="C52" s="64" t="s">
        <v>62</v>
      </c>
      <c r="D52" s="64" t="s">
        <v>63</v>
      </c>
      <c r="E52" s="65" t="s">
        <v>147</v>
      </c>
      <c r="F52" s="64" t="s">
        <v>60</v>
      </c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30"/>
      <c r="T52" s="31">
        <f t="shared" si="5"/>
        <v>0</v>
      </c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>
        <v>3</v>
      </c>
      <c r="AF52" s="32">
        <f t="shared" si="0"/>
        <v>10070.172</v>
      </c>
      <c r="AG52" s="64"/>
      <c r="AH52" s="64"/>
      <c r="AI52" s="64"/>
      <c r="AJ52" s="64"/>
      <c r="AK52" s="64"/>
      <c r="AL52" s="64"/>
      <c r="AM52" s="64"/>
      <c r="AN52" s="31"/>
      <c r="AO52" s="64"/>
      <c r="AP52" s="64"/>
      <c r="AQ52" s="64"/>
      <c r="AR52" s="31"/>
      <c r="AS52" s="77"/>
      <c r="AT52" s="59"/>
      <c r="AU52" s="77"/>
      <c r="AV52" s="59"/>
      <c r="AW52" s="33">
        <f t="shared" si="3"/>
        <v>3</v>
      </c>
      <c r="AX52" s="209">
        <v>3356.7240000000002</v>
      </c>
      <c r="AY52" s="51">
        <f t="shared" si="2"/>
        <v>10070.172</v>
      </c>
      <c r="AZ52" s="55"/>
    </row>
    <row r="53" spans="1:52" s="78" customFormat="1" ht="25.5" x14ac:dyDescent="0.2">
      <c r="A53" s="64">
        <v>46</v>
      </c>
      <c r="B53" s="64" t="s">
        <v>148</v>
      </c>
      <c r="C53" s="64" t="s">
        <v>62</v>
      </c>
      <c r="D53" s="64" t="s">
        <v>63</v>
      </c>
      <c r="E53" s="65" t="s">
        <v>149</v>
      </c>
      <c r="F53" s="64" t="s">
        <v>60</v>
      </c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30"/>
      <c r="T53" s="31">
        <f t="shared" si="5"/>
        <v>0</v>
      </c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>
        <v>3</v>
      </c>
      <c r="AF53" s="32">
        <f t="shared" si="0"/>
        <v>9487.8359999999993</v>
      </c>
      <c r="AG53" s="64"/>
      <c r="AH53" s="64"/>
      <c r="AI53" s="64"/>
      <c r="AJ53" s="64"/>
      <c r="AK53" s="64"/>
      <c r="AL53" s="64"/>
      <c r="AM53" s="64"/>
      <c r="AN53" s="31"/>
      <c r="AO53" s="64"/>
      <c r="AP53" s="64"/>
      <c r="AQ53" s="64"/>
      <c r="AR53" s="31"/>
      <c r="AS53" s="77"/>
      <c r="AT53" s="59"/>
      <c r="AU53" s="77"/>
      <c r="AV53" s="59"/>
      <c r="AW53" s="33">
        <f t="shared" si="3"/>
        <v>3</v>
      </c>
      <c r="AX53" s="209">
        <v>3162.6120000000001</v>
      </c>
      <c r="AY53" s="51">
        <f t="shared" si="2"/>
        <v>9487.8359999999993</v>
      </c>
      <c r="AZ53" s="55"/>
    </row>
    <row r="54" spans="1:52" s="78" customFormat="1" ht="25.5" x14ac:dyDescent="0.2">
      <c r="A54" s="64">
        <v>47</v>
      </c>
      <c r="B54" s="64" t="s">
        <v>150</v>
      </c>
      <c r="C54" s="64" t="s">
        <v>62</v>
      </c>
      <c r="D54" s="64" t="s">
        <v>63</v>
      </c>
      <c r="E54" s="65" t="s">
        <v>151</v>
      </c>
      <c r="F54" s="64" t="s">
        <v>60</v>
      </c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30"/>
      <c r="T54" s="31">
        <f t="shared" si="5"/>
        <v>0</v>
      </c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>
        <v>6</v>
      </c>
      <c r="AF54" s="32">
        <f t="shared" si="0"/>
        <v>28897.415999999997</v>
      </c>
      <c r="AG54" s="64"/>
      <c r="AH54" s="64"/>
      <c r="AI54" s="64"/>
      <c r="AJ54" s="64"/>
      <c r="AK54" s="64"/>
      <c r="AL54" s="64"/>
      <c r="AM54" s="64"/>
      <c r="AN54" s="31"/>
      <c r="AO54" s="64"/>
      <c r="AP54" s="64"/>
      <c r="AQ54" s="64"/>
      <c r="AR54" s="31"/>
      <c r="AS54" s="77"/>
      <c r="AT54" s="59"/>
      <c r="AU54" s="77"/>
      <c r="AV54" s="59"/>
      <c r="AW54" s="33">
        <f t="shared" si="3"/>
        <v>6</v>
      </c>
      <c r="AX54" s="209">
        <v>4816.2359999999999</v>
      </c>
      <c r="AY54" s="51">
        <f t="shared" si="2"/>
        <v>28897.415999999997</v>
      </c>
      <c r="AZ54" s="55"/>
    </row>
    <row r="55" spans="1:52" s="78" customFormat="1" ht="25.5" x14ac:dyDescent="0.2">
      <c r="A55" s="64">
        <v>48</v>
      </c>
      <c r="B55" s="64" t="s">
        <v>152</v>
      </c>
      <c r="C55" s="64" t="s">
        <v>62</v>
      </c>
      <c r="D55" s="64" t="s">
        <v>63</v>
      </c>
      <c r="E55" s="65" t="s">
        <v>153</v>
      </c>
      <c r="F55" s="64" t="s">
        <v>60</v>
      </c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30"/>
      <c r="T55" s="31">
        <f t="shared" si="5"/>
        <v>0</v>
      </c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>
        <v>2</v>
      </c>
      <c r="AF55" s="32">
        <f t="shared" si="0"/>
        <v>14983.967999999999</v>
      </c>
      <c r="AG55" s="64"/>
      <c r="AH55" s="64"/>
      <c r="AI55" s="64"/>
      <c r="AJ55" s="64"/>
      <c r="AK55" s="64"/>
      <c r="AL55" s="64"/>
      <c r="AM55" s="64"/>
      <c r="AN55" s="31"/>
      <c r="AO55" s="64"/>
      <c r="AP55" s="64"/>
      <c r="AQ55" s="64"/>
      <c r="AR55" s="31"/>
      <c r="AS55" s="77"/>
      <c r="AT55" s="59"/>
      <c r="AU55" s="77"/>
      <c r="AV55" s="59"/>
      <c r="AW55" s="33">
        <f t="shared" si="3"/>
        <v>2</v>
      </c>
      <c r="AX55" s="209">
        <v>7491.9839999999995</v>
      </c>
      <c r="AY55" s="51">
        <f t="shared" si="2"/>
        <v>14983.967999999999</v>
      </c>
      <c r="AZ55" s="55"/>
    </row>
    <row r="56" spans="1:52" s="78" customFormat="1" ht="25.5" x14ac:dyDescent="0.2">
      <c r="A56" s="64">
        <v>49</v>
      </c>
      <c r="B56" s="64" t="s">
        <v>154</v>
      </c>
      <c r="C56" s="64" t="s">
        <v>62</v>
      </c>
      <c r="D56" s="64" t="s">
        <v>63</v>
      </c>
      <c r="E56" s="65" t="s">
        <v>155</v>
      </c>
      <c r="F56" s="64" t="s">
        <v>60</v>
      </c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30"/>
      <c r="T56" s="31">
        <f t="shared" si="5"/>
        <v>0</v>
      </c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>
        <v>3</v>
      </c>
      <c r="AF56" s="32">
        <f t="shared" si="0"/>
        <v>9632.1239999999998</v>
      </c>
      <c r="AG56" s="64"/>
      <c r="AH56" s="64"/>
      <c r="AI56" s="64"/>
      <c r="AJ56" s="64"/>
      <c r="AK56" s="64"/>
      <c r="AL56" s="64"/>
      <c r="AM56" s="64"/>
      <c r="AN56" s="31"/>
      <c r="AO56" s="64"/>
      <c r="AP56" s="64"/>
      <c r="AQ56" s="64"/>
      <c r="AR56" s="31"/>
      <c r="AS56" s="77"/>
      <c r="AT56" s="59"/>
      <c r="AU56" s="77"/>
      <c r="AV56" s="59"/>
      <c r="AW56" s="33">
        <f t="shared" si="3"/>
        <v>3</v>
      </c>
      <c r="AX56" s="209">
        <v>3210.7080000000001</v>
      </c>
      <c r="AY56" s="51">
        <f t="shared" si="2"/>
        <v>9632.1239999999998</v>
      </c>
      <c r="AZ56" s="55"/>
    </row>
    <row r="57" spans="1:52" s="78" customFormat="1" ht="25.5" x14ac:dyDescent="0.2">
      <c r="A57" s="64">
        <v>50</v>
      </c>
      <c r="B57" s="64" t="s">
        <v>156</v>
      </c>
      <c r="C57" s="64" t="s">
        <v>62</v>
      </c>
      <c r="D57" s="64" t="s">
        <v>63</v>
      </c>
      <c r="E57" s="65" t="s">
        <v>157</v>
      </c>
      <c r="F57" s="64" t="s">
        <v>60</v>
      </c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30"/>
      <c r="T57" s="31">
        <f t="shared" si="5"/>
        <v>0</v>
      </c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>
        <v>4</v>
      </c>
      <c r="AF57" s="32">
        <f t="shared" si="0"/>
        <v>16152.144</v>
      </c>
      <c r="AG57" s="64"/>
      <c r="AH57" s="64"/>
      <c r="AI57" s="64"/>
      <c r="AJ57" s="64"/>
      <c r="AK57" s="64"/>
      <c r="AL57" s="64"/>
      <c r="AM57" s="64"/>
      <c r="AN57" s="31"/>
      <c r="AO57" s="64"/>
      <c r="AP57" s="64"/>
      <c r="AQ57" s="64"/>
      <c r="AR57" s="31"/>
      <c r="AS57" s="77"/>
      <c r="AT57" s="59"/>
      <c r="AU57" s="77"/>
      <c r="AV57" s="59"/>
      <c r="AW57" s="33">
        <f t="shared" si="3"/>
        <v>4</v>
      </c>
      <c r="AX57" s="209">
        <v>4038.0360000000001</v>
      </c>
      <c r="AY57" s="51">
        <f t="shared" si="2"/>
        <v>16152.144</v>
      </c>
      <c r="AZ57" s="55"/>
    </row>
    <row r="58" spans="1:52" s="78" customFormat="1" ht="38.25" x14ac:dyDescent="0.2">
      <c r="A58" s="64">
        <v>51</v>
      </c>
      <c r="B58" s="64" t="s">
        <v>158</v>
      </c>
      <c r="C58" s="64" t="s">
        <v>62</v>
      </c>
      <c r="D58" s="64" t="s">
        <v>63</v>
      </c>
      <c r="E58" s="65" t="s">
        <v>159</v>
      </c>
      <c r="F58" s="64" t="s">
        <v>60</v>
      </c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30"/>
      <c r="T58" s="31">
        <f t="shared" si="5"/>
        <v>0</v>
      </c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>
        <v>1</v>
      </c>
      <c r="AF58" s="32">
        <f t="shared" si="0"/>
        <v>8800.7999999999993</v>
      </c>
      <c r="AG58" s="64"/>
      <c r="AH58" s="64"/>
      <c r="AI58" s="64"/>
      <c r="AJ58" s="64"/>
      <c r="AK58" s="64"/>
      <c r="AL58" s="64"/>
      <c r="AM58" s="64"/>
      <c r="AN58" s="31"/>
      <c r="AO58" s="64"/>
      <c r="AP58" s="64"/>
      <c r="AQ58" s="64"/>
      <c r="AR58" s="31"/>
      <c r="AS58" s="77"/>
      <c r="AT58" s="59"/>
      <c r="AU58" s="77"/>
      <c r="AV58" s="59"/>
      <c r="AW58" s="33">
        <f t="shared" si="3"/>
        <v>1</v>
      </c>
      <c r="AX58" s="209">
        <v>8800.7999999999993</v>
      </c>
      <c r="AY58" s="51">
        <f t="shared" si="2"/>
        <v>8800.7999999999993</v>
      </c>
      <c r="AZ58" s="55"/>
    </row>
    <row r="59" spans="1:52" s="78" customFormat="1" ht="39" thickBot="1" x14ac:dyDescent="0.25">
      <c r="A59" s="52">
        <v>52</v>
      </c>
      <c r="B59" s="52" t="s">
        <v>160</v>
      </c>
      <c r="C59" s="52" t="s">
        <v>73</v>
      </c>
      <c r="D59" s="52" t="s">
        <v>63</v>
      </c>
      <c r="E59" s="68" t="s">
        <v>161</v>
      </c>
      <c r="F59" s="52" t="s">
        <v>60</v>
      </c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3"/>
      <c r="T59" s="54">
        <f t="shared" si="5"/>
        <v>0</v>
      </c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>
        <v>2</v>
      </c>
      <c r="AF59" s="101">
        <f t="shared" si="0"/>
        <v>4476.9120000000003</v>
      </c>
      <c r="AG59" s="52"/>
      <c r="AH59" s="52"/>
      <c r="AI59" s="52"/>
      <c r="AJ59" s="52"/>
      <c r="AK59" s="52"/>
      <c r="AL59" s="52"/>
      <c r="AM59" s="52"/>
      <c r="AN59" s="54"/>
      <c r="AO59" s="52"/>
      <c r="AP59" s="52"/>
      <c r="AQ59" s="52"/>
      <c r="AR59" s="54"/>
      <c r="AS59" s="102"/>
      <c r="AT59" s="103"/>
      <c r="AU59" s="102"/>
      <c r="AV59" s="103"/>
      <c r="AW59" s="45">
        <f t="shared" si="3"/>
        <v>2</v>
      </c>
      <c r="AX59" s="104">
        <v>2238.4560000000001</v>
      </c>
      <c r="AY59" s="105">
        <f t="shared" si="2"/>
        <v>4476.9120000000003</v>
      </c>
      <c r="AZ59" s="55"/>
    </row>
    <row r="60" spans="1:52" s="82" customFormat="1" ht="13.5" thickBot="1" x14ac:dyDescent="0.25">
      <c r="A60" s="80"/>
      <c r="B60" s="58"/>
      <c r="C60" s="58"/>
      <c r="D60" s="58"/>
      <c r="E60" s="57" t="s">
        <v>162</v>
      </c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69"/>
      <c r="T60" s="70">
        <f t="shared" si="5"/>
        <v>0</v>
      </c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106">
        <f t="shared" si="0"/>
        <v>0</v>
      </c>
      <c r="AG60" s="58"/>
      <c r="AH60" s="58"/>
      <c r="AI60" s="58"/>
      <c r="AJ60" s="58"/>
      <c r="AK60" s="58"/>
      <c r="AL60" s="58"/>
      <c r="AM60" s="58"/>
      <c r="AN60" s="70"/>
      <c r="AO60" s="58"/>
      <c r="AP60" s="58"/>
      <c r="AQ60" s="58"/>
      <c r="AR60" s="70"/>
      <c r="AS60" s="71"/>
      <c r="AT60" s="72"/>
      <c r="AU60" s="71"/>
      <c r="AV60" s="72"/>
      <c r="AW60" s="46"/>
      <c r="AX60" s="70"/>
      <c r="AY60" s="47">
        <f>+SUM(AY8:AY59)</f>
        <v>1117679.4840000002</v>
      </c>
      <c r="AZ60" s="81"/>
    </row>
    <row r="61" spans="1:52" ht="15.75" thickBot="1" x14ac:dyDescent="0.3"/>
    <row r="62" spans="1:52" ht="60" x14ac:dyDescent="0.25">
      <c r="B62" s="183" t="s">
        <v>209</v>
      </c>
      <c r="C62" s="184"/>
      <c r="D62" s="184"/>
      <c r="E62" s="199"/>
      <c r="F62" s="201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3"/>
      <c r="T62" s="204"/>
      <c r="U62" s="202"/>
      <c r="V62" s="202"/>
      <c r="W62" s="202"/>
      <c r="X62" s="202"/>
      <c r="Y62" s="202"/>
      <c r="Z62" s="202"/>
      <c r="AA62" s="202"/>
      <c r="AB62" s="202"/>
      <c r="AC62" s="202"/>
      <c r="AD62" s="202"/>
      <c r="AE62" s="202"/>
      <c r="AF62" s="202"/>
      <c r="AG62" s="202"/>
      <c r="AH62" s="202"/>
      <c r="AI62" s="202"/>
      <c r="AJ62" s="202"/>
      <c r="AK62" s="202"/>
      <c r="AL62" s="202"/>
      <c r="AM62" s="202"/>
      <c r="AN62" s="204"/>
      <c r="AO62" s="202"/>
      <c r="AP62" s="202"/>
      <c r="AQ62" s="202"/>
      <c r="AR62" s="204"/>
      <c r="AS62" s="205"/>
      <c r="AT62" s="202"/>
      <c r="AU62" s="205"/>
      <c r="AV62" s="202"/>
      <c r="AW62" s="203"/>
    </row>
    <row r="63" spans="1:52" x14ac:dyDescent="0.25">
      <c r="B63" s="185"/>
      <c r="C63" s="186"/>
      <c r="D63" s="186"/>
      <c r="E63" s="197"/>
      <c r="F63" s="186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3"/>
      <c r="T63" s="204"/>
      <c r="U63" s="202"/>
      <c r="V63" s="202"/>
      <c r="W63" s="202"/>
      <c r="X63" s="202"/>
      <c r="Y63" s="202"/>
      <c r="Z63" s="202"/>
      <c r="AA63" s="202"/>
      <c r="AB63" s="202"/>
      <c r="AC63" s="202"/>
      <c r="AD63" s="202"/>
      <c r="AE63" s="202"/>
      <c r="AF63" s="202"/>
      <c r="AG63" s="202"/>
      <c r="AH63" s="202"/>
      <c r="AI63" s="202"/>
      <c r="AJ63" s="202"/>
      <c r="AK63" s="202"/>
      <c r="AL63" s="202"/>
      <c r="AM63" s="202"/>
      <c r="AN63" s="204"/>
      <c r="AO63" s="202"/>
      <c r="AP63" s="202"/>
      <c r="AQ63" s="202"/>
      <c r="AR63" s="204"/>
      <c r="AS63" s="205"/>
      <c r="AT63" s="202"/>
      <c r="AU63" s="205"/>
      <c r="AV63" s="202"/>
      <c r="AW63" s="203"/>
    </row>
    <row r="64" spans="1:52" x14ac:dyDescent="0.25">
      <c r="B64" s="187" t="s">
        <v>210</v>
      </c>
      <c r="C64" s="188" t="s">
        <v>221</v>
      </c>
      <c r="D64" s="195"/>
      <c r="E64" s="206"/>
      <c r="F64" s="195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3"/>
      <c r="T64" s="204"/>
      <c r="U64" s="202"/>
      <c r="V64" s="202"/>
      <c r="W64" s="202"/>
      <c r="X64" s="202"/>
      <c r="Y64" s="202"/>
      <c r="Z64" s="202"/>
      <c r="AA64" s="202"/>
      <c r="AB64" s="202"/>
      <c r="AC64" s="202"/>
      <c r="AD64" s="202"/>
      <c r="AE64" s="202"/>
      <c r="AF64" s="202"/>
      <c r="AG64" s="202"/>
      <c r="AH64" s="202"/>
      <c r="AI64" s="202"/>
      <c r="AJ64" s="202"/>
      <c r="AK64" s="202"/>
      <c r="AL64" s="202"/>
      <c r="AM64" s="202"/>
      <c r="AN64" s="204"/>
      <c r="AO64" s="202"/>
      <c r="AP64" s="202"/>
      <c r="AQ64" s="202"/>
      <c r="AR64" s="204"/>
      <c r="AS64" s="205"/>
      <c r="AT64" s="202"/>
      <c r="AU64" s="205"/>
      <c r="AV64" s="202"/>
      <c r="AW64" s="203"/>
    </row>
    <row r="65" spans="2:49" x14ac:dyDescent="0.25">
      <c r="B65" s="187"/>
      <c r="C65" s="189"/>
      <c r="D65" s="195"/>
      <c r="E65" s="206"/>
      <c r="F65" s="195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3"/>
      <c r="T65" s="204"/>
      <c r="U65" s="202"/>
      <c r="V65" s="202"/>
      <c r="W65" s="202"/>
      <c r="X65" s="202"/>
      <c r="Y65" s="202"/>
      <c r="Z65" s="202"/>
      <c r="AA65" s="202"/>
      <c r="AB65" s="202"/>
      <c r="AC65" s="202"/>
      <c r="AD65" s="202"/>
      <c r="AE65" s="202"/>
      <c r="AF65" s="202"/>
      <c r="AG65" s="202"/>
      <c r="AH65" s="202"/>
      <c r="AI65" s="202"/>
      <c r="AJ65" s="202"/>
      <c r="AK65" s="202"/>
      <c r="AL65" s="202"/>
      <c r="AM65" s="202"/>
      <c r="AN65" s="204"/>
      <c r="AO65" s="202"/>
      <c r="AP65" s="202"/>
      <c r="AQ65" s="202"/>
      <c r="AR65" s="204"/>
      <c r="AS65" s="205"/>
      <c r="AT65" s="202"/>
      <c r="AU65" s="205"/>
      <c r="AV65" s="202"/>
      <c r="AW65" s="203"/>
    </row>
    <row r="66" spans="2:49" x14ac:dyDescent="0.25">
      <c r="B66" s="187" t="s">
        <v>211</v>
      </c>
      <c r="C66" s="190" t="s">
        <v>215</v>
      </c>
      <c r="D66" s="190"/>
      <c r="E66" s="200"/>
      <c r="F66" s="190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3"/>
      <c r="T66" s="204"/>
      <c r="U66" s="202"/>
      <c r="V66" s="202"/>
      <c r="W66" s="202"/>
      <c r="X66" s="202"/>
      <c r="Y66" s="202"/>
      <c r="Z66" s="202"/>
      <c r="AA66" s="202"/>
      <c r="AB66" s="202"/>
      <c r="AC66" s="202"/>
      <c r="AD66" s="202"/>
      <c r="AE66" s="202"/>
      <c r="AF66" s="202"/>
      <c r="AG66" s="202"/>
      <c r="AH66" s="202"/>
      <c r="AI66" s="202"/>
      <c r="AJ66" s="202"/>
      <c r="AK66" s="202"/>
      <c r="AL66" s="202"/>
      <c r="AM66" s="202"/>
      <c r="AN66" s="204"/>
      <c r="AO66" s="202"/>
      <c r="AP66" s="202"/>
      <c r="AQ66" s="202"/>
      <c r="AR66" s="204"/>
      <c r="AS66" s="205"/>
      <c r="AT66" s="202"/>
      <c r="AU66" s="205"/>
      <c r="AV66" s="202"/>
      <c r="AW66" s="203"/>
    </row>
    <row r="67" spans="2:49" x14ac:dyDescent="0.25">
      <c r="B67" s="187"/>
      <c r="C67" s="190"/>
      <c r="D67" s="190"/>
      <c r="E67" s="200"/>
      <c r="F67" s="190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3"/>
      <c r="T67" s="204"/>
      <c r="U67" s="202"/>
      <c r="V67" s="202"/>
      <c r="W67" s="202"/>
      <c r="X67" s="202"/>
      <c r="Y67" s="202"/>
      <c r="Z67" s="202"/>
      <c r="AA67" s="202"/>
      <c r="AB67" s="202"/>
      <c r="AC67" s="202"/>
      <c r="AD67" s="202"/>
      <c r="AE67" s="202"/>
      <c r="AF67" s="202"/>
      <c r="AG67" s="202"/>
      <c r="AH67" s="202"/>
      <c r="AI67" s="202"/>
      <c r="AJ67" s="202"/>
      <c r="AK67" s="202"/>
      <c r="AL67" s="202"/>
      <c r="AM67" s="202"/>
      <c r="AN67" s="204"/>
      <c r="AO67" s="202"/>
      <c r="AP67" s="202"/>
      <c r="AQ67" s="202"/>
      <c r="AR67" s="204"/>
      <c r="AS67" s="205"/>
      <c r="AT67" s="202"/>
      <c r="AU67" s="205"/>
      <c r="AV67" s="202"/>
      <c r="AW67" s="203"/>
    </row>
    <row r="68" spans="2:49" ht="30" x14ac:dyDescent="0.25">
      <c r="B68" s="191" t="s">
        <v>212</v>
      </c>
      <c r="C68" s="192"/>
      <c r="D68" s="196"/>
      <c r="E68" s="207"/>
      <c r="F68" s="196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3"/>
      <c r="T68" s="204"/>
      <c r="U68" s="202"/>
      <c r="V68" s="202"/>
      <c r="W68" s="202"/>
      <c r="X68" s="202"/>
      <c r="Y68" s="202"/>
      <c r="Z68" s="202"/>
      <c r="AA68" s="202"/>
      <c r="AB68" s="202"/>
      <c r="AC68" s="202"/>
      <c r="AD68" s="202"/>
      <c r="AE68" s="202"/>
      <c r="AF68" s="202"/>
      <c r="AG68" s="202"/>
      <c r="AH68" s="202"/>
      <c r="AI68" s="202"/>
      <c r="AJ68" s="202"/>
      <c r="AK68" s="202"/>
      <c r="AL68" s="202"/>
      <c r="AM68" s="202"/>
      <c r="AN68" s="204"/>
      <c r="AO68" s="202"/>
      <c r="AP68" s="202"/>
      <c r="AQ68" s="202"/>
      <c r="AR68" s="204"/>
      <c r="AS68" s="205"/>
      <c r="AT68" s="202"/>
      <c r="AU68" s="205"/>
      <c r="AV68" s="202"/>
      <c r="AW68" s="203"/>
    </row>
    <row r="69" spans="2:49" x14ac:dyDescent="0.25">
      <c r="B69" s="191"/>
      <c r="C69" s="192"/>
      <c r="D69" s="196"/>
      <c r="E69" s="207"/>
      <c r="F69" s="196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3"/>
      <c r="T69" s="204"/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4"/>
      <c r="AO69" s="202"/>
      <c r="AP69" s="202"/>
      <c r="AQ69" s="202"/>
      <c r="AR69" s="204"/>
      <c r="AS69" s="205"/>
      <c r="AT69" s="202"/>
      <c r="AU69" s="205"/>
      <c r="AV69" s="202"/>
      <c r="AW69" s="203"/>
    </row>
    <row r="70" spans="2:49" ht="15.75" thickBot="1" x14ac:dyDescent="0.3">
      <c r="B70" s="193" t="s">
        <v>213</v>
      </c>
      <c r="C70" s="194" t="s">
        <v>214</v>
      </c>
      <c r="D70" s="198"/>
      <c r="E70" s="208"/>
      <c r="F70" s="196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3"/>
      <c r="T70" s="204"/>
      <c r="U70" s="202"/>
      <c r="V70" s="202"/>
      <c r="W70" s="202"/>
      <c r="X70" s="202"/>
      <c r="Y70" s="202"/>
      <c r="Z70" s="202"/>
      <c r="AA70" s="202"/>
      <c r="AB70" s="202"/>
      <c r="AC70" s="202"/>
      <c r="AD70" s="202"/>
      <c r="AE70" s="202"/>
      <c r="AF70" s="202"/>
      <c r="AG70" s="202"/>
      <c r="AH70" s="202"/>
      <c r="AI70" s="202"/>
      <c r="AJ70" s="202"/>
      <c r="AK70" s="202"/>
      <c r="AL70" s="202"/>
      <c r="AM70" s="202"/>
      <c r="AN70" s="204"/>
      <c r="AO70" s="202"/>
      <c r="AP70" s="202"/>
      <c r="AQ70" s="202"/>
      <c r="AR70" s="204"/>
      <c r="AS70" s="205"/>
      <c r="AT70" s="202"/>
      <c r="AU70" s="205"/>
      <c r="AV70" s="202"/>
      <c r="AW70" s="203"/>
    </row>
  </sheetData>
  <mergeCells count="5">
    <mergeCell ref="A5:B5"/>
    <mergeCell ref="B1:AX1"/>
    <mergeCell ref="A2:B2"/>
    <mergeCell ref="A3:B3"/>
    <mergeCell ref="A4:B4"/>
  </mergeCells>
  <conditionalFormatting sqref="B16">
    <cfRule type="duplicateValues" dxfId="62" priority="77"/>
  </conditionalFormatting>
  <conditionalFormatting sqref="E16">
    <cfRule type="duplicateValues" dxfId="61" priority="78"/>
  </conditionalFormatting>
  <conditionalFormatting sqref="E16">
    <cfRule type="duplicateValues" dxfId="60" priority="79"/>
    <cfRule type="duplicateValues" dxfId="59" priority="80"/>
  </conditionalFormatting>
  <conditionalFormatting sqref="E16 B16">
    <cfRule type="duplicateValues" dxfId="58" priority="81"/>
  </conditionalFormatting>
  <conditionalFormatting sqref="E16">
    <cfRule type="duplicateValues" dxfId="57" priority="82"/>
  </conditionalFormatting>
  <conditionalFormatting sqref="B17:B18">
    <cfRule type="duplicateValues" dxfId="56" priority="59"/>
  </conditionalFormatting>
  <conditionalFormatting sqref="E17:E18">
    <cfRule type="duplicateValues" dxfId="55" priority="60"/>
  </conditionalFormatting>
  <conditionalFormatting sqref="E17:E18 B17:B18">
    <cfRule type="duplicateValues" dxfId="54" priority="61"/>
  </conditionalFormatting>
  <conditionalFormatting sqref="E17:E18">
    <cfRule type="duplicateValues" dxfId="53" priority="62"/>
  </conditionalFormatting>
  <conditionalFormatting sqref="E17:E18">
    <cfRule type="duplicateValues" dxfId="52" priority="63"/>
    <cfRule type="duplicateValues" dxfId="51" priority="64"/>
  </conditionalFormatting>
  <conditionalFormatting sqref="B21">
    <cfRule type="duplicateValues" dxfId="50" priority="95"/>
  </conditionalFormatting>
  <conditionalFormatting sqref="E21">
    <cfRule type="duplicateValues" dxfId="49" priority="96"/>
  </conditionalFormatting>
  <conditionalFormatting sqref="E21 B21">
    <cfRule type="duplicateValues" dxfId="48" priority="97"/>
  </conditionalFormatting>
  <conditionalFormatting sqref="E21">
    <cfRule type="duplicateValues" dxfId="47" priority="98"/>
    <cfRule type="duplicateValues" dxfId="46" priority="99"/>
  </conditionalFormatting>
  <conditionalFormatting sqref="B19">
    <cfRule type="duplicateValues" dxfId="45" priority="54"/>
  </conditionalFormatting>
  <conditionalFormatting sqref="E19">
    <cfRule type="duplicateValues" dxfId="44" priority="55"/>
  </conditionalFormatting>
  <conditionalFormatting sqref="E19 AZ18 B19">
    <cfRule type="duplicateValues" dxfId="43" priority="56"/>
  </conditionalFormatting>
  <conditionalFormatting sqref="E19">
    <cfRule type="duplicateValues" dxfId="42" priority="57"/>
    <cfRule type="duplicateValues" dxfId="41" priority="58"/>
  </conditionalFormatting>
  <conditionalFormatting sqref="B20">
    <cfRule type="duplicateValues" dxfId="40" priority="100"/>
  </conditionalFormatting>
  <conditionalFormatting sqref="E20">
    <cfRule type="duplicateValues" dxfId="39" priority="101"/>
  </conditionalFormatting>
  <conditionalFormatting sqref="E20">
    <cfRule type="duplicateValues" dxfId="38" priority="102"/>
    <cfRule type="duplicateValues" dxfId="37" priority="103"/>
  </conditionalFormatting>
  <conditionalFormatting sqref="B20 E20">
    <cfRule type="duplicateValues" dxfId="36" priority="104"/>
  </conditionalFormatting>
  <conditionalFormatting sqref="B20">
    <cfRule type="duplicateValues" dxfId="35" priority="105"/>
  </conditionalFormatting>
  <conditionalFormatting sqref="B22:B23">
    <cfRule type="duplicateValues" dxfId="34" priority="49"/>
  </conditionalFormatting>
  <conditionalFormatting sqref="E22:E23">
    <cfRule type="duplicateValues" dxfId="33" priority="50"/>
  </conditionalFormatting>
  <conditionalFormatting sqref="B22 E22">
    <cfRule type="duplicateValues" dxfId="32" priority="51"/>
  </conditionalFormatting>
  <conditionalFormatting sqref="E22:E23">
    <cfRule type="duplicateValues" dxfId="31" priority="52"/>
    <cfRule type="duplicateValues" dxfId="30" priority="53"/>
  </conditionalFormatting>
  <conditionalFormatting sqref="AZ21:AZ22">
    <cfRule type="duplicateValues" dxfId="29" priority="48"/>
  </conditionalFormatting>
  <conditionalFormatting sqref="B35">
    <cfRule type="duplicateValues" dxfId="28" priority="44"/>
  </conditionalFormatting>
  <conditionalFormatting sqref="E35">
    <cfRule type="duplicateValues" dxfId="27" priority="45"/>
  </conditionalFormatting>
  <conditionalFormatting sqref="E35">
    <cfRule type="duplicateValues" dxfId="26" priority="46"/>
    <cfRule type="duplicateValues" dxfId="25" priority="47"/>
  </conditionalFormatting>
  <conditionalFormatting sqref="AZ34">
    <cfRule type="duplicateValues" dxfId="24" priority="43"/>
  </conditionalFormatting>
  <conditionalFormatting sqref="B8:B14">
    <cfRule type="duplicateValues" dxfId="23" priority="135"/>
  </conditionalFormatting>
  <conditionalFormatting sqref="E8:E14">
    <cfRule type="duplicateValues" dxfId="22" priority="136"/>
  </conditionalFormatting>
  <conditionalFormatting sqref="E8:E14">
    <cfRule type="duplicateValues" dxfId="21" priority="137"/>
    <cfRule type="duplicateValues" dxfId="20" priority="138"/>
  </conditionalFormatting>
  <conditionalFormatting sqref="E8:E14 B8:B14">
    <cfRule type="duplicateValues" dxfId="19" priority="139"/>
  </conditionalFormatting>
  <conditionalFormatting sqref="E8:E14">
    <cfRule type="duplicateValues" dxfId="18" priority="141"/>
  </conditionalFormatting>
  <conditionalFormatting sqref="E68:E70 E64:E65">
    <cfRule type="duplicateValues" dxfId="17" priority="5"/>
  </conditionalFormatting>
  <conditionalFormatting sqref="E68:E70 B64:B70 E64:E65">
    <cfRule type="duplicateValues" dxfId="16" priority="4"/>
  </conditionalFormatting>
  <conditionalFormatting sqref="E68:E70">
    <cfRule type="duplicateValues" dxfId="15" priority="3"/>
  </conditionalFormatting>
  <conditionalFormatting sqref="E68:E70 E64:E65">
    <cfRule type="duplicateValues" dxfId="14" priority="1"/>
    <cfRule type="duplicateValues" dxfId="13" priority="2"/>
  </conditionalFormatting>
  <conditionalFormatting sqref="B64:B70">
    <cfRule type="duplicateValues" dxfId="12" priority="6"/>
  </conditionalFormatting>
  <conditionalFormatting sqref="E64:E70">
    <cfRule type="duplicateValues" dxfId="11" priority="7"/>
    <cfRule type="duplicateValues" dxfId="10" priority="8"/>
  </conditionalFormatting>
  <conditionalFormatting sqref="E64:E70">
    <cfRule type="duplicateValues" dxfId="9" priority="9"/>
  </conditionalFormatting>
  <conditionalFormatting sqref="E64:E70">
    <cfRule type="duplicateValues" dxfId="8" priority="10"/>
  </conditionalFormatting>
  <conditionalFormatting sqref="B64:B70 E64:E70">
    <cfRule type="duplicateValues" dxfId="7" priority="11"/>
  </conditionalFormatting>
  <conditionalFormatting sqref="B64:B70">
    <cfRule type="duplicateValues" dxfId="6" priority="12"/>
  </conditionalFormatting>
  <conditionalFormatting sqref="B1:B7 E1:E7">
    <cfRule type="duplicateValues" dxfId="5" priority="184"/>
  </conditionalFormatting>
  <conditionalFormatting sqref="E1:E7 B1:B7">
    <cfRule type="duplicateValues" dxfId="4" priority="188"/>
  </conditionalFormatting>
  <conditionalFormatting sqref="B1:B7">
    <cfRule type="duplicateValues" dxfId="3" priority="192"/>
  </conditionalFormatting>
  <conditionalFormatting sqref="E1:E7">
    <cfRule type="duplicateValues" dxfId="2" priority="194"/>
  </conditionalFormatting>
  <conditionalFormatting sqref="E1:E7">
    <cfRule type="duplicateValues" dxfId="1" priority="196"/>
    <cfRule type="duplicateValues" dxfId="0" priority="197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5"/>
  <sheetViews>
    <sheetView workbookViewId="0">
      <selection activeCell="D8" sqref="D8:K8"/>
    </sheetView>
  </sheetViews>
  <sheetFormatPr baseColWidth="10" defaultRowHeight="15" x14ac:dyDescent="0.25"/>
  <cols>
    <col min="1" max="1" width="5.5703125" customWidth="1"/>
    <col min="2" max="2" width="15.140625" style="16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3.140625" customWidth="1"/>
    <col min="8" max="8" width="9.28515625" customWidth="1"/>
    <col min="9" max="9" width="15.5703125" customWidth="1"/>
    <col min="10" max="10" width="14.7109375" style="179" customWidth="1"/>
    <col min="11" max="11" width="15.5703125" customWidth="1"/>
    <col min="13" max="13" width="14.5703125" style="180" bestFit="1" customWidth="1"/>
  </cols>
  <sheetData>
    <row r="1" spans="1:13" ht="30.75" thickBot="1" x14ac:dyDescent="0.3">
      <c r="A1" s="223" t="s">
        <v>163</v>
      </c>
      <c r="B1" s="223"/>
      <c r="C1" s="223"/>
      <c r="D1" s="223"/>
      <c r="E1" s="223"/>
      <c r="F1" s="223"/>
      <c r="G1" s="223"/>
      <c r="H1" s="223"/>
      <c r="I1" s="223"/>
      <c r="J1" s="173" t="s">
        <v>164</v>
      </c>
      <c r="K1" s="112" t="s">
        <v>216</v>
      </c>
    </row>
    <row r="2" spans="1:13" ht="16.5" thickBot="1" x14ac:dyDescent="0.3">
      <c r="A2" s="113"/>
      <c r="B2" s="163"/>
      <c r="C2" s="114"/>
      <c r="D2" s="115"/>
      <c r="E2" s="115"/>
      <c r="F2" s="115"/>
      <c r="G2" s="115"/>
      <c r="H2" s="115"/>
      <c r="I2" s="115"/>
      <c r="J2" s="174"/>
      <c r="K2" s="116"/>
    </row>
    <row r="3" spans="1:13" ht="16.5" thickBot="1" x14ac:dyDescent="0.3">
      <c r="A3" s="218" t="s">
        <v>165</v>
      </c>
      <c r="B3" s="218"/>
      <c r="C3" s="218"/>
      <c r="D3" s="217" t="str">
        <f>'SAF 011'!C2</f>
        <v>040 - MINISTERIO DE SALUD</v>
      </c>
      <c r="E3" s="217"/>
      <c r="F3" s="217"/>
      <c r="G3" s="217"/>
      <c r="H3" s="217"/>
      <c r="I3" s="217"/>
      <c r="J3" s="217"/>
      <c r="K3" s="217"/>
    </row>
    <row r="4" spans="1:13" ht="16.5" thickBot="1" x14ac:dyDescent="0.3">
      <c r="A4" s="216" t="s">
        <v>166</v>
      </c>
      <c r="B4" s="216"/>
      <c r="C4" s="216"/>
      <c r="D4" s="217" t="str">
        <f>'SAF 011'!C3</f>
        <v>011 - DIRECCION PROVINCIAL DE ADMINISTRACION - MINISTERIO DE SALUD</v>
      </c>
      <c r="E4" s="217"/>
      <c r="F4" s="217"/>
      <c r="G4" s="217"/>
      <c r="H4" s="217"/>
      <c r="I4" s="217"/>
      <c r="J4" s="217"/>
      <c r="K4" s="217"/>
    </row>
    <row r="5" spans="1:13" ht="16.5" thickBot="1" x14ac:dyDescent="0.3">
      <c r="A5" s="216" t="s">
        <v>167</v>
      </c>
      <c r="B5" s="216"/>
      <c r="C5" s="216"/>
      <c r="D5" s="217" t="s">
        <v>199</v>
      </c>
      <c r="E5" s="217"/>
      <c r="F5" s="217"/>
      <c r="G5" s="217"/>
      <c r="H5" s="217"/>
      <c r="I5" s="217"/>
      <c r="J5" s="217"/>
      <c r="K5" s="217"/>
    </row>
    <row r="6" spans="1:13" ht="16.5" thickBot="1" x14ac:dyDescent="0.3">
      <c r="A6" s="218" t="s">
        <v>168</v>
      </c>
      <c r="B6" s="218"/>
      <c r="C6" s="218"/>
      <c r="D6" s="217" t="s">
        <v>199</v>
      </c>
      <c r="E6" s="217"/>
      <c r="F6" s="217"/>
      <c r="G6" s="217"/>
      <c r="H6" s="217"/>
      <c r="I6" s="217"/>
      <c r="J6" s="217"/>
      <c r="K6" s="217"/>
    </row>
    <row r="7" spans="1:13" ht="16.5" thickBot="1" x14ac:dyDescent="0.3">
      <c r="A7" s="216" t="s">
        <v>169</v>
      </c>
      <c r="B7" s="216"/>
      <c r="C7" s="216"/>
      <c r="D7" s="217" t="s">
        <v>200</v>
      </c>
      <c r="E7" s="217"/>
      <c r="F7" s="217"/>
      <c r="G7" s="217"/>
      <c r="H7" s="217"/>
      <c r="I7" s="217"/>
      <c r="J7" s="217"/>
      <c r="K7" s="217"/>
    </row>
    <row r="8" spans="1:13" ht="16.5" thickBot="1" x14ac:dyDescent="0.3">
      <c r="A8" s="219" t="s">
        <v>170</v>
      </c>
      <c r="B8" s="219"/>
      <c r="C8" s="219"/>
      <c r="D8" s="220" t="s">
        <v>217</v>
      </c>
      <c r="E8" s="220"/>
      <c r="F8" s="220"/>
      <c r="G8" s="220"/>
      <c r="H8" s="220"/>
      <c r="I8" s="220"/>
      <c r="J8" s="220"/>
      <c r="K8" s="220"/>
    </row>
    <row r="9" spans="1:13" ht="16.5" thickBot="1" x14ac:dyDescent="0.3">
      <c r="A9" s="117"/>
      <c r="B9" s="164"/>
      <c r="C9" s="118"/>
      <c r="D9" s="119"/>
      <c r="E9" s="119"/>
      <c r="F9" s="119"/>
      <c r="G9" s="119"/>
      <c r="H9" s="119"/>
      <c r="I9" s="119"/>
      <c r="J9" s="175"/>
      <c r="K9" s="120"/>
    </row>
    <row r="10" spans="1:13" ht="15.75" thickBot="1" x14ac:dyDescent="0.3">
      <c r="A10" s="221" t="s">
        <v>171</v>
      </c>
      <c r="B10" s="222" t="s">
        <v>172</v>
      </c>
      <c r="C10" s="222" t="s">
        <v>173</v>
      </c>
      <c r="D10" s="222"/>
      <c r="E10" s="222"/>
      <c r="F10" s="222"/>
      <c r="G10" s="222"/>
      <c r="H10" s="222" t="s">
        <v>174</v>
      </c>
      <c r="I10" s="222" t="s">
        <v>175</v>
      </c>
      <c r="J10" s="226" t="s">
        <v>176</v>
      </c>
      <c r="K10" s="224" t="s">
        <v>177</v>
      </c>
    </row>
    <row r="11" spans="1:13" ht="39.75" customHeight="1" thickBot="1" x14ac:dyDescent="0.3">
      <c r="A11" s="221"/>
      <c r="B11" s="222"/>
      <c r="C11" s="222"/>
      <c r="D11" s="222"/>
      <c r="E11" s="222"/>
      <c r="F11" s="222"/>
      <c r="G11" s="222"/>
      <c r="H11" s="222"/>
      <c r="I11" s="222"/>
      <c r="J11" s="226"/>
      <c r="K11" s="224"/>
    </row>
    <row r="12" spans="1:13" s="168" customFormat="1" ht="26.25" customHeight="1" x14ac:dyDescent="0.2">
      <c r="A12" s="166">
        <v>1</v>
      </c>
      <c r="B12" s="121" t="str">
        <f>'SAF 011'!B8</f>
        <v>2.5.1-9009.29</v>
      </c>
      <c r="C12" s="225" t="str">
        <f>'SAF 011'!E8</f>
        <v>ACIDOS; COMPUESTO QUIMICO: AC. CLORHIDRICO, ESTADO: SOLUCION, CALIDAD: PRO ANALISIS, CONCENTRACION/PUREZA: 37 %, PRESENTACION: ENVASE X 1 L</v>
      </c>
      <c r="D12" s="225"/>
      <c r="E12" s="225"/>
      <c r="F12" s="225"/>
      <c r="G12" s="225"/>
      <c r="H12" s="121" t="s">
        <v>204</v>
      </c>
      <c r="I12" s="121" t="str">
        <f>'SAF 011'!F8</f>
        <v>UNIDAD</v>
      </c>
      <c r="J12" s="176">
        <f>'SAF 011'!AX8</f>
        <v>1268.76</v>
      </c>
      <c r="K12" s="167">
        <f>'SAF 011'!AE8</f>
        <v>2</v>
      </c>
      <c r="M12" s="181">
        <f>+J12*K12</f>
        <v>2537.52</v>
      </c>
    </row>
    <row r="13" spans="1:13" s="168" customFormat="1" ht="26.25" customHeight="1" x14ac:dyDescent="0.2">
      <c r="A13" s="169">
        <v>2</v>
      </c>
      <c r="B13" s="122" t="str">
        <f>'SAF 011'!B9</f>
        <v>2.5.1-9009.99</v>
      </c>
      <c r="C13" s="213" t="str">
        <f>'SAF 011'!E9</f>
        <v>ACIDOS; COMPUESTO QUIMICO: AC. SULFURICO, ESTADO: LIQUIDO, CALIDAD: PRO ANALISIS, CONCENTRACION/PUREZA: 98 %, PRESENTACION: ENVASE X 1 L</v>
      </c>
      <c r="D13" s="214"/>
      <c r="E13" s="214"/>
      <c r="F13" s="214"/>
      <c r="G13" s="215"/>
      <c r="H13" s="122" t="s">
        <v>204</v>
      </c>
      <c r="I13" s="122" t="str">
        <f>'SAF 011'!F9</f>
        <v>UNIDAD</v>
      </c>
      <c r="J13" s="177">
        <f>'SAF 011'!AX9</f>
        <v>1282.0680000000002</v>
      </c>
      <c r="K13" s="170">
        <f>'SAF 011'!AE9</f>
        <v>2</v>
      </c>
      <c r="M13" s="181">
        <f t="shared" ref="M13:M63" si="0">+J13*K13</f>
        <v>2564.1360000000004</v>
      </c>
    </row>
    <row r="14" spans="1:13" s="168" customFormat="1" ht="26.25" customHeight="1" x14ac:dyDescent="0.2">
      <c r="A14" s="169">
        <v>3</v>
      </c>
      <c r="B14" s="122" t="str">
        <f>'SAF 011'!B10</f>
        <v>2.5.1-9013.22</v>
      </c>
      <c r="C14" s="213" t="str">
        <f>'SAF 011'!E10</f>
        <v>ALDEHIDOS Y CETONAS; COMPUESTO QUIMICO: ACETONA, ESTADO: LIQUIDO, CALIDAD: PRO ANALISIS, CONCENTRACION/PUREZA: 99 %, PRESENTACION: ENVASE X 1 L</v>
      </c>
      <c r="D14" s="214"/>
      <c r="E14" s="214"/>
      <c r="F14" s="214"/>
      <c r="G14" s="215"/>
      <c r="H14" s="122" t="s">
        <v>204</v>
      </c>
      <c r="I14" s="122" t="str">
        <f>'SAF 011'!F10</f>
        <v>UNIDAD</v>
      </c>
      <c r="J14" s="177">
        <f>'SAF 011'!AX10</f>
        <v>7458.0839999999998</v>
      </c>
      <c r="K14" s="170">
        <f>'SAF 011'!AE10</f>
        <v>2</v>
      </c>
      <c r="M14" s="181">
        <f t="shared" si="0"/>
        <v>14916.168</v>
      </c>
    </row>
    <row r="15" spans="1:13" s="168" customFormat="1" ht="26.25" customHeight="1" x14ac:dyDescent="0.2">
      <c r="A15" s="169">
        <v>4</v>
      </c>
      <c r="B15" s="122" t="str">
        <f>'SAF 011'!B11</f>
        <v>2.5.1-9015.66</v>
      </c>
      <c r="C15" s="213" t="str">
        <f>'SAF 011'!E11</f>
        <v>BASES; COMPUESTO QUIMICO: HIDROXIDO DE POTASIO, ESTADO: SOLIDO, CALIDAD: FARMACOPEA, CONCENTRACION/PUREZA: 98 %, PRESENTACION: ENVASE X 1 Kg</v>
      </c>
      <c r="D15" s="214"/>
      <c r="E15" s="214"/>
      <c r="F15" s="214"/>
      <c r="G15" s="215"/>
      <c r="H15" s="122" t="s">
        <v>204</v>
      </c>
      <c r="I15" s="122" t="str">
        <f>'SAF 011'!F11</f>
        <v>UNIDAD</v>
      </c>
      <c r="J15" s="177">
        <f>'SAF 011'!AX11</f>
        <v>783.6</v>
      </c>
      <c r="K15" s="170">
        <f>'SAF 011'!AE11</f>
        <v>2</v>
      </c>
      <c r="M15" s="181">
        <f t="shared" si="0"/>
        <v>1567.2</v>
      </c>
    </row>
    <row r="16" spans="1:13" s="168" customFormat="1" ht="26.25" customHeight="1" x14ac:dyDescent="0.2">
      <c r="A16" s="169">
        <v>5</v>
      </c>
      <c r="B16" s="122" t="str">
        <f>'SAF 011'!B12</f>
        <v>2.5.1-9015.52</v>
      </c>
      <c r="C16" s="213" t="str">
        <f>'SAF 011'!E12</f>
        <v>BASES; COMPUESTO QUIMICO: HIDROXIDO DE SODIO, ESTADO: SOLUCION, CALIDAD: PRO ANALISIS, CONCENTRACION/PUREZA: 0,1 N, PRESENTACION: ENVASE X 1 L</v>
      </c>
      <c r="D16" s="214"/>
      <c r="E16" s="214"/>
      <c r="F16" s="214"/>
      <c r="G16" s="215"/>
      <c r="H16" s="122" t="s">
        <v>204</v>
      </c>
      <c r="I16" s="122" t="str">
        <f>'SAF 011'!F12</f>
        <v>UNIDAD</v>
      </c>
      <c r="J16" s="177">
        <f>'SAF 011'!AX12</f>
        <v>747.6</v>
      </c>
      <c r="K16" s="170">
        <f>'SAF 011'!AE12</f>
        <v>2</v>
      </c>
      <c r="M16" s="181">
        <f t="shared" si="0"/>
        <v>1495.2</v>
      </c>
    </row>
    <row r="17" spans="1:13" s="168" customFormat="1" ht="26.25" customHeight="1" x14ac:dyDescent="0.2">
      <c r="A17" s="169">
        <v>6</v>
      </c>
      <c r="B17" s="122" t="str">
        <f>'SAF 011'!B13</f>
        <v>2.5.1-8976.27</v>
      </c>
      <c r="C17" s="213" t="str">
        <f>'SAF 011'!E13</f>
        <v>HIDROCARBUROS; COMPUESTO QUIMICO: CICLOHEXANO, ESTADO: LIQUIDO, CONCENTRACION/PUREZA: 100 %, PRESENTACION: ENVASE X 1 L, CALIDAD: PRO ANALISIS</v>
      </c>
      <c r="D17" s="214"/>
      <c r="E17" s="214"/>
      <c r="F17" s="214"/>
      <c r="G17" s="215"/>
      <c r="H17" s="122" t="s">
        <v>204</v>
      </c>
      <c r="I17" s="122" t="str">
        <f>'SAF 011'!F13</f>
        <v>UNIDAD</v>
      </c>
      <c r="J17" s="177">
        <f>'SAF 011'!AX13</f>
        <v>6387.6</v>
      </c>
      <c r="K17" s="170">
        <f>'SAF 011'!AE13</f>
        <v>2</v>
      </c>
      <c r="M17" s="181">
        <f t="shared" si="0"/>
        <v>12775.2</v>
      </c>
    </row>
    <row r="18" spans="1:13" s="168" customFormat="1" ht="26.25" customHeight="1" x14ac:dyDescent="0.2">
      <c r="A18" s="169">
        <v>7</v>
      </c>
      <c r="B18" s="122" t="str">
        <f>'SAF 011'!B14</f>
        <v>2.5.1-9016.184</v>
      </c>
      <c r="C18" s="213" t="str">
        <f>'SAF 011'!E14</f>
        <v>MEDIOS DE CULTIVO Y SUPLEMENTO; NOMBRE DEL PRODUCTO: AGAR BAIRD PARKER, ESTADO: SOLIDO, PRESENTACION: ENVASE X 500 GR</v>
      </c>
      <c r="D18" s="214"/>
      <c r="E18" s="214"/>
      <c r="F18" s="214"/>
      <c r="G18" s="215"/>
      <c r="H18" s="122" t="s">
        <v>204</v>
      </c>
      <c r="I18" s="122" t="str">
        <f>'SAF 011'!F14</f>
        <v>UNIDAD</v>
      </c>
      <c r="J18" s="177">
        <f>'SAF 011'!AX14</f>
        <v>19988.519999999997</v>
      </c>
      <c r="K18" s="170">
        <f>'SAF 011'!AE14</f>
        <v>1</v>
      </c>
      <c r="M18" s="181">
        <f t="shared" si="0"/>
        <v>19988.519999999997</v>
      </c>
    </row>
    <row r="19" spans="1:13" s="168" customFormat="1" ht="26.25" customHeight="1" x14ac:dyDescent="0.2">
      <c r="A19" s="169">
        <v>8</v>
      </c>
      <c r="B19" s="122" t="str">
        <f>'SAF 011'!B15</f>
        <v>2.5.1-9016.774</v>
      </c>
      <c r="C19" s="213" t="str">
        <f>'SAF 011'!E15</f>
        <v>MEDIOS DE CULTIVO Y SUPLEMENTO; NOMBRE DEL PRODUCTO: AGAR BASE BACILLUS CEREUS, ESTADO: SOLIDO, PRESENTACION: ENVASE X 500 GR</v>
      </c>
      <c r="D19" s="214"/>
      <c r="E19" s="214"/>
      <c r="F19" s="214"/>
      <c r="G19" s="215"/>
      <c r="H19" s="122" t="s">
        <v>204</v>
      </c>
      <c r="I19" s="122" t="str">
        <f>'SAF 011'!F15</f>
        <v>UNIDAD</v>
      </c>
      <c r="J19" s="177">
        <f>'SAF 011'!AX15</f>
        <v>20640.911999999997</v>
      </c>
      <c r="K19" s="170">
        <f>'SAF 011'!AE15</f>
        <v>2</v>
      </c>
      <c r="M19" s="181">
        <f t="shared" si="0"/>
        <v>41281.823999999993</v>
      </c>
    </row>
    <row r="20" spans="1:13" s="168" customFormat="1" ht="26.25" customHeight="1" x14ac:dyDescent="0.2">
      <c r="A20" s="169">
        <v>9</v>
      </c>
      <c r="B20" s="122" t="str">
        <f>'SAF 011'!B16</f>
        <v>2.5.1-9016.200</v>
      </c>
      <c r="C20" s="213" t="str">
        <f>'SAF 011'!E16</f>
        <v>MEDIOS DE CULTIVO Y SUPLEMENTO; NOMBRE DEL PRODUCTO: AGAR BASE SANGRE, ESTADO: SOLIDO, PRESENTACION: ENVASE X 500 Ml</v>
      </c>
      <c r="D20" s="214"/>
      <c r="E20" s="214"/>
      <c r="F20" s="214"/>
      <c r="G20" s="215"/>
      <c r="H20" s="122" t="s">
        <v>204</v>
      </c>
      <c r="I20" s="122" t="str">
        <f>'SAF 011'!F16</f>
        <v>UNIDAD</v>
      </c>
      <c r="J20" s="177">
        <f>'SAF 011'!AX16</f>
        <v>6360</v>
      </c>
      <c r="K20" s="170">
        <f>'SAF 011'!AE16</f>
        <v>1</v>
      </c>
      <c r="M20" s="181">
        <f t="shared" si="0"/>
        <v>6360</v>
      </c>
    </row>
    <row r="21" spans="1:13" s="168" customFormat="1" ht="26.25" customHeight="1" x14ac:dyDescent="0.2">
      <c r="A21" s="169">
        <v>10</v>
      </c>
      <c r="B21" s="122" t="str">
        <f>'SAF 011'!B17</f>
        <v>2.5.1-9016.205</v>
      </c>
      <c r="C21" s="213" t="str">
        <f>'SAF 011'!E17</f>
        <v>MEDIOS DE CULTIVO Y SUPLEMENTO; NOMBRE DEL PRODUCTO: AGAR BILIS ESCULINA AZIDA, ESTADO: SOLIDO, PRESENTACION: ENVASE X 100 GR</v>
      </c>
      <c r="D21" s="214"/>
      <c r="E21" s="214"/>
      <c r="F21" s="214"/>
      <c r="G21" s="215"/>
      <c r="H21" s="122" t="s">
        <v>204</v>
      </c>
      <c r="I21" s="122" t="str">
        <f>'SAF 011'!F17</f>
        <v>UNIDAD</v>
      </c>
      <c r="J21" s="177">
        <f>'SAF 011'!AX17</f>
        <v>12526.175999999999</v>
      </c>
      <c r="K21" s="170">
        <f>'SAF 011'!AE17</f>
        <v>1</v>
      </c>
      <c r="M21" s="181">
        <f t="shared" si="0"/>
        <v>12526.175999999999</v>
      </c>
    </row>
    <row r="22" spans="1:13" s="168" customFormat="1" ht="26.25" customHeight="1" x14ac:dyDescent="0.2">
      <c r="A22" s="169">
        <v>11</v>
      </c>
      <c r="B22" s="122" t="str">
        <f>'SAF 011'!B18</f>
        <v>2.5.1-9016.78</v>
      </c>
      <c r="C22" s="213" t="str">
        <f>'SAF 011'!E18</f>
        <v>MEDIOS DE CULTIVO Y SUPLEMENTO; NOMBRE DEL PRODUCTO: AGAR CETRIMIDA, ESTADO: SOLIDO, PRESENTACION: ENVASE X 500 GR</v>
      </c>
      <c r="D22" s="214"/>
      <c r="E22" s="214"/>
      <c r="F22" s="214"/>
      <c r="G22" s="215"/>
      <c r="H22" s="122" t="s">
        <v>204</v>
      </c>
      <c r="I22" s="122" t="str">
        <f>'SAF 011'!F18</f>
        <v>UNIDAD</v>
      </c>
      <c r="J22" s="177">
        <f>'SAF 011'!AX18</f>
        <v>24630.923999999999</v>
      </c>
      <c r="K22" s="170">
        <f>'SAF 011'!AE18</f>
        <v>1</v>
      </c>
      <c r="M22" s="181">
        <f t="shared" si="0"/>
        <v>24630.923999999999</v>
      </c>
    </row>
    <row r="23" spans="1:13" s="168" customFormat="1" ht="26.25" customHeight="1" x14ac:dyDescent="0.2">
      <c r="A23" s="169">
        <v>12</v>
      </c>
      <c r="B23" s="122" t="str">
        <f>'SAF 011'!B19</f>
        <v>2.5.1-9016.646</v>
      </c>
      <c r="C23" s="213" t="str">
        <f>'SAF 011'!E19</f>
        <v>MEDIOS DE CULTIVO Y SUPLEMENTO; NOMBRE DEL PRODUCTO: AGAR EMB, ESTADO: SOLIDO, PRESENTACION: ENVASE X 100 GR</v>
      </c>
      <c r="D23" s="214"/>
      <c r="E23" s="214"/>
      <c r="F23" s="214"/>
      <c r="G23" s="215"/>
      <c r="H23" s="122" t="s">
        <v>204</v>
      </c>
      <c r="I23" s="122" t="str">
        <f>'SAF 011'!F19</f>
        <v>UNIDAD</v>
      </c>
      <c r="J23" s="177">
        <f>'SAF 011'!AX19</f>
        <v>23746.296000000002</v>
      </c>
      <c r="K23" s="170">
        <f>'SAF 011'!AE19</f>
        <v>2</v>
      </c>
      <c r="M23" s="181">
        <f t="shared" si="0"/>
        <v>47492.592000000004</v>
      </c>
    </row>
    <row r="24" spans="1:13" s="168" customFormat="1" ht="26.25" customHeight="1" x14ac:dyDescent="0.2">
      <c r="A24" s="169">
        <v>13</v>
      </c>
      <c r="B24" s="122" t="str">
        <f>'SAF 011'!B20</f>
        <v>2.5.1-9016.244</v>
      </c>
      <c r="C24" s="213" t="str">
        <f>'SAF 011'!E20</f>
        <v>MEDIOS DE CULTIVO Y SUPLEMENTO; NOMBRE DEL PRODUCTO: AGAR MAC CONKEY SORBITOL, ESTADO: SOLIDO, PRESENTACION: ENVASE X 500 GR</v>
      </c>
      <c r="D24" s="214"/>
      <c r="E24" s="214"/>
      <c r="F24" s="214"/>
      <c r="G24" s="215"/>
      <c r="H24" s="122" t="s">
        <v>204</v>
      </c>
      <c r="I24" s="122" t="str">
        <f>'SAF 011'!F20</f>
        <v>UNIDAD</v>
      </c>
      <c r="J24" s="177">
        <f>'SAF 011'!AX20</f>
        <v>20170.416000000001</v>
      </c>
      <c r="K24" s="170">
        <f>'SAF 011'!AE20</f>
        <v>1</v>
      </c>
      <c r="M24" s="181">
        <f t="shared" si="0"/>
        <v>20170.416000000001</v>
      </c>
    </row>
    <row r="25" spans="1:13" s="168" customFormat="1" ht="26.25" customHeight="1" x14ac:dyDescent="0.2">
      <c r="A25" s="169">
        <v>14</v>
      </c>
      <c r="B25" s="122" t="str">
        <f>'SAF 011'!B21</f>
        <v>2.5.1-9016.241</v>
      </c>
      <c r="C25" s="213" t="str">
        <f>'SAF 011'!E21</f>
        <v>MEDIOS DE CULTIVO Y SUPLEMENTO; NOMBRE DEL PRODUCTO: AGAR MAC CONKEY, ESTADO: SOLIDO, PRESENTACION: ENVASE X 500 GR</v>
      </c>
      <c r="D25" s="214"/>
      <c r="E25" s="214"/>
      <c r="F25" s="214"/>
      <c r="G25" s="215"/>
      <c r="H25" s="122" t="s">
        <v>204</v>
      </c>
      <c r="I25" s="122" t="str">
        <f>'SAF 011'!F21</f>
        <v>UNIDAD</v>
      </c>
      <c r="J25" s="177">
        <f>'SAF 011'!AX21</f>
        <v>17975.04</v>
      </c>
      <c r="K25" s="170">
        <f>'SAF 011'!AE21</f>
        <v>2</v>
      </c>
      <c r="M25" s="181">
        <f t="shared" si="0"/>
        <v>35950.080000000002</v>
      </c>
    </row>
    <row r="26" spans="1:13" s="168" customFormat="1" ht="26.25" customHeight="1" x14ac:dyDescent="0.2">
      <c r="A26" s="169">
        <v>15</v>
      </c>
      <c r="B26" s="122" t="str">
        <f>'SAF 011'!B22</f>
        <v>2.5.1-9016.181</v>
      </c>
      <c r="C26" s="213" t="str">
        <f>'SAF 011'!E22</f>
        <v>MEDIOS DE CULTIVO Y SUPLEMENTO; NOMBRE DEL PRODUCTO: AGAR MANITOL SALADO, ESTADO: SOLIDO, PRESENTACION: ENVASE X 100 GR</v>
      </c>
      <c r="D26" s="214"/>
      <c r="E26" s="214"/>
      <c r="F26" s="214"/>
      <c r="G26" s="215"/>
      <c r="H26" s="122" t="s">
        <v>204</v>
      </c>
      <c r="I26" s="122" t="str">
        <f>'SAF 011'!F22</f>
        <v>UNIDAD</v>
      </c>
      <c r="J26" s="177">
        <f>'SAF 011'!AX22</f>
        <v>12737.16</v>
      </c>
      <c r="K26" s="170">
        <f>'SAF 011'!AE22</f>
        <v>1</v>
      </c>
      <c r="M26" s="181">
        <f t="shared" si="0"/>
        <v>12737.16</v>
      </c>
    </row>
    <row r="27" spans="1:13" s="168" customFormat="1" ht="26.25" customHeight="1" x14ac:dyDescent="0.2">
      <c r="A27" s="169">
        <v>16</v>
      </c>
      <c r="B27" s="122" t="str">
        <f>'SAF 011'!B23</f>
        <v>2.5.1-9016.664</v>
      </c>
      <c r="C27" s="213" t="str">
        <f>'SAF 011'!E23</f>
        <v>MEDIOS DE CULTIVO Y SUPLEMENTO; NOMBRE DEL PRODUCTO: AGAR NUTRITIVO, ESTADO: SOLIDO, PRESENTACION: ENVASE X 500 GR</v>
      </c>
      <c r="D27" s="214"/>
      <c r="E27" s="214"/>
      <c r="F27" s="214"/>
      <c r="G27" s="215"/>
      <c r="H27" s="122" t="s">
        <v>204</v>
      </c>
      <c r="I27" s="122" t="str">
        <f>'SAF 011'!F23</f>
        <v>UNIDAD</v>
      </c>
      <c r="J27" s="177">
        <f>'SAF 011'!AX23</f>
        <v>5808.3600000000006</v>
      </c>
      <c r="K27" s="170">
        <f>'SAF 011'!AE23</f>
        <v>1</v>
      </c>
      <c r="M27" s="181">
        <f t="shared" si="0"/>
        <v>5808.3600000000006</v>
      </c>
    </row>
    <row r="28" spans="1:13" s="168" customFormat="1" ht="26.25" customHeight="1" x14ac:dyDescent="0.2">
      <c r="A28" s="169">
        <v>17</v>
      </c>
      <c r="B28" s="122" t="str">
        <f>'SAF 011'!B24</f>
        <v>2.5.1-9016.86</v>
      </c>
      <c r="C28" s="213" t="str">
        <f>'SAF 011'!E24</f>
        <v>MEDIOS DE CULTIVO Y SUPLEMENTO; NOMBRE DEL PRODUCTO: AGAR RECUENTO TOTAL, ESTADO: SOLIDO, PRESENTACION: ENVASE X 500 GR</v>
      </c>
      <c r="D28" s="214"/>
      <c r="E28" s="214"/>
      <c r="F28" s="214"/>
      <c r="G28" s="215"/>
      <c r="H28" s="122" t="s">
        <v>204</v>
      </c>
      <c r="I28" s="122" t="str">
        <f>'SAF 011'!F24</f>
        <v>UNIDAD</v>
      </c>
      <c r="J28" s="177">
        <f>'SAF 011'!AX24</f>
        <v>5245.1279999999997</v>
      </c>
      <c r="K28" s="170">
        <f>'SAF 011'!AE24</f>
        <v>2</v>
      </c>
      <c r="M28" s="181">
        <f t="shared" si="0"/>
        <v>10490.255999999999</v>
      </c>
    </row>
    <row r="29" spans="1:13" s="168" customFormat="1" ht="26.25" customHeight="1" x14ac:dyDescent="0.2">
      <c r="A29" s="169">
        <v>18</v>
      </c>
      <c r="B29" s="122" t="str">
        <f>'SAF 011'!B25</f>
        <v>2.5.1-9016.264</v>
      </c>
      <c r="C29" s="213" t="str">
        <f>'SAF 011'!E25</f>
        <v>MEDIOS DE CULTIVO Y SUPLEMENTO; NOMBRE DEL PRODUCTO: AGAR SABOURAUD GLUCOSA, ESTADO: SOLIDO, PRESENTACION: ENVASE X 500 GR</v>
      </c>
      <c r="D29" s="214"/>
      <c r="E29" s="214"/>
      <c r="F29" s="214"/>
      <c r="G29" s="215"/>
      <c r="H29" s="122" t="s">
        <v>204</v>
      </c>
      <c r="I29" s="122" t="str">
        <f>'SAF 011'!F25</f>
        <v>UNIDAD</v>
      </c>
      <c r="J29" s="177">
        <f>'SAF 011'!AX25</f>
        <v>11269.92</v>
      </c>
      <c r="K29" s="170">
        <f>'SAF 011'!AE25</f>
        <v>1</v>
      </c>
      <c r="M29" s="181">
        <f t="shared" si="0"/>
        <v>11269.92</v>
      </c>
    </row>
    <row r="30" spans="1:13" s="168" customFormat="1" ht="26.25" customHeight="1" x14ac:dyDescent="0.2">
      <c r="A30" s="169">
        <v>19</v>
      </c>
      <c r="B30" s="122" t="str">
        <f>'SAF 011'!B26</f>
        <v>2.5.1-9016.392</v>
      </c>
      <c r="C30" s="213" t="str">
        <f>'SAF 011'!E26</f>
        <v>MEDIOS DE CULTIVO Y SUPLEMENTO; NOMBRE DEL PRODUCTO: AGAR SALMONELLA- SHIGELLA, ESTADO: SOLIDO, PRESENTACION: ENVASE X 500 GR</v>
      </c>
      <c r="D30" s="214"/>
      <c r="E30" s="214"/>
      <c r="F30" s="214"/>
      <c r="G30" s="215"/>
      <c r="H30" s="122" t="s">
        <v>204</v>
      </c>
      <c r="I30" s="122" t="str">
        <f>'SAF 011'!F26</f>
        <v>UNIDAD</v>
      </c>
      <c r="J30" s="177">
        <f>'SAF 011'!AX26</f>
        <v>16270.691999999999</v>
      </c>
      <c r="K30" s="170">
        <f>'SAF 011'!AE26</f>
        <v>1</v>
      </c>
      <c r="M30" s="181">
        <f t="shared" si="0"/>
        <v>16270.691999999999</v>
      </c>
    </row>
    <row r="31" spans="1:13" s="168" customFormat="1" ht="26.25" customHeight="1" x14ac:dyDescent="0.2">
      <c r="A31" s="169">
        <v>20</v>
      </c>
      <c r="B31" s="122" t="str">
        <f>'SAF 011'!B27</f>
        <v>2.5.1-9016.709</v>
      </c>
      <c r="C31" s="213" t="str">
        <f>'SAF 011'!E27</f>
        <v>MEDIOS DE CULTIVO Y SUPLEMENTO; NOMBRE DEL PRODUCTO: AGAR TIOGLICOLATO RESAZURINA, ESTADO: SOLIDO, PRESENTACION: ENVASE X 500 GR</v>
      </c>
      <c r="D31" s="214"/>
      <c r="E31" s="214"/>
      <c r="F31" s="214"/>
      <c r="G31" s="215"/>
      <c r="H31" s="122" t="s">
        <v>204</v>
      </c>
      <c r="I31" s="122" t="str">
        <f>'SAF 011'!F27</f>
        <v>UNIDAD</v>
      </c>
      <c r="J31" s="177">
        <f>'SAF 011'!AX27</f>
        <v>47244.371999999996</v>
      </c>
      <c r="K31" s="170">
        <f>'SAF 011'!AE27</f>
        <v>1</v>
      </c>
      <c r="M31" s="181">
        <f t="shared" si="0"/>
        <v>47244.371999999996</v>
      </c>
    </row>
    <row r="32" spans="1:13" s="168" customFormat="1" ht="26.25" customHeight="1" x14ac:dyDescent="0.2">
      <c r="A32" s="169">
        <v>21</v>
      </c>
      <c r="B32" s="122" t="str">
        <f>'SAF 011'!B28</f>
        <v>2.5.1-9016.874</v>
      </c>
      <c r="C32" s="213" t="str">
        <f>'SAF 011'!E28</f>
        <v>MEDIOS DE CULTIVO Y SUPLEMENTO; NOMBRE DEL PRODUCTO: AGAR VIOLETA ROJO BILIS GLUCOS, ESTADO: SOLIDO, PRESENTACION: ENVASE X 500 GR</v>
      </c>
      <c r="D32" s="214"/>
      <c r="E32" s="214"/>
      <c r="F32" s="214"/>
      <c r="G32" s="215"/>
      <c r="H32" s="122" t="s">
        <v>204</v>
      </c>
      <c r="I32" s="122" t="str">
        <f>'SAF 011'!F28</f>
        <v>UNIDAD</v>
      </c>
      <c r="J32" s="177">
        <f>'SAF 011'!AX28</f>
        <v>16357.271999999999</v>
      </c>
      <c r="K32" s="170">
        <f>'SAF 011'!AE28</f>
        <v>2</v>
      </c>
      <c r="M32" s="181">
        <f t="shared" si="0"/>
        <v>32714.543999999998</v>
      </c>
    </row>
    <row r="33" spans="1:13" s="168" customFormat="1" ht="26.25" customHeight="1" x14ac:dyDescent="0.2">
      <c r="A33" s="169">
        <v>22</v>
      </c>
      <c r="B33" s="122" t="str">
        <f>'SAF 011'!B29</f>
        <v>2.5.1-9016.366</v>
      </c>
      <c r="C33" s="213" t="str">
        <f>'SAF 011'!E29</f>
        <v>MEDIOS DE CULTIVO Y SUPLEMENTO; NOMBRE DEL PRODUCTO: AGAR VIOLETA ROJO NEUTRO BILIS, ESTADO: SOLIDO, PRESENTACION: ENVASE X 500 GR</v>
      </c>
      <c r="D33" s="214"/>
      <c r="E33" s="214"/>
      <c r="F33" s="214"/>
      <c r="G33" s="215"/>
      <c r="H33" s="122" t="s">
        <v>204</v>
      </c>
      <c r="I33" s="122" t="str">
        <f>'SAF 011'!F29</f>
        <v>UNIDAD</v>
      </c>
      <c r="J33" s="177">
        <f>'SAF 011'!AX29</f>
        <v>12477.671999999999</v>
      </c>
      <c r="K33" s="170">
        <f>'SAF 011'!AE29</f>
        <v>2</v>
      </c>
      <c r="M33" s="181">
        <f t="shared" si="0"/>
        <v>24955.343999999997</v>
      </c>
    </row>
    <row r="34" spans="1:13" s="168" customFormat="1" ht="26.25" customHeight="1" x14ac:dyDescent="0.2">
      <c r="A34" s="169">
        <v>23</v>
      </c>
      <c r="B34" s="122" t="str">
        <f>'SAF 011'!B30</f>
        <v>2.5.1-9016.71</v>
      </c>
      <c r="C34" s="213" t="str">
        <f>'SAF 011'!E30</f>
        <v>MEDIOS DE CULTIVO Y SUPLEMENTO; NOMBRE DEL PRODUCTO: AGAR XLT, ESTADO: SOLIDO, PRESENTACION: ENVASE X 500 GR</v>
      </c>
      <c r="D34" s="214"/>
      <c r="E34" s="214"/>
      <c r="F34" s="214"/>
      <c r="G34" s="215"/>
      <c r="H34" s="122" t="s">
        <v>204</v>
      </c>
      <c r="I34" s="122" t="str">
        <f>'SAF 011'!F30</f>
        <v>UNIDAD</v>
      </c>
      <c r="J34" s="177">
        <f>'SAF 011'!AX30</f>
        <v>93271.175999999992</v>
      </c>
      <c r="K34" s="170">
        <f>'SAF 011'!AE30</f>
        <v>1</v>
      </c>
      <c r="M34" s="181">
        <f t="shared" si="0"/>
        <v>93271.175999999992</v>
      </c>
    </row>
    <row r="35" spans="1:13" s="168" customFormat="1" ht="26.25" customHeight="1" x14ac:dyDescent="0.2">
      <c r="A35" s="169">
        <v>24</v>
      </c>
      <c r="B35" s="122" t="str">
        <f>'SAF 011'!B31</f>
        <v>2.5.1-9016.368</v>
      </c>
      <c r="C35" s="213" t="str">
        <f>'SAF 011'!E31</f>
        <v>MEDIOS DE CULTIVO Y SUPLEMENTO; NOMBRE DEL PRODUCTO: C.LAURIL SULFATO TRIPTOSA MODI, ESTADO: SOLIDO, PRESENTACION: ENVASE X 500 mGr</v>
      </c>
      <c r="D35" s="214"/>
      <c r="E35" s="214"/>
      <c r="F35" s="214"/>
      <c r="G35" s="215"/>
      <c r="H35" s="122" t="s">
        <v>204</v>
      </c>
      <c r="I35" s="122" t="str">
        <f>'SAF 011'!F31</f>
        <v>UNIDAD</v>
      </c>
      <c r="J35" s="177">
        <f>'SAF 011'!AX31</f>
        <v>20132.04</v>
      </c>
      <c r="K35" s="170">
        <f>'SAF 011'!AE31</f>
        <v>2</v>
      </c>
      <c r="M35" s="181">
        <f t="shared" si="0"/>
        <v>40264.080000000002</v>
      </c>
    </row>
    <row r="36" spans="1:13" s="168" customFormat="1" ht="26.25" customHeight="1" x14ac:dyDescent="0.2">
      <c r="A36" s="169">
        <v>25</v>
      </c>
      <c r="B36" s="122" t="str">
        <f>'SAF 011'!B32</f>
        <v>2.5.1-9016.145</v>
      </c>
      <c r="C36" s="213" t="str">
        <f>'SAF 011'!E32</f>
        <v>MEDIOS DE CULTIVO Y SUPLEMENTO; NOMBRE DEL PRODUCTO: CALDO AZIDA GLUCOSA, ESTADO: SOLIDO, PRESENTACION: ENVASE X 500 GR</v>
      </c>
      <c r="D36" s="214"/>
      <c r="E36" s="214"/>
      <c r="F36" s="214"/>
      <c r="G36" s="215"/>
      <c r="H36" s="122" t="s">
        <v>204</v>
      </c>
      <c r="I36" s="122" t="str">
        <f>'SAF 011'!F32</f>
        <v>UNIDAD</v>
      </c>
      <c r="J36" s="177">
        <f>'SAF 011'!AX32</f>
        <v>21878.400000000001</v>
      </c>
      <c r="K36" s="170">
        <f>'SAF 011'!AE32</f>
        <v>1</v>
      </c>
      <c r="M36" s="181">
        <f t="shared" si="0"/>
        <v>21878.400000000001</v>
      </c>
    </row>
    <row r="37" spans="1:13" s="168" customFormat="1" ht="26.25" customHeight="1" x14ac:dyDescent="0.2">
      <c r="A37" s="169">
        <v>26</v>
      </c>
      <c r="B37" s="122" t="str">
        <f>'SAF 011'!B33</f>
        <v>2.5.1-9016.373</v>
      </c>
      <c r="C37" s="213" t="str">
        <f>'SAF 011'!E33</f>
        <v>MEDIOS DE CULTIVO Y SUPLEMENTO; NOMBRE DEL PRODUCTO: CALDO ESCHERICHIA COLI, ESTADO: SOLIDO, PRESENTACION: ENVASE X 500 GR</v>
      </c>
      <c r="D37" s="214"/>
      <c r="E37" s="214"/>
      <c r="F37" s="214"/>
      <c r="G37" s="215"/>
      <c r="H37" s="122" t="s">
        <v>204</v>
      </c>
      <c r="I37" s="122" t="str">
        <f>'SAF 011'!F33</f>
        <v>UNIDAD</v>
      </c>
      <c r="J37" s="177">
        <f>'SAF 011'!AX33</f>
        <v>19238.400000000001</v>
      </c>
      <c r="K37" s="170">
        <f>'SAF 011'!AE33</f>
        <v>2</v>
      </c>
      <c r="M37" s="181">
        <f t="shared" si="0"/>
        <v>38476.800000000003</v>
      </c>
    </row>
    <row r="38" spans="1:13" s="168" customFormat="1" ht="26.25" customHeight="1" x14ac:dyDescent="0.2">
      <c r="A38" s="169">
        <v>27</v>
      </c>
      <c r="B38" s="122" t="str">
        <f>'SAF 011'!B34</f>
        <v>2.5.1-9016.503</v>
      </c>
      <c r="C38" s="213" t="str">
        <f>'SAF 011'!E34</f>
        <v>MEDIOS DE CULTIVO Y SUPLEMENTO; NOMBRE DEL PRODUCTO: CALDO GIOLITTI CANTONI, ESTADO: SOLIDO, PRESENTACION: ENVASE X 500 GR</v>
      </c>
      <c r="D38" s="214"/>
      <c r="E38" s="214"/>
      <c r="F38" s="214"/>
      <c r="G38" s="215"/>
      <c r="H38" s="122" t="s">
        <v>204</v>
      </c>
      <c r="I38" s="122" t="str">
        <f>'SAF 011'!F34</f>
        <v>UNIDAD</v>
      </c>
      <c r="J38" s="177">
        <f>'SAF 011'!AX34</f>
        <v>30958.151999999998</v>
      </c>
      <c r="K38" s="170">
        <f>'SAF 011'!AE34</f>
        <v>1</v>
      </c>
      <c r="M38" s="181">
        <f t="shared" si="0"/>
        <v>30958.151999999998</v>
      </c>
    </row>
    <row r="39" spans="1:13" s="168" customFormat="1" ht="26.25" customHeight="1" x14ac:dyDescent="0.2">
      <c r="A39" s="169">
        <v>28</v>
      </c>
      <c r="B39" s="122" t="str">
        <f>'SAF 011'!B35</f>
        <v>2.5.1-9016.54</v>
      </c>
      <c r="C39" s="213" t="str">
        <f>'SAF 011'!E35</f>
        <v>MEDIOS DE CULTIVO Y SUPLEMENTO; NOMBRE DEL PRODUCTO: CALDO SELENITO VERDE BRILLANTE, ESTADO: SOLIDO, PRESENTACION: ENVASE X 500 GR</v>
      </c>
      <c r="D39" s="214"/>
      <c r="E39" s="214"/>
      <c r="F39" s="214"/>
      <c r="G39" s="215"/>
      <c r="H39" s="122" t="s">
        <v>204</v>
      </c>
      <c r="I39" s="122" t="str">
        <f>'SAF 011'!F35</f>
        <v>UNIDAD</v>
      </c>
      <c r="J39" s="177">
        <f>'SAF 011'!AX35</f>
        <v>36607.451999999997</v>
      </c>
      <c r="K39" s="170">
        <f>'SAF 011'!AE35</f>
        <v>2</v>
      </c>
      <c r="M39" s="181">
        <f t="shared" si="0"/>
        <v>73214.903999999995</v>
      </c>
    </row>
    <row r="40" spans="1:13" s="168" customFormat="1" ht="26.25" customHeight="1" x14ac:dyDescent="0.2">
      <c r="A40" s="169">
        <v>29</v>
      </c>
      <c r="B40" s="122" t="str">
        <f>'SAF 011'!B36</f>
        <v>2.5.1-9016.46</v>
      </c>
      <c r="C40" s="213" t="str">
        <f>'SAF 011'!E36</f>
        <v xml:space="preserve">MEDIOS DE CULTIVO Y SUPLEMENTO; NOMBRE DEL PRODUCTO: CALDO TETRATIONATO, ESTADO: SOLIDO, PRESENTACION: ENVASE X 500 GR            </v>
      </c>
      <c r="D40" s="214"/>
      <c r="E40" s="214"/>
      <c r="F40" s="214"/>
      <c r="G40" s="215"/>
      <c r="H40" s="122" t="s">
        <v>204</v>
      </c>
      <c r="I40" s="122" t="str">
        <f>'SAF 011'!F36</f>
        <v>UNIDAD</v>
      </c>
      <c r="J40" s="177">
        <f>'SAF 011'!AX36</f>
        <v>3882.7439999999997</v>
      </c>
      <c r="K40" s="170">
        <f>'SAF 011'!AE36</f>
        <v>1</v>
      </c>
      <c r="M40" s="181">
        <f t="shared" si="0"/>
        <v>3882.7439999999997</v>
      </c>
    </row>
    <row r="41" spans="1:13" s="168" customFormat="1" ht="26.25" customHeight="1" x14ac:dyDescent="0.2">
      <c r="A41" s="169">
        <v>30</v>
      </c>
      <c r="B41" s="122" t="str">
        <f>'SAF 011'!B37</f>
        <v>2.5.1-9016.826</v>
      </c>
      <c r="C41" s="213" t="str">
        <f>'SAF 011'!E37</f>
        <v>MEDIOS DE CULTIVO Y SUPLEMENTO; NOMBRE DEL PRODUCTO: GENERADORES DE ANAEROBIOSIS, ESTADO: SOLIDO, PRESENTACION: ENVASE X 10 UN</v>
      </c>
      <c r="D41" s="214"/>
      <c r="E41" s="214"/>
      <c r="F41" s="214"/>
      <c r="G41" s="215"/>
      <c r="H41" s="122" t="s">
        <v>204</v>
      </c>
      <c r="I41" s="122" t="str">
        <f>'SAF 011'!F37</f>
        <v>UNIDAD</v>
      </c>
      <c r="J41" s="177">
        <f>'SAF 011'!AX37</f>
        <v>5475.6</v>
      </c>
      <c r="K41" s="170">
        <f>'SAF 011'!AE37</f>
        <v>2</v>
      </c>
      <c r="M41" s="181">
        <f t="shared" si="0"/>
        <v>10951.2</v>
      </c>
    </row>
    <row r="42" spans="1:13" s="168" customFormat="1" ht="26.25" customHeight="1" x14ac:dyDescent="0.2">
      <c r="A42" s="169">
        <v>31</v>
      </c>
      <c r="B42" s="122" t="str">
        <f>'SAF 011'!B38</f>
        <v>2.5.1-9016.848</v>
      </c>
      <c r="C42" s="213" t="str">
        <f>'SAF 011'!E38</f>
        <v>MEDIOS DE CULTIVO Y SUPLEMENTO; NOMBRE DEL PRODUCTO: NOVOBIOCINA MONOSODICA, ESTADO: SOLIDO, PRESENTACION: ENVASE X 10 GR</v>
      </c>
      <c r="D42" s="214"/>
      <c r="E42" s="214"/>
      <c r="F42" s="214"/>
      <c r="G42" s="215"/>
      <c r="H42" s="122" t="s">
        <v>204</v>
      </c>
      <c r="I42" s="122" t="str">
        <f>'SAF 011'!F38</f>
        <v>UNIDAD</v>
      </c>
      <c r="J42" s="177">
        <f>'SAF 011'!AX38</f>
        <v>33924.875999999997</v>
      </c>
      <c r="K42" s="170">
        <f>'SAF 011'!AE38</f>
        <v>1</v>
      </c>
      <c r="M42" s="181">
        <f t="shared" si="0"/>
        <v>33924.875999999997</v>
      </c>
    </row>
    <row r="43" spans="1:13" s="168" customFormat="1" ht="26.25" customHeight="1" x14ac:dyDescent="0.2">
      <c r="A43" s="169">
        <v>32</v>
      </c>
      <c r="B43" s="122" t="str">
        <f>'SAF 011'!B39</f>
        <v>2.5.1-9016.640</v>
      </c>
      <c r="C43" s="213" t="str">
        <f>'SAF 011'!E39</f>
        <v xml:space="preserve">MEDIOS DE CULTIVO Y SUPLEMENTO; NOMBRE DEL PRODUCTO: PEPTONA ACIDA DE CASEINA, ESTADO: SOLIDO, PRESENTACION: ENVASE X 100 GR            </v>
      </c>
      <c r="D43" s="214"/>
      <c r="E43" s="214"/>
      <c r="F43" s="214"/>
      <c r="G43" s="215"/>
      <c r="H43" s="122" t="s">
        <v>204</v>
      </c>
      <c r="I43" s="122" t="str">
        <f>'SAF 011'!F39</f>
        <v>UNIDAD</v>
      </c>
      <c r="J43" s="177">
        <f>'SAF 011'!AX39</f>
        <v>9148.0079999999998</v>
      </c>
      <c r="K43" s="170">
        <f>'SAF 011'!AE39</f>
        <v>4</v>
      </c>
      <c r="M43" s="181">
        <f t="shared" si="0"/>
        <v>36592.031999999999</v>
      </c>
    </row>
    <row r="44" spans="1:13" s="168" customFormat="1" ht="26.25" customHeight="1" x14ac:dyDescent="0.2">
      <c r="A44" s="169">
        <v>33</v>
      </c>
      <c r="B44" s="122" t="str">
        <f>'SAF 011'!B40</f>
        <v>2.5.1-9016.410</v>
      </c>
      <c r="C44" s="213" t="str">
        <f>'SAF 011'!E40</f>
        <v>MEDIOS DE CULTIVO Y SUPLEMENTO; NOMBRE DEL PRODUCTO: SUP.EMULSION YEMA DE HUEVO, ESTADO: SOLUCION, PRESENTACION: ENVASE X 100 mL</v>
      </c>
      <c r="D44" s="214"/>
      <c r="E44" s="214"/>
      <c r="F44" s="214"/>
      <c r="G44" s="215"/>
      <c r="H44" s="122" t="s">
        <v>204</v>
      </c>
      <c r="I44" s="122" t="str">
        <f>'SAF 011'!F40</f>
        <v>UNIDAD</v>
      </c>
      <c r="J44" s="177">
        <f>'SAF 011'!AX40</f>
        <v>37059.383999999998</v>
      </c>
      <c r="K44" s="170">
        <f>'SAF 011'!AE40</f>
        <v>2</v>
      </c>
      <c r="M44" s="181">
        <f t="shared" si="0"/>
        <v>74118.767999999996</v>
      </c>
    </row>
    <row r="45" spans="1:13" s="168" customFormat="1" ht="26.25" customHeight="1" x14ac:dyDescent="0.2">
      <c r="A45" s="169">
        <v>34</v>
      </c>
      <c r="B45" s="122" t="str">
        <f>'SAF 011'!B41</f>
        <v>2.5.1-9016.952</v>
      </c>
      <c r="C45" s="213" t="str">
        <f>'SAF 011'!E41</f>
        <v>MEDIOS DE CULTIVO Y SUPLEMENTO; NOMBRE DEL PRODUCTO: TIOGLICOLATO USP MEDIO, ESTADO: SOLIDO, PRESENTACION: ENVASE X 500 GR</v>
      </c>
      <c r="D45" s="214"/>
      <c r="E45" s="214"/>
      <c r="F45" s="214"/>
      <c r="G45" s="215"/>
      <c r="H45" s="122" t="s">
        <v>204</v>
      </c>
      <c r="I45" s="122" t="str">
        <f>'SAF 011'!F41</f>
        <v>UNIDAD</v>
      </c>
      <c r="J45" s="177">
        <f>'SAF 011'!AX41</f>
        <v>32278.188000000002</v>
      </c>
      <c r="K45" s="170">
        <f>'SAF 011'!AE41</f>
        <v>1</v>
      </c>
      <c r="M45" s="181">
        <f t="shared" si="0"/>
        <v>32278.188000000002</v>
      </c>
    </row>
    <row r="46" spans="1:13" s="168" customFormat="1" ht="26.25" customHeight="1" x14ac:dyDescent="0.2">
      <c r="A46" s="169">
        <v>35</v>
      </c>
      <c r="B46" s="122" t="str">
        <f>'SAF 011'!B42</f>
        <v>2.5.1-9052.2018</v>
      </c>
      <c r="C46" s="213" t="str">
        <f>'SAF 011'!E42</f>
        <v>REACTIVOS P/LAB. TEC. MANUAL ; NOMBRE: KIT DETERM DE ALCALINIDAD, USO: ANALISIS DE AGUA, PRESENTACION: ENVASE X 100  UN</v>
      </c>
      <c r="D46" s="214"/>
      <c r="E46" s="214"/>
      <c r="F46" s="214"/>
      <c r="G46" s="215"/>
      <c r="H46" s="122" t="s">
        <v>204</v>
      </c>
      <c r="I46" s="122" t="str">
        <f>'SAF 011'!F42</f>
        <v>UNIDAD</v>
      </c>
      <c r="J46" s="177">
        <f>'SAF 011'!AX42</f>
        <v>2407.944</v>
      </c>
      <c r="K46" s="170">
        <f>'SAF 011'!AE42</f>
        <v>3</v>
      </c>
      <c r="M46" s="181">
        <f t="shared" si="0"/>
        <v>7223.8320000000003</v>
      </c>
    </row>
    <row r="47" spans="1:13" s="168" customFormat="1" ht="26.25" customHeight="1" x14ac:dyDescent="0.2">
      <c r="A47" s="169">
        <v>36</v>
      </c>
      <c r="B47" s="122" t="str">
        <f>'SAF 011'!B43</f>
        <v>2.5.1-9052.1090</v>
      </c>
      <c r="C47" s="213" t="str">
        <f>'SAF 011'!E43</f>
        <v>REACTIVOS P/LAB. TEC. MANUAL ; NOMBRE: DET BACT AEROBIC/HONGOS Y LEV., USO: MICROBIOLOGIA, PRESENTACION: ENVASE X 60 DETERM.</v>
      </c>
      <c r="D47" s="214"/>
      <c r="E47" s="214"/>
      <c r="F47" s="214"/>
      <c r="G47" s="215"/>
      <c r="H47" s="122" t="s">
        <v>204</v>
      </c>
      <c r="I47" s="122" t="str">
        <f>'SAF 011'!F43</f>
        <v>UNIDAD</v>
      </c>
      <c r="J47" s="177">
        <f>'SAF 011'!AX43</f>
        <v>17418.167999999998</v>
      </c>
      <c r="K47" s="170">
        <f>'SAF 011'!AE43</f>
        <v>1</v>
      </c>
      <c r="M47" s="181">
        <f t="shared" si="0"/>
        <v>17418.167999999998</v>
      </c>
    </row>
    <row r="48" spans="1:13" s="168" customFormat="1" ht="26.25" customHeight="1" x14ac:dyDescent="0.2">
      <c r="A48" s="169">
        <v>37</v>
      </c>
      <c r="B48" s="122" t="str">
        <f>'SAF 011'!B44</f>
        <v>2.5.1-9052.305</v>
      </c>
      <c r="C48" s="213" t="str">
        <f>'SAF 011'!E44</f>
        <v>REACTIVOS P/LAB. TEC. MANUAL ; NOMBRE: DET. DE CLORO LIBRE, USO: ANALISIS DE AGUA, PRESENTACION: ENVASE X 50 DETERM.</v>
      </c>
      <c r="D48" s="214"/>
      <c r="E48" s="214"/>
      <c r="F48" s="214"/>
      <c r="G48" s="215"/>
      <c r="H48" s="122" t="s">
        <v>204</v>
      </c>
      <c r="I48" s="122" t="str">
        <f>'SAF 011'!F44</f>
        <v>UNIDAD</v>
      </c>
      <c r="J48" s="177">
        <f>'SAF 011'!AX44</f>
        <v>3746.0039999999999</v>
      </c>
      <c r="K48" s="170">
        <f>'SAF 011'!AE44</f>
        <v>4</v>
      </c>
      <c r="M48" s="181">
        <f t="shared" si="0"/>
        <v>14984.016</v>
      </c>
    </row>
    <row r="49" spans="1:13" s="168" customFormat="1" ht="26.25" customHeight="1" x14ac:dyDescent="0.2">
      <c r="A49" s="169">
        <v>38</v>
      </c>
      <c r="B49" s="122" t="str">
        <f>'SAF 011'!B45</f>
        <v>2.5.1-9052.1171</v>
      </c>
      <c r="C49" s="213" t="str">
        <f>'SAF 011'!E45</f>
        <v>REACTIVOS P/LAB. TEC. MANUAL ; NOMBRE: DETERMINACION DE AMONIO, USO: ANALISIS DE AGUA, PRESENTACION: ENVASE X 30 DETERM.</v>
      </c>
      <c r="D49" s="214"/>
      <c r="E49" s="214"/>
      <c r="F49" s="214"/>
      <c r="G49" s="215"/>
      <c r="H49" s="122" t="s">
        <v>204</v>
      </c>
      <c r="I49" s="122" t="str">
        <f>'SAF 011'!F45</f>
        <v>UNIDAD</v>
      </c>
      <c r="J49" s="177">
        <f>'SAF 011'!AX45</f>
        <v>2043.24</v>
      </c>
      <c r="K49" s="170">
        <f>'SAF 011'!AE45</f>
        <v>6</v>
      </c>
      <c r="M49" s="181">
        <f t="shared" si="0"/>
        <v>12259.44</v>
      </c>
    </row>
    <row r="50" spans="1:13" s="168" customFormat="1" ht="26.25" customHeight="1" x14ac:dyDescent="0.2">
      <c r="A50" s="169">
        <v>39</v>
      </c>
      <c r="B50" s="122" t="str">
        <f>'SAF 011'!B46</f>
        <v>2.5.1-9052.1172</v>
      </c>
      <c r="C50" s="213" t="str">
        <f>'SAF 011'!E46</f>
        <v>REACTIVOS P/LAB. TEC. MANUAL ; NOMBRE: DETERMINACION DE CLORURO, USO: ANALISIS DE AGUA, PRESENTACION: ENVASE X 30 DETERM.</v>
      </c>
      <c r="D50" s="214"/>
      <c r="E50" s="214"/>
      <c r="F50" s="214"/>
      <c r="G50" s="215"/>
      <c r="H50" s="122" t="s">
        <v>204</v>
      </c>
      <c r="I50" s="122" t="str">
        <f>'SAF 011'!F46</f>
        <v>UNIDAD</v>
      </c>
      <c r="J50" s="177">
        <f>'SAF 011'!AX46</f>
        <v>2139.0720000000001</v>
      </c>
      <c r="K50" s="170">
        <f>'SAF 011'!AE46</f>
        <v>6</v>
      </c>
      <c r="M50" s="181">
        <f t="shared" si="0"/>
        <v>12834.432000000001</v>
      </c>
    </row>
    <row r="51" spans="1:13" s="168" customFormat="1" ht="26.25" customHeight="1" x14ac:dyDescent="0.2">
      <c r="A51" s="169">
        <v>40</v>
      </c>
      <c r="B51" s="122" t="str">
        <f>'SAF 011'!B47</f>
        <v>2.5.1-9052.1173</v>
      </c>
      <c r="C51" s="213" t="str">
        <f>'SAF 011'!E47</f>
        <v>REACTIVOS P/LAB. TEC. MANUAL ; NOMBRE: DETERMINACION DE CROMO, USO: ANALISIS DE AGUA, PRESENTACION: ENVASE X 30 DETERM.</v>
      </c>
      <c r="D51" s="214"/>
      <c r="E51" s="214"/>
      <c r="F51" s="214"/>
      <c r="G51" s="215"/>
      <c r="H51" s="122" t="s">
        <v>204</v>
      </c>
      <c r="I51" s="122" t="str">
        <f>'SAF 011'!F47</f>
        <v>UNIDAD</v>
      </c>
      <c r="J51" s="177">
        <f>'SAF 011'!AX47</f>
        <v>2675.76</v>
      </c>
      <c r="K51" s="170">
        <f>'SAF 011'!AE47</f>
        <v>3</v>
      </c>
      <c r="M51" s="181">
        <f t="shared" si="0"/>
        <v>8027.2800000000007</v>
      </c>
    </row>
    <row r="52" spans="1:13" s="168" customFormat="1" ht="26.25" customHeight="1" x14ac:dyDescent="0.2">
      <c r="A52" s="169">
        <v>41</v>
      </c>
      <c r="B52" s="122" t="str">
        <f>'SAF 011'!B48</f>
        <v>2.5.1-9052.1176</v>
      </c>
      <c r="C52" s="213" t="str">
        <f>'SAF 011'!E48</f>
        <v>REACTIVOS P/LAB. TEC. MANUAL ; NOMBRE: DETERMINACION DE DETERGENTES, USO: ANALISIS DE AGUA, PRESENTACION: ENVASE X 30 DETERM.</v>
      </c>
      <c r="D52" s="214"/>
      <c r="E52" s="214"/>
      <c r="F52" s="214"/>
      <c r="G52" s="215"/>
      <c r="H52" s="122" t="s">
        <v>204</v>
      </c>
      <c r="I52" s="122" t="str">
        <f>'SAF 011'!F48</f>
        <v>UNIDAD</v>
      </c>
      <c r="J52" s="177">
        <f>'SAF 011'!AX48</f>
        <v>3478.1759999999999</v>
      </c>
      <c r="K52" s="170">
        <f>'SAF 011'!AE48</f>
        <v>3</v>
      </c>
      <c r="M52" s="181">
        <f t="shared" si="0"/>
        <v>10434.528</v>
      </c>
    </row>
    <row r="53" spans="1:13" s="168" customFormat="1" ht="26.25" customHeight="1" x14ac:dyDescent="0.2">
      <c r="A53" s="169">
        <v>42</v>
      </c>
      <c r="B53" s="122" t="str">
        <f>'SAF 011'!B49</f>
        <v>2.5.1-9052.1177</v>
      </c>
      <c r="C53" s="213" t="str">
        <f>'SAF 011'!E49</f>
        <v>REACTIVOS P/LAB. TEC. MANUAL ; NOMBRE: DETERMINACION DE DUREZA, USO: ANALISIS DE AGUA, PRESENTACION: ENVASE X 30 DETERM.</v>
      </c>
      <c r="D53" s="214"/>
      <c r="E53" s="214"/>
      <c r="F53" s="214"/>
      <c r="G53" s="215"/>
      <c r="H53" s="122" t="s">
        <v>204</v>
      </c>
      <c r="I53" s="122" t="str">
        <f>'SAF 011'!F49</f>
        <v>UNIDAD</v>
      </c>
      <c r="J53" s="177">
        <f>'SAF 011'!AX49</f>
        <v>2043.24</v>
      </c>
      <c r="K53" s="170">
        <f>'SAF 011'!AE49</f>
        <v>3</v>
      </c>
      <c r="M53" s="181">
        <f t="shared" si="0"/>
        <v>6129.72</v>
      </c>
    </row>
    <row r="54" spans="1:13" s="168" customFormat="1" ht="26.25" customHeight="1" x14ac:dyDescent="0.2">
      <c r="A54" s="169">
        <v>43</v>
      </c>
      <c r="B54" s="122" t="str">
        <f>'SAF 011'!B50</f>
        <v>2.5.1-9052.1187</v>
      </c>
      <c r="C54" s="213" t="str">
        <f>'SAF 011'!E50</f>
        <v>REACTIVOS P/LAB. TEC. MANUAL ; NOMBRE: DETERMINACION DE FENOLES, USO: ANALISIS DE AGUA, PRESENTACION: ENVASE X 30 DETERM.</v>
      </c>
      <c r="D54" s="214"/>
      <c r="E54" s="214"/>
      <c r="F54" s="214"/>
      <c r="G54" s="215"/>
      <c r="H54" s="122" t="s">
        <v>204</v>
      </c>
      <c r="I54" s="122" t="str">
        <f>'SAF 011'!F50</f>
        <v>UNIDAD</v>
      </c>
      <c r="J54" s="177">
        <f>'SAF 011'!AX50</f>
        <v>5108.268</v>
      </c>
      <c r="K54" s="170">
        <f>'SAF 011'!AE50</f>
        <v>3</v>
      </c>
      <c r="M54" s="181">
        <f t="shared" si="0"/>
        <v>15324.804</v>
      </c>
    </row>
    <row r="55" spans="1:13" s="168" customFormat="1" ht="26.25" customHeight="1" x14ac:dyDescent="0.2">
      <c r="A55" s="169">
        <v>44</v>
      </c>
      <c r="B55" s="122" t="str">
        <f>'SAF 011'!B51</f>
        <v>2.5.1-9052.1188</v>
      </c>
      <c r="C55" s="213" t="str">
        <f>'SAF 011'!E51</f>
        <v>REACTIVOS P/LAB. TEC. MANUAL ; NOMBRE: DETERMINACION DE FOSFATO, USO: ANALISIS DE AGUA, PRESENTACION: ENVASE X 30 DETERM.</v>
      </c>
      <c r="D55" s="214"/>
      <c r="E55" s="214"/>
      <c r="F55" s="214"/>
      <c r="G55" s="215"/>
      <c r="H55" s="122" t="s">
        <v>204</v>
      </c>
      <c r="I55" s="122" t="str">
        <f>'SAF 011'!F51</f>
        <v>UNIDAD</v>
      </c>
      <c r="J55" s="177">
        <f>'SAF 011'!AX51</f>
        <v>7491.9839999999995</v>
      </c>
      <c r="K55" s="170">
        <f>'SAF 011'!AE51</f>
        <v>2</v>
      </c>
      <c r="M55" s="181">
        <f t="shared" si="0"/>
        <v>14983.967999999999</v>
      </c>
    </row>
    <row r="56" spans="1:13" s="168" customFormat="1" ht="26.25" customHeight="1" x14ac:dyDescent="0.2">
      <c r="A56" s="169">
        <v>45</v>
      </c>
      <c r="B56" s="122" t="str">
        <f>'SAF 011'!B52</f>
        <v>2.5.1-9052.1178</v>
      </c>
      <c r="C56" s="213" t="str">
        <f>'SAF 011'!E52</f>
        <v>REACTIVOS P/LAB. TEC. MANUAL ; NOMBRE: DETERMINACION DE HIERRO, USO: ANALISIS DE AGUA, PRESENTACION: ENVASE X 30 DETERM.</v>
      </c>
      <c r="D56" s="214"/>
      <c r="E56" s="214"/>
      <c r="F56" s="214"/>
      <c r="G56" s="215"/>
      <c r="H56" s="122" t="s">
        <v>204</v>
      </c>
      <c r="I56" s="122" t="str">
        <f>'SAF 011'!F52</f>
        <v>UNIDAD</v>
      </c>
      <c r="J56" s="177">
        <f>'SAF 011'!AX52</f>
        <v>3356.7240000000002</v>
      </c>
      <c r="K56" s="170">
        <f>'SAF 011'!AE52</f>
        <v>3</v>
      </c>
      <c r="M56" s="181">
        <f t="shared" si="0"/>
        <v>10070.172</v>
      </c>
    </row>
    <row r="57" spans="1:13" s="168" customFormat="1" ht="26.25" customHeight="1" x14ac:dyDescent="0.2">
      <c r="A57" s="169">
        <v>46</v>
      </c>
      <c r="B57" s="122" t="str">
        <f>'SAF 011'!B53</f>
        <v>2.5.1-9052.1181</v>
      </c>
      <c r="C57" s="213" t="str">
        <f>'SAF 011'!E53</f>
        <v>REACTIVOS P/LAB. TEC. MANUAL ; NOMBRE: DETERMINACION DE NITRATOS, USO: ANALISIS DE AGUA, PRESENTACION: ENVASE X 30 DETERM.</v>
      </c>
      <c r="D57" s="214"/>
      <c r="E57" s="214"/>
      <c r="F57" s="214"/>
      <c r="G57" s="215"/>
      <c r="H57" s="122" t="s">
        <v>204</v>
      </c>
      <c r="I57" s="122" t="str">
        <f>'SAF 011'!F53</f>
        <v>UNIDAD</v>
      </c>
      <c r="J57" s="177">
        <f>'SAF 011'!AX53</f>
        <v>3162.6120000000001</v>
      </c>
      <c r="K57" s="170">
        <f>'SAF 011'!AE53</f>
        <v>3</v>
      </c>
      <c r="M57" s="181">
        <f t="shared" si="0"/>
        <v>9487.8359999999993</v>
      </c>
    </row>
    <row r="58" spans="1:13" s="168" customFormat="1" ht="26.25" customHeight="1" x14ac:dyDescent="0.2">
      <c r="A58" s="169">
        <v>47</v>
      </c>
      <c r="B58" s="122" t="str">
        <f>'SAF 011'!B54</f>
        <v>2.5.1-9052.1182</v>
      </c>
      <c r="C58" s="213" t="str">
        <f>'SAF 011'!E54</f>
        <v>REACTIVOS P/LAB. TEC. MANUAL ; NOMBRE: DETERMINACION DE NITRITOS, USO: ANALISIS DE AGUA, PRESENTACION: ENVASE X 30 DETERM.</v>
      </c>
      <c r="D58" s="214"/>
      <c r="E58" s="214"/>
      <c r="F58" s="214"/>
      <c r="G58" s="215"/>
      <c r="H58" s="122" t="s">
        <v>204</v>
      </c>
      <c r="I58" s="122" t="str">
        <f>'SAF 011'!F54</f>
        <v>UNIDAD</v>
      </c>
      <c r="J58" s="177">
        <f>'SAF 011'!AX54</f>
        <v>4816.2359999999999</v>
      </c>
      <c r="K58" s="170">
        <f>'SAF 011'!AE54</f>
        <v>6</v>
      </c>
      <c r="M58" s="181">
        <f t="shared" si="0"/>
        <v>28897.415999999997</v>
      </c>
    </row>
    <row r="59" spans="1:13" s="168" customFormat="1" ht="26.25" customHeight="1" x14ac:dyDescent="0.2">
      <c r="A59" s="169">
        <v>48</v>
      </c>
      <c r="B59" s="122" t="str">
        <f>'SAF 011'!B55</f>
        <v>2.5.1-9052.1189</v>
      </c>
      <c r="C59" s="213" t="str">
        <f>'SAF 011'!E55</f>
        <v>REACTIVOS P/LAB. TEC. MANUAL ; NOMBRE: DETERMINACION DE SILICE, USO: ANALISIS DE AGUA, PRESENTACION: ENVASE X 30 DETERM.</v>
      </c>
      <c r="D59" s="214"/>
      <c r="E59" s="214"/>
      <c r="F59" s="214"/>
      <c r="G59" s="215"/>
      <c r="H59" s="122" t="s">
        <v>204</v>
      </c>
      <c r="I59" s="122" t="str">
        <f>'SAF 011'!F55</f>
        <v>UNIDAD</v>
      </c>
      <c r="J59" s="177">
        <f>'SAF 011'!AX55</f>
        <v>7491.9839999999995</v>
      </c>
      <c r="K59" s="170">
        <f>'SAF 011'!AE55</f>
        <v>2</v>
      </c>
      <c r="M59" s="181">
        <f t="shared" si="0"/>
        <v>14983.967999999999</v>
      </c>
    </row>
    <row r="60" spans="1:13" s="168" customFormat="1" ht="26.25" customHeight="1" x14ac:dyDescent="0.2">
      <c r="A60" s="169">
        <v>49</v>
      </c>
      <c r="B60" s="122" t="str">
        <f>'SAF 011'!B56</f>
        <v>2.5.1-9052.1190</v>
      </c>
      <c r="C60" s="213" t="str">
        <f>'SAF 011'!E56</f>
        <v>REACTIVOS P/LAB. TEC. MANUAL ; NOMBRE: DETERMINACION DE SULFATO, USO: ANALISIS DE AGUA, PRESENTACION: ENVASE X 30 DETERM.</v>
      </c>
      <c r="D60" s="214"/>
      <c r="E60" s="214"/>
      <c r="F60" s="214"/>
      <c r="G60" s="215"/>
      <c r="H60" s="122" t="s">
        <v>204</v>
      </c>
      <c r="I60" s="122" t="str">
        <f>'SAF 011'!F56</f>
        <v>UNIDAD</v>
      </c>
      <c r="J60" s="177">
        <f>'SAF 011'!AX56</f>
        <v>3210.7080000000001</v>
      </c>
      <c r="K60" s="170">
        <f>'SAF 011'!AE56</f>
        <v>3</v>
      </c>
      <c r="M60" s="181">
        <f t="shared" si="0"/>
        <v>9632.1239999999998</v>
      </c>
    </row>
    <row r="61" spans="1:13" s="168" customFormat="1" ht="26.25" customHeight="1" x14ac:dyDescent="0.2">
      <c r="A61" s="169">
        <v>50</v>
      </c>
      <c r="B61" s="122" t="str">
        <f>'SAF 011'!B57</f>
        <v>2.5.1-9052.2022</v>
      </c>
      <c r="C61" s="213" t="str">
        <f>'SAF 011'!E57</f>
        <v>REACTIVOS P/LAB. TEC. MANUAL ; NOMBRE: KIT DETERM DE FLUOR, USO: ANALISIS DE AGUA, PRESENTACION: ENVASE X 150 UN</v>
      </c>
      <c r="D61" s="214"/>
      <c r="E61" s="214"/>
      <c r="F61" s="214"/>
      <c r="G61" s="215"/>
      <c r="H61" s="122" t="s">
        <v>204</v>
      </c>
      <c r="I61" s="122" t="str">
        <f>'SAF 011'!F57</f>
        <v>UNIDAD</v>
      </c>
      <c r="J61" s="177">
        <f>'SAF 011'!AX57</f>
        <v>4038.0360000000001</v>
      </c>
      <c r="K61" s="170">
        <f>'SAF 011'!AE57</f>
        <v>4</v>
      </c>
      <c r="M61" s="181">
        <f t="shared" si="0"/>
        <v>16152.144</v>
      </c>
    </row>
    <row r="62" spans="1:13" s="168" customFormat="1" ht="26.25" customHeight="1" x14ac:dyDescent="0.2">
      <c r="A62" s="169">
        <v>51</v>
      </c>
      <c r="B62" s="122" t="str">
        <f>'SAF 011'!B58</f>
        <v>2.5.1-9004.912</v>
      </c>
      <c r="C62" s="213" t="str">
        <f>'SAF 011'!E58</f>
        <v xml:space="preserve">SALES; COMPUESTO QUIMICO: NITRATO DE PLATA, ESTADO: SOLUCION, CALIDAD: PRO ANALISIS, CONCENTRACION/PUREZA: 0,1 N, PRESENTACION: ENVASE X 1 L, GRADO HIDRATACION: SOLUCION  </v>
      </c>
      <c r="D62" s="214"/>
      <c r="E62" s="214"/>
      <c r="F62" s="214"/>
      <c r="G62" s="215"/>
      <c r="H62" s="122" t="s">
        <v>204</v>
      </c>
      <c r="I62" s="122" t="str">
        <f>'SAF 011'!F58</f>
        <v>UNIDAD</v>
      </c>
      <c r="J62" s="177">
        <f>'SAF 011'!AX58</f>
        <v>8800.7999999999993</v>
      </c>
      <c r="K62" s="170">
        <f>'SAF 011'!AE58</f>
        <v>1</v>
      </c>
      <c r="M62" s="181">
        <f t="shared" si="0"/>
        <v>8800.7999999999993</v>
      </c>
    </row>
    <row r="63" spans="1:13" s="168" customFormat="1" ht="26.25" customHeight="1" x14ac:dyDescent="0.2">
      <c r="A63" s="169">
        <v>52</v>
      </c>
      <c r="B63" s="122" t="str">
        <f>'SAF 011'!B59</f>
        <v>2.5.1-9004.334</v>
      </c>
      <c r="C63" s="213" t="str">
        <f>'SAF 011'!E59</f>
        <v xml:space="preserve">SALES; COMPUESTO QUIMICO: TELURITO DE POTASIO, ESTADO: SOLIDO, CALIDAD: PRO ANALISIS, CONCENTRACION/PUREZA: 99 %, PRESENTACION: ENVASE X 25 GR, GRADO HIDRATACION: ANHIDRO            </v>
      </c>
      <c r="D63" s="214"/>
      <c r="E63" s="214"/>
      <c r="F63" s="214"/>
      <c r="G63" s="215"/>
      <c r="H63" s="122" t="s">
        <v>204</v>
      </c>
      <c r="I63" s="122" t="str">
        <f>'SAF 011'!F59</f>
        <v>UNIDAD</v>
      </c>
      <c r="J63" s="177">
        <f>'SAF 011'!AX59</f>
        <v>2238.4560000000001</v>
      </c>
      <c r="K63" s="170">
        <f>'SAF 011'!AE59</f>
        <v>2</v>
      </c>
      <c r="M63" s="181">
        <f t="shared" si="0"/>
        <v>4476.9120000000003</v>
      </c>
    </row>
    <row r="64" spans="1:13" s="168" customFormat="1" ht="13.5" thickBot="1" x14ac:dyDescent="0.25">
      <c r="A64" s="171"/>
      <c r="B64" s="162"/>
      <c r="C64" s="229"/>
      <c r="D64" s="229"/>
      <c r="E64" s="229"/>
      <c r="F64" s="229"/>
      <c r="G64" s="229"/>
      <c r="H64" s="162"/>
      <c r="I64" s="162"/>
      <c r="J64" s="178"/>
      <c r="K64" s="172"/>
      <c r="M64" s="182"/>
    </row>
    <row r="65" spans="1:13" ht="19.5" thickBot="1" x14ac:dyDescent="0.3">
      <c r="A65" s="227" t="s">
        <v>205</v>
      </c>
      <c r="B65" s="227"/>
      <c r="C65" s="227"/>
      <c r="D65" s="227"/>
      <c r="E65" s="227"/>
      <c r="F65" s="227"/>
      <c r="G65" s="227"/>
      <c r="H65" s="227"/>
      <c r="I65" s="227"/>
      <c r="J65" s="228">
        <f>+M65</f>
        <v>1117679.4840000002</v>
      </c>
      <c r="K65" s="228"/>
      <c r="M65" s="180">
        <f>SUM(M12:M64)</f>
        <v>1117679.4840000002</v>
      </c>
    </row>
  </sheetData>
  <mergeCells count="75">
    <mergeCell ref="A65:I65"/>
    <mergeCell ref="J65:K65"/>
    <mergeCell ref="C59:G59"/>
    <mergeCell ref="C60:G60"/>
    <mergeCell ref="C61:G61"/>
    <mergeCell ref="C62:G62"/>
    <mergeCell ref="C63:G63"/>
    <mergeCell ref="C64:G64"/>
    <mergeCell ref="K10:K11"/>
    <mergeCell ref="C12:G12"/>
    <mergeCell ref="C13:G13"/>
    <mergeCell ref="C14:G14"/>
    <mergeCell ref="C15:G15"/>
    <mergeCell ref="I10:I11"/>
    <mergeCell ref="J10:J11"/>
    <mergeCell ref="A1:I1"/>
    <mergeCell ref="A3:C3"/>
    <mergeCell ref="D3:K3"/>
    <mergeCell ref="A4:C4"/>
    <mergeCell ref="D4:K4"/>
    <mergeCell ref="A5:C5"/>
    <mergeCell ref="D5:K5"/>
    <mergeCell ref="C17:G17"/>
    <mergeCell ref="C18:G18"/>
    <mergeCell ref="C19:G19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47:G47"/>
    <mergeCell ref="C54:G54"/>
    <mergeCell ref="C55:G55"/>
    <mergeCell ref="C56:G56"/>
    <mergeCell ref="C57:G57"/>
    <mergeCell ref="C51:G51"/>
    <mergeCell ref="C52:G52"/>
    <mergeCell ref="C53:G53"/>
    <mergeCell ref="C58:G58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8:G48"/>
    <mergeCell ref="C49:G49"/>
    <mergeCell ref="C50:G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4" workbookViewId="0">
      <selection activeCell="O16" sqref="O16:P16"/>
    </sheetView>
  </sheetViews>
  <sheetFormatPr baseColWidth="10" defaultRowHeight="15" x14ac:dyDescent="0.25"/>
  <cols>
    <col min="1" max="5" width="4.42578125" customWidth="1"/>
    <col min="6" max="6" width="7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231" t="s">
        <v>5</v>
      </c>
      <c r="B1" s="231"/>
      <c r="C1" s="231"/>
      <c r="D1" s="232">
        <v>2022</v>
      </c>
      <c r="E1" s="232"/>
      <c r="F1" s="123"/>
      <c r="G1" s="123"/>
      <c r="H1" s="124"/>
      <c r="I1" s="124"/>
      <c r="J1" s="124"/>
      <c r="K1" s="124"/>
      <c r="L1" s="124"/>
      <c r="M1" s="124"/>
      <c r="N1" s="124"/>
      <c r="O1" s="125"/>
      <c r="P1" s="233" t="s">
        <v>178</v>
      </c>
      <c r="Q1" s="233"/>
    </row>
    <row r="2" spans="1:17" ht="15.75" thickBot="1" x14ac:dyDescent="0.3">
      <c r="A2" s="126"/>
      <c r="B2" s="127"/>
      <c r="C2" s="127"/>
      <c r="D2" s="127"/>
      <c r="E2" s="127"/>
      <c r="F2" s="127"/>
      <c r="G2" s="128"/>
      <c r="H2" s="129"/>
      <c r="I2" s="129"/>
      <c r="J2" s="129"/>
      <c r="K2" s="129"/>
      <c r="L2" s="129"/>
      <c r="M2" s="129"/>
      <c r="N2" s="129"/>
      <c r="O2" s="127"/>
      <c r="P2" s="233"/>
      <c r="Q2" s="233"/>
    </row>
    <row r="3" spans="1:17" ht="15.75" thickBot="1" x14ac:dyDescent="0.3">
      <c r="A3" s="126"/>
      <c r="B3" s="127"/>
      <c r="C3" s="127"/>
      <c r="D3" s="127"/>
      <c r="E3" s="127"/>
      <c r="F3" s="127"/>
      <c r="G3" s="128"/>
      <c r="H3" s="127"/>
      <c r="I3" s="127"/>
      <c r="J3" s="127"/>
      <c r="K3" s="127"/>
      <c r="L3" s="127"/>
      <c r="M3" s="127"/>
      <c r="N3" s="127"/>
      <c r="O3" s="127"/>
      <c r="P3" s="127"/>
      <c r="Q3" s="130"/>
    </row>
    <row r="4" spans="1:17" s="160" customFormat="1" ht="18.75" customHeight="1" thickBot="1" x14ac:dyDescent="0.3">
      <c r="A4" s="234" t="s">
        <v>179</v>
      </c>
      <c r="B4" s="234"/>
      <c r="C4" s="234"/>
      <c r="D4" s="234"/>
      <c r="E4" s="234"/>
      <c r="F4" s="234"/>
      <c r="G4" s="235" t="str">
        <f>NP!D3</f>
        <v>040 - MINISTERIO DE SALUD</v>
      </c>
      <c r="H4" s="235"/>
      <c r="I4" s="235"/>
      <c r="J4" s="235"/>
      <c r="K4" s="235"/>
      <c r="L4" s="235"/>
      <c r="M4" s="235"/>
      <c r="N4" s="235"/>
      <c r="O4" s="235"/>
      <c r="P4" s="235"/>
      <c r="Q4" s="235"/>
    </row>
    <row r="5" spans="1:17" s="160" customFormat="1" ht="18.75" customHeight="1" thickBot="1" x14ac:dyDescent="0.3">
      <c r="A5" s="236" t="s">
        <v>166</v>
      </c>
      <c r="B5" s="236"/>
      <c r="C5" s="236"/>
      <c r="D5" s="236"/>
      <c r="E5" s="236"/>
      <c r="F5" s="236"/>
      <c r="G5" s="235" t="str">
        <f>NP!D4</f>
        <v>011 - DIRECCION PROVINCIAL DE ADMINISTRACION - MINISTERIO DE SALUD</v>
      </c>
      <c r="H5" s="235"/>
      <c r="I5" s="235"/>
      <c r="J5" s="235"/>
      <c r="K5" s="235"/>
      <c r="L5" s="235"/>
      <c r="M5" s="235"/>
      <c r="N5" s="235"/>
      <c r="O5" s="235"/>
      <c r="P5" s="235"/>
      <c r="Q5" s="235"/>
    </row>
    <row r="6" spans="1:17" s="160" customFormat="1" ht="18.75" customHeight="1" thickBot="1" x14ac:dyDescent="0.3">
      <c r="A6" s="236" t="s">
        <v>167</v>
      </c>
      <c r="B6" s="236"/>
      <c r="C6" s="236"/>
      <c r="D6" s="236"/>
      <c r="E6" s="236"/>
      <c r="F6" s="236"/>
      <c r="G6" s="235" t="str">
        <f>NP!D5</f>
        <v>DIRECCION PROVINCIAL DE SALUD Y MEDIO AMBIENTE</v>
      </c>
      <c r="H6" s="235"/>
      <c r="I6" s="235"/>
      <c r="J6" s="235"/>
      <c r="K6" s="235"/>
      <c r="L6" s="235"/>
      <c r="M6" s="235"/>
      <c r="N6" s="235"/>
      <c r="O6" s="235"/>
      <c r="P6" s="235"/>
      <c r="Q6" s="235"/>
    </row>
    <row r="7" spans="1:17" s="160" customFormat="1" ht="18.75" customHeight="1" thickBot="1" x14ac:dyDescent="0.3">
      <c r="A7" s="236" t="s">
        <v>168</v>
      </c>
      <c r="B7" s="236"/>
      <c r="C7" s="236"/>
      <c r="D7" s="236"/>
      <c r="E7" s="236"/>
      <c r="F7" s="236"/>
      <c r="G7" s="235" t="str">
        <f>NP!D6</f>
        <v>DIRECCION PROVINCIAL DE SALUD Y MEDIO AMBIENTE</v>
      </c>
      <c r="H7" s="235"/>
      <c r="I7" s="235"/>
      <c r="J7" s="235"/>
      <c r="K7" s="235"/>
      <c r="L7" s="235"/>
      <c r="M7" s="235"/>
      <c r="N7" s="235"/>
      <c r="O7" s="235"/>
      <c r="P7" s="235"/>
      <c r="Q7" s="235"/>
    </row>
    <row r="8" spans="1:17" s="160" customFormat="1" ht="27" customHeight="1" thickBot="1" x14ac:dyDescent="0.3">
      <c r="A8" s="237" t="s">
        <v>201</v>
      </c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</row>
    <row r="9" spans="1:17" s="161" customFormat="1" ht="20.25" customHeight="1" x14ac:dyDescent="0.25">
      <c r="A9" s="230" t="s">
        <v>180</v>
      </c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  <c r="P9" s="230"/>
      <c r="Q9" s="230"/>
    </row>
    <row r="10" spans="1:17" s="161" customFormat="1" ht="69" customHeight="1" x14ac:dyDescent="0.25">
      <c r="A10" s="239" t="s">
        <v>220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  <c r="M10" s="239"/>
      <c r="N10" s="239"/>
      <c r="O10" s="239"/>
      <c r="P10" s="239"/>
      <c r="Q10" s="239"/>
    </row>
    <row r="11" spans="1:17" ht="15.75" thickBot="1" x14ac:dyDescent="0.3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5.75" thickBot="1" x14ac:dyDescent="0.3">
      <c r="A12" s="240" t="s">
        <v>181</v>
      </c>
      <c r="B12" s="240"/>
      <c r="C12" s="240"/>
      <c r="D12" s="240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</row>
    <row r="13" spans="1:17" ht="15.75" thickBot="1" x14ac:dyDescent="0.3">
      <c r="A13" s="241" t="s">
        <v>182</v>
      </c>
      <c r="B13" s="241"/>
      <c r="C13" s="241"/>
      <c r="D13" s="241"/>
      <c r="E13" s="241"/>
      <c r="F13" s="241"/>
      <c r="G13" s="241"/>
      <c r="H13" s="241"/>
      <c r="I13" s="241"/>
      <c r="J13" s="241"/>
      <c r="K13" s="241"/>
      <c r="L13" s="241"/>
      <c r="M13" s="241"/>
      <c r="N13" s="241"/>
      <c r="O13" s="242" t="s">
        <v>183</v>
      </c>
      <c r="P13" s="242"/>
      <c r="Q13" s="243" t="s">
        <v>184</v>
      </c>
    </row>
    <row r="14" spans="1:17" ht="15.75" thickBot="1" x14ac:dyDescent="0.3">
      <c r="A14" s="135" t="s">
        <v>185</v>
      </c>
      <c r="B14" s="136" t="s">
        <v>186</v>
      </c>
      <c r="C14" s="136" t="s">
        <v>187</v>
      </c>
      <c r="D14" s="136" t="s">
        <v>188</v>
      </c>
      <c r="E14" s="136" t="s">
        <v>189</v>
      </c>
      <c r="F14" s="136" t="s">
        <v>190</v>
      </c>
      <c r="G14" s="137" t="s">
        <v>191</v>
      </c>
      <c r="H14" s="136" t="s">
        <v>192</v>
      </c>
      <c r="I14" s="136" t="s">
        <v>193</v>
      </c>
      <c r="J14" s="136" t="s">
        <v>194</v>
      </c>
      <c r="K14" s="136" t="s">
        <v>194</v>
      </c>
      <c r="L14" s="136" t="s">
        <v>195</v>
      </c>
      <c r="M14" s="138" t="s">
        <v>196</v>
      </c>
      <c r="N14" s="139" t="s">
        <v>197</v>
      </c>
      <c r="O14" s="242"/>
      <c r="P14" s="242"/>
      <c r="Q14" s="243"/>
    </row>
    <row r="15" spans="1:17" x14ac:dyDescent="0.25">
      <c r="A15" s="140">
        <v>22</v>
      </c>
      <c r="B15" s="141"/>
      <c r="C15" s="141"/>
      <c r="D15" s="141">
        <v>1</v>
      </c>
      <c r="E15" s="141"/>
      <c r="F15" s="141">
        <v>4901</v>
      </c>
      <c r="G15" s="141">
        <v>4</v>
      </c>
      <c r="H15" s="141">
        <v>4</v>
      </c>
      <c r="I15" s="141">
        <v>2</v>
      </c>
      <c r="J15" s="141">
        <v>5</v>
      </c>
      <c r="K15" s="141">
        <v>1</v>
      </c>
      <c r="L15" s="141"/>
      <c r="M15" s="142">
        <v>1</v>
      </c>
      <c r="N15" s="141" t="s">
        <v>206</v>
      </c>
      <c r="O15" s="244" t="s">
        <v>207</v>
      </c>
      <c r="P15" s="244"/>
      <c r="Q15" s="143">
        <f>NP!J65</f>
        <v>1117679.4840000002</v>
      </c>
    </row>
    <row r="16" spans="1:17" x14ac:dyDescent="0.25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6"/>
      <c r="N16" s="147"/>
      <c r="O16" s="245"/>
      <c r="P16" s="245"/>
      <c r="Q16" s="148"/>
    </row>
    <row r="17" spans="1:17" x14ac:dyDescent="0.25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6"/>
      <c r="N17" s="147"/>
      <c r="O17" s="246"/>
      <c r="P17" s="246"/>
      <c r="Q17" s="148"/>
    </row>
    <row r="18" spans="1:17" x14ac:dyDescent="0.25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6"/>
      <c r="N18" s="147"/>
      <c r="O18" s="238"/>
      <c r="P18" s="238"/>
      <c r="Q18" s="148"/>
    </row>
    <row r="19" spans="1:17" x14ac:dyDescent="0.25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147"/>
      <c r="O19" s="238"/>
      <c r="P19" s="238"/>
      <c r="Q19" s="148"/>
    </row>
    <row r="20" spans="1:17" x14ac:dyDescent="0.25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6"/>
      <c r="N20" s="147"/>
      <c r="O20" s="238"/>
      <c r="P20" s="238"/>
      <c r="Q20" s="148"/>
    </row>
    <row r="21" spans="1:17" x14ac:dyDescent="0.25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6"/>
      <c r="N21" s="147"/>
      <c r="O21" s="238"/>
      <c r="P21" s="238"/>
      <c r="Q21" s="148"/>
    </row>
    <row r="22" spans="1:17" x14ac:dyDescent="0.25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6"/>
      <c r="N22" s="147"/>
      <c r="O22" s="238"/>
      <c r="P22" s="238"/>
      <c r="Q22" s="148"/>
    </row>
    <row r="23" spans="1:17" x14ac:dyDescent="0.25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  <c r="N23" s="147"/>
      <c r="O23" s="238"/>
      <c r="P23" s="238"/>
      <c r="Q23" s="148"/>
    </row>
    <row r="24" spans="1:17" x14ac:dyDescent="0.25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47"/>
      <c r="O24" s="238"/>
      <c r="P24" s="238"/>
      <c r="Q24" s="148"/>
    </row>
    <row r="25" spans="1:17" x14ac:dyDescent="0.25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47"/>
      <c r="O25" s="238"/>
      <c r="P25" s="238"/>
      <c r="Q25" s="148"/>
    </row>
    <row r="26" spans="1:17" x14ac:dyDescent="0.25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47"/>
      <c r="O26" s="238"/>
      <c r="P26" s="238"/>
      <c r="Q26" s="148"/>
    </row>
    <row r="27" spans="1:17" x14ac:dyDescent="0.25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47"/>
      <c r="O27" s="238"/>
      <c r="P27" s="238"/>
      <c r="Q27" s="148"/>
    </row>
    <row r="28" spans="1:17" x14ac:dyDescent="0.25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47"/>
      <c r="O28" s="238"/>
      <c r="P28" s="238"/>
      <c r="Q28" s="148"/>
    </row>
    <row r="29" spans="1:17" x14ac:dyDescent="0.25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47"/>
      <c r="O29" s="238"/>
      <c r="P29" s="238"/>
      <c r="Q29" s="148"/>
    </row>
    <row r="30" spans="1:17" x14ac:dyDescent="0.25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47"/>
      <c r="O30" s="238"/>
      <c r="P30" s="238"/>
      <c r="Q30" s="148"/>
    </row>
    <row r="31" spans="1:17" x14ac:dyDescent="0.25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47"/>
      <c r="O31" s="238"/>
      <c r="P31" s="238"/>
      <c r="Q31" s="148"/>
    </row>
    <row r="32" spans="1:17" x14ac:dyDescent="0.25">
      <c r="A32" s="144"/>
      <c r="B32" s="145"/>
      <c r="C32" s="145"/>
      <c r="D32" s="145"/>
      <c r="E32" s="145"/>
      <c r="F32" s="147"/>
      <c r="G32" s="145"/>
      <c r="H32" s="145"/>
      <c r="I32" s="145"/>
      <c r="J32" s="145"/>
      <c r="K32" s="145"/>
      <c r="L32" s="145"/>
      <c r="M32" s="146"/>
      <c r="N32" s="147"/>
      <c r="O32" s="245"/>
      <c r="P32" s="245"/>
      <c r="Q32" s="148"/>
    </row>
    <row r="33" spans="1:17" x14ac:dyDescent="0.25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47"/>
      <c r="O33" s="245"/>
      <c r="P33" s="245"/>
      <c r="Q33" s="148"/>
    </row>
    <row r="34" spans="1:17" x14ac:dyDescent="0.25">
      <c r="A34" s="144"/>
      <c r="B34" s="145"/>
      <c r="C34" s="145"/>
      <c r="D34" s="145"/>
      <c r="E34" s="145"/>
      <c r="F34" s="147"/>
      <c r="G34" s="145"/>
      <c r="H34" s="145"/>
      <c r="I34" s="145"/>
      <c r="J34" s="145"/>
      <c r="K34" s="145"/>
      <c r="L34" s="145"/>
      <c r="M34" s="146"/>
      <c r="N34" s="147"/>
      <c r="O34" s="245"/>
      <c r="P34" s="245"/>
      <c r="Q34" s="148"/>
    </row>
    <row r="35" spans="1:17" x14ac:dyDescent="0.25">
      <c r="A35" s="144"/>
      <c r="B35" s="145"/>
      <c r="C35" s="145"/>
      <c r="D35" s="145"/>
      <c r="E35" s="145"/>
      <c r="F35" s="147"/>
      <c r="G35" s="145"/>
      <c r="H35" s="145"/>
      <c r="I35" s="145"/>
      <c r="J35" s="145"/>
      <c r="K35" s="145"/>
      <c r="L35" s="145"/>
      <c r="M35" s="146"/>
      <c r="N35" s="147"/>
      <c r="O35" s="245"/>
      <c r="P35" s="245"/>
      <c r="Q35" s="148"/>
    </row>
    <row r="36" spans="1:17" x14ac:dyDescent="0.25">
      <c r="A36" s="149"/>
      <c r="B36" s="150"/>
      <c r="C36" s="150"/>
      <c r="D36" s="150"/>
      <c r="E36" s="150"/>
      <c r="F36" s="151"/>
      <c r="G36" s="150"/>
      <c r="H36" s="150"/>
      <c r="I36" s="150"/>
      <c r="J36" s="150"/>
      <c r="K36" s="150"/>
      <c r="L36" s="150"/>
      <c r="M36" s="152"/>
      <c r="N36" s="153"/>
      <c r="O36" s="250"/>
      <c r="P36" s="250"/>
      <c r="Q36" s="148"/>
    </row>
    <row r="37" spans="1:17" ht="15.75" thickBo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55"/>
      <c r="O37" s="251"/>
      <c r="P37" s="251"/>
      <c r="Q37" s="157"/>
    </row>
    <row r="38" spans="1:17" ht="39" customHeight="1" thickBot="1" x14ac:dyDescent="0.3">
      <c r="A38" s="252" t="s">
        <v>208</v>
      </c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158">
        <f>SUM(Q15:Q37)</f>
        <v>1117679.4840000002</v>
      </c>
    </row>
    <row r="39" spans="1:17" ht="15.75" thickBot="1" x14ac:dyDescent="0.3">
      <c r="A39" s="253"/>
      <c r="B39" s="253"/>
      <c r="C39" s="253"/>
      <c r="D39" s="253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</row>
    <row r="40" spans="1:17" ht="15.75" thickBot="1" x14ac:dyDescent="0.3">
      <c r="A40" s="247" t="s">
        <v>198</v>
      </c>
      <c r="B40" s="247"/>
      <c r="C40" s="247"/>
      <c r="D40" s="247"/>
      <c r="E40" s="247"/>
      <c r="F40" s="247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</row>
    <row r="41" spans="1:17" ht="15.75" thickBot="1" x14ac:dyDescent="0.3">
      <c r="A41" s="249" t="str">
        <f>NP!D8</f>
        <v>ADQUISICION DEL RUBRO REACTIVOS PARA AGUA</v>
      </c>
      <c r="B41" s="249"/>
      <c r="C41" s="249"/>
      <c r="D41" s="249"/>
      <c r="E41" s="249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</row>
    <row r="42" spans="1:17" ht="15.75" thickBot="1" x14ac:dyDescent="0.3">
      <c r="A42" s="249"/>
      <c r="B42" s="249"/>
      <c r="C42" s="249"/>
      <c r="D42" s="249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2021-12-21T17:55:07Z</dcterms:created>
  <dcterms:modified xsi:type="dcterms:W3CDTF">2022-02-08T12:10:04Z</dcterms:modified>
</cp:coreProperties>
</file>