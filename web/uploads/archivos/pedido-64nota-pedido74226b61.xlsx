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58955-CAT-DPPR#MHP\"/>
    </mc:Choice>
  </mc:AlternateContent>
  <xr:revisionPtr revIDLastSave="0" documentId="8_{7E7FC8EF-5979-4410-B22C-88D65E8AA60C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NotaPedido'!$A$1:$K$20</definedName>
    <definedName name="_xlnm.Print_Area" localSheetId="2">'Autor Gastar'!$A$1:$Q$26</definedName>
  </definedNames>
  <calcPr calcId="181029"/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12" i="2"/>
  <c r="K19" i="2" l="1"/>
  <c r="I19" i="2"/>
  <c r="C19" i="2"/>
  <c r="B19" i="2"/>
  <c r="K18" i="2"/>
  <c r="I18" i="2"/>
  <c r="C18" i="2"/>
  <c r="B18" i="2"/>
  <c r="K17" i="2"/>
  <c r="I17" i="2"/>
  <c r="C17" i="2"/>
  <c r="B17" i="2"/>
  <c r="K16" i="2"/>
  <c r="I16" i="2"/>
  <c r="C16" i="2"/>
  <c r="B16" i="2"/>
  <c r="K15" i="2"/>
  <c r="I15" i="2"/>
  <c r="C15" i="2"/>
  <c r="B15" i="2"/>
  <c r="K14" i="2"/>
  <c r="I14" i="2"/>
  <c r="C14" i="2"/>
  <c r="B14" i="2"/>
  <c r="D12" i="1" l="1"/>
  <c r="I12" i="1"/>
  <c r="D13" i="1"/>
  <c r="I13" i="1"/>
  <c r="D14" i="1"/>
  <c r="I14" i="1"/>
  <c r="D15" i="1"/>
  <c r="I15" i="1"/>
  <c r="D16" i="1"/>
  <c r="I16" i="1"/>
  <c r="I17" i="1"/>
  <c r="I11" i="1" l="1"/>
  <c r="D11" i="1"/>
  <c r="B12" i="2"/>
  <c r="B13" i="2"/>
  <c r="A10" i="3" l="1"/>
  <c r="K13" i="2" l="1"/>
  <c r="I13" i="2"/>
  <c r="C13" i="2"/>
  <c r="G6" i="3" l="1"/>
  <c r="G7" i="3"/>
  <c r="D7" i="2"/>
  <c r="D3" i="2"/>
  <c r="G4" i="3" s="1"/>
  <c r="D4" i="2"/>
  <c r="G5" i="3" s="1"/>
  <c r="D1" i="3" l="1"/>
  <c r="K12" i="2"/>
  <c r="J20" i="2" s="1"/>
  <c r="I12" i="2"/>
  <c r="C12" i="2"/>
  <c r="I10" i="1"/>
  <c r="D10" i="1"/>
  <c r="I15" i="3" s="1"/>
  <c r="I19" i="1" l="1"/>
  <c r="Q22" i="3" s="1"/>
  <c r="K15" i="3"/>
  <c r="J15" i="3"/>
</calcChain>
</file>

<file path=xl/sharedStrings.xml><?xml version="1.0" encoding="utf-8"?>
<sst xmlns="http://schemas.openxmlformats.org/spreadsheetml/2006/main" count="204" uniqueCount="102">
  <si>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</si>
  <si>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</si>
  <si>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</si>
  <si>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</si>
  <si>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</si>
  <si>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</si>
  <si>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</si>
  <si>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</si>
  <si>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</si>
  <si>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</si>
  <si>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</si>
  <si>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</si>
  <si>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</si>
  <si>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</si>
  <si>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</si>
  <si>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</si>
  <si>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</si>
  <si>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</si>
  <si>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</si>
  <si>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</si>
  <si>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</si>
  <si>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</si>
  <si>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</si>
  <si>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</si>
  <si>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</si>
  <si>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</si>
  <si>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</si>
  <si>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</si>
  <si>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</si>
  <si>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</si>
  <si>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</si>
  <si>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</si>
  <si>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</si>
  <si>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</si>
  <si>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</si>
  <si>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</si>
  <si>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</si>
  <si>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</si>
  <si>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</si>
  <si>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</si>
  <si>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</si>
  <si>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</si>
  <si>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</si>
  <si>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</si>
  <si>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</si>
  <si>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</si>
  <si>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</si>
  <si>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</si>
  <si>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</si>
  <si>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</si>
  <si>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</si>
  <si>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</si>
  <si>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</si>
  <si>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</si>
  <si>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</si>
  <si>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</si>
  <si>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</si>
  <si>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 xml:space="preserve">JURISDICCIÓN: </t>
  </si>
  <si>
    <t>SAF:</t>
  </si>
  <si>
    <t xml:space="preserve">DEPENDENCIA SOLICITANTE: </t>
  </si>
  <si>
    <t>DENTRO DE LOS 15 DIAS CORRIDOS, A PARTIR DEL PERFECCIONAMIENTO DEL DOCUMENTO CONTRACTUAL.</t>
  </si>
  <si>
    <t>MINISTERIO DE VIVIENDA - AV. VENEZUELA S/Nº - CAPE - PABELLON Nº7</t>
  </si>
  <si>
    <t>Especificidades Item N° 3:</t>
  </si>
  <si>
    <t>Especificidades Item N° 4: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</si>
  <si>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</si>
  <si>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</si>
  <si>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</si>
  <si>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</si>
  <si>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UNIDAD</t>
  </si>
  <si>
    <t>PC: MICRO INTEL CORE I5 - 8GB RAM - HD SSD 240GB - MONITOR 22 PULGADAS</t>
  </si>
  <si>
    <t>4.3.6-6160.4</t>
  </si>
  <si>
    <t>COMPUTADORAS</t>
  </si>
  <si>
    <t>COMPUTADORAS; CODIGO ETAP: PC-004, TIPO: DE ESCRITORIO AVANZADA, VERSION ETAP: VERANO 2001( V 6.0 )</t>
  </si>
  <si>
    <t>4.3.6-6160.208</t>
  </si>
  <si>
    <t>COMPUTADORAS; TIPO: NOTEBOOK, CODIGO ETAP: PC-008, VERSION ETAP: 22.0</t>
  </si>
  <si>
    <t>4.3.6-6161.333</t>
  </si>
  <si>
    <t>IMPRESORAS; TIPO: MULTIFUNCION TINTA COLOR, CODIGO ETAP: PR-010, VERSION ETAP: 23.0</t>
  </si>
  <si>
    <t>IMPRESORAS</t>
  </si>
  <si>
    <t>4.3.6-6161.251</t>
  </si>
  <si>
    <t>IMPRESORAS; TIPO: MULTIFUNCION LASER MONOCROM., CODIGO ETAP: PR-026, VERSION ETAP: VERSION 18.1</t>
  </si>
  <si>
    <t>2.9.6-2060.49</t>
  </si>
  <si>
    <t>SWITCH; USO: RACKEABLE, TIPO DE CONEXION: 24 BOCAS</t>
  </si>
  <si>
    <t>SWITCH</t>
  </si>
  <si>
    <t>NOTEBOOK: INTEL CORE i5 - 8/16GB RAM - HD SSD M.2 / 240GB - PLACA DE VIDEO 2GB - MONITOR
15 PULGADAS</t>
  </si>
  <si>
    <t>Especificidades Item N° 5:</t>
  </si>
  <si>
    <t>Especificidades Item N° 6:</t>
  </si>
  <si>
    <t>Especificidades Item N° 7:</t>
  </si>
  <si>
    <t>Especificidades Item N° 8:</t>
  </si>
  <si>
    <t>NOTEBOOK: INTEL CORE i5 - 8/16GB RAM - HD SSD M.2 / 240GB - PLACA DE VIDEO 2GB - MONITOR
14 PULGADAS</t>
  </si>
  <si>
    <t>NOTEBOOK: INTEL CORE I3 - 8GB RAM - HD SSD 240GB - MONITOR 14 PULGADAS</t>
  </si>
  <si>
    <t>IMPRESORA COLOR A3 (TIPO EPSON ECOTANK L1300)</t>
  </si>
  <si>
    <t>IMPRESORA MULTIFUNCION LASER CON SCANNER LEGAL (TIPO HP LASERJET MFP
137NW)</t>
  </si>
  <si>
    <t>SWITCH ADMINISTRABLE DE 24 PUERTOS + 2 SFP (TIPO SWITCH CISCO SF220-24)</t>
  </si>
  <si>
    <t>NUEVO</t>
  </si>
  <si>
    <t>EQUIPOS PARA COMPUTACION</t>
  </si>
  <si>
    <t>Adquisicion de Equipos Informaticos</t>
  </si>
  <si>
    <t>359/2021</t>
  </si>
  <si>
    <t>Costo total estimado: Tres Millones Novecientos Cinco Mil con 00/100</t>
  </si>
  <si>
    <t>PC: MICRO INTEL CORE I5 - 8GB RAM - HD SSD 240GB - PLACA VIDEO 2GB G-FORCE - MONITOR
22 PULGADAS</t>
  </si>
  <si>
    <t>30 DIAS</t>
  </si>
  <si>
    <t>MINIMA: DE FABRICA - 12 MESES</t>
  </si>
  <si>
    <t>4.3.6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</si>
</sst>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6" fillId="3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30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1" xfId="0" applyBorder="1"/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166" fontId="14" fillId="0" borderId="49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wrapText="1"/>
    </xf>
    <xf numFmtId="0" fontId="23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0" xfId="0" applyFont="1" applyBorder="1"/>
    <xf numFmtId="0" fontId="16" fillId="0" borderId="10" xfId="0" applyFont="1" applyBorder="1"/>
    <xf numFmtId="0" fontId="23" fillId="0" borderId="9" xfId="0" applyFont="1" applyBorder="1" applyAlignment="1">
      <alignment horizontal="left" indent="3"/>
    </xf>
    <xf numFmtId="0" fontId="16" fillId="0" borderId="9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left" indent="3"/>
    </xf>
    <xf numFmtId="0" fontId="16" fillId="0" borderId="12" xfId="0" applyFont="1" applyBorder="1"/>
    <xf numFmtId="0" fontId="16" fillId="0" borderId="13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3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center" vertical="center" wrapText="1"/>
    </xf>
    <xf numFmtId="166" fontId="4" fillId="4" borderId="23" xfId="1" applyNumberFormat="1" applyFont="1" applyFill="1" applyBorder="1" applyAlignment="1" applyProtection="1">
      <alignment horizontal="right" vertical="center" wrapText="1"/>
    </xf>
    <xf numFmtId="3" fontId="4" fillId="4" borderId="23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/>
    </xf>
    <xf numFmtId="0" fontId="25" fillId="3" borderId="37" xfId="0" applyFont="1" applyFill="1" applyBorder="1" applyAlignment="1">
      <alignment horizontal="center" vertical="center"/>
    </xf>
    <xf numFmtId="166" fontId="19" fillId="0" borderId="5" xfId="0" applyNumberFormat="1" applyFont="1" applyBorder="1" applyAlignment="1">
      <alignment horizontal="right" wrapText="1"/>
    </xf>
    <xf numFmtId="0" fontId="21" fillId="0" borderId="55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 wrapText="1"/>
    </xf>
    <xf numFmtId="0" fontId="22" fillId="3" borderId="56" xfId="0" applyFont="1" applyFill="1" applyBorder="1" applyAlignment="1">
      <alignment horizontal="center" vertical="center" wrapText="1"/>
    </xf>
    <xf numFmtId="166" fontId="21" fillId="3" borderId="56" xfId="1" applyNumberFormat="1" applyFont="1" applyFill="1" applyBorder="1" applyAlignment="1" applyProtection="1">
      <alignment horizontal="right" vertical="center" wrapText="1"/>
    </xf>
    <xf numFmtId="166" fontId="21" fillId="3" borderId="57" xfId="1" applyNumberFormat="1" applyFont="1" applyFill="1" applyBorder="1" applyAlignment="1" applyProtection="1">
      <alignment horizontal="right" vertical="center" wrapText="1"/>
    </xf>
    <xf numFmtId="0" fontId="21" fillId="0" borderId="54" xfId="0" applyFont="1" applyBorder="1" applyAlignment="1">
      <alignment horizontal="center" vertical="center"/>
    </xf>
    <xf numFmtId="0" fontId="22" fillId="3" borderId="54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22" fillId="0" borderId="54" xfId="0" applyFont="1" applyBorder="1" applyAlignment="1">
      <alignment horizontal="center" vertical="center" wrapText="1"/>
    </xf>
    <xf numFmtId="166" fontId="21" fillId="3" borderId="54" xfId="1" applyNumberFormat="1" applyFont="1" applyFill="1" applyBorder="1" applyAlignment="1" applyProtection="1">
      <alignment horizontal="right" vertical="center" wrapText="1"/>
    </xf>
    <xf numFmtId="0" fontId="16" fillId="4" borderId="54" xfId="0" applyFont="1" applyFill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66" fontId="16" fillId="0" borderId="0" xfId="0" applyNumberFormat="1" applyFont="1"/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 wrapText="1" indent="1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 indent="1"/>
    </xf>
    <xf numFmtId="167" fontId="7" fillId="0" borderId="18" xfId="0" applyNumberFormat="1" applyFont="1" applyBorder="1" applyAlignment="1">
      <alignment horizontal="center" vertical="center"/>
    </xf>
    <xf numFmtId="0" fontId="4" fillId="4" borderId="23" xfId="0" applyFont="1" applyFill="1" applyBorder="1" applyAlignment="1">
      <alignment horizontal="left" vertical="center" wrapText="1"/>
    </xf>
    <xf numFmtId="0" fontId="0" fillId="0" borderId="25" xfId="0" applyFont="1" applyBorder="1" applyAlignment="1">
      <alignment horizontal="center"/>
    </xf>
    <xf numFmtId="3" fontId="10" fillId="0" borderId="26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12" fillId="0" borderId="15" xfId="0" applyFont="1" applyBorder="1" applyAlignment="1">
      <alignment horizontal="left" indent="1"/>
    </xf>
    <xf numFmtId="0" fontId="4" fillId="0" borderId="17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/>
    </xf>
    <xf numFmtId="0" fontId="26" fillId="0" borderId="38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0" fillId="0" borderId="43" xfId="0" applyFont="1" applyBorder="1" applyAlignment="1">
      <alignment horizontal="left" vertical="center"/>
    </xf>
    <xf numFmtId="0" fontId="12" fillId="0" borderId="28" xfId="0" applyFont="1" applyBorder="1"/>
    <xf numFmtId="0" fontId="12" fillId="0" borderId="29" xfId="0" applyFont="1" applyBorder="1" applyAlignment="1">
      <alignment horizontal="left" vertical="center" wrapText="1" indent="1"/>
    </xf>
    <xf numFmtId="0" fontId="14" fillId="0" borderId="2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0" fillId="0" borderId="25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3" borderId="49" xfId="0" applyFont="1" applyFill="1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0" fillId="0" borderId="49" xfId="0" applyFont="1" applyBorder="1" applyAlignment="1">
      <alignment horizontal="left" vertical="center" wrapText="1"/>
    </xf>
    <xf numFmtId="0" fontId="0" fillId="0" borderId="27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0"/>
  <sheetViews>
    <sheetView tabSelected="1" zoomScale="85" zoomScaleNormal="85" workbookViewId="0">
      <selection activeCell="I19" sqref="I19"/>
    </sheetView>
  </sheetViews>
  <sheetFormatPr baseColWidth="10" defaultColWidth="11" defaultRowHeight="12.75" x14ac:dyDescent="0.2"/>
  <cols>
    <col min="1" max="1" width="4.5703125" style="46" customWidth="1"/>
    <col min="2" max="2" width="12.85546875" style="46" customWidth="1"/>
    <col min="3" max="3" width="32.42578125" style="46" customWidth="1"/>
    <col min="4" max="4" width="8.42578125" style="46" customWidth="1"/>
    <col min="5" max="5" width="79" style="46" customWidth="1"/>
    <col min="6" max="6" width="11" style="46"/>
    <col min="7" max="7" width="12.7109375" style="46" customWidth="1"/>
    <col min="8" max="8" width="13.85546875" style="46" customWidth="1"/>
    <col min="9" max="9" width="18.5703125" style="46" customWidth="1"/>
    <col min="10" max="16384" width="11" style="46"/>
  </cols>
  <sheetData>
    <row r="2" spans="1:9" ht="27" x14ac:dyDescent="0.35">
      <c r="B2" s="90" t="s">
        <v>0</v>
      </c>
      <c r="C2" s="90"/>
      <c r="D2" s="90"/>
      <c r="E2" s="90"/>
      <c r="F2" s="90"/>
      <c r="G2" s="90"/>
      <c r="H2" s="90"/>
    </row>
    <row r="4" spans="1:9" ht="18" customHeight="1" x14ac:dyDescent="0.25">
      <c r="A4" s="91" t="s">
        <v>1</v>
      </c>
      <c r="B4" s="91"/>
      <c r="C4" s="92" t="s">
        <v>65</v>
      </c>
      <c r="D4" s="92"/>
      <c r="E4" s="92"/>
      <c r="F4" s="47"/>
      <c r="G4" s="48"/>
      <c r="H4" s="47"/>
    </row>
    <row r="5" spans="1:9" ht="18" customHeight="1" x14ac:dyDescent="0.25">
      <c r="A5" s="91" t="s">
        <v>2</v>
      </c>
      <c r="B5" s="91"/>
      <c r="C5" s="92" t="s">
        <v>67</v>
      </c>
      <c r="D5" s="92"/>
      <c r="E5" s="92"/>
      <c r="F5" s="47"/>
      <c r="G5" s="48"/>
      <c r="H5" s="47"/>
    </row>
    <row r="6" spans="1:9" ht="16.5" customHeight="1" x14ac:dyDescent="0.25">
      <c r="A6" s="91" t="s">
        <v>3</v>
      </c>
      <c r="B6" s="91"/>
      <c r="C6" s="67">
        <v>2021</v>
      </c>
      <c r="D6" s="68"/>
      <c r="E6" s="68"/>
      <c r="F6" s="47"/>
      <c r="G6" s="48"/>
      <c r="H6" s="47"/>
    </row>
    <row r="7" spans="1:9" ht="16.5" customHeight="1" x14ac:dyDescent="0.25">
      <c r="A7" s="91" t="s">
        <v>4</v>
      </c>
      <c r="B7" s="91"/>
      <c r="C7" s="67">
        <v>2</v>
      </c>
      <c r="D7" s="68"/>
      <c r="E7" s="68"/>
      <c r="F7" s="47"/>
      <c r="G7" s="48"/>
      <c r="H7" s="47"/>
    </row>
    <row r="8" spans="1:9" x14ac:dyDescent="0.2">
      <c r="B8" s="47"/>
      <c r="C8" s="48"/>
      <c r="D8" s="47"/>
      <c r="E8" s="47"/>
      <c r="F8" s="47"/>
      <c r="G8" s="48"/>
      <c r="H8" s="47"/>
    </row>
    <row r="9" spans="1:9" ht="39.75" thickTop="1" thickBot="1" x14ac:dyDescent="0.25">
      <c r="A9" s="49" t="s">
        <v>5</v>
      </c>
      <c r="B9" s="49" t="s">
        <v>6</v>
      </c>
      <c r="C9" s="49" t="s">
        <v>7</v>
      </c>
      <c r="D9" s="49" t="s">
        <v>8</v>
      </c>
      <c r="E9" s="49" t="s">
        <v>9</v>
      </c>
      <c r="F9" s="49" t="s">
        <v>10</v>
      </c>
      <c r="G9" s="49" t="s">
        <v>11</v>
      </c>
      <c r="H9" s="49" t="s">
        <v>12</v>
      </c>
      <c r="I9" s="49" t="s">
        <v>13</v>
      </c>
    </row>
    <row r="10" spans="1:9" ht="24.75" thickBot="1" x14ac:dyDescent="0.25">
      <c r="A10" s="81">
        <v>1</v>
      </c>
      <c r="B10" s="82" t="s">
        <v>70</v>
      </c>
      <c r="C10" s="83" t="s">
        <v>71</v>
      </c>
      <c r="D10" s="84" t="str">
        <f>LEFT(B10,5)</f>
        <v>4.3.6</v>
      </c>
      <c r="E10" s="84" t="s">
        <v>72</v>
      </c>
      <c r="F10" s="82" t="s">
        <v>68</v>
      </c>
      <c r="G10" s="82">
        <v>10</v>
      </c>
      <c r="H10" s="71">
        <v>150000</v>
      </c>
      <c r="I10" s="85">
        <f>H10*G10</f>
        <v>1500000</v>
      </c>
    </row>
    <row r="11" spans="1:9" ht="33.75" customHeight="1" thickBot="1" x14ac:dyDescent="0.25">
      <c r="A11" s="81">
        <v>2</v>
      </c>
      <c r="B11" s="86" t="s">
        <v>70</v>
      </c>
      <c r="C11" s="87" t="s">
        <v>71</v>
      </c>
      <c r="D11" s="84" t="str">
        <f>LEFT(B11,5)</f>
        <v>4.3.6</v>
      </c>
      <c r="E11" s="88" t="s">
        <v>72</v>
      </c>
      <c r="F11" s="82" t="s">
        <v>68</v>
      </c>
      <c r="G11" s="82">
        <v>10</v>
      </c>
      <c r="H11" s="71">
        <v>125000</v>
      </c>
      <c r="I11" s="85">
        <f>H11*G11</f>
        <v>1250000</v>
      </c>
    </row>
    <row r="12" spans="1:9" ht="19.5" customHeight="1" thickBot="1" x14ac:dyDescent="0.25">
      <c r="A12" s="81">
        <v>3</v>
      </c>
      <c r="B12" s="86" t="s">
        <v>73</v>
      </c>
      <c r="C12" s="87" t="s">
        <v>71</v>
      </c>
      <c r="D12" s="84" t="str">
        <f t="shared" ref="D12:D16" si="0">LEFT(B12,5)</f>
        <v>4.3.6</v>
      </c>
      <c r="E12" s="88" t="s">
        <v>74</v>
      </c>
      <c r="F12" s="82" t="s">
        <v>68</v>
      </c>
      <c r="G12" s="82">
        <v>2</v>
      </c>
      <c r="H12" s="71">
        <v>170000</v>
      </c>
      <c r="I12" s="85">
        <f t="shared" ref="I12:I17" si="1">H12*G12</f>
        <v>340000</v>
      </c>
    </row>
    <row r="13" spans="1:9" ht="19.5" customHeight="1" thickBot="1" x14ac:dyDescent="0.25">
      <c r="A13" s="81">
        <v>4</v>
      </c>
      <c r="B13" s="86" t="s">
        <v>73</v>
      </c>
      <c r="C13" s="87" t="s">
        <v>71</v>
      </c>
      <c r="D13" s="84" t="str">
        <f t="shared" si="0"/>
        <v>4.3.6</v>
      </c>
      <c r="E13" s="88" t="s">
        <v>74</v>
      </c>
      <c r="F13" s="82" t="s">
        <v>68</v>
      </c>
      <c r="G13" s="82">
        <v>2</v>
      </c>
      <c r="H13" s="71">
        <v>150000</v>
      </c>
      <c r="I13" s="85">
        <f t="shared" si="1"/>
        <v>300000</v>
      </c>
    </row>
    <row r="14" spans="1:9" ht="19.5" customHeight="1" thickBot="1" x14ac:dyDescent="0.25">
      <c r="A14" s="81">
        <v>5</v>
      </c>
      <c r="B14" s="86" t="s">
        <v>73</v>
      </c>
      <c r="C14" s="87" t="s">
        <v>71</v>
      </c>
      <c r="D14" s="84" t="str">
        <f t="shared" si="0"/>
        <v>4.3.6</v>
      </c>
      <c r="E14" s="88" t="s">
        <v>74</v>
      </c>
      <c r="F14" s="82" t="s">
        <v>68</v>
      </c>
      <c r="G14" s="82">
        <v>2</v>
      </c>
      <c r="H14" s="71">
        <v>130000</v>
      </c>
      <c r="I14" s="85">
        <f t="shared" si="1"/>
        <v>260000</v>
      </c>
    </row>
    <row r="15" spans="1:9" ht="29.25" customHeight="1" thickBot="1" x14ac:dyDescent="0.25">
      <c r="A15" s="81">
        <v>6</v>
      </c>
      <c r="B15" s="86" t="s">
        <v>75</v>
      </c>
      <c r="C15" s="87" t="s">
        <v>77</v>
      </c>
      <c r="D15" s="84" t="str">
        <f t="shared" si="0"/>
        <v>4.3.6</v>
      </c>
      <c r="E15" s="88" t="s">
        <v>76</v>
      </c>
      <c r="F15" s="82" t="s">
        <v>68</v>
      </c>
      <c r="G15" s="82">
        <v>1</v>
      </c>
      <c r="H15" s="71">
        <v>115000</v>
      </c>
      <c r="I15" s="85">
        <f t="shared" si="1"/>
        <v>115000</v>
      </c>
    </row>
    <row r="16" spans="1:9" ht="29.25" customHeight="1" thickBot="1" x14ac:dyDescent="0.25">
      <c r="A16" s="81">
        <v>7</v>
      </c>
      <c r="B16" s="86" t="s">
        <v>78</v>
      </c>
      <c r="C16" s="87" t="s">
        <v>77</v>
      </c>
      <c r="D16" s="84" t="str">
        <f t="shared" si="0"/>
        <v>4.3.6</v>
      </c>
      <c r="E16" s="88" t="s">
        <v>79</v>
      </c>
      <c r="F16" s="82" t="s">
        <v>68</v>
      </c>
      <c r="G16" s="82">
        <v>1</v>
      </c>
      <c r="H16" s="71">
        <v>40000</v>
      </c>
      <c r="I16" s="85">
        <f t="shared" si="1"/>
        <v>40000</v>
      </c>
    </row>
    <row r="17" spans="1:9" ht="22.5" customHeight="1" x14ac:dyDescent="0.2">
      <c r="A17" s="81">
        <v>8</v>
      </c>
      <c r="B17" s="86" t="s">
        <v>80</v>
      </c>
      <c r="C17" s="87" t="s">
        <v>82</v>
      </c>
      <c r="D17" s="84" t="s">
        <v>101</v>
      </c>
      <c r="E17" s="88" t="s">
        <v>81</v>
      </c>
      <c r="F17" s="82" t="s">
        <v>68</v>
      </c>
      <c r="G17" s="82">
        <v>2</v>
      </c>
      <c r="H17" s="71">
        <v>50000</v>
      </c>
      <c r="I17" s="85">
        <f t="shared" si="1"/>
        <v>100000</v>
      </c>
    </row>
    <row r="18" spans="1:9" x14ac:dyDescent="0.2">
      <c r="A18" s="76"/>
      <c r="B18" s="73"/>
      <c r="D18" s="77"/>
      <c r="F18" s="78"/>
      <c r="G18" s="78"/>
      <c r="H18" s="79"/>
      <c r="I18" s="80"/>
    </row>
    <row r="19" spans="1:9" ht="13.5" thickBot="1" x14ac:dyDescent="0.25">
      <c r="A19" s="50"/>
      <c r="B19" s="51"/>
      <c r="C19" s="52"/>
      <c r="D19" s="51"/>
      <c r="E19" s="52"/>
      <c r="F19" s="53"/>
      <c r="G19" s="53"/>
      <c r="H19" s="53"/>
      <c r="I19" s="75">
        <f>SUM(I10:I18)</f>
        <v>3905000</v>
      </c>
    </row>
    <row r="22" spans="1:9" x14ac:dyDescent="0.2">
      <c r="B22" s="54" t="s">
        <v>14</v>
      </c>
      <c r="C22" s="55"/>
      <c r="D22" s="55"/>
      <c r="E22" s="56"/>
    </row>
    <row r="23" spans="1:9" ht="5.25" customHeight="1" x14ac:dyDescent="0.2">
      <c r="B23" s="57"/>
      <c r="C23" s="58"/>
      <c r="D23" s="58"/>
      <c r="E23" s="59"/>
    </row>
    <row r="24" spans="1:9" x14ac:dyDescent="0.2">
      <c r="B24" s="60" t="s">
        <v>15</v>
      </c>
      <c r="C24" s="58"/>
      <c r="D24" s="58"/>
      <c r="E24" s="59"/>
    </row>
    <row r="25" spans="1:9" ht="41.25" customHeight="1" x14ac:dyDescent="0.2">
      <c r="B25" s="60"/>
      <c r="C25" s="93" t="s">
        <v>69</v>
      </c>
      <c r="D25" s="93"/>
      <c r="E25" s="94"/>
      <c r="H25" s="89"/>
    </row>
    <row r="26" spans="1:9" x14ac:dyDescent="0.2">
      <c r="B26" s="60" t="s">
        <v>16</v>
      </c>
      <c r="C26" s="58"/>
      <c r="D26" s="58"/>
      <c r="E26" s="59"/>
    </row>
    <row r="27" spans="1:9" x14ac:dyDescent="0.2">
      <c r="B27" s="61"/>
      <c r="C27" s="95" t="s">
        <v>60</v>
      </c>
      <c r="D27" s="95"/>
      <c r="E27" s="95"/>
    </row>
    <row r="28" spans="1:9" x14ac:dyDescent="0.2">
      <c r="B28" s="61"/>
      <c r="C28" s="95" t="s">
        <v>61</v>
      </c>
      <c r="D28" s="95"/>
      <c r="E28" s="95"/>
    </row>
    <row r="29" spans="1:9" x14ac:dyDescent="0.2">
      <c r="B29" s="60" t="s">
        <v>17</v>
      </c>
      <c r="C29" s="58"/>
      <c r="D29" s="58"/>
      <c r="E29" s="59"/>
    </row>
    <row r="30" spans="1:9" ht="26.25" customHeight="1" x14ac:dyDescent="0.2">
      <c r="B30" s="61"/>
      <c r="C30" s="96" t="s">
        <v>93</v>
      </c>
      <c r="D30" s="96"/>
      <c r="E30" s="96"/>
    </row>
    <row r="31" spans="1:9" x14ac:dyDescent="0.2">
      <c r="B31" s="60" t="s">
        <v>18</v>
      </c>
      <c r="C31" s="62"/>
      <c r="D31" s="62"/>
      <c r="E31" s="63"/>
    </row>
    <row r="32" spans="1:9" ht="26.25" customHeight="1" x14ac:dyDescent="0.2">
      <c r="B32" s="61"/>
      <c r="C32" s="96" t="s">
        <v>99</v>
      </c>
      <c r="D32" s="96"/>
      <c r="E32" s="96"/>
    </row>
    <row r="33" spans="2:5" x14ac:dyDescent="0.2">
      <c r="B33" s="60" t="s">
        <v>19</v>
      </c>
      <c r="C33" s="58"/>
      <c r="D33" s="58"/>
      <c r="E33" s="59"/>
    </row>
    <row r="34" spans="2:5" ht="23.25" customHeight="1" x14ac:dyDescent="0.2">
      <c r="B34" s="60"/>
      <c r="C34" s="95" t="s">
        <v>100</v>
      </c>
      <c r="D34" s="95"/>
      <c r="E34" s="95"/>
    </row>
    <row r="35" spans="2:5" x14ac:dyDescent="0.2">
      <c r="B35" s="64"/>
      <c r="C35" s="65"/>
      <c r="D35" s="65"/>
      <c r="E35" s="66"/>
    </row>
    <row r="37" spans="2:5" x14ac:dyDescent="0.2">
      <c r="B37" s="54" t="s">
        <v>20</v>
      </c>
      <c r="C37" s="55"/>
      <c r="D37" s="55"/>
      <c r="E37" s="56"/>
    </row>
    <row r="38" spans="2:5" ht="7.5" customHeight="1" x14ac:dyDescent="0.2">
      <c r="B38" s="57"/>
      <c r="C38" s="58"/>
      <c r="D38" s="58"/>
      <c r="E38" s="59"/>
    </row>
    <row r="39" spans="2:5" x14ac:dyDescent="0.2">
      <c r="B39" s="60" t="s">
        <v>15</v>
      </c>
      <c r="C39" s="58"/>
      <c r="D39" s="58"/>
      <c r="E39" s="59"/>
    </row>
    <row r="40" spans="2:5" ht="39" customHeight="1" x14ac:dyDescent="0.2">
      <c r="B40" s="60"/>
      <c r="C40" s="96" t="s">
        <v>98</v>
      </c>
      <c r="D40" s="96"/>
      <c r="E40" s="96"/>
    </row>
    <row r="41" spans="2:5" x14ac:dyDescent="0.2">
      <c r="B41" s="60" t="s">
        <v>16</v>
      </c>
      <c r="C41" s="58"/>
      <c r="D41" s="58"/>
      <c r="E41" s="59"/>
    </row>
    <row r="42" spans="2:5" x14ac:dyDescent="0.2">
      <c r="B42" s="61"/>
      <c r="C42" s="95" t="s">
        <v>60</v>
      </c>
      <c r="D42" s="95"/>
      <c r="E42" s="95"/>
    </row>
    <row r="43" spans="2:5" x14ac:dyDescent="0.2">
      <c r="B43" s="61"/>
      <c r="C43" s="95" t="s">
        <v>61</v>
      </c>
      <c r="D43" s="95"/>
      <c r="E43" s="95"/>
    </row>
    <row r="44" spans="2:5" x14ac:dyDescent="0.2">
      <c r="B44" s="60" t="s">
        <v>17</v>
      </c>
      <c r="C44" s="58"/>
      <c r="D44" s="58"/>
      <c r="E44" s="59"/>
    </row>
    <row r="45" spans="2:5" x14ac:dyDescent="0.2">
      <c r="B45" s="61"/>
      <c r="C45" s="96" t="s">
        <v>93</v>
      </c>
      <c r="D45" s="96"/>
      <c r="E45" s="96"/>
    </row>
    <row r="46" spans="2:5" x14ac:dyDescent="0.2">
      <c r="B46" s="60" t="s">
        <v>18</v>
      </c>
      <c r="C46" s="62"/>
      <c r="D46" s="62"/>
      <c r="E46" s="63"/>
    </row>
    <row r="47" spans="2:5" x14ac:dyDescent="0.2">
      <c r="B47" s="61"/>
      <c r="C47" s="96" t="s">
        <v>99</v>
      </c>
      <c r="D47" s="96"/>
      <c r="E47" s="96"/>
    </row>
    <row r="48" spans="2:5" x14ac:dyDescent="0.2">
      <c r="B48" s="60" t="s">
        <v>19</v>
      </c>
      <c r="C48" s="58"/>
      <c r="D48" s="58"/>
      <c r="E48" s="59"/>
    </row>
    <row r="49" spans="2:5" x14ac:dyDescent="0.2">
      <c r="B49" s="60"/>
      <c r="C49" s="95" t="s">
        <v>100</v>
      </c>
      <c r="D49" s="95"/>
      <c r="E49" s="95"/>
    </row>
    <row r="50" spans="2:5" ht="13.5" thickBot="1" x14ac:dyDescent="0.25">
      <c r="B50" s="64"/>
      <c r="C50" s="65"/>
      <c r="D50" s="65"/>
      <c r="E50" s="66"/>
    </row>
    <row r="51" spans="2:5" ht="13.5" thickBot="1" x14ac:dyDescent="0.25"/>
    <row r="52" spans="2:5" x14ac:dyDescent="0.2">
      <c r="B52" s="54" t="s">
        <v>62</v>
      </c>
      <c r="C52" s="55"/>
      <c r="D52" s="55"/>
      <c r="E52" s="56"/>
    </row>
    <row r="53" spans="2:5" x14ac:dyDescent="0.2">
      <c r="B53" s="57"/>
      <c r="C53" s="58"/>
      <c r="D53" s="58"/>
      <c r="E53" s="59"/>
    </row>
    <row r="54" spans="2:5" x14ac:dyDescent="0.2">
      <c r="B54" s="60" t="s">
        <v>15</v>
      </c>
      <c r="C54" s="58"/>
      <c r="D54" s="58"/>
      <c r="E54" s="59"/>
    </row>
    <row r="55" spans="2:5" ht="30" customHeight="1" x14ac:dyDescent="0.2">
      <c r="B55" s="60"/>
      <c r="C55" s="96" t="s">
        <v>83</v>
      </c>
      <c r="D55" s="96"/>
      <c r="E55" s="96"/>
    </row>
    <row r="56" spans="2:5" x14ac:dyDescent="0.2">
      <c r="B56" s="60" t="s">
        <v>16</v>
      </c>
      <c r="C56" s="58"/>
      <c r="D56" s="58"/>
      <c r="E56" s="59"/>
    </row>
    <row r="57" spans="2:5" x14ac:dyDescent="0.2">
      <c r="B57" s="61"/>
      <c r="C57" s="95" t="s">
        <v>60</v>
      </c>
      <c r="D57" s="95"/>
      <c r="E57" s="95"/>
    </row>
    <row r="58" spans="2:5" x14ac:dyDescent="0.2">
      <c r="B58" s="61"/>
      <c r="C58" s="95" t="s">
        <v>61</v>
      </c>
      <c r="D58" s="95"/>
      <c r="E58" s="95"/>
    </row>
    <row r="59" spans="2:5" x14ac:dyDescent="0.2">
      <c r="B59" s="60" t="s">
        <v>17</v>
      </c>
      <c r="C59" s="58"/>
      <c r="D59" s="58"/>
      <c r="E59" s="59"/>
    </row>
    <row r="60" spans="2:5" x14ac:dyDescent="0.2">
      <c r="B60" s="61"/>
      <c r="C60" s="96" t="s">
        <v>93</v>
      </c>
      <c r="D60" s="96"/>
      <c r="E60" s="96"/>
    </row>
    <row r="61" spans="2:5" x14ac:dyDescent="0.2">
      <c r="B61" s="60" t="s">
        <v>18</v>
      </c>
      <c r="C61" s="62"/>
      <c r="D61" s="62"/>
      <c r="E61" s="63"/>
    </row>
    <row r="62" spans="2:5" x14ac:dyDescent="0.2">
      <c r="B62" s="61"/>
      <c r="C62" s="96" t="s">
        <v>99</v>
      </c>
      <c r="D62" s="96"/>
      <c r="E62" s="96"/>
    </row>
    <row r="63" spans="2:5" x14ac:dyDescent="0.2">
      <c r="B63" s="60" t="s">
        <v>19</v>
      </c>
      <c r="C63" s="58"/>
      <c r="D63" s="58"/>
      <c r="E63" s="59"/>
    </row>
    <row r="64" spans="2:5" x14ac:dyDescent="0.2">
      <c r="B64" s="60"/>
      <c r="C64" s="95" t="s">
        <v>100</v>
      </c>
      <c r="D64" s="95"/>
      <c r="E64" s="95"/>
    </row>
    <row r="65" spans="2:5" ht="13.5" thickBot="1" x14ac:dyDescent="0.25">
      <c r="B65" s="64"/>
      <c r="C65" s="65"/>
      <c r="D65" s="65"/>
      <c r="E65" s="66"/>
    </row>
    <row r="66" spans="2:5" ht="13.5" thickBot="1" x14ac:dyDescent="0.25"/>
    <row r="67" spans="2:5" x14ac:dyDescent="0.2">
      <c r="B67" s="54" t="s">
        <v>63</v>
      </c>
      <c r="C67" s="55"/>
      <c r="D67" s="55"/>
      <c r="E67" s="56"/>
    </row>
    <row r="68" spans="2:5" x14ac:dyDescent="0.2">
      <c r="B68" s="57"/>
      <c r="C68" s="58"/>
      <c r="D68" s="58"/>
      <c r="E68" s="59"/>
    </row>
    <row r="69" spans="2:5" x14ac:dyDescent="0.2">
      <c r="B69" s="60" t="s">
        <v>15</v>
      </c>
      <c r="C69" s="58"/>
      <c r="D69" s="58"/>
      <c r="E69" s="59"/>
    </row>
    <row r="70" spans="2:5" ht="24" customHeight="1" x14ac:dyDescent="0.2">
      <c r="B70" s="60"/>
      <c r="C70" s="96" t="s">
        <v>88</v>
      </c>
      <c r="D70" s="96"/>
      <c r="E70" s="96"/>
    </row>
    <row r="71" spans="2:5" x14ac:dyDescent="0.2">
      <c r="B71" s="60" t="s">
        <v>16</v>
      </c>
      <c r="C71" s="58"/>
      <c r="D71" s="58"/>
      <c r="E71" s="59"/>
    </row>
    <row r="72" spans="2:5" x14ac:dyDescent="0.2">
      <c r="B72" s="61"/>
      <c r="C72" s="95" t="s">
        <v>60</v>
      </c>
      <c r="D72" s="95"/>
      <c r="E72" s="95"/>
    </row>
    <row r="73" spans="2:5" x14ac:dyDescent="0.2">
      <c r="B73" s="61"/>
      <c r="C73" s="95" t="s">
        <v>61</v>
      </c>
      <c r="D73" s="95"/>
      <c r="E73" s="95"/>
    </row>
    <row r="74" spans="2:5" x14ac:dyDescent="0.2">
      <c r="B74" s="60" t="s">
        <v>17</v>
      </c>
      <c r="C74" s="58"/>
      <c r="D74" s="58"/>
      <c r="E74" s="59"/>
    </row>
    <row r="75" spans="2:5" x14ac:dyDescent="0.2">
      <c r="B75" s="61"/>
      <c r="C75" s="96" t="s">
        <v>93</v>
      </c>
      <c r="D75" s="96"/>
      <c r="E75" s="96"/>
    </row>
    <row r="76" spans="2:5" x14ac:dyDescent="0.2">
      <c r="B76" s="60" t="s">
        <v>18</v>
      </c>
      <c r="C76" s="62"/>
      <c r="D76" s="62"/>
      <c r="E76" s="63"/>
    </row>
    <row r="77" spans="2:5" x14ac:dyDescent="0.2">
      <c r="B77" s="61"/>
      <c r="C77" s="96" t="s">
        <v>99</v>
      </c>
      <c r="D77" s="96"/>
      <c r="E77" s="96"/>
    </row>
    <row r="78" spans="2:5" x14ac:dyDescent="0.2">
      <c r="B78" s="60" t="s">
        <v>19</v>
      </c>
      <c r="C78" s="58"/>
      <c r="D78" s="58"/>
      <c r="E78" s="59"/>
    </row>
    <row r="79" spans="2:5" x14ac:dyDescent="0.2">
      <c r="B79" s="60"/>
      <c r="C79" s="95" t="s">
        <v>100</v>
      </c>
      <c r="D79" s="95"/>
      <c r="E79" s="95"/>
    </row>
    <row r="80" spans="2:5" ht="13.5" thickBot="1" x14ac:dyDescent="0.25">
      <c r="B80" s="64"/>
      <c r="C80" s="65"/>
      <c r="D80" s="65"/>
      <c r="E80" s="66"/>
    </row>
    <row r="81" spans="2:5" ht="13.5" thickBot="1" x14ac:dyDescent="0.25"/>
    <row r="82" spans="2:5" x14ac:dyDescent="0.2">
      <c r="B82" s="54" t="s">
        <v>84</v>
      </c>
      <c r="C82" s="55"/>
      <c r="D82" s="55"/>
      <c r="E82" s="56"/>
    </row>
    <row r="83" spans="2:5" x14ac:dyDescent="0.2">
      <c r="B83" s="57"/>
      <c r="C83" s="58"/>
      <c r="D83" s="58"/>
      <c r="E83" s="59"/>
    </row>
    <row r="84" spans="2:5" x14ac:dyDescent="0.2">
      <c r="B84" s="60" t="s">
        <v>15</v>
      </c>
      <c r="C84" s="58"/>
      <c r="D84" s="58"/>
      <c r="E84" s="59"/>
    </row>
    <row r="85" spans="2:5" ht="27" customHeight="1" x14ac:dyDescent="0.2">
      <c r="B85" s="60"/>
      <c r="C85" s="96" t="s">
        <v>89</v>
      </c>
      <c r="D85" s="96"/>
      <c r="E85" s="96"/>
    </row>
    <row r="86" spans="2:5" x14ac:dyDescent="0.2">
      <c r="B86" s="60" t="s">
        <v>16</v>
      </c>
      <c r="C86" s="58"/>
      <c r="D86" s="58"/>
      <c r="E86" s="59"/>
    </row>
    <row r="87" spans="2:5" x14ac:dyDescent="0.2">
      <c r="B87" s="61"/>
      <c r="C87" s="95" t="s">
        <v>60</v>
      </c>
      <c r="D87" s="95"/>
      <c r="E87" s="95"/>
    </row>
    <row r="88" spans="2:5" x14ac:dyDescent="0.2">
      <c r="B88" s="61"/>
      <c r="C88" s="95" t="s">
        <v>61</v>
      </c>
      <c r="D88" s="95"/>
      <c r="E88" s="95"/>
    </row>
    <row r="89" spans="2:5" x14ac:dyDescent="0.2">
      <c r="B89" s="60" t="s">
        <v>17</v>
      </c>
      <c r="C89" s="58"/>
      <c r="D89" s="58"/>
      <c r="E89" s="59"/>
    </row>
    <row r="90" spans="2:5" x14ac:dyDescent="0.2">
      <c r="B90" s="61"/>
      <c r="C90" s="96" t="s">
        <v>93</v>
      </c>
      <c r="D90" s="96"/>
      <c r="E90" s="96"/>
    </row>
    <row r="91" spans="2:5" x14ac:dyDescent="0.2">
      <c r="B91" s="60" t="s">
        <v>18</v>
      </c>
      <c r="C91" s="62"/>
      <c r="D91" s="62"/>
      <c r="E91" s="63"/>
    </row>
    <row r="92" spans="2:5" x14ac:dyDescent="0.2">
      <c r="B92" s="61"/>
      <c r="C92" s="96" t="s">
        <v>99</v>
      </c>
      <c r="D92" s="96"/>
      <c r="E92" s="96"/>
    </row>
    <row r="93" spans="2:5" x14ac:dyDescent="0.2">
      <c r="B93" s="60" t="s">
        <v>19</v>
      </c>
      <c r="C93" s="58"/>
      <c r="D93" s="58"/>
      <c r="E93" s="59"/>
    </row>
    <row r="94" spans="2:5" x14ac:dyDescent="0.2">
      <c r="B94" s="60"/>
      <c r="C94" s="95" t="s">
        <v>100</v>
      </c>
      <c r="D94" s="95"/>
      <c r="E94" s="95"/>
    </row>
    <row r="95" spans="2:5" ht="13.5" thickBot="1" x14ac:dyDescent="0.25">
      <c r="B95" s="64"/>
      <c r="C95" s="65"/>
      <c r="D95" s="65"/>
      <c r="E95" s="66"/>
    </row>
    <row r="96" spans="2:5" ht="13.5" thickBot="1" x14ac:dyDescent="0.25"/>
    <row r="97" spans="2:5" x14ac:dyDescent="0.2">
      <c r="B97" s="54" t="s">
        <v>85</v>
      </c>
      <c r="C97" s="55"/>
      <c r="D97" s="55"/>
      <c r="E97" s="56"/>
    </row>
    <row r="98" spans="2:5" x14ac:dyDescent="0.2">
      <c r="B98" s="57"/>
      <c r="C98" s="58"/>
      <c r="D98" s="58"/>
      <c r="E98" s="59"/>
    </row>
    <row r="99" spans="2:5" x14ac:dyDescent="0.2">
      <c r="B99" s="60" t="s">
        <v>15</v>
      </c>
      <c r="C99" s="58"/>
      <c r="D99" s="58"/>
      <c r="E99" s="59"/>
    </row>
    <row r="100" spans="2:5" ht="30.75" customHeight="1" x14ac:dyDescent="0.2">
      <c r="B100" s="60"/>
      <c r="C100" s="96" t="s">
        <v>90</v>
      </c>
      <c r="D100" s="96"/>
      <c r="E100" s="96"/>
    </row>
    <row r="101" spans="2:5" x14ac:dyDescent="0.2">
      <c r="B101" s="60" t="s">
        <v>16</v>
      </c>
      <c r="C101" s="58"/>
      <c r="D101" s="58"/>
      <c r="E101" s="59"/>
    </row>
    <row r="102" spans="2:5" x14ac:dyDescent="0.2">
      <c r="B102" s="61"/>
      <c r="C102" s="95" t="s">
        <v>60</v>
      </c>
      <c r="D102" s="95"/>
      <c r="E102" s="95"/>
    </row>
    <row r="103" spans="2:5" x14ac:dyDescent="0.2">
      <c r="B103" s="61"/>
      <c r="C103" s="95" t="s">
        <v>61</v>
      </c>
      <c r="D103" s="95"/>
      <c r="E103" s="95"/>
    </row>
    <row r="104" spans="2:5" x14ac:dyDescent="0.2">
      <c r="B104" s="60" t="s">
        <v>17</v>
      </c>
      <c r="C104" s="58"/>
      <c r="D104" s="58"/>
      <c r="E104" s="59"/>
    </row>
    <row r="105" spans="2:5" x14ac:dyDescent="0.2">
      <c r="B105" s="61"/>
      <c r="C105" s="96" t="s">
        <v>93</v>
      </c>
      <c r="D105" s="96"/>
      <c r="E105" s="96"/>
    </row>
    <row r="106" spans="2:5" x14ac:dyDescent="0.2">
      <c r="B106" s="60" t="s">
        <v>18</v>
      </c>
      <c r="C106" s="62"/>
      <c r="D106" s="62"/>
      <c r="E106" s="63"/>
    </row>
    <row r="107" spans="2:5" x14ac:dyDescent="0.2">
      <c r="B107" s="61"/>
      <c r="C107" s="96" t="s">
        <v>99</v>
      </c>
      <c r="D107" s="96"/>
      <c r="E107" s="96"/>
    </row>
    <row r="108" spans="2:5" x14ac:dyDescent="0.2">
      <c r="B108" s="60" t="s">
        <v>19</v>
      </c>
      <c r="C108" s="58"/>
      <c r="D108" s="58"/>
      <c r="E108" s="59"/>
    </row>
    <row r="109" spans="2:5" x14ac:dyDescent="0.2">
      <c r="B109" s="60"/>
      <c r="C109" s="95" t="s">
        <v>100</v>
      </c>
      <c r="D109" s="95"/>
      <c r="E109" s="95"/>
    </row>
    <row r="110" spans="2:5" ht="13.5" thickBot="1" x14ac:dyDescent="0.25">
      <c r="B110" s="64"/>
      <c r="C110" s="65"/>
      <c r="D110" s="65"/>
      <c r="E110" s="66"/>
    </row>
    <row r="111" spans="2:5" ht="13.5" thickBot="1" x14ac:dyDescent="0.25"/>
    <row r="112" spans="2:5" x14ac:dyDescent="0.2">
      <c r="B112" s="54" t="s">
        <v>86</v>
      </c>
      <c r="C112" s="55"/>
      <c r="D112" s="55"/>
      <c r="E112" s="56"/>
    </row>
    <row r="113" spans="2:5" x14ac:dyDescent="0.2">
      <c r="B113" s="57"/>
      <c r="C113" s="58"/>
      <c r="D113" s="58"/>
      <c r="E113" s="59"/>
    </row>
    <row r="114" spans="2:5" x14ac:dyDescent="0.2">
      <c r="B114" s="60" t="s">
        <v>15</v>
      </c>
      <c r="C114" s="58"/>
      <c r="D114" s="58"/>
      <c r="E114" s="59"/>
    </row>
    <row r="115" spans="2:5" ht="26.25" customHeight="1" x14ac:dyDescent="0.2">
      <c r="B115" s="60"/>
      <c r="C115" s="96" t="s">
        <v>91</v>
      </c>
      <c r="D115" s="96"/>
      <c r="E115" s="96"/>
    </row>
    <row r="116" spans="2:5" x14ac:dyDescent="0.2">
      <c r="B116" s="60" t="s">
        <v>16</v>
      </c>
      <c r="C116" s="58"/>
      <c r="D116" s="58"/>
      <c r="E116" s="59"/>
    </row>
    <row r="117" spans="2:5" x14ac:dyDescent="0.2">
      <c r="B117" s="61"/>
      <c r="C117" s="95" t="s">
        <v>60</v>
      </c>
      <c r="D117" s="95"/>
      <c r="E117" s="95"/>
    </row>
    <row r="118" spans="2:5" x14ac:dyDescent="0.2">
      <c r="B118" s="61"/>
      <c r="C118" s="95" t="s">
        <v>61</v>
      </c>
      <c r="D118" s="95"/>
      <c r="E118" s="95"/>
    </row>
    <row r="119" spans="2:5" x14ac:dyDescent="0.2">
      <c r="B119" s="60" t="s">
        <v>17</v>
      </c>
      <c r="C119" s="58"/>
      <c r="D119" s="58"/>
      <c r="E119" s="59"/>
    </row>
    <row r="120" spans="2:5" x14ac:dyDescent="0.2">
      <c r="B120" s="61"/>
      <c r="C120" s="96" t="s">
        <v>93</v>
      </c>
      <c r="D120" s="96"/>
      <c r="E120" s="96"/>
    </row>
    <row r="121" spans="2:5" x14ac:dyDescent="0.2">
      <c r="B121" s="60" t="s">
        <v>18</v>
      </c>
      <c r="C121" s="62"/>
      <c r="D121" s="62"/>
      <c r="E121" s="63"/>
    </row>
    <row r="122" spans="2:5" x14ac:dyDescent="0.2">
      <c r="B122" s="61"/>
      <c r="C122" s="96" t="s">
        <v>99</v>
      </c>
      <c r="D122" s="96"/>
      <c r="E122" s="96"/>
    </row>
    <row r="123" spans="2:5" x14ac:dyDescent="0.2">
      <c r="B123" s="60" t="s">
        <v>19</v>
      </c>
      <c r="C123" s="58"/>
      <c r="D123" s="58"/>
      <c r="E123" s="59"/>
    </row>
    <row r="124" spans="2:5" x14ac:dyDescent="0.2">
      <c r="B124" s="60"/>
      <c r="C124" s="95" t="s">
        <v>100</v>
      </c>
      <c r="D124" s="95"/>
      <c r="E124" s="95"/>
    </row>
    <row r="125" spans="2:5" ht="13.5" thickBot="1" x14ac:dyDescent="0.25">
      <c r="B125" s="64"/>
      <c r="C125" s="65"/>
      <c r="D125" s="65"/>
      <c r="E125" s="66"/>
    </row>
    <row r="126" spans="2:5" ht="13.5" thickBot="1" x14ac:dyDescent="0.25"/>
    <row r="127" spans="2:5" x14ac:dyDescent="0.2">
      <c r="B127" s="54" t="s">
        <v>87</v>
      </c>
      <c r="C127" s="55"/>
      <c r="D127" s="55"/>
      <c r="E127" s="56"/>
    </row>
    <row r="128" spans="2:5" x14ac:dyDescent="0.2">
      <c r="B128" s="57"/>
      <c r="C128" s="58"/>
      <c r="D128" s="58"/>
      <c r="E128" s="59"/>
    </row>
    <row r="129" spans="2:5" x14ac:dyDescent="0.2">
      <c r="B129" s="60" t="s">
        <v>15</v>
      </c>
      <c r="C129" s="58"/>
      <c r="D129" s="58"/>
      <c r="E129" s="59"/>
    </row>
    <row r="130" spans="2:5" x14ac:dyDescent="0.2">
      <c r="B130" s="60"/>
      <c r="C130" s="96" t="s">
        <v>92</v>
      </c>
      <c r="D130" s="96"/>
      <c r="E130" s="96"/>
    </row>
    <row r="131" spans="2:5" x14ac:dyDescent="0.2">
      <c r="B131" s="60" t="s">
        <v>16</v>
      </c>
      <c r="C131" s="58"/>
      <c r="D131" s="58"/>
      <c r="E131" s="59"/>
    </row>
    <row r="132" spans="2:5" x14ac:dyDescent="0.2">
      <c r="B132" s="61"/>
      <c r="C132" s="95" t="s">
        <v>60</v>
      </c>
      <c r="D132" s="95"/>
      <c r="E132" s="95"/>
    </row>
    <row r="133" spans="2:5" x14ac:dyDescent="0.2">
      <c r="B133" s="61"/>
      <c r="C133" s="95" t="s">
        <v>61</v>
      </c>
      <c r="D133" s="95"/>
      <c r="E133" s="95"/>
    </row>
    <row r="134" spans="2:5" x14ac:dyDescent="0.2">
      <c r="B134" s="60" t="s">
        <v>17</v>
      </c>
      <c r="C134" s="58"/>
      <c r="D134" s="58"/>
      <c r="E134" s="59"/>
    </row>
    <row r="135" spans="2:5" x14ac:dyDescent="0.2">
      <c r="B135" s="61"/>
      <c r="C135" s="96" t="s">
        <v>93</v>
      </c>
      <c r="D135" s="96"/>
      <c r="E135" s="96"/>
    </row>
    <row r="136" spans="2:5" x14ac:dyDescent="0.2">
      <c r="B136" s="60" t="s">
        <v>18</v>
      </c>
      <c r="C136" s="62"/>
      <c r="D136" s="62"/>
      <c r="E136" s="63"/>
    </row>
    <row r="137" spans="2:5" x14ac:dyDescent="0.2">
      <c r="B137" s="61"/>
      <c r="C137" s="96" t="s">
        <v>99</v>
      </c>
      <c r="D137" s="96"/>
      <c r="E137" s="96"/>
    </row>
    <row r="138" spans="2:5" x14ac:dyDescent="0.2">
      <c r="B138" s="60" t="s">
        <v>19</v>
      </c>
      <c r="C138" s="58"/>
      <c r="D138" s="58"/>
      <c r="E138" s="59"/>
    </row>
    <row r="139" spans="2:5" x14ac:dyDescent="0.2">
      <c r="B139" s="60"/>
      <c r="C139" s="95" t="s">
        <v>100</v>
      </c>
      <c r="D139" s="95"/>
      <c r="E139" s="95"/>
    </row>
    <row r="140" spans="2:5" ht="13.5" thickBot="1" x14ac:dyDescent="0.25">
      <c r="B140" s="64"/>
      <c r="C140" s="65"/>
      <c r="D140" s="65"/>
      <c r="E140" s="66"/>
    </row>
  </sheetData>
  <mergeCells count="55">
    <mergeCell ref="C133:E133"/>
    <mergeCell ref="C135:E135"/>
    <mergeCell ref="C137:E137"/>
    <mergeCell ref="C139:E139"/>
    <mergeCell ref="C120:E120"/>
    <mergeCell ref="C122:E122"/>
    <mergeCell ref="C124:E124"/>
    <mergeCell ref="C130:E130"/>
    <mergeCell ref="C132:E132"/>
    <mergeCell ref="C107:E107"/>
    <mergeCell ref="C109:E109"/>
    <mergeCell ref="C115:E115"/>
    <mergeCell ref="C117:E117"/>
    <mergeCell ref="C118:E118"/>
    <mergeCell ref="C94:E94"/>
    <mergeCell ref="C100:E100"/>
    <mergeCell ref="C102:E102"/>
    <mergeCell ref="C103:E103"/>
    <mergeCell ref="C105:E105"/>
    <mergeCell ref="C85:E85"/>
    <mergeCell ref="C87:E87"/>
    <mergeCell ref="C88:E88"/>
    <mergeCell ref="C90:E90"/>
    <mergeCell ref="C92:E92"/>
    <mergeCell ref="C77:E77"/>
    <mergeCell ref="C79:E79"/>
    <mergeCell ref="C64:E64"/>
    <mergeCell ref="C70:E70"/>
    <mergeCell ref="C72:E72"/>
    <mergeCell ref="C73:E73"/>
    <mergeCell ref="C75:E75"/>
    <mergeCell ref="C55:E55"/>
    <mergeCell ref="C57:E57"/>
    <mergeCell ref="C58:E58"/>
    <mergeCell ref="C60:E60"/>
    <mergeCell ref="C62:E62"/>
    <mergeCell ref="C43:E43"/>
    <mergeCell ref="C45:E45"/>
    <mergeCell ref="C47:E47"/>
    <mergeCell ref="C49:E49"/>
    <mergeCell ref="C30:E30"/>
    <mergeCell ref="C32:E32"/>
    <mergeCell ref="C34:E34"/>
    <mergeCell ref="C40:E40"/>
    <mergeCell ref="C42:E42"/>
    <mergeCell ref="A6:B6"/>
    <mergeCell ref="A7:B7"/>
    <mergeCell ref="C25:E25"/>
    <mergeCell ref="C27:E27"/>
    <mergeCell ref="C28:E2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20"/>
  <sheetViews>
    <sheetView zoomScale="110" zoomScaleNormal="110" workbookViewId="0">
      <selection activeCell="K16" sqref="K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7" t="s">
        <v>21</v>
      </c>
      <c r="B1" s="97"/>
      <c r="C1" s="97"/>
      <c r="D1" s="97"/>
      <c r="E1" s="97"/>
      <c r="F1" s="97"/>
      <c r="G1" s="97"/>
      <c r="H1" s="97"/>
      <c r="I1" s="97"/>
      <c r="J1" s="3" t="s">
        <v>22</v>
      </c>
      <c r="K1" s="4" t="s">
        <v>96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98" t="s">
        <v>57</v>
      </c>
      <c r="B3" s="98"/>
      <c r="C3" s="98"/>
      <c r="D3" s="99" t="str">
        <f>'Necesidades Trimestrales'!C4</f>
        <v>35 - Ministerio de Vivienda y Urbanizacion</v>
      </c>
      <c r="E3" s="99"/>
      <c r="F3" s="99"/>
      <c r="G3" s="99"/>
      <c r="H3" s="99"/>
      <c r="I3" s="99"/>
      <c r="J3" s="99"/>
      <c r="K3" s="99"/>
    </row>
    <row r="4" spans="1:11" ht="18.75" customHeight="1" thickBot="1" x14ac:dyDescent="0.25">
      <c r="A4" s="100" t="s">
        <v>58</v>
      </c>
      <c r="B4" s="100"/>
      <c r="C4" s="100"/>
      <c r="D4" s="99" t="str">
        <f>'Necesidades Trimestrales'!C5</f>
        <v>48 - Direccion Provincial de Gestion de Administracion y Recursos Humanos</v>
      </c>
      <c r="E4" s="99"/>
      <c r="F4" s="99"/>
      <c r="G4" s="99"/>
      <c r="H4" s="99"/>
      <c r="I4" s="99"/>
      <c r="J4" s="99"/>
      <c r="K4" s="99"/>
    </row>
    <row r="5" spans="1:11" ht="18.75" customHeight="1" thickBot="1" x14ac:dyDescent="0.25">
      <c r="A5" s="100" t="s">
        <v>35</v>
      </c>
      <c r="B5" s="100"/>
      <c r="C5" s="100"/>
      <c r="D5" s="99" t="s">
        <v>66</v>
      </c>
      <c r="E5" s="99"/>
      <c r="F5" s="99"/>
      <c r="G5" s="99"/>
      <c r="H5" s="99"/>
      <c r="I5" s="99"/>
      <c r="J5" s="99"/>
      <c r="K5" s="99"/>
    </row>
    <row r="6" spans="1:11" ht="16.5" customHeight="1" thickBot="1" x14ac:dyDescent="0.25">
      <c r="A6" s="98" t="s">
        <v>59</v>
      </c>
      <c r="B6" s="98"/>
      <c r="C6" s="98"/>
      <c r="D6" s="99" t="s">
        <v>66</v>
      </c>
      <c r="E6" s="99"/>
      <c r="F6" s="99"/>
      <c r="G6" s="99"/>
      <c r="H6" s="99"/>
      <c r="I6" s="99"/>
      <c r="J6" s="99"/>
      <c r="K6" s="99"/>
    </row>
    <row r="7" spans="1:11" ht="16.5" customHeight="1" x14ac:dyDescent="0.2">
      <c r="A7" s="100" t="s">
        <v>23</v>
      </c>
      <c r="B7" s="100"/>
      <c r="C7" s="100"/>
      <c r="D7" s="99" t="str">
        <f>'Necesidades Trimestrales'!C7 &amp; "° Trimestre - Año " &amp; 'Necesidades Trimestrales'!C6</f>
        <v>2° Trimestre - Año 2021</v>
      </c>
      <c r="E7" s="99"/>
      <c r="F7" s="99"/>
      <c r="G7" s="99"/>
      <c r="H7" s="99"/>
      <c r="I7" s="99"/>
      <c r="J7" s="99"/>
      <c r="K7" s="99"/>
    </row>
    <row r="8" spans="1:11" ht="16.5" customHeight="1" x14ac:dyDescent="0.2">
      <c r="A8" s="101" t="s">
        <v>24</v>
      </c>
      <c r="B8" s="101"/>
      <c r="C8" s="101"/>
      <c r="D8" s="102" t="s">
        <v>95</v>
      </c>
      <c r="E8" s="102"/>
      <c r="F8" s="102"/>
      <c r="G8" s="102"/>
      <c r="H8" s="102"/>
      <c r="I8" s="102"/>
      <c r="J8" s="102"/>
      <c r="K8" s="102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03" t="s">
        <v>25</v>
      </c>
      <c r="B10" s="104" t="s">
        <v>26</v>
      </c>
      <c r="C10" s="104" t="s">
        <v>27</v>
      </c>
      <c r="D10" s="104"/>
      <c r="E10" s="104"/>
      <c r="F10" s="104"/>
      <c r="G10" s="104"/>
      <c r="H10" s="104" t="s">
        <v>28</v>
      </c>
      <c r="I10" s="104" t="s">
        <v>29</v>
      </c>
      <c r="J10" s="104" t="s">
        <v>30</v>
      </c>
      <c r="K10" s="105" t="s">
        <v>31</v>
      </c>
    </row>
    <row r="11" spans="1:11" ht="24" customHeight="1" thickBot="1" x14ac:dyDescent="0.25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5"/>
    </row>
    <row r="12" spans="1:11" ht="29.25" customHeight="1" thickBot="1" x14ac:dyDescent="0.25">
      <c r="A12" s="9">
        <v>1</v>
      </c>
      <c r="B12" s="69" t="str">
        <f>'Necesidades Trimestrales'!B10</f>
        <v>4.3.6-6160.4</v>
      </c>
      <c r="C12" s="108" t="str">
        <f>'Necesidades Trimestrales'!E10</f>
        <v>COMPUTADORAS; CODIGO ETAP: PC-004, TIPO: DE ESCRITORIO AVANZADA, VERSION ETAP: VERANO 2001( V 6.0 )</v>
      </c>
      <c r="D12" s="108"/>
      <c r="E12" s="108"/>
      <c r="F12" s="108"/>
      <c r="G12" s="108"/>
      <c r="H12" s="10" t="s">
        <v>32</v>
      </c>
      <c r="I12" s="70" t="str">
        <f>'Necesidades Trimestrales'!F10</f>
        <v>UNIDAD</v>
      </c>
      <c r="J12" s="71">
        <f>'Necesidades Trimestrales'!H10</f>
        <v>150000</v>
      </c>
      <c r="K12" s="72">
        <f>'Necesidades Trimestrales'!G10</f>
        <v>10</v>
      </c>
    </row>
    <row r="13" spans="1:11" ht="25.5" customHeight="1" thickBot="1" x14ac:dyDescent="0.25">
      <c r="A13" s="11">
        <v>2</v>
      </c>
      <c r="B13" s="69" t="str">
        <f>'Necesidades Trimestrales'!B11</f>
        <v>4.3.6-6160.4</v>
      </c>
      <c r="C13" s="108" t="str">
        <f>'Necesidades Trimestrales'!E11</f>
        <v>COMPUTADORAS; CODIGO ETAP: PC-004, TIPO: DE ESCRITORIO AVANZADA, VERSION ETAP: VERANO 2001( V 6.0 )</v>
      </c>
      <c r="D13" s="108"/>
      <c r="E13" s="108"/>
      <c r="F13" s="108"/>
      <c r="G13" s="108"/>
      <c r="H13" s="10" t="s">
        <v>32</v>
      </c>
      <c r="I13" s="70" t="str">
        <f>'Necesidades Trimestrales'!F11</f>
        <v>UNIDAD</v>
      </c>
      <c r="J13" s="71">
        <f>'Necesidades Trimestrales'!H11</f>
        <v>125000</v>
      </c>
      <c r="K13" s="72">
        <f>'Necesidades Trimestrales'!G11</f>
        <v>10</v>
      </c>
    </row>
    <row r="14" spans="1:11" ht="17.25" customHeight="1" thickBot="1" x14ac:dyDescent="0.25">
      <c r="A14" s="11">
        <v>3</v>
      </c>
      <c r="B14" s="69" t="str">
        <f>'Necesidades Trimestrales'!B12</f>
        <v>4.3.6-6160.208</v>
      </c>
      <c r="C14" s="108" t="str">
        <f>'Necesidades Trimestrales'!E12</f>
        <v>COMPUTADORAS; TIPO: NOTEBOOK, CODIGO ETAP: PC-008, VERSION ETAP: 22.0</v>
      </c>
      <c r="D14" s="108"/>
      <c r="E14" s="108"/>
      <c r="F14" s="108"/>
      <c r="G14" s="108"/>
      <c r="H14" s="10" t="s">
        <v>32</v>
      </c>
      <c r="I14" s="70" t="str">
        <f>'Necesidades Trimestrales'!F12</f>
        <v>UNIDAD</v>
      </c>
      <c r="J14" s="71">
        <f>'Necesidades Trimestrales'!H12</f>
        <v>170000</v>
      </c>
      <c r="K14" s="72">
        <f>'Necesidades Trimestrales'!G12</f>
        <v>2</v>
      </c>
    </row>
    <row r="15" spans="1:11" ht="17.25" customHeight="1" thickBot="1" x14ac:dyDescent="0.25">
      <c r="A15" s="11">
        <v>4</v>
      </c>
      <c r="B15" s="69" t="str">
        <f>'Necesidades Trimestrales'!B13</f>
        <v>4.3.6-6160.208</v>
      </c>
      <c r="C15" s="108" t="str">
        <f>'Necesidades Trimestrales'!E13</f>
        <v>COMPUTADORAS; TIPO: NOTEBOOK, CODIGO ETAP: PC-008, VERSION ETAP: 22.0</v>
      </c>
      <c r="D15" s="108"/>
      <c r="E15" s="108"/>
      <c r="F15" s="108"/>
      <c r="G15" s="108"/>
      <c r="H15" s="10" t="s">
        <v>32</v>
      </c>
      <c r="I15" s="70" t="str">
        <f>'Necesidades Trimestrales'!F13</f>
        <v>UNIDAD</v>
      </c>
      <c r="J15" s="71">
        <f>'Necesidades Trimestrales'!H13</f>
        <v>150000</v>
      </c>
      <c r="K15" s="72">
        <f>'Necesidades Trimestrales'!G13</f>
        <v>2</v>
      </c>
    </row>
    <row r="16" spans="1:11" ht="17.25" customHeight="1" thickBot="1" x14ac:dyDescent="0.25">
      <c r="A16" s="11">
        <v>5</v>
      </c>
      <c r="B16" s="69" t="str">
        <f>'Necesidades Trimestrales'!B14</f>
        <v>4.3.6-6160.208</v>
      </c>
      <c r="C16" s="108" t="str">
        <f>'Necesidades Trimestrales'!E14</f>
        <v>COMPUTADORAS; TIPO: NOTEBOOK, CODIGO ETAP: PC-008, VERSION ETAP: 22.0</v>
      </c>
      <c r="D16" s="108"/>
      <c r="E16" s="108"/>
      <c r="F16" s="108"/>
      <c r="G16" s="108"/>
      <c r="H16" s="10" t="s">
        <v>32</v>
      </c>
      <c r="I16" s="70" t="str">
        <f>'Necesidades Trimestrales'!F14</f>
        <v>UNIDAD</v>
      </c>
      <c r="J16" s="71">
        <f>'Necesidades Trimestrales'!H14</f>
        <v>130000</v>
      </c>
      <c r="K16" s="72">
        <f>'Necesidades Trimestrales'!G14</f>
        <v>2</v>
      </c>
    </row>
    <row r="17" spans="1:11" ht="17.25" customHeight="1" thickBot="1" x14ac:dyDescent="0.25">
      <c r="A17" s="11">
        <v>6</v>
      </c>
      <c r="B17" s="69" t="str">
        <f>'Necesidades Trimestrales'!B15</f>
        <v>4.3.6-6161.333</v>
      </c>
      <c r="C17" s="108" t="str">
        <f>'Necesidades Trimestrales'!E15</f>
        <v>IMPRESORAS; TIPO: MULTIFUNCION TINTA COLOR, CODIGO ETAP: PR-010, VERSION ETAP: 23.0</v>
      </c>
      <c r="D17" s="108"/>
      <c r="E17" s="108"/>
      <c r="F17" s="108"/>
      <c r="G17" s="108"/>
      <c r="H17" s="10" t="s">
        <v>32</v>
      </c>
      <c r="I17" s="70" t="str">
        <f>'Necesidades Trimestrales'!F15</f>
        <v>UNIDAD</v>
      </c>
      <c r="J17" s="71">
        <f>'Necesidades Trimestrales'!H15</f>
        <v>115000</v>
      </c>
      <c r="K17" s="72">
        <f>'Necesidades Trimestrales'!G15</f>
        <v>1</v>
      </c>
    </row>
    <row r="18" spans="1:11" ht="24" customHeight="1" thickBot="1" x14ac:dyDescent="0.25">
      <c r="A18" s="11">
        <v>7</v>
      </c>
      <c r="B18" s="69" t="str">
        <f>'Necesidades Trimestrales'!B16</f>
        <v>4.3.6-6161.251</v>
      </c>
      <c r="C18" s="108" t="str">
        <f>'Necesidades Trimestrales'!E16</f>
        <v>IMPRESORAS; TIPO: MULTIFUNCION LASER MONOCROM., CODIGO ETAP: PR-026, VERSION ETAP: VERSION 18.1</v>
      </c>
      <c r="D18" s="108"/>
      <c r="E18" s="108"/>
      <c r="F18" s="108"/>
      <c r="G18" s="108"/>
      <c r="H18" s="10" t="s">
        <v>32</v>
      </c>
      <c r="I18" s="70" t="str">
        <f>'Necesidades Trimestrales'!F16</f>
        <v>UNIDAD</v>
      </c>
      <c r="J18" s="71">
        <f>'Necesidades Trimestrales'!H16</f>
        <v>40000</v>
      </c>
      <c r="K18" s="72">
        <f>'Necesidades Trimestrales'!G16</f>
        <v>1</v>
      </c>
    </row>
    <row r="19" spans="1:11" ht="16.5" customHeight="1" thickBot="1" x14ac:dyDescent="0.25">
      <c r="A19" s="11">
        <v>8</v>
      </c>
      <c r="B19" s="69" t="str">
        <f>'Necesidades Trimestrales'!B17</f>
        <v>2.9.6-2060.49</v>
      </c>
      <c r="C19" s="108" t="str">
        <f>'Necesidades Trimestrales'!E17</f>
        <v>SWITCH; USO: RACKEABLE, TIPO DE CONEXION: 24 BOCAS</v>
      </c>
      <c r="D19" s="108"/>
      <c r="E19" s="108"/>
      <c r="F19" s="108"/>
      <c r="G19" s="108"/>
      <c r="H19" s="10" t="s">
        <v>32</v>
      </c>
      <c r="I19" s="70" t="str">
        <f>'Necesidades Trimestrales'!F17</f>
        <v>UNIDAD</v>
      </c>
      <c r="J19" s="71">
        <f>'Necesidades Trimestrales'!H17</f>
        <v>50000</v>
      </c>
      <c r="K19" s="72">
        <f>'Necesidades Trimestrales'!G17</f>
        <v>2</v>
      </c>
    </row>
    <row r="20" spans="1:11" ht="20.25" customHeight="1" thickBot="1" x14ac:dyDescent="0.25">
      <c r="A20" s="106" t="s">
        <v>97</v>
      </c>
      <c r="B20" s="106"/>
      <c r="C20" s="106"/>
      <c r="D20" s="106"/>
      <c r="E20" s="106"/>
      <c r="F20" s="106"/>
      <c r="G20" s="106"/>
      <c r="H20" s="106"/>
      <c r="I20" s="106"/>
      <c r="J20" s="107">
        <f>SUMPRODUCT(J12:J19,K12:K19)</f>
        <v>3905000</v>
      </c>
      <c r="K20" s="107"/>
    </row>
  </sheetData>
  <mergeCells count="30">
    <mergeCell ref="A20:I20"/>
    <mergeCell ref="J20:K20"/>
    <mergeCell ref="C12:G12"/>
    <mergeCell ref="C13:G13"/>
    <mergeCell ref="C14:G14"/>
    <mergeCell ref="C15:G15"/>
    <mergeCell ref="C16:G16"/>
    <mergeCell ref="C17:G17"/>
    <mergeCell ref="C18:G18"/>
    <mergeCell ref="C19:G1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130" zoomScaleNormal="130" workbookViewId="0">
      <selection activeCell="L19" sqref="L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9" t="s">
        <v>3</v>
      </c>
      <c r="B1" s="109"/>
      <c r="C1" s="109"/>
      <c r="D1" s="110">
        <f>'Necesidades Trimestrales'!C6</f>
        <v>2021</v>
      </c>
      <c r="E1" s="110"/>
      <c r="F1" s="13"/>
      <c r="G1" s="13"/>
      <c r="H1" s="14"/>
      <c r="I1" s="14"/>
      <c r="J1" s="14"/>
      <c r="K1" s="14"/>
      <c r="L1" s="14"/>
      <c r="M1" s="14"/>
      <c r="N1" s="14"/>
      <c r="P1" s="111" t="s">
        <v>33</v>
      </c>
      <c r="Q1" s="111"/>
    </row>
    <row r="2" spans="1:17" ht="15.75" customHeight="1" x14ac:dyDescent="0.2">
      <c r="H2" s="14"/>
      <c r="I2" s="14"/>
      <c r="J2" s="14"/>
      <c r="K2" s="14"/>
      <c r="L2" s="14"/>
      <c r="M2" s="14"/>
      <c r="N2" s="14"/>
      <c r="P2" s="111"/>
      <c r="Q2" s="111"/>
    </row>
    <row r="4" spans="1:17" s="15" customFormat="1" ht="18" customHeight="1" thickBot="1" x14ac:dyDescent="0.25">
      <c r="A4" s="112" t="s">
        <v>34</v>
      </c>
      <c r="B4" s="112"/>
      <c r="C4" s="112"/>
      <c r="D4" s="112"/>
      <c r="E4" s="112"/>
      <c r="F4" s="112"/>
      <c r="G4" s="113" t="str">
        <f>' NotaPedido'!D3</f>
        <v>35 - Ministerio de Vivienda y Urbanizacion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s="15" customFormat="1" ht="18" customHeight="1" thickBot="1" x14ac:dyDescent="0.25">
      <c r="A5" s="114" t="s">
        <v>58</v>
      </c>
      <c r="B5" s="115"/>
      <c r="C5" s="115"/>
      <c r="D5" s="115"/>
      <c r="E5" s="115"/>
      <c r="F5" s="116"/>
      <c r="G5" s="113" t="str">
        <f>' NotaPedido'!D4</f>
        <v>48 - Direccion Provincial de Gestion de Administracion y Recursos Humanos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s="15" customFormat="1" ht="18" customHeight="1" thickBot="1" x14ac:dyDescent="0.25">
      <c r="A6" s="114" t="s">
        <v>35</v>
      </c>
      <c r="B6" s="115"/>
      <c r="C6" s="115"/>
      <c r="D6" s="115"/>
      <c r="E6" s="115"/>
      <c r="F6" s="116"/>
      <c r="G6" s="113" t="str">
        <f>' NotaPedido'!D5</f>
        <v>Ministerio de Vivienda y Urbanizacion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s="15" customFormat="1" ht="18" customHeight="1" thickBot="1" x14ac:dyDescent="0.25">
      <c r="A7" s="114" t="s">
        <v>59</v>
      </c>
      <c r="B7" s="115"/>
      <c r="C7" s="115"/>
      <c r="D7" s="115"/>
      <c r="E7" s="115"/>
      <c r="F7" s="116"/>
      <c r="G7" s="113" t="str">
        <f>' NotaPedido'!D6</f>
        <v>Ministerio de Vivienda y Urbanizacion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8" customHeight="1" thickBot="1" x14ac:dyDescent="0.25">
      <c r="A8" s="117" t="s">
        <v>36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">
      <c r="A9" s="121" t="s">
        <v>37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6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359/2021,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7" ht="15.75" customHeight="1" x14ac:dyDescent="0.2">
      <c r="A12" s="123" t="s">
        <v>38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39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40</v>
      </c>
      <c r="P13" s="125"/>
      <c r="Q13" s="126" t="s">
        <v>41</v>
      </c>
    </row>
    <row r="14" spans="1:17" ht="15.75" customHeight="1" thickBot="1" x14ac:dyDescent="0.25">
      <c r="A14" s="21" t="s">
        <v>42</v>
      </c>
      <c r="B14" s="22" t="s">
        <v>43</v>
      </c>
      <c r="C14" s="22" t="s">
        <v>44</v>
      </c>
      <c r="D14" s="22" t="s">
        <v>45</v>
      </c>
      <c r="E14" s="22" t="s">
        <v>46</v>
      </c>
      <c r="F14" s="22" t="s">
        <v>47</v>
      </c>
      <c r="G14" s="23" t="s">
        <v>48</v>
      </c>
      <c r="H14" s="22" t="s">
        <v>49</v>
      </c>
      <c r="I14" s="22" t="s">
        <v>50</v>
      </c>
      <c r="J14" s="22" t="s">
        <v>51</v>
      </c>
      <c r="K14" s="22" t="s">
        <v>51</v>
      </c>
      <c r="L14" s="22" t="s">
        <v>52</v>
      </c>
      <c r="M14" s="24" t="s">
        <v>53</v>
      </c>
      <c r="N14" s="25" t="s">
        <v>54</v>
      </c>
      <c r="O14" s="125"/>
      <c r="P14" s="125"/>
      <c r="Q14" s="126"/>
    </row>
    <row r="15" spans="1:17" ht="17.25" customHeight="1" thickBot="1" x14ac:dyDescent="0.25">
      <c r="A15" s="26">
        <v>1</v>
      </c>
      <c r="B15" s="27">
        <v>0</v>
      </c>
      <c r="C15" s="27">
        <v>0</v>
      </c>
      <c r="D15" s="27">
        <v>1</v>
      </c>
      <c r="E15" s="27">
        <v>0</v>
      </c>
      <c r="F15" s="27">
        <v>4901</v>
      </c>
      <c r="G15" s="27">
        <v>3</v>
      </c>
      <c r="H15" s="27">
        <v>370</v>
      </c>
      <c r="I15" s="28" t="str">
        <f>LEFT('Necesidades Trimestrales'!D10,1)</f>
        <v>4</v>
      </c>
      <c r="J15" s="28" t="str">
        <f>MID('Necesidades Trimestrales'!D10,3,1)</f>
        <v>3</v>
      </c>
      <c r="K15" s="28" t="str">
        <f>RIGHT('Necesidades Trimestrales'!D10,1)</f>
        <v>6</v>
      </c>
      <c r="L15" s="27">
        <v>0</v>
      </c>
      <c r="M15" s="29">
        <v>1</v>
      </c>
      <c r="N15" s="74" t="s">
        <v>64</v>
      </c>
      <c r="O15" s="118" t="s">
        <v>94</v>
      </c>
      <c r="P15" s="119"/>
      <c r="Q15" s="30">
        <v>3905000</v>
      </c>
    </row>
    <row r="16" spans="1:17" ht="17.25" customHeight="1" x14ac:dyDescent="0.2">
      <c r="A16" s="26"/>
      <c r="B16" s="27"/>
      <c r="C16" s="27"/>
      <c r="D16" s="27"/>
      <c r="E16" s="27"/>
      <c r="F16" s="27"/>
      <c r="G16" s="27"/>
      <c r="H16" s="27"/>
      <c r="I16" s="28"/>
      <c r="J16" s="28"/>
      <c r="K16" s="28"/>
      <c r="L16" s="27"/>
      <c r="M16" s="29"/>
      <c r="N16" s="74"/>
      <c r="O16" s="118"/>
      <c r="P16" s="119"/>
      <c r="Q16" s="30"/>
    </row>
    <row r="17" spans="1:18" ht="17.25" customHeight="1" x14ac:dyDescent="0.2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  <c r="O17" s="120"/>
      <c r="P17" s="120"/>
      <c r="Q17" s="35"/>
    </row>
    <row r="18" spans="1:18" ht="17.25" customHeight="1" x14ac:dyDescent="0.2">
      <c r="A18" s="31"/>
      <c r="B18" s="32"/>
      <c r="C18" s="32"/>
      <c r="D18" s="32"/>
      <c r="E18" s="32"/>
      <c r="F18" s="34"/>
      <c r="G18" s="32"/>
      <c r="H18" s="32"/>
      <c r="I18" s="32"/>
      <c r="J18" s="32"/>
      <c r="K18" s="32"/>
      <c r="L18" s="32"/>
      <c r="M18" s="33"/>
      <c r="N18" s="34"/>
      <c r="O18" s="120"/>
      <c r="P18" s="120"/>
      <c r="Q18" s="35"/>
    </row>
    <row r="19" spans="1:18" ht="17.25" customHeight="1" x14ac:dyDescent="0.2">
      <c r="A19" s="31"/>
      <c r="B19" s="32"/>
      <c r="C19" s="32"/>
      <c r="D19" s="32"/>
      <c r="E19" s="32"/>
      <c r="F19" s="34"/>
      <c r="G19" s="32"/>
      <c r="H19" s="32"/>
      <c r="I19" s="32"/>
      <c r="J19" s="32"/>
      <c r="K19" s="32"/>
      <c r="L19" s="32"/>
      <c r="M19" s="33"/>
      <c r="N19" s="34"/>
      <c r="O19" s="120"/>
      <c r="P19" s="120"/>
      <c r="Q19" s="35"/>
    </row>
    <row r="20" spans="1:18" ht="17.25" customHeight="1" x14ac:dyDescent="0.2">
      <c r="A20" s="36"/>
      <c r="B20" s="37"/>
      <c r="C20" s="37"/>
      <c r="D20" s="37"/>
      <c r="E20" s="37"/>
      <c r="F20" s="38"/>
      <c r="G20" s="37"/>
      <c r="H20" s="37"/>
      <c r="I20" s="37"/>
      <c r="J20" s="37"/>
      <c r="K20" s="37"/>
      <c r="L20" s="37"/>
      <c r="M20" s="39"/>
      <c r="N20" s="40"/>
      <c r="O20" s="132"/>
      <c r="P20" s="132"/>
      <c r="Q20" s="35"/>
      <c r="R20" s="1"/>
    </row>
    <row r="21" spans="1:18" ht="17.25" customHeight="1" x14ac:dyDescent="0.2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  <c r="N21" s="42"/>
      <c r="O21" s="133"/>
      <c r="P21" s="133"/>
      <c r="Q21" s="44"/>
    </row>
    <row r="22" spans="1:18" ht="20.25" customHeight="1" x14ac:dyDescent="0.2">
      <c r="A22" s="134" t="s">
        <v>55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45">
        <f>SUM(Q15:Q21)</f>
        <v>3905000</v>
      </c>
    </row>
    <row r="23" spans="1:18" ht="18" customHeight="1" thickBot="1" x14ac:dyDescent="0.25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</row>
    <row r="24" spans="1:18" ht="17.25" customHeight="1" thickBot="1" x14ac:dyDescent="0.25">
      <c r="A24" s="127" t="s">
        <v>56</v>
      </c>
      <c r="B24" s="128"/>
      <c r="C24" s="128"/>
      <c r="D24" s="128"/>
      <c r="E24" s="128"/>
      <c r="F24" s="129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8" ht="23.25" customHeight="1" thickBot="1" x14ac:dyDescent="0.25">
      <c r="A25" s="131" t="s">
        <v>95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8" ht="20.25" customHeight="1" x14ac:dyDescent="0.2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2021-05-26T16:09:43Z</cp:lastPrinted>
  <dcterms:created xsi:type="dcterms:W3CDTF">2020-07-17T23:44:49Z</dcterms:created>
  <dcterms:modified xsi:type="dcterms:W3CDTF">2021-08-10T13:57:51Z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