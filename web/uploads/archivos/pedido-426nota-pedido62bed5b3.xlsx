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Trimestrales'!$A$9:$I$14</definedName>
    <definedName name="_xlnm.Print_Area" localSheetId="1">' NotaPedido'!$A$1:$K$17</definedName>
    <definedName name="_xlnm.Print_Area" localSheetId="2">'Autor Gastar'!$A$1:$Q$24</definedName>
    <definedName name="_xlnm.Print_Area" localSheetId="0">'Necesidades Trimestrales'!$E$9:$E$14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2" l="1"/>
  <c r="B14" i="2"/>
  <c r="B15" i="2"/>
  <c r="B16" i="2"/>
  <c r="B12" i="2"/>
  <c r="Q20" i="3" l="1"/>
  <c r="C13" i="2" l="1"/>
  <c r="C14" i="2" l="1"/>
  <c r="C15" i="2"/>
  <c r="C16" i="2"/>
  <c r="I13" i="2"/>
  <c r="I14" i="2"/>
  <c r="I15" i="2"/>
  <c r="I16" i="2"/>
  <c r="K13" i="2"/>
  <c r="K14" i="2"/>
  <c r="K15" i="2"/>
  <c r="K16" i="2"/>
  <c r="J13" i="2"/>
  <c r="J14" i="2"/>
  <c r="J15" i="2"/>
  <c r="J16" i="2"/>
  <c r="I11" i="1"/>
  <c r="I12" i="1"/>
  <c r="I13" i="1"/>
  <c r="I14" i="1"/>
  <c r="I10" i="1"/>
  <c r="A10" i="3" l="1"/>
  <c r="G6" i="3" l="1"/>
  <c r="D3" i="2"/>
  <c r="G4" i="3" s="1"/>
  <c r="D4" i="2"/>
  <c r="G5" i="3" s="1"/>
  <c r="D1" i="3" l="1"/>
  <c r="K12" i="2"/>
  <c r="J12" i="2"/>
  <c r="J17" i="2" s="1"/>
  <c r="I12" i="2"/>
  <c r="C12" i="2"/>
</calcChain>
</file>

<file path=xl/sharedStrings.xml><?xml version="1.0" encoding="utf-8"?>
<sst xmlns="http://schemas.openxmlformats.org/spreadsheetml/2006/main" count="105" uniqueCount="88">
  <si>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</si>
  <si>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</si>
  <si>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</si>
  <si>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</si>
  <si>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</si>
  <si>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</si>
  <si>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</si>
  <si>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</si>
  <si>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</si>
  <si>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</si>
  <si>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</si>
  <si>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</si>
  <si>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</si>
  <si>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</si>
  <si>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</si>
  <si>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</si>
  <si>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</si>
  <si>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</si>
  <si>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</si>
  <si>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</si>
  <si>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</si>
  <si>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</si>
  <si>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</si>
  <si>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</si>
  <si>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</si>
  <si>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</si>
  <si>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</si>
  <si>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</si>
  <si>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</si>
  <si>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</si>
  <si>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</si>
  <si>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</si>
  <si>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</si>
  <si>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</si>
  <si>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</si>
  <si>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</si>
  <si>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</si>
  <si>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</si>
  <si>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</si>
  <si>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</si>
  <si>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</si>
  <si>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</si>
  <si>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</si>
  <si>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</si>
  <si>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</si>
  <si>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</si>
  <si>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</si>
  <si>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</si>
  <si>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</si>
  <si>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</si>
  <si>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</si>
  <si>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</si>
  <si>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</si>
  <si>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</si>
  <si>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 xml:space="preserve"> </t>
  </si>
  <si>
    <t>UNIDAD</t>
  </si>
  <si>
    <t>UTILES MENORES MEDICO, QUIRURGICO Y DE LABORATORIO</t>
  </si>
  <si>
    <t>Plazos y lugares de entrega</t>
  </si>
  <si>
    <t>Insumos de Esterilizacion</t>
  </si>
  <si>
    <t>Servicio de Esterilizacion</t>
  </si>
  <si>
    <t>Para la adquisición de Insumos de Esterilizacion destinados al Servicio de Esterilizacion del Hospital Interzonal de Niños Eva Peron, para el normal funcionamiento del organismo.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</si>
  <si>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ESTERILIZACION -HOSPITAL INT. DE NIÑOS – AV. VIRGEN DEL VALLE N° 1050-CATAMARCA DE 8:00 A 12:00HS., DEBIENDO CORRER LOS GASTOS DE FLETES, ACARREO, CARGA, DESCARGA Y SEGURO A CARGO DEL ADJUDICATARIO.</t>
    </r>
  </si>
  <si>
    <t>ROLLO</t>
  </si>
  <si>
    <t>BOBINA</t>
  </si>
  <si>
    <t>OTROS NO ESPECIFICADOS PRECEDENTEMENTE</t>
  </si>
  <si>
    <t>Semestral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</si>
  <si>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</si>
  <si>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2.2.2-808.30</t>
  </si>
  <si>
    <t>PROD.MEDICO/FARMACEUTICOS/LAB</t>
  </si>
  <si>
    <t>CAMISOLINES DE CIRUGIA; TELA: BRIN SANFORIZADA PRE ENCOGIDO</t>
  </si>
  <si>
    <t>2.9.5-2620.6</t>
  </si>
  <si>
    <t>INDICADORES DE ESTERILIZACION; METODO DE ESTERILIZACION: AUTOCLAVE DE VAPOR, TIPO DE INDICADOR: CINTA INDICADORA, PRESENTACION: ROLLO, METODO: AUTOCLAVE DE VAPOR, INDICADOR: CINTA INDICADORA</t>
  </si>
  <si>
    <t>2.9.5-1909.225</t>
  </si>
  <si>
    <t>GUANTES USO MEDICINAL; TIPO: P/QUIMICOS, TAMAÑO: MEDIANO CAÑA LARGA, MATERIAL: NITRILO, PRESENTACION: X PAR</t>
  </si>
  <si>
    <t>PAR</t>
  </si>
  <si>
    <t>2.9.5-8874.23</t>
  </si>
  <si>
    <t>INSTRUMENTAL MEDICO; DESCARTABLE: NO, MATERIAL: CRISTAL, ELEMENTO: LUPA</t>
  </si>
  <si>
    <t>2.9.5-2554.39</t>
  </si>
  <si>
    <t>PAPELES P/ESTERILIZACION; TIPO: GRADO MEDICO, PRESENTACION: 120 CM X 100 M</t>
  </si>
  <si>
    <t>Especificidades Item N° 4:</t>
  </si>
  <si>
    <r>
      <t>Descripción técnica</t>
    </r>
    <r>
      <rPr>
        <sz val="10"/>
        <rFont val="Times New Roman"/>
        <family val="1"/>
      </rPr>
      <t>:  LUPA DE MESA  BIFOCAL CON LUZ , AUMENTO Y SOPORTE</t>
    </r>
  </si>
  <si>
    <t>SI</t>
  </si>
  <si>
    <t>024 - Direccion de Administracion del Hospital Interzonal de Niños</t>
  </si>
  <si>
    <r>
      <t>Forma de Pago</t>
    </r>
    <r>
      <rPr>
        <sz val="10"/>
        <rFont val="Times New Roman"/>
        <family val="1"/>
      </rPr>
      <t>: Treinta (30) dias habiles</t>
    </r>
  </si>
  <si>
    <r>
      <t>Mantenimiento de Oferta</t>
    </r>
    <r>
      <rPr>
        <sz val="10"/>
        <rFont val="Times New Roman"/>
        <family val="1"/>
      </rPr>
      <t xml:space="preserve">: Cuarenta y Cinco (45) dias habiles </t>
    </r>
  </si>
  <si>
    <t>063/2022</t>
  </si>
  <si>
    <t>Costo total estimado: Doscientos Treinta y Seis Mil Setecientos Ochenta Con 00/100.</t>
  </si>
  <si>
    <t>TOTAL DE PESOS: DOSCIENTOS TREINTA Y SEIS MIL SETECIENTOS OCHENTA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</si>
</sst>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[$$-2C0A]#,##0.00"/>
    <numFmt numFmtId="171" formatCode="_-&quot;$&quot;\ * #,##0.00_-;\-&quot;$&quot;\ * #,##0.00_-;_-&quot;$&quot;\ * &quot;-&quot;??_-;_-@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name val="Arial"/>
    </font>
    <font>
      <sz val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4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166" fontId="0" fillId="0" borderId="33" xfId="3" applyNumberFormat="1" applyFont="1" applyBorder="1" applyAlignment="1" applyProtection="1">
      <alignment horizontal="center" vertical="center"/>
    </xf>
    <xf numFmtId="166" fontId="16" fillId="0" borderId="34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5" xfId="0" applyFont="1" applyBorder="1"/>
    <xf numFmtId="0" fontId="18" fillId="0" borderId="6" xfId="0" applyFont="1" applyBorder="1"/>
    <xf numFmtId="0" fontId="18" fillId="0" borderId="7" xfId="0" applyFont="1" applyBorder="1"/>
    <xf numFmtId="0" fontId="18" fillId="0" borderId="0" xfId="0" applyFont="1" applyBorder="1"/>
    <xf numFmtId="166" fontId="18" fillId="0" borderId="0" xfId="0" applyNumberFormat="1" applyFont="1"/>
    <xf numFmtId="0" fontId="8" fillId="3" borderId="12" xfId="0" applyFont="1" applyFill="1" applyBorder="1" applyAlignment="1">
      <alignment horizontal="right" vertical="center"/>
    </xf>
    <xf numFmtId="0" fontId="9" fillId="4" borderId="1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4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0" fontId="7" fillId="3" borderId="38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6" fontId="7" fillId="3" borderId="2" xfId="1" applyNumberFormat="1" applyFont="1" applyFill="1" applyBorder="1" applyAlignment="1" applyProtection="1">
      <alignment horizontal="right" vertical="center" wrapText="1"/>
    </xf>
    <xf numFmtId="3" fontId="7" fillId="3" borderId="3" xfId="0" applyNumberFormat="1" applyFont="1" applyFill="1" applyBorder="1" applyAlignment="1">
      <alignment horizontal="center" vertical="center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4" xfId="0" applyFont="1" applyBorder="1" applyAlignment="1">
      <alignment horizontal="left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166" fontId="0" fillId="0" borderId="49" xfId="3" applyNumberFormat="1" applyFont="1" applyBorder="1" applyAlignment="1" applyProtection="1">
      <alignment horizontal="center" vertical="center"/>
    </xf>
    <xf numFmtId="0" fontId="23" fillId="0" borderId="53" xfId="0" applyFont="1" applyBorder="1" applyAlignment="1">
      <alignment horizontal="center" vertical="center"/>
    </xf>
    <xf numFmtId="166" fontId="23" fillId="4" borderId="54" xfId="1" applyNumberFormat="1" applyFont="1" applyFill="1" applyBorder="1" applyAlignment="1" applyProtection="1">
      <alignment horizontal="right" vertical="center" wrapText="1"/>
    </xf>
    <xf numFmtId="0" fontId="7" fillId="3" borderId="53" xfId="0" applyFont="1" applyFill="1" applyBorder="1" applyAlignment="1">
      <alignment horizontal="center" vertical="center"/>
    </xf>
    <xf numFmtId="3" fontId="7" fillId="3" borderId="54" xfId="0" applyNumberFormat="1" applyFont="1" applyFill="1" applyBorder="1" applyAlignment="1">
      <alignment horizontal="center" vertical="center"/>
    </xf>
    <xf numFmtId="166" fontId="7" fillId="3" borderId="52" xfId="1" applyNumberFormat="1" applyFont="1" applyFill="1" applyBorder="1" applyAlignment="1" applyProtection="1">
      <alignment horizontal="right" vertical="center" wrapText="1"/>
    </xf>
    <xf numFmtId="0" fontId="7" fillId="4" borderId="52" xfId="0" applyFont="1" applyFill="1" applyBorder="1" applyAlignment="1">
      <alignment horizontal="center" vertical="center"/>
    </xf>
    <xf numFmtId="0" fontId="7" fillId="3" borderId="52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69" fontId="27" fillId="0" borderId="16" xfId="0" applyNumberFormat="1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/>
    </xf>
    <xf numFmtId="166" fontId="23" fillId="4" borderId="3" xfId="1" applyNumberFormat="1" applyFont="1" applyFill="1" applyBorder="1" applyAlignment="1" applyProtection="1">
      <alignment horizontal="right" vertical="center" wrapText="1"/>
    </xf>
    <xf numFmtId="0" fontId="25" fillId="0" borderId="4" xfId="0" applyFont="1" applyBorder="1" applyAlignment="1">
      <alignment horizontal="left" indent="3"/>
    </xf>
    <xf numFmtId="170" fontId="18" fillId="0" borderId="0" xfId="0" applyNumberFormat="1" applyFont="1"/>
    <xf numFmtId="0" fontId="25" fillId="0" borderId="9" xfId="0" applyFont="1" applyBorder="1" applyAlignment="1"/>
    <xf numFmtId="0" fontId="18" fillId="0" borderId="10" xfId="0" applyFont="1" applyBorder="1" applyAlignment="1">
      <alignment horizontal="center" wrapText="1"/>
    </xf>
    <xf numFmtId="0" fontId="18" fillId="0" borderId="10" xfId="0" applyFont="1" applyFill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7" fillId="0" borderId="3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29" fillId="0" borderId="56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 wrapText="1"/>
    </xf>
    <xf numFmtId="0" fontId="30" fillId="0" borderId="56" xfId="0" applyFont="1" applyBorder="1" applyAlignment="1">
      <alignment horizontal="center" vertical="center"/>
    </xf>
    <xf numFmtId="0" fontId="17" fillId="0" borderId="56" xfId="0" applyFont="1" applyBorder="1" applyAlignment="1">
      <alignment horizontal="left" vertical="center" wrapText="1"/>
    </xf>
    <xf numFmtId="3" fontId="29" fillId="0" borderId="56" xfId="0" applyNumberFormat="1" applyFont="1" applyBorder="1" applyAlignment="1">
      <alignment horizontal="center" vertical="center"/>
    </xf>
    <xf numFmtId="171" fontId="29" fillId="0" borderId="56" xfId="0" applyNumberFormat="1" applyFont="1" applyBorder="1" applyAlignment="1">
      <alignment horizontal="center" vertical="center"/>
    </xf>
    <xf numFmtId="0" fontId="29" fillId="0" borderId="56" xfId="0" applyFont="1" applyBorder="1" applyAlignment="1">
      <alignment horizontal="left" vertical="center" wrapText="1"/>
    </xf>
    <xf numFmtId="0" fontId="17" fillId="0" borderId="56" xfId="0" applyFont="1" applyBorder="1" applyAlignment="1">
      <alignment vertical="center" wrapText="1"/>
    </xf>
    <xf numFmtId="0" fontId="29" fillId="0" borderId="56" xfId="0" applyFont="1" applyBorder="1" applyAlignment="1">
      <alignment vertical="center" wrapText="1"/>
    </xf>
    <xf numFmtId="0" fontId="25" fillId="0" borderId="4" xfId="0" applyFont="1" applyBorder="1"/>
    <xf numFmtId="0" fontId="18" fillId="0" borderId="10" xfId="0" applyFont="1" applyBorder="1"/>
    <xf numFmtId="0" fontId="18" fillId="0" borderId="11" xfId="0" applyFont="1" applyBorder="1"/>
    <xf numFmtId="0" fontId="7" fillId="3" borderId="2" xfId="0" applyFont="1" applyFill="1" applyBorder="1" applyAlignment="1">
      <alignment horizontal="center" vertical="center"/>
    </xf>
    <xf numFmtId="0" fontId="7" fillId="3" borderId="52" xfId="0" applyFont="1" applyFill="1" applyBorder="1" applyAlignment="1">
      <alignment horizontal="center" vertical="center"/>
    </xf>
    <xf numFmtId="0" fontId="7" fillId="3" borderId="59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wrapText="1"/>
    </xf>
    <xf numFmtId="0" fontId="18" fillId="0" borderId="0" xfId="0" applyFont="1" applyFill="1" applyBorder="1" applyAlignment="1">
      <alignment horizontal="center" wrapText="1"/>
    </xf>
    <xf numFmtId="0" fontId="25" fillId="0" borderId="7" xfId="0" applyFont="1" applyBorder="1" applyAlignment="1"/>
    <xf numFmtId="0" fontId="18" fillId="0" borderId="8" xfId="0" applyFont="1" applyBorder="1" applyAlignment="1">
      <alignment horizontal="center" wrapText="1"/>
    </xf>
    <xf numFmtId="0" fontId="20" fillId="0" borderId="0" xfId="0" applyFont="1" applyBorder="1" applyAlignment="1">
      <alignment horizontal="left" vertical="center" wrapText="1"/>
    </xf>
    <xf numFmtId="0" fontId="18" fillId="4" borderId="7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8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9" fillId="3" borderId="16" xfId="0" applyFont="1" applyFill="1" applyBorder="1" applyAlignment="1">
      <alignment horizontal="left" vertical="center" wrapText="1" indent="1"/>
    </xf>
    <xf numFmtId="167" fontId="10" fillId="3" borderId="16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55" xfId="0" applyFont="1" applyFill="1" applyBorder="1" applyAlignment="1">
      <alignment horizontal="left" vertical="center" wrapText="1"/>
    </xf>
    <xf numFmtId="0" fontId="7" fillId="3" borderId="52" xfId="0" applyFont="1" applyFill="1" applyBorder="1" applyAlignment="1">
      <alignment horizontal="left" vertical="center" wrapText="1"/>
    </xf>
    <xf numFmtId="0" fontId="10" fillId="3" borderId="18" xfId="0" applyFont="1" applyFill="1" applyBorder="1" applyAlignment="1">
      <alignment horizontal="left" vertical="center"/>
    </xf>
    <xf numFmtId="0" fontId="9" fillId="4" borderId="19" xfId="0" applyFont="1" applyFill="1" applyBorder="1" applyAlignment="1">
      <alignment horizontal="left" vertical="center" wrapText="1" indent="1"/>
    </xf>
    <xf numFmtId="0" fontId="11" fillId="3" borderId="18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left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0" fontId="17" fillId="0" borderId="57" xfId="0" applyFont="1" applyBorder="1" applyAlignment="1">
      <alignment horizontal="left" vertical="center" wrapText="1"/>
    </xf>
    <xf numFmtId="0" fontId="0" fillId="0" borderId="58" xfId="0" applyFont="1" applyBorder="1" applyAlignment="1">
      <alignment horizontal="left" vertical="center" wrapText="1"/>
    </xf>
    <xf numFmtId="0" fontId="12" fillId="0" borderId="21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4" borderId="34" xfId="0" applyFont="1" applyFill="1" applyBorder="1" applyAlignment="1">
      <alignment horizontal="left" vertical="center" wrapText="1" indent="1"/>
    </xf>
    <xf numFmtId="0" fontId="12" fillId="0" borderId="34" xfId="0" applyFont="1" applyBorder="1" applyAlignment="1">
      <alignment horizontal="left" vertical="center" wrapText="1"/>
    </xf>
    <xf numFmtId="0" fontId="0" fillId="0" borderId="23" xfId="0" applyBorder="1"/>
    <xf numFmtId="0" fontId="16" fillId="0" borderId="2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28" fillId="0" borderId="30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12" fillId="0" borderId="22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5" fillId="0" borderId="13" xfId="0" applyFont="1" applyBorder="1"/>
    <xf numFmtId="0" fontId="14" fillId="0" borderId="13" xfId="0" applyFont="1" applyBorder="1" applyAlignment="1">
      <alignment horizontal="left" indent="1"/>
    </xf>
    <xf numFmtId="0" fontId="14" fillId="0" borderId="24" xfId="0" applyFont="1" applyBorder="1"/>
    <xf numFmtId="0" fontId="14" fillId="0" borderId="25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/>
    </xf>
  </cellXfs>
  <cellStyles count="9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  <cellStyle name="Normal 4" xf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28"/>
  <sheetViews>
    <sheetView topLeftCell="A7" zoomScale="93" zoomScaleNormal="93" workbookViewId="0">
      <selection activeCell="I15" sqref="I15"/>
    </sheetView>
  </sheetViews>
  <sheetFormatPr baseColWidth="10" defaultColWidth="11" defaultRowHeight="12.75" x14ac:dyDescent="0.2"/>
  <cols>
    <col min="1" max="1" width="6.42578125" style="13" customWidth="1"/>
    <col min="2" max="2" width="17" style="13" customWidth="1"/>
    <col min="3" max="3" width="28.42578125" style="13" customWidth="1"/>
    <col min="4" max="4" width="8.42578125" style="13" customWidth="1"/>
    <col min="5" max="5" width="57.7109375" style="13" customWidth="1"/>
    <col min="6" max="6" width="11" style="13"/>
    <col min="7" max="7" width="10.42578125" style="13" bestFit="1" customWidth="1"/>
    <col min="8" max="8" width="13.85546875" style="37" customWidth="1"/>
    <col min="9" max="9" width="18.5703125" style="13" customWidth="1"/>
    <col min="10" max="11" width="11" style="13"/>
    <col min="12" max="12" width="13.140625" style="13" customWidth="1"/>
    <col min="13" max="16384" width="11" style="13"/>
  </cols>
  <sheetData>
    <row r="2" spans="1:12" ht="27" x14ac:dyDescent="0.35">
      <c r="B2" s="93" t="s">
        <v>0</v>
      </c>
      <c r="C2" s="93"/>
      <c r="D2" s="93"/>
      <c r="E2" s="93"/>
      <c r="F2" s="93"/>
      <c r="G2" s="93"/>
      <c r="H2" s="93"/>
    </row>
    <row r="3" spans="1:12" ht="12" customHeight="1" x14ac:dyDescent="0.2"/>
    <row r="4" spans="1:12" ht="18" customHeight="1" x14ac:dyDescent="0.25">
      <c r="A4" s="89" t="s">
        <v>1</v>
      </c>
      <c r="B4" s="89"/>
      <c r="C4" s="94" t="s">
        <v>51</v>
      </c>
      <c r="D4" s="94"/>
      <c r="E4" s="94"/>
      <c r="F4" s="14"/>
      <c r="G4" s="15"/>
      <c r="H4" s="38"/>
    </row>
    <row r="5" spans="1:12" ht="18" customHeight="1" x14ac:dyDescent="0.25">
      <c r="A5" s="89" t="s">
        <v>2</v>
      </c>
      <c r="B5" s="89"/>
      <c r="C5" s="94" t="s">
        <v>82</v>
      </c>
      <c r="D5" s="94"/>
      <c r="E5" s="94"/>
      <c r="F5" s="14"/>
      <c r="G5" s="15" t="s">
        <v>54</v>
      </c>
      <c r="H5" s="38"/>
    </row>
    <row r="6" spans="1:12" ht="16.5" customHeight="1" x14ac:dyDescent="0.25">
      <c r="A6" s="89" t="s">
        <v>3</v>
      </c>
      <c r="B6" s="89"/>
      <c r="C6" s="29">
        <v>2022</v>
      </c>
      <c r="D6" s="30"/>
      <c r="E6" s="30"/>
      <c r="F6" s="14"/>
      <c r="G6" s="15"/>
      <c r="H6" s="38"/>
    </row>
    <row r="7" spans="1:12" ht="16.5" customHeight="1" x14ac:dyDescent="0.25">
      <c r="A7" s="89" t="s">
        <v>4</v>
      </c>
      <c r="B7" s="89"/>
      <c r="C7" s="29">
        <v>3</v>
      </c>
      <c r="D7" s="30"/>
      <c r="E7" s="30"/>
      <c r="F7" s="14"/>
      <c r="G7" s="15"/>
      <c r="H7" s="38"/>
    </row>
    <row r="8" spans="1:12" ht="13.5" thickBot="1" x14ac:dyDescent="0.25">
      <c r="B8" s="14"/>
      <c r="C8" s="15"/>
      <c r="D8" s="14"/>
      <c r="E8" s="14"/>
      <c r="F8" s="14"/>
      <c r="G8" s="15"/>
      <c r="H8" s="38"/>
      <c r="J8" s="36"/>
    </row>
    <row r="9" spans="1:12" ht="36.75" thickBot="1" x14ac:dyDescent="0.25">
      <c r="A9" s="57" t="s">
        <v>5</v>
      </c>
      <c r="B9" s="57" t="s">
        <v>6</v>
      </c>
      <c r="C9" s="57" t="s">
        <v>7</v>
      </c>
      <c r="D9" s="57" t="s">
        <v>8</v>
      </c>
      <c r="E9" s="57" t="s">
        <v>9</v>
      </c>
      <c r="F9" s="57" t="s">
        <v>10</v>
      </c>
      <c r="G9" s="57" t="s">
        <v>11</v>
      </c>
      <c r="H9" s="58" t="s">
        <v>12</v>
      </c>
      <c r="I9" s="57" t="s">
        <v>13</v>
      </c>
    </row>
    <row r="10" spans="1:12" ht="32.25" customHeight="1" x14ac:dyDescent="0.2">
      <c r="A10" s="59">
        <v>1</v>
      </c>
      <c r="B10" s="70" t="s">
        <v>67</v>
      </c>
      <c r="C10" s="71" t="s">
        <v>68</v>
      </c>
      <c r="D10" s="72">
        <v>295</v>
      </c>
      <c r="E10" s="73" t="s">
        <v>69</v>
      </c>
      <c r="F10" s="70" t="s">
        <v>55</v>
      </c>
      <c r="G10" s="74">
        <v>10</v>
      </c>
      <c r="H10" s="75">
        <v>3560</v>
      </c>
      <c r="I10" s="60">
        <f>+G10*H10</f>
        <v>35600</v>
      </c>
      <c r="L10" s="20"/>
    </row>
    <row r="11" spans="1:12" ht="60.75" customHeight="1" x14ac:dyDescent="0.2">
      <c r="A11" s="50">
        <v>2</v>
      </c>
      <c r="B11" s="70" t="s">
        <v>70</v>
      </c>
      <c r="C11" s="71" t="s">
        <v>68</v>
      </c>
      <c r="D11" s="71">
        <v>259</v>
      </c>
      <c r="E11" s="76" t="s">
        <v>71</v>
      </c>
      <c r="F11" s="70" t="s">
        <v>62</v>
      </c>
      <c r="G11" s="74">
        <v>250</v>
      </c>
      <c r="H11" s="75">
        <v>420</v>
      </c>
      <c r="I11" s="51">
        <f t="shared" ref="I11:I14" si="0">+G11*H11</f>
        <v>105000</v>
      </c>
      <c r="K11" s="62"/>
      <c r="L11" s="62"/>
    </row>
    <row r="12" spans="1:12" ht="38.25" x14ac:dyDescent="0.2">
      <c r="A12" s="50">
        <v>3</v>
      </c>
      <c r="B12" s="70" t="s">
        <v>72</v>
      </c>
      <c r="C12" s="71" t="s">
        <v>68</v>
      </c>
      <c r="D12" s="71">
        <v>295</v>
      </c>
      <c r="E12" s="77" t="s">
        <v>73</v>
      </c>
      <c r="F12" s="70" t="s">
        <v>74</v>
      </c>
      <c r="G12" s="74">
        <v>10</v>
      </c>
      <c r="H12" s="75">
        <v>528</v>
      </c>
      <c r="I12" s="51">
        <f t="shared" si="0"/>
        <v>5280</v>
      </c>
      <c r="K12" s="62"/>
      <c r="L12" s="62"/>
    </row>
    <row r="13" spans="1:12" ht="25.5" x14ac:dyDescent="0.2">
      <c r="A13" s="50">
        <v>4</v>
      </c>
      <c r="B13" s="70" t="s">
        <v>75</v>
      </c>
      <c r="C13" s="71" t="s">
        <v>68</v>
      </c>
      <c r="D13" s="71">
        <v>295</v>
      </c>
      <c r="E13" s="78" t="s">
        <v>76</v>
      </c>
      <c r="F13" s="70" t="s">
        <v>55</v>
      </c>
      <c r="G13" s="74">
        <v>1</v>
      </c>
      <c r="H13" s="75">
        <v>8900</v>
      </c>
      <c r="I13" s="51">
        <f t="shared" si="0"/>
        <v>8900</v>
      </c>
      <c r="L13" s="62"/>
    </row>
    <row r="14" spans="1:12" ht="25.5" x14ac:dyDescent="0.2">
      <c r="A14" s="50">
        <v>5</v>
      </c>
      <c r="B14" s="70" t="s">
        <v>77</v>
      </c>
      <c r="C14" s="71" t="s">
        <v>68</v>
      </c>
      <c r="D14" s="71">
        <v>259</v>
      </c>
      <c r="E14" s="76" t="s">
        <v>78</v>
      </c>
      <c r="F14" s="70" t="s">
        <v>63</v>
      </c>
      <c r="G14" s="74">
        <v>10</v>
      </c>
      <c r="H14" s="75">
        <v>8200</v>
      </c>
      <c r="I14" s="51">
        <f t="shared" si="0"/>
        <v>82000</v>
      </c>
      <c r="L14" s="62"/>
    </row>
    <row r="15" spans="1:12" ht="13.5" thickBot="1" x14ac:dyDescent="0.25">
      <c r="I15" s="20"/>
    </row>
    <row r="16" spans="1:12" x14ac:dyDescent="0.2">
      <c r="B16" s="79" t="s">
        <v>79</v>
      </c>
      <c r="C16" s="16"/>
      <c r="D16" s="16"/>
      <c r="E16" s="17"/>
      <c r="I16" s="20"/>
    </row>
    <row r="17" spans="2:9" ht="13.5" thickBot="1" x14ac:dyDescent="0.25">
      <c r="B17" s="63" t="s">
        <v>80</v>
      </c>
      <c r="C17" s="80"/>
      <c r="D17" s="80"/>
      <c r="E17" s="81"/>
      <c r="I17" s="20"/>
    </row>
    <row r="18" spans="2:9" ht="13.5" thickBot="1" x14ac:dyDescent="0.25">
      <c r="I18" s="20"/>
    </row>
    <row r="19" spans="2:9" x14ac:dyDescent="0.2">
      <c r="B19" s="61" t="s">
        <v>57</v>
      </c>
      <c r="C19" s="16"/>
      <c r="D19" s="16"/>
      <c r="E19" s="17"/>
      <c r="I19" s="20"/>
    </row>
    <row r="20" spans="2:9" ht="13.5" customHeight="1" x14ac:dyDescent="0.2">
      <c r="B20" s="90" t="s">
        <v>61</v>
      </c>
      <c r="C20" s="91"/>
      <c r="D20" s="91"/>
      <c r="E20" s="92"/>
    </row>
    <row r="21" spans="2:9" ht="25.5" customHeight="1" x14ac:dyDescent="0.2">
      <c r="B21" s="90"/>
      <c r="C21" s="91"/>
      <c r="D21" s="91"/>
      <c r="E21" s="92"/>
      <c r="F21" s="18"/>
      <c r="G21" s="19"/>
    </row>
    <row r="22" spans="2:9" ht="13.5" customHeight="1" x14ac:dyDescent="0.2">
      <c r="B22" s="90" t="s">
        <v>66</v>
      </c>
      <c r="C22" s="91"/>
      <c r="D22" s="91"/>
      <c r="E22" s="92"/>
      <c r="F22" s="18"/>
      <c r="G22" s="19"/>
    </row>
    <row r="23" spans="2:9" x14ac:dyDescent="0.2">
      <c r="B23" s="87" t="s">
        <v>84</v>
      </c>
      <c r="C23" s="85"/>
      <c r="D23" s="86"/>
      <c r="E23" s="88"/>
      <c r="F23" s="18"/>
      <c r="G23" s="19"/>
    </row>
    <row r="24" spans="2:9" ht="13.5" thickBot="1" x14ac:dyDescent="0.25">
      <c r="B24" s="63" t="s">
        <v>83</v>
      </c>
      <c r="C24" s="64"/>
      <c r="D24" s="65"/>
      <c r="E24" s="66"/>
      <c r="F24" s="19"/>
      <c r="G24" s="19"/>
    </row>
    <row r="25" spans="2:9" ht="12" customHeight="1" x14ac:dyDescent="0.2"/>
    <row r="28" spans="2:9" x14ac:dyDescent="0.2">
      <c r="F28" s="13" t="s">
        <v>54</v>
      </c>
    </row>
  </sheetData>
  <autoFilter ref="A9:I14"/>
  <mergeCells count="9">
    <mergeCell ref="A6:B6"/>
    <mergeCell ref="A7:B7"/>
    <mergeCell ref="B20:E21"/>
    <mergeCell ref="B22:E22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7"/>
  <sheetViews>
    <sheetView zoomScale="80" zoomScaleNormal="80" workbookViewId="0">
      <selection activeCell="B12" sqref="B12"/>
    </sheetView>
  </sheetViews>
  <sheetFormatPr baseColWidth="10" defaultColWidth="9.140625" defaultRowHeight="12.75" x14ac:dyDescent="0.2"/>
  <cols>
    <col min="1" max="1" width="5.5703125" style="23" customWidth="1"/>
    <col min="2" max="2" width="15.140625" style="23" customWidth="1"/>
    <col min="3" max="3" width="14.140625" style="23" customWidth="1"/>
    <col min="4" max="4" width="26" style="23" customWidth="1"/>
    <col min="5" max="5" width="8" style="23" customWidth="1"/>
    <col min="6" max="6" width="7.85546875" style="23" customWidth="1"/>
    <col min="7" max="7" width="48.5703125" style="23" customWidth="1"/>
    <col min="8" max="8" width="9.28515625" style="23" customWidth="1"/>
    <col min="9" max="9" width="15.5703125" style="23" customWidth="1"/>
    <col min="10" max="10" width="14.7109375" style="23" customWidth="1"/>
    <col min="11" max="11" width="15.5703125" style="23" customWidth="1"/>
    <col min="12" max="13" width="5.85546875" style="23" customWidth="1"/>
    <col min="14" max="14" width="14.140625" style="23" customWidth="1"/>
    <col min="15" max="15" width="12.5703125" style="23" customWidth="1"/>
    <col min="16" max="1024" width="9.140625" style="23"/>
    <col min="1025" max="16384" width="9.140625" style="24"/>
  </cols>
  <sheetData>
    <row r="1" spans="1:11" ht="18" customHeight="1" x14ac:dyDescent="0.2">
      <c r="A1" s="105" t="s">
        <v>14</v>
      </c>
      <c r="B1" s="105"/>
      <c r="C1" s="105"/>
      <c r="D1" s="105"/>
      <c r="E1" s="105"/>
      <c r="F1" s="105"/>
      <c r="G1" s="105"/>
      <c r="H1" s="105"/>
      <c r="I1" s="105"/>
      <c r="J1" s="21" t="s">
        <v>15</v>
      </c>
      <c r="K1" s="22" t="s">
        <v>85</v>
      </c>
    </row>
    <row r="2" spans="1:11" ht="18.75" customHeight="1" thickBot="1" x14ac:dyDescent="0.25">
      <c r="A2" s="25"/>
      <c r="B2" s="25"/>
      <c r="C2" s="25"/>
      <c r="D2" s="26"/>
      <c r="E2" s="26"/>
      <c r="F2" s="26"/>
      <c r="G2" s="26"/>
      <c r="H2" s="26"/>
      <c r="I2" s="26"/>
      <c r="J2" s="26"/>
      <c r="K2" s="26"/>
    </row>
    <row r="3" spans="1:11" ht="18.75" customHeight="1" thickBot="1" x14ac:dyDescent="0.25">
      <c r="A3" s="106" t="s">
        <v>48</v>
      </c>
      <c r="B3" s="106"/>
      <c r="C3" s="106"/>
      <c r="D3" s="95" t="str">
        <f>'Necesidades Trimestrales'!C4</f>
        <v>040 - Ministerio de Salud</v>
      </c>
      <c r="E3" s="95"/>
      <c r="F3" s="95"/>
      <c r="G3" s="95"/>
      <c r="H3" s="95"/>
      <c r="I3" s="95"/>
      <c r="J3" s="95"/>
      <c r="K3" s="95"/>
    </row>
    <row r="4" spans="1:11" ht="18.75" customHeight="1" thickBot="1" x14ac:dyDescent="0.25">
      <c r="A4" s="107" t="s">
        <v>49</v>
      </c>
      <c r="B4" s="107"/>
      <c r="C4" s="107"/>
      <c r="D4" s="95" t="str">
        <f>'Necesidades Trimestrales'!C5</f>
        <v>024 - Direccion de Administracion del Hospital Interzonal de Niños</v>
      </c>
      <c r="E4" s="95"/>
      <c r="F4" s="95"/>
      <c r="G4" s="95"/>
      <c r="H4" s="95"/>
      <c r="I4" s="95"/>
      <c r="J4" s="95"/>
      <c r="K4" s="95"/>
    </row>
    <row r="5" spans="1:11" ht="18.75" customHeight="1" thickBot="1" x14ac:dyDescent="0.25">
      <c r="A5" s="107" t="s">
        <v>27</v>
      </c>
      <c r="B5" s="107"/>
      <c r="C5" s="107"/>
      <c r="D5" s="95" t="s">
        <v>82</v>
      </c>
      <c r="E5" s="95"/>
      <c r="F5" s="95"/>
      <c r="G5" s="95"/>
      <c r="H5" s="95"/>
      <c r="I5" s="95"/>
      <c r="J5" s="95"/>
      <c r="K5" s="95"/>
    </row>
    <row r="6" spans="1:11" ht="16.5" customHeight="1" thickBot="1" x14ac:dyDescent="0.25">
      <c r="A6" s="106" t="s">
        <v>50</v>
      </c>
      <c r="B6" s="106"/>
      <c r="C6" s="106"/>
      <c r="D6" s="95" t="s">
        <v>59</v>
      </c>
      <c r="E6" s="95"/>
      <c r="F6" s="95"/>
      <c r="G6" s="95"/>
      <c r="H6" s="95"/>
      <c r="I6" s="95"/>
      <c r="J6" s="95"/>
      <c r="K6" s="95"/>
    </row>
    <row r="7" spans="1:11" ht="16.5" customHeight="1" x14ac:dyDescent="0.2">
      <c r="A7" s="107" t="s">
        <v>16</v>
      </c>
      <c r="B7" s="107"/>
      <c r="C7" s="107"/>
      <c r="D7" s="95" t="s">
        <v>65</v>
      </c>
      <c r="E7" s="95"/>
      <c r="F7" s="95"/>
      <c r="G7" s="95"/>
      <c r="H7" s="95"/>
      <c r="I7" s="95"/>
      <c r="J7" s="95"/>
      <c r="K7" s="95"/>
    </row>
    <row r="8" spans="1:11" ht="16.5" customHeight="1" x14ac:dyDescent="0.2">
      <c r="A8" s="100" t="s">
        <v>17</v>
      </c>
      <c r="B8" s="100"/>
      <c r="C8" s="100"/>
      <c r="D8" s="101" t="s">
        <v>58</v>
      </c>
      <c r="E8" s="101"/>
      <c r="F8" s="101"/>
      <c r="G8" s="101"/>
      <c r="H8" s="101"/>
      <c r="I8" s="101"/>
      <c r="J8" s="101"/>
      <c r="K8" s="101"/>
    </row>
    <row r="9" spans="1:11" ht="15.75" x14ac:dyDescent="0.2">
      <c r="A9" s="27"/>
      <c r="B9" s="27"/>
      <c r="C9" s="27"/>
      <c r="D9" s="28"/>
      <c r="E9" s="28"/>
      <c r="F9" s="28"/>
      <c r="G9" s="28"/>
      <c r="H9" s="28"/>
      <c r="I9" s="28"/>
      <c r="J9" s="28"/>
      <c r="K9" s="28"/>
    </row>
    <row r="10" spans="1:11" ht="18.75" customHeight="1" x14ac:dyDescent="0.2">
      <c r="A10" s="102" t="s">
        <v>18</v>
      </c>
      <c r="B10" s="103" t="s">
        <v>19</v>
      </c>
      <c r="C10" s="103" t="s">
        <v>20</v>
      </c>
      <c r="D10" s="103"/>
      <c r="E10" s="103"/>
      <c r="F10" s="103"/>
      <c r="G10" s="103"/>
      <c r="H10" s="103" t="s">
        <v>21</v>
      </c>
      <c r="I10" s="103" t="s">
        <v>22</v>
      </c>
      <c r="J10" s="103" t="s">
        <v>23</v>
      </c>
      <c r="K10" s="104" t="s">
        <v>24</v>
      </c>
    </row>
    <row r="11" spans="1:11" ht="24" customHeight="1" thickBot="1" x14ac:dyDescent="0.25">
      <c r="A11" s="102"/>
      <c r="B11" s="103"/>
      <c r="C11" s="103"/>
      <c r="D11" s="103"/>
      <c r="E11" s="103"/>
      <c r="F11" s="103"/>
      <c r="G11" s="103"/>
      <c r="H11" s="103"/>
      <c r="I11" s="103"/>
      <c r="J11" s="103"/>
      <c r="K11" s="104"/>
    </row>
    <row r="12" spans="1:11" ht="27.75" customHeight="1" x14ac:dyDescent="0.2">
      <c r="A12" s="31">
        <v>1</v>
      </c>
      <c r="B12" s="82" t="str">
        <f>'Necesidades Trimestrales'!B10</f>
        <v>2.2.2-808.30</v>
      </c>
      <c r="C12" s="97" t="str">
        <f>'Necesidades Trimestrales'!E10</f>
        <v>CAMISOLINES DE CIRUGIA; TELA: BRIN SANFORIZADA PRE ENCOGIDO</v>
      </c>
      <c r="D12" s="97"/>
      <c r="E12" s="97"/>
      <c r="F12" s="97"/>
      <c r="G12" s="97"/>
      <c r="H12" s="32" t="s">
        <v>53</v>
      </c>
      <c r="I12" s="33" t="str">
        <f>'Necesidades Trimestrales'!F10</f>
        <v>UNIDAD</v>
      </c>
      <c r="J12" s="34">
        <f>'Necesidades Trimestrales'!H10</f>
        <v>3560</v>
      </c>
      <c r="K12" s="35">
        <f>'Necesidades Trimestrales'!G10</f>
        <v>10</v>
      </c>
    </row>
    <row r="13" spans="1:11" ht="45.75" customHeight="1" x14ac:dyDescent="0.2">
      <c r="A13" s="52">
        <v>2</v>
      </c>
      <c r="B13" s="83" t="str">
        <f>'Necesidades Trimestrales'!B11</f>
        <v>2.9.5-2620.6</v>
      </c>
      <c r="C13" s="98" t="str">
        <f>'Necesidades Trimestrales'!E11</f>
        <v>INDICADORES DE ESTERILIZACION; METODO DE ESTERILIZACION: AUTOCLAVE DE VAPOR, TIPO DE INDICADOR: CINTA INDICADORA, PRESENTACION: ROLLO, METODO: AUTOCLAVE DE VAPOR, INDICADOR: CINTA INDICADORA</v>
      </c>
      <c r="D13" s="98"/>
      <c r="E13" s="98"/>
      <c r="F13" s="98"/>
      <c r="G13" s="98"/>
      <c r="H13" s="55" t="s">
        <v>53</v>
      </c>
      <c r="I13" s="56" t="str">
        <f>'Necesidades Trimestrales'!F11</f>
        <v>ROLLO</v>
      </c>
      <c r="J13" s="54">
        <f>'Necesidades Trimestrales'!H11</f>
        <v>420</v>
      </c>
      <c r="K13" s="53">
        <f>'Necesidades Trimestrales'!G11</f>
        <v>250</v>
      </c>
    </row>
    <row r="14" spans="1:11" ht="27.75" customHeight="1" x14ac:dyDescent="0.2">
      <c r="A14" s="52">
        <v>3</v>
      </c>
      <c r="B14" s="83" t="str">
        <f>'Necesidades Trimestrales'!B12</f>
        <v>2.9.5-1909.225</v>
      </c>
      <c r="C14" s="99" t="str">
        <f>'Necesidades Trimestrales'!E12</f>
        <v>GUANTES USO MEDICINAL; TIPO: P/QUIMICOS, TAMAÑO: MEDIANO CAÑA LARGA, MATERIAL: NITRILO, PRESENTACION: X PAR</v>
      </c>
      <c r="D14" s="99"/>
      <c r="E14" s="99"/>
      <c r="F14" s="99"/>
      <c r="G14" s="99"/>
      <c r="H14" s="55" t="s">
        <v>53</v>
      </c>
      <c r="I14" s="56" t="str">
        <f>'Necesidades Trimestrales'!F12</f>
        <v>PAR</v>
      </c>
      <c r="J14" s="54">
        <f>'Necesidades Trimestrales'!H12</f>
        <v>528</v>
      </c>
      <c r="K14" s="53">
        <f>'Necesidades Trimestrales'!G12</f>
        <v>10</v>
      </c>
    </row>
    <row r="15" spans="1:11" ht="27.75" customHeight="1" x14ac:dyDescent="0.2">
      <c r="A15" s="52">
        <v>4</v>
      </c>
      <c r="B15" s="83" t="str">
        <f>'Necesidades Trimestrales'!B13</f>
        <v>2.9.5-8874.23</v>
      </c>
      <c r="C15" s="99" t="str">
        <f>'Necesidades Trimestrales'!E13</f>
        <v>INSTRUMENTAL MEDICO; DESCARTABLE: NO, MATERIAL: CRISTAL, ELEMENTO: LUPA</v>
      </c>
      <c r="D15" s="99"/>
      <c r="E15" s="99"/>
      <c r="F15" s="99"/>
      <c r="G15" s="99"/>
      <c r="H15" s="55" t="s">
        <v>81</v>
      </c>
      <c r="I15" s="56" t="str">
        <f>'Necesidades Trimestrales'!F13</f>
        <v>UNIDAD</v>
      </c>
      <c r="J15" s="54">
        <f>'Necesidades Trimestrales'!H13</f>
        <v>8900</v>
      </c>
      <c r="K15" s="53">
        <f>'Necesidades Trimestrales'!G13</f>
        <v>1</v>
      </c>
    </row>
    <row r="16" spans="1:11" ht="27.75" customHeight="1" thickBot="1" x14ac:dyDescent="0.25">
      <c r="A16" s="52">
        <v>5</v>
      </c>
      <c r="B16" s="84" t="str">
        <f>'Necesidades Trimestrales'!B14</f>
        <v>2.9.5-2554.39</v>
      </c>
      <c r="C16" s="99" t="str">
        <f>'Necesidades Trimestrales'!E14</f>
        <v>PAPELES P/ESTERILIZACION; TIPO: GRADO MEDICO, PRESENTACION: 120 CM X 100 M</v>
      </c>
      <c r="D16" s="99"/>
      <c r="E16" s="99"/>
      <c r="F16" s="99"/>
      <c r="G16" s="99"/>
      <c r="H16" s="55" t="s">
        <v>53</v>
      </c>
      <c r="I16" s="56" t="str">
        <f>'Necesidades Trimestrales'!F14</f>
        <v>BOBINA</v>
      </c>
      <c r="J16" s="54">
        <f>'Necesidades Trimestrales'!H14</f>
        <v>8200</v>
      </c>
      <c r="K16" s="53">
        <f>'Necesidades Trimestrales'!G14</f>
        <v>10</v>
      </c>
    </row>
    <row r="17" spans="1:14" ht="20.25" customHeight="1" thickBot="1" x14ac:dyDescent="0.25">
      <c r="A17" s="95" t="s">
        <v>86</v>
      </c>
      <c r="B17" s="95"/>
      <c r="C17" s="95"/>
      <c r="D17" s="95"/>
      <c r="E17" s="95"/>
      <c r="F17" s="95"/>
      <c r="G17" s="95"/>
      <c r="H17" s="95"/>
      <c r="I17" s="95"/>
      <c r="J17" s="96">
        <f>SUMPRODUCT(J12:J16,K12:K16)</f>
        <v>236780</v>
      </c>
      <c r="K17" s="96"/>
      <c r="N17" s="39"/>
    </row>
  </sheetData>
  <mergeCells count="27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7:I17"/>
    <mergeCell ref="J17:K17"/>
    <mergeCell ref="C12:G12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abSelected="1" topLeftCell="A13" zoomScale="130" zoomScaleNormal="130" workbookViewId="0">
      <selection activeCell="A23" sqref="A23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9" t="s">
        <v>3</v>
      </c>
      <c r="B1" s="129"/>
      <c r="C1" s="129"/>
      <c r="D1" s="130">
        <f>'Necesidades Trimestrales'!C6</f>
        <v>2022</v>
      </c>
      <c r="E1" s="130"/>
      <c r="F1" s="3"/>
      <c r="G1" s="3"/>
      <c r="H1" s="4"/>
      <c r="I1" s="4"/>
      <c r="J1" s="4"/>
      <c r="K1" s="4"/>
      <c r="L1" s="4"/>
      <c r="M1" s="4"/>
      <c r="N1" s="4"/>
      <c r="P1" s="131" t="s">
        <v>25</v>
      </c>
      <c r="Q1" s="131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31"/>
      <c r="Q2" s="131"/>
    </row>
    <row r="4" spans="1:17" s="5" customFormat="1" ht="18" customHeight="1" thickBot="1" x14ac:dyDescent="0.25">
      <c r="A4" s="132" t="s">
        <v>26</v>
      </c>
      <c r="B4" s="132"/>
      <c r="C4" s="132"/>
      <c r="D4" s="132"/>
      <c r="E4" s="132"/>
      <c r="F4" s="132"/>
      <c r="G4" s="133" t="str">
        <f>' NotaPedido'!D3</f>
        <v>040 - Ministerio de Salud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s="5" customFormat="1" ht="18" customHeight="1" thickBot="1" x14ac:dyDescent="0.25">
      <c r="A5" s="136" t="s">
        <v>49</v>
      </c>
      <c r="B5" s="137"/>
      <c r="C5" s="137"/>
      <c r="D5" s="137"/>
      <c r="E5" s="137"/>
      <c r="F5" s="138"/>
      <c r="G5" s="133" t="str">
        <f>' NotaPedido'!D4</f>
        <v>024 - Direccion de Administracion del Hospital Interzonal de Niños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s="5" customFormat="1" ht="18" customHeight="1" thickBot="1" x14ac:dyDescent="0.25">
      <c r="A6" s="136" t="s">
        <v>27</v>
      </c>
      <c r="B6" s="137"/>
      <c r="C6" s="137"/>
      <c r="D6" s="137"/>
      <c r="E6" s="137"/>
      <c r="F6" s="138"/>
      <c r="G6" s="133" t="str">
        <f>' NotaPedido'!D5</f>
        <v>024 - Direccion de Administracion del Hospital Interzonal de Niños</v>
      </c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17" s="5" customFormat="1" ht="18" customHeight="1" thickBot="1" x14ac:dyDescent="0.25">
      <c r="A7" s="136" t="s">
        <v>50</v>
      </c>
      <c r="B7" s="137"/>
      <c r="C7" s="137"/>
      <c r="D7" s="137"/>
      <c r="E7" s="137"/>
      <c r="F7" s="138"/>
      <c r="G7" s="133" t="s">
        <v>59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17" ht="18" customHeight="1" thickBot="1" x14ac:dyDescent="0.25">
      <c r="A8" s="139" t="s">
        <v>28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ht="18" customHeight="1" x14ac:dyDescent="0.2">
      <c r="A9" s="134" t="s">
        <v>29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"/>
      <c r="P9" s="1"/>
      <c r="Q9" s="6"/>
    </row>
    <row r="10" spans="1:17" ht="54.75" customHeight="1" x14ac:dyDescent="0.2">
      <c r="A10" s="13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063/2022,  afectando la erogación resultante a los créditos presupuestarios aprobados a favor de esta Unidad Ejecutora, conforme al siguiente detalle: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19" t="s">
        <v>30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7" ht="15.75" customHeight="1" thickBot="1" x14ac:dyDescent="0.25">
      <c r="A13" s="120" t="s">
        <v>31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 t="s">
        <v>32</v>
      </c>
      <c r="P13" s="123"/>
      <c r="Q13" s="126" t="s">
        <v>33</v>
      </c>
    </row>
    <row r="14" spans="1:17" ht="15.75" customHeight="1" thickBot="1" x14ac:dyDescent="0.25">
      <c r="A14" s="44" t="s">
        <v>34</v>
      </c>
      <c r="B14" s="45" t="s">
        <v>35</v>
      </c>
      <c r="C14" s="45" t="s">
        <v>36</v>
      </c>
      <c r="D14" s="45" t="s">
        <v>37</v>
      </c>
      <c r="E14" s="45" t="s">
        <v>38</v>
      </c>
      <c r="F14" s="45" t="s">
        <v>39</v>
      </c>
      <c r="G14" s="46" t="s">
        <v>40</v>
      </c>
      <c r="H14" s="45" t="s">
        <v>41</v>
      </c>
      <c r="I14" s="45" t="s">
        <v>42</v>
      </c>
      <c r="J14" s="45" t="s">
        <v>43</v>
      </c>
      <c r="K14" s="45" t="s">
        <v>43</v>
      </c>
      <c r="L14" s="45" t="s">
        <v>44</v>
      </c>
      <c r="M14" s="47" t="s">
        <v>45</v>
      </c>
      <c r="N14" s="48" t="s">
        <v>46</v>
      </c>
      <c r="O14" s="124"/>
      <c r="P14" s="125"/>
      <c r="Q14" s="127"/>
    </row>
    <row r="15" spans="1:17" ht="31.5" customHeight="1" x14ac:dyDescent="0.2">
      <c r="A15" s="67">
        <v>36</v>
      </c>
      <c r="B15" s="68"/>
      <c r="C15" s="68"/>
      <c r="D15" s="68">
        <v>1</v>
      </c>
      <c r="E15" s="68"/>
      <c r="F15" s="68">
        <v>4901</v>
      </c>
      <c r="G15" s="69">
        <v>3</v>
      </c>
      <c r="H15" s="68">
        <v>310</v>
      </c>
      <c r="I15" s="68">
        <v>2</v>
      </c>
      <c r="J15" s="68">
        <v>5</v>
      </c>
      <c r="K15" s="68">
        <v>9</v>
      </c>
      <c r="L15" s="68"/>
      <c r="M15" s="68">
        <v>1</v>
      </c>
      <c r="N15" s="68" t="s">
        <v>52</v>
      </c>
      <c r="O15" s="128" t="s">
        <v>64</v>
      </c>
      <c r="P15" s="128"/>
      <c r="Q15" s="49">
        <v>187000</v>
      </c>
    </row>
    <row r="16" spans="1:17" ht="26.25" customHeight="1" x14ac:dyDescent="0.2">
      <c r="A16" s="40">
        <v>36</v>
      </c>
      <c r="B16" s="41"/>
      <c r="C16" s="41"/>
      <c r="D16" s="41">
        <v>1</v>
      </c>
      <c r="E16" s="41"/>
      <c r="F16" s="41">
        <v>4901</v>
      </c>
      <c r="G16" s="41">
        <v>3</v>
      </c>
      <c r="H16" s="41">
        <v>310</v>
      </c>
      <c r="I16" s="41">
        <v>2</v>
      </c>
      <c r="J16" s="41">
        <v>9</v>
      </c>
      <c r="K16" s="41">
        <v>5</v>
      </c>
      <c r="L16" s="41"/>
      <c r="M16" s="42">
        <v>1</v>
      </c>
      <c r="N16" s="43" t="s">
        <v>52</v>
      </c>
      <c r="O16" s="128" t="s">
        <v>56</v>
      </c>
      <c r="P16" s="128"/>
      <c r="Q16" s="49">
        <v>49780</v>
      </c>
    </row>
    <row r="17" spans="1:17" ht="30" customHeight="1" x14ac:dyDescent="0.2">
      <c r="A17" s="4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2"/>
      <c r="N17" s="43"/>
      <c r="O17" s="108"/>
      <c r="P17" s="109"/>
      <c r="Q17" s="11"/>
    </row>
    <row r="18" spans="1:17" ht="27" customHeight="1" x14ac:dyDescent="0.2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2"/>
      <c r="N18" s="43"/>
      <c r="O18" s="110"/>
      <c r="P18" s="111"/>
      <c r="Q18" s="11"/>
    </row>
    <row r="19" spans="1:17" ht="27" customHeight="1" x14ac:dyDescent="0.2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2"/>
      <c r="N19" s="43"/>
      <c r="O19" s="110"/>
      <c r="P19" s="111"/>
      <c r="Q19" s="11"/>
    </row>
    <row r="20" spans="1:17" ht="29.25" customHeight="1" thickBot="1" x14ac:dyDescent="0.25">
      <c r="A20" s="117" t="s">
        <v>87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2">
        <f>SUM(Q15:Q19)</f>
        <v>236780</v>
      </c>
    </row>
    <row r="21" spans="1:17" ht="18" customHeight="1" thickBot="1" x14ac:dyDescent="0.25">
      <c r="A21" s="118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</row>
    <row r="22" spans="1:17" ht="17.25" customHeight="1" thickBot="1" x14ac:dyDescent="0.25">
      <c r="A22" s="112" t="s">
        <v>47</v>
      </c>
      <c r="B22" s="113"/>
      <c r="C22" s="113"/>
      <c r="D22" s="113"/>
      <c r="E22" s="113"/>
      <c r="F22" s="114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</row>
    <row r="23" spans="1:17" ht="18" customHeight="1" thickBot="1" x14ac:dyDescent="0.25">
      <c r="A23" s="116" t="s">
        <v>60</v>
      </c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</row>
    <row r="24" spans="1:17" ht="26.25" customHeight="1" x14ac:dyDescent="0.2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</row>
  </sheetData>
  <mergeCells count="28">
    <mergeCell ref="A9:N9"/>
    <mergeCell ref="A10:Q10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2:Q12"/>
    <mergeCell ref="A13:N13"/>
    <mergeCell ref="O13:P14"/>
    <mergeCell ref="Q13:Q14"/>
    <mergeCell ref="O16:P16"/>
    <mergeCell ref="O15:P15"/>
    <mergeCell ref="O17:P17"/>
    <mergeCell ref="O18:P18"/>
    <mergeCell ref="A22:F22"/>
    <mergeCell ref="G22:Q22"/>
    <mergeCell ref="A23:Q24"/>
    <mergeCell ref="A20:P20"/>
    <mergeCell ref="A21:Q21"/>
    <mergeCell ref="O19:P19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2022-04-26T16:27:01Z</cp:lastPrinted>
  <dcterms:created xsi:type="dcterms:W3CDTF">2020-07-17T23:44:49Z</dcterms:created>
  <dcterms:modified xsi:type="dcterms:W3CDTF">2022-07-04T16:13:25Z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