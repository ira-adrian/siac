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FFEC58DD-8542-4AF6-938E-640E2047666A}" xr6:coauthVersionLast="47" xr6:coauthVersionMax="47" xr10:uidLastSave="{00000000-0000-0000-0000-000000000000}"/>
  <bookViews>
    <workbookView xWindow="-120" yWindow="-120" windowWidth="20730" windowHeight="11160" tabRatio="500" activeTab="2" xr2:uid="{00000000-000D-0000-FFFF-FFFF00000000}"/>
  </bookViews>
  <sheets>
    <sheet name="Trimestral" sheetId="3" r:id="rId1"/>
    <sheet name=" NotaPedido" sheetId="1" r:id="rId2"/>
    <sheet name="APG" sheetId="2" r:id="rId3"/>
  </sheets>
  <definedNames>
    <definedName name="_xlnm.Print_Area" localSheetId="1">' NotaPedido'!$A$1:$K$14</definedName>
  </definedNames>
  <calcPr calcId="181029"/>
</workbook>
</file>

<file path=xl/calcChain.xml><?xml version="1.0" encoding="utf-8"?>
<calcChain xmlns="http://schemas.openxmlformats.org/spreadsheetml/2006/main">
  <c r="I10" i="3" l="1"/>
  <c r="I11" i="3" s="1"/>
  <c r="I12" i="3" s="1"/>
  <c r="Q37" i="2" l="1"/>
  <c r="J14" i="1"/>
</calcChain>
</file>

<file path=xl/sharedStrings.xml><?xml version="1.0" encoding="utf-8"?>
<sst xmlns="http://schemas.openxmlformats.org/spreadsheetml/2006/main" count="96" uniqueCount="84">
  <si>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</si>
  <si>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</si>
  <si>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</si>
  <si>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</si>
  <si>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</si>
  <si>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</si>
  <si>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</si>
  <si>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</si>
  <si>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</si>
  <si>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</si>
  <si>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</si>
  <si>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</si>
  <si>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</si>
  <si>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</si>
  <si>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</si>
  <si>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</si>
  <si>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EJERCICIO: 2021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</si>
  <si>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</si>
  <si>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</si>
  <si>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</si>
  <si>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</si>
  <si>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</si>
  <si>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</si>
  <si>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</si>
  <si>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</si>
  <si>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</si>
  <si>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</si>
  <si>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</si>
  <si>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</si>
  <si>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</si>
  <si>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</si>
  <si>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</si>
  <si>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</si>
  <si>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</si>
  <si>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</si>
  <si>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</si>
  <si>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</si>
  <si>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</si>
  <si>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</si>
  <si>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UNIDAD</t>
  </si>
  <si>
    <t>Equipo de Transporte, Tracción y Elevación</t>
  </si>
  <si>
    <t>Costo total estimado: PESOS SIETE MILLONES CIENTO OCHENTA Y DOS MIL CON 00/100.-</t>
  </si>
  <si>
    <t>TOTAL DE PESOS: SIETE MILLONES CIENTO OCHENTA Y DOS MIL CON 00/100.-</t>
  </si>
  <si>
    <t>ADQUISICION DE CAMION SANITIZANTE O KM.</t>
  </si>
  <si>
    <t>5 AÑOS</t>
  </si>
  <si>
    <t>40 - MINISTERIO DE SALUD</t>
  </si>
  <si>
    <t>11 - DIRECCION PROVINCIAL DE ADMINISTRACION DEL MINISTERIO DE SALUD</t>
  </si>
  <si>
    <t>743 - SECRETARIA DE ASISTENCIA EN SALUD PUBLICA</t>
  </si>
  <si>
    <r>
      <t xml:space="preserve">JUSTIFICACIÓN: </t>
    </r>
    <r>
      <rPr>
        <sz val="11"/>
        <rFont val="Arial"/>
        <family val="2"/>
      </rPr>
      <t>ADQUISICIÓN DE CAMION SANITIZANTE 0 KM.</t>
    </r>
  </si>
  <si>
    <t>11 - DIRECCION DE ADMINISTRACION DEL MINISTERIO DE SALUD</t>
  </si>
  <si>
    <t>CAMIONES; TIPO: MULTIPROPOSITO, AÑO: 2021, CILINDRADA: 5880 cm3, Nº DE EJES: 2, POTENCIA: 280 cv - 2.500 rpm, CANT. DE CILINDROS: 6</t>
  </si>
  <si>
    <t>4.3.2-1716.286</t>
  </si>
  <si>
    <t>Pedido de Necesidades Trimestrales</t>
  </si>
  <si>
    <t>JURISDICCION:</t>
  </si>
  <si>
    <t xml:space="preserve">SAF N°: </t>
  </si>
  <si>
    <t>011 - Direccion Provincial de Administración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</si>
  <si>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</si>
  <si>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</si>
  <si>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</si>
  <si>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</si>
  <si>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</si>
  <si>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</si>
  <si>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</si>
  <si>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</si>
  <si>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</si>
  <si>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</si>
  <si>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</si>
  <si>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TOTAL DEL RUBRO</t>
  </si>
  <si>
    <t>TOTAL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</si>
  <si>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</si>
  <si>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</si>
  <si>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</si>
  <si>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</si>
  <si>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</si>
  <si>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</si>
  <si>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2do Trimestre</t>
  </si>
  <si>
    <t>EQUIPOS</t>
  </si>
  <si>
    <t>MINISTERIO DE SALUD - Chacabuco N° 169</t>
  </si>
  <si>
    <t>Autorizo la realización de los  trámites correspondientes, a fin de proveer a  este Organismo los bienes que se detallan en Nota  de Pedido N°  11/2021 ,afectando la erogación resultante a los créditos presupuestarios aprobados a favor de esta Unidad Ejecutora, conforme al siguiente detalle:</t>
  </si>
  <si>
    <t xml:space="preserve"> 11/2021</t>
  </si>
  <si>
    <t xml:space="preserve">CAMION SANITIZANTE, Nuevo, 0 km. 
 Nº de Cilindros: 6 en línea Cilindrada: 5.880 cc 
 Cabina: Simple, dos puertas. Abatible a 60°, accionamiento hidráulico con operación mecánica, piso con tratamiento aislante termo acústico y sub estructura con tratamiento vinílico anti piedras. Ángulo de apertura de puertas a 90°. Cristales atérmicos. 
 Suspensión de la cabina: Mecánica en cuatro puntos resortes +amortiguador. Asientos con suspensión mecánica y amortiguación hidráulica, tres grados de libertad, ambos con apoya cabeza, el del acompañante con apoya brazo. 
 Caja de cambio: Manual – 6 marchas sincronizadas hacia adelante + 1 retro marcha no sincronizada 
 Tracción: 4x2 Trasera 
 Potencia: 280 CV (2.500 rpm)
 Embrague: Monodisco seco a diafragma. Comando hidráulico, regulación automática 
 Suspensión Anterior: Mecánica, a ballestas parabólicas. 2 topes de goma, 2 amortiguadores hidráulicos telescópicos doble efecto 
 Suspensión Posterior: Mecánica, a ballestas semi elípticas de doble flexibilidad. 2 amortiguadores hidráulicos telescópicos doble efecto 
 Dirección: Mecánica servo asistido hidráulicamente. Volante regulable en inclinación. 
 Ruedas: A disco para neumáticos sin cámara. Delanteras simples, traseras duales 
 Neumáticos: Radiales sin cámaras 275/80 R22,5. 
 Frenos: Discos delanteros y traseros de tambor S-CAM/ABS – EURO V
</t>
  </si>
  <si>
    <t xml:space="preserve">diez (10) días hábiles </t>
  </si>
  <si>
    <t>dos (2) años</t>
  </si>
  <si>
    <t>cuarenta y cinco (45) días habiles.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</si>
</sst>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[$$-2C0A]\ #,##0.00"/>
    <numFmt numFmtId="165" formatCode="_-* #,##0.00&quot; €&quot;_-;\-* #,##0.00&quot; €&quot;_-;_-* \-??&quot; €&quot;_-;_-@_-"/>
    <numFmt numFmtId="166" formatCode="[$$-2C0A]\ #,##0.00;[$$-2C0A]&quot; -&quot;#,##0.00"/>
    <numFmt numFmtId="167" formatCode="_(\$* #,##0.00_);_(\$* \(#,##0.00\);_(\$* \-??_);_(@_)"/>
    <numFmt numFmtId="168" formatCode="dd\-mm\-yy;@"/>
    <numFmt numFmtId="169" formatCode="_-[$$-2C0A]\ * #,##0.00_-;\-[$$-2C0A]\ * #,##0.00_-;_-[$$-2C0A]\ * &quot;-&quot;??_-;_-@_-"/>
  </numFmts>
  <fonts count="3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Arial"/>
      <family val="2"/>
    </font>
    <font>
      <sz val="10"/>
      <name val="Arial"/>
      <charset val="1"/>
    </font>
    <font>
      <sz val="10"/>
      <name val="Times New Roman"/>
      <family val="1"/>
    </font>
    <font>
      <sz val="9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1"/>
      <color rgb="FF333333"/>
      <name val="Arial"/>
      <family val="2"/>
    </font>
    <font>
      <b/>
      <sz val="12"/>
      <color rgb="FF000000"/>
      <name val="Cambria"/>
      <family val="1"/>
      <scheme val="major"/>
    </font>
    <font>
      <b/>
      <sz val="14"/>
      <name val="Arial"/>
      <family val="2"/>
    </font>
    <font>
      <b/>
      <sz val="14"/>
      <name val="Cambria"/>
      <family val="1"/>
      <scheme val="major"/>
    </font>
    <font>
      <u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4">
    <xf numFmtId="0" fontId="0" fillId="0" borderId="0"/>
    <xf numFmtId="0" fontId="4" fillId="0" borderId="1" applyProtection="0"/>
    <xf numFmtId="0" fontId="6" fillId="2" borderId="0" applyBorder="0" applyProtection="0"/>
    <xf numFmtId="0" fontId="3" fillId="0" borderId="0"/>
    <xf numFmtId="43" fontId="3" fillId="0" borderId="0" applyFont="0" applyFill="0" applyBorder="0" applyAlignment="0" applyProtection="0"/>
    <xf numFmtId="165" fontId="16" fillId="0" borderId="0" applyBorder="0" applyProtection="0"/>
    <xf numFmtId="0" fontId="16" fillId="0" borderId="0"/>
    <xf numFmtId="167" fontId="5" fillId="0" borderId="0" applyBorder="0" applyProtection="0"/>
    <xf numFmtId="0" fontId="16" fillId="0" borderId="0"/>
    <xf numFmtId="0" fontId="16" fillId="0" borderId="0"/>
    <xf numFmtId="0" fontId="16" fillId="0" borderId="0"/>
    <xf numFmtId="0" fontId="2" fillId="0" borderId="0"/>
    <xf numFmtId="0" fontId="1" fillId="0" borderId="0"/>
    <xf numFmtId="44" fontId="23" fillId="0" borderId="0" applyFont="0" applyFill="0" applyBorder="0" applyAlignment="0" applyProtection="0"/>
  </cellStyleXfs>
  <cellXfs count="180">
    <xf numFmtId="0" fontId="0" fillId="0" borderId="0" xfId="0"/>
    <xf numFmtId="0" fontId="5" fillId="0" borderId="0" xfId="0" applyFont="1" applyBorder="1" applyAlignment="1">
      <alignment vertical="center"/>
    </xf>
    <xf numFmtId="0" fontId="8" fillId="0" borderId="3" xfId="0" applyFont="1" applyBorder="1" applyAlignment="1">
      <alignment horizontal="right" vertical="center"/>
    </xf>
    <xf numFmtId="0" fontId="9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10" fillId="0" borderId="13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 indent="1"/>
    </xf>
    <xf numFmtId="0" fontId="9" fillId="0" borderId="7" xfId="0" applyFont="1" applyBorder="1" applyAlignment="1">
      <alignment horizontal="left" vertical="center" wrapText="1" indent="1"/>
    </xf>
    <xf numFmtId="0" fontId="13" fillId="0" borderId="20" xfId="0" applyFont="1" applyBorder="1" applyAlignment="1">
      <alignment horizontal="center" vertical="center" wrapText="1"/>
    </xf>
    <xf numFmtId="3" fontId="13" fillId="0" borderId="21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3" fontId="17" fillId="0" borderId="18" xfId="8" applyNumberFormat="1" applyFont="1" applyBorder="1" applyAlignment="1"/>
    <xf numFmtId="168" fontId="16" fillId="0" borderId="18" xfId="8" applyNumberFormat="1" applyBorder="1" applyAlignment="1">
      <alignment horizontal="left"/>
    </xf>
    <xf numFmtId="0" fontId="16" fillId="0" borderId="18" xfId="8" applyBorder="1"/>
    <xf numFmtId="0" fontId="16" fillId="0" borderId="13" xfId="8" applyBorder="1"/>
    <xf numFmtId="0" fontId="16" fillId="0" borderId="0" xfId="8" applyBorder="1"/>
    <xf numFmtId="0" fontId="16" fillId="0" borderId="0" xfId="8" applyBorder="1" applyAlignment="1">
      <alignment horizontal="left"/>
    </xf>
    <xf numFmtId="168" fontId="16" fillId="0" borderId="0" xfId="8" applyNumberFormat="1" applyBorder="1" applyAlignment="1">
      <alignment horizontal="left"/>
    </xf>
    <xf numFmtId="0" fontId="16" fillId="0" borderId="7" xfId="8" applyBorder="1"/>
    <xf numFmtId="0" fontId="16" fillId="0" borderId="5" xfId="8" applyBorder="1"/>
    <xf numFmtId="0" fontId="16" fillId="0" borderId="6" xfId="8" applyBorder="1"/>
    <xf numFmtId="0" fontId="16" fillId="0" borderId="6" xfId="8" applyBorder="1" applyAlignment="1">
      <alignment horizontal="left"/>
    </xf>
    <xf numFmtId="0" fontId="16" fillId="0" borderId="36" xfId="8" applyBorder="1"/>
    <xf numFmtId="0" fontId="21" fillId="0" borderId="39" xfId="8" applyFont="1" applyBorder="1" applyAlignment="1">
      <alignment horizontal="center" vertical="center"/>
    </xf>
    <xf numFmtId="0" fontId="21" fillId="0" borderId="40" xfId="8" applyFont="1" applyBorder="1" applyAlignment="1">
      <alignment horizontal="center" vertical="center"/>
    </xf>
    <xf numFmtId="0" fontId="21" fillId="0" borderId="40" xfId="8" applyFont="1" applyBorder="1" applyAlignment="1">
      <alignment horizontal="left" vertical="center"/>
    </xf>
    <xf numFmtId="0" fontId="21" fillId="0" borderId="41" xfId="8" applyFont="1" applyBorder="1" applyAlignment="1">
      <alignment horizontal="center" vertical="center"/>
    </xf>
    <xf numFmtId="0" fontId="21" fillId="0" borderId="42" xfId="8" applyFont="1" applyBorder="1" applyAlignment="1">
      <alignment horizontal="center" vertical="center"/>
    </xf>
    <xf numFmtId="0" fontId="16" fillId="0" borderId="43" xfId="8" applyFont="1" applyBorder="1" applyAlignment="1">
      <alignment horizontal="center" vertical="center"/>
    </xf>
    <xf numFmtId="0" fontId="16" fillId="0" borderId="44" xfId="8" applyFont="1" applyBorder="1" applyAlignment="1">
      <alignment horizontal="center" vertical="center"/>
    </xf>
    <xf numFmtId="0" fontId="16" fillId="0" borderId="45" xfId="8" applyFont="1" applyBorder="1" applyAlignment="1">
      <alignment horizontal="center" vertical="center"/>
    </xf>
    <xf numFmtId="166" fontId="0" fillId="0" borderId="47" xfId="7" applyNumberFormat="1" applyFont="1" applyBorder="1" applyAlignment="1" applyProtection="1">
      <alignment horizontal="center" vertical="center"/>
    </xf>
    <xf numFmtId="0" fontId="16" fillId="0" borderId="48" xfId="8" applyFont="1" applyBorder="1" applyAlignment="1">
      <alignment horizontal="center" vertical="center"/>
    </xf>
    <xf numFmtId="0" fontId="16" fillId="0" borderId="49" xfId="8" applyFont="1" applyBorder="1" applyAlignment="1">
      <alignment horizontal="center" vertical="center"/>
    </xf>
    <xf numFmtId="0" fontId="16" fillId="0" borderId="50" xfId="8" applyFont="1" applyBorder="1" applyAlignment="1">
      <alignment horizontal="center" vertical="center"/>
    </xf>
    <xf numFmtId="0" fontId="16" fillId="0" borderId="51" xfId="8" applyFont="1" applyBorder="1" applyAlignment="1">
      <alignment horizontal="center" vertical="center"/>
    </xf>
    <xf numFmtId="166" fontId="0" fillId="0" borderId="52" xfId="7" applyNumberFormat="1" applyFont="1" applyBorder="1" applyAlignment="1" applyProtection="1">
      <alignment horizontal="center" vertical="center"/>
    </xf>
    <xf numFmtId="0" fontId="19" fillId="0" borderId="48" xfId="8" applyFont="1" applyBorder="1" applyAlignment="1">
      <alignment horizontal="center" vertical="center"/>
    </xf>
    <xf numFmtId="0" fontId="19" fillId="0" borderId="49" xfId="8" applyFont="1" applyBorder="1" applyAlignment="1">
      <alignment horizontal="center" vertical="center"/>
    </xf>
    <xf numFmtId="0" fontId="16" fillId="0" borderId="51" xfId="8" applyBorder="1" applyAlignment="1">
      <alignment horizontal="center" vertical="center"/>
    </xf>
    <xf numFmtId="0" fontId="19" fillId="0" borderId="50" xfId="8" applyFont="1" applyBorder="1" applyAlignment="1">
      <alignment horizontal="center" vertical="center"/>
    </xf>
    <xf numFmtId="0" fontId="19" fillId="0" borderId="51" xfId="8" applyFont="1" applyBorder="1" applyAlignment="1">
      <alignment horizontal="center" vertical="center"/>
    </xf>
    <xf numFmtId="0" fontId="16" fillId="0" borderId="53" xfId="8" applyBorder="1" applyAlignment="1">
      <alignment horizontal="center" vertical="center"/>
    </xf>
    <xf numFmtId="0" fontId="16" fillId="0" borderId="54" xfId="8" applyBorder="1" applyAlignment="1">
      <alignment horizontal="center" vertical="center"/>
    </xf>
    <xf numFmtId="0" fontId="16" fillId="0" borderId="55" xfId="8" applyBorder="1" applyAlignment="1">
      <alignment horizontal="center" vertical="center"/>
    </xf>
    <xf numFmtId="166" fontId="0" fillId="0" borderId="56" xfId="7" applyNumberFormat="1" applyFont="1" applyBorder="1" applyAlignment="1" applyProtection="1">
      <alignment horizontal="center" vertical="center"/>
    </xf>
    <xf numFmtId="166" fontId="21" fillId="0" borderId="58" xfId="8" applyNumberFormat="1" applyFont="1" applyBorder="1" applyAlignment="1">
      <alignment horizontal="center" vertical="center"/>
    </xf>
    <xf numFmtId="44" fontId="13" fillId="0" borderId="20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169" fontId="16" fillId="0" borderId="0" xfId="5" applyNumberFormat="1" applyAlignment="1">
      <alignment horizontal="right" vertical="center"/>
    </xf>
    <xf numFmtId="169" fontId="24" fillId="0" borderId="0" xfId="0" applyNumberFormat="1" applyFont="1" applyAlignment="1">
      <alignment horizontal="right" vertical="center"/>
    </xf>
    <xf numFmtId="0" fontId="29" fillId="0" borderId="0" xfId="0" applyFont="1" applyAlignment="1">
      <alignment horizontal="center" wrapText="1"/>
    </xf>
    <xf numFmtId="0" fontId="29" fillId="0" borderId="0" xfId="0" applyFont="1" applyAlignment="1">
      <alignment horizontal="center" vertical="center" wrapText="1"/>
    </xf>
    <xf numFmtId="0" fontId="28" fillId="0" borderId="0" xfId="0" applyFont="1" applyFill="1" applyAlignment="1">
      <alignment horizontal="left" vertical="center" wrapText="1"/>
    </xf>
    <xf numFmtId="0" fontId="30" fillId="0" borderId="0" xfId="0" applyFont="1" applyFill="1" applyAlignment="1">
      <alignment horizontal="center" wrapText="1"/>
    </xf>
    <xf numFmtId="0" fontId="30" fillId="0" borderId="0" xfId="0" applyFont="1" applyFill="1" applyAlignment="1">
      <alignment horizontal="left" vertical="center" wrapText="1"/>
    </xf>
    <xf numFmtId="0" fontId="31" fillId="0" borderId="0" xfId="0" applyFont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32" fillId="0" borderId="64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63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 wrapText="1"/>
    </xf>
    <xf numFmtId="169" fontId="33" fillId="0" borderId="62" xfId="5" applyNumberFormat="1" applyFont="1" applyBorder="1" applyAlignment="1">
      <alignment horizontal="center" vertical="center" wrapText="1"/>
    </xf>
    <xf numFmtId="169" fontId="32" fillId="0" borderId="9" xfId="0" applyNumberFormat="1" applyFont="1" applyBorder="1" applyAlignment="1">
      <alignment horizontal="center" vertical="center" wrapText="1"/>
    </xf>
    <xf numFmtId="0" fontId="22" fillId="0" borderId="64" xfId="0" applyFont="1" applyFill="1" applyBorder="1" applyAlignment="1">
      <alignment horizontal="center" vertical="center" wrapText="1"/>
    </xf>
    <xf numFmtId="0" fontId="34" fillId="0" borderId="26" xfId="0" applyFont="1" applyFill="1" applyBorder="1" applyAlignment="1">
      <alignment horizontal="center" vertical="center" wrapText="1"/>
    </xf>
    <xf numFmtId="0" fontId="22" fillId="3" borderId="26" xfId="8" applyFont="1" applyFill="1" applyBorder="1" applyAlignment="1">
      <alignment horizontal="center" vertical="center" wrapText="1"/>
    </xf>
    <xf numFmtId="0" fontId="22" fillId="0" borderId="27" xfId="8" applyFont="1" applyFill="1" applyBorder="1" applyAlignment="1">
      <alignment horizontal="center" vertical="center" wrapText="1"/>
    </xf>
    <xf numFmtId="0" fontId="34" fillId="0" borderId="63" xfId="0" applyFont="1" applyFill="1" applyBorder="1" applyAlignment="1">
      <alignment horizontal="left" vertical="top" wrapText="1"/>
    </xf>
    <xf numFmtId="0" fontId="22" fillId="0" borderId="26" xfId="8" applyFont="1" applyFill="1" applyBorder="1" applyAlignment="1">
      <alignment horizontal="center" vertical="center" wrapText="1"/>
    </xf>
    <xf numFmtId="3" fontId="13" fillId="0" borderId="26" xfId="12" applyNumberFormat="1" applyFont="1" applyBorder="1" applyAlignment="1">
      <alignment horizontal="center" vertical="center"/>
    </xf>
    <xf numFmtId="44" fontId="13" fillId="0" borderId="62" xfId="13" applyFont="1" applyBorder="1" applyAlignment="1">
      <alignment horizontal="center" vertical="center" wrapText="1"/>
    </xf>
    <xf numFmtId="169" fontId="22" fillId="0" borderId="9" xfId="5" applyNumberFormat="1" applyFont="1" applyFill="1" applyBorder="1" applyAlignment="1">
      <alignment horizontal="center" vertical="center" wrapText="1"/>
    </xf>
    <xf numFmtId="169" fontId="35" fillId="0" borderId="9" xfId="0" applyNumberFormat="1" applyFont="1" applyBorder="1" applyAlignment="1">
      <alignment horizontal="center" vertical="center" wrapText="1"/>
    </xf>
    <xf numFmtId="169" fontId="37" fillId="0" borderId="65" xfId="0" applyNumberFormat="1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left" vertical="center"/>
    </xf>
    <xf numFmtId="0" fontId="24" fillId="0" borderId="0" xfId="0" applyFont="1" applyBorder="1" applyAlignment="1">
      <alignment horizontal="center"/>
    </xf>
    <xf numFmtId="0" fontId="24" fillId="0" borderId="7" xfId="0" applyFont="1" applyBorder="1" applyAlignment="1">
      <alignment horizontal="left" vertical="center"/>
    </xf>
    <xf numFmtId="0" fontId="38" fillId="0" borderId="13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4" fillId="0" borderId="29" xfId="0" applyFont="1" applyFill="1" applyBorder="1" applyAlignment="1">
      <alignment horizontal="center"/>
    </xf>
    <xf numFmtId="0" fontId="24" fillId="0" borderId="3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4" fillId="0" borderId="7" xfId="0" applyFont="1" applyFill="1" applyBorder="1" applyAlignment="1">
      <alignment horizontal="center"/>
    </xf>
    <xf numFmtId="0" fontId="24" fillId="0" borderId="7" xfId="0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left" vertical="center" wrapText="1"/>
    </xf>
    <xf numFmtId="0" fontId="24" fillId="0" borderId="7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left"/>
    </xf>
    <xf numFmtId="0" fontId="24" fillId="0" borderId="7" xfId="0" applyFont="1" applyBorder="1" applyAlignment="1">
      <alignment horizontal="left"/>
    </xf>
    <xf numFmtId="0" fontId="27" fillId="0" borderId="0" xfId="0" applyFont="1" applyBorder="1" applyAlignment="1">
      <alignment horizontal="left" vertical="center" wrapText="1"/>
    </xf>
    <xf numFmtId="0" fontId="30" fillId="0" borderId="16" xfId="0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32" fillId="0" borderId="63" xfId="0" applyFont="1" applyBorder="1" applyAlignment="1">
      <alignment horizontal="center" vertical="center" wrapText="1"/>
    </xf>
    <xf numFmtId="0" fontId="32" fillId="0" borderId="26" xfId="0" applyFont="1" applyBorder="1" applyAlignment="1">
      <alignment horizontal="center" vertical="center" wrapText="1"/>
    </xf>
    <xf numFmtId="0" fontId="32" fillId="0" borderId="62" xfId="0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3" borderId="0" xfId="0" applyFont="1" applyFill="1" applyBorder="1" applyAlignment="1">
      <alignment horizontal="left" vertical="top" wrapText="1"/>
    </xf>
    <xf numFmtId="0" fontId="24" fillId="3" borderId="7" xfId="0" applyFont="1" applyFill="1" applyBorder="1" applyAlignment="1">
      <alignment horizontal="left" vertical="top" wrapText="1"/>
    </xf>
    <xf numFmtId="0" fontId="24" fillId="0" borderId="0" xfId="0" applyFont="1" applyBorder="1" applyAlignment="1">
      <alignment vertical="center"/>
    </xf>
    <xf numFmtId="0" fontId="24" fillId="0" borderId="7" xfId="0" applyFont="1" applyBorder="1" applyAlignment="1">
      <alignment vertical="center"/>
    </xf>
    <xf numFmtId="0" fontId="24" fillId="0" borderId="0" xfId="0" applyFont="1" applyFill="1" applyBorder="1" applyAlignment="1">
      <alignment horizontal="left" vertical="center"/>
    </xf>
    <xf numFmtId="0" fontId="24" fillId="0" borderId="7" xfId="0" applyFont="1" applyFill="1" applyBorder="1" applyAlignment="1">
      <alignment horizontal="left" vertical="center"/>
    </xf>
    <xf numFmtId="0" fontId="24" fillId="0" borderId="18" xfId="0" applyFont="1" applyBorder="1" applyAlignment="1">
      <alignment horizontal="left" vertical="center" wrapText="1"/>
    </xf>
    <xf numFmtId="0" fontId="24" fillId="0" borderId="66" xfId="0" applyFont="1" applyBorder="1" applyAlignment="1">
      <alignment horizontal="left" vertical="center" wrapText="1"/>
    </xf>
    <xf numFmtId="0" fontId="28" fillId="0" borderId="0" xfId="0" applyFont="1" applyFill="1" applyBorder="1" applyAlignment="1">
      <alignment horizontal="left" wrapText="1" indent="1"/>
    </xf>
    <xf numFmtId="0" fontId="28" fillId="0" borderId="0" xfId="0" applyFont="1" applyFill="1" applyBorder="1" applyAlignment="1">
      <alignment horizontal="center" wrapText="1"/>
    </xf>
    <xf numFmtId="0" fontId="26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right" vertical="center"/>
    </xf>
    <xf numFmtId="0" fontId="10" fillId="0" borderId="23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 wrapText="1" indent="1"/>
    </xf>
    <xf numFmtId="0" fontId="11" fillId="0" borderId="2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0" fillId="0" borderId="62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63" xfId="0" applyFont="1" applyBorder="1" applyAlignment="1">
      <alignment horizontal="left" vertical="center" wrapText="1"/>
    </xf>
    <xf numFmtId="164" fontId="14" fillId="0" borderId="16" xfId="0" applyNumberFormat="1" applyFont="1" applyBorder="1" applyAlignment="1">
      <alignment horizontal="center" vertical="center"/>
    </xf>
    <xf numFmtId="164" fontId="14" fillId="0" borderId="17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 indent="1"/>
    </xf>
    <xf numFmtId="0" fontId="10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17" fillId="0" borderId="13" xfId="8" applyFont="1" applyBorder="1" applyAlignment="1">
      <alignment vertical="top" wrapText="1"/>
    </xf>
    <xf numFmtId="0" fontId="17" fillId="0" borderId="0" xfId="8" applyFont="1" applyBorder="1" applyAlignment="1">
      <alignment vertical="top" wrapText="1"/>
    </xf>
    <xf numFmtId="0" fontId="17" fillId="0" borderId="7" xfId="8" applyFont="1" applyBorder="1" applyAlignment="1">
      <alignment vertical="top" wrapText="1"/>
    </xf>
    <xf numFmtId="0" fontId="17" fillId="0" borderId="28" xfId="8" applyFont="1" applyBorder="1" applyAlignment="1">
      <alignment vertical="top" wrapText="1"/>
    </xf>
    <xf numFmtId="0" fontId="17" fillId="0" borderId="29" xfId="8" applyFont="1" applyBorder="1" applyAlignment="1">
      <alignment vertical="top" wrapText="1"/>
    </xf>
    <xf numFmtId="0" fontId="17" fillId="0" borderId="30" xfId="8" applyFont="1" applyBorder="1" applyAlignment="1">
      <alignment vertical="top" wrapText="1"/>
    </xf>
    <xf numFmtId="0" fontId="16" fillId="0" borderId="51" xfId="8" applyFont="1" applyBorder="1" applyAlignment="1">
      <alignment horizontal="left" vertical="center"/>
    </xf>
    <xf numFmtId="0" fontId="16" fillId="0" borderId="51" xfId="8" applyBorder="1" applyAlignment="1">
      <alignment horizontal="left" vertical="center"/>
    </xf>
    <xf numFmtId="0" fontId="16" fillId="0" borderId="54" xfId="8" applyBorder="1" applyAlignment="1">
      <alignment horizontal="left" vertical="center"/>
    </xf>
    <xf numFmtId="0" fontId="17" fillId="0" borderId="57" xfId="8" applyFont="1" applyBorder="1" applyAlignment="1">
      <alignment horizontal="left" vertical="center" wrapText="1"/>
    </xf>
    <xf numFmtId="0" fontId="16" fillId="0" borderId="35" xfId="8" applyBorder="1"/>
    <xf numFmtId="0" fontId="16" fillId="0" borderId="51" xfId="8" applyFont="1" applyBorder="1" applyAlignment="1">
      <alignment horizontal="center" vertical="center"/>
    </xf>
    <xf numFmtId="49" fontId="19" fillId="0" borderId="31" xfId="8" applyNumberFormat="1" applyFont="1" applyBorder="1" applyAlignment="1">
      <alignment horizontal="justify" vertical="center" wrapText="1"/>
    </xf>
    <xf numFmtId="0" fontId="21" fillId="0" borderId="35" xfId="8" applyFont="1" applyBorder="1" applyAlignment="1">
      <alignment horizontal="center" vertical="center"/>
    </xf>
    <xf numFmtId="0" fontId="21" fillId="0" borderId="32" xfId="8" applyFont="1" applyBorder="1" applyAlignment="1">
      <alignment horizontal="center" vertical="center"/>
    </xf>
    <xf numFmtId="0" fontId="21" fillId="0" borderId="37" xfId="8" applyFont="1" applyBorder="1" applyAlignment="1">
      <alignment horizontal="center" vertical="center" wrapText="1"/>
    </xf>
    <xf numFmtId="0" fontId="21" fillId="0" borderId="38" xfId="8" applyFont="1" applyBorder="1" applyAlignment="1">
      <alignment horizontal="center" vertical="center"/>
    </xf>
    <xf numFmtId="0" fontId="16" fillId="0" borderId="45" xfId="8" applyFont="1" applyBorder="1" applyAlignment="1">
      <alignment horizontal="center" vertical="center" wrapText="1"/>
    </xf>
    <xf numFmtId="0" fontId="16" fillId="0" borderId="46" xfId="8" applyFont="1" applyBorder="1" applyAlignment="1">
      <alignment horizontal="center" vertical="center" wrapText="1"/>
    </xf>
    <xf numFmtId="0" fontId="16" fillId="0" borderId="51" xfId="8" applyBorder="1" applyAlignment="1">
      <alignment horizontal="center"/>
    </xf>
    <xf numFmtId="0" fontId="19" fillId="0" borderId="35" xfId="8" applyFont="1" applyBorder="1" applyAlignment="1">
      <alignment horizontal="left"/>
    </xf>
    <xf numFmtId="0" fontId="18" fillId="0" borderId="4" xfId="8" applyFont="1" applyBorder="1" applyAlignment="1">
      <alignment horizontal="center" vertical="center" wrapText="1"/>
    </xf>
    <xf numFmtId="0" fontId="5" fillId="0" borderId="32" xfId="8" applyFont="1" applyBorder="1"/>
    <xf numFmtId="0" fontId="19" fillId="0" borderId="33" xfId="8" applyFont="1" applyBorder="1" applyAlignment="1">
      <alignment horizontal="left" indent="1"/>
    </xf>
    <xf numFmtId="0" fontId="13" fillId="0" borderId="32" xfId="8" applyFont="1" applyBorder="1" applyAlignment="1">
      <alignment horizontal="left" vertical="center" wrapText="1"/>
    </xf>
    <xf numFmtId="0" fontId="19" fillId="0" borderId="59" xfId="8" applyFont="1" applyBorder="1" applyAlignment="1">
      <alignment horizontal="left" wrapText="1" indent="1"/>
    </xf>
    <xf numFmtId="0" fontId="19" fillId="0" borderId="60" xfId="8" applyFont="1" applyBorder="1" applyAlignment="1">
      <alignment horizontal="left" wrapText="1" indent="1"/>
    </xf>
    <xf numFmtId="0" fontId="19" fillId="0" borderId="61" xfId="8" applyFont="1" applyBorder="1" applyAlignment="1">
      <alignment horizontal="left" wrapText="1" indent="1"/>
    </xf>
    <xf numFmtId="0" fontId="20" fillId="0" borderId="34" xfId="8" applyFont="1" applyBorder="1" applyAlignment="1">
      <alignment horizontal="left"/>
    </xf>
    <xf numFmtId="0" fontId="16" fillId="0" borderId="16" xfId="8" applyFont="1" applyBorder="1" applyAlignment="1">
      <alignment horizontal="center"/>
    </xf>
    <xf numFmtId="0" fontId="16" fillId="0" borderId="25" xfId="8" applyFont="1" applyBorder="1" applyAlignment="1">
      <alignment horizontal="center"/>
    </xf>
    <xf numFmtId="0" fontId="16" fillId="0" borderId="17" xfId="8" applyFont="1" applyBorder="1" applyAlignment="1">
      <alignment horizontal="center"/>
    </xf>
  </cellXfs>
  <cellStyles count="14">
    <cellStyle name="Encabezado 1" xfId="1" xr:uid="{00000000-0005-0000-0000-000000000000}"/>
    <cellStyle name="Millares 2" xfId="4" xr:uid="{00000000-0005-0000-0000-000001000000}"/>
    <cellStyle name="Moneda 2" xfId="5" xr:uid="{00000000-0005-0000-0000-000002000000}"/>
    <cellStyle name="Moneda 3" xfId="13" xr:uid="{00000000-0005-0000-0000-000003000000}"/>
    <cellStyle name="Moneda_AUTORIZACION Y NOTA DE PEDIDO" xfId="7" xr:uid="{00000000-0005-0000-0000-000004000000}"/>
    <cellStyle name="Neutral 1" xfId="2" xr:uid="{00000000-0005-0000-0000-000005000000}"/>
    <cellStyle name="Normal" xfId="0" builtinId="0"/>
    <cellStyle name="Normal 2" xfId="3" xr:uid="{00000000-0005-0000-0000-000007000000}"/>
    <cellStyle name="Normal 2 2" xfId="8" xr:uid="{00000000-0005-0000-0000-000008000000}"/>
    <cellStyle name="Normal 3" xfId="6" xr:uid="{00000000-0005-0000-0000-000009000000}"/>
    <cellStyle name="Normal 3 2" xfId="9" xr:uid="{00000000-0005-0000-0000-00000A000000}"/>
    <cellStyle name="Normal 4" xfId="10" xr:uid="{00000000-0005-0000-0000-00000B000000}"/>
    <cellStyle name="Normal 5" xfId="11" xr:uid="{00000000-0005-0000-0000-00000C000000}"/>
    <cellStyle name="Normal 5 2" xfId="12" xr:uid="{00000000-0005-0000-0000-00000D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opLeftCell="A13" workbookViewId="0">
      <selection activeCell="A14" sqref="A14"/>
    </sheetView>
  </sheetViews>
  <sheetFormatPr baseColWidth="10" defaultRowHeight="12.75" x14ac:dyDescent="0.2"/>
  <cols>
    <col min="1" max="1" width="8.42578125" customWidth="1"/>
    <col min="2" max="2" width="17.5703125" customWidth="1"/>
    <col min="3" max="3" width="63.140625" customWidth="1"/>
    <col min="4" max="4" width="8.42578125" customWidth="1"/>
    <col min="5" max="5" width="79" customWidth="1"/>
    <col min="6" max="6" width="11"/>
    <col min="7" max="7" width="13.42578125" customWidth="1"/>
    <col min="8" max="8" width="16.42578125" customWidth="1"/>
    <col min="9" max="9" width="23.5703125" customWidth="1"/>
  </cols>
  <sheetData>
    <row r="1" spans="1:9" x14ac:dyDescent="0.2">
      <c r="A1" s="54"/>
      <c r="B1" s="55"/>
      <c r="C1" s="56"/>
      <c r="D1" s="54"/>
      <c r="E1" s="56"/>
      <c r="F1" s="54"/>
      <c r="G1" s="57"/>
      <c r="H1" s="58"/>
      <c r="I1" s="59"/>
    </row>
    <row r="2" spans="1:9" ht="27" x14ac:dyDescent="0.2">
      <c r="A2" s="54"/>
      <c r="B2" s="123" t="s">
        <v>52</v>
      </c>
      <c r="C2" s="123"/>
      <c r="D2" s="123"/>
      <c r="E2" s="123"/>
      <c r="F2" s="123"/>
      <c r="G2" s="123"/>
      <c r="H2" s="124"/>
      <c r="I2" s="59"/>
    </row>
    <row r="3" spans="1:9" ht="15.75" x14ac:dyDescent="0.25">
      <c r="A3" s="101"/>
      <c r="B3" s="101"/>
      <c r="C3" s="121"/>
      <c r="D3" s="122"/>
      <c r="E3" s="121"/>
      <c r="F3" s="60"/>
      <c r="G3" s="61"/>
      <c r="H3" s="58"/>
      <c r="I3" s="59"/>
    </row>
    <row r="4" spans="1:9" ht="15.75" x14ac:dyDescent="0.25">
      <c r="A4" s="101" t="s">
        <v>53</v>
      </c>
      <c r="B4" s="101"/>
      <c r="C4" s="121" t="s">
        <v>45</v>
      </c>
      <c r="D4" s="122"/>
      <c r="E4" s="121"/>
      <c r="F4" s="60"/>
      <c r="G4" s="61"/>
      <c r="H4" s="58"/>
      <c r="I4" s="59"/>
    </row>
    <row r="5" spans="1:9" ht="15.75" x14ac:dyDescent="0.25">
      <c r="A5" s="101" t="s">
        <v>54</v>
      </c>
      <c r="B5" s="101"/>
      <c r="C5" s="121" t="s">
        <v>55</v>
      </c>
      <c r="D5" s="122"/>
      <c r="E5" s="121"/>
      <c r="F5" s="60"/>
      <c r="G5" s="61"/>
      <c r="H5" s="58"/>
      <c r="I5" s="59"/>
    </row>
    <row r="6" spans="1:9" ht="15.75" x14ac:dyDescent="0.2">
      <c r="A6" s="101" t="s">
        <v>56</v>
      </c>
      <c r="B6" s="101"/>
      <c r="C6" s="62">
        <v>2021</v>
      </c>
      <c r="D6" s="63"/>
      <c r="E6" s="64"/>
      <c r="F6" s="60"/>
      <c r="G6" s="61"/>
      <c r="H6" s="58"/>
      <c r="I6" s="59"/>
    </row>
    <row r="7" spans="1:9" ht="15.75" x14ac:dyDescent="0.2">
      <c r="A7" s="101" t="s">
        <v>57</v>
      </c>
      <c r="B7" s="101"/>
      <c r="C7" s="62" t="s">
        <v>75</v>
      </c>
      <c r="D7" s="63"/>
      <c r="E7" s="64"/>
      <c r="F7" s="60"/>
      <c r="G7" s="61"/>
      <c r="H7" s="58"/>
      <c r="I7" s="59"/>
    </row>
    <row r="8" spans="1:9" ht="13.5" thickBot="1" x14ac:dyDescent="0.25">
      <c r="A8" s="54"/>
      <c r="B8" s="65"/>
      <c r="C8" s="66"/>
      <c r="D8" s="60"/>
      <c r="E8" s="66"/>
      <c r="F8" s="60"/>
      <c r="G8" s="61"/>
      <c r="H8" s="58"/>
      <c r="I8" s="59"/>
    </row>
    <row r="9" spans="1:9" ht="48" thickBot="1" x14ac:dyDescent="0.25">
      <c r="A9" s="67" t="s">
        <v>58</v>
      </c>
      <c r="B9" s="68" t="s">
        <v>59</v>
      </c>
      <c r="C9" s="68" t="s">
        <v>60</v>
      </c>
      <c r="D9" s="69" t="s">
        <v>61</v>
      </c>
      <c r="E9" s="70" t="s">
        <v>62</v>
      </c>
      <c r="F9" s="71" t="s">
        <v>63</v>
      </c>
      <c r="G9" s="68" t="s">
        <v>64</v>
      </c>
      <c r="H9" s="72" t="s">
        <v>65</v>
      </c>
      <c r="I9" s="73" t="s">
        <v>66</v>
      </c>
    </row>
    <row r="10" spans="1:9" ht="29.25" thickBot="1" x14ac:dyDescent="0.25">
      <c r="A10" s="74">
        <v>1</v>
      </c>
      <c r="B10" s="75" t="s">
        <v>51</v>
      </c>
      <c r="C10" s="76" t="s">
        <v>76</v>
      </c>
      <c r="D10" s="77">
        <v>432</v>
      </c>
      <c r="E10" s="78" t="s">
        <v>50</v>
      </c>
      <c r="F10" s="79" t="s">
        <v>39</v>
      </c>
      <c r="G10" s="80">
        <v>1</v>
      </c>
      <c r="H10" s="81">
        <v>7182000</v>
      </c>
      <c r="I10" s="82">
        <f>G10*H10</f>
        <v>7182000</v>
      </c>
    </row>
    <row r="11" spans="1:9" ht="16.5" thickBot="1" x14ac:dyDescent="0.25">
      <c r="A11" s="102"/>
      <c r="B11" s="103"/>
      <c r="C11" s="103"/>
      <c r="D11" s="104"/>
      <c r="E11" s="105" t="s">
        <v>67</v>
      </c>
      <c r="F11" s="106"/>
      <c r="G11" s="106"/>
      <c r="H11" s="107"/>
      <c r="I11" s="83">
        <f>SUM(I10:I10)</f>
        <v>7182000</v>
      </c>
    </row>
    <row r="12" spans="1:9" ht="18.75" thickBot="1" x14ac:dyDescent="0.25">
      <c r="A12" s="108" t="s">
        <v>68</v>
      </c>
      <c r="B12" s="109"/>
      <c r="C12" s="109"/>
      <c r="D12" s="109"/>
      <c r="E12" s="109"/>
      <c r="F12" s="109"/>
      <c r="G12" s="109"/>
      <c r="H12" s="110"/>
      <c r="I12" s="84">
        <f>+I11</f>
        <v>7182000</v>
      </c>
    </row>
    <row r="13" spans="1:9" ht="13.5" thickBot="1" x14ac:dyDescent="0.25">
      <c r="A13" s="54"/>
      <c r="B13" s="55"/>
      <c r="C13" s="56"/>
      <c r="D13" s="54"/>
      <c r="E13" s="56"/>
      <c r="F13" s="54"/>
      <c r="G13" s="57"/>
      <c r="H13" s="58"/>
      <c r="I13" s="59"/>
    </row>
    <row r="14" spans="1:9" ht="231" customHeight="1" x14ac:dyDescent="0.2">
      <c r="A14" s="54"/>
      <c r="B14" s="85" t="s">
        <v>69</v>
      </c>
      <c r="C14" s="119" t="s">
        <v>80</v>
      </c>
      <c r="D14" s="119"/>
      <c r="E14" s="120"/>
      <c r="F14" s="54"/>
      <c r="G14" s="57"/>
      <c r="H14" s="58"/>
      <c r="I14" s="59"/>
    </row>
    <row r="15" spans="1:9" x14ac:dyDescent="0.2">
      <c r="A15" s="54"/>
      <c r="B15" s="86"/>
      <c r="C15" s="87"/>
      <c r="D15" s="88"/>
      <c r="E15" s="89"/>
      <c r="F15" s="54"/>
      <c r="G15" s="57"/>
      <c r="H15" s="58"/>
      <c r="I15" s="59"/>
    </row>
    <row r="16" spans="1:9" x14ac:dyDescent="0.2">
      <c r="A16" s="54"/>
      <c r="B16" s="90" t="s">
        <v>70</v>
      </c>
      <c r="C16" s="111"/>
      <c r="D16" s="111"/>
      <c r="E16" s="112"/>
      <c r="F16" s="54"/>
      <c r="G16" s="57"/>
      <c r="H16" s="58"/>
      <c r="I16" s="59"/>
    </row>
    <row r="17" spans="1:9" x14ac:dyDescent="0.2">
      <c r="A17" s="54"/>
      <c r="B17" s="90"/>
      <c r="C17" s="96"/>
      <c r="D17" s="96"/>
      <c r="E17" s="96"/>
      <c r="F17" s="54"/>
      <c r="G17" s="57"/>
      <c r="H17" s="58"/>
      <c r="I17" s="59"/>
    </row>
    <row r="18" spans="1:9" ht="24" x14ac:dyDescent="0.2">
      <c r="A18" s="54"/>
      <c r="B18" s="90" t="s">
        <v>71</v>
      </c>
      <c r="C18" s="113" t="s">
        <v>81</v>
      </c>
      <c r="D18" s="113"/>
      <c r="E18" s="114"/>
      <c r="F18" s="54"/>
      <c r="G18" s="57"/>
      <c r="H18" s="58"/>
      <c r="I18" s="59"/>
    </row>
    <row r="19" spans="1:9" x14ac:dyDescent="0.2">
      <c r="A19" s="54"/>
      <c r="B19" s="90"/>
      <c r="C19" s="115" t="s">
        <v>77</v>
      </c>
      <c r="D19" s="115"/>
      <c r="E19" s="116"/>
      <c r="F19" s="54"/>
      <c r="G19" s="57"/>
      <c r="H19" s="58"/>
      <c r="I19" s="59"/>
    </row>
    <row r="20" spans="1:9" x14ac:dyDescent="0.2">
      <c r="A20" s="54"/>
      <c r="B20" s="90"/>
      <c r="C20" s="115"/>
      <c r="D20" s="115"/>
      <c r="E20" s="116"/>
      <c r="F20" s="54"/>
      <c r="G20" s="57"/>
      <c r="H20" s="58"/>
      <c r="I20" s="59"/>
    </row>
    <row r="21" spans="1:9" x14ac:dyDescent="0.2">
      <c r="A21" s="54"/>
      <c r="B21" s="86"/>
      <c r="C21" s="117"/>
      <c r="D21" s="117"/>
      <c r="E21" s="118"/>
      <c r="F21" s="54"/>
      <c r="G21" s="57"/>
      <c r="H21" s="58"/>
      <c r="I21" s="59"/>
    </row>
    <row r="22" spans="1:9" x14ac:dyDescent="0.2">
      <c r="A22" s="54"/>
      <c r="B22" s="86"/>
      <c r="C22" s="95"/>
      <c r="D22" s="95"/>
      <c r="E22" s="95"/>
      <c r="F22" s="54"/>
      <c r="G22" s="57"/>
      <c r="H22" s="58"/>
      <c r="I22" s="59"/>
    </row>
    <row r="23" spans="1:9" ht="24" x14ac:dyDescent="0.2">
      <c r="A23" s="54"/>
      <c r="B23" s="90" t="s">
        <v>72</v>
      </c>
      <c r="C23" s="94"/>
      <c r="D23" s="94"/>
      <c r="E23" s="95"/>
      <c r="F23" s="54"/>
      <c r="G23" s="57"/>
      <c r="H23" s="58"/>
      <c r="I23" s="59"/>
    </row>
    <row r="24" spans="1:9" x14ac:dyDescent="0.2">
      <c r="A24" s="54"/>
      <c r="B24" s="86"/>
      <c r="C24" s="96"/>
      <c r="D24" s="96"/>
      <c r="E24" s="96"/>
      <c r="F24" s="54"/>
      <c r="G24" s="57"/>
      <c r="H24" s="58"/>
      <c r="I24" s="59"/>
    </row>
    <row r="25" spans="1:9" x14ac:dyDescent="0.2">
      <c r="A25" s="54"/>
      <c r="B25" s="90" t="s">
        <v>73</v>
      </c>
      <c r="C25" s="97" t="s">
        <v>83</v>
      </c>
      <c r="D25" s="97"/>
      <c r="E25" s="98"/>
      <c r="F25" s="54"/>
      <c r="G25" s="57"/>
      <c r="H25" s="58"/>
      <c r="I25" s="59"/>
    </row>
    <row r="26" spans="1:9" x14ac:dyDescent="0.2">
      <c r="A26" s="54"/>
      <c r="B26" s="86"/>
      <c r="C26" s="96"/>
      <c r="D26" s="96"/>
      <c r="E26" s="96"/>
      <c r="F26" s="54"/>
      <c r="G26" s="57"/>
      <c r="H26" s="58"/>
      <c r="I26" s="59"/>
    </row>
    <row r="27" spans="1:9" x14ac:dyDescent="0.2">
      <c r="A27" s="54"/>
      <c r="B27" s="90" t="s">
        <v>74</v>
      </c>
      <c r="C27" s="99" t="s">
        <v>82</v>
      </c>
      <c r="D27" s="99"/>
      <c r="E27" s="100"/>
      <c r="F27" s="54"/>
      <c r="G27" s="57"/>
      <c r="H27" s="58"/>
      <c r="I27" s="59"/>
    </row>
    <row r="28" spans="1:9" x14ac:dyDescent="0.2">
      <c r="A28" s="54"/>
      <c r="B28" s="90"/>
      <c r="C28" s="95"/>
      <c r="D28" s="95"/>
      <c r="E28" s="95"/>
      <c r="F28" s="54"/>
      <c r="G28" s="57"/>
      <c r="H28" s="58"/>
      <c r="I28" s="59"/>
    </row>
    <row r="29" spans="1:9" ht="13.5" thickBot="1" x14ac:dyDescent="0.25">
      <c r="A29" s="54"/>
      <c r="B29" s="91"/>
      <c r="C29" s="92"/>
      <c r="D29" s="92"/>
      <c r="E29" s="93"/>
      <c r="F29" s="54"/>
      <c r="G29" s="57"/>
      <c r="H29" s="58"/>
      <c r="I29" s="59"/>
    </row>
  </sheetData>
  <mergeCells count="27">
    <mergeCell ref="A5:B5"/>
    <mergeCell ref="C5:E5"/>
    <mergeCell ref="B2:H2"/>
    <mergeCell ref="A3:B3"/>
    <mergeCell ref="C3:E3"/>
    <mergeCell ref="A4:B4"/>
    <mergeCell ref="C4:E4"/>
    <mergeCell ref="C22:E22"/>
    <mergeCell ref="A6:B6"/>
    <mergeCell ref="A7:B7"/>
    <mergeCell ref="A11:D11"/>
    <mergeCell ref="E11:H11"/>
    <mergeCell ref="A12:H12"/>
    <mergeCell ref="C16:E16"/>
    <mergeCell ref="C17:E17"/>
    <mergeCell ref="C18:E18"/>
    <mergeCell ref="C19:E19"/>
    <mergeCell ref="C20:E20"/>
    <mergeCell ref="C21:E21"/>
    <mergeCell ref="C14:E14"/>
    <mergeCell ref="C29:E29"/>
    <mergeCell ref="C23:E23"/>
    <mergeCell ref="C24:E24"/>
    <mergeCell ref="C25:E25"/>
    <mergeCell ref="C26:E26"/>
    <mergeCell ref="C27:E27"/>
    <mergeCell ref="C28:E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4"/>
  <sheetViews>
    <sheetView zoomScale="115" zoomScaleNormal="115" workbookViewId="0">
      <selection activeCell="D7" sqref="D7:K7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6.4257812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147" t="s">
        <v>0</v>
      </c>
      <c r="B1" s="147"/>
      <c r="C1" s="147"/>
      <c r="D1" s="147"/>
      <c r="E1" s="147"/>
      <c r="F1" s="147"/>
      <c r="G1" s="147"/>
      <c r="H1" s="147"/>
      <c r="I1" s="147"/>
      <c r="J1" s="2" t="s">
        <v>1</v>
      </c>
      <c r="K1" s="3" t="s">
        <v>79</v>
      </c>
    </row>
    <row r="2" spans="1:11" ht="18.75" customHeight="1" x14ac:dyDescent="0.2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x14ac:dyDescent="0.2">
      <c r="A3" s="146" t="s">
        <v>2</v>
      </c>
      <c r="B3" s="146"/>
      <c r="C3" s="146"/>
      <c r="D3" s="145" t="s">
        <v>45</v>
      </c>
      <c r="E3" s="145"/>
      <c r="F3" s="145"/>
      <c r="G3" s="145"/>
      <c r="H3" s="145"/>
      <c r="I3" s="145"/>
      <c r="J3" s="145"/>
      <c r="K3" s="145"/>
    </row>
    <row r="4" spans="1:11" ht="18.75" customHeight="1" x14ac:dyDescent="0.2">
      <c r="A4" s="144" t="s">
        <v>3</v>
      </c>
      <c r="B4" s="144"/>
      <c r="C4" s="144"/>
      <c r="D4" s="145" t="s">
        <v>49</v>
      </c>
      <c r="E4" s="145"/>
      <c r="F4" s="145"/>
      <c r="G4" s="145"/>
      <c r="H4" s="145"/>
      <c r="I4" s="145"/>
      <c r="J4" s="145"/>
      <c r="K4" s="145"/>
    </row>
    <row r="5" spans="1:11" ht="18.75" customHeight="1" x14ac:dyDescent="0.2">
      <c r="A5" s="144" t="s">
        <v>4</v>
      </c>
      <c r="B5" s="144"/>
      <c r="C5" s="144"/>
      <c r="D5" s="145" t="s">
        <v>47</v>
      </c>
      <c r="E5" s="145"/>
      <c r="F5" s="145"/>
      <c r="G5" s="145"/>
      <c r="H5" s="145"/>
      <c r="I5" s="145"/>
      <c r="J5" s="145"/>
      <c r="K5" s="145"/>
    </row>
    <row r="6" spans="1:11" ht="16.5" customHeight="1" x14ac:dyDescent="0.2">
      <c r="A6" s="146" t="s">
        <v>5</v>
      </c>
      <c r="B6" s="146"/>
      <c r="C6" s="146"/>
      <c r="D6" s="145" t="s">
        <v>47</v>
      </c>
      <c r="E6" s="145"/>
      <c r="F6" s="145"/>
      <c r="G6" s="145"/>
      <c r="H6" s="145"/>
      <c r="I6" s="145"/>
      <c r="J6" s="145"/>
      <c r="K6" s="145"/>
    </row>
    <row r="7" spans="1:11" ht="16.5" customHeight="1" x14ac:dyDescent="0.2">
      <c r="A7" s="144" t="s">
        <v>6</v>
      </c>
      <c r="B7" s="144"/>
      <c r="C7" s="144"/>
      <c r="D7" s="145" t="s">
        <v>44</v>
      </c>
      <c r="E7" s="145"/>
      <c r="F7" s="145"/>
      <c r="G7" s="145"/>
      <c r="H7" s="145"/>
      <c r="I7" s="145"/>
      <c r="J7" s="145"/>
      <c r="K7" s="145"/>
    </row>
    <row r="8" spans="1:11" ht="16.5" customHeight="1" x14ac:dyDescent="0.2">
      <c r="A8" s="131" t="s">
        <v>7</v>
      </c>
      <c r="B8" s="131"/>
      <c r="C8" s="131"/>
      <c r="D8" s="132" t="s">
        <v>43</v>
      </c>
      <c r="E8" s="132"/>
      <c r="F8" s="132"/>
      <c r="G8" s="132"/>
      <c r="H8" s="132"/>
      <c r="I8" s="132"/>
      <c r="J8" s="132"/>
      <c r="K8" s="132"/>
    </row>
    <row r="9" spans="1:11" ht="16.5" thickBot="1" x14ac:dyDescent="0.25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1" ht="18.75" customHeight="1" thickBot="1" x14ac:dyDescent="0.25">
      <c r="A10" s="133" t="s">
        <v>8</v>
      </c>
      <c r="B10" s="134" t="s">
        <v>9</v>
      </c>
      <c r="C10" s="136" t="s">
        <v>10</v>
      </c>
      <c r="D10" s="137"/>
      <c r="E10" s="137"/>
      <c r="F10" s="137"/>
      <c r="G10" s="137"/>
      <c r="H10" s="137" t="s">
        <v>11</v>
      </c>
      <c r="I10" s="137" t="s">
        <v>12</v>
      </c>
      <c r="J10" s="137" t="s">
        <v>13</v>
      </c>
      <c r="K10" s="138" t="s">
        <v>14</v>
      </c>
    </row>
    <row r="11" spans="1:11" ht="24" customHeight="1" thickBot="1" x14ac:dyDescent="0.25">
      <c r="A11" s="133"/>
      <c r="B11" s="135"/>
      <c r="C11" s="136"/>
      <c r="D11" s="137"/>
      <c r="E11" s="137"/>
      <c r="F11" s="137"/>
      <c r="G11" s="137"/>
      <c r="H11" s="137"/>
      <c r="I11" s="137"/>
      <c r="J11" s="137"/>
      <c r="K11" s="138"/>
    </row>
    <row r="12" spans="1:11" ht="85.5" customHeight="1" thickBot="1" x14ac:dyDescent="0.25">
      <c r="A12" s="14">
        <v>1</v>
      </c>
      <c r="B12" s="15" t="s">
        <v>51</v>
      </c>
      <c r="C12" s="125" t="s">
        <v>50</v>
      </c>
      <c r="D12" s="126"/>
      <c r="E12" s="126"/>
      <c r="F12" s="126"/>
      <c r="G12" s="127"/>
      <c r="H12" s="16" t="s">
        <v>15</v>
      </c>
      <c r="I12" s="12" t="s">
        <v>39</v>
      </c>
      <c r="J12" s="53">
        <v>7182000</v>
      </c>
      <c r="K12" s="13">
        <v>1</v>
      </c>
    </row>
    <row r="13" spans="1:11" ht="33.75" customHeight="1" thickBot="1" x14ac:dyDescent="0.25">
      <c r="A13" s="14"/>
      <c r="B13" s="15"/>
      <c r="C13" s="139"/>
      <c r="D13" s="140"/>
      <c r="E13" s="140"/>
      <c r="F13" s="140"/>
      <c r="G13" s="141"/>
      <c r="H13" s="16"/>
      <c r="I13" s="12"/>
      <c r="J13" s="53"/>
      <c r="K13" s="13"/>
    </row>
    <row r="14" spans="1:11" ht="38.25" customHeight="1" thickBot="1" x14ac:dyDescent="0.25">
      <c r="A14" s="128" t="s">
        <v>41</v>
      </c>
      <c r="B14" s="129"/>
      <c r="C14" s="129"/>
      <c r="D14" s="129"/>
      <c r="E14" s="129"/>
      <c r="F14" s="129"/>
      <c r="G14" s="129"/>
      <c r="H14" s="129"/>
      <c r="I14" s="130"/>
      <c r="J14" s="142">
        <f>+J12+J13</f>
        <v>7182000</v>
      </c>
      <c r="K14" s="143"/>
    </row>
  </sheetData>
  <mergeCells count="24"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C12:G12"/>
    <mergeCell ref="A14:I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3:G13"/>
    <mergeCell ref="J14:K14"/>
  </mergeCells>
  <printOptions horizontalCentered="1"/>
  <pageMargins left="0.196527777777778" right="0.196527777777778" top="0.98402777777777795" bottom="0.98402777777777795" header="0.51180555555555496" footer="0.51180555555555496"/>
  <pageSetup paperSize="190" firstPageNumber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1"/>
  <sheetViews>
    <sheetView tabSelected="1" topLeftCell="A7" zoomScale="130" zoomScaleNormal="130" workbookViewId="0">
      <selection activeCell="A39" sqref="A39:Q41"/>
    </sheetView>
  </sheetViews>
  <sheetFormatPr baseColWidth="10" defaultRowHeight="12.75" x14ac:dyDescent="0.2"/>
  <cols>
    <col min="1" max="5" width="5" customWidth="1"/>
    <col min="6" max="6" width="6.42578125" customWidth="1"/>
    <col min="7" max="14" width="5" customWidth="1"/>
    <col min="17" max="17" width="14.28515625" bestFit="1" customWidth="1"/>
  </cols>
  <sheetData>
    <row r="1" spans="1:17" ht="15.75" thickBot="1" x14ac:dyDescent="0.3">
      <c r="A1" s="177" t="s">
        <v>16</v>
      </c>
      <c r="B1" s="178"/>
      <c r="C1" s="178"/>
      <c r="D1" s="178"/>
      <c r="E1" s="179"/>
      <c r="F1" s="17"/>
      <c r="G1" s="17"/>
      <c r="H1" s="18"/>
      <c r="I1" s="18"/>
      <c r="J1" s="18"/>
      <c r="K1" s="18"/>
      <c r="L1" s="18"/>
      <c r="M1" s="18"/>
      <c r="N1" s="18"/>
      <c r="O1" s="19"/>
      <c r="P1" s="169" t="s">
        <v>17</v>
      </c>
      <c r="Q1" s="169"/>
    </row>
    <row r="2" spans="1:17" ht="13.5" thickBot="1" x14ac:dyDescent="0.25">
      <c r="A2" s="20"/>
      <c r="B2" s="21"/>
      <c r="C2" s="21"/>
      <c r="D2" s="21"/>
      <c r="E2" s="21"/>
      <c r="F2" s="21"/>
      <c r="G2" s="22"/>
      <c r="H2" s="23"/>
      <c r="I2" s="23"/>
      <c r="J2" s="23"/>
      <c r="K2" s="23"/>
      <c r="L2" s="23"/>
      <c r="M2" s="23"/>
      <c r="N2" s="23"/>
      <c r="O2" s="21"/>
      <c r="P2" s="169"/>
      <c r="Q2" s="169"/>
    </row>
    <row r="3" spans="1:17" ht="13.5" thickBot="1" x14ac:dyDescent="0.25">
      <c r="A3" s="20"/>
      <c r="B3" s="21"/>
      <c r="C3" s="21"/>
      <c r="D3" s="21"/>
      <c r="E3" s="21"/>
      <c r="F3" s="21"/>
      <c r="G3" s="22"/>
      <c r="H3" s="21"/>
      <c r="I3" s="21"/>
      <c r="J3" s="21"/>
      <c r="K3" s="21"/>
      <c r="L3" s="21"/>
      <c r="M3" s="21"/>
      <c r="N3" s="21"/>
      <c r="O3" s="21"/>
      <c r="P3" s="21"/>
      <c r="Q3" s="24"/>
    </row>
    <row r="4" spans="1:17" ht="15" thickBot="1" x14ac:dyDescent="0.25">
      <c r="A4" s="170" t="s">
        <v>18</v>
      </c>
      <c r="B4" s="170"/>
      <c r="C4" s="170"/>
      <c r="D4" s="170"/>
      <c r="E4" s="170"/>
      <c r="F4" s="170"/>
      <c r="G4" s="171" t="s">
        <v>45</v>
      </c>
      <c r="H4" s="171"/>
      <c r="I4" s="171"/>
      <c r="J4" s="171"/>
      <c r="K4" s="171"/>
      <c r="L4" s="171"/>
      <c r="M4" s="171"/>
      <c r="N4" s="171"/>
      <c r="O4" s="171"/>
      <c r="P4" s="171"/>
      <c r="Q4" s="171"/>
    </row>
    <row r="5" spans="1:17" ht="31.5" customHeight="1" thickBot="1" x14ac:dyDescent="0.25">
      <c r="A5" s="172" t="s">
        <v>3</v>
      </c>
      <c r="B5" s="172"/>
      <c r="C5" s="172"/>
      <c r="D5" s="172"/>
      <c r="E5" s="172"/>
      <c r="F5" s="172"/>
      <c r="G5" s="173" t="s">
        <v>46</v>
      </c>
      <c r="H5" s="174"/>
      <c r="I5" s="174"/>
      <c r="J5" s="174"/>
      <c r="K5" s="174"/>
      <c r="L5" s="174"/>
      <c r="M5" s="174"/>
      <c r="N5" s="174"/>
      <c r="O5" s="174"/>
      <c r="P5" s="174"/>
      <c r="Q5" s="175"/>
    </row>
    <row r="6" spans="1:17" ht="15" thickBot="1" x14ac:dyDescent="0.25">
      <c r="A6" s="172" t="s">
        <v>4</v>
      </c>
      <c r="B6" s="172"/>
      <c r="C6" s="172"/>
      <c r="D6" s="172"/>
      <c r="E6" s="172"/>
      <c r="F6" s="172"/>
      <c r="G6" s="171" t="s">
        <v>47</v>
      </c>
      <c r="H6" s="171"/>
      <c r="I6" s="171"/>
      <c r="J6" s="171"/>
      <c r="K6" s="171"/>
      <c r="L6" s="171"/>
      <c r="M6" s="171"/>
      <c r="N6" s="171"/>
      <c r="O6" s="171"/>
      <c r="P6" s="171"/>
      <c r="Q6" s="171"/>
    </row>
    <row r="7" spans="1:17" ht="15" thickBot="1" x14ac:dyDescent="0.25">
      <c r="A7" s="172" t="s">
        <v>5</v>
      </c>
      <c r="B7" s="172"/>
      <c r="C7" s="172"/>
      <c r="D7" s="172"/>
      <c r="E7" s="172"/>
      <c r="F7" s="172"/>
      <c r="G7" s="171" t="s">
        <v>47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</row>
    <row r="8" spans="1:17" ht="13.5" thickBot="1" x14ac:dyDescent="0.25">
      <c r="A8" s="176" t="s">
        <v>19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</row>
    <row r="9" spans="1:17" ht="14.25" x14ac:dyDescent="0.2">
      <c r="A9" s="168" t="s">
        <v>20</v>
      </c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</row>
    <row r="10" spans="1:17" ht="51.75" customHeight="1" x14ac:dyDescent="0.2">
      <c r="A10" s="160" t="s">
        <v>78</v>
      </c>
      <c r="B10" s="160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</row>
    <row r="11" spans="1:17" ht="13.5" thickBot="1" x14ac:dyDescent="0.25">
      <c r="A11" s="25"/>
      <c r="B11" s="26"/>
      <c r="C11" s="26"/>
      <c r="D11" s="26"/>
      <c r="E11" s="26"/>
      <c r="F11" s="26"/>
      <c r="G11" s="27"/>
      <c r="H11" s="26"/>
      <c r="I11" s="26"/>
      <c r="J11" s="26"/>
      <c r="K11" s="26"/>
      <c r="L11" s="26"/>
      <c r="M11" s="26"/>
      <c r="N11" s="26"/>
      <c r="O11" s="26"/>
      <c r="P11" s="26"/>
      <c r="Q11" s="28"/>
    </row>
    <row r="12" spans="1:17" ht="13.5" thickBot="1" x14ac:dyDescent="0.25">
      <c r="A12" s="161" t="s">
        <v>21</v>
      </c>
      <c r="B12" s="161"/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</row>
    <row r="13" spans="1:17" ht="23.25" customHeight="1" thickBot="1" x14ac:dyDescent="0.25">
      <c r="A13" s="162" t="s">
        <v>22</v>
      </c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3" t="s">
        <v>23</v>
      </c>
      <c r="P13" s="163"/>
      <c r="Q13" s="164" t="s">
        <v>24</v>
      </c>
    </row>
    <row r="14" spans="1:17" ht="21" customHeight="1" thickBot="1" x14ac:dyDescent="0.25">
      <c r="A14" s="29" t="s">
        <v>25</v>
      </c>
      <c r="B14" s="30" t="s">
        <v>26</v>
      </c>
      <c r="C14" s="30" t="s">
        <v>27</v>
      </c>
      <c r="D14" s="30" t="s">
        <v>28</v>
      </c>
      <c r="E14" s="30" t="s">
        <v>29</v>
      </c>
      <c r="F14" s="30" t="s">
        <v>30</v>
      </c>
      <c r="G14" s="31" t="s">
        <v>31</v>
      </c>
      <c r="H14" s="30" t="s">
        <v>32</v>
      </c>
      <c r="I14" s="30" t="s">
        <v>33</v>
      </c>
      <c r="J14" s="30" t="s">
        <v>34</v>
      </c>
      <c r="K14" s="30" t="s">
        <v>34</v>
      </c>
      <c r="L14" s="30" t="s">
        <v>35</v>
      </c>
      <c r="M14" s="32" t="s">
        <v>36</v>
      </c>
      <c r="N14" s="33" t="s">
        <v>37</v>
      </c>
      <c r="O14" s="163"/>
      <c r="P14" s="163"/>
      <c r="Q14" s="164"/>
    </row>
    <row r="15" spans="1:17" ht="33" customHeight="1" x14ac:dyDescent="0.2">
      <c r="A15" s="34">
        <v>3</v>
      </c>
      <c r="B15" s="35"/>
      <c r="C15" s="35"/>
      <c r="D15" s="35">
        <v>1</v>
      </c>
      <c r="E15" s="35"/>
      <c r="F15" s="35">
        <v>4901</v>
      </c>
      <c r="G15" s="35">
        <v>1</v>
      </c>
      <c r="H15" s="35">
        <v>3</v>
      </c>
      <c r="I15" s="35">
        <v>4</v>
      </c>
      <c r="J15" s="35">
        <v>3</v>
      </c>
      <c r="K15" s="35">
        <v>2</v>
      </c>
      <c r="L15" s="35"/>
      <c r="M15" s="36">
        <v>1</v>
      </c>
      <c r="N15" s="35" t="s">
        <v>38</v>
      </c>
      <c r="O15" s="165" t="s">
        <v>40</v>
      </c>
      <c r="P15" s="166"/>
      <c r="Q15" s="37">
        <v>7182000</v>
      </c>
    </row>
    <row r="16" spans="1:17" x14ac:dyDescent="0.2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40"/>
      <c r="N16" s="41"/>
      <c r="O16" s="167"/>
      <c r="P16" s="167"/>
      <c r="Q16" s="42"/>
    </row>
    <row r="17" spans="1:17" x14ac:dyDescent="0.2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40"/>
      <c r="N17" s="41"/>
      <c r="O17" s="159"/>
      <c r="P17" s="159"/>
      <c r="Q17" s="42"/>
    </row>
    <row r="18" spans="1:17" x14ac:dyDescent="0.2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40"/>
      <c r="N18" s="41"/>
      <c r="O18" s="159"/>
      <c r="P18" s="159"/>
      <c r="Q18" s="42"/>
    </row>
    <row r="19" spans="1:17" x14ac:dyDescent="0.2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40"/>
      <c r="N19" s="41"/>
      <c r="O19" s="159"/>
      <c r="P19" s="159"/>
      <c r="Q19" s="42"/>
    </row>
    <row r="20" spans="1:17" x14ac:dyDescent="0.2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40"/>
      <c r="N20" s="41"/>
      <c r="O20" s="159"/>
      <c r="P20" s="159"/>
      <c r="Q20" s="42"/>
    </row>
    <row r="21" spans="1:17" x14ac:dyDescent="0.2">
      <c r="A21" s="3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40"/>
      <c r="N21" s="41"/>
      <c r="O21" s="159"/>
      <c r="P21" s="159"/>
      <c r="Q21" s="42"/>
    </row>
    <row r="22" spans="1:17" x14ac:dyDescent="0.2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40"/>
      <c r="N22" s="41"/>
      <c r="O22" s="159"/>
      <c r="P22" s="159"/>
      <c r="Q22" s="42"/>
    </row>
    <row r="23" spans="1:17" x14ac:dyDescent="0.2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40"/>
      <c r="N23" s="41"/>
      <c r="O23" s="159"/>
      <c r="P23" s="159"/>
      <c r="Q23" s="42"/>
    </row>
    <row r="24" spans="1:17" x14ac:dyDescent="0.2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40"/>
      <c r="N24" s="41"/>
      <c r="O24" s="159"/>
      <c r="P24" s="159"/>
      <c r="Q24" s="42"/>
    </row>
    <row r="25" spans="1:17" x14ac:dyDescent="0.2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40"/>
      <c r="N25" s="41"/>
      <c r="O25" s="159"/>
      <c r="P25" s="159"/>
      <c r="Q25" s="42"/>
    </row>
    <row r="26" spans="1:17" x14ac:dyDescent="0.2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40"/>
      <c r="N26" s="41"/>
      <c r="O26" s="159"/>
      <c r="P26" s="159"/>
      <c r="Q26" s="42"/>
    </row>
    <row r="27" spans="1:17" x14ac:dyDescent="0.2">
      <c r="A27" s="3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40"/>
      <c r="N27" s="41"/>
      <c r="O27" s="159"/>
      <c r="P27" s="159"/>
      <c r="Q27" s="42"/>
    </row>
    <row r="28" spans="1:17" x14ac:dyDescent="0.2">
      <c r="A28" s="3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40"/>
      <c r="N28" s="41"/>
      <c r="O28" s="159"/>
      <c r="P28" s="159"/>
      <c r="Q28" s="42"/>
    </row>
    <row r="29" spans="1:17" x14ac:dyDescent="0.2">
      <c r="A29" s="3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40"/>
      <c r="N29" s="41"/>
      <c r="O29" s="159"/>
      <c r="P29" s="159"/>
      <c r="Q29" s="42"/>
    </row>
    <row r="30" spans="1:17" x14ac:dyDescent="0.2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40"/>
      <c r="N30" s="41"/>
      <c r="O30" s="159"/>
      <c r="P30" s="159"/>
      <c r="Q30" s="42"/>
    </row>
    <row r="31" spans="1:17" x14ac:dyDescent="0.2">
      <c r="A31" s="38"/>
      <c r="B31" s="39"/>
      <c r="C31" s="39"/>
      <c r="D31" s="39"/>
      <c r="E31" s="39"/>
      <c r="F31" s="41"/>
      <c r="G31" s="39"/>
      <c r="H31" s="39"/>
      <c r="I31" s="39"/>
      <c r="J31" s="39"/>
      <c r="K31" s="39"/>
      <c r="L31" s="39"/>
      <c r="M31" s="40"/>
      <c r="N31" s="41"/>
      <c r="O31" s="154"/>
      <c r="P31" s="154"/>
      <c r="Q31" s="42"/>
    </row>
    <row r="32" spans="1:17" x14ac:dyDescent="0.2">
      <c r="A32" s="3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40"/>
      <c r="N32" s="41"/>
      <c r="O32" s="154"/>
      <c r="P32" s="154"/>
      <c r="Q32" s="42"/>
    </row>
    <row r="33" spans="1:17" x14ac:dyDescent="0.2">
      <c r="A33" s="38"/>
      <c r="B33" s="39"/>
      <c r="C33" s="39"/>
      <c r="D33" s="39"/>
      <c r="E33" s="39"/>
      <c r="F33" s="41"/>
      <c r="G33" s="39"/>
      <c r="H33" s="39"/>
      <c r="I33" s="39"/>
      <c r="J33" s="39"/>
      <c r="K33" s="39"/>
      <c r="L33" s="39"/>
      <c r="M33" s="40"/>
      <c r="N33" s="41"/>
      <c r="O33" s="154"/>
      <c r="P33" s="154"/>
      <c r="Q33" s="42"/>
    </row>
    <row r="34" spans="1:17" x14ac:dyDescent="0.2">
      <c r="A34" s="38"/>
      <c r="B34" s="39"/>
      <c r="C34" s="39"/>
      <c r="D34" s="39"/>
      <c r="E34" s="39"/>
      <c r="F34" s="41"/>
      <c r="G34" s="39"/>
      <c r="H34" s="39"/>
      <c r="I34" s="39"/>
      <c r="J34" s="39"/>
      <c r="K34" s="39"/>
      <c r="L34" s="39"/>
      <c r="M34" s="40"/>
      <c r="N34" s="41"/>
      <c r="O34" s="154"/>
      <c r="P34" s="154"/>
      <c r="Q34" s="42"/>
    </row>
    <row r="35" spans="1:17" ht="14.25" x14ac:dyDescent="0.2">
      <c r="A35" s="43"/>
      <c r="B35" s="44"/>
      <c r="C35" s="44"/>
      <c r="D35" s="44"/>
      <c r="E35" s="44"/>
      <c r="F35" s="45"/>
      <c r="G35" s="44"/>
      <c r="H35" s="44"/>
      <c r="I35" s="44"/>
      <c r="J35" s="44"/>
      <c r="K35" s="44"/>
      <c r="L35" s="44"/>
      <c r="M35" s="46"/>
      <c r="N35" s="47"/>
      <c r="O35" s="155"/>
      <c r="P35" s="155"/>
      <c r="Q35" s="42"/>
    </row>
    <row r="36" spans="1:17" ht="13.5" thickBot="1" x14ac:dyDescent="0.25">
      <c r="A36" s="48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50"/>
      <c r="N36" s="49"/>
      <c r="O36" s="156"/>
      <c r="P36" s="156"/>
      <c r="Q36" s="51"/>
    </row>
    <row r="37" spans="1:17" ht="28.5" customHeight="1" thickBot="1" x14ac:dyDescent="0.25">
      <c r="A37" s="157" t="s">
        <v>42</v>
      </c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52">
        <f>SUM(Q15:Q36)</f>
        <v>7182000</v>
      </c>
    </row>
    <row r="38" spans="1:17" x14ac:dyDescent="0.2">
      <c r="A38" s="158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</row>
    <row r="39" spans="1:17" x14ac:dyDescent="0.2">
      <c r="A39" s="148" t="s">
        <v>48</v>
      </c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50"/>
    </row>
    <row r="40" spans="1:17" x14ac:dyDescent="0.2">
      <c r="A40" s="148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50"/>
    </row>
    <row r="41" spans="1:17" ht="27" customHeight="1" thickBot="1" x14ac:dyDescent="0.25">
      <c r="A41" s="151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3"/>
    </row>
  </sheetData>
  <mergeCells count="42">
    <mergeCell ref="A9:Q9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1:E1"/>
    <mergeCell ref="O20:P20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32:P32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A39:Q41"/>
    <mergeCell ref="O33:P33"/>
    <mergeCell ref="O34:P34"/>
    <mergeCell ref="O35:P35"/>
    <mergeCell ref="O36:P36"/>
    <mergeCell ref="A37:P37"/>
    <mergeCell ref="A38:Q38"/>
  </mergeCells>
  <pageMargins left="0.25" right="0.25" top="0.75" bottom="0.75" header="0.3" footer="0.3"/>
  <pageSetup paperSize="14" scale="9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Trimestral</vt:lpstr>
      <vt:lpstr> NotaPedido</vt:lpstr>
      <vt:lpstr>APG</vt:lpstr>
      <vt:lpstr>' NotaPedido'!Área_de_impresión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USUARIO</cp:lastModifiedBy>
  <cp:revision>3</cp:revision>
  <cp:lastPrinted>2021-03-10T14:02:30Z</cp:lastPrinted>
  <dcterms:created xsi:type="dcterms:W3CDTF">2020-07-17T23:44:49Z</dcterms:created>
  <dcterms:modified xsi:type="dcterms:W3CDTF">2021-08-13T12:34:08Z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