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2A98D847-3A20-4B22-9A19-20BACDC7347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NotaPedido'!$A$11:$K$143</definedName>
    <definedName name="_xlnm._FilterDatabase" localSheetId="0" hidden="1">'Necesidades Trimestrales'!$A$9:$K$140</definedName>
  </definedNames>
  <calcPr calcId="181029"/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I117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C12" i="2" l="1"/>
  <c r="J12" i="2"/>
  <c r="J143" i="2" s="1"/>
  <c r="I12" i="2"/>
  <c r="B12" i="2"/>
  <c r="Q23" i="3" l="1"/>
  <c r="A10" i="3"/>
  <c r="G7" i="3"/>
  <c r="G6" i="3"/>
  <c r="D1" i="3"/>
  <c r="D4" i="2"/>
  <c r="G5" i="3" s="1"/>
  <c r="D3" i="2"/>
  <c r="G4" i="3" s="1"/>
  <c r="I10" i="1"/>
</calcChain>
</file>

<file path=xl/sharedStrings.xml><?xml version="1.0" encoding="utf-8"?>
<sst xmlns="http://schemas.openxmlformats.org/spreadsheetml/2006/main" count="795" uniqueCount="357">
  <si>
    <t>Pedido de Necesidades Trimestrales</t>
  </si>
  <si>
    <t>JURISDICCION:</t>
  </si>
  <si>
    <t>040 - Ministerio de Salud</t>
  </si>
  <si>
    <t xml:space="preserve">SAF N°: </t>
  </si>
  <si>
    <t>11/ 23/ 24  o  28- "…......."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</si>
  <si>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</si>
  <si>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</si>
  <si>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</si>
  <si>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</si>
  <si>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</si>
  <si>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</si>
  <si>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</si>
  <si>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</si>
  <si>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</si>
  <si>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</si>
  <si>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</si>
  <si>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COMPRIMIDO</t>
  </si>
  <si>
    <t>AMPOLLA</t>
  </si>
  <si>
    <t>FRASCO</t>
  </si>
  <si>
    <t>CAPSULAS</t>
  </si>
  <si>
    <t>KIT</t>
  </si>
  <si>
    <t>ENVASE</t>
  </si>
  <si>
    <t>UNIDAD</t>
  </si>
  <si>
    <t>GOTERO</t>
  </si>
  <si>
    <t>CAJA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</si>
  <si>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…........................... DE XX:00 AXX:00HS.,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</si>
  <si>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XXXX</t>
    </r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</si>
  <si>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esperada:</t>
    </r>
  </si>
  <si>
    <t>NOTA DE PEDIDO</t>
  </si>
  <si>
    <t>N°</t>
  </si>
  <si>
    <t>xxx/2022</t>
  </si>
  <si>
    <t xml:space="preserve">JURISDICCIÓN: </t>
  </si>
  <si>
    <t>SAF:</t>
  </si>
  <si>
    <t>UNIDAD EJECUTORA:</t>
  </si>
  <si>
    <t>XXXX</t>
  </si>
  <si>
    <t xml:space="preserve">DEPENDENCIA SOLICITANTE: </t>
  </si>
  <si>
    <t>PERIODO UTILIZACIÓN:</t>
  </si>
  <si>
    <t>Semestral</t>
  </si>
  <si>
    <t>OBJETO:</t>
  </si>
  <si>
    <t>Adquisición de TERAPIA ANTIINFECCIOSA SISTEMICA/SUEROS INMUNES E INMUNOGLOBULINAS  Y MEDIOS DE CONTRASTES /ANALGESICOS ANTINFLAMATORIOS /MIORRELAJANTES/ANESTESICOS/ANALGESICOS OPIACIOS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</si>
  <si>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</si>
  <si>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</si>
  <si>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</si>
  <si>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</si>
  <si>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</si>
  <si>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</si>
  <si>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</si>
  <si>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</si>
  <si>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xxxxxxxxxxxxxxxxxxxx con 00/100.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</si>
  <si>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</si>
  <si>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</si>
  <si>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</si>
  <si>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</si>
  <si>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</si>
  <si>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</si>
  <si>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</si>
  <si>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</si>
  <si>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</si>
  <si>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</si>
  <si>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</si>
  <si>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</si>
  <si>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</si>
  <si>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</si>
  <si>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</si>
  <si>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</si>
  <si>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</si>
  <si>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</si>
  <si>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</si>
  <si>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</si>
  <si>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</si>
  <si>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</si>
  <si>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xxxxxxxxxxxxxxx con 00/100.</t>
  </si>
  <si>
    <t>JUSTIFICACIÓN:</t>
  </si>
  <si>
    <t>Para la adquisición de .... … destinados al servico de …... del Hospital …...............</t>
  </si>
  <si>
    <t>2.5.2-1829.24</t>
  </si>
  <si>
    <t>PROD. MEDICO/FARMACEUTICOS/LAB</t>
  </si>
  <si>
    <t>2.5.2-1829.35</t>
  </si>
  <si>
    <t>2.5.2-1821.235</t>
  </si>
  <si>
    <t>2.5.2-1724.3</t>
  </si>
  <si>
    <t>2.5.2-1724.16</t>
  </si>
  <si>
    <t>2.5.2-1864.6</t>
  </si>
  <si>
    <t>2.5.2-1821.1</t>
  </si>
  <si>
    <t>2.5.2-1821.440</t>
  </si>
  <si>
    <t>2.5.2-1821.9</t>
  </si>
  <si>
    <t>2.5.2-1821.399</t>
  </si>
  <si>
    <t>2.5.2-1821.389</t>
  </si>
  <si>
    <t>2.5.2-1821.8</t>
  </si>
  <si>
    <t>2.5.2-1821.5</t>
  </si>
  <si>
    <t>2.5.2-1823.1</t>
  </si>
  <si>
    <t>2.5.2-1821.94</t>
  </si>
  <si>
    <t>2.5.2-1821.502</t>
  </si>
  <si>
    <t>2.5.2-1837.19</t>
  </si>
  <si>
    <t>2.5.2-1883.139</t>
  </si>
  <si>
    <t>2.5.2-1883.24</t>
  </si>
  <si>
    <t>2.5.2-1821.321</t>
  </si>
  <si>
    <t>2.5.2-1821.337</t>
  </si>
  <si>
    <t>2.5.2-1821.405</t>
  </si>
  <si>
    <t>2.5.2-1821.62</t>
  </si>
  <si>
    <t>2.5.2-1821.384</t>
  </si>
  <si>
    <t>2.5.2-1821.214</t>
  </si>
  <si>
    <t>2.5.2-1821.222</t>
  </si>
  <si>
    <t>2.5.2-1821.387</t>
  </si>
  <si>
    <t>2.5.2-1821.46</t>
  </si>
  <si>
    <t>2.5.2-1821.37</t>
  </si>
  <si>
    <t>2.5.2-1821.338</t>
  </si>
  <si>
    <t>2.5.2-1821.36</t>
  </si>
  <si>
    <t>2.5.2-1821.43</t>
  </si>
  <si>
    <t>2.5.2-1821.234</t>
  </si>
  <si>
    <t>2.5.2-1724.149</t>
  </si>
  <si>
    <t>2.5.2-1724.140</t>
  </si>
  <si>
    <t>2.5.2-1724.117</t>
  </si>
  <si>
    <t>2.5.2-1724.208</t>
  </si>
  <si>
    <t>2.5.2-1724.74</t>
  </si>
  <si>
    <t>2.5.2-1821.458</t>
  </si>
  <si>
    <t>2.5.2-1821.238</t>
  </si>
  <si>
    <t>2.5.2-1821.442</t>
  </si>
  <si>
    <t>2.5.2-1821.491</t>
  </si>
  <si>
    <t>2.5.2-1821.4</t>
  </si>
  <si>
    <t>2.5.2-1724.163</t>
  </si>
  <si>
    <t>2.5.2-1725.68</t>
  </si>
  <si>
    <t>2.5.2-1821.459</t>
  </si>
  <si>
    <t>2.5.2-1859.29</t>
  </si>
  <si>
    <t>2.5.2-1859.30</t>
  </si>
  <si>
    <t>2.5.2-1859.28</t>
  </si>
  <si>
    <t>2.5.2-1823.84</t>
  </si>
  <si>
    <t>2.5.2-2455.20</t>
  </si>
  <si>
    <t>2.5.2-1724.23</t>
  </si>
  <si>
    <t>2.5.2-1725.49</t>
  </si>
  <si>
    <t>2.5.2-1821.71</t>
  </si>
  <si>
    <t>2.5.2-1883.111</t>
  </si>
  <si>
    <t>2.5.2-1883.136</t>
  </si>
  <si>
    <t>2.5.2-1883.186</t>
  </si>
  <si>
    <t>2.5.2-1883.19</t>
  </si>
  <si>
    <t>2.5.2-1883.149</t>
  </si>
  <si>
    <t>2.5.2-1883.28</t>
  </si>
  <si>
    <t>2.5.2-1821.329</t>
  </si>
  <si>
    <t>2.5.2-1857.12</t>
  </si>
  <si>
    <t>2.5.2-1857.36</t>
  </si>
  <si>
    <t>2.5.2-1821.421</t>
  </si>
  <si>
    <t>2.5.2-1821.463</t>
  </si>
  <si>
    <t>2.5.2-1821.400</t>
  </si>
  <si>
    <t>2.5.2-1821.76</t>
  </si>
  <si>
    <t>2.5.2-1821.334</t>
  </si>
  <si>
    <t>2.5.2-1870.15</t>
  </si>
  <si>
    <t>2.5.2-1821.115</t>
  </si>
  <si>
    <t>2.5.2-1724.98</t>
  </si>
  <si>
    <t>2.5.2-1724.206</t>
  </si>
  <si>
    <t>2.5.2-1725.35</t>
  </si>
  <si>
    <t>2.5.2-1821.123</t>
  </si>
  <si>
    <t>2.5.2-1883.165</t>
  </si>
  <si>
    <t>2.5.2-1724.230</t>
  </si>
  <si>
    <t>2.5.2-1724.29</t>
  </si>
  <si>
    <t>2.5.2-1821.220</t>
  </si>
  <si>
    <t>2.5.2-1821.54</t>
  </si>
  <si>
    <t>2.5.2-1821.260</t>
  </si>
  <si>
    <t>2.5.2-1821.13</t>
  </si>
  <si>
    <t>2.5.2-1821.77</t>
  </si>
  <si>
    <t>2.5.2-3603.15</t>
  </si>
  <si>
    <t>2.5.2-2455.27</t>
  </si>
  <si>
    <t>2.5.2-2455.48</t>
  </si>
  <si>
    <t>2.5.2-1883.173</t>
  </si>
  <si>
    <t>2.5.2-1821.219</t>
  </si>
  <si>
    <t>2.5.2-1822.6</t>
  </si>
  <si>
    <t>2.5.2-1821.201</t>
  </si>
  <si>
    <t>2.5.2-2455.31</t>
  </si>
  <si>
    <t>2.5.2-2199.2</t>
  </si>
  <si>
    <t>2.5.2-1821.423</t>
  </si>
  <si>
    <t>2.5.2-2455.34</t>
  </si>
  <si>
    <t>2.5.2-1724.154</t>
  </si>
  <si>
    <t>2.5.2-1821.510</t>
  </si>
  <si>
    <t>2.5.2-2199.13</t>
  </si>
  <si>
    <t>ANTIVIRALES; TIPO: MONODROGA, DROGA GENERICA: ACICLOVIR, FORMA FARMACEUTICA: COMPRIMIDO, PRESENTACION: 200 mGr</t>
  </si>
  <si>
    <t>ANTIVIRALES; TIPO: MONODROGA, DROGA GENERICA: ACICLOVIR, FORMA FARMACEUTICA: COMPRIMIDO, PRESENTACION: 400 mGr</t>
  </si>
  <si>
    <t>ANTIBIOTICOS P/PERSONAS; TIPO: MONODROGA, DROGA GENERICA: ACICLOVIR 500 MG, FORMA FARMACEUTICA: FRASCO AMPOLLA, PRESENTACION: 500 mGr</t>
  </si>
  <si>
    <t>ANALGESICOS ; PRESENTACION: 500 mGr, TIPO: MONODROGA, DROGA GENERICA: ACIDO ACETILSALICILICO, FORMA FARMACEUTICA: COMPRIMIDO</t>
  </si>
  <si>
    <t>HIPOURICEMIANTES; TIPO: MONODROGA, DROGA GENERICA: ALOPURINOL 300 mGr, FORMA FARMACEUTICA: COMPRIMIDO, PRESENTACION: UNIDAD</t>
  </si>
  <si>
    <t>ANTIBIOTICOS P/PERSONAS; TIPO: MONODROGA, DROGA GENERICA: AMIKACINA, PRESENTACION: 500 mGr, FORMA FARMACEUTICA: AMPOLLA</t>
  </si>
  <si>
    <t>ANTIBIOTICOS P/PERSONAS; TIPO: ASOCIACION, DROGA GENERICA: AMOXICIL. 875 MG+CLAVUL.125 MG mGr, FORMA FARMACEUTICA: COMPRIMIDO, PRESENTACION: UNIDAD</t>
  </si>
  <si>
    <t>ANTIBIOTICOS P/PERSONAS; TIPO: MONODROGA, DROGA GENERICA: AMOXICILINA, PRESENTACION: 500 mGr, FORMA FARMACEUTICA: COMPRIMIDOS</t>
  </si>
  <si>
    <t>ANTIBIOTICOS P/PERSONAS; TIPO: MONODROGA, DROGA GENERICA: AMOXICILINA 500 mGr, FORMA FARMACEUTICA: SUSPENSION, PRESENTACION: ENVASE X 90 mL</t>
  </si>
  <si>
    <t>ANTIBIOTICOS P/PERSONAS; TIPO: ASOCIACION, DROGA GENERICA: AMPICILINA + SULBACTAN, FORMA FARMACEUTICA: FRASCO AMPOLLA, PRESENTACION: ENVASE X 1,5 GR</t>
  </si>
  <si>
    <t>ANTIBIOTICOS P/PERSONAS; TIPO: MONODROGA, DROGA GENERICA: AMPICILINA, FORMA FARMACEUTICA: AMPOLLA, PRESENTACION: 1 GR</t>
  </si>
  <si>
    <t>ANTIBIOTICOS P/PERSONAS; TIPO: MONODROGA, DROGA GENERICA: AMPICILINA, FORMA FARMACEUTICA: COMPRIMIDOS, PRESENTACION: 500 mGr</t>
  </si>
  <si>
    <t>ANTIMICOTICOS; DROGA GENERICA: ANFOTERICINA B, FORMA FARMACEUTICA: AMPOLLA, PRESENTACION: 50 mGr, TIPO: MONODROGA</t>
  </si>
  <si>
    <t>ANTIBIOTICOS P/PERSONAS; TIPO: MONODROGA, DROGA GENERICA: AZITROMICINA, FORMA FARMACEUTICA: COMPRIMIDO, PRESENTACION: 500 mGr</t>
  </si>
  <si>
    <t>ANTIBIOTICOS P/PERSONAS; TIPO: MONODROGA, DROGA GENERICA: AZITROMICINA 200 mGr, FORMA FARMACEUTICA: SUSPENSION, PRESENTACION: ENVASE X 15 Ml</t>
  </si>
  <si>
    <t>HIPOTENSORES; TIPO: MONODROGA, DROGA GENERICA: BACLOFENO, FORMA FARMACEUTICA: COMPRIMIDO, PRESENTACION: 10 mGr</t>
  </si>
  <si>
    <t>ANESTESICOS LOCALES; TIPO: ASOCIACION, DROGA GENERICA: BUPIVACAINA 0,5 % C/EPINEFRINA, FORMA FARMACEUTICA: FRASCO AMPOLLA, PRESENTACION: ENVASE X 20 mL</t>
  </si>
  <si>
    <t>ANESTESICOS LOCALES; TIPO: MONODROGA, DROGA GENERICA: BUPIVACAINA 0,5 %, FORMA FARMACEUTICA: FRASCO, PRESENTACION: 20 mL</t>
  </si>
  <si>
    <t>ANTIBIOTICOS P/PERSONAS; TIPO: MONODROGA, DROGA GENERICA: CEFALEXINA 500 mGr, FORMA FARMACEUTICA: COMPRIMIDO, PRESENTACION: 1 UN</t>
  </si>
  <si>
    <t>ANTIBIOTICOS P/PERSONAS; TIPO: MONODROGA, DROGA GENERICA: CEFALEXINA 500MG, FORMA FARMACEUTICA: SUSPENSION, PRESENTACION: ENVASE X 90 mL</t>
  </si>
  <si>
    <t>ANTIBIOTICOS P/PERSONAS; TIPO: MONODROGA, DROGA GENERICA: CEFALOTINA SODICA, FORMA FARMACEUTICA: FRASCO AMPOLLA, PRESENTACION: 1 GR</t>
  </si>
  <si>
    <t>ANTIBIOTICOS P/PERSONAS; TIPO: MONODROGA, DROGA GENERICA: CEFAZOLINA, FORMA FARMACEUTICA: AMPOLLA, PRESENTACION: 1 GR</t>
  </si>
  <si>
    <t>ANTIBIOTICOS P/PERSONAS; TIPO: MONODROGA, DROGA GENERICA: CEFTAZIDIMA, FORMA FARMACEUTICA: FRASCO AMPOLLA, PRESENTACION: ENVASE X 1 GR</t>
  </si>
  <si>
    <t>ANTIBIOTICOS P/PERSONAS; TIPO: MONODROGA, DROGA GENERICA: CEFTRIAXONA, FORMA FARMACEUTICA: FRASCO AMPOLLA, PRESENTACION: 1 GR</t>
  </si>
  <si>
    <t>ANTIBIOTICOS P/PERSONAS; TIPO: MONODROGA, DROGA GENERICA: CEFUROXIMA, FORMA FARMACEUTICA: FRASCO AMPOLLA, PRESENTACION: 750 mGr</t>
  </si>
  <si>
    <t>ANTIBIOTICOS P/PERSONAS; TIPO: MONODROGA, FORMA FARMACEUTICA: COMPRIMIDO, PRESENTACION: 500 mGr, DROGA GENERICA: CIPROFLOXACINA</t>
  </si>
  <si>
    <t>ANTIBIOTICOS P/PERSONAS; TIPO: MONODROGA, DROGA GENERICA: CLARITROMICINA 250MG, FORMA FARMACEUTICA: SUSPENSION, PRESENTACION: ENVASE X 90 mL</t>
  </si>
  <si>
    <t>ANTIBIOTICOS P/PERSONAS; TIPO: MONODROGA, DROGA GENERICA: CLARITROMICINA, FORMA FARMACEUTICA: COMPRIMIDO, PRESENTACION: 500 mGr</t>
  </si>
  <si>
    <t>ANTIBIOTICOS P/PERSONAS; TIPO: MONODROGA, DROGA GENERICA: CLINDAMICINA, FORMA FARMACEUTICA: AMPOLLA, PRESENTACION: 600 mGr</t>
  </si>
  <si>
    <t>ANTIBIOTICOS P/PERSONAS; DROGA GENERICA: CLARITROMICINA, FORMA FARMACEUTICA: AMPOLLA, PRESENTACION: 500 mGr, TIPO: MONODROGA</t>
  </si>
  <si>
    <t>ANTIBIOTICOS P/PERSONAS; TIPO: MONODROGA, DROGA GENERICA: COLISTINA 100 MG, FORMA FARMACEUTICA: FRASCO AMPOLLA, PRESENTACION: 100 mGr</t>
  </si>
  <si>
    <t>ANTIBIOTICOS P/PERSONAS; TIPO: MONODROGA, DROGA GENERICA: VANCOMICINA 1 GR, FORMA FARMACEUTICA: FRASCO AMPOLLA, PRESENTACION: UNIDAD</t>
  </si>
  <si>
    <t>ANESTESICOS GENERALES; DROGA GENERICA: TIOPENTAL SODICO 1 GR, FORMA FARMACEUTICA: FRASCO AMPOLLA, PRESENTACION: UNIDAD, TIPO: MONODROGA</t>
  </si>
  <si>
    <t>ANTIBIOTICOS P/PERSONAS; TIPO: MONODROGA, DROGA GENERICA: TIGECICLINA 50 mGr, FORMA FARMACEUTICA: FRASCO AMPOLLA, PRESENTACION: UNIDAD</t>
  </si>
  <si>
    <t>BLOQUEANTES NEUROMUSCULARES; DROGA GENERICA: SUCCINILCOLINA, FORMA FARMACEUTICA: AMPOLLA, PRESENTACION: 500 mGr, TIPO: MONODROGA</t>
  </si>
  <si>
    <t>ANTIMICOBACTERIAS; TIPO: MONODROGA, DROGA GENERICA: RIFAMPICINA, PRESENTACION: 300 mGr, FORMA FARMACEUTICA: CAPSULA</t>
  </si>
  <si>
    <t>ANTIBIOTICOS P/PERSONAS; TIPO: ANTITUBERCULOSTATICO, DROGA GENERICA: RIFAMPICINA X 2 GR, FORMA FARMACEUTICA: EN SUSPENSION CADA 100 mL, PRESENTACION: FRASCO X 50 Ml</t>
  </si>
  <si>
    <t>ANESTESICOS LOCALES; TIPO: MONODROGA, DROGA GENERICA: REMIFENTANILO 5 mGr, FORMA FARMACEUTICA: AMPOLLA, PRESENTACION: UNIDAD</t>
  </si>
  <si>
    <t>ANESTESICOS GENERALES; DROGA GENERICA: PROPOFOL 200mGr, FORMA FARMACEUTICA: AMPOLLA, PRESENTACION ENVASE: X 50ml, TIPO: MONODROGA</t>
  </si>
  <si>
    <t>ANESTESICOS GENERALES; DROGA GENERICA: PROPOFOL 200 mGr, FORMA FARMACEUTICA: AMPOLLA, PRESENTACION: ENVASE X 20 mL, TIPO: MONODROGA</t>
  </si>
  <si>
    <t>ANTIBIOTICOS P/PERSONAS; TIPO: MONODROGA, DROGA GENERICA: DOXICICLINA 100 mGr, FORMA FARMACEUTICA: COMPRIMIDO, PRESENTACION: UNIDAD</t>
  </si>
  <si>
    <t>ANTIBIOTICOS P/PERSONAS; TIPO: MONODROGA, DROGA GENERICA: FLUCONAZOL 100 MG, FORMA FARMACEUTICA: COMPRIMIDO, PRESENTACION: 100 mGr</t>
  </si>
  <si>
    <t>ANTIBIOTICOS P/PERSONAS; TIPO: MONODROGA, DROGA GENERICA: FLUCONAZOL 200 MG, FORMA FARMACEUTICA: SOLUCION INYECTABLE, PRESENTACION: ENVASE X 100 mL</t>
  </si>
  <si>
    <t>ANTIBIOTICOS P/PERSONAS; TIPO: MONODROGA, DROGA GENERICA: FOSFOMICINA, FORMA FARMACEUTICA: AMPOLLA, PRESENTACION: ENVASE X 1 GR</t>
  </si>
  <si>
    <t>ANTIBIOTICOS P/PERSONAS; DROGA GENERICA: GENTAMICINA, FORMA FARMACEUTICA: AMPOLLA, PRESENTACION: 80 mGr, TIPO: MONODROGA</t>
  </si>
  <si>
    <t>ANTIINFLAMATORIOS NO ESTEROIDE; TIPO: MONODROGA, DROGA GENERICA: IBUPROFENO, FORMA FARMACEUTICA: COMPRIMIDO, PRESENTACION: 400 mGr</t>
  </si>
  <si>
    <t>ANTIBIOTICOS P/PERSONAS; TIPO: MONODROGA, DROGA GENERICA: IMIPENEM + CILASTATINA, FORMA FARMACEUTICA: FRASCO AMPOLLA, PRESENTACION: ENVASE X 500 mGr</t>
  </si>
  <si>
    <t>INMUNOMODULADORES; TIPO: MONODROGA, DROGA GENERICA: INMUNOGLOBULINA G HUMANA, FORMA FARMACEUTICA: VIAL, PRESENTACION: 10 GR</t>
  </si>
  <si>
    <t>INMUNOMODULADORES; TIPO: MONODROGA, DROGA GENERICA: INMUNOGLOBULINA G HUMANA, FORMA FARMACEUTICA: VIAL, PRESENTACION: 2,5 GR</t>
  </si>
  <si>
    <t>INMUNOMODULADORES; TIPO: MONODROGA, DROGA GENERICA: INMUNOGLOBULINA G HUMANA, FORMA FARMACEUTICA: VIAL, PRESENTACION: 5 GR</t>
  </si>
  <si>
    <t>ANTIMICOTICOS; TIPO: MONODROGA, DROGA GENERICA: ITRACONAZOL, FORMA FARMACEUTICA: COMPRIMIDO, PRESENTACION: 100 mGr</t>
  </si>
  <si>
    <t>ANESTESICOS GENERALES; DROGA GENERICA: KETAMINA 50 MG/ML, FORMA FARMACEUTICA: FRASCO AMPOLLA, PRESENTACION: 10 mL, TIPO: MONODROGA</t>
  </si>
  <si>
    <t>ANTIINFLAMATORIOS NO ESTEROIDE; DROGA GENERICA: KETOROLAC, FORMA FARMACEUTICA: COMPRIMIDO, PRESENTACION: 10 mGr, TIPO: MONODROGA</t>
  </si>
  <si>
    <t>ANTIBIOTICOS P/PERSONAS; TIPO: MONODROGA, DROGA GENERICA: LEVOFLOXACINA, PRESENTACION: 500 mGr, FORMA FARMACEUTICA: COMPRIMIDO</t>
  </si>
  <si>
    <t>ANESTESICOS LOCALES; TIPO: MONODROGA, DROGA GENERICA: LIDOCAINA 2%S/EPINEFRINA, FORMA FARMACEUTICA: AMPOLLA, PRESENTACION: 5 mL</t>
  </si>
  <si>
    <t>ANESTESICOS LOCALES; TIPO: MONODROGA, DROGA GENERICA: LIDOCAINA 2% S/EPINEFRINA, FORMA FARMACEUTICA: FRASCO AMPOLLA, PRESENTACION: ENVASE X 20 mL</t>
  </si>
  <si>
    <t>ANESTESICOS LOCALES; TIPO: ASOCIACION, DROGA GENERICA: LIDOCAINA 2% C/EPINEFRINA, FORMA FARMACEUTICA: FRASCO AMPOLLA, PRESENTACION: 20 mL</t>
  </si>
  <si>
    <t>ANESTESICOS LOCALES; TIPO: MONODROGA, DROGA GENERICA: LIDOCAINA, FORMA FARMACEUTICA: AEROSOL, PRESENTACION: 100 mL</t>
  </si>
  <si>
    <t>ANESTESICOS LOCALES; TIPO: MONODROGA, DROGA GENERICA: LIDOCAINA, FORMA FARMACEUTICA: JALEA, PRESENTACION: ENVASE X 25 GR</t>
  </si>
  <si>
    <t>ANESTESICOS LOCALES; TIPO: MONODROGA, DROGA GENERICA: LIDOCAINA VISCOSA, FORMA FARMACEUTICA: ENVASE, PRESENTACION: 50 mL</t>
  </si>
  <si>
    <t>ANTIBIOTICOS P/PERSONAS; TIPO: MONODROGA, DROGA GENERICA: LINEZOLID, FORMA FARMACEUTICA: SOLUCION, PRESENTACION: ENVASE X 300 mL</t>
  </si>
  <si>
    <t>ANTIPARASITARIOS; TIPO: MONODROGA, DROGA GENERICA: MEBENDAZOL, FORMA FARMACEUTICA: COMPRIMIDOS, PRESENTACION: 100 mGr</t>
  </si>
  <si>
    <t>ANTIPARASITARIOS; TIPO: MONODROGA, DROGA GENERICA: MEBENDAZOL 2%, FORMA FARMACEUTICA: SUSPENSION, PRESENTACION: ENVASE X 30 mL</t>
  </si>
  <si>
    <t>ANTIBIOTICOS P/PERSONAS; TIPO: MONODROGA, DROGA GENERICA: MEROPENEM 1000 mGr, FORMA FARMACEUTICA: AMPOLLA, PRESENTACION: UNIDAD</t>
  </si>
  <si>
    <t>ANTIBIOTICOS P/PERSONAS; TIPO: MONODROGA, DROGA GENERICA: MEROPENEM 500 mGr, FORMA FARMACEUTICA: FRASCO AMPOLLA, PRESENTACION: UNIDAD</t>
  </si>
  <si>
    <t>ANTIBIOTICOS P/PERSONAS; TIPO: MONODROGA, FORMA FARMACEUTICA: COMPRIMIDO, PRESENTACION: 500 mGr, DROGA GENERICA: METRONIDAZOL</t>
  </si>
  <si>
    <t>HIPNOTICOS; TIPO: MONODROGA, DROGA GENERICA: MIDAZOLAM 15 mGr, FORMA FARMACEUTICA: AMPOLLA, PRESENTACION: ENVASE X 3 mL</t>
  </si>
  <si>
    <t>ANTIBIOTICOS P/PERSONAS; TIPO: MONODROGA, DROGA GENERICA: METRONIDAZOL 500 mGr, FORMA FARMACEUTICA: SACHET X 100 mL, PRESENTACION: UNIDAD</t>
  </si>
  <si>
    <t>ANTIBIOTICOS P/PERSONAS; TIPO: MONODROGA, DROGA GENERICA: MINOCICLINA, FORMA FARMACEUTICA: COMPRIMIDO, PRESENTACION: 100 mGr</t>
  </si>
  <si>
    <t>ANTIINFLAMATORIOS NO ESTEROIDE; TIPO: MONODROGA, DROGA GENERICA: NAPROXENO, FORMA FARMACEUTICA: COMPRIMIDO, PRESENTACION: 500 mGr</t>
  </si>
  <si>
    <t>ANTIBIOTICOS P/PERSONAS; TIPO: MONODROGA, DROGA GENERICA: ORNIDAZOL, PRESENTACION: 1 GR, FORMA FARMACEUTICA: AMPOLLA</t>
  </si>
  <si>
    <t>ANESTESICOS LOCALES; TIPO: MONODROGA, DROGA GENERICA: PANCURONIO BROMURO 4 mGr, FORMA FARMACEUTICA: AMPOLLA, PRESENTACION: ENVASE X 2 mL</t>
  </si>
  <si>
    <t>ANALGESICOS ; PRESENTACION: 100 mL, FORMA FARMACEUTICA: AMPOLLA, DROGA GENERICA: PARACETAMOL 1000 mGr, TIPO: MONODROGA mGr</t>
  </si>
  <si>
    <t>ANTIBIOTICOS P/PERSONAS; TIPO: MONODROGA, DROGA GENERICA: PENICILINA G. BENZATINICA, FORMA FARMACEUTICA: AMPOLLA, PRESENTACION: 1.200.000 UI</t>
  </si>
  <si>
    <t>ANTIBIOTICOS P/PERSONAS; TIPO: MONODROGA, DROGA GENERICA: PENICILINA G. BENZATINICA, FORMA FARMACEUTICA: FRASCO AMPOLLA, PRESENTACION: 2.400.000 UI</t>
  </si>
  <si>
    <t>ANTIBIOTICOS P/PERSONAS; TIPO: MONODROGA, DROGA GENERICA: PENICILINA G. SODICA, FORMA FARMACEUTICA: AMPOLLA, PRESENTACION: 3.000.000 UI</t>
  </si>
  <si>
    <t>ANTIBIOTICOS P/PERSONAS; TIPO: ASOCIACION, DROGA GENERICA: PIPERACILINA+TAZOBACTAN, FORMA FARMACEUTICA: AMPOLLA, PRESENTACION: 4,5 GR</t>
  </si>
  <si>
    <t>EVACUANTES INTESTINALES; TIPO: MONODROGA, DROGA GENERICA: POLIETILENGLICOL, FORMA FARMACEUTICA: SOLUCION, PRESENTACION: ENVASE X 4 L</t>
  </si>
  <si>
    <t>BLOQUEANTES NEUROMUSCULARES; DROGA GENERICA: BROMURO DE VECURONIO, FORMA FARMACEUTICA: AMPOLLA X 10 mGr, PRESENTACION: UNIDAD, TIPO: MONODROGA</t>
  </si>
  <si>
    <t>ANTIBIOTICOS P/PERSONAS; TIPO: MONODROGA, DROGA GENERICA: RIFAMPICINA, FORMA FARMACEUTICA: FRASCO AMPOLLA, PRESENTACION: 600 mGr</t>
  </si>
  <si>
    <t>ANESTESICOS GENERALES; DROGA GENERICA: SEVOFLUORANO, FORMA FARMACEUTICA: SOLUCION, PRESENTACION: ENVASE X 250 mL, TIPO: MONODROGA</t>
  </si>
  <si>
    <t>2.5.2-1883.159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</si>
  <si>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</si>
  <si>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r>
      <t>ANTIBIOTICOS P/PERSONAS; TIPO: MONODROGA, DROGA GENERICA: METRONIDAZOL</t>
    </r>
    <r>
      <rPr>
        <b/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125MG</t>
    </r>
    <r>
      <rPr>
        <sz val="10"/>
        <color rgb="FF000000"/>
        <rFont val="Arial"/>
        <family val="2"/>
      </rPr>
      <t>/5ML, FORMA FARMACEUTICA: SUSPENSION ORAL, PRESENTACION: ENVASE X 120 mL</t>
    </r>
  </si>
  <si>
    <r>
      <t xml:space="preserve">ANTIBIOTICOS P/PERSONAS; TIPO: MONODROGA, DROGA GENERICA: PENICILINA G. SODICA, FORMA FARMACEUTICA: FRASCO AMPOLLA, PRESENTACION: 1.000.000 </t>
    </r>
    <r>
      <rPr>
        <sz val="10"/>
        <color theme="1"/>
        <rFont val="Arial"/>
        <family val="2"/>
      </rPr>
      <t>UI</t>
    </r>
  </si>
  <si>
    <t>2.5.2-1821.44</t>
  </si>
  <si>
    <t>ANTIBIOTICOS P/PERSONAS; DROGA GENERICA: VANCOMICINA, FORMA FARMACEUTICA: AMPOLLA, TIPO: MONODROGA, PRESENTACION: 500 mGr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</si>
  <si>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26: BUPIVACAINA 0,5 % S/EPINEFRINA</t>
    </r>
  </si>
  <si>
    <t>ANTIVIRALES; TIPO: MONODROGA, DROGA GENERICA: ACICLOVIR 80 MG/ ML, FORMA FARMACEUTICA: SUSPENSION, PRESENTACION: ENVASE X 200 ML</t>
  </si>
  <si>
    <t>2.5.2-1829.48</t>
  </si>
  <si>
    <t>2.5.2-1821.524</t>
  </si>
  <si>
    <t>ANTIMICOTICOS; DROGA GENERICA: ANFOTERICINA B LIPOSOMAL, FORMA FARMACEUTICA: AMPOLLA, PRESENTACION: 50 MGR, TIPO: MONODROGA</t>
  </si>
  <si>
    <t>2.5.2-1823.113</t>
  </si>
  <si>
    <t>2.5.2-1726.523</t>
  </si>
  <si>
    <t>SOLUCIONES P/MEDICINA; TIPO: SULFATO DE BARIO, PRESENTACION: ENVASE SUSPENSION X 225 ML</t>
  </si>
  <si>
    <t>SOLUCIONES P/MEDICINA; TIPO: SULFATO DE BARIO, PRESENTACION: ENVASE SUSPENSION PARA ENEMA X 500 ML</t>
  </si>
  <si>
    <t>2.5.2-1726.524</t>
  </si>
  <si>
    <t>SOLUCIONES P/MEDICINA; TIPO: SULFATO DE BARIO, PRESENTACION: ENVASE SUSPENSION ORAL X 300 ML</t>
  </si>
  <si>
    <t>2.5.2-1726.525</t>
  </si>
  <si>
    <t>ANESTESICOS LOCALES; TIPO: MONODROGA, DROGA GENERICA: BUPIVACAINA 0,5% HIPERBARICA, FORMA FARMACEUTICA: AMPOLLA, PRESENTACION: 4 ML CON AGUJA 27 G X 3 1/2 CON INTRODUCTOR</t>
  </si>
  <si>
    <t>2.5.2-1883.188</t>
  </si>
  <si>
    <t>SOLUCIONES P/MEDICINA; TIPO: CONTRASTE RADIOLOGICO NO IONICO, PRESENTACION: ENVASE X 50 ML</t>
  </si>
  <si>
    <t>2.5.2-1726.526</t>
  </si>
  <si>
    <t>ANTIBIOTICOS P/PERSONAS; TIPO: MONODROGA, DROGA GENERICA: COTRIMOXAZOL, FORMA FARMACEUTICA: AMPOLLA, PRESENTACION: 80 MG/ 400 MG</t>
  </si>
  <si>
    <t>2.5.2-1821.525</t>
  </si>
  <si>
    <t>ANTIBIOTICOS P/PERSONAS; TIPO: MONODROGA, DROGA GENERICA: COTRIMOXAZOL, FORMA FARMACEUTICA: COMPRIMIDO, PRESENTACION: 160 MG/ 800 MG</t>
  </si>
  <si>
    <t>2.5.2-1821.526</t>
  </si>
  <si>
    <t>ANTIBIOTICOS P/PERSONAS; TIPO: MONODROGA, DROGA GENERICA: COTRIMOXAZOL, FORMA FARMACEUTICA: SUSPENSIÓN X 60 ML, PRESENTACION: 40MG/200 MG</t>
  </si>
  <si>
    <t>2.5.2-1821.527</t>
  </si>
  <si>
    <t>2.5.2-1724.241</t>
  </si>
  <si>
    <t>SOLUCIONES P/MEDICINA; TIPO: DIATRIZOATO DE SODIO 25 GR; PRESENTACION: FRASCO X 50 ML</t>
  </si>
  <si>
    <t>2.5.2-1726.528</t>
  </si>
  <si>
    <t>ANTIINFLAMATORIOS NO ESTEROIDE; TIPO: MONODROGA, DROGA GENERICA: DICLOFENAC POTASICO 500MG/100ML, FORMA FARMACEUTICA: JARABE, PRESENTACION: 120 ML</t>
  </si>
  <si>
    <t>2.5.2-1725.153</t>
  </si>
  <si>
    <t>SOLUCIONES P/MEDICINA; TIPO: EMULSIÓN LIPÌDICA PARA PERFUSIÓN, DROGA FOSFOLÍPIDO, PRESENTACIÓN: INTRAVENOSA AL 20%, ENVASE POR 500 ML</t>
  </si>
  <si>
    <t>2.5.2-1726.527</t>
  </si>
  <si>
    <t>ANTIMICOTICOS; DROGA GENERICA: FLUCONAZOL, FORMA FARMACEUTICA: SUSPENSION X 35 ML, PRESENTACION: 50 MGR/5ML, TIPO: MONODROGA</t>
  </si>
  <si>
    <t>2.5.2-1823.114</t>
  </si>
  <si>
    <t>VACUNAS; TIPO: G.GLOBULINA+TOXOIDE ANTITETÁNICO, PRESENTACIÓN: ENVASE X 250 UI</t>
  </si>
  <si>
    <t>2.5.2-1905.96</t>
  </si>
  <si>
    <t>ANTIINFLAMATORIOS NO ESTEROIDE; TIPO: MONODROGA, DROGA GENERICA: INDOMETACINA 100 MG, FORMA FARMACEUTICA: SUPOSITORIO, PRESENTACION: CAJA X 10 UNIDADES</t>
  </si>
  <si>
    <t>ANTI GAMMA TOTAL; TIPO: INMUNOGLOBULINA HUMAN ANTI-RH, PRESENTACION: JERINGA PRELLENA 250-330MCG/ML</t>
  </si>
  <si>
    <t>2.5.2-5275.16</t>
  </si>
  <si>
    <t>ANALGESICOS ; TIPO: MONODROGA, DROGA GENERICA: MORFINA, FORMA FARMACEUTICA: COMPRIMIDO, PRESENTACION: 10 MGR</t>
  </si>
  <si>
    <t>2.5.2-1724.242</t>
  </si>
  <si>
    <t>2.5.2-1724.243</t>
  </si>
  <si>
    <t>2.5.2-1724.244</t>
  </si>
  <si>
    <t>ANALGÉSICOS ; TIPO: MONODROGA, DROGA GENÉRICA: PARACETAMOL 500 MGR, FORMA FARMACEÚTICA: COMPRIMIDO, PRESENTACIÓN: X UNIDAD</t>
  </si>
  <si>
    <t>2.5.2-1724.245</t>
  </si>
  <si>
    <t>EVACUANTES INTESTINALES; TIPO: ASOCIACION, DROGA GENERICA: POLIETILENGLICOL 3350, FORMA FARMACEÚTICA: SOBRES, PRESENTACION: SOBRES X 30</t>
  </si>
  <si>
    <t>ANESTÉSICOS GENERALES; DROGA GENÉRICA: PROPOFOL 2%, 400MGR, FORMA FARMACEÚTICA: AMPOLLA, PRESENTACIÓN ENVASE: X 50ML, TIPO: MONODROGA</t>
  </si>
  <si>
    <t>2.5.2-2455.49</t>
  </si>
  <si>
    <t>2.5.2-3603.18</t>
  </si>
  <si>
    <t>BLOQUEANTES NEUROMUSCULARES; DROGA GENERICA: ATRACURIO, FORMA FARMACEUTICA: AMPOLLA, PRESENTACION: 50 mGr, TIPO: MONODROGA</t>
  </si>
  <si>
    <t>2.5.2-2199.16</t>
  </si>
  <si>
    <t>2.5.2-1821.42</t>
  </si>
  <si>
    <t>SOLUCIONES P/MEDICINA; TIPO: DIATRIZOATO DE MEGLUMINA + DIATRIZOATO DE SODIO; PRESENTACION: FRASCO x 120 ml</t>
  </si>
  <si>
    <t>2.5.2-1726.512</t>
  </si>
  <si>
    <t>VACUNAS; TIPO: G.GLOBULINA+TOXOIDE ANTITETÁNICO, PRESENTACIÓN: ENVASE X 500 UI</t>
  </si>
  <si>
    <t>2.5.2-1905.67</t>
  </si>
  <si>
    <t>2.5.2-1725.154</t>
  </si>
  <si>
    <t>INMUNOMODULADORES; TIPO: MONODROGA, DROGA GENERICA: GAMMAGLOBULINA, FORMA FARMACEUTICA: AMPOLLA, PRESENTACION: 6 GR</t>
  </si>
  <si>
    <t>2.5.2-1859.24</t>
  </si>
  <si>
    <t>PEDICULICIDAS; DROGA GENERICA: PERMETRINA, FORMA FARMACEUTICA: EMULSION, PRESENTACION: 100 mL</t>
  </si>
  <si>
    <t>2.5.2-3097.9</t>
  </si>
  <si>
    <t>PEDICULICIDAS; DROGA GENERICA: PERMETRINA 1%, FORMA FARMACEUTICA: SOLUCION, PRESENTACION: FRASCO X 100 mL</t>
  </si>
  <si>
    <t>2.5.2-3097.1</t>
  </si>
  <si>
    <r>
      <t xml:space="preserve">ANTIBIOTICOS P/PERSONAS; TIPO: MONODROGA, DROGA GENERICA: CLINDAMICINA, FORMA FARMACEUTICA: </t>
    </r>
    <r>
      <rPr>
        <sz val="10"/>
        <rFont val="Arial"/>
        <family val="2"/>
      </rPr>
      <t>COMPRIMIDO,</t>
    </r>
    <r>
      <rPr>
        <sz val="10"/>
        <color rgb="FF000000"/>
        <rFont val="Arial"/>
        <family val="2"/>
      </rPr>
      <t xml:space="preserve"> PRESENTACION: 300 mGr</t>
    </r>
  </si>
  <si>
    <t>SOLUCIONES P/MEDICINA; PRESENTACION: ENVASE X 15 mL, TIPO: CONTRASTE P/RESONANCIA</t>
  </si>
  <si>
    <t>2.5.2-1726.490</t>
  </si>
  <si>
    <t>ANALGÉSICOS ; TIPO: MONODROGA, DROGA GENÉRICA: DEXMEDETOMIDINA 200 MG, FORMA FARMACEÚTICA: AMPOLLA, PRESENTACIÓN: ENVASE X 2 ML</t>
  </si>
  <si>
    <t>ANESTÉSICOS LOCALES; TIPO: MONODROGA, DROGA GENÉRICA: FENTANILO 250 MCG, FORMA FARMACEÚTICA: AMPOLLA, PRESENTACIÓN: UNIDAD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</si>
  <si>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22: tipo EZ-CAT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</si>
  <si>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23 : TIPO GASTROPAQUE F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</si>
  <si>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24 : TIPO GASTROPAQUE F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</si>
  <si>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43 :  TIPO IOPROMIDA, IOBITRIDOL, IODIXANOL, IOHEXOL, IOVERSOL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</si>
  <si>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49 :  Tipo TRIYOSOM 50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</si>
  <si>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50 : Tipo TRIYOSOM GI, TEMISTAC - Solucion Oral y Rectal</t>
    </r>
  </si>
  <si>
    <t>ANTIBIOTICOS P/PERSONAS; TIPO: ASOCIACION, DROGA GENERICA: AMOXICILINA + AC.CLAVULANICO 400 MG / 57 MG, FORMA FARMACEUTICA: SUSPENSION, PRESENTACION: ENVASE X 70 ML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</si>
  <si>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57  Tipo INTRALIPIP</t>
    </r>
  </si>
  <si>
    <t>SACHET</t>
  </si>
  <si>
    <t>ENTREGA DIRECCION DE CANCER PROGRAMA NACIONAL</t>
  </si>
  <si>
    <t>SI</t>
  </si>
  <si>
    <t>Productos Farmacéuticos y Medicinales</t>
  </si>
  <si>
    <t>ANALGESICOS ; TIPO: MONODROGA, DROGA GENERICA: IBUPROFENO 400, FORMA FARMACEUTICA: AMPOLLA, PRESENTACION: 3 mL</t>
  </si>
  <si>
    <t>2.5.2-1724.107</t>
  </si>
  <si>
    <t>ANALGESICOS; TIPO: MONODROGA, DROGA GENERICA: DANTROLENO SODICO, FORMA FARMACEUTICA: AMPOLLAS, PRESENTACION: 20 MG/60 ML KIT X 12 FRASCOS</t>
  </si>
  <si>
    <t>ANALGESICOS; TIPO: MONODROGA, DROGA GENERICA: PARACETAMOL 1 GR, FORMA FARMACEUTICA: COMPRIMIDO, PRESENTACION: UNIDAD</t>
  </si>
  <si>
    <t>ANALGESICOS; TIPO: MONODROGA, DROGA GENERICA: PARACETAMOL 2%, 100MG/5ML, FORMA FARMACEÚTICA: JARABE, PRESENTACION: 120 ML</t>
  </si>
  <si>
    <t>ANALGESICOS; TIPO: MONODROGA, DROGA GENERICA: ACIDO ACETILSALICILICO, PRESENTACION: 100 mGr, FORMA FARMACEUTICA: COMPRIMIDO</t>
  </si>
  <si>
    <t>ANALGESICOS; TIPO: MONODROGA, DROGA GENERICA: DICLOFENAC X 75 MG, FORMA FARMACEUTICA: COMPRIMIDO, PRESENTACION: UNIDAD</t>
  </si>
  <si>
    <r>
      <t xml:space="preserve">ANALGESICOS;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</si>
  <si>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ANALGESICOS; TIPO: MONODROGA, DROGA GENERICA: DIPIRONA SODICA 1 GR, FORMA FARMACEUTICA: AMPOLLA, PRESENTACION: 2 mL</t>
  </si>
  <si>
    <t>ANALGESICOS; TIPO: MONODROGA, DROGA GENERICA: DIPIRONA, FORMA FARMACEUTICA: JARABE, PRESENTACION: FRASCO X 120 mL</t>
  </si>
  <si>
    <t>ANALGESICOS; TIPO: MONODROGA, DROGA GENERICA: IBUPROFENO 2%, FORMA FARMACEUTICA: SUSPENSION, PRESENTACION: ENVASE X 90 mL</t>
  </si>
  <si>
    <t>ANALGESICOS; TIPO: MONODROGA, DROGA GENERICA: MORFINA CLORIDRATO 1%, FORMA FARMACEUTICA: AMPOLLA, PRESENTACION: 1 mL</t>
  </si>
  <si>
    <t>ANALGESICOS; TIPO: MONODROGA, DROGA GENERICA: NALBUFINA 10 mGr, FORMA FARMACEUTICA: AMPOLLA, PRESENTACION: ENVASE X 1 mL</t>
  </si>
  <si>
    <t>ANALGESICOS; TIPO: MONODROGA, DROGA GENERICA: PARACETAMOL, FORMA FARMACEUTICA: GOTAS, PRESENTACION: 20 mL</t>
  </si>
  <si>
    <t>ANALGESICOS; TIPO: MONODROGA, DROGA GENERICA: TRAMADOL 50 mGr, FORMA FARMACEUTICA: AMPOLLA, PRESENTACION: UNIDAD</t>
  </si>
  <si>
    <t>ANALGESICOS; TIPO: MONODROGA, DROGA GENERICA: KETOROLAC, FORMA FARMACEUTICA: AMPOLLA, PRESENTACION: 30 mGr</t>
  </si>
  <si>
    <t>ENVIA NACION NO PEDIR 2022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</si>
  <si>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63:  Tipo GADOBUTROL,GADODIAMIDA,GADOTERATO,GADOPENTATO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</si>
  <si>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115:  Tipo OSTILAX</t>
    </r>
  </si>
  <si>
    <t xml:space="preserve">Mantenimiento: 45 dias habiles </t>
  </si>
  <si>
    <t>PEDIDO EN REQUERIMIENTO BOMBAS</t>
  </si>
  <si>
    <t>STOCK FCIA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</si>
</sst>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[$$-2C0A]\ #,##0.00;[$$-2C0A]&quot; -&quot;#,##0.00"/>
    <numFmt numFmtId="167" formatCode="[$$-2C0A]\ #,##0.00"/>
    <numFmt numFmtId="168" formatCode="dd\-mm\-yy"/>
  </numFmts>
  <fonts count="3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1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6"/>
  </cellStyleXfs>
  <cellXfs count="26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right" vertical="center"/>
    </xf>
    <xf numFmtId="0" fontId="15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3" fontId="20" fillId="0" borderId="0" xfId="0" applyNumberFormat="1" applyFont="1"/>
    <xf numFmtId="168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27" xfId="0" applyFont="1" applyBorder="1"/>
    <xf numFmtId="0" fontId="10" fillId="0" borderId="23" xfId="0" applyFont="1" applyBorder="1"/>
    <xf numFmtId="0" fontId="10" fillId="0" borderId="30" xfId="0" applyFont="1" applyBorder="1"/>
    <xf numFmtId="0" fontId="10" fillId="0" borderId="30" xfId="0" applyFont="1" applyBorder="1" applyAlignment="1">
      <alignment horizontal="left"/>
    </xf>
    <xf numFmtId="0" fontId="10" fillId="0" borderId="24" xfId="0" applyFont="1" applyBorder="1"/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166" fontId="10" fillId="0" borderId="41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166" fontId="10" fillId="0" borderId="48" xfId="0" applyNumberFormat="1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6" fontId="10" fillId="0" borderId="53" xfId="0" applyNumberFormat="1" applyFont="1" applyBorder="1" applyAlignment="1">
      <alignment horizontal="center" vertical="center"/>
    </xf>
    <xf numFmtId="166" fontId="24" fillId="2" borderId="57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8" fillId="0" borderId="6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9" fillId="0" borderId="60" xfId="0" applyFont="1" applyBorder="1" applyAlignment="1">
      <alignment horizontal="center" vertical="center" wrapText="1"/>
    </xf>
    <xf numFmtId="164" fontId="9" fillId="0" borderId="6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10" fillId="0" borderId="60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0" fillId="0" borderId="60" xfId="0" applyBorder="1" applyAlignment="1">
      <alignment vertical="center" wrapText="1"/>
    </xf>
    <xf numFmtId="3" fontId="10" fillId="0" borderId="60" xfId="0" applyNumberFormat="1" applyFont="1" applyBorder="1" applyAlignment="1">
      <alignment horizontal="center" vertical="center"/>
    </xf>
    <xf numFmtId="164" fontId="10" fillId="0" borderId="60" xfId="0" applyNumberFormat="1" applyFont="1" applyBorder="1" applyAlignment="1">
      <alignment horizontal="right" vertical="center" wrapText="1"/>
    </xf>
    <xf numFmtId="0" fontId="26" fillId="0" borderId="60" xfId="0" applyFont="1" applyBorder="1" applyAlignment="1">
      <alignment vertical="center" wrapText="1"/>
    </xf>
    <xf numFmtId="0" fontId="26" fillId="0" borderId="60" xfId="0" applyFont="1" applyBorder="1" applyAlignment="1">
      <alignment wrapText="1"/>
    </xf>
    <xf numFmtId="0" fontId="26" fillId="0" borderId="60" xfId="0" applyFont="1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6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 wrapText="1"/>
    </xf>
    <xf numFmtId="0" fontId="4" fillId="0" borderId="6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60" xfId="0" applyBorder="1" applyAlignment="1">
      <alignment horizontal="center" vertical="center"/>
    </xf>
    <xf numFmtId="0" fontId="31" fillId="0" borderId="60" xfId="0" applyFont="1" applyBorder="1" applyAlignment="1">
      <alignment vertical="center"/>
    </xf>
    <xf numFmtId="0" fontId="10" fillId="3" borderId="60" xfId="0" applyFont="1" applyFill="1" applyBorder="1" applyAlignment="1">
      <alignment horizontal="center" vertical="center"/>
    </xf>
    <xf numFmtId="0" fontId="31" fillId="3" borderId="60" xfId="0" applyFont="1" applyFill="1" applyBorder="1" applyAlignment="1">
      <alignment vertical="center"/>
    </xf>
    <xf numFmtId="0" fontId="0" fillId="3" borderId="60" xfId="0" applyFill="1" applyBorder="1" applyAlignment="1">
      <alignment horizontal="center" vertical="center" wrapText="1"/>
    </xf>
    <xf numFmtId="0" fontId="26" fillId="3" borderId="0" xfId="0" applyFont="1" applyFill="1" applyAlignment="1">
      <alignment vertical="center" wrapText="1"/>
    </xf>
    <xf numFmtId="165" fontId="10" fillId="3" borderId="60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165" fontId="10" fillId="3" borderId="6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26" fillId="3" borderId="0" xfId="0" applyFont="1" applyFill="1" applyAlignment="1">
      <alignment horizontal="center" vertical="center"/>
    </xf>
    <xf numFmtId="0" fontId="26" fillId="3" borderId="60" xfId="0" applyFont="1" applyFill="1" applyBorder="1" applyAlignment="1">
      <alignment horizontal="left" vertical="center" wrapText="1"/>
    </xf>
    <xf numFmtId="0" fontId="0" fillId="3" borderId="60" xfId="0" applyFill="1" applyBorder="1" applyAlignment="1">
      <alignment horizontal="left" vertical="center" wrapText="1"/>
    </xf>
    <xf numFmtId="0" fontId="0" fillId="3" borderId="60" xfId="0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 wrapText="1"/>
    </xf>
    <xf numFmtId="165" fontId="4" fillId="3" borderId="60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vertical="center"/>
    </xf>
    <xf numFmtId="0" fontId="2" fillId="0" borderId="69" xfId="0" applyFont="1" applyBorder="1" applyAlignment="1">
      <alignment horizontal="center" vertical="center"/>
    </xf>
    <xf numFmtId="0" fontId="2" fillId="0" borderId="69" xfId="0" applyFont="1" applyBorder="1" applyAlignment="1">
      <alignment horizontal="left" vertical="center"/>
    </xf>
    <xf numFmtId="0" fontId="2" fillId="0" borderId="69" xfId="0" applyFont="1" applyBorder="1" applyAlignment="1">
      <alignment horizontal="center" vertical="center" wrapText="1"/>
    </xf>
    <xf numFmtId="166" fontId="2" fillId="0" borderId="69" xfId="0" applyNumberFormat="1" applyFont="1" applyBorder="1" applyAlignment="1">
      <alignment horizontal="right" vertical="center" wrapText="1"/>
    </xf>
    <xf numFmtId="3" fontId="2" fillId="0" borderId="6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right" vertical="center"/>
    </xf>
    <xf numFmtId="164" fontId="10" fillId="0" borderId="6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3" fontId="10" fillId="0" borderId="73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0" fontId="18" fillId="4" borderId="72" xfId="0" applyFont="1" applyFill="1" applyBorder="1" applyAlignment="1">
      <alignment horizontal="center" vertical="center" wrapText="1"/>
    </xf>
    <xf numFmtId="0" fontId="31" fillId="4" borderId="60" xfId="0" applyFont="1" applyFill="1" applyBorder="1" applyAlignment="1">
      <alignment vertical="center"/>
    </xf>
    <xf numFmtId="0" fontId="0" fillId="4" borderId="60" xfId="0" applyFill="1" applyBorder="1" applyAlignment="1">
      <alignment horizontal="center" vertical="center" wrapText="1"/>
    </xf>
    <xf numFmtId="0" fontId="0" fillId="4" borderId="60" xfId="0" applyFill="1" applyBorder="1" applyAlignment="1">
      <alignment horizontal="left" vertical="center" wrapText="1"/>
    </xf>
    <xf numFmtId="0" fontId="10" fillId="4" borderId="60" xfId="0" applyFont="1" applyFill="1" applyBorder="1" applyAlignment="1">
      <alignment horizontal="center" vertical="center"/>
    </xf>
    <xf numFmtId="0" fontId="0" fillId="0" borderId="60" xfId="0" applyBorder="1" applyAlignment="1">
      <alignment horizontal="left" vertical="center"/>
    </xf>
    <xf numFmtId="0" fontId="26" fillId="0" borderId="60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4" fillId="0" borderId="60" xfId="0" applyFont="1" applyBorder="1" applyAlignment="1">
      <alignment horizontal="left" vertical="center"/>
    </xf>
    <xf numFmtId="0" fontId="4" fillId="3" borderId="60" xfId="0" applyFont="1" applyFill="1" applyBorder="1" applyAlignment="1">
      <alignment horizontal="left" vertical="center"/>
    </xf>
    <xf numFmtId="0" fontId="10" fillId="0" borderId="60" xfId="0" applyFont="1" applyBorder="1" applyAlignment="1">
      <alignment horizontal="left" vertical="center" wrapText="1"/>
    </xf>
    <xf numFmtId="0" fontId="10" fillId="3" borderId="60" xfId="0" applyFont="1" applyFill="1" applyBorder="1" applyAlignment="1">
      <alignment horizontal="left" vertical="center"/>
    </xf>
    <xf numFmtId="0" fontId="10" fillId="3" borderId="60" xfId="0" applyFont="1" applyFill="1" applyBorder="1" applyAlignment="1">
      <alignment horizontal="left" vertical="center" wrapText="1"/>
    </xf>
    <xf numFmtId="0" fontId="26" fillId="3" borderId="0" xfId="0" applyFont="1" applyFill="1" applyAlignment="1">
      <alignment horizontal="left" vertical="center"/>
    </xf>
    <xf numFmtId="0" fontId="26" fillId="3" borderId="60" xfId="0" applyFont="1" applyFill="1" applyBorder="1" applyAlignment="1">
      <alignment horizontal="left" vertical="center"/>
    </xf>
    <xf numFmtId="0" fontId="4" fillId="0" borderId="60" xfId="0" applyFont="1" applyBorder="1" applyAlignment="1">
      <alignment horizontal="left" vertical="center" wrapText="1"/>
    </xf>
    <xf numFmtId="0" fontId="4" fillId="3" borderId="60" xfId="0" applyFont="1" applyFill="1" applyBorder="1" applyAlignment="1">
      <alignment horizontal="left" vertical="center" wrapText="1"/>
    </xf>
    <xf numFmtId="0" fontId="1" fillId="0" borderId="6" xfId="1" applyAlignment="1">
      <alignment horizontal="left" vertical="center"/>
    </xf>
    <xf numFmtId="0" fontId="10" fillId="5" borderId="60" xfId="0" applyFont="1" applyFill="1" applyBorder="1" applyAlignment="1">
      <alignment horizontal="center" vertical="center"/>
    </xf>
    <xf numFmtId="0" fontId="10" fillId="5" borderId="60" xfId="0" applyFont="1" applyFill="1" applyBorder="1" applyAlignment="1">
      <alignment horizontal="left" vertical="center"/>
    </xf>
    <xf numFmtId="0" fontId="31" fillId="5" borderId="60" xfId="0" applyFont="1" applyFill="1" applyBorder="1" applyAlignment="1">
      <alignment vertical="center"/>
    </xf>
    <xf numFmtId="0" fontId="0" fillId="5" borderId="60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left" vertical="center" wrapText="1"/>
    </xf>
    <xf numFmtId="165" fontId="10" fillId="5" borderId="60" xfId="0" applyNumberFormat="1" applyFont="1" applyFill="1" applyBorder="1" applyAlignment="1">
      <alignment horizontal="right" vertical="center"/>
    </xf>
    <xf numFmtId="164" fontId="10" fillId="5" borderId="60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26" fillId="5" borderId="60" xfId="0" applyFont="1" applyFill="1" applyBorder="1" applyAlignment="1">
      <alignment vertical="center" wrapText="1"/>
    </xf>
    <xf numFmtId="0" fontId="26" fillId="5" borderId="60" xfId="0" applyFont="1" applyFill="1" applyBorder="1" applyAlignment="1">
      <alignment horizontal="left" vertical="center"/>
    </xf>
    <xf numFmtId="0" fontId="10" fillId="6" borderId="60" xfId="0" applyFont="1" applyFill="1" applyBorder="1" applyAlignment="1">
      <alignment horizontal="center" vertical="center"/>
    </xf>
    <xf numFmtId="0" fontId="26" fillId="6" borderId="60" xfId="0" applyFont="1" applyFill="1" applyBorder="1" applyAlignment="1">
      <alignment horizontal="left" vertical="center"/>
    </xf>
    <xf numFmtId="0" fontId="31" fillId="6" borderId="60" xfId="0" applyFont="1" applyFill="1" applyBorder="1" applyAlignment="1">
      <alignment vertical="center"/>
    </xf>
    <xf numFmtId="0" fontId="0" fillId="6" borderId="60" xfId="0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 wrapText="1"/>
    </xf>
    <xf numFmtId="165" fontId="10" fillId="6" borderId="60" xfId="0" applyNumberFormat="1" applyFont="1" applyFill="1" applyBorder="1" applyAlignment="1">
      <alignment horizontal="center" vertical="center"/>
    </xf>
    <xf numFmtId="164" fontId="10" fillId="6" borderId="60" xfId="0" applyNumberFormat="1" applyFont="1" applyFill="1" applyBorder="1" applyAlignment="1">
      <alignment horizontal="right" vertical="center" wrapText="1"/>
    </xf>
    <xf numFmtId="0" fontId="27" fillId="6" borderId="60" xfId="0" applyFont="1" applyFill="1" applyBorder="1" applyAlignment="1">
      <alignment horizontal="center" vertical="center"/>
    </xf>
    <xf numFmtId="0" fontId="26" fillId="6" borderId="0" xfId="0" applyFont="1" applyFill="1" applyAlignment="1">
      <alignment vertical="center"/>
    </xf>
    <xf numFmtId="165" fontId="10" fillId="6" borderId="60" xfId="0" applyNumberFormat="1" applyFont="1" applyFill="1" applyBorder="1" applyAlignment="1">
      <alignment horizontal="right" vertical="center"/>
    </xf>
    <xf numFmtId="0" fontId="0" fillId="6" borderId="60" xfId="0" applyFill="1" applyBorder="1" applyAlignment="1">
      <alignment horizontal="left" vertical="center"/>
    </xf>
    <xf numFmtId="0" fontId="0" fillId="6" borderId="60" xfId="0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2" fillId="0" borderId="61" xfId="0" applyFont="1" applyFill="1" applyBorder="1" applyAlignment="1">
      <alignment vertical="center"/>
    </xf>
    <xf numFmtId="0" fontId="2" fillId="0" borderId="62" xfId="0" applyFont="1" applyFill="1" applyBorder="1" applyAlignment="1">
      <alignment vertical="center"/>
    </xf>
    <xf numFmtId="0" fontId="2" fillId="0" borderId="62" xfId="0" applyFont="1" applyFill="1" applyBorder="1"/>
    <xf numFmtId="0" fontId="2" fillId="0" borderId="63" xfId="0" applyFont="1" applyFill="1" applyBorder="1"/>
    <xf numFmtId="0" fontId="2" fillId="0" borderId="6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wrapText="1"/>
    </xf>
    <xf numFmtId="0" fontId="2" fillId="0" borderId="65" xfId="0" applyFont="1" applyFill="1" applyBorder="1" applyAlignment="1">
      <alignment horizontal="left" wrapText="1"/>
    </xf>
    <xf numFmtId="0" fontId="11" fillId="0" borderId="6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65" xfId="0" applyFont="1" applyFill="1" applyBorder="1" applyAlignment="1">
      <alignment horizontal="center" wrapText="1"/>
    </xf>
    <xf numFmtId="0" fontId="12" fillId="0" borderId="66" xfId="0" applyFont="1" applyFill="1" applyBorder="1" applyAlignment="1">
      <alignment vertical="center"/>
    </xf>
    <xf numFmtId="0" fontId="2" fillId="0" borderId="67" xfId="0" applyFont="1" applyFill="1" applyBorder="1" applyAlignment="1">
      <alignment vertical="center"/>
    </xf>
    <xf numFmtId="0" fontId="2" fillId="0" borderId="67" xfId="0" applyFont="1" applyFill="1" applyBorder="1"/>
    <xf numFmtId="0" fontId="2" fillId="0" borderId="68" xfId="0" applyFont="1" applyFill="1" applyBorder="1"/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/>
    <xf numFmtId="165" fontId="4" fillId="3" borderId="60" xfId="0" applyNumberFormat="1" applyFont="1" applyFill="1" applyBorder="1" applyAlignment="1">
      <alignment horizontal="right" vertical="center"/>
    </xf>
    <xf numFmtId="165" fontId="10" fillId="3" borderId="60" xfId="0" applyNumberFormat="1" applyFont="1" applyFill="1" applyBorder="1" applyAlignment="1">
      <alignment vertical="center"/>
    </xf>
    <xf numFmtId="164" fontId="10" fillId="3" borderId="60" xfId="0" applyNumberFormat="1" applyFont="1" applyFill="1" applyBorder="1" applyAlignment="1">
      <alignment horizontal="right" vertical="center" wrapText="1"/>
    </xf>
    <xf numFmtId="0" fontId="26" fillId="3" borderId="0" xfId="0" applyFont="1" applyFill="1" applyAlignment="1">
      <alignment vertical="center"/>
    </xf>
    <xf numFmtId="0" fontId="26" fillId="5" borderId="60" xfId="0" applyFont="1" applyFill="1" applyBorder="1" applyAlignment="1">
      <alignment horizontal="left" vertical="center" wrapText="1"/>
    </xf>
    <xf numFmtId="165" fontId="10" fillId="5" borderId="6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26" fillId="5" borderId="0" xfId="0" applyFont="1" applyFill="1" applyAlignment="1">
      <alignment vertical="center" wrapText="1"/>
    </xf>
    <xf numFmtId="0" fontId="1" fillId="5" borderId="6" xfId="1" applyFill="1" applyAlignment="1">
      <alignment vertical="center" wrapText="1"/>
    </xf>
    <xf numFmtId="0" fontId="10" fillId="4" borderId="70" xfId="0" applyFont="1" applyFill="1" applyBorder="1" applyAlignment="1">
      <alignment horizontal="center" vertical="center" wrapText="1"/>
    </xf>
    <xf numFmtId="0" fontId="10" fillId="4" borderId="71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4" xfId="0" applyFont="1" applyBorder="1"/>
    <xf numFmtId="0" fontId="5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6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2" fillId="0" borderId="64" xfId="0" applyFont="1" applyFill="1" applyBorder="1" applyAlignment="1">
      <alignment horizontal="left" wrapText="1"/>
    </xf>
    <xf numFmtId="0" fontId="4" fillId="0" borderId="6" xfId="0" applyFont="1" applyFill="1" applyBorder="1"/>
    <xf numFmtId="0" fontId="4" fillId="0" borderId="65" xfId="0" applyFont="1" applyFill="1" applyBorder="1"/>
    <xf numFmtId="0" fontId="4" fillId="0" borderId="64" xfId="0" applyFont="1" applyFill="1" applyBorder="1"/>
    <xf numFmtId="0" fontId="2" fillId="0" borderId="69" xfId="0" applyFont="1" applyBorder="1" applyAlignment="1">
      <alignment horizontal="left" vertical="center" wrapText="1"/>
    </xf>
    <xf numFmtId="0" fontId="4" fillId="0" borderId="69" xfId="0" applyFont="1" applyBorder="1"/>
    <xf numFmtId="0" fontId="13" fillId="0" borderId="2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left" vertical="center" wrapText="1"/>
    </xf>
    <xf numFmtId="0" fontId="4" fillId="0" borderId="14" xfId="0" applyFont="1" applyBorder="1"/>
    <xf numFmtId="0" fontId="4" fillId="0" borderId="15" xfId="0" applyFont="1" applyBorder="1"/>
    <xf numFmtId="0" fontId="28" fillId="2" borderId="20" xfId="0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5" fillId="0" borderId="13" xfId="0" applyFont="1" applyBorder="1" applyAlignment="1">
      <alignment horizontal="left" vertical="center" wrapText="1"/>
    </xf>
    <xf numFmtId="0" fontId="18" fillId="2" borderId="16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4" fillId="0" borderId="18" xfId="0" applyFont="1" applyBorder="1"/>
    <xf numFmtId="0" fontId="18" fillId="2" borderId="13" xfId="0" applyFont="1" applyFill="1" applyBorder="1" applyAlignment="1">
      <alignment horizontal="left" vertical="center"/>
    </xf>
    <xf numFmtId="0" fontId="4" fillId="0" borderId="19" xfId="0" applyFont="1" applyBorder="1"/>
    <xf numFmtId="0" fontId="18" fillId="2" borderId="10" xfId="0" applyFont="1" applyFill="1" applyBorder="1" applyAlignment="1">
      <alignment horizontal="left" vertical="center" wrapText="1"/>
    </xf>
    <xf numFmtId="0" fontId="19" fillId="0" borderId="69" xfId="0" applyFont="1" applyBorder="1" applyAlignment="1">
      <alignment horizontal="center" vertical="center"/>
    </xf>
    <xf numFmtId="167" fontId="18" fillId="0" borderId="69" xfId="0" applyNumberFormat="1" applyFont="1" applyBorder="1" applyAlignment="1">
      <alignment horizontal="center" vertical="center"/>
    </xf>
    <xf numFmtId="0" fontId="15" fillId="0" borderId="69" xfId="0" applyFont="1" applyBorder="1" applyAlignment="1">
      <alignment horizontal="left" vertical="center" wrapText="1"/>
    </xf>
    <xf numFmtId="0" fontId="22" fillId="2" borderId="58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59" xfId="0" applyFont="1" applyBorder="1"/>
    <xf numFmtId="0" fontId="4" fillId="0" borderId="23" xfId="0" applyFont="1" applyBorder="1"/>
    <xf numFmtId="0" fontId="4" fillId="0" borderId="30" xfId="0" applyFont="1" applyBorder="1"/>
    <xf numFmtId="0" fontId="4" fillId="0" borderId="24" xfId="0" applyFont="1" applyBorder="1"/>
    <xf numFmtId="0" fontId="20" fillId="2" borderId="54" xfId="0" applyFont="1" applyFill="1" applyBorder="1" applyAlignment="1">
      <alignment horizontal="left" vertical="center" wrapText="1"/>
    </xf>
    <xf numFmtId="0" fontId="4" fillId="0" borderId="55" xfId="0" applyFont="1" applyBorder="1"/>
    <xf numFmtId="0" fontId="4" fillId="0" borderId="56" xfId="0" applyFont="1" applyBorder="1"/>
    <xf numFmtId="0" fontId="10" fillId="0" borderId="21" xfId="0" applyFont="1" applyBorder="1"/>
    <xf numFmtId="0" fontId="4" fillId="0" borderId="31" xfId="0" applyFont="1" applyBorder="1"/>
    <xf numFmtId="0" fontId="4" fillId="0" borderId="22" xfId="0" applyFont="1" applyBorder="1"/>
    <xf numFmtId="0" fontId="10" fillId="0" borderId="46" xfId="0" applyFont="1" applyBorder="1" applyAlignment="1">
      <alignment horizontal="left" vertical="center"/>
    </xf>
    <xf numFmtId="0" fontId="4" fillId="0" borderId="47" xfId="0" applyFont="1" applyBorder="1"/>
    <xf numFmtId="0" fontId="10" fillId="0" borderId="51" xfId="0" applyFont="1" applyBorder="1" applyAlignment="1">
      <alignment horizontal="left" vertical="center"/>
    </xf>
    <xf numFmtId="0" fontId="4" fillId="0" borderId="52" xfId="0" applyFont="1" applyBorder="1"/>
    <xf numFmtId="0" fontId="20" fillId="0" borderId="13" xfId="0" applyFont="1" applyBorder="1" applyAlignment="1">
      <alignment vertical="center" wrapText="1"/>
    </xf>
    <xf numFmtId="0" fontId="21" fillId="0" borderId="21" xfId="0" applyFont="1" applyBorder="1" applyAlignment="1">
      <alignment horizontal="center" vertical="center" wrapText="1"/>
    </xf>
    <xf numFmtId="0" fontId="10" fillId="0" borderId="10" xfId="0" applyFont="1" applyBorder="1"/>
    <xf numFmtId="0" fontId="4" fillId="0" borderId="25" xfId="0" applyFont="1" applyBorder="1"/>
    <xf numFmtId="0" fontId="22" fillId="0" borderId="10" xfId="0" applyFont="1" applyBorder="1" applyAlignment="1">
      <alignment horizontal="left"/>
    </xf>
    <xf numFmtId="0" fontId="22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0" fontId="23" fillId="0" borderId="10" xfId="0" applyFont="1" applyBorder="1" applyAlignment="1">
      <alignment horizontal="left"/>
    </xf>
    <xf numFmtId="0" fontId="22" fillId="0" borderId="26" xfId="0" applyFont="1" applyBorder="1"/>
    <xf numFmtId="0" fontId="0" fillId="0" borderId="0" xfId="0"/>
    <xf numFmtId="0" fontId="22" fillId="2" borderId="28" xfId="0" applyFont="1" applyFill="1" applyBorder="1" applyAlignment="1">
      <alignment horizontal="left" vertical="center" wrapText="1"/>
    </xf>
    <xf numFmtId="0" fontId="4" fillId="0" borderId="29" xfId="0" applyFont="1" applyBorder="1"/>
    <xf numFmtId="0" fontId="24" fillId="0" borderId="2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31" xfId="0" applyFont="1" applyBorder="1" applyAlignment="1">
      <alignment vertical="center" wrapText="1"/>
    </xf>
    <xf numFmtId="0" fontId="24" fillId="0" borderId="21" xfId="0" applyFont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24" fillId="0" borderId="2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opLeftCell="A124" zoomScale="115" zoomScaleNormal="115" workbookViewId="0">
      <selection activeCell="C143" sqref="C143"/>
    </sheetView>
  </sheetViews>
  <sheetFormatPr baseColWidth="10" defaultColWidth="12.5703125" defaultRowHeight="15" customHeight="1" x14ac:dyDescent="0.2"/>
  <cols>
    <col min="1" max="1" width="4.5703125" customWidth="1"/>
    <col min="2" max="2" width="14" style="51" customWidth="1"/>
    <col min="3" max="3" width="29.42578125" style="51" customWidth="1"/>
    <col min="4" max="4" width="6.7109375" customWidth="1"/>
    <col min="5" max="5" width="90.7109375" customWidth="1"/>
    <col min="6" max="6" width="13" customWidth="1"/>
    <col min="7" max="7" width="10.85546875" customWidth="1"/>
    <col min="8" max="8" width="14.42578125" style="51" customWidth="1"/>
    <col min="9" max="9" width="15.5703125" customWidth="1"/>
    <col min="10" max="10" width="38.85546875" customWidth="1"/>
    <col min="11" max="11" width="12.42578125" style="53" bestFit="1" customWidth="1"/>
    <col min="12" max="12" width="31" bestFit="1" customWidth="1"/>
    <col min="13" max="13" width="52.140625" bestFit="1" customWidth="1"/>
    <col min="14" max="14" width="38.28515625" bestFit="1" customWidth="1"/>
  </cols>
  <sheetData>
    <row r="1" spans="1:11" ht="12.75" customHeight="1" x14ac:dyDescent="0.2">
      <c r="A1" s="1"/>
      <c r="B1" s="52"/>
      <c r="C1" s="52"/>
      <c r="D1" s="1"/>
      <c r="E1" s="46"/>
      <c r="F1" s="1"/>
      <c r="G1" s="1"/>
      <c r="H1" s="52"/>
      <c r="I1" s="2"/>
      <c r="J1" s="1"/>
      <c r="K1" s="6"/>
    </row>
    <row r="2" spans="1:11" ht="26.25" customHeight="1" x14ac:dyDescent="0.35">
      <c r="A2" s="1"/>
      <c r="B2" s="194" t="s">
        <v>0</v>
      </c>
      <c r="C2" s="195"/>
      <c r="D2" s="195"/>
      <c r="E2" s="196"/>
      <c r="F2" s="195"/>
      <c r="G2" s="195"/>
      <c r="H2" s="192"/>
      <c r="I2" s="2"/>
      <c r="J2" s="1"/>
      <c r="K2" s="6"/>
    </row>
    <row r="3" spans="1:11" ht="12.75" customHeight="1" x14ac:dyDescent="0.2">
      <c r="A3" s="1"/>
      <c r="B3" s="52"/>
      <c r="C3" s="52"/>
      <c r="D3" s="1"/>
      <c r="E3" s="46"/>
      <c r="F3" s="1"/>
      <c r="G3" s="1"/>
      <c r="H3" s="52"/>
      <c r="I3" s="2"/>
      <c r="J3" s="1"/>
      <c r="K3" s="6"/>
    </row>
    <row r="4" spans="1:11" ht="12.75" customHeight="1" x14ac:dyDescent="0.25">
      <c r="A4" s="191" t="s">
        <v>1</v>
      </c>
      <c r="B4" s="192"/>
      <c r="C4" s="197" t="s">
        <v>2</v>
      </c>
      <c r="D4" s="195"/>
      <c r="E4" s="196"/>
      <c r="F4" s="3"/>
      <c r="G4" s="4"/>
      <c r="H4" s="59"/>
      <c r="I4" s="2"/>
      <c r="J4" s="1"/>
      <c r="K4" s="6"/>
    </row>
    <row r="5" spans="1:11" ht="12.75" customHeight="1" x14ac:dyDescent="0.25">
      <c r="A5" s="193" t="s">
        <v>3</v>
      </c>
      <c r="B5" s="192"/>
      <c r="C5" s="198" t="s">
        <v>4</v>
      </c>
      <c r="D5" s="195"/>
      <c r="E5" s="196"/>
      <c r="F5" s="3"/>
      <c r="G5" s="4"/>
      <c r="H5" s="59"/>
      <c r="I5" s="2"/>
      <c r="J5" s="1"/>
      <c r="K5" s="6"/>
    </row>
    <row r="6" spans="1:11" ht="12.75" customHeight="1" x14ac:dyDescent="0.2">
      <c r="A6" s="191" t="s">
        <v>5</v>
      </c>
      <c r="B6" s="192"/>
      <c r="C6" s="55">
        <v>2022</v>
      </c>
      <c r="D6" s="5"/>
      <c r="E6" s="47"/>
      <c r="F6" s="3"/>
      <c r="G6" s="4"/>
      <c r="H6" s="59"/>
      <c r="I6" s="2"/>
      <c r="J6" s="1"/>
      <c r="K6" s="6"/>
    </row>
    <row r="7" spans="1:11" ht="12.75" customHeight="1" x14ac:dyDescent="0.2">
      <c r="A7" s="193" t="s">
        <v>6</v>
      </c>
      <c r="B7" s="192"/>
      <c r="C7" s="56">
        <v>2</v>
      </c>
      <c r="D7" s="5"/>
      <c r="E7" s="47"/>
      <c r="F7" s="3"/>
      <c r="G7" s="4"/>
      <c r="H7" s="59"/>
      <c r="I7" s="2"/>
      <c r="J7" s="1"/>
      <c r="K7" s="6"/>
    </row>
    <row r="8" spans="1:11" ht="12.75" customHeight="1" x14ac:dyDescent="0.2">
      <c r="A8" s="1"/>
      <c r="B8" s="59"/>
      <c r="C8" s="57"/>
      <c r="D8" s="3"/>
      <c r="E8" s="48"/>
      <c r="F8" s="3"/>
      <c r="G8" s="4"/>
      <c r="H8" s="59"/>
      <c r="I8" s="2"/>
      <c r="J8" s="1"/>
      <c r="K8" s="6"/>
    </row>
    <row r="9" spans="1:11" s="60" customFormat="1" ht="38.25" x14ac:dyDescent="0.2">
      <c r="A9" s="49" t="s">
        <v>7</v>
      </c>
      <c r="B9" s="49" t="s">
        <v>8</v>
      </c>
      <c r="C9" s="49" t="s">
        <v>9</v>
      </c>
      <c r="D9" s="49" t="s">
        <v>10</v>
      </c>
      <c r="E9" s="49" t="s">
        <v>11</v>
      </c>
      <c r="F9" s="49" t="s">
        <v>12</v>
      </c>
      <c r="G9" s="49" t="s">
        <v>13</v>
      </c>
      <c r="H9" s="49" t="s">
        <v>14</v>
      </c>
      <c r="I9" s="50" t="s">
        <v>15</v>
      </c>
      <c r="J9" s="79"/>
      <c r="K9" s="58"/>
    </row>
    <row r="10" spans="1:11" ht="25.5" x14ac:dyDescent="0.2">
      <c r="A10" s="65">
        <v>1</v>
      </c>
      <c r="B10" s="124" t="s">
        <v>74</v>
      </c>
      <c r="C10" s="81" t="s">
        <v>75</v>
      </c>
      <c r="D10" s="66">
        <v>252</v>
      </c>
      <c r="E10" s="67" t="s">
        <v>171</v>
      </c>
      <c r="F10" s="65" t="s">
        <v>16</v>
      </c>
      <c r="G10" s="68">
        <v>1</v>
      </c>
      <c r="H10" s="89">
        <v>28.9</v>
      </c>
      <c r="I10" s="69">
        <f t="shared" ref="I10:I71" si="0">+G10*H10</f>
        <v>28.9</v>
      </c>
      <c r="J10" s="51"/>
      <c r="K10" s="52"/>
    </row>
    <row r="11" spans="1:11" ht="25.5" x14ac:dyDescent="0.2">
      <c r="A11" s="65">
        <v>2</v>
      </c>
      <c r="B11" s="125" t="s">
        <v>76</v>
      </c>
      <c r="C11" s="81" t="s">
        <v>75</v>
      </c>
      <c r="D11" s="66">
        <v>252</v>
      </c>
      <c r="E11" s="70" t="s">
        <v>172</v>
      </c>
      <c r="F11" s="65" t="s">
        <v>16</v>
      </c>
      <c r="G11" s="68">
        <v>1</v>
      </c>
      <c r="H11" s="89">
        <v>37.5</v>
      </c>
      <c r="I11" s="69">
        <f t="shared" si="0"/>
        <v>37.5</v>
      </c>
      <c r="J11" s="51"/>
      <c r="K11" s="52"/>
    </row>
    <row r="12" spans="1:11" ht="25.5" x14ac:dyDescent="0.2">
      <c r="A12" s="65">
        <v>3</v>
      </c>
      <c r="B12" s="125" t="s">
        <v>77</v>
      </c>
      <c r="C12" s="81" t="s">
        <v>75</v>
      </c>
      <c r="D12" s="66">
        <v>252</v>
      </c>
      <c r="E12" s="70" t="s">
        <v>173</v>
      </c>
      <c r="F12" s="65" t="s">
        <v>17</v>
      </c>
      <c r="G12" s="68">
        <v>1</v>
      </c>
      <c r="H12" s="89">
        <v>350</v>
      </c>
      <c r="I12" s="69">
        <f t="shared" si="0"/>
        <v>350</v>
      </c>
      <c r="J12" s="51"/>
      <c r="K12" s="52"/>
    </row>
    <row r="13" spans="1:11" ht="25.5" x14ac:dyDescent="0.2">
      <c r="A13" s="65">
        <v>4</v>
      </c>
      <c r="B13" s="126" t="s">
        <v>260</v>
      </c>
      <c r="C13" s="81" t="s">
        <v>75</v>
      </c>
      <c r="D13" s="66">
        <v>252</v>
      </c>
      <c r="E13" s="73" t="s">
        <v>259</v>
      </c>
      <c r="F13" s="65" t="s">
        <v>18</v>
      </c>
      <c r="G13" s="68">
        <v>1</v>
      </c>
      <c r="H13" s="89">
        <v>980</v>
      </c>
      <c r="I13" s="69">
        <f t="shared" si="0"/>
        <v>980</v>
      </c>
      <c r="J13" s="51"/>
      <c r="K13" s="52"/>
    </row>
    <row r="14" spans="1:11" ht="25.5" x14ac:dyDescent="0.2">
      <c r="A14" s="65">
        <v>5</v>
      </c>
      <c r="B14" s="125" t="s">
        <v>79</v>
      </c>
      <c r="C14" s="81" t="s">
        <v>75</v>
      </c>
      <c r="D14" s="66">
        <v>252</v>
      </c>
      <c r="E14" s="70" t="s">
        <v>340</v>
      </c>
      <c r="F14" s="65" t="s">
        <v>16</v>
      </c>
      <c r="G14" s="68">
        <v>1</v>
      </c>
      <c r="H14" s="89">
        <v>1.88</v>
      </c>
      <c r="I14" s="69">
        <f t="shared" si="0"/>
        <v>1.88</v>
      </c>
      <c r="J14" s="51"/>
      <c r="K14" s="52"/>
    </row>
    <row r="15" spans="1:11" ht="25.5" x14ac:dyDescent="0.2">
      <c r="A15" s="65">
        <v>6</v>
      </c>
      <c r="B15" s="125" t="s">
        <v>78</v>
      </c>
      <c r="C15" s="81" t="s">
        <v>75</v>
      </c>
      <c r="D15" s="66">
        <v>252</v>
      </c>
      <c r="E15" s="71" t="s">
        <v>174</v>
      </c>
      <c r="F15" s="65" t="s">
        <v>16</v>
      </c>
      <c r="G15" s="68">
        <v>1</v>
      </c>
      <c r="H15" s="89">
        <v>2.58</v>
      </c>
      <c r="I15" s="69">
        <f t="shared" si="0"/>
        <v>2.58</v>
      </c>
      <c r="J15" s="51"/>
      <c r="K15" s="52"/>
    </row>
    <row r="16" spans="1:11" ht="25.5" x14ac:dyDescent="0.2">
      <c r="A16" s="65">
        <v>7</v>
      </c>
      <c r="B16" s="127" t="s">
        <v>80</v>
      </c>
      <c r="C16" s="81" t="s">
        <v>75</v>
      </c>
      <c r="D16" s="77">
        <v>252</v>
      </c>
      <c r="E16" s="78" t="s">
        <v>175</v>
      </c>
      <c r="F16" s="76" t="s">
        <v>16</v>
      </c>
      <c r="G16" s="68">
        <v>1</v>
      </c>
      <c r="H16" s="98">
        <v>41.3</v>
      </c>
      <c r="I16" s="69">
        <f t="shared" si="0"/>
        <v>41.3</v>
      </c>
      <c r="J16" s="51"/>
      <c r="K16" s="52"/>
    </row>
    <row r="17" spans="1:11" ht="25.5" x14ac:dyDescent="0.2">
      <c r="A17" s="65">
        <v>8</v>
      </c>
      <c r="B17" s="125" t="s">
        <v>81</v>
      </c>
      <c r="C17" s="81" t="s">
        <v>75</v>
      </c>
      <c r="D17" s="66">
        <v>252</v>
      </c>
      <c r="E17" s="72" t="s">
        <v>176</v>
      </c>
      <c r="F17" s="65" t="s">
        <v>17</v>
      </c>
      <c r="G17" s="68">
        <v>1</v>
      </c>
      <c r="H17" s="89">
        <v>87.95</v>
      </c>
      <c r="I17" s="69">
        <f t="shared" si="0"/>
        <v>87.95</v>
      </c>
      <c r="J17" s="51"/>
      <c r="K17" s="52"/>
    </row>
    <row r="18" spans="1:11" ht="38.25" x14ac:dyDescent="0.2">
      <c r="A18" s="65">
        <v>9</v>
      </c>
      <c r="B18" s="128" t="s">
        <v>261</v>
      </c>
      <c r="C18" s="83" t="s">
        <v>75</v>
      </c>
      <c r="D18" s="97">
        <v>252</v>
      </c>
      <c r="E18" s="85" t="s">
        <v>329</v>
      </c>
      <c r="F18" s="96" t="s">
        <v>18</v>
      </c>
      <c r="G18" s="68">
        <v>1</v>
      </c>
      <c r="H18" s="98">
        <v>410</v>
      </c>
      <c r="I18" s="69">
        <f t="shared" si="0"/>
        <v>410</v>
      </c>
      <c r="J18" s="51"/>
      <c r="K18" s="52"/>
    </row>
    <row r="19" spans="1:11" ht="27.75" customHeight="1" x14ac:dyDescent="0.2">
      <c r="A19" s="65">
        <v>10</v>
      </c>
      <c r="B19" s="125" t="s">
        <v>82</v>
      </c>
      <c r="C19" s="81" t="s">
        <v>75</v>
      </c>
      <c r="D19" s="66">
        <v>252</v>
      </c>
      <c r="E19" s="72" t="s">
        <v>177</v>
      </c>
      <c r="F19" s="65" t="s">
        <v>16</v>
      </c>
      <c r="G19" s="68">
        <v>1</v>
      </c>
      <c r="H19" s="89">
        <v>38</v>
      </c>
      <c r="I19" s="69">
        <f t="shared" si="0"/>
        <v>38</v>
      </c>
      <c r="J19" s="51"/>
      <c r="K19" s="52"/>
    </row>
    <row r="20" spans="1:11" ht="25.5" x14ac:dyDescent="0.2">
      <c r="A20" s="65">
        <v>11</v>
      </c>
      <c r="B20" s="125" t="s">
        <v>83</v>
      </c>
      <c r="C20" s="81" t="s">
        <v>75</v>
      </c>
      <c r="D20" s="66">
        <v>252</v>
      </c>
      <c r="E20" s="72" t="s">
        <v>178</v>
      </c>
      <c r="F20" s="65" t="s">
        <v>16</v>
      </c>
      <c r="G20" s="68">
        <v>1</v>
      </c>
      <c r="H20" s="89">
        <v>15</v>
      </c>
      <c r="I20" s="69">
        <f t="shared" si="0"/>
        <v>15</v>
      </c>
      <c r="J20" s="51"/>
      <c r="K20" s="52"/>
    </row>
    <row r="21" spans="1:11" ht="25.5" x14ac:dyDescent="0.2">
      <c r="A21" s="65">
        <v>12</v>
      </c>
      <c r="B21" s="125" t="s">
        <v>84</v>
      </c>
      <c r="C21" s="81" t="s">
        <v>75</v>
      </c>
      <c r="D21" s="66">
        <v>252</v>
      </c>
      <c r="E21" s="72" t="s">
        <v>179</v>
      </c>
      <c r="F21" s="65" t="s">
        <v>18</v>
      </c>
      <c r="G21" s="68">
        <v>1</v>
      </c>
      <c r="H21" s="89">
        <v>320</v>
      </c>
      <c r="I21" s="69">
        <f t="shared" si="0"/>
        <v>320</v>
      </c>
      <c r="J21" s="51"/>
      <c r="K21" s="52"/>
    </row>
    <row r="22" spans="1:11" ht="25.5" x14ac:dyDescent="0.2">
      <c r="A22" s="137">
        <v>13</v>
      </c>
      <c r="B22" s="146" t="s">
        <v>85</v>
      </c>
      <c r="C22" s="139" t="s">
        <v>75</v>
      </c>
      <c r="D22" s="140">
        <v>252</v>
      </c>
      <c r="E22" s="183" t="s">
        <v>180</v>
      </c>
      <c r="F22" s="137" t="s">
        <v>17</v>
      </c>
      <c r="G22" s="68">
        <v>1</v>
      </c>
      <c r="H22" s="184">
        <v>145</v>
      </c>
      <c r="I22" s="143">
        <f t="shared" si="0"/>
        <v>145</v>
      </c>
      <c r="J22" s="185" t="s">
        <v>356</v>
      </c>
      <c r="K22" s="52"/>
    </row>
    <row r="23" spans="1:11" ht="25.5" x14ac:dyDescent="0.2">
      <c r="A23" s="65">
        <v>14</v>
      </c>
      <c r="B23" s="125" t="s">
        <v>86</v>
      </c>
      <c r="C23" s="81" t="s">
        <v>75</v>
      </c>
      <c r="D23" s="66">
        <v>252</v>
      </c>
      <c r="E23" s="72" t="s">
        <v>181</v>
      </c>
      <c r="F23" s="65" t="s">
        <v>17</v>
      </c>
      <c r="G23" s="68">
        <v>1</v>
      </c>
      <c r="H23" s="89">
        <v>99</v>
      </c>
      <c r="I23" s="69">
        <f t="shared" si="0"/>
        <v>99</v>
      </c>
      <c r="J23" s="51"/>
      <c r="K23" s="52"/>
    </row>
    <row r="24" spans="1:11" ht="25.5" x14ac:dyDescent="0.2">
      <c r="A24" s="65">
        <v>15</v>
      </c>
      <c r="B24" s="125" t="s">
        <v>87</v>
      </c>
      <c r="C24" s="81" t="s">
        <v>75</v>
      </c>
      <c r="D24" s="66">
        <v>252</v>
      </c>
      <c r="E24" s="72" t="s">
        <v>182</v>
      </c>
      <c r="F24" s="65" t="s">
        <v>16</v>
      </c>
      <c r="G24" s="68">
        <v>1</v>
      </c>
      <c r="H24" s="89">
        <v>22</v>
      </c>
      <c r="I24" s="69">
        <f t="shared" si="0"/>
        <v>22</v>
      </c>
      <c r="J24" s="51"/>
      <c r="K24" s="52"/>
    </row>
    <row r="25" spans="1:11" ht="25.5" x14ac:dyDescent="0.2">
      <c r="A25" s="65">
        <v>16</v>
      </c>
      <c r="B25" s="129" t="s">
        <v>263</v>
      </c>
      <c r="C25" s="81" t="s">
        <v>75</v>
      </c>
      <c r="D25" s="66">
        <v>252</v>
      </c>
      <c r="E25" s="73" t="s">
        <v>262</v>
      </c>
      <c r="F25" s="65" t="s">
        <v>17</v>
      </c>
      <c r="G25" s="68">
        <v>1</v>
      </c>
      <c r="H25" s="89">
        <v>29500</v>
      </c>
      <c r="I25" s="69">
        <f t="shared" si="0"/>
        <v>29500</v>
      </c>
      <c r="J25" s="51"/>
      <c r="K25" s="52"/>
    </row>
    <row r="26" spans="1:11" ht="25.5" x14ac:dyDescent="0.2">
      <c r="A26" s="65">
        <v>17</v>
      </c>
      <c r="B26" s="125" t="s">
        <v>88</v>
      </c>
      <c r="C26" s="139" t="s">
        <v>75</v>
      </c>
      <c r="D26" s="140">
        <v>252</v>
      </c>
      <c r="E26" s="183" t="s">
        <v>183</v>
      </c>
      <c r="F26" s="137" t="s">
        <v>17</v>
      </c>
      <c r="G26" s="68">
        <v>1</v>
      </c>
      <c r="H26" s="184">
        <v>795</v>
      </c>
      <c r="I26" s="143">
        <f t="shared" si="0"/>
        <v>795</v>
      </c>
      <c r="J26" s="185" t="s">
        <v>356</v>
      </c>
      <c r="K26" s="52"/>
    </row>
    <row r="27" spans="1:11" ht="25.5" x14ac:dyDescent="0.2">
      <c r="A27" s="65">
        <v>18</v>
      </c>
      <c r="B27" s="125" t="s">
        <v>90</v>
      </c>
      <c r="C27" s="81" t="s">
        <v>75</v>
      </c>
      <c r="D27" s="66">
        <v>252</v>
      </c>
      <c r="E27" s="72" t="s">
        <v>185</v>
      </c>
      <c r="F27" s="65" t="s">
        <v>18</v>
      </c>
      <c r="G27" s="68">
        <v>1</v>
      </c>
      <c r="H27" s="89">
        <v>562.5</v>
      </c>
      <c r="I27" s="69">
        <f t="shared" si="0"/>
        <v>562.5</v>
      </c>
      <c r="J27" s="51"/>
      <c r="K27" s="52"/>
    </row>
    <row r="28" spans="1:11" ht="25.5" x14ac:dyDescent="0.2">
      <c r="A28" s="147">
        <v>19</v>
      </c>
      <c r="B28" s="148" t="s">
        <v>305</v>
      </c>
      <c r="C28" s="149" t="s">
        <v>75</v>
      </c>
      <c r="D28" s="150">
        <v>252</v>
      </c>
      <c r="E28" s="151" t="s">
        <v>304</v>
      </c>
      <c r="F28" s="154" t="s">
        <v>17</v>
      </c>
      <c r="G28" s="68">
        <v>1</v>
      </c>
      <c r="H28" s="152">
        <v>259</v>
      </c>
      <c r="I28" s="153">
        <f t="shared" si="0"/>
        <v>259</v>
      </c>
      <c r="J28" s="155" t="s">
        <v>351</v>
      </c>
      <c r="K28" s="52"/>
    </row>
    <row r="29" spans="1:11" ht="25.5" x14ac:dyDescent="0.2">
      <c r="A29" s="65">
        <v>20</v>
      </c>
      <c r="B29" s="125" t="s">
        <v>89</v>
      </c>
      <c r="C29" s="81" t="s">
        <v>75</v>
      </c>
      <c r="D29" s="66">
        <v>252</v>
      </c>
      <c r="E29" s="70" t="s">
        <v>184</v>
      </c>
      <c r="F29" s="65" t="s">
        <v>16</v>
      </c>
      <c r="G29" s="68">
        <v>1</v>
      </c>
      <c r="H29" s="89">
        <v>37.450000000000003</v>
      </c>
      <c r="I29" s="69">
        <f t="shared" si="0"/>
        <v>37.450000000000003</v>
      </c>
      <c r="J29" s="51"/>
      <c r="K29" s="52"/>
    </row>
    <row r="30" spans="1:11" ht="29.25" customHeight="1" x14ac:dyDescent="0.2">
      <c r="A30" s="65">
        <v>21</v>
      </c>
      <c r="B30" s="124" t="s">
        <v>91</v>
      </c>
      <c r="C30" s="81" t="s">
        <v>75</v>
      </c>
      <c r="D30" s="66">
        <v>252</v>
      </c>
      <c r="E30" s="73" t="s">
        <v>186</v>
      </c>
      <c r="F30" s="65" t="s">
        <v>16</v>
      </c>
      <c r="G30" s="68">
        <v>1</v>
      </c>
      <c r="H30" s="89">
        <v>16</v>
      </c>
      <c r="I30" s="69">
        <f t="shared" si="0"/>
        <v>16</v>
      </c>
      <c r="J30" s="51"/>
      <c r="K30" s="52"/>
    </row>
    <row r="31" spans="1:11" ht="25.5" x14ac:dyDescent="0.2">
      <c r="A31" s="65">
        <v>22</v>
      </c>
      <c r="B31" s="130" t="s">
        <v>264</v>
      </c>
      <c r="C31" s="83" t="s">
        <v>75</v>
      </c>
      <c r="D31" s="84">
        <v>252</v>
      </c>
      <c r="E31" s="93" t="s">
        <v>265</v>
      </c>
      <c r="F31" s="82" t="s">
        <v>18</v>
      </c>
      <c r="G31" s="68">
        <v>1</v>
      </c>
      <c r="H31" s="89">
        <v>9664.2800000000007</v>
      </c>
      <c r="I31" s="69">
        <f t="shared" si="0"/>
        <v>9664.2800000000007</v>
      </c>
      <c r="J31" s="51"/>
      <c r="K31" s="52"/>
    </row>
    <row r="32" spans="1:11" ht="31.5" customHeight="1" x14ac:dyDescent="0.2">
      <c r="A32" s="65">
        <v>23</v>
      </c>
      <c r="B32" s="130" t="s">
        <v>267</v>
      </c>
      <c r="C32" s="83" t="s">
        <v>75</v>
      </c>
      <c r="D32" s="84">
        <v>252</v>
      </c>
      <c r="E32" s="94" t="s">
        <v>266</v>
      </c>
      <c r="F32" s="82" t="s">
        <v>18</v>
      </c>
      <c r="G32" s="68">
        <v>1</v>
      </c>
      <c r="H32" s="89">
        <v>16740</v>
      </c>
      <c r="I32" s="69">
        <f t="shared" si="0"/>
        <v>16740</v>
      </c>
      <c r="J32" s="51"/>
      <c r="K32" s="52"/>
    </row>
    <row r="33" spans="1:13" ht="25.5" x14ac:dyDescent="0.2">
      <c r="A33" s="65">
        <v>24</v>
      </c>
      <c r="B33" s="131" t="s">
        <v>269</v>
      </c>
      <c r="C33" s="83" t="s">
        <v>75</v>
      </c>
      <c r="D33" s="84">
        <v>252</v>
      </c>
      <c r="E33" s="94" t="s">
        <v>268</v>
      </c>
      <c r="F33" s="82" t="s">
        <v>18</v>
      </c>
      <c r="G33" s="68">
        <v>1</v>
      </c>
      <c r="H33" s="89">
        <v>10347.39</v>
      </c>
      <c r="I33" s="69">
        <f t="shared" si="0"/>
        <v>10347.39</v>
      </c>
      <c r="J33" s="51"/>
      <c r="K33" s="52"/>
    </row>
    <row r="34" spans="1:13" ht="25.5" x14ac:dyDescent="0.2">
      <c r="A34" s="65">
        <v>25</v>
      </c>
      <c r="B34" s="124" t="s">
        <v>92</v>
      </c>
      <c r="C34" s="81" t="s">
        <v>75</v>
      </c>
      <c r="D34" s="66">
        <v>252</v>
      </c>
      <c r="E34" s="73" t="s">
        <v>187</v>
      </c>
      <c r="F34" s="65" t="s">
        <v>18</v>
      </c>
      <c r="G34" s="68">
        <v>1</v>
      </c>
      <c r="H34" s="89">
        <v>3100</v>
      </c>
      <c r="I34" s="69">
        <f t="shared" si="0"/>
        <v>3100</v>
      </c>
      <c r="J34" s="51"/>
      <c r="K34" s="52"/>
    </row>
    <row r="35" spans="1:13" ht="25.5" x14ac:dyDescent="0.2">
      <c r="A35" s="65">
        <v>26</v>
      </c>
      <c r="B35" s="125" t="s">
        <v>93</v>
      </c>
      <c r="C35" s="81" t="s">
        <v>75</v>
      </c>
      <c r="D35" s="66">
        <v>252</v>
      </c>
      <c r="E35" s="72" t="s">
        <v>188</v>
      </c>
      <c r="F35" s="65" t="s">
        <v>18</v>
      </c>
      <c r="G35" s="68">
        <v>1</v>
      </c>
      <c r="H35" s="89">
        <v>350</v>
      </c>
      <c r="I35" s="69">
        <f t="shared" si="0"/>
        <v>350</v>
      </c>
      <c r="J35" s="51"/>
      <c r="K35" s="52"/>
      <c r="L35" s="74"/>
      <c r="M35" s="75"/>
    </row>
    <row r="36" spans="1:13" ht="38.25" x14ac:dyDescent="0.2">
      <c r="A36" s="65">
        <v>27</v>
      </c>
      <c r="B36" s="126" t="s">
        <v>271</v>
      </c>
      <c r="C36" s="81" t="s">
        <v>75</v>
      </c>
      <c r="D36" s="80">
        <v>252</v>
      </c>
      <c r="E36" s="73" t="s">
        <v>270</v>
      </c>
      <c r="F36" s="65" t="s">
        <v>17</v>
      </c>
      <c r="G36" s="68">
        <v>1</v>
      </c>
      <c r="H36" s="89">
        <v>1420</v>
      </c>
      <c r="I36" s="69">
        <f t="shared" si="0"/>
        <v>1420</v>
      </c>
      <c r="J36" s="51"/>
      <c r="K36" s="52"/>
    </row>
    <row r="37" spans="1:13" ht="25.5" x14ac:dyDescent="0.2">
      <c r="A37" s="65">
        <v>28</v>
      </c>
      <c r="B37" s="125" t="s">
        <v>94</v>
      </c>
      <c r="C37" s="81" t="s">
        <v>75</v>
      </c>
      <c r="D37" s="66">
        <v>252</v>
      </c>
      <c r="E37" s="72" t="s">
        <v>189</v>
      </c>
      <c r="F37" s="65" t="s">
        <v>16</v>
      </c>
      <c r="G37" s="68">
        <v>1</v>
      </c>
      <c r="H37" s="89">
        <v>15.3</v>
      </c>
      <c r="I37" s="69">
        <f t="shared" si="0"/>
        <v>15.3</v>
      </c>
      <c r="J37" s="51"/>
      <c r="K37" s="52"/>
    </row>
    <row r="38" spans="1:13" ht="25.5" x14ac:dyDescent="0.2">
      <c r="A38" s="65">
        <v>29</v>
      </c>
      <c r="B38" s="125" t="s">
        <v>95</v>
      </c>
      <c r="C38" s="81" t="s">
        <v>75</v>
      </c>
      <c r="D38" s="66">
        <v>252</v>
      </c>
      <c r="E38" s="72" t="s">
        <v>190</v>
      </c>
      <c r="F38" s="65" t="s">
        <v>18</v>
      </c>
      <c r="G38" s="68">
        <v>1</v>
      </c>
      <c r="H38" s="89">
        <v>298</v>
      </c>
      <c r="I38" s="69">
        <f t="shared" si="0"/>
        <v>298</v>
      </c>
      <c r="J38" s="51"/>
      <c r="K38" s="52"/>
    </row>
    <row r="39" spans="1:13" ht="25.5" x14ac:dyDescent="0.2">
      <c r="A39" s="65">
        <v>30</v>
      </c>
      <c r="B39" s="125" t="s">
        <v>96</v>
      </c>
      <c r="C39" s="81" t="s">
        <v>75</v>
      </c>
      <c r="D39" s="66">
        <v>252</v>
      </c>
      <c r="E39" s="72" t="s">
        <v>191</v>
      </c>
      <c r="F39" s="65" t="s">
        <v>17</v>
      </c>
      <c r="G39" s="68">
        <v>1</v>
      </c>
      <c r="H39" s="89">
        <v>145</v>
      </c>
      <c r="I39" s="69">
        <f t="shared" si="0"/>
        <v>145</v>
      </c>
      <c r="J39" s="51"/>
      <c r="K39" s="52"/>
    </row>
    <row r="40" spans="1:13" ht="25.5" x14ac:dyDescent="0.2">
      <c r="A40" s="65">
        <v>31</v>
      </c>
      <c r="B40" s="125" t="s">
        <v>97</v>
      </c>
      <c r="C40" s="81" t="s">
        <v>75</v>
      </c>
      <c r="D40" s="66">
        <v>252</v>
      </c>
      <c r="E40" s="72" t="s">
        <v>192</v>
      </c>
      <c r="F40" s="65" t="s">
        <v>17</v>
      </c>
      <c r="G40" s="68">
        <v>1</v>
      </c>
      <c r="H40" s="89">
        <v>148</v>
      </c>
      <c r="I40" s="69">
        <f t="shared" si="0"/>
        <v>148</v>
      </c>
      <c r="J40" s="51"/>
      <c r="K40" s="52"/>
    </row>
    <row r="41" spans="1:13" ht="25.5" x14ac:dyDescent="0.2">
      <c r="A41" s="65">
        <v>32</v>
      </c>
      <c r="B41" s="125" t="s">
        <v>98</v>
      </c>
      <c r="C41" s="81" t="s">
        <v>75</v>
      </c>
      <c r="D41" s="66">
        <v>252</v>
      </c>
      <c r="E41" s="72" t="s">
        <v>193</v>
      </c>
      <c r="F41" s="65" t="s">
        <v>17</v>
      </c>
      <c r="G41" s="68">
        <v>1</v>
      </c>
      <c r="H41" s="89">
        <v>144</v>
      </c>
      <c r="I41" s="69">
        <f t="shared" si="0"/>
        <v>144</v>
      </c>
      <c r="J41" s="51"/>
      <c r="K41" s="52"/>
    </row>
    <row r="42" spans="1:13" ht="25.5" x14ac:dyDescent="0.2">
      <c r="A42" s="65">
        <v>33</v>
      </c>
      <c r="B42" s="125" t="s">
        <v>99</v>
      </c>
      <c r="C42" s="81" t="s">
        <v>75</v>
      </c>
      <c r="D42" s="66">
        <v>252</v>
      </c>
      <c r="E42" s="72" t="s">
        <v>194</v>
      </c>
      <c r="F42" s="65" t="s">
        <v>17</v>
      </c>
      <c r="G42" s="68">
        <v>1</v>
      </c>
      <c r="H42" s="89">
        <v>105</v>
      </c>
      <c r="I42" s="69">
        <f t="shared" si="0"/>
        <v>105</v>
      </c>
      <c r="J42" s="51"/>
      <c r="K42" s="52"/>
    </row>
    <row r="43" spans="1:13" ht="25.5" x14ac:dyDescent="0.2">
      <c r="A43" s="65">
        <v>34</v>
      </c>
      <c r="B43" s="125" t="s">
        <v>100</v>
      </c>
      <c r="C43" s="81" t="s">
        <v>75</v>
      </c>
      <c r="D43" s="66">
        <v>252</v>
      </c>
      <c r="E43" s="71" t="s">
        <v>195</v>
      </c>
      <c r="F43" s="65" t="s">
        <v>17</v>
      </c>
      <c r="G43" s="68">
        <v>1</v>
      </c>
      <c r="H43" s="89">
        <v>351</v>
      </c>
      <c r="I43" s="69">
        <f t="shared" si="0"/>
        <v>351</v>
      </c>
      <c r="J43" s="51"/>
      <c r="K43" s="52"/>
    </row>
    <row r="44" spans="1:13" ht="25.5" x14ac:dyDescent="0.2">
      <c r="A44" s="65">
        <v>35</v>
      </c>
      <c r="B44" s="125" t="s">
        <v>101</v>
      </c>
      <c r="C44" s="81" t="s">
        <v>75</v>
      </c>
      <c r="D44" s="66">
        <v>252</v>
      </c>
      <c r="E44" s="72" t="s">
        <v>253</v>
      </c>
      <c r="F44" s="76" t="s">
        <v>331</v>
      </c>
      <c r="G44" s="68">
        <v>1</v>
      </c>
      <c r="H44" s="89">
        <v>135</v>
      </c>
      <c r="I44" s="69">
        <f t="shared" si="0"/>
        <v>135</v>
      </c>
      <c r="J44" s="51"/>
      <c r="K44" s="52"/>
      <c r="M44" s="60"/>
    </row>
    <row r="45" spans="1:13" ht="25.5" x14ac:dyDescent="0.2">
      <c r="A45" s="65">
        <v>36</v>
      </c>
      <c r="B45" s="125" t="s">
        <v>102</v>
      </c>
      <c r="C45" s="81" t="s">
        <v>75</v>
      </c>
      <c r="D45" s="66">
        <v>252</v>
      </c>
      <c r="E45" s="71" t="s">
        <v>196</v>
      </c>
      <c r="F45" s="65" t="s">
        <v>16</v>
      </c>
      <c r="G45" s="68">
        <v>1</v>
      </c>
      <c r="H45" s="89">
        <v>11.5</v>
      </c>
      <c r="I45" s="69">
        <f t="shared" si="0"/>
        <v>11.5</v>
      </c>
      <c r="J45" s="51"/>
      <c r="K45" s="52"/>
    </row>
    <row r="46" spans="1:13" ht="25.5" x14ac:dyDescent="0.2">
      <c r="A46" s="65">
        <v>37</v>
      </c>
      <c r="B46" s="125" t="s">
        <v>104</v>
      </c>
      <c r="C46" s="81" t="s">
        <v>75</v>
      </c>
      <c r="D46" s="66">
        <v>252</v>
      </c>
      <c r="E46" s="71" t="s">
        <v>197</v>
      </c>
      <c r="F46" s="65" t="s">
        <v>18</v>
      </c>
      <c r="G46" s="68">
        <v>1</v>
      </c>
      <c r="H46" s="86">
        <v>1500</v>
      </c>
      <c r="I46" s="69">
        <f t="shared" si="0"/>
        <v>1500</v>
      </c>
      <c r="J46" s="51"/>
      <c r="K46" s="52"/>
    </row>
    <row r="47" spans="1:13" ht="25.5" x14ac:dyDescent="0.2">
      <c r="A47" s="65">
        <v>38</v>
      </c>
      <c r="B47" s="125" t="s">
        <v>103</v>
      </c>
      <c r="C47" s="81" t="s">
        <v>75</v>
      </c>
      <c r="D47" s="66">
        <v>252</v>
      </c>
      <c r="E47" s="72" t="s">
        <v>198</v>
      </c>
      <c r="F47" s="65" t="s">
        <v>16</v>
      </c>
      <c r="G47" s="68">
        <v>1</v>
      </c>
      <c r="H47" s="86">
        <v>35</v>
      </c>
      <c r="I47" s="69">
        <f t="shared" si="0"/>
        <v>35</v>
      </c>
      <c r="J47" s="51"/>
      <c r="K47" s="52"/>
    </row>
    <row r="48" spans="1:13" ht="25.5" x14ac:dyDescent="0.2">
      <c r="A48" s="65">
        <v>39</v>
      </c>
      <c r="B48" s="125" t="s">
        <v>105</v>
      </c>
      <c r="C48" s="81" t="s">
        <v>75</v>
      </c>
      <c r="D48" s="66">
        <v>252</v>
      </c>
      <c r="E48" s="72" t="s">
        <v>200</v>
      </c>
      <c r="F48" s="65" t="s">
        <v>17</v>
      </c>
      <c r="G48" s="68">
        <v>1</v>
      </c>
      <c r="H48" s="86">
        <v>690</v>
      </c>
      <c r="I48" s="69">
        <f t="shared" si="0"/>
        <v>690</v>
      </c>
      <c r="J48" s="51"/>
      <c r="K48" s="52"/>
    </row>
    <row r="49" spans="1:13" ht="25.5" x14ac:dyDescent="0.2">
      <c r="A49" s="65">
        <v>40</v>
      </c>
      <c r="B49" s="129" t="s">
        <v>306</v>
      </c>
      <c r="C49" s="81" t="s">
        <v>75</v>
      </c>
      <c r="D49" s="66">
        <v>252</v>
      </c>
      <c r="E49" s="72" t="s">
        <v>318</v>
      </c>
      <c r="F49" s="65" t="s">
        <v>19</v>
      </c>
      <c r="G49" s="68">
        <v>1</v>
      </c>
      <c r="H49" s="86">
        <v>29</v>
      </c>
      <c r="I49" s="69">
        <f t="shared" si="0"/>
        <v>29</v>
      </c>
      <c r="J49" s="51"/>
      <c r="K49" s="52"/>
    </row>
    <row r="50" spans="1:13" ht="25.5" x14ac:dyDescent="0.2">
      <c r="A50" s="65">
        <v>41</v>
      </c>
      <c r="B50" s="125" t="s">
        <v>106</v>
      </c>
      <c r="C50" s="81" t="s">
        <v>75</v>
      </c>
      <c r="D50" s="66">
        <v>252</v>
      </c>
      <c r="E50" s="72" t="s">
        <v>199</v>
      </c>
      <c r="F50" s="65" t="s">
        <v>17</v>
      </c>
      <c r="G50" s="68">
        <v>1</v>
      </c>
      <c r="H50" s="86">
        <v>85</v>
      </c>
      <c r="I50" s="69">
        <f t="shared" si="0"/>
        <v>85</v>
      </c>
      <c r="J50" s="51"/>
      <c r="K50" s="52"/>
    </row>
    <row r="51" spans="1:13" ht="25.5" x14ac:dyDescent="0.2">
      <c r="A51" s="65">
        <v>42</v>
      </c>
      <c r="B51" s="125" t="s">
        <v>107</v>
      </c>
      <c r="C51" s="139" t="s">
        <v>75</v>
      </c>
      <c r="D51" s="140">
        <v>252</v>
      </c>
      <c r="E51" s="183" t="s">
        <v>201</v>
      </c>
      <c r="F51" s="137" t="s">
        <v>17</v>
      </c>
      <c r="G51" s="68">
        <v>1</v>
      </c>
      <c r="H51" s="142">
        <v>451</v>
      </c>
      <c r="I51" s="143">
        <f t="shared" si="0"/>
        <v>451</v>
      </c>
      <c r="J51" s="185" t="s">
        <v>356</v>
      </c>
      <c r="K51" s="52"/>
    </row>
    <row r="52" spans="1:13" ht="25.5" x14ac:dyDescent="0.2">
      <c r="A52" s="65">
        <v>43</v>
      </c>
      <c r="B52" s="130" t="s">
        <v>273</v>
      </c>
      <c r="C52" s="83" t="s">
        <v>75</v>
      </c>
      <c r="D52" s="95">
        <v>252</v>
      </c>
      <c r="E52" s="94" t="s">
        <v>272</v>
      </c>
      <c r="F52" s="82" t="s">
        <v>18</v>
      </c>
      <c r="G52" s="68">
        <v>1</v>
      </c>
      <c r="H52" s="86">
        <v>1850</v>
      </c>
      <c r="I52" s="69">
        <f t="shared" si="0"/>
        <v>1850</v>
      </c>
      <c r="J52" s="51"/>
      <c r="K52" s="52"/>
    </row>
    <row r="53" spans="1:13" ht="25.5" x14ac:dyDescent="0.2">
      <c r="A53" s="65">
        <v>44</v>
      </c>
      <c r="B53" s="126" t="s">
        <v>275</v>
      </c>
      <c r="C53" s="139" t="s">
        <v>75</v>
      </c>
      <c r="D53" s="140">
        <v>252</v>
      </c>
      <c r="E53" s="141" t="s">
        <v>274</v>
      </c>
      <c r="F53" s="137" t="s">
        <v>17</v>
      </c>
      <c r="G53" s="68">
        <v>1</v>
      </c>
      <c r="H53" s="142">
        <v>135</v>
      </c>
      <c r="I53" s="143">
        <f t="shared" si="0"/>
        <v>135</v>
      </c>
      <c r="J53" s="185" t="s">
        <v>356</v>
      </c>
      <c r="K53" s="52"/>
    </row>
    <row r="54" spans="1:13" ht="25.5" x14ac:dyDescent="0.2">
      <c r="A54" s="65">
        <v>45</v>
      </c>
      <c r="B54" s="126" t="s">
        <v>277</v>
      </c>
      <c r="C54" s="81" t="s">
        <v>75</v>
      </c>
      <c r="D54" s="66">
        <v>252</v>
      </c>
      <c r="E54" s="73" t="s">
        <v>276</v>
      </c>
      <c r="F54" s="65" t="s">
        <v>16</v>
      </c>
      <c r="G54" s="68">
        <v>1</v>
      </c>
      <c r="H54" s="86">
        <v>15.8</v>
      </c>
      <c r="I54" s="69">
        <f t="shared" si="0"/>
        <v>15.8</v>
      </c>
      <c r="J54" s="51"/>
      <c r="K54" s="52"/>
    </row>
    <row r="55" spans="1:13" ht="25.5" x14ac:dyDescent="0.2">
      <c r="A55" s="65">
        <v>46</v>
      </c>
      <c r="B55" s="126" t="s">
        <v>279</v>
      </c>
      <c r="C55" s="81" t="s">
        <v>75</v>
      </c>
      <c r="D55" s="66">
        <v>252</v>
      </c>
      <c r="E55" s="73" t="s">
        <v>278</v>
      </c>
      <c r="F55" s="65" t="s">
        <v>18</v>
      </c>
      <c r="G55" s="68">
        <v>1</v>
      </c>
      <c r="H55" s="86">
        <v>365</v>
      </c>
      <c r="I55" s="69">
        <f t="shared" si="0"/>
        <v>365</v>
      </c>
      <c r="J55" s="51"/>
      <c r="K55" s="52"/>
    </row>
    <row r="56" spans="1:13" ht="25.5" x14ac:dyDescent="0.2">
      <c r="A56" s="65">
        <v>47</v>
      </c>
      <c r="B56" s="130" t="s">
        <v>280</v>
      </c>
      <c r="C56" s="83" t="s">
        <v>75</v>
      </c>
      <c r="D56" s="84">
        <v>252</v>
      </c>
      <c r="E56" s="94" t="s">
        <v>337</v>
      </c>
      <c r="F56" s="82" t="s">
        <v>20</v>
      </c>
      <c r="G56" s="68">
        <v>1</v>
      </c>
      <c r="H56" s="86">
        <v>311000</v>
      </c>
      <c r="I56" s="69">
        <f t="shared" si="0"/>
        <v>311000</v>
      </c>
      <c r="J56" s="51"/>
      <c r="K56" s="52"/>
    </row>
    <row r="57" spans="1:13" ht="25.5" x14ac:dyDescent="0.2">
      <c r="A57" s="65">
        <v>48</v>
      </c>
      <c r="B57" s="132" t="s">
        <v>108</v>
      </c>
      <c r="C57" s="139" t="s">
        <v>75</v>
      </c>
      <c r="D57" s="140">
        <v>252</v>
      </c>
      <c r="E57" s="186" t="s">
        <v>321</v>
      </c>
      <c r="F57" s="137" t="s">
        <v>17</v>
      </c>
      <c r="G57" s="68">
        <v>1</v>
      </c>
      <c r="H57" s="142">
        <v>490</v>
      </c>
      <c r="I57" s="143">
        <f t="shared" si="0"/>
        <v>490</v>
      </c>
      <c r="J57" s="185" t="s">
        <v>356</v>
      </c>
      <c r="K57" s="87"/>
      <c r="L57" s="88"/>
    </row>
    <row r="58" spans="1:13" ht="25.5" x14ac:dyDescent="0.2">
      <c r="A58" s="65">
        <v>49</v>
      </c>
      <c r="B58" s="130" t="s">
        <v>282</v>
      </c>
      <c r="C58" s="83" t="s">
        <v>75</v>
      </c>
      <c r="D58" s="84">
        <v>252</v>
      </c>
      <c r="E58" s="94" t="s">
        <v>281</v>
      </c>
      <c r="F58" s="82" t="s">
        <v>18</v>
      </c>
      <c r="G58" s="68">
        <v>1</v>
      </c>
      <c r="H58" s="86">
        <v>1502</v>
      </c>
      <c r="I58" s="69">
        <f t="shared" si="0"/>
        <v>1502</v>
      </c>
      <c r="J58" s="51"/>
      <c r="K58" s="52"/>
    </row>
    <row r="59" spans="1:13" ht="25.5" x14ac:dyDescent="0.2">
      <c r="A59" s="65">
        <v>50</v>
      </c>
      <c r="B59" s="133" t="s">
        <v>308</v>
      </c>
      <c r="C59" s="83" t="s">
        <v>75</v>
      </c>
      <c r="D59" s="84">
        <v>252</v>
      </c>
      <c r="E59" s="94" t="s">
        <v>307</v>
      </c>
      <c r="F59" s="82" t="s">
        <v>17</v>
      </c>
      <c r="G59" s="68">
        <v>1</v>
      </c>
      <c r="H59" s="86">
        <v>2570</v>
      </c>
      <c r="I59" s="69">
        <f t="shared" si="0"/>
        <v>2570</v>
      </c>
      <c r="J59" s="51"/>
      <c r="K59" s="52"/>
    </row>
    <row r="60" spans="1:13" ht="25.5" x14ac:dyDescent="0.2">
      <c r="A60" s="65">
        <v>51</v>
      </c>
      <c r="B60" s="125" t="s">
        <v>109</v>
      </c>
      <c r="C60" s="81" t="s">
        <v>75</v>
      </c>
      <c r="D60" s="66">
        <v>252</v>
      </c>
      <c r="E60" s="70" t="s">
        <v>341</v>
      </c>
      <c r="F60" s="65" t="s">
        <v>16</v>
      </c>
      <c r="G60" s="68">
        <v>1</v>
      </c>
      <c r="H60" s="86">
        <v>3.05</v>
      </c>
      <c r="I60" s="69">
        <f t="shared" si="0"/>
        <v>3.05</v>
      </c>
      <c r="J60" s="51"/>
      <c r="K60" s="52"/>
    </row>
    <row r="61" spans="1:13" ht="25.5" x14ac:dyDescent="0.2">
      <c r="A61" s="65">
        <v>52</v>
      </c>
      <c r="B61" s="125" t="s">
        <v>110</v>
      </c>
      <c r="C61" s="81" t="s">
        <v>75</v>
      </c>
      <c r="D61" s="66">
        <v>252</v>
      </c>
      <c r="E61" s="70" t="s">
        <v>342</v>
      </c>
      <c r="F61" s="65" t="s">
        <v>17</v>
      </c>
      <c r="G61" s="68">
        <v>1</v>
      </c>
      <c r="H61" s="86">
        <v>35.9</v>
      </c>
      <c r="I61" s="69">
        <f t="shared" si="0"/>
        <v>35.9</v>
      </c>
      <c r="J61" s="51"/>
      <c r="K61" s="52"/>
      <c r="M61" s="62"/>
    </row>
    <row r="62" spans="1:13" ht="25.5" x14ac:dyDescent="0.2">
      <c r="A62" s="65">
        <v>53</v>
      </c>
      <c r="B62" s="126" t="s">
        <v>284</v>
      </c>
      <c r="C62" s="81" t="s">
        <v>75</v>
      </c>
      <c r="D62" s="66">
        <v>252</v>
      </c>
      <c r="E62" s="73" t="s">
        <v>283</v>
      </c>
      <c r="F62" s="65" t="s">
        <v>18</v>
      </c>
      <c r="G62" s="68">
        <v>1</v>
      </c>
      <c r="H62" s="86">
        <v>275</v>
      </c>
      <c r="I62" s="69">
        <f t="shared" si="0"/>
        <v>275</v>
      </c>
      <c r="J62" s="51"/>
      <c r="K62" s="52"/>
    </row>
    <row r="63" spans="1:13" ht="25.5" x14ac:dyDescent="0.2">
      <c r="A63" s="65">
        <v>54</v>
      </c>
      <c r="B63" s="125" t="s">
        <v>111</v>
      </c>
      <c r="C63" s="81" t="s">
        <v>75</v>
      </c>
      <c r="D63" s="66">
        <v>252</v>
      </c>
      <c r="E63" s="72" t="s">
        <v>343</v>
      </c>
      <c r="F63" s="65" t="s">
        <v>17</v>
      </c>
      <c r="G63" s="68">
        <v>1</v>
      </c>
      <c r="H63" s="86">
        <v>38.5</v>
      </c>
      <c r="I63" s="69">
        <f t="shared" si="0"/>
        <v>38.5</v>
      </c>
      <c r="J63" s="51"/>
      <c r="K63" s="52"/>
    </row>
    <row r="64" spans="1:13" ht="25.5" x14ac:dyDescent="0.2">
      <c r="A64" s="65">
        <v>55</v>
      </c>
      <c r="B64" s="125" t="s">
        <v>112</v>
      </c>
      <c r="C64" s="81" t="s">
        <v>75</v>
      </c>
      <c r="D64" s="66">
        <v>252</v>
      </c>
      <c r="E64" s="70" t="s">
        <v>344</v>
      </c>
      <c r="F64" s="65" t="s">
        <v>18</v>
      </c>
      <c r="G64" s="68">
        <v>1</v>
      </c>
      <c r="H64" s="89">
        <v>698</v>
      </c>
      <c r="I64" s="69">
        <f t="shared" si="0"/>
        <v>698</v>
      </c>
      <c r="J64" s="51"/>
      <c r="K64" s="52"/>
    </row>
    <row r="65" spans="1:14" ht="25.5" x14ac:dyDescent="0.2">
      <c r="A65" s="65">
        <v>56</v>
      </c>
      <c r="B65" s="125" t="s">
        <v>113</v>
      </c>
      <c r="C65" s="81" t="s">
        <v>75</v>
      </c>
      <c r="D65" s="66">
        <v>252</v>
      </c>
      <c r="E65" s="72" t="s">
        <v>211</v>
      </c>
      <c r="F65" s="65" t="s">
        <v>16</v>
      </c>
      <c r="G65" s="68">
        <v>1</v>
      </c>
      <c r="H65" s="89">
        <v>62.17</v>
      </c>
      <c r="I65" s="69">
        <f t="shared" si="0"/>
        <v>62.17</v>
      </c>
      <c r="J65" s="51"/>
      <c r="K65" s="52"/>
    </row>
    <row r="66" spans="1:14" ht="25.5" x14ac:dyDescent="0.2">
      <c r="A66" s="82">
        <v>57</v>
      </c>
      <c r="B66" s="130" t="s">
        <v>286</v>
      </c>
      <c r="C66" s="83" t="s">
        <v>75</v>
      </c>
      <c r="D66" s="84">
        <v>252</v>
      </c>
      <c r="E66" s="94" t="s">
        <v>285</v>
      </c>
      <c r="F66" s="82" t="s">
        <v>21</v>
      </c>
      <c r="G66" s="68">
        <v>1</v>
      </c>
      <c r="H66" s="89">
        <v>5300</v>
      </c>
      <c r="I66" s="181">
        <f t="shared" si="0"/>
        <v>5300</v>
      </c>
      <c r="J66" s="182"/>
      <c r="K66" s="52"/>
    </row>
    <row r="67" spans="1:14" ht="25.5" x14ac:dyDescent="0.2">
      <c r="A67" s="65">
        <v>58</v>
      </c>
      <c r="B67" s="133" t="s">
        <v>252</v>
      </c>
      <c r="C67" s="139" t="s">
        <v>75</v>
      </c>
      <c r="D67" s="140">
        <v>252</v>
      </c>
      <c r="E67" s="186" t="s">
        <v>322</v>
      </c>
      <c r="F67" s="137" t="s">
        <v>17</v>
      </c>
      <c r="G67" s="68">
        <v>1</v>
      </c>
      <c r="H67" s="184">
        <v>130</v>
      </c>
      <c r="I67" s="143">
        <f t="shared" si="0"/>
        <v>130</v>
      </c>
      <c r="J67" s="185" t="s">
        <v>356</v>
      </c>
      <c r="K67" s="87"/>
      <c r="L67" s="90"/>
      <c r="M67" s="91"/>
      <c r="N67" s="92"/>
    </row>
    <row r="68" spans="1:14" ht="25.5" x14ac:dyDescent="0.2">
      <c r="A68" s="65">
        <v>59</v>
      </c>
      <c r="B68" s="125" t="s">
        <v>114</v>
      </c>
      <c r="C68" s="81" t="s">
        <v>75</v>
      </c>
      <c r="D68" s="66">
        <v>252</v>
      </c>
      <c r="E68" s="70" t="s">
        <v>212</v>
      </c>
      <c r="F68" s="65" t="s">
        <v>16</v>
      </c>
      <c r="G68" s="68">
        <v>1</v>
      </c>
      <c r="H68" s="89">
        <v>36</v>
      </c>
      <c r="I68" s="69">
        <f t="shared" si="0"/>
        <v>36</v>
      </c>
      <c r="J68" s="51"/>
      <c r="K68" s="52"/>
    </row>
    <row r="69" spans="1:14" ht="25.5" x14ac:dyDescent="0.2">
      <c r="A69" s="65">
        <v>60</v>
      </c>
      <c r="B69" s="125" t="s">
        <v>115</v>
      </c>
      <c r="C69" s="81" t="s">
        <v>75</v>
      </c>
      <c r="D69" s="66">
        <v>252</v>
      </c>
      <c r="E69" s="72" t="s">
        <v>213</v>
      </c>
      <c r="F69" s="65" t="s">
        <v>21</v>
      </c>
      <c r="G69" s="68">
        <v>1</v>
      </c>
      <c r="H69" s="89">
        <v>750</v>
      </c>
      <c r="I69" s="69">
        <f t="shared" si="0"/>
        <v>750</v>
      </c>
      <c r="J69" s="51"/>
      <c r="K69" s="52"/>
    </row>
    <row r="70" spans="1:14" ht="25.5" x14ac:dyDescent="0.2">
      <c r="A70" s="65">
        <v>61</v>
      </c>
      <c r="B70" s="126" t="s">
        <v>288</v>
      </c>
      <c r="C70" s="81" t="s">
        <v>75</v>
      </c>
      <c r="D70" s="66">
        <v>252</v>
      </c>
      <c r="E70" s="73" t="s">
        <v>287</v>
      </c>
      <c r="F70" s="65" t="s">
        <v>18</v>
      </c>
      <c r="G70" s="68">
        <v>1</v>
      </c>
      <c r="H70" s="89">
        <v>2360</v>
      </c>
      <c r="I70" s="69">
        <f t="shared" si="0"/>
        <v>2360</v>
      </c>
      <c r="J70" s="51"/>
      <c r="K70" s="52"/>
    </row>
    <row r="71" spans="1:14" ht="25.5" x14ac:dyDescent="0.2">
      <c r="A71" s="65">
        <v>62</v>
      </c>
      <c r="B71" s="133" t="s">
        <v>116</v>
      </c>
      <c r="C71" s="83" t="s">
        <v>75</v>
      </c>
      <c r="D71" s="84">
        <v>252</v>
      </c>
      <c r="E71" s="93" t="s">
        <v>214</v>
      </c>
      <c r="F71" s="82" t="s">
        <v>17</v>
      </c>
      <c r="G71" s="68">
        <v>1</v>
      </c>
      <c r="H71" s="89">
        <v>580</v>
      </c>
      <c r="I71" s="69">
        <f t="shared" si="0"/>
        <v>580</v>
      </c>
      <c r="J71" s="51"/>
      <c r="K71" s="52"/>
    </row>
    <row r="72" spans="1:14" ht="18.75" customHeight="1" x14ac:dyDescent="0.2">
      <c r="A72" s="65">
        <v>63</v>
      </c>
      <c r="B72" s="130" t="s">
        <v>320</v>
      </c>
      <c r="C72" s="83" t="s">
        <v>75</v>
      </c>
      <c r="D72" s="84">
        <v>252</v>
      </c>
      <c r="E72" s="94" t="s">
        <v>319</v>
      </c>
      <c r="F72" s="82" t="s">
        <v>18</v>
      </c>
      <c r="G72" s="68">
        <v>1</v>
      </c>
      <c r="H72" s="89">
        <v>2100</v>
      </c>
      <c r="I72" s="69">
        <f t="shared" ref="I72:I134" si="1">+G72*H72</f>
        <v>2100</v>
      </c>
      <c r="J72" s="51"/>
      <c r="K72" s="52"/>
    </row>
    <row r="73" spans="1:14" ht="21.75" customHeight="1" x14ac:dyDescent="0.2">
      <c r="A73" s="65">
        <v>64</v>
      </c>
      <c r="B73" s="130" t="s">
        <v>290</v>
      </c>
      <c r="C73" s="83" t="s">
        <v>75</v>
      </c>
      <c r="D73" s="84">
        <v>252</v>
      </c>
      <c r="E73" s="94" t="s">
        <v>289</v>
      </c>
      <c r="F73" s="82" t="s">
        <v>17</v>
      </c>
      <c r="G73" s="68">
        <v>1</v>
      </c>
      <c r="H73" s="98">
        <v>4597.9799999999996</v>
      </c>
      <c r="I73" s="69">
        <f t="shared" si="1"/>
        <v>4597.9799999999996</v>
      </c>
      <c r="J73" s="51"/>
      <c r="K73" s="52"/>
    </row>
    <row r="74" spans="1:14" ht="24" customHeight="1" x14ac:dyDescent="0.2">
      <c r="A74" s="65">
        <v>65</v>
      </c>
      <c r="B74" s="130" t="s">
        <v>310</v>
      </c>
      <c r="C74" s="83" t="s">
        <v>75</v>
      </c>
      <c r="D74" s="84">
        <v>252</v>
      </c>
      <c r="E74" s="94" t="s">
        <v>309</v>
      </c>
      <c r="F74" s="82" t="s">
        <v>17</v>
      </c>
      <c r="G74" s="68">
        <v>1</v>
      </c>
      <c r="H74" s="89">
        <v>8899.39</v>
      </c>
      <c r="I74" s="69">
        <f t="shared" si="1"/>
        <v>8899.39</v>
      </c>
      <c r="J74" s="51"/>
      <c r="K74" s="52"/>
    </row>
    <row r="75" spans="1:14" ht="25.5" x14ac:dyDescent="0.2">
      <c r="A75" s="65">
        <v>66</v>
      </c>
      <c r="B75" s="125" t="s">
        <v>117</v>
      </c>
      <c r="C75" s="81" t="s">
        <v>75</v>
      </c>
      <c r="D75" s="66">
        <v>252</v>
      </c>
      <c r="E75" s="71" t="s">
        <v>215</v>
      </c>
      <c r="F75" s="65" t="s">
        <v>17</v>
      </c>
      <c r="G75" s="68">
        <v>1</v>
      </c>
      <c r="H75" s="89">
        <v>42</v>
      </c>
      <c r="I75" s="69">
        <f t="shared" si="1"/>
        <v>42</v>
      </c>
      <c r="J75" s="51"/>
      <c r="K75" s="52"/>
    </row>
    <row r="76" spans="1:14" ht="25.5" x14ac:dyDescent="0.2">
      <c r="A76" s="65">
        <v>67</v>
      </c>
      <c r="B76" s="125" t="s">
        <v>118</v>
      </c>
      <c r="C76" s="81" t="s">
        <v>75</v>
      </c>
      <c r="D76" s="66">
        <v>252</v>
      </c>
      <c r="E76" s="71" t="s">
        <v>345</v>
      </c>
      <c r="F76" s="65" t="s">
        <v>18</v>
      </c>
      <c r="G76" s="68">
        <v>1</v>
      </c>
      <c r="H76" s="89">
        <v>110</v>
      </c>
      <c r="I76" s="69">
        <f t="shared" si="1"/>
        <v>110</v>
      </c>
      <c r="J76" s="51"/>
      <c r="K76" s="52"/>
    </row>
    <row r="77" spans="1:14" ht="33" customHeight="1" x14ac:dyDescent="0.2">
      <c r="A77" s="65">
        <v>68</v>
      </c>
      <c r="B77" s="51" t="s">
        <v>336</v>
      </c>
      <c r="C77" s="81" t="s">
        <v>75</v>
      </c>
      <c r="D77" s="66">
        <v>252</v>
      </c>
      <c r="E77" s="72" t="s">
        <v>335</v>
      </c>
      <c r="F77" s="65" t="s">
        <v>17</v>
      </c>
      <c r="G77" s="68">
        <v>1</v>
      </c>
      <c r="H77" s="89">
        <v>45</v>
      </c>
      <c r="I77" s="69">
        <f t="shared" si="1"/>
        <v>45</v>
      </c>
      <c r="J77" s="51"/>
      <c r="K77" s="52"/>
    </row>
    <row r="78" spans="1:14" ht="25.5" x14ac:dyDescent="0.2">
      <c r="A78" s="65">
        <v>69</v>
      </c>
      <c r="B78" s="125" t="s">
        <v>119</v>
      </c>
      <c r="C78" s="81" t="s">
        <v>75</v>
      </c>
      <c r="D78" s="66">
        <v>252</v>
      </c>
      <c r="E78" s="71" t="s">
        <v>216</v>
      </c>
      <c r="F78" s="65" t="s">
        <v>16</v>
      </c>
      <c r="G78" s="68">
        <v>1</v>
      </c>
      <c r="H78" s="89">
        <v>4.8</v>
      </c>
      <c r="I78" s="69">
        <f t="shared" si="1"/>
        <v>4.8</v>
      </c>
      <c r="J78" s="51"/>
      <c r="K78" s="52"/>
    </row>
    <row r="79" spans="1:14" ht="25.5" x14ac:dyDescent="0.2">
      <c r="A79" s="65">
        <v>70</v>
      </c>
      <c r="B79" s="125" t="s">
        <v>120</v>
      </c>
      <c r="C79" s="139" t="s">
        <v>75</v>
      </c>
      <c r="D79" s="140">
        <v>252</v>
      </c>
      <c r="E79" s="183" t="s">
        <v>217</v>
      </c>
      <c r="F79" s="137" t="s">
        <v>17</v>
      </c>
      <c r="G79" s="68">
        <v>1</v>
      </c>
      <c r="H79" s="184">
        <v>632</v>
      </c>
      <c r="I79" s="143">
        <f t="shared" si="1"/>
        <v>632</v>
      </c>
      <c r="J79" s="185" t="s">
        <v>356</v>
      </c>
      <c r="K79" s="52"/>
    </row>
    <row r="80" spans="1:14" ht="25.5" x14ac:dyDescent="0.2">
      <c r="A80" s="65">
        <v>71</v>
      </c>
      <c r="B80" s="93" t="s">
        <v>311</v>
      </c>
      <c r="C80" s="83" t="s">
        <v>75</v>
      </c>
      <c r="D80" s="84">
        <v>252</v>
      </c>
      <c r="E80" s="93" t="s">
        <v>291</v>
      </c>
      <c r="F80" s="96" t="s">
        <v>24</v>
      </c>
      <c r="G80" s="68">
        <v>1</v>
      </c>
      <c r="H80" s="89">
        <v>3058.9</v>
      </c>
      <c r="I80" s="69">
        <f t="shared" si="1"/>
        <v>3058.9</v>
      </c>
      <c r="J80" s="51"/>
      <c r="K80" s="52"/>
    </row>
    <row r="81" spans="1:11" ht="25.5" x14ac:dyDescent="0.2">
      <c r="A81" s="65">
        <v>72</v>
      </c>
      <c r="B81" s="126" t="s">
        <v>293</v>
      </c>
      <c r="C81" s="81" t="s">
        <v>75</v>
      </c>
      <c r="D81" s="66">
        <v>252</v>
      </c>
      <c r="E81" s="73" t="s">
        <v>292</v>
      </c>
      <c r="F81" s="65" t="s">
        <v>22</v>
      </c>
      <c r="G81" s="68">
        <v>1</v>
      </c>
      <c r="H81" s="89">
        <v>8375</v>
      </c>
      <c r="I81" s="69">
        <f t="shared" si="1"/>
        <v>8375</v>
      </c>
      <c r="J81" s="51"/>
      <c r="K81" s="52"/>
    </row>
    <row r="82" spans="1:11" ht="25.5" x14ac:dyDescent="0.2">
      <c r="A82" s="65">
        <v>73</v>
      </c>
      <c r="B82" s="125" t="s">
        <v>121</v>
      </c>
      <c r="C82" s="81" t="s">
        <v>75</v>
      </c>
      <c r="D82" s="66">
        <v>252</v>
      </c>
      <c r="E82" s="71" t="s">
        <v>218</v>
      </c>
      <c r="F82" s="65" t="s">
        <v>21</v>
      </c>
      <c r="G82" s="68">
        <v>1</v>
      </c>
      <c r="H82" s="89">
        <v>125640</v>
      </c>
      <c r="I82" s="69">
        <f t="shared" si="1"/>
        <v>125640</v>
      </c>
      <c r="J82" s="51"/>
      <c r="K82" s="52"/>
    </row>
    <row r="83" spans="1:11" ht="25.5" x14ac:dyDescent="0.2">
      <c r="A83" s="65">
        <v>74</v>
      </c>
      <c r="B83" s="125" t="s">
        <v>122</v>
      </c>
      <c r="C83" s="81" t="s">
        <v>75</v>
      </c>
      <c r="D83" s="66">
        <v>252</v>
      </c>
      <c r="E83" s="72" t="s">
        <v>219</v>
      </c>
      <c r="F83" s="65" t="s">
        <v>21</v>
      </c>
      <c r="G83" s="68">
        <v>1</v>
      </c>
      <c r="H83" s="89">
        <v>31000</v>
      </c>
      <c r="I83" s="69">
        <f t="shared" si="1"/>
        <v>31000</v>
      </c>
      <c r="J83" s="51"/>
      <c r="K83" s="52"/>
    </row>
    <row r="84" spans="1:11" ht="25.5" x14ac:dyDescent="0.2">
      <c r="A84" s="65">
        <v>75</v>
      </c>
      <c r="B84" s="125" t="s">
        <v>123</v>
      </c>
      <c r="C84" s="81" t="s">
        <v>75</v>
      </c>
      <c r="D84" s="66">
        <v>252</v>
      </c>
      <c r="E84" s="72" t="s">
        <v>220</v>
      </c>
      <c r="F84" s="65" t="s">
        <v>21</v>
      </c>
      <c r="G84" s="68">
        <v>1</v>
      </c>
      <c r="H84" s="89">
        <v>59000</v>
      </c>
      <c r="I84" s="69">
        <f t="shared" si="1"/>
        <v>59000</v>
      </c>
      <c r="J84" s="51"/>
      <c r="K84" s="52"/>
    </row>
    <row r="85" spans="1:11" ht="25.5" x14ac:dyDescent="0.2">
      <c r="A85" s="65">
        <v>76</v>
      </c>
      <c r="B85" s="134" t="s">
        <v>313</v>
      </c>
      <c r="C85" s="81" t="s">
        <v>75</v>
      </c>
      <c r="D85" s="66">
        <v>252</v>
      </c>
      <c r="E85" s="72" t="s">
        <v>312</v>
      </c>
      <c r="F85" s="65" t="s">
        <v>21</v>
      </c>
      <c r="G85" s="68">
        <v>1</v>
      </c>
      <c r="H85" s="89">
        <v>69000</v>
      </c>
      <c r="I85" s="69">
        <f t="shared" si="1"/>
        <v>69000</v>
      </c>
      <c r="J85" s="51"/>
      <c r="K85" s="52"/>
    </row>
    <row r="86" spans="1:11" ht="25.5" x14ac:dyDescent="0.2">
      <c r="A86" s="65">
        <v>77</v>
      </c>
      <c r="B86" s="124" t="s">
        <v>124</v>
      </c>
      <c r="C86" s="81" t="s">
        <v>75</v>
      </c>
      <c r="D86" s="66">
        <v>252</v>
      </c>
      <c r="E86" s="67" t="s">
        <v>221</v>
      </c>
      <c r="F86" s="65" t="s">
        <v>16</v>
      </c>
      <c r="G86" s="68">
        <v>1</v>
      </c>
      <c r="H86" s="89">
        <v>110</v>
      </c>
      <c r="I86" s="69">
        <f t="shared" si="1"/>
        <v>110</v>
      </c>
      <c r="J86" s="51"/>
      <c r="K86" s="52"/>
    </row>
    <row r="87" spans="1:11" ht="25.5" x14ac:dyDescent="0.2">
      <c r="A87" s="65">
        <v>78</v>
      </c>
      <c r="B87" s="124" t="s">
        <v>125</v>
      </c>
      <c r="C87" s="81" t="s">
        <v>75</v>
      </c>
      <c r="D87" s="66">
        <v>252</v>
      </c>
      <c r="E87" s="73" t="s">
        <v>222</v>
      </c>
      <c r="F87" s="65" t="s">
        <v>17</v>
      </c>
      <c r="G87" s="68">
        <v>1</v>
      </c>
      <c r="H87" s="89">
        <v>2300</v>
      </c>
      <c r="I87" s="69">
        <f t="shared" si="1"/>
        <v>2300</v>
      </c>
      <c r="J87" s="51"/>
      <c r="K87" s="52"/>
    </row>
    <row r="88" spans="1:11" ht="25.5" x14ac:dyDescent="0.2">
      <c r="A88" s="65">
        <v>79</v>
      </c>
      <c r="B88" s="124" t="s">
        <v>127</v>
      </c>
      <c r="C88" s="81" t="s">
        <v>75</v>
      </c>
      <c r="D88" s="66">
        <v>252</v>
      </c>
      <c r="E88" s="73" t="s">
        <v>223</v>
      </c>
      <c r="F88" s="65" t="s">
        <v>16</v>
      </c>
      <c r="G88" s="68">
        <v>1</v>
      </c>
      <c r="H88" s="89">
        <v>4.95</v>
      </c>
      <c r="I88" s="69">
        <f t="shared" si="1"/>
        <v>4.95</v>
      </c>
      <c r="J88" s="51"/>
      <c r="K88" s="52"/>
    </row>
    <row r="89" spans="1:11" ht="25.5" x14ac:dyDescent="0.2">
      <c r="A89" s="65">
        <v>80</v>
      </c>
      <c r="B89" s="124" t="s">
        <v>126</v>
      </c>
      <c r="C89" s="81" t="s">
        <v>75</v>
      </c>
      <c r="D89" s="66">
        <v>252</v>
      </c>
      <c r="E89" s="72" t="s">
        <v>350</v>
      </c>
      <c r="F89" s="65" t="s">
        <v>17</v>
      </c>
      <c r="G89" s="68">
        <v>1</v>
      </c>
      <c r="H89" s="89">
        <v>59</v>
      </c>
      <c r="I89" s="69">
        <f t="shared" si="1"/>
        <v>59</v>
      </c>
      <c r="J89" s="51"/>
      <c r="K89" s="52"/>
    </row>
    <row r="90" spans="1:11" ht="25.5" x14ac:dyDescent="0.2">
      <c r="A90" s="65">
        <v>81</v>
      </c>
      <c r="B90" s="124" t="s">
        <v>128</v>
      </c>
      <c r="C90" s="81" t="s">
        <v>75</v>
      </c>
      <c r="D90" s="66">
        <v>252</v>
      </c>
      <c r="E90" s="73" t="s">
        <v>224</v>
      </c>
      <c r="F90" s="65" t="s">
        <v>16</v>
      </c>
      <c r="G90" s="68">
        <v>1</v>
      </c>
      <c r="H90" s="89">
        <v>18</v>
      </c>
      <c r="I90" s="69">
        <f t="shared" si="1"/>
        <v>18</v>
      </c>
      <c r="J90" s="51"/>
      <c r="K90" s="52"/>
    </row>
    <row r="91" spans="1:11" ht="25.5" x14ac:dyDescent="0.2">
      <c r="A91" s="65">
        <v>82</v>
      </c>
      <c r="B91" s="124" t="s">
        <v>131</v>
      </c>
      <c r="C91" s="81" t="s">
        <v>75</v>
      </c>
      <c r="D91" s="66">
        <v>252</v>
      </c>
      <c r="E91" s="73" t="s">
        <v>225</v>
      </c>
      <c r="F91" s="65" t="s">
        <v>17</v>
      </c>
      <c r="G91" s="68">
        <v>1</v>
      </c>
      <c r="H91" s="89">
        <v>33</v>
      </c>
      <c r="I91" s="69">
        <f t="shared" si="1"/>
        <v>33</v>
      </c>
      <c r="J91" s="51"/>
      <c r="K91" s="52"/>
    </row>
    <row r="92" spans="1:11" ht="25.5" x14ac:dyDescent="0.2">
      <c r="A92" s="65">
        <v>83</v>
      </c>
      <c r="B92" s="124" t="s">
        <v>130</v>
      </c>
      <c r="C92" s="81" t="s">
        <v>75</v>
      </c>
      <c r="D92" s="66">
        <v>252</v>
      </c>
      <c r="E92" s="73" t="s">
        <v>226</v>
      </c>
      <c r="F92" s="65" t="s">
        <v>17</v>
      </c>
      <c r="G92" s="68">
        <v>1</v>
      </c>
      <c r="H92" s="89">
        <v>325</v>
      </c>
      <c r="I92" s="69">
        <f t="shared" si="1"/>
        <v>325</v>
      </c>
      <c r="J92" s="51"/>
      <c r="K92" s="52"/>
    </row>
    <row r="93" spans="1:11" ht="25.5" x14ac:dyDescent="0.2">
      <c r="A93" s="65">
        <v>84</v>
      </c>
      <c r="B93" s="124" t="s">
        <v>129</v>
      </c>
      <c r="C93" s="81" t="s">
        <v>75</v>
      </c>
      <c r="D93" s="66">
        <v>252</v>
      </c>
      <c r="E93" s="73" t="s">
        <v>227</v>
      </c>
      <c r="F93" s="65" t="s">
        <v>17</v>
      </c>
      <c r="G93" s="68">
        <v>1</v>
      </c>
      <c r="H93" s="180">
        <v>493</v>
      </c>
      <c r="I93" s="69">
        <f t="shared" si="1"/>
        <v>493</v>
      </c>
      <c r="J93" s="51"/>
      <c r="K93" s="52"/>
    </row>
    <row r="94" spans="1:11" ht="25.5" x14ac:dyDescent="0.2">
      <c r="A94" s="65">
        <v>85</v>
      </c>
      <c r="B94" s="124" t="s">
        <v>134</v>
      </c>
      <c r="C94" s="81" t="s">
        <v>75</v>
      </c>
      <c r="D94" s="66">
        <v>252</v>
      </c>
      <c r="E94" s="73" t="s">
        <v>228</v>
      </c>
      <c r="F94" s="65" t="s">
        <v>21</v>
      </c>
      <c r="G94" s="68">
        <v>1</v>
      </c>
      <c r="H94" s="89">
        <v>845</v>
      </c>
      <c r="I94" s="69">
        <f t="shared" si="1"/>
        <v>845</v>
      </c>
      <c r="J94" s="51"/>
      <c r="K94" s="52"/>
    </row>
    <row r="95" spans="1:11" ht="25.5" x14ac:dyDescent="0.2">
      <c r="A95" s="65">
        <v>86</v>
      </c>
      <c r="B95" s="124" t="s">
        <v>133</v>
      </c>
      <c r="C95" s="81" t="s">
        <v>75</v>
      </c>
      <c r="D95" s="66">
        <v>252</v>
      </c>
      <c r="E95" s="73" t="s">
        <v>229</v>
      </c>
      <c r="F95" s="65" t="s">
        <v>21</v>
      </c>
      <c r="G95" s="68">
        <v>1</v>
      </c>
      <c r="H95" s="89">
        <v>112</v>
      </c>
      <c r="I95" s="69">
        <f t="shared" si="1"/>
        <v>112</v>
      </c>
      <c r="J95" s="51"/>
      <c r="K95" s="52"/>
    </row>
    <row r="96" spans="1:11" ht="25.5" x14ac:dyDescent="0.2">
      <c r="A96" s="65">
        <v>87</v>
      </c>
      <c r="B96" s="124" t="s">
        <v>132</v>
      </c>
      <c r="C96" s="81" t="s">
        <v>75</v>
      </c>
      <c r="D96" s="66">
        <v>252</v>
      </c>
      <c r="E96" s="73" t="s">
        <v>230</v>
      </c>
      <c r="F96" s="65" t="s">
        <v>21</v>
      </c>
      <c r="G96" s="68">
        <v>1</v>
      </c>
      <c r="H96" s="89">
        <v>245</v>
      </c>
      <c r="I96" s="69">
        <f t="shared" si="1"/>
        <v>245</v>
      </c>
      <c r="J96" s="51"/>
      <c r="K96" s="52"/>
    </row>
    <row r="97" spans="1:13" ht="25.5" x14ac:dyDescent="0.2">
      <c r="A97" s="65">
        <v>88</v>
      </c>
      <c r="B97" s="124" t="s">
        <v>135</v>
      </c>
      <c r="C97" s="81" t="s">
        <v>75</v>
      </c>
      <c r="D97" s="66">
        <v>252</v>
      </c>
      <c r="E97" s="72" t="s">
        <v>231</v>
      </c>
      <c r="F97" s="65" t="s">
        <v>18</v>
      </c>
      <c r="G97" s="68">
        <v>1</v>
      </c>
      <c r="H97" s="89">
        <v>1815</v>
      </c>
      <c r="I97" s="69">
        <f t="shared" si="1"/>
        <v>1815</v>
      </c>
      <c r="J97" s="51"/>
      <c r="K97" s="52"/>
    </row>
    <row r="98" spans="1:13" ht="25.5" x14ac:dyDescent="0.2">
      <c r="A98" s="65">
        <v>89</v>
      </c>
      <c r="B98" s="124" t="s">
        <v>136</v>
      </c>
      <c r="C98" s="81" t="s">
        <v>75</v>
      </c>
      <c r="D98" s="66">
        <v>252</v>
      </c>
      <c r="E98" s="73" t="s">
        <v>232</v>
      </c>
      <c r="F98" s="65" t="s">
        <v>16</v>
      </c>
      <c r="G98" s="68">
        <v>1</v>
      </c>
      <c r="H98" s="89">
        <v>135</v>
      </c>
      <c r="I98" s="69">
        <f t="shared" si="1"/>
        <v>135</v>
      </c>
      <c r="J98" s="51"/>
      <c r="K98" s="52"/>
    </row>
    <row r="99" spans="1:13" ht="25.5" x14ac:dyDescent="0.2">
      <c r="A99" s="65">
        <v>90</v>
      </c>
      <c r="B99" s="124" t="s">
        <v>137</v>
      </c>
      <c r="C99" s="81" t="s">
        <v>75</v>
      </c>
      <c r="D99" s="66">
        <v>252</v>
      </c>
      <c r="E99" s="73" t="s">
        <v>233</v>
      </c>
      <c r="F99" s="65" t="s">
        <v>18</v>
      </c>
      <c r="G99" s="68">
        <v>1</v>
      </c>
      <c r="H99" s="89">
        <v>220</v>
      </c>
      <c r="I99" s="69">
        <f t="shared" si="1"/>
        <v>220</v>
      </c>
      <c r="J99" s="51"/>
      <c r="K99" s="52"/>
    </row>
    <row r="100" spans="1:13" ht="25.5" x14ac:dyDescent="0.2">
      <c r="A100" s="65">
        <v>91</v>
      </c>
      <c r="B100" s="124" t="s">
        <v>139</v>
      </c>
      <c r="C100" s="81" t="s">
        <v>75</v>
      </c>
      <c r="D100" s="66">
        <v>252</v>
      </c>
      <c r="E100" s="73" t="s">
        <v>234</v>
      </c>
      <c r="F100" s="65" t="s">
        <v>17</v>
      </c>
      <c r="G100" s="68">
        <v>1</v>
      </c>
      <c r="H100" s="89">
        <v>590</v>
      </c>
      <c r="I100" s="69">
        <f t="shared" si="1"/>
        <v>590</v>
      </c>
      <c r="J100" s="51"/>
      <c r="K100" s="52"/>
    </row>
    <row r="101" spans="1:13" ht="25.5" x14ac:dyDescent="0.2">
      <c r="A101" s="65">
        <v>92</v>
      </c>
      <c r="B101" s="124" t="s">
        <v>138</v>
      </c>
      <c r="C101" s="81" t="s">
        <v>75</v>
      </c>
      <c r="D101" s="66">
        <v>252</v>
      </c>
      <c r="E101" s="73" t="s">
        <v>235</v>
      </c>
      <c r="F101" s="65" t="s">
        <v>17</v>
      </c>
      <c r="G101" s="68">
        <v>1</v>
      </c>
      <c r="H101" s="89">
        <v>380</v>
      </c>
      <c r="I101" s="69">
        <f t="shared" si="1"/>
        <v>380</v>
      </c>
      <c r="J101" s="51"/>
      <c r="K101" s="52"/>
    </row>
    <row r="102" spans="1:13" ht="25.5" x14ac:dyDescent="0.2">
      <c r="A102" s="65">
        <v>93</v>
      </c>
      <c r="B102" s="124" t="s">
        <v>142</v>
      </c>
      <c r="C102" s="81" t="s">
        <v>75</v>
      </c>
      <c r="D102" s="66">
        <v>252</v>
      </c>
      <c r="E102" s="72" t="s">
        <v>254</v>
      </c>
      <c r="F102" s="65" t="s">
        <v>18</v>
      </c>
      <c r="G102" s="68">
        <v>1</v>
      </c>
      <c r="H102" s="89">
        <v>169</v>
      </c>
      <c r="I102" s="69">
        <f t="shared" si="1"/>
        <v>169</v>
      </c>
      <c r="J102" s="51"/>
      <c r="K102" s="52"/>
      <c r="M102" s="64"/>
    </row>
    <row r="103" spans="1:13" ht="25.5" x14ac:dyDescent="0.2">
      <c r="A103" s="65">
        <v>94</v>
      </c>
      <c r="B103" s="124" t="s">
        <v>141</v>
      </c>
      <c r="C103" s="81" t="s">
        <v>75</v>
      </c>
      <c r="D103" s="66">
        <v>252</v>
      </c>
      <c r="E103" s="73" t="s">
        <v>236</v>
      </c>
      <c r="F103" s="65" t="s">
        <v>16</v>
      </c>
      <c r="G103" s="68">
        <v>1</v>
      </c>
      <c r="H103" s="89">
        <v>7.69</v>
      </c>
      <c r="I103" s="69">
        <f t="shared" si="1"/>
        <v>7.69</v>
      </c>
      <c r="J103" s="51"/>
      <c r="K103" s="52"/>
      <c r="M103" s="63"/>
    </row>
    <row r="104" spans="1:13" ht="25.5" x14ac:dyDescent="0.2">
      <c r="A104" s="65">
        <v>95</v>
      </c>
      <c r="B104" s="125" t="s">
        <v>140</v>
      </c>
      <c r="C104" s="81" t="s">
        <v>75</v>
      </c>
      <c r="D104" s="66">
        <v>252</v>
      </c>
      <c r="E104" s="72" t="s">
        <v>238</v>
      </c>
      <c r="F104" s="65" t="s">
        <v>21</v>
      </c>
      <c r="G104" s="68">
        <v>1</v>
      </c>
      <c r="H104" s="89">
        <v>138</v>
      </c>
      <c r="I104" s="69">
        <f t="shared" si="1"/>
        <v>138</v>
      </c>
      <c r="J104" s="51"/>
      <c r="K104" s="52"/>
    </row>
    <row r="105" spans="1:13" ht="25.5" x14ac:dyDescent="0.2">
      <c r="A105" s="147">
        <v>96</v>
      </c>
      <c r="B105" s="157" t="s">
        <v>143</v>
      </c>
      <c r="C105" s="149" t="s">
        <v>75</v>
      </c>
      <c r="D105" s="150">
        <v>252</v>
      </c>
      <c r="E105" s="158" t="s">
        <v>237</v>
      </c>
      <c r="F105" s="147" t="s">
        <v>17</v>
      </c>
      <c r="G105" s="68">
        <v>1</v>
      </c>
      <c r="H105" s="152"/>
      <c r="I105" s="153">
        <f t="shared" si="1"/>
        <v>0</v>
      </c>
      <c r="J105" s="155" t="s">
        <v>351</v>
      </c>
      <c r="K105" s="52"/>
    </row>
    <row r="106" spans="1:13" ht="25.5" x14ac:dyDescent="0.2">
      <c r="A106" s="65">
        <v>97</v>
      </c>
      <c r="B106" s="125" t="s">
        <v>144</v>
      </c>
      <c r="C106" s="139" t="s">
        <v>75</v>
      </c>
      <c r="D106" s="140">
        <v>252</v>
      </c>
      <c r="E106" s="145" t="s">
        <v>239</v>
      </c>
      <c r="F106" s="137" t="s">
        <v>16</v>
      </c>
      <c r="G106" s="68">
        <v>1</v>
      </c>
      <c r="H106" s="184">
        <v>82</v>
      </c>
      <c r="I106" s="143">
        <f t="shared" si="1"/>
        <v>82</v>
      </c>
      <c r="J106" s="185" t="s">
        <v>356</v>
      </c>
      <c r="K106" s="52"/>
    </row>
    <row r="107" spans="1:13" ht="25.5" x14ac:dyDescent="0.2">
      <c r="A107" s="65">
        <v>98</v>
      </c>
      <c r="B107" s="125" t="s">
        <v>145</v>
      </c>
      <c r="C107" s="81" t="s">
        <v>75</v>
      </c>
      <c r="D107" s="66">
        <v>252</v>
      </c>
      <c r="E107" s="72" t="s">
        <v>346</v>
      </c>
      <c r="F107" s="65" t="s">
        <v>17</v>
      </c>
      <c r="G107" s="68">
        <v>1</v>
      </c>
      <c r="H107" s="89">
        <v>66</v>
      </c>
      <c r="I107" s="69">
        <f t="shared" si="1"/>
        <v>66</v>
      </c>
      <c r="J107" s="51"/>
      <c r="K107" s="52"/>
      <c r="M107" s="61"/>
    </row>
    <row r="108" spans="1:13" ht="25.5" x14ac:dyDescent="0.2">
      <c r="A108" s="65">
        <v>99</v>
      </c>
      <c r="B108" s="125" t="s">
        <v>146</v>
      </c>
      <c r="C108" s="81" t="s">
        <v>75</v>
      </c>
      <c r="D108" s="66">
        <v>252</v>
      </c>
      <c r="E108" s="72" t="s">
        <v>347</v>
      </c>
      <c r="F108" s="65" t="s">
        <v>17</v>
      </c>
      <c r="G108" s="68">
        <v>1</v>
      </c>
      <c r="H108" s="89">
        <v>72</v>
      </c>
      <c r="I108" s="69">
        <f t="shared" si="1"/>
        <v>72</v>
      </c>
      <c r="J108" s="51"/>
      <c r="K108" s="52"/>
    </row>
    <row r="109" spans="1:13" ht="25.5" x14ac:dyDescent="0.2">
      <c r="A109" s="65">
        <v>100</v>
      </c>
      <c r="B109" s="125" t="s">
        <v>147</v>
      </c>
      <c r="C109" s="81" t="s">
        <v>75</v>
      </c>
      <c r="D109" s="66">
        <v>252</v>
      </c>
      <c r="E109" s="72" t="s">
        <v>240</v>
      </c>
      <c r="F109" s="65" t="s">
        <v>16</v>
      </c>
      <c r="G109" s="68">
        <v>1</v>
      </c>
      <c r="H109" s="89">
        <v>16.8</v>
      </c>
      <c r="I109" s="69">
        <f t="shared" si="1"/>
        <v>16.8</v>
      </c>
      <c r="J109" s="51"/>
      <c r="K109" s="52"/>
    </row>
    <row r="110" spans="1:13" ht="25.5" x14ac:dyDescent="0.2">
      <c r="A110" s="65">
        <v>101</v>
      </c>
      <c r="B110" s="125" t="s">
        <v>148</v>
      </c>
      <c r="C110" s="81" t="s">
        <v>75</v>
      </c>
      <c r="D110" s="66">
        <v>252</v>
      </c>
      <c r="E110" s="72" t="s">
        <v>241</v>
      </c>
      <c r="F110" s="65" t="s">
        <v>17</v>
      </c>
      <c r="G110" s="68">
        <v>1</v>
      </c>
      <c r="H110" s="89">
        <v>1720</v>
      </c>
      <c r="I110" s="69">
        <f t="shared" si="1"/>
        <v>1720</v>
      </c>
      <c r="J110" s="51"/>
      <c r="K110" s="52"/>
    </row>
    <row r="111" spans="1:13" ht="25.5" x14ac:dyDescent="0.2">
      <c r="A111" s="147">
        <v>102</v>
      </c>
      <c r="B111" s="148" t="s">
        <v>149</v>
      </c>
      <c r="C111" s="149" t="s">
        <v>75</v>
      </c>
      <c r="D111" s="150">
        <v>252</v>
      </c>
      <c r="E111" s="151" t="s">
        <v>242</v>
      </c>
      <c r="F111" s="147" t="s">
        <v>17</v>
      </c>
      <c r="G111" s="68">
        <v>1</v>
      </c>
      <c r="H111" s="152"/>
      <c r="I111" s="153">
        <f t="shared" si="1"/>
        <v>0</v>
      </c>
      <c r="J111" s="155" t="s">
        <v>351</v>
      </c>
      <c r="K111" s="52"/>
    </row>
    <row r="112" spans="1:13" ht="25.5" x14ac:dyDescent="0.2">
      <c r="A112" s="65">
        <v>103</v>
      </c>
      <c r="B112" s="126" t="s">
        <v>296</v>
      </c>
      <c r="C112" s="81" t="s">
        <v>75</v>
      </c>
      <c r="D112" s="66">
        <v>252</v>
      </c>
      <c r="E112" s="72" t="s">
        <v>338</v>
      </c>
      <c r="F112" s="65" t="s">
        <v>16</v>
      </c>
      <c r="G112" s="68">
        <v>1</v>
      </c>
      <c r="H112" s="89">
        <v>9.8000000000000007</v>
      </c>
      <c r="I112" s="69">
        <f t="shared" si="1"/>
        <v>9.8000000000000007</v>
      </c>
      <c r="J112" s="51"/>
      <c r="K112" s="52"/>
    </row>
    <row r="113" spans="1:13" ht="25.5" x14ac:dyDescent="0.2">
      <c r="A113" s="65">
        <v>104</v>
      </c>
      <c r="B113" s="125" t="s">
        <v>150</v>
      </c>
      <c r="C113" s="81" t="s">
        <v>75</v>
      </c>
      <c r="D113" s="66">
        <v>252</v>
      </c>
      <c r="E113" s="72" t="s">
        <v>243</v>
      </c>
      <c r="F113" s="65" t="s">
        <v>17</v>
      </c>
      <c r="G113" s="68">
        <v>1</v>
      </c>
      <c r="H113" s="89">
        <v>980</v>
      </c>
      <c r="I113" s="69">
        <f t="shared" si="1"/>
        <v>980</v>
      </c>
      <c r="J113" s="51"/>
      <c r="K113" s="52"/>
    </row>
    <row r="114" spans="1:13" ht="25.5" x14ac:dyDescent="0.2">
      <c r="A114" s="65">
        <v>105</v>
      </c>
      <c r="B114" s="126" t="s">
        <v>297</v>
      </c>
      <c r="C114" s="81" t="s">
        <v>75</v>
      </c>
      <c r="D114" s="66">
        <v>252</v>
      </c>
      <c r="E114" s="73" t="s">
        <v>339</v>
      </c>
      <c r="F114" s="65" t="s">
        <v>18</v>
      </c>
      <c r="G114" s="68">
        <v>1</v>
      </c>
      <c r="H114" s="89">
        <v>165</v>
      </c>
      <c r="I114" s="69">
        <f t="shared" si="1"/>
        <v>165</v>
      </c>
      <c r="J114" s="51"/>
      <c r="K114" s="52"/>
    </row>
    <row r="115" spans="1:13" ht="25.5" x14ac:dyDescent="0.2">
      <c r="A115" s="65">
        <v>106</v>
      </c>
      <c r="B115" s="126" t="s">
        <v>299</v>
      </c>
      <c r="C115" s="81" t="s">
        <v>75</v>
      </c>
      <c r="D115" s="66">
        <v>252</v>
      </c>
      <c r="E115" s="73" t="s">
        <v>298</v>
      </c>
      <c r="F115" s="65" t="s">
        <v>16</v>
      </c>
      <c r="G115" s="68">
        <v>1</v>
      </c>
      <c r="H115" s="89">
        <v>5.3</v>
      </c>
      <c r="I115" s="69">
        <f t="shared" si="1"/>
        <v>5.3</v>
      </c>
      <c r="J115" s="51"/>
      <c r="K115" s="52"/>
    </row>
    <row r="116" spans="1:13" ht="25.5" x14ac:dyDescent="0.2">
      <c r="A116" s="65">
        <v>107</v>
      </c>
      <c r="B116" s="125" t="s">
        <v>151</v>
      </c>
      <c r="C116" s="81" t="s">
        <v>75</v>
      </c>
      <c r="D116" s="66">
        <v>252</v>
      </c>
      <c r="E116" s="72" t="s">
        <v>348</v>
      </c>
      <c r="F116" s="65" t="s">
        <v>23</v>
      </c>
      <c r="G116" s="68">
        <v>1</v>
      </c>
      <c r="H116" s="89">
        <v>85</v>
      </c>
      <c r="I116" s="69">
        <f t="shared" si="1"/>
        <v>85</v>
      </c>
      <c r="J116" s="51"/>
      <c r="K116" s="52"/>
    </row>
    <row r="117" spans="1:13" ht="25.5" x14ac:dyDescent="0.2">
      <c r="A117" s="65">
        <v>108</v>
      </c>
      <c r="B117" s="125" t="s">
        <v>153</v>
      </c>
      <c r="C117" s="81" t="s">
        <v>75</v>
      </c>
      <c r="D117" s="66">
        <v>252</v>
      </c>
      <c r="E117" s="72" t="s">
        <v>244</v>
      </c>
      <c r="F117" s="65" t="s">
        <v>17</v>
      </c>
      <c r="G117" s="68">
        <v>1</v>
      </c>
      <c r="H117" s="89">
        <v>152</v>
      </c>
      <c r="I117" s="69">
        <f>+G117*H117</f>
        <v>152</v>
      </c>
      <c r="J117" s="51"/>
      <c r="K117" s="52"/>
    </row>
    <row r="118" spans="1:13" ht="25.5" x14ac:dyDescent="0.2">
      <c r="A118" s="65">
        <v>109</v>
      </c>
      <c r="B118" s="125" t="s">
        <v>152</v>
      </c>
      <c r="C118" s="81" t="s">
        <v>75</v>
      </c>
      <c r="D118" s="66">
        <v>252</v>
      </c>
      <c r="E118" s="72" t="s">
        <v>245</v>
      </c>
      <c r="F118" s="65" t="s">
        <v>17</v>
      </c>
      <c r="G118" s="68">
        <v>1</v>
      </c>
      <c r="H118" s="86">
        <v>178</v>
      </c>
      <c r="I118" s="69">
        <f t="shared" si="1"/>
        <v>178</v>
      </c>
      <c r="J118" s="51"/>
      <c r="K118" s="52"/>
    </row>
    <row r="119" spans="1:13" ht="25.5" x14ac:dyDescent="0.2">
      <c r="A119" s="65">
        <v>110</v>
      </c>
      <c r="B119" s="125" t="s">
        <v>154</v>
      </c>
      <c r="C119" s="81" t="s">
        <v>75</v>
      </c>
      <c r="D119" s="66">
        <v>252</v>
      </c>
      <c r="E119" s="72" t="s">
        <v>255</v>
      </c>
      <c r="F119" s="65" t="s">
        <v>17</v>
      </c>
      <c r="G119" s="68">
        <v>1</v>
      </c>
      <c r="H119" s="86">
        <v>144</v>
      </c>
      <c r="I119" s="69">
        <f t="shared" si="1"/>
        <v>144</v>
      </c>
      <c r="J119" s="51"/>
      <c r="K119" s="6"/>
      <c r="M119" s="62"/>
    </row>
    <row r="120" spans="1:13" ht="25.5" x14ac:dyDescent="0.2">
      <c r="A120" s="65">
        <v>111</v>
      </c>
      <c r="B120" s="125" t="s">
        <v>155</v>
      </c>
      <c r="C120" s="81" t="s">
        <v>75</v>
      </c>
      <c r="D120" s="66">
        <v>252</v>
      </c>
      <c r="E120" s="72" t="s">
        <v>246</v>
      </c>
      <c r="F120" s="65" t="s">
        <v>17</v>
      </c>
      <c r="G120" s="68">
        <v>1</v>
      </c>
      <c r="H120" s="86">
        <v>145</v>
      </c>
      <c r="I120" s="69">
        <f t="shared" si="1"/>
        <v>145</v>
      </c>
      <c r="J120" s="51"/>
      <c r="K120" s="52"/>
    </row>
    <row r="121" spans="1:13" ht="25.5" x14ac:dyDescent="0.2">
      <c r="A121" s="65">
        <v>112</v>
      </c>
      <c r="B121" s="126" t="s">
        <v>315</v>
      </c>
      <c r="C121" s="81" t="s">
        <v>75</v>
      </c>
      <c r="D121" s="66">
        <v>252</v>
      </c>
      <c r="E121" s="73" t="s">
        <v>314</v>
      </c>
      <c r="F121" s="65" t="s">
        <v>21</v>
      </c>
      <c r="G121" s="68">
        <v>1</v>
      </c>
      <c r="H121" s="86">
        <v>958</v>
      </c>
      <c r="I121" s="69">
        <f t="shared" si="1"/>
        <v>958</v>
      </c>
      <c r="J121" s="51"/>
      <c r="K121" s="52"/>
    </row>
    <row r="122" spans="1:13" ht="25.5" x14ac:dyDescent="0.2">
      <c r="A122" s="65">
        <v>113</v>
      </c>
      <c r="B122" s="129" t="s">
        <v>317</v>
      </c>
      <c r="C122" s="81" t="s">
        <v>75</v>
      </c>
      <c r="D122" s="66">
        <v>252</v>
      </c>
      <c r="E122" s="73" t="s">
        <v>316</v>
      </c>
      <c r="F122" s="65" t="s">
        <v>21</v>
      </c>
      <c r="G122" s="68">
        <v>1</v>
      </c>
      <c r="H122" s="86">
        <v>345</v>
      </c>
      <c r="I122" s="69">
        <f t="shared" si="1"/>
        <v>345</v>
      </c>
      <c r="J122" s="51"/>
      <c r="K122" s="52"/>
    </row>
    <row r="123" spans="1:13" ht="25.5" x14ac:dyDescent="0.2">
      <c r="A123" s="65">
        <v>114</v>
      </c>
      <c r="B123" s="125" t="s">
        <v>156</v>
      </c>
      <c r="C123" s="139" t="s">
        <v>75</v>
      </c>
      <c r="D123" s="140">
        <v>252</v>
      </c>
      <c r="E123" s="183" t="s">
        <v>247</v>
      </c>
      <c r="F123" s="137" t="s">
        <v>17</v>
      </c>
      <c r="G123" s="68">
        <v>1</v>
      </c>
      <c r="H123" s="142">
        <v>398</v>
      </c>
      <c r="I123" s="143">
        <f t="shared" si="1"/>
        <v>398</v>
      </c>
      <c r="J123" s="185" t="s">
        <v>356</v>
      </c>
      <c r="K123" s="52"/>
    </row>
    <row r="124" spans="1:13" ht="25.5" x14ac:dyDescent="0.2">
      <c r="A124" s="65">
        <v>115</v>
      </c>
      <c r="B124" s="135" t="s">
        <v>303</v>
      </c>
      <c r="C124" s="83" t="s">
        <v>75</v>
      </c>
      <c r="D124" s="84">
        <v>252</v>
      </c>
      <c r="E124" s="94" t="s">
        <v>300</v>
      </c>
      <c r="F124" s="82" t="s">
        <v>24</v>
      </c>
      <c r="G124" s="68">
        <v>1</v>
      </c>
      <c r="H124" s="179">
        <v>1762.5</v>
      </c>
      <c r="I124" s="69">
        <f t="shared" si="1"/>
        <v>1762.5</v>
      </c>
      <c r="J124" s="51"/>
      <c r="K124" s="52"/>
    </row>
    <row r="125" spans="1:13" ht="25.5" x14ac:dyDescent="0.2">
      <c r="A125" s="82">
        <v>116</v>
      </c>
      <c r="B125" s="133" t="s">
        <v>157</v>
      </c>
      <c r="C125" s="83" t="s">
        <v>75</v>
      </c>
      <c r="D125" s="84">
        <v>252</v>
      </c>
      <c r="E125" s="93" t="s">
        <v>248</v>
      </c>
      <c r="F125" s="82" t="s">
        <v>21</v>
      </c>
      <c r="G125" s="68">
        <v>1</v>
      </c>
      <c r="H125" s="86">
        <v>7934</v>
      </c>
      <c r="I125" s="181">
        <f t="shared" si="1"/>
        <v>7934</v>
      </c>
      <c r="J125" s="90"/>
      <c r="K125" s="52"/>
    </row>
    <row r="126" spans="1:13" ht="25.5" x14ac:dyDescent="0.2">
      <c r="A126" s="65">
        <v>117</v>
      </c>
      <c r="B126" s="148" t="s">
        <v>158</v>
      </c>
      <c r="C126" s="149" t="s">
        <v>75</v>
      </c>
      <c r="D126" s="150">
        <v>252</v>
      </c>
      <c r="E126" s="151" t="s">
        <v>210</v>
      </c>
      <c r="F126" s="147" t="s">
        <v>17</v>
      </c>
      <c r="G126" s="68">
        <v>1</v>
      </c>
      <c r="H126" s="156"/>
      <c r="I126" s="153">
        <f t="shared" si="1"/>
        <v>0</v>
      </c>
      <c r="J126" s="155" t="s">
        <v>351</v>
      </c>
      <c r="K126" s="52"/>
    </row>
    <row r="127" spans="1:13" ht="25.5" x14ac:dyDescent="0.2">
      <c r="A127" s="65">
        <v>118</v>
      </c>
      <c r="B127" s="146" t="s">
        <v>159</v>
      </c>
      <c r="C127" s="139" t="s">
        <v>75</v>
      </c>
      <c r="D127" s="140">
        <v>252</v>
      </c>
      <c r="E127" s="145" t="s">
        <v>209</v>
      </c>
      <c r="F127" s="137" t="s">
        <v>17</v>
      </c>
      <c r="G127" s="68">
        <v>1</v>
      </c>
      <c r="H127" s="142"/>
      <c r="I127" s="143">
        <f t="shared" si="1"/>
        <v>0</v>
      </c>
      <c r="J127" s="144" t="s">
        <v>355</v>
      </c>
      <c r="K127" s="52"/>
    </row>
    <row r="128" spans="1:13" ht="25.5" x14ac:dyDescent="0.2">
      <c r="A128" s="65">
        <v>119</v>
      </c>
      <c r="B128" s="138" t="s">
        <v>302</v>
      </c>
      <c r="C128" s="139" t="s">
        <v>75</v>
      </c>
      <c r="D128" s="140">
        <v>252</v>
      </c>
      <c r="E128" s="141" t="s">
        <v>301</v>
      </c>
      <c r="F128" s="137" t="s">
        <v>17</v>
      </c>
      <c r="G128" s="68">
        <v>1</v>
      </c>
      <c r="H128" s="142"/>
      <c r="I128" s="143">
        <f t="shared" si="1"/>
        <v>0</v>
      </c>
      <c r="J128" s="144" t="s">
        <v>355</v>
      </c>
      <c r="K128" s="52"/>
    </row>
    <row r="129" spans="1:13" ht="25.5" x14ac:dyDescent="0.2">
      <c r="A129" s="65">
        <v>120</v>
      </c>
      <c r="B129" s="125" t="s">
        <v>160</v>
      </c>
      <c r="C129" s="81" t="s">
        <v>75</v>
      </c>
      <c r="D129" s="66">
        <v>252</v>
      </c>
      <c r="E129" s="70" t="s">
        <v>208</v>
      </c>
      <c r="F129" s="65" t="s">
        <v>17</v>
      </c>
      <c r="G129" s="68">
        <v>1</v>
      </c>
      <c r="H129" s="86">
        <v>345</v>
      </c>
      <c r="I129" s="69">
        <f t="shared" si="1"/>
        <v>345</v>
      </c>
      <c r="J129" s="51"/>
      <c r="K129" s="52"/>
    </row>
    <row r="130" spans="1:13" ht="25.5" x14ac:dyDescent="0.2">
      <c r="A130" s="65">
        <v>121</v>
      </c>
      <c r="B130" s="133" t="s">
        <v>163</v>
      </c>
      <c r="C130" s="83" t="s">
        <v>75</v>
      </c>
      <c r="D130" s="84">
        <v>252</v>
      </c>
      <c r="E130" s="72" t="s">
        <v>207</v>
      </c>
      <c r="F130" s="65" t="s">
        <v>18</v>
      </c>
      <c r="G130" s="68">
        <v>1</v>
      </c>
      <c r="H130" s="86">
        <v>850</v>
      </c>
      <c r="I130" s="69">
        <f t="shared" si="1"/>
        <v>850</v>
      </c>
      <c r="J130" s="51"/>
      <c r="K130" s="52"/>
    </row>
    <row r="131" spans="1:13" ht="25.5" x14ac:dyDescent="0.2">
      <c r="A131" s="65">
        <v>122</v>
      </c>
      <c r="B131" s="125" t="s">
        <v>162</v>
      </c>
      <c r="C131" s="81" t="s">
        <v>75</v>
      </c>
      <c r="D131" s="66">
        <v>252</v>
      </c>
      <c r="E131" s="72" t="s">
        <v>206</v>
      </c>
      <c r="F131" s="65" t="s">
        <v>19</v>
      </c>
      <c r="G131" s="68">
        <v>1</v>
      </c>
      <c r="H131" s="86">
        <v>37</v>
      </c>
      <c r="I131" s="69">
        <f t="shared" si="1"/>
        <v>37</v>
      </c>
      <c r="J131" s="51"/>
      <c r="K131" s="52"/>
    </row>
    <row r="132" spans="1:13" ht="25.5" x14ac:dyDescent="0.2">
      <c r="A132" s="65">
        <v>123</v>
      </c>
      <c r="B132" s="125" t="s">
        <v>161</v>
      </c>
      <c r="C132" s="81" t="s">
        <v>75</v>
      </c>
      <c r="D132" s="66">
        <v>252</v>
      </c>
      <c r="E132" s="72" t="s">
        <v>250</v>
      </c>
      <c r="F132" s="65" t="s">
        <v>17</v>
      </c>
      <c r="G132" s="68">
        <v>1</v>
      </c>
      <c r="H132" s="86">
        <v>1360</v>
      </c>
      <c r="I132" s="69">
        <f t="shared" si="1"/>
        <v>1360</v>
      </c>
      <c r="J132" s="51"/>
      <c r="K132" s="52"/>
    </row>
    <row r="133" spans="1:13" ht="25.5" x14ac:dyDescent="0.2">
      <c r="A133" s="65">
        <v>124</v>
      </c>
      <c r="B133" s="125" t="s">
        <v>164</v>
      </c>
      <c r="C133" s="81" t="s">
        <v>75</v>
      </c>
      <c r="D133" s="66">
        <v>252</v>
      </c>
      <c r="E133" s="72" t="s">
        <v>251</v>
      </c>
      <c r="F133" s="65" t="s">
        <v>18</v>
      </c>
      <c r="G133" s="68">
        <v>1</v>
      </c>
      <c r="H133" s="86">
        <v>15580</v>
      </c>
      <c r="I133" s="69">
        <f t="shared" si="1"/>
        <v>15580</v>
      </c>
      <c r="J133" s="54"/>
      <c r="K133" s="6"/>
    </row>
    <row r="134" spans="1:13" ht="25.5" x14ac:dyDescent="0.2">
      <c r="A134" s="65">
        <v>125</v>
      </c>
      <c r="B134" s="125" t="s">
        <v>165</v>
      </c>
      <c r="C134" s="81" t="s">
        <v>75</v>
      </c>
      <c r="D134" s="66">
        <v>252</v>
      </c>
      <c r="E134" s="72" t="s">
        <v>205</v>
      </c>
      <c r="F134" s="65" t="s">
        <v>17</v>
      </c>
      <c r="G134" s="68">
        <v>1</v>
      </c>
      <c r="H134" s="86">
        <v>340</v>
      </c>
      <c r="I134" s="69">
        <f t="shared" si="1"/>
        <v>340</v>
      </c>
      <c r="J134" s="51"/>
      <c r="K134" s="52"/>
    </row>
    <row r="135" spans="1:13" ht="25.5" x14ac:dyDescent="0.2">
      <c r="A135" s="65">
        <v>126</v>
      </c>
      <c r="B135" s="125" t="s">
        <v>166</v>
      </c>
      <c r="C135" s="81" t="s">
        <v>75</v>
      </c>
      <c r="D135" s="66">
        <v>252</v>
      </c>
      <c r="E135" s="70" t="s">
        <v>204</v>
      </c>
      <c r="F135" s="65" t="s">
        <v>17</v>
      </c>
      <c r="G135" s="68">
        <v>1</v>
      </c>
      <c r="H135" s="86">
        <v>1252</v>
      </c>
      <c r="I135" s="69">
        <f t="shared" ref="I135:I140" si="2">+G135*H135</f>
        <v>1252</v>
      </c>
      <c r="J135" s="51"/>
      <c r="K135" s="52"/>
    </row>
    <row r="136" spans="1:13" ht="25.5" x14ac:dyDescent="0.2">
      <c r="A136" s="65">
        <v>127</v>
      </c>
      <c r="B136" s="125" t="s">
        <v>167</v>
      </c>
      <c r="C136" s="81" t="s">
        <v>75</v>
      </c>
      <c r="D136" s="66">
        <v>252</v>
      </c>
      <c r="E136" s="70" t="s">
        <v>203</v>
      </c>
      <c r="F136" s="65" t="s">
        <v>17</v>
      </c>
      <c r="G136" s="68">
        <v>1</v>
      </c>
      <c r="H136" s="86">
        <v>695</v>
      </c>
      <c r="I136" s="69">
        <f t="shared" si="2"/>
        <v>695</v>
      </c>
      <c r="J136" s="51"/>
      <c r="K136" s="6"/>
    </row>
    <row r="137" spans="1:13" ht="25.5" x14ac:dyDescent="0.2">
      <c r="A137" s="65">
        <v>128</v>
      </c>
      <c r="B137" s="125" t="s">
        <v>168</v>
      </c>
      <c r="C137" s="81" t="s">
        <v>75</v>
      </c>
      <c r="D137" s="66">
        <v>252</v>
      </c>
      <c r="E137" s="70" t="s">
        <v>349</v>
      </c>
      <c r="F137" s="65" t="s">
        <v>17</v>
      </c>
      <c r="G137" s="68">
        <v>1</v>
      </c>
      <c r="H137" s="86">
        <v>65</v>
      </c>
      <c r="I137" s="69">
        <f t="shared" si="2"/>
        <v>65</v>
      </c>
      <c r="J137" s="51"/>
      <c r="K137" s="52"/>
    </row>
    <row r="138" spans="1:13" ht="25.5" x14ac:dyDescent="0.2">
      <c r="A138" s="65">
        <v>129</v>
      </c>
      <c r="B138" s="125" t="s">
        <v>169</v>
      </c>
      <c r="C138" s="139" t="s">
        <v>75</v>
      </c>
      <c r="D138" s="140">
        <v>252</v>
      </c>
      <c r="E138" s="145" t="s">
        <v>202</v>
      </c>
      <c r="F138" s="137" t="s">
        <v>17</v>
      </c>
      <c r="G138" s="68">
        <v>1</v>
      </c>
      <c r="H138" s="142">
        <v>335</v>
      </c>
      <c r="I138" s="143">
        <f t="shared" si="2"/>
        <v>335</v>
      </c>
      <c r="J138" s="185" t="s">
        <v>356</v>
      </c>
      <c r="K138" s="52"/>
    </row>
    <row r="139" spans="1:13" ht="30" x14ac:dyDescent="0.2">
      <c r="A139" s="65">
        <v>130</v>
      </c>
      <c r="B139" s="136" t="s">
        <v>256</v>
      </c>
      <c r="C139" s="139" t="s">
        <v>75</v>
      </c>
      <c r="D139" s="140">
        <v>252</v>
      </c>
      <c r="E139" s="187" t="s">
        <v>257</v>
      </c>
      <c r="F139" s="137" t="s">
        <v>17</v>
      </c>
      <c r="G139" s="68">
        <v>1</v>
      </c>
      <c r="H139" s="142">
        <v>188</v>
      </c>
      <c r="I139" s="143">
        <f t="shared" si="2"/>
        <v>188</v>
      </c>
      <c r="J139" s="185" t="s">
        <v>356</v>
      </c>
      <c r="K139" s="52"/>
      <c r="M139" s="62"/>
    </row>
    <row r="140" spans="1:13" ht="25.5" x14ac:dyDescent="0.2">
      <c r="A140" s="65">
        <v>131</v>
      </c>
      <c r="B140" s="125" t="s">
        <v>170</v>
      </c>
      <c r="C140" s="81" t="s">
        <v>75</v>
      </c>
      <c r="D140" s="66">
        <v>252</v>
      </c>
      <c r="E140" s="72" t="s">
        <v>249</v>
      </c>
      <c r="F140" s="65" t="s">
        <v>17</v>
      </c>
      <c r="G140" s="68">
        <v>1</v>
      </c>
      <c r="H140" s="86">
        <v>864</v>
      </c>
      <c r="I140" s="69">
        <f t="shared" si="2"/>
        <v>864</v>
      </c>
      <c r="J140" s="51"/>
      <c r="K140" s="6"/>
    </row>
    <row r="141" spans="1:13" ht="12.75" x14ac:dyDescent="0.2">
      <c r="A141" s="106"/>
      <c r="B141" s="107"/>
      <c r="C141" s="108"/>
      <c r="D141" s="109"/>
      <c r="E141" s="110"/>
      <c r="F141" s="106"/>
      <c r="G141" s="111"/>
      <c r="H141" s="112"/>
      <c r="I141" s="113"/>
      <c r="J141" s="51"/>
      <c r="K141" s="114"/>
    </row>
    <row r="142" spans="1:13" ht="15.75" customHeight="1" x14ac:dyDescent="0.2">
      <c r="A142" s="190" t="s">
        <v>332</v>
      </c>
      <c r="B142" s="190"/>
      <c r="C142" s="190"/>
      <c r="D142" s="190"/>
      <c r="E142" s="190"/>
      <c r="F142" s="190"/>
      <c r="G142" s="118"/>
      <c r="H142" s="118"/>
      <c r="I142" s="118"/>
      <c r="J142" s="51"/>
      <c r="K142" s="114"/>
    </row>
    <row r="143" spans="1:13" ht="8.25" customHeight="1" x14ac:dyDescent="0.2">
      <c r="A143" s="119"/>
      <c r="B143" s="119"/>
      <c r="C143" s="119"/>
      <c r="D143" s="119"/>
      <c r="E143" s="119"/>
      <c r="F143" s="119"/>
      <c r="G143" s="116"/>
      <c r="H143" s="116"/>
      <c r="I143" s="116"/>
      <c r="J143" s="51"/>
      <c r="K143" s="114"/>
    </row>
    <row r="144" spans="1:13" ht="40.5" customHeight="1" x14ac:dyDescent="0.2">
      <c r="A144" s="188" t="s">
        <v>295</v>
      </c>
      <c r="B144" s="189"/>
      <c r="C144" s="120" t="s">
        <v>75</v>
      </c>
      <c r="D144" s="121">
        <v>252</v>
      </c>
      <c r="E144" s="122" t="s">
        <v>294</v>
      </c>
      <c r="F144" s="123" t="s">
        <v>16</v>
      </c>
      <c r="G144" s="117"/>
      <c r="H144" s="115"/>
      <c r="I144" s="113"/>
      <c r="J144" s="58"/>
      <c r="K144" s="114"/>
    </row>
    <row r="145" spans="1:11" ht="12.75" x14ac:dyDescent="0.2">
      <c r="A145" s="106"/>
      <c r="B145" s="107"/>
      <c r="C145" s="108"/>
      <c r="D145" s="109"/>
      <c r="E145" s="110"/>
      <c r="F145" s="106"/>
      <c r="G145" s="111"/>
      <c r="H145" s="112"/>
      <c r="I145" s="113"/>
      <c r="J145" s="51"/>
      <c r="K145" s="114"/>
    </row>
    <row r="146" spans="1:11" ht="15" customHeight="1" thickBot="1" x14ac:dyDescent="0.25">
      <c r="B146" s="159"/>
      <c r="C146" s="159"/>
      <c r="D146" s="160"/>
      <c r="E146" s="160"/>
    </row>
    <row r="147" spans="1:11" ht="15" customHeight="1" x14ac:dyDescent="0.2">
      <c r="B147" s="161" t="s">
        <v>323</v>
      </c>
      <c r="C147" s="162"/>
      <c r="D147" s="163"/>
      <c r="E147" s="164"/>
    </row>
    <row r="148" spans="1:11" ht="15" customHeight="1" x14ac:dyDescent="0.2">
      <c r="B148" s="199" t="s">
        <v>25</v>
      </c>
      <c r="C148" s="200"/>
      <c r="D148" s="200"/>
      <c r="E148" s="201"/>
    </row>
    <row r="149" spans="1:11" ht="15" customHeight="1" x14ac:dyDescent="0.2">
      <c r="B149" s="202"/>
      <c r="C149" s="200"/>
      <c r="D149" s="200"/>
      <c r="E149" s="201"/>
    </row>
    <row r="150" spans="1:11" ht="15" customHeight="1" x14ac:dyDescent="0.2">
      <c r="B150" s="199" t="s">
        <v>26</v>
      </c>
      <c r="C150" s="200"/>
      <c r="D150" s="200"/>
      <c r="E150" s="201"/>
    </row>
    <row r="151" spans="1:11" ht="15" customHeight="1" x14ac:dyDescent="0.2">
      <c r="B151" s="165"/>
      <c r="C151" s="166"/>
      <c r="D151" s="167"/>
      <c r="E151" s="168"/>
    </row>
    <row r="152" spans="1:11" ht="15" customHeight="1" x14ac:dyDescent="0.2">
      <c r="B152" s="169" t="s">
        <v>27</v>
      </c>
      <c r="C152" s="170"/>
      <c r="D152" s="171"/>
      <c r="E152" s="172"/>
    </row>
    <row r="153" spans="1:11" ht="15" customHeight="1" thickBot="1" x14ac:dyDescent="0.25">
      <c r="B153" s="173" t="s">
        <v>354</v>
      </c>
      <c r="C153" s="174"/>
      <c r="D153" s="175"/>
      <c r="E153" s="176"/>
    </row>
    <row r="154" spans="1:11" ht="15" customHeight="1" thickBot="1" x14ac:dyDescent="0.25">
      <c r="B154" s="159"/>
      <c r="C154" s="159"/>
      <c r="D154" s="160"/>
      <c r="E154" s="160"/>
    </row>
    <row r="155" spans="1:11" ht="15" customHeight="1" x14ac:dyDescent="0.2">
      <c r="B155" s="161" t="s">
        <v>324</v>
      </c>
      <c r="C155" s="162"/>
      <c r="D155" s="163"/>
      <c r="E155" s="164"/>
    </row>
    <row r="156" spans="1:11" ht="15" customHeight="1" x14ac:dyDescent="0.2">
      <c r="B156" s="199" t="s">
        <v>25</v>
      </c>
      <c r="C156" s="200"/>
      <c r="D156" s="200"/>
      <c r="E156" s="201"/>
    </row>
    <row r="157" spans="1:11" ht="15" customHeight="1" x14ac:dyDescent="0.2">
      <c r="B157" s="202"/>
      <c r="C157" s="200"/>
      <c r="D157" s="200"/>
      <c r="E157" s="201"/>
    </row>
    <row r="158" spans="1:11" ht="15" customHeight="1" x14ac:dyDescent="0.2">
      <c r="B158" s="199" t="s">
        <v>26</v>
      </c>
      <c r="C158" s="200"/>
      <c r="D158" s="200"/>
      <c r="E158" s="201"/>
    </row>
    <row r="159" spans="1:11" ht="15" customHeight="1" x14ac:dyDescent="0.2">
      <c r="B159" s="165"/>
      <c r="C159" s="166"/>
      <c r="D159" s="167"/>
      <c r="E159" s="168"/>
    </row>
    <row r="160" spans="1:11" ht="15" customHeight="1" x14ac:dyDescent="0.2">
      <c r="B160" s="169" t="s">
        <v>27</v>
      </c>
      <c r="C160" s="170"/>
      <c r="D160" s="171"/>
      <c r="E160" s="172"/>
    </row>
    <row r="161" spans="2:5" ht="15" customHeight="1" thickBot="1" x14ac:dyDescent="0.25">
      <c r="B161" s="173" t="s">
        <v>354</v>
      </c>
      <c r="C161" s="174"/>
      <c r="D161" s="175"/>
      <c r="E161" s="176"/>
    </row>
    <row r="162" spans="2:5" ht="15" customHeight="1" thickBot="1" x14ac:dyDescent="0.25">
      <c r="B162" s="159"/>
      <c r="C162" s="159"/>
      <c r="D162" s="160"/>
      <c r="E162" s="160"/>
    </row>
    <row r="163" spans="2:5" ht="15" customHeight="1" x14ac:dyDescent="0.2">
      <c r="B163" s="161" t="s">
        <v>325</v>
      </c>
      <c r="C163" s="162"/>
      <c r="D163" s="163"/>
      <c r="E163" s="164"/>
    </row>
    <row r="164" spans="2:5" ht="15" customHeight="1" x14ac:dyDescent="0.2">
      <c r="B164" s="199" t="s">
        <v>25</v>
      </c>
      <c r="C164" s="200"/>
      <c r="D164" s="200"/>
      <c r="E164" s="201"/>
    </row>
    <row r="165" spans="2:5" ht="15" customHeight="1" x14ac:dyDescent="0.2">
      <c r="B165" s="202"/>
      <c r="C165" s="200"/>
      <c r="D165" s="200"/>
      <c r="E165" s="201"/>
    </row>
    <row r="166" spans="2:5" ht="15" customHeight="1" x14ac:dyDescent="0.2">
      <c r="B166" s="199" t="s">
        <v>26</v>
      </c>
      <c r="C166" s="200"/>
      <c r="D166" s="200"/>
      <c r="E166" s="201"/>
    </row>
    <row r="167" spans="2:5" ht="15" customHeight="1" x14ac:dyDescent="0.2">
      <c r="B167" s="165"/>
      <c r="C167" s="166"/>
      <c r="D167" s="167"/>
      <c r="E167" s="168"/>
    </row>
    <row r="168" spans="2:5" ht="15" customHeight="1" x14ac:dyDescent="0.2">
      <c r="B168" s="169" t="s">
        <v>27</v>
      </c>
      <c r="C168" s="170"/>
      <c r="D168" s="171"/>
      <c r="E168" s="172"/>
    </row>
    <row r="169" spans="2:5" ht="15" customHeight="1" thickBot="1" x14ac:dyDescent="0.25">
      <c r="B169" s="173" t="s">
        <v>354</v>
      </c>
      <c r="C169" s="174"/>
      <c r="D169" s="175"/>
      <c r="E169" s="176"/>
    </row>
    <row r="170" spans="2:5" ht="15" customHeight="1" thickBot="1" x14ac:dyDescent="0.25">
      <c r="B170" s="159"/>
      <c r="C170" s="159"/>
      <c r="D170" s="160"/>
      <c r="E170" s="160"/>
    </row>
    <row r="171" spans="2:5" ht="15" customHeight="1" x14ac:dyDescent="0.2">
      <c r="B171" s="161" t="s">
        <v>258</v>
      </c>
      <c r="C171" s="162"/>
      <c r="D171" s="163"/>
      <c r="E171" s="164"/>
    </row>
    <row r="172" spans="2:5" ht="15" customHeight="1" x14ac:dyDescent="0.2">
      <c r="B172" s="199" t="s">
        <v>25</v>
      </c>
      <c r="C172" s="200"/>
      <c r="D172" s="200"/>
      <c r="E172" s="201"/>
    </row>
    <row r="173" spans="2:5" ht="15" customHeight="1" x14ac:dyDescent="0.2">
      <c r="B173" s="202"/>
      <c r="C173" s="200"/>
      <c r="D173" s="200"/>
      <c r="E173" s="201"/>
    </row>
    <row r="174" spans="2:5" ht="15" customHeight="1" x14ac:dyDescent="0.2">
      <c r="B174" s="199" t="s">
        <v>26</v>
      </c>
      <c r="C174" s="200"/>
      <c r="D174" s="200"/>
      <c r="E174" s="201"/>
    </row>
    <row r="175" spans="2:5" ht="15" customHeight="1" x14ac:dyDescent="0.2">
      <c r="B175" s="165"/>
      <c r="C175" s="166"/>
      <c r="D175" s="167"/>
      <c r="E175" s="168"/>
    </row>
    <row r="176" spans="2:5" ht="15" customHeight="1" x14ac:dyDescent="0.2">
      <c r="B176" s="169" t="s">
        <v>27</v>
      </c>
      <c r="C176" s="170"/>
      <c r="D176" s="171"/>
      <c r="E176" s="172"/>
    </row>
    <row r="177" spans="2:5" ht="15" customHeight="1" thickBot="1" x14ac:dyDescent="0.25">
      <c r="B177" s="173" t="s">
        <v>354</v>
      </c>
      <c r="C177" s="174"/>
      <c r="D177" s="175"/>
      <c r="E177" s="176"/>
    </row>
    <row r="178" spans="2:5" ht="15" customHeight="1" thickBot="1" x14ac:dyDescent="0.25">
      <c r="B178" s="159"/>
      <c r="C178" s="159"/>
      <c r="D178" s="160"/>
      <c r="E178" s="160"/>
    </row>
    <row r="179" spans="2:5" ht="15" customHeight="1" x14ac:dyDescent="0.2">
      <c r="B179" s="161" t="s">
        <v>326</v>
      </c>
      <c r="C179" s="162"/>
      <c r="D179" s="163"/>
      <c r="E179" s="164"/>
    </row>
    <row r="180" spans="2:5" ht="15" customHeight="1" x14ac:dyDescent="0.2">
      <c r="B180" s="199" t="s">
        <v>25</v>
      </c>
      <c r="C180" s="200"/>
      <c r="D180" s="200"/>
      <c r="E180" s="201"/>
    </row>
    <row r="181" spans="2:5" ht="15" customHeight="1" x14ac:dyDescent="0.2">
      <c r="B181" s="202"/>
      <c r="C181" s="200"/>
      <c r="D181" s="200"/>
      <c r="E181" s="201"/>
    </row>
    <row r="182" spans="2:5" ht="15" customHeight="1" x14ac:dyDescent="0.2">
      <c r="B182" s="199" t="s">
        <v>26</v>
      </c>
      <c r="C182" s="200"/>
      <c r="D182" s="200"/>
      <c r="E182" s="201"/>
    </row>
    <row r="183" spans="2:5" ht="15" customHeight="1" x14ac:dyDescent="0.2">
      <c r="B183" s="165"/>
      <c r="C183" s="166"/>
      <c r="D183" s="167"/>
      <c r="E183" s="168"/>
    </row>
    <row r="184" spans="2:5" ht="15" customHeight="1" x14ac:dyDescent="0.2">
      <c r="B184" s="169" t="s">
        <v>27</v>
      </c>
      <c r="C184" s="170"/>
      <c r="D184" s="171"/>
      <c r="E184" s="172"/>
    </row>
    <row r="185" spans="2:5" ht="15" customHeight="1" thickBot="1" x14ac:dyDescent="0.25">
      <c r="B185" s="173" t="s">
        <v>354</v>
      </c>
      <c r="C185" s="174"/>
      <c r="D185" s="175"/>
      <c r="E185" s="176"/>
    </row>
    <row r="186" spans="2:5" ht="15" customHeight="1" thickBot="1" x14ac:dyDescent="0.25">
      <c r="B186" s="159"/>
      <c r="C186" s="159"/>
      <c r="D186" s="160"/>
      <c r="E186" s="160"/>
    </row>
    <row r="187" spans="2:5" ht="15" customHeight="1" x14ac:dyDescent="0.2">
      <c r="B187" s="161" t="s">
        <v>327</v>
      </c>
      <c r="C187" s="162"/>
      <c r="D187" s="163"/>
      <c r="E187" s="164"/>
    </row>
    <row r="188" spans="2:5" ht="15" customHeight="1" x14ac:dyDescent="0.2">
      <c r="B188" s="199" t="s">
        <v>25</v>
      </c>
      <c r="C188" s="200"/>
      <c r="D188" s="200"/>
      <c r="E188" s="201"/>
    </row>
    <row r="189" spans="2:5" ht="15" customHeight="1" x14ac:dyDescent="0.2">
      <c r="B189" s="202"/>
      <c r="C189" s="200"/>
      <c r="D189" s="200"/>
      <c r="E189" s="201"/>
    </row>
    <row r="190" spans="2:5" ht="15" customHeight="1" x14ac:dyDescent="0.2">
      <c r="B190" s="199" t="s">
        <v>26</v>
      </c>
      <c r="C190" s="200"/>
      <c r="D190" s="200"/>
      <c r="E190" s="201"/>
    </row>
    <row r="191" spans="2:5" ht="15" customHeight="1" x14ac:dyDescent="0.2">
      <c r="B191" s="165"/>
      <c r="C191" s="166"/>
      <c r="D191" s="167"/>
      <c r="E191" s="168"/>
    </row>
    <row r="192" spans="2:5" ht="15" customHeight="1" x14ac:dyDescent="0.2">
      <c r="B192" s="169" t="s">
        <v>27</v>
      </c>
      <c r="C192" s="170"/>
      <c r="D192" s="171"/>
      <c r="E192" s="172"/>
    </row>
    <row r="193" spans="2:5" ht="15" customHeight="1" thickBot="1" x14ac:dyDescent="0.25">
      <c r="B193" s="173" t="s">
        <v>354</v>
      </c>
      <c r="C193" s="174"/>
      <c r="D193" s="175"/>
      <c r="E193" s="176"/>
    </row>
    <row r="194" spans="2:5" ht="15" customHeight="1" thickBot="1" x14ac:dyDescent="0.25">
      <c r="B194" s="159"/>
      <c r="C194" s="159"/>
      <c r="D194" s="160"/>
      <c r="E194" s="160"/>
    </row>
    <row r="195" spans="2:5" ht="15" customHeight="1" x14ac:dyDescent="0.2">
      <c r="B195" s="161" t="s">
        <v>328</v>
      </c>
      <c r="C195" s="162"/>
      <c r="D195" s="163"/>
      <c r="E195" s="164"/>
    </row>
    <row r="196" spans="2:5" ht="15" customHeight="1" x14ac:dyDescent="0.2">
      <c r="B196" s="199" t="s">
        <v>25</v>
      </c>
      <c r="C196" s="200"/>
      <c r="D196" s="200"/>
      <c r="E196" s="201"/>
    </row>
    <row r="197" spans="2:5" ht="15" customHeight="1" x14ac:dyDescent="0.2">
      <c r="B197" s="202"/>
      <c r="C197" s="200"/>
      <c r="D197" s="200"/>
      <c r="E197" s="201"/>
    </row>
    <row r="198" spans="2:5" ht="15" customHeight="1" x14ac:dyDescent="0.2">
      <c r="B198" s="199" t="s">
        <v>26</v>
      </c>
      <c r="C198" s="200"/>
      <c r="D198" s="200"/>
      <c r="E198" s="201"/>
    </row>
    <row r="199" spans="2:5" ht="15" customHeight="1" x14ac:dyDescent="0.2">
      <c r="B199" s="165"/>
      <c r="C199" s="166"/>
      <c r="D199" s="167"/>
      <c r="E199" s="168"/>
    </row>
    <row r="200" spans="2:5" ht="15" customHeight="1" x14ac:dyDescent="0.2">
      <c r="B200" s="169" t="s">
        <v>27</v>
      </c>
      <c r="C200" s="170"/>
      <c r="D200" s="171"/>
      <c r="E200" s="172"/>
    </row>
    <row r="201" spans="2:5" ht="15" customHeight="1" thickBot="1" x14ac:dyDescent="0.25">
      <c r="B201" s="173" t="s">
        <v>354</v>
      </c>
      <c r="C201" s="174"/>
      <c r="D201" s="175"/>
      <c r="E201" s="176"/>
    </row>
    <row r="202" spans="2:5" ht="15" customHeight="1" thickBot="1" x14ac:dyDescent="0.25">
      <c r="B202" s="159"/>
      <c r="C202" s="159"/>
      <c r="D202" s="160"/>
      <c r="E202" s="160"/>
    </row>
    <row r="203" spans="2:5" ht="15" customHeight="1" x14ac:dyDescent="0.2">
      <c r="B203" s="161" t="s">
        <v>330</v>
      </c>
      <c r="C203" s="162"/>
      <c r="D203" s="163"/>
      <c r="E203" s="164"/>
    </row>
    <row r="204" spans="2:5" ht="15" customHeight="1" x14ac:dyDescent="0.2">
      <c r="B204" s="199" t="s">
        <v>25</v>
      </c>
      <c r="C204" s="200"/>
      <c r="D204" s="200"/>
      <c r="E204" s="201"/>
    </row>
    <row r="205" spans="2:5" ht="15" customHeight="1" x14ac:dyDescent="0.2">
      <c r="B205" s="202"/>
      <c r="C205" s="200"/>
      <c r="D205" s="200"/>
      <c r="E205" s="201"/>
    </row>
    <row r="206" spans="2:5" ht="15" customHeight="1" x14ac:dyDescent="0.2">
      <c r="B206" s="199" t="s">
        <v>26</v>
      </c>
      <c r="C206" s="200"/>
      <c r="D206" s="200"/>
      <c r="E206" s="201"/>
    </row>
    <row r="207" spans="2:5" ht="15" customHeight="1" x14ac:dyDescent="0.2">
      <c r="B207" s="165"/>
      <c r="C207" s="166"/>
      <c r="D207" s="167"/>
      <c r="E207" s="168"/>
    </row>
    <row r="208" spans="2:5" ht="15" customHeight="1" x14ac:dyDescent="0.2">
      <c r="B208" s="169" t="s">
        <v>27</v>
      </c>
      <c r="C208" s="170"/>
      <c r="D208" s="171"/>
      <c r="E208" s="172"/>
    </row>
    <row r="209" spans="1:6" ht="15" customHeight="1" thickBot="1" x14ac:dyDescent="0.25">
      <c r="B209" s="173" t="s">
        <v>354</v>
      </c>
      <c r="C209" s="174"/>
      <c r="D209" s="175"/>
      <c r="E209" s="176"/>
    </row>
    <row r="210" spans="1:6" ht="15" customHeight="1" x14ac:dyDescent="0.2">
      <c r="B210" s="159"/>
      <c r="C210" s="159"/>
      <c r="D210" s="160"/>
      <c r="E210" s="160"/>
    </row>
    <row r="211" spans="1:6" ht="15" customHeight="1" thickBot="1" x14ac:dyDescent="0.25">
      <c r="B211" s="159"/>
      <c r="C211" s="159"/>
      <c r="D211" s="160"/>
      <c r="E211" s="160"/>
    </row>
    <row r="212" spans="1:6" ht="15" customHeight="1" x14ac:dyDescent="0.2">
      <c r="A212" s="99"/>
      <c r="B212" s="161" t="s">
        <v>352</v>
      </c>
      <c r="C212" s="162"/>
      <c r="D212" s="163"/>
      <c r="E212" s="164"/>
      <c r="F212" s="99"/>
    </row>
    <row r="213" spans="1:6" ht="15" customHeight="1" x14ac:dyDescent="0.2">
      <c r="A213" s="99"/>
      <c r="B213" s="199" t="s">
        <v>25</v>
      </c>
      <c r="C213" s="200"/>
      <c r="D213" s="200"/>
      <c r="E213" s="201"/>
      <c r="F213" s="99"/>
    </row>
    <row r="214" spans="1:6" ht="15" customHeight="1" x14ac:dyDescent="0.2">
      <c r="A214" s="99"/>
      <c r="B214" s="202"/>
      <c r="C214" s="200"/>
      <c r="D214" s="200"/>
      <c r="E214" s="201"/>
      <c r="F214" s="99"/>
    </row>
    <row r="215" spans="1:6" ht="15" customHeight="1" x14ac:dyDescent="0.2">
      <c r="A215" s="99"/>
      <c r="B215" s="199" t="s">
        <v>26</v>
      </c>
      <c r="C215" s="200"/>
      <c r="D215" s="200"/>
      <c r="E215" s="201"/>
      <c r="F215" s="99"/>
    </row>
    <row r="216" spans="1:6" ht="15" customHeight="1" x14ac:dyDescent="0.2">
      <c r="A216" s="99"/>
      <c r="B216" s="165"/>
      <c r="C216" s="166"/>
      <c r="D216" s="167"/>
      <c r="E216" s="168"/>
      <c r="F216" s="99"/>
    </row>
    <row r="217" spans="1:6" ht="15" customHeight="1" x14ac:dyDescent="0.2">
      <c r="A217" s="99"/>
      <c r="B217" s="169" t="s">
        <v>27</v>
      </c>
      <c r="C217" s="170"/>
      <c r="D217" s="171"/>
      <c r="E217" s="172"/>
      <c r="F217" s="99"/>
    </row>
    <row r="218" spans="1:6" ht="15" customHeight="1" thickBot="1" x14ac:dyDescent="0.25">
      <c r="A218" s="99"/>
      <c r="B218" s="173" t="s">
        <v>354</v>
      </c>
      <c r="C218" s="174"/>
      <c r="D218" s="175"/>
      <c r="E218" s="176"/>
      <c r="F218" s="99"/>
    </row>
    <row r="219" spans="1:6" ht="15" customHeight="1" thickBot="1" x14ac:dyDescent="0.25">
      <c r="A219" s="99"/>
      <c r="B219" s="177"/>
      <c r="C219" s="177"/>
      <c r="D219" s="178"/>
      <c r="E219" s="178"/>
      <c r="F219" s="99"/>
    </row>
    <row r="220" spans="1:6" ht="15" customHeight="1" x14ac:dyDescent="0.2">
      <c r="A220" s="99"/>
      <c r="B220" s="161" t="s">
        <v>353</v>
      </c>
      <c r="C220" s="162"/>
      <c r="D220" s="163"/>
      <c r="E220" s="164"/>
      <c r="F220" s="99"/>
    </row>
    <row r="221" spans="1:6" ht="15" customHeight="1" x14ac:dyDescent="0.2">
      <c r="A221" s="99"/>
      <c r="B221" s="199" t="s">
        <v>25</v>
      </c>
      <c r="C221" s="200"/>
      <c r="D221" s="200"/>
      <c r="E221" s="201"/>
      <c r="F221" s="99"/>
    </row>
    <row r="222" spans="1:6" ht="15" customHeight="1" x14ac:dyDescent="0.2">
      <c r="A222" s="99"/>
      <c r="B222" s="202"/>
      <c r="C222" s="200"/>
      <c r="D222" s="200"/>
      <c r="E222" s="201"/>
      <c r="F222" s="99"/>
    </row>
    <row r="223" spans="1:6" ht="15" customHeight="1" x14ac:dyDescent="0.2">
      <c r="A223" s="99"/>
      <c r="B223" s="199" t="s">
        <v>26</v>
      </c>
      <c r="C223" s="200"/>
      <c r="D223" s="200"/>
      <c r="E223" s="201"/>
      <c r="F223" s="99"/>
    </row>
    <row r="224" spans="1:6" ht="15" customHeight="1" x14ac:dyDescent="0.2">
      <c r="A224" s="99"/>
      <c r="B224" s="165"/>
      <c r="C224" s="166"/>
      <c r="D224" s="167"/>
      <c r="E224" s="168"/>
      <c r="F224" s="99"/>
    </row>
    <row r="225" spans="1:6" ht="15" customHeight="1" x14ac:dyDescent="0.2">
      <c r="A225" s="99"/>
      <c r="B225" s="169" t="s">
        <v>27</v>
      </c>
      <c r="C225" s="170"/>
      <c r="D225" s="171"/>
      <c r="E225" s="172"/>
      <c r="F225" s="99"/>
    </row>
    <row r="226" spans="1:6" ht="15" customHeight="1" thickBot="1" x14ac:dyDescent="0.25">
      <c r="A226" s="99"/>
      <c r="B226" s="173" t="s">
        <v>354</v>
      </c>
      <c r="C226" s="174"/>
      <c r="D226" s="175"/>
      <c r="E226" s="176"/>
      <c r="F226" s="99"/>
    </row>
    <row r="227" spans="1:6" ht="15" customHeight="1" x14ac:dyDescent="0.2">
      <c r="A227" s="99"/>
      <c r="B227" s="100"/>
      <c r="C227" s="100"/>
      <c r="D227" s="99"/>
      <c r="E227" s="99"/>
      <c r="F227" s="99"/>
    </row>
  </sheetData>
  <autoFilter ref="A9:K140" xr:uid="{00000000-0009-0000-0000-000000000000}"/>
  <mergeCells count="29">
    <mergeCell ref="B223:E223"/>
    <mergeCell ref="B213:E214"/>
    <mergeCell ref="B215:E215"/>
    <mergeCell ref="B196:E197"/>
    <mergeCell ref="B198:E198"/>
    <mergeCell ref="B204:E205"/>
    <mergeCell ref="B206:E206"/>
    <mergeCell ref="B221:E222"/>
    <mergeCell ref="B166:E166"/>
    <mergeCell ref="B180:E181"/>
    <mergeCell ref="B182:E182"/>
    <mergeCell ref="B188:E189"/>
    <mergeCell ref="B190:E190"/>
    <mergeCell ref="B172:E173"/>
    <mergeCell ref="B174:E174"/>
    <mergeCell ref="B148:E149"/>
    <mergeCell ref="B150:E150"/>
    <mergeCell ref="B156:E157"/>
    <mergeCell ref="B158:E158"/>
    <mergeCell ref="B164:E165"/>
    <mergeCell ref="A144:B144"/>
    <mergeCell ref="A142:F142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3"/>
  <sheetViews>
    <sheetView tabSelected="1" topLeftCell="A127" workbookViewId="0">
      <selection activeCell="N139" sqref="N139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2.75" customHeight="1" x14ac:dyDescent="0.2">
      <c r="A1" s="205" t="s">
        <v>28</v>
      </c>
      <c r="B1" s="195"/>
      <c r="C1" s="195"/>
      <c r="D1" s="195"/>
      <c r="E1" s="195"/>
      <c r="F1" s="195"/>
      <c r="G1" s="195"/>
      <c r="H1" s="195"/>
      <c r="I1" s="192"/>
      <c r="J1" s="7" t="s">
        <v>29</v>
      </c>
      <c r="K1" s="8" t="s">
        <v>30</v>
      </c>
    </row>
    <row r="2" spans="1:11" ht="12.75" customHeight="1" x14ac:dyDescent="0.2">
      <c r="A2" s="9"/>
      <c r="B2" s="9"/>
      <c r="C2" s="9"/>
      <c r="D2" s="10"/>
      <c r="E2" s="10"/>
      <c r="F2" s="10"/>
      <c r="G2" s="10"/>
      <c r="H2" s="10"/>
      <c r="I2" s="10"/>
      <c r="J2" s="10"/>
      <c r="K2" s="10"/>
    </row>
    <row r="3" spans="1:11" ht="12.75" customHeight="1" x14ac:dyDescent="0.2">
      <c r="A3" s="211" t="s">
        <v>31</v>
      </c>
      <c r="B3" s="212"/>
      <c r="C3" s="213"/>
      <c r="D3" s="214" t="str">
        <f>'Necesidades Trimestrales'!C4</f>
        <v>040 - Ministerio de Salud</v>
      </c>
      <c r="E3" s="207"/>
      <c r="F3" s="207"/>
      <c r="G3" s="207"/>
      <c r="H3" s="207"/>
      <c r="I3" s="207"/>
      <c r="J3" s="207"/>
      <c r="K3" s="208"/>
    </row>
    <row r="4" spans="1:11" ht="12.75" customHeight="1" x14ac:dyDescent="0.2">
      <c r="A4" s="215" t="s">
        <v>32</v>
      </c>
      <c r="B4" s="216"/>
      <c r="C4" s="217"/>
      <c r="D4" s="206" t="str">
        <f>'Necesidades Trimestrales'!C5</f>
        <v>11/ 23/ 24  o  28- "…......."</v>
      </c>
      <c r="E4" s="207"/>
      <c r="F4" s="207"/>
      <c r="G4" s="207"/>
      <c r="H4" s="207"/>
      <c r="I4" s="207"/>
      <c r="J4" s="207"/>
      <c r="K4" s="208"/>
    </row>
    <row r="5" spans="1:11" ht="12.75" customHeight="1" x14ac:dyDescent="0.2">
      <c r="A5" s="215" t="s">
        <v>33</v>
      </c>
      <c r="B5" s="216"/>
      <c r="C5" s="217"/>
      <c r="D5" s="206" t="s">
        <v>34</v>
      </c>
      <c r="E5" s="207"/>
      <c r="F5" s="207"/>
      <c r="G5" s="207"/>
      <c r="H5" s="207"/>
      <c r="I5" s="207"/>
      <c r="J5" s="207"/>
      <c r="K5" s="208"/>
    </row>
    <row r="6" spans="1:11" ht="12.75" customHeight="1" x14ac:dyDescent="0.2">
      <c r="A6" s="220" t="s">
        <v>35</v>
      </c>
      <c r="B6" s="212"/>
      <c r="C6" s="213"/>
      <c r="D6" s="206" t="s">
        <v>34</v>
      </c>
      <c r="E6" s="207"/>
      <c r="F6" s="207"/>
      <c r="G6" s="207"/>
      <c r="H6" s="207"/>
      <c r="I6" s="207"/>
      <c r="J6" s="207"/>
      <c r="K6" s="208"/>
    </row>
    <row r="7" spans="1:11" ht="12.75" customHeight="1" x14ac:dyDescent="0.2">
      <c r="A7" s="215" t="s">
        <v>36</v>
      </c>
      <c r="B7" s="216"/>
      <c r="C7" s="217"/>
      <c r="D7" s="206" t="s">
        <v>37</v>
      </c>
      <c r="E7" s="207"/>
      <c r="F7" s="207"/>
      <c r="G7" s="207"/>
      <c r="H7" s="207"/>
      <c r="I7" s="207"/>
      <c r="J7" s="207"/>
      <c r="K7" s="208"/>
    </row>
    <row r="8" spans="1:11" ht="36" customHeight="1" x14ac:dyDescent="0.2">
      <c r="A8" s="218" t="s">
        <v>38</v>
      </c>
      <c r="B8" s="207"/>
      <c r="C8" s="219"/>
      <c r="D8" s="209" t="s">
        <v>39</v>
      </c>
      <c r="E8" s="207"/>
      <c r="F8" s="207"/>
      <c r="G8" s="207"/>
      <c r="H8" s="207"/>
      <c r="I8" s="207"/>
      <c r="J8" s="207"/>
      <c r="K8" s="208"/>
    </row>
    <row r="9" spans="1:11" ht="12.75" customHeight="1" thickBot="1" x14ac:dyDescent="0.25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</row>
    <row r="10" spans="1:11" ht="12.75" customHeight="1" thickBot="1" x14ac:dyDescent="0.25">
      <c r="A10" s="221" t="s">
        <v>40</v>
      </c>
      <c r="B10" s="210" t="s">
        <v>41</v>
      </c>
      <c r="C10" s="210" t="s">
        <v>42</v>
      </c>
      <c r="D10" s="204"/>
      <c r="E10" s="204"/>
      <c r="F10" s="204"/>
      <c r="G10" s="204"/>
      <c r="H10" s="210" t="s">
        <v>43</v>
      </c>
      <c r="I10" s="210" t="s">
        <v>44</v>
      </c>
      <c r="J10" s="210" t="s">
        <v>45</v>
      </c>
      <c r="K10" s="210" t="s">
        <v>46</v>
      </c>
    </row>
    <row r="11" spans="1:11" ht="32.25" customHeight="1" thickBot="1" x14ac:dyDescent="0.25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</row>
    <row r="12" spans="1:11" ht="32.25" customHeight="1" thickBot="1" x14ac:dyDescent="0.25">
      <c r="A12" s="101">
        <v>1</v>
      </c>
      <c r="B12" s="102" t="str">
        <f>+'Necesidades Trimestrales'!B10</f>
        <v>2.5.2-1829.24</v>
      </c>
      <c r="C12" s="203" t="str">
        <f>+'Necesidades Trimestrales'!E10</f>
        <v>ANTIVIRALES; TIPO: MONODROGA, DROGA GENERICA: ACICLOVIR, FORMA FARMACEUTICA: COMPRIMIDO, PRESENTACION: 200 mGr</v>
      </c>
      <c r="D12" s="204"/>
      <c r="E12" s="204"/>
      <c r="F12" s="204"/>
      <c r="G12" s="204"/>
      <c r="H12" s="101" t="s">
        <v>47</v>
      </c>
      <c r="I12" s="103" t="str">
        <f>+'Necesidades Trimestrales'!F10</f>
        <v>COMPRIMIDO</v>
      </c>
      <c r="J12" s="104">
        <f>+'Necesidades Trimestrales'!H10</f>
        <v>28.9</v>
      </c>
      <c r="K12" s="105">
        <v>1</v>
      </c>
    </row>
    <row r="13" spans="1:11" ht="32.25" customHeight="1" thickBot="1" x14ac:dyDescent="0.25">
      <c r="A13" s="101">
        <v>2</v>
      </c>
      <c r="B13" s="102" t="str">
        <f>+'Necesidades Trimestrales'!B11</f>
        <v>2.5.2-1829.35</v>
      </c>
      <c r="C13" s="203" t="str">
        <f>+'Necesidades Trimestrales'!E11</f>
        <v>ANTIVIRALES; TIPO: MONODROGA, DROGA GENERICA: ACICLOVIR, FORMA FARMACEUTICA: COMPRIMIDO, PRESENTACION: 400 mGr</v>
      </c>
      <c r="D13" s="204"/>
      <c r="E13" s="204"/>
      <c r="F13" s="204"/>
      <c r="G13" s="204"/>
      <c r="H13" s="101" t="s">
        <v>47</v>
      </c>
      <c r="I13" s="103" t="str">
        <f>+'Necesidades Trimestrales'!F11</f>
        <v>COMPRIMIDO</v>
      </c>
      <c r="J13" s="104">
        <f>+'Necesidades Trimestrales'!H11</f>
        <v>37.5</v>
      </c>
      <c r="K13" s="105">
        <v>1</v>
      </c>
    </row>
    <row r="14" spans="1:11" ht="32.25" customHeight="1" thickBot="1" x14ac:dyDescent="0.25">
      <c r="A14" s="101">
        <v>3</v>
      </c>
      <c r="B14" s="102" t="str">
        <f>+'Necesidades Trimestrales'!B12</f>
        <v>2.5.2-1821.235</v>
      </c>
      <c r="C14" s="203" t="str">
        <f>+'Necesidades Trimestrales'!E12</f>
        <v>ANTIBIOTICOS P/PERSONAS; TIPO: MONODROGA, DROGA GENERICA: ACICLOVIR 500 MG, FORMA FARMACEUTICA: FRASCO AMPOLLA, PRESENTACION: 500 mGr</v>
      </c>
      <c r="D14" s="204"/>
      <c r="E14" s="204"/>
      <c r="F14" s="204"/>
      <c r="G14" s="204"/>
      <c r="H14" s="101" t="s">
        <v>47</v>
      </c>
      <c r="I14" s="103" t="str">
        <f>+'Necesidades Trimestrales'!F12</f>
        <v>AMPOLLA</v>
      </c>
      <c r="J14" s="104">
        <f>+'Necesidades Trimestrales'!H12</f>
        <v>350</v>
      </c>
      <c r="K14" s="105">
        <v>1</v>
      </c>
    </row>
    <row r="15" spans="1:11" ht="32.25" customHeight="1" thickBot="1" x14ac:dyDescent="0.25">
      <c r="A15" s="101">
        <v>4</v>
      </c>
      <c r="B15" s="102" t="str">
        <f>+'Necesidades Trimestrales'!B13</f>
        <v>2.5.2-1829.48</v>
      </c>
      <c r="C15" s="203" t="str">
        <f>+'Necesidades Trimestrales'!E13</f>
        <v>ANTIVIRALES; TIPO: MONODROGA, DROGA GENERICA: ACICLOVIR 80 MG/ ML, FORMA FARMACEUTICA: SUSPENSION, PRESENTACION: ENVASE X 200 ML</v>
      </c>
      <c r="D15" s="204"/>
      <c r="E15" s="204"/>
      <c r="F15" s="204"/>
      <c r="G15" s="204"/>
      <c r="H15" s="101" t="s">
        <v>47</v>
      </c>
      <c r="I15" s="103" t="str">
        <f>+'Necesidades Trimestrales'!F13</f>
        <v>FRASCO</v>
      </c>
      <c r="J15" s="104">
        <f>+'Necesidades Trimestrales'!H13</f>
        <v>980</v>
      </c>
      <c r="K15" s="105">
        <v>1</v>
      </c>
    </row>
    <row r="16" spans="1:11" ht="32.25" customHeight="1" thickBot="1" x14ac:dyDescent="0.25">
      <c r="A16" s="101">
        <v>5</v>
      </c>
      <c r="B16" s="102" t="str">
        <f>+'Necesidades Trimestrales'!B14</f>
        <v>2.5.2-1724.16</v>
      </c>
      <c r="C16" s="203" t="str">
        <f>+'Necesidades Trimestrales'!E14</f>
        <v>ANALGESICOS; TIPO: MONODROGA, DROGA GENERICA: ACIDO ACETILSALICILICO, PRESENTACION: 100 mGr, FORMA FARMACEUTICA: COMPRIMIDO</v>
      </c>
      <c r="D16" s="204"/>
      <c r="E16" s="204"/>
      <c r="F16" s="204"/>
      <c r="G16" s="204"/>
      <c r="H16" s="101" t="s">
        <v>47</v>
      </c>
      <c r="I16" s="103" t="str">
        <f>+'Necesidades Trimestrales'!F14</f>
        <v>COMPRIMIDO</v>
      </c>
      <c r="J16" s="104">
        <f>+'Necesidades Trimestrales'!H14</f>
        <v>1.88</v>
      </c>
      <c r="K16" s="105">
        <v>1</v>
      </c>
    </row>
    <row r="17" spans="1:11" ht="32.25" customHeight="1" thickBot="1" x14ac:dyDescent="0.25">
      <c r="A17" s="101">
        <v>6</v>
      </c>
      <c r="B17" s="102" t="str">
        <f>+'Necesidades Trimestrales'!B15</f>
        <v>2.5.2-1724.3</v>
      </c>
      <c r="C17" s="203" t="str">
        <f>+'Necesidades Trimestrales'!E15</f>
        <v>ANALGESICOS ; PRESENTACION: 500 mGr, TIPO: MONODROGA, DROGA GENERICA: ACIDO ACETILSALICILICO, FORMA FARMACEUTICA: COMPRIMIDO</v>
      </c>
      <c r="D17" s="204"/>
      <c r="E17" s="204"/>
      <c r="F17" s="204"/>
      <c r="G17" s="204"/>
      <c r="H17" s="101" t="s">
        <v>47</v>
      </c>
      <c r="I17" s="103" t="str">
        <f>+'Necesidades Trimestrales'!F15</f>
        <v>COMPRIMIDO</v>
      </c>
      <c r="J17" s="104">
        <f>+'Necesidades Trimestrales'!H15</f>
        <v>2.58</v>
      </c>
      <c r="K17" s="105">
        <v>1</v>
      </c>
    </row>
    <row r="18" spans="1:11" ht="32.25" customHeight="1" thickBot="1" x14ac:dyDescent="0.25">
      <c r="A18" s="101">
        <v>7</v>
      </c>
      <c r="B18" s="102" t="str">
        <f>+'Necesidades Trimestrales'!B16</f>
        <v>2.5.2-1864.6</v>
      </c>
      <c r="C18" s="203" t="str">
        <f>+'Necesidades Trimestrales'!E16</f>
        <v>HIPOURICEMIANTES; TIPO: MONODROGA, DROGA GENERICA: ALOPURINOL 300 mGr, FORMA FARMACEUTICA: COMPRIMIDO, PRESENTACION: UNIDAD</v>
      </c>
      <c r="D18" s="204"/>
      <c r="E18" s="204"/>
      <c r="F18" s="204"/>
      <c r="G18" s="204"/>
      <c r="H18" s="101" t="s">
        <v>47</v>
      </c>
      <c r="I18" s="103" t="str">
        <f>+'Necesidades Trimestrales'!F16</f>
        <v>COMPRIMIDO</v>
      </c>
      <c r="J18" s="104">
        <f>+'Necesidades Trimestrales'!H16</f>
        <v>41.3</v>
      </c>
      <c r="K18" s="105">
        <v>1</v>
      </c>
    </row>
    <row r="19" spans="1:11" ht="32.25" customHeight="1" thickBot="1" x14ac:dyDescent="0.25">
      <c r="A19" s="101">
        <v>8</v>
      </c>
      <c r="B19" s="102" t="str">
        <f>+'Necesidades Trimestrales'!B17</f>
        <v>2.5.2-1821.1</v>
      </c>
      <c r="C19" s="203" t="str">
        <f>+'Necesidades Trimestrales'!E17</f>
        <v>ANTIBIOTICOS P/PERSONAS; TIPO: MONODROGA, DROGA GENERICA: AMIKACINA, PRESENTACION: 500 mGr, FORMA FARMACEUTICA: AMPOLLA</v>
      </c>
      <c r="D19" s="204"/>
      <c r="E19" s="204"/>
      <c r="F19" s="204"/>
      <c r="G19" s="204"/>
      <c r="H19" s="101" t="s">
        <v>47</v>
      </c>
      <c r="I19" s="103" t="str">
        <f>+'Necesidades Trimestrales'!F17</f>
        <v>AMPOLLA</v>
      </c>
      <c r="J19" s="104">
        <f>+'Necesidades Trimestrales'!H17</f>
        <v>87.95</v>
      </c>
      <c r="K19" s="105">
        <v>1</v>
      </c>
    </row>
    <row r="20" spans="1:11" ht="32.25" customHeight="1" thickBot="1" x14ac:dyDescent="0.25">
      <c r="A20" s="101">
        <v>9</v>
      </c>
      <c r="B20" s="102" t="str">
        <f>+'Necesidades Trimestrales'!B18</f>
        <v>2.5.2-1821.524</v>
      </c>
      <c r="C20" s="203" t="str">
        <f>+'Necesidades Trimestrales'!E18</f>
        <v>ANTIBIOTICOS P/PERSONAS; TIPO: ASOCIACION, DROGA GENERICA: AMOXICILINA + AC.CLAVULANICO 400 MG / 57 MG, FORMA FARMACEUTICA: SUSPENSION, PRESENTACION: ENVASE X 70 ML</v>
      </c>
      <c r="D20" s="204"/>
      <c r="E20" s="204"/>
      <c r="F20" s="204"/>
      <c r="G20" s="204"/>
      <c r="H20" s="101" t="s">
        <v>47</v>
      </c>
      <c r="I20" s="103" t="str">
        <f>+'Necesidades Trimestrales'!F18</f>
        <v>FRASCO</v>
      </c>
      <c r="J20" s="104">
        <f>+'Necesidades Trimestrales'!H18</f>
        <v>410</v>
      </c>
      <c r="K20" s="105">
        <v>1</v>
      </c>
    </row>
    <row r="21" spans="1:11" ht="32.25" customHeight="1" thickBot="1" x14ac:dyDescent="0.25">
      <c r="A21" s="101">
        <v>10</v>
      </c>
      <c r="B21" s="102" t="str">
        <f>+'Necesidades Trimestrales'!B19</f>
        <v>2.5.2-1821.440</v>
      </c>
      <c r="C21" s="203" t="str">
        <f>+'Necesidades Trimestrales'!E19</f>
        <v>ANTIBIOTICOS P/PERSONAS; TIPO: ASOCIACION, DROGA GENERICA: AMOXICIL. 875 MG+CLAVUL.125 MG mGr, FORMA FARMACEUTICA: COMPRIMIDO, PRESENTACION: UNIDAD</v>
      </c>
      <c r="D21" s="204"/>
      <c r="E21" s="204"/>
      <c r="F21" s="204"/>
      <c r="G21" s="204"/>
      <c r="H21" s="101" t="s">
        <v>47</v>
      </c>
      <c r="I21" s="103" t="str">
        <f>+'Necesidades Trimestrales'!F19</f>
        <v>COMPRIMIDO</v>
      </c>
      <c r="J21" s="104">
        <f>+'Necesidades Trimestrales'!H19</f>
        <v>38</v>
      </c>
      <c r="K21" s="105">
        <v>1</v>
      </c>
    </row>
    <row r="22" spans="1:11" ht="32.25" customHeight="1" thickBot="1" x14ac:dyDescent="0.25">
      <c r="A22" s="101">
        <v>11</v>
      </c>
      <c r="B22" s="102" t="str">
        <f>+'Necesidades Trimestrales'!B20</f>
        <v>2.5.2-1821.9</v>
      </c>
      <c r="C22" s="203" t="str">
        <f>+'Necesidades Trimestrales'!E20</f>
        <v>ANTIBIOTICOS P/PERSONAS; TIPO: MONODROGA, DROGA GENERICA: AMOXICILINA, PRESENTACION: 500 mGr, FORMA FARMACEUTICA: COMPRIMIDOS</v>
      </c>
      <c r="D22" s="204"/>
      <c r="E22" s="204"/>
      <c r="F22" s="204"/>
      <c r="G22" s="204"/>
      <c r="H22" s="101" t="s">
        <v>47</v>
      </c>
      <c r="I22" s="103" t="str">
        <f>+'Necesidades Trimestrales'!F20</f>
        <v>COMPRIMIDO</v>
      </c>
      <c r="J22" s="104">
        <f>+'Necesidades Trimestrales'!H20</f>
        <v>15</v>
      </c>
      <c r="K22" s="105">
        <v>1</v>
      </c>
    </row>
    <row r="23" spans="1:11" ht="32.25" customHeight="1" thickBot="1" x14ac:dyDescent="0.25">
      <c r="A23" s="101">
        <v>12</v>
      </c>
      <c r="B23" s="102" t="str">
        <f>+'Necesidades Trimestrales'!B21</f>
        <v>2.5.2-1821.399</v>
      </c>
      <c r="C23" s="203" t="str">
        <f>+'Necesidades Trimestrales'!E21</f>
        <v>ANTIBIOTICOS P/PERSONAS; TIPO: MONODROGA, DROGA GENERICA: AMOXICILINA 500 mGr, FORMA FARMACEUTICA: SUSPENSION, PRESENTACION: ENVASE X 90 mL</v>
      </c>
      <c r="D23" s="204"/>
      <c r="E23" s="204"/>
      <c r="F23" s="204"/>
      <c r="G23" s="204"/>
      <c r="H23" s="101" t="s">
        <v>47</v>
      </c>
      <c r="I23" s="103" t="str">
        <f>+'Necesidades Trimestrales'!F21</f>
        <v>FRASCO</v>
      </c>
      <c r="J23" s="104">
        <f>+'Necesidades Trimestrales'!H21</f>
        <v>320</v>
      </c>
      <c r="K23" s="105">
        <v>1</v>
      </c>
    </row>
    <row r="24" spans="1:11" ht="32.25" customHeight="1" thickBot="1" x14ac:dyDescent="0.25">
      <c r="A24" s="101">
        <v>13</v>
      </c>
      <c r="B24" s="102" t="str">
        <f>+'Necesidades Trimestrales'!B22</f>
        <v>2.5.2-1821.389</v>
      </c>
      <c r="C24" s="203" t="str">
        <f>+'Necesidades Trimestrales'!E22</f>
        <v>ANTIBIOTICOS P/PERSONAS; TIPO: ASOCIACION, DROGA GENERICA: AMPICILINA + SULBACTAN, FORMA FARMACEUTICA: FRASCO AMPOLLA, PRESENTACION: ENVASE X 1,5 GR</v>
      </c>
      <c r="D24" s="204"/>
      <c r="E24" s="204"/>
      <c r="F24" s="204"/>
      <c r="G24" s="204"/>
      <c r="H24" s="101" t="s">
        <v>47</v>
      </c>
      <c r="I24" s="103" t="str">
        <f>+'Necesidades Trimestrales'!F22</f>
        <v>AMPOLLA</v>
      </c>
      <c r="J24" s="104">
        <f>+'Necesidades Trimestrales'!H22</f>
        <v>145</v>
      </c>
      <c r="K24" s="105">
        <v>1</v>
      </c>
    </row>
    <row r="25" spans="1:11" ht="32.25" customHeight="1" thickBot="1" x14ac:dyDescent="0.25">
      <c r="A25" s="101">
        <v>14</v>
      </c>
      <c r="B25" s="102" t="str">
        <f>+'Necesidades Trimestrales'!B23</f>
        <v>2.5.2-1821.8</v>
      </c>
      <c r="C25" s="203" t="str">
        <f>+'Necesidades Trimestrales'!E23</f>
        <v>ANTIBIOTICOS P/PERSONAS; TIPO: MONODROGA, DROGA GENERICA: AMPICILINA, FORMA FARMACEUTICA: AMPOLLA, PRESENTACION: 1 GR</v>
      </c>
      <c r="D25" s="204"/>
      <c r="E25" s="204"/>
      <c r="F25" s="204"/>
      <c r="G25" s="204"/>
      <c r="H25" s="101" t="s">
        <v>47</v>
      </c>
      <c r="I25" s="103" t="str">
        <f>+'Necesidades Trimestrales'!F23</f>
        <v>AMPOLLA</v>
      </c>
      <c r="J25" s="104">
        <f>+'Necesidades Trimestrales'!H23</f>
        <v>99</v>
      </c>
      <c r="K25" s="105">
        <v>1</v>
      </c>
    </row>
    <row r="26" spans="1:11" ht="32.25" customHeight="1" thickBot="1" x14ac:dyDescent="0.25">
      <c r="A26" s="101">
        <v>15</v>
      </c>
      <c r="B26" s="102" t="str">
        <f>+'Necesidades Trimestrales'!B24</f>
        <v>2.5.2-1821.5</v>
      </c>
      <c r="C26" s="203" t="str">
        <f>+'Necesidades Trimestrales'!E24</f>
        <v>ANTIBIOTICOS P/PERSONAS; TIPO: MONODROGA, DROGA GENERICA: AMPICILINA, FORMA FARMACEUTICA: COMPRIMIDOS, PRESENTACION: 500 mGr</v>
      </c>
      <c r="D26" s="204"/>
      <c r="E26" s="204"/>
      <c r="F26" s="204"/>
      <c r="G26" s="204"/>
      <c r="H26" s="101" t="s">
        <v>47</v>
      </c>
      <c r="I26" s="103" t="str">
        <f>+'Necesidades Trimestrales'!F24</f>
        <v>COMPRIMIDO</v>
      </c>
      <c r="J26" s="104">
        <f>+'Necesidades Trimestrales'!H24</f>
        <v>22</v>
      </c>
      <c r="K26" s="105">
        <v>1</v>
      </c>
    </row>
    <row r="27" spans="1:11" ht="32.25" customHeight="1" thickBot="1" x14ac:dyDescent="0.25">
      <c r="A27" s="101">
        <v>16</v>
      </c>
      <c r="B27" s="102" t="str">
        <f>+'Necesidades Trimestrales'!B25</f>
        <v>2.5.2-1823.113</v>
      </c>
      <c r="C27" s="203" t="str">
        <f>+'Necesidades Trimestrales'!E25</f>
        <v>ANTIMICOTICOS; DROGA GENERICA: ANFOTERICINA B LIPOSOMAL, FORMA FARMACEUTICA: AMPOLLA, PRESENTACION: 50 MGR, TIPO: MONODROGA</v>
      </c>
      <c r="D27" s="204"/>
      <c r="E27" s="204"/>
      <c r="F27" s="204"/>
      <c r="G27" s="204"/>
      <c r="H27" s="101" t="s">
        <v>47</v>
      </c>
      <c r="I27" s="103" t="str">
        <f>+'Necesidades Trimestrales'!F25</f>
        <v>AMPOLLA</v>
      </c>
      <c r="J27" s="104">
        <f>+'Necesidades Trimestrales'!H25</f>
        <v>29500</v>
      </c>
      <c r="K27" s="105">
        <v>1</v>
      </c>
    </row>
    <row r="28" spans="1:11" ht="32.25" customHeight="1" thickBot="1" x14ac:dyDescent="0.25">
      <c r="A28" s="101">
        <v>17</v>
      </c>
      <c r="B28" s="102" t="str">
        <f>+'Necesidades Trimestrales'!B26</f>
        <v>2.5.2-1823.1</v>
      </c>
      <c r="C28" s="203" t="str">
        <f>+'Necesidades Trimestrales'!E26</f>
        <v>ANTIMICOTICOS; DROGA GENERICA: ANFOTERICINA B, FORMA FARMACEUTICA: AMPOLLA, PRESENTACION: 50 mGr, TIPO: MONODROGA</v>
      </c>
      <c r="D28" s="204"/>
      <c r="E28" s="204"/>
      <c r="F28" s="204"/>
      <c r="G28" s="204"/>
      <c r="H28" s="101" t="s">
        <v>47</v>
      </c>
      <c r="I28" s="103" t="str">
        <f>+'Necesidades Trimestrales'!F26</f>
        <v>AMPOLLA</v>
      </c>
      <c r="J28" s="104">
        <f>+'Necesidades Trimestrales'!H26</f>
        <v>795</v>
      </c>
      <c r="K28" s="105">
        <v>1</v>
      </c>
    </row>
    <row r="29" spans="1:11" ht="32.25" customHeight="1" thickBot="1" x14ac:dyDescent="0.25">
      <c r="A29" s="101">
        <v>18</v>
      </c>
      <c r="B29" s="102" t="str">
        <f>+'Necesidades Trimestrales'!B27</f>
        <v>2.5.2-1821.502</v>
      </c>
      <c r="C29" s="203" t="str">
        <f>+'Necesidades Trimestrales'!E27</f>
        <v>ANTIBIOTICOS P/PERSONAS; TIPO: MONODROGA, DROGA GENERICA: AZITROMICINA 200 mGr, FORMA FARMACEUTICA: SUSPENSION, PRESENTACION: ENVASE X 15 Ml</v>
      </c>
      <c r="D29" s="204"/>
      <c r="E29" s="204"/>
      <c r="F29" s="204"/>
      <c r="G29" s="204"/>
      <c r="H29" s="101" t="s">
        <v>47</v>
      </c>
      <c r="I29" s="103" t="str">
        <f>+'Necesidades Trimestrales'!F27</f>
        <v>FRASCO</v>
      </c>
      <c r="J29" s="104">
        <f>+'Necesidades Trimestrales'!H27</f>
        <v>562.5</v>
      </c>
      <c r="K29" s="105">
        <v>1</v>
      </c>
    </row>
    <row r="30" spans="1:11" ht="32.25" customHeight="1" thickBot="1" x14ac:dyDescent="0.25">
      <c r="A30" s="101">
        <v>19</v>
      </c>
      <c r="B30" s="102" t="str">
        <f>+'Necesidades Trimestrales'!B28</f>
        <v>2.5.2-2199.16</v>
      </c>
      <c r="C30" s="203" t="str">
        <f>+'Necesidades Trimestrales'!E28</f>
        <v>BLOQUEANTES NEUROMUSCULARES; DROGA GENERICA: ATRACURIO, FORMA FARMACEUTICA: AMPOLLA, PRESENTACION: 50 mGr, TIPO: MONODROGA</v>
      </c>
      <c r="D30" s="204"/>
      <c r="E30" s="204"/>
      <c r="F30" s="204"/>
      <c r="G30" s="204"/>
      <c r="H30" s="101" t="s">
        <v>47</v>
      </c>
      <c r="I30" s="103" t="str">
        <f>+'Necesidades Trimestrales'!F28</f>
        <v>AMPOLLA</v>
      </c>
      <c r="J30" s="104">
        <f>+'Necesidades Trimestrales'!H28</f>
        <v>259</v>
      </c>
      <c r="K30" s="105">
        <v>1</v>
      </c>
    </row>
    <row r="31" spans="1:11" ht="32.25" customHeight="1" thickBot="1" x14ac:dyDescent="0.25">
      <c r="A31" s="101">
        <v>20</v>
      </c>
      <c r="B31" s="102" t="str">
        <f>+'Necesidades Trimestrales'!B29</f>
        <v>2.5.2-1821.94</v>
      </c>
      <c r="C31" s="203" t="str">
        <f>+'Necesidades Trimestrales'!E29</f>
        <v>ANTIBIOTICOS P/PERSONAS; TIPO: MONODROGA, DROGA GENERICA: AZITROMICINA, FORMA FARMACEUTICA: COMPRIMIDO, PRESENTACION: 500 mGr</v>
      </c>
      <c r="D31" s="204"/>
      <c r="E31" s="204"/>
      <c r="F31" s="204"/>
      <c r="G31" s="204"/>
      <c r="H31" s="101" t="s">
        <v>47</v>
      </c>
      <c r="I31" s="103" t="str">
        <f>+'Necesidades Trimestrales'!F29</f>
        <v>COMPRIMIDO</v>
      </c>
      <c r="J31" s="104">
        <f>+'Necesidades Trimestrales'!H29</f>
        <v>37.450000000000003</v>
      </c>
      <c r="K31" s="105">
        <v>1</v>
      </c>
    </row>
    <row r="32" spans="1:11" ht="32.25" customHeight="1" thickBot="1" x14ac:dyDescent="0.25">
      <c r="A32" s="101">
        <v>21</v>
      </c>
      <c r="B32" s="102" t="str">
        <f>+'Necesidades Trimestrales'!B30</f>
        <v>2.5.2-1837.19</v>
      </c>
      <c r="C32" s="203" t="str">
        <f>+'Necesidades Trimestrales'!E30</f>
        <v>HIPOTENSORES; TIPO: MONODROGA, DROGA GENERICA: BACLOFENO, FORMA FARMACEUTICA: COMPRIMIDO, PRESENTACION: 10 mGr</v>
      </c>
      <c r="D32" s="204"/>
      <c r="E32" s="204"/>
      <c r="F32" s="204"/>
      <c r="G32" s="204"/>
      <c r="H32" s="101" t="s">
        <v>47</v>
      </c>
      <c r="I32" s="103" t="str">
        <f>+'Necesidades Trimestrales'!F30</f>
        <v>COMPRIMIDO</v>
      </c>
      <c r="J32" s="104">
        <f>+'Necesidades Trimestrales'!H30</f>
        <v>16</v>
      </c>
      <c r="K32" s="105">
        <v>1</v>
      </c>
    </row>
    <row r="33" spans="1:11" ht="32.25" customHeight="1" thickBot="1" x14ac:dyDescent="0.25">
      <c r="A33" s="101">
        <v>22</v>
      </c>
      <c r="B33" s="102" t="str">
        <f>+'Necesidades Trimestrales'!B31</f>
        <v>2.5.2-1726.523</v>
      </c>
      <c r="C33" s="203" t="str">
        <f>+'Necesidades Trimestrales'!E31</f>
        <v>SOLUCIONES P/MEDICINA; TIPO: SULFATO DE BARIO, PRESENTACION: ENVASE SUSPENSION X 225 ML</v>
      </c>
      <c r="D33" s="204"/>
      <c r="E33" s="204"/>
      <c r="F33" s="204"/>
      <c r="G33" s="204"/>
      <c r="H33" s="101" t="s">
        <v>333</v>
      </c>
      <c r="I33" s="103" t="str">
        <f>+'Necesidades Trimestrales'!F31</f>
        <v>FRASCO</v>
      </c>
      <c r="J33" s="104">
        <f>+'Necesidades Trimestrales'!H31</f>
        <v>9664.2800000000007</v>
      </c>
      <c r="K33" s="105">
        <v>1</v>
      </c>
    </row>
    <row r="34" spans="1:11" ht="32.25" customHeight="1" thickBot="1" x14ac:dyDescent="0.25">
      <c r="A34" s="101">
        <v>23</v>
      </c>
      <c r="B34" s="102" t="str">
        <f>+'Necesidades Trimestrales'!B32</f>
        <v>2.5.2-1726.524</v>
      </c>
      <c r="C34" s="203" t="str">
        <f>+'Necesidades Trimestrales'!E32</f>
        <v>SOLUCIONES P/MEDICINA; TIPO: SULFATO DE BARIO, PRESENTACION: ENVASE SUSPENSION PARA ENEMA X 500 ML</v>
      </c>
      <c r="D34" s="204"/>
      <c r="E34" s="204"/>
      <c r="F34" s="204"/>
      <c r="G34" s="204"/>
      <c r="H34" s="101" t="s">
        <v>333</v>
      </c>
      <c r="I34" s="103" t="str">
        <f>+'Necesidades Trimestrales'!F32</f>
        <v>FRASCO</v>
      </c>
      <c r="J34" s="104">
        <f>+'Necesidades Trimestrales'!H32</f>
        <v>16740</v>
      </c>
      <c r="K34" s="105">
        <v>1</v>
      </c>
    </row>
    <row r="35" spans="1:11" ht="32.25" customHeight="1" thickBot="1" x14ac:dyDescent="0.25">
      <c r="A35" s="101">
        <v>24</v>
      </c>
      <c r="B35" s="102" t="str">
        <f>+'Necesidades Trimestrales'!B33</f>
        <v>2.5.2-1726.525</v>
      </c>
      <c r="C35" s="203" t="str">
        <f>+'Necesidades Trimestrales'!E33</f>
        <v>SOLUCIONES P/MEDICINA; TIPO: SULFATO DE BARIO, PRESENTACION: ENVASE SUSPENSION ORAL X 300 ML</v>
      </c>
      <c r="D35" s="204"/>
      <c r="E35" s="204"/>
      <c r="F35" s="204"/>
      <c r="G35" s="204"/>
      <c r="H35" s="101" t="s">
        <v>333</v>
      </c>
      <c r="I35" s="103" t="str">
        <f>+'Necesidades Trimestrales'!F33</f>
        <v>FRASCO</v>
      </c>
      <c r="J35" s="104">
        <f>+'Necesidades Trimestrales'!H33</f>
        <v>10347.39</v>
      </c>
      <c r="K35" s="105">
        <v>1</v>
      </c>
    </row>
    <row r="36" spans="1:11" ht="32.25" customHeight="1" thickBot="1" x14ac:dyDescent="0.25">
      <c r="A36" s="101">
        <v>25</v>
      </c>
      <c r="B36" s="102" t="str">
        <f>+'Necesidades Trimestrales'!B34</f>
        <v>2.5.2-1883.139</v>
      </c>
      <c r="C36" s="203" t="str">
        <f>+'Necesidades Trimestrales'!E34</f>
        <v>ANESTESICOS LOCALES; TIPO: ASOCIACION, DROGA GENERICA: BUPIVACAINA 0,5 % C/EPINEFRINA, FORMA FARMACEUTICA: FRASCO AMPOLLA, PRESENTACION: ENVASE X 20 mL</v>
      </c>
      <c r="D36" s="204"/>
      <c r="E36" s="204"/>
      <c r="F36" s="204"/>
      <c r="G36" s="204"/>
      <c r="H36" s="101" t="s">
        <v>47</v>
      </c>
      <c r="I36" s="103" t="str">
        <f>+'Necesidades Trimestrales'!F34</f>
        <v>FRASCO</v>
      </c>
      <c r="J36" s="104">
        <f>+'Necesidades Trimestrales'!H34</f>
        <v>3100</v>
      </c>
      <c r="K36" s="105">
        <v>1</v>
      </c>
    </row>
    <row r="37" spans="1:11" ht="32.25" customHeight="1" thickBot="1" x14ac:dyDescent="0.25">
      <c r="A37" s="101">
        <v>26</v>
      </c>
      <c r="B37" s="102" t="str">
        <f>+'Necesidades Trimestrales'!B35</f>
        <v>2.5.2-1883.24</v>
      </c>
      <c r="C37" s="203" t="str">
        <f>+'Necesidades Trimestrales'!E35</f>
        <v>ANESTESICOS LOCALES; TIPO: MONODROGA, DROGA GENERICA: BUPIVACAINA 0,5 %, FORMA FARMACEUTICA: FRASCO, PRESENTACION: 20 mL</v>
      </c>
      <c r="D37" s="204"/>
      <c r="E37" s="204"/>
      <c r="F37" s="204"/>
      <c r="G37" s="204"/>
      <c r="H37" s="101" t="s">
        <v>333</v>
      </c>
      <c r="I37" s="103" t="str">
        <f>+'Necesidades Trimestrales'!F35</f>
        <v>FRASCO</v>
      </c>
      <c r="J37" s="104">
        <f>+'Necesidades Trimestrales'!H35</f>
        <v>350</v>
      </c>
      <c r="K37" s="105">
        <v>1</v>
      </c>
    </row>
    <row r="38" spans="1:11" ht="32.25" customHeight="1" thickBot="1" x14ac:dyDescent="0.25">
      <c r="A38" s="101">
        <v>27</v>
      </c>
      <c r="B38" s="102" t="str">
        <f>+'Necesidades Trimestrales'!B36</f>
        <v>2.5.2-1883.188</v>
      </c>
      <c r="C38" s="203" t="str">
        <f>+'Necesidades Trimestrales'!E36</f>
        <v>ANESTESICOS LOCALES; TIPO: MONODROGA, DROGA GENERICA: BUPIVACAINA 0,5% HIPERBARICA, FORMA FARMACEUTICA: AMPOLLA, PRESENTACION: 4 ML CON AGUJA 27 G X 3 1/2 CON INTRODUCTOR</v>
      </c>
      <c r="D38" s="204"/>
      <c r="E38" s="204"/>
      <c r="F38" s="204"/>
      <c r="G38" s="204"/>
      <c r="H38" s="101" t="s">
        <v>47</v>
      </c>
      <c r="I38" s="103" t="str">
        <f>+'Necesidades Trimestrales'!F36</f>
        <v>AMPOLLA</v>
      </c>
      <c r="J38" s="104">
        <f>+'Necesidades Trimestrales'!H36</f>
        <v>1420</v>
      </c>
      <c r="K38" s="105">
        <v>1</v>
      </c>
    </row>
    <row r="39" spans="1:11" ht="32.25" customHeight="1" thickBot="1" x14ac:dyDescent="0.25">
      <c r="A39" s="101">
        <v>28</v>
      </c>
      <c r="B39" s="102" t="str">
        <f>+'Necesidades Trimestrales'!B37</f>
        <v>2.5.2-1821.321</v>
      </c>
      <c r="C39" s="203" t="str">
        <f>+'Necesidades Trimestrales'!E37</f>
        <v>ANTIBIOTICOS P/PERSONAS; TIPO: MONODROGA, DROGA GENERICA: CEFALEXINA 500 mGr, FORMA FARMACEUTICA: COMPRIMIDO, PRESENTACION: 1 UN</v>
      </c>
      <c r="D39" s="204"/>
      <c r="E39" s="204"/>
      <c r="F39" s="204"/>
      <c r="G39" s="204"/>
      <c r="H39" s="101" t="s">
        <v>47</v>
      </c>
      <c r="I39" s="103" t="str">
        <f>+'Necesidades Trimestrales'!F37</f>
        <v>COMPRIMIDO</v>
      </c>
      <c r="J39" s="104">
        <f>+'Necesidades Trimestrales'!H37</f>
        <v>15.3</v>
      </c>
      <c r="K39" s="105">
        <v>1</v>
      </c>
    </row>
    <row r="40" spans="1:11" ht="32.25" customHeight="1" thickBot="1" x14ac:dyDescent="0.25">
      <c r="A40" s="101">
        <v>29</v>
      </c>
      <c r="B40" s="102" t="str">
        <f>+'Necesidades Trimestrales'!B38</f>
        <v>2.5.2-1821.337</v>
      </c>
      <c r="C40" s="203" t="str">
        <f>+'Necesidades Trimestrales'!E38</f>
        <v>ANTIBIOTICOS P/PERSONAS; TIPO: MONODROGA, DROGA GENERICA: CEFALEXINA 500MG, FORMA FARMACEUTICA: SUSPENSION, PRESENTACION: ENVASE X 90 mL</v>
      </c>
      <c r="D40" s="204"/>
      <c r="E40" s="204"/>
      <c r="F40" s="204"/>
      <c r="G40" s="204"/>
      <c r="H40" s="101" t="s">
        <v>47</v>
      </c>
      <c r="I40" s="103" t="str">
        <f>+'Necesidades Trimestrales'!F38</f>
        <v>FRASCO</v>
      </c>
      <c r="J40" s="104">
        <f>+'Necesidades Trimestrales'!H38</f>
        <v>298</v>
      </c>
      <c r="K40" s="105">
        <v>1</v>
      </c>
    </row>
    <row r="41" spans="1:11" ht="32.25" customHeight="1" thickBot="1" x14ac:dyDescent="0.25">
      <c r="A41" s="101">
        <v>30</v>
      </c>
      <c r="B41" s="102" t="str">
        <f>+'Necesidades Trimestrales'!B39</f>
        <v>2.5.2-1821.405</v>
      </c>
      <c r="C41" s="203" t="str">
        <f>+'Necesidades Trimestrales'!E39</f>
        <v>ANTIBIOTICOS P/PERSONAS; TIPO: MONODROGA, DROGA GENERICA: CEFALOTINA SODICA, FORMA FARMACEUTICA: FRASCO AMPOLLA, PRESENTACION: 1 GR</v>
      </c>
      <c r="D41" s="204"/>
      <c r="E41" s="204"/>
      <c r="F41" s="204"/>
      <c r="G41" s="204"/>
      <c r="H41" s="101" t="s">
        <v>47</v>
      </c>
      <c r="I41" s="103" t="str">
        <f>+'Necesidades Trimestrales'!F39</f>
        <v>AMPOLLA</v>
      </c>
      <c r="J41" s="104">
        <f>+'Necesidades Trimestrales'!H39</f>
        <v>145</v>
      </c>
      <c r="K41" s="105">
        <v>1</v>
      </c>
    </row>
    <row r="42" spans="1:11" ht="32.25" customHeight="1" thickBot="1" x14ac:dyDescent="0.25">
      <c r="A42" s="101">
        <v>31</v>
      </c>
      <c r="B42" s="102" t="str">
        <f>+'Necesidades Trimestrales'!B40</f>
        <v>2.5.2-1821.62</v>
      </c>
      <c r="C42" s="203" t="str">
        <f>+'Necesidades Trimestrales'!E40</f>
        <v>ANTIBIOTICOS P/PERSONAS; TIPO: MONODROGA, DROGA GENERICA: CEFAZOLINA, FORMA FARMACEUTICA: AMPOLLA, PRESENTACION: 1 GR</v>
      </c>
      <c r="D42" s="204"/>
      <c r="E42" s="204"/>
      <c r="F42" s="204"/>
      <c r="G42" s="204"/>
      <c r="H42" s="101" t="s">
        <v>47</v>
      </c>
      <c r="I42" s="103" t="str">
        <f>+'Necesidades Trimestrales'!F40</f>
        <v>AMPOLLA</v>
      </c>
      <c r="J42" s="104">
        <f>+'Necesidades Trimestrales'!H40</f>
        <v>148</v>
      </c>
      <c r="K42" s="105">
        <v>1</v>
      </c>
    </row>
    <row r="43" spans="1:11" ht="32.25" customHeight="1" thickBot="1" x14ac:dyDescent="0.25">
      <c r="A43" s="101">
        <v>32</v>
      </c>
      <c r="B43" s="102" t="str">
        <f>+'Necesidades Trimestrales'!B41</f>
        <v>2.5.2-1821.384</v>
      </c>
      <c r="C43" s="203" t="str">
        <f>+'Necesidades Trimestrales'!E41</f>
        <v>ANTIBIOTICOS P/PERSONAS; TIPO: MONODROGA, DROGA GENERICA: CEFTAZIDIMA, FORMA FARMACEUTICA: FRASCO AMPOLLA, PRESENTACION: ENVASE X 1 GR</v>
      </c>
      <c r="D43" s="204"/>
      <c r="E43" s="204"/>
      <c r="F43" s="204"/>
      <c r="G43" s="204"/>
      <c r="H43" s="101" t="s">
        <v>47</v>
      </c>
      <c r="I43" s="103" t="str">
        <f>+'Necesidades Trimestrales'!F41</f>
        <v>AMPOLLA</v>
      </c>
      <c r="J43" s="104">
        <f>+'Necesidades Trimestrales'!H41</f>
        <v>144</v>
      </c>
      <c r="K43" s="105">
        <v>1</v>
      </c>
    </row>
    <row r="44" spans="1:11" ht="32.25" customHeight="1" thickBot="1" x14ac:dyDescent="0.25">
      <c r="A44" s="101">
        <v>33</v>
      </c>
      <c r="B44" s="102" t="str">
        <f>+'Necesidades Trimestrales'!B42</f>
        <v>2.5.2-1821.214</v>
      </c>
      <c r="C44" s="203" t="str">
        <f>+'Necesidades Trimestrales'!E42</f>
        <v>ANTIBIOTICOS P/PERSONAS; TIPO: MONODROGA, DROGA GENERICA: CEFTRIAXONA, FORMA FARMACEUTICA: FRASCO AMPOLLA, PRESENTACION: 1 GR</v>
      </c>
      <c r="D44" s="204"/>
      <c r="E44" s="204"/>
      <c r="F44" s="204"/>
      <c r="G44" s="204"/>
      <c r="H44" s="101" t="s">
        <v>47</v>
      </c>
      <c r="I44" s="103" t="str">
        <f>+'Necesidades Trimestrales'!F42</f>
        <v>AMPOLLA</v>
      </c>
      <c r="J44" s="104">
        <f>+'Necesidades Trimestrales'!H42</f>
        <v>105</v>
      </c>
      <c r="K44" s="105">
        <v>1</v>
      </c>
    </row>
    <row r="45" spans="1:11" ht="32.25" customHeight="1" thickBot="1" x14ac:dyDescent="0.25">
      <c r="A45" s="101">
        <v>34</v>
      </c>
      <c r="B45" s="102" t="str">
        <f>+'Necesidades Trimestrales'!B43</f>
        <v>2.5.2-1821.222</v>
      </c>
      <c r="C45" s="203" t="str">
        <f>+'Necesidades Trimestrales'!E43</f>
        <v>ANTIBIOTICOS P/PERSONAS; TIPO: MONODROGA, DROGA GENERICA: CEFUROXIMA, FORMA FARMACEUTICA: FRASCO AMPOLLA, PRESENTACION: 750 mGr</v>
      </c>
      <c r="D45" s="204"/>
      <c r="E45" s="204"/>
      <c r="F45" s="204"/>
      <c r="G45" s="204"/>
      <c r="H45" s="101" t="s">
        <v>47</v>
      </c>
      <c r="I45" s="103" t="str">
        <f>+'Necesidades Trimestrales'!F43</f>
        <v>AMPOLLA</v>
      </c>
      <c r="J45" s="104">
        <f>+'Necesidades Trimestrales'!H43</f>
        <v>351</v>
      </c>
      <c r="K45" s="105">
        <v>1</v>
      </c>
    </row>
    <row r="46" spans="1:11" ht="32.25" customHeight="1" thickBot="1" x14ac:dyDescent="0.25">
      <c r="A46" s="101">
        <v>35</v>
      </c>
      <c r="B46" s="102" t="str">
        <f>+'Necesidades Trimestrales'!B44</f>
        <v>2.5.2-1821.387</v>
      </c>
      <c r="C46" s="203" t="str">
        <f>+'Necesidades Trimestrales'!E44</f>
        <v>ANTIBIOTICOS P/PERSONAS; TIPO: MONODROGA, DROGA GENERICA: CIPROFLOXACINA, FORMA FARMACEUTICA: SACHET, PRESENTACION: ENVASE X 200 mGr</v>
      </c>
      <c r="D46" s="204"/>
      <c r="E46" s="204"/>
      <c r="F46" s="204"/>
      <c r="G46" s="204"/>
      <c r="H46" s="101" t="s">
        <v>47</v>
      </c>
      <c r="I46" s="103" t="str">
        <f>+'Necesidades Trimestrales'!F44</f>
        <v>SACHET</v>
      </c>
      <c r="J46" s="104">
        <f>+'Necesidades Trimestrales'!H44</f>
        <v>135</v>
      </c>
      <c r="K46" s="105">
        <v>1</v>
      </c>
    </row>
    <row r="47" spans="1:11" ht="32.25" customHeight="1" thickBot="1" x14ac:dyDescent="0.25">
      <c r="A47" s="101">
        <v>36</v>
      </c>
      <c r="B47" s="102" t="str">
        <f>+'Necesidades Trimestrales'!B45</f>
        <v>2.5.2-1821.46</v>
      </c>
      <c r="C47" s="203" t="str">
        <f>+'Necesidades Trimestrales'!E45</f>
        <v>ANTIBIOTICOS P/PERSONAS; TIPO: MONODROGA, FORMA FARMACEUTICA: COMPRIMIDO, PRESENTACION: 500 mGr, DROGA GENERICA: CIPROFLOXACINA</v>
      </c>
      <c r="D47" s="204"/>
      <c r="E47" s="204"/>
      <c r="F47" s="204"/>
      <c r="G47" s="204"/>
      <c r="H47" s="101" t="s">
        <v>47</v>
      </c>
      <c r="I47" s="103" t="str">
        <f>+'Necesidades Trimestrales'!F45</f>
        <v>COMPRIMIDO</v>
      </c>
      <c r="J47" s="104">
        <f>+'Necesidades Trimestrales'!H45</f>
        <v>11.5</v>
      </c>
      <c r="K47" s="105">
        <v>1</v>
      </c>
    </row>
    <row r="48" spans="1:11" ht="32.25" customHeight="1" thickBot="1" x14ac:dyDescent="0.25">
      <c r="A48" s="101">
        <v>37</v>
      </c>
      <c r="B48" s="102" t="str">
        <f>+'Necesidades Trimestrales'!B46</f>
        <v>2.5.2-1821.338</v>
      </c>
      <c r="C48" s="203" t="str">
        <f>+'Necesidades Trimestrales'!E46</f>
        <v>ANTIBIOTICOS P/PERSONAS; TIPO: MONODROGA, DROGA GENERICA: CLARITROMICINA 250MG, FORMA FARMACEUTICA: SUSPENSION, PRESENTACION: ENVASE X 90 mL</v>
      </c>
      <c r="D48" s="204"/>
      <c r="E48" s="204"/>
      <c r="F48" s="204"/>
      <c r="G48" s="204"/>
      <c r="H48" s="101" t="s">
        <v>47</v>
      </c>
      <c r="I48" s="103" t="str">
        <f>+'Necesidades Trimestrales'!F46</f>
        <v>FRASCO</v>
      </c>
      <c r="J48" s="104">
        <f>+'Necesidades Trimestrales'!H46</f>
        <v>1500</v>
      </c>
      <c r="K48" s="105">
        <v>1</v>
      </c>
    </row>
    <row r="49" spans="1:11" ht="32.25" customHeight="1" thickBot="1" x14ac:dyDescent="0.25">
      <c r="A49" s="101">
        <v>38</v>
      </c>
      <c r="B49" s="102" t="str">
        <f>+'Necesidades Trimestrales'!B47</f>
        <v>2.5.2-1821.37</v>
      </c>
      <c r="C49" s="203" t="str">
        <f>+'Necesidades Trimestrales'!E47</f>
        <v>ANTIBIOTICOS P/PERSONAS; TIPO: MONODROGA, DROGA GENERICA: CLARITROMICINA, FORMA FARMACEUTICA: COMPRIMIDO, PRESENTACION: 500 mGr</v>
      </c>
      <c r="D49" s="204"/>
      <c r="E49" s="204"/>
      <c r="F49" s="204"/>
      <c r="G49" s="204"/>
      <c r="H49" s="101" t="s">
        <v>47</v>
      </c>
      <c r="I49" s="103" t="str">
        <f>+'Necesidades Trimestrales'!F47</f>
        <v>COMPRIMIDO</v>
      </c>
      <c r="J49" s="104">
        <f>+'Necesidades Trimestrales'!H47</f>
        <v>35</v>
      </c>
      <c r="K49" s="105">
        <v>1</v>
      </c>
    </row>
    <row r="50" spans="1:11" ht="32.25" customHeight="1" thickBot="1" x14ac:dyDescent="0.25">
      <c r="A50" s="101">
        <v>39</v>
      </c>
      <c r="B50" s="102" t="str">
        <f>+'Necesidades Trimestrales'!B48</f>
        <v>2.5.2-1821.36</v>
      </c>
      <c r="C50" s="203" t="str">
        <f>+'Necesidades Trimestrales'!E48</f>
        <v>ANTIBIOTICOS P/PERSONAS; DROGA GENERICA: CLARITROMICINA, FORMA FARMACEUTICA: AMPOLLA, PRESENTACION: 500 mGr, TIPO: MONODROGA</v>
      </c>
      <c r="D50" s="204"/>
      <c r="E50" s="204"/>
      <c r="F50" s="204"/>
      <c r="G50" s="204"/>
      <c r="H50" s="101" t="s">
        <v>47</v>
      </c>
      <c r="I50" s="103" t="str">
        <f>+'Necesidades Trimestrales'!F48</f>
        <v>AMPOLLA</v>
      </c>
      <c r="J50" s="104">
        <f>+'Necesidades Trimestrales'!H48</f>
        <v>690</v>
      </c>
      <c r="K50" s="105">
        <v>1</v>
      </c>
    </row>
    <row r="51" spans="1:11" ht="32.25" customHeight="1" thickBot="1" x14ac:dyDescent="0.25">
      <c r="A51" s="101">
        <v>40</v>
      </c>
      <c r="B51" s="102" t="str">
        <f>+'Necesidades Trimestrales'!B49</f>
        <v>2.5.2-1821.42</v>
      </c>
      <c r="C51" s="203" t="str">
        <f>+'Necesidades Trimestrales'!E49</f>
        <v>ANTIBIOTICOS P/PERSONAS; TIPO: MONODROGA, DROGA GENERICA: CLINDAMICINA, FORMA FARMACEUTICA: COMPRIMIDO, PRESENTACION: 300 mGr</v>
      </c>
      <c r="D51" s="204"/>
      <c r="E51" s="204"/>
      <c r="F51" s="204"/>
      <c r="G51" s="204"/>
      <c r="H51" s="101" t="s">
        <v>47</v>
      </c>
      <c r="I51" s="103" t="str">
        <f>+'Necesidades Trimestrales'!F49</f>
        <v>CAPSULAS</v>
      </c>
      <c r="J51" s="104">
        <f>+'Necesidades Trimestrales'!H49</f>
        <v>29</v>
      </c>
      <c r="K51" s="105">
        <v>1</v>
      </c>
    </row>
    <row r="52" spans="1:11" ht="32.25" customHeight="1" thickBot="1" x14ac:dyDescent="0.25">
      <c r="A52" s="101">
        <v>41</v>
      </c>
      <c r="B52" s="102" t="str">
        <f>+'Necesidades Trimestrales'!B50</f>
        <v>2.5.2-1821.43</v>
      </c>
      <c r="C52" s="203" t="str">
        <f>+'Necesidades Trimestrales'!E50</f>
        <v>ANTIBIOTICOS P/PERSONAS; TIPO: MONODROGA, DROGA GENERICA: CLINDAMICINA, FORMA FARMACEUTICA: AMPOLLA, PRESENTACION: 600 mGr</v>
      </c>
      <c r="D52" s="204"/>
      <c r="E52" s="204"/>
      <c r="F52" s="204"/>
      <c r="G52" s="204"/>
      <c r="H52" s="101" t="s">
        <v>47</v>
      </c>
      <c r="I52" s="103" t="str">
        <f>+'Necesidades Trimestrales'!F50</f>
        <v>AMPOLLA</v>
      </c>
      <c r="J52" s="104">
        <f>+'Necesidades Trimestrales'!H50</f>
        <v>85</v>
      </c>
      <c r="K52" s="105">
        <v>1</v>
      </c>
    </row>
    <row r="53" spans="1:11" ht="32.25" customHeight="1" thickBot="1" x14ac:dyDescent="0.25">
      <c r="A53" s="101">
        <v>42</v>
      </c>
      <c r="B53" s="102" t="str">
        <f>+'Necesidades Trimestrales'!B51</f>
        <v>2.5.2-1821.234</v>
      </c>
      <c r="C53" s="203" t="str">
        <f>+'Necesidades Trimestrales'!E51</f>
        <v>ANTIBIOTICOS P/PERSONAS; TIPO: MONODROGA, DROGA GENERICA: COLISTINA 100 MG, FORMA FARMACEUTICA: FRASCO AMPOLLA, PRESENTACION: 100 mGr</v>
      </c>
      <c r="D53" s="204"/>
      <c r="E53" s="204"/>
      <c r="F53" s="204"/>
      <c r="G53" s="204"/>
      <c r="H53" s="101" t="s">
        <v>47</v>
      </c>
      <c r="I53" s="103" t="str">
        <f>+'Necesidades Trimestrales'!F51</f>
        <v>AMPOLLA</v>
      </c>
      <c r="J53" s="104">
        <f>+'Necesidades Trimestrales'!H51</f>
        <v>451</v>
      </c>
      <c r="K53" s="105">
        <v>1</v>
      </c>
    </row>
    <row r="54" spans="1:11" ht="32.25" customHeight="1" thickBot="1" x14ac:dyDescent="0.25">
      <c r="A54" s="101">
        <v>43</v>
      </c>
      <c r="B54" s="102" t="str">
        <f>+'Necesidades Trimestrales'!B52</f>
        <v>2.5.2-1726.526</v>
      </c>
      <c r="C54" s="203" t="str">
        <f>+'Necesidades Trimestrales'!E52</f>
        <v>SOLUCIONES P/MEDICINA; TIPO: CONTRASTE RADIOLOGICO NO IONICO, PRESENTACION: ENVASE X 50 ML</v>
      </c>
      <c r="D54" s="204"/>
      <c r="E54" s="204"/>
      <c r="F54" s="204"/>
      <c r="G54" s="204"/>
      <c r="H54" s="101" t="s">
        <v>333</v>
      </c>
      <c r="I54" s="103" t="str">
        <f>+'Necesidades Trimestrales'!F52</f>
        <v>FRASCO</v>
      </c>
      <c r="J54" s="104">
        <f>+'Necesidades Trimestrales'!H52</f>
        <v>1850</v>
      </c>
      <c r="K54" s="105">
        <v>1</v>
      </c>
    </row>
    <row r="55" spans="1:11" ht="32.25" customHeight="1" thickBot="1" x14ac:dyDescent="0.25">
      <c r="A55" s="101">
        <v>44</v>
      </c>
      <c r="B55" s="102" t="str">
        <f>+'Necesidades Trimestrales'!B53</f>
        <v>2.5.2-1821.525</v>
      </c>
      <c r="C55" s="203" t="str">
        <f>+'Necesidades Trimestrales'!E53</f>
        <v>ANTIBIOTICOS P/PERSONAS; TIPO: MONODROGA, DROGA GENERICA: COTRIMOXAZOL, FORMA FARMACEUTICA: AMPOLLA, PRESENTACION: 80 MG/ 400 MG</v>
      </c>
      <c r="D55" s="204"/>
      <c r="E55" s="204"/>
      <c r="F55" s="204"/>
      <c r="G55" s="204"/>
      <c r="H55" s="101" t="s">
        <v>47</v>
      </c>
      <c r="I55" s="103" t="str">
        <f>+'Necesidades Trimestrales'!F53</f>
        <v>AMPOLLA</v>
      </c>
      <c r="J55" s="104">
        <f>+'Necesidades Trimestrales'!H53</f>
        <v>135</v>
      </c>
      <c r="K55" s="105">
        <v>1</v>
      </c>
    </row>
    <row r="56" spans="1:11" ht="32.25" customHeight="1" thickBot="1" x14ac:dyDescent="0.25">
      <c r="A56" s="101">
        <v>45</v>
      </c>
      <c r="B56" s="102" t="str">
        <f>+'Necesidades Trimestrales'!B54</f>
        <v>2.5.2-1821.526</v>
      </c>
      <c r="C56" s="203" t="str">
        <f>+'Necesidades Trimestrales'!E54</f>
        <v>ANTIBIOTICOS P/PERSONAS; TIPO: MONODROGA, DROGA GENERICA: COTRIMOXAZOL, FORMA FARMACEUTICA: COMPRIMIDO, PRESENTACION: 160 MG/ 800 MG</v>
      </c>
      <c r="D56" s="204"/>
      <c r="E56" s="204"/>
      <c r="F56" s="204"/>
      <c r="G56" s="204"/>
      <c r="H56" s="101" t="s">
        <v>47</v>
      </c>
      <c r="I56" s="103" t="str">
        <f>+'Necesidades Trimestrales'!F54</f>
        <v>COMPRIMIDO</v>
      </c>
      <c r="J56" s="104">
        <f>+'Necesidades Trimestrales'!H54</f>
        <v>15.8</v>
      </c>
      <c r="K56" s="105">
        <v>1</v>
      </c>
    </row>
    <row r="57" spans="1:11" ht="32.25" customHeight="1" thickBot="1" x14ac:dyDescent="0.25">
      <c r="A57" s="101">
        <v>46</v>
      </c>
      <c r="B57" s="102" t="str">
        <f>+'Necesidades Trimestrales'!B55</f>
        <v>2.5.2-1821.527</v>
      </c>
      <c r="C57" s="203" t="str">
        <f>+'Necesidades Trimestrales'!E55</f>
        <v>ANTIBIOTICOS P/PERSONAS; TIPO: MONODROGA, DROGA GENERICA: COTRIMOXAZOL, FORMA FARMACEUTICA: SUSPENSIÓN X 60 ML, PRESENTACION: 40MG/200 MG</v>
      </c>
      <c r="D57" s="204"/>
      <c r="E57" s="204"/>
      <c r="F57" s="204"/>
      <c r="G57" s="204"/>
      <c r="H57" s="101" t="s">
        <v>47</v>
      </c>
      <c r="I57" s="103" t="str">
        <f>+'Necesidades Trimestrales'!F55</f>
        <v>FRASCO</v>
      </c>
      <c r="J57" s="104">
        <f>+'Necesidades Trimestrales'!H55</f>
        <v>365</v>
      </c>
      <c r="K57" s="105">
        <v>1</v>
      </c>
    </row>
    <row r="58" spans="1:11" ht="32.25" customHeight="1" thickBot="1" x14ac:dyDescent="0.25">
      <c r="A58" s="101">
        <v>47</v>
      </c>
      <c r="B58" s="102" t="str">
        <f>+'Necesidades Trimestrales'!B56</f>
        <v>2.5.2-1724.241</v>
      </c>
      <c r="C58" s="203" t="str">
        <f>+'Necesidades Trimestrales'!E56</f>
        <v>ANALGESICOS; TIPO: MONODROGA, DROGA GENERICA: DANTROLENO SODICO, FORMA FARMACEUTICA: AMPOLLAS, PRESENTACION: 20 MG/60 ML KIT X 12 FRASCOS</v>
      </c>
      <c r="D58" s="204"/>
      <c r="E58" s="204"/>
      <c r="F58" s="204"/>
      <c r="G58" s="204"/>
      <c r="H58" s="101" t="s">
        <v>47</v>
      </c>
      <c r="I58" s="103" t="str">
        <f>+'Necesidades Trimestrales'!F56</f>
        <v>KIT</v>
      </c>
      <c r="J58" s="104">
        <f>+'Necesidades Trimestrales'!H56</f>
        <v>311000</v>
      </c>
      <c r="K58" s="105">
        <v>1</v>
      </c>
    </row>
    <row r="59" spans="1:11" ht="32.25" customHeight="1" thickBot="1" x14ac:dyDescent="0.25">
      <c r="A59" s="101">
        <v>48</v>
      </c>
      <c r="B59" s="102" t="str">
        <f>+'Necesidades Trimestrales'!B57</f>
        <v>2.5.2-1724.149</v>
      </c>
      <c r="C59" s="203" t="str">
        <f>+'Necesidades Trimestrales'!E57</f>
        <v>ANALGÉSICOS ; TIPO: MONODROGA, DROGA GENÉRICA: DEXMEDETOMIDINA 200 MG, FORMA FARMACEÚTICA: AMPOLLA, PRESENTACIÓN: ENVASE X 2 ML</v>
      </c>
      <c r="D59" s="204"/>
      <c r="E59" s="204"/>
      <c r="F59" s="204"/>
      <c r="G59" s="204"/>
      <c r="H59" s="101" t="s">
        <v>47</v>
      </c>
      <c r="I59" s="103" t="str">
        <f>+'Necesidades Trimestrales'!F57</f>
        <v>AMPOLLA</v>
      </c>
      <c r="J59" s="104">
        <f>+'Necesidades Trimestrales'!H57</f>
        <v>490</v>
      </c>
      <c r="K59" s="105">
        <v>1</v>
      </c>
    </row>
    <row r="60" spans="1:11" ht="32.25" customHeight="1" thickBot="1" x14ac:dyDescent="0.25">
      <c r="A60" s="101">
        <v>49</v>
      </c>
      <c r="B60" s="102" t="str">
        <f>+'Necesidades Trimestrales'!B58</f>
        <v>2.5.2-1726.528</v>
      </c>
      <c r="C60" s="203" t="str">
        <f>+'Necesidades Trimestrales'!E58</f>
        <v>SOLUCIONES P/MEDICINA; TIPO: DIATRIZOATO DE SODIO 25 GR; PRESENTACION: FRASCO X 50 ML</v>
      </c>
      <c r="D60" s="204"/>
      <c r="E60" s="204"/>
      <c r="F60" s="204"/>
      <c r="G60" s="204"/>
      <c r="H60" s="101" t="s">
        <v>333</v>
      </c>
      <c r="I60" s="103" t="str">
        <f>+'Necesidades Trimestrales'!F58</f>
        <v>FRASCO</v>
      </c>
      <c r="J60" s="104">
        <f>+'Necesidades Trimestrales'!H58</f>
        <v>1502</v>
      </c>
      <c r="K60" s="105">
        <v>1</v>
      </c>
    </row>
    <row r="61" spans="1:11" ht="32.25" customHeight="1" thickBot="1" x14ac:dyDescent="0.25">
      <c r="A61" s="101">
        <v>50</v>
      </c>
      <c r="B61" s="102" t="str">
        <f>+'Necesidades Trimestrales'!B59</f>
        <v>2.5.2-1726.512</v>
      </c>
      <c r="C61" s="203" t="str">
        <f>+'Necesidades Trimestrales'!E59</f>
        <v>SOLUCIONES P/MEDICINA; TIPO: DIATRIZOATO DE MEGLUMINA + DIATRIZOATO DE SODIO; PRESENTACION: FRASCO x 120 ml</v>
      </c>
      <c r="D61" s="204"/>
      <c r="E61" s="204"/>
      <c r="F61" s="204"/>
      <c r="G61" s="204"/>
      <c r="H61" s="101" t="s">
        <v>333</v>
      </c>
      <c r="I61" s="103" t="str">
        <f>+'Necesidades Trimestrales'!F59</f>
        <v>AMPOLLA</v>
      </c>
      <c r="J61" s="104">
        <f>+'Necesidades Trimestrales'!H59</f>
        <v>2570</v>
      </c>
      <c r="K61" s="105">
        <v>1</v>
      </c>
    </row>
    <row r="62" spans="1:11" ht="32.25" customHeight="1" thickBot="1" x14ac:dyDescent="0.25">
      <c r="A62" s="101">
        <v>51</v>
      </c>
      <c r="B62" s="102" t="str">
        <f>+'Necesidades Trimestrales'!B60</f>
        <v>2.5.2-1724.140</v>
      </c>
      <c r="C62" s="203" t="str">
        <f>+'Necesidades Trimestrales'!E60</f>
        <v>ANALGESICOS; TIPO: MONODROGA, DROGA GENERICA: DICLOFENAC X 75 MG, FORMA FARMACEUTICA: COMPRIMIDO, PRESENTACION: UNIDAD</v>
      </c>
      <c r="D62" s="204"/>
      <c r="E62" s="204"/>
      <c r="F62" s="204"/>
      <c r="G62" s="204"/>
      <c r="H62" s="101" t="s">
        <v>47</v>
      </c>
      <c r="I62" s="103" t="str">
        <f>+'Necesidades Trimestrales'!F60</f>
        <v>COMPRIMIDO</v>
      </c>
      <c r="J62" s="104">
        <f>+'Necesidades Trimestrales'!H60</f>
        <v>3.05</v>
      </c>
      <c r="K62" s="105">
        <v>1</v>
      </c>
    </row>
    <row r="63" spans="1:11" ht="32.25" customHeight="1" thickBot="1" x14ac:dyDescent="0.25">
      <c r="A63" s="101">
        <v>52</v>
      </c>
      <c r="B63" s="102" t="str">
        <f>+'Necesidades Trimestrales'!B61</f>
        <v>2.5.2-1724.117</v>
      </c>
      <c r="C63" s="203" t="str">
        <f>+'Necesidades Trimestrales'!E61</f>
        <v>ANALGESICOS; TIPO: ASOCIACION, DROGA GENERICA: DICLOFENAC SODICO, FORMA FARMACEUTICA: AMPOLLA, PRESENTACION: 3 Ml</v>
      </c>
      <c r="D63" s="204"/>
      <c r="E63" s="204"/>
      <c r="F63" s="204"/>
      <c r="G63" s="204"/>
      <c r="H63" s="101" t="s">
        <v>47</v>
      </c>
      <c r="I63" s="103" t="str">
        <f>+'Necesidades Trimestrales'!F61</f>
        <v>AMPOLLA</v>
      </c>
      <c r="J63" s="104">
        <f>+'Necesidades Trimestrales'!H61</f>
        <v>35.9</v>
      </c>
      <c r="K63" s="105">
        <v>1</v>
      </c>
    </row>
    <row r="64" spans="1:11" ht="32.25" customHeight="1" thickBot="1" x14ac:dyDescent="0.25">
      <c r="A64" s="101">
        <v>53</v>
      </c>
      <c r="B64" s="102" t="str">
        <f>+'Necesidades Trimestrales'!B62</f>
        <v>2.5.2-1725.153</v>
      </c>
      <c r="C64" s="203" t="str">
        <f>+'Necesidades Trimestrales'!E62</f>
        <v>ANTIINFLAMATORIOS NO ESTEROIDE; TIPO: MONODROGA, DROGA GENERICA: DICLOFENAC POTASICO 500MG/100ML, FORMA FARMACEUTICA: JARABE, PRESENTACION: 120 ML</v>
      </c>
      <c r="D64" s="204"/>
      <c r="E64" s="204"/>
      <c r="F64" s="204"/>
      <c r="G64" s="204"/>
      <c r="H64" s="101" t="s">
        <v>47</v>
      </c>
      <c r="I64" s="103" t="str">
        <f>+'Necesidades Trimestrales'!F62</f>
        <v>FRASCO</v>
      </c>
      <c r="J64" s="104">
        <f>+'Necesidades Trimestrales'!H62</f>
        <v>275</v>
      </c>
      <c r="K64" s="105">
        <v>1</v>
      </c>
    </row>
    <row r="65" spans="1:11" ht="32.25" customHeight="1" thickBot="1" x14ac:dyDescent="0.25">
      <c r="A65" s="101">
        <v>54</v>
      </c>
      <c r="B65" s="102" t="str">
        <f>+'Necesidades Trimestrales'!B63</f>
        <v>2.5.2-1724.208</v>
      </c>
      <c r="C65" s="203" t="str">
        <f>+'Necesidades Trimestrales'!E63</f>
        <v>ANALGESICOS; TIPO: MONODROGA, DROGA GENERICA: DIPIRONA SODICA 1 GR, FORMA FARMACEUTICA: AMPOLLA, PRESENTACION: 2 mL</v>
      </c>
      <c r="D65" s="204"/>
      <c r="E65" s="204"/>
      <c r="F65" s="204"/>
      <c r="G65" s="204"/>
      <c r="H65" s="101" t="s">
        <v>47</v>
      </c>
      <c r="I65" s="103" t="str">
        <f>+'Necesidades Trimestrales'!F63</f>
        <v>AMPOLLA</v>
      </c>
      <c r="J65" s="104">
        <f>+'Necesidades Trimestrales'!H63</f>
        <v>38.5</v>
      </c>
      <c r="K65" s="105">
        <v>1</v>
      </c>
    </row>
    <row r="66" spans="1:11" ht="32.25" customHeight="1" thickBot="1" x14ac:dyDescent="0.25">
      <c r="A66" s="101">
        <v>55</v>
      </c>
      <c r="B66" s="102" t="str">
        <f>+'Necesidades Trimestrales'!B64</f>
        <v>2.5.2-1724.74</v>
      </c>
      <c r="C66" s="203" t="str">
        <f>+'Necesidades Trimestrales'!E64</f>
        <v>ANALGESICOS; TIPO: MONODROGA, DROGA GENERICA: DIPIRONA, FORMA FARMACEUTICA: JARABE, PRESENTACION: FRASCO X 120 mL</v>
      </c>
      <c r="D66" s="204"/>
      <c r="E66" s="204"/>
      <c r="F66" s="204"/>
      <c r="G66" s="204"/>
      <c r="H66" s="101" t="s">
        <v>47</v>
      </c>
      <c r="I66" s="103" t="str">
        <f>+'Necesidades Trimestrales'!F64</f>
        <v>FRASCO</v>
      </c>
      <c r="J66" s="104">
        <f>+'Necesidades Trimestrales'!H64</f>
        <v>698</v>
      </c>
      <c r="K66" s="105">
        <v>1</v>
      </c>
    </row>
    <row r="67" spans="1:11" ht="32.25" customHeight="1" thickBot="1" x14ac:dyDescent="0.25">
      <c r="A67" s="101">
        <v>56</v>
      </c>
      <c r="B67" s="102" t="str">
        <f>+'Necesidades Trimestrales'!B65</f>
        <v>2.5.2-1821.458</v>
      </c>
      <c r="C67" s="203" t="str">
        <f>+'Necesidades Trimestrales'!E65</f>
        <v>ANTIBIOTICOS P/PERSONAS; TIPO: MONODROGA, DROGA GENERICA: DOXICICLINA 100 mGr, FORMA FARMACEUTICA: COMPRIMIDO, PRESENTACION: UNIDAD</v>
      </c>
      <c r="D67" s="204"/>
      <c r="E67" s="204"/>
      <c r="F67" s="204"/>
      <c r="G67" s="204"/>
      <c r="H67" s="101" t="s">
        <v>47</v>
      </c>
      <c r="I67" s="103" t="str">
        <f>+'Necesidades Trimestrales'!F65</f>
        <v>COMPRIMIDO</v>
      </c>
      <c r="J67" s="104">
        <f>+'Necesidades Trimestrales'!H65</f>
        <v>62.17</v>
      </c>
      <c r="K67" s="105">
        <v>1</v>
      </c>
    </row>
    <row r="68" spans="1:11" ht="32.25" customHeight="1" thickBot="1" x14ac:dyDescent="0.25">
      <c r="A68" s="101">
        <v>57</v>
      </c>
      <c r="B68" s="102" t="str">
        <f>+'Necesidades Trimestrales'!B66</f>
        <v>2.5.2-1726.527</v>
      </c>
      <c r="C68" s="203" t="str">
        <f>+'Necesidades Trimestrales'!E66</f>
        <v>SOLUCIONES P/MEDICINA; TIPO: EMULSIÓN LIPÌDICA PARA PERFUSIÓN, DROGA FOSFOLÍPIDO, PRESENTACIÓN: INTRAVENOSA AL 20%, ENVASE POR 500 ML</v>
      </c>
      <c r="D68" s="204"/>
      <c r="E68" s="204"/>
      <c r="F68" s="204"/>
      <c r="G68" s="204"/>
      <c r="H68" s="101" t="s">
        <v>333</v>
      </c>
      <c r="I68" s="103" t="str">
        <f>+'Necesidades Trimestrales'!F66</f>
        <v>ENVASE</v>
      </c>
      <c r="J68" s="104">
        <f>+'Necesidades Trimestrales'!H66</f>
        <v>5300</v>
      </c>
      <c r="K68" s="105">
        <v>1</v>
      </c>
    </row>
    <row r="69" spans="1:11" ht="32.25" customHeight="1" thickBot="1" x14ac:dyDescent="0.25">
      <c r="A69" s="101">
        <v>58</v>
      </c>
      <c r="B69" s="102" t="str">
        <f>+'Necesidades Trimestrales'!B67</f>
        <v>2.5.2-1883.159</v>
      </c>
      <c r="C69" s="203" t="str">
        <f>+'Necesidades Trimestrales'!E67</f>
        <v>ANESTÉSICOS LOCALES; TIPO: MONODROGA, DROGA GENÉRICA: FENTANILO 250 MCG, FORMA FARMACEÚTICA: AMPOLLA, PRESENTACIÓN: UNIDAD</v>
      </c>
      <c r="D69" s="204"/>
      <c r="E69" s="204"/>
      <c r="F69" s="204"/>
      <c r="G69" s="204"/>
      <c r="H69" s="101" t="s">
        <v>47</v>
      </c>
      <c r="I69" s="103" t="str">
        <f>+'Necesidades Trimestrales'!F67</f>
        <v>AMPOLLA</v>
      </c>
      <c r="J69" s="104">
        <f>+'Necesidades Trimestrales'!H67</f>
        <v>130</v>
      </c>
      <c r="K69" s="105">
        <v>1</v>
      </c>
    </row>
    <row r="70" spans="1:11" ht="32.25" customHeight="1" thickBot="1" x14ac:dyDescent="0.25">
      <c r="A70" s="101">
        <v>59</v>
      </c>
      <c r="B70" s="102" t="str">
        <f>+'Necesidades Trimestrales'!B68</f>
        <v>2.5.2-1821.238</v>
      </c>
      <c r="C70" s="203" t="str">
        <f>+'Necesidades Trimestrales'!E68</f>
        <v>ANTIBIOTICOS P/PERSONAS; TIPO: MONODROGA, DROGA GENERICA: FLUCONAZOL 100 MG, FORMA FARMACEUTICA: COMPRIMIDO, PRESENTACION: 100 mGr</v>
      </c>
      <c r="D70" s="204"/>
      <c r="E70" s="204"/>
      <c r="F70" s="204"/>
      <c r="G70" s="204"/>
      <c r="H70" s="101" t="s">
        <v>47</v>
      </c>
      <c r="I70" s="103" t="str">
        <f>+'Necesidades Trimestrales'!F68</f>
        <v>COMPRIMIDO</v>
      </c>
      <c r="J70" s="104">
        <f>+'Necesidades Trimestrales'!H68</f>
        <v>36</v>
      </c>
      <c r="K70" s="105">
        <v>1</v>
      </c>
    </row>
    <row r="71" spans="1:11" ht="32.25" customHeight="1" thickBot="1" x14ac:dyDescent="0.25">
      <c r="A71" s="101">
        <v>60</v>
      </c>
      <c r="B71" s="102" t="str">
        <f>+'Necesidades Trimestrales'!B69</f>
        <v>2.5.2-1821.442</v>
      </c>
      <c r="C71" s="203" t="str">
        <f>+'Necesidades Trimestrales'!E69</f>
        <v>ANTIBIOTICOS P/PERSONAS; TIPO: MONODROGA, DROGA GENERICA: FLUCONAZOL 200 MG, FORMA FARMACEUTICA: SOLUCION INYECTABLE, PRESENTACION: ENVASE X 100 mL</v>
      </c>
      <c r="D71" s="204"/>
      <c r="E71" s="204"/>
      <c r="F71" s="204"/>
      <c r="G71" s="204"/>
      <c r="H71" s="101" t="s">
        <v>47</v>
      </c>
      <c r="I71" s="103" t="str">
        <f>+'Necesidades Trimestrales'!F69</f>
        <v>ENVASE</v>
      </c>
      <c r="J71" s="104">
        <f>+'Necesidades Trimestrales'!H69</f>
        <v>750</v>
      </c>
      <c r="K71" s="105">
        <v>1</v>
      </c>
    </row>
    <row r="72" spans="1:11" ht="32.25" customHeight="1" thickBot="1" x14ac:dyDescent="0.25">
      <c r="A72" s="101">
        <v>61</v>
      </c>
      <c r="B72" s="102" t="str">
        <f>+'Necesidades Trimestrales'!B70</f>
        <v>2.5.2-1823.114</v>
      </c>
      <c r="C72" s="203" t="str">
        <f>+'Necesidades Trimestrales'!E70</f>
        <v>ANTIMICOTICOS; DROGA GENERICA: FLUCONAZOL, FORMA FARMACEUTICA: SUSPENSION X 35 ML, PRESENTACION: 50 MGR/5ML, TIPO: MONODROGA</v>
      </c>
      <c r="D72" s="204"/>
      <c r="E72" s="204"/>
      <c r="F72" s="204"/>
      <c r="G72" s="204"/>
      <c r="H72" s="101" t="s">
        <v>47</v>
      </c>
      <c r="I72" s="103" t="str">
        <f>+'Necesidades Trimestrales'!F70</f>
        <v>FRASCO</v>
      </c>
      <c r="J72" s="104">
        <f>+'Necesidades Trimestrales'!H70</f>
        <v>2360</v>
      </c>
      <c r="K72" s="105">
        <v>1</v>
      </c>
    </row>
    <row r="73" spans="1:11" ht="32.25" customHeight="1" thickBot="1" x14ac:dyDescent="0.25">
      <c r="A73" s="101">
        <v>62</v>
      </c>
      <c r="B73" s="102" t="str">
        <f>+'Necesidades Trimestrales'!B71</f>
        <v>2.5.2-1821.491</v>
      </c>
      <c r="C73" s="203" t="str">
        <f>+'Necesidades Trimestrales'!E71</f>
        <v>ANTIBIOTICOS P/PERSONAS; TIPO: MONODROGA, DROGA GENERICA: FOSFOMICINA, FORMA FARMACEUTICA: AMPOLLA, PRESENTACION: ENVASE X 1 GR</v>
      </c>
      <c r="D73" s="204"/>
      <c r="E73" s="204"/>
      <c r="F73" s="204"/>
      <c r="G73" s="204"/>
      <c r="H73" s="101" t="s">
        <v>47</v>
      </c>
      <c r="I73" s="103" t="str">
        <f>+'Necesidades Trimestrales'!F71</f>
        <v>AMPOLLA</v>
      </c>
      <c r="J73" s="104">
        <f>+'Necesidades Trimestrales'!H71</f>
        <v>580</v>
      </c>
      <c r="K73" s="105">
        <v>1</v>
      </c>
    </row>
    <row r="74" spans="1:11" ht="32.25" customHeight="1" thickBot="1" x14ac:dyDescent="0.25">
      <c r="A74" s="101">
        <v>63</v>
      </c>
      <c r="B74" s="102" t="str">
        <f>+'Necesidades Trimestrales'!B72</f>
        <v>2.5.2-1726.490</v>
      </c>
      <c r="C74" s="203" t="str">
        <f>+'Necesidades Trimestrales'!E72</f>
        <v>SOLUCIONES P/MEDICINA; PRESENTACION: ENVASE X 15 mL, TIPO: CONTRASTE P/RESONANCIA</v>
      </c>
      <c r="D74" s="204"/>
      <c r="E74" s="204"/>
      <c r="F74" s="204"/>
      <c r="G74" s="204"/>
      <c r="H74" s="101" t="s">
        <v>333</v>
      </c>
      <c r="I74" s="103" t="str">
        <f>+'Necesidades Trimestrales'!F72</f>
        <v>FRASCO</v>
      </c>
      <c r="J74" s="104">
        <f>+'Necesidades Trimestrales'!H72</f>
        <v>2100</v>
      </c>
      <c r="K74" s="105">
        <v>1</v>
      </c>
    </row>
    <row r="75" spans="1:11" ht="32.25" customHeight="1" thickBot="1" x14ac:dyDescent="0.25">
      <c r="A75" s="101">
        <v>64</v>
      </c>
      <c r="B75" s="102" t="str">
        <f>+'Necesidades Trimestrales'!B73</f>
        <v>2.5.2-1905.96</v>
      </c>
      <c r="C75" s="203" t="str">
        <f>+'Necesidades Trimestrales'!E73</f>
        <v>VACUNAS; TIPO: G.GLOBULINA+TOXOIDE ANTITETÁNICO, PRESENTACIÓN: ENVASE X 250 UI</v>
      </c>
      <c r="D75" s="204"/>
      <c r="E75" s="204"/>
      <c r="F75" s="204"/>
      <c r="G75" s="204"/>
      <c r="H75" s="101" t="s">
        <v>47</v>
      </c>
      <c r="I75" s="103" t="str">
        <f>+'Necesidades Trimestrales'!F73</f>
        <v>AMPOLLA</v>
      </c>
      <c r="J75" s="104">
        <f>+'Necesidades Trimestrales'!H73</f>
        <v>4597.9799999999996</v>
      </c>
      <c r="K75" s="105">
        <v>1</v>
      </c>
    </row>
    <row r="76" spans="1:11" ht="32.25" customHeight="1" thickBot="1" x14ac:dyDescent="0.25">
      <c r="A76" s="101">
        <v>65</v>
      </c>
      <c r="B76" s="102" t="str">
        <f>+'Necesidades Trimestrales'!B74</f>
        <v>2.5.2-1905.67</v>
      </c>
      <c r="C76" s="203" t="str">
        <f>+'Necesidades Trimestrales'!E74</f>
        <v>VACUNAS; TIPO: G.GLOBULINA+TOXOIDE ANTITETÁNICO, PRESENTACIÓN: ENVASE X 500 UI</v>
      </c>
      <c r="D76" s="204"/>
      <c r="E76" s="204"/>
      <c r="F76" s="204"/>
      <c r="G76" s="204"/>
      <c r="H76" s="101" t="s">
        <v>47</v>
      </c>
      <c r="I76" s="103" t="str">
        <f>+'Necesidades Trimestrales'!F74</f>
        <v>AMPOLLA</v>
      </c>
      <c r="J76" s="104">
        <f>+'Necesidades Trimestrales'!H74</f>
        <v>8899.39</v>
      </c>
      <c r="K76" s="105">
        <v>1</v>
      </c>
    </row>
    <row r="77" spans="1:11" ht="32.25" customHeight="1" thickBot="1" x14ac:dyDescent="0.25">
      <c r="A77" s="101">
        <v>66</v>
      </c>
      <c r="B77" s="102" t="str">
        <f>+'Necesidades Trimestrales'!B75</f>
        <v>2.5.2-1821.4</v>
      </c>
      <c r="C77" s="203" t="str">
        <f>+'Necesidades Trimestrales'!E75</f>
        <v>ANTIBIOTICOS P/PERSONAS; DROGA GENERICA: GENTAMICINA, FORMA FARMACEUTICA: AMPOLLA, PRESENTACION: 80 mGr, TIPO: MONODROGA</v>
      </c>
      <c r="D77" s="204"/>
      <c r="E77" s="204"/>
      <c r="F77" s="204"/>
      <c r="G77" s="204"/>
      <c r="H77" s="101" t="s">
        <v>47</v>
      </c>
      <c r="I77" s="103" t="str">
        <f>+'Necesidades Trimestrales'!F75</f>
        <v>AMPOLLA</v>
      </c>
      <c r="J77" s="104">
        <f>+'Necesidades Trimestrales'!H75</f>
        <v>42</v>
      </c>
      <c r="K77" s="105">
        <v>1</v>
      </c>
    </row>
    <row r="78" spans="1:11" ht="32.25" customHeight="1" thickBot="1" x14ac:dyDescent="0.25">
      <c r="A78" s="101">
        <v>67</v>
      </c>
      <c r="B78" s="102" t="str">
        <f>+'Necesidades Trimestrales'!B76</f>
        <v>2.5.2-1724.163</v>
      </c>
      <c r="C78" s="203" t="str">
        <f>+'Necesidades Trimestrales'!E76</f>
        <v>ANALGESICOS; TIPO: MONODROGA, DROGA GENERICA: IBUPROFENO 2%, FORMA FARMACEUTICA: SUSPENSION, PRESENTACION: ENVASE X 90 mL</v>
      </c>
      <c r="D78" s="204"/>
      <c r="E78" s="204"/>
      <c r="F78" s="204"/>
      <c r="G78" s="204"/>
      <c r="H78" s="101" t="s">
        <v>47</v>
      </c>
      <c r="I78" s="103" t="str">
        <f>+'Necesidades Trimestrales'!F76</f>
        <v>FRASCO</v>
      </c>
      <c r="J78" s="104">
        <f>+'Necesidades Trimestrales'!H76</f>
        <v>110</v>
      </c>
      <c r="K78" s="105">
        <v>1</v>
      </c>
    </row>
    <row r="79" spans="1:11" ht="32.25" customHeight="1" thickBot="1" x14ac:dyDescent="0.25">
      <c r="A79" s="101">
        <v>68</v>
      </c>
      <c r="B79" s="102" t="str">
        <f>+'Necesidades Trimestrales'!B77</f>
        <v>2.5.2-1724.107</v>
      </c>
      <c r="C79" s="203" t="str">
        <f>+'Necesidades Trimestrales'!E77</f>
        <v>ANALGESICOS ; TIPO: MONODROGA, DROGA GENERICA: IBUPROFENO 400, FORMA FARMACEUTICA: AMPOLLA, PRESENTACION: 3 mL</v>
      </c>
      <c r="D79" s="204"/>
      <c r="E79" s="204"/>
      <c r="F79" s="204"/>
      <c r="G79" s="204"/>
      <c r="H79" s="101" t="s">
        <v>47</v>
      </c>
      <c r="I79" s="103" t="str">
        <f>+'Necesidades Trimestrales'!F77</f>
        <v>AMPOLLA</v>
      </c>
      <c r="J79" s="104">
        <f>+'Necesidades Trimestrales'!H77</f>
        <v>45</v>
      </c>
      <c r="K79" s="105">
        <v>1</v>
      </c>
    </row>
    <row r="80" spans="1:11" ht="32.25" customHeight="1" thickBot="1" x14ac:dyDescent="0.25">
      <c r="A80" s="101">
        <v>69</v>
      </c>
      <c r="B80" s="102" t="str">
        <f>+'Necesidades Trimestrales'!B78</f>
        <v>2.5.2-1725.68</v>
      </c>
      <c r="C80" s="203" t="str">
        <f>+'Necesidades Trimestrales'!E78</f>
        <v>ANTIINFLAMATORIOS NO ESTEROIDE; TIPO: MONODROGA, DROGA GENERICA: IBUPROFENO, FORMA FARMACEUTICA: COMPRIMIDO, PRESENTACION: 400 mGr</v>
      </c>
      <c r="D80" s="204"/>
      <c r="E80" s="204"/>
      <c r="F80" s="204"/>
      <c r="G80" s="204"/>
      <c r="H80" s="101" t="s">
        <v>47</v>
      </c>
      <c r="I80" s="103" t="str">
        <f>+'Necesidades Trimestrales'!F78</f>
        <v>COMPRIMIDO</v>
      </c>
      <c r="J80" s="104">
        <f>+'Necesidades Trimestrales'!H78</f>
        <v>4.8</v>
      </c>
      <c r="K80" s="105">
        <v>1</v>
      </c>
    </row>
    <row r="81" spans="1:11" ht="32.25" customHeight="1" thickBot="1" x14ac:dyDescent="0.25">
      <c r="A81" s="101">
        <v>70</v>
      </c>
      <c r="B81" s="102" t="str">
        <f>+'Necesidades Trimestrales'!B79</f>
        <v>2.5.2-1821.459</v>
      </c>
      <c r="C81" s="203" t="str">
        <f>+'Necesidades Trimestrales'!E79</f>
        <v>ANTIBIOTICOS P/PERSONAS; TIPO: MONODROGA, DROGA GENERICA: IMIPENEM + CILASTATINA, FORMA FARMACEUTICA: FRASCO AMPOLLA, PRESENTACION: ENVASE X 500 mGr</v>
      </c>
      <c r="D81" s="204"/>
      <c r="E81" s="204"/>
      <c r="F81" s="204"/>
      <c r="G81" s="204"/>
      <c r="H81" s="101" t="s">
        <v>47</v>
      </c>
      <c r="I81" s="103" t="str">
        <f>+'Necesidades Trimestrales'!F79</f>
        <v>AMPOLLA</v>
      </c>
      <c r="J81" s="104">
        <f>+'Necesidades Trimestrales'!H79</f>
        <v>632</v>
      </c>
      <c r="K81" s="105">
        <v>1</v>
      </c>
    </row>
    <row r="82" spans="1:11" ht="32.25" customHeight="1" thickBot="1" x14ac:dyDescent="0.25">
      <c r="A82" s="101">
        <v>71</v>
      </c>
      <c r="B82" s="102" t="str">
        <f>+'Necesidades Trimestrales'!B80</f>
        <v>2.5.2-1725.154</v>
      </c>
      <c r="C82" s="203" t="str">
        <f>+'Necesidades Trimestrales'!E80</f>
        <v>ANTIINFLAMATORIOS NO ESTEROIDE; TIPO: MONODROGA, DROGA GENERICA: INDOMETACINA 100 MG, FORMA FARMACEUTICA: SUPOSITORIO, PRESENTACION: CAJA X 10 UNIDADES</v>
      </c>
      <c r="D82" s="204"/>
      <c r="E82" s="204"/>
      <c r="F82" s="204"/>
      <c r="G82" s="204"/>
      <c r="H82" s="101" t="s">
        <v>47</v>
      </c>
      <c r="I82" s="103" t="str">
        <f>+'Necesidades Trimestrales'!F80</f>
        <v>CAJA</v>
      </c>
      <c r="J82" s="104">
        <f>+'Necesidades Trimestrales'!H80</f>
        <v>3058.9</v>
      </c>
      <c r="K82" s="105">
        <v>1</v>
      </c>
    </row>
    <row r="83" spans="1:11" ht="32.25" customHeight="1" thickBot="1" x14ac:dyDescent="0.25">
      <c r="A83" s="101">
        <v>72</v>
      </c>
      <c r="B83" s="102" t="str">
        <f>+'Necesidades Trimestrales'!B81</f>
        <v>2.5.2-5275.16</v>
      </c>
      <c r="C83" s="203" t="str">
        <f>+'Necesidades Trimestrales'!E81</f>
        <v>ANTI GAMMA TOTAL; TIPO: INMUNOGLOBULINA HUMAN ANTI-RH, PRESENTACION: JERINGA PRELLENA 250-330MCG/ML</v>
      </c>
      <c r="D83" s="204"/>
      <c r="E83" s="204"/>
      <c r="F83" s="204"/>
      <c r="G83" s="204"/>
      <c r="H83" s="101" t="s">
        <v>47</v>
      </c>
      <c r="I83" s="103" t="str">
        <f>+'Necesidades Trimestrales'!F81</f>
        <v>UNIDAD</v>
      </c>
      <c r="J83" s="104">
        <f>+'Necesidades Trimestrales'!H81</f>
        <v>8375</v>
      </c>
      <c r="K83" s="105">
        <v>1</v>
      </c>
    </row>
    <row r="84" spans="1:11" ht="32.25" customHeight="1" thickBot="1" x14ac:dyDescent="0.25">
      <c r="A84" s="101">
        <v>73</v>
      </c>
      <c r="B84" s="102" t="str">
        <f>+'Necesidades Trimestrales'!B82</f>
        <v>2.5.2-1859.29</v>
      </c>
      <c r="C84" s="203" t="str">
        <f>+'Necesidades Trimestrales'!E82</f>
        <v>INMUNOMODULADORES; TIPO: MONODROGA, DROGA GENERICA: INMUNOGLOBULINA G HUMANA, FORMA FARMACEUTICA: VIAL, PRESENTACION: 10 GR</v>
      </c>
      <c r="D84" s="204"/>
      <c r="E84" s="204"/>
      <c r="F84" s="204"/>
      <c r="G84" s="204"/>
      <c r="H84" s="101" t="s">
        <v>47</v>
      </c>
      <c r="I84" s="103" t="str">
        <f>+'Necesidades Trimestrales'!F82</f>
        <v>ENVASE</v>
      </c>
      <c r="J84" s="104">
        <f>+'Necesidades Trimestrales'!H82</f>
        <v>125640</v>
      </c>
      <c r="K84" s="105">
        <v>1</v>
      </c>
    </row>
    <row r="85" spans="1:11" ht="32.25" customHeight="1" thickBot="1" x14ac:dyDescent="0.25">
      <c r="A85" s="101">
        <v>74</v>
      </c>
      <c r="B85" s="102" t="str">
        <f>+'Necesidades Trimestrales'!B83</f>
        <v>2.5.2-1859.30</v>
      </c>
      <c r="C85" s="203" t="str">
        <f>+'Necesidades Trimestrales'!E83</f>
        <v>INMUNOMODULADORES; TIPO: MONODROGA, DROGA GENERICA: INMUNOGLOBULINA G HUMANA, FORMA FARMACEUTICA: VIAL, PRESENTACION: 2,5 GR</v>
      </c>
      <c r="D85" s="204"/>
      <c r="E85" s="204"/>
      <c r="F85" s="204"/>
      <c r="G85" s="204"/>
      <c r="H85" s="101" t="s">
        <v>47</v>
      </c>
      <c r="I85" s="103" t="str">
        <f>+'Necesidades Trimestrales'!F83</f>
        <v>ENVASE</v>
      </c>
      <c r="J85" s="104">
        <f>+'Necesidades Trimestrales'!H83</f>
        <v>31000</v>
      </c>
      <c r="K85" s="105">
        <v>1</v>
      </c>
    </row>
    <row r="86" spans="1:11" ht="32.25" customHeight="1" thickBot="1" x14ac:dyDescent="0.25">
      <c r="A86" s="101">
        <v>75</v>
      </c>
      <c r="B86" s="102" t="str">
        <f>+'Necesidades Trimestrales'!B84</f>
        <v>2.5.2-1859.28</v>
      </c>
      <c r="C86" s="203" t="str">
        <f>+'Necesidades Trimestrales'!E84</f>
        <v>INMUNOMODULADORES; TIPO: MONODROGA, DROGA GENERICA: INMUNOGLOBULINA G HUMANA, FORMA FARMACEUTICA: VIAL, PRESENTACION: 5 GR</v>
      </c>
      <c r="D86" s="204"/>
      <c r="E86" s="204"/>
      <c r="F86" s="204"/>
      <c r="G86" s="204"/>
      <c r="H86" s="101" t="s">
        <v>47</v>
      </c>
      <c r="I86" s="103" t="str">
        <f>+'Necesidades Trimestrales'!F84</f>
        <v>ENVASE</v>
      </c>
      <c r="J86" s="104">
        <f>+'Necesidades Trimestrales'!H84</f>
        <v>59000</v>
      </c>
      <c r="K86" s="105">
        <v>1</v>
      </c>
    </row>
    <row r="87" spans="1:11" ht="32.25" customHeight="1" thickBot="1" x14ac:dyDescent="0.25">
      <c r="A87" s="101">
        <v>76</v>
      </c>
      <c r="B87" s="102" t="str">
        <f>+'Necesidades Trimestrales'!B85</f>
        <v>2.5.2-1859.24</v>
      </c>
      <c r="C87" s="203" t="str">
        <f>+'Necesidades Trimestrales'!E85</f>
        <v>INMUNOMODULADORES; TIPO: MONODROGA, DROGA GENERICA: GAMMAGLOBULINA, FORMA FARMACEUTICA: AMPOLLA, PRESENTACION: 6 GR</v>
      </c>
      <c r="D87" s="204"/>
      <c r="E87" s="204"/>
      <c r="F87" s="204"/>
      <c r="G87" s="204"/>
      <c r="H87" s="101" t="s">
        <v>47</v>
      </c>
      <c r="I87" s="103" t="str">
        <f>+'Necesidades Trimestrales'!F85</f>
        <v>ENVASE</v>
      </c>
      <c r="J87" s="104">
        <f>+'Necesidades Trimestrales'!H85</f>
        <v>69000</v>
      </c>
      <c r="K87" s="105">
        <v>1</v>
      </c>
    </row>
    <row r="88" spans="1:11" ht="32.25" customHeight="1" thickBot="1" x14ac:dyDescent="0.25">
      <c r="A88" s="101">
        <v>77</v>
      </c>
      <c r="B88" s="102" t="str">
        <f>+'Necesidades Trimestrales'!B86</f>
        <v>2.5.2-1823.84</v>
      </c>
      <c r="C88" s="203" t="str">
        <f>+'Necesidades Trimestrales'!E86</f>
        <v>ANTIMICOTICOS; TIPO: MONODROGA, DROGA GENERICA: ITRACONAZOL, FORMA FARMACEUTICA: COMPRIMIDO, PRESENTACION: 100 mGr</v>
      </c>
      <c r="D88" s="204"/>
      <c r="E88" s="204"/>
      <c r="F88" s="204"/>
      <c r="G88" s="204"/>
      <c r="H88" s="101" t="s">
        <v>47</v>
      </c>
      <c r="I88" s="103" t="str">
        <f>+'Necesidades Trimestrales'!F86</f>
        <v>COMPRIMIDO</v>
      </c>
      <c r="J88" s="104">
        <f>+'Necesidades Trimestrales'!H86</f>
        <v>110</v>
      </c>
      <c r="K88" s="105">
        <v>1</v>
      </c>
    </row>
    <row r="89" spans="1:11" ht="32.25" customHeight="1" thickBot="1" x14ac:dyDescent="0.25">
      <c r="A89" s="101">
        <v>78</v>
      </c>
      <c r="B89" s="102" t="str">
        <f>+'Necesidades Trimestrales'!B87</f>
        <v>2.5.2-2455.20</v>
      </c>
      <c r="C89" s="203" t="str">
        <f>+'Necesidades Trimestrales'!E87</f>
        <v>ANESTESICOS GENERALES; DROGA GENERICA: KETAMINA 50 MG/ML, FORMA FARMACEUTICA: FRASCO AMPOLLA, PRESENTACION: 10 mL, TIPO: MONODROGA</v>
      </c>
      <c r="D89" s="204"/>
      <c r="E89" s="204"/>
      <c r="F89" s="204"/>
      <c r="G89" s="204"/>
      <c r="H89" s="101" t="s">
        <v>47</v>
      </c>
      <c r="I89" s="103" t="str">
        <f>+'Necesidades Trimestrales'!F87</f>
        <v>AMPOLLA</v>
      </c>
      <c r="J89" s="104">
        <f>+'Necesidades Trimestrales'!H87</f>
        <v>2300</v>
      </c>
      <c r="K89" s="105">
        <v>1</v>
      </c>
    </row>
    <row r="90" spans="1:11" ht="32.25" customHeight="1" thickBot="1" x14ac:dyDescent="0.25">
      <c r="A90" s="101">
        <v>79</v>
      </c>
      <c r="B90" s="102" t="str">
        <f>+'Necesidades Trimestrales'!B88</f>
        <v>2.5.2-1725.49</v>
      </c>
      <c r="C90" s="203" t="str">
        <f>+'Necesidades Trimestrales'!E88</f>
        <v>ANTIINFLAMATORIOS NO ESTEROIDE; DROGA GENERICA: KETOROLAC, FORMA FARMACEUTICA: COMPRIMIDO, PRESENTACION: 10 mGr, TIPO: MONODROGA</v>
      </c>
      <c r="D90" s="204"/>
      <c r="E90" s="204"/>
      <c r="F90" s="204"/>
      <c r="G90" s="204"/>
      <c r="H90" s="101" t="s">
        <v>47</v>
      </c>
      <c r="I90" s="103" t="str">
        <f>+'Necesidades Trimestrales'!F88</f>
        <v>COMPRIMIDO</v>
      </c>
      <c r="J90" s="104">
        <f>+'Necesidades Trimestrales'!H88</f>
        <v>4.95</v>
      </c>
      <c r="K90" s="105">
        <v>1</v>
      </c>
    </row>
    <row r="91" spans="1:11" ht="32.25" customHeight="1" thickBot="1" x14ac:dyDescent="0.25">
      <c r="A91" s="101">
        <v>80</v>
      </c>
      <c r="B91" s="102" t="str">
        <f>+'Necesidades Trimestrales'!B89</f>
        <v>2.5.2-1724.23</v>
      </c>
      <c r="C91" s="203" t="str">
        <f>+'Necesidades Trimestrales'!E89</f>
        <v>ANALGESICOS; TIPO: MONODROGA, DROGA GENERICA: KETOROLAC, FORMA FARMACEUTICA: AMPOLLA, PRESENTACION: 30 mGr</v>
      </c>
      <c r="D91" s="204"/>
      <c r="E91" s="204"/>
      <c r="F91" s="204"/>
      <c r="G91" s="204"/>
      <c r="H91" s="101" t="s">
        <v>47</v>
      </c>
      <c r="I91" s="103" t="str">
        <f>+'Necesidades Trimestrales'!F89</f>
        <v>AMPOLLA</v>
      </c>
      <c r="J91" s="104">
        <f>+'Necesidades Trimestrales'!H89</f>
        <v>59</v>
      </c>
      <c r="K91" s="105">
        <v>1</v>
      </c>
    </row>
    <row r="92" spans="1:11" ht="32.25" customHeight="1" thickBot="1" x14ac:dyDescent="0.25">
      <c r="A92" s="101">
        <v>81</v>
      </c>
      <c r="B92" s="102" t="str">
        <f>+'Necesidades Trimestrales'!B90</f>
        <v>2.5.2-1821.71</v>
      </c>
      <c r="C92" s="203" t="str">
        <f>+'Necesidades Trimestrales'!E90</f>
        <v>ANTIBIOTICOS P/PERSONAS; TIPO: MONODROGA, DROGA GENERICA: LEVOFLOXACINA, PRESENTACION: 500 mGr, FORMA FARMACEUTICA: COMPRIMIDO</v>
      </c>
      <c r="D92" s="204"/>
      <c r="E92" s="204"/>
      <c r="F92" s="204"/>
      <c r="G92" s="204"/>
      <c r="H92" s="101" t="s">
        <v>47</v>
      </c>
      <c r="I92" s="103" t="str">
        <f>+'Necesidades Trimestrales'!F90</f>
        <v>COMPRIMIDO</v>
      </c>
      <c r="J92" s="104">
        <f>+'Necesidades Trimestrales'!H90</f>
        <v>18</v>
      </c>
      <c r="K92" s="105">
        <v>1</v>
      </c>
    </row>
    <row r="93" spans="1:11" ht="32.25" customHeight="1" thickBot="1" x14ac:dyDescent="0.25">
      <c r="A93" s="101">
        <v>82</v>
      </c>
      <c r="B93" s="102" t="str">
        <f>+'Necesidades Trimestrales'!B91</f>
        <v>2.5.2-1883.186</v>
      </c>
      <c r="C93" s="203" t="str">
        <f>+'Necesidades Trimestrales'!E91</f>
        <v>ANESTESICOS LOCALES; TIPO: MONODROGA, DROGA GENERICA: LIDOCAINA 2%S/EPINEFRINA, FORMA FARMACEUTICA: AMPOLLA, PRESENTACION: 5 mL</v>
      </c>
      <c r="D93" s="204"/>
      <c r="E93" s="204"/>
      <c r="F93" s="204"/>
      <c r="G93" s="204"/>
      <c r="H93" s="101" t="s">
        <v>47</v>
      </c>
      <c r="I93" s="103" t="str">
        <f>+'Necesidades Trimestrales'!F91</f>
        <v>AMPOLLA</v>
      </c>
      <c r="J93" s="104">
        <f>+'Necesidades Trimestrales'!H91</f>
        <v>33</v>
      </c>
      <c r="K93" s="105">
        <v>1</v>
      </c>
    </row>
    <row r="94" spans="1:11" ht="32.25" customHeight="1" thickBot="1" x14ac:dyDescent="0.25">
      <c r="A94" s="101">
        <v>83</v>
      </c>
      <c r="B94" s="102" t="str">
        <f>+'Necesidades Trimestrales'!B92</f>
        <v>2.5.2-1883.136</v>
      </c>
      <c r="C94" s="203" t="str">
        <f>+'Necesidades Trimestrales'!E92</f>
        <v>ANESTESICOS LOCALES; TIPO: MONODROGA, DROGA GENERICA: LIDOCAINA 2% S/EPINEFRINA, FORMA FARMACEUTICA: FRASCO AMPOLLA, PRESENTACION: ENVASE X 20 mL</v>
      </c>
      <c r="D94" s="204"/>
      <c r="E94" s="204"/>
      <c r="F94" s="204"/>
      <c r="G94" s="204"/>
      <c r="H94" s="101" t="s">
        <v>47</v>
      </c>
      <c r="I94" s="103" t="str">
        <f>+'Necesidades Trimestrales'!F92</f>
        <v>AMPOLLA</v>
      </c>
      <c r="J94" s="104">
        <f>+'Necesidades Trimestrales'!H92</f>
        <v>325</v>
      </c>
      <c r="K94" s="105">
        <v>1</v>
      </c>
    </row>
    <row r="95" spans="1:11" ht="32.25" customHeight="1" thickBot="1" x14ac:dyDescent="0.25">
      <c r="A95" s="101">
        <v>84</v>
      </c>
      <c r="B95" s="102" t="str">
        <f>+'Necesidades Trimestrales'!B93</f>
        <v>2.5.2-1883.111</v>
      </c>
      <c r="C95" s="203" t="str">
        <f>+'Necesidades Trimestrales'!E93</f>
        <v>ANESTESICOS LOCALES; TIPO: ASOCIACION, DROGA GENERICA: LIDOCAINA 2% C/EPINEFRINA, FORMA FARMACEUTICA: FRASCO AMPOLLA, PRESENTACION: 20 mL</v>
      </c>
      <c r="D95" s="204"/>
      <c r="E95" s="204"/>
      <c r="F95" s="204"/>
      <c r="G95" s="204"/>
      <c r="H95" s="101" t="s">
        <v>47</v>
      </c>
      <c r="I95" s="103" t="str">
        <f>+'Necesidades Trimestrales'!F93</f>
        <v>AMPOLLA</v>
      </c>
      <c r="J95" s="104">
        <f>+'Necesidades Trimestrales'!H93</f>
        <v>493</v>
      </c>
      <c r="K95" s="105">
        <v>1</v>
      </c>
    </row>
    <row r="96" spans="1:11" ht="32.25" customHeight="1" thickBot="1" x14ac:dyDescent="0.25">
      <c r="A96" s="101">
        <v>85</v>
      </c>
      <c r="B96" s="102" t="str">
        <f>+'Necesidades Trimestrales'!B94</f>
        <v>2.5.2-1883.28</v>
      </c>
      <c r="C96" s="203" t="str">
        <f>+'Necesidades Trimestrales'!E94</f>
        <v>ANESTESICOS LOCALES; TIPO: MONODROGA, DROGA GENERICA: LIDOCAINA, FORMA FARMACEUTICA: AEROSOL, PRESENTACION: 100 mL</v>
      </c>
      <c r="D96" s="204"/>
      <c r="E96" s="204"/>
      <c r="F96" s="204"/>
      <c r="G96" s="204"/>
      <c r="H96" s="101" t="s">
        <v>47</v>
      </c>
      <c r="I96" s="103" t="str">
        <f>+'Necesidades Trimestrales'!F94</f>
        <v>ENVASE</v>
      </c>
      <c r="J96" s="104">
        <f>+'Necesidades Trimestrales'!H94</f>
        <v>845</v>
      </c>
      <c r="K96" s="105">
        <v>1</v>
      </c>
    </row>
    <row r="97" spans="1:11" ht="32.25" customHeight="1" thickBot="1" x14ac:dyDescent="0.25">
      <c r="A97" s="101">
        <v>86</v>
      </c>
      <c r="B97" s="102" t="str">
        <f>+'Necesidades Trimestrales'!B95</f>
        <v>2.5.2-1883.149</v>
      </c>
      <c r="C97" s="203" t="str">
        <f>+'Necesidades Trimestrales'!E95</f>
        <v>ANESTESICOS LOCALES; TIPO: MONODROGA, DROGA GENERICA: LIDOCAINA, FORMA FARMACEUTICA: JALEA, PRESENTACION: ENVASE X 25 GR</v>
      </c>
      <c r="D97" s="204"/>
      <c r="E97" s="204"/>
      <c r="F97" s="204"/>
      <c r="G97" s="204"/>
      <c r="H97" s="101" t="s">
        <v>47</v>
      </c>
      <c r="I97" s="103" t="str">
        <f>+'Necesidades Trimestrales'!F95</f>
        <v>ENVASE</v>
      </c>
      <c r="J97" s="104">
        <f>+'Necesidades Trimestrales'!H95</f>
        <v>112</v>
      </c>
      <c r="K97" s="105">
        <v>1</v>
      </c>
    </row>
    <row r="98" spans="1:11" ht="32.25" customHeight="1" thickBot="1" x14ac:dyDescent="0.25">
      <c r="A98" s="101">
        <v>87</v>
      </c>
      <c r="B98" s="102" t="str">
        <f>+'Necesidades Trimestrales'!B96</f>
        <v>2.5.2-1883.19</v>
      </c>
      <c r="C98" s="203" t="str">
        <f>+'Necesidades Trimestrales'!E96</f>
        <v>ANESTESICOS LOCALES; TIPO: MONODROGA, DROGA GENERICA: LIDOCAINA VISCOSA, FORMA FARMACEUTICA: ENVASE, PRESENTACION: 50 mL</v>
      </c>
      <c r="D98" s="204"/>
      <c r="E98" s="204"/>
      <c r="F98" s="204"/>
      <c r="G98" s="204"/>
      <c r="H98" s="101" t="s">
        <v>47</v>
      </c>
      <c r="I98" s="103" t="str">
        <f>+'Necesidades Trimestrales'!F96</f>
        <v>ENVASE</v>
      </c>
      <c r="J98" s="104">
        <f>+'Necesidades Trimestrales'!H96</f>
        <v>245</v>
      </c>
      <c r="K98" s="105">
        <v>1</v>
      </c>
    </row>
    <row r="99" spans="1:11" ht="32.25" customHeight="1" thickBot="1" x14ac:dyDescent="0.25">
      <c r="A99" s="101">
        <v>88</v>
      </c>
      <c r="B99" s="102" t="str">
        <f>+'Necesidades Trimestrales'!B97</f>
        <v>2.5.2-1821.329</v>
      </c>
      <c r="C99" s="203" t="str">
        <f>+'Necesidades Trimestrales'!E97</f>
        <v>ANTIBIOTICOS P/PERSONAS; TIPO: MONODROGA, DROGA GENERICA: LINEZOLID, FORMA FARMACEUTICA: SOLUCION, PRESENTACION: ENVASE X 300 mL</v>
      </c>
      <c r="D99" s="204"/>
      <c r="E99" s="204"/>
      <c r="F99" s="204"/>
      <c r="G99" s="204"/>
      <c r="H99" s="101" t="s">
        <v>47</v>
      </c>
      <c r="I99" s="103" t="str">
        <f>+'Necesidades Trimestrales'!F97</f>
        <v>FRASCO</v>
      </c>
      <c r="J99" s="104">
        <f>+'Necesidades Trimestrales'!H97</f>
        <v>1815</v>
      </c>
      <c r="K99" s="105">
        <v>1</v>
      </c>
    </row>
    <row r="100" spans="1:11" ht="32.25" customHeight="1" thickBot="1" x14ac:dyDescent="0.25">
      <c r="A100" s="101">
        <v>89</v>
      </c>
      <c r="B100" s="102" t="str">
        <f>+'Necesidades Trimestrales'!B98</f>
        <v>2.5.2-1857.12</v>
      </c>
      <c r="C100" s="203" t="str">
        <f>+'Necesidades Trimestrales'!E98</f>
        <v>ANTIPARASITARIOS; TIPO: MONODROGA, DROGA GENERICA: MEBENDAZOL, FORMA FARMACEUTICA: COMPRIMIDOS, PRESENTACION: 100 mGr</v>
      </c>
      <c r="D100" s="204"/>
      <c r="E100" s="204"/>
      <c r="F100" s="204"/>
      <c r="G100" s="204"/>
      <c r="H100" s="101" t="s">
        <v>47</v>
      </c>
      <c r="I100" s="103" t="str">
        <f>+'Necesidades Trimestrales'!F98</f>
        <v>COMPRIMIDO</v>
      </c>
      <c r="J100" s="104">
        <f>+'Necesidades Trimestrales'!H98</f>
        <v>135</v>
      </c>
      <c r="K100" s="105">
        <v>1</v>
      </c>
    </row>
    <row r="101" spans="1:11" ht="32.25" customHeight="1" thickBot="1" x14ac:dyDescent="0.25">
      <c r="A101" s="101">
        <v>90</v>
      </c>
      <c r="B101" s="102" t="str">
        <f>+'Necesidades Trimestrales'!B99</f>
        <v>2.5.2-1857.36</v>
      </c>
      <c r="C101" s="203" t="str">
        <f>+'Necesidades Trimestrales'!E99</f>
        <v>ANTIPARASITARIOS; TIPO: MONODROGA, DROGA GENERICA: MEBENDAZOL 2%, FORMA FARMACEUTICA: SUSPENSION, PRESENTACION: ENVASE X 30 mL</v>
      </c>
      <c r="D101" s="204"/>
      <c r="E101" s="204"/>
      <c r="F101" s="204"/>
      <c r="G101" s="204"/>
      <c r="H101" s="101" t="s">
        <v>47</v>
      </c>
      <c r="I101" s="103" t="str">
        <f>+'Necesidades Trimestrales'!F99</f>
        <v>FRASCO</v>
      </c>
      <c r="J101" s="104">
        <f>+'Necesidades Trimestrales'!H99</f>
        <v>220</v>
      </c>
      <c r="K101" s="105">
        <v>1</v>
      </c>
    </row>
    <row r="102" spans="1:11" ht="32.25" customHeight="1" thickBot="1" x14ac:dyDescent="0.25">
      <c r="A102" s="101">
        <v>91</v>
      </c>
      <c r="B102" s="102" t="str">
        <f>+'Necesidades Trimestrales'!B100</f>
        <v>2.5.2-1821.463</v>
      </c>
      <c r="C102" s="203" t="str">
        <f>+'Necesidades Trimestrales'!E100</f>
        <v>ANTIBIOTICOS P/PERSONAS; TIPO: MONODROGA, DROGA GENERICA: MEROPENEM 1000 mGr, FORMA FARMACEUTICA: AMPOLLA, PRESENTACION: UNIDAD</v>
      </c>
      <c r="D102" s="204"/>
      <c r="E102" s="204"/>
      <c r="F102" s="204"/>
      <c r="G102" s="204"/>
      <c r="H102" s="101" t="s">
        <v>47</v>
      </c>
      <c r="I102" s="103" t="str">
        <f>+'Necesidades Trimestrales'!F100</f>
        <v>AMPOLLA</v>
      </c>
      <c r="J102" s="104">
        <f>+'Necesidades Trimestrales'!H100</f>
        <v>590</v>
      </c>
      <c r="K102" s="105">
        <v>1</v>
      </c>
    </row>
    <row r="103" spans="1:11" ht="32.25" customHeight="1" thickBot="1" x14ac:dyDescent="0.25">
      <c r="A103" s="101">
        <v>92</v>
      </c>
      <c r="B103" s="102" t="str">
        <f>+'Necesidades Trimestrales'!B101</f>
        <v>2.5.2-1821.421</v>
      </c>
      <c r="C103" s="203" t="str">
        <f>+'Necesidades Trimestrales'!E101</f>
        <v>ANTIBIOTICOS P/PERSONAS; TIPO: MONODROGA, DROGA GENERICA: MEROPENEM 500 mGr, FORMA FARMACEUTICA: FRASCO AMPOLLA, PRESENTACION: UNIDAD</v>
      </c>
      <c r="D103" s="204"/>
      <c r="E103" s="204"/>
      <c r="F103" s="204"/>
      <c r="G103" s="204"/>
      <c r="H103" s="101" t="s">
        <v>47</v>
      </c>
      <c r="I103" s="103" t="str">
        <f>+'Necesidades Trimestrales'!F101</f>
        <v>AMPOLLA</v>
      </c>
      <c r="J103" s="104">
        <f>+'Necesidades Trimestrales'!H101</f>
        <v>380</v>
      </c>
      <c r="K103" s="105">
        <v>1</v>
      </c>
    </row>
    <row r="104" spans="1:11" ht="32.25" customHeight="1" thickBot="1" x14ac:dyDescent="0.25">
      <c r="A104" s="101">
        <v>93</v>
      </c>
      <c r="B104" s="102" t="str">
        <f>+'Necesidades Trimestrales'!B102</f>
        <v>2.5.2-1821.334</v>
      </c>
      <c r="C104" s="203" t="str">
        <f>+'Necesidades Trimestrales'!E102</f>
        <v>ANTIBIOTICOS P/PERSONAS; TIPO: MONODROGA, DROGA GENERICA: METRONIDAZOL 125MG/5ML, FORMA FARMACEUTICA: SUSPENSION ORAL, PRESENTACION: ENVASE X 120 mL</v>
      </c>
      <c r="D104" s="204"/>
      <c r="E104" s="204"/>
      <c r="F104" s="204"/>
      <c r="G104" s="204"/>
      <c r="H104" s="101" t="s">
        <v>47</v>
      </c>
      <c r="I104" s="103" t="str">
        <f>+'Necesidades Trimestrales'!F102</f>
        <v>FRASCO</v>
      </c>
      <c r="J104" s="104">
        <f>+'Necesidades Trimestrales'!H102</f>
        <v>169</v>
      </c>
      <c r="K104" s="105">
        <v>1</v>
      </c>
    </row>
    <row r="105" spans="1:11" ht="32.25" customHeight="1" thickBot="1" x14ac:dyDescent="0.25">
      <c r="A105" s="101">
        <v>94</v>
      </c>
      <c r="B105" s="102" t="str">
        <f>+'Necesidades Trimestrales'!B103</f>
        <v>2.5.2-1821.76</v>
      </c>
      <c r="C105" s="203" t="str">
        <f>+'Necesidades Trimestrales'!E103</f>
        <v>ANTIBIOTICOS P/PERSONAS; TIPO: MONODROGA, FORMA FARMACEUTICA: COMPRIMIDO, PRESENTACION: 500 mGr, DROGA GENERICA: METRONIDAZOL</v>
      </c>
      <c r="D105" s="204"/>
      <c r="E105" s="204"/>
      <c r="F105" s="204"/>
      <c r="G105" s="204"/>
      <c r="H105" s="101" t="s">
        <v>47</v>
      </c>
      <c r="I105" s="103" t="str">
        <f>+'Necesidades Trimestrales'!F103</f>
        <v>COMPRIMIDO</v>
      </c>
      <c r="J105" s="104">
        <f>+'Necesidades Trimestrales'!H103</f>
        <v>7.69</v>
      </c>
      <c r="K105" s="105">
        <v>1</v>
      </c>
    </row>
    <row r="106" spans="1:11" ht="32.25" customHeight="1" thickBot="1" x14ac:dyDescent="0.25">
      <c r="A106" s="101">
        <v>95</v>
      </c>
      <c r="B106" s="102" t="str">
        <f>+'Necesidades Trimestrales'!B104</f>
        <v>2.5.2-1821.400</v>
      </c>
      <c r="C106" s="203" t="str">
        <f>+'Necesidades Trimestrales'!E104</f>
        <v>ANTIBIOTICOS P/PERSONAS; TIPO: MONODROGA, DROGA GENERICA: METRONIDAZOL 500 mGr, FORMA FARMACEUTICA: SACHET X 100 mL, PRESENTACION: UNIDAD</v>
      </c>
      <c r="D106" s="204"/>
      <c r="E106" s="204"/>
      <c r="F106" s="204"/>
      <c r="G106" s="204"/>
      <c r="H106" s="101" t="s">
        <v>47</v>
      </c>
      <c r="I106" s="103" t="str">
        <f>+'Necesidades Trimestrales'!F104</f>
        <v>ENVASE</v>
      </c>
      <c r="J106" s="104">
        <f>+'Necesidades Trimestrales'!H104</f>
        <v>138</v>
      </c>
      <c r="K106" s="105">
        <v>1</v>
      </c>
    </row>
    <row r="107" spans="1:11" ht="32.25" customHeight="1" thickBot="1" x14ac:dyDescent="0.25">
      <c r="A107" s="101">
        <v>96</v>
      </c>
      <c r="B107" s="102" t="str">
        <f>+'Necesidades Trimestrales'!B105</f>
        <v>2.5.2-1870.15</v>
      </c>
      <c r="C107" s="203" t="str">
        <f>+'Necesidades Trimestrales'!E105</f>
        <v>HIPNOTICOS; TIPO: MONODROGA, DROGA GENERICA: MIDAZOLAM 15 mGr, FORMA FARMACEUTICA: AMPOLLA, PRESENTACION: ENVASE X 3 mL</v>
      </c>
      <c r="D107" s="204"/>
      <c r="E107" s="204"/>
      <c r="F107" s="204"/>
      <c r="G107" s="204"/>
      <c r="H107" s="101" t="s">
        <v>47</v>
      </c>
      <c r="I107" s="103" t="str">
        <f>+'Necesidades Trimestrales'!F105</f>
        <v>AMPOLLA</v>
      </c>
      <c r="J107" s="104">
        <f>+'Necesidades Trimestrales'!H105</f>
        <v>0</v>
      </c>
      <c r="K107" s="105">
        <v>1</v>
      </c>
    </row>
    <row r="108" spans="1:11" ht="32.25" customHeight="1" thickBot="1" x14ac:dyDescent="0.25">
      <c r="A108" s="101">
        <v>97</v>
      </c>
      <c r="B108" s="102" t="str">
        <f>+'Necesidades Trimestrales'!B106</f>
        <v>2.5.2-1821.115</v>
      </c>
      <c r="C108" s="203" t="str">
        <f>+'Necesidades Trimestrales'!E106</f>
        <v>ANTIBIOTICOS P/PERSONAS; TIPO: MONODROGA, DROGA GENERICA: MINOCICLINA, FORMA FARMACEUTICA: COMPRIMIDO, PRESENTACION: 100 mGr</v>
      </c>
      <c r="D108" s="204"/>
      <c r="E108" s="204"/>
      <c r="F108" s="204"/>
      <c r="G108" s="204"/>
      <c r="H108" s="101" t="s">
        <v>47</v>
      </c>
      <c r="I108" s="103" t="str">
        <f>+'Necesidades Trimestrales'!F106</f>
        <v>COMPRIMIDO</v>
      </c>
      <c r="J108" s="104">
        <f>+'Necesidades Trimestrales'!H106</f>
        <v>82</v>
      </c>
      <c r="K108" s="105">
        <v>1</v>
      </c>
    </row>
    <row r="109" spans="1:11" ht="32.25" customHeight="1" thickBot="1" x14ac:dyDescent="0.25">
      <c r="A109" s="101">
        <v>98</v>
      </c>
      <c r="B109" s="102" t="str">
        <f>+'Necesidades Trimestrales'!B107</f>
        <v>2.5.2-1724.98</v>
      </c>
      <c r="C109" s="203" t="str">
        <f>+'Necesidades Trimestrales'!E107</f>
        <v>ANALGESICOS; TIPO: MONODROGA, DROGA GENERICA: MORFINA CLORIDRATO 1%, FORMA FARMACEUTICA: AMPOLLA, PRESENTACION: 1 mL</v>
      </c>
      <c r="D109" s="204"/>
      <c r="E109" s="204"/>
      <c r="F109" s="204"/>
      <c r="G109" s="204"/>
      <c r="H109" s="101" t="s">
        <v>47</v>
      </c>
      <c r="I109" s="103" t="str">
        <f>+'Necesidades Trimestrales'!F107</f>
        <v>AMPOLLA</v>
      </c>
      <c r="J109" s="104">
        <f>+'Necesidades Trimestrales'!H107</f>
        <v>66</v>
      </c>
      <c r="K109" s="105">
        <v>1</v>
      </c>
    </row>
    <row r="110" spans="1:11" ht="32.25" customHeight="1" thickBot="1" x14ac:dyDescent="0.25">
      <c r="A110" s="101">
        <v>99</v>
      </c>
      <c r="B110" s="102" t="str">
        <f>+'Necesidades Trimestrales'!B108</f>
        <v>2.5.2-1724.206</v>
      </c>
      <c r="C110" s="203" t="str">
        <f>+'Necesidades Trimestrales'!E108</f>
        <v>ANALGESICOS; TIPO: MONODROGA, DROGA GENERICA: NALBUFINA 10 mGr, FORMA FARMACEUTICA: AMPOLLA, PRESENTACION: ENVASE X 1 mL</v>
      </c>
      <c r="D110" s="204"/>
      <c r="E110" s="204"/>
      <c r="F110" s="204"/>
      <c r="G110" s="204"/>
      <c r="H110" s="101" t="s">
        <v>47</v>
      </c>
      <c r="I110" s="103" t="str">
        <f>+'Necesidades Trimestrales'!F108</f>
        <v>AMPOLLA</v>
      </c>
      <c r="J110" s="104">
        <f>+'Necesidades Trimestrales'!H108</f>
        <v>72</v>
      </c>
      <c r="K110" s="105">
        <v>1</v>
      </c>
    </row>
    <row r="111" spans="1:11" ht="32.25" customHeight="1" thickBot="1" x14ac:dyDescent="0.25">
      <c r="A111" s="101">
        <v>100</v>
      </c>
      <c r="B111" s="102" t="str">
        <f>+'Necesidades Trimestrales'!B109</f>
        <v>2.5.2-1725.35</v>
      </c>
      <c r="C111" s="203" t="str">
        <f>+'Necesidades Trimestrales'!E109</f>
        <v>ANTIINFLAMATORIOS NO ESTEROIDE; TIPO: MONODROGA, DROGA GENERICA: NAPROXENO, FORMA FARMACEUTICA: COMPRIMIDO, PRESENTACION: 500 mGr</v>
      </c>
      <c r="D111" s="204"/>
      <c r="E111" s="204"/>
      <c r="F111" s="204"/>
      <c r="G111" s="204"/>
      <c r="H111" s="101" t="s">
        <v>47</v>
      </c>
      <c r="I111" s="103" t="str">
        <f>+'Necesidades Trimestrales'!F109</f>
        <v>COMPRIMIDO</v>
      </c>
      <c r="J111" s="104">
        <f>+'Necesidades Trimestrales'!H109</f>
        <v>16.8</v>
      </c>
      <c r="K111" s="105">
        <v>1</v>
      </c>
    </row>
    <row r="112" spans="1:11" ht="32.25" customHeight="1" thickBot="1" x14ac:dyDescent="0.25">
      <c r="A112" s="101">
        <v>101</v>
      </c>
      <c r="B112" s="102" t="str">
        <f>+'Necesidades Trimestrales'!B110</f>
        <v>2.5.2-1821.123</v>
      </c>
      <c r="C112" s="203" t="str">
        <f>+'Necesidades Trimestrales'!E110</f>
        <v>ANTIBIOTICOS P/PERSONAS; TIPO: MONODROGA, DROGA GENERICA: ORNIDAZOL, PRESENTACION: 1 GR, FORMA FARMACEUTICA: AMPOLLA</v>
      </c>
      <c r="D112" s="204"/>
      <c r="E112" s="204"/>
      <c r="F112" s="204"/>
      <c r="G112" s="204"/>
      <c r="H112" s="101" t="s">
        <v>47</v>
      </c>
      <c r="I112" s="103" t="str">
        <f>+'Necesidades Trimestrales'!F110</f>
        <v>AMPOLLA</v>
      </c>
      <c r="J112" s="104">
        <f>+'Necesidades Trimestrales'!H110</f>
        <v>1720</v>
      </c>
      <c r="K112" s="105">
        <v>1</v>
      </c>
    </row>
    <row r="113" spans="1:11" ht="32.25" customHeight="1" thickBot="1" x14ac:dyDescent="0.25">
      <c r="A113" s="101">
        <v>102</v>
      </c>
      <c r="B113" s="102" t="str">
        <f>+'Necesidades Trimestrales'!B111</f>
        <v>2.5.2-1883.165</v>
      </c>
      <c r="C113" s="203" t="str">
        <f>+'Necesidades Trimestrales'!E111</f>
        <v>ANESTESICOS LOCALES; TIPO: MONODROGA, DROGA GENERICA: PANCURONIO BROMURO 4 mGr, FORMA FARMACEUTICA: AMPOLLA, PRESENTACION: ENVASE X 2 mL</v>
      </c>
      <c r="D113" s="204"/>
      <c r="E113" s="204"/>
      <c r="F113" s="204"/>
      <c r="G113" s="204"/>
      <c r="H113" s="101" t="s">
        <v>47</v>
      </c>
      <c r="I113" s="103" t="str">
        <f>+'Necesidades Trimestrales'!F111</f>
        <v>AMPOLLA</v>
      </c>
      <c r="J113" s="104">
        <f>+'Necesidades Trimestrales'!H111</f>
        <v>0</v>
      </c>
      <c r="K113" s="105">
        <v>1</v>
      </c>
    </row>
    <row r="114" spans="1:11" ht="32.25" customHeight="1" thickBot="1" x14ac:dyDescent="0.25">
      <c r="A114" s="101">
        <v>103</v>
      </c>
      <c r="B114" s="102" t="str">
        <f>+'Necesidades Trimestrales'!B112</f>
        <v>2.5.2-1724.243</v>
      </c>
      <c r="C114" s="203" t="str">
        <f>+'Necesidades Trimestrales'!E112</f>
        <v>ANALGESICOS; TIPO: MONODROGA, DROGA GENERICA: PARACETAMOL 1 GR, FORMA FARMACEUTICA: COMPRIMIDO, PRESENTACION: UNIDAD</v>
      </c>
      <c r="D114" s="204"/>
      <c r="E114" s="204"/>
      <c r="F114" s="204"/>
      <c r="G114" s="204"/>
      <c r="H114" s="101" t="s">
        <v>47</v>
      </c>
      <c r="I114" s="103" t="str">
        <f>+'Necesidades Trimestrales'!F112</f>
        <v>COMPRIMIDO</v>
      </c>
      <c r="J114" s="104">
        <f>+'Necesidades Trimestrales'!H112</f>
        <v>9.8000000000000007</v>
      </c>
      <c r="K114" s="105">
        <v>1</v>
      </c>
    </row>
    <row r="115" spans="1:11" ht="32.25" customHeight="1" thickBot="1" x14ac:dyDescent="0.25">
      <c r="A115" s="101">
        <v>104</v>
      </c>
      <c r="B115" s="102" t="str">
        <f>+'Necesidades Trimestrales'!B113</f>
        <v>2.5.2-1724.230</v>
      </c>
      <c r="C115" s="203" t="str">
        <f>+'Necesidades Trimestrales'!E113</f>
        <v>ANALGESICOS ; PRESENTACION: 100 mL, FORMA FARMACEUTICA: AMPOLLA, DROGA GENERICA: PARACETAMOL 1000 mGr, TIPO: MONODROGA mGr</v>
      </c>
      <c r="D115" s="204"/>
      <c r="E115" s="204"/>
      <c r="F115" s="204"/>
      <c r="G115" s="204"/>
      <c r="H115" s="101" t="s">
        <v>47</v>
      </c>
      <c r="I115" s="103" t="str">
        <f>+'Necesidades Trimestrales'!F113</f>
        <v>AMPOLLA</v>
      </c>
      <c r="J115" s="104">
        <f>+'Necesidades Trimestrales'!H113</f>
        <v>980</v>
      </c>
      <c r="K115" s="105">
        <v>1</v>
      </c>
    </row>
    <row r="116" spans="1:11" ht="32.25" customHeight="1" thickBot="1" x14ac:dyDescent="0.25">
      <c r="A116" s="101">
        <v>105</v>
      </c>
      <c r="B116" s="102" t="str">
        <f>+'Necesidades Trimestrales'!B114</f>
        <v>2.5.2-1724.244</v>
      </c>
      <c r="C116" s="203" t="str">
        <f>+'Necesidades Trimestrales'!E114</f>
        <v>ANALGESICOS; TIPO: MONODROGA, DROGA GENERICA: PARACETAMOL 2%, 100MG/5ML, FORMA FARMACEÚTICA: JARABE, PRESENTACION: 120 ML</v>
      </c>
      <c r="D116" s="204"/>
      <c r="E116" s="204"/>
      <c r="F116" s="204"/>
      <c r="G116" s="204"/>
      <c r="H116" s="101" t="s">
        <v>47</v>
      </c>
      <c r="I116" s="103" t="str">
        <f>+'Necesidades Trimestrales'!F114</f>
        <v>FRASCO</v>
      </c>
      <c r="J116" s="104">
        <f>+'Necesidades Trimestrales'!H114</f>
        <v>165</v>
      </c>
      <c r="K116" s="105">
        <v>1</v>
      </c>
    </row>
    <row r="117" spans="1:11" ht="32.25" customHeight="1" thickBot="1" x14ac:dyDescent="0.25">
      <c r="A117" s="101">
        <v>106</v>
      </c>
      <c r="B117" s="102" t="str">
        <f>+'Necesidades Trimestrales'!B115</f>
        <v>2.5.2-1724.245</v>
      </c>
      <c r="C117" s="203" t="str">
        <f>+'Necesidades Trimestrales'!E115</f>
        <v>ANALGÉSICOS ; TIPO: MONODROGA, DROGA GENÉRICA: PARACETAMOL 500 MGR, FORMA FARMACEÚTICA: COMPRIMIDO, PRESENTACIÓN: X UNIDAD</v>
      </c>
      <c r="D117" s="204"/>
      <c r="E117" s="204"/>
      <c r="F117" s="204"/>
      <c r="G117" s="204"/>
      <c r="H117" s="101" t="s">
        <v>47</v>
      </c>
      <c r="I117" s="103" t="str">
        <f>+'Necesidades Trimestrales'!F115</f>
        <v>COMPRIMIDO</v>
      </c>
      <c r="J117" s="104">
        <f>+'Necesidades Trimestrales'!H115</f>
        <v>5.3</v>
      </c>
      <c r="K117" s="105">
        <v>1</v>
      </c>
    </row>
    <row r="118" spans="1:11" ht="32.25" customHeight="1" thickBot="1" x14ac:dyDescent="0.25">
      <c r="A118" s="101">
        <v>107</v>
      </c>
      <c r="B118" s="102" t="str">
        <f>+'Necesidades Trimestrales'!B116</f>
        <v>2.5.2-1724.29</v>
      </c>
      <c r="C118" s="203" t="str">
        <f>+'Necesidades Trimestrales'!E116</f>
        <v>ANALGESICOS; TIPO: MONODROGA, DROGA GENERICA: PARACETAMOL, FORMA FARMACEUTICA: GOTAS, PRESENTACION: 20 mL</v>
      </c>
      <c r="D118" s="204"/>
      <c r="E118" s="204"/>
      <c r="F118" s="204"/>
      <c r="G118" s="204"/>
      <c r="H118" s="101" t="s">
        <v>47</v>
      </c>
      <c r="I118" s="103" t="str">
        <f>+'Necesidades Trimestrales'!F116</f>
        <v>GOTERO</v>
      </c>
      <c r="J118" s="104">
        <f>+'Necesidades Trimestrales'!H116</f>
        <v>85</v>
      </c>
      <c r="K118" s="105">
        <v>1</v>
      </c>
    </row>
    <row r="119" spans="1:11" ht="32.25" customHeight="1" thickBot="1" x14ac:dyDescent="0.25">
      <c r="A119" s="101">
        <v>108</v>
      </c>
      <c r="B119" s="102" t="str">
        <f>+'Necesidades Trimestrales'!B117</f>
        <v>2.5.2-1821.54</v>
      </c>
      <c r="C119" s="203" t="str">
        <f>+'Necesidades Trimestrales'!E117</f>
        <v>ANTIBIOTICOS P/PERSONAS; TIPO: MONODROGA, DROGA GENERICA: PENICILINA G. BENZATINICA, FORMA FARMACEUTICA: AMPOLLA, PRESENTACION: 1.200.000 UI</v>
      </c>
      <c r="D119" s="204"/>
      <c r="E119" s="204"/>
      <c r="F119" s="204"/>
      <c r="G119" s="204"/>
      <c r="H119" s="101" t="s">
        <v>47</v>
      </c>
      <c r="I119" s="103" t="str">
        <f>+'Necesidades Trimestrales'!F117</f>
        <v>AMPOLLA</v>
      </c>
      <c r="J119" s="104">
        <f>+'Necesidades Trimestrales'!H117</f>
        <v>152</v>
      </c>
      <c r="K119" s="105">
        <v>1</v>
      </c>
    </row>
    <row r="120" spans="1:11" ht="32.25" customHeight="1" thickBot="1" x14ac:dyDescent="0.25">
      <c r="A120" s="101">
        <v>109</v>
      </c>
      <c r="B120" s="102" t="str">
        <f>+'Necesidades Trimestrales'!B118</f>
        <v>2.5.2-1821.220</v>
      </c>
      <c r="C120" s="203" t="str">
        <f>+'Necesidades Trimestrales'!E118</f>
        <v>ANTIBIOTICOS P/PERSONAS; TIPO: MONODROGA, DROGA GENERICA: PENICILINA G. BENZATINICA, FORMA FARMACEUTICA: FRASCO AMPOLLA, PRESENTACION: 2.400.000 UI</v>
      </c>
      <c r="D120" s="204"/>
      <c r="E120" s="204"/>
      <c r="F120" s="204"/>
      <c r="G120" s="204"/>
      <c r="H120" s="101" t="s">
        <v>47</v>
      </c>
      <c r="I120" s="103" t="str">
        <f>+'Necesidades Trimestrales'!F118</f>
        <v>AMPOLLA</v>
      </c>
      <c r="J120" s="104">
        <f>+'Necesidades Trimestrales'!H118</f>
        <v>178</v>
      </c>
      <c r="K120" s="105">
        <v>1</v>
      </c>
    </row>
    <row r="121" spans="1:11" ht="32.25" customHeight="1" thickBot="1" x14ac:dyDescent="0.25">
      <c r="A121" s="101">
        <v>110</v>
      </c>
      <c r="B121" s="102" t="str">
        <f>+'Necesidades Trimestrales'!B119</f>
        <v>2.5.2-1821.260</v>
      </c>
      <c r="C121" s="203" t="str">
        <f>+'Necesidades Trimestrales'!E119</f>
        <v>ANTIBIOTICOS P/PERSONAS; TIPO: MONODROGA, DROGA GENERICA: PENICILINA G. SODICA, FORMA FARMACEUTICA: FRASCO AMPOLLA, PRESENTACION: 1.000.000 UI</v>
      </c>
      <c r="D121" s="204"/>
      <c r="E121" s="204"/>
      <c r="F121" s="204"/>
      <c r="G121" s="204"/>
      <c r="H121" s="101" t="s">
        <v>47</v>
      </c>
      <c r="I121" s="103" t="str">
        <f>+'Necesidades Trimestrales'!F119</f>
        <v>AMPOLLA</v>
      </c>
      <c r="J121" s="104">
        <f>+'Necesidades Trimestrales'!H119</f>
        <v>144</v>
      </c>
      <c r="K121" s="105">
        <v>1</v>
      </c>
    </row>
    <row r="122" spans="1:11" ht="32.25" customHeight="1" thickBot="1" x14ac:dyDescent="0.25">
      <c r="A122" s="101">
        <v>111</v>
      </c>
      <c r="B122" s="102" t="str">
        <f>+'Necesidades Trimestrales'!B120</f>
        <v>2.5.2-1821.13</v>
      </c>
      <c r="C122" s="203" t="str">
        <f>+'Necesidades Trimestrales'!E120</f>
        <v>ANTIBIOTICOS P/PERSONAS; TIPO: MONODROGA, DROGA GENERICA: PENICILINA G. SODICA, FORMA FARMACEUTICA: AMPOLLA, PRESENTACION: 3.000.000 UI</v>
      </c>
      <c r="D122" s="204"/>
      <c r="E122" s="204"/>
      <c r="F122" s="204"/>
      <c r="G122" s="204"/>
      <c r="H122" s="101" t="s">
        <v>47</v>
      </c>
      <c r="I122" s="103" t="str">
        <f>+'Necesidades Trimestrales'!F120</f>
        <v>AMPOLLA</v>
      </c>
      <c r="J122" s="104">
        <f>+'Necesidades Trimestrales'!H120</f>
        <v>145</v>
      </c>
      <c r="K122" s="105">
        <v>1</v>
      </c>
    </row>
    <row r="123" spans="1:11" ht="32.25" customHeight="1" thickBot="1" x14ac:dyDescent="0.25">
      <c r="A123" s="101">
        <v>112</v>
      </c>
      <c r="B123" s="102" t="str">
        <f>+'Necesidades Trimestrales'!B121</f>
        <v>2.5.2-3097.9</v>
      </c>
      <c r="C123" s="203" t="str">
        <f>+'Necesidades Trimestrales'!E121</f>
        <v>PEDICULICIDAS; DROGA GENERICA: PERMETRINA, FORMA FARMACEUTICA: EMULSION, PRESENTACION: 100 mL</v>
      </c>
      <c r="D123" s="204"/>
      <c r="E123" s="204"/>
      <c r="F123" s="204"/>
      <c r="G123" s="204"/>
      <c r="H123" s="101" t="s">
        <v>47</v>
      </c>
      <c r="I123" s="103" t="str">
        <f>+'Necesidades Trimestrales'!F121</f>
        <v>ENVASE</v>
      </c>
      <c r="J123" s="104">
        <f>+'Necesidades Trimestrales'!H121</f>
        <v>958</v>
      </c>
      <c r="K123" s="105">
        <v>1</v>
      </c>
    </row>
    <row r="124" spans="1:11" ht="32.25" customHeight="1" thickBot="1" x14ac:dyDescent="0.25">
      <c r="A124" s="101">
        <v>113</v>
      </c>
      <c r="B124" s="102" t="str">
        <f>+'Necesidades Trimestrales'!B122</f>
        <v>2.5.2-3097.1</v>
      </c>
      <c r="C124" s="203" t="str">
        <f>+'Necesidades Trimestrales'!E122</f>
        <v>PEDICULICIDAS; DROGA GENERICA: PERMETRINA 1%, FORMA FARMACEUTICA: SOLUCION, PRESENTACION: FRASCO X 100 mL</v>
      </c>
      <c r="D124" s="204"/>
      <c r="E124" s="204"/>
      <c r="F124" s="204"/>
      <c r="G124" s="204"/>
      <c r="H124" s="101" t="s">
        <v>47</v>
      </c>
      <c r="I124" s="103" t="str">
        <f>+'Necesidades Trimestrales'!F122</f>
        <v>ENVASE</v>
      </c>
      <c r="J124" s="104">
        <f>+'Necesidades Trimestrales'!H122</f>
        <v>345</v>
      </c>
      <c r="K124" s="105">
        <v>1</v>
      </c>
    </row>
    <row r="125" spans="1:11" ht="32.25" customHeight="1" thickBot="1" x14ac:dyDescent="0.25">
      <c r="A125" s="101">
        <v>114</v>
      </c>
      <c r="B125" s="102" t="str">
        <f>+'Necesidades Trimestrales'!B123</f>
        <v>2.5.2-1821.77</v>
      </c>
      <c r="C125" s="203" t="str">
        <f>+'Necesidades Trimestrales'!E123</f>
        <v>ANTIBIOTICOS P/PERSONAS; TIPO: ASOCIACION, DROGA GENERICA: PIPERACILINA+TAZOBACTAN, FORMA FARMACEUTICA: AMPOLLA, PRESENTACION: 4,5 GR</v>
      </c>
      <c r="D125" s="204"/>
      <c r="E125" s="204"/>
      <c r="F125" s="204"/>
      <c r="G125" s="204"/>
      <c r="H125" s="101" t="s">
        <v>47</v>
      </c>
      <c r="I125" s="103" t="str">
        <f>+'Necesidades Trimestrales'!F123</f>
        <v>AMPOLLA</v>
      </c>
      <c r="J125" s="104">
        <f>+'Necesidades Trimestrales'!H123</f>
        <v>398</v>
      </c>
      <c r="K125" s="105">
        <v>1</v>
      </c>
    </row>
    <row r="126" spans="1:11" ht="32.25" customHeight="1" thickBot="1" x14ac:dyDescent="0.25">
      <c r="A126" s="101">
        <v>115</v>
      </c>
      <c r="B126" s="102" t="str">
        <f>+'Necesidades Trimestrales'!B124</f>
        <v>2.5.2-3603.18</v>
      </c>
      <c r="C126" s="203" t="str">
        <f>+'Necesidades Trimestrales'!E124</f>
        <v>EVACUANTES INTESTINALES; TIPO: ASOCIACION, DROGA GENERICA: POLIETILENGLICOL 3350, FORMA FARMACEÚTICA: SOBRES, PRESENTACION: SOBRES X 30</v>
      </c>
      <c r="D126" s="204"/>
      <c r="E126" s="204"/>
      <c r="F126" s="204"/>
      <c r="G126" s="204"/>
      <c r="H126" s="101" t="s">
        <v>333</v>
      </c>
      <c r="I126" s="103" t="str">
        <f>+'Necesidades Trimestrales'!F124</f>
        <v>CAJA</v>
      </c>
      <c r="J126" s="104">
        <f>+'Necesidades Trimestrales'!H124</f>
        <v>1762.5</v>
      </c>
      <c r="K126" s="105">
        <v>1</v>
      </c>
    </row>
    <row r="127" spans="1:11" ht="32.25" customHeight="1" thickBot="1" x14ac:dyDescent="0.25">
      <c r="A127" s="101">
        <v>116</v>
      </c>
      <c r="B127" s="102" t="str">
        <f>+'Necesidades Trimestrales'!B125</f>
        <v>2.5.2-3603.15</v>
      </c>
      <c r="C127" s="203" t="str">
        <f>+'Necesidades Trimestrales'!E125</f>
        <v>EVACUANTES INTESTINALES; TIPO: MONODROGA, DROGA GENERICA: POLIETILENGLICOL, FORMA FARMACEUTICA: SOLUCION, PRESENTACION: ENVASE X 4 L</v>
      </c>
      <c r="D127" s="204"/>
      <c r="E127" s="204"/>
      <c r="F127" s="204"/>
      <c r="G127" s="204"/>
      <c r="H127" s="101" t="s">
        <v>47</v>
      </c>
      <c r="I127" s="103" t="str">
        <f>+'Necesidades Trimestrales'!F125</f>
        <v>ENVASE</v>
      </c>
      <c r="J127" s="104">
        <f>+'Necesidades Trimestrales'!H125</f>
        <v>7934</v>
      </c>
      <c r="K127" s="105">
        <v>1</v>
      </c>
    </row>
    <row r="128" spans="1:11" ht="32.25" customHeight="1" thickBot="1" x14ac:dyDescent="0.25">
      <c r="A128" s="101">
        <v>117</v>
      </c>
      <c r="B128" s="102" t="str">
        <f>+'Necesidades Trimestrales'!B126</f>
        <v>2.5.2-2455.27</v>
      </c>
      <c r="C128" s="203" t="str">
        <f>+'Necesidades Trimestrales'!E126</f>
        <v>ANESTESICOS GENERALES; DROGA GENERICA: PROPOFOL 200 mGr, FORMA FARMACEUTICA: AMPOLLA, PRESENTACION: ENVASE X 20 mL, TIPO: MONODROGA</v>
      </c>
      <c r="D128" s="204"/>
      <c r="E128" s="204"/>
      <c r="F128" s="204"/>
      <c r="G128" s="204"/>
      <c r="H128" s="101" t="s">
        <v>47</v>
      </c>
      <c r="I128" s="103" t="str">
        <f>+'Necesidades Trimestrales'!F126</f>
        <v>AMPOLLA</v>
      </c>
      <c r="J128" s="104">
        <f>+'Necesidades Trimestrales'!H126</f>
        <v>0</v>
      </c>
      <c r="K128" s="105">
        <v>1</v>
      </c>
    </row>
    <row r="129" spans="1:11" ht="32.25" customHeight="1" thickBot="1" x14ac:dyDescent="0.25">
      <c r="A129" s="101">
        <v>118</v>
      </c>
      <c r="B129" s="102" t="str">
        <f>+'Necesidades Trimestrales'!B127</f>
        <v>2.5.2-2455.48</v>
      </c>
      <c r="C129" s="203" t="str">
        <f>+'Necesidades Trimestrales'!E127</f>
        <v>ANESTESICOS GENERALES; DROGA GENERICA: PROPOFOL 200mGr, FORMA FARMACEUTICA: AMPOLLA, PRESENTACION ENVASE: X 50ml, TIPO: MONODROGA</v>
      </c>
      <c r="D129" s="204"/>
      <c r="E129" s="204"/>
      <c r="F129" s="204"/>
      <c r="G129" s="204"/>
      <c r="H129" s="101" t="s">
        <v>47</v>
      </c>
      <c r="I129" s="103" t="str">
        <f>+'Necesidades Trimestrales'!F127</f>
        <v>AMPOLLA</v>
      </c>
      <c r="J129" s="104">
        <f>+'Necesidades Trimestrales'!H127</f>
        <v>0</v>
      </c>
      <c r="K129" s="105">
        <v>1</v>
      </c>
    </row>
    <row r="130" spans="1:11" ht="32.25" customHeight="1" thickBot="1" x14ac:dyDescent="0.25">
      <c r="A130" s="101">
        <v>119</v>
      </c>
      <c r="B130" s="102" t="str">
        <f>+'Necesidades Trimestrales'!B128</f>
        <v>2.5.2-2455.49</v>
      </c>
      <c r="C130" s="203" t="str">
        <f>+'Necesidades Trimestrales'!E128</f>
        <v>ANESTÉSICOS GENERALES; DROGA GENÉRICA: PROPOFOL 2%, 400MGR, FORMA FARMACEÚTICA: AMPOLLA, PRESENTACIÓN ENVASE: X 50ML, TIPO: MONODROGA</v>
      </c>
      <c r="D130" s="204"/>
      <c r="E130" s="204"/>
      <c r="F130" s="204"/>
      <c r="G130" s="204"/>
      <c r="H130" s="101" t="s">
        <v>47</v>
      </c>
      <c r="I130" s="103" t="str">
        <f>+'Necesidades Trimestrales'!F128</f>
        <v>AMPOLLA</v>
      </c>
      <c r="J130" s="104">
        <f>+'Necesidades Trimestrales'!H128</f>
        <v>0</v>
      </c>
      <c r="K130" s="105">
        <v>1</v>
      </c>
    </row>
    <row r="131" spans="1:11" ht="32.25" customHeight="1" thickBot="1" x14ac:dyDescent="0.25">
      <c r="A131" s="101">
        <v>120</v>
      </c>
      <c r="B131" s="102" t="str">
        <f>+'Necesidades Trimestrales'!B129</f>
        <v>2.5.2-1883.173</v>
      </c>
      <c r="C131" s="203" t="str">
        <f>+'Necesidades Trimestrales'!E129</f>
        <v>ANESTESICOS LOCALES; TIPO: MONODROGA, DROGA GENERICA: REMIFENTANILO 5 mGr, FORMA FARMACEUTICA: AMPOLLA, PRESENTACION: UNIDAD</v>
      </c>
      <c r="D131" s="204"/>
      <c r="E131" s="204"/>
      <c r="F131" s="204"/>
      <c r="G131" s="204"/>
      <c r="H131" s="101" t="s">
        <v>47</v>
      </c>
      <c r="I131" s="103" t="str">
        <f>+'Necesidades Trimestrales'!F129</f>
        <v>AMPOLLA</v>
      </c>
      <c r="J131" s="104">
        <f>+'Necesidades Trimestrales'!H129</f>
        <v>345</v>
      </c>
      <c r="K131" s="105">
        <v>1</v>
      </c>
    </row>
    <row r="132" spans="1:11" ht="32.25" customHeight="1" thickBot="1" x14ac:dyDescent="0.25">
      <c r="A132" s="101">
        <v>121</v>
      </c>
      <c r="B132" s="102" t="str">
        <f>+'Necesidades Trimestrales'!B130</f>
        <v>2.5.2-1821.201</v>
      </c>
      <c r="C132" s="203" t="str">
        <f>+'Necesidades Trimestrales'!E130</f>
        <v>ANTIBIOTICOS P/PERSONAS; TIPO: ANTITUBERCULOSTATICO, DROGA GENERICA: RIFAMPICINA X 2 GR, FORMA FARMACEUTICA: EN SUSPENSION CADA 100 mL, PRESENTACION: FRASCO X 50 Ml</v>
      </c>
      <c r="D132" s="204"/>
      <c r="E132" s="204"/>
      <c r="F132" s="204"/>
      <c r="G132" s="204"/>
      <c r="H132" s="101" t="s">
        <v>47</v>
      </c>
      <c r="I132" s="103" t="str">
        <f>+'Necesidades Trimestrales'!F130</f>
        <v>FRASCO</v>
      </c>
      <c r="J132" s="104">
        <f>+'Necesidades Trimestrales'!H130</f>
        <v>850</v>
      </c>
      <c r="K132" s="105">
        <v>1</v>
      </c>
    </row>
    <row r="133" spans="1:11" ht="32.25" customHeight="1" thickBot="1" x14ac:dyDescent="0.25">
      <c r="A133" s="101">
        <v>122</v>
      </c>
      <c r="B133" s="102" t="str">
        <f>+'Necesidades Trimestrales'!B131</f>
        <v>2.5.2-1822.6</v>
      </c>
      <c r="C133" s="203" t="str">
        <f>+'Necesidades Trimestrales'!E131</f>
        <v>ANTIMICOBACTERIAS; TIPO: MONODROGA, DROGA GENERICA: RIFAMPICINA, PRESENTACION: 300 mGr, FORMA FARMACEUTICA: CAPSULA</v>
      </c>
      <c r="D133" s="204"/>
      <c r="E133" s="204"/>
      <c r="F133" s="204"/>
      <c r="G133" s="204"/>
      <c r="H133" s="101" t="s">
        <v>47</v>
      </c>
      <c r="I133" s="103" t="str">
        <f>+'Necesidades Trimestrales'!F131</f>
        <v>CAPSULAS</v>
      </c>
      <c r="J133" s="104">
        <f>+'Necesidades Trimestrales'!H131</f>
        <v>37</v>
      </c>
      <c r="K133" s="105">
        <v>1</v>
      </c>
    </row>
    <row r="134" spans="1:11" ht="32.25" customHeight="1" thickBot="1" x14ac:dyDescent="0.25">
      <c r="A134" s="101">
        <v>123</v>
      </c>
      <c r="B134" s="102" t="str">
        <f>+'Necesidades Trimestrales'!B132</f>
        <v>2.5.2-1821.219</v>
      </c>
      <c r="C134" s="203" t="str">
        <f>+'Necesidades Trimestrales'!E132</f>
        <v>ANTIBIOTICOS P/PERSONAS; TIPO: MONODROGA, DROGA GENERICA: RIFAMPICINA, FORMA FARMACEUTICA: FRASCO AMPOLLA, PRESENTACION: 600 mGr</v>
      </c>
      <c r="D134" s="204"/>
      <c r="E134" s="204"/>
      <c r="F134" s="204"/>
      <c r="G134" s="204"/>
      <c r="H134" s="101" t="s">
        <v>47</v>
      </c>
      <c r="I134" s="103" t="str">
        <f>+'Necesidades Trimestrales'!F132</f>
        <v>AMPOLLA</v>
      </c>
      <c r="J134" s="104">
        <f>+'Necesidades Trimestrales'!H132</f>
        <v>1360</v>
      </c>
      <c r="K134" s="105">
        <v>1</v>
      </c>
    </row>
    <row r="135" spans="1:11" ht="32.25" customHeight="1" thickBot="1" x14ac:dyDescent="0.25">
      <c r="A135" s="101">
        <v>124</v>
      </c>
      <c r="B135" s="102" t="str">
        <f>+'Necesidades Trimestrales'!B133</f>
        <v>2.5.2-2455.31</v>
      </c>
      <c r="C135" s="203" t="str">
        <f>+'Necesidades Trimestrales'!E133</f>
        <v>ANESTESICOS GENERALES; DROGA GENERICA: SEVOFLUORANO, FORMA FARMACEUTICA: SOLUCION, PRESENTACION: ENVASE X 250 mL, TIPO: MONODROGA</v>
      </c>
      <c r="D135" s="204"/>
      <c r="E135" s="204"/>
      <c r="F135" s="204"/>
      <c r="G135" s="204"/>
      <c r="H135" s="101" t="s">
        <v>47</v>
      </c>
      <c r="I135" s="103" t="str">
        <f>+'Necesidades Trimestrales'!F133</f>
        <v>FRASCO</v>
      </c>
      <c r="J135" s="104">
        <f>+'Necesidades Trimestrales'!H133</f>
        <v>15580</v>
      </c>
      <c r="K135" s="105">
        <v>1</v>
      </c>
    </row>
    <row r="136" spans="1:11" ht="32.25" customHeight="1" thickBot="1" x14ac:dyDescent="0.25">
      <c r="A136" s="101">
        <v>125</v>
      </c>
      <c r="B136" s="102" t="str">
        <f>+'Necesidades Trimestrales'!B134</f>
        <v>2.5.2-2199.2</v>
      </c>
      <c r="C136" s="203" t="str">
        <f>+'Necesidades Trimestrales'!E134</f>
        <v>BLOQUEANTES NEUROMUSCULARES; DROGA GENERICA: SUCCINILCOLINA, FORMA FARMACEUTICA: AMPOLLA, PRESENTACION: 500 mGr, TIPO: MONODROGA</v>
      </c>
      <c r="D136" s="204"/>
      <c r="E136" s="204"/>
      <c r="F136" s="204"/>
      <c r="G136" s="204"/>
      <c r="H136" s="101" t="s">
        <v>47</v>
      </c>
      <c r="I136" s="103" t="str">
        <f>+'Necesidades Trimestrales'!F134</f>
        <v>AMPOLLA</v>
      </c>
      <c r="J136" s="104">
        <f>+'Necesidades Trimestrales'!H134</f>
        <v>340</v>
      </c>
      <c r="K136" s="105">
        <v>1</v>
      </c>
    </row>
    <row r="137" spans="1:11" ht="32.25" customHeight="1" thickBot="1" x14ac:dyDescent="0.25">
      <c r="A137" s="101">
        <v>126</v>
      </c>
      <c r="B137" s="102" t="str">
        <f>+'Necesidades Trimestrales'!B135</f>
        <v>2.5.2-1821.423</v>
      </c>
      <c r="C137" s="203" t="str">
        <f>+'Necesidades Trimestrales'!E135</f>
        <v>ANTIBIOTICOS P/PERSONAS; TIPO: MONODROGA, DROGA GENERICA: TIGECICLINA 50 mGr, FORMA FARMACEUTICA: FRASCO AMPOLLA, PRESENTACION: UNIDAD</v>
      </c>
      <c r="D137" s="204"/>
      <c r="E137" s="204"/>
      <c r="F137" s="204"/>
      <c r="G137" s="204"/>
      <c r="H137" s="101" t="s">
        <v>47</v>
      </c>
      <c r="I137" s="103" t="str">
        <f>+'Necesidades Trimestrales'!F135</f>
        <v>AMPOLLA</v>
      </c>
      <c r="J137" s="104">
        <f>+'Necesidades Trimestrales'!H135</f>
        <v>1252</v>
      </c>
      <c r="K137" s="105">
        <v>1</v>
      </c>
    </row>
    <row r="138" spans="1:11" ht="32.25" customHeight="1" thickBot="1" x14ac:dyDescent="0.25">
      <c r="A138" s="101">
        <v>127</v>
      </c>
      <c r="B138" s="102" t="str">
        <f>+'Necesidades Trimestrales'!B136</f>
        <v>2.5.2-2455.34</v>
      </c>
      <c r="C138" s="203" t="str">
        <f>+'Necesidades Trimestrales'!E136</f>
        <v>ANESTESICOS GENERALES; DROGA GENERICA: TIOPENTAL SODICO 1 GR, FORMA FARMACEUTICA: FRASCO AMPOLLA, PRESENTACION: UNIDAD, TIPO: MONODROGA</v>
      </c>
      <c r="D138" s="204"/>
      <c r="E138" s="204"/>
      <c r="F138" s="204"/>
      <c r="G138" s="204"/>
      <c r="H138" s="101" t="s">
        <v>47</v>
      </c>
      <c r="I138" s="103" t="str">
        <f>+'Necesidades Trimestrales'!F136</f>
        <v>AMPOLLA</v>
      </c>
      <c r="J138" s="104">
        <f>+'Necesidades Trimestrales'!H136</f>
        <v>695</v>
      </c>
      <c r="K138" s="105">
        <v>1</v>
      </c>
    </row>
    <row r="139" spans="1:11" ht="32.25" customHeight="1" thickBot="1" x14ac:dyDescent="0.25">
      <c r="A139" s="101">
        <v>128</v>
      </c>
      <c r="B139" s="102" t="str">
        <f>+'Necesidades Trimestrales'!B137</f>
        <v>2.5.2-1724.154</v>
      </c>
      <c r="C139" s="203" t="str">
        <f>+'Necesidades Trimestrales'!E137</f>
        <v>ANALGESICOS; TIPO: MONODROGA, DROGA GENERICA: TRAMADOL 50 mGr, FORMA FARMACEUTICA: AMPOLLA, PRESENTACION: UNIDAD</v>
      </c>
      <c r="D139" s="204"/>
      <c r="E139" s="204"/>
      <c r="F139" s="204"/>
      <c r="G139" s="204"/>
      <c r="H139" s="101" t="s">
        <v>47</v>
      </c>
      <c r="I139" s="103" t="str">
        <f>+'Necesidades Trimestrales'!F137</f>
        <v>AMPOLLA</v>
      </c>
      <c r="J139" s="104">
        <f>+'Necesidades Trimestrales'!H137</f>
        <v>65</v>
      </c>
      <c r="K139" s="105">
        <v>1</v>
      </c>
    </row>
    <row r="140" spans="1:11" ht="32.25" customHeight="1" thickBot="1" x14ac:dyDescent="0.25">
      <c r="A140" s="101">
        <v>129</v>
      </c>
      <c r="B140" s="102" t="str">
        <f>+'Necesidades Trimestrales'!B138</f>
        <v>2.5.2-1821.510</v>
      </c>
      <c r="C140" s="203" t="str">
        <f>+'Necesidades Trimestrales'!E138</f>
        <v>ANTIBIOTICOS P/PERSONAS; TIPO: MONODROGA, DROGA GENERICA: VANCOMICINA 1 GR, FORMA FARMACEUTICA: FRASCO AMPOLLA, PRESENTACION: UNIDAD</v>
      </c>
      <c r="D140" s="204"/>
      <c r="E140" s="204"/>
      <c r="F140" s="204"/>
      <c r="G140" s="204"/>
      <c r="H140" s="101" t="s">
        <v>47</v>
      </c>
      <c r="I140" s="103" t="str">
        <f>+'Necesidades Trimestrales'!F138</f>
        <v>AMPOLLA</v>
      </c>
      <c r="J140" s="104">
        <f>+'Necesidades Trimestrales'!H138</f>
        <v>335</v>
      </c>
      <c r="K140" s="105">
        <v>1</v>
      </c>
    </row>
    <row r="141" spans="1:11" ht="32.25" customHeight="1" thickBot="1" x14ac:dyDescent="0.25">
      <c r="A141" s="101">
        <v>130</v>
      </c>
      <c r="B141" s="102" t="str">
        <f>+'Necesidades Trimestrales'!B139</f>
        <v>2.5.2-1821.44</v>
      </c>
      <c r="C141" s="203" t="str">
        <f>+'Necesidades Trimestrales'!E139</f>
        <v>ANTIBIOTICOS P/PERSONAS; DROGA GENERICA: VANCOMICINA, FORMA FARMACEUTICA: AMPOLLA, TIPO: MONODROGA, PRESENTACION: 500 mGr</v>
      </c>
      <c r="D141" s="204"/>
      <c r="E141" s="204"/>
      <c r="F141" s="204"/>
      <c r="G141" s="204"/>
      <c r="H141" s="101" t="s">
        <v>47</v>
      </c>
      <c r="I141" s="103" t="str">
        <f>+'Necesidades Trimestrales'!F139</f>
        <v>AMPOLLA</v>
      </c>
      <c r="J141" s="104">
        <f>+'Necesidades Trimestrales'!H139</f>
        <v>188</v>
      </c>
      <c r="K141" s="105">
        <v>1</v>
      </c>
    </row>
    <row r="142" spans="1:11" ht="32.25" customHeight="1" thickBot="1" x14ac:dyDescent="0.25">
      <c r="A142" s="101">
        <v>131</v>
      </c>
      <c r="B142" s="102" t="str">
        <f>+'Necesidades Trimestrales'!B140</f>
        <v>2.5.2-2199.13</v>
      </c>
      <c r="C142" s="203" t="str">
        <f>+'Necesidades Trimestrales'!E140</f>
        <v>BLOQUEANTES NEUROMUSCULARES; DROGA GENERICA: BROMURO DE VECURONIO, FORMA FARMACEUTICA: AMPOLLA X 10 mGr, PRESENTACION: UNIDAD, TIPO: MONODROGA</v>
      </c>
      <c r="D142" s="204"/>
      <c r="E142" s="204"/>
      <c r="F142" s="204"/>
      <c r="G142" s="204"/>
      <c r="H142" s="101" t="s">
        <v>47</v>
      </c>
      <c r="I142" s="103" t="str">
        <f>+'Necesidades Trimestrales'!F140</f>
        <v>AMPOLLA</v>
      </c>
      <c r="J142" s="104">
        <f>+'Necesidades Trimestrales'!H140</f>
        <v>864</v>
      </c>
      <c r="K142" s="105">
        <v>1</v>
      </c>
    </row>
    <row r="143" spans="1:11" ht="12.75" customHeight="1" thickBot="1" x14ac:dyDescent="0.25">
      <c r="A143" s="223" t="s">
        <v>48</v>
      </c>
      <c r="B143" s="204"/>
      <c r="C143" s="204"/>
      <c r="D143" s="204"/>
      <c r="E143" s="204"/>
      <c r="F143" s="204"/>
      <c r="G143" s="204"/>
      <c r="H143" s="204"/>
      <c r="I143" s="204"/>
      <c r="J143" s="222">
        <f>SUMPRODUCT(J12:J142,K12:K142)</f>
        <v>765344.06</v>
      </c>
      <c r="K143" s="204"/>
    </row>
  </sheetData>
  <autoFilter ref="A11:K143" xr:uid="{00000000-0009-0000-0000-000001000000}">
    <filterColumn colId="2" showButton="0"/>
    <filterColumn colId="3" showButton="0"/>
    <filterColumn colId="4" showButton="0"/>
    <filterColumn colId="5" showButton="0"/>
  </autoFilter>
  <mergeCells count="153">
    <mergeCell ref="C115:G115"/>
    <mergeCell ref="C116:G116"/>
    <mergeCell ref="C123:G123"/>
    <mergeCell ref="C117:G117"/>
    <mergeCell ref="C118:G118"/>
    <mergeCell ref="C119:G119"/>
    <mergeCell ref="C120:G120"/>
    <mergeCell ref="C121:G121"/>
    <mergeCell ref="C122:G122"/>
    <mergeCell ref="J143:K143"/>
    <mergeCell ref="C139:G139"/>
    <mergeCell ref="C140:G140"/>
    <mergeCell ref="C141:G141"/>
    <mergeCell ref="C142:G142"/>
    <mergeCell ref="C134:G134"/>
    <mergeCell ref="C133:G133"/>
    <mergeCell ref="C124:G124"/>
    <mergeCell ref="C125:G125"/>
    <mergeCell ref="C126:G126"/>
    <mergeCell ref="C137:G137"/>
    <mergeCell ref="C138:G138"/>
    <mergeCell ref="C135:G135"/>
    <mergeCell ref="C136:G136"/>
    <mergeCell ref="C127:G127"/>
    <mergeCell ref="C128:G128"/>
    <mergeCell ref="C129:G129"/>
    <mergeCell ref="C130:G130"/>
    <mergeCell ref="C131:G131"/>
    <mergeCell ref="C132:G132"/>
    <mergeCell ref="A143:I143"/>
    <mergeCell ref="C108:G108"/>
    <mergeCell ref="C109:G109"/>
    <mergeCell ref="C110:G110"/>
    <mergeCell ref="C111:G111"/>
    <mergeCell ref="C112:G112"/>
    <mergeCell ref="C105:G105"/>
    <mergeCell ref="C106:G106"/>
    <mergeCell ref="C107:G107"/>
    <mergeCell ref="C114:G114"/>
    <mergeCell ref="C113:G113"/>
    <mergeCell ref="C104:G104"/>
    <mergeCell ref="C98:G98"/>
    <mergeCell ref="C99:G99"/>
    <mergeCell ref="C100:G100"/>
    <mergeCell ref="C101:G101"/>
    <mergeCell ref="C102:G102"/>
    <mergeCell ref="C103:G103"/>
    <mergeCell ref="C95:G95"/>
    <mergeCell ref="C96:G96"/>
    <mergeCell ref="C97:G97"/>
    <mergeCell ref="C94:G94"/>
    <mergeCell ref="C88:G88"/>
    <mergeCell ref="C89:G89"/>
    <mergeCell ref="C90:G90"/>
    <mergeCell ref="C91:G91"/>
    <mergeCell ref="C92:G92"/>
    <mergeCell ref="C93:G93"/>
    <mergeCell ref="C85:G85"/>
    <mergeCell ref="C86:G86"/>
    <mergeCell ref="C87:G87"/>
    <mergeCell ref="C84:G84"/>
    <mergeCell ref="C80:G80"/>
    <mergeCell ref="C81:G81"/>
    <mergeCell ref="C82:G82"/>
    <mergeCell ref="C83:G83"/>
    <mergeCell ref="C73:G73"/>
    <mergeCell ref="C74:G74"/>
    <mergeCell ref="C77:G77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  <mergeCell ref="J10:J11"/>
    <mergeCell ref="C78:G78"/>
    <mergeCell ref="A1:I1"/>
    <mergeCell ref="D6:K6"/>
    <mergeCell ref="D7:K7"/>
    <mergeCell ref="D8:K8"/>
    <mergeCell ref="K10:K11"/>
    <mergeCell ref="C59:G59"/>
    <mergeCell ref="C58:G58"/>
    <mergeCell ref="C12:G12"/>
    <mergeCell ref="C23:G23"/>
    <mergeCell ref="C18:G18"/>
    <mergeCell ref="C19:G19"/>
    <mergeCell ref="C20:G20"/>
    <mergeCell ref="C21:G21"/>
    <mergeCell ref="C22:G22"/>
    <mergeCell ref="C17:G17"/>
    <mergeCell ref="C26:G26"/>
    <mergeCell ref="C27:G27"/>
    <mergeCell ref="C28:G28"/>
    <mergeCell ref="C29:G29"/>
    <mergeCell ref="C30:G30"/>
    <mergeCell ref="C31:G31"/>
    <mergeCell ref="C32:G32"/>
    <mergeCell ref="C33:G33"/>
    <mergeCell ref="C44:G44"/>
    <mergeCell ref="C40:G40"/>
    <mergeCell ref="C41:G41"/>
    <mergeCell ref="C79:G79"/>
    <mergeCell ref="C60:G60"/>
    <mergeCell ref="C45:G45"/>
    <mergeCell ref="C36:G36"/>
    <mergeCell ref="C46:G46"/>
    <mergeCell ref="C47:G47"/>
    <mergeCell ref="C48:G48"/>
    <mergeCell ref="C49:G49"/>
    <mergeCell ref="C50:G50"/>
    <mergeCell ref="C56:G56"/>
    <mergeCell ref="C57:G57"/>
    <mergeCell ref="C71:G71"/>
    <mergeCell ref="C72:G72"/>
    <mergeCell ref="C66:G66"/>
    <mergeCell ref="C67:G67"/>
    <mergeCell ref="C68:G68"/>
    <mergeCell ref="C69:G69"/>
    <mergeCell ref="C75:G75"/>
    <mergeCell ref="C76:G76"/>
    <mergeCell ref="C13:G13"/>
    <mergeCell ref="C14:G14"/>
    <mergeCell ref="C15:G15"/>
    <mergeCell ref="C16:G16"/>
    <mergeCell ref="C54:G54"/>
    <mergeCell ref="C55:G55"/>
    <mergeCell ref="C70:G70"/>
    <mergeCell ref="C61:G61"/>
    <mergeCell ref="C62:G62"/>
    <mergeCell ref="C63:G63"/>
    <mergeCell ref="C64:G64"/>
    <mergeCell ref="C65:G65"/>
    <mergeCell ref="C53:G53"/>
    <mergeCell ref="C34:G34"/>
    <mergeCell ref="C35:G35"/>
    <mergeCell ref="C51:G51"/>
    <mergeCell ref="C52:G52"/>
    <mergeCell ref="C42:G42"/>
    <mergeCell ref="C43:G43"/>
    <mergeCell ref="C24:G24"/>
    <mergeCell ref="C25:G25"/>
    <mergeCell ref="C37:G37"/>
    <mergeCell ref="C38:G38"/>
    <mergeCell ref="C39:G39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"/>
  <sheetViews>
    <sheetView workbookViewId="0">
      <selection activeCell="W25" sqref="W25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47" t="s">
        <v>5</v>
      </c>
      <c r="B1" s="207"/>
      <c r="C1" s="207"/>
      <c r="D1" s="248">
        <f>'Necesidades Trimestrales'!C6</f>
        <v>2022</v>
      </c>
      <c r="E1" s="208"/>
      <c r="F1" s="13"/>
      <c r="G1" s="13"/>
      <c r="H1" s="14"/>
      <c r="I1" s="14"/>
      <c r="J1" s="14"/>
      <c r="K1" s="14"/>
      <c r="L1" s="14"/>
      <c r="M1" s="14"/>
      <c r="N1" s="14"/>
      <c r="P1" s="241" t="s">
        <v>49</v>
      </c>
      <c r="Q1" s="235"/>
    </row>
    <row r="2" spans="1:18" ht="15.75" customHeight="1" x14ac:dyDescent="0.2">
      <c r="G2" s="15"/>
      <c r="H2" s="14"/>
      <c r="I2" s="14"/>
      <c r="J2" s="14"/>
      <c r="K2" s="14"/>
      <c r="L2" s="14"/>
      <c r="M2" s="14"/>
      <c r="N2" s="14"/>
      <c r="P2" s="227"/>
      <c r="Q2" s="229"/>
    </row>
    <row r="3" spans="1:18" ht="12.75" customHeight="1" x14ac:dyDescent="0.2">
      <c r="G3" s="15"/>
    </row>
    <row r="4" spans="1:18" ht="18" customHeight="1" x14ac:dyDescent="0.2">
      <c r="A4" s="242" t="s">
        <v>50</v>
      </c>
      <c r="B4" s="212"/>
      <c r="C4" s="212"/>
      <c r="D4" s="212"/>
      <c r="E4" s="212"/>
      <c r="F4" s="243"/>
      <c r="G4" s="244" t="str">
        <f>' NotaPedido'!D3</f>
        <v>040 - Ministerio de Salud</v>
      </c>
      <c r="H4" s="212"/>
      <c r="I4" s="212"/>
      <c r="J4" s="212"/>
      <c r="K4" s="212"/>
      <c r="L4" s="212"/>
      <c r="M4" s="212"/>
      <c r="N4" s="212"/>
      <c r="O4" s="212"/>
      <c r="P4" s="212"/>
      <c r="Q4" s="243"/>
      <c r="R4" s="16"/>
    </row>
    <row r="5" spans="1:18" ht="18" customHeight="1" x14ac:dyDescent="0.2">
      <c r="A5" s="246" t="s">
        <v>32</v>
      </c>
      <c r="B5" s="212"/>
      <c r="C5" s="212"/>
      <c r="D5" s="212"/>
      <c r="E5" s="212"/>
      <c r="F5" s="243"/>
      <c r="G5" s="245" t="str">
        <f>' NotaPedido'!D4</f>
        <v>11/ 23/ 24  o  28- "…......."</v>
      </c>
      <c r="H5" s="212"/>
      <c r="I5" s="212"/>
      <c r="J5" s="212"/>
      <c r="K5" s="212"/>
      <c r="L5" s="212"/>
      <c r="M5" s="212"/>
      <c r="N5" s="212"/>
      <c r="O5" s="212"/>
      <c r="P5" s="212"/>
      <c r="Q5" s="243"/>
      <c r="R5" s="16"/>
    </row>
    <row r="6" spans="1:18" ht="18" customHeight="1" x14ac:dyDescent="0.2">
      <c r="A6" s="246" t="s">
        <v>33</v>
      </c>
      <c r="B6" s="212"/>
      <c r="C6" s="212"/>
      <c r="D6" s="212"/>
      <c r="E6" s="212"/>
      <c r="F6" s="243"/>
      <c r="G6" s="245" t="str">
        <f>' NotaPedido'!D5</f>
        <v>XXXX</v>
      </c>
      <c r="H6" s="212"/>
      <c r="I6" s="212"/>
      <c r="J6" s="212"/>
      <c r="K6" s="212"/>
      <c r="L6" s="212"/>
      <c r="M6" s="212"/>
      <c r="N6" s="212"/>
      <c r="O6" s="212"/>
      <c r="P6" s="212"/>
      <c r="Q6" s="243"/>
      <c r="R6" s="16"/>
    </row>
    <row r="7" spans="1:18" ht="18" customHeight="1" x14ac:dyDescent="0.2">
      <c r="A7" s="246" t="s">
        <v>35</v>
      </c>
      <c r="B7" s="212"/>
      <c r="C7" s="212"/>
      <c r="D7" s="212"/>
      <c r="E7" s="212"/>
      <c r="F7" s="243"/>
      <c r="G7" s="245" t="str">
        <f>' NotaPedido'!D6</f>
        <v>XXXX</v>
      </c>
      <c r="H7" s="212"/>
      <c r="I7" s="212"/>
      <c r="J7" s="212"/>
      <c r="K7" s="212"/>
      <c r="L7" s="212"/>
      <c r="M7" s="212"/>
      <c r="N7" s="212"/>
      <c r="O7" s="212"/>
      <c r="P7" s="212"/>
      <c r="Q7" s="243"/>
      <c r="R7" s="16"/>
    </row>
    <row r="8" spans="1:18" ht="18" customHeight="1" x14ac:dyDescent="0.2">
      <c r="A8" s="249" t="s">
        <v>51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43"/>
    </row>
    <row r="9" spans="1:18" ht="18" customHeight="1" x14ac:dyDescent="0.2">
      <c r="A9" s="250" t="s">
        <v>52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16"/>
      <c r="P9" s="16"/>
      <c r="Q9" s="17"/>
    </row>
    <row r="10" spans="1:18" ht="54.75" customHeight="1" x14ac:dyDescent="0.2">
      <c r="A10" s="252" t="str">
        <f>"Autorizo la realización de los  trámites correspondientes, a fin de proveer a  este Organismo los bienes y/o servicios que se detallan en Nota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253"/>
    </row>
    <row r="11" spans="1:18" ht="9" customHeight="1" x14ac:dyDescent="0.2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8" ht="15.75" customHeight="1" x14ac:dyDescent="0.2">
      <c r="A12" s="254" t="s">
        <v>53</v>
      </c>
      <c r="B12" s="234"/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5"/>
    </row>
    <row r="13" spans="1:18" ht="15.75" customHeight="1" x14ac:dyDescent="0.2">
      <c r="A13" s="255" t="s">
        <v>54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43"/>
      <c r="O13" s="257" t="s">
        <v>55</v>
      </c>
      <c r="P13" s="235"/>
      <c r="Q13" s="260" t="s">
        <v>56</v>
      </c>
    </row>
    <row r="14" spans="1:18" ht="15.75" customHeight="1" thickBot="1" x14ac:dyDescent="0.25">
      <c r="A14" s="22" t="s">
        <v>57</v>
      </c>
      <c r="B14" s="23" t="s">
        <v>58</v>
      </c>
      <c r="C14" s="23" t="s">
        <v>59</v>
      </c>
      <c r="D14" s="23" t="s">
        <v>60</v>
      </c>
      <c r="E14" s="23" t="s">
        <v>61</v>
      </c>
      <c r="F14" s="23" t="s">
        <v>62</v>
      </c>
      <c r="G14" s="24" t="s">
        <v>63</v>
      </c>
      <c r="H14" s="23" t="s">
        <v>64</v>
      </c>
      <c r="I14" s="23" t="s">
        <v>65</v>
      </c>
      <c r="J14" s="23" t="s">
        <v>66</v>
      </c>
      <c r="K14" s="23" t="s">
        <v>66</v>
      </c>
      <c r="L14" s="23" t="s">
        <v>67</v>
      </c>
      <c r="M14" s="25" t="s">
        <v>68</v>
      </c>
      <c r="N14" s="26" t="s">
        <v>69</v>
      </c>
      <c r="O14" s="258"/>
      <c r="P14" s="259"/>
      <c r="Q14" s="259"/>
    </row>
    <row r="15" spans="1:18" ht="26.25" customHeight="1" x14ac:dyDescent="0.2">
      <c r="A15" s="27"/>
      <c r="B15" s="28"/>
      <c r="C15" s="28"/>
      <c r="D15" s="29"/>
      <c r="E15" s="28"/>
      <c r="F15" s="28">
        <v>4901</v>
      </c>
      <c r="G15" s="28">
        <v>3</v>
      </c>
      <c r="H15" s="28">
        <v>310</v>
      </c>
      <c r="I15" s="29">
        <v>2</v>
      </c>
      <c r="J15" s="29">
        <v>5</v>
      </c>
      <c r="K15" s="29">
        <v>2</v>
      </c>
      <c r="L15" s="28"/>
      <c r="M15" s="30">
        <v>1</v>
      </c>
      <c r="N15" s="28" t="s">
        <v>70</v>
      </c>
      <c r="O15" s="261" t="s">
        <v>334</v>
      </c>
      <c r="P15" s="262"/>
      <c r="Q15" s="31"/>
    </row>
    <row r="16" spans="1:18" ht="17.25" customHeight="1" x14ac:dyDescent="0.2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35"/>
      <c r="O16" s="236"/>
      <c r="P16" s="237"/>
      <c r="Q16" s="36"/>
    </row>
    <row r="17" spans="1:18" ht="17.25" customHeight="1" x14ac:dyDescent="0.2">
      <c r="A17" s="32"/>
      <c r="B17" s="33"/>
      <c r="C17" s="33"/>
      <c r="D17" s="33"/>
      <c r="E17" s="33"/>
      <c r="F17" s="35"/>
      <c r="G17" s="33"/>
      <c r="H17" s="33"/>
      <c r="I17" s="33"/>
      <c r="J17" s="33"/>
      <c r="K17" s="33"/>
      <c r="L17" s="33"/>
      <c r="M17" s="34"/>
      <c r="N17" s="35"/>
      <c r="O17" s="236"/>
      <c r="P17" s="237"/>
      <c r="Q17" s="36"/>
    </row>
    <row r="18" spans="1:18" ht="17.25" customHeight="1" x14ac:dyDescent="0.2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  <c r="O18" s="236"/>
      <c r="P18" s="237"/>
      <c r="Q18" s="36"/>
    </row>
    <row r="19" spans="1:18" ht="17.25" customHeight="1" x14ac:dyDescent="0.2">
      <c r="A19" s="32"/>
      <c r="B19" s="33"/>
      <c r="C19" s="33"/>
      <c r="D19" s="33"/>
      <c r="E19" s="33"/>
      <c r="F19" s="35"/>
      <c r="G19" s="33"/>
      <c r="H19" s="33"/>
      <c r="I19" s="33"/>
      <c r="J19" s="33"/>
      <c r="K19" s="33"/>
      <c r="L19" s="33"/>
      <c r="M19" s="34"/>
      <c r="N19" s="35"/>
      <c r="O19" s="236"/>
      <c r="P19" s="237"/>
      <c r="Q19" s="36"/>
    </row>
    <row r="20" spans="1:18" ht="17.25" customHeight="1" x14ac:dyDescent="0.2">
      <c r="A20" s="32"/>
      <c r="B20" s="33"/>
      <c r="C20" s="33"/>
      <c r="D20" s="33"/>
      <c r="E20" s="33"/>
      <c r="F20" s="35"/>
      <c r="G20" s="33"/>
      <c r="H20" s="33"/>
      <c r="I20" s="33"/>
      <c r="J20" s="33"/>
      <c r="K20" s="33"/>
      <c r="L20" s="33"/>
      <c r="M20" s="34"/>
      <c r="N20" s="35"/>
      <c r="O20" s="236"/>
      <c r="P20" s="237"/>
      <c r="Q20" s="36"/>
    </row>
    <row r="21" spans="1:18" ht="17.25" customHeight="1" x14ac:dyDescent="0.2">
      <c r="A21" s="37"/>
      <c r="B21" s="38"/>
      <c r="C21" s="38"/>
      <c r="D21" s="38"/>
      <c r="E21" s="38"/>
      <c r="F21" s="35"/>
      <c r="G21" s="38"/>
      <c r="H21" s="38"/>
      <c r="I21" s="38"/>
      <c r="J21" s="38"/>
      <c r="K21" s="38"/>
      <c r="L21" s="38"/>
      <c r="M21" s="39"/>
      <c r="N21" s="40"/>
      <c r="O21" s="236"/>
      <c r="P21" s="237"/>
      <c r="Q21" s="36"/>
      <c r="R21" s="16"/>
    </row>
    <row r="22" spans="1:18" ht="17.25" customHeight="1" x14ac:dyDescent="0.2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3"/>
      <c r="N22" s="42"/>
      <c r="O22" s="238"/>
      <c r="P22" s="239"/>
      <c r="Q22" s="44"/>
    </row>
    <row r="23" spans="1:18" ht="29.25" customHeight="1" x14ac:dyDescent="0.2">
      <c r="A23" s="230" t="s">
        <v>71</v>
      </c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2"/>
      <c r="Q23" s="45">
        <f>SUM(Q15:Q22)</f>
        <v>0</v>
      </c>
    </row>
    <row r="24" spans="1:18" ht="18" customHeight="1" x14ac:dyDescent="0.2">
      <c r="A24" s="233"/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5"/>
    </row>
    <row r="25" spans="1:18" ht="17.25" customHeight="1" x14ac:dyDescent="0.2">
      <c r="A25" s="240" t="s">
        <v>72</v>
      </c>
      <c r="B25" s="207"/>
      <c r="C25" s="207"/>
      <c r="D25" s="207"/>
      <c r="E25" s="207"/>
      <c r="F25" s="208"/>
      <c r="G25" s="256"/>
      <c r="H25" s="234"/>
      <c r="I25" s="234"/>
      <c r="J25" s="234"/>
      <c r="K25" s="234"/>
      <c r="L25" s="234"/>
      <c r="M25" s="234"/>
      <c r="N25" s="234"/>
      <c r="O25" s="234"/>
      <c r="P25" s="234"/>
      <c r="Q25" s="235"/>
    </row>
    <row r="26" spans="1:18" ht="18" customHeight="1" x14ac:dyDescent="0.2">
      <c r="A26" s="224" t="s">
        <v>73</v>
      </c>
      <c r="B26" s="225"/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6"/>
    </row>
    <row r="27" spans="1:18" ht="15" customHeight="1" x14ac:dyDescent="0.2">
      <c r="A27" s="227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9"/>
    </row>
    <row r="28" spans="1:18" ht="12.75" customHeight="1" x14ac:dyDescent="0.2">
      <c r="G28" s="15"/>
    </row>
    <row r="29" spans="1:18" ht="12.75" customHeight="1" x14ac:dyDescent="0.2">
      <c r="G29" s="15"/>
    </row>
    <row r="30" spans="1:18" ht="12.75" customHeight="1" x14ac:dyDescent="0.2">
      <c r="G30" s="15"/>
    </row>
    <row r="31" spans="1:18" ht="12.75" customHeight="1" x14ac:dyDescent="0.2">
      <c r="G31" s="15"/>
    </row>
    <row r="32" spans="1:18" ht="12.75" customHeight="1" x14ac:dyDescent="0.2">
      <c r="G32" s="15"/>
    </row>
    <row r="33" spans="7:7" ht="12.75" customHeight="1" x14ac:dyDescent="0.2">
      <c r="G33" s="15"/>
    </row>
    <row r="34" spans="7:7" ht="12.75" customHeight="1" x14ac:dyDescent="0.2">
      <c r="G34" s="15"/>
    </row>
    <row r="35" spans="7:7" ht="12.75" customHeight="1" x14ac:dyDescent="0.2">
      <c r="G35" s="15"/>
    </row>
    <row r="36" spans="7:7" ht="12.75" customHeight="1" x14ac:dyDescent="0.2">
      <c r="G36" s="15"/>
    </row>
    <row r="37" spans="7:7" ht="12.75" customHeight="1" x14ac:dyDescent="0.2">
      <c r="G37" s="15"/>
    </row>
    <row r="38" spans="7:7" ht="12.75" customHeight="1" x14ac:dyDescent="0.2">
      <c r="G38" s="15"/>
    </row>
    <row r="39" spans="7:7" ht="12.75" customHeight="1" x14ac:dyDescent="0.2">
      <c r="G39" s="15"/>
    </row>
    <row r="40" spans="7:7" ht="12.75" customHeight="1" x14ac:dyDescent="0.2">
      <c r="G40" s="15"/>
    </row>
    <row r="41" spans="7:7" ht="12.75" customHeight="1" x14ac:dyDescent="0.2">
      <c r="G41" s="15"/>
    </row>
    <row r="42" spans="7:7" ht="12.75" customHeight="1" x14ac:dyDescent="0.2">
      <c r="G42" s="15"/>
    </row>
    <row r="43" spans="7:7" ht="12.75" customHeight="1" x14ac:dyDescent="0.2">
      <c r="G43" s="15"/>
    </row>
    <row r="44" spans="7:7" ht="12.75" customHeight="1" x14ac:dyDescent="0.2">
      <c r="G44" s="15"/>
    </row>
    <row r="45" spans="7:7" ht="12.75" customHeight="1" x14ac:dyDescent="0.2">
      <c r="G45" s="15"/>
    </row>
    <row r="46" spans="7:7" ht="12.75" customHeight="1" x14ac:dyDescent="0.2">
      <c r="G46" s="15"/>
    </row>
    <row r="47" spans="7:7" ht="12.75" customHeight="1" x14ac:dyDescent="0.2">
      <c r="G47" s="15"/>
    </row>
    <row r="48" spans="7:7" ht="12.75" customHeight="1" x14ac:dyDescent="0.2">
      <c r="G48" s="15"/>
    </row>
    <row r="49" spans="7:7" ht="12.75" customHeight="1" x14ac:dyDescent="0.2">
      <c r="G49" s="15"/>
    </row>
    <row r="50" spans="7:7" ht="12.75" customHeight="1" x14ac:dyDescent="0.2">
      <c r="G50" s="15"/>
    </row>
    <row r="51" spans="7:7" ht="12.75" customHeight="1" x14ac:dyDescent="0.2">
      <c r="G51" s="15"/>
    </row>
    <row r="52" spans="7:7" ht="12.75" customHeight="1" x14ac:dyDescent="0.2">
      <c r="G52" s="15"/>
    </row>
    <row r="53" spans="7:7" ht="12.75" customHeight="1" x14ac:dyDescent="0.2">
      <c r="G53" s="15"/>
    </row>
    <row r="54" spans="7:7" ht="12.75" customHeight="1" x14ac:dyDescent="0.2">
      <c r="G54" s="15"/>
    </row>
    <row r="55" spans="7:7" ht="12.75" customHeight="1" x14ac:dyDescent="0.2">
      <c r="G55" s="15"/>
    </row>
    <row r="56" spans="7:7" ht="12.75" customHeight="1" x14ac:dyDescent="0.2">
      <c r="G56" s="15"/>
    </row>
    <row r="57" spans="7:7" ht="12.75" customHeight="1" x14ac:dyDescent="0.2">
      <c r="G57" s="15"/>
    </row>
    <row r="58" spans="7:7" ht="12.75" customHeight="1" x14ac:dyDescent="0.2">
      <c r="G58" s="15"/>
    </row>
    <row r="59" spans="7:7" ht="12.75" customHeight="1" x14ac:dyDescent="0.2">
      <c r="G59" s="15"/>
    </row>
    <row r="60" spans="7:7" ht="12.75" customHeight="1" x14ac:dyDescent="0.2">
      <c r="G60" s="15"/>
    </row>
    <row r="61" spans="7:7" ht="12.75" customHeight="1" x14ac:dyDescent="0.2">
      <c r="G61" s="15"/>
    </row>
    <row r="62" spans="7:7" ht="12.75" customHeight="1" x14ac:dyDescent="0.2">
      <c r="G62" s="15"/>
    </row>
    <row r="63" spans="7:7" ht="12.75" customHeight="1" x14ac:dyDescent="0.2">
      <c r="G63" s="15"/>
    </row>
    <row r="64" spans="7:7" ht="12.75" customHeight="1" x14ac:dyDescent="0.2">
      <c r="G64" s="15"/>
    </row>
    <row r="65" spans="7:7" ht="12.75" customHeight="1" x14ac:dyDescent="0.2">
      <c r="G65" s="15"/>
    </row>
    <row r="66" spans="7:7" ht="12.75" customHeight="1" x14ac:dyDescent="0.2">
      <c r="G66" s="15"/>
    </row>
    <row r="67" spans="7:7" ht="12.75" customHeight="1" x14ac:dyDescent="0.2">
      <c r="G67" s="15"/>
    </row>
    <row r="68" spans="7:7" ht="12.75" customHeight="1" x14ac:dyDescent="0.2">
      <c r="G68" s="15"/>
    </row>
    <row r="69" spans="7:7" ht="12.75" customHeight="1" x14ac:dyDescent="0.2">
      <c r="G69" s="15"/>
    </row>
    <row r="70" spans="7:7" ht="12.75" customHeight="1" x14ac:dyDescent="0.2">
      <c r="G70" s="15"/>
    </row>
    <row r="71" spans="7:7" ht="12.75" customHeight="1" x14ac:dyDescent="0.2">
      <c r="G71" s="15"/>
    </row>
    <row r="72" spans="7:7" ht="12.75" customHeight="1" x14ac:dyDescent="0.2">
      <c r="G72" s="15"/>
    </row>
    <row r="73" spans="7:7" ht="12.75" customHeight="1" x14ac:dyDescent="0.2">
      <c r="G73" s="15"/>
    </row>
    <row r="74" spans="7:7" ht="12.75" customHeight="1" x14ac:dyDescent="0.2">
      <c r="G74" s="15"/>
    </row>
    <row r="75" spans="7:7" ht="12.75" customHeight="1" x14ac:dyDescent="0.2">
      <c r="G75" s="15"/>
    </row>
    <row r="76" spans="7:7" ht="12.75" customHeight="1" x14ac:dyDescent="0.2">
      <c r="G76" s="15"/>
    </row>
    <row r="77" spans="7:7" ht="12.75" customHeight="1" x14ac:dyDescent="0.2">
      <c r="G77" s="15"/>
    </row>
    <row r="78" spans="7:7" ht="12.75" customHeight="1" x14ac:dyDescent="0.2">
      <c r="G78" s="15"/>
    </row>
    <row r="79" spans="7:7" ht="12.75" customHeight="1" x14ac:dyDescent="0.2">
      <c r="G79" s="15"/>
    </row>
    <row r="80" spans="7:7" ht="12.75" customHeight="1" x14ac:dyDescent="0.2">
      <c r="G80" s="15"/>
    </row>
    <row r="81" spans="7:7" ht="12.75" customHeight="1" x14ac:dyDescent="0.2">
      <c r="G81" s="15"/>
    </row>
    <row r="82" spans="7:7" ht="12.75" customHeight="1" x14ac:dyDescent="0.2">
      <c r="G82" s="15"/>
    </row>
    <row r="83" spans="7:7" ht="12.75" customHeight="1" x14ac:dyDescent="0.2">
      <c r="G83" s="15"/>
    </row>
    <row r="84" spans="7:7" ht="12.75" customHeight="1" x14ac:dyDescent="0.2">
      <c r="G84" s="15"/>
    </row>
    <row r="85" spans="7:7" ht="12.75" customHeight="1" x14ac:dyDescent="0.2">
      <c r="G85" s="15"/>
    </row>
    <row r="86" spans="7:7" ht="12.75" customHeight="1" x14ac:dyDescent="0.2">
      <c r="G86" s="15"/>
    </row>
    <row r="87" spans="7:7" ht="12.75" customHeight="1" x14ac:dyDescent="0.2">
      <c r="G87" s="15"/>
    </row>
    <row r="88" spans="7:7" ht="12.75" customHeight="1" x14ac:dyDescent="0.2">
      <c r="G88" s="15"/>
    </row>
    <row r="89" spans="7:7" ht="12.75" customHeight="1" x14ac:dyDescent="0.2">
      <c r="G89" s="15"/>
    </row>
    <row r="90" spans="7:7" ht="12.75" customHeight="1" x14ac:dyDescent="0.2">
      <c r="G90" s="15"/>
    </row>
    <row r="91" spans="7:7" ht="12.75" customHeight="1" x14ac:dyDescent="0.2">
      <c r="G91" s="15"/>
    </row>
    <row r="92" spans="7:7" ht="12.75" customHeight="1" x14ac:dyDescent="0.2">
      <c r="G92" s="15"/>
    </row>
    <row r="93" spans="7:7" ht="12.75" customHeight="1" x14ac:dyDescent="0.2">
      <c r="G93" s="15"/>
    </row>
    <row r="94" spans="7:7" ht="12.75" customHeight="1" x14ac:dyDescent="0.2">
      <c r="G94" s="15"/>
    </row>
    <row r="95" spans="7:7" ht="12.75" customHeight="1" x14ac:dyDescent="0.2">
      <c r="G95" s="15"/>
    </row>
    <row r="96" spans="7:7" ht="12.75" customHeight="1" x14ac:dyDescent="0.2">
      <c r="G96" s="15"/>
    </row>
    <row r="97" spans="7:7" ht="12.75" customHeight="1" x14ac:dyDescent="0.2">
      <c r="G97" s="15"/>
    </row>
    <row r="98" spans="7:7" ht="12.75" customHeight="1" x14ac:dyDescent="0.2">
      <c r="G98" s="15"/>
    </row>
    <row r="99" spans="7:7" ht="12.75" customHeight="1" x14ac:dyDescent="0.2">
      <c r="G99" s="15"/>
    </row>
    <row r="100" spans="7:7" ht="12.75" customHeight="1" x14ac:dyDescent="0.2">
      <c r="G100" s="15"/>
    </row>
  </sheetData>
  <mergeCells count="31">
    <mergeCell ref="A12:Q12"/>
    <mergeCell ref="A13:N13"/>
    <mergeCell ref="G25:Q25"/>
    <mergeCell ref="O13:P14"/>
    <mergeCell ref="Q13:Q14"/>
    <mergeCell ref="O15:P15"/>
    <mergeCell ref="O16:P16"/>
    <mergeCell ref="O17:P17"/>
    <mergeCell ref="O18:P18"/>
    <mergeCell ref="O19:P19"/>
    <mergeCell ref="A8:Q8"/>
    <mergeCell ref="A7:F7"/>
    <mergeCell ref="G7:Q7"/>
    <mergeCell ref="A9:N9"/>
    <mergeCell ref="A10:Q10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26:Q27"/>
    <mergeCell ref="A23:P23"/>
    <mergeCell ref="A24:Q24"/>
    <mergeCell ref="O20:P20"/>
    <mergeCell ref="O21:P21"/>
    <mergeCell ref="O22:P22"/>
    <mergeCell ref="A25:F25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2022-09-12T12:30:39Z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