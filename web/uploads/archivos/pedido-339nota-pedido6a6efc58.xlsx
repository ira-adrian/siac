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3 TRIMESTRE 2022\MS\leche fortificada\"/>
    </mc:Choice>
  </mc:AlternateContent>
  <xr:revisionPtr revIDLastSave="0" documentId="13_ncr:1_{54055485-D47D-45DC-A233-DCB5C252B4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011'!$A$9:$I$11</definedName>
  </definedNames>
  <calcPr calcId="181029"/>
</workbook>
</file>

<file path=xl/calcChain.xml><?xml version="1.0" encoding="utf-8"?>
<calcChain xmlns="http://schemas.openxmlformats.org/spreadsheetml/2006/main">
  <c r="A41" i="3" l="1"/>
  <c r="G6" i="3"/>
  <c r="G7" i="3"/>
  <c r="K12" i="2"/>
  <c r="J12" i="2"/>
  <c r="I12" i="2"/>
  <c r="C12" i="2"/>
  <c r="B12" i="2"/>
  <c r="D4" i="2"/>
  <c r="G5" i="3" s="1"/>
  <c r="D3" i="2"/>
  <c r="G4" i="3" s="1"/>
  <c r="J14" i="2" l="1"/>
  <c r="Q15" i="3" s="1"/>
  <c r="Q38" i="3" s="1"/>
  <c r="I11" i="1" l="1"/>
</calcChain>
</file>

<file path=xl/sharedStrings.xml><?xml version="1.0" encoding="utf-8"?>
<sst xmlns="http://schemas.openxmlformats.org/spreadsheetml/2006/main" count="87" uniqueCount="81">
  <si>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</si>
  <si>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</si>
  <si>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</si>
  <si>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</si>
  <si>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</si>
  <si>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</si>
  <si>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</si>
  <si>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</si>
  <si>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</si>
  <si>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</si>
  <si>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</si>
  <si>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</si>
  <si>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</si>
  <si>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</si>
  <si>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</si>
  <si>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</si>
  <si>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</si>
  <si>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UNIDAD</t>
  </si>
  <si>
    <t>ALIMENTOS</t>
  </si>
  <si>
    <t>2.1.1</t>
  </si>
  <si>
    <t>2.1.1-705.137</t>
  </si>
  <si>
    <t>LECHE; ESTADO: POLVO, TIPO: ENTERA, PROCESO: PASTEURIZADA, AGREGADO: HIERRO, ZINC Y ACIDO ASCORBICO, PRESENTACION: SIN, MATERIAL ENVASE: SIN, ELEM. TRANSPORTE: SIN, MATERIAL ELEM. TRANSPORTE: SIN, CERTIFICADO FORESTAL (GFS): SIN, LIBRE DE GLUTEN: SIN VALOR</t>
  </si>
  <si>
    <t>Se hará constar con caracteres bien visibles.
- Leche apta para niños a partir de un año hasta los seis años.                                                                                                                         -Composición química porcentual.
- Solubilidad.
- Forma de reconstitución para obtener la leche fluida correspondiente.
- Mantenerse en lugar fresco, seco, oscuro y recipiente cerrado, en envase trilaminado de aluminio y envasado al vacío.
- Mes y año de elaboración.
- Fecha de vencimiento: No inferior a 12 (doce) meses a partir de la fecha de recepción.
- Identificación de partida y/o número de lote.                                                      - ROTULACION: para determinar la procedencia del producto, gratuidad, prohibición de su venta o canje, los envases deberán contener la siguiente leyenda:
"DIRECCION PROVINCIAL MATERNO INFANTIL - SECRETARÍA DE MEDICINA PREVENTIVA Y PROMOCION EN SALUD - MINISTERIO DE SALUD DE CATAMARCA - PROHIBIDA SU VENTA"
(Impresión con letras mayúsculas, Arial, visibles no menores a fuente 16 y en negritas), la que tendrá que ir de forma impresa en el estuche, deberá estar en forma expresa en el envase, libre de todo gasto para el Ministerio de Salud.</t>
  </si>
  <si>
    <t>TERCERO</t>
  </si>
  <si>
    <t>TOTAL RUBRO ALIMENTOS (LECHE FORTIFICADA)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</si>
  <si>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</si>
  <si>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</si>
  <si>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</si>
  <si>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</si>
  <si>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</si>
  <si>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</si>
  <si>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</si>
  <si>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</si>
  <si>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</si>
  <si>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</si>
  <si>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</si>
  <si>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</si>
  <si>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</si>
  <si>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</si>
  <si>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</si>
  <si>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</si>
  <si>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</si>
  <si>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</si>
  <si>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</si>
  <si>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</si>
  <si>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</si>
  <si>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</si>
  <si>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</si>
  <si>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</si>
  <si>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</si>
  <si>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</si>
  <si>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</si>
  <si>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</si>
  <si>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</si>
  <si>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</si>
  <si>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</si>
  <si>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</si>
  <si>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</si>
  <si>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</si>
  <si>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</si>
  <si>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</si>
  <si>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</si>
  <si>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ITEM 1                                        DETALLE TECNICO Y ESPECIFICACIONES</t>
  </si>
  <si>
    <t>VER ANEXO I</t>
  </si>
  <si>
    <t>Plazos de entrega</t>
  </si>
  <si>
    <t>diez (10) dias habiles</t>
  </si>
  <si>
    <t>Lugar de Entrega:</t>
  </si>
  <si>
    <t>DIR. PROV. DE MATERNIDAD, INFANCIA Y ADOLESCENCIA - CHACABUCO N° 169 - en el horario de 8:00hs a 12:00hs de lunes a viernes</t>
  </si>
  <si>
    <t>Calidad Minima esperada</t>
  </si>
  <si>
    <t>Mantenimiento</t>
  </si>
  <si>
    <t>cuarenta y cinco (45) días</t>
  </si>
  <si>
    <t>DIRECCION PROVINCIAL DE MATERNIDAD, INFANCIA Y ADOLESCENCIA</t>
  </si>
  <si>
    <t>3° TRIMESTRE 2022</t>
  </si>
  <si>
    <t>ADQ. DEL RUBRO ALIMENTOS PARA PERSONAS (LECHE FORTIFICADA)</t>
  </si>
  <si>
    <t>SI</t>
  </si>
  <si>
    <t xml:space="preserve"> 07/2022</t>
  </si>
  <si>
    <t>Costo total estimado: PESOS DIEZ MILLONES SEISCIENTOS VEINTICINCO MIL CON 00/100.-</t>
  </si>
  <si>
    <t>Autorizo la realización de los  trámites correspondientes, a fin de proveer a  este Organismo los bienes que se detallan en Nota  de Pedido N° 07/2022, afectando la erogación resultante a los créditos presupuestarios aprobados a favor de esta Unidad Ejecutora, conforme al siguiente detalle:</t>
  </si>
  <si>
    <t>1.1</t>
  </si>
  <si>
    <t>ALIMENTOS PARA PERSONAS</t>
  </si>
  <si>
    <t>TOTAL DE PESOS: DIEZ MILLONES SEISCIENTOS VEINTICINCO MIL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</si>
</sst>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_(\$* #,##0.00_);_(\$* \(#,##0.00\);_(\$* \-??_);_(@_)"/>
    <numFmt numFmtId="170" formatCode="dd\-mm\-yy;@"/>
    <numFmt numFmtId="171" formatCode="[$$-2C0A]\ #,##0.00;[$$-2C0A]&quot; -&quot;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8" applyProtection="0"/>
    <xf numFmtId="0" fontId="13" fillId="3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5" fillId="0" borderId="0"/>
    <xf numFmtId="0" fontId="16" fillId="0" borderId="0"/>
    <xf numFmtId="0" fontId="8" fillId="0" borderId="0"/>
    <xf numFmtId="169" fontId="17" fillId="0" borderId="0" applyBorder="0" applyProtection="0"/>
  </cellStyleXfs>
  <cellXfs count="170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7" fontId="9" fillId="0" borderId="5" xfId="1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0" xfId="0" applyFont="1" applyFill="1"/>
    <xf numFmtId="0" fontId="10" fillId="0" borderId="0" xfId="0" applyFont="1" applyFill="1"/>
    <xf numFmtId="3" fontId="10" fillId="0" borderId="4" xfId="2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167" fontId="10" fillId="2" borderId="7" xfId="2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2" borderId="1" xfId="5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0" fontId="20" fillId="0" borderId="0" xfId="0" applyFont="1"/>
    <xf numFmtId="167" fontId="10" fillId="0" borderId="4" xfId="1" applyNumberFormat="1" applyFont="1" applyFill="1" applyBorder="1" applyAlignment="1">
      <alignment horizontal="center" vertical="center"/>
    </xf>
    <xf numFmtId="0" fontId="10" fillId="2" borderId="6" xfId="5" applyNumberFormat="1" applyFont="1" applyFill="1" applyBorder="1" applyAlignment="1">
      <alignment horizontal="left" vertical="center" wrapText="1"/>
    </xf>
    <xf numFmtId="3" fontId="7" fillId="0" borderId="5" xfId="2" applyNumberFormat="1" applyFont="1" applyBorder="1" applyAlignment="1">
      <alignment horizontal="center" vertical="center" wrapText="1"/>
    </xf>
    <xf numFmtId="167" fontId="7" fillId="2" borderId="5" xfId="2" applyNumberFormat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24" fillId="0" borderId="2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 indent="1"/>
    </xf>
    <xf numFmtId="0" fontId="23" fillId="0" borderId="15" xfId="0" applyFont="1" applyBorder="1" applyAlignment="1">
      <alignment horizontal="left" vertical="center" wrapText="1" indent="1"/>
    </xf>
    <xf numFmtId="0" fontId="26" fillId="0" borderId="24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3" fontId="27" fillId="0" borderId="25" xfId="0" applyNumberFormat="1" applyFont="1" applyBorder="1" applyAlignment="1">
      <alignment horizontal="center" vertical="center"/>
    </xf>
    <xf numFmtId="3" fontId="29" fillId="0" borderId="29" xfId="0" applyNumberFormat="1" applyFont="1" applyBorder="1" applyAlignment="1"/>
    <xf numFmtId="170" fontId="0" fillId="0" borderId="29" xfId="0" applyNumberFormat="1" applyBorder="1" applyAlignment="1">
      <alignment horizontal="left"/>
    </xf>
    <xf numFmtId="0" fontId="0" fillId="0" borderId="29" xfId="0" applyBorder="1"/>
    <xf numFmtId="0" fontId="0" fillId="0" borderId="20" xfId="0" applyBorder="1"/>
    <xf numFmtId="0" fontId="0" fillId="0" borderId="0" xfId="0" applyBorder="1"/>
    <xf numFmtId="0" fontId="0" fillId="0" borderId="0" xfId="0" applyBorder="1" applyAlignment="1">
      <alignment horizontal="left"/>
    </xf>
    <xf numFmtId="170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5" xfId="0" applyBorder="1"/>
    <xf numFmtId="0" fontId="33" fillId="0" borderId="38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0" fontId="33" fillId="0" borderId="39" xfId="0" applyFont="1" applyBorder="1" applyAlignment="1">
      <alignment horizontal="left" vertical="center"/>
    </xf>
    <xf numFmtId="0" fontId="33" fillId="0" borderId="40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1" fontId="0" fillId="0" borderId="45" xfId="33" applyNumberFormat="1" applyFont="1" applyBorder="1" applyAlignment="1" applyProtection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1" fontId="0" fillId="0" borderId="50" xfId="33" applyNumberFormat="1" applyFont="1" applyBorder="1" applyAlignment="1" applyProtection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1" fontId="0" fillId="0" borderId="54" xfId="33" applyNumberFormat="1" applyFont="1" applyBorder="1" applyAlignment="1" applyProtection="1">
      <alignment horizontal="center" vertical="center"/>
    </xf>
    <xf numFmtId="171" fontId="33" fillId="0" borderId="56" xfId="0" applyNumberFormat="1" applyFont="1" applyBorder="1" applyAlignment="1">
      <alignment horizontal="center" vertical="center"/>
    </xf>
    <xf numFmtId="0" fontId="34" fillId="0" borderId="10" xfId="5" applyFont="1" applyFill="1" applyBorder="1" applyAlignment="1">
      <alignment horizontal="center" vertical="center" wrapText="1"/>
    </xf>
    <xf numFmtId="0" fontId="34" fillId="0" borderId="20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vertical="center"/>
    </xf>
    <xf numFmtId="0" fontId="34" fillId="0" borderId="20" xfId="5" applyFont="1" applyBorder="1" applyAlignment="1">
      <alignment horizontal="center" vertical="center" wrapText="1"/>
    </xf>
    <xf numFmtId="0" fontId="3" fillId="0" borderId="0" xfId="5" applyFont="1" applyBorder="1" applyAlignment="1">
      <alignment horizontal="center" vertical="center"/>
    </xf>
    <xf numFmtId="0" fontId="3" fillId="0" borderId="0" xfId="5" applyFont="1" applyBorder="1" applyAlignment="1">
      <alignment horizontal="left" vertical="center"/>
    </xf>
    <xf numFmtId="0" fontId="34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0" fontId="0" fillId="0" borderId="60" xfId="0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26" fillId="0" borderId="61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3" fontId="27" fillId="0" borderId="62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167" fontId="22" fillId="0" borderId="11" xfId="0" applyNumberFormat="1" applyFont="1" applyBorder="1" applyAlignment="1">
      <alignment horizontal="right" vertical="center"/>
    </xf>
    <xf numFmtId="167" fontId="22" fillId="0" borderId="0" xfId="0" applyNumberFormat="1" applyFont="1" applyBorder="1" applyAlignment="1">
      <alignment vertical="center"/>
    </xf>
    <xf numFmtId="167" fontId="23" fillId="0" borderId="0" xfId="0" applyNumberFormat="1" applyFont="1" applyBorder="1" applyAlignment="1">
      <alignment horizontal="left" vertical="center" wrapText="1" indent="1"/>
    </xf>
    <xf numFmtId="167" fontId="27" fillId="0" borderId="9" xfId="0" applyNumberFormat="1" applyFont="1" applyBorder="1" applyAlignment="1">
      <alignment horizontal="center" vertical="center" wrapText="1"/>
    </xf>
    <xf numFmtId="167" fontId="27" fillId="0" borderId="2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23" fillId="0" borderId="27" xfId="0" applyFont="1" applyBorder="1" applyAlignment="1">
      <alignment vertical="center"/>
    </xf>
    <xf numFmtId="0" fontId="23" fillId="0" borderId="63" xfId="0" applyFont="1" applyBorder="1" applyAlignment="1">
      <alignment vertical="center"/>
    </xf>
    <xf numFmtId="0" fontId="23" fillId="0" borderId="28" xfId="0" applyFont="1" applyBorder="1" applyAlignment="1">
      <alignment vertical="center"/>
    </xf>
    <xf numFmtId="0" fontId="23" fillId="0" borderId="64" xfId="0" applyFont="1" applyBorder="1" applyAlignment="1">
      <alignment vertical="center"/>
    </xf>
    <xf numFmtId="0" fontId="3" fillId="0" borderId="29" xfId="5" applyFont="1" applyFill="1" applyBorder="1" applyAlignment="1">
      <alignment horizontal="left" vertical="center" wrapText="1"/>
    </xf>
    <xf numFmtId="0" fontId="3" fillId="0" borderId="57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5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4" fillId="0" borderId="18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67" fontId="25" fillId="0" borderId="22" xfId="0" applyNumberFormat="1" applyFont="1" applyBorder="1" applyAlignment="1">
      <alignment horizontal="center" vertical="center" wrapText="1"/>
    </xf>
    <xf numFmtId="0" fontId="28" fillId="0" borderId="17" xfId="0" applyFont="1" applyBorder="1" applyAlignment="1">
      <alignment horizontal="left" vertical="center" wrapText="1" indent="1"/>
    </xf>
    <xf numFmtId="166" fontId="35" fillId="0" borderId="27" xfId="0" applyNumberFormat="1" applyFont="1" applyBorder="1" applyAlignment="1">
      <alignment horizontal="center" vertical="center"/>
    </xf>
    <xf numFmtId="166" fontId="35" fillId="0" borderId="28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31" fillId="0" borderId="33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29" fillId="0" borderId="28" xfId="0" applyNumberFormat="1" applyFont="1" applyBorder="1" applyAlignment="1">
      <alignment horizontal="center"/>
    </xf>
    <xf numFmtId="0" fontId="30" fillId="0" borderId="12" xfId="0" applyFont="1" applyBorder="1" applyAlignment="1">
      <alignment horizontal="center" vertical="center" wrapText="1"/>
    </xf>
    <xf numFmtId="0" fontId="17" fillId="0" borderId="30" xfId="0" applyFont="1" applyBorder="1"/>
    <xf numFmtId="0" fontId="31" fillId="0" borderId="31" xfId="0" applyFont="1" applyBorder="1" applyAlignment="1">
      <alignment horizontal="left" indent="1"/>
    </xf>
    <xf numFmtId="0" fontId="27" fillId="0" borderId="30" xfId="0" applyFont="1" applyBorder="1" applyAlignment="1">
      <alignment horizontal="left" vertical="center" wrapText="1"/>
    </xf>
    <xf numFmtId="0" fontId="32" fillId="0" borderId="32" xfId="0" applyFont="1" applyBorder="1" applyAlignment="1">
      <alignment horizontal="left"/>
    </xf>
    <xf numFmtId="0" fontId="0" fillId="0" borderId="49" xfId="0" applyFont="1" applyBorder="1" applyAlignment="1">
      <alignment horizontal="center" vertical="center"/>
    </xf>
    <xf numFmtId="49" fontId="31" fillId="0" borderId="34" xfId="0" applyNumberFormat="1" applyFont="1" applyBorder="1" applyAlignment="1">
      <alignment horizontal="justify" vertical="center" wrapText="1"/>
    </xf>
    <xf numFmtId="0" fontId="33" fillId="0" borderId="3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/>
    </xf>
    <xf numFmtId="0" fontId="0" fillId="0" borderId="43" xfId="0" applyFont="1" applyBorder="1" applyAlignment="1">
      <alignment horizontal="left" vertical="center" wrapText="1"/>
    </xf>
    <xf numFmtId="0" fontId="0" fillId="0" borderId="49" xfId="0" applyFont="1" applyBorder="1" applyAlignment="1">
      <alignment horizontal="left" vertical="center"/>
    </xf>
    <xf numFmtId="0" fontId="0" fillId="0" borderId="49" xfId="0" applyBorder="1" applyAlignment="1">
      <alignment horizontal="center"/>
    </xf>
    <xf numFmtId="0" fontId="29" fillId="0" borderId="17" xfId="0" applyFont="1" applyBorder="1" applyAlignment="1">
      <alignment vertical="center" wrapText="1"/>
    </xf>
    <xf numFmtId="0" fontId="31" fillId="0" borderId="37" xfId="0" applyFont="1" applyBorder="1" applyAlignment="1">
      <alignment vertical="center" wrapText="1"/>
    </xf>
    <xf numFmtId="0" fontId="31" fillId="0" borderId="26" xfId="0" applyFont="1" applyBorder="1" applyAlignment="1">
      <alignment horizontal="left" vertical="center" wrapText="1" indent="1"/>
    </xf>
    <xf numFmtId="0" fontId="0" fillId="0" borderId="49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29" fillId="0" borderId="55" xfId="0" applyFont="1" applyBorder="1" applyAlignment="1">
      <alignment horizontal="left" vertical="center" wrapText="1"/>
    </xf>
    <xf numFmtId="0" fontId="0" fillId="0" borderId="33" xfId="0" applyBorder="1"/>
    <xf numFmtId="0" fontId="0" fillId="0" borderId="0" xfId="0" applyAlignment="1">
      <alignment wrapText="1"/>
    </xf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2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4"/>
  <sheetViews>
    <sheetView tabSelected="1" topLeftCell="C1" zoomScale="90" zoomScaleNormal="90" workbookViewId="0">
      <selection activeCell="N10" sqref="N10"/>
    </sheetView>
  </sheetViews>
  <sheetFormatPr baseColWidth="10" defaultRowHeight="15" x14ac:dyDescent="0.25"/>
  <cols>
    <col min="1" max="1" width="5.42578125" style="20" bestFit="1" customWidth="1"/>
    <col min="2" max="2" width="13.85546875" style="20" bestFit="1" customWidth="1"/>
    <col min="3" max="3" width="27.5703125" style="20" customWidth="1"/>
    <col min="4" max="4" width="5.5703125" style="20" customWidth="1"/>
    <col min="5" max="5" width="89.85546875" style="21" bestFit="1" customWidth="1"/>
    <col min="6" max="6" width="15.5703125" style="20" bestFit="1" customWidth="1"/>
    <col min="7" max="7" width="11.28515625" style="22" bestFit="1" customWidth="1"/>
    <col min="8" max="8" width="13.85546875" style="30" customWidth="1"/>
    <col min="9" max="9" width="16.28515625" style="23" bestFit="1" customWidth="1"/>
    <col min="10" max="10" width="62" hidden="1" customWidth="1"/>
  </cols>
  <sheetData>
    <row r="1" spans="1:11" x14ac:dyDescent="0.25">
      <c r="A1" s="1">
        <v>2022</v>
      </c>
      <c r="B1" s="2"/>
      <c r="C1" s="3"/>
      <c r="D1" s="3"/>
      <c r="E1" s="4"/>
      <c r="F1" s="3"/>
      <c r="G1" s="5"/>
      <c r="H1" s="6"/>
      <c r="I1" s="7"/>
    </row>
    <row r="2" spans="1:11" s="39" customFormat="1" ht="18.75" x14ac:dyDescent="0.3">
      <c r="A2" s="37"/>
      <c r="B2" s="131" t="s">
        <v>0</v>
      </c>
      <c r="C2" s="131"/>
      <c r="D2" s="131"/>
      <c r="E2" s="131"/>
      <c r="F2" s="131"/>
      <c r="G2" s="131"/>
      <c r="H2" s="131"/>
      <c r="I2" s="38"/>
    </row>
    <row r="3" spans="1:11" x14ac:dyDescent="0.25">
      <c r="A3" s="3"/>
      <c r="B3" s="2"/>
      <c r="C3" s="3"/>
      <c r="D3" s="3"/>
      <c r="E3" s="4"/>
      <c r="F3" s="3"/>
      <c r="G3" s="5"/>
      <c r="H3" s="6"/>
      <c r="I3" s="7"/>
    </row>
    <row r="4" spans="1:11" x14ac:dyDescent="0.25">
      <c r="A4" s="130" t="s">
        <v>1</v>
      </c>
      <c r="B4" s="130"/>
      <c r="C4" s="105" t="s">
        <v>2</v>
      </c>
      <c r="D4" s="105"/>
      <c r="E4" s="105"/>
      <c r="F4" s="8"/>
      <c r="G4" s="9"/>
      <c r="H4" s="6"/>
      <c r="I4" s="7"/>
    </row>
    <row r="5" spans="1:11" ht="15" customHeight="1" x14ac:dyDescent="0.25">
      <c r="A5" s="130" t="s">
        <v>3</v>
      </c>
      <c r="B5" s="130"/>
      <c r="C5" s="105" t="s">
        <v>4</v>
      </c>
      <c r="D5" s="105"/>
      <c r="E5" s="105"/>
      <c r="F5" s="8"/>
      <c r="G5" s="9"/>
      <c r="H5" s="6"/>
      <c r="I5" s="7"/>
    </row>
    <row r="6" spans="1:11" x14ac:dyDescent="0.25">
      <c r="A6" s="130" t="s">
        <v>5</v>
      </c>
      <c r="B6" s="130"/>
      <c r="C6" s="106">
        <v>2022</v>
      </c>
      <c r="D6" s="107"/>
      <c r="E6" s="106"/>
      <c r="F6" s="8"/>
      <c r="G6" s="9"/>
      <c r="H6" s="6"/>
      <c r="I6" s="7"/>
    </row>
    <row r="7" spans="1:11" x14ac:dyDescent="0.25">
      <c r="A7" s="130" t="s">
        <v>6</v>
      </c>
      <c r="B7" s="130"/>
      <c r="C7" s="106" t="s">
        <v>23</v>
      </c>
      <c r="D7" s="107"/>
      <c r="E7" s="106"/>
      <c r="F7" s="8"/>
      <c r="G7" s="9"/>
      <c r="H7" s="6"/>
      <c r="I7" s="7"/>
    </row>
    <row r="8" spans="1:11" x14ac:dyDescent="0.25">
      <c r="A8" s="3"/>
      <c r="B8" s="8"/>
      <c r="C8" s="8"/>
      <c r="D8" s="8"/>
      <c r="E8" s="10"/>
      <c r="F8" s="8"/>
      <c r="G8" s="9"/>
      <c r="H8" s="6"/>
      <c r="I8" s="7"/>
    </row>
    <row r="9" spans="1:11" ht="38.25" x14ac:dyDescent="0.25">
      <c r="A9" s="11" t="s">
        <v>7</v>
      </c>
      <c r="B9" s="11" t="s">
        <v>8</v>
      </c>
      <c r="C9" s="12" t="s">
        <v>9</v>
      </c>
      <c r="D9" s="11" t="s">
        <v>10</v>
      </c>
      <c r="E9" s="13" t="s">
        <v>11</v>
      </c>
      <c r="F9" s="12" t="s">
        <v>12</v>
      </c>
      <c r="G9" s="14" t="s">
        <v>13</v>
      </c>
      <c r="H9" s="15" t="s">
        <v>14</v>
      </c>
      <c r="I9" s="16" t="s">
        <v>15</v>
      </c>
      <c r="J9" s="17" t="s">
        <v>16</v>
      </c>
      <c r="K9" s="24"/>
    </row>
    <row r="10" spans="1:11" s="27" customFormat="1" ht="308.25" customHeight="1" thickBot="1" x14ac:dyDescent="0.3">
      <c r="A10" s="31">
        <v>1</v>
      </c>
      <c r="B10" s="31" t="s">
        <v>20</v>
      </c>
      <c r="C10" s="32" t="s">
        <v>18</v>
      </c>
      <c r="D10" s="31" t="s">
        <v>19</v>
      </c>
      <c r="E10" s="33" t="s">
        <v>21</v>
      </c>
      <c r="F10" s="31" t="s">
        <v>17</v>
      </c>
      <c r="G10" s="42">
        <v>12500</v>
      </c>
      <c r="H10" s="25">
        <v>850</v>
      </c>
      <c r="I10" s="43">
        <v>10625000</v>
      </c>
      <c r="J10" s="36" t="s">
        <v>22</v>
      </c>
      <c r="K10" s="169"/>
    </row>
    <row r="11" spans="1:11" s="28" customFormat="1" ht="20.25" customHeight="1" thickBot="1" x14ac:dyDescent="0.25">
      <c r="A11" s="26"/>
      <c r="B11" s="19"/>
      <c r="C11" s="35"/>
      <c r="D11" s="19"/>
      <c r="E11" s="18" t="s">
        <v>24</v>
      </c>
      <c r="F11" s="19"/>
      <c r="G11" s="29"/>
      <c r="H11" s="40"/>
      <c r="I11" s="34">
        <f>SUM(I10)</f>
        <v>10625000</v>
      </c>
      <c r="J11" s="41"/>
    </row>
    <row r="14" spans="1:11" ht="15.75" thickBot="1" x14ac:dyDescent="0.3"/>
    <row r="15" spans="1:11" ht="45" x14ac:dyDescent="0.25">
      <c r="C15" s="93" t="s">
        <v>62</v>
      </c>
      <c r="D15" s="124" t="s">
        <v>63</v>
      </c>
      <c r="E15" s="125"/>
    </row>
    <row r="16" spans="1:11" x14ac:dyDescent="0.25">
      <c r="C16" s="94"/>
      <c r="D16" s="95"/>
      <c r="E16" s="96"/>
    </row>
    <row r="17" spans="3:5" x14ac:dyDescent="0.25">
      <c r="C17" s="94" t="s">
        <v>64</v>
      </c>
      <c r="D17" s="126" t="s">
        <v>65</v>
      </c>
      <c r="E17" s="127"/>
    </row>
    <row r="18" spans="3:5" x14ac:dyDescent="0.25">
      <c r="C18" s="94"/>
      <c r="D18" s="97"/>
      <c r="E18" s="96"/>
    </row>
    <row r="19" spans="3:5" ht="42" customHeight="1" x14ac:dyDescent="0.25">
      <c r="C19" s="94" t="s">
        <v>66</v>
      </c>
      <c r="D19" s="128" t="s">
        <v>67</v>
      </c>
      <c r="E19" s="129"/>
    </row>
    <row r="20" spans="3:5" x14ac:dyDescent="0.25">
      <c r="C20" s="94"/>
      <c r="D20" s="98"/>
      <c r="E20" s="96"/>
    </row>
    <row r="21" spans="3:5" x14ac:dyDescent="0.25">
      <c r="C21" s="99" t="s">
        <v>68</v>
      </c>
      <c r="D21" s="100"/>
      <c r="E21" s="96"/>
    </row>
    <row r="22" spans="3:5" x14ac:dyDescent="0.25">
      <c r="C22" s="99"/>
      <c r="D22" s="100"/>
      <c r="E22" s="96"/>
    </row>
    <row r="23" spans="3:5" x14ac:dyDescent="0.25">
      <c r="C23" s="99" t="s">
        <v>69</v>
      </c>
      <c r="D23" s="101" t="s">
        <v>70</v>
      </c>
      <c r="E23" s="96"/>
    </row>
    <row r="24" spans="3:5" ht="15.75" thickBot="1" x14ac:dyDescent="0.3">
      <c r="C24" s="102"/>
      <c r="D24" s="103"/>
      <c r="E24" s="104"/>
    </row>
  </sheetData>
  <mergeCells count="8">
    <mergeCell ref="D15:E15"/>
    <mergeCell ref="D17:E17"/>
    <mergeCell ref="D19:E19"/>
    <mergeCell ref="A7:B7"/>
    <mergeCell ref="B2:H2"/>
    <mergeCell ref="A4:B4"/>
    <mergeCell ref="A5:B5"/>
    <mergeCell ref="A6:B6"/>
  </mergeCells>
  <conditionalFormatting sqref="B1:B9 E1:E9">
    <cfRule type="duplicateValues" dxfId="19" priority="245"/>
  </conditionalFormatting>
  <conditionalFormatting sqref="E1:E9 B1:B9">
    <cfRule type="duplicateValues" dxfId="18" priority="246"/>
  </conditionalFormatting>
  <conditionalFormatting sqref="E11">
    <cfRule type="duplicateValues" dxfId="17" priority="10"/>
  </conditionalFormatting>
  <conditionalFormatting sqref="E11">
    <cfRule type="duplicateValues" dxfId="16" priority="11"/>
  </conditionalFormatting>
  <conditionalFormatting sqref="E11">
    <cfRule type="duplicateValues" dxfId="15" priority="12"/>
  </conditionalFormatting>
  <conditionalFormatting sqref="E11">
    <cfRule type="duplicateValues" dxfId="14" priority="13"/>
    <cfRule type="duplicateValues" dxfId="13" priority="14"/>
  </conditionalFormatting>
  <conditionalFormatting sqref="E11">
    <cfRule type="duplicateValues" dxfId="12" priority="9"/>
  </conditionalFormatting>
  <conditionalFormatting sqref="B1:B9">
    <cfRule type="duplicateValues" dxfId="11" priority="579"/>
  </conditionalFormatting>
  <conditionalFormatting sqref="E1:E9">
    <cfRule type="duplicateValues" dxfId="10" priority="580"/>
  </conditionalFormatting>
  <conditionalFormatting sqref="E1:E9">
    <cfRule type="duplicateValues" dxfId="9" priority="581"/>
    <cfRule type="duplicateValues" dxfId="8" priority="582"/>
  </conditionalFormatting>
  <conditionalFormatting sqref="C24">
    <cfRule type="duplicateValues" dxfId="7" priority="5"/>
  </conditionalFormatting>
  <conditionalFormatting sqref="C24">
    <cfRule type="duplicateValues" dxfId="6" priority="6"/>
  </conditionalFormatting>
  <conditionalFormatting sqref="C24">
    <cfRule type="duplicateValues" dxfId="5" priority="7"/>
  </conditionalFormatting>
  <conditionalFormatting sqref="C24">
    <cfRule type="duplicateValues" dxfId="4" priority="8"/>
  </conditionalFormatting>
  <conditionalFormatting sqref="C17:C23">
    <cfRule type="duplicateValues" dxfId="3" priority="1"/>
  </conditionalFormatting>
  <conditionalFormatting sqref="C17:C23">
    <cfRule type="duplicateValues" dxfId="2" priority="2"/>
  </conditionalFormatting>
  <conditionalFormatting sqref="C17:C23">
    <cfRule type="duplicateValues" dxfId="1" priority="3"/>
  </conditionalFormatting>
  <conditionalFormatting sqref="C17:C23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selection activeCell="C12" sqref="C12:G12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3.5703125" customWidth="1"/>
    <col min="8" max="8" width="9.28515625" customWidth="1"/>
    <col min="9" max="9" width="15.5703125" customWidth="1"/>
    <col min="10" max="10" width="14.7109375" style="119" customWidth="1"/>
    <col min="11" max="11" width="15.5703125" customWidth="1"/>
  </cols>
  <sheetData>
    <row r="1" spans="1:11" ht="30.75" thickBot="1" x14ac:dyDescent="0.3">
      <c r="A1" s="133" t="s">
        <v>25</v>
      </c>
      <c r="B1" s="133"/>
      <c r="C1" s="133"/>
      <c r="D1" s="133"/>
      <c r="E1" s="133"/>
      <c r="F1" s="133"/>
      <c r="G1" s="133"/>
      <c r="H1" s="133"/>
      <c r="I1" s="133"/>
      <c r="J1" s="114" t="s">
        <v>26</v>
      </c>
      <c r="K1" s="44" t="s">
        <v>75</v>
      </c>
    </row>
    <row r="2" spans="1:11" ht="16.5" thickBot="1" x14ac:dyDescent="0.3">
      <c r="A2" s="45"/>
      <c r="B2" s="46"/>
      <c r="C2" s="46"/>
      <c r="D2" s="47"/>
      <c r="E2" s="47"/>
      <c r="F2" s="47"/>
      <c r="G2" s="47"/>
      <c r="H2" s="47"/>
      <c r="I2" s="47"/>
      <c r="J2" s="115"/>
      <c r="K2" s="48"/>
    </row>
    <row r="3" spans="1:11" ht="16.5" customHeight="1" thickBot="1" x14ac:dyDescent="0.3">
      <c r="A3" s="134" t="s">
        <v>27</v>
      </c>
      <c r="B3" s="134"/>
      <c r="C3" s="134"/>
      <c r="D3" s="120" t="str">
        <f>'SAF 011'!C4</f>
        <v>040 - MINISTERIO DE SALUD</v>
      </c>
      <c r="E3" s="121"/>
      <c r="F3" s="121"/>
      <c r="G3" s="121"/>
      <c r="H3" s="121"/>
      <c r="I3" s="121"/>
      <c r="J3" s="121"/>
      <c r="K3" s="122"/>
    </row>
    <row r="4" spans="1:11" ht="16.5" customHeight="1" thickBot="1" x14ac:dyDescent="0.3">
      <c r="A4" s="132" t="s">
        <v>28</v>
      </c>
      <c r="B4" s="132"/>
      <c r="C4" s="132"/>
      <c r="D4" s="120" t="str">
        <f>'SAF 011'!C5</f>
        <v>011 - DIRECCION PROVINCIAL DE ADMINISTRACION - MINISTERIO DE SALUD</v>
      </c>
      <c r="E4" s="121"/>
      <c r="F4" s="121"/>
      <c r="G4" s="121"/>
      <c r="H4" s="121"/>
      <c r="I4" s="121"/>
      <c r="J4" s="121"/>
      <c r="K4" s="122"/>
    </row>
    <row r="5" spans="1:11" ht="16.5" customHeight="1" thickBot="1" x14ac:dyDescent="0.3">
      <c r="A5" s="132" t="s">
        <v>29</v>
      </c>
      <c r="B5" s="132"/>
      <c r="C5" s="132"/>
      <c r="D5" s="120" t="s">
        <v>71</v>
      </c>
      <c r="E5" s="121"/>
      <c r="F5" s="121"/>
      <c r="G5" s="121"/>
      <c r="H5" s="121"/>
      <c r="I5" s="121"/>
      <c r="J5" s="121"/>
      <c r="K5" s="122"/>
    </row>
    <row r="6" spans="1:11" ht="16.5" customHeight="1" thickBot="1" x14ac:dyDescent="0.3">
      <c r="A6" s="134" t="s">
        <v>30</v>
      </c>
      <c r="B6" s="134"/>
      <c r="C6" s="134"/>
      <c r="D6" s="120" t="s">
        <v>71</v>
      </c>
      <c r="E6" s="121"/>
      <c r="F6" s="121"/>
      <c r="G6" s="121"/>
      <c r="H6" s="121"/>
      <c r="I6" s="121"/>
      <c r="J6" s="121"/>
      <c r="K6" s="122"/>
    </row>
    <row r="7" spans="1:11" ht="16.5" thickBot="1" x14ac:dyDescent="0.3">
      <c r="A7" s="132" t="s">
        <v>31</v>
      </c>
      <c r="B7" s="132"/>
      <c r="C7" s="132"/>
      <c r="D7" s="120" t="s">
        <v>72</v>
      </c>
      <c r="E7" s="121"/>
      <c r="F7" s="121"/>
      <c r="G7" s="121"/>
      <c r="H7" s="121"/>
      <c r="I7" s="121"/>
      <c r="J7" s="121"/>
      <c r="K7" s="122"/>
    </row>
    <row r="8" spans="1:11" ht="16.5" customHeight="1" thickBot="1" x14ac:dyDescent="0.3">
      <c r="A8" s="135" t="s">
        <v>32</v>
      </c>
      <c r="B8" s="135"/>
      <c r="C8" s="135"/>
      <c r="D8" s="123" t="s">
        <v>73</v>
      </c>
      <c r="E8" s="121"/>
      <c r="F8" s="121"/>
      <c r="G8" s="121"/>
      <c r="H8" s="121"/>
      <c r="I8" s="121"/>
      <c r="J8" s="121"/>
      <c r="K8" s="122"/>
    </row>
    <row r="9" spans="1:11" ht="16.5" thickBot="1" x14ac:dyDescent="0.3">
      <c r="A9" s="49"/>
      <c r="B9" s="50"/>
      <c r="C9" s="50"/>
      <c r="D9" s="51"/>
      <c r="E9" s="51"/>
      <c r="F9" s="51"/>
      <c r="G9" s="51"/>
      <c r="H9" s="51"/>
      <c r="I9" s="51"/>
      <c r="J9" s="116"/>
      <c r="K9" s="52"/>
    </row>
    <row r="10" spans="1:11" ht="15.75" thickBot="1" x14ac:dyDescent="0.3">
      <c r="A10" s="136" t="s">
        <v>33</v>
      </c>
      <c r="B10" s="137" t="s">
        <v>34</v>
      </c>
      <c r="C10" s="137" t="s">
        <v>35</v>
      </c>
      <c r="D10" s="137"/>
      <c r="E10" s="137"/>
      <c r="F10" s="137"/>
      <c r="G10" s="137"/>
      <c r="H10" s="137" t="s">
        <v>36</v>
      </c>
      <c r="I10" s="137" t="s">
        <v>37</v>
      </c>
      <c r="J10" s="140" t="s">
        <v>38</v>
      </c>
      <c r="K10" s="138" t="s">
        <v>39</v>
      </c>
    </row>
    <row r="11" spans="1:11" ht="28.5" customHeight="1" thickBot="1" x14ac:dyDescent="0.3">
      <c r="A11" s="136"/>
      <c r="B11" s="137"/>
      <c r="C11" s="137"/>
      <c r="D11" s="137"/>
      <c r="E11" s="137"/>
      <c r="F11" s="137"/>
      <c r="G11" s="137"/>
      <c r="H11" s="137"/>
      <c r="I11" s="137"/>
      <c r="J11" s="140"/>
      <c r="K11" s="138"/>
    </row>
    <row r="12" spans="1:11" ht="52.5" customHeight="1" x14ac:dyDescent="0.25">
      <c r="A12" s="53">
        <v>1</v>
      </c>
      <c r="B12" s="113" t="str">
        <f>'SAF 011'!B10</f>
        <v>2.1.1-705.137</v>
      </c>
      <c r="C12" s="139" t="str">
        <f>'SAF 011'!E10</f>
        <v>LECHE; ESTADO: POLVO, TIPO: ENTERA, PROCESO: PASTEURIZADA, AGREGADO: HIERRO, ZINC Y ACIDO ASCORBICO, PRESENTACION: SIN, MATERIAL ENVASE: SIN, ELEM. TRANSPORTE: SIN, MATERIAL ELEM. TRANSPORTE: SIN, CERTIFICADO FORESTAL (GFS): SIN, LIBRE DE GLUTEN: SIN VALOR</v>
      </c>
      <c r="D12" s="139"/>
      <c r="E12" s="139"/>
      <c r="F12" s="139"/>
      <c r="G12" s="139"/>
      <c r="H12" s="54" t="s">
        <v>74</v>
      </c>
      <c r="I12" s="55" t="str">
        <f>'SAF 011'!F10</f>
        <v>UNIDAD</v>
      </c>
      <c r="J12" s="117">
        <f>'SAF 011'!H10</f>
        <v>850</v>
      </c>
      <c r="K12" s="56" t="e">
        <f>'SAF 011'!#REF!</f>
        <v>#REF!</v>
      </c>
    </row>
    <row r="13" spans="1:11" ht="16.5" thickBot="1" x14ac:dyDescent="0.3">
      <c r="A13" s="108"/>
      <c r="B13" s="109"/>
      <c r="C13" s="144"/>
      <c r="D13" s="144"/>
      <c r="E13" s="144"/>
      <c r="F13" s="144"/>
      <c r="G13" s="144"/>
      <c r="H13" s="110"/>
      <c r="I13" s="111"/>
      <c r="J13" s="118"/>
      <c r="K13" s="112"/>
    </row>
    <row r="14" spans="1:11" ht="19.5" thickBot="1" x14ac:dyDescent="0.3">
      <c r="A14" s="141" t="s">
        <v>76</v>
      </c>
      <c r="B14" s="141"/>
      <c r="C14" s="141"/>
      <c r="D14" s="141"/>
      <c r="E14" s="141"/>
      <c r="F14" s="141"/>
      <c r="G14" s="141"/>
      <c r="H14" s="141"/>
      <c r="I14" s="141"/>
      <c r="J14" s="142" t="e">
        <f>+J12*K12</f>
        <v>#REF!</v>
      </c>
      <c r="K14" s="143"/>
    </row>
  </sheetData>
  <mergeCells count="18">
    <mergeCell ref="A14:I14"/>
    <mergeCell ref="J14:K14"/>
    <mergeCell ref="C13:G13"/>
    <mergeCell ref="H10:H11"/>
    <mergeCell ref="K10:K11"/>
    <mergeCell ref="C12:G12"/>
    <mergeCell ref="I10:I11"/>
    <mergeCell ref="J10:J11"/>
    <mergeCell ref="A7:C7"/>
    <mergeCell ref="A8:C8"/>
    <mergeCell ref="A10:A11"/>
    <mergeCell ref="B10:B11"/>
    <mergeCell ref="C10:G11"/>
    <mergeCell ref="A5:C5"/>
    <mergeCell ref="A1:I1"/>
    <mergeCell ref="A3:C3"/>
    <mergeCell ref="A4:C4"/>
    <mergeCell ref="A6: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selection activeCell="A43" sqref="A43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46" t="s">
        <v>5</v>
      </c>
      <c r="B1" s="146"/>
      <c r="C1" s="146"/>
      <c r="D1" s="147">
        <v>2022</v>
      </c>
      <c r="E1" s="147"/>
      <c r="F1" s="57"/>
      <c r="G1" s="57"/>
      <c r="H1" s="58"/>
      <c r="I1" s="58"/>
      <c r="J1" s="58"/>
      <c r="K1" s="58"/>
      <c r="L1" s="58"/>
      <c r="M1" s="58"/>
      <c r="N1" s="58"/>
      <c r="O1" s="59"/>
      <c r="P1" s="148" t="s">
        <v>40</v>
      </c>
      <c r="Q1" s="148"/>
    </row>
    <row r="2" spans="1:17" ht="15.75" thickBot="1" x14ac:dyDescent="0.3">
      <c r="A2" s="60"/>
      <c r="B2" s="61"/>
      <c r="C2" s="61"/>
      <c r="D2" s="61"/>
      <c r="E2" s="61"/>
      <c r="F2" s="61"/>
      <c r="G2" s="62"/>
      <c r="H2" s="63"/>
      <c r="I2" s="63"/>
      <c r="J2" s="63"/>
      <c r="K2" s="63"/>
      <c r="L2" s="63"/>
      <c r="M2" s="63"/>
      <c r="N2" s="63"/>
      <c r="O2" s="61"/>
      <c r="P2" s="148"/>
      <c r="Q2" s="148"/>
    </row>
    <row r="3" spans="1:17" ht="15.75" thickBot="1" x14ac:dyDescent="0.3">
      <c r="A3" s="60"/>
      <c r="B3" s="61"/>
      <c r="C3" s="61"/>
      <c r="D3" s="61"/>
      <c r="E3" s="61"/>
      <c r="F3" s="61"/>
      <c r="G3" s="62"/>
      <c r="H3" s="61"/>
      <c r="I3" s="61"/>
      <c r="J3" s="61"/>
      <c r="K3" s="61"/>
      <c r="L3" s="61"/>
      <c r="M3" s="61"/>
      <c r="N3" s="61"/>
      <c r="O3" s="61"/>
      <c r="P3" s="61"/>
      <c r="Q3" s="64"/>
    </row>
    <row r="4" spans="1:17" ht="15.75" thickBot="1" x14ac:dyDescent="0.3">
      <c r="A4" s="149" t="s">
        <v>41</v>
      </c>
      <c r="B4" s="149"/>
      <c r="C4" s="149"/>
      <c r="D4" s="149"/>
      <c r="E4" s="149"/>
      <c r="F4" s="149"/>
      <c r="G4" s="150" t="str">
        <f>NP!D3</f>
        <v>040 - MINISTERIO DE SALUD</v>
      </c>
      <c r="H4" s="150"/>
      <c r="I4" s="150"/>
      <c r="J4" s="150"/>
      <c r="K4" s="150"/>
      <c r="L4" s="150"/>
      <c r="M4" s="150"/>
      <c r="N4" s="150"/>
      <c r="O4" s="150"/>
      <c r="P4" s="150"/>
      <c r="Q4" s="150"/>
    </row>
    <row r="5" spans="1:17" ht="15.75" thickBot="1" x14ac:dyDescent="0.3">
      <c r="A5" s="151" t="s">
        <v>28</v>
      </c>
      <c r="B5" s="151"/>
      <c r="C5" s="151"/>
      <c r="D5" s="151"/>
      <c r="E5" s="151"/>
      <c r="F5" s="151"/>
      <c r="G5" s="150" t="str">
        <f>NP!D4</f>
        <v>011 - DIRECCION PROVINCIAL DE ADMINISTRACION - MINISTERIO DE SALUD</v>
      </c>
      <c r="H5" s="150"/>
      <c r="I5" s="150"/>
      <c r="J5" s="150"/>
      <c r="K5" s="150"/>
      <c r="L5" s="150"/>
      <c r="M5" s="150"/>
      <c r="N5" s="150"/>
      <c r="O5" s="150"/>
      <c r="P5" s="150"/>
      <c r="Q5" s="150"/>
    </row>
    <row r="6" spans="1:17" ht="15.75" thickBot="1" x14ac:dyDescent="0.3">
      <c r="A6" s="151" t="s">
        <v>29</v>
      </c>
      <c r="B6" s="151"/>
      <c r="C6" s="151"/>
      <c r="D6" s="151"/>
      <c r="E6" s="151"/>
      <c r="F6" s="151"/>
      <c r="G6" s="150" t="str">
        <f>NP!D5</f>
        <v>DIRECCION PROVINCIAL DE MATERNIDAD, INFANCIA Y ADOLESCENCIA</v>
      </c>
      <c r="H6" s="150"/>
      <c r="I6" s="150"/>
      <c r="J6" s="150"/>
      <c r="K6" s="150"/>
      <c r="L6" s="150"/>
      <c r="M6" s="150"/>
      <c r="N6" s="150"/>
      <c r="O6" s="150"/>
      <c r="P6" s="150"/>
      <c r="Q6" s="150"/>
    </row>
    <row r="7" spans="1:17" ht="15.75" thickBot="1" x14ac:dyDescent="0.3">
      <c r="A7" s="151" t="s">
        <v>30</v>
      </c>
      <c r="B7" s="151"/>
      <c r="C7" s="151"/>
      <c r="D7" s="151"/>
      <c r="E7" s="151"/>
      <c r="F7" s="151"/>
      <c r="G7" s="150" t="str">
        <f>NP!D6</f>
        <v>DIRECCION PROVINCIAL DE MATERNIDAD, INFANCIA Y ADOLESCENCIA</v>
      </c>
      <c r="H7" s="150"/>
      <c r="I7" s="150"/>
      <c r="J7" s="150"/>
      <c r="K7" s="150"/>
      <c r="L7" s="150"/>
      <c r="M7" s="150"/>
      <c r="N7" s="150"/>
      <c r="O7" s="150"/>
      <c r="P7" s="150"/>
      <c r="Q7" s="150"/>
    </row>
    <row r="8" spans="1:17" ht="15.75" thickBot="1" x14ac:dyDescent="0.3">
      <c r="A8" s="152" t="s">
        <v>42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</row>
    <row r="9" spans="1:17" ht="27.75" customHeight="1" x14ac:dyDescent="0.25">
      <c r="A9" s="145" t="s">
        <v>43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</row>
    <row r="10" spans="1:17" ht="57" customHeight="1" x14ac:dyDescent="0.25">
      <c r="A10" s="154" t="s">
        <v>77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</row>
    <row r="11" spans="1:17" ht="15.75" thickBot="1" x14ac:dyDescent="0.3">
      <c r="A11" s="65"/>
      <c r="B11" s="66"/>
      <c r="C11" s="66"/>
      <c r="D11" s="66"/>
      <c r="E11" s="66"/>
      <c r="F11" s="66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68"/>
    </row>
    <row r="12" spans="1:17" ht="15.75" thickBot="1" x14ac:dyDescent="0.3">
      <c r="A12" s="155" t="s">
        <v>44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</row>
    <row r="13" spans="1:17" ht="15.75" thickBot="1" x14ac:dyDescent="0.3">
      <c r="A13" s="156" t="s">
        <v>45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7" t="s">
        <v>46</v>
      </c>
      <c r="P13" s="157"/>
      <c r="Q13" s="158" t="s">
        <v>47</v>
      </c>
    </row>
    <row r="14" spans="1:17" ht="15.75" thickBot="1" x14ac:dyDescent="0.3">
      <c r="A14" s="69" t="s">
        <v>48</v>
      </c>
      <c r="B14" s="70" t="s">
        <v>49</v>
      </c>
      <c r="C14" s="70" t="s">
        <v>50</v>
      </c>
      <c r="D14" s="70" t="s">
        <v>51</v>
      </c>
      <c r="E14" s="70" t="s">
        <v>52</v>
      </c>
      <c r="F14" s="70" t="s">
        <v>53</v>
      </c>
      <c r="G14" s="71" t="s">
        <v>54</v>
      </c>
      <c r="H14" s="70" t="s">
        <v>55</v>
      </c>
      <c r="I14" s="70" t="s">
        <v>56</v>
      </c>
      <c r="J14" s="70" t="s">
        <v>57</v>
      </c>
      <c r="K14" s="70" t="s">
        <v>57</v>
      </c>
      <c r="L14" s="70" t="s">
        <v>58</v>
      </c>
      <c r="M14" s="72" t="s">
        <v>59</v>
      </c>
      <c r="N14" s="73" t="s">
        <v>60</v>
      </c>
      <c r="O14" s="157"/>
      <c r="P14" s="157"/>
      <c r="Q14" s="158"/>
    </row>
    <row r="15" spans="1:17" x14ac:dyDescent="0.25">
      <c r="A15" s="74">
        <v>20</v>
      </c>
      <c r="B15" s="75"/>
      <c r="C15" s="75"/>
      <c r="D15" s="75">
        <v>3</v>
      </c>
      <c r="E15" s="75"/>
      <c r="F15" s="75">
        <v>4901</v>
      </c>
      <c r="G15" s="75">
        <v>3</v>
      </c>
      <c r="H15" s="75">
        <v>1</v>
      </c>
      <c r="I15" s="75">
        <v>2</v>
      </c>
      <c r="J15" s="75">
        <v>1</v>
      </c>
      <c r="K15" s="75">
        <v>1</v>
      </c>
      <c r="L15" s="75"/>
      <c r="M15" s="76">
        <v>1</v>
      </c>
      <c r="N15" s="75" t="s">
        <v>78</v>
      </c>
      <c r="O15" s="159" t="s">
        <v>79</v>
      </c>
      <c r="P15" s="159"/>
      <c r="Q15" s="77" t="e">
        <f>NP!J14</f>
        <v>#REF!</v>
      </c>
    </row>
    <row r="16" spans="1:17" x14ac:dyDescent="0.25">
      <c r="A16" s="78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80"/>
      <c r="N16" s="81"/>
      <c r="O16" s="160"/>
      <c r="P16" s="160"/>
      <c r="Q16" s="82"/>
    </row>
    <row r="17" spans="1:17" x14ac:dyDescent="0.25">
      <c r="A17" s="78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80"/>
      <c r="N17" s="81"/>
      <c r="O17" s="161"/>
      <c r="P17" s="161"/>
      <c r="Q17" s="82"/>
    </row>
    <row r="18" spans="1:17" x14ac:dyDescent="0.25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80"/>
      <c r="N18" s="81"/>
      <c r="O18" s="153"/>
      <c r="P18" s="153"/>
      <c r="Q18" s="82"/>
    </row>
    <row r="19" spans="1:17" x14ac:dyDescent="0.25">
      <c r="A19" s="78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80"/>
      <c r="N19" s="81"/>
      <c r="O19" s="153"/>
      <c r="P19" s="153"/>
      <c r="Q19" s="82"/>
    </row>
    <row r="20" spans="1:17" x14ac:dyDescent="0.25">
      <c r="A20" s="78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80"/>
      <c r="N20" s="81"/>
      <c r="O20" s="153"/>
      <c r="P20" s="153"/>
      <c r="Q20" s="82"/>
    </row>
    <row r="21" spans="1:17" x14ac:dyDescent="0.25">
      <c r="A21" s="78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80"/>
      <c r="N21" s="81"/>
      <c r="O21" s="153"/>
      <c r="P21" s="153"/>
      <c r="Q21" s="82"/>
    </row>
    <row r="22" spans="1:17" x14ac:dyDescent="0.25">
      <c r="A22" s="78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80"/>
      <c r="N22" s="81"/>
      <c r="O22" s="153"/>
      <c r="P22" s="153"/>
      <c r="Q22" s="82"/>
    </row>
    <row r="23" spans="1:17" x14ac:dyDescent="0.25">
      <c r="A23" s="78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80"/>
      <c r="N23" s="81"/>
      <c r="O23" s="153"/>
      <c r="P23" s="153"/>
      <c r="Q23" s="82"/>
    </row>
    <row r="24" spans="1:17" x14ac:dyDescent="0.25">
      <c r="A24" s="78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80"/>
      <c r="N24" s="81"/>
      <c r="O24" s="153"/>
      <c r="P24" s="153"/>
      <c r="Q24" s="82"/>
    </row>
    <row r="25" spans="1:17" x14ac:dyDescent="0.25">
      <c r="A25" s="78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80"/>
      <c r="N25" s="81"/>
      <c r="O25" s="153"/>
      <c r="P25" s="153"/>
      <c r="Q25" s="82"/>
    </row>
    <row r="26" spans="1:17" x14ac:dyDescent="0.25">
      <c r="A26" s="78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80"/>
      <c r="N26" s="81"/>
      <c r="O26" s="153"/>
      <c r="P26" s="153"/>
      <c r="Q26" s="82"/>
    </row>
    <row r="27" spans="1:17" x14ac:dyDescent="0.25">
      <c r="A27" s="78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80"/>
      <c r="N27" s="81"/>
      <c r="O27" s="153"/>
      <c r="P27" s="153"/>
      <c r="Q27" s="82"/>
    </row>
    <row r="28" spans="1:17" x14ac:dyDescent="0.25">
      <c r="A28" s="78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80"/>
      <c r="N28" s="81"/>
      <c r="O28" s="153"/>
      <c r="P28" s="153"/>
      <c r="Q28" s="82"/>
    </row>
    <row r="29" spans="1:17" x14ac:dyDescent="0.25">
      <c r="A29" s="78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80"/>
      <c r="N29" s="81"/>
      <c r="O29" s="153"/>
      <c r="P29" s="153"/>
      <c r="Q29" s="82"/>
    </row>
    <row r="30" spans="1:17" x14ac:dyDescent="0.25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80"/>
      <c r="N30" s="81"/>
      <c r="O30" s="153"/>
      <c r="P30" s="153"/>
      <c r="Q30" s="82"/>
    </row>
    <row r="31" spans="1:17" x14ac:dyDescent="0.25">
      <c r="A31" s="78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80"/>
      <c r="N31" s="81"/>
      <c r="O31" s="153"/>
      <c r="P31" s="153"/>
      <c r="Q31" s="82"/>
    </row>
    <row r="32" spans="1:17" x14ac:dyDescent="0.25">
      <c r="A32" s="78"/>
      <c r="B32" s="79"/>
      <c r="C32" s="79"/>
      <c r="D32" s="79"/>
      <c r="E32" s="79"/>
      <c r="F32" s="81"/>
      <c r="G32" s="79"/>
      <c r="H32" s="79"/>
      <c r="I32" s="79"/>
      <c r="J32" s="79"/>
      <c r="K32" s="79"/>
      <c r="L32" s="79"/>
      <c r="M32" s="80"/>
      <c r="N32" s="81"/>
      <c r="O32" s="160"/>
      <c r="P32" s="160"/>
      <c r="Q32" s="82"/>
    </row>
    <row r="33" spans="1:17" x14ac:dyDescent="0.25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80"/>
      <c r="N33" s="81"/>
      <c r="O33" s="160"/>
      <c r="P33" s="160"/>
      <c r="Q33" s="82"/>
    </row>
    <row r="34" spans="1:17" x14ac:dyDescent="0.25">
      <c r="A34" s="78"/>
      <c r="B34" s="79"/>
      <c r="C34" s="79"/>
      <c r="D34" s="79"/>
      <c r="E34" s="79"/>
      <c r="F34" s="81"/>
      <c r="G34" s="79"/>
      <c r="H34" s="79"/>
      <c r="I34" s="79"/>
      <c r="J34" s="79"/>
      <c r="K34" s="79"/>
      <c r="L34" s="79"/>
      <c r="M34" s="80"/>
      <c r="N34" s="81"/>
      <c r="O34" s="160"/>
      <c r="P34" s="160"/>
      <c r="Q34" s="82"/>
    </row>
    <row r="35" spans="1:17" x14ac:dyDescent="0.25">
      <c r="A35" s="78"/>
      <c r="B35" s="79"/>
      <c r="C35" s="79"/>
      <c r="D35" s="79"/>
      <c r="E35" s="79"/>
      <c r="F35" s="81"/>
      <c r="G35" s="79"/>
      <c r="H35" s="79"/>
      <c r="I35" s="79"/>
      <c r="J35" s="79"/>
      <c r="K35" s="79"/>
      <c r="L35" s="79"/>
      <c r="M35" s="80"/>
      <c r="N35" s="81"/>
      <c r="O35" s="160"/>
      <c r="P35" s="160"/>
      <c r="Q35" s="82"/>
    </row>
    <row r="36" spans="1:17" x14ac:dyDescent="0.25">
      <c r="A36" s="83"/>
      <c r="B36" s="84"/>
      <c r="C36" s="84"/>
      <c r="D36" s="84"/>
      <c r="E36" s="84"/>
      <c r="F36" s="85"/>
      <c r="G36" s="84"/>
      <c r="H36" s="84"/>
      <c r="I36" s="84"/>
      <c r="J36" s="84"/>
      <c r="K36" s="84"/>
      <c r="L36" s="84"/>
      <c r="M36" s="86"/>
      <c r="N36" s="87"/>
      <c r="O36" s="165"/>
      <c r="P36" s="165"/>
      <c r="Q36" s="82"/>
    </row>
    <row r="37" spans="1:17" ht="15.75" thickBot="1" x14ac:dyDescent="0.3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90"/>
      <c r="N37" s="89"/>
      <c r="O37" s="166"/>
      <c r="P37" s="166"/>
      <c r="Q37" s="91"/>
    </row>
    <row r="38" spans="1:17" ht="15.75" thickBot="1" x14ac:dyDescent="0.3">
      <c r="A38" s="167" t="s">
        <v>80</v>
      </c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92" t="e">
        <f>SUM(Q15:Q37)</f>
        <v>#REF!</v>
      </c>
    </row>
    <row r="39" spans="1:17" ht="15.75" thickBot="1" x14ac:dyDescent="0.3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</row>
    <row r="40" spans="1:17" ht="15.75" thickBot="1" x14ac:dyDescent="0.3">
      <c r="A40" s="162" t="s">
        <v>61</v>
      </c>
      <c r="B40" s="162"/>
      <c r="C40" s="162"/>
      <c r="D40" s="162"/>
      <c r="E40" s="162"/>
      <c r="F40" s="162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</row>
    <row r="41" spans="1:17" ht="15.75" thickBot="1" x14ac:dyDescent="0.3">
      <c r="A41" s="164" t="str">
        <f>NP!D8</f>
        <v>ADQ. DEL RUBRO ALIMENTOS PARA PERSONAS (LECHE FORTIFICADA)</v>
      </c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</row>
    <row r="42" spans="1:17" ht="15.75" thickBot="1" x14ac:dyDescent="0.3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2021-11-12T17:27:33Z</dcterms:created>
  <dcterms:modified xsi:type="dcterms:W3CDTF">2022-07-04T15:19:18Z</dcterms:modified>
</cp:coreProperties>
</file>