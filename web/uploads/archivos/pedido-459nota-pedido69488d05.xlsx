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1CA854D4-EB8C-4196-9FD9-2FF41A5677E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 249-20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1">' NotaPedido 249-20'!$A$1:$K$33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K32" i="2" l="1"/>
  <c r="J32" i="2"/>
  <c r="I32" i="2"/>
  <c r="C32" i="2"/>
  <c r="K31" i="2"/>
  <c r="J31" i="2"/>
  <c r="I31" i="2"/>
  <c r="C31" i="2"/>
  <c r="K30" i="2"/>
  <c r="J30" i="2"/>
  <c r="I30" i="2"/>
  <c r="C30" i="2"/>
  <c r="K29" i="2"/>
  <c r="J29" i="2"/>
  <c r="I29" i="2"/>
  <c r="C29" i="2"/>
  <c r="K28" i="2"/>
  <c r="J28" i="2"/>
  <c r="I28" i="2"/>
  <c r="C28" i="2"/>
  <c r="K27" i="2"/>
  <c r="J27" i="2"/>
  <c r="I27" i="2"/>
  <c r="C27" i="2"/>
  <c r="K26" i="2"/>
  <c r="J26" i="2"/>
  <c r="I26" i="2"/>
  <c r="C26" i="2"/>
  <c r="K25" i="2"/>
  <c r="J25" i="2"/>
  <c r="I25" i="2"/>
  <c r="C25" i="2"/>
  <c r="K24" i="2"/>
  <c r="J24" i="2"/>
  <c r="I24" i="2"/>
  <c r="C24" i="2"/>
  <c r="K23" i="2"/>
  <c r="J23" i="2"/>
  <c r="I23" i="2"/>
  <c r="C23" i="2"/>
  <c r="K22" i="2"/>
  <c r="J22" i="2"/>
  <c r="I22" i="2"/>
  <c r="C22" i="2"/>
  <c r="K21" i="2"/>
  <c r="J21" i="2"/>
  <c r="I21" i="2"/>
  <c r="C21" i="2"/>
  <c r="K20" i="2"/>
  <c r="J20" i="2"/>
  <c r="I20" i="2"/>
  <c r="C20" i="2"/>
  <c r="K19" i="2"/>
  <c r="J19" i="2"/>
  <c r="I19" i="2"/>
  <c r="C19" i="2"/>
  <c r="K18" i="2"/>
  <c r="J18" i="2"/>
  <c r="I18" i="2"/>
  <c r="C18" i="2"/>
  <c r="K17" i="2"/>
  <c r="J17" i="2"/>
  <c r="I17" i="2"/>
  <c r="C17" i="2"/>
  <c r="K16" i="2"/>
  <c r="J16" i="2"/>
  <c r="I16" i="2"/>
  <c r="C16" i="2"/>
  <c r="K15" i="2"/>
  <c r="J15" i="2"/>
  <c r="I15" i="2"/>
  <c r="C15" i="2"/>
  <c r="K14" i="2"/>
  <c r="J14" i="2"/>
  <c r="I14" i="2"/>
  <c r="C14" i="2"/>
  <c r="K13" i="2"/>
  <c r="J13" i="2"/>
  <c r="I13" i="2"/>
  <c r="C13" i="2"/>
  <c r="C12" i="2"/>
  <c r="I12" i="2"/>
  <c r="J12" i="2"/>
  <c r="K12" i="2"/>
  <c r="B32" i="2" l="1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I19" i="1" l="1"/>
  <c r="I18" i="1"/>
  <c r="I17" i="1"/>
  <c r="I16" i="1"/>
  <c r="I15" i="1"/>
  <c r="I14" i="1"/>
  <c r="I13" i="1"/>
  <c r="I26" i="1"/>
  <c r="I25" i="1"/>
  <c r="I24" i="1"/>
  <c r="I23" i="1"/>
  <c r="I22" i="1"/>
  <c r="I21" i="1"/>
  <c r="I20" i="1"/>
  <c r="I30" i="1" l="1"/>
  <c r="I29" i="1"/>
  <c r="I28" i="1"/>
  <c r="I27" i="1"/>
  <c r="I12" i="1"/>
  <c r="I11" i="1"/>
  <c r="I10" i="1"/>
  <c r="D7" i="2" l="1"/>
  <c r="B12" i="2" l="1"/>
  <c r="B13" i="2"/>
  <c r="B14" i="2"/>
  <c r="B15" i="2"/>
  <c r="B16" i="2"/>
  <c r="B17" i="2"/>
  <c r="A10" i="3"/>
  <c r="J33" i="2" l="1"/>
  <c r="G6" i="3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<sst xmlns="http://schemas.openxmlformats.org/spreadsheetml/2006/main" count="181" uniqueCount="99">
  <si>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</si>
  <si>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</si>
  <si>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</si>
  <si>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</si>
  <si>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</si>
  <si>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</si>
  <si>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</si>
  <si>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</si>
  <si>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</si>
  <si>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</si>
  <si>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</si>
  <si>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</si>
  <si>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</si>
  <si>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</si>
  <si>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</si>
  <si>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</si>
  <si>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</si>
  <si>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</si>
  <si>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</si>
  <si>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</si>
  <si>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</si>
  <si>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</si>
  <si>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</si>
  <si>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</si>
  <si>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</si>
  <si>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</si>
  <si>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</si>
  <si>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</si>
  <si>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</si>
  <si>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</si>
  <si>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</si>
  <si>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</si>
  <si>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</si>
  <si>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</si>
  <si>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</si>
  <si>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</si>
  <si>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</si>
  <si>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</si>
  <si>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</si>
  <si>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</si>
  <si>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</si>
  <si>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</si>
  <si>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</si>
  <si>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</si>
  <si>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</si>
  <si>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</si>
  <si>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</si>
  <si>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</si>
  <si>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</si>
  <si>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</si>
  <si>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</si>
  <si>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</si>
  <si>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</si>
  <si>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</si>
  <si>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</si>
  <si>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</si>
  <si>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</si>
  <si>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1.1</t>
  </si>
  <si>
    <t>PROD. MEDICO/FARMACEUTICOS/LAB</t>
  </si>
  <si>
    <t xml:space="preserve">NO </t>
  </si>
  <si>
    <t>UNIDAD</t>
  </si>
  <si>
    <t>OBJETO:</t>
  </si>
  <si>
    <t>4to Trimestre</t>
  </si>
  <si>
    <t xml:space="preserve">169- Direccion Asistencial </t>
  </si>
  <si>
    <t>Especificidades Item N° :</t>
  </si>
  <si>
    <t>288/2020</t>
  </si>
  <si>
    <t>Ansas estériles descartables de 10 ul x 10 u</t>
  </si>
  <si>
    <t>Bam con urea medio x 100 grs.</t>
  </si>
  <si>
    <t xml:space="preserve">Capilares para gases c/tapón cursor c/imán x 200 ul </t>
  </si>
  <si>
    <t>CHAGAS ELISA RECOMBINANTE 4.0 TIPO WIENER</t>
  </si>
  <si>
    <t>CHAGAS HAI TIPO POLYCHACO</t>
  </si>
  <si>
    <t>Cubetas Fibrintimer 5x100 U para Coagulómetro Wiener</t>
  </si>
  <si>
    <t>Discos de Gentamicina x 10 ug. X 50 T/Britania</t>
  </si>
  <si>
    <t>E test para Vancomicina x 30 tiras</t>
  </si>
  <si>
    <t>Glucocurve 75 grs. X 10 sobres Tipo SDA</t>
  </si>
  <si>
    <t>HEPATITIS "B" AG ELISA TIPO WIENER</t>
  </si>
  <si>
    <t>Monod. Azitromicina 15 ug x 50 u</t>
  </si>
  <si>
    <t>Monod. Cefazolina 30 ug x 50 tipo Rosco</t>
  </si>
  <si>
    <t>Monod. Ceftazidima+ Avibactam 10/4 ug x 50 u</t>
  </si>
  <si>
    <t>Monod. Estreptomicina 300 ug x 50 u</t>
  </si>
  <si>
    <t>Rinse Solution x 600 ml para ABL 800</t>
  </si>
  <si>
    <t>TIRAS REACTIVAS P/ ORINA- TIPO WIENNER</t>
  </si>
  <si>
    <t>TROMBOPLASTINA 10X4ML HEMOMEDICA O SOLUPLASTIN</t>
  </si>
  <si>
    <t>Tubos de hemolisis de vidrio</t>
  </si>
  <si>
    <t>Tubos de Khan de vidrio</t>
  </si>
  <si>
    <t>VDRL CUALITATIVA</t>
  </si>
  <si>
    <t>CAJA</t>
  </si>
  <si>
    <t>FRASCO</t>
  </si>
  <si>
    <t>BOTELLA</t>
  </si>
  <si>
    <t>Todd Hewitt caldo suplementado con CoNa x 10 ml</t>
  </si>
  <si>
    <t>2.5.1</t>
  </si>
  <si>
    <t>2.9.5</t>
  </si>
  <si>
    <t>Costo total estimado: Dos millones quinientos sesenta y tres mil ciento veintisiete con 00/100</t>
  </si>
  <si>
    <t xml:space="preserve">Compuestos Quimicos </t>
  </si>
  <si>
    <t>Utiles menores medicos, quirurgicos y de lab.</t>
  </si>
  <si>
    <t>TOTAL DE PESOS:  Dos millones quinientos sesenta y tres mil ciento veintisiete con 00/100</t>
  </si>
  <si>
    <t>Para la adquisición de reactivos, para ser destinados al Servico de Laboratorio de Maternidad Provicial 25 de Mayo.</t>
  </si>
  <si>
    <t>Reactivos para laboratorio</t>
  </si>
  <si>
    <t>Servicio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</si>
</sst>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* #,##0.00_-;\-&quot;$&quot;* #,##0.00_-;_-&quot;$&quot;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  <charset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1" xfId="0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14" fillId="0" borderId="31" xfId="0" applyFont="1" applyBorder="1" applyAlignment="1">
      <alignment horizontal="right" vertical="center"/>
    </xf>
    <xf numFmtId="169" fontId="23" fillId="0" borderId="44" xfId="0" applyNumberFormat="1" applyFont="1" applyBorder="1" applyAlignment="1">
      <alignment wrapText="1"/>
    </xf>
    <xf numFmtId="0" fontId="13" fillId="0" borderId="3" xfId="0" applyFont="1" applyBorder="1" applyAlignment="1">
      <alignment horizontal="center" vertical="center"/>
    </xf>
    <xf numFmtId="0" fontId="4" fillId="0" borderId="4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9" fontId="26" fillId="0" borderId="3" xfId="0" applyNumberFormat="1" applyFont="1" applyBorder="1" applyAlignment="1">
      <alignment horizontal="center"/>
    </xf>
    <xf numFmtId="0" fontId="0" fillId="0" borderId="48" xfId="0" applyBorder="1"/>
    <xf numFmtId="0" fontId="13" fillId="0" borderId="3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center" wrapText="1"/>
    </xf>
    <xf numFmtId="166" fontId="0" fillId="0" borderId="0" xfId="0" applyNumberFormat="1"/>
    <xf numFmtId="0" fontId="18" fillId="0" borderId="49" xfId="0" applyFont="1" applyBorder="1" applyAlignment="1">
      <alignment horizontal="center" vertical="center" wrapText="1"/>
    </xf>
    <xf numFmtId="0" fontId="25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 wrapText="1"/>
    </xf>
    <xf numFmtId="0" fontId="29" fillId="0" borderId="3" xfId="0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vertical="center" wrapText="1"/>
    </xf>
    <xf numFmtId="170" fontId="0" fillId="0" borderId="3" xfId="0" applyNumberFormat="1" applyFill="1" applyBorder="1"/>
    <xf numFmtId="170" fontId="0" fillId="0" borderId="3" xfId="0" applyNumberFormat="1" applyBorder="1"/>
    <xf numFmtId="0" fontId="5" fillId="3" borderId="0" xfId="0" applyFont="1" applyFill="1" applyBorder="1" applyAlignment="1">
      <alignment vertical="center"/>
    </xf>
    <xf numFmtId="49" fontId="6" fillId="3" borderId="13" xfId="0" applyNumberFormat="1" applyFont="1" applyFill="1" applyBorder="1" applyAlignment="1">
      <alignment horizontal="center" vertical="center"/>
    </xf>
    <xf numFmtId="166" fontId="0" fillId="3" borderId="45" xfId="3" applyNumberFormat="1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169" fontId="26" fillId="0" borderId="3" xfId="0" applyNumberFormat="1" applyFont="1" applyFill="1" applyBorder="1" applyAlignment="1">
      <alignment horizontal="center"/>
    </xf>
    <xf numFmtId="169" fontId="15" fillId="0" borderId="0" xfId="0" applyNumberFormat="1" applyFont="1"/>
    <xf numFmtId="166" fontId="0" fillId="3" borderId="34" xfId="3" applyNumberFormat="1" applyFont="1" applyFill="1" applyBorder="1" applyAlignment="1" applyProtection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27" fillId="0" borderId="16" xfId="0" applyFont="1" applyFill="1" applyBorder="1" applyAlignment="1">
      <alignment horizontal="left" vertical="center" wrapText="1" indent="1"/>
    </xf>
    <xf numFmtId="0" fontId="25" fillId="0" borderId="22" xfId="0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 wrapText="1" indent="1"/>
    </xf>
    <xf numFmtId="0" fontId="6" fillId="3" borderId="43" xfId="0" applyFont="1" applyFill="1" applyBorder="1" applyAlignment="1">
      <alignment horizontal="left" vertical="center" wrapText="1" indent="1"/>
    </xf>
    <xf numFmtId="0" fontId="6" fillId="3" borderId="23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28" fillId="0" borderId="15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1" fillId="0" borderId="25" xfId="0" applyFont="1" applyBorder="1"/>
    <xf numFmtId="0" fontId="11" fillId="3" borderId="26" xfId="0" applyFont="1" applyFill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9" fillId="0" borderId="22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9" xfId="0" applyFont="1" applyFill="1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24" fillId="3" borderId="39" xfId="0" applyFont="1" applyFill="1" applyBorder="1" applyAlignment="1">
      <alignment horizontal="left" vertical="center"/>
    </xf>
    <xf numFmtId="0" fontId="0" fillId="0" borderId="24" xfId="0" applyBorder="1" applyAlignment="1">
      <alignment wrapText="1"/>
    </xf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6"/>
  <sheetViews>
    <sheetView tabSelected="1" topLeftCell="A7" zoomScale="80" zoomScaleNormal="80" workbookViewId="0">
      <selection activeCell="D11" sqref="D11"/>
    </sheetView>
  </sheetViews>
  <sheetFormatPr baseColWidth="10" defaultColWidth="11" defaultRowHeight="12.75" x14ac:dyDescent="0.2"/>
  <cols>
    <col min="1" max="1" width="4.5703125" style="30" customWidth="1"/>
    <col min="2" max="2" width="17.5703125" style="30" customWidth="1"/>
    <col min="3" max="3" width="38.28515625" style="30" customWidth="1"/>
    <col min="4" max="4" width="8.42578125" style="30" customWidth="1"/>
    <col min="5" max="5" width="89" style="30" customWidth="1"/>
    <col min="6" max="6" width="11" style="30"/>
    <col min="7" max="7" width="12.7109375" style="30" customWidth="1"/>
    <col min="8" max="8" width="17.140625" style="30" customWidth="1"/>
    <col min="9" max="9" width="18.5703125" style="30" customWidth="1"/>
    <col min="10" max="16384" width="11" style="30"/>
  </cols>
  <sheetData>
    <row r="2" spans="1:9" ht="27" x14ac:dyDescent="0.35">
      <c r="B2" s="97" t="s">
        <v>0</v>
      </c>
      <c r="C2" s="97"/>
      <c r="D2" s="97"/>
      <c r="E2" s="97"/>
      <c r="F2" s="97"/>
      <c r="G2" s="97"/>
      <c r="H2" s="97"/>
    </row>
    <row r="4" spans="1:9" ht="18" customHeight="1" x14ac:dyDescent="0.25">
      <c r="A4" s="94" t="s">
        <v>1</v>
      </c>
      <c r="B4" s="94"/>
      <c r="C4" s="98" t="s">
        <v>55</v>
      </c>
      <c r="D4" s="98"/>
      <c r="E4" s="98"/>
      <c r="F4" s="31"/>
      <c r="G4" s="32"/>
      <c r="H4" s="31"/>
    </row>
    <row r="5" spans="1:9" ht="18" customHeight="1" x14ac:dyDescent="0.25">
      <c r="A5" s="94" t="s">
        <v>2</v>
      </c>
      <c r="B5" s="94"/>
      <c r="C5" s="98" t="s">
        <v>56</v>
      </c>
      <c r="D5" s="98"/>
      <c r="E5" s="98"/>
      <c r="F5" s="31"/>
      <c r="G5" s="32"/>
      <c r="H5" s="31"/>
    </row>
    <row r="6" spans="1:9" ht="16.5" customHeight="1" x14ac:dyDescent="0.25">
      <c r="A6" s="94" t="s">
        <v>3</v>
      </c>
      <c r="B6" s="94"/>
      <c r="C6" s="46">
        <v>2020</v>
      </c>
      <c r="D6" s="47"/>
      <c r="E6" s="47"/>
      <c r="F6" s="31"/>
      <c r="G6" s="32"/>
      <c r="H6" s="31"/>
    </row>
    <row r="7" spans="1:9" ht="16.5" customHeight="1" x14ac:dyDescent="0.25">
      <c r="A7" s="94" t="s">
        <v>4</v>
      </c>
      <c r="B7" s="94"/>
      <c r="C7" s="46" t="s">
        <v>62</v>
      </c>
      <c r="D7" s="47"/>
      <c r="E7" s="47"/>
      <c r="F7" s="31"/>
      <c r="G7" s="32"/>
      <c r="H7" s="31"/>
    </row>
    <row r="8" spans="1:9" ht="13.5" thickBot="1" x14ac:dyDescent="0.25">
      <c r="B8" s="31"/>
      <c r="C8" s="32"/>
      <c r="D8" s="31"/>
      <c r="E8" s="31"/>
      <c r="F8" s="31"/>
      <c r="G8" s="32"/>
      <c r="H8" s="31"/>
    </row>
    <row r="9" spans="1:9" ht="42.75" customHeight="1" thickTop="1" x14ac:dyDescent="0.2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9" ht="40.5" customHeight="1" x14ac:dyDescent="0.2">
      <c r="A10" s="56">
        <v>1</v>
      </c>
      <c r="B10" s="86"/>
      <c r="C10" s="87" t="s">
        <v>58</v>
      </c>
      <c r="D10" s="88" t="s">
        <v>90</v>
      </c>
      <c r="E10" s="79" t="s">
        <v>66</v>
      </c>
      <c r="F10" s="89" t="s">
        <v>60</v>
      </c>
      <c r="G10" s="90">
        <v>100</v>
      </c>
      <c r="H10" s="81">
        <v>795</v>
      </c>
      <c r="I10" s="91">
        <f t="shared" ref="I10:I30" si="0">G10*H10</f>
        <v>79500</v>
      </c>
    </row>
    <row r="11" spans="1:9" ht="15" x14ac:dyDescent="0.2">
      <c r="A11" s="56">
        <v>2</v>
      </c>
      <c r="B11" s="56"/>
      <c r="C11" s="57" t="s">
        <v>58</v>
      </c>
      <c r="D11" s="34" t="s">
        <v>90</v>
      </c>
      <c r="E11" s="75" t="s">
        <v>67</v>
      </c>
      <c r="F11" s="51" t="s">
        <v>87</v>
      </c>
      <c r="G11" s="58">
        <v>1</v>
      </c>
      <c r="H11" s="82">
        <v>3850</v>
      </c>
      <c r="I11" s="69">
        <f t="shared" si="0"/>
        <v>3850</v>
      </c>
    </row>
    <row r="12" spans="1:9" ht="15" x14ac:dyDescent="0.2">
      <c r="A12" s="56">
        <v>3</v>
      </c>
      <c r="B12" s="56"/>
      <c r="C12" s="57" t="s">
        <v>58</v>
      </c>
      <c r="D12" s="34" t="s">
        <v>90</v>
      </c>
      <c r="E12" s="75" t="s">
        <v>68</v>
      </c>
      <c r="F12" s="51" t="s">
        <v>86</v>
      </c>
      <c r="G12" s="58">
        <v>600</v>
      </c>
      <c r="H12" s="82">
        <v>2950</v>
      </c>
      <c r="I12" s="69">
        <f t="shared" si="0"/>
        <v>1770000</v>
      </c>
    </row>
    <row r="13" spans="1:9" ht="39" customHeight="1" x14ac:dyDescent="0.2">
      <c r="A13" s="74">
        <v>4</v>
      </c>
      <c r="B13" s="56"/>
      <c r="C13" s="57" t="s">
        <v>58</v>
      </c>
      <c r="D13" s="34" t="s">
        <v>90</v>
      </c>
      <c r="E13" s="76" t="s">
        <v>69</v>
      </c>
      <c r="F13" s="51" t="s">
        <v>86</v>
      </c>
      <c r="G13" s="58">
        <v>8</v>
      </c>
      <c r="H13" s="82">
        <v>7650</v>
      </c>
      <c r="I13" s="69">
        <f t="shared" si="0"/>
        <v>61200</v>
      </c>
    </row>
    <row r="14" spans="1:9" ht="31.5" customHeight="1" x14ac:dyDescent="0.2">
      <c r="A14" s="56">
        <v>5</v>
      </c>
      <c r="B14" s="56"/>
      <c r="C14" s="57" t="s">
        <v>58</v>
      </c>
      <c r="D14" s="34" t="s">
        <v>90</v>
      </c>
      <c r="E14" s="77" t="s">
        <v>70</v>
      </c>
      <c r="F14" s="51" t="s">
        <v>86</v>
      </c>
      <c r="G14" s="58">
        <v>10</v>
      </c>
      <c r="H14" s="82">
        <v>7943</v>
      </c>
      <c r="I14" s="69">
        <f t="shared" si="0"/>
        <v>79430</v>
      </c>
    </row>
    <row r="15" spans="1:9" ht="15" x14ac:dyDescent="0.2">
      <c r="A15" s="74">
        <v>6</v>
      </c>
      <c r="B15" s="56"/>
      <c r="C15" s="57" t="s">
        <v>58</v>
      </c>
      <c r="D15" s="34" t="s">
        <v>90</v>
      </c>
      <c r="E15" s="80" t="s">
        <v>71</v>
      </c>
      <c r="F15" s="51" t="s">
        <v>86</v>
      </c>
      <c r="G15" s="58">
        <v>2</v>
      </c>
      <c r="H15" s="81">
        <v>15890</v>
      </c>
      <c r="I15" s="69">
        <f t="shared" si="0"/>
        <v>31780</v>
      </c>
    </row>
    <row r="16" spans="1:9" ht="25.5" customHeight="1" x14ac:dyDescent="0.2">
      <c r="A16" s="56">
        <v>7</v>
      </c>
      <c r="B16" s="56"/>
      <c r="C16" s="57" t="s">
        <v>58</v>
      </c>
      <c r="D16" s="34" t="s">
        <v>90</v>
      </c>
      <c r="E16" s="80" t="s">
        <v>72</v>
      </c>
      <c r="F16" s="51" t="s">
        <v>87</v>
      </c>
      <c r="G16" s="58">
        <v>4</v>
      </c>
      <c r="H16" s="81">
        <v>520</v>
      </c>
      <c r="I16" s="69">
        <f t="shared" si="0"/>
        <v>2080</v>
      </c>
    </row>
    <row r="17" spans="1:11" ht="28.5" customHeight="1" x14ac:dyDescent="0.2">
      <c r="A17" s="56">
        <v>8</v>
      </c>
      <c r="B17" s="56"/>
      <c r="C17" s="57" t="s">
        <v>58</v>
      </c>
      <c r="D17" s="34" t="s">
        <v>90</v>
      </c>
      <c r="E17" s="76" t="s">
        <v>73</v>
      </c>
      <c r="F17" s="51" t="s">
        <v>86</v>
      </c>
      <c r="G17" s="58">
        <v>1</v>
      </c>
      <c r="H17" s="82">
        <v>24994</v>
      </c>
      <c r="I17" s="69">
        <f t="shared" si="0"/>
        <v>24994</v>
      </c>
    </row>
    <row r="18" spans="1:11" ht="33" customHeight="1" x14ac:dyDescent="0.2">
      <c r="A18" s="56">
        <v>9</v>
      </c>
      <c r="B18" s="56"/>
      <c r="C18" s="57" t="s">
        <v>58</v>
      </c>
      <c r="D18" s="34" t="s">
        <v>90</v>
      </c>
      <c r="E18" s="76" t="s">
        <v>74</v>
      </c>
      <c r="F18" s="51" t="s">
        <v>86</v>
      </c>
      <c r="G18" s="58">
        <v>50</v>
      </c>
      <c r="H18" s="82">
        <v>490</v>
      </c>
      <c r="I18" s="69">
        <f t="shared" ref="I18:I19" si="1">G18*H18</f>
        <v>24500</v>
      </c>
    </row>
    <row r="19" spans="1:11" ht="32.25" customHeight="1" x14ac:dyDescent="0.2">
      <c r="A19" s="74">
        <v>10</v>
      </c>
      <c r="B19" s="56"/>
      <c r="C19" s="57" t="s">
        <v>58</v>
      </c>
      <c r="D19" s="34" t="s">
        <v>90</v>
      </c>
      <c r="E19" s="76" t="s">
        <v>75</v>
      </c>
      <c r="F19" s="51" t="s">
        <v>86</v>
      </c>
      <c r="G19" s="58">
        <v>15</v>
      </c>
      <c r="H19" s="82">
        <v>11535</v>
      </c>
      <c r="I19" s="69">
        <f t="shared" si="1"/>
        <v>173025</v>
      </c>
    </row>
    <row r="20" spans="1:11" ht="32.25" customHeight="1" x14ac:dyDescent="0.2">
      <c r="A20" s="56">
        <v>11</v>
      </c>
      <c r="B20" s="56"/>
      <c r="C20" s="57" t="s">
        <v>58</v>
      </c>
      <c r="D20" s="34" t="s">
        <v>90</v>
      </c>
      <c r="E20" s="76" t="s">
        <v>76</v>
      </c>
      <c r="F20" s="51" t="s">
        <v>87</v>
      </c>
      <c r="G20" s="58">
        <v>5</v>
      </c>
      <c r="H20" s="82">
        <v>468</v>
      </c>
      <c r="I20" s="69">
        <f t="shared" ref="I20:I26" si="2">G20*H20</f>
        <v>2340</v>
      </c>
    </row>
    <row r="21" spans="1:11" ht="32.25" customHeight="1" x14ac:dyDescent="0.2">
      <c r="A21" s="74">
        <v>12</v>
      </c>
      <c r="B21" s="56"/>
      <c r="C21" s="57" t="s">
        <v>58</v>
      </c>
      <c r="D21" s="34" t="s">
        <v>90</v>
      </c>
      <c r="E21" s="78" t="s">
        <v>77</v>
      </c>
      <c r="F21" s="51" t="s">
        <v>87</v>
      </c>
      <c r="G21" s="58">
        <v>2</v>
      </c>
      <c r="H21" s="82">
        <v>579</v>
      </c>
      <c r="I21" s="69">
        <f t="shared" si="2"/>
        <v>1158</v>
      </c>
    </row>
    <row r="22" spans="1:11" ht="15" x14ac:dyDescent="0.2">
      <c r="A22" s="56">
        <v>13</v>
      </c>
      <c r="B22" s="56"/>
      <c r="C22" s="57" t="s">
        <v>58</v>
      </c>
      <c r="D22" s="34" t="s">
        <v>90</v>
      </c>
      <c r="E22" s="75" t="s">
        <v>78</v>
      </c>
      <c r="F22" s="51" t="s">
        <v>87</v>
      </c>
      <c r="G22" s="58">
        <v>5</v>
      </c>
      <c r="H22" s="82">
        <v>655</v>
      </c>
      <c r="I22" s="69">
        <f t="shared" si="2"/>
        <v>3275</v>
      </c>
    </row>
    <row r="23" spans="1:11" ht="31.5" customHeight="1" x14ac:dyDescent="0.2">
      <c r="A23" s="56">
        <v>14</v>
      </c>
      <c r="B23" s="56"/>
      <c r="C23" s="57" t="s">
        <v>58</v>
      </c>
      <c r="D23" s="34" t="s">
        <v>90</v>
      </c>
      <c r="E23" s="75" t="s">
        <v>79</v>
      </c>
      <c r="F23" s="51" t="s">
        <v>87</v>
      </c>
      <c r="G23" s="58">
        <v>5</v>
      </c>
      <c r="H23" s="82">
        <v>465</v>
      </c>
      <c r="I23" s="69">
        <f t="shared" si="2"/>
        <v>2325</v>
      </c>
    </row>
    <row r="24" spans="1:11" ht="24" customHeight="1" x14ac:dyDescent="0.2">
      <c r="A24" s="56">
        <v>15</v>
      </c>
      <c r="B24" s="56"/>
      <c r="C24" s="87" t="s">
        <v>58</v>
      </c>
      <c r="D24" s="34" t="s">
        <v>90</v>
      </c>
      <c r="E24" s="79" t="s">
        <v>80</v>
      </c>
      <c r="F24" s="89" t="s">
        <v>88</v>
      </c>
      <c r="G24" s="90">
        <v>10</v>
      </c>
      <c r="H24" s="81">
        <v>20650</v>
      </c>
      <c r="I24" s="91">
        <f t="shared" si="2"/>
        <v>206500</v>
      </c>
    </row>
    <row r="25" spans="1:11" ht="29.25" customHeight="1" x14ac:dyDescent="0.2">
      <c r="A25" s="74">
        <v>16</v>
      </c>
      <c r="B25" s="56"/>
      <c r="C25" s="57" t="s">
        <v>58</v>
      </c>
      <c r="D25" s="34" t="s">
        <v>90</v>
      </c>
      <c r="E25" s="80" t="s">
        <v>81</v>
      </c>
      <c r="F25" s="51" t="s">
        <v>86</v>
      </c>
      <c r="G25" s="58">
        <v>15</v>
      </c>
      <c r="H25" s="82">
        <v>998</v>
      </c>
      <c r="I25" s="69">
        <f t="shared" si="2"/>
        <v>14970</v>
      </c>
    </row>
    <row r="26" spans="1:11" ht="28.5" customHeight="1" x14ac:dyDescent="0.2">
      <c r="A26" s="56">
        <v>17</v>
      </c>
      <c r="B26" s="56"/>
      <c r="C26" s="57" t="s">
        <v>58</v>
      </c>
      <c r="D26" s="34" t="s">
        <v>90</v>
      </c>
      <c r="E26" s="76" t="s">
        <v>89</v>
      </c>
      <c r="F26" s="51" t="s">
        <v>87</v>
      </c>
      <c r="G26" s="58">
        <v>200</v>
      </c>
      <c r="H26" s="82">
        <v>204</v>
      </c>
      <c r="I26" s="69">
        <f t="shared" si="2"/>
        <v>40800</v>
      </c>
    </row>
    <row r="27" spans="1:11" ht="31.5" customHeight="1" x14ac:dyDescent="0.2">
      <c r="A27" s="74">
        <v>18</v>
      </c>
      <c r="B27" s="56"/>
      <c r="C27" s="57" t="s">
        <v>58</v>
      </c>
      <c r="D27" s="34" t="s">
        <v>90</v>
      </c>
      <c r="E27" s="77" t="s">
        <v>82</v>
      </c>
      <c r="F27" s="51" t="s">
        <v>86</v>
      </c>
      <c r="G27" s="58">
        <v>5</v>
      </c>
      <c r="H27" s="82">
        <v>3350</v>
      </c>
      <c r="I27" s="69">
        <f t="shared" si="0"/>
        <v>16750</v>
      </c>
    </row>
    <row r="28" spans="1:11" ht="32.25" customHeight="1" x14ac:dyDescent="0.2">
      <c r="A28" s="56">
        <v>19</v>
      </c>
      <c r="B28" s="56"/>
      <c r="C28" s="57" t="s">
        <v>58</v>
      </c>
      <c r="D28" s="34" t="s">
        <v>91</v>
      </c>
      <c r="E28" s="75" t="s">
        <v>83</v>
      </c>
      <c r="F28" s="51" t="s">
        <v>60</v>
      </c>
      <c r="G28" s="58">
        <v>50</v>
      </c>
      <c r="H28" s="82">
        <v>18</v>
      </c>
      <c r="I28" s="69">
        <f t="shared" si="0"/>
        <v>900</v>
      </c>
      <c r="K28" s="92"/>
    </row>
    <row r="29" spans="1:11" ht="15" x14ac:dyDescent="0.2">
      <c r="A29" s="56">
        <v>20</v>
      </c>
      <c r="B29" s="56"/>
      <c r="C29" s="57" t="s">
        <v>58</v>
      </c>
      <c r="D29" s="34" t="s">
        <v>91</v>
      </c>
      <c r="E29" s="75" t="s">
        <v>84</v>
      </c>
      <c r="F29" s="51" t="s">
        <v>60</v>
      </c>
      <c r="G29" s="58">
        <v>50</v>
      </c>
      <c r="H29" s="82">
        <v>15</v>
      </c>
      <c r="I29" s="69">
        <f t="shared" si="0"/>
        <v>750</v>
      </c>
    </row>
    <row r="30" spans="1:11" ht="33" customHeight="1" x14ac:dyDescent="0.2">
      <c r="A30" s="56">
        <v>21</v>
      </c>
      <c r="B30" s="56"/>
      <c r="C30" s="57" t="s">
        <v>58</v>
      </c>
      <c r="D30" s="34" t="s">
        <v>90</v>
      </c>
      <c r="E30" s="76" t="s">
        <v>85</v>
      </c>
      <c r="F30" s="51" t="s">
        <v>86</v>
      </c>
      <c r="G30" s="58">
        <v>20</v>
      </c>
      <c r="H30" s="82">
        <v>1150</v>
      </c>
      <c r="I30" s="69">
        <f t="shared" si="0"/>
        <v>23000</v>
      </c>
    </row>
    <row r="32" spans="1:11" ht="13.5" thickBot="1" x14ac:dyDescent="0.25"/>
    <row r="33" spans="2:5" x14ac:dyDescent="0.2">
      <c r="B33" s="35" t="s">
        <v>64</v>
      </c>
      <c r="C33" s="36"/>
      <c r="D33" s="36"/>
      <c r="E33" s="37"/>
    </row>
    <row r="34" spans="2:5" x14ac:dyDescent="0.2">
      <c r="B34" s="38"/>
      <c r="C34" s="39"/>
      <c r="D34" s="39"/>
      <c r="E34" s="40"/>
    </row>
    <row r="35" spans="2:5" x14ac:dyDescent="0.2">
      <c r="B35" s="41" t="s">
        <v>14</v>
      </c>
      <c r="C35" s="39"/>
      <c r="D35" s="39"/>
      <c r="E35" s="40"/>
    </row>
    <row r="36" spans="2:5" x14ac:dyDescent="0.2">
      <c r="B36" s="41"/>
      <c r="C36" s="99"/>
      <c r="D36" s="99"/>
      <c r="E36" s="100"/>
    </row>
    <row r="37" spans="2:5" x14ac:dyDescent="0.2">
      <c r="B37" s="41" t="s">
        <v>15</v>
      </c>
      <c r="C37" s="48"/>
      <c r="D37" s="48"/>
      <c r="E37" s="49"/>
    </row>
    <row r="38" spans="2:5" x14ac:dyDescent="0.2">
      <c r="B38" s="42"/>
      <c r="C38" s="96"/>
      <c r="D38" s="96"/>
      <c r="E38" s="96"/>
    </row>
    <row r="39" spans="2:5" x14ac:dyDescent="0.2">
      <c r="B39" s="42"/>
      <c r="C39" s="96"/>
      <c r="D39" s="96"/>
      <c r="E39" s="96"/>
    </row>
    <row r="40" spans="2:5" x14ac:dyDescent="0.2">
      <c r="B40" s="41" t="s">
        <v>16</v>
      </c>
      <c r="C40" s="48"/>
      <c r="D40" s="48"/>
      <c r="E40" s="49"/>
    </row>
    <row r="41" spans="2:5" x14ac:dyDescent="0.2">
      <c r="B41" s="42"/>
      <c r="C41" s="95"/>
      <c r="D41" s="95"/>
      <c r="E41" s="95"/>
    </row>
    <row r="42" spans="2:5" x14ac:dyDescent="0.2">
      <c r="B42" s="41" t="s">
        <v>17</v>
      </c>
      <c r="C42" s="50"/>
      <c r="D42" s="50"/>
      <c r="E42" s="72"/>
    </row>
    <row r="43" spans="2:5" x14ac:dyDescent="0.2">
      <c r="B43" s="42"/>
      <c r="C43" s="95"/>
      <c r="D43" s="95"/>
      <c r="E43" s="95"/>
    </row>
    <row r="44" spans="2:5" x14ac:dyDescent="0.2">
      <c r="B44" s="41" t="s">
        <v>18</v>
      </c>
      <c r="C44" s="48"/>
      <c r="D44" s="48"/>
      <c r="E44" s="49"/>
    </row>
    <row r="45" spans="2:5" x14ac:dyDescent="0.2">
      <c r="B45" s="41"/>
      <c r="C45" s="96"/>
      <c r="D45" s="96"/>
      <c r="E45" s="96"/>
    </row>
    <row r="46" spans="2:5" ht="13.5" thickBot="1" x14ac:dyDescent="0.25">
      <c r="B46" s="43"/>
      <c r="C46" s="44"/>
      <c r="D46" s="44"/>
      <c r="E46" s="45"/>
    </row>
  </sheetData>
  <mergeCells count="13">
    <mergeCell ref="A6:B6"/>
    <mergeCell ref="A7:B7"/>
    <mergeCell ref="C43:E43"/>
    <mergeCell ref="C45:E45"/>
    <mergeCell ref="B2:H2"/>
    <mergeCell ref="A4:B4"/>
    <mergeCell ref="C4:E4"/>
    <mergeCell ref="A5:B5"/>
    <mergeCell ref="C5:E5"/>
    <mergeCell ref="C36:E36"/>
    <mergeCell ref="C38:E38"/>
    <mergeCell ref="C39:E39"/>
    <mergeCell ref="C41:E4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3"/>
  <sheetViews>
    <sheetView topLeftCell="A16" zoomScale="75" zoomScaleNormal="75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5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1" t="s">
        <v>19</v>
      </c>
      <c r="B1" s="111"/>
      <c r="C1" s="111"/>
      <c r="D1" s="111"/>
      <c r="E1" s="111"/>
      <c r="F1" s="111"/>
      <c r="G1" s="111"/>
      <c r="H1" s="111"/>
      <c r="I1" s="111"/>
      <c r="J1" s="3" t="s">
        <v>20</v>
      </c>
      <c r="K1" s="84" t="s">
        <v>65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83"/>
    </row>
    <row r="3" spans="1:11" ht="18.75" customHeight="1" thickBot="1" x14ac:dyDescent="0.25">
      <c r="A3" s="112" t="s">
        <v>52</v>
      </c>
      <c r="B3" s="112"/>
      <c r="C3" s="112"/>
      <c r="D3" s="113" t="str">
        <f>'Necesidades Trimestrales'!C4</f>
        <v>42-Ministerio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53</v>
      </c>
      <c r="B4" s="114"/>
      <c r="C4" s="114"/>
      <c r="D4" s="113" t="str">
        <f>'Necesidades Trimestrales'!C5</f>
        <v>28- Maternidad Provincial 25 de Mayo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31</v>
      </c>
      <c r="B5" s="114"/>
      <c r="C5" s="114"/>
      <c r="D5" s="113" t="s">
        <v>63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54</v>
      </c>
      <c r="B6" s="112"/>
      <c r="C6" s="112"/>
      <c r="D6" s="113" t="s">
        <v>98</v>
      </c>
      <c r="E6" s="113"/>
      <c r="F6" s="113"/>
      <c r="G6" s="113"/>
      <c r="H6" s="113"/>
      <c r="I6" s="113"/>
      <c r="J6" s="113"/>
      <c r="K6" s="113"/>
    </row>
    <row r="7" spans="1:11" ht="16.5" customHeight="1" thickBot="1" x14ac:dyDescent="0.25">
      <c r="A7" s="114" t="s">
        <v>21</v>
      </c>
      <c r="B7" s="114"/>
      <c r="C7" s="114"/>
      <c r="D7" s="115" t="str">
        <f>'Necesidades Trimestrales'!C7 &amp; " - Año " &amp; 'Necesidades Trimestrales'!C6</f>
        <v>4to Trimestre - Año 2020</v>
      </c>
      <c r="E7" s="115"/>
      <c r="F7" s="115"/>
      <c r="G7" s="115"/>
      <c r="H7" s="115"/>
      <c r="I7" s="115"/>
      <c r="J7" s="115"/>
      <c r="K7" s="115"/>
    </row>
    <row r="8" spans="1:11" ht="33.75" customHeight="1" thickBot="1" x14ac:dyDescent="0.25">
      <c r="A8" s="116" t="s">
        <v>61</v>
      </c>
      <c r="B8" s="117"/>
      <c r="C8" s="118"/>
      <c r="D8" s="104" t="s">
        <v>97</v>
      </c>
      <c r="E8" s="105"/>
      <c r="F8" s="105"/>
      <c r="G8" s="105"/>
      <c r="H8" s="105"/>
      <c r="I8" s="105"/>
      <c r="J8" s="105"/>
      <c r="K8" s="106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07" t="s">
        <v>22</v>
      </c>
      <c r="B10" s="109" t="s">
        <v>23</v>
      </c>
      <c r="C10" s="109" t="s">
        <v>24</v>
      </c>
      <c r="D10" s="109"/>
      <c r="E10" s="109"/>
      <c r="F10" s="109"/>
      <c r="G10" s="109"/>
      <c r="H10" s="109" t="s">
        <v>25</v>
      </c>
      <c r="I10" s="109" t="s">
        <v>26</v>
      </c>
      <c r="J10" s="109" t="s">
        <v>27</v>
      </c>
      <c r="K10" s="110" t="s">
        <v>28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31.5" customHeight="1" thickBot="1" x14ac:dyDescent="0.25">
      <c r="A12" s="61">
        <v>1</v>
      </c>
      <c r="B12" s="67">
        <f>'Necesidades Trimestrales'!B10</f>
        <v>0</v>
      </c>
      <c r="C12" s="101" t="str">
        <f>'Necesidades Trimestrales'!E10</f>
        <v>Ansas estériles descartables de 10 ul x 10 u</v>
      </c>
      <c r="D12" s="102"/>
      <c r="E12" s="102"/>
      <c r="F12" s="102"/>
      <c r="G12" s="103"/>
      <c r="H12" s="52" t="s">
        <v>59</v>
      </c>
      <c r="I12" s="53" t="str">
        <f>'Necesidades Trimestrales'!F10</f>
        <v>UNIDAD</v>
      </c>
      <c r="J12" s="54">
        <f>'Necesidades Trimestrales'!H10</f>
        <v>795</v>
      </c>
      <c r="K12" s="55">
        <f>'Necesidades Trimestrales'!G10</f>
        <v>100</v>
      </c>
    </row>
    <row r="13" spans="1:11" ht="31.5" customHeight="1" thickBot="1" x14ac:dyDescent="0.25">
      <c r="A13" s="61">
        <v>2</v>
      </c>
      <c r="B13" s="67">
        <f>'Necesidades Trimestrales'!B12</f>
        <v>0</v>
      </c>
      <c r="C13" s="101" t="str">
        <f>'Necesidades Trimestrales'!E11</f>
        <v>Bam con urea medio x 100 grs.</v>
      </c>
      <c r="D13" s="102"/>
      <c r="E13" s="102"/>
      <c r="F13" s="102"/>
      <c r="G13" s="103"/>
      <c r="H13" s="52" t="s">
        <v>59</v>
      </c>
      <c r="I13" s="53" t="str">
        <f>'Necesidades Trimestrales'!F11</f>
        <v>FRASCO</v>
      </c>
      <c r="J13" s="54">
        <f>'Necesidades Trimestrales'!H11</f>
        <v>3850</v>
      </c>
      <c r="K13" s="55">
        <f>'Necesidades Trimestrales'!G11</f>
        <v>1</v>
      </c>
    </row>
    <row r="14" spans="1:11" ht="31.5" customHeight="1" thickBot="1" x14ac:dyDescent="0.25">
      <c r="A14" s="68">
        <v>3</v>
      </c>
      <c r="B14" s="67">
        <f>'Necesidades Trimestrales'!B27</f>
        <v>0</v>
      </c>
      <c r="C14" s="101" t="str">
        <f>'Necesidades Trimestrales'!E12</f>
        <v xml:space="preserve">Capilares para gases c/tapón cursor c/imán x 200 ul </v>
      </c>
      <c r="D14" s="102"/>
      <c r="E14" s="102"/>
      <c r="F14" s="102"/>
      <c r="G14" s="103"/>
      <c r="H14" s="52" t="s">
        <v>59</v>
      </c>
      <c r="I14" s="53" t="str">
        <f>'Necesidades Trimestrales'!F12</f>
        <v>CAJA</v>
      </c>
      <c r="J14" s="54">
        <f>'Necesidades Trimestrales'!H12</f>
        <v>2950</v>
      </c>
      <c r="K14" s="55">
        <f>'Necesidades Trimestrales'!G12</f>
        <v>600</v>
      </c>
    </row>
    <row r="15" spans="1:11" ht="31.5" customHeight="1" thickBot="1" x14ac:dyDescent="0.25">
      <c r="A15" s="61">
        <v>4</v>
      </c>
      <c r="B15" s="67">
        <f>'Necesidades Trimestrales'!B28</f>
        <v>0</v>
      </c>
      <c r="C15" s="101" t="str">
        <f>'Necesidades Trimestrales'!E13</f>
        <v>CHAGAS ELISA RECOMBINANTE 4.0 TIPO WIENER</v>
      </c>
      <c r="D15" s="102"/>
      <c r="E15" s="102"/>
      <c r="F15" s="102"/>
      <c r="G15" s="103"/>
      <c r="H15" s="52" t="s">
        <v>59</v>
      </c>
      <c r="I15" s="53" t="str">
        <f>'Necesidades Trimestrales'!F13</f>
        <v>CAJA</v>
      </c>
      <c r="J15" s="54">
        <f>'Necesidades Trimestrales'!H13</f>
        <v>7650</v>
      </c>
      <c r="K15" s="55">
        <f>'Necesidades Trimestrales'!G13</f>
        <v>8</v>
      </c>
    </row>
    <row r="16" spans="1:11" ht="31.5" customHeight="1" thickBot="1" x14ac:dyDescent="0.25">
      <c r="A16" s="61">
        <v>5</v>
      </c>
      <c r="B16" s="67">
        <f>'Necesidades Trimestrales'!B29</f>
        <v>0</v>
      </c>
      <c r="C16" s="101" t="str">
        <f>'Necesidades Trimestrales'!E14</f>
        <v>CHAGAS HAI TIPO POLYCHACO</v>
      </c>
      <c r="D16" s="102"/>
      <c r="E16" s="102"/>
      <c r="F16" s="102"/>
      <c r="G16" s="103"/>
      <c r="H16" s="52" t="s">
        <v>59</v>
      </c>
      <c r="I16" s="53" t="str">
        <f>'Necesidades Trimestrales'!F14</f>
        <v>CAJA</v>
      </c>
      <c r="J16" s="54">
        <f>'Necesidades Trimestrales'!H14</f>
        <v>7943</v>
      </c>
      <c r="K16" s="55">
        <f>'Necesidades Trimestrales'!G14</f>
        <v>10</v>
      </c>
    </row>
    <row r="17" spans="1:11" ht="31.5" customHeight="1" thickBot="1" x14ac:dyDescent="0.25">
      <c r="A17" s="61">
        <v>6</v>
      </c>
      <c r="B17" s="67">
        <f>'Necesidades Trimestrales'!B30</f>
        <v>0</v>
      </c>
      <c r="C17" s="101" t="str">
        <f>'Necesidades Trimestrales'!E15</f>
        <v>Cubetas Fibrintimer 5x100 U para Coagulómetro Wiener</v>
      </c>
      <c r="D17" s="102"/>
      <c r="E17" s="102"/>
      <c r="F17" s="102"/>
      <c r="G17" s="103"/>
      <c r="H17" s="52" t="s">
        <v>59</v>
      </c>
      <c r="I17" s="53" t="str">
        <f>'Necesidades Trimestrales'!F15</f>
        <v>CAJA</v>
      </c>
      <c r="J17" s="54">
        <f>'Necesidades Trimestrales'!H15</f>
        <v>15890</v>
      </c>
      <c r="K17" s="55">
        <f>'Necesidades Trimestrales'!G15</f>
        <v>2</v>
      </c>
    </row>
    <row r="18" spans="1:11" ht="31.5" customHeight="1" thickBot="1" x14ac:dyDescent="0.25">
      <c r="A18" s="61">
        <v>7</v>
      </c>
      <c r="B18" s="67" t="e">
        <f>'Necesidades Trimestrales'!#REF!</f>
        <v>#REF!</v>
      </c>
      <c r="C18" s="101" t="str">
        <f>'Necesidades Trimestrales'!E16</f>
        <v>Discos de Gentamicina x 10 ug. X 50 T/Britania</v>
      </c>
      <c r="D18" s="102"/>
      <c r="E18" s="102"/>
      <c r="F18" s="102"/>
      <c r="G18" s="103"/>
      <c r="H18" s="52" t="s">
        <v>59</v>
      </c>
      <c r="I18" s="53" t="str">
        <f>'Necesidades Trimestrales'!F16</f>
        <v>FRASCO</v>
      </c>
      <c r="J18" s="54">
        <f>'Necesidades Trimestrales'!H16</f>
        <v>520</v>
      </c>
      <c r="K18" s="55">
        <f>'Necesidades Trimestrales'!G16</f>
        <v>4</v>
      </c>
    </row>
    <row r="19" spans="1:11" ht="31.5" customHeight="1" thickBot="1" x14ac:dyDescent="0.25">
      <c r="A19" s="68">
        <v>8</v>
      </c>
      <c r="B19" s="67" t="e">
        <f>'Necesidades Trimestrales'!#REF!</f>
        <v>#REF!</v>
      </c>
      <c r="C19" s="101" t="str">
        <f>'Necesidades Trimestrales'!E17</f>
        <v>E test para Vancomicina x 30 tiras</v>
      </c>
      <c r="D19" s="102"/>
      <c r="E19" s="102"/>
      <c r="F19" s="102"/>
      <c r="G19" s="103"/>
      <c r="H19" s="52" t="s">
        <v>59</v>
      </c>
      <c r="I19" s="53" t="str">
        <f>'Necesidades Trimestrales'!F17</f>
        <v>CAJA</v>
      </c>
      <c r="J19" s="54">
        <f>'Necesidades Trimestrales'!H17</f>
        <v>24994</v>
      </c>
      <c r="K19" s="55">
        <f>'Necesidades Trimestrales'!G17</f>
        <v>1</v>
      </c>
    </row>
    <row r="20" spans="1:11" ht="31.5" customHeight="1" thickBot="1" x14ac:dyDescent="0.25">
      <c r="A20" s="61">
        <v>9</v>
      </c>
      <c r="B20" s="67" t="e">
        <f>'Necesidades Trimestrales'!#REF!</f>
        <v>#REF!</v>
      </c>
      <c r="C20" s="101" t="str">
        <f>'Necesidades Trimestrales'!E18</f>
        <v>Glucocurve 75 grs. X 10 sobres Tipo SDA</v>
      </c>
      <c r="D20" s="102"/>
      <c r="E20" s="102"/>
      <c r="F20" s="102"/>
      <c r="G20" s="103"/>
      <c r="H20" s="52" t="s">
        <v>59</v>
      </c>
      <c r="I20" s="53" t="str">
        <f>'Necesidades Trimestrales'!F18</f>
        <v>CAJA</v>
      </c>
      <c r="J20" s="54">
        <f>'Necesidades Trimestrales'!H18</f>
        <v>490</v>
      </c>
      <c r="K20" s="55">
        <f>'Necesidades Trimestrales'!G18</f>
        <v>50</v>
      </c>
    </row>
    <row r="21" spans="1:11" ht="31.5" customHeight="1" thickBot="1" x14ac:dyDescent="0.25">
      <c r="A21" s="61">
        <v>10</v>
      </c>
      <c r="B21" s="67" t="e">
        <f>'Necesidades Trimestrales'!#REF!</f>
        <v>#REF!</v>
      </c>
      <c r="C21" s="101" t="str">
        <f>'Necesidades Trimestrales'!E19</f>
        <v>HEPATITIS "B" AG ELISA TIPO WIENER</v>
      </c>
      <c r="D21" s="102"/>
      <c r="E21" s="102"/>
      <c r="F21" s="102"/>
      <c r="G21" s="103"/>
      <c r="H21" s="52" t="s">
        <v>59</v>
      </c>
      <c r="I21" s="53" t="str">
        <f>'Necesidades Trimestrales'!F19</f>
        <v>CAJA</v>
      </c>
      <c r="J21" s="54">
        <f>'Necesidades Trimestrales'!H19</f>
        <v>11535</v>
      </c>
      <c r="K21" s="55">
        <f>'Necesidades Trimestrales'!G19</f>
        <v>15</v>
      </c>
    </row>
    <row r="22" spans="1:11" ht="31.5" customHeight="1" thickBot="1" x14ac:dyDescent="0.25">
      <c r="A22" s="61">
        <v>11</v>
      </c>
      <c r="B22" s="67" t="e">
        <f>'Necesidades Trimestrales'!#REF!</f>
        <v>#REF!</v>
      </c>
      <c r="C22" s="101" t="str">
        <f>'Necesidades Trimestrales'!E20</f>
        <v>Monod. Azitromicina 15 ug x 50 u</v>
      </c>
      <c r="D22" s="102"/>
      <c r="E22" s="102"/>
      <c r="F22" s="102"/>
      <c r="G22" s="103"/>
      <c r="H22" s="52" t="s">
        <v>59</v>
      </c>
      <c r="I22" s="53" t="str">
        <f>'Necesidades Trimestrales'!F20</f>
        <v>FRASCO</v>
      </c>
      <c r="J22" s="54">
        <f>'Necesidades Trimestrales'!H20</f>
        <v>468</v>
      </c>
      <c r="K22" s="55">
        <f>'Necesidades Trimestrales'!G20</f>
        <v>5</v>
      </c>
    </row>
    <row r="23" spans="1:11" ht="31.5" customHeight="1" thickBot="1" x14ac:dyDescent="0.25">
      <c r="A23" s="61">
        <v>12</v>
      </c>
      <c r="B23" s="67" t="e">
        <f>'Necesidades Trimestrales'!#REF!</f>
        <v>#REF!</v>
      </c>
      <c r="C23" s="101" t="str">
        <f>'Necesidades Trimestrales'!E21</f>
        <v>Monod. Cefazolina 30 ug x 50 tipo Rosco</v>
      </c>
      <c r="D23" s="102"/>
      <c r="E23" s="102"/>
      <c r="F23" s="102"/>
      <c r="G23" s="103"/>
      <c r="H23" s="52" t="s">
        <v>59</v>
      </c>
      <c r="I23" s="53" t="str">
        <f>'Necesidades Trimestrales'!F21</f>
        <v>FRASCO</v>
      </c>
      <c r="J23" s="54">
        <f>'Necesidades Trimestrales'!H21</f>
        <v>579</v>
      </c>
      <c r="K23" s="55">
        <f>'Necesidades Trimestrales'!G21</f>
        <v>2</v>
      </c>
    </row>
    <row r="24" spans="1:11" ht="31.5" customHeight="1" thickBot="1" x14ac:dyDescent="0.25">
      <c r="A24" s="68">
        <v>13</v>
      </c>
      <c r="B24" s="67" t="e">
        <f>'Necesidades Trimestrales'!#REF!</f>
        <v>#REF!</v>
      </c>
      <c r="C24" s="101" t="str">
        <f>'Necesidades Trimestrales'!E22</f>
        <v>Monod. Ceftazidima+ Avibactam 10/4 ug x 50 u</v>
      </c>
      <c r="D24" s="102"/>
      <c r="E24" s="102"/>
      <c r="F24" s="102"/>
      <c r="G24" s="103"/>
      <c r="H24" s="52" t="s">
        <v>59</v>
      </c>
      <c r="I24" s="53" t="str">
        <f>'Necesidades Trimestrales'!F22</f>
        <v>FRASCO</v>
      </c>
      <c r="J24" s="54">
        <f>'Necesidades Trimestrales'!H22</f>
        <v>655</v>
      </c>
      <c r="K24" s="55">
        <f>'Necesidades Trimestrales'!G22</f>
        <v>5</v>
      </c>
    </row>
    <row r="25" spans="1:11" ht="31.5" customHeight="1" thickBot="1" x14ac:dyDescent="0.25">
      <c r="A25" s="61">
        <v>14</v>
      </c>
      <c r="B25" s="67" t="e">
        <f>'Necesidades Trimestrales'!#REF!</f>
        <v>#REF!</v>
      </c>
      <c r="C25" s="101" t="str">
        <f>'Necesidades Trimestrales'!E23</f>
        <v>Monod. Estreptomicina 300 ug x 50 u</v>
      </c>
      <c r="D25" s="102"/>
      <c r="E25" s="102"/>
      <c r="F25" s="102"/>
      <c r="G25" s="103"/>
      <c r="H25" s="52" t="s">
        <v>59</v>
      </c>
      <c r="I25" s="53" t="str">
        <f>'Necesidades Trimestrales'!F23</f>
        <v>FRASCO</v>
      </c>
      <c r="J25" s="54">
        <f>'Necesidades Trimestrales'!H23</f>
        <v>465</v>
      </c>
      <c r="K25" s="55">
        <f>'Necesidades Trimestrales'!G23</f>
        <v>5</v>
      </c>
    </row>
    <row r="26" spans="1:11" ht="31.5" customHeight="1" thickBot="1" x14ac:dyDescent="0.25">
      <c r="A26" s="61">
        <v>15</v>
      </c>
      <c r="B26" s="67" t="e">
        <f>'Necesidades Trimestrales'!#REF!</f>
        <v>#REF!</v>
      </c>
      <c r="C26" s="101" t="str">
        <f>'Necesidades Trimestrales'!E24</f>
        <v>Rinse Solution x 600 ml para ABL 800</v>
      </c>
      <c r="D26" s="102"/>
      <c r="E26" s="102"/>
      <c r="F26" s="102"/>
      <c r="G26" s="103"/>
      <c r="H26" s="52" t="s">
        <v>59</v>
      </c>
      <c r="I26" s="53" t="str">
        <f>'Necesidades Trimestrales'!F24</f>
        <v>BOTELLA</v>
      </c>
      <c r="J26" s="54">
        <f>'Necesidades Trimestrales'!H24</f>
        <v>20650</v>
      </c>
      <c r="K26" s="55">
        <f>'Necesidades Trimestrales'!G24</f>
        <v>10</v>
      </c>
    </row>
    <row r="27" spans="1:11" ht="31.5" customHeight="1" thickBot="1" x14ac:dyDescent="0.25">
      <c r="A27" s="61">
        <v>16</v>
      </c>
      <c r="B27" s="67" t="e">
        <f>'Necesidades Trimestrales'!#REF!</f>
        <v>#REF!</v>
      </c>
      <c r="C27" s="101" t="str">
        <f>'Necesidades Trimestrales'!E25</f>
        <v>TIRAS REACTIVAS P/ ORINA- TIPO WIENNER</v>
      </c>
      <c r="D27" s="102"/>
      <c r="E27" s="102"/>
      <c r="F27" s="102"/>
      <c r="G27" s="103"/>
      <c r="H27" s="52" t="s">
        <v>59</v>
      </c>
      <c r="I27" s="53" t="str">
        <f>'Necesidades Trimestrales'!F25</f>
        <v>CAJA</v>
      </c>
      <c r="J27" s="54">
        <f>'Necesidades Trimestrales'!H25</f>
        <v>998</v>
      </c>
      <c r="K27" s="55">
        <f>'Necesidades Trimestrales'!G25</f>
        <v>15</v>
      </c>
    </row>
    <row r="28" spans="1:11" ht="31.5" customHeight="1" thickBot="1" x14ac:dyDescent="0.25">
      <c r="A28" s="61">
        <v>17</v>
      </c>
      <c r="B28" s="67" t="e">
        <f>'Necesidades Trimestrales'!#REF!</f>
        <v>#REF!</v>
      </c>
      <c r="C28" s="101" t="str">
        <f>'Necesidades Trimestrales'!E26</f>
        <v>Todd Hewitt caldo suplementado con CoNa x 10 ml</v>
      </c>
      <c r="D28" s="102"/>
      <c r="E28" s="102"/>
      <c r="F28" s="102"/>
      <c r="G28" s="103"/>
      <c r="H28" s="52" t="s">
        <v>59</v>
      </c>
      <c r="I28" s="53" t="str">
        <f>'Necesidades Trimestrales'!F26</f>
        <v>FRASCO</v>
      </c>
      <c r="J28" s="54">
        <f>'Necesidades Trimestrales'!H26</f>
        <v>204</v>
      </c>
      <c r="K28" s="55">
        <f>'Necesidades Trimestrales'!G26</f>
        <v>200</v>
      </c>
    </row>
    <row r="29" spans="1:11" ht="31.5" customHeight="1" thickBot="1" x14ac:dyDescent="0.25">
      <c r="A29" s="68">
        <v>18</v>
      </c>
      <c r="B29" s="67" t="e">
        <f>'Necesidades Trimestrales'!#REF!</f>
        <v>#REF!</v>
      </c>
      <c r="C29" s="101" t="str">
        <f>'Necesidades Trimestrales'!E27</f>
        <v>TROMBOPLASTINA 10X4ML HEMOMEDICA O SOLUPLASTIN</v>
      </c>
      <c r="D29" s="102"/>
      <c r="E29" s="102"/>
      <c r="F29" s="102"/>
      <c r="G29" s="103"/>
      <c r="H29" s="52" t="s">
        <v>59</v>
      </c>
      <c r="I29" s="53" t="str">
        <f>'Necesidades Trimestrales'!F27</f>
        <v>CAJA</v>
      </c>
      <c r="J29" s="54">
        <f>'Necesidades Trimestrales'!H27</f>
        <v>3350</v>
      </c>
      <c r="K29" s="55">
        <f>'Necesidades Trimestrales'!G27</f>
        <v>5</v>
      </c>
    </row>
    <row r="30" spans="1:11" ht="31.5" customHeight="1" thickBot="1" x14ac:dyDescent="0.25">
      <c r="A30" s="61">
        <v>19</v>
      </c>
      <c r="B30" s="67" t="e">
        <f>'Necesidades Trimestrales'!#REF!</f>
        <v>#REF!</v>
      </c>
      <c r="C30" s="101" t="str">
        <f>'Necesidades Trimestrales'!E28</f>
        <v>Tubos de hemolisis de vidrio</v>
      </c>
      <c r="D30" s="102"/>
      <c r="E30" s="102"/>
      <c r="F30" s="102"/>
      <c r="G30" s="103"/>
      <c r="H30" s="52" t="s">
        <v>59</v>
      </c>
      <c r="I30" s="53" t="str">
        <f>'Necesidades Trimestrales'!F28</f>
        <v>UNIDAD</v>
      </c>
      <c r="J30" s="54">
        <f>'Necesidades Trimestrales'!H28</f>
        <v>18</v>
      </c>
      <c r="K30" s="55">
        <f>'Necesidades Trimestrales'!G28</f>
        <v>50</v>
      </c>
    </row>
    <row r="31" spans="1:11" ht="31.5" customHeight="1" thickBot="1" x14ac:dyDescent="0.25">
      <c r="A31" s="61">
        <v>20</v>
      </c>
      <c r="B31" s="67" t="e">
        <f>'Necesidades Trimestrales'!#REF!</f>
        <v>#REF!</v>
      </c>
      <c r="C31" s="101" t="str">
        <f>'Necesidades Trimestrales'!E29</f>
        <v>Tubos de Khan de vidrio</v>
      </c>
      <c r="D31" s="102"/>
      <c r="E31" s="102"/>
      <c r="F31" s="102"/>
      <c r="G31" s="103"/>
      <c r="H31" s="52" t="s">
        <v>59</v>
      </c>
      <c r="I31" s="53" t="str">
        <f>'Necesidades Trimestrales'!F29</f>
        <v>UNIDAD</v>
      </c>
      <c r="J31" s="54">
        <f>'Necesidades Trimestrales'!H29</f>
        <v>15</v>
      </c>
      <c r="K31" s="55">
        <f>'Necesidades Trimestrales'!G29</f>
        <v>50</v>
      </c>
    </row>
    <row r="32" spans="1:11" ht="31.5" customHeight="1" thickBot="1" x14ac:dyDescent="0.25">
      <c r="A32" s="61">
        <v>21</v>
      </c>
      <c r="B32" s="67" t="e">
        <f>'Necesidades Trimestrales'!#REF!</f>
        <v>#REF!</v>
      </c>
      <c r="C32" s="101" t="str">
        <f>'Necesidades Trimestrales'!E30</f>
        <v>VDRL CUALITATIVA</v>
      </c>
      <c r="D32" s="102"/>
      <c r="E32" s="102"/>
      <c r="F32" s="102"/>
      <c r="G32" s="103"/>
      <c r="H32" s="52" t="s">
        <v>59</v>
      </c>
      <c r="I32" s="53" t="str">
        <f>'Necesidades Trimestrales'!F30</f>
        <v>CAJA</v>
      </c>
      <c r="J32" s="54">
        <f>'Necesidades Trimestrales'!H30</f>
        <v>1150</v>
      </c>
      <c r="K32" s="55">
        <f>'Necesidades Trimestrales'!G30</f>
        <v>20</v>
      </c>
    </row>
    <row r="33" spans="1:11" ht="20.25" customHeight="1" thickBot="1" x14ac:dyDescent="0.25">
      <c r="A33" s="119" t="s">
        <v>92</v>
      </c>
      <c r="B33" s="120"/>
      <c r="C33" s="120"/>
      <c r="D33" s="120"/>
      <c r="E33" s="120"/>
      <c r="F33" s="120"/>
      <c r="G33" s="120"/>
      <c r="H33" s="120"/>
      <c r="I33" s="121"/>
      <c r="J33" s="122">
        <f>SUMPRODUCT(J12:J32,K12:K32)</f>
        <v>2563127</v>
      </c>
      <c r="K33" s="122"/>
    </row>
  </sheetData>
  <mergeCells count="43">
    <mergeCell ref="C14:G14"/>
    <mergeCell ref="A33:I33"/>
    <mergeCell ref="J33:K3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8:G18"/>
    <mergeCell ref="C19:G19"/>
    <mergeCell ref="D8:K8"/>
    <mergeCell ref="A10:A11"/>
    <mergeCell ref="B10:B11"/>
    <mergeCell ref="C10:G11"/>
    <mergeCell ref="H10:H11"/>
    <mergeCell ref="I10:I11"/>
    <mergeCell ref="J10:J11"/>
    <mergeCell ref="K10:K11"/>
    <mergeCell ref="C15:G15"/>
    <mergeCell ref="C16:G16"/>
    <mergeCell ref="C17:G17"/>
    <mergeCell ref="A8:C8"/>
    <mergeCell ref="C12:G12"/>
    <mergeCell ref="C13:G13"/>
    <mergeCell ref="C24:G24"/>
    <mergeCell ref="C25:G25"/>
    <mergeCell ref="C26:G26"/>
    <mergeCell ref="C32:G32"/>
    <mergeCell ref="C20:G20"/>
    <mergeCell ref="C21:G21"/>
    <mergeCell ref="C22:G22"/>
    <mergeCell ref="C23:G23"/>
    <mergeCell ref="C27:G27"/>
    <mergeCell ref="C28:G28"/>
    <mergeCell ref="C29:G29"/>
    <mergeCell ref="C30:G30"/>
    <mergeCell ref="C31:G3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zoomScale="110" zoomScaleNormal="110" workbookViewId="0">
      <selection activeCell="Q21" sqref="Q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20" max="20" width="13.42578125" bestFit="1" customWidth="1"/>
  </cols>
  <sheetData>
    <row r="1" spans="1:20" ht="15.75" customHeight="1" x14ac:dyDescent="0.25">
      <c r="A1" s="123" t="s">
        <v>3</v>
      </c>
      <c r="B1" s="123"/>
      <c r="C1" s="123"/>
      <c r="D1" s="124">
        <f>'Necesidades Trimestrales'!C6</f>
        <v>2020</v>
      </c>
      <c r="E1" s="124"/>
      <c r="F1" s="9"/>
      <c r="G1" s="9"/>
      <c r="H1" s="10"/>
      <c r="I1" s="10"/>
      <c r="J1" s="10"/>
      <c r="K1" s="10"/>
      <c r="L1" s="10"/>
      <c r="M1" s="10"/>
      <c r="N1" s="10"/>
      <c r="P1" s="125" t="s">
        <v>29</v>
      </c>
      <c r="Q1" s="125"/>
    </row>
    <row r="2" spans="1:20" ht="15.75" customHeight="1" x14ac:dyDescent="0.2">
      <c r="H2" s="10"/>
      <c r="I2" s="10"/>
      <c r="J2" s="10"/>
      <c r="K2" s="10"/>
      <c r="L2" s="10"/>
      <c r="M2" s="10"/>
      <c r="N2" s="10"/>
      <c r="P2" s="125"/>
      <c r="Q2" s="125"/>
    </row>
    <row r="4" spans="1:20" s="11" customFormat="1" ht="18" customHeight="1" thickBot="1" x14ac:dyDescent="0.25">
      <c r="A4" s="126" t="s">
        <v>30</v>
      </c>
      <c r="B4" s="126"/>
      <c r="C4" s="126"/>
      <c r="D4" s="126"/>
      <c r="E4" s="126"/>
      <c r="F4" s="126"/>
      <c r="G4" s="127" t="str">
        <f>' NotaPedido 249-20'!D3</f>
        <v>42-Ministerio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20" s="11" customFormat="1" ht="18" customHeight="1" thickBot="1" x14ac:dyDescent="0.25">
      <c r="A5" s="128" t="s">
        <v>53</v>
      </c>
      <c r="B5" s="129"/>
      <c r="C5" s="129"/>
      <c r="D5" s="129"/>
      <c r="E5" s="129"/>
      <c r="F5" s="130"/>
      <c r="G5" s="127" t="str">
        <f>' NotaPedido 249-20'!D4</f>
        <v>28- Maternidad Provincial 25 de Mayo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20" s="11" customFormat="1" ht="18" customHeight="1" thickBot="1" x14ac:dyDescent="0.25">
      <c r="A6" s="128" t="s">
        <v>31</v>
      </c>
      <c r="B6" s="129"/>
      <c r="C6" s="129"/>
      <c r="D6" s="129"/>
      <c r="E6" s="129"/>
      <c r="F6" s="130"/>
      <c r="G6" s="127" t="str">
        <f>' NotaPedido 249-20'!D5</f>
        <v xml:space="preserve">169- Direccion Asistencial 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20" s="11" customFormat="1" ht="18" customHeight="1" thickBot="1" x14ac:dyDescent="0.25">
      <c r="A7" s="132" t="s">
        <v>54</v>
      </c>
      <c r="B7" s="133"/>
      <c r="C7" s="133"/>
      <c r="D7" s="133"/>
      <c r="E7" s="133"/>
      <c r="F7" s="134"/>
      <c r="G7" s="127" t="str">
        <f>' NotaPedido 249-20'!D6</f>
        <v>Servicio de Laboratorio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20" ht="18" customHeight="1" thickBot="1" x14ac:dyDescent="0.25">
      <c r="A8" s="131" t="s">
        <v>32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20" ht="18" customHeight="1" x14ac:dyDescent="0.2">
      <c r="A9" s="138" t="s">
        <v>33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"/>
      <c r="P9" s="1"/>
      <c r="Q9" s="12"/>
    </row>
    <row r="10" spans="1:20" ht="54.75" customHeight="1" x14ac:dyDescent="0.2">
      <c r="A10" s="139" t="str">
        <f>"Autorizo la realización de los  trámites correspondientes, a fin de proveer a  este Organismo los bienes y/o servicios que se detallan en Nota  de Pedido N° " &amp; ' NotaPedido 249-20'!K1&amp;",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288/2020,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20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0" ht="15.75" customHeight="1" thickBot="1" x14ac:dyDescent="0.25">
      <c r="A12" s="140" t="s">
        <v>34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20" ht="15.75" customHeight="1" thickBot="1" x14ac:dyDescent="0.25">
      <c r="A13" s="140" t="s">
        <v>35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36</v>
      </c>
      <c r="P13" s="142"/>
      <c r="Q13" s="144" t="s">
        <v>37</v>
      </c>
    </row>
    <row r="14" spans="1:20" ht="15.75" customHeight="1" x14ac:dyDescent="0.2">
      <c r="A14" s="66" t="s">
        <v>38</v>
      </c>
      <c r="B14" s="66" t="s">
        <v>39</v>
      </c>
      <c r="C14" s="66" t="s">
        <v>40</v>
      </c>
      <c r="D14" s="66" t="s">
        <v>41</v>
      </c>
      <c r="E14" s="66" t="s">
        <v>42</v>
      </c>
      <c r="F14" s="66" t="s">
        <v>43</v>
      </c>
      <c r="G14" s="71" t="s">
        <v>44</v>
      </c>
      <c r="H14" s="66" t="s">
        <v>45</v>
      </c>
      <c r="I14" s="66" t="s">
        <v>46</v>
      </c>
      <c r="J14" s="66" t="s">
        <v>47</v>
      </c>
      <c r="K14" s="66" t="s">
        <v>47</v>
      </c>
      <c r="L14" s="66" t="s">
        <v>48</v>
      </c>
      <c r="M14" s="66" t="s">
        <v>49</v>
      </c>
      <c r="N14" s="66" t="s">
        <v>50</v>
      </c>
      <c r="O14" s="143"/>
      <c r="P14" s="142"/>
      <c r="Q14" s="144"/>
    </row>
    <row r="15" spans="1:20" ht="30" customHeight="1" x14ac:dyDescent="0.2">
      <c r="A15" s="70">
        <v>42</v>
      </c>
      <c r="B15" s="17"/>
      <c r="C15" s="17"/>
      <c r="D15" s="70">
        <v>2</v>
      </c>
      <c r="E15" s="17"/>
      <c r="F15" s="70">
        <v>4901</v>
      </c>
      <c r="G15" s="62">
        <v>3</v>
      </c>
      <c r="H15" s="62">
        <v>1</v>
      </c>
      <c r="I15" s="62">
        <v>2</v>
      </c>
      <c r="J15" s="62">
        <v>5</v>
      </c>
      <c r="K15" s="62">
        <v>1</v>
      </c>
      <c r="L15" s="17"/>
      <c r="M15" s="18">
        <v>1</v>
      </c>
      <c r="N15" s="64" t="s">
        <v>57</v>
      </c>
      <c r="O15" s="135" t="s">
        <v>93</v>
      </c>
      <c r="P15" s="136"/>
      <c r="Q15" s="93">
        <v>2561477</v>
      </c>
    </row>
    <row r="16" spans="1:20" ht="29.25" customHeight="1" x14ac:dyDescent="0.2">
      <c r="A16" s="70">
        <v>42</v>
      </c>
      <c r="B16" s="17"/>
      <c r="C16" s="17"/>
      <c r="D16" s="70">
        <v>2</v>
      </c>
      <c r="E16" s="17"/>
      <c r="F16" s="70">
        <v>4901</v>
      </c>
      <c r="G16" s="62">
        <v>3</v>
      </c>
      <c r="H16" s="62">
        <v>1</v>
      </c>
      <c r="I16" s="62">
        <v>2</v>
      </c>
      <c r="J16" s="62">
        <v>9</v>
      </c>
      <c r="K16" s="62">
        <v>5</v>
      </c>
      <c r="L16" s="17"/>
      <c r="M16" s="18">
        <v>1</v>
      </c>
      <c r="N16" s="64" t="s">
        <v>57</v>
      </c>
      <c r="O16" s="137" t="s">
        <v>94</v>
      </c>
      <c r="P16" s="137"/>
      <c r="Q16" s="85">
        <v>1650</v>
      </c>
      <c r="T16" s="73"/>
    </row>
    <row r="17" spans="1:18" ht="29.25" customHeight="1" x14ac:dyDescent="0.2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63"/>
      <c r="O17" s="145"/>
      <c r="P17" s="145"/>
      <c r="Q17" s="59"/>
    </row>
    <row r="18" spans="1:18" ht="27.75" customHeight="1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63"/>
      <c r="O18" s="145"/>
      <c r="P18" s="145"/>
      <c r="Q18" s="65"/>
    </row>
    <row r="19" spans="1:18" ht="17.25" customHeight="1" x14ac:dyDescent="0.2">
      <c r="A19" s="20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3"/>
      <c r="N19" s="24"/>
      <c r="O19" s="151"/>
      <c r="P19" s="151"/>
      <c r="Q19" s="19"/>
      <c r="R19" s="1"/>
    </row>
    <row r="20" spans="1:18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6"/>
      <c r="O20" s="152"/>
      <c r="P20" s="152"/>
      <c r="Q20" s="28"/>
    </row>
    <row r="21" spans="1:18" ht="20.25" customHeight="1" x14ac:dyDescent="0.2">
      <c r="A21" s="153" t="s">
        <v>95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29">
        <f>SUM(Q15:Q20)</f>
        <v>2563127</v>
      </c>
    </row>
    <row r="22" spans="1:18" ht="18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7.25" customHeight="1" thickBot="1" x14ac:dyDescent="0.25">
      <c r="A23" s="146" t="s">
        <v>51</v>
      </c>
      <c r="B23" s="147"/>
      <c r="C23" s="147"/>
      <c r="D23" s="147"/>
      <c r="E23" s="147"/>
      <c r="F23" s="148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</row>
    <row r="24" spans="1:18" ht="18" customHeight="1" thickBot="1" x14ac:dyDescent="0.25">
      <c r="A24" s="150" t="s">
        <v>96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15" customHeight="1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</sheetData>
  <mergeCells count="29"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 249-20</vt:lpstr>
      <vt:lpstr>Autor Gastar</vt:lpstr>
      <vt:lpstr>' NotaPedido 249-20'!Área_de_impresión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2020-08-27T14:49:27Z</cp:lastPrinted>
  <dcterms:created xsi:type="dcterms:W3CDTF">2020-07-17T23:44:49Z</dcterms:created>
  <dcterms:modified xsi:type="dcterms:W3CDTF">2021-08-17T15:46:19Z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