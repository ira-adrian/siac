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NDRIVE 2\Secretaria\TAREAS\Ministerio de Salud\AÑO 2022\Adq.Serv.comidas-SAME\Archivos de trabajo\"/>
    </mc:Choice>
  </mc:AlternateContent>
  <bookViews>
    <workbookView xWindow="0" yWindow="0" windowWidth="19200" windowHeight="6470"/>
  </bookViews>
  <sheets>
    <sheet name="SAF 011" sheetId="1" r:id="rId1"/>
    <sheet name="ANEXO I" sheetId="4" r:id="rId2"/>
    <sheet name="NP" sheetId="2" r:id="rId3"/>
    <sheet name="APG" sheetId="3" r:id="rId4"/>
  </sheets>
  <definedNames>
    <definedName name="_xlnm._FilterDatabase" localSheetId="0" hidden="1">'SAF 011'!$A$9:$AY$12</definedName>
  </definedNames>
  <calcPr calcId="162913"/>
</workbook>
</file>

<file path=xl/calcChain.xml><?xml version="1.0" encoding="utf-8"?>
<calcChain xmlns="http://schemas.openxmlformats.org/spreadsheetml/2006/main">
  <c r="A26" i="3" l="1"/>
  <c r="G5" i="3"/>
  <c r="G6" i="3"/>
  <c r="G7" i="3"/>
  <c r="M12" i="2"/>
  <c r="K13" i="2"/>
  <c r="M13" i="2" s="1"/>
  <c r="M15" i="2" s="1"/>
  <c r="K12" i="2"/>
  <c r="J13" i="2"/>
  <c r="J12" i="2"/>
  <c r="I13" i="2"/>
  <c r="I12" i="2"/>
  <c r="C13" i="2"/>
  <c r="C12" i="2"/>
  <c r="B13" i="2"/>
  <c r="B12" i="2"/>
  <c r="D4" i="2"/>
  <c r="D3" i="2"/>
  <c r="G4" i="3" s="1"/>
  <c r="Q15" i="3" l="1"/>
  <c r="Q23" i="3" s="1"/>
  <c r="J15" i="2"/>
  <c r="AW10" i="1" l="1"/>
  <c r="AW11" i="1"/>
  <c r="AY10" i="1" l="1"/>
  <c r="AY11" i="1"/>
  <c r="X11" i="1"/>
  <c r="X10" i="1"/>
  <c r="N12" i="1" l="1"/>
  <c r="L12" i="1"/>
  <c r="AY12" i="1" l="1"/>
</calcChain>
</file>

<file path=xl/sharedStrings.xml><?xml version="1.0" encoding="utf-8"?>
<sst xmlns="http://schemas.openxmlformats.org/spreadsheetml/2006/main" count="155" uniqueCount="145">
  <si>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</si>
  <si>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</si>
  <si>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</si>
  <si>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</si>
  <si>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</si>
  <si>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</si>
  <si>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</si>
  <si>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</si>
  <si>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</si>
  <si>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</si>
  <si>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</si>
  <si>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</si>
  <si>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</si>
  <si>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</si>
  <si>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</si>
  <si>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</si>
  <si>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</si>
  <si>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</si>
  <si>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</si>
  <si>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</si>
  <si>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</si>
  <si>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</si>
  <si>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</si>
  <si>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</si>
  <si>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</si>
  <si>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</si>
  <si>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</si>
  <si>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</si>
  <si>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</si>
  <si>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</si>
  <si>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HPTAL MALBRAN</t>
  </si>
  <si>
    <t>TOTAL HPTAL MALBRAN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</si>
  <si>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</si>
  <si>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</si>
  <si>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</si>
  <si>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</si>
  <si>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</si>
  <si>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</si>
  <si>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</si>
  <si>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</si>
  <si>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CUR</t>
  </si>
  <si>
    <t>TOTAL CUR</t>
  </si>
  <si>
    <t>SPyGS</t>
  </si>
  <si>
    <t>TOTAL SPyGS</t>
  </si>
  <si>
    <t>SALUD MENTAL</t>
  </si>
  <si>
    <t>TOTAL SALUD MENTAL</t>
  </si>
  <si>
    <t>AREAS Y DPAS</t>
  </si>
  <si>
    <t>TOTAL DPAS</t>
  </si>
  <si>
    <t>CANTIDAD TOTAL</t>
  </si>
  <si>
    <t>PRECIO UNITARIO ESTIMADO</t>
  </si>
  <si>
    <t xml:space="preserve">IMPORTE TOTAL ESTIMADO </t>
  </si>
  <si>
    <t>ESPECIFICACION TECNICA</t>
  </si>
  <si>
    <t>ALIMENTOS</t>
  </si>
  <si>
    <t>2.1.1</t>
  </si>
  <si>
    <t>PRIMERO</t>
  </si>
  <si>
    <t>TOTAL RUBRO ALIMENTOS</t>
  </si>
  <si>
    <t>TOTAL SAME</t>
  </si>
  <si>
    <t>CRONICAS</t>
  </si>
  <si>
    <t>TOTAL CRONICAS</t>
  </si>
  <si>
    <t>EPIDEMIOLOGIA</t>
  </si>
  <si>
    <t>TOTAL EPIDEMIOLOGIA</t>
  </si>
  <si>
    <t>AREA 1</t>
  </si>
  <si>
    <t>TOTAL AREA 1</t>
  </si>
  <si>
    <t>2.1.1-2456.8</t>
  </si>
  <si>
    <t>RACIONAMIENTO; DESCRIPCION: ALMUERZO</t>
  </si>
  <si>
    <t>RACION</t>
  </si>
  <si>
    <t>2.1.1-2456.10</t>
  </si>
  <si>
    <t>RACIONAMIENTO; DESCRIPCION: CENA</t>
  </si>
  <si>
    <t>ALMUERZOS: una ración de carne con guarnición y postre: CARNES: carne vacuna, carne de cerdo, pescado y carne de pollo. Deberá proveerse en la semana dos raciones de carne vacuna, dos raciones de carne de cerdo, dos raciones de carne de pescado y una ración de carne de pollo. GUARNICION: ensaladas de verduras variadas alternadas que contengan: tomate, lechuga, repollo, rucula, zapallitos tiernos hervidos, remolacha, huevo duro, zanahoria rallada, entre otros. Además, Puré de papas, papas fritas o papas al horno. POSTRE: una fruta por persona por día: una pera, manzana o banana (mediana). El peso de la ración debe ser no menor a 400 gr. Deben ser entregadas en bandejas plásticas de 18x25x5 cm. Recubiertas de papel film.</t>
  </si>
  <si>
    <t>CENAS: una ración de Pastas: ravioles, ñoquis, fideos tirabuzón, fideos espagueti o sorrentinos, con salsa bolognesa con carne vacuna o pollo, 4 quesos o salsa blanca. Una pasta distinta por día, alternando a su vez las salsas y repitiéndose los sorrentinos o ravioles para completar la semana. POSTRE: una fruta por persona por día: una pera, manzana o banana (mediana). El peso de la ración debe ser no menor a 400 gr. Deben ser entregadas en bandejas plásticas de 18x25x5 cm. Recubiertas de papel film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</si>
  <si>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</si>
  <si>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</si>
  <si>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</si>
  <si>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</si>
  <si>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</si>
  <si>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</si>
  <si>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</si>
  <si>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</si>
  <si>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</si>
  <si>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</si>
  <si>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</si>
  <si>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</si>
  <si>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</si>
  <si>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</si>
  <si>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</si>
  <si>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</si>
  <si>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</si>
  <si>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</si>
  <si>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</si>
  <si>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</si>
  <si>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</si>
  <si>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</si>
  <si>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</si>
  <si>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</si>
  <si>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</si>
  <si>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</si>
  <si>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</si>
  <si>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</si>
  <si>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</si>
  <si>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</si>
  <si>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</si>
  <si>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</si>
  <si>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</si>
  <si>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</si>
  <si>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</si>
  <si>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</si>
  <si>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</si>
  <si>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ANEXO I</t>
  </si>
  <si>
    <t>Lugar de Entrega:</t>
  </si>
  <si>
    <t>cuarenta y cinco (45) días</t>
  </si>
  <si>
    <t>VER ANEXO I</t>
  </si>
  <si>
    <t>DIRECCION PROVINCIAL SISTEMA DE ATENCION MEDICA DE EMERGENCIA</t>
  </si>
  <si>
    <t>1° TRIMESTRE 2022</t>
  </si>
  <si>
    <t>ESPECIFICACIONES: ALIMENTOS PARA PERSONAS</t>
  </si>
  <si>
    <t>ALMUERZOS: HORARIO DE ENTREGA 12:00 HS.</t>
  </si>
  <si>
    <t xml:space="preserve">CENAS: HORARIO DE ENTREGA 20:00 HS. </t>
  </si>
  <si>
    <t>CARNES: carne vacuna, carne de cerdo, pescado y carne de pollo. Deberá proveerse en la semana dos raciones de carne vacuna, dos raciones de carne de cerdo, dos raciones de carne de pescado y una ración de carne de pollo. 
GUARNICION: ensaladas de verduras variadas alternadas que contengan: tomate, lechuga, repollo, rucula, zapallitos tiernos hervidos, remolacha, huevo duro, zanahoria rallada, entre otros. Además, Puré de papas, papas fritas o papas al horno. 
POSTRE: una fruta por persona por día: una pera, manzana o banana (mediana). El peso de la ración debe ser no menor a 400 gr. Deben ser entregadas en bandejas plásticas de 18x25x5 cm. Recubiertas de papel film.</t>
  </si>
  <si>
    <t>PASTAS: ravioles, ñoquis, fideos tirabuzón, fideos espagueti o sorrentinos, con salsa bolognesa con carne vacuna o pollo, 4 quesos o salsa blanca. Una pasta distinta por día, alternando a su vez las salsas y repitiéndose los sorrentinos o ravioles para completar la semana.                                                               POSTRE: una fruta por persona por día: una pera, manzana o banana (mediana).</t>
  </si>
  <si>
    <t>Costo total estimado: UN MILLON SETECIENTOS VEINTIOCHO MIL CON 00/100.-</t>
  </si>
  <si>
    <t>1.1</t>
  </si>
  <si>
    <t>ALIMENTOS PARA PERSONAS</t>
  </si>
  <si>
    <t>TOTAL DE PESOS: UN MILLON SETECIENTOS VEINTIOCHO MIL CON 00/100.-</t>
  </si>
  <si>
    <t xml:space="preserve"> 05/2022</t>
  </si>
  <si>
    <t>Autorizo la realización de los  trámites correspondientes, a fin de proveer a  este Organismo los bienes/servicios que se detallan en Nota  de Pedido N° 05/2022 afectando la erogación resultante a los créditos presupuestarios aprobados a favor de esta Unidad Ejecutora, conforme al siguiente detalle:</t>
  </si>
  <si>
    <t>mencionado.</t>
  </si>
  <si>
    <r>
      <t xml:space="preserve">Totalizando novecientas (900) raciones por mes de ALMUERZOS Y  </t>
    </r>
    <r>
      <rPr>
        <sz val="12"/>
        <color rgb="FFFF0000"/>
        <rFont val="Arial"/>
        <family val="2"/>
      </rPr>
      <t>novecientas (900) raciones por mes de</t>
    </r>
    <r>
      <rPr>
        <sz val="12"/>
        <rFont val="Arial"/>
        <family val="2"/>
      </rPr>
      <t xml:space="preserve"> CENAS, </t>
    </r>
    <r>
      <rPr>
        <sz val="12"/>
        <color rgb="FFFF0000"/>
        <rFont val="Arial"/>
        <family val="2"/>
      </rPr>
      <t xml:space="preserve">durante el plazo antes </t>
    </r>
  </si>
  <si>
    <t>Forma de Pago:</t>
  </si>
  <si>
    <t>DENTRO DE LOS 5 (CINCO) DIAS DE LA RECEPCION DEL INSTRUMENTO RESPECTIVO.</t>
  </si>
  <si>
    <t>S.A.M.E. - Caseros N° 864 en la forma y horarios establecidos en ANEXO I.</t>
  </si>
  <si>
    <r>
      <t xml:space="preserve">Se deberá entregar treinta (30) raciones de ALMUERZOS por día y treinta (30) raciones de CENAS por día, </t>
    </r>
    <r>
      <rPr>
        <sz val="12"/>
        <color rgb="FFFF0000"/>
        <rFont val="Arial"/>
        <family val="2"/>
      </rPr>
      <t>durante un plazo de 90 (noventa) días corridos en forma continua e ininterrumpida en virtud del Servicio de Atención de Emergencias que presta dicho Organismo (SAME).</t>
    </r>
  </si>
  <si>
    <t>El pago se realizará en forma mensual dentro de losTREINTA (30) días corridos de la recepciones definitivas de cada 30 (treinta) raciones de Almuerzo y Cena respectivamente, de los items contratados.</t>
  </si>
  <si>
    <t>que cumpla con todo lo solicitado en ANEXO I.</t>
  </si>
  <si>
    <t>Plazos de entrega:</t>
  </si>
  <si>
    <t>Calidad Minima esperada:</t>
  </si>
  <si>
    <t>Mantenimiento de Oferta:</t>
  </si>
  <si>
    <r>
      <rPr>
        <u/>
        <sz val="11"/>
        <rFont val="Times New Roman"/>
        <family val="1"/>
      </rPr>
      <t>Especificidades:</t>
    </r>
    <r>
      <rPr>
        <b/>
        <sz val="11"/>
        <rFont val="Times New Roman"/>
        <family val="1"/>
      </rPr>
      <t xml:space="preserve"> ITEM 1 Y 2</t>
    </r>
  </si>
  <si>
    <t>CANTIDAD POR MES:</t>
  </si>
  <si>
    <t>NO</t>
  </si>
  <si>
    <t>ADQUISICION DEL RUBRO ALIMENTOS PARA PERSONAS (RACIONES DE ALMUERZO Y CENA - SAME)</t>
  </si>
  <si>
    <t>Duración contrato:</t>
  </si>
  <si>
    <t xml:space="preserve">NOVECIENTOS (900) RACIONES DE ALMUERZOS Y NOVECIENTOS (900) RACIONES CENAS x MES, </t>
  </si>
  <si>
    <t>DURANTE 90 (noventa) DIAS CORRIDOS, CON OPCION A PRORROGA POR IGUAL PERIODO.</t>
  </si>
  <si>
    <r>
      <t>El peso de la ración debe ser no menor a 400 gr. 
Deben ser entregadas en bandejas plásticas de 18x25x5 cm. Recubiertas de papel film, c</t>
    </r>
    <r>
      <rPr>
        <sz val="12"/>
        <color rgb="FFFF0000"/>
        <rFont val="Arial"/>
        <family val="2"/>
      </rPr>
      <t>orriendo los gastos de flete, acarreo, carga, descarga y seguro (de corresponder) por cuenta del adjudicatario.</t>
    </r>
    <r>
      <rPr>
        <sz val="12"/>
        <rFont val="Arial"/>
        <family val="2"/>
      </rPr>
      <t xml:space="preserve">
Las personas designadas para la recepción de dichas bandejas de alimento son: 
• Lencina Eugenia -  DNI  23854289
• Sánchez Gisella   -  DNI  26815200
• Toledo María Alejandra - DNI 24843448</t>
    </r>
  </si>
  <si>
    <r>
      <rPr>
        <b/>
        <u/>
        <sz val="12"/>
        <rFont val="Arial"/>
        <family val="2"/>
      </rPr>
      <t>ALMUERZOS:</t>
    </r>
    <r>
      <rPr>
        <b/>
        <sz val="12"/>
        <rFont val="Arial"/>
        <family val="2"/>
      </rPr>
      <t xml:space="preserve"> una ración de carne con guarnición y postre: </t>
    </r>
  </si>
  <si>
    <r>
      <rPr>
        <b/>
        <u/>
        <sz val="12"/>
        <rFont val="Arial"/>
        <family val="2"/>
      </rPr>
      <t xml:space="preserve">CENAS: </t>
    </r>
    <r>
      <rPr>
        <b/>
        <sz val="12"/>
        <rFont val="Arial"/>
        <family val="2"/>
      </rPr>
      <t xml:space="preserve">una ración de Pastas con salsa y postre: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</si>
</sst>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dd\-mm\-yy;@"/>
    <numFmt numFmtId="170" formatCode="_(\$* #,##0.00_);_(\$* \(#,##0.00\);_(\$* \-??_);_(@_)"/>
    <numFmt numFmtId="171" formatCode="[$$-2C0A]\ #,##0.00;[$$-2C0A]&quot; -&quot;#,##0.00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b/>
      <sz val="2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sz val="12"/>
      <color rgb="FFFF0000"/>
      <name val="Arial"/>
      <family val="2"/>
    </font>
    <font>
      <b/>
      <u/>
      <sz val="20"/>
      <name val="Arial"/>
      <family val="2"/>
    </font>
    <font>
      <b/>
      <sz val="11"/>
      <name val="Times New Roman"/>
      <family val="1"/>
    </font>
    <font>
      <u/>
      <sz val="11"/>
      <name val="Times New Roman"/>
      <family val="1"/>
    </font>
    <font>
      <b/>
      <sz val="12"/>
      <name val="Times New Roman"/>
      <family val="1"/>
    </font>
    <font>
      <sz val="10"/>
      <color rgb="FFFF0000"/>
      <name val="Calibri"/>
      <family val="2"/>
      <scheme val="minor"/>
    </font>
    <font>
      <b/>
      <u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7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1" fillId="0" borderId="0"/>
    <xf numFmtId="168" fontId="8" fillId="0" borderId="0" applyBorder="0" applyProtection="0"/>
    <xf numFmtId="0" fontId="12" fillId="0" borderId="9" applyProtection="0"/>
    <xf numFmtId="0" fontId="13" fillId="4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2" fillId="0" borderId="9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7" fillId="0" borderId="0"/>
    <xf numFmtId="0" fontId="18" fillId="0" borderId="0"/>
    <xf numFmtId="170" fontId="29" fillId="0" borderId="0" applyBorder="0" applyProtection="0"/>
  </cellStyleXfs>
  <cellXfs count="249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166" fontId="7" fillId="0" borderId="2" xfId="0" applyNumberFormat="1" applyFont="1" applyBorder="1" applyAlignment="1">
      <alignment horizontal="center" vertical="center"/>
    </xf>
    <xf numFmtId="0" fontId="10" fillId="0" borderId="5" xfId="0" applyFont="1" applyFill="1" applyBorder="1" applyAlignment="1">
      <alignment horizontal="left" vertical="center" wrapText="1"/>
    </xf>
    <xf numFmtId="167" fontId="9" fillId="0" borderId="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/>
    <xf numFmtId="1" fontId="9" fillId="0" borderId="2" xfId="0" applyNumberFormat="1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166" fontId="14" fillId="0" borderId="5" xfId="0" applyNumberFormat="1" applyFont="1" applyFill="1" applyBorder="1" applyAlignment="1">
      <alignment horizontal="center" vertical="center"/>
    </xf>
    <xf numFmtId="1" fontId="14" fillId="0" borderId="5" xfId="0" applyNumberFormat="1" applyFont="1" applyFill="1" applyBorder="1" applyAlignment="1">
      <alignment horizontal="center" vertical="center"/>
    </xf>
    <xf numFmtId="165" fontId="14" fillId="0" borderId="5" xfId="0" applyNumberFormat="1" applyFont="1" applyFill="1" applyBorder="1" applyAlignment="1">
      <alignment horizontal="center" vertical="center"/>
    </xf>
    <xf numFmtId="3" fontId="14" fillId="0" borderId="5" xfId="0" applyNumberFormat="1" applyFont="1" applyFill="1" applyBorder="1" applyAlignment="1">
      <alignment horizontal="center" vertical="center"/>
    </xf>
    <xf numFmtId="167" fontId="14" fillId="0" borderId="5" xfId="3" applyNumberFormat="1" applyFont="1" applyFill="1" applyBorder="1" applyAlignment="1" applyProtection="1">
      <alignment horizontal="center" vertical="center" wrapText="1"/>
    </xf>
    <xf numFmtId="0" fontId="15" fillId="0" borderId="6" xfId="0" applyFont="1" applyFill="1" applyBorder="1"/>
    <xf numFmtId="0" fontId="6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3" fontId="7" fillId="0" borderId="10" xfId="2" applyNumberFormat="1" applyFont="1" applyBorder="1" applyAlignment="1">
      <alignment horizontal="center" vertical="center" wrapText="1"/>
    </xf>
    <xf numFmtId="3" fontId="7" fillId="0" borderId="8" xfId="2" applyNumberFormat="1" applyFont="1" applyBorder="1" applyAlignment="1">
      <alignment horizontal="center" vertical="center" wrapText="1"/>
    </xf>
    <xf numFmtId="165" fontId="7" fillId="0" borderId="2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5" xfId="0" applyNumberFormat="1" applyFont="1" applyFill="1" applyBorder="1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14" fillId="0" borderId="8" xfId="0" applyNumberFormat="1" applyFont="1" applyFill="1" applyBorder="1" applyAlignment="1">
      <alignment horizontal="center" vertical="center"/>
    </xf>
    <xf numFmtId="0" fontId="14" fillId="0" borderId="8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8" xfId="0" applyNumberFormat="1" applyFont="1" applyFill="1" applyBorder="1" applyAlignment="1">
      <alignment horizontal="center" vertical="center" wrapText="1"/>
    </xf>
    <xf numFmtId="165" fontId="7" fillId="0" borderId="8" xfId="0" applyNumberFormat="1" applyFont="1" applyFill="1" applyBorder="1" applyAlignment="1">
      <alignment horizontal="center" vertical="center" wrapText="1"/>
    </xf>
    <xf numFmtId="1" fontId="7" fillId="0" borderId="2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3" fontId="7" fillId="0" borderId="2" xfId="0" applyNumberFormat="1" applyFont="1" applyFill="1" applyBorder="1" applyAlignment="1">
      <alignment horizontal="center" vertical="center" wrapText="1"/>
    </xf>
    <xf numFmtId="166" fontId="7" fillId="0" borderId="2" xfId="0" applyNumberFormat="1" applyFont="1" applyFill="1" applyBorder="1" applyAlignment="1">
      <alignment horizontal="center" vertical="center" wrapText="1"/>
    </xf>
    <xf numFmtId="0" fontId="9" fillId="0" borderId="0" xfId="0" applyFont="1" applyFill="1"/>
    <xf numFmtId="0" fontId="15" fillId="0" borderId="0" xfId="0" applyFont="1" applyFill="1"/>
    <xf numFmtId="167" fontId="14" fillId="0" borderId="5" xfId="0" applyNumberFormat="1" applyFont="1" applyFill="1" applyBorder="1" applyAlignment="1">
      <alignment horizontal="center" vertical="center"/>
    </xf>
    <xf numFmtId="167" fontId="7" fillId="0" borderId="2" xfId="0" applyNumberFormat="1" applyFont="1" applyFill="1" applyBorder="1" applyAlignment="1">
      <alignment horizontal="center" vertical="center" wrapText="1"/>
    </xf>
    <xf numFmtId="167" fontId="6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167" fontId="10" fillId="2" borderId="7" xfId="2" applyNumberFormat="1" applyFont="1" applyFill="1" applyBorder="1" applyAlignment="1">
      <alignment horizontal="center" vertical="center" wrapText="1"/>
    </xf>
    <xf numFmtId="0" fontId="7" fillId="2" borderId="6" xfId="5" applyNumberFormat="1" applyFont="1" applyFill="1" applyBorder="1" applyAlignment="1">
      <alignment horizontal="left" vertical="center" wrapText="1"/>
    </xf>
    <xf numFmtId="0" fontId="7" fillId="2" borderId="12" xfId="5" applyNumberFormat="1" applyFont="1" applyFill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0" fillId="0" borderId="16" xfId="0" applyFont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0" fontId="22" fillId="0" borderId="24" xfId="0" applyFont="1" applyBorder="1" applyAlignment="1">
      <alignment horizontal="left" vertical="center"/>
    </xf>
    <xf numFmtId="0" fontId="22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 wrapText="1" indent="1"/>
    </xf>
    <xf numFmtId="0" fontId="21" fillId="0" borderId="18" xfId="0" applyFont="1" applyBorder="1" applyAlignment="1">
      <alignment horizontal="left" vertical="center" wrapText="1" indent="1"/>
    </xf>
    <xf numFmtId="3" fontId="27" fillId="0" borderId="35" xfId="0" applyNumberFormat="1" applyFont="1" applyBorder="1" applyAlignment="1"/>
    <xf numFmtId="169" fontId="0" fillId="0" borderId="35" xfId="0" applyNumberFormat="1" applyBorder="1" applyAlignment="1">
      <alignment horizontal="left"/>
    </xf>
    <xf numFmtId="0" fontId="0" fillId="0" borderId="35" xfId="0" applyBorder="1"/>
    <xf numFmtId="0" fontId="0" fillId="0" borderId="24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9" fontId="0" fillId="0" borderId="0" xfId="0" applyNumberFormat="1" applyBorder="1" applyAlignment="1">
      <alignment horizontal="left"/>
    </xf>
    <xf numFmtId="0" fontId="0" fillId="0" borderId="18" xfId="0" applyBorder="1"/>
    <xf numFmtId="0" fontId="0" fillId="0" borderId="16" xfId="0" applyBorder="1"/>
    <xf numFmtId="0" fontId="0" fillId="0" borderId="17" xfId="0" applyBorder="1"/>
    <xf numFmtId="0" fontId="0" fillId="0" borderId="17" xfId="0" applyBorder="1" applyAlignment="1">
      <alignment horizontal="left"/>
    </xf>
    <xf numFmtId="0" fontId="0" fillId="0" borderId="41" xfId="0" applyBorder="1"/>
    <xf numFmtId="0" fontId="32" fillId="0" borderId="44" xfId="0" applyFont="1" applyBorder="1" applyAlignment="1">
      <alignment horizontal="center" vertical="center"/>
    </xf>
    <xf numFmtId="0" fontId="32" fillId="0" borderId="45" xfId="0" applyFont="1" applyBorder="1" applyAlignment="1">
      <alignment horizontal="center" vertical="center"/>
    </xf>
    <xf numFmtId="0" fontId="32" fillId="0" borderId="45" xfId="0" applyFont="1" applyBorder="1" applyAlignment="1">
      <alignment horizontal="left" vertical="center"/>
    </xf>
    <xf numFmtId="0" fontId="32" fillId="0" borderId="46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171" fontId="0" fillId="0" borderId="51" xfId="32" applyNumberFormat="1" applyFont="1" applyBorder="1" applyAlignment="1" applyProtection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0" fillId="0" borderId="53" xfId="0" applyFont="1" applyBorder="1" applyAlignment="1">
      <alignment horizontal="center" vertical="center"/>
    </xf>
    <xf numFmtId="0" fontId="0" fillId="0" borderId="54" xfId="0" applyFont="1" applyBorder="1" applyAlignment="1">
      <alignment horizontal="center" vertical="center"/>
    </xf>
    <xf numFmtId="0" fontId="0" fillId="0" borderId="55" xfId="0" applyFont="1" applyBorder="1" applyAlignment="1">
      <alignment horizontal="center" vertical="center"/>
    </xf>
    <xf numFmtId="171" fontId="0" fillId="0" borderId="56" xfId="32" applyNumberFormat="1" applyFont="1" applyBorder="1" applyAlignment="1" applyProtection="1">
      <alignment horizontal="center" vertical="center"/>
    </xf>
    <xf numFmtId="0" fontId="30" fillId="0" borderId="52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30" fillId="0" borderId="54" xfId="0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171" fontId="0" fillId="0" borderId="60" xfId="32" applyNumberFormat="1" applyFont="1" applyBorder="1" applyAlignment="1" applyProtection="1">
      <alignment horizontal="center" vertical="center"/>
    </xf>
    <xf numFmtId="171" fontId="32" fillId="0" borderId="6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34" fillId="0" borderId="13" xfId="0" applyFont="1" applyBorder="1" applyAlignment="1">
      <alignment horizontal="center" vertical="center" wrapText="1"/>
    </xf>
    <xf numFmtId="3" fontId="0" fillId="0" borderId="0" xfId="0" applyNumberFormat="1" applyFont="1" applyAlignment="1">
      <alignment horizontal="center" vertical="center"/>
    </xf>
    <xf numFmtId="167" fontId="0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/>
    <xf numFmtId="0" fontId="34" fillId="0" borderId="24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38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vertical="center" wrapText="1"/>
    </xf>
    <xf numFmtId="0" fontId="35" fillId="0" borderId="0" xfId="0" applyFont="1" applyAlignment="1">
      <alignment vertical="center"/>
    </xf>
    <xf numFmtId="0" fontId="24" fillId="0" borderId="69" xfId="0" applyFont="1" applyBorder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0" fontId="25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 wrapText="1"/>
    </xf>
    <xf numFmtId="3" fontId="25" fillId="0" borderId="70" xfId="0" applyNumberFormat="1" applyFont="1" applyBorder="1" applyAlignment="1">
      <alignment horizontal="center" vertical="center"/>
    </xf>
    <xf numFmtId="167" fontId="20" fillId="0" borderId="14" xfId="0" applyNumberFormat="1" applyFont="1" applyBorder="1" applyAlignment="1">
      <alignment horizontal="right" vertical="center"/>
    </xf>
    <xf numFmtId="167" fontId="20" fillId="0" borderId="0" xfId="0" applyNumberFormat="1" applyFont="1" applyBorder="1" applyAlignment="1">
      <alignment vertical="center"/>
    </xf>
    <xf numFmtId="167" fontId="21" fillId="0" borderId="0" xfId="0" applyNumberFormat="1" applyFont="1" applyBorder="1" applyAlignment="1">
      <alignment horizontal="left" vertical="center" wrapText="1" indent="1"/>
    </xf>
    <xf numFmtId="167" fontId="25" fillId="0" borderId="3" xfId="0" applyNumberFormat="1" applyFont="1" applyBorder="1" applyAlignment="1">
      <alignment horizontal="center" vertical="center" wrapText="1"/>
    </xf>
    <xf numFmtId="167" fontId="0" fillId="0" borderId="0" xfId="0" applyNumberFormat="1"/>
    <xf numFmtId="167" fontId="33" fillId="0" borderId="0" xfId="0" applyNumberFormat="1" applyFont="1"/>
    <xf numFmtId="0" fontId="39" fillId="0" borderId="28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167" fontId="7" fillId="0" borderId="11" xfId="0" applyNumberFormat="1" applyFont="1" applyBorder="1" applyAlignment="1">
      <alignment horizontal="center" vertical="center" wrapText="1"/>
    </xf>
    <xf numFmtId="3" fontId="7" fillId="0" borderId="29" xfId="0" applyNumberFormat="1" applyFont="1" applyBorder="1" applyAlignment="1">
      <alignment horizontal="center" vertical="center"/>
    </xf>
    <xf numFmtId="0" fontId="39" fillId="0" borderId="30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7" fontId="7" fillId="0" borderId="2" xfId="0" applyNumberFormat="1" applyFont="1" applyBorder="1" applyAlignment="1">
      <alignment horizontal="center" vertical="center" wrapText="1"/>
    </xf>
    <xf numFmtId="3" fontId="7" fillId="0" borderId="31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41" fillId="0" borderId="0" xfId="0" applyFont="1" applyAlignment="1">
      <alignment horizontal="center" vertical="center"/>
    </xf>
    <xf numFmtId="167" fontId="41" fillId="0" borderId="0" xfId="0" applyNumberFormat="1" applyFont="1" applyAlignment="1">
      <alignment horizontal="center" vertical="center"/>
    </xf>
    <xf numFmtId="0" fontId="43" fillId="0" borderId="0" xfId="0" applyFont="1"/>
    <xf numFmtId="0" fontId="5" fillId="0" borderId="0" xfId="0" applyFont="1" applyBorder="1" applyAlignment="1">
      <alignment horizontal="center" vertical="center" wrapText="1"/>
    </xf>
    <xf numFmtId="0" fontId="42" fillId="0" borderId="0" xfId="0" applyFont="1" applyBorder="1" applyAlignment="1">
      <alignment horizontal="center" vertical="center"/>
    </xf>
    <xf numFmtId="0" fontId="3" fillId="0" borderId="65" xfId="0" applyFont="1" applyBorder="1" applyAlignment="1">
      <alignment horizontal="left" vertical="center"/>
    </xf>
    <xf numFmtId="0" fontId="3" fillId="0" borderId="66" xfId="0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3" fillId="0" borderId="63" xfId="0" applyFont="1" applyBorder="1" applyAlignment="1">
      <alignment horizontal="left" vertical="center"/>
    </xf>
    <xf numFmtId="0" fontId="40" fillId="0" borderId="11" xfId="0" applyFont="1" applyBorder="1" applyAlignment="1">
      <alignment horizontal="left" vertical="center" wrapText="1"/>
    </xf>
    <xf numFmtId="0" fontId="40" fillId="0" borderId="67" xfId="0" applyFont="1" applyBorder="1" applyAlignment="1">
      <alignment horizontal="left" vertical="center" wrapText="1"/>
    </xf>
    <xf numFmtId="0" fontId="40" fillId="0" borderId="68" xfId="0" applyFont="1" applyBorder="1" applyAlignment="1">
      <alignment horizontal="left" vertical="center" wrapText="1"/>
    </xf>
    <xf numFmtId="0" fontId="40" fillId="0" borderId="6" xfId="0" applyFont="1" applyBorder="1" applyAlignment="1">
      <alignment horizontal="left" vertical="center" wrapText="1"/>
    </xf>
    <xf numFmtId="0" fontId="23" fillId="0" borderId="26" xfId="0" applyFont="1" applyBorder="1" applyAlignment="1">
      <alignment horizontal="center" vertical="center" wrapText="1"/>
    </xf>
    <xf numFmtId="167" fontId="23" fillId="0" borderId="26" xfId="0" applyNumberFormat="1" applyFont="1" applyBorder="1" applyAlignment="1">
      <alignment horizontal="center" vertical="center" wrapText="1"/>
    </xf>
    <xf numFmtId="0" fontId="26" fillId="0" borderId="20" xfId="0" applyFont="1" applyBorder="1" applyAlignment="1">
      <alignment horizontal="left" vertical="center" wrapText="1" indent="1"/>
    </xf>
    <xf numFmtId="166" fontId="22" fillId="0" borderId="20" xfId="0" applyNumberFormat="1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left" vertical="center" wrapText="1"/>
    </xf>
    <xf numFmtId="0" fontId="21" fillId="0" borderId="20" xfId="0" applyFont="1" applyBorder="1" applyAlignment="1">
      <alignment horizontal="left" vertical="center" wrapText="1" indent="1"/>
    </xf>
    <xf numFmtId="0" fontId="22" fillId="0" borderId="21" xfId="0" applyFont="1" applyBorder="1" applyAlignment="1">
      <alignment horizontal="left" vertical="center" wrapText="1"/>
    </xf>
    <xf numFmtId="0" fontId="22" fillId="0" borderId="22" xfId="0" applyFont="1" applyBorder="1" applyAlignment="1">
      <alignment horizontal="left" vertical="center"/>
    </xf>
    <xf numFmtId="0" fontId="21" fillId="0" borderId="23" xfId="0" applyFont="1" applyBorder="1" applyAlignment="1">
      <alignment horizontal="left" vertical="center" wrapText="1" indent="1"/>
    </xf>
    <xf numFmtId="0" fontId="19" fillId="0" borderId="13" xfId="0" applyFont="1" applyBorder="1" applyAlignment="1">
      <alignment horizontal="center" vertical="center"/>
    </xf>
    <xf numFmtId="0" fontId="27" fillId="0" borderId="20" xfId="0" applyFont="1" applyBorder="1" applyAlignment="1">
      <alignment vertical="center" wrapText="1"/>
    </xf>
    <xf numFmtId="0" fontId="30" fillId="0" borderId="43" xfId="0" applyFont="1" applyBorder="1" applyAlignment="1">
      <alignment vertical="center" wrapText="1"/>
    </xf>
    <xf numFmtId="0" fontId="30" fillId="0" borderId="32" xfId="0" applyFont="1" applyBorder="1" applyAlignment="1">
      <alignment horizontal="left" vertical="center" wrapText="1" indent="1"/>
    </xf>
    <xf numFmtId="0" fontId="0" fillId="0" borderId="55" xfId="0" applyFont="1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0" fillId="0" borderId="58" xfId="0" applyBorder="1" applyAlignment="1">
      <alignment horizontal="left" vertical="center"/>
    </xf>
    <xf numFmtId="0" fontId="27" fillId="0" borderId="61" xfId="0" applyFont="1" applyBorder="1" applyAlignment="1">
      <alignment horizontal="left" vertical="center" wrapText="1"/>
    </xf>
    <xf numFmtId="0" fontId="0" fillId="0" borderId="39" xfId="0" applyBorder="1"/>
    <xf numFmtId="49" fontId="30" fillId="0" borderId="40" xfId="0" applyNumberFormat="1" applyFont="1" applyBorder="1" applyAlignment="1">
      <alignment horizontal="justify" vertical="center" wrapText="1"/>
    </xf>
    <xf numFmtId="0" fontId="32" fillId="0" borderId="39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0" fontId="32" fillId="0" borderId="42" xfId="0" applyFont="1" applyBorder="1" applyAlignment="1">
      <alignment horizontal="center" vertical="center" wrapText="1"/>
    </xf>
    <xf numFmtId="0" fontId="32" fillId="0" borderId="43" xfId="0" applyFont="1" applyBorder="1" applyAlignment="1">
      <alignment horizontal="center" vertical="center"/>
    </xf>
    <xf numFmtId="0" fontId="0" fillId="0" borderId="49" xfId="0" applyFont="1" applyBorder="1" applyAlignment="1">
      <alignment horizontal="left" vertical="center" wrapText="1"/>
    </xf>
    <xf numFmtId="0" fontId="0" fillId="0" borderId="55" xfId="0" applyBorder="1" applyAlignment="1">
      <alignment horizontal="center"/>
    </xf>
    <xf numFmtId="0" fontId="30" fillId="0" borderId="39" xfId="0" applyFont="1" applyBorder="1" applyAlignment="1">
      <alignment horizontal="left"/>
    </xf>
    <xf numFmtId="0" fontId="0" fillId="0" borderId="33" xfId="0" applyFont="1" applyBorder="1" applyAlignment="1">
      <alignment horizontal="center"/>
    </xf>
    <xf numFmtId="3" fontId="27" fillId="0" borderId="34" xfId="0" applyNumberFormat="1" applyFont="1" applyBorder="1" applyAlignment="1">
      <alignment horizontal="center"/>
    </xf>
    <xf numFmtId="0" fontId="28" fillId="0" borderId="15" xfId="0" applyFont="1" applyBorder="1" applyAlignment="1">
      <alignment horizontal="center" vertical="center" wrapText="1"/>
    </xf>
    <xf numFmtId="0" fontId="29" fillId="0" borderId="36" xfId="0" applyFont="1" applyBorder="1"/>
    <xf numFmtId="0" fontId="30" fillId="0" borderId="37" xfId="0" applyFont="1" applyBorder="1" applyAlignment="1">
      <alignment horizontal="left" indent="1"/>
    </xf>
    <xf numFmtId="0" fontId="25" fillId="0" borderId="36" xfId="0" applyFont="1" applyBorder="1" applyAlignment="1">
      <alignment horizontal="left" vertical="center" wrapText="1"/>
    </xf>
    <xf numFmtId="0" fontId="31" fillId="0" borderId="38" xfId="0" applyFont="1" applyBorder="1" applyAlignment="1">
      <alignment horizontal="left"/>
    </xf>
    <xf numFmtId="0" fontId="44" fillId="0" borderId="0" xfId="0" applyFont="1" applyAlignment="1">
      <alignment vertical="center"/>
    </xf>
    <xf numFmtId="0" fontId="45" fillId="0" borderId="0" xfId="0" applyFont="1" applyAlignment="1">
      <alignment horizontal="center" vertical="center"/>
    </xf>
    <xf numFmtId="0" fontId="47" fillId="0" borderId="24" xfId="0" applyFont="1" applyBorder="1" applyAlignment="1">
      <alignment horizontal="center" vertical="center" wrapText="1"/>
    </xf>
    <xf numFmtId="0" fontId="47" fillId="0" borderId="6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64" xfId="0" applyFont="1" applyBorder="1" applyAlignment="1">
      <alignment horizontal="left" vertical="center"/>
    </xf>
    <xf numFmtId="0" fontId="47" fillId="0" borderId="33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left" vertical="center" wrapText="1"/>
    </xf>
    <xf numFmtId="0" fontId="3" fillId="0" borderId="71" xfId="0" applyFont="1" applyBorder="1" applyAlignment="1">
      <alignment horizontal="left" vertical="center" wrapText="1"/>
    </xf>
    <xf numFmtId="0" fontId="3" fillId="0" borderId="34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left" vertical="center"/>
    </xf>
    <xf numFmtId="0" fontId="3" fillId="0" borderId="71" xfId="0" applyFont="1" applyBorder="1" applyAlignment="1">
      <alignment horizontal="left" vertical="center"/>
    </xf>
    <xf numFmtId="0" fontId="3" fillId="0" borderId="34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71" xfId="0" applyFont="1" applyBorder="1" applyAlignment="1">
      <alignment horizontal="left" vertical="center"/>
    </xf>
    <xf numFmtId="0" fontId="3" fillId="0" borderId="3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3" fontId="7" fillId="0" borderId="2" xfId="2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 vertical="center" wrapText="1"/>
    </xf>
    <xf numFmtId="165" fontId="5" fillId="0" borderId="5" xfId="0" applyNumberFormat="1" applyFont="1" applyBorder="1" applyAlignment="1">
      <alignment horizontal="center" vertical="center" wrapText="1"/>
    </xf>
    <xf numFmtId="3" fontId="5" fillId="0" borderId="5" xfId="0" applyNumberFormat="1" applyFont="1" applyBorder="1" applyAlignment="1">
      <alignment horizontal="center" vertical="center" wrapText="1"/>
    </xf>
    <xf numFmtId="167" fontId="5" fillId="0" borderId="5" xfId="0" applyNumberFormat="1" applyFont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Border="1" applyAlignment="1">
      <alignment horizontal="center" vertical="center" wrapText="1"/>
    </xf>
    <xf numFmtId="167" fontId="4" fillId="0" borderId="5" xfId="1" applyNumberFormat="1" applyFont="1" applyBorder="1" applyAlignment="1">
      <alignment horizontal="center" vertical="center" wrapText="1"/>
    </xf>
    <xf numFmtId="167" fontId="5" fillId="0" borderId="7" xfId="0" applyNumberFormat="1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/>
    </xf>
    <xf numFmtId="0" fontId="9" fillId="0" borderId="72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167" fontId="7" fillId="2" borderId="74" xfId="2" applyNumberFormat="1" applyFont="1" applyFill="1" applyBorder="1" applyAlignment="1">
      <alignment horizontal="center" vertical="center" wrapText="1"/>
    </xf>
    <xf numFmtId="0" fontId="9" fillId="0" borderId="7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vertical="center" wrapText="1"/>
    </xf>
    <xf numFmtId="0" fontId="7" fillId="0" borderId="8" xfId="0" applyFont="1" applyFill="1" applyBorder="1" applyAlignment="1">
      <alignment horizontal="center" vertical="center" wrapText="1"/>
    </xf>
    <xf numFmtId="166" fontId="7" fillId="0" borderId="8" xfId="0" applyNumberFormat="1" applyFont="1" applyFill="1" applyBorder="1" applyAlignment="1">
      <alignment horizontal="center" vertical="center" wrapText="1"/>
    </xf>
    <xf numFmtId="1" fontId="9" fillId="0" borderId="8" xfId="0" applyNumberFormat="1" applyFont="1" applyFill="1" applyBorder="1" applyAlignment="1">
      <alignment horizontal="center" vertical="center"/>
    </xf>
    <xf numFmtId="3" fontId="7" fillId="0" borderId="8" xfId="0" applyNumberFormat="1" applyFont="1" applyFill="1" applyBorder="1" applyAlignment="1">
      <alignment horizontal="center" vertical="center" wrapText="1"/>
    </xf>
    <xf numFmtId="1" fontId="7" fillId="0" borderId="8" xfId="0" applyNumberFormat="1" applyFont="1" applyFill="1" applyBorder="1" applyAlignment="1">
      <alignment horizontal="center" vertical="center" wrapText="1"/>
    </xf>
    <xf numFmtId="167" fontId="7" fillId="0" borderId="8" xfId="0" applyNumberFormat="1" applyFont="1" applyFill="1" applyBorder="1" applyAlignment="1">
      <alignment horizontal="center" vertical="center" wrapText="1"/>
    </xf>
    <xf numFmtId="166" fontId="7" fillId="0" borderId="8" xfId="0" applyNumberFormat="1" applyFont="1" applyBorder="1" applyAlignment="1">
      <alignment horizontal="center" vertical="center"/>
    </xf>
    <xf numFmtId="167" fontId="9" fillId="0" borderId="8" xfId="1" applyNumberFormat="1" applyFont="1" applyFill="1" applyBorder="1" applyAlignment="1">
      <alignment horizontal="center" vertical="center"/>
    </xf>
    <xf numFmtId="167" fontId="7" fillId="2" borderId="76" xfId="2" applyNumberFormat="1" applyFont="1" applyFill="1" applyBorder="1" applyAlignment="1">
      <alignment horizontal="center" vertical="center" wrapText="1"/>
    </xf>
    <xf numFmtId="3" fontId="48" fillId="2" borderId="1" xfId="0" applyNumberFormat="1" applyFont="1" applyFill="1" applyBorder="1" applyAlignment="1">
      <alignment horizontal="center" vertical="center" wrapText="1"/>
    </xf>
    <xf numFmtId="0" fontId="49" fillId="0" borderId="11" xfId="0" applyFont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</cellXfs>
  <cellStyles count="33">
    <cellStyle name="Encabezado 1" xfId="10"/>
    <cellStyle name="Encabezado 1 2" xfId="15"/>
    <cellStyle name="Millares 2" xfId="20"/>
    <cellStyle name="Millares 2 2" xfId="26"/>
    <cellStyle name="Moneda" xfId="1" builtinId="4"/>
    <cellStyle name="Moneda 2" xfId="3"/>
    <cellStyle name="Moneda 2 2" xfId="16"/>
    <cellStyle name="Moneda 3" xfId="14"/>
    <cellStyle name="Moneda 4" xfId="21"/>
    <cellStyle name="Moneda 5" xfId="9"/>
    <cellStyle name="Moneda_AUTORIZACION Y NOTA DE PEDIDO" xfId="32"/>
    <cellStyle name="Neutral 1" xfId="11"/>
    <cellStyle name="Normal" xfId="0" builtinId="0"/>
    <cellStyle name="Normal 2" xfId="2"/>
    <cellStyle name="Normal 2 2" xfId="5"/>
    <cellStyle name="Normal 3" xfId="7"/>
    <cellStyle name="Normal 3 2" xfId="12"/>
    <cellStyle name="Normal 3 2 2" xfId="18"/>
    <cellStyle name="Normal 3 3" xfId="17"/>
    <cellStyle name="Normal 3 4" xfId="22"/>
    <cellStyle name="Normal 3 4 2" xfId="27"/>
    <cellStyle name="Normal 4" xfId="6"/>
    <cellStyle name="Normal 4 2" xfId="19"/>
    <cellStyle name="Normal 4 3" xfId="23"/>
    <cellStyle name="Normal 4 3 2" xfId="28"/>
    <cellStyle name="Normal 5" xfId="4"/>
    <cellStyle name="Normal 5 2" xfId="25"/>
    <cellStyle name="Normal 6" xfId="13"/>
    <cellStyle name="Normal 7" xfId="24"/>
    <cellStyle name="Normal 8" xfId="8"/>
    <cellStyle name="Normal 8 2" xfId="29"/>
    <cellStyle name="Normal 8 3" xfId="30"/>
    <cellStyle name="Normal 8 4" xfId="31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5"/>
  <sheetViews>
    <sheetView tabSelected="1" zoomScaleNormal="100" workbookViewId="0">
      <selection activeCell="D17" sqref="D17:F17"/>
    </sheetView>
  </sheetViews>
  <sheetFormatPr baseColWidth="10" defaultRowHeight="14.5" x14ac:dyDescent="0.35"/>
  <cols>
    <col min="1" max="1" width="5.7265625" style="18" bestFit="1" customWidth="1"/>
    <col min="2" max="2" width="13" style="18" bestFit="1" customWidth="1"/>
    <col min="3" max="3" width="28.1796875" style="18" customWidth="1"/>
    <col min="4" max="4" width="5.54296875" style="18" bestFit="1" customWidth="1"/>
    <col min="5" max="5" width="67.1796875" style="19" customWidth="1"/>
    <col min="6" max="6" width="10.54296875" style="18" bestFit="1" customWidth="1"/>
    <col min="7" max="7" width="17.1796875" style="18" hidden="1" customWidth="1"/>
    <col min="8" max="8" width="10.81640625" style="18" hidden="1" customWidth="1"/>
    <col min="9" max="9" width="8" style="18" hidden="1" customWidth="1"/>
    <col min="10" max="10" width="14.54296875" style="18" hidden="1" customWidth="1"/>
    <col min="11" max="11" width="9.453125" style="18" hidden="1" customWidth="1"/>
    <col min="12" max="12" width="14" style="18" hidden="1" customWidth="1"/>
    <col min="13" max="13" width="8.26953125" style="18" hidden="1" customWidth="1"/>
    <col min="14" max="14" width="14.1796875" style="18" hidden="1" customWidth="1"/>
    <col min="15" max="15" width="4.54296875" style="18" hidden="1" customWidth="1"/>
    <col min="16" max="16" width="12.453125" style="18" hidden="1" customWidth="1"/>
    <col min="17" max="17" width="14.7265625" style="18" hidden="1" customWidth="1"/>
    <col min="18" max="18" width="13.453125" style="18" hidden="1" customWidth="1"/>
    <col min="19" max="19" width="10.54296875" style="20" hidden="1" customWidth="1"/>
    <col min="20" max="20" width="10.54296875" style="58" hidden="1" customWidth="1"/>
    <col min="21" max="21" width="14.7265625" style="18" hidden="1" customWidth="1"/>
    <col min="22" max="22" width="12.81640625" style="18" hidden="1" customWidth="1"/>
    <col min="23" max="23" width="6" style="18" hidden="1" customWidth="1"/>
    <col min="24" max="24" width="12.54296875" style="18" hidden="1" customWidth="1"/>
    <col min="25" max="25" width="10.1796875" style="18" hidden="1" customWidth="1"/>
    <col min="26" max="26" width="13.54296875" style="18" hidden="1" customWidth="1"/>
    <col min="27" max="28" width="14.453125" style="18" hidden="1" customWidth="1"/>
    <col min="29" max="29" width="5.7265625" style="18" hidden="1" customWidth="1"/>
    <col min="30" max="30" width="12.26953125" style="18" hidden="1" customWidth="1"/>
    <col min="31" max="31" width="10.1796875" style="18" hidden="1" customWidth="1"/>
    <col min="32" max="32" width="13.54296875" style="18" hidden="1" customWidth="1"/>
    <col min="33" max="33" width="12.1796875" style="18" hidden="1" customWidth="1"/>
    <col min="34" max="34" width="13" style="18" hidden="1" customWidth="1"/>
    <col min="35" max="36" width="10.54296875" style="18" hidden="1" customWidth="1"/>
    <col min="37" max="37" width="4.7265625" style="18" hidden="1" customWidth="1"/>
    <col min="38" max="38" width="11.26953125" style="18" hidden="1" customWidth="1"/>
    <col min="39" max="39" width="6.54296875" style="18" hidden="1" customWidth="1"/>
    <col min="40" max="40" width="13.54296875" style="58" hidden="1" customWidth="1"/>
    <col min="41" max="41" width="14.81640625" style="18" hidden="1" customWidth="1"/>
    <col min="42" max="42" width="13.54296875" style="18" hidden="1" customWidth="1"/>
    <col min="43" max="43" width="13.81640625" style="18" hidden="1" customWidth="1"/>
    <col min="44" max="44" width="12.81640625" style="58" hidden="1" customWidth="1"/>
    <col min="45" max="45" width="15.26953125" style="35" hidden="1" customWidth="1"/>
    <col min="46" max="46" width="15.26953125" style="40" hidden="1" customWidth="1"/>
    <col min="47" max="47" width="7.26953125" style="35" hidden="1" customWidth="1"/>
    <col min="48" max="48" width="13.81640625" style="43" hidden="1" customWidth="1"/>
    <col min="49" max="49" width="10.453125" style="20" bestFit="1" customWidth="1"/>
    <col min="50" max="50" width="10.453125" style="21" bestFit="1" customWidth="1"/>
    <col min="51" max="51" width="16.26953125" style="21" bestFit="1" customWidth="1"/>
    <col min="52" max="52" width="58.1796875" hidden="1" customWidth="1"/>
  </cols>
  <sheetData>
    <row r="1" spans="1:53" ht="15" x14ac:dyDescent="0.35">
      <c r="A1" s="246">
        <v>2022</v>
      </c>
      <c r="B1" s="1"/>
      <c r="C1" s="2"/>
      <c r="D1" s="2"/>
      <c r="E1" s="3"/>
      <c r="F1" s="2"/>
      <c r="G1" s="2"/>
      <c r="H1" s="2"/>
      <c r="I1" s="2"/>
      <c r="J1" s="2"/>
      <c r="K1" s="2"/>
      <c r="L1" s="2"/>
      <c r="M1" s="4"/>
      <c r="N1" s="5"/>
      <c r="O1" s="6"/>
      <c r="P1" s="2"/>
      <c r="Q1" s="4"/>
      <c r="R1" s="2"/>
      <c r="S1" s="6"/>
      <c r="T1" s="8"/>
      <c r="U1" s="4"/>
      <c r="V1" s="2"/>
      <c r="W1" s="6"/>
      <c r="X1" s="2"/>
      <c r="Y1" s="6"/>
      <c r="Z1" s="2"/>
      <c r="AA1" s="6"/>
      <c r="AB1" s="2"/>
      <c r="AC1" s="6"/>
      <c r="AD1" s="2"/>
      <c r="AE1" s="6"/>
      <c r="AF1" s="2"/>
      <c r="AG1" s="6"/>
      <c r="AH1" s="2"/>
      <c r="AI1" s="6"/>
      <c r="AJ1" s="2"/>
      <c r="AK1" s="6"/>
      <c r="AL1" s="2"/>
      <c r="AM1" s="6"/>
      <c r="AN1" s="8"/>
      <c r="AO1" s="6"/>
      <c r="AP1" s="2"/>
      <c r="AQ1" s="6"/>
      <c r="AR1" s="8"/>
      <c r="AS1" s="39"/>
      <c r="AT1" s="2"/>
      <c r="AU1" s="39"/>
      <c r="AV1" s="2"/>
      <c r="AW1" s="6"/>
      <c r="AX1" s="7"/>
      <c r="AY1" s="8"/>
    </row>
    <row r="2" spans="1:53" s="149" customFormat="1" ht="18.5" x14ac:dyDescent="0.45">
      <c r="A2" s="147"/>
      <c r="B2" s="151" t="s">
        <v>0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48"/>
    </row>
    <row r="3" spans="1:53" x14ac:dyDescent="0.35">
      <c r="A3" s="2"/>
      <c r="B3" s="1"/>
      <c r="C3" s="2"/>
      <c r="D3" s="2"/>
      <c r="E3" s="3"/>
      <c r="F3" s="2"/>
      <c r="G3" s="2"/>
      <c r="H3" s="2"/>
      <c r="I3" s="2"/>
      <c r="J3" s="2"/>
      <c r="K3" s="2"/>
      <c r="L3" s="2"/>
      <c r="M3" s="4"/>
      <c r="N3" s="5"/>
      <c r="O3" s="6"/>
      <c r="P3" s="2"/>
      <c r="Q3" s="4"/>
      <c r="R3" s="2"/>
      <c r="S3" s="6"/>
      <c r="T3" s="8"/>
      <c r="U3" s="4"/>
      <c r="V3" s="2"/>
      <c r="W3" s="6"/>
      <c r="X3" s="2"/>
      <c r="Y3" s="6"/>
      <c r="Z3" s="2"/>
      <c r="AA3" s="6"/>
      <c r="AB3" s="2"/>
      <c r="AC3" s="6"/>
      <c r="AD3" s="2"/>
      <c r="AE3" s="6"/>
      <c r="AF3" s="2"/>
      <c r="AG3" s="6"/>
      <c r="AH3" s="2"/>
      <c r="AI3" s="6"/>
      <c r="AJ3" s="2"/>
      <c r="AK3" s="6"/>
      <c r="AL3" s="2"/>
      <c r="AM3" s="6"/>
      <c r="AN3" s="8"/>
      <c r="AO3" s="6"/>
      <c r="AP3" s="2"/>
      <c r="AQ3" s="6"/>
      <c r="AR3" s="8"/>
      <c r="AS3" s="39"/>
      <c r="AT3" s="2"/>
      <c r="AU3" s="39"/>
      <c r="AV3" s="2"/>
      <c r="AW3" s="6"/>
      <c r="AX3" s="7"/>
      <c r="AY3" s="8"/>
    </row>
    <row r="4" spans="1:53" x14ac:dyDescent="0.35">
      <c r="A4" s="150" t="s">
        <v>1</v>
      </c>
      <c r="B4" s="150"/>
      <c r="C4" s="116" t="s">
        <v>2</v>
      </c>
      <c r="D4" s="116"/>
      <c r="E4" s="116"/>
      <c r="F4" s="9"/>
      <c r="G4" s="9"/>
      <c r="H4" s="9"/>
      <c r="I4" s="9"/>
      <c r="J4" s="9"/>
      <c r="K4" s="9"/>
      <c r="L4" s="9"/>
      <c r="M4" s="10"/>
      <c r="N4" s="11"/>
      <c r="O4" s="12"/>
      <c r="P4" s="9"/>
      <c r="Q4" s="10"/>
      <c r="R4" s="9"/>
      <c r="S4" s="12"/>
      <c r="T4" s="57"/>
      <c r="U4" s="10"/>
      <c r="V4" s="9"/>
      <c r="W4" s="12"/>
      <c r="X4" s="9"/>
      <c r="Y4" s="12"/>
      <c r="Z4" s="9"/>
      <c r="AA4" s="12"/>
      <c r="AB4" s="9"/>
      <c r="AC4" s="12"/>
      <c r="AD4" s="9"/>
      <c r="AE4" s="12"/>
      <c r="AF4" s="9"/>
      <c r="AG4" s="12"/>
      <c r="AH4" s="9"/>
      <c r="AI4" s="12"/>
      <c r="AJ4" s="9"/>
      <c r="AK4" s="12"/>
      <c r="AL4" s="9"/>
      <c r="AM4" s="12"/>
      <c r="AN4" s="57"/>
      <c r="AO4" s="12"/>
      <c r="AP4" s="9"/>
      <c r="AQ4" s="12"/>
      <c r="AR4" s="57"/>
      <c r="AS4" s="34"/>
      <c r="AT4" s="9"/>
      <c r="AU4" s="34"/>
      <c r="AV4" s="9"/>
      <c r="AW4" s="12"/>
      <c r="AX4" s="7"/>
      <c r="AY4" s="8"/>
    </row>
    <row r="5" spans="1:53" ht="15" customHeight="1" x14ac:dyDescent="0.35">
      <c r="A5" s="150" t="s">
        <v>3</v>
      </c>
      <c r="B5" s="150"/>
      <c r="C5" s="116" t="s">
        <v>4</v>
      </c>
      <c r="D5" s="116"/>
      <c r="E5" s="116"/>
      <c r="F5" s="9"/>
      <c r="G5" s="9"/>
      <c r="H5" s="9"/>
      <c r="I5" s="9"/>
      <c r="J5" s="9"/>
      <c r="K5" s="9"/>
      <c r="L5" s="9"/>
      <c r="M5" s="10"/>
      <c r="N5" s="11"/>
      <c r="O5" s="12"/>
      <c r="P5" s="9"/>
      <c r="Q5" s="10"/>
      <c r="R5" s="9"/>
      <c r="S5" s="12"/>
      <c r="T5" s="57"/>
      <c r="U5" s="10"/>
      <c r="V5" s="9"/>
      <c r="W5" s="12"/>
      <c r="X5" s="9"/>
      <c r="Y5" s="12"/>
      <c r="Z5" s="9"/>
      <c r="AA5" s="12"/>
      <c r="AB5" s="9"/>
      <c r="AC5" s="12"/>
      <c r="AD5" s="9"/>
      <c r="AE5" s="12"/>
      <c r="AF5" s="9"/>
      <c r="AG5" s="12"/>
      <c r="AH5" s="9"/>
      <c r="AI5" s="12"/>
      <c r="AJ5" s="9"/>
      <c r="AK5" s="12"/>
      <c r="AL5" s="9"/>
      <c r="AM5" s="12"/>
      <c r="AN5" s="57"/>
      <c r="AO5" s="12"/>
      <c r="AP5" s="9"/>
      <c r="AQ5" s="12"/>
      <c r="AR5" s="57"/>
      <c r="AS5" s="34"/>
      <c r="AT5" s="9"/>
      <c r="AU5" s="34"/>
      <c r="AV5" s="9"/>
      <c r="AW5" s="12"/>
      <c r="AX5" s="7"/>
      <c r="AY5" s="8"/>
    </row>
    <row r="6" spans="1:53" x14ac:dyDescent="0.35">
      <c r="A6" s="150" t="s">
        <v>5</v>
      </c>
      <c r="B6" s="150"/>
      <c r="C6" s="117">
        <v>2022</v>
      </c>
      <c r="D6" s="118"/>
      <c r="E6" s="117"/>
      <c r="F6" s="9"/>
      <c r="G6" s="9"/>
      <c r="H6" s="9"/>
      <c r="I6" s="9"/>
      <c r="J6" s="9"/>
      <c r="K6" s="9"/>
      <c r="L6" s="9"/>
      <c r="M6" s="10"/>
      <c r="N6" s="11"/>
      <c r="O6" s="12"/>
      <c r="P6" s="9"/>
      <c r="Q6" s="10"/>
      <c r="R6" s="9"/>
      <c r="S6" s="12"/>
      <c r="T6" s="57"/>
      <c r="U6" s="10"/>
      <c r="V6" s="9"/>
      <c r="W6" s="12"/>
      <c r="X6" s="9"/>
      <c r="Y6" s="12"/>
      <c r="Z6" s="9"/>
      <c r="AA6" s="12"/>
      <c r="AB6" s="9"/>
      <c r="AC6" s="12"/>
      <c r="AD6" s="9"/>
      <c r="AE6" s="12"/>
      <c r="AF6" s="9"/>
      <c r="AG6" s="12"/>
      <c r="AH6" s="9"/>
      <c r="AI6" s="12"/>
      <c r="AJ6" s="9"/>
      <c r="AK6" s="12"/>
      <c r="AL6" s="9"/>
      <c r="AM6" s="12"/>
      <c r="AN6" s="57"/>
      <c r="AO6" s="12"/>
      <c r="AP6" s="9"/>
      <c r="AQ6" s="12"/>
      <c r="AR6" s="57"/>
      <c r="AS6" s="34"/>
      <c r="AT6" s="9"/>
      <c r="AU6" s="34"/>
      <c r="AV6" s="9"/>
      <c r="AW6" s="12"/>
      <c r="AX6" s="7"/>
      <c r="AY6" s="8"/>
    </row>
    <row r="7" spans="1:53" x14ac:dyDescent="0.35">
      <c r="A7" s="150" t="s">
        <v>6</v>
      </c>
      <c r="B7" s="150"/>
      <c r="C7" s="117" t="s">
        <v>54</v>
      </c>
      <c r="D7" s="118"/>
      <c r="E7" s="117"/>
      <c r="F7" s="9"/>
      <c r="G7" s="9"/>
      <c r="H7" s="9"/>
      <c r="I7" s="9"/>
      <c r="J7" s="9"/>
      <c r="K7" s="9"/>
      <c r="L7" s="9"/>
      <c r="M7" s="10"/>
      <c r="N7" s="11"/>
      <c r="O7" s="12"/>
      <c r="P7" s="9"/>
      <c r="Q7" s="10"/>
      <c r="R7" s="9"/>
      <c r="S7" s="12"/>
      <c r="T7" s="57"/>
      <c r="U7" s="10"/>
      <c r="V7" s="9"/>
      <c r="W7" s="12"/>
      <c r="X7" s="9"/>
      <c r="Y7" s="12"/>
      <c r="Z7" s="9"/>
      <c r="AA7" s="12"/>
      <c r="AB7" s="9"/>
      <c r="AC7" s="12"/>
      <c r="AD7" s="9"/>
      <c r="AE7" s="12"/>
      <c r="AF7" s="9"/>
      <c r="AG7" s="12"/>
      <c r="AH7" s="9"/>
      <c r="AI7" s="12"/>
      <c r="AJ7" s="9"/>
      <c r="AK7" s="12"/>
      <c r="AL7" s="9"/>
      <c r="AM7" s="12"/>
      <c r="AN7" s="57"/>
      <c r="AO7" s="12"/>
      <c r="AP7" s="9"/>
      <c r="AQ7" s="12"/>
      <c r="AR7" s="57"/>
      <c r="AS7" s="34"/>
      <c r="AT7" s="9"/>
      <c r="AU7" s="34"/>
      <c r="AV7" s="9"/>
      <c r="AW7" s="12"/>
      <c r="AX7" s="7"/>
      <c r="AY7" s="8"/>
    </row>
    <row r="8" spans="1:53" ht="15" thickBot="1" x14ac:dyDescent="0.4">
      <c r="A8" s="2"/>
      <c r="B8" s="9"/>
      <c r="C8" s="9"/>
      <c r="D8" s="9"/>
      <c r="E8" s="13"/>
      <c r="F8" s="9"/>
      <c r="G8" s="9"/>
      <c r="H8" s="9"/>
      <c r="I8" s="9"/>
      <c r="J8" s="9"/>
      <c r="K8" s="9"/>
      <c r="L8" s="9"/>
      <c r="M8" s="10"/>
      <c r="N8" s="11"/>
      <c r="O8" s="12"/>
      <c r="P8" s="9"/>
      <c r="Q8" s="10"/>
      <c r="R8" s="9"/>
      <c r="S8" s="12"/>
      <c r="T8" s="57"/>
      <c r="U8" s="10"/>
      <c r="V8" s="9"/>
      <c r="W8" s="12"/>
      <c r="X8" s="9"/>
      <c r="Y8" s="12"/>
      <c r="Z8" s="9"/>
      <c r="AA8" s="12"/>
      <c r="AB8" s="9"/>
      <c r="AC8" s="12"/>
      <c r="AD8" s="9"/>
      <c r="AE8" s="12"/>
      <c r="AF8" s="9"/>
      <c r="AG8" s="12"/>
      <c r="AH8" s="9"/>
      <c r="AI8" s="12"/>
      <c r="AJ8" s="9"/>
      <c r="AK8" s="12"/>
      <c r="AL8" s="9"/>
      <c r="AM8" s="12"/>
      <c r="AN8" s="57"/>
      <c r="AO8" s="12"/>
      <c r="AP8" s="9"/>
      <c r="AQ8" s="12"/>
      <c r="AR8" s="57"/>
      <c r="AS8" s="34"/>
      <c r="AT8" s="9"/>
      <c r="AU8" s="34"/>
      <c r="AV8" s="9"/>
      <c r="AW8" s="12"/>
      <c r="AX8" s="7"/>
      <c r="AY8" s="8"/>
    </row>
    <row r="9" spans="1:53" ht="52.5" thickBot="1" x14ac:dyDescent="0.4">
      <c r="A9" s="228" t="s">
        <v>7</v>
      </c>
      <c r="B9" s="215" t="s">
        <v>8</v>
      </c>
      <c r="C9" s="217" t="s">
        <v>9</v>
      </c>
      <c r="D9" s="216" t="s">
        <v>10</v>
      </c>
      <c r="E9" s="218" t="s">
        <v>11</v>
      </c>
      <c r="F9" s="217" t="s">
        <v>12</v>
      </c>
      <c r="G9" s="217" t="s">
        <v>13</v>
      </c>
      <c r="H9" s="217" t="s">
        <v>14</v>
      </c>
      <c r="I9" s="219" t="s">
        <v>15</v>
      </c>
      <c r="J9" s="217" t="s">
        <v>16</v>
      </c>
      <c r="K9" s="217" t="s">
        <v>17</v>
      </c>
      <c r="L9" s="217" t="s">
        <v>18</v>
      </c>
      <c r="M9" s="220" t="s">
        <v>19</v>
      </c>
      <c r="N9" s="221" t="s">
        <v>20</v>
      </c>
      <c r="O9" s="222" t="s">
        <v>21</v>
      </c>
      <c r="P9" s="217" t="s">
        <v>22</v>
      </c>
      <c r="Q9" s="220" t="s">
        <v>23</v>
      </c>
      <c r="R9" s="217" t="s">
        <v>24</v>
      </c>
      <c r="S9" s="222" t="s">
        <v>25</v>
      </c>
      <c r="T9" s="223" t="s">
        <v>26</v>
      </c>
      <c r="U9" s="220" t="s">
        <v>27</v>
      </c>
      <c r="V9" s="217" t="s">
        <v>28</v>
      </c>
      <c r="W9" s="222" t="s">
        <v>29</v>
      </c>
      <c r="X9" s="217" t="s">
        <v>56</v>
      </c>
      <c r="Y9" s="222" t="s">
        <v>30</v>
      </c>
      <c r="Z9" s="217" t="s">
        <v>31</v>
      </c>
      <c r="AA9" s="222" t="s">
        <v>32</v>
      </c>
      <c r="AB9" s="217" t="s">
        <v>33</v>
      </c>
      <c r="AC9" s="224" t="s">
        <v>34</v>
      </c>
      <c r="AD9" s="217" t="s">
        <v>35</v>
      </c>
      <c r="AE9" s="222" t="s">
        <v>36</v>
      </c>
      <c r="AF9" s="217" t="s">
        <v>37</v>
      </c>
      <c r="AG9" s="222" t="s">
        <v>38</v>
      </c>
      <c r="AH9" s="217" t="s">
        <v>39</v>
      </c>
      <c r="AI9" s="222" t="s">
        <v>57</v>
      </c>
      <c r="AJ9" s="217" t="s">
        <v>58</v>
      </c>
      <c r="AK9" s="222" t="s">
        <v>40</v>
      </c>
      <c r="AL9" s="217" t="s">
        <v>41</v>
      </c>
      <c r="AM9" s="224" t="s">
        <v>42</v>
      </c>
      <c r="AN9" s="223" t="s">
        <v>43</v>
      </c>
      <c r="AO9" s="224" t="s">
        <v>44</v>
      </c>
      <c r="AP9" s="217" t="s">
        <v>45</v>
      </c>
      <c r="AQ9" s="222" t="s">
        <v>46</v>
      </c>
      <c r="AR9" s="223" t="s">
        <v>47</v>
      </c>
      <c r="AS9" s="225" t="s">
        <v>59</v>
      </c>
      <c r="AT9" s="217" t="s">
        <v>60</v>
      </c>
      <c r="AU9" s="225" t="s">
        <v>61</v>
      </c>
      <c r="AV9" s="217" t="s">
        <v>62</v>
      </c>
      <c r="AW9" s="222" t="s">
        <v>48</v>
      </c>
      <c r="AX9" s="226" t="s">
        <v>49</v>
      </c>
      <c r="AY9" s="227" t="s">
        <v>50</v>
      </c>
      <c r="AZ9" s="213" t="s">
        <v>51</v>
      </c>
      <c r="BA9" s="22"/>
    </row>
    <row r="10" spans="1:53" s="53" customFormat="1" ht="75" customHeight="1" x14ac:dyDescent="0.3">
      <c r="A10" s="229">
        <v>1</v>
      </c>
      <c r="B10" s="231" t="s">
        <v>63</v>
      </c>
      <c r="C10" s="107" t="s">
        <v>52</v>
      </c>
      <c r="D10" s="46" t="s">
        <v>53</v>
      </c>
      <c r="E10" s="108" t="s">
        <v>64</v>
      </c>
      <c r="F10" s="46" t="s">
        <v>65</v>
      </c>
      <c r="G10" s="50"/>
      <c r="H10" s="50"/>
      <c r="I10" s="50"/>
      <c r="J10" s="50"/>
      <c r="K10" s="50"/>
      <c r="L10" s="52"/>
      <c r="M10" s="23"/>
      <c r="N10" s="38"/>
      <c r="O10" s="51"/>
      <c r="P10" s="38"/>
      <c r="Q10" s="49"/>
      <c r="R10" s="38"/>
      <c r="S10" s="51"/>
      <c r="T10" s="56"/>
      <c r="U10" s="49"/>
      <c r="V10" s="38"/>
      <c r="W10" s="51">
        <v>2700</v>
      </c>
      <c r="X10" s="38">
        <f>+W10*AX10</f>
        <v>864000</v>
      </c>
      <c r="Y10" s="51"/>
      <c r="Z10" s="38"/>
      <c r="AA10" s="51"/>
      <c r="AB10" s="38"/>
      <c r="AC10" s="51"/>
      <c r="AD10" s="15"/>
      <c r="AE10" s="51"/>
      <c r="AF10" s="15"/>
      <c r="AG10" s="51"/>
      <c r="AH10" s="38"/>
      <c r="AI10" s="51"/>
      <c r="AJ10" s="38"/>
      <c r="AK10" s="51"/>
      <c r="AL10" s="38"/>
      <c r="AM10" s="51"/>
      <c r="AN10" s="56"/>
      <c r="AO10" s="51"/>
      <c r="AP10" s="38"/>
      <c r="AQ10" s="51"/>
      <c r="AR10" s="56"/>
      <c r="AS10" s="42"/>
      <c r="AT10" s="38"/>
      <c r="AU10" s="42"/>
      <c r="AV10" s="38"/>
      <c r="AW10" s="214">
        <f t="shared" ref="AW10:AW11" si="0">+AQ10+AO10+AM10+AK10+AI10+AG10+AE10+AC10+AA10+Y10+W10+U10+S10+Q10+O10+M10+K10+I10+AS10+G10+AU10</f>
        <v>2700</v>
      </c>
      <c r="AX10" s="17">
        <v>320</v>
      </c>
      <c r="AY10" s="232">
        <f t="shared" ref="AY10:AY11" si="1">+AW10*AX10</f>
        <v>864000</v>
      </c>
      <c r="AZ10" s="60" t="s">
        <v>68</v>
      </c>
    </row>
    <row r="11" spans="1:53" s="53" customFormat="1" ht="75" customHeight="1" thickBot="1" x14ac:dyDescent="0.35">
      <c r="A11" s="230">
        <v>2</v>
      </c>
      <c r="B11" s="233" t="s">
        <v>66</v>
      </c>
      <c r="C11" s="234" t="s">
        <v>52</v>
      </c>
      <c r="D11" s="235" t="s">
        <v>53</v>
      </c>
      <c r="E11" s="236" t="s">
        <v>67</v>
      </c>
      <c r="F11" s="235" t="s">
        <v>65</v>
      </c>
      <c r="G11" s="237"/>
      <c r="H11" s="237"/>
      <c r="I11" s="237"/>
      <c r="J11" s="237"/>
      <c r="K11" s="237"/>
      <c r="L11" s="238"/>
      <c r="M11" s="239"/>
      <c r="N11" s="48"/>
      <c r="O11" s="240"/>
      <c r="P11" s="48"/>
      <c r="Q11" s="241"/>
      <c r="R11" s="48"/>
      <c r="S11" s="240"/>
      <c r="T11" s="242"/>
      <c r="U11" s="241"/>
      <c r="V11" s="48"/>
      <c r="W11" s="240">
        <v>2700</v>
      </c>
      <c r="X11" s="48">
        <f>+W11*AX11</f>
        <v>864000</v>
      </c>
      <c r="Y11" s="240"/>
      <c r="Z11" s="48"/>
      <c r="AA11" s="240"/>
      <c r="AB11" s="48"/>
      <c r="AC11" s="240"/>
      <c r="AD11" s="243"/>
      <c r="AE11" s="240"/>
      <c r="AF11" s="243"/>
      <c r="AG11" s="240"/>
      <c r="AH11" s="48"/>
      <c r="AI11" s="240"/>
      <c r="AJ11" s="48"/>
      <c r="AK11" s="240"/>
      <c r="AL11" s="48"/>
      <c r="AM11" s="240"/>
      <c r="AN11" s="242"/>
      <c r="AO11" s="240"/>
      <c r="AP11" s="48"/>
      <c r="AQ11" s="240"/>
      <c r="AR11" s="242"/>
      <c r="AS11" s="47"/>
      <c r="AT11" s="48"/>
      <c r="AU11" s="47"/>
      <c r="AV11" s="48"/>
      <c r="AW11" s="36">
        <f t="shared" si="0"/>
        <v>2700</v>
      </c>
      <c r="AX11" s="244">
        <v>320</v>
      </c>
      <c r="AY11" s="245">
        <f t="shared" si="1"/>
        <v>864000</v>
      </c>
      <c r="AZ11" s="61" t="s">
        <v>69</v>
      </c>
    </row>
    <row r="12" spans="1:53" s="54" customFormat="1" ht="13.5" thickBot="1" x14ac:dyDescent="0.35">
      <c r="A12" s="24"/>
      <c r="B12" s="25"/>
      <c r="C12" s="26"/>
      <c r="D12" s="27"/>
      <c r="E12" s="16" t="s">
        <v>55</v>
      </c>
      <c r="F12" s="25"/>
      <c r="G12" s="25"/>
      <c r="H12" s="25"/>
      <c r="I12" s="25"/>
      <c r="J12" s="25"/>
      <c r="K12" s="27"/>
      <c r="L12" s="28">
        <f>+K12*AX12</f>
        <v>0</v>
      </c>
      <c r="M12" s="29"/>
      <c r="N12" s="30">
        <f>+M12*AX12</f>
        <v>0</v>
      </c>
      <c r="O12" s="31"/>
      <c r="P12" s="28"/>
      <c r="Q12" s="29"/>
      <c r="R12" s="28"/>
      <c r="S12" s="31"/>
      <c r="T12" s="55"/>
      <c r="U12" s="29"/>
      <c r="V12" s="28"/>
      <c r="W12" s="31"/>
      <c r="X12" s="28"/>
      <c r="Y12" s="31"/>
      <c r="Z12" s="28"/>
      <c r="AA12" s="31"/>
      <c r="AB12" s="28"/>
      <c r="AC12" s="31"/>
      <c r="AD12" s="28"/>
      <c r="AE12" s="31"/>
      <c r="AF12" s="28"/>
      <c r="AG12" s="31"/>
      <c r="AH12" s="28"/>
      <c r="AI12" s="31"/>
      <c r="AJ12" s="28"/>
      <c r="AK12" s="31"/>
      <c r="AL12" s="28"/>
      <c r="AM12" s="31"/>
      <c r="AN12" s="55"/>
      <c r="AO12" s="31"/>
      <c r="AP12" s="28"/>
      <c r="AQ12" s="31"/>
      <c r="AR12" s="55"/>
      <c r="AS12" s="41"/>
      <c r="AT12" s="28"/>
      <c r="AU12" s="45"/>
      <c r="AV12" s="44"/>
      <c r="AW12" s="37"/>
      <c r="AX12" s="32"/>
      <c r="AY12" s="59">
        <f>+SUM(AY10:AY11)</f>
        <v>1728000</v>
      </c>
      <c r="AZ12" s="33"/>
    </row>
    <row r="14" spans="1:53" ht="15" thickBot="1" x14ac:dyDescent="0.4"/>
    <row r="15" spans="1:53" s="114" customFormat="1" x14ac:dyDescent="0.35">
      <c r="A15" s="109"/>
      <c r="B15" s="109"/>
      <c r="C15" s="110" t="s">
        <v>135</v>
      </c>
      <c r="D15" s="200" t="s">
        <v>110</v>
      </c>
      <c r="E15" s="154"/>
      <c r="F15" s="155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11"/>
      <c r="T15" s="112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12"/>
      <c r="AO15" s="109"/>
      <c r="AP15" s="109"/>
      <c r="AQ15" s="109"/>
      <c r="AR15" s="112"/>
      <c r="AS15" s="113"/>
      <c r="AT15" s="109"/>
      <c r="AU15" s="113"/>
      <c r="AV15" s="109"/>
      <c r="AW15" s="111"/>
      <c r="AX15" s="112"/>
      <c r="AY15" s="112"/>
    </row>
    <row r="16" spans="1:53" s="114" customFormat="1" ht="15" thickBot="1" x14ac:dyDescent="0.4">
      <c r="A16" s="109"/>
      <c r="B16" s="109"/>
      <c r="C16" s="115"/>
      <c r="D16" s="201"/>
      <c r="E16" s="146"/>
      <c r="F16" s="145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11"/>
      <c r="T16" s="112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12"/>
      <c r="AO16" s="109"/>
      <c r="AP16" s="109"/>
      <c r="AQ16" s="109"/>
      <c r="AR16" s="112"/>
      <c r="AS16" s="113"/>
      <c r="AT16" s="109"/>
      <c r="AU16" s="113"/>
      <c r="AV16" s="109"/>
      <c r="AW16" s="111"/>
      <c r="AX16" s="112"/>
      <c r="AY16" s="112"/>
    </row>
    <row r="17" spans="1:51" s="114" customFormat="1" ht="32" customHeight="1" thickBot="1" x14ac:dyDescent="0.4">
      <c r="A17" s="109"/>
      <c r="B17" s="109"/>
      <c r="C17" s="203" t="s">
        <v>136</v>
      </c>
      <c r="D17" s="204" t="s">
        <v>140</v>
      </c>
      <c r="E17" s="205"/>
      <c r="F17" s="206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11"/>
      <c r="T17" s="112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12"/>
      <c r="AO17" s="109"/>
      <c r="AP17" s="109"/>
      <c r="AQ17" s="109"/>
      <c r="AR17" s="112"/>
      <c r="AS17" s="113"/>
      <c r="AT17" s="109"/>
      <c r="AU17" s="113"/>
      <c r="AV17" s="109"/>
      <c r="AW17" s="111"/>
      <c r="AX17" s="112"/>
      <c r="AY17" s="112"/>
    </row>
    <row r="18" spans="1:51" s="114" customFormat="1" ht="15" thickBot="1" x14ac:dyDescent="0.4">
      <c r="A18" s="109"/>
      <c r="B18" s="109"/>
      <c r="C18" s="198" t="s">
        <v>139</v>
      </c>
      <c r="D18" s="207" t="s">
        <v>141</v>
      </c>
      <c r="E18" s="208"/>
      <c r="F18" s="2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11"/>
      <c r="T18" s="112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12"/>
      <c r="AO18" s="109"/>
      <c r="AP18" s="109"/>
      <c r="AQ18" s="109"/>
      <c r="AR18" s="112"/>
      <c r="AS18" s="113"/>
      <c r="AT18" s="109"/>
      <c r="AU18" s="113"/>
      <c r="AV18" s="109"/>
      <c r="AW18" s="111"/>
      <c r="AX18" s="112"/>
      <c r="AY18" s="112"/>
    </row>
    <row r="19" spans="1:51" s="114" customFormat="1" ht="15" thickBot="1" x14ac:dyDescent="0.4">
      <c r="A19" s="109"/>
      <c r="B19" s="109"/>
      <c r="C19" s="203" t="s">
        <v>132</v>
      </c>
      <c r="D19" s="207" t="s">
        <v>127</v>
      </c>
      <c r="E19" s="208"/>
      <c r="F19" s="2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11"/>
      <c r="T19" s="112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12"/>
      <c r="AO19" s="109"/>
      <c r="AP19" s="109"/>
      <c r="AQ19" s="109"/>
      <c r="AR19" s="112"/>
      <c r="AS19" s="113"/>
      <c r="AT19" s="109"/>
      <c r="AU19" s="113"/>
      <c r="AV19" s="109"/>
      <c r="AW19" s="111"/>
      <c r="AX19" s="112"/>
      <c r="AY19" s="112"/>
    </row>
    <row r="20" spans="1:51" s="114" customFormat="1" ht="15" thickBot="1" x14ac:dyDescent="0.4">
      <c r="A20" s="109"/>
      <c r="B20" s="109"/>
      <c r="C20" s="198"/>
      <c r="D20" s="201"/>
      <c r="E20" s="146"/>
      <c r="F20" s="145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11"/>
      <c r="T20" s="112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12"/>
      <c r="AO20" s="109"/>
      <c r="AP20" s="109"/>
      <c r="AQ20" s="109"/>
      <c r="AR20" s="112"/>
      <c r="AS20" s="113"/>
      <c r="AT20" s="109"/>
      <c r="AU20" s="113"/>
      <c r="AV20" s="109"/>
      <c r="AW20" s="111"/>
      <c r="AX20" s="112"/>
      <c r="AY20" s="112"/>
    </row>
    <row r="21" spans="1:51" s="114" customFormat="1" ht="15" thickBot="1" x14ac:dyDescent="0.4">
      <c r="A21" s="109"/>
      <c r="B21" s="109"/>
      <c r="C21" s="203" t="s">
        <v>108</v>
      </c>
      <c r="D21" s="207" t="s">
        <v>128</v>
      </c>
      <c r="E21" s="208"/>
      <c r="F21" s="2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11"/>
      <c r="T21" s="112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12"/>
      <c r="AO21" s="109"/>
      <c r="AP21" s="109"/>
      <c r="AQ21" s="109"/>
      <c r="AR21" s="112"/>
      <c r="AS21" s="113"/>
      <c r="AT21" s="109"/>
      <c r="AU21" s="113"/>
      <c r="AV21" s="109"/>
      <c r="AW21" s="111"/>
      <c r="AX21" s="112"/>
      <c r="AY21" s="112"/>
    </row>
    <row r="22" spans="1:51" s="114" customFormat="1" ht="32.5" customHeight="1" thickBot="1" x14ac:dyDescent="0.4">
      <c r="A22" s="109"/>
      <c r="B22" s="109"/>
      <c r="C22" s="203" t="s">
        <v>126</v>
      </c>
      <c r="D22" s="204" t="s">
        <v>130</v>
      </c>
      <c r="E22" s="205"/>
      <c r="F22" s="206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11"/>
      <c r="T22" s="112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12"/>
      <c r="AO22" s="109"/>
      <c r="AP22" s="109"/>
      <c r="AQ22" s="109"/>
      <c r="AR22" s="112"/>
      <c r="AS22" s="113"/>
      <c r="AT22" s="109"/>
      <c r="AU22" s="113"/>
      <c r="AV22" s="109"/>
      <c r="AW22" s="111"/>
      <c r="AX22" s="112"/>
      <c r="AY22" s="112"/>
    </row>
    <row r="23" spans="1:51" s="114" customFormat="1" ht="15" thickBot="1" x14ac:dyDescent="0.4">
      <c r="A23" s="109"/>
      <c r="B23" s="109"/>
      <c r="C23" s="203" t="s">
        <v>133</v>
      </c>
      <c r="D23" s="210" t="s">
        <v>131</v>
      </c>
      <c r="E23" s="211"/>
      <c r="F23" s="212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11"/>
      <c r="T23" s="112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12"/>
      <c r="AO23" s="109"/>
      <c r="AP23" s="109"/>
      <c r="AQ23" s="109"/>
      <c r="AR23" s="112"/>
      <c r="AS23" s="113"/>
      <c r="AT23" s="109"/>
      <c r="AU23" s="113"/>
      <c r="AV23" s="109"/>
      <c r="AW23" s="111"/>
      <c r="AX23" s="112"/>
      <c r="AY23" s="112"/>
    </row>
    <row r="24" spans="1:51" s="114" customFormat="1" x14ac:dyDescent="0.35">
      <c r="A24" s="109"/>
      <c r="B24" s="109"/>
      <c r="C24" s="198"/>
      <c r="D24" s="201"/>
      <c r="E24" s="146"/>
      <c r="F24" s="145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11"/>
      <c r="T24" s="112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12"/>
      <c r="AO24" s="109"/>
      <c r="AP24" s="109"/>
      <c r="AQ24" s="109"/>
      <c r="AR24" s="112"/>
      <c r="AS24" s="113"/>
      <c r="AT24" s="109"/>
      <c r="AU24" s="113"/>
      <c r="AV24" s="109"/>
      <c r="AW24" s="111"/>
      <c r="AX24" s="112"/>
      <c r="AY24" s="112"/>
    </row>
    <row r="25" spans="1:51" s="114" customFormat="1" ht="15" thickBot="1" x14ac:dyDescent="0.4">
      <c r="A25" s="109"/>
      <c r="B25" s="109"/>
      <c r="C25" s="199" t="s">
        <v>134</v>
      </c>
      <c r="D25" s="202" t="s">
        <v>109</v>
      </c>
      <c r="E25" s="152"/>
      <c r="F25" s="153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11"/>
      <c r="T25" s="112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12"/>
      <c r="AO25" s="109"/>
      <c r="AP25" s="109"/>
      <c r="AQ25" s="109"/>
      <c r="AR25" s="112"/>
      <c r="AS25" s="113"/>
      <c r="AT25" s="109"/>
      <c r="AU25" s="113"/>
      <c r="AV25" s="109"/>
      <c r="AW25" s="111"/>
      <c r="AX25" s="112"/>
      <c r="AY25" s="112"/>
    </row>
  </sheetData>
  <mergeCells count="12">
    <mergeCell ref="D25:F25"/>
    <mergeCell ref="D15:F15"/>
    <mergeCell ref="D17:F17"/>
    <mergeCell ref="D19:F19"/>
    <mergeCell ref="D21:F21"/>
    <mergeCell ref="D22:F22"/>
    <mergeCell ref="D18:F18"/>
    <mergeCell ref="A7:B7"/>
    <mergeCell ref="B2:AX2"/>
    <mergeCell ref="A4:B4"/>
    <mergeCell ref="A5:B5"/>
    <mergeCell ref="A6:B6"/>
  </mergeCells>
  <conditionalFormatting sqref="B1:B9 E1:E9">
    <cfRule type="duplicateValues" dxfId="18" priority="231"/>
  </conditionalFormatting>
  <conditionalFormatting sqref="E1:E9 B1:B9">
    <cfRule type="duplicateValues" dxfId="17" priority="232"/>
  </conditionalFormatting>
  <conditionalFormatting sqref="E12 B12">
    <cfRule type="duplicateValues" dxfId="16" priority="265"/>
  </conditionalFormatting>
  <conditionalFormatting sqref="B12">
    <cfRule type="duplicateValues" dxfId="15" priority="267"/>
  </conditionalFormatting>
  <conditionalFormatting sqref="B12">
    <cfRule type="duplicateValues" dxfId="14" priority="338"/>
  </conditionalFormatting>
  <conditionalFormatting sqref="E12">
    <cfRule type="duplicateValues" dxfId="13" priority="340"/>
  </conditionalFormatting>
  <conditionalFormatting sqref="E12">
    <cfRule type="duplicateValues" dxfId="12" priority="342"/>
    <cfRule type="duplicateValues" dxfId="11" priority="343"/>
  </conditionalFormatting>
  <conditionalFormatting sqref="B1:B9">
    <cfRule type="duplicateValues" dxfId="10" priority="418"/>
  </conditionalFormatting>
  <conditionalFormatting sqref="E1:E9">
    <cfRule type="duplicateValues" dxfId="9" priority="419"/>
  </conditionalFormatting>
  <conditionalFormatting sqref="E1:E9">
    <cfRule type="duplicateValues" dxfId="8" priority="420"/>
    <cfRule type="duplicateValues" dxfId="7" priority="421"/>
  </conditionalFormatting>
  <conditionalFormatting sqref="F23:F24 F16 F20">
    <cfRule type="duplicateValues" dxfId="6" priority="1"/>
  </conditionalFormatting>
  <conditionalFormatting sqref="F23:F24 C15:C25 F16 F20">
    <cfRule type="duplicateValues" dxfId="5" priority="2"/>
  </conditionalFormatting>
  <conditionalFormatting sqref="F23:F24">
    <cfRule type="duplicateValues" dxfId="4" priority="3"/>
  </conditionalFormatting>
  <conditionalFormatting sqref="F23:F24 F16 C15:C25 F20">
    <cfRule type="duplicateValues" dxfId="3" priority="4"/>
  </conditionalFormatting>
  <conditionalFormatting sqref="F23:F24 F16 F20">
    <cfRule type="duplicateValues" dxfId="2" priority="5"/>
    <cfRule type="duplicateValues" dxfId="1" priority="6"/>
  </conditionalFormatting>
  <conditionalFormatting sqref="C15:C25">
    <cfRule type="duplicateValues" dxfId="0" priority="44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topLeftCell="A13" workbookViewId="0">
      <selection activeCell="A14" sqref="A14"/>
    </sheetView>
  </sheetViews>
  <sheetFormatPr baseColWidth="10" defaultRowHeight="14.5" x14ac:dyDescent="0.35"/>
  <cols>
    <col min="1" max="1" width="137.81640625" customWidth="1"/>
  </cols>
  <sheetData>
    <row r="1" spans="1:1" s="120" customFormat="1" ht="25" x14ac:dyDescent="0.35">
      <c r="A1" s="197" t="s">
        <v>107</v>
      </c>
    </row>
    <row r="2" spans="1:1" s="120" customFormat="1" ht="25" x14ac:dyDescent="0.35">
      <c r="A2" s="124"/>
    </row>
    <row r="3" spans="1:1" s="120" customFormat="1" ht="18" x14ac:dyDescent="0.35">
      <c r="A3" s="121" t="s">
        <v>113</v>
      </c>
    </row>
    <row r="4" spans="1:1" s="120" customFormat="1" ht="15.5" x14ac:dyDescent="0.35">
      <c r="A4" s="122"/>
    </row>
    <row r="5" spans="1:1" s="120" customFormat="1" ht="52.5" customHeight="1" x14ac:dyDescent="0.35">
      <c r="A5" s="123" t="s">
        <v>129</v>
      </c>
    </row>
    <row r="6" spans="1:1" s="120" customFormat="1" ht="11.5" customHeight="1" x14ac:dyDescent="0.35">
      <c r="A6" s="123"/>
    </row>
    <row r="7" spans="1:1" s="120" customFormat="1" ht="15.5" x14ac:dyDescent="0.35">
      <c r="A7" s="122" t="s">
        <v>125</v>
      </c>
    </row>
    <row r="8" spans="1:1" s="120" customFormat="1" ht="15.5" x14ac:dyDescent="0.35">
      <c r="A8" s="196" t="s">
        <v>124</v>
      </c>
    </row>
    <row r="9" spans="1:1" s="120" customFormat="1" ht="15.5" x14ac:dyDescent="0.35">
      <c r="A9" s="119" t="s">
        <v>143</v>
      </c>
    </row>
    <row r="10" spans="1:1" s="120" customFormat="1" ht="102" customHeight="1" x14ac:dyDescent="0.35">
      <c r="A10" s="123" t="s">
        <v>116</v>
      </c>
    </row>
    <row r="11" spans="1:1" s="120" customFormat="1" ht="15.5" x14ac:dyDescent="0.35">
      <c r="A11" s="119" t="s">
        <v>114</v>
      </c>
    </row>
    <row r="12" spans="1:1" s="120" customFormat="1" ht="15.5" x14ac:dyDescent="0.35">
      <c r="A12" s="119"/>
    </row>
    <row r="13" spans="1:1" s="120" customFormat="1" ht="15.5" x14ac:dyDescent="0.35">
      <c r="A13" s="119" t="s">
        <v>144</v>
      </c>
    </row>
    <row r="14" spans="1:1" s="120" customFormat="1" ht="51.75" customHeight="1" x14ac:dyDescent="0.35">
      <c r="A14" s="123" t="s">
        <v>117</v>
      </c>
    </row>
    <row r="15" spans="1:1" s="120" customFormat="1" ht="15.5" x14ac:dyDescent="0.35">
      <c r="A15" s="119" t="s">
        <v>115</v>
      </c>
    </row>
    <row r="16" spans="1:1" s="120" customFormat="1" ht="15.5" x14ac:dyDescent="0.35">
      <c r="A16" s="119"/>
    </row>
    <row r="17" spans="1:1" s="120" customFormat="1" ht="108.5" x14ac:dyDescent="0.35">
      <c r="A17" s="123" t="s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opLeftCell="A4" workbookViewId="0">
      <selection activeCell="E16" sqref="E16"/>
    </sheetView>
  </sheetViews>
  <sheetFormatPr baseColWidth="10" defaultRowHeight="14.5" x14ac:dyDescent="0.35"/>
  <cols>
    <col min="1" max="1" width="5.54296875" customWidth="1"/>
    <col min="2" max="2" width="15.1796875" customWidth="1"/>
    <col min="3" max="3" width="14.1796875" customWidth="1"/>
    <col min="4" max="4" width="26" customWidth="1"/>
    <col min="5" max="5" width="8" customWidth="1"/>
    <col min="6" max="6" width="7.81640625" customWidth="1"/>
    <col min="7" max="7" width="28.54296875" customWidth="1"/>
    <col min="8" max="8" width="9.26953125" customWidth="1"/>
    <col min="9" max="9" width="15.54296875" customWidth="1"/>
    <col min="10" max="10" width="14.7265625" style="134" customWidth="1"/>
    <col min="11" max="11" width="15.54296875" customWidth="1"/>
    <col min="13" max="13" width="14.54296875" style="135" bestFit="1" customWidth="1"/>
  </cols>
  <sheetData>
    <row r="1" spans="1:13" ht="30.5" thickBot="1" x14ac:dyDescent="0.4">
      <c r="A1" s="172" t="s">
        <v>70</v>
      </c>
      <c r="B1" s="172"/>
      <c r="C1" s="172"/>
      <c r="D1" s="172"/>
      <c r="E1" s="172"/>
      <c r="F1" s="172"/>
      <c r="G1" s="172"/>
      <c r="H1" s="172"/>
      <c r="I1" s="172"/>
      <c r="J1" s="130" t="s">
        <v>71</v>
      </c>
      <c r="K1" s="62" t="s">
        <v>122</v>
      </c>
    </row>
    <row r="2" spans="1:13" ht="15.5" thickBot="1" x14ac:dyDescent="0.4">
      <c r="A2" s="63"/>
      <c r="B2" s="64"/>
      <c r="C2" s="64"/>
      <c r="D2" s="65"/>
      <c r="E2" s="65"/>
      <c r="F2" s="65"/>
      <c r="G2" s="65"/>
      <c r="H2" s="65"/>
      <c r="I2" s="65"/>
      <c r="J2" s="131"/>
      <c r="K2" s="66"/>
    </row>
    <row r="3" spans="1:13" ht="16" thickBot="1" x14ac:dyDescent="0.4">
      <c r="A3" s="167" t="s">
        <v>72</v>
      </c>
      <c r="B3" s="167"/>
      <c r="C3" s="167"/>
      <c r="D3" s="168" t="str">
        <f>'SAF 011'!C4</f>
        <v>040 - MINISTERIO DE SALUD</v>
      </c>
      <c r="E3" s="168"/>
      <c r="F3" s="168"/>
      <c r="G3" s="168"/>
      <c r="H3" s="168"/>
      <c r="I3" s="168"/>
      <c r="J3" s="168"/>
      <c r="K3" s="168"/>
    </row>
    <row r="4" spans="1:13" ht="16" thickBot="1" x14ac:dyDescent="0.4">
      <c r="A4" s="169" t="s">
        <v>73</v>
      </c>
      <c r="B4" s="169"/>
      <c r="C4" s="169"/>
      <c r="D4" s="168" t="str">
        <f>'SAF 011'!C5</f>
        <v>011 - DIRECCION PROVINCIAL DE ADMINISTRACION - MINISTERIO DE SALUD</v>
      </c>
      <c r="E4" s="168"/>
      <c r="F4" s="168"/>
      <c r="G4" s="168"/>
      <c r="H4" s="168"/>
      <c r="I4" s="168"/>
      <c r="J4" s="168"/>
      <c r="K4" s="168"/>
    </row>
    <row r="5" spans="1:13" ht="16" thickBot="1" x14ac:dyDescent="0.4">
      <c r="A5" s="169" t="s">
        <v>74</v>
      </c>
      <c r="B5" s="169"/>
      <c r="C5" s="169"/>
      <c r="D5" s="168" t="s">
        <v>111</v>
      </c>
      <c r="E5" s="168"/>
      <c r="F5" s="168"/>
      <c r="G5" s="168"/>
      <c r="H5" s="168"/>
      <c r="I5" s="168"/>
      <c r="J5" s="168"/>
      <c r="K5" s="168"/>
    </row>
    <row r="6" spans="1:13" ht="16" thickBot="1" x14ac:dyDescent="0.4">
      <c r="A6" s="167" t="s">
        <v>75</v>
      </c>
      <c r="B6" s="167"/>
      <c r="C6" s="167"/>
      <c r="D6" s="168" t="s">
        <v>111</v>
      </c>
      <c r="E6" s="168"/>
      <c r="F6" s="168"/>
      <c r="G6" s="168"/>
      <c r="H6" s="168"/>
      <c r="I6" s="168"/>
      <c r="J6" s="168"/>
      <c r="K6" s="168"/>
    </row>
    <row r="7" spans="1:13" ht="16" thickBot="1" x14ac:dyDescent="0.4">
      <c r="A7" s="169" t="s">
        <v>76</v>
      </c>
      <c r="B7" s="169"/>
      <c r="C7" s="169"/>
      <c r="D7" s="168" t="s">
        <v>112</v>
      </c>
      <c r="E7" s="168"/>
      <c r="F7" s="168"/>
      <c r="G7" s="168"/>
      <c r="H7" s="168"/>
      <c r="I7" s="168"/>
      <c r="J7" s="168"/>
      <c r="K7" s="168"/>
    </row>
    <row r="8" spans="1:13" ht="16" thickBot="1" x14ac:dyDescent="0.4">
      <c r="A8" s="170" t="s">
        <v>77</v>
      </c>
      <c r="B8" s="170"/>
      <c r="C8" s="170"/>
      <c r="D8" s="171" t="s">
        <v>138</v>
      </c>
      <c r="E8" s="171"/>
      <c r="F8" s="171"/>
      <c r="G8" s="171"/>
      <c r="H8" s="171"/>
      <c r="I8" s="171"/>
      <c r="J8" s="171"/>
      <c r="K8" s="171"/>
    </row>
    <row r="9" spans="1:13" ht="16" thickBot="1" x14ac:dyDescent="0.4">
      <c r="A9" s="67"/>
      <c r="B9" s="68"/>
      <c r="C9" s="68"/>
      <c r="D9" s="69"/>
      <c r="E9" s="69"/>
      <c r="F9" s="69"/>
      <c r="G9" s="69"/>
      <c r="H9" s="69"/>
      <c r="I9" s="69"/>
      <c r="J9" s="132"/>
      <c r="K9" s="70"/>
    </row>
    <row r="10" spans="1:13" ht="15" thickBot="1" x14ac:dyDescent="0.4">
      <c r="A10" s="165" t="s">
        <v>78</v>
      </c>
      <c r="B10" s="160" t="s">
        <v>79</v>
      </c>
      <c r="C10" s="160" t="s">
        <v>80</v>
      </c>
      <c r="D10" s="160"/>
      <c r="E10" s="160"/>
      <c r="F10" s="160"/>
      <c r="G10" s="160"/>
      <c r="H10" s="160" t="s">
        <v>81</v>
      </c>
      <c r="I10" s="160" t="s">
        <v>82</v>
      </c>
      <c r="J10" s="161" t="s">
        <v>83</v>
      </c>
      <c r="K10" s="166" t="s">
        <v>84</v>
      </c>
    </row>
    <row r="11" spans="1:13" ht="39.75" customHeight="1" thickBot="1" x14ac:dyDescent="0.4">
      <c r="A11" s="165"/>
      <c r="B11" s="160"/>
      <c r="C11" s="160"/>
      <c r="D11" s="160"/>
      <c r="E11" s="160"/>
      <c r="F11" s="160"/>
      <c r="G11" s="160"/>
      <c r="H11" s="160"/>
      <c r="I11" s="160"/>
      <c r="J11" s="161"/>
      <c r="K11" s="166"/>
    </row>
    <row r="12" spans="1:13" s="114" customFormat="1" ht="15.5" x14ac:dyDescent="0.35">
      <c r="A12" s="136">
        <v>1</v>
      </c>
      <c r="B12" s="137" t="str">
        <f>'SAF 011'!B10</f>
        <v>2.1.1-2456.8</v>
      </c>
      <c r="C12" s="156" t="str">
        <f>'SAF 011'!E10</f>
        <v>RACIONAMIENTO; DESCRIPCION: ALMUERZO</v>
      </c>
      <c r="D12" s="156"/>
      <c r="E12" s="156"/>
      <c r="F12" s="156"/>
      <c r="G12" s="156"/>
      <c r="H12" s="247" t="s">
        <v>137</v>
      </c>
      <c r="I12" s="138" t="str">
        <f>'SAF 011'!F10</f>
        <v>RACION</v>
      </c>
      <c r="J12" s="139">
        <f>'SAF 011'!AX10</f>
        <v>320</v>
      </c>
      <c r="K12" s="140">
        <f>'SAF 011'!W10</f>
        <v>2700</v>
      </c>
      <c r="M12" s="135">
        <f>+J12*K12</f>
        <v>864000</v>
      </c>
    </row>
    <row r="13" spans="1:13" s="114" customFormat="1" ht="15.75" customHeight="1" x14ac:dyDescent="0.35">
      <c r="A13" s="141">
        <v>2</v>
      </c>
      <c r="B13" s="142" t="str">
        <f>'SAF 011'!B11</f>
        <v>2.1.1-2456.10</v>
      </c>
      <c r="C13" s="157" t="str">
        <f>'SAF 011'!E11</f>
        <v>RACIONAMIENTO; DESCRIPCION: CENA</v>
      </c>
      <c r="D13" s="158"/>
      <c r="E13" s="158"/>
      <c r="F13" s="158"/>
      <c r="G13" s="159"/>
      <c r="H13" s="248" t="s">
        <v>137</v>
      </c>
      <c r="I13" s="14" t="str">
        <f>'SAF 011'!F11</f>
        <v>RACION</v>
      </c>
      <c r="J13" s="143">
        <f>'SAF 011'!AX11</f>
        <v>320</v>
      </c>
      <c r="K13" s="144">
        <f>'SAF 011'!W11</f>
        <v>2700</v>
      </c>
      <c r="M13" s="135">
        <f>+J13*K13</f>
        <v>864000</v>
      </c>
    </row>
    <row r="14" spans="1:13" ht="16" thickBot="1" x14ac:dyDescent="0.4">
      <c r="A14" s="125"/>
      <c r="B14" s="126"/>
      <c r="C14" s="164"/>
      <c r="D14" s="164"/>
      <c r="E14" s="164"/>
      <c r="F14" s="164"/>
      <c r="G14" s="164"/>
      <c r="H14" s="127"/>
      <c r="I14" s="128"/>
      <c r="J14" s="133"/>
      <c r="K14" s="129"/>
    </row>
    <row r="15" spans="1:13" ht="18" thickBot="1" x14ac:dyDescent="0.4">
      <c r="A15" s="162" t="s">
        <v>118</v>
      </c>
      <c r="B15" s="162"/>
      <c r="C15" s="162"/>
      <c r="D15" s="162"/>
      <c r="E15" s="162"/>
      <c r="F15" s="162"/>
      <c r="G15" s="162"/>
      <c r="H15" s="162"/>
      <c r="I15" s="162"/>
      <c r="J15" s="163">
        <f>+M15</f>
        <v>1728000</v>
      </c>
      <c r="K15" s="163"/>
      <c r="M15" s="135">
        <f>SUM(M12:M14)</f>
        <v>1728000</v>
      </c>
    </row>
  </sheetData>
  <mergeCells count="25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12:G12"/>
    <mergeCell ref="C13:G13"/>
    <mergeCell ref="I10:I11"/>
    <mergeCell ref="J10:J11"/>
    <mergeCell ref="A15:I15"/>
    <mergeCell ref="J15:K15"/>
    <mergeCell ref="C14:G14"/>
    <mergeCell ref="A10:A11"/>
    <mergeCell ref="B10:B11"/>
    <mergeCell ref="C10:G11"/>
    <mergeCell ref="H10:H11"/>
    <mergeCell ref="K10:K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topLeftCell="A13" workbookViewId="0">
      <selection activeCell="H19" sqref="H19"/>
    </sheetView>
  </sheetViews>
  <sheetFormatPr baseColWidth="10" defaultRowHeight="14.5" x14ac:dyDescent="0.35"/>
  <cols>
    <col min="1" max="5" width="4.453125" customWidth="1"/>
    <col min="6" max="6" width="6.54296875" customWidth="1"/>
    <col min="7" max="14" width="4.453125" customWidth="1"/>
    <col min="15" max="16" width="14.81640625" customWidth="1"/>
    <col min="17" max="17" width="14.7265625" customWidth="1"/>
  </cols>
  <sheetData>
    <row r="1" spans="1:17" ht="15" thickBot="1" x14ac:dyDescent="0.4">
      <c r="A1" s="189" t="s">
        <v>5</v>
      </c>
      <c r="B1" s="189"/>
      <c r="C1" s="189"/>
      <c r="D1" s="190">
        <v>2022</v>
      </c>
      <c r="E1" s="190"/>
      <c r="F1" s="71"/>
      <c r="G1" s="71"/>
      <c r="H1" s="72"/>
      <c r="I1" s="72"/>
      <c r="J1" s="72"/>
      <c r="K1" s="72"/>
      <c r="L1" s="72"/>
      <c r="M1" s="72"/>
      <c r="N1" s="72"/>
      <c r="O1" s="73"/>
      <c r="P1" s="191" t="s">
        <v>85</v>
      </c>
      <c r="Q1" s="191"/>
    </row>
    <row r="2" spans="1:17" ht="15" thickBot="1" x14ac:dyDescent="0.4">
      <c r="A2" s="74"/>
      <c r="B2" s="75"/>
      <c r="C2" s="75"/>
      <c r="D2" s="75"/>
      <c r="E2" s="75"/>
      <c r="F2" s="75"/>
      <c r="G2" s="76"/>
      <c r="H2" s="77"/>
      <c r="I2" s="77"/>
      <c r="J2" s="77"/>
      <c r="K2" s="77"/>
      <c r="L2" s="77"/>
      <c r="M2" s="77"/>
      <c r="N2" s="77"/>
      <c r="O2" s="75"/>
      <c r="P2" s="191"/>
      <c r="Q2" s="191"/>
    </row>
    <row r="3" spans="1:17" ht="15" thickBot="1" x14ac:dyDescent="0.4">
      <c r="A3" s="74"/>
      <c r="B3" s="75"/>
      <c r="C3" s="75"/>
      <c r="D3" s="75"/>
      <c r="E3" s="75"/>
      <c r="F3" s="75"/>
      <c r="G3" s="76"/>
      <c r="H3" s="75"/>
      <c r="I3" s="75"/>
      <c r="J3" s="75"/>
      <c r="K3" s="75"/>
      <c r="L3" s="75"/>
      <c r="M3" s="75"/>
      <c r="N3" s="75"/>
      <c r="O3" s="75"/>
      <c r="P3" s="75"/>
      <c r="Q3" s="78"/>
    </row>
    <row r="4" spans="1:17" ht="15" thickBot="1" x14ac:dyDescent="0.4">
      <c r="A4" s="192" t="s">
        <v>86</v>
      </c>
      <c r="B4" s="192"/>
      <c r="C4" s="192"/>
      <c r="D4" s="192"/>
      <c r="E4" s="192"/>
      <c r="F4" s="192"/>
      <c r="G4" s="193" t="str">
        <f>NP!D3</f>
        <v>040 - MINISTERIO DE SALUD</v>
      </c>
      <c r="H4" s="193"/>
      <c r="I4" s="193"/>
      <c r="J4" s="193"/>
      <c r="K4" s="193"/>
      <c r="L4" s="193"/>
      <c r="M4" s="193"/>
      <c r="N4" s="193"/>
      <c r="O4" s="193"/>
      <c r="P4" s="193"/>
      <c r="Q4" s="193"/>
    </row>
    <row r="5" spans="1:17" ht="15" thickBot="1" x14ac:dyDescent="0.4">
      <c r="A5" s="194" t="s">
        <v>73</v>
      </c>
      <c r="B5" s="194"/>
      <c r="C5" s="194"/>
      <c r="D5" s="194"/>
      <c r="E5" s="194"/>
      <c r="F5" s="194"/>
      <c r="G5" s="193" t="str">
        <f>NP!D4</f>
        <v>011 - DIRECCION PROVINCIAL DE ADMINISTRACION - MINISTERIO DE SALUD</v>
      </c>
      <c r="H5" s="193"/>
      <c r="I5" s="193"/>
      <c r="J5" s="193"/>
      <c r="K5" s="193"/>
      <c r="L5" s="193"/>
      <c r="M5" s="193"/>
      <c r="N5" s="193"/>
      <c r="O5" s="193"/>
      <c r="P5" s="193"/>
      <c r="Q5" s="193"/>
    </row>
    <row r="6" spans="1:17" ht="15" thickBot="1" x14ac:dyDescent="0.4">
      <c r="A6" s="194" t="s">
        <v>74</v>
      </c>
      <c r="B6" s="194"/>
      <c r="C6" s="194"/>
      <c r="D6" s="194"/>
      <c r="E6" s="194"/>
      <c r="F6" s="194"/>
      <c r="G6" s="193" t="str">
        <f>NP!D5</f>
        <v>DIRECCION PROVINCIAL SISTEMA DE ATENCION MEDICA DE EMERGENCIA</v>
      </c>
      <c r="H6" s="193"/>
      <c r="I6" s="193"/>
      <c r="J6" s="193"/>
      <c r="K6" s="193"/>
      <c r="L6" s="193"/>
      <c r="M6" s="193"/>
      <c r="N6" s="193"/>
      <c r="O6" s="193"/>
      <c r="P6" s="193"/>
      <c r="Q6" s="193"/>
    </row>
    <row r="7" spans="1:17" ht="15" thickBot="1" x14ac:dyDescent="0.4">
      <c r="A7" s="194" t="s">
        <v>75</v>
      </c>
      <c r="B7" s="194"/>
      <c r="C7" s="194"/>
      <c r="D7" s="194"/>
      <c r="E7" s="194"/>
      <c r="F7" s="194"/>
      <c r="G7" s="193" t="str">
        <f>NP!D6</f>
        <v>DIRECCION PROVINCIAL SISTEMA DE ATENCION MEDICA DE EMERGENCIA</v>
      </c>
      <c r="H7" s="193"/>
      <c r="I7" s="193"/>
      <c r="J7" s="193"/>
      <c r="K7" s="193"/>
      <c r="L7" s="193"/>
      <c r="M7" s="193"/>
      <c r="N7" s="193"/>
      <c r="O7" s="193"/>
      <c r="P7" s="193"/>
      <c r="Q7" s="193"/>
    </row>
    <row r="8" spans="1:17" ht="15" thickBot="1" x14ac:dyDescent="0.4">
      <c r="A8" s="195" t="s">
        <v>87</v>
      </c>
      <c r="B8" s="195"/>
      <c r="C8" s="19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</row>
    <row r="9" spans="1:17" ht="20.25" customHeight="1" x14ac:dyDescent="0.35">
      <c r="A9" s="188" t="s">
        <v>88</v>
      </c>
      <c r="B9" s="188"/>
      <c r="C9" s="188"/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8"/>
      <c r="Q9" s="188"/>
    </row>
    <row r="10" spans="1:17" ht="69" customHeight="1" x14ac:dyDescent="0.35">
      <c r="A10" s="181" t="s">
        <v>123</v>
      </c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</row>
    <row r="11" spans="1:17" ht="15" thickBot="1" x14ac:dyDescent="0.4">
      <c r="A11" s="79"/>
      <c r="B11" s="80"/>
      <c r="C11" s="80"/>
      <c r="D11" s="80"/>
      <c r="E11" s="80"/>
      <c r="F11" s="80"/>
      <c r="G11" s="81"/>
      <c r="H11" s="80"/>
      <c r="I11" s="80"/>
      <c r="J11" s="80"/>
      <c r="K11" s="80"/>
      <c r="L11" s="80"/>
      <c r="M11" s="80"/>
      <c r="N11" s="80"/>
      <c r="O11" s="80"/>
      <c r="P11" s="80"/>
      <c r="Q11" s="82"/>
    </row>
    <row r="12" spans="1:17" ht="15" thickBot="1" x14ac:dyDescent="0.4">
      <c r="A12" s="182" t="s">
        <v>89</v>
      </c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</row>
    <row r="13" spans="1:17" ht="15" thickBot="1" x14ac:dyDescent="0.4">
      <c r="A13" s="183" t="s">
        <v>90</v>
      </c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4" t="s">
        <v>91</v>
      </c>
      <c r="P13" s="184"/>
      <c r="Q13" s="185" t="s">
        <v>92</v>
      </c>
    </row>
    <row r="14" spans="1:17" ht="15" thickBot="1" x14ac:dyDescent="0.4">
      <c r="A14" s="83" t="s">
        <v>93</v>
      </c>
      <c r="B14" s="84" t="s">
        <v>94</v>
      </c>
      <c r="C14" s="84" t="s">
        <v>95</v>
      </c>
      <c r="D14" s="84" t="s">
        <v>96</v>
      </c>
      <c r="E14" s="84" t="s">
        <v>97</v>
      </c>
      <c r="F14" s="84" t="s">
        <v>98</v>
      </c>
      <c r="G14" s="85" t="s">
        <v>99</v>
      </c>
      <c r="H14" s="84" t="s">
        <v>100</v>
      </c>
      <c r="I14" s="84" t="s">
        <v>101</v>
      </c>
      <c r="J14" s="84" t="s">
        <v>102</v>
      </c>
      <c r="K14" s="84" t="s">
        <v>102</v>
      </c>
      <c r="L14" s="84" t="s">
        <v>103</v>
      </c>
      <c r="M14" s="86" t="s">
        <v>104</v>
      </c>
      <c r="N14" s="87" t="s">
        <v>105</v>
      </c>
      <c r="O14" s="184"/>
      <c r="P14" s="184"/>
      <c r="Q14" s="185"/>
    </row>
    <row r="15" spans="1:17" x14ac:dyDescent="0.35">
      <c r="A15" s="88">
        <v>31</v>
      </c>
      <c r="B15" s="89"/>
      <c r="C15" s="89"/>
      <c r="D15" s="89">
        <v>1</v>
      </c>
      <c r="E15" s="89"/>
      <c r="F15" s="89">
        <v>4901</v>
      </c>
      <c r="G15" s="89">
        <v>3</v>
      </c>
      <c r="H15" s="89">
        <v>1</v>
      </c>
      <c r="I15" s="89">
        <v>2</v>
      </c>
      <c r="J15" s="89">
        <v>1</v>
      </c>
      <c r="K15" s="89">
        <v>1</v>
      </c>
      <c r="L15" s="89"/>
      <c r="M15" s="90">
        <v>1</v>
      </c>
      <c r="N15" s="89" t="s">
        <v>119</v>
      </c>
      <c r="O15" s="186" t="s">
        <v>120</v>
      </c>
      <c r="P15" s="186"/>
      <c r="Q15" s="91">
        <f>NP!M15</f>
        <v>1728000</v>
      </c>
    </row>
    <row r="16" spans="1:17" x14ac:dyDescent="0.35">
      <c r="A16" s="92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4"/>
      <c r="N16" s="95"/>
      <c r="O16" s="176"/>
      <c r="P16" s="176"/>
      <c r="Q16" s="96"/>
    </row>
    <row r="17" spans="1:17" x14ac:dyDescent="0.35">
      <c r="A17" s="92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4"/>
      <c r="N17" s="95"/>
      <c r="O17" s="187"/>
      <c r="P17" s="187"/>
      <c r="Q17" s="96"/>
    </row>
    <row r="18" spans="1:17" x14ac:dyDescent="0.35">
      <c r="A18" s="92"/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4"/>
      <c r="N18" s="95"/>
      <c r="O18" s="176"/>
      <c r="P18" s="176"/>
      <c r="Q18" s="96"/>
    </row>
    <row r="19" spans="1:17" x14ac:dyDescent="0.35">
      <c r="A19" s="92"/>
      <c r="B19" s="93"/>
      <c r="C19" s="93"/>
      <c r="D19" s="93"/>
      <c r="E19" s="93"/>
      <c r="F19" s="95"/>
      <c r="G19" s="93"/>
      <c r="H19" s="93"/>
      <c r="I19" s="93"/>
      <c r="J19" s="93"/>
      <c r="K19" s="93"/>
      <c r="L19" s="93"/>
      <c r="M19" s="94"/>
      <c r="N19" s="95"/>
      <c r="O19" s="176"/>
      <c r="P19" s="176"/>
      <c r="Q19" s="96"/>
    </row>
    <row r="20" spans="1:17" x14ac:dyDescent="0.35">
      <c r="A20" s="92"/>
      <c r="B20" s="93"/>
      <c r="C20" s="93"/>
      <c r="D20" s="93"/>
      <c r="E20" s="93"/>
      <c r="F20" s="95"/>
      <c r="G20" s="93"/>
      <c r="H20" s="93"/>
      <c r="I20" s="93"/>
      <c r="J20" s="93"/>
      <c r="K20" s="93"/>
      <c r="L20" s="93"/>
      <c r="M20" s="94"/>
      <c r="N20" s="95"/>
      <c r="O20" s="176"/>
      <c r="P20" s="176"/>
      <c r="Q20" s="96"/>
    </row>
    <row r="21" spans="1:17" x14ac:dyDescent="0.35">
      <c r="A21" s="97"/>
      <c r="B21" s="98"/>
      <c r="C21" s="98"/>
      <c r="D21" s="98"/>
      <c r="E21" s="98"/>
      <c r="F21" s="99"/>
      <c r="G21" s="98"/>
      <c r="H21" s="98"/>
      <c r="I21" s="98"/>
      <c r="J21" s="98"/>
      <c r="K21" s="98"/>
      <c r="L21" s="98"/>
      <c r="M21" s="100"/>
      <c r="N21" s="101"/>
      <c r="O21" s="177"/>
      <c r="P21" s="177"/>
      <c r="Q21" s="96"/>
    </row>
    <row r="22" spans="1:17" ht="15" thickBot="1" x14ac:dyDescent="0.4">
      <c r="A22" s="102"/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4"/>
      <c r="N22" s="103"/>
      <c r="O22" s="178"/>
      <c r="P22" s="178"/>
      <c r="Q22" s="105"/>
    </row>
    <row r="23" spans="1:17" ht="15" thickBot="1" x14ac:dyDescent="0.4">
      <c r="A23" s="179" t="s">
        <v>121</v>
      </c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06">
        <f>SUM(Q15:Q22)</f>
        <v>1728000</v>
      </c>
    </row>
    <row r="24" spans="1:17" ht="15" thickBot="1" x14ac:dyDescent="0.4">
      <c r="A24" s="180"/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</row>
    <row r="25" spans="1:17" ht="15" thickBot="1" x14ac:dyDescent="0.4">
      <c r="A25" s="173" t="s">
        <v>106</v>
      </c>
      <c r="B25" s="173"/>
      <c r="C25" s="173"/>
      <c r="D25" s="173"/>
      <c r="E25" s="173"/>
      <c r="F25" s="173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</row>
    <row r="26" spans="1:17" ht="15" thickBot="1" x14ac:dyDescent="0.4">
      <c r="A26" s="175" t="str">
        <f>NP!D8</f>
        <v>ADQUISICION DEL RUBRO ALIMENTOS PARA PERSONAS (RACIONES DE ALMUERZO Y CENA - SAME)</v>
      </c>
      <c r="B26" s="175"/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</row>
    <row r="27" spans="1:17" ht="15" thickBot="1" x14ac:dyDescent="0.4">
      <c r="A27" s="175"/>
      <c r="B27" s="175"/>
      <c r="C27" s="175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5"/>
    </row>
  </sheetData>
  <mergeCells count="31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A25:F25"/>
    <mergeCell ref="G25:Q25"/>
    <mergeCell ref="A26:Q27"/>
    <mergeCell ref="O19:P19"/>
    <mergeCell ref="O20:P20"/>
    <mergeCell ref="O21:P21"/>
    <mergeCell ref="O22:P22"/>
    <mergeCell ref="A23:P23"/>
    <mergeCell ref="A24:Q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SAF 011</vt:lpstr>
      <vt:lpstr>ANEXO I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Cesar</cp:lastModifiedBy>
  <dcterms:created xsi:type="dcterms:W3CDTF">2021-11-12T17:27:33Z</dcterms:created>
  <dcterms:modified xsi:type="dcterms:W3CDTF">2022-01-11T16:56:53Z</dcterms:modified>
</cp:coreProperties>
</file>