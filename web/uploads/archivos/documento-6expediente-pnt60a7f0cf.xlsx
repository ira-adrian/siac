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DA#PC" sheetId="2" r:id="rId5"/>
    <sheet name="APG DA#PC" sheetId="3" r:id="rId6"/>
  </sheets>
  <definedNames>
    <definedName name="_xlnm.Print_Area" localSheetId="1">'Nota Pedido DA#PC'!$A$1:$G$45</definedName>
    <definedName name="_xlnm.Print_Area" localSheetId="2">'APG DA#PC'!$A$1:$Q$24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<sst xmlns="http://schemas.openxmlformats.org/spreadsheetml/2006/main" uniqueCount="123">
  <si>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</si>
  <si>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</si>
  <si>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</si>
  <si>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</si>
  <si>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</si>
  <si>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</si>
  <si>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</si>
  <si>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3°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</si>
  <si>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</si>
  <si>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</si>
  <si>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</si>
  <si>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</si>
  <si>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</si>
  <si>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</si>
  <si>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</si>
  <si>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</si>
  <si>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</si>
  <si>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</si>
  <si>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2.4.4-6818.397</t>
  </si>
  <si>
    <t>REPUESTOS</t>
  </si>
  <si>
    <t>2.4.4</t>
  </si>
  <si>
    <t>NEUMATICOS; VEHICULO: MOTO, CONSTRUCCION: RADIAL, ARMADO: S/CAMARA, MEDIDA: 120/80-18</t>
  </si>
  <si>
    <t>UNIDAD</t>
  </si>
  <si>
    <t>2.4.4-6818.341</t>
  </si>
  <si>
    <t>NEUMATICOS; VEHICULO: MOTO, CONSTRUCCION: RADIAL, ARMADO: S/CAMARA, MEDIDA: SIN VALOR</t>
  </si>
  <si>
    <t>2.4.4-6818.510</t>
  </si>
  <si>
    <t>NEUMATICOS; VEHICULO: MOTO, CONSTRUCCION: RADIAL, ARMADO: S/CAMARA, MEDIDA: 160/60R17</t>
  </si>
  <si>
    <t>2.4.4-6818.1028</t>
  </si>
  <si>
    <t>NEUMATICOS; VEHICULO: MOTO, CONSTRUCCION: RADIAL, ARMADO: S/CAMARA, MEDIDA: 110/90-17</t>
  </si>
  <si>
    <t>2.4.4-6818.148</t>
  </si>
  <si>
    <t>NEUMATICOS; VEHICULO: MOTO, CONSTRUCCION: RADIAL, ARMADO: SIN VALOR, MEDIDA: 120/90R18</t>
  </si>
  <si>
    <t>2.4.4-6818.1027</t>
  </si>
  <si>
    <t>NEUMATICOS; VEHICULO: MOTO, CONSTRUCCION: RADIAL, ARMADO: S/CAMARA, MEDIDA: 90/90-19</t>
  </si>
  <si>
    <t>2.4.4-6818.1034</t>
  </si>
  <si>
    <t>NEUMATICOS; VEHICULO: MOTO, CONSTRUCCION: RADIAL, ARMADO: S/CAMARA, MEDIDA: 100/80-17</t>
  </si>
  <si>
    <t>2.4.4-6818.395</t>
  </si>
  <si>
    <t>NEUMATICOS; VEHICULO: MOTO, CONSTRUCCION: RADIAL, ARMADO: S/CAMARA, MEDIDA: 130/80-17</t>
  </si>
  <si>
    <t>2.4.4-6818.683</t>
  </si>
  <si>
    <t>NEUMATICOS; VEHICULO: MOTO, CONSTRUCCION: RADIAL, ARMADO: S/CAMARA, MEDIDA: 120/70R17</t>
  </si>
  <si>
    <t>2.4.4-6818.203</t>
  </si>
  <si>
    <t>NEUMATICOS; VEHICULO: CUATRICICLO, CONSTRUCCION: RADIAL, ARMADO: S/CAMARA, MEDIDA: 25 X 10-12</t>
  </si>
  <si>
    <t>2.4.4-6818.97</t>
  </si>
  <si>
    <t>NEUMATICOS; VEHICULO: AUTOMOVIL, ARMADO: S/CAMARA, MEDIDA: 175/70R14, CONSTRUCCION: RADIAL</t>
  </si>
  <si>
    <t>2.4.4-6818.89</t>
  </si>
  <si>
    <t>NEUMATICOS; VEHICULO: AUTOMOVIL, CONSTRUCCION: CONVENCIONAL, ARMADO: C/CAMARA, MEDIDA: 185/60R14</t>
  </si>
  <si>
    <t>2.4.4-6818.244</t>
  </si>
  <si>
    <t>NEUMATICOS; VEHICULO: AUTOMOVIL, CONSTRUCCION: RADIAL, ARMADO: S/CAMARA, MEDIDA: 205/55R16</t>
  </si>
  <si>
    <t>2.4.4-6818.1033</t>
  </si>
  <si>
    <t>NEUMATICOS; VEHICULO: CAMION, CONSTRUCCION: RADIAL, ARMADO: S/CAMARA, MEDIDA: 235/75R17.5</t>
  </si>
  <si>
    <t>2.4.4-6818.744</t>
  </si>
  <si>
    <t>NEUMATICOS; VEHICULO: CAMIONETA, CONSTRUCCION: RADIAL, ARMADO: S/CAMARA, MEDIDA: 235/70R16</t>
  </si>
  <si>
    <t>2.4.4-6818.810</t>
  </si>
  <si>
    <t>NEUMATICOS; VEHICULO: MINIBUS, CONSTRUCCION: RADIAL, ARMADO: S/CAMARA, MEDIDA: 225/75R16</t>
  </si>
  <si>
    <t>2.4.4-6818.891</t>
  </si>
  <si>
    <t>NEUMATICOS; VEHICULO: MINIBUS, CONSTRUCCION: RADIAL, ARMADO: SIN CAMARA, MEDIDA: 195/75R16</t>
  </si>
  <si>
    <t>2.4.4-6818.989</t>
  </si>
  <si>
    <t>NEUMATICOS; VEHICULO: CAMIONETA, CONSTRUCCION: RADIAL, ARMADO: S/CAMARA, MEDIDA: 225/70 R17</t>
  </si>
  <si>
    <t>2.4.4-6818.530</t>
  </si>
  <si>
    <t>NEUMATICOS; VEHICULO: CAMIONETA, CONSTRUCCION: RADIAL, ARMADO: S/CAMARA, MEDIDA: 245/70R16</t>
  </si>
  <si>
    <t>2.4.4-6818.631</t>
  </si>
  <si>
    <t>NEUMATICOS; VEHICULO: MOTO, CONSTRUCCION: RADIAL, ARMADO: C/CAMARA, MEDIDA: 90/90-21</t>
  </si>
  <si>
    <t>2.4.4-6818.1032</t>
  </si>
  <si>
    <t>NEUMATICOS; VEHICULO: CAMION, CONSTRUCCION: RADIAL, ARMADO: S/CAMARA, MEDIDA: SEGUN PLIEGO</t>
  </si>
  <si>
    <t>2.4.4-6818.412</t>
  </si>
  <si>
    <t>NEUMATICOS; VEHICULO: CAMION, CONSTRUCCION: RADIAL, ARMADO: S/CAMARA, MEDIDA: 275/80R22.5</t>
  </si>
  <si>
    <t>VEINTIUNO MILLONES NOVECIENTOS NOVENTA Y SIETE MIL CIENTO TREINTA CON 00/100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</si>
  <si>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</si>
  <si>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</si>
  <si>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</si>
  <si>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</si>
  <si>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</si>
  <si>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</si>
  <si>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</si>
  <si>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</si>
  <si>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</si>
  <si>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</si>
  <si>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</si>
  <si>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471 / 2022</t>
  </si>
  <si>
    <t xml:space="preserve">JURISDICCIÓN: </t>
  </si>
  <si>
    <t>SAF:</t>
  </si>
  <si>
    <t>UNIDAD EJECUTORA:</t>
  </si>
  <si>
    <t>SAF 7 - POLICIA DE LA PROVINCIA DE CATAMARCA</t>
  </si>
  <si>
    <t xml:space="preserve">DEPENDENCIA SOLICITANTE: </t>
  </si>
  <si>
    <t>PERIODO UTILIZACIÓN:</t>
  </si>
  <si>
    <t>3° TRIMESTRE - 2022</t>
  </si>
  <si>
    <t>OBJETO:</t>
  </si>
  <si>
    <t>244 - CUBIERTAS Y CÁMARAS DE AIRE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</si>
  <si>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</si>
  <si>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</si>
  <si>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</si>
  <si>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</si>
  <si>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</si>
  <si>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</si>
  <si>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</si>
  <si>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</si>
  <si>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 xml:space="preserve">Costo total estimado: </t>
  </si>
  <si>
    <t>DETALLE TECNICO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</si>
  <si>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</si>
  <si>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</si>
  <si>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</si>
  <si>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</si>
  <si>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471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</si>
  <si>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</si>
  <si>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</si>
  <si>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</si>
  <si>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</si>
  <si>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</si>
  <si>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</si>
  <si>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</si>
  <si>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</si>
  <si>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</si>
  <si>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</si>
  <si>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</si>
  <si>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</si>
  <si>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</si>
  <si>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</si>
  <si>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</si>
  <si>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</si>
  <si>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</si>
  <si>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CUBIERTAS Y CÁMARAS DE AIRE</t>
  </si>
  <si>
    <t xml:space="preserve">TOTAL DE PESOS: </t>
  </si>
  <si>
    <t>JUSTIFICACIÓN:</t>
  </si>
  <si>
    <t>OBSERVACIONES: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</si>
</sst>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4"/>
  <sheetViews>
    <sheetView tabSelected="1" workbookViewId="0" showGridLines="true" showRowColHeaders="1">
      <selection activeCell="I34" sqref="I34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37</v>
      </c>
      <c r="H10" s="82">
        <v>15990.0</v>
      </c>
      <c r="I10" s="82">
        <v>591630.0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20</v>
      </c>
      <c r="E11" s="80" t="s">
        <v>24</v>
      </c>
      <c r="F11" s="81" t="s">
        <v>22</v>
      </c>
      <c r="G11" s="81">
        <v>2</v>
      </c>
      <c r="H11" s="82">
        <v>16000.0</v>
      </c>
      <c r="I11" s="82">
        <v>32000.0</v>
      </c>
      <c r="J11" s="80"/>
    </row>
    <row r="12" spans="1:10" customHeight="1" ht="20.25">
      <c r="A12" s="79">
        <v>3</v>
      </c>
      <c r="B12" s="80" t="s">
        <v>25</v>
      </c>
      <c r="C12" s="80" t="s">
        <v>19</v>
      </c>
      <c r="D12" s="79" t="s">
        <v>20</v>
      </c>
      <c r="E12" s="80" t="s">
        <v>26</v>
      </c>
      <c r="F12" s="81" t="s">
        <v>22</v>
      </c>
      <c r="G12" s="81">
        <v>3</v>
      </c>
      <c r="H12" s="82">
        <v>16000.0</v>
      </c>
      <c r="I12" s="82">
        <v>48000.0</v>
      </c>
      <c r="J12" s="80"/>
    </row>
    <row r="13" spans="1:10" customHeight="1" ht="20.25">
      <c r="A13" s="79">
        <v>4</v>
      </c>
      <c r="B13" s="80" t="s">
        <v>27</v>
      </c>
      <c r="C13" s="80" t="s">
        <v>19</v>
      </c>
      <c r="D13" s="79" t="s">
        <v>20</v>
      </c>
      <c r="E13" s="80" t="s">
        <v>28</v>
      </c>
      <c r="F13" s="81" t="s">
        <v>22</v>
      </c>
      <c r="G13" s="81">
        <v>20</v>
      </c>
      <c r="H13" s="82">
        <v>16410.0</v>
      </c>
      <c r="I13" s="82">
        <v>328200.0</v>
      </c>
      <c r="J13" s="80"/>
    </row>
    <row r="14" spans="1:10" customHeight="1" ht="20.25">
      <c r="A14" s="79">
        <v>5</v>
      </c>
      <c r="B14" s="80" t="s">
        <v>29</v>
      </c>
      <c r="C14" s="80" t="s">
        <v>19</v>
      </c>
      <c r="D14" s="79" t="s">
        <v>20</v>
      </c>
      <c r="E14" s="80" t="s">
        <v>30</v>
      </c>
      <c r="F14" s="81" t="s">
        <v>22</v>
      </c>
      <c r="G14" s="81">
        <v>20</v>
      </c>
      <c r="H14" s="82">
        <v>17390.0</v>
      </c>
      <c r="I14" s="82">
        <v>347800.0</v>
      </c>
      <c r="J14" s="80"/>
    </row>
    <row r="15" spans="1:10" customHeight="1" ht="20.25">
      <c r="A15" s="79">
        <v>6</v>
      </c>
      <c r="B15" s="80" t="s">
        <v>31</v>
      </c>
      <c r="C15" s="80" t="s">
        <v>19</v>
      </c>
      <c r="D15" s="79" t="s">
        <v>20</v>
      </c>
      <c r="E15" s="80" t="s">
        <v>32</v>
      </c>
      <c r="F15" s="81" t="s">
        <v>22</v>
      </c>
      <c r="G15" s="81">
        <v>20</v>
      </c>
      <c r="H15" s="82">
        <v>19000.0</v>
      </c>
      <c r="I15" s="82">
        <v>380000.0</v>
      </c>
      <c r="J15" s="80"/>
    </row>
    <row r="16" spans="1:10" customHeight="1" ht="20.25">
      <c r="A16" s="79">
        <v>7</v>
      </c>
      <c r="B16" s="80" t="s">
        <v>33</v>
      </c>
      <c r="C16" s="80" t="s">
        <v>19</v>
      </c>
      <c r="D16" s="79" t="s">
        <v>20</v>
      </c>
      <c r="E16" s="80" t="s">
        <v>34</v>
      </c>
      <c r="F16" s="81" t="s">
        <v>22</v>
      </c>
      <c r="G16" s="81">
        <v>3</v>
      </c>
      <c r="H16" s="82">
        <v>19000.0</v>
      </c>
      <c r="I16" s="82">
        <v>57000.0</v>
      </c>
      <c r="J16" s="80"/>
    </row>
    <row r="17" spans="1:10" customHeight="1" ht="20.25">
      <c r="A17" s="79">
        <v>8</v>
      </c>
      <c r="B17" s="80" t="s">
        <v>35</v>
      </c>
      <c r="C17" s="80" t="s">
        <v>19</v>
      </c>
      <c r="D17" s="79" t="s">
        <v>20</v>
      </c>
      <c r="E17" s="80" t="s">
        <v>36</v>
      </c>
      <c r="F17" s="81" t="s">
        <v>22</v>
      </c>
      <c r="G17" s="81">
        <v>2</v>
      </c>
      <c r="H17" s="82">
        <v>20150.0</v>
      </c>
      <c r="I17" s="82">
        <v>40300.0</v>
      </c>
      <c r="J17" s="80"/>
    </row>
    <row r="18" spans="1:10" customHeight="1" ht="20.25">
      <c r="A18" s="79">
        <v>9</v>
      </c>
      <c r="B18" s="80" t="s">
        <v>37</v>
      </c>
      <c r="C18" s="80" t="s">
        <v>19</v>
      </c>
      <c r="D18" s="79" t="s">
        <v>20</v>
      </c>
      <c r="E18" s="80" t="s">
        <v>38</v>
      </c>
      <c r="F18" s="81" t="s">
        <v>22</v>
      </c>
      <c r="G18" s="81">
        <v>3</v>
      </c>
      <c r="H18" s="82">
        <v>22000.0</v>
      </c>
      <c r="I18" s="82">
        <v>66000.0</v>
      </c>
      <c r="J18" s="80"/>
    </row>
    <row r="19" spans="1:10" customHeight="1" ht="20.25">
      <c r="A19" s="79">
        <v>10</v>
      </c>
      <c r="B19" s="80" t="s">
        <v>39</v>
      </c>
      <c r="C19" s="80" t="s">
        <v>19</v>
      </c>
      <c r="D19" s="79" t="s">
        <v>20</v>
      </c>
      <c r="E19" s="80" t="s">
        <v>40</v>
      </c>
      <c r="F19" s="81" t="s">
        <v>22</v>
      </c>
      <c r="G19" s="81">
        <v>2</v>
      </c>
      <c r="H19" s="82">
        <v>38000.0</v>
      </c>
      <c r="I19" s="82">
        <v>76000.0</v>
      </c>
      <c r="J19" s="80"/>
    </row>
    <row r="20" spans="1:10" customHeight="1" ht="20.25">
      <c r="A20" s="79">
        <v>11</v>
      </c>
      <c r="B20" s="80" t="s">
        <v>41</v>
      </c>
      <c r="C20" s="80" t="s">
        <v>19</v>
      </c>
      <c r="D20" s="79" t="s">
        <v>20</v>
      </c>
      <c r="E20" s="80" t="s">
        <v>42</v>
      </c>
      <c r="F20" s="81" t="s">
        <v>22</v>
      </c>
      <c r="G20" s="81">
        <v>8</v>
      </c>
      <c r="H20" s="82">
        <v>44200.0</v>
      </c>
      <c r="I20" s="82">
        <v>353600.0</v>
      </c>
      <c r="J20" s="80"/>
    </row>
    <row r="21" spans="1:10" customHeight="1" ht="20.25">
      <c r="A21" s="79">
        <v>12</v>
      </c>
      <c r="B21" s="80" t="s">
        <v>43</v>
      </c>
      <c r="C21" s="80" t="s">
        <v>19</v>
      </c>
      <c r="D21" s="79" t="s">
        <v>20</v>
      </c>
      <c r="E21" s="80" t="s">
        <v>44</v>
      </c>
      <c r="F21" s="81" t="s">
        <v>22</v>
      </c>
      <c r="G21" s="81">
        <v>2</v>
      </c>
      <c r="H21" s="82">
        <v>47000.0</v>
      </c>
      <c r="I21" s="82">
        <v>94000.0</v>
      </c>
      <c r="J21" s="80"/>
    </row>
    <row r="22" spans="1:10" customHeight="1" ht="20.25">
      <c r="A22" s="79">
        <v>13</v>
      </c>
      <c r="B22" s="80" t="s">
        <v>45</v>
      </c>
      <c r="C22" s="80" t="s">
        <v>19</v>
      </c>
      <c r="D22" s="79" t="s">
        <v>20</v>
      </c>
      <c r="E22" s="80" t="s">
        <v>46</v>
      </c>
      <c r="F22" s="81" t="s">
        <v>22</v>
      </c>
      <c r="G22" s="81">
        <v>2</v>
      </c>
      <c r="H22" s="82">
        <v>59000.0</v>
      </c>
      <c r="I22" s="82">
        <v>118000.0</v>
      </c>
      <c r="J22" s="80"/>
    </row>
    <row r="23" spans="1:10" customHeight="1" ht="20.25">
      <c r="A23" s="79">
        <v>14</v>
      </c>
      <c r="B23" s="80" t="s">
        <v>47</v>
      </c>
      <c r="C23" s="80" t="s">
        <v>19</v>
      </c>
      <c r="D23" s="79" t="s">
        <v>20</v>
      </c>
      <c r="E23" s="80" t="s">
        <v>48</v>
      </c>
      <c r="F23" s="81" t="s">
        <v>22</v>
      </c>
      <c r="G23" s="81">
        <v>2</v>
      </c>
      <c r="H23" s="82">
        <v>62000.0</v>
      </c>
      <c r="I23" s="82">
        <v>124000.0</v>
      </c>
      <c r="J23" s="80"/>
    </row>
    <row r="24" spans="1:10" customHeight="1" ht="20.25">
      <c r="A24" s="79">
        <v>15</v>
      </c>
      <c r="B24" s="80" t="s">
        <v>49</v>
      </c>
      <c r="C24" s="80" t="s">
        <v>19</v>
      </c>
      <c r="D24" s="79" t="s">
        <v>20</v>
      </c>
      <c r="E24" s="80" t="s">
        <v>50</v>
      </c>
      <c r="F24" s="81" t="s">
        <v>22</v>
      </c>
      <c r="G24" s="81">
        <v>128</v>
      </c>
      <c r="H24" s="82">
        <v>70000.0</v>
      </c>
      <c r="I24" s="82">
        <v>8960000.0</v>
      </c>
      <c r="J24" s="80"/>
    </row>
    <row r="25" spans="1:10" customHeight="1" ht="20.25">
      <c r="A25" s="79">
        <v>16</v>
      </c>
      <c r="B25" s="80" t="s">
        <v>51</v>
      </c>
      <c r="C25" s="80" t="s">
        <v>19</v>
      </c>
      <c r="D25" s="79" t="s">
        <v>20</v>
      </c>
      <c r="E25" s="80" t="s">
        <v>52</v>
      </c>
      <c r="F25" s="81" t="s">
        <v>22</v>
      </c>
      <c r="G25" s="81">
        <v>2</v>
      </c>
      <c r="H25" s="82">
        <v>75000.0</v>
      </c>
      <c r="I25" s="82">
        <v>150000.0</v>
      </c>
      <c r="J25" s="80"/>
    </row>
    <row r="26" spans="1:10" customHeight="1" ht="20.25">
      <c r="A26" s="79">
        <v>17</v>
      </c>
      <c r="B26" s="80" t="s">
        <v>53</v>
      </c>
      <c r="C26" s="80" t="s">
        <v>19</v>
      </c>
      <c r="D26" s="79" t="s">
        <v>20</v>
      </c>
      <c r="E26" s="80" t="s">
        <v>54</v>
      </c>
      <c r="F26" s="81" t="s">
        <v>22</v>
      </c>
      <c r="G26" s="81">
        <v>2</v>
      </c>
      <c r="H26" s="82">
        <v>83900.0</v>
      </c>
      <c r="I26" s="82">
        <v>167800.0</v>
      </c>
      <c r="J26" s="80"/>
    </row>
    <row r="27" spans="1:10" customHeight="1" ht="20.25">
      <c r="A27" s="79">
        <v>18</v>
      </c>
      <c r="B27" s="80" t="s">
        <v>55</v>
      </c>
      <c r="C27" s="80" t="s">
        <v>19</v>
      </c>
      <c r="D27" s="79" t="s">
        <v>20</v>
      </c>
      <c r="E27" s="80" t="s">
        <v>56</v>
      </c>
      <c r="F27" s="81" t="s">
        <v>22</v>
      </c>
      <c r="G27" s="81">
        <v>70</v>
      </c>
      <c r="H27" s="82">
        <v>84000.0</v>
      </c>
      <c r="I27" s="82">
        <v>5880000.0</v>
      </c>
      <c r="J27" s="80"/>
    </row>
    <row r="28" spans="1:10" customHeight="1" ht="20.25">
      <c r="A28" s="79">
        <v>19</v>
      </c>
      <c r="B28" s="80" t="s">
        <v>57</v>
      </c>
      <c r="C28" s="80" t="s">
        <v>19</v>
      </c>
      <c r="D28" s="79" t="s">
        <v>20</v>
      </c>
      <c r="E28" s="80" t="s">
        <v>58</v>
      </c>
      <c r="F28" s="81" t="s">
        <v>22</v>
      </c>
      <c r="G28" s="81">
        <v>6</v>
      </c>
      <c r="H28" s="82">
        <v>85100.0</v>
      </c>
      <c r="I28" s="82">
        <v>510600.0</v>
      </c>
      <c r="J28" s="80"/>
    </row>
    <row r="29" spans="1:10" customHeight="1" ht="20.25">
      <c r="A29" s="79">
        <v>20</v>
      </c>
      <c r="B29" s="80" t="s">
        <v>59</v>
      </c>
      <c r="C29" s="80" t="s">
        <v>19</v>
      </c>
      <c r="D29" s="79" t="s">
        <v>20</v>
      </c>
      <c r="E29" s="80" t="s">
        <v>60</v>
      </c>
      <c r="F29" s="81" t="s">
        <v>22</v>
      </c>
      <c r="G29" s="81">
        <v>20</v>
      </c>
      <c r="H29" s="82">
        <v>137000.0</v>
      </c>
      <c r="I29" s="82">
        <v>2740000.0</v>
      </c>
      <c r="J29" s="80"/>
    </row>
    <row r="30" spans="1:10" customHeight="1" ht="20.25">
      <c r="A30" s="79">
        <v>21</v>
      </c>
      <c r="B30" s="80" t="s">
        <v>61</v>
      </c>
      <c r="C30" s="80" t="s">
        <v>19</v>
      </c>
      <c r="D30" s="79" t="s">
        <v>20</v>
      </c>
      <c r="E30" s="80" t="s">
        <v>62</v>
      </c>
      <c r="F30" s="81" t="s">
        <v>22</v>
      </c>
      <c r="G30" s="81">
        <v>2</v>
      </c>
      <c r="H30" s="82">
        <v>145000.0</v>
      </c>
      <c r="I30" s="82">
        <v>290000.0</v>
      </c>
      <c r="J30" s="80"/>
    </row>
    <row r="31" spans="1:10" customHeight="1" ht="20.25">
      <c r="A31" s="79">
        <v>22</v>
      </c>
      <c r="B31" s="80" t="s">
        <v>63</v>
      </c>
      <c r="C31" s="80" t="s">
        <v>19</v>
      </c>
      <c r="D31" s="79" t="s">
        <v>20</v>
      </c>
      <c r="E31" s="80" t="s">
        <v>64</v>
      </c>
      <c r="F31" s="81" t="s">
        <v>22</v>
      </c>
      <c r="G31" s="81">
        <v>2</v>
      </c>
      <c r="H31" s="82">
        <v>321100.0</v>
      </c>
      <c r="I31" s="82">
        <v>642200.0</v>
      </c>
      <c r="J31" s="80"/>
    </row>
    <row r="32" spans="1:10" customHeight="1" ht="20.25">
      <c r="A32" s="79"/>
      <c r="B32" s="80"/>
      <c r="C32" s="80"/>
      <c r="D32" s="79"/>
      <c r="E32" s="80"/>
      <c r="F32" s="81"/>
      <c r="G32" s="81"/>
      <c r="H32" s="82"/>
      <c r="I32" s="82"/>
      <c r="J32" s="80"/>
    </row>
    <row r="33" spans="1:10" customHeight="1" ht="17.25" s="22" customFormat="1">
      <c r="A33" s="23"/>
      <c r="B33" s="27"/>
      <c r="C33" s="27"/>
      <c r="D33" s="23"/>
      <c r="E33" s="80"/>
      <c r="F33" s="23"/>
      <c r="G33" s="23"/>
      <c r="H33" s="24"/>
      <c r="I33" s="24"/>
      <c r="J33" s="80"/>
    </row>
    <row r="34" spans="1:10" customHeight="1" ht="13.5">
      <c r="C34" s="10" t="s">
        <v>65</v>
      </c>
      <c r="H34" s="25" t="s">
        <v>66</v>
      </c>
      <c r="I34" s="26">
        <f>SUM(I10:I33)</f>
        <v>21997130</v>
      </c>
      <c r="J34" s="10"/>
    </row>
    <row r="35" spans="1:10" customHeight="1" ht="15">
      <c r="B35" s="11"/>
      <c r="C35" s="12"/>
      <c r="D35" s="12"/>
      <c r="E35" s="13"/>
      <c r="F35" s="9"/>
    </row>
    <row r="36" spans="1:10" customHeight="1" ht="15">
      <c r="B36" s="87" t="s">
        <v>67</v>
      </c>
      <c r="C36" s="88"/>
      <c r="D36" s="88"/>
      <c r="E36" s="89"/>
    </row>
    <row r="37" spans="1:10" customHeight="1" ht="128.25">
      <c r="B37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37" s="94"/>
      <c r="D37" s="94"/>
      <c r="E37" s="95"/>
    </row>
    <row r="38" spans="1:10" customHeight="1" ht="16.5">
      <c r="B38" s="87" t="s">
        <v>69</v>
      </c>
      <c r="C38" s="88"/>
      <c r="D38" s="88"/>
      <c r="E38" s="89"/>
    </row>
    <row r="39" spans="1:10" customHeight="1" ht="15">
      <c r="B39" s="90" t="s">
        <v>70</v>
      </c>
      <c r="C39" s="91"/>
      <c r="D39" s="91"/>
      <c r="E39" s="92"/>
    </row>
    <row r="40" spans="1:10" customHeight="1" ht="15">
      <c r="B40" s="87" t="s">
        <v>71</v>
      </c>
      <c r="C40" s="88"/>
      <c r="D40" s="88"/>
      <c r="E40" s="89"/>
    </row>
    <row r="41" spans="1:10" customHeight="1" ht="15">
      <c r="B41" s="90" t="s">
        <v>72</v>
      </c>
      <c r="C41" s="91"/>
      <c r="D41" s="91"/>
      <c r="E41" s="92"/>
    </row>
    <row r="42" spans="1:10" customHeight="1" ht="15">
      <c r="B42" s="87" t="s">
        <v>73</v>
      </c>
      <c r="C42" s="88"/>
      <c r="D42" s="88"/>
      <c r="E42" s="89"/>
    </row>
    <row r="43" spans="1:10" customHeight="1" ht="31.5">
      <c r="B43" s="84" t="s">
        <v>74</v>
      </c>
      <c r="C43" s="85"/>
      <c r="D43" s="85"/>
      <c r="E43" s="86"/>
    </row>
    <row r="44" spans="1:10" customHeight="1" ht="12.75">
      <c r="C44" s="2"/>
      <c r="D44" s="2"/>
      <c r="E44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41:E41"/>
    <mergeCell ref="A4:B4"/>
    <mergeCell ref="A5:B5"/>
    <mergeCell ref="A6:B6"/>
    <mergeCell ref="A7:B7"/>
    <mergeCell ref="B43:E43"/>
    <mergeCell ref="B36:E36"/>
    <mergeCell ref="B38:E38"/>
    <mergeCell ref="B40:E40"/>
    <mergeCell ref="B42:E42"/>
    <mergeCell ref="B39:E39"/>
    <mergeCell ref="B37:E37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5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75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76</v>
      </c>
      <c r="G2" s="41" t="s">
        <v>77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78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79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80</v>
      </c>
      <c r="B6" s="128"/>
      <c r="C6" s="112" t="s">
        <v>81</v>
      </c>
      <c r="D6" s="113"/>
      <c r="E6" s="113"/>
      <c r="F6" s="113"/>
      <c r="G6" s="114"/>
    </row>
    <row r="7" spans="1:7" customHeight="1" ht="32.25">
      <c r="A7" s="127" t="s">
        <v>82</v>
      </c>
      <c r="B7" s="128"/>
      <c r="C7" s="112" t="s">
        <v>81</v>
      </c>
      <c r="D7" s="113"/>
      <c r="E7" s="113"/>
      <c r="F7" s="113"/>
      <c r="G7" s="114"/>
    </row>
    <row r="8" spans="1:7" customHeight="1" ht="16.5">
      <c r="A8" s="127" t="s">
        <v>83</v>
      </c>
      <c r="B8" s="128"/>
      <c r="C8" s="112" t="s">
        <v>84</v>
      </c>
      <c r="D8" s="113"/>
      <c r="E8" s="113"/>
      <c r="F8" s="113"/>
      <c r="G8" s="114"/>
    </row>
    <row r="9" spans="1:7" customHeight="1" ht="27.75">
      <c r="A9" s="117" t="s">
        <v>85</v>
      </c>
      <c r="B9" s="118"/>
      <c r="C9" s="124" t="s">
        <v>86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87</v>
      </c>
      <c r="B11" s="131" t="s">
        <v>88</v>
      </c>
      <c r="C11" s="119" t="s">
        <v>89</v>
      </c>
      <c r="D11" s="135" t="s">
        <v>90</v>
      </c>
      <c r="E11" s="135" t="s">
        <v>91</v>
      </c>
      <c r="F11" s="135" t="s">
        <v>92</v>
      </c>
      <c r="G11" s="135" t="s">
        <v>93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49</v>
      </c>
      <c r="C13" s="35" t="s">
        <v>50</v>
      </c>
      <c r="D13" s="31" t="s">
        <v>94</v>
      </c>
      <c r="E13" s="31" t="s">
        <v>22</v>
      </c>
      <c r="F13" s="32">
        <v>70000.0</v>
      </c>
      <c r="G13" s="33">
        <v>128</v>
      </c>
    </row>
    <row r="14" spans="1:7" customHeight="1" ht="15">
      <c r="A14" s="44">
        <v>2</v>
      </c>
      <c r="B14" s="34" t="s">
        <v>57</v>
      </c>
      <c r="C14" s="35" t="s">
        <v>58</v>
      </c>
      <c r="D14" s="31" t="s">
        <v>94</v>
      </c>
      <c r="E14" s="31" t="s">
        <v>22</v>
      </c>
      <c r="F14" s="32">
        <v>85100.0</v>
      </c>
      <c r="G14" s="33">
        <v>6</v>
      </c>
    </row>
    <row r="15" spans="1:7" customHeight="1" ht="15">
      <c r="A15" s="44">
        <v>3</v>
      </c>
      <c r="B15" s="34" t="s">
        <v>45</v>
      </c>
      <c r="C15" s="35" t="s">
        <v>46</v>
      </c>
      <c r="D15" s="31" t="s">
        <v>94</v>
      </c>
      <c r="E15" s="31" t="s">
        <v>22</v>
      </c>
      <c r="F15" s="32">
        <v>59000.0</v>
      </c>
      <c r="G15" s="33">
        <v>2</v>
      </c>
    </row>
    <row r="16" spans="1:7" customHeight="1" ht="15">
      <c r="A16" s="44">
        <v>4</v>
      </c>
      <c r="B16" s="34" t="s">
        <v>41</v>
      </c>
      <c r="C16" s="35" t="s">
        <v>42</v>
      </c>
      <c r="D16" s="31" t="s">
        <v>94</v>
      </c>
      <c r="E16" s="31" t="s">
        <v>22</v>
      </c>
      <c r="F16" s="32">
        <v>44200.0</v>
      </c>
      <c r="G16" s="33">
        <v>4</v>
      </c>
    </row>
    <row r="17" spans="1:7" customHeight="1" ht="15">
      <c r="A17" s="44">
        <v>5</v>
      </c>
      <c r="B17" s="34" t="s">
        <v>41</v>
      </c>
      <c r="C17" s="35" t="s">
        <v>42</v>
      </c>
      <c r="D17" s="31" t="s">
        <v>94</v>
      </c>
      <c r="E17" s="31" t="s">
        <v>22</v>
      </c>
      <c r="F17" s="32">
        <v>44200.0</v>
      </c>
      <c r="G17" s="33">
        <v>4</v>
      </c>
    </row>
    <row r="18" spans="1:7" customHeight="1" ht="15">
      <c r="A18" s="44">
        <v>6</v>
      </c>
      <c r="B18" s="34" t="s">
        <v>43</v>
      </c>
      <c r="C18" s="35" t="s">
        <v>44</v>
      </c>
      <c r="D18" s="31" t="s">
        <v>94</v>
      </c>
      <c r="E18" s="31" t="s">
        <v>22</v>
      </c>
      <c r="F18" s="32">
        <v>47000.0</v>
      </c>
      <c r="G18" s="33">
        <v>2</v>
      </c>
    </row>
    <row r="19" spans="1:7" customHeight="1" ht="15">
      <c r="A19" s="44">
        <v>7</v>
      </c>
      <c r="B19" s="34" t="s">
        <v>53</v>
      </c>
      <c r="C19" s="35" t="s">
        <v>54</v>
      </c>
      <c r="D19" s="31" t="s">
        <v>94</v>
      </c>
      <c r="E19" s="31" t="s">
        <v>22</v>
      </c>
      <c r="F19" s="32">
        <v>83900.0</v>
      </c>
      <c r="G19" s="33">
        <v>2</v>
      </c>
    </row>
    <row r="20" spans="1:7" customHeight="1" ht="15">
      <c r="A20" s="44">
        <v>8</v>
      </c>
      <c r="B20" s="34" t="s">
        <v>51</v>
      </c>
      <c r="C20" s="35" t="s">
        <v>52</v>
      </c>
      <c r="D20" s="31" t="s">
        <v>94</v>
      </c>
      <c r="E20" s="31" t="s">
        <v>22</v>
      </c>
      <c r="F20" s="32">
        <v>75000.0</v>
      </c>
      <c r="G20" s="33">
        <v>2</v>
      </c>
    </row>
    <row r="21" spans="1:7" customHeight="1" ht="15">
      <c r="A21" s="44">
        <v>9</v>
      </c>
      <c r="B21" s="34" t="s">
        <v>55</v>
      </c>
      <c r="C21" s="35" t="s">
        <v>56</v>
      </c>
      <c r="D21" s="31" t="s">
        <v>94</v>
      </c>
      <c r="E21" s="31" t="s">
        <v>22</v>
      </c>
      <c r="F21" s="32">
        <v>84000.0</v>
      </c>
      <c r="G21" s="33">
        <v>70</v>
      </c>
    </row>
    <row r="22" spans="1:7" customHeight="1" ht="15">
      <c r="A22" s="44">
        <v>10</v>
      </c>
      <c r="B22" s="34" t="s">
        <v>61</v>
      </c>
      <c r="C22" s="35" t="s">
        <v>62</v>
      </c>
      <c r="D22" s="31" t="s">
        <v>94</v>
      </c>
      <c r="E22" s="31" t="s">
        <v>22</v>
      </c>
      <c r="F22" s="32">
        <v>145000.0</v>
      </c>
      <c r="G22" s="33">
        <v>2</v>
      </c>
    </row>
    <row r="23" spans="1:7" customHeight="1" ht="15">
      <c r="A23" s="44">
        <v>11</v>
      </c>
      <c r="B23" s="34" t="s">
        <v>63</v>
      </c>
      <c r="C23" s="35" t="s">
        <v>64</v>
      </c>
      <c r="D23" s="31" t="s">
        <v>94</v>
      </c>
      <c r="E23" s="31" t="s">
        <v>22</v>
      </c>
      <c r="F23" s="32">
        <v>321100.0</v>
      </c>
      <c r="G23" s="33">
        <v>2</v>
      </c>
    </row>
    <row r="24" spans="1:7" customHeight="1" ht="15">
      <c r="A24" s="44">
        <v>12</v>
      </c>
      <c r="B24" s="34" t="s">
        <v>29</v>
      </c>
      <c r="C24" s="35" t="s">
        <v>30</v>
      </c>
      <c r="D24" s="31" t="s">
        <v>94</v>
      </c>
      <c r="E24" s="31" t="s">
        <v>22</v>
      </c>
      <c r="F24" s="32">
        <v>17390.0</v>
      </c>
      <c r="G24" s="33">
        <v>20</v>
      </c>
    </row>
    <row r="25" spans="1:7" customHeight="1" ht="15">
      <c r="A25" s="44">
        <v>13</v>
      </c>
      <c r="B25" s="34" t="s">
        <v>23</v>
      </c>
      <c r="C25" s="35" t="s">
        <v>24</v>
      </c>
      <c r="D25" s="31" t="s">
        <v>94</v>
      </c>
      <c r="E25" s="31" t="s">
        <v>22</v>
      </c>
      <c r="F25" s="32">
        <v>16000.0</v>
      </c>
      <c r="G25" s="33">
        <v>2</v>
      </c>
    </row>
    <row r="26" spans="1:7" customHeight="1" ht="15">
      <c r="A26" s="44">
        <v>14</v>
      </c>
      <c r="B26" s="34" t="s">
        <v>27</v>
      </c>
      <c r="C26" s="35" t="s">
        <v>28</v>
      </c>
      <c r="D26" s="31" t="s">
        <v>94</v>
      </c>
      <c r="E26" s="31" t="s">
        <v>22</v>
      </c>
      <c r="F26" s="32">
        <v>16410.0</v>
      </c>
      <c r="G26" s="33">
        <v>20</v>
      </c>
    </row>
    <row r="27" spans="1:7" customHeight="1" ht="15">
      <c r="A27" s="44">
        <v>15</v>
      </c>
      <c r="B27" s="34" t="s">
        <v>31</v>
      </c>
      <c r="C27" s="35" t="s">
        <v>32</v>
      </c>
      <c r="D27" s="31" t="s">
        <v>94</v>
      </c>
      <c r="E27" s="31" t="s">
        <v>22</v>
      </c>
      <c r="F27" s="32">
        <v>19000.0</v>
      </c>
      <c r="G27" s="33">
        <v>20</v>
      </c>
    </row>
    <row r="28" spans="1:7" customHeight="1" ht="15">
      <c r="A28" s="44">
        <v>16</v>
      </c>
      <c r="B28" s="34" t="s">
        <v>18</v>
      </c>
      <c r="C28" s="35" t="s">
        <v>21</v>
      </c>
      <c r="D28" s="31" t="s">
        <v>94</v>
      </c>
      <c r="E28" s="31" t="s">
        <v>22</v>
      </c>
      <c r="F28" s="32">
        <v>15990.0</v>
      </c>
      <c r="G28" s="33">
        <v>37</v>
      </c>
    </row>
    <row r="29" spans="1:7" customHeight="1" ht="15">
      <c r="A29" s="44">
        <v>17</v>
      </c>
      <c r="B29" s="34" t="s">
        <v>25</v>
      </c>
      <c r="C29" s="35" t="s">
        <v>26</v>
      </c>
      <c r="D29" s="31" t="s">
        <v>94</v>
      </c>
      <c r="E29" s="31" t="s">
        <v>22</v>
      </c>
      <c r="F29" s="32">
        <v>16000.0</v>
      </c>
      <c r="G29" s="33">
        <v>3</v>
      </c>
    </row>
    <row r="30" spans="1:7" customHeight="1" ht="15">
      <c r="A30" s="44">
        <v>18</v>
      </c>
      <c r="B30" s="34" t="s">
        <v>37</v>
      </c>
      <c r="C30" s="35" t="s">
        <v>38</v>
      </c>
      <c r="D30" s="31" t="s">
        <v>94</v>
      </c>
      <c r="E30" s="31" t="s">
        <v>22</v>
      </c>
      <c r="F30" s="32">
        <v>22000.0</v>
      </c>
      <c r="G30" s="33">
        <v>3</v>
      </c>
    </row>
    <row r="31" spans="1:7" customHeight="1" ht="15">
      <c r="A31" s="44">
        <v>19</v>
      </c>
      <c r="B31" s="34" t="s">
        <v>59</v>
      </c>
      <c r="C31" s="35" t="s">
        <v>60</v>
      </c>
      <c r="D31" s="31" t="s">
        <v>94</v>
      </c>
      <c r="E31" s="31" t="s">
        <v>22</v>
      </c>
      <c r="F31" s="32">
        <v>137000.0</v>
      </c>
      <c r="G31" s="33">
        <v>20</v>
      </c>
    </row>
    <row r="32" spans="1:7" customHeight="1" ht="15">
      <c r="A32" s="44">
        <v>20</v>
      </c>
      <c r="B32" s="34" t="s">
        <v>35</v>
      </c>
      <c r="C32" s="35" t="s">
        <v>36</v>
      </c>
      <c r="D32" s="31" t="s">
        <v>94</v>
      </c>
      <c r="E32" s="31" t="s">
        <v>22</v>
      </c>
      <c r="F32" s="32">
        <v>20150.0</v>
      </c>
      <c r="G32" s="33">
        <v>2</v>
      </c>
    </row>
    <row r="33" spans="1:7" customHeight="1" ht="15">
      <c r="A33" s="44">
        <v>21</v>
      </c>
      <c r="B33" s="34" t="s">
        <v>47</v>
      </c>
      <c r="C33" s="35" t="s">
        <v>48</v>
      </c>
      <c r="D33" s="31" t="s">
        <v>94</v>
      </c>
      <c r="E33" s="31" t="s">
        <v>22</v>
      </c>
      <c r="F33" s="32">
        <v>62000.0</v>
      </c>
      <c r="G33" s="33">
        <v>2</v>
      </c>
    </row>
    <row r="34" spans="1:7" customHeight="1" ht="15">
      <c r="A34" s="44">
        <v>22</v>
      </c>
      <c r="B34" s="34" t="s">
        <v>33</v>
      </c>
      <c r="C34" s="35" t="s">
        <v>34</v>
      </c>
      <c r="D34" s="31" t="s">
        <v>94</v>
      </c>
      <c r="E34" s="31" t="s">
        <v>22</v>
      </c>
      <c r="F34" s="32">
        <v>19000.0</v>
      </c>
      <c r="G34" s="33">
        <v>3</v>
      </c>
    </row>
    <row r="35" spans="1:7" customHeight="1" ht="15">
      <c r="A35" s="44">
        <v>23</v>
      </c>
      <c r="B35" s="34" t="s">
        <v>39</v>
      </c>
      <c r="C35" s="35" t="s">
        <v>40</v>
      </c>
      <c r="D35" s="31" t="s">
        <v>94</v>
      </c>
      <c r="E35" s="31" t="s">
        <v>22</v>
      </c>
      <c r="F35" s="32">
        <v>38000.0</v>
      </c>
      <c r="G35" s="33">
        <v>2</v>
      </c>
    </row>
    <row r="36" spans="1:7" customHeight="1" ht="15">
      <c r="A36" s="44"/>
      <c r="B36" s="34"/>
      <c r="C36" s="35"/>
      <c r="D36" s="31"/>
      <c r="E36" s="31"/>
      <c r="F36" s="32"/>
      <c r="G36" s="33"/>
    </row>
    <row r="37" spans="1:7" customHeight="1" ht="15.75">
      <c r="A37" s="45"/>
      <c r="B37" s="36"/>
      <c r="C37" s="37"/>
      <c r="D37" s="28"/>
      <c r="E37" s="28"/>
      <c r="F37" s="29"/>
      <c r="G37" s="30"/>
    </row>
    <row r="38" spans="1:7" customHeight="1" ht="20.25">
      <c r="A38" s="122" t="s">
        <v>95</v>
      </c>
      <c r="B38" s="123"/>
      <c r="C38" s="133" t="s">
        <v>65</v>
      </c>
      <c r="D38" s="133"/>
      <c r="E38" s="134"/>
      <c r="F38" s="121">
        <f>SUMPRODUCT(F13:F37,G13:G37)</f>
        <v>21997130</v>
      </c>
      <c r="G38" s="121"/>
    </row>
    <row r="42" spans="1:7" customHeight="1" ht="13.5"/>
    <row r="43" spans="1:7" customHeight="1" ht="15.75">
      <c r="A43" s="46"/>
      <c r="B43" s="115" t="s">
        <v>96</v>
      </c>
      <c r="C43" s="115"/>
      <c r="D43" s="116"/>
    </row>
    <row r="44" spans="1:7" customHeight="1" ht="18.75">
      <c r="A44" s="47"/>
      <c r="B44" s="48"/>
      <c r="C44" s="49"/>
      <c r="D44" s="50"/>
    </row>
    <row r="45" spans="1:7" customHeight="1" ht="18.75">
      <c r="A45" s="51"/>
      <c r="B45" s="52"/>
      <c r="C45" s="53"/>
      <c r="D45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38:B38"/>
    <mergeCell ref="C9:G9"/>
    <mergeCell ref="A8:B8"/>
    <mergeCell ref="A11:A12"/>
    <mergeCell ref="B11:B12"/>
    <mergeCell ref="C38:E38"/>
    <mergeCell ref="F11:F12"/>
    <mergeCell ref="G11:G12"/>
    <mergeCell ref="E11:E12"/>
    <mergeCell ref="A1:G1"/>
    <mergeCell ref="C4:G4"/>
    <mergeCell ref="C5:G5"/>
    <mergeCell ref="C6:G6"/>
    <mergeCell ref="C7:G7"/>
    <mergeCell ref="B43:D43"/>
    <mergeCell ref="C8:G8"/>
    <mergeCell ref="A9:B9"/>
    <mergeCell ref="C11:C12"/>
    <mergeCell ref="F38:G38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97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98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79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80</v>
      </c>
      <c r="B6" s="165"/>
      <c r="C6" s="165"/>
      <c r="D6" s="165"/>
      <c r="E6" s="165"/>
      <c r="F6" s="166"/>
      <c r="G6" s="163" t="s">
        <v>81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82</v>
      </c>
      <c r="B7" s="165"/>
      <c r="C7" s="165"/>
      <c r="D7" s="165"/>
      <c r="E7" s="165"/>
      <c r="F7" s="166"/>
      <c r="G7" s="170" t="s">
        <v>81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99</v>
      </c>
      <c r="B8" s="139"/>
      <c r="C8" s="139" t="s">
        <v>84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100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101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102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103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104</v>
      </c>
      <c r="P13" s="149"/>
      <c r="Q13" s="152" t="s">
        <v>105</v>
      </c>
    </row>
    <row r="14" spans="1:17" customHeight="1" ht="15.75">
      <c r="A14" s="66" t="s">
        <v>106</v>
      </c>
      <c r="B14" s="66" t="s">
        <v>107</v>
      </c>
      <c r="C14" s="66" t="s">
        <v>108</v>
      </c>
      <c r="D14" s="66" t="s">
        <v>109</v>
      </c>
      <c r="E14" s="66" t="s">
        <v>110</v>
      </c>
      <c r="F14" s="66" t="s">
        <v>111</v>
      </c>
      <c r="G14" s="67" t="s">
        <v>112</v>
      </c>
      <c r="H14" s="66" t="s">
        <v>113</v>
      </c>
      <c r="I14" s="66" t="s">
        <v>114</v>
      </c>
      <c r="J14" s="66" t="s">
        <v>115</v>
      </c>
      <c r="K14" s="66" t="s">
        <v>115</v>
      </c>
      <c r="L14" s="66" t="s">
        <v>116</v>
      </c>
      <c r="M14" s="66" t="s">
        <v>117</v>
      </c>
      <c r="N14" s="66" t="s">
        <v>118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4</v>
      </c>
      <c r="K15" s="69">
        <v>4</v>
      </c>
      <c r="L15" s="69">
        <v>0</v>
      </c>
      <c r="M15" s="70">
        <v>1</v>
      </c>
      <c r="N15" s="83">
        <v>11</v>
      </c>
      <c r="O15" s="78" t="s">
        <v>119</v>
      </c>
      <c r="P15" s="77"/>
      <c r="Q15" s="71">
        <v>21997130.0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120</v>
      </c>
      <c r="B18" s="155"/>
      <c r="C18" s="156" t="s">
        <v>65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21997130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121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86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122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Necesidades Trimestrales</vt:lpstr>
      <vt:lpstr>Nota Pedido DA#PC</vt:lpstr>
      <vt:lpstr>APG DA#PC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