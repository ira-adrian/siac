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Gastar'!$A$1:$Q$25</definedName>
    <definedName name="_xlnm.Print_Area" localSheetId="1">NotaPedido!$A$1:$K$15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2" l="1"/>
  <c r="J13" i="2"/>
  <c r="I13" i="2"/>
  <c r="C13" i="2"/>
  <c r="B13" i="2"/>
  <c r="B14" i="2"/>
  <c r="I11" i="1"/>
  <c r="I12" i="1"/>
  <c r="D12" i="1" l="1"/>
  <c r="D10" i="1"/>
  <c r="A24" i="3"/>
  <c r="A10" i="3"/>
  <c r="K14" i="2"/>
  <c r="J14" i="2"/>
  <c r="I14" i="2"/>
  <c r="C14" i="2"/>
  <c r="K12" i="2"/>
  <c r="J12" i="2"/>
  <c r="I12" i="2"/>
  <c r="C12" i="2"/>
  <c r="B12" i="2"/>
  <c r="I10" i="1"/>
  <c r="J15" i="2" l="1"/>
  <c r="G6" i="3" l="1"/>
  <c r="G7" i="3"/>
  <c r="D7" i="2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<sst xmlns="http://schemas.openxmlformats.org/spreadsheetml/2006/main" count="116" uniqueCount="88">
  <si>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</si>
  <si>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</si>
  <si>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</si>
  <si>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</si>
  <si>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</si>
  <si>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</si>
  <si>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</si>
  <si>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</si>
  <si>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</si>
  <si>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</si>
  <si>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</si>
  <si>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</si>
  <si>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</si>
  <si>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</si>
  <si>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</si>
  <si>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</si>
  <si>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</si>
  <si>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</si>
  <si>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</si>
  <si>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</si>
  <si>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</si>
  <si>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</si>
  <si>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</si>
  <si>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</si>
  <si>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</si>
  <si>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</si>
  <si>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</si>
  <si>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</si>
  <si>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</si>
  <si>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</si>
  <si>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</si>
  <si>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</si>
  <si>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</si>
  <si>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</si>
  <si>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</si>
  <si>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</si>
  <si>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</si>
  <si>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</si>
  <si>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</si>
  <si>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</si>
  <si>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</si>
  <si>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</si>
  <si>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</si>
  <si>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</si>
  <si>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</si>
  <si>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</si>
  <si>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</si>
  <si>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</si>
  <si>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</si>
  <si>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</si>
  <si>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</si>
  <si>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</si>
  <si>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</si>
  <si>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</si>
  <si>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</si>
  <si>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</si>
  <si>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168 - Direccion Asistencial</t>
  </si>
  <si>
    <t>3.1</t>
  </si>
  <si>
    <t>1.1</t>
  </si>
  <si>
    <t>2.1.1-621.20</t>
  </si>
  <si>
    <t>ALIMENTOS</t>
  </si>
  <si>
    <t>AVES; TIPO: POLLO, PRESENTACION: CAJA X 22 Kg, EVISCERADO: SI, ELEM. TRANSPORTE: SIN, MATERIAL ELEM. TRANSPORTE: SIN, LIBRE DE GLUTEN: SIN VALOR</t>
  </si>
  <si>
    <t>CAJAS</t>
  </si>
  <si>
    <t>2.1.1-621.11</t>
  </si>
  <si>
    <t>AVES; ESPECIE: PECHUGA DE POLLO, PRESENTACION: BOLSA X 2 Kg, EVISCERADO: SIN VALOR, TIPO: PECHUGA DE POLLO</t>
  </si>
  <si>
    <t>BOLSAS</t>
  </si>
  <si>
    <t>Servicio de Nutrición</t>
  </si>
  <si>
    <t>Adquisición de Pollos</t>
  </si>
  <si>
    <t>Alimentos para Personas</t>
  </si>
  <si>
    <t>2.1.1</t>
  </si>
  <si>
    <t>AVES; TIPO: POLLO, PRESENTACION: PATA MUSLO, EVISCERADO: SI, ELEM. TRANSPORTE: SIN, MATERIAL ELEM. TRANSPORTE: SIN, LIBRE DE GLUTEN: SIN VALOR</t>
  </si>
  <si>
    <t>2.1.1-621.19</t>
  </si>
  <si>
    <t>Especificidades Item N° 01:</t>
  </si>
  <si>
    <t>Plazos, lugares y formas de entrega</t>
  </si>
  <si>
    <t>Las entregas se realizaran en el Servicio de Nutricion -Avda. Illia y Mariano Moreno- los días lunes, miercoles y viernes de 07:00 a 08:30 horas.</t>
  </si>
  <si>
    <t>Las entregas se realizarán a requerimiento de acuerdo, a las Solicitudes de Provisión que se realicen. Se estima emitir una cantidad aproximada de 3 (Tres) Solicitudes de Provisión de (1/3 aprox.) de la cantidad solicitada, en un plazo de 3 (Tres) meses: 1° Solic.de Provisión: aprox.a los 3 dias hábiles de la firma del instrumento contractual. 2° Solic.de Provisión: al mes de la firma del instrumento contractual. Y 3° Solic.de Provisión: a los dos meses de la firma del instrumento contractual. Plazo de cumplimiento de cada Solicitud de Provisión: desde los 2 días hábiles de notificada la misma, según necesidades del Organismo solicitante. Forma de Pago: Se solicita Pagos parciales por cada Solicitud de Provisión emitida, una vez finalizada la entrega de las cantidades contenidas en la misma.</t>
  </si>
  <si>
    <t>Ver nota adjunta respecto de la calidad de los productos y otras caracteristicas.</t>
  </si>
  <si>
    <t xml:space="preserve">45 días habiles </t>
  </si>
  <si>
    <t>Especificidades Item N° 02:</t>
  </si>
  <si>
    <t xml:space="preserve">PECHUGAS DE POLLO, PRESENTACION: BOLSA X 2 Kg APROXIMADAMENTE CADA UNA - TRANSPORTADA EN VEHICULO AUTORIZADO POR SENASA PARA TAL FIN, EL PROVEEDOR DEBERA EXHIBIR TAL DOCUMENTACION </t>
  </si>
  <si>
    <t>Especificidades Item N° 03:</t>
  </si>
  <si>
    <t xml:space="preserve">PECHUGAS  DE POLLO, PRESENTACION: CAJA DE 15 Kg APROXIMADAMENTE CADA UNA - TRANSPORTADA EN VEHICULO AUTORIZADO POR SENASA PARA TAL FIN, EL PROVEEDOR DEBERA EXHIBIR TAL DOCUMENTACION </t>
  </si>
  <si>
    <t xml:space="preserve">SI </t>
  </si>
  <si>
    <t xml:space="preserve">POLLO CAJA X 22 Kg APROXIMADAMENTE, EVISCERADO - UNIDAD = CAJA DE 22 KG - TRANSPORTADA EN VEHICULO AUTORIZADO POR SENASA PARA TAL FIN, EL PROVEEDOR DEBERA EXHIBIR TAL DOCUMENTACION </t>
  </si>
  <si>
    <t>SON PESOS: DOS MILLONES CIENTO CINCUENTA Y NUEVE MIL CON 00/100</t>
  </si>
  <si>
    <t>NOTA DE PEDIDO 137</t>
  </si>
  <si>
    <t>Costo total estimado: DOS MILLONES CIENTO CINCUENTA Y NUEVE MIL CON 00/100.---</t>
  </si>
  <si>
    <t>DOCFI-2022-02170191-CAT-DASIS#HSJB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</si>
</sst>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color rgb="FF333333"/>
      <name val="Arial"/>
      <family val="2"/>
    </font>
    <font>
      <sz val="11"/>
      <color rgb="FF000000"/>
      <name val="Times New Roman"/>
      <family val="1"/>
    </font>
    <font>
      <b/>
      <sz val="14"/>
      <name val="Times New Roman"/>
      <family val="1"/>
      <charset val="1"/>
    </font>
    <font>
      <b/>
      <sz val="16"/>
      <name val="Times New Roman"/>
      <family val="1"/>
      <charset val="1"/>
    </font>
    <font>
      <sz val="14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6">
    <xf numFmtId="0" fontId="0" fillId="0" borderId="0"/>
    <xf numFmtId="165" fontId="13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3" fillId="0" borderId="0"/>
  </cellStyleXfs>
  <cellXfs count="14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8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2" fillId="0" borderId="44" xfId="0" applyNumberFormat="1" applyFont="1" applyBorder="1" applyAlignment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21" fillId="0" borderId="2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0" xfId="0" applyFont="1" applyBorder="1"/>
    <xf numFmtId="0" fontId="14" fillId="0" borderId="6" xfId="0" applyFont="1" applyBorder="1"/>
    <xf numFmtId="0" fontId="21" fillId="0" borderId="5" xfId="0" applyFont="1" applyBorder="1" applyAlignment="1">
      <alignment horizontal="left" indent="3"/>
    </xf>
    <xf numFmtId="0" fontId="14" fillId="0" borderId="5" xfId="0" applyFont="1" applyBorder="1" applyAlignment="1">
      <alignment horizontal="left" indent="3"/>
    </xf>
    <xf numFmtId="0" fontId="14" fillId="0" borderId="7" xfId="0" applyFont="1" applyBorder="1" applyAlignment="1">
      <alignment horizontal="left" indent="3"/>
    </xf>
    <xf numFmtId="0" fontId="14" fillId="0" borderId="8" xfId="0" applyFont="1" applyBorder="1"/>
    <xf numFmtId="0" fontId="14" fillId="0" borderId="9" xfId="0" applyFont="1" applyBorder="1"/>
    <xf numFmtId="0" fontId="18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166" fontId="19" fillId="4" borderId="14" xfId="1" applyNumberFormat="1" applyFont="1" applyFill="1" applyBorder="1" applyAlignment="1" applyProtection="1">
      <alignment horizontal="center" vertical="center" wrapText="1"/>
    </xf>
    <xf numFmtId="166" fontId="19" fillId="4" borderId="14" xfId="1" applyNumberFormat="1" applyFont="1" applyFill="1" applyBorder="1" applyAlignment="1" applyProtection="1">
      <alignment horizontal="right" vertical="center" wrapText="1"/>
    </xf>
    <xf numFmtId="0" fontId="22" fillId="4" borderId="0" xfId="0" applyFont="1" applyFill="1" applyAlignment="1">
      <alignment horizontal="left" wrapText="1" indent="1"/>
    </xf>
    <xf numFmtId="0" fontId="18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5" fillId="0" borderId="14" xfId="0" applyFont="1" applyBorder="1" applyAlignment="1">
      <alignment horizontal="center" vertical="center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wrapText="1"/>
    </xf>
    <xf numFmtId="0" fontId="7" fillId="5" borderId="19" xfId="0" applyFont="1" applyFill="1" applyBorder="1" applyAlignment="1">
      <alignment horizontal="left" vertical="center"/>
    </xf>
    <xf numFmtId="0" fontId="28" fillId="0" borderId="19" xfId="0" applyFont="1" applyBorder="1" applyAlignment="1">
      <alignment horizontal="center" vertical="center"/>
    </xf>
    <xf numFmtId="0" fontId="28" fillId="4" borderId="19" xfId="0" applyFont="1" applyFill="1" applyBorder="1" applyAlignment="1">
      <alignment horizontal="center" vertical="center"/>
    </xf>
    <xf numFmtId="0" fontId="28" fillId="5" borderId="19" xfId="0" applyFont="1" applyFill="1" applyBorder="1" applyAlignment="1">
      <alignment horizontal="center" vertical="center" wrapText="1"/>
    </xf>
    <xf numFmtId="166" fontId="28" fillId="5" borderId="19" xfId="1" applyNumberFormat="1" applyFont="1" applyFill="1" applyBorder="1" applyAlignment="1" applyProtection="1">
      <alignment horizontal="right" vertical="center" wrapText="1"/>
    </xf>
    <xf numFmtId="3" fontId="28" fillId="5" borderId="19" xfId="0" applyNumberFormat="1" applyFont="1" applyFill="1" applyBorder="1" applyAlignment="1">
      <alignment horizontal="center" vertical="center"/>
    </xf>
    <xf numFmtId="0" fontId="24" fillId="0" borderId="14" xfId="0" applyFont="1" applyBorder="1" applyAlignment="1">
      <alignment vertical="center" wrapText="1"/>
    </xf>
    <xf numFmtId="0" fontId="14" fillId="5" borderId="0" xfId="0" applyFont="1" applyFill="1" applyBorder="1"/>
    <xf numFmtId="0" fontId="14" fillId="5" borderId="6" xfId="0" applyFont="1" applyFill="1" applyBorder="1"/>
    <xf numFmtId="0" fontId="14" fillId="5" borderId="0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horizontal="center" wrapText="1"/>
    </xf>
    <xf numFmtId="0" fontId="21" fillId="0" borderId="2" xfId="5" applyFont="1" applyBorder="1"/>
    <xf numFmtId="0" fontId="14" fillId="0" borderId="3" xfId="5" applyFont="1" applyBorder="1"/>
    <xf numFmtId="0" fontId="14" fillId="0" borderId="4" xfId="5" applyFont="1" applyBorder="1"/>
    <xf numFmtId="0" fontId="14" fillId="0" borderId="5" xfId="5" applyFont="1" applyBorder="1"/>
    <xf numFmtId="0" fontId="14" fillId="0" borderId="0" xfId="5" applyFont="1" applyBorder="1"/>
    <xf numFmtId="0" fontId="14" fillId="0" borderId="6" xfId="5" applyFont="1" applyBorder="1"/>
    <xf numFmtId="0" fontId="21" fillId="0" borderId="5" xfId="5" applyFont="1" applyBorder="1" applyAlignment="1">
      <alignment horizontal="left" indent="3"/>
    </xf>
    <xf numFmtId="0" fontId="14" fillId="0" borderId="5" xfId="5" applyFont="1" applyBorder="1" applyAlignment="1">
      <alignment horizontal="left" indent="3"/>
    </xf>
    <xf numFmtId="0" fontId="14" fillId="0" borderId="0" xfId="5" applyFont="1" applyBorder="1" applyAlignment="1">
      <alignment horizontal="center" wrapText="1"/>
    </xf>
    <xf numFmtId="0" fontId="14" fillId="0" borderId="6" xfId="5" applyFont="1" applyBorder="1" applyAlignment="1">
      <alignment horizontal="center" wrapText="1"/>
    </xf>
    <xf numFmtId="0" fontId="21" fillId="0" borderId="7" xfId="5" applyFont="1" applyBorder="1" applyAlignment="1">
      <alignment horizontal="left" indent="3"/>
    </xf>
    <xf numFmtId="0" fontId="1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left" vertical="center" wrapText="1"/>
    </xf>
    <xf numFmtId="0" fontId="14" fillId="6" borderId="6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/>
    </xf>
    <xf numFmtId="0" fontId="14" fillId="3" borderId="0" xfId="5" applyFont="1" applyFill="1" applyBorder="1" applyAlignment="1">
      <alignment horizontal="center" vertical="center" wrapText="1"/>
    </xf>
    <xf numFmtId="0" fontId="14" fillId="3" borderId="6" xfId="5" applyFont="1" applyFill="1" applyBorder="1" applyAlignment="1">
      <alignment horizontal="center" vertical="center" wrapText="1"/>
    </xf>
    <xf numFmtId="0" fontId="14" fillId="3" borderId="9" xfId="5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8" fillId="5" borderId="19" xfId="0" applyFont="1" applyFill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 indent="1"/>
    </xf>
    <xf numFmtId="167" fontId="28" fillId="0" borderId="14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3" fontId="8" fillId="0" borderId="21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0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/>
    </xf>
    <xf numFmtId="0" fontId="23" fillId="0" borderId="32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0" fillId="0" borderId="23" xfId="0" applyFont="1" applyBorder="1"/>
    <xf numFmtId="0" fontId="10" fillId="0" borderId="24" xfId="0" applyFont="1" applyBorder="1" applyAlignment="1">
      <alignment horizontal="left" vertical="center" wrapText="1" indent="1"/>
    </xf>
    <xf numFmtId="0" fontId="12" fillId="0" borderId="2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8" fillId="0" borderId="20" xfId="0" applyFont="1" applyBorder="1" applyAlignment="1">
      <alignment vertical="center" wrapText="1"/>
    </xf>
    <xf numFmtId="0" fontId="8" fillId="0" borderId="45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8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0"/>
  <sheetViews>
    <sheetView tabSelected="1"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6384" width="11" style="38"/>
  </cols>
  <sheetData>
    <row r="2" spans="1:9" ht="27" x14ac:dyDescent="0.35">
      <c r="B2" s="94" t="s">
        <v>0</v>
      </c>
      <c r="C2" s="94"/>
      <c r="D2" s="94"/>
      <c r="E2" s="94"/>
      <c r="F2" s="94"/>
      <c r="G2" s="94"/>
      <c r="H2" s="94"/>
    </row>
    <row r="4" spans="1:9" ht="18" customHeight="1" x14ac:dyDescent="0.25">
      <c r="A4" s="95" t="s">
        <v>1</v>
      </c>
      <c r="B4" s="95"/>
      <c r="C4" s="96" t="s">
        <v>54</v>
      </c>
      <c r="D4" s="96"/>
      <c r="E4" s="96"/>
      <c r="F4" s="39"/>
      <c r="G4" s="40"/>
      <c r="H4" s="39"/>
    </row>
    <row r="5" spans="1:9" ht="18" customHeight="1" x14ac:dyDescent="0.25">
      <c r="A5" s="95" t="s">
        <v>2</v>
      </c>
      <c r="B5" s="95"/>
      <c r="C5" s="96" t="s">
        <v>55</v>
      </c>
      <c r="D5" s="96"/>
      <c r="E5" s="96"/>
      <c r="F5" s="39"/>
      <c r="G5" s="40"/>
      <c r="H5" s="39"/>
    </row>
    <row r="6" spans="1:9" ht="16.5" customHeight="1" x14ac:dyDescent="0.25">
      <c r="A6" s="95" t="s">
        <v>3</v>
      </c>
      <c r="B6" s="95"/>
      <c r="C6" s="58">
        <v>2022</v>
      </c>
      <c r="D6" s="59"/>
      <c r="E6" s="59"/>
      <c r="F6" s="39"/>
      <c r="G6" s="40"/>
      <c r="H6" s="39"/>
    </row>
    <row r="7" spans="1:9" ht="16.5" customHeight="1" x14ac:dyDescent="0.25">
      <c r="A7" s="95" t="s">
        <v>4</v>
      </c>
      <c r="B7" s="95"/>
      <c r="C7" s="58">
        <v>4</v>
      </c>
      <c r="D7" s="59"/>
      <c r="E7" s="59"/>
      <c r="F7" s="39"/>
      <c r="G7" s="40"/>
      <c r="H7" s="39"/>
    </row>
    <row r="8" spans="1:9" ht="13.5" thickBot="1" x14ac:dyDescent="0.25">
      <c r="B8" s="39"/>
      <c r="C8" s="40"/>
      <c r="D8" s="39"/>
      <c r="E8" s="39"/>
      <c r="F8" s="39"/>
      <c r="G8" s="40"/>
      <c r="H8" s="39"/>
    </row>
    <row r="9" spans="1:9" ht="39" thickBot="1" x14ac:dyDescent="0.25">
      <c r="A9" s="52" t="s">
        <v>5</v>
      </c>
      <c r="B9" s="52" t="s">
        <v>6</v>
      </c>
      <c r="C9" s="52" t="s">
        <v>7</v>
      </c>
      <c r="D9" s="52" t="s">
        <v>8</v>
      </c>
      <c r="E9" s="52" t="s">
        <v>9</v>
      </c>
      <c r="F9" s="52" t="s">
        <v>10</v>
      </c>
      <c r="G9" s="52" t="s">
        <v>11</v>
      </c>
      <c r="H9" s="52" t="s">
        <v>12</v>
      </c>
      <c r="I9" s="52" t="s">
        <v>13</v>
      </c>
    </row>
    <row r="10" spans="1:9" ht="51.75" customHeight="1" thickBot="1" x14ac:dyDescent="0.25">
      <c r="A10" s="53">
        <v>1</v>
      </c>
      <c r="B10" s="70" t="s">
        <v>59</v>
      </c>
      <c r="C10" s="69" t="s">
        <v>60</v>
      </c>
      <c r="D10" s="54" t="str">
        <f>LEFT(B10,5)</f>
        <v>2.1.1</v>
      </c>
      <c r="E10" s="71" t="s">
        <v>61</v>
      </c>
      <c r="F10" s="55" t="s">
        <v>62</v>
      </c>
      <c r="G10" s="55">
        <v>90</v>
      </c>
      <c r="H10" s="56">
        <v>12100</v>
      </c>
      <c r="I10" s="57">
        <f t="shared" ref="I10:I12" si="0">G10*H10</f>
        <v>1089000</v>
      </c>
    </row>
    <row r="11" spans="1:9" ht="51.75" customHeight="1" thickBot="1" x14ac:dyDescent="0.25">
      <c r="A11" s="53">
        <v>2</v>
      </c>
      <c r="B11" s="70" t="s">
        <v>63</v>
      </c>
      <c r="C11" s="69" t="s">
        <v>60</v>
      </c>
      <c r="D11" s="54" t="s">
        <v>69</v>
      </c>
      <c r="E11" s="78" t="s">
        <v>64</v>
      </c>
      <c r="F11" s="55" t="s">
        <v>65</v>
      </c>
      <c r="G11" s="55">
        <v>200</v>
      </c>
      <c r="H11" s="56">
        <v>2200</v>
      </c>
      <c r="I11" s="57">
        <f t="shared" si="0"/>
        <v>440000</v>
      </c>
    </row>
    <row r="12" spans="1:9" ht="52.5" customHeight="1" thickBot="1" x14ac:dyDescent="0.25">
      <c r="A12" s="53">
        <v>3</v>
      </c>
      <c r="B12" s="70" t="s">
        <v>71</v>
      </c>
      <c r="C12" s="69" t="s">
        <v>60</v>
      </c>
      <c r="D12" s="54" t="str">
        <f t="shared" ref="D12" si="1">LEFT(B12,5)</f>
        <v>2.1.1</v>
      </c>
      <c r="E12" s="71" t="s">
        <v>70</v>
      </c>
      <c r="F12" s="55" t="s">
        <v>62</v>
      </c>
      <c r="G12" s="55">
        <v>90</v>
      </c>
      <c r="H12" s="56">
        <v>7000</v>
      </c>
      <c r="I12" s="57">
        <f t="shared" si="0"/>
        <v>630000</v>
      </c>
    </row>
    <row r="15" spans="1:9" ht="13.5" thickBot="1" x14ac:dyDescent="0.25"/>
    <row r="16" spans="1:9" x14ac:dyDescent="0.2">
      <c r="B16" s="41" t="s">
        <v>72</v>
      </c>
      <c r="C16" s="42"/>
      <c r="D16" s="42"/>
      <c r="E16" s="43"/>
    </row>
    <row r="17" spans="2:5" x14ac:dyDescent="0.2">
      <c r="B17" s="44"/>
      <c r="C17" s="45"/>
      <c r="D17" s="45"/>
      <c r="E17" s="46"/>
    </row>
    <row r="18" spans="2:5" ht="14.25" customHeight="1" x14ac:dyDescent="0.2">
      <c r="B18" s="47" t="s">
        <v>14</v>
      </c>
      <c r="C18" s="45"/>
      <c r="D18" s="45"/>
      <c r="E18" s="46"/>
    </row>
    <row r="19" spans="2:5" ht="44.25" customHeight="1" x14ac:dyDescent="0.2">
      <c r="B19" s="47"/>
      <c r="C19" s="99" t="s">
        <v>83</v>
      </c>
      <c r="D19" s="99"/>
      <c r="E19" s="97"/>
    </row>
    <row r="20" spans="2:5" x14ac:dyDescent="0.2">
      <c r="B20" s="47" t="s">
        <v>73</v>
      </c>
      <c r="C20" s="79"/>
      <c r="D20" s="79"/>
      <c r="E20" s="80"/>
    </row>
    <row r="21" spans="2:5" ht="24.75" customHeight="1" x14ac:dyDescent="0.2">
      <c r="B21" s="48"/>
      <c r="C21" s="98" t="s">
        <v>74</v>
      </c>
      <c r="D21" s="98"/>
      <c r="E21" s="98"/>
    </row>
    <row r="22" spans="2:5" ht="96" customHeight="1" x14ac:dyDescent="0.2">
      <c r="B22" s="48"/>
      <c r="C22" s="100" t="s">
        <v>75</v>
      </c>
      <c r="D22" s="100"/>
      <c r="E22" s="101"/>
    </row>
    <row r="23" spans="2:5" x14ac:dyDescent="0.2">
      <c r="B23" s="47" t="s">
        <v>15</v>
      </c>
      <c r="C23" s="79"/>
      <c r="D23" s="79"/>
      <c r="E23" s="80"/>
    </row>
    <row r="24" spans="2:5" ht="21.75" customHeight="1" x14ac:dyDescent="0.2">
      <c r="B24" s="48"/>
      <c r="C24" s="97" t="s">
        <v>76</v>
      </c>
      <c r="D24" s="97"/>
      <c r="E24" s="97"/>
    </row>
    <row r="25" spans="2:5" ht="13.5" customHeight="1" x14ac:dyDescent="0.2">
      <c r="B25" s="47" t="s">
        <v>16</v>
      </c>
      <c r="C25" s="81"/>
      <c r="D25" s="81"/>
      <c r="E25" s="82"/>
    </row>
    <row r="26" spans="2:5" x14ac:dyDescent="0.2">
      <c r="B26" s="48"/>
      <c r="C26" s="97" t="s">
        <v>77</v>
      </c>
      <c r="D26" s="97"/>
      <c r="E26" s="97"/>
    </row>
    <row r="27" spans="2:5" x14ac:dyDescent="0.2">
      <c r="B27" s="47" t="s">
        <v>17</v>
      </c>
      <c r="C27" s="79"/>
      <c r="D27" s="79"/>
      <c r="E27" s="80"/>
    </row>
    <row r="28" spans="2:5" x14ac:dyDescent="0.2">
      <c r="B28" s="47"/>
      <c r="C28" s="102"/>
      <c r="D28" s="102"/>
      <c r="E28" s="102"/>
    </row>
    <row r="29" spans="2:5" ht="13.5" thickBot="1" x14ac:dyDescent="0.25">
      <c r="B29" s="49"/>
      <c r="C29" s="50"/>
      <c r="D29" s="50"/>
      <c r="E29" s="51"/>
    </row>
    <row r="32" spans="2:5" ht="13.5" thickBot="1" x14ac:dyDescent="0.25"/>
    <row r="33" spans="2:5" x14ac:dyDescent="0.2">
      <c r="B33" s="83" t="s">
        <v>78</v>
      </c>
      <c r="C33" s="84"/>
      <c r="D33" s="84"/>
      <c r="E33" s="85"/>
    </row>
    <row r="34" spans="2:5" ht="12.75" customHeight="1" x14ac:dyDescent="0.2">
      <c r="B34" s="86"/>
      <c r="C34" s="87"/>
      <c r="D34" s="87"/>
      <c r="E34" s="88"/>
    </row>
    <row r="35" spans="2:5" x14ac:dyDescent="0.2">
      <c r="B35" s="89" t="s">
        <v>14</v>
      </c>
      <c r="C35" s="87"/>
      <c r="D35" s="87"/>
      <c r="E35" s="88"/>
    </row>
    <row r="36" spans="2:5" ht="42" customHeight="1" x14ac:dyDescent="0.2">
      <c r="B36" s="89"/>
      <c r="C36" s="103" t="s">
        <v>79</v>
      </c>
      <c r="D36" s="103"/>
      <c r="E36" s="104"/>
    </row>
    <row r="37" spans="2:5" x14ac:dyDescent="0.2">
      <c r="B37" s="89" t="s">
        <v>73</v>
      </c>
      <c r="C37" s="87"/>
      <c r="D37" s="87"/>
      <c r="E37" s="88"/>
    </row>
    <row r="38" spans="2:5" ht="21.75" customHeight="1" x14ac:dyDescent="0.2">
      <c r="B38" s="90"/>
      <c r="C38" s="98" t="s">
        <v>74</v>
      </c>
      <c r="D38" s="98"/>
      <c r="E38" s="98"/>
    </row>
    <row r="39" spans="2:5" ht="100.5" customHeight="1" x14ac:dyDescent="0.2">
      <c r="B39" s="90"/>
      <c r="C39" s="100" t="s">
        <v>75</v>
      </c>
      <c r="D39" s="100"/>
      <c r="E39" s="101"/>
    </row>
    <row r="40" spans="2:5" x14ac:dyDescent="0.2">
      <c r="B40" s="89" t="s">
        <v>15</v>
      </c>
      <c r="C40" s="87"/>
      <c r="D40" s="87"/>
      <c r="E40" s="88"/>
    </row>
    <row r="41" spans="2:5" x14ac:dyDescent="0.2">
      <c r="B41" s="90"/>
      <c r="C41" s="97" t="s">
        <v>76</v>
      </c>
      <c r="D41" s="97"/>
      <c r="E41" s="97"/>
    </row>
    <row r="42" spans="2:5" x14ac:dyDescent="0.2">
      <c r="B42" s="89" t="s">
        <v>16</v>
      </c>
      <c r="C42" s="91"/>
      <c r="D42" s="91"/>
      <c r="E42" s="92"/>
    </row>
    <row r="43" spans="2:5" x14ac:dyDescent="0.2">
      <c r="B43" s="90"/>
      <c r="C43" s="97" t="s">
        <v>77</v>
      </c>
      <c r="D43" s="97"/>
      <c r="E43" s="97"/>
    </row>
    <row r="44" spans="2:5" x14ac:dyDescent="0.2">
      <c r="B44" s="89" t="s">
        <v>17</v>
      </c>
      <c r="C44" s="87"/>
      <c r="D44" s="87"/>
      <c r="E44" s="88"/>
    </row>
    <row r="45" spans="2:5" ht="13.5" thickBot="1" x14ac:dyDescent="0.25">
      <c r="B45" s="93"/>
      <c r="C45" s="105"/>
      <c r="D45" s="105"/>
      <c r="E45" s="105"/>
    </row>
    <row r="47" spans="2:5" ht="13.5" thickBot="1" x14ac:dyDescent="0.25"/>
    <row r="48" spans="2:5" x14ac:dyDescent="0.2">
      <c r="B48" s="83" t="s">
        <v>80</v>
      </c>
      <c r="C48" s="84"/>
      <c r="D48" s="84"/>
      <c r="E48" s="85"/>
    </row>
    <row r="49" spans="2:5" x14ac:dyDescent="0.2">
      <c r="B49" s="86"/>
      <c r="C49" s="87"/>
      <c r="D49" s="87"/>
      <c r="E49" s="88"/>
    </row>
    <row r="50" spans="2:5" x14ac:dyDescent="0.2">
      <c r="B50" s="89" t="s">
        <v>14</v>
      </c>
      <c r="C50" s="87"/>
      <c r="D50" s="87"/>
      <c r="E50" s="88"/>
    </row>
    <row r="51" spans="2:5" ht="51.75" customHeight="1" x14ac:dyDescent="0.2">
      <c r="B51" s="89"/>
      <c r="C51" s="103" t="s">
        <v>81</v>
      </c>
      <c r="D51" s="103"/>
      <c r="E51" s="104"/>
    </row>
    <row r="52" spans="2:5" x14ac:dyDescent="0.2">
      <c r="B52" s="89" t="s">
        <v>73</v>
      </c>
      <c r="C52" s="87"/>
      <c r="D52" s="87"/>
      <c r="E52" s="88"/>
    </row>
    <row r="53" spans="2:5" x14ac:dyDescent="0.2">
      <c r="B53" s="90"/>
      <c r="C53" s="98" t="s">
        <v>74</v>
      </c>
      <c r="D53" s="98"/>
      <c r="E53" s="98"/>
    </row>
    <row r="54" spans="2:5" ht="87.75" customHeight="1" x14ac:dyDescent="0.2">
      <c r="B54" s="90"/>
      <c r="C54" s="100" t="s">
        <v>75</v>
      </c>
      <c r="D54" s="100"/>
      <c r="E54" s="101"/>
    </row>
    <row r="55" spans="2:5" x14ac:dyDescent="0.2">
      <c r="B55" s="89" t="s">
        <v>15</v>
      </c>
      <c r="C55" s="87"/>
      <c r="D55" s="87"/>
      <c r="E55" s="88"/>
    </row>
    <row r="56" spans="2:5" x14ac:dyDescent="0.2">
      <c r="B56" s="90"/>
      <c r="C56" s="97" t="s">
        <v>76</v>
      </c>
      <c r="D56" s="97"/>
      <c r="E56" s="97"/>
    </row>
    <row r="57" spans="2:5" x14ac:dyDescent="0.2">
      <c r="B57" s="89" t="s">
        <v>16</v>
      </c>
      <c r="C57" s="91"/>
      <c r="D57" s="91"/>
      <c r="E57" s="92"/>
    </row>
    <row r="58" spans="2:5" x14ac:dyDescent="0.2">
      <c r="B58" s="90"/>
      <c r="C58" s="97" t="s">
        <v>77</v>
      </c>
      <c r="D58" s="97"/>
      <c r="E58" s="97"/>
    </row>
    <row r="59" spans="2:5" x14ac:dyDescent="0.2">
      <c r="B59" s="89" t="s">
        <v>17</v>
      </c>
      <c r="C59" s="87"/>
      <c r="D59" s="87"/>
      <c r="E59" s="88"/>
    </row>
    <row r="60" spans="2:5" ht="13.5" thickBot="1" x14ac:dyDescent="0.25">
      <c r="B60" s="93"/>
      <c r="C60" s="105"/>
      <c r="D60" s="105"/>
      <c r="E60" s="105"/>
    </row>
  </sheetData>
  <mergeCells count="25">
    <mergeCell ref="C56:E56"/>
    <mergeCell ref="C58:E58"/>
    <mergeCell ref="C60:E60"/>
    <mergeCell ref="C43:E43"/>
    <mergeCell ref="C45:E45"/>
    <mergeCell ref="C51:E51"/>
    <mergeCell ref="C53:E53"/>
    <mergeCell ref="C54:E54"/>
    <mergeCell ref="C41:E41"/>
    <mergeCell ref="A6:B6"/>
    <mergeCell ref="A7:B7"/>
    <mergeCell ref="C21:E21"/>
    <mergeCell ref="C19:E19"/>
    <mergeCell ref="C22:E22"/>
    <mergeCell ref="C24:E24"/>
    <mergeCell ref="C26:E26"/>
    <mergeCell ref="C28:E28"/>
    <mergeCell ref="C39:E39"/>
    <mergeCell ref="C36:E36"/>
    <mergeCell ref="C38:E38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5"/>
  <sheetViews>
    <sheetView zoomScale="70" zoomScaleNormal="70" workbookViewId="0">
      <selection activeCell="G22" sqref="G2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48.140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106" t="s">
        <v>85</v>
      </c>
      <c r="B1" s="106"/>
      <c r="C1" s="106"/>
      <c r="D1" s="106"/>
      <c r="E1" s="106"/>
      <c r="F1" s="106"/>
      <c r="G1" s="106"/>
      <c r="H1" s="106"/>
      <c r="I1" s="106"/>
      <c r="J1" s="3" t="s">
        <v>18</v>
      </c>
      <c r="K1" s="60" t="s">
        <v>87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107" t="s">
        <v>51</v>
      </c>
      <c r="B3" s="107"/>
      <c r="C3" s="107"/>
      <c r="D3" s="108" t="str">
        <f>'Necesidades Trimestrales'!C4</f>
        <v>40 - Ministerio de Salud</v>
      </c>
      <c r="E3" s="108"/>
      <c r="F3" s="108"/>
      <c r="G3" s="108"/>
      <c r="H3" s="108"/>
      <c r="I3" s="108"/>
      <c r="J3" s="108"/>
      <c r="K3" s="108"/>
    </row>
    <row r="4" spans="1:1024" ht="18.75" customHeight="1" thickBot="1" x14ac:dyDescent="0.25">
      <c r="A4" s="109" t="s">
        <v>52</v>
      </c>
      <c r="B4" s="109"/>
      <c r="C4" s="109"/>
      <c r="D4" s="108" t="str">
        <f>'Necesidades Trimestrales'!C5</f>
        <v>23 - Hospital Interzonal San Juan Bautista</v>
      </c>
      <c r="E4" s="108"/>
      <c r="F4" s="108"/>
      <c r="G4" s="108"/>
      <c r="H4" s="108"/>
      <c r="I4" s="108"/>
      <c r="J4" s="108"/>
      <c r="K4" s="108"/>
    </row>
    <row r="5" spans="1:1024" ht="18.75" customHeight="1" thickBot="1" x14ac:dyDescent="0.25">
      <c r="A5" s="109" t="s">
        <v>30</v>
      </c>
      <c r="B5" s="109"/>
      <c r="C5" s="109"/>
      <c r="D5" s="108" t="s">
        <v>56</v>
      </c>
      <c r="E5" s="108"/>
      <c r="F5" s="108"/>
      <c r="G5" s="108"/>
      <c r="H5" s="108"/>
      <c r="I5" s="108"/>
      <c r="J5" s="108"/>
      <c r="K5" s="108"/>
    </row>
    <row r="6" spans="1:1024" ht="16.5" customHeight="1" thickBot="1" x14ac:dyDescent="0.25">
      <c r="A6" s="107" t="s">
        <v>53</v>
      </c>
      <c r="B6" s="107"/>
      <c r="C6" s="107"/>
      <c r="D6" s="108" t="s">
        <v>66</v>
      </c>
      <c r="E6" s="108"/>
      <c r="F6" s="108"/>
      <c r="G6" s="108"/>
      <c r="H6" s="108"/>
      <c r="I6" s="108"/>
      <c r="J6" s="108"/>
      <c r="K6" s="108"/>
    </row>
    <row r="7" spans="1:1024" ht="16.5" customHeight="1" x14ac:dyDescent="0.2">
      <c r="A7" s="109" t="s">
        <v>19</v>
      </c>
      <c r="B7" s="109"/>
      <c r="C7" s="109"/>
      <c r="D7" s="108" t="str">
        <f>'Necesidades Trimestrales'!C7 &amp; "° Trimestre - Año " &amp; 'Necesidades Trimestrales'!C6</f>
        <v>4° Trimestre - Año 2022</v>
      </c>
      <c r="E7" s="108"/>
      <c r="F7" s="108"/>
      <c r="G7" s="108"/>
      <c r="H7" s="108"/>
      <c r="I7" s="108"/>
      <c r="J7" s="108"/>
      <c r="K7" s="108"/>
    </row>
    <row r="8" spans="1:1024" ht="16.5" customHeight="1" x14ac:dyDescent="0.2">
      <c r="A8" s="110" t="s">
        <v>20</v>
      </c>
      <c r="B8" s="110"/>
      <c r="C8" s="110"/>
      <c r="D8" s="111" t="s">
        <v>67</v>
      </c>
      <c r="E8" s="111"/>
      <c r="F8" s="111"/>
      <c r="G8" s="111"/>
      <c r="H8" s="111"/>
      <c r="I8" s="111"/>
      <c r="J8" s="111"/>
      <c r="K8" s="111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112" t="s">
        <v>21</v>
      </c>
      <c r="B10" s="113" t="s">
        <v>22</v>
      </c>
      <c r="C10" s="114" t="s">
        <v>23</v>
      </c>
      <c r="D10" s="114"/>
      <c r="E10" s="114"/>
      <c r="F10" s="114"/>
      <c r="G10" s="114"/>
      <c r="H10" s="113" t="s">
        <v>24</v>
      </c>
      <c r="I10" s="113" t="s">
        <v>25</v>
      </c>
      <c r="J10" s="113" t="s">
        <v>26</v>
      </c>
      <c r="K10" s="115" t="s">
        <v>27</v>
      </c>
    </row>
    <row r="11" spans="1:1024" ht="43.5" customHeight="1" thickBot="1" x14ac:dyDescent="0.25">
      <c r="A11" s="112"/>
      <c r="B11" s="113"/>
      <c r="C11" s="114"/>
      <c r="D11" s="114"/>
      <c r="E11" s="114"/>
      <c r="F11" s="114"/>
      <c r="G11" s="114"/>
      <c r="H11" s="113"/>
      <c r="I11" s="113"/>
      <c r="J11" s="113"/>
      <c r="K11" s="115"/>
    </row>
    <row r="12" spans="1:1024" ht="61.5" customHeight="1" thickBot="1" x14ac:dyDescent="0.25">
      <c r="A12" s="73">
        <v>1</v>
      </c>
      <c r="B12" s="72" t="str">
        <f>'Necesidades Trimestrales'!B10</f>
        <v>2.1.1-621.20</v>
      </c>
      <c r="C12" s="116" t="str">
        <f>'Necesidades Trimestrales'!E10</f>
        <v>AVES; TIPO: POLLO, PRESENTACION: CAJA X 22 Kg, EVISCERADO: SI, ELEM. TRANSPORTE: SIN, MATERIAL ELEM. TRANSPORTE: SIN, LIBRE DE GLUTEN: SIN VALOR</v>
      </c>
      <c r="D12" s="116"/>
      <c r="E12" s="116"/>
      <c r="F12" s="116"/>
      <c r="G12" s="116"/>
      <c r="H12" s="74" t="s">
        <v>82</v>
      </c>
      <c r="I12" s="75" t="str">
        <f>'Necesidades Trimestrales'!F10</f>
        <v>CAJAS</v>
      </c>
      <c r="J12" s="76">
        <f>'Necesidades Trimestrales'!H10</f>
        <v>12100</v>
      </c>
      <c r="K12" s="77">
        <f>'Necesidades Trimestrales'!G10</f>
        <v>90</v>
      </c>
    </row>
    <row r="13" spans="1:1024" ht="61.5" customHeight="1" thickBot="1" x14ac:dyDescent="0.25">
      <c r="A13" s="73">
        <v>2</v>
      </c>
      <c r="B13" s="72" t="str">
        <f>'Necesidades Trimestrales'!B11</f>
        <v>2.1.1-621.11</v>
      </c>
      <c r="C13" s="116" t="str">
        <f>'Necesidades Trimestrales'!E11</f>
        <v>AVES; ESPECIE: PECHUGA DE POLLO, PRESENTACION: BOLSA X 2 Kg, EVISCERADO: SIN VALOR, TIPO: PECHUGA DE POLLO</v>
      </c>
      <c r="D13" s="116"/>
      <c r="E13" s="116"/>
      <c r="F13" s="116"/>
      <c r="G13" s="116"/>
      <c r="H13" s="74" t="s">
        <v>82</v>
      </c>
      <c r="I13" s="75" t="str">
        <f>'Necesidades Trimestrales'!F11</f>
        <v>BOLSAS</v>
      </c>
      <c r="J13" s="76">
        <f>'Necesidades Trimestrales'!H11</f>
        <v>2200</v>
      </c>
      <c r="K13" s="77">
        <f>'Necesidades Trimestrales'!G11</f>
        <v>200</v>
      </c>
    </row>
    <row r="14" spans="1:1024" ht="55.5" customHeight="1" thickBot="1" x14ac:dyDescent="0.25">
      <c r="A14" s="73">
        <v>3</v>
      </c>
      <c r="B14" s="72" t="str">
        <f>'Necesidades Trimestrales'!B12</f>
        <v>2.1.1-621.19</v>
      </c>
      <c r="C14" s="116" t="str">
        <f>'Necesidades Trimestrales'!E12</f>
        <v>AVES; TIPO: POLLO, PRESENTACION: PATA MUSLO, EVISCERADO: SI, ELEM. TRANSPORTE: SIN, MATERIAL ELEM. TRANSPORTE: SIN, LIBRE DE GLUTEN: SIN VALOR</v>
      </c>
      <c r="D14" s="116"/>
      <c r="E14" s="116"/>
      <c r="F14" s="116"/>
      <c r="G14" s="116"/>
      <c r="H14" s="74" t="s">
        <v>82</v>
      </c>
      <c r="I14" s="75" t="str">
        <f>'Necesidades Trimestrales'!F12</f>
        <v>CAJAS</v>
      </c>
      <c r="J14" s="76">
        <f>'Necesidades Trimestrales'!H12</f>
        <v>7000</v>
      </c>
      <c r="K14" s="77">
        <f>'Necesidades Trimestrales'!G12</f>
        <v>90</v>
      </c>
    </row>
    <row r="15" spans="1:1024" ht="27.75" customHeight="1" thickBot="1" x14ac:dyDescent="0.25">
      <c r="A15" s="117" t="s">
        <v>86</v>
      </c>
      <c r="B15" s="117"/>
      <c r="C15" s="117"/>
      <c r="D15" s="117"/>
      <c r="E15" s="117"/>
      <c r="F15" s="117"/>
      <c r="G15" s="117"/>
      <c r="H15" s="117"/>
      <c r="I15" s="117"/>
      <c r="J15" s="118">
        <f>SUMPRODUCT(J12:J14,K12:K14)</f>
        <v>2159000</v>
      </c>
      <c r="K15" s="118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</sheetData>
  <mergeCells count="25">
    <mergeCell ref="C12:G12"/>
    <mergeCell ref="C14:G14"/>
    <mergeCell ref="C13:G13"/>
    <mergeCell ref="A15:I15"/>
    <mergeCell ref="J15:K1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A4" zoomScale="130" zoomScaleNormal="130" workbookViewId="0">
      <selection activeCell="A24" sqref="A24:Q2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9" t="s">
        <v>3</v>
      </c>
      <c r="B1" s="119"/>
      <c r="C1" s="119"/>
      <c r="D1" s="120">
        <f>'Necesidades Trimestrales'!C6</f>
        <v>2022</v>
      </c>
      <c r="E1" s="120"/>
      <c r="F1" s="9"/>
      <c r="G1" s="9"/>
      <c r="H1" s="10"/>
      <c r="I1" s="10"/>
      <c r="J1" s="10"/>
      <c r="K1" s="10"/>
      <c r="L1" s="10"/>
      <c r="M1" s="10"/>
      <c r="N1" s="10"/>
      <c r="P1" s="121" t="s">
        <v>28</v>
      </c>
      <c r="Q1" s="121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21"/>
      <c r="Q2" s="121"/>
    </row>
    <row r="4" spans="1:17" s="11" customFormat="1" ht="18" customHeight="1" thickBot="1" x14ac:dyDescent="0.25">
      <c r="A4" s="122" t="s">
        <v>29</v>
      </c>
      <c r="B4" s="122"/>
      <c r="C4" s="122"/>
      <c r="D4" s="122"/>
      <c r="E4" s="122"/>
      <c r="F4" s="122"/>
      <c r="G4" s="123" t="str">
        <f>NotaPedido!D3</f>
        <v>40 - Ministerio de Salud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7" s="11" customFormat="1" ht="18" customHeight="1" thickBot="1" x14ac:dyDescent="0.25">
      <c r="A5" s="124" t="s">
        <v>52</v>
      </c>
      <c r="B5" s="125"/>
      <c r="C5" s="125"/>
      <c r="D5" s="125"/>
      <c r="E5" s="125"/>
      <c r="F5" s="126"/>
      <c r="G5" s="123" t="str">
        <f>NotaPedido!D4</f>
        <v>23 - Hospital Interzonal San Juan Bautista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17" s="11" customFormat="1" ht="18" customHeight="1" thickBot="1" x14ac:dyDescent="0.25">
      <c r="A6" s="124" t="s">
        <v>30</v>
      </c>
      <c r="B6" s="125"/>
      <c r="C6" s="125"/>
      <c r="D6" s="125"/>
      <c r="E6" s="125"/>
      <c r="F6" s="126"/>
      <c r="G6" s="123" t="str">
        <f>NotaPedido!D5</f>
        <v>168 - Direccion Asistencial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17" s="11" customFormat="1" ht="18" customHeight="1" thickBot="1" x14ac:dyDescent="0.25">
      <c r="A7" s="124" t="s">
        <v>53</v>
      </c>
      <c r="B7" s="125"/>
      <c r="C7" s="125"/>
      <c r="D7" s="125"/>
      <c r="E7" s="125"/>
      <c r="F7" s="126"/>
      <c r="G7" s="123" t="str">
        <f>NotaPedido!D6</f>
        <v>Servicio de Nutrición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7" ht="18" customHeight="1" thickBot="1" x14ac:dyDescent="0.25">
      <c r="A8" s="127" t="s">
        <v>31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2">
      <c r="A9" s="131" t="s">
        <v>32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"/>
      <c r="P9" s="1"/>
      <c r="Q9" s="12"/>
    </row>
    <row r="10" spans="1:17" ht="54.75" customHeight="1" x14ac:dyDescent="0.2">
      <c r="A10" s="13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DOCFI-2022-02170191-CAT-DASIS#HSJB,  afectando la erogación resultante a los créditos presupuestarios aprobados a favor de esta Unidad Ejecutora, conforme al siguiente detalle: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33" t="s">
        <v>33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</row>
    <row r="13" spans="1:17" ht="15.75" customHeight="1" x14ac:dyDescent="0.2">
      <c r="A13" s="134" t="s">
        <v>34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5" t="s">
        <v>35</v>
      </c>
      <c r="P13" s="135"/>
      <c r="Q13" s="136" t="s">
        <v>36</v>
      </c>
    </row>
    <row r="14" spans="1:17" ht="15.75" customHeight="1" x14ac:dyDescent="0.2">
      <c r="A14" s="17" t="s">
        <v>37</v>
      </c>
      <c r="B14" s="18" t="s">
        <v>38</v>
      </c>
      <c r="C14" s="18" t="s">
        <v>39</v>
      </c>
      <c r="D14" s="18" t="s">
        <v>40</v>
      </c>
      <c r="E14" s="18" t="s">
        <v>41</v>
      </c>
      <c r="F14" s="18" t="s">
        <v>42</v>
      </c>
      <c r="G14" s="19" t="s">
        <v>43</v>
      </c>
      <c r="H14" s="18" t="s">
        <v>44</v>
      </c>
      <c r="I14" s="18" t="s">
        <v>45</v>
      </c>
      <c r="J14" s="18" t="s">
        <v>46</v>
      </c>
      <c r="K14" s="18" t="s">
        <v>46</v>
      </c>
      <c r="L14" s="18" t="s">
        <v>47</v>
      </c>
      <c r="M14" s="20" t="s">
        <v>48</v>
      </c>
      <c r="N14" s="21" t="s">
        <v>49</v>
      </c>
      <c r="O14" s="135"/>
      <c r="P14" s="135"/>
      <c r="Q14" s="136"/>
    </row>
    <row r="15" spans="1:17" ht="17.25" customHeight="1" x14ac:dyDescent="0.2">
      <c r="A15" s="63">
        <v>33</v>
      </c>
      <c r="B15" s="64"/>
      <c r="C15" s="64"/>
      <c r="D15" s="64">
        <v>2</v>
      </c>
      <c r="E15" s="64"/>
      <c r="F15" s="64">
        <v>4901</v>
      </c>
      <c r="G15" s="64">
        <v>3</v>
      </c>
      <c r="H15" s="65" t="s">
        <v>57</v>
      </c>
      <c r="I15" s="66">
        <v>2</v>
      </c>
      <c r="J15" s="66">
        <v>1</v>
      </c>
      <c r="K15" s="66">
        <v>1</v>
      </c>
      <c r="L15" s="64"/>
      <c r="M15" s="67">
        <v>1</v>
      </c>
      <c r="N15" s="65" t="s">
        <v>58</v>
      </c>
      <c r="O15" s="128" t="s">
        <v>68</v>
      </c>
      <c r="P15" s="128"/>
      <c r="Q15" s="22">
        <v>2159000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61"/>
      <c r="I16" s="24"/>
      <c r="J16" s="24"/>
      <c r="K16" s="24"/>
      <c r="L16" s="24"/>
      <c r="M16" s="25"/>
      <c r="N16" s="62"/>
      <c r="O16" s="129"/>
      <c r="P16" s="129"/>
      <c r="Q16" s="27"/>
    </row>
    <row r="17" spans="1:19" ht="17.25" customHeight="1" x14ac:dyDescent="0.2">
      <c r="A17" s="23"/>
      <c r="B17" s="24"/>
      <c r="C17" s="24"/>
      <c r="D17" s="24"/>
      <c r="E17" s="24"/>
      <c r="F17" s="26"/>
      <c r="G17" s="24"/>
      <c r="H17" s="61"/>
      <c r="I17" s="24"/>
      <c r="J17" s="24"/>
      <c r="K17" s="24"/>
      <c r="L17" s="24"/>
      <c r="M17" s="25"/>
      <c r="N17" s="62"/>
      <c r="O17" s="129"/>
      <c r="P17" s="129"/>
      <c r="Q17" s="27"/>
      <c r="S17" s="68"/>
    </row>
    <row r="18" spans="1:19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6"/>
      <c r="O18" s="130"/>
      <c r="P18" s="130"/>
      <c r="Q18" s="27"/>
    </row>
    <row r="19" spans="1:19" ht="17.25" customHeight="1" x14ac:dyDescent="0.2">
      <c r="A19" s="28"/>
      <c r="B19" s="29"/>
      <c r="C19" s="29"/>
      <c r="D19" s="29"/>
      <c r="E19" s="29"/>
      <c r="F19" s="30"/>
      <c r="G19" s="29"/>
      <c r="H19" s="29"/>
      <c r="I19" s="29"/>
      <c r="J19" s="29"/>
      <c r="K19" s="29"/>
      <c r="L19" s="29"/>
      <c r="M19" s="31"/>
      <c r="N19" s="32"/>
      <c r="O19" s="142"/>
      <c r="P19" s="142"/>
      <c r="Q19" s="27"/>
      <c r="R19" s="1"/>
    </row>
    <row r="20" spans="1:19" ht="17.25" customHeigh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5"/>
      <c r="N20" s="34"/>
      <c r="O20" s="143"/>
      <c r="P20" s="143"/>
      <c r="Q20" s="36"/>
    </row>
    <row r="21" spans="1:19" ht="20.25" customHeight="1" x14ac:dyDescent="0.2">
      <c r="A21" s="144" t="s">
        <v>84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37">
        <f>SUM(Q15:Q20)</f>
        <v>2159000</v>
      </c>
    </row>
    <row r="22" spans="1:19" ht="18" customHeight="1" thickBot="1" x14ac:dyDescent="0.25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</row>
    <row r="23" spans="1:19" ht="17.25" customHeight="1" thickBot="1" x14ac:dyDescent="0.25">
      <c r="A23" s="137" t="s">
        <v>50</v>
      </c>
      <c r="B23" s="138"/>
      <c r="C23" s="138"/>
      <c r="D23" s="138"/>
      <c r="E23" s="138"/>
      <c r="F23" s="139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</row>
    <row r="24" spans="1:19" ht="18" customHeight="1" thickBot="1" x14ac:dyDescent="0.25">
      <c r="A24" s="141" t="str">
        <f>"Para la "&amp; NotaPedido!D8 &amp;" para ser destinados al " &amp; NotaPedido!D6 &amp;"  del HISJB del Ministerio de Salud."</f>
        <v>Para la Adquisición de Pollos para ser destinados al Servicio de Nutrición  del HISJB del Ministerio de Salud.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</row>
    <row r="25" spans="1:19" ht="15" customHeight="1" x14ac:dyDescent="0.2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</sheetData>
  <mergeCells count="29">
    <mergeCell ref="A23:F23"/>
    <mergeCell ref="G23:Q23"/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2022-11-08T16:12:06Z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