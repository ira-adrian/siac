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4E308066-A0A9-43A0-A123-5BAE31DCFC7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PERECEDEROS'!$A$9:$I$13</definedName>
    <definedName name="_xlnm.Print_Area" localSheetId="1">' NotaPedido'!$A$1:$K$16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I14" i="2"/>
  <c r="I13" i="2"/>
  <c r="I12" i="2"/>
  <c r="Q19" i="3" l="1"/>
  <c r="A10" i="3"/>
  <c r="A12" i="2" l="1"/>
  <c r="A13" i="2"/>
  <c r="A14" i="2"/>
  <c r="A15" i="2"/>
  <c r="J12" i="2" l="1"/>
  <c r="J13" i="2"/>
  <c r="J15" i="2"/>
  <c r="K12" i="2"/>
  <c r="K13" i="2"/>
  <c r="K14" i="2"/>
  <c r="K15" i="2"/>
  <c r="D7" i="2"/>
  <c r="J14" i="2" l="1"/>
  <c r="C12" i="2" l="1"/>
  <c r="C13" i="2"/>
  <c r="C14" i="2"/>
  <c r="C15" i="2"/>
  <c r="B12" i="2"/>
  <c r="B13" i="2"/>
  <c r="B14" i="2"/>
  <c r="B15" i="2"/>
  <c r="J16" i="2" l="1"/>
  <c r="D13" i="1" l="1"/>
  <c r="D11" i="1"/>
  <c r="D10" i="1"/>
  <c r="I12" i="1"/>
  <c r="I13" i="1"/>
  <c r="I11" i="1"/>
  <c r="I10" i="1"/>
  <c r="D12" i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<sst xmlns="http://schemas.openxmlformats.org/spreadsheetml/2006/main" count="146" uniqueCount="97">
  <si>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</si>
  <si>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</si>
  <si>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</si>
  <si>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</si>
  <si>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</si>
  <si>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</si>
  <si>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</si>
  <si>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</si>
  <si>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</si>
  <si>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</si>
  <si>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</si>
  <si>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</si>
  <si>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</si>
  <si>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</si>
  <si>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</si>
  <si>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</si>
  <si>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</si>
  <si>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</si>
  <si>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</si>
  <si>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</si>
  <si>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</si>
  <si>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</si>
  <si>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</si>
  <si>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</si>
  <si>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</si>
  <si>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</si>
  <si>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</si>
  <si>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</si>
  <si>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</si>
  <si>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</si>
  <si>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</si>
  <si>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</si>
  <si>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</si>
  <si>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</si>
  <si>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</si>
  <si>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</si>
  <si>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</si>
  <si>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</si>
  <si>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</si>
  <si>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</si>
  <si>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</si>
  <si>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</si>
  <si>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</si>
  <si>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</si>
  <si>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</si>
  <si>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</si>
  <si>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</si>
  <si>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</si>
  <si>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</si>
  <si>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</si>
  <si>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</si>
  <si>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</si>
  <si>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</si>
  <si>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</si>
  <si>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</si>
  <si>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ALIMENTOS</t>
  </si>
  <si>
    <t>KG</t>
  </si>
  <si>
    <t>2.1.1-541.33</t>
  </si>
  <si>
    <t>CARNES; ESPECIE: VACUNA, CORTE: BOLA DE LOMO, TIPO: VACUNA</t>
  </si>
  <si>
    <t>2.1.1-541.49</t>
  </si>
  <si>
    <t>CARNES; ESPECIE: VACUNA, CORTE: NALGA, TIPO: VACUNA</t>
  </si>
  <si>
    <t>2.1.1-541.20</t>
  </si>
  <si>
    <t>CARNES; CORTE: TAPA DE NALGA, ESPECIE: VACUNA, TIPO: VACUNA</t>
  </si>
  <si>
    <t>2.1.1-541.29</t>
  </si>
  <si>
    <t>CARNES; CORTE: PECETO, ESPECIE: VACUNA, TIPO: VACUNA</t>
  </si>
  <si>
    <t>RUBRO</t>
  </si>
  <si>
    <t>NO</t>
  </si>
  <si>
    <t>1.1</t>
  </si>
  <si>
    <t>Alimentos para Personas</t>
  </si>
  <si>
    <t>Lugares de entrega:</t>
  </si>
  <si>
    <t>40-Ministerio de Salud</t>
  </si>
  <si>
    <t xml:space="preserve">169-Direccion Asistencial </t>
  </si>
  <si>
    <t>Adquisicion de alimentos perecedero para el servicio de nutricion</t>
  </si>
  <si>
    <t xml:space="preserve">30 dias </t>
  </si>
  <si>
    <t>Especificidades Item N° 04</t>
  </si>
  <si>
    <t>PECETO</t>
  </si>
  <si>
    <t>TAPA DE NALGA</t>
  </si>
  <si>
    <t>BOLA DE LOMO</t>
  </si>
  <si>
    <t>NALGA</t>
  </si>
  <si>
    <t xml:space="preserve">Bola de lomo entera.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</si>
  <si>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</si>
  <si>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y Forma de Pago: </t>
  </si>
  <si>
    <t>según condiciones establecidas en nota</t>
  </si>
  <si>
    <t>Para la adquisición de de alimentos perecedero para ser destinados al Servicio de Nutrición de la Maternidad Provincial 25 de Mayo del Ministerio de Salud.</t>
  </si>
  <si>
    <t>SECTOR DE NUTRICION-MATERNIDAD PROVINCIAL 25 DE MAYO , HERNANDO DE PEDRAZA N° 1650.</t>
  </si>
  <si>
    <r>
      <t xml:space="preserve">Las entregas se realizarán a requerimiento de acuerdo, a las Solicitudes de Provisión que se realicen. Se estima emitir una cantidad aproximada de 3 (Tres) Solicitudes de Provisión de (1/3 aprox.) de la cantidad solicitada, en un plazo de 3 (Tres) meses: </t>
    </r>
    <r>
      <rPr>
        <u/>
        <sz val="10"/>
        <rFont val="Times New Roman"/>
        <family val="1"/>
      </rPr>
      <t>1° Solic.de Provisión:</t>
    </r>
    <r>
      <rPr>
        <sz val="10"/>
        <rFont val="Times New Roman"/>
        <family val="1"/>
      </rPr>
      <t xml:space="preserve"> aprox.a los 3 dias hábiles de la firma del instrumento contractual. </t>
    </r>
    <r>
      <rPr>
        <u/>
        <sz val="10"/>
        <rFont val="Times New Roman"/>
        <family val="1"/>
      </rPr>
      <t>2° Solic.de Provisión:</t>
    </r>
    <r>
      <rPr>
        <sz val="10"/>
        <rFont val="Times New Roman"/>
        <family val="1"/>
      </rPr>
      <t xml:space="preserve"> al mes de la firma del instrumento contractual. Y </t>
    </r>
    <r>
      <rPr>
        <u/>
        <sz val="10"/>
        <rFont val="Times New Roman"/>
        <family val="1"/>
      </rPr>
      <t>3° Solic.de Provisión:</t>
    </r>
    <r>
      <rPr>
        <sz val="10"/>
        <rFont val="Times New Roman"/>
        <family val="1"/>
      </rPr>
      <t xml:space="preserve"> a los dos meses de la firma del instrumento contractual. </t>
    </r>
    <r>
      <rPr>
        <u/>
        <sz val="10"/>
        <rFont val="Times New Roman"/>
        <family val="1"/>
      </rPr>
      <t>Plazo de cumplimiento de cada Solicitud de Provisión:</t>
    </r>
    <r>
      <rPr>
        <sz val="10"/>
        <rFont val="Times New Roman"/>
        <family val="1"/>
      </rPr>
      <t xml:space="preserve"> desde los 2 días hábiles de notificada la misma, según necesidades del Organismo solicitante. </t>
    </r>
    <r>
      <rPr>
        <u/>
        <sz val="10"/>
        <rFont val="Times New Roman"/>
        <family val="1"/>
      </rPr>
      <t>Forma de Pago:</t>
    </r>
    <r>
      <rPr>
        <sz val="10"/>
        <rFont val="Times New Roman"/>
        <family val="1"/>
      </rPr>
      <t xml:space="preserve"> Se solicita Pagos parciales por cada Solicitud de Provisión emitida, una vez finalizada la entrega de las cantidades contenidas en la misma.</t>
    </r>
  </si>
  <si>
    <t>8.00 a 9.30 Hs (AM)</t>
  </si>
  <si>
    <t>Horario:</t>
  </si>
  <si>
    <t>Especificidades Item N° 01</t>
  </si>
  <si>
    <t>Especificidades Item N° 02</t>
  </si>
  <si>
    <t>Especificidades Item N° 03</t>
  </si>
  <si>
    <r>
      <t xml:space="preserve">Las entregas se realizarán a requerimiento de acuerdo a las Solicitudes de Provisión que se realicen. Se estima emitir una cantidad aproximada de 3 (Tres) Solicitudes de Provisión de (1/3 aprox.) de la cantidad solicitada, en un plazo de 3 (Tres) meses: </t>
    </r>
    <r>
      <rPr>
        <u/>
        <sz val="10"/>
        <rFont val="Times New Roman"/>
        <family val="1"/>
      </rPr>
      <t>1° Solic.de Provisión:</t>
    </r>
    <r>
      <rPr>
        <sz val="10"/>
        <rFont val="Times New Roman"/>
        <family val="1"/>
      </rPr>
      <t xml:space="preserve"> aprox.a los 3 dias hábiles de la firma del instrumento contractual. </t>
    </r>
    <r>
      <rPr>
        <u/>
        <sz val="10"/>
        <rFont val="Times New Roman"/>
        <family val="1"/>
      </rPr>
      <t>2° Solic.de Provisión:</t>
    </r>
    <r>
      <rPr>
        <sz val="10"/>
        <rFont val="Times New Roman"/>
        <family val="1"/>
      </rPr>
      <t xml:space="preserve"> al mes de la firma del instrumento contractual. Y </t>
    </r>
    <r>
      <rPr>
        <u/>
        <sz val="10"/>
        <rFont val="Times New Roman"/>
        <family val="1"/>
      </rPr>
      <t>3° Solic.de Provisión:</t>
    </r>
    <r>
      <rPr>
        <sz val="10"/>
        <rFont val="Times New Roman"/>
        <family val="1"/>
      </rPr>
      <t xml:space="preserve"> a los dos meses de la firma del instrumento contractual. </t>
    </r>
    <r>
      <rPr>
        <u/>
        <sz val="10"/>
        <rFont val="Times New Roman"/>
        <family val="1"/>
      </rPr>
      <t>Plazo de cumplimiento de cada Solicitud de Provisión:</t>
    </r>
    <r>
      <rPr>
        <sz val="10"/>
        <rFont val="Times New Roman"/>
        <family val="1"/>
      </rPr>
      <t xml:space="preserve"> desde los 2 días hábiles de notificada la misma, según necesidades del Organismo solicitante. </t>
    </r>
    <r>
      <rPr>
        <u/>
        <sz val="10"/>
        <rFont val="Times New Roman"/>
        <family val="1"/>
      </rPr>
      <t>Forma de Pago:</t>
    </r>
    <r>
      <rPr>
        <sz val="10"/>
        <rFont val="Times New Roman"/>
        <family val="1"/>
      </rPr>
      <t xml:space="preserve"> Se solicita Pagos parciales por cada Solicitud de Provisión emitida, una vez finalizada la entrega de las cantidades contenidas en la misma.</t>
    </r>
  </si>
  <si>
    <t>Pedido de carne - 2 Meses</t>
  </si>
  <si>
    <t>4°</t>
  </si>
  <si>
    <t>Costo total estimado: QUINIENTOS OCHENTA Y NUEVE MIL NOVECIENTOS OCHENTA CON 00/100</t>
  </si>
  <si>
    <t>TOTAL DE PESOS: QUINIENTOS OCHENTA Y NUEVE MIL NOVECIENTOS OCHENTA CON 00/100</t>
  </si>
  <si>
    <t>159/2021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</si>
</sst>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8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19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0" xfId="0" applyBorder="1"/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6" fontId="14" fillId="0" borderId="25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3" xfId="0" applyFont="1" applyBorder="1"/>
    <xf numFmtId="169" fontId="16" fillId="0" borderId="0" xfId="0" applyNumberFormat="1" applyFont="1"/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2" fillId="0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3" fontId="5" fillId="0" borderId="41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/>
    <xf numFmtId="0" fontId="26" fillId="0" borderId="0" xfId="0" applyFont="1"/>
    <xf numFmtId="0" fontId="26" fillId="0" borderId="0" xfId="0" applyFont="1" applyFill="1"/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16" fillId="0" borderId="32" xfId="0" applyFont="1" applyBorder="1"/>
    <xf numFmtId="0" fontId="16" fillId="0" borderId="4" xfId="0" applyFont="1" applyBorder="1"/>
    <xf numFmtId="0" fontId="2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23" fillId="0" borderId="0" xfId="0" applyFont="1" applyBorder="1" applyAlignment="1">
      <alignment horizontal="left" indent="3"/>
    </xf>
    <xf numFmtId="0" fontId="19" fillId="3" borderId="0" xfId="0" applyFont="1" applyFill="1" applyBorder="1" applyAlignment="1">
      <alignment horizontal="center" vertical="center" wrapText="1"/>
    </xf>
    <xf numFmtId="0" fontId="16" fillId="0" borderId="0" xfId="0" applyFont="1" applyBorder="1"/>
    <xf numFmtId="0" fontId="16" fillId="3" borderId="0" xfId="0" applyFont="1" applyFill="1"/>
    <xf numFmtId="0" fontId="26" fillId="3" borderId="0" xfId="0" applyFont="1" applyFill="1"/>
    <xf numFmtId="170" fontId="16" fillId="3" borderId="0" xfId="0" applyNumberFormat="1" applyFont="1" applyFill="1" applyBorder="1"/>
    <xf numFmtId="0" fontId="26" fillId="3" borderId="0" xfId="0" applyFont="1" applyFill="1" applyBorder="1"/>
    <xf numFmtId="0" fontId="16" fillId="3" borderId="0" xfId="0" applyFont="1" applyFill="1" applyBorder="1"/>
    <xf numFmtId="0" fontId="2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/>
    </xf>
    <xf numFmtId="169" fontId="19" fillId="3" borderId="0" xfId="0" applyNumberFormat="1" applyFont="1" applyFill="1" applyBorder="1" applyAlignment="1">
      <alignment horizontal="center" vertical="center" wrapText="1"/>
    </xf>
    <xf numFmtId="166" fontId="21" fillId="3" borderId="0" xfId="1" applyNumberFormat="1" applyFont="1" applyFill="1" applyBorder="1" applyAlignment="1" applyProtection="1">
      <alignment horizontal="right" vertical="center" wrapText="1"/>
    </xf>
    <xf numFmtId="0" fontId="29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wrapText="1"/>
    </xf>
    <xf numFmtId="0" fontId="7" fillId="0" borderId="7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23" fillId="0" borderId="3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3" fillId="0" borderId="33" xfId="0" applyFont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166" fontId="21" fillId="0" borderId="41" xfId="1" applyNumberFormat="1" applyFont="1" applyFill="1" applyBorder="1" applyAlignment="1" applyProtection="1">
      <alignment horizontal="right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9" fontId="20" fillId="0" borderId="45" xfId="0" applyNumberFormat="1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left"/>
    </xf>
    <xf numFmtId="0" fontId="16" fillId="0" borderId="29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27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7" fillId="0" borderId="0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167" fontId="25" fillId="0" borderId="30" xfId="0" applyNumberFormat="1" applyFont="1" applyFill="1" applyBorder="1" applyAlignment="1">
      <alignment horizontal="center" vertical="center"/>
    </xf>
    <xf numFmtId="167" fontId="25" fillId="0" borderId="29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 indent="1"/>
    </xf>
    <xf numFmtId="0" fontId="7" fillId="0" borderId="42" xfId="0" applyFont="1" applyFill="1" applyBorder="1" applyAlignment="1">
      <alignment horizontal="left" vertical="center" wrapText="1" indent="1"/>
    </xf>
    <xf numFmtId="0" fontId="7" fillId="0" borderId="15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34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5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28" fillId="0" borderId="25" xfId="0" applyFont="1" applyBorder="1" applyAlignment="1">
      <alignment horizontal="left" vertical="center" wrapText="1"/>
    </xf>
    <xf numFmtId="0" fontId="0" fillId="0" borderId="16" xfId="0" applyBorder="1"/>
    <xf numFmtId="0" fontId="12" fillId="0" borderId="17" xfId="0" applyFont="1" applyBorder="1"/>
    <xf numFmtId="0" fontId="12" fillId="0" borderId="18" xfId="0" applyFont="1" applyFill="1" applyBorder="1" applyAlignment="1">
      <alignment horizontal="left" vertical="center" wrapText="1" indent="1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0" fillId="0" borderId="15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zoomScaleNormal="100" workbookViewId="0">
      <selection activeCell="K11" sqref="K11"/>
    </sheetView>
  </sheetViews>
  <sheetFormatPr baseColWidth="10" defaultColWidth="11" defaultRowHeight="23.25" x14ac:dyDescent="0.35"/>
  <cols>
    <col min="1" max="1" width="4.5703125" style="17" customWidth="1"/>
    <col min="2" max="2" width="14.5703125" style="36" customWidth="1"/>
    <col min="3" max="3" width="22.42578125" style="35" customWidth="1"/>
    <col min="4" max="4" width="8.42578125" style="17" customWidth="1"/>
    <col min="5" max="5" width="79" style="37" customWidth="1"/>
    <col min="6" max="6" width="12.140625" style="17" customWidth="1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1" width="11" style="68"/>
    <col min="12" max="16384" width="11" style="17"/>
  </cols>
  <sheetData>
    <row r="1" spans="1:11" s="36" customFormat="1" x14ac:dyDescent="0.35">
      <c r="C1" s="41"/>
      <c r="E1" s="37"/>
      <c r="H1" s="42"/>
      <c r="K1" s="67"/>
    </row>
    <row r="2" spans="1:11" s="36" customFormat="1" ht="27" x14ac:dyDescent="0.35">
      <c r="B2" s="128" t="s">
        <v>92</v>
      </c>
      <c r="C2" s="128"/>
      <c r="D2" s="128"/>
      <c r="E2" s="128"/>
      <c r="F2" s="128"/>
      <c r="G2" s="128"/>
      <c r="H2" s="128"/>
      <c r="K2" s="67"/>
    </row>
    <row r="3" spans="1:11" s="36" customFormat="1" x14ac:dyDescent="0.35">
      <c r="C3" s="41"/>
      <c r="E3" s="37"/>
      <c r="H3" s="42"/>
      <c r="K3" s="67"/>
    </row>
    <row r="4" spans="1:11" s="36" customFormat="1" x14ac:dyDescent="0.35">
      <c r="A4" s="129" t="s">
        <v>0</v>
      </c>
      <c r="B4" s="129"/>
      <c r="C4" s="130" t="s">
        <v>70</v>
      </c>
      <c r="D4" s="130"/>
      <c r="E4" s="130"/>
      <c r="F4" s="39"/>
      <c r="G4" s="43"/>
      <c r="H4" s="44"/>
      <c r="K4" s="67"/>
    </row>
    <row r="5" spans="1:11" s="36" customFormat="1" x14ac:dyDescent="0.35">
      <c r="A5" s="129" t="s">
        <v>1</v>
      </c>
      <c r="B5" s="129"/>
      <c r="C5" s="130" t="s">
        <v>53</v>
      </c>
      <c r="D5" s="130"/>
      <c r="E5" s="130"/>
      <c r="F5" s="39"/>
      <c r="G5" s="43"/>
      <c r="H5" s="44"/>
      <c r="K5" s="67"/>
    </row>
    <row r="6" spans="1:11" s="36" customFormat="1" x14ac:dyDescent="0.35">
      <c r="A6" s="129" t="s">
        <v>2</v>
      </c>
      <c r="B6" s="129"/>
      <c r="C6" s="45">
        <v>2021</v>
      </c>
      <c r="D6" s="46"/>
      <c r="E6" s="38"/>
      <c r="F6" s="39"/>
      <c r="G6" s="43"/>
      <c r="H6" s="44"/>
      <c r="K6" s="67"/>
    </row>
    <row r="7" spans="1:11" s="36" customFormat="1" x14ac:dyDescent="0.35">
      <c r="A7" s="129" t="s">
        <v>3</v>
      </c>
      <c r="B7" s="129"/>
      <c r="C7" s="45" t="s">
        <v>93</v>
      </c>
      <c r="D7" s="46"/>
      <c r="E7" s="38"/>
      <c r="F7" s="39"/>
      <c r="G7" s="43"/>
      <c r="H7" s="44"/>
      <c r="K7" s="67"/>
    </row>
    <row r="8" spans="1:11" s="36" customFormat="1" ht="24" thickBot="1" x14ac:dyDescent="0.4">
      <c r="B8" s="39"/>
      <c r="C8" s="47"/>
      <c r="D8" s="39"/>
      <c r="E8" s="40"/>
      <c r="F8" s="39"/>
      <c r="G8" s="43"/>
      <c r="H8" s="44"/>
      <c r="K8" s="67"/>
    </row>
    <row r="9" spans="1:11" ht="39" thickBot="1" x14ac:dyDescent="0.4">
      <c r="A9" s="111" t="s">
        <v>4</v>
      </c>
      <c r="B9" s="112" t="s">
        <v>5</v>
      </c>
      <c r="C9" s="113" t="s">
        <v>65</v>
      </c>
      <c r="D9" s="113" t="s">
        <v>6</v>
      </c>
      <c r="E9" s="112" t="s">
        <v>7</v>
      </c>
      <c r="F9" s="113" t="s">
        <v>8</v>
      </c>
      <c r="G9" s="113" t="s">
        <v>9</v>
      </c>
      <c r="H9" s="114" t="s">
        <v>10</v>
      </c>
      <c r="I9" s="115" t="s">
        <v>11</v>
      </c>
    </row>
    <row r="10" spans="1:11" s="84" customFormat="1" x14ac:dyDescent="0.35">
      <c r="A10" s="109">
        <v>1</v>
      </c>
      <c r="B10" s="116" t="s">
        <v>63</v>
      </c>
      <c r="C10" s="116" t="s">
        <v>55</v>
      </c>
      <c r="D10" s="34" t="str">
        <f t="shared" ref="D10:D13" si="0">LEFT(B10,5)</f>
        <v>2.1.1</v>
      </c>
      <c r="E10" s="48" t="s">
        <v>64</v>
      </c>
      <c r="F10" s="65" t="s">
        <v>56</v>
      </c>
      <c r="G10" s="65">
        <v>70</v>
      </c>
      <c r="H10" s="66">
        <v>1476</v>
      </c>
      <c r="I10" s="110">
        <f t="shared" ref="I10:I13" si="1">H10*G10</f>
        <v>103320</v>
      </c>
      <c r="K10" s="85"/>
    </row>
    <row r="11" spans="1:11" s="33" customFormat="1" x14ac:dyDescent="0.35">
      <c r="A11" s="109">
        <v>2</v>
      </c>
      <c r="B11" s="116" t="s">
        <v>61</v>
      </c>
      <c r="C11" s="116" t="s">
        <v>55</v>
      </c>
      <c r="D11" s="34" t="str">
        <f t="shared" si="0"/>
        <v>2.1.1</v>
      </c>
      <c r="E11" s="48" t="s">
        <v>62</v>
      </c>
      <c r="F11" s="65" t="s">
        <v>56</v>
      </c>
      <c r="G11" s="65">
        <v>70</v>
      </c>
      <c r="H11" s="66">
        <v>1368</v>
      </c>
      <c r="I11" s="110">
        <f t="shared" si="1"/>
        <v>95760</v>
      </c>
      <c r="K11" s="69"/>
    </row>
    <row r="12" spans="1:11" s="33" customFormat="1" x14ac:dyDescent="0.35">
      <c r="A12" s="109">
        <v>3</v>
      </c>
      <c r="B12" s="116" t="s">
        <v>57</v>
      </c>
      <c r="C12" s="116" t="s">
        <v>55</v>
      </c>
      <c r="D12" s="34" t="str">
        <f t="shared" si="0"/>
        <v>2.1.1</v>
      </c>
      <c r="E12" s="48" t="s">
        <v>58</v>
      </c>
      <c r="F12" s="65" t="s">
        <v>56</v>
      </c>
      <c r="G12" s="65">
        <v>75</v>
      </c>
      <c r="H12" s="66">
        <v>1092</v>
      </c>
      <c r="I12" s="110">
        <f t="shared" si="1"/>
        <v>81900</v>
      </c>
      <c r="K12" s="69"/>
    </row>
    <row r="13" spans="1:11" s="33" customFormat="1" x14ac:dyDescent="0.35">
      <c r="A13" s="109">
        <v>4</v>
      </c>
      <c r="B13" s="116" t="s">
        <v>59</v>
      </c>
      <c r="C13" s="116" t="s">
        <v>55</v>
      </c>
      <c r="D13" s="34" t="str">
        <f t="shared" si="0"/>
        <v>2.1.1</v>
      </c>
      <c r="E13" s="48" t="s">
        <v>60</v>
      </c>
      <c r="F13" s="65" t="s">
        <v>56</v>
      </c>
      <c r="G13" s="65">
        <v>250</v>
      </c>
      <c r="H13" s="66">
        <v>1236</v>
      </c>
      <c r="I13" s="110">
        <f t="shared" si="1"/>
        <v>309000</v>
      </c>
      <c r="K13" s="69"/>
    </row>
    <row r="14" spans="1:11" s="88" customFormat="1" x14ac:dyDescent="0.35">
      <c r="A14" s="89"/>
      <c r="B14" s="90"/>
      <c r="C14" s="90"/>
      <c r="D14" s="91"/>
      <c r="E14" s="92"/>
      <c r="F14" s="82"/>
      <c r="G14" s="82"/>
      <c r="H14" s="93"/>
      <c r="I14" s="94"/>
      <c r="J14" s="86"/>
      <c r="K14" s="87"/>
    </row>
    <row r="15" spans="1:11" s="88" customFormat="1" x14ac:dyDescent="0.35">
      <c r="A15" s="89"/>
      <c r="B15" s="90"/>
      <c r="C15" s="81"/>
      <c r="D15" s="102"/>
      <c r="E15" s="102"/>
      <c r="F15" s="102"/>
      <c r="G15" s="82"/>
      <c r="H15" s="93"/>
      <c r="I15" s="94"/>
      <c r="J15" s="86"/>
      <c r="K15" s="87"/>
    </row>
    <row r="16" spans="1:11" s="88" customFormat="1" ht="24" thickBot="1" x14ac:dyDescent="0.4">
      <c r="A16" s="89"/>
      <c r="B16" s="90"/>
      <c r="C16" s="119"/>
      <c r="D16" s="102"/>
      <c r="E16" s="102"/>
      <c r="F16" s="102"/>
      <c r="G16" s="82"/>
      <c r="H16" s="93"/>
      <c r="I16" s="94"/>
      <c r="J16" s="86"/>
      <c r="K16" s="87"/>
    </row>
    <row r="17" spans="1:11" s="88" customFormat="1" x14ac:dyDescent="0.35">
      <c r="A17" s="89"/>
      <c r="B17" s="90"/>
      <c r="C17" s="120" t="s">
        <v>88</v>
      </c>
      <c r="D17" s="18"/>
      <c r="E17" s="18"/>
      <c r="F17" s="74"/>
      <c r="G17" s="82"/>
      <c r="H17" s="93"/>
      <c r="I17" s="94"/>
      <c r="J17" s="86"/>
      <c r="K17" s="87"/>
    </row>
    <row r="18" spans="1:11" s="88" customFormat="1" x14ac:dyDescent="0.35">
      <c r="A18" s="89"/>
      <c r="B18" s="90"/>
      <c r="C18" s="117"/>
      <c r="D18" s="83"/>
      <c r="E18" s="105" t="s">
        <v>75</v>
      </c>
      <c r="F18" s="75"/>
      <c r="G18" s="82"/>
      <c r="H18" s="93"/>
      <c r="I18" s="94"/>
      <c r="J18" s="86"/>
      <c r="K18" s="87"/>
    </row>
    <row r="19" spans="1:11" s="88" customFormat="1" x14ac:dyDescent="0.35">
      <c r="A19" s="89"/>
      <c r="B19" s="90"/>
      <c r="C19" s="106" t="s">
        <v>12</v>
      </c>
      <c r="D19" s="138"/>
      <c r="E19" s="138"/>
      <c r="F19" s="131"/>
      <c r="G19" s="82"/>
      <c r="H19" s="93"/>
      <c r="I19" s="94"/>
      <c r="J19" s="86"/>
      <c r="K19" s="87"/>
    </row>
    <row r="20" spans="1:11" s="88" customFormat="1" x14ac:dyDescent="0.35">
      <c r="A20" s="89"/>
      <c r="B20" s="90"/>
      <c r="C20" s="106"/>
      <c r="D20" s="138"/>
      <c r="E20" s="138"/>
      <c r="F20" s="131"/>
      <c r="G20" s="82"/>
      <c r="H20" s="93"/>
      <c r="I20" s="94"/>
      <c r="J20" s="86"/>
      <c r="K20" s="87"/>
    </row>
    <row r="21" spans="1:11" s="88" customFormat="1" x14ac:dyDescent="0.35">
      <c r="A21" s="89"/>
      <c r="B21" s="90"/>
      <c r="C21" s="106"/>
      <c r="D21" s="103"/>
      <c r="E21" s="101"/>
      <c r="F21" s="97"/>
      <c r="G21" s="82"/>
      <c r="H21" s="93"/>
      <c r="I21" s="94"/>
      <c r="J21" s="86"/>
      <c r="K21" s="87"/>
    </row>
    <row r="22" spans="1:11" s="88" customFormat="1" ht="102.75" customHeight="1" x14ac:dyDescent="0.35">
      <c r="A22" s="89"/>
      <c r="B22" s="90"/>
      <c r="C22" s="106" t="s">
        <v>81</v>
      </c>
      <c r="D22" s="126" t="s">
        <v>91</v>
      </c>
      <c r="E22" s="126"/>
      <c r="F22" s="127"/>
      <c r="G22" s="82"/>
      <c r="H22" s="93"/>
      <c r="I22" s="94"/>
      <c r="J22" s="86"/>
      <c r="K22" s="87"/>
    </row>
    <row r="23" spans="1:11" s="88" customFormat="1" x14ac:dyDescent="0.35">
      <c r="A23" s="89"/>
      <c r="B23" s="90"/>
      <c r="C23" s="117"/>
      <c r="D23" s="134"/>
      <c r="E23" s="134"/>
      <c r="F23" s="133"/>
      <c r="G23" s="82"/>
      <c r="H23" s="93"/>
      <c r="I23" s="94"/>
      <c r="J23" s="86"/>
      <c r="K23" s="87"/>
    </row>
    <row r="24" spans="1:11" s="88" customFormat="1" x14ac:dyDescent="0.35">
      <c r="A24" s="89"/>
      <c r="B24" s="90"/>
      <c r="C24" s="106" t="s">
        <v>69</v>
      </c>
      <c r="D24" s="134" t="s">
        <v>84</v>
      </c>
      <c r="E24" s="134"/>
      <c r="F24" s="133"/>
      <c r="G24" s="82"/>
      <c r="H24" s="93"/>
      <c r="I24" s="94"/>
      <c r="J24" s="86"/>
      <c r="K24" s="87"/>
    </row>
    <row r="25" spans="1:11" s="88" customFormat="1" x14ac:dyDescent="0.35">
      <c r="A25" s="89"/>
      <c r="B25" s="90"/>
      <c r="C25" s="108" t="s">
        <v>87</v>
      </c>
      <c r="D25" s="107"/>
      <c r="E25" s="123" t="s">
        <v>86</v>
      </c>
      <c r="F25" s="99"/>
      <c r="G25" s="82"/>
      <c r="H25" s="93"/>
      <c r="I25" s="94"/>
      <c r="J25" s="86"/>
      <c r="K25" s="87"/>
    </row>
    <row r="26" spans="1:11" s="88" customFormat="1" x14ac:dyDescent="0.35">
      <c r="A26" s="89"/>
      <c r="B26" s="90"/>
      <c r="C26" s="106"/>
      <c r="D26" s="102"/>
      <c r="E26" s="102"/>
      <c r="F26" s="99"/>
      <c r="G26" s="82"/>
      <c r="H26" s="93"/>
      <c r="I26" s="94"/>
      <c r="J26" s="86"/>
      <c r="K26" s="87"/>
    </row>
    <row r="27" spans="1:11" s="88" customFormat="1" x14ac:dyDescent="0.35">
      <c r="A27" s="89"/>
      <c r="B27" s="90"/>
      <c r="C27" s="106" t="s">
        <v>13</v>
      </c>
      <c r="D27" s="83"/>
      <c r="E27" s="83" t="s">
        <v>82</v>
      </c>
      <c r="F27" s="75"/>
      <c r="G27" s="82"/>
      <c r="H27" s="93"/>
      <c r="I27" s="94"/>
      <c r="J27" s="86"/>
      <c r="K27" s="87"/>
    </row>
    <row r="28" spans="1:11" s="88" customFormat="1" x14ac:dyDescent="0.35">
      <c r="A28" s="89"/>
      <c r="B28" s="90"/>
      <c r="C28" s="117"/>
      <c r="D28" s="139"/>
      <c r="E28" s="139"/>
      <c r="F28" s="125"/>
      <c r="G28" s="82"/>
      <c r="H28" s="93"/>
      <c r="I28" s="94"/>
      <c r="J28" s="86"/>
      <c r="K28" s="87"/>
    </row>
    <row r="29" spans="1:11" s="88" customFormat="1" x14ac:dyDescent="0.35">
      <c r="A29" s="89"/>
      <c r="B29" s="90"/>
      <c r="C29" s="106" t="s">
        <v>14</v>
      </c>
      <c r="D29" s="101"/>
      <c r="E29" s="101"/>
      <c r="F29" s="97"/>
      <c r="G29" s="82"/>
      <c r="H29" s="93"/>
      <c r="I29" s="94"/>
      <c r="J29" s="86"/>
      <c r="K29" s="87"/>
    </row>
    <row r="30" spans="1:11" s="88" customFormat="1" x14ac:dyDescent="0.35">
      <c r="A30" s="89"/>
      <c r="B30" s="90"/>
      <c r="C30" s="117"/>
      <c r="D30" s="125" t="s">
        <v>73</v>
      </c>
      <c r="E30" s="125"/>
      <c r="F30" s="125"/>
      <c r="G30" s="82"/>
      <c r="H30" s="93"/>
      <c r="I30" s="94"/>
      <c r="J30" s="86"/>
      <c r="K30" s="87"/>
    </row>
    <row r="31" spans="1:11" s="88" customFormat="1" x14ac:dyDescent="0.35">
      <c r="A31" s="89"/>
      <c r="B31" s="90"/>
      <c r="C31" s="106" t="s">
        <v>15</v>
      </c>
      <c r="D31" s="83"/>
      <c r="E31" s="83"/>
      <c r="F31" s="75"/>
      <c r="G31" s="82"/>
      <c r="H31" s="93"/>
      <c r="I31" s="94"/>
      <c r="J31" s="86"/>
      <c r="K31" s="87"/>
    </row>
    <row r="32" spans="1:11" s="88" customFormat="1" ht="24" thickBot="1" x14ac:dyDescent="0.4">
      <c r="A32" s="89"/>
      <c r="B32" s="90"/>
      <c r="C32" s="118"/>
      <c r="D32" s="137"/>
      <c r="E32" s="137"/>
      <c r="F32" s="124"/>
      <c r="G32" s="82"/>
      <c r="H32" s="93"/>
      <c r="I32" s="94"/>
      <c r="J32" s="86"/>
      <c r="K32" s="87"/>
    </row>
    <row r="33" spans="1:11" s="88" customFormat="1" ht="24" thickBot="1" x14ac:dyDescent="0.4">
      <c r="A33" s="89"/>
      <c r="B33" s="90"/>
      <c r="C33" s="119"/>
      <c r="D33" s="102"/>
      <c r="E33" s="102"/>
      <c r="F33" s="102"/>
      <c r="G33" s="82"/>
      <c r="H33" s="93"/>
      <c r="I33" s="94"/>
      <c r="J33" s="86"/>
      <c r="K33" s="87"/>
    </row>
    <row r="34" spans="1:11" s="88" customFormat="1" x14ac:dyDescent="0.35">
      <c r="A34" s="89"/>
      <c r="B34" s="90"/>
      <c r="C34" s="120" t="s">
        <v>89</v>
      </c>
      <c r="D34" s="18"/>
      <c r="E34" s="18"/>
      <c r="F34" s="74"/>
      <c r="G34" s="82"/>
      <c r="H34" s="93"/>
      <c r="I34" s="94"/>
      <c r="J34" s="86"/>
      <c r="K34" s="87"/>
    </row>
    <row r="35" spans="1:11" s="88" customFormat="1" x14ac:dyDescent="0.35">
      <c r="A35" s="89"/>
      <c r="B35" s="90"/>
      <c r="C35" s="117"/>
      <c r="D35" s="83"/>
      <c r="E35" s="105" t="s">
        <v>76</v>
      </c>
      <c r="F35" s="75"/>
      <c r="G35" s="82"/>
      <c r="H35" s="93"/>
      <c r="I35" s="94"/>
      <c r="J35" s="86"/>
      <c r="K35" s="87"/>
    </row>
    <row r="36" spans="1:11" s="88" customFormat="1" x14ac:dyDescent="0.35">
      <c r="A36" s="89"/>
      <c r="B36" s="90"/>
      <c r="C36" s="106" t="s">
        <v>12</v>
      </c>
      <c r="D36" s="138"/>
      <c r="E36" s="138"/>
      <c r="F36" s="131"/>
      <c r="G36" s="82"/>
      <c r="H36" s="93"/>
      <c r="I36" s="94"/>
      <c r="J36" s="86"/>
      <c r="K36" s="87"/>
    </row>
    <row r="37" spans="1:11" s="88" customFormat="1" x14ac:dyDescent="0.35">
      <c r="A37" s="89"/>
      <c r="B37" s="90"/>
      <c r="C37" s="106"/>
      <c r="D37" s="138"/>
      <c r="E37" s="138"/>
      <c r="F37" s="131"/>
      <c r="G37" s="82"/>
      <c r="H37" s="93"/>
      <c r="I37" s="94"/>
      <c r="J37" s="86"/>
      <c r="K37" s="87"/>
    </row>
    <row r="38" spans="1:11" s="88" customFormat="1" x14ac:dyDescent="0.35">
      <c r="A38" s="89"/>
      <c r="B38" s="90"/>
      <c r="C38" s="106"/>
      <c r="D38" s="103"/>
      <c r="E38" s="101"/>
      <c r="F38" s="97"/>
      <c r="G38" s="82"/>
      <c r="H38" s="93"/>
      <c r="I38" s="94"/>
      <c r="J38" s="86"/>
      <c r="K38" s="87"/>
    </row>
    <row r="39" spans="1:11" s="88" customFormat="1" ht="88.5" customHeight="1" x14ac:dyDescent="0.35">
      <c r="A39" s="89"/>
      <c r="B39" s="90"/>
      <c r="C39" s="106" t="s">
        <v>81</v>
      </c>
      <c r="D39" s="126" t="s">
        <v>85</v>
      </c>
      <c r="E39" s="126"/>
      <c r="F39" s="127"/>
      <c r="G39" s="82"/>
      <c r="H39" s="93"/>
      <c r="I39" s="94"/>
      <c r="J39" s="86"/>
      <c r="K39" s="87"/>
    </row>
    <row r="40" spans="1:11" s="88" customFormat="1" x14ac:dyDescent="0.35">
      <c r="A40" s="89"/>
      <c r="B40" s="90"/>
      <c r="C40" s="117"/>
      <c r="D40" s="134"/>
      <c r="E40" s="134"/>
      <c r="F40" s="133"/>
      <c r="G40" s="82"/>
      <c r="H40" s="93"/>
      <c r="I40" s="94"/>
      <c r="J40" s="86"/>
      <c r="K40" s="87"/>
    </row>
    <row r="41" spans="1:11" s="88" customFormat="1" x14ac:dyDescent="0.35">
      <c r="A41" s="89"/>
      <c r="B41" s="90"/>
      <c r="C41" s="106" t="s">
        <v>69</v>
      </c>
      <c r="D41" s="134" t="s">
        <v>84</v>
      </c>
      <c r="E41" s="134"/>
      <c r="F41" s="133"/>
      <c r="G41" s="82"/>
      <c r="H41" s="93"/>
      <c r="I41" s="94"/>
      <c r="J41" s="86"/>
      <c r="K41" s="87"/>
    </row>
    <row r="42" spans="1:11" s="88" customFormat="1" x14ac:dyDescent="0.35">
      <c r="A42" s="89"/>
      <c r="B42" s="90"/>
      <c r="C42" s="108" t="s">
        <v>87</v>
      </c>
      <c r="D42" s="107"/>
      <c r="E42" s="123" t="s">
        <v>86</v>
      </c>
      <c r="F42" s="99"/>
      <c r="G42" s="82"/>
      <c r="H42" s="93"/>
      <c r="I42" s="94"/>
      <c r="J42" s="86"/>
      <c r="K42" s="87"/>
    </row>
    <row r="43" spans="1:11" s="88" customFormat="1" x14ac:dyDescent="0.35">
      <c r="A43" s="89"/>
      <c r="B43" s="90"/>
      <c r="C43" s="106"/>
      <c r="D43" s="102"/>
      <c r="E43" s="102"/>
      <c r="F43" s="99"/>
      <c r="G43" s="82"/>
      <c r="H43" s="93"/>
      <c r="I43" s="94"/>
      <c r="J43" s="86"/>
      <c r="K43" s="87"/>
    </row>
    <row r="44" spans="1:11" s="88" customFormat="1" x14ac:dyDescent="0.35">
      <c r="A44" s="89"/>
      <c r="B44" s="90"/>
      <c r="C44" s="106" t="s">
        <v>13</v>
      </c>
      <c r="D44" s="83"/>
      <c r="E44" s="83" t="s">
        <v>82</v>
      </c>
      <c r="F44" s="75"/>
      <c r="G44" s="82"/>
      <c r="H44" s="93"/>
      <c r="I44" s="94"/>
      <c r="J44" s="86"/>
      <c r="K44" s="87"/>
    </row>
    <row r="45" spans="1:11" s="88" customFormat="1" x14ac:dyDescent="0.35">
      <c r="A45" s="89"/>
      <c r="B45" s="90"/>
      <c r="C45" s="117"/>
      <c r="D45" s="139"/>
      <c r="E45" s="139"/>
      <c r="F45" s="125"/>
      <c r="G45" s="82"/>
      <c r="H45" s="93"/>
      <c r="I45" s="94"/>
      <c r="J45" s="86"/>
      <c r="K45" s="87"/>
    </row>
    <row r="46" spans="1:11" s="88" customFormat="1" x14ac:dyDescent="0.35">
      <c r="A46" s="89"/>
      <c r="B46" s="90"/>
      <c r="C46" s="106" t="s">
        <v>14</v>
      </c>
      <c r="D46" s="101"/>
      <c r="E46" s="101"/>
      <c r="F46" s="97"/>
      <c r="G46" s="82"/>
      <c r="H46" s="93"/>
      <c r="I46" s="94"/>
      <c r="J46" s="86"/>
      <c r="K46" s="87"/>
    </row>
    <row r="47" spans="1:11" s="88" customFormat="1" x14ac:dyDescent="0.35">
      <c r="A47" s="89"/>
      <c r="B47" s="90"/>
      <c r="C47" s="117"/>
      <c r="D47" s="125" t="s">
        <v>73</v>
      </c>
      <c r="E47" s="125"/>
      <c r="F47" s="125"/>
      <c r="G47" s="82"/>
      <c r="H47" s="93"/>
      <c r="I47" s="94"/>
      <c r="J47" s="86"/>
      <c r="K47" s="87"/>
    </row>
    <row r="48" spans="1:11" s="88" customFormat="1" x14ac:dyDescent="0.35">
      <c r="A48" s="89"/>
      <c r="B48" s="90"/>
      <c r="C48" s="106" t="s">
        <v>15</v>
      </c>
      <c r="D48" s="83"/>
      <c r="E48" s="83"/>
      <c r="F48" s="75"/>
      <c r="G48" s="82"/>
      <c r="H48" s="93"/>
      <c r="I48" s="94"/>
      <c r="J48" s="86"/>
      <c r="K48" s="87"/>
    </row>
    <row r="49" spans="1:11" s="88" customFormat="1" ht="24" thickBot="1" x14ac:dyDescent="0.4">
      <c r="A49" s="89"/>
      <c r="B49" s="90"/>
      <c r="C49" s="118"/>
      <c r="D49" s="137"/>
      <c r="E49" s="137"/>
      <c r="F49" s="124"/>
      <c r="G49" s="82"/>
      <c r="H49" s="93"/>
      <c r="I49" s="94"/>
      <c r="J49" s="86"/>
      <c r="K49" s="87"/>
    </row>
    <row r="50" spans="1:11" s="88" customFormat="1" x14ac:dyDescent="0.35">
      <c r="A50" s="89"/>
      <c r="B50" s="90"/>
      <c r="C50" s="119"/>
      <c r="D50" s="102"/>
      <c r="E50" s="102"/>
      <c r="F50" s="102"/>
      <c r="G50" s="82"/>
      <c r="H50" s="93"/>
      <c r="I50" s="94"/>
      <c r="J50" s="86"/>
      <c r="K50" s="87"/>
    </row>
    <row r="51" spans="1:11" s="36" customFormat="1" ht="24" thickBot="1" x14ac:dyDescent="0.4">
      <c r="A51" s="70"/>
      <c r="B51" s="71"/>
      <c r="C51" s="119"/>
      <c r="D51" s="96"/>
      <c r="E51" s="96"/>
      <c r="F51" s="96"/>
      <c r="G51" s="47"/>
      <c r="H51" s="72"/>
      <c r="I51" s="73"/>
      <c r="J51" s="52"/>
      <c r="K51" s="67"/>
    </row>
    <row r="52" spans="1:11" s="36" customFormat="1" x14ac:dyDescent="0.35">
      <c r="A52" s="70"/>
      <c r="B52" s="71"/>
      <c r="C52" s="120" t="s">
        <v>90</v>
      </c>
      <c r="D52" s="18"/>
      <c r="E52" s="18"/>
      <c r="F52" s="74"/>
      <c r="G52" s="47"/>
      <c r="H52" s="72"/>
      <c r="I52" s="73"/>
      <c r="J52" s="52"/>
      <c r="K52" s="67"/>
    </row>
    <row r="53" spans="1:11" s="36" customFormat="1" x14ac:dyDescent="0.35">
      <c r="A53" s="70"/>
      <c r="B53" s="71"/>
      <c r="C53" s="117"/>
      <c r="D53" s="17"/>
      <c r="E53" s="95" t="s">
        <v>77</v>
      </c>
      <c r="F53" s="75"/>
      <c r="G53" s="47"/>
      <c r="H53" s="72"/>
      <c r="I53" s="73"/>
      <c r="J53" s="52"/>
      <c r="K53" s="67"/>
    </row>
    <row r="54" spans="1:11" s="36" customFormat="1" x14ac:dyDescent="0.35">
      <c r="A54" s="70"/>
      <c r="B54" s="71"/>
      <c r="C54" s="106" t="s">
        <v>12</v>
      </c>
      <c r="D54" s="17"/>
      <c r="E54" s="79"/>
      <c r="F54" s="75"/>
      <c r="G54" s="47"/>
      <c r="H54" s="72"/>
      <c r="I54" s="73"/>
      <c r="J54" s="52"/>
      <c r="K54" s="67"/>
    </row>
    <row r="55" spans="1:11" s="36" customFormat="1" ht="47.25" customHeight="1" x14ac:dyDescent="0.35">
      <c r="A55" s="70"/>
      <c r="B55" s="71"/>
      <c r="C55" s="106"/>
      <c r="D55" s="131" t="s">
        <v>79</v>
      </c>
      <c r="E55" s="125"/>
      <c r="F55" s="125"/>
      <c r="G55" s="47"/>
      <c r="H55" s="72"/>
      <c r="I55" s="73"/>
      <c r="J55" s="52"/>
      <c r="K55" s="67"/>
    </row>
    <row r="56" spans="1:11" s="36" customFormat="1" x14ac:dyDescent="0.35">
      <c r="A56" s="70"/>
      <c r="B56" s="71"/>
      <c r="C56" s="106"/>
      <c r="D56" s="76"/>
      <c r="E56" s="77"/>
      <c r="F56" s="78"/>
      <c r="G56" s="47"/>
      <c r="H56" s="72"/>
      <c r="I56" s="73"/>
      <c r="J56" s="52"/>
      <c r="K56" s="67"/>
    </row>
    <row r="57" spans="1:11" s="36" customFormat="1" ht="105.75" customHeight="1" x14ac:dyDescent="0.35">
      <c r="A57" s="70"/>
      <c r="B57" s="81"/>
      <c r="C57" s="106" t="s">
        <v>81</v>
      </c>
      <c r="D57" s="126" t="s">
        <v>85</v>
      </c>
      <c r="E57" s="126"/>
      <c r="F57" s="127"/>
      <c r="G57" s="72"/>
      <c r="H57" s="73"/>
      <c r="I57" s="52"/>
      <c r="J57" s="67"/>
    </row>
    <row r="58" spans="1:11" s="36" customFormat="1" x14ac:dyDescent="0.35">
      <c r="A58" s="70"/>
      <c r="B58" s="71"/>
      <c r="C58" s="117"/>
      <c r="D58" s="133"/>
      <c r="E58" s="133"/>
      <c r="F58" s="133"/>
      <c r="G58" s="47"/>
      <c r="H58" s="72"/>
      <c r="I58" s="73"/>
      <c r="J58" s="52"/>
      <c r="K58" s="67"/>
    </row>
    <row r="59" spans="1:11" s="36" customFormat="1" x14ac:dyDescent="0.35">
      <c r="A59" s="70"/>
      <c r="B59" s="71"/>
      <c r="C59" s="106" t="s">
        <v>69</v>
      </c>
      <c r="D59" s="134" t="s">
        <v>84</v>
      </c>
      <c r="E59" s="134"/>
      <c r="F59" s="133"/>
      <c r="G59" s="47"/>
      <c r="H59" s="72"/>
      <c r="I59" s="73"/>
      <c r="J59" s="52"/>
      <c r="K59" s="67"/>
    </row>
    <row r="60" spans="1:11" s="36" customFormat="1" x14ac:dyDescent="0.35">
      <c r="A60" s="70"/>
      <c r="B60" s="71"/>
      <c r="C60" s="108" t="s">
        <v>87</v>
      </c>
      <c r="D60" s="107"/>
      <c r="E60" s="123" t="s">
        <v>86</v>
      </c>
      <c r="F60" s="80"/>
      <c r="G60" s="47"/>
      <c r="H60" s="72"/>
      <c r="I60" s="73"/>
      <c r="J60" s="52"/>
      <c r="K60" s="67"/>
    </row>
    <row r="61" spans="1:11" s="36" customFormat="1" x14ac:dyDescent="0.35">
      <c r="A61" s="70"/>
      <c r="B61" s="71"/>
      <c r="C61" s="106"/>
      <c r="D61" s="79"/>
      <c r="E61" s="79"/>
      <c r="F61" s="80"/>
      <c r="G61" s="47"/>
      <c r="H61" s="72"/>
      <c r="I61" s="73"/>
      <c r="J61" s="52"/>
      <c r="K61" s="67"/>
    </row>
    <row r="62" spans="1:11" s="36" customFormat="1" x14ac:dyDescent="0.35">
      <c r="A62" s="70"/>
      <c r="B62" s="71"/>
      <c r="C62" s="106" t="s">
        <v>13</v>
      </c>
      <c r="D62" s="17"/>
      <c r="E62" s="83" t="s">
        <v>82</v>
      </c>
      <c r="F62" s="75"/>
      <c r="G62" s="47"/>
      <c r="H62" s="72"/>
      <c r="I62" s="73"/>
      <c r="J62" s="52"/>
      <c r="K62" s="67"/>
    </row>
    <row r="63" spans="1:11" s="36" customFormat="1" x14ac:dyDescent="0.35">
      <c r="A63" s="70"/>
      <c r="B63" s="71"/>
      <c r="C63" s="117"/>
      <c r="D63" s="125"/>
      <c r="E63" s="125"/>
      <c r="F63" s="125"/>
      <c r="G63" s="47"/>
      <c r="H63" s="72"/>
      <c r="I63" s="73"/>
      <c r="J63" s="52"/>
      <c r="K63" s="67"/>
    </row>
    <row r="64" spans="1:11" s="36" customFormat="1" x14ac:dyDescent="0.35">
      <c r="A64" s="70"/>
      <c r="B64" s="71"/>
      <c r="C64" s="106" t="s">
        <v>14</v>
      </c>
      <c r="D64" s="77"/>
      <c r="E64" s="77"/>
      <c r="F64" s="78"/>
      <c r="G64" s="47"/>
      <c r="H64" s="72"/>
      <c r="I64" s="73"/>
      <c r="J64" s="52"/>
      <c r="K64" s="67"/>
    </row>
    <row r="65" spans="1:11" s="36" customFormat="1" x14ac:dyDescent="0.35">
      <c r="A65" s="70"/>
      <c r="B65" s="71"/>
      <c r="C65" s="117"/>
      <c r="D65" s="125" t="s">
        <v>73</v>
      </c>
      <c r="E65" s="125"/>
      <c r="F65" s="125"/>
      <c r="G65" s="47"/>
      <c r="H65" s="72"/>
      <c r="I65" s="73"/>
      <c r="J65" s="52"/>
      <c r="K65" s="67"/>
    </row>
    <row r="66" spans="1:11" s="36" customFormat="1" x14ac:dyDescent="0.35">
      <c r="A66" s="70"/>
      <c r="B66" s="71"/>
      <c r="C66" s="106" t="s">
        <v>15</v>
      </c>
      <c r="D66" s="17"/>
      <c r="E66" s="17"/>
      <c r="F66" s="75"/>
      <c r="G66" s="47"/>
      <c r="H66" s="72"/>
      <c r="I66" s="73"/>
      <c r="J66" s="52"/>
      <c r="K66" s="67"/>
    </row>
    <row r="67" spans="1:11" s="36" customFormat="1" ht="24" thickBot="1" x14ac:dyDescent="0.4">
      <c r="A67" s="70"/>
      <c r="B67" s="71"/>
      <c r="C67" s="118"/>
      <c r="D67" s="124"/>
      <c r="E67" s="124"/>
      <c r="F67" s="124"/>
      <c r="G67" s="47"/>
      <c r="H67" s="72"/>
      <c r="I67" s="73"/>
      <c r="J67" s="52"/>
      <c r="K67" s="67"/>
    </row>
    <row r="68" spans="1:11" s="36" customFormat="1" ht="24" thickBot="1" x14ac:dyDescent="0.4">
      <c r="A68" s="70"/>
      <c r="B68" s="71"/>
      <c r="C68" s="119"/>
      <c r="D68" s="102"/>
      <c r="E68" s="102"/>
      <c r="F68" s="102"/>
      <c r="G68" s="47"/>
      <c r="H68" s="72"/>
      <c r="I68" s="73"/>
      <c r="J68" s="52"/>
      <c r="K68" s="67"/>
    </row>
    <row r="69" spans="1:11" s="36" customFormat="1" x14ac:dyDescent="0.35">
      <c r="A69" s="70"/>
      <c r="B69" s="71"/>
      <c r="C69" s="120" t="s">
        <v>74</v>
      </c>
      <c r="D69" s="18"/>
      <c r="E69" s="18"/>
      <c r="F69" s="74"/>
      <c r="G69" s="47"/>
      <c r="H69" s="72"/>
      <c r="I69" s="73"/>
      <c r="J69" s="52"/>
      <c r="K69" s="67"/>
    </row>
    <row r="70" spans="1:11" s="36" customFormat="1" x14ac:dyDescent="0.35">
      <c r="A70" s="70"/>
      <c r="B70" s="71"/>
      <c r="C70" s="117"/>
      <c r="D70" s="135" t="s">
        <v>78</v>
      </c>
      <c r="E70" s="135"/>
      <c r="F70" s="136"/>
      <c r="G70" s="47"/>
      <c r="H70" s="72"/>
      <c r="I70" s="73"/>
      <c r="J70" s="52"/>
      <c r="K70" s="67"/>
    </row>
    <row r="71" spans="1:11" s="36" customFormat="1" ht="30.75" customHeight="1" x14ac:dyDescent="0.35">
      <c r="A71" s="70"/>
      <c r="B71" s="71"/>
      <c r="C71" s="106" t="s">
        <v>12</v>
      </c>
      <c r="D71" s="132" t="s">
        <v>80</v>
      </c>
      <c r="E71" s="132"/>
      <c r="F71" s="75"/>
      <c r="G71" s="47"/>
      <c r="H71" s="72"/>
      <c r="I71" s="73"/>
      <c r="J71" s="52"/>
      <c r="K71" s="67"/>
    </row>
    <row r="72" spans="1:11" s="36" customFormat="1" x14ac:dyDescent="0.35">
      <c r="A72" s="70"/>
      <c r="B72" s="71"/>
      <c r="C72" s="106"/>
      <c r="D72" s="131"/>
      <c r="E72" s="125"/>
      <c r="F72" s="125"/>
      <c r="G72" s="47"/>
      <c r="H72" s="72"/>
      <c r="I72" s="73"/>
      <c r="J72" s="52"/>
      <c r="K72" s="67"/>
    </row>
    <row r="73" spans="1:11" s="36" customFormat="1" x14ac:dyDescent="0.35">
      <c r="A73" s="70"/>
      <c r="B73" s="71"/>
      <c r="C73" s="106"/>
      <c r="D73" s="76"/>
      <c r="E73" s="98"/>
      <c r="F73" s="97"/>
      <c r="G73" s="47"/>
      <c r="H73" s="72"/>
      <c r="I73" s="73"/>
      <c r="J73" s="52"/>
      <c r="K73" s="67"/>
    </row>
    <row r="74" spans="1:11" s="36" customFormat="1" ht="82.5" customHeight="1" x14ac:dyDescent="0.35">
      <c r="A74" s="70"/>
      <c r="B74" s="71"/>
      <c r="C74" s="106" t="s">
        <v>81</v>
      </c>
      <c r="D74" s="126" t="s">
        <v>85</v>
      </c>
      <c r="E74" s="126"/>
      <c r="F74" s="127"/>
      <c r="G74" s="47"/>
      <c r="H74" s="72"/>
      <c r="I74" s="73"/>
      <c r="J74" s="52"/>
      <c r="K74" s="67"/>
    </row>
    <row r="75" spans="1:11" s="36" customFormat="1" x14ac:dyDescent="0.35">
      <c r="A75" s="70"/>
      <c r="B75" s="71"/>
      <c r="C75" s="117"/>
      <c r="D75" s="133"/>
      <c r="E75" s="133"/>
      <c r="F75" s="133"/>
      <c r="G75" s="47"/>
      <c r="H75" s="72"/>
      <c r="I75" s="73"/>
      <c r="J75" s="52"/>
      <c r="K75" s="67"/>
    </row>
    <row r="76" spans="1:11" s="36" customFormat="1" x14ac:dyDescent="0.35">
      <c r="A76" s="70"/>
      <c r="B76" s="71"/>
      <c r="C76" s="106" t="s">
        <v>69</v>
      </c>
      <c r="D76" s="134" t="s">
        <v>84</v>
      </c>
      <c r="E76" s="134"/>
      <c r="F76" s="133"/>
      <c r="G76" s="47"/>
      <c r="H76" s="72"/>
      <c r="I76" s="73"/>
      <c r="J76" s="52"/>
      <c r="K76" s="67"/>
    </row>
    <row r="77" spans="1:11" s="36" customFormat="1" x14ac:dyDescent="0.35">
      <c r="A77" s="70"/>
      <c r="B77" s="71"/>
      <c r="C77" s="108" t="s">
        <v>87</v>
      </c>
      <c r="D77" s="107"/>
      <c r="E77" s="123" t="s">
        <v>86</v>
      </c>
      <c r="F77" s="99"/>
      <c r="G77" s="47"/>
      <c r="H77" s="72"/>
      <c r="I77" s="73"/>
      <c r="J77" s="52"/>
      <c r="K77" s="67"/>
    </row>
    <row r="78" spans="1:11" s="36" customFormat="1" x14ac:dyDescent="0.35">
      <c r="A78" s="70"/>
      <c r="B78" s="71"/>
      <c r="C78" s="106"/>
      <c r="D78" s="100"/>
      <c r="E78" s="100"/>
      <c r="F78" s="99"/>
      <c r="G78" s="47"/>
      <c r="H78" s="72"/>
      <c r="I78" s="73"/>
      <c r="J78" s="52"/>
      <c r="K78" s="67"/>
    </row>
    <row r="79" spans="1:11" s="36" customFormat="1" x14ac:dyDescent="0.35">
      <c r="A79" s="70"/>
      <c r="B79" s="71"/>
      <c r="C79" s="106" t="s">
        <v>13</v>
      </c>
      <c r="D79" s="17"/>
      <c r="E79" s="83" t="s">
        <v>82</v>
      </c>
      <c r="F79" s="75"/>
      <c r="G79" s="47"/>
      <c r="H79" s="72"/>
      <c r="I79" s="73"/>
      <c r="J79" s="52"/>
      <c r="K79" s="67"/>
    </row>
    <row r="80" spans="1:11" s="36" customFormat="1" x14ac:dyDescent="0.35">
      <c r="A80" s="70"/>
      <c r="B80" s="71"/>
      <c r="C80" s="117"/>
      <c r="D80" s="125"/>
      <c r="E80" s="125"/>
      <c r="F80" s="125"/>
      <c r="G80" s="47"/>
      <c r="H80" s="72"/>
      <c r="I80" s="73"/>
      <c r="J80" s="52"/>
      <c r="K80" s="67"/>
    </row>
    <row r="81" spans="1:11" s="36" customFormat="1" x14ac:dyDescent="0.35">
      <c r="A81" s="70"/>
      <c r="B81" s="71"/>
      <c r="C81" s="106" t="s">
        <v>14</v>
      </c>
      <c r="D81" s="98"/>
      <c r="E81" s="98"/>
      <c r="F81" s="97"/>
      <c r="G81" s="47"/>
      <c r="H81" s="72"/>
      <c r="I81" s="73"/>
      <c r="J81" s="52"/>
      <c r="K81" s="67"/>
    </row>
    <row r="82" spans="1:11" s="36" customFormat="1" x14ac:dyDescent="0.35">
      <c r="A82" s="70"/>
      <c r="B82" s="71"/>
      <c r="C82" s="117"/>
      <c r="D82" s="125" t="s">
        <v>73</v>
      </c>
      <c r="E82" s="125"/>
      <c r="F82" s="125"/>
      <c r="G82" s="47"/>
      <c r="H82" s="72"/>
      <c r="I82" s="73"/>
      <c r="J82" s="52"/>
      <c r="K82" s="67"/>
    </row>
    <row r="83" spans="1:11" s="36" customFormat="1" x14ac:dyDescent="0.35">
      <c r="A83" s="70"/>
      <c r="B83" s="71"/>
      <c r="C83" s="106" t="s">
        <v>15</v>
      </c>
      <c r="D83" s="17"/>
      <c r="E83" s="17"/>
      <c r="F83" s="75"/>
      <c r="G83" s="47"/>
      <c r="H83" s="72"/>
      <c r="I83" s="73"/>
      <c r="J83" s="52"/>
      <c r="K83" s="67"/>
    </row>
    <row r="84" spans="1:11" s="36" customFormat="1" ht="24" thickBot="1" x14ac:dyDescent="0.4">
      <c r="A84" s="70"/>
      <c r="B84" s="71"/>
      <c r="C84" s="118"/>
      <c r="D84" s="124"/>
      <c r="E84" s="124"/>
      <c r="F84" s="124"/>
      <c r="G84" s="47"/>
      <c r="H84" s="72"/>
      <c r="I84" s="73"/>
      <c r="J84" s="52"/>
      <c r="K84" s="67"/>
    </row>
    <row r="85" spans="1:11" s="36" customFormat="1" x14ac:dyDescent="0.35">
      <c r="A85" s="70"/>
      <c r="B85" s="71"/>
      <c r="C85" s="119"/>
      <c r="D85" s="96"/>
      <c r="E85" s="96"/>
      <c r="F85" s="96"/>
      <c r="G85" s="47"/>
      <c r="H85" s="72"/>
      <c r="I85" s="73"/>
      <c r="J85" s="52"/>
      <c r="K85" s="67"/>
    </row>
    <row r="86" spans="1:11" s="36" customFormat="1" x14ac:dyDescent="0.35">
      <c r="A86" s="70"/>
      <c r="C86" s="35"/>
      <c r="D86" s="17"/>
      <c r="E86" s="37"/>
      <c r="F86" s="17"/>
      <c r="G86" s="47"/>
      <c r="H86" s="72"/>
      <c r="I86" s="73"/>
      <c r="J86" s="52"/>
      <c r="K86" s="67"/>
    </row>
    <row r="87" spans="1:11" s="36" customFormat="1" x14ac:dyDescent="0.35">
      <c r="A87" s="70"/>
      <c r="C87" s="35"/>
      <c r="D87" s="17"/>
      <c r="E87" s="37"/>
      <c r="F87" s="17"/>
      <c r="G87" s="47"/>
      <c r="H87" s="72"/>
      <c r="I87" s="73"/>
      <c r="J87" s="52"/>
      <c r="K87" s="67"/>
    </row>
    <row r="88" spans="1:11" s="36" customFormat="1" x14ac:dyDescent="0.35">
      <c r="A88" s="70"/>
      <c r="C88" s="35"/>
      <c r="D88" s="17"/>
      <c r="E88" s="37"/>
      <c r="F88" s="17"/>
      <c r="G88" s="47"/>
      <c r="H88" s="72"/>
      <c r="I88" s="73"/>
      <c r="J88" s="52"/>
      <c r="K88" s="67"/>
    </row>
    <row r="89" spans="1:11" s="36" customFormat="1" x14ac:dyDescent="0.35">
      <c r="A89" s="70"/>
      <c r="C89" s="35"/>
      <c r="D89" s="17"/>
      <c r="E89" s="37"/>
      <c r="F89" s="17"/>
      <c r="G89" s="47"/>
      <c r="H89" s="72"/>
      <c r="I89" s="73"/>
      <c r="J89" s="52"/>
      <c r="K89" s="67"/>
    </row>
    <row r="90" spans="1:11" s="36" customFormat="1" x14ac:dyDescent="0.35">
      <c r="A90" s="70"/>
      <c r="C90" s="35"/>
      <c r="D90" s="17"/>
      <c r="E90" s="37"/>
      <c r="F90" s="17"/>
      <c r="G90" s="47"/>
      <c r="H90" s="72"/>
      <c r="I90" s="73"/>
      <c r="J90" s="52"/>
      <c r="K90" s="67"/>
    </row>
    <row r="91" spans="1:11" s="36" customFormat="1" x14ac:dyDescent="0.35">
      <c r="A91" s="70"/>
      <c r="C91" s="35"/>
      <c r="D91" s="17"/>
      <c r="E91" s="37"/>
      <c r="F91" s="17"/>
      <c r="G91" s="47"/>
      <c r="H91" s="72"/>
      <c r="I91" s="73"/>
      <c r="J91" s="52"/>
      <c r="K91" s="67"/>
    </row>
    <row r="92" spans="1:11" s="36" customFormat="1" x14ac:dyDescent="0.35">
      <c r="A92" s="70"/>
      <c r="C92" s="35"/>
      <c r="D92" s="17"/>
      <c r="E92" s="37"/>
      <c r="F92" s="17"/>
      <c r="G92" s="47"/>
      <c r="H92" s="72"/>
      <c r="I92" s="73"/>
      <c r="J92" s="52"/>
      <c r="K92" s="67"/>
    </row>
    <row r="93" spans="1:11" s="36" customFormat="1" x14ac:dyDescent="0.35">
      <c r="A93" s="70"/>
      <c r="C93" s="35"/>
      <c r="D93" s="17"/>
      <c r="E93" s="37"/>
      <c r="F93" s="17"/>
      <c r="G93" s="47"/>
      <c r="H93" s="72"/>
      <c r="I93" s="73"/>
      <c r="J93" s="52"/>
      <c r="K93" s="67"/>
    </row>
    <row r="94" spans="1:11" s="36" customFormat="1" x14ac:dyDescent="0.35">
      <c r="A94" s="70"/>
      <c r="C94" s="35"/>
      <c r="D94" s="17"/>
      <c r="E94" s="37"/>
      <c r="F94" s="17"/>
      <c r="G94" s="47"/>
      <c r="H94" s="72"/>
      <c r="I94" s="73"/>
      <c r="J94" s="52"/>
      <c r="K94" s="67"/>
    </row>
    <row r="95" spans="1:11" s="36" customFormat="1" x14ac:dyDescent="0.35">
      <c r="A95" s="70"/>
      <c r="C95" s="35"/>
      <c r="D95" s="17"/>
      <c r="E95" s="37"/>
      <c r="F95" s="17"/>
      <c r="G95" s="47"/>
      <c r="H95" s="72"/>
      <c r="I95" s="73"/>
      <c r="J95" s="52"/>
      <c r="K95" s="67"/>
    </row>
    <row r="96" spans="1:11" s="36" customFormat="1" x14ac:dyDescent="0.35">
      <c r="A96" s="70"/>
      <c r="C96" s="35"/>
      <c r="D96" s="17"/>
      <c r="E96" s="37"/>
      <c r="F96" s="17"/>
      <c r="G96" s="47"/>
      <c r="H96" s="72"/>
      <c r="I96" s="73"/>
      <c r="J96" s="52"/>
      <c r="K96" s="67"/>
    </row>
    <row r="97" spans="1:11" s="36" customFormat="1" x14ac:dyDescent="0.35">
      <c r="A97" s="70"/>
      <c r="C97" s="35"/>
      <c r="D97" s="17"/>
      <c r="E97" s="37"/>
      <c r="F97" s="17"/>
      <c r="G97" s="47"/>
      <c r="H97" s="72"/>
      <c r="I97" s="73"/>
      <c r="J97" s="52"/>
      <c r="K97" s="67"/>
    </row>
    <row r="98" spans="1:11" s="36" customFormat="1" x14ac:dyDescent="0.35">
      <c r="A98" s="70"/>
      <c r="C98" s="35"/>
      <c r="D98" s="17"/>
      <c r="E98" s="37"/>
      <c r="F98" s="17"/>
      <c r="G98" s="47"/>
      <c r="H98" s="72"/>
      <c r="I98" s="73"/>
      <c r="J98" s="52"/>
      <c r="K98" s="67"/>
    </row>
    <row r="99" spans="1:11" s="36" customFormat="1" x14ac:dyDescent="0.35">
      <c r="A99" s="70"/>
      <c r="C99" s="35"/>
      <c r="D99" s="17"/>
      <c r="E99" s="37"/>
      <c r="F99" s="17"/>
      <c r="G99" s="47"/>
      <c r="H99" s="72"/>
      <c r="I99" s="73"/>
      <c r="J99" s="52"/>
      <c r="K99" s="67"/>
    </row>
    <row r="100" spans="1:11" s="36" customFormat="1" x14ac:dyDescent="0.35">
      <c r="A100" s="70"/>
      <c r="C100" s="35"/>
      <c r="D100" s="17"/>
      <c r="E100" s="37"/>
      <c r="F100" s="17"/>
      <c r="G100" s="47"/>
      <c r="H100" s="72"/>
      <c r="I100" s="73"/>
      <c r="J100" s="52"/>
      <c r="K100" s="67"/>
    </row>
    <row r="101" spans="1:11" s="36" customFormat="1" x14ac:dyDescent="0.35">
      <c r="A101" s="70"/>
      <c r="C101" s="35"/>
      <c r="D101" s="17"/>
      <c r="E101" s="37"/>
      <c r="F101" s="17"/>
      <c r="G101" s="47"/>
      <c r="H101" s="72"/>
      <c r="I101" s="73"/>
      <c r="J101" s="52"/>
      <c r="K101" s="67"/>
    </row>
    <row r="102" spans="1:11" s="36" customFormat="1" x14ac:dyDescent="0.35">
      <c r="A102" s="70"/>
      <c r="C102" s="35"/>
      <c r="D102" s="17"/>
      <c r="E102" s="37"/>
      <c r="F102" s="17"/>
      <c r="G102" s="47"/>
      <c r="H102" s="72"/>
      <c r="I102" s="73"/>
      <c r="J102" s="52"/>
      <c r="K102" s="67"/>
    </row>
    <row r="103" spans="1:11" s="36" customFormat="1" x14ac:dyDescent="0.35">
      <c r="A103" s="70"/>
      <c r="C103" s="35"/>
      <c r="D103" s="17"/>
      <c r="E103" s="37"/>
      <c r="F103" s="17"/>
      <c r="G103" s="47"/>
      <c r="H103" s="72"/>
      <c r="I103" s="73"/>
      <c r="J103" s="52"/>
      <c r="K103" s="67"/>
    </row>
    <row r="104" spans="1:11" s="36" customFormat="1" x14ac:dyDescent="0.35">
      <c r="A104" s="70"/>
      <c r="C104" s="35"/>
      <c r="D104" s="17"/>
      <c r="E104" s="37"/>
      <c r="F104" s="17"/>
      <c r="G104" s="47"/>
      <c r="H104" s="72"/>
      <c r="I104" s="73"/>
      <c r="J104" s="52"/>
      <c r="K104" s="67"/>
    </row>
    <row r="105" spans="1:11" s="36" customFormat="1" x14ac:dyDescent="0.35">
      <c r="A105" s="70"/>
      <c r="C105" s="35"/>
      <c r="D105" s="17"/>
      <c r="E105" s="37"/>
      <c r="F105" s="17"/>
      <c r="G105" s="47"/>
      <c r="H105" s="72"/>
      <c r="I105" s="73"/>
      <c r="J105" s="52"/>
      <c r="K105" s="67"/>
    </row>
    <row r="106" spans="1:11" s="36" customFormat="1" x14ac:dyDescent="0.35">
      <c r="A106" s="70"/>
      <c r="C106" s="35"/>
      <c r="D106" s="17"/>
      <c r="E106" s="37"/>
      <c r="F106" s="17"/>
      <c r="G106" s="47"/>
      <c r="H106" s="72"/>
      <c r="I106" s="73"/>
      <c r="J106" s="52"/>
      <c r="K106" s="67"/>
    </row>
    <row r="107" spans="1:11" s="36" customFormat="1" x14ac:dyDescent="0.35">
      <c r="A107" s="70"/>
      <c r="C107" s="35"/>
      <c r="D107" s="17"/>
      <c r="E107" s="37"/>
      <c r="F107" s="17"/>
      <c r="G107" s="47"/>
      <c r="H107" s="72"/>
      <c r="I107" s="73"/>
      <c r="J107" s="52"/>
      <c r="K107" s="67"/>
    </row>
    <row r="108" spans="1:11" s="36" customFormat="1" x14ac:dyDescent="0.35">
      <c r="A108" s="70"/>
      <c r="C108" s="35"/>
      <c r="D108" s="17"/>
      <c r="E108" s="37"/>
      <c r="F108" s="17"/>
      <c r="G108" s="47"/>
      <c r="H108" s="72"/>
      <c r="I108" s="73"/>
      <c r="J108" s="52"/>
      <c r="K108" s="67"/>
    </row>
  </sheetData>
  <mergeCells count="39">
    <mergeCell ref="D80:F80"/>
    <mergeCell ref="D19:F19"/>
    <mergeCell ref="D20:F20"/>
    <mergeCell ref="D23:F23"/>
    <mergeCell ref="D24:F24"/>
    <mergeCell ref="D28:F28"/>
    <mergeCell ref="D22:F22"/>
    <mergeCell ref="D65:F65"/>
    <mergeCell ref="D84:F84"/>
    <mergeCell ref="D30:F30"/>
    <mergeCell ref="D70:F70"/>
    <mergeCell ref="D32:F32"/>
    <mergeCell ref="D36:F36"/>
    <mergeCell ref="D37:F37"/>
    <mergeCell ref="D39:F39"/>
    <mergeCell ref="D40:F40"/>
    <mergeCell ref="D41:F41"/>
    <mergeCell ref="D45:F45"/>
    <mergeCell ref="D47:F47"/>
    <mergeCell ref="D49:F49"/>
    <mergeCell ref="D57:F57"/>
    <mergeCell ref="D75:F75"/>
    <mergeCell ref="D76:F76"/>
    <mergeCell ref="D67:F67"/>
    <mergeCell ref="D82:F82"/>
    <mergeCell ref="D74:F74"/>
    <mergeCell ref="B2:H2"/>
    <mergeCell ref="A4:B4"/>
    <mergeCell ref="C4:E4"/>
    <mergeCell ref="A5:B5"/>
    <mergeCell ref="C5:E5"/>
    <mergeCell ref="A6:B6"/>
    <mergeCell ref="A7:B7"/>
    <mergeCell ref="D72:F72"/>
    <mergeCell ref="D71:E71"/>
    <mergeCell ref="D55:F55"/>
    <mergeCell ref="D58:F58"/>
    <mergeCell ref="D59:F59"/>
    <mergeCell ref="D63:F63"/>
  </mergeCells>
  <pageMargins left="0.7" right="0.7" top="0.75" bottom="0.75" header="0.51180555555555496" footer="0.51180555555555496"/>
  <pageSetup paperSize="5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90" zoomScaleNormal="90" workbookViewId="0">
      <selection activeCell="L7" sqref="L7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31" customWidth="1"/>
    <col min="4" max="4" width="26" style="31" customWidth="1"/>
    <col min="5" max="5" width="8" style="31" customWidth="1"/>
    <col min="6" max="6" width="7.85546875" style="31" customWidth="1"/>
    <col min="7" max="7" width="42" style="31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4" width="5.855468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45" t="s">
        <v>16</v>
      </c>
      <c r="B1" s="145"/>
      <c r="C1" s="145"/>
      <c r="D1" s="145"/>
      <c r="E1" s="145"/>
      <c r="F1" s="145"/>
      <c r="G1" s="145"/>
      <c r="H1" s="145"/>
      <c r="I1" s="145"/>
      <c r="J1" s="21" t="s">
        <v>17</v>
      </c>
      <c r="K1" s="104" t="s">
        <v>96</v>
      </c>
    </row>
    <row r="2" spans="1:1024" ht="12" customHeight="1" thickBot="1" x14ac:dyDescent="0.25">
      <c r="A2" s="23"/>
      <c r="B2" s="23"/>
      <c r="C2" s="27"/>
      <c r="D2" s="28"/>
      <c r="E2" s="28"/>
      <c r="F2" s="28"/>
      <c r="G2" s="28"/>
      <c r="H2" s="24"/>
      <c r="I2" s="24"/>
      <c r="J2" s="24"/>
      <c r="K2" s="24"/>
    </row>
    <row r="3" spans="1:1024" ht="22.5" customHeight="1" thickBot="1" x14ac:dyDescent="0.25">
      <c r="A3" s="146" t="s">
        <v>50</v>
      </c>
      <c r="B3" s="146"/>
      <c r="C3" s="146"/>
      <c r="D3" s="147" t="str">
        <f>'ALIMENTOS PERECEDEROS'!C4</f>
        <v>40-Ministerio de Salud</v>
      </c>
      <c r="E3" s="147"/>
      <c r="F3" s="147"/>
      <c r="G3" s="147"/>
      <c r="H3" s="147"/>
      <c r="I3" s="147"/>
      <c r="J3" s="147"/>
      <c r="K3" s="147"/>
    </row>
    <row r="4" spans="1:1024" ht="16.5" customHeight="1" thickBot="1" x14ac:dyDescent="0.25">
      <c r="A4" s="148" t="s">
        <v>51</v>
      </c>
      <c r="B4" s="148"/>
      <c r="C4" s="148"/>
      <c r="D4" s="147" t="str">
        <f>'ALIMENTOS PERECEDEROS'!C5</f>
        <v>28- Maternidad Provincial 25 de Mayo</v>
      </c>
      <c r="E4" s="147"/>
      <c r="F4" s="147"/>
      <c r="G4" s="147"/>
      <c r="H4" s="147"/>
      <c r="I4" s="147"/>
      <c r="J4" s="147"/>
      <c r="K4" s="147"/>
    </row>
    <row r="5" spans="1:1024" ht="17.25" customHeight="1" thickBot="1" x14ac:dyDescent="0.25">
      <c r="A5" s="148" t="s">
        <v>29</v>
      </c>
      <c r="B5" s="148"/>
      <c r="C5" s="148"/>
      <c r="D5" s="147" t="s">
        <v>71</v>
      </c>
      <c r="E5" s="147"/>
      <c r="F5" s="147"/>
      <c r="G5" s="147"/>
      <c r="H5" s="147"/>
      <c r="I5" s="147"/>
      <c r="J5" s="147"/>
      <c r="K5" s="147"/>
    </row>
    <row r="6" spans="1:1024" ht="20.25" customHeight="1" thickBot="1" x14ac:dyDescent="0.25">
      <c r="A6" s="146" t="s">
        <v>52</v>
      </c>
      <c r="B6" s="146"/>
      <c r="C6" s="146"/>
      <c r="D6" s="147" t="s">
        <v>54</v>
      </c>
      <c r="E6" s="147"/>
      <c r="F6" s="147"/>
      <c r="G6" s="147"/>
      <c r="H6" s="147"/>
      <c r="I6" s="147"/>
      <c r="J6" s="147"/>
      <c r="K6" s="147"/>
    </row>
    <row r="7" spans="1:1024" ht="18.75" customHeight="1" x14ac:dyDescent="0.2">
      <c r="A7" s="148" t="s">
        <v>18</v>
      </c>
      <c r="B7" s="148"/>
      <c r="C7" s="148"/>
      <c r="D7" s="147" t="str">
        <f>'ALIMENTOS PERECEDEROS'!C7 &amp; "° Trimestre - Año " &amp; 'ALIMENTOS PERECEDEROS'!C6</f>
        <v>4°° Trimestre - Año 2021</v>
      </c>
      <c r="E7" s="147"/>
      <c r="F7" s="147"/>
      <c r="G7" s="147"/>
      <c r="H7" s="147"/>
      <c r="I7" s="147"/>
      <c r="J7" s="147"/>
      <c r="K7" s="147"/>
    </row>
    <row r="8" spans="1:1024" ht="16.5" customHeight="1" x14ac:dyDescent="0.2">
      <c r="A8" s="149" t="s">
        <v>19</v>
      </c>
      <c r="B8" s="149"/>
      <c r="C8" s="149"/>
      <c r="D8" s="151" t="s">
        <v>72</v>
      </c>
      <c r="E8" s="151"/>
      <c r="F8" s="151"/>
      <c r="G8" s="151"/>
      <c r="H8" s="151"/>
      <c r="I8" s="151"/>
      <c r="J8" s="151"/>
      <c r="K8" s="151"/>
    </row>
    <row r="9" spans="1:1024" ht="18" customHeight="1" thickBot="1" x14ac:dyDescent="0.25">
      <c r="A9" s="25"/>
      <c r="B9" s="25"/>
      <c r="C9" s="29"/>
      <c r="D9" s="30"/>
      <c r="E9" s="30"/>
      <c r="F9" s="30"/>
      <c r="G9" s="30"/>
      <c r="H9" s="26"/>
      <c r="I9" s="26"/>
      <c r="J9" s="26"/>
      <c r="K9" s="26"/>
    </row>
    <row r="10" spans="1:1024" ht="30.6" customHeight="1" x14ac:dyDescent="0.2">
      <c r="A10" s="152" t="s">
        <v>20</v>
      </c>
      <c r="B10" s="154" t="s">
        <v>21</v>
      </c>
      <c r="C10" s="154" t="s">
        <v>22</v>
      </c>
      <c r="D10" s="154"/>
      <c r="E10" s="154"/>
      <c r="F10" s="154"/>
      <c r="G10" s="154"/>
      <c r="H10" s="154" t="s">
        <v>23</v>
      </c>
      <c r="I10" s="154" t="s">
        <v>24</v>
      </c>
      <c r="J10" s="154" t="s">
        <v>25</v>
      </c>
      <c r="K10" s="156" t="s">
        <v>26</v>
      </c>
    </row>
    <row r="11" spans="1:1024" ht="20.100000000000001" customHeight="1" thickBot="1" x14ac:dyDescent="0.25">
      <c r="A11" s="153"/>
      <c r="B11" s="155"/>
      <c r="C11" s="155"/>
      <c r="D11" s="155"/>
      <c r="E11" s="155"/>
      <c r="F11" s="155"/>
      <c r="G11" s="155"/>
      <c r="H11" s="155"/>
      <c r="I11" s="155"/>
      <c r="J11" s="155"/>
      <c r="K11" s="157"/>
    </row>
    <row r="12" spans="1:1024" s="32" customFormat="1" ht="50.1" customHeight="1" x14ac:dyDescent="0.2">
      <c r="A12" s="122">
        <f>'ALIMENTOS PERECEDEROS'!A10</f>
        <v>1</v>
      </c>
      <c r="B12" s="49" t="str">
        <f>'ALIMENTOS PERECEDEROS'!B10</f>
        <v>2.1.1-541.29</v>
      </c>
      <c r="C12" s="150" t="str">
        <f>'ALIMENTOS PERECEDEROS'!E10</f>
        <v>CARNES; CORTE: PECETO, ESPECIE: VACUNA, TIPO: VACUNA</v>
      </c>
      <c r="D12" s="150"/>
      <c r="E12" s="150"/>
      <c r="F12" s="150"/>
      <c r="G12" s="150"/>
      <c r="H12" s="49" t="s">
        <v>66</v>
      </c>
      <c r="I12" s="121" t="str">
        <f>'ALIMENTOS PERECEDEROS'!F10</f>
        <v>KG</v>
      </c>
      <c r="J12" s="50">
        <f>'ALIMENTOS PERECEDEROS'!H10</f>
        <v>1476</v>
      </c>
      <c r="K12" s="51">
        <f>'ALIMENTOS PERECEDEROS'!G10</f>
        <v>70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31"/>
      <c r="SK12" s="31"/>
      <c r="SL12" s="31"/>
      <c r="SM12" s="31"/>
      <c r="SN12" s="31"/>
      <c r="SO12" s="31"/>
      <c r="SP12" s="31"/>
      <c r="SQ12" s="31"/>
      <c r="SR12" s="31"/>
      <c r="SS12" s="31"/>
      <c r="ST12" s="31"/>
      <c r="SU12" s="31"/>
      <c r="SV12" s="31"/>
      <c r="SW12" s="31"/>
      <c r="SX12" s="31"/>
      <c r="SY12" s="31"/>
      <c r="SZ12" s="31"/>
      <c r="TA12" s="31"/>
      <c r="TB12" s="31"/>
      <c r="TC12" s="31"/>
      <c r="TD12" s="31"/>
      <c r="TE12" s="31"/>
      <c r="TF12" s="31"/>
      <c r="TG12" s="31"/>
      <c r="TH12" s="31"/>
      <c r="TI12" s="31"/>
      <c r="TJ12" s="31"/>
      <c r="TK12" s="31"/>
      <c r="TL12" s="31"/>
      <c r="TM12" s="31"/>
      <c r="TN12" s="31"/>
      <c r="TO12" s="31"/>
      <c r="TP12" s="31"/>
      <c r="TQ12" s="31"/>
      <c r="TR12" s="31"/>
      <c r="TS12" s="31"/>
      <c r="TT12" s="31"/>
      <c r="TU12" s="31"/>
      <c r="TV12" s="31"/>
      <c r="TW12" s="31"/>
      <c r="TX12" s="31"/>
      <c r="TY12" s="31"/>
      <c r="TZ12" s="31"/>
      <c r="UA12" s="31"/>
      <c r="UB12" s="31"/>
      <c r="UC12" s="31"/>
      <c r="UD12" s="31"/>
      <c r="UE12" s="31"/>
      <c r="UF12" s="31"/>
      <c r="UG12" s="31"/>
      <c r="UH12" s="31"/>
      <c r="UI12" s="31"/>
      <c r="UJ12" s="31"/>
      <c r="UK12" s="31"/>
      <c r="UL12" s="31"/>
      <c r="UM12" s="31"/>
      <c r="UN12" s="31"/>
      <c r="UO12" s="31"/>
      <c r="UP12" s="31"/>
      <c r="UQ12" s="31"/>
      <c r="UR12" s="31"/>
      <c r="US12" s="31"/>
      <c r="UT12" s="31"/>
      <c r="UU12" s="31"/>
      <c r="UV12" s="31"/>
      <c r="UW12" s="31"/>
      <c r="UX12" s="31"/>
      <c r="UY12" s="31"/>
      <c r="UZ12" s="31"/>
      <c r="VA12" s="31"/>
      <c r="VB12" s="31"/>
      <c r="VC12" s="31"/>
      <c r="VD12" s="31"/>
      <c r="VE12" s="31"/>
      <c r="VF12" s="31"/>
      <c r="VG12" s="31"/>
      <c r="VH12" s="31"/>
      <c r="VI12" s="31"/>
      <c r="VJ12" s="31"/>
      <c r="VK12" s="31"/>
      <c r="VL12" s="31"/>
      <c r="VM12" s="31"/>
      <c r="VN12" s="31"/>
      <c r="VO12" s="31"/>
      <c r="VP12" s="31"/>
      <c r="VQ12" s="31"/>
      <c r="VR12" s="31"/>
      <c r="VS12" s="31"/>
      <c r="VT12" s="31"/>
      <c r="VU12" s="31"/>
      <c r="VV12" s="31"/>
      <c r="VW12" s="31"/>
      <c r="VX12" s="31"/>
      <c r="VY12" s="31"/>
      <c r="VZ12" s="31"/>
      <c r="WA12" s="31"/>
      <c r="WB12" s="31"/>
      <c r="WC12" s="31"/>
      <c r="WD12" s="31"/>
      <c r="WE12" s="31"/>
      <c r="WF12" s="31"/>
      <c r="WG12" s="31"/>
      <c r="WH12" s="31"/>
      <c r="WI12" s="31"/>
      <c r="WJ12" s="31"/>
      <c r="WK12" s="31"/>
      <c r="WL12" s="31"/>
      <c r="WM12" s="31"/>
      <c r="WN12" s="31"/>
      <c r="WO12" s="31"/>
      <c r="WP12" s="31"/>
      <c r="WQ12" s="31"/>
      <c r="WR12" s="31"/>
      <c r="WS12" s="31"/>
      <c r="WT12" s="31"/>
      <c r="WU12" s="31"/>
      <c r="WV12" s="31"/>
      <c r="WW12" s="31"/>
      <c r="WX12" s="31"/>
      <c r="WY12" s="31"/>
      <c r="WZ12" s="31"/>
      <c r="XA12" s="31"/>
      <c r="XB12" s="31"/>
      <c r="XC12" s="31"/>
      <c r="XD12" s="31"/>
      <c r="XE12" s="31"/>
      <c r="XF12" s="31"/>
      <c r="XG12" s="31"/>
      <c r="XH12" s="31"/>
      <c r="XI12" s="31"/>
      <c r="XJ12" s="31"/>
      <c r="XK12" s="31"/>
      <c r="XL12" s="31"/>
      <c r="XM12" s="31"/>
      <c r="XN12" s="31"/>
      <c r="XO12" s="31"/>
      <c r="XP12" s="31"/>
      <c r="XQ12" s="31"/>
      <c r="XR12" s="31"/>
      <c r="XS12" s="31"/>
      <c r="XT12" s="31"/>
      <c r="XU12" s="31"/>
      <c r="XV12" s="31"/>
      <c r="XW12" s="31"/>
      <c r="XX12" s="31"/>
      <c r="XY12" s="31"/>
      <c r="XZ12" s="31"/>
      <c r="YA12" s="31"/>
      <c r="YB12" s="31"/>
      <c r="YC12" s="31"/>
      <c r="YD12" s="31"/>
      <c r="YE12" s="31"/>
      <c r="YF12" s="31"/>
      <c r="YG12" s="31"/>
      <c r="YH12" s="31"/>
      <c r="YI12" s="31"/>
      <c r="YJ12" s="31"/>
      <c r="YK12" s="31"/>
      <c r="YL12" s="31"/>
      <c r="YM12" s="31"/>
      <c r="YN12" s="31"/>
      <c r="YO12" s="31"/>
      <c r="YP12" s="31"/>
      <c r="YQ12" s="31"/>
      <c r="YR12" s="31"/>
      <c r="YS12" s="31"/>
      <c r="YT12" s="31"/>
      <c r="YU12" s="31"/>
      <c r="YV12" s="31"/>
      <c r="YW12" s="31"/>
      <c r="YX12" s="31"/>
      <c r="YY12" s="31"/>
      <c r="YZ12" s="31"/>
      <c r="ZA12" s="31"/>
      <c r="ZB12" s="31"/>
      <c r="ZC12" s="31"/>
      <c r="ZD12" s="31"/>
      <c r="ZE12" s="31"/>
      <c r="ZF12" s="31"/>
      <c r="ZG12" s="31"/>
      <c r="ZH12" s="31"/>
      <c r="ZI12" s="31"/>
      <c r="ZJ12" s="31"/>
      <c r="ZK12" s="31"/>
      <c r="ZL12" s="31"/>
      <c r="ZM12" s="31"/>
      <c r="ZN12" s="31"/>
      <c r="ZO12" s="31"/>
      <c r="ZP12" s="31"/>
      <c r="ZQ12" s="31"/>
      <c r="ZR12" s="31"/>
      <c r="ZS12" s="31"/>
      <c r="ZT12" s="31"/>
      <c r="ZU12" s="31"/>
      <c r="ZV12" s="31"/>
      <c r="ZW12" s="31"/>
      <c r="ZX12" s="31"/>
      <c r="ZY12" s="31"/>
      <c r="ZZ12" s="31"/>
      <c r="AAA12" s="31"/>
      <c r="AAB12" s="31"/>
      <c r="AAC12" s="31"/>
      <c r="AAD12" s="31"/>
      <c r="AAE12" s="31"/>
      <c r="AAF12" s="31"/>
      <c r="AAG12" s="31"/>
      <c r="AAH12" s="31"/>
      <c r="AAI12" s="31"/>
      <c r="AAJ12" s="31"/>
      <c r="AAK12" s="31"/>
      <c r="AAL12" s="31"/>
      <c r="AAM12" s="31"/>
      <c r="AAN12" s="31"/>
      <c r="AAO12" s="31"/>
      <c r="AAP12" s="31"/>
      <c r="AAQ12" s="31"/>
      <c r="AAR12" s="31"/>
      <c r="AAS12" s="31"/>
      <c r="AAT12" s="31"/>
      <c r="AAU12" s="31"/>
      <c r="AAV12" s="31"/>
      <c r="AAW12" s="31"/>
      <c r="AAX12" s="31"/>
      <c r="AAY12" s="31"/>
      <c r="AAZ12" s="31"/>
      <c r="ABA12" s="31"/>
      <c r="ABB12" s="31"/>
      <c r="ABC12" s="31"/>
      <c r="ABD12" s="31"/>
      <c r="ABE12" s="31"/>
      <c r="ABF12" s="31"/>
      <c r="ABG12" s="31"/>
      <c r="ABH12" s="31"/>
      <c r="ABI12" s="31"/>
      <c r="ABJ12" s="31"/>
      <c r="ABK12" s="31"/>
      <c r="ABL12" s="31"/>
      <c r="ABM12" s="31"/>
      <c r="ABN12" s="31"/>
      <c r="ABO12" s="31"/>
      <c r="ABP12" s="31"/>
      <c r="ABQ12" s="31"/>
      <c r="ABR12" s="31"/>
      <c r="ABS12" s="31"/>
      <c r="ABT12" s="31"/>
      <c r="ABU12" s="31"/>
      <c r="ABV12" s="31"/>
      <c r="ABW12" s="31"/>
      <c r="ABX12" s="31"/>
      <c r="ABY12" s="31"/>
      <c r="ABZ12" s="31"/>
      <c r="ACA12" s="31"/>
      <c r="ACB12" s="31"/>
      <c r="ACC12" s="31"/>
      <c r="ACD12" s="31"/>
      <c r="ACE12" s="31"/>
      <c r="ACF12" s="31"/>
      <c r="ACG12" s="31"/>
      <c r="ACH12" s="31"/>
      <c r="ACI12" s="31"/>
      <c r="ACJ12" s="31"/>
      <c r="ACK12" s="31"/>
      <c r="ACL12" s="31"/>
      <c r="ACM12" s="31"/>
      <c r="ACN12" s="31"/>
      <c r="ACO12" s="31"/>
      <c r="ACP12" s="31"/>
      <c r="ACQ12" s="31"/>
      <c r="ACR12" s="31"/>
      <c r="ACS12" s="31"/>
      <c r="ACT12" s="31"/>
      <c r="ACU12" s="31"/>
      <c r="ACV12" s="31"/>
      <c r="ACW12" s="31"/>
      <c r="ACX12" s="31"/>
      <c r="ACY12" s="31"/>
      <c r="ACZ12" s="31"/>
      <c r="ADA12" s="31"/>
      <c r="ADB12" s="31"/>
      <c r="ADC12" s="31"/>
      <c r="ADD12" s="31"/>
      <c r="ADE12" s="31"/>
      <c r="ADF12" s="31"/>
      <c r="ADG12" s="31"/>
      <c r="ADH12" s="31"/>
      <c r="ADI12" s="31"/>
      <c r="ADJ12" s="31"/>
      <c r="ADK12" s="31"/>
      <c r="ADL12" s="31"/>
      <c r="ADM12" s="31"/>
      <c r="ADN12" s="31"/>
      <c r="ADO12" s="31"/>
      <c r="ADP12" s="31"/>
      <c r="ADQ12" s="31"/>
      <c r="ADR12" s="31"/>
      <c r="ADS12" s="31"/>
      <c r="ADT12" s="31"/>
      <c r="ADU12" s="31"/>
      <c r="ADV12" s="31"/>
      <c r="ADW12" s="31"/>
      <c r="ADX12" s="31"/>
      <c r="ADY12" s="31"/>
      <c r="ADZ12" s="31"/>
      <c r="AEA12" s="31"/>
      <c r="AEB12" s="31"/>
      <c r="AEC12" s="31"/>
      <c r="AED12" s="31"/>
      <c r="AEE12" s="31"/>
      <c r="AEF12" s="31"/>
      <c r="AEG12" s="31"/>
      <c r="AEH12" s="31"/>
      <c r="AEI12" s="31"/>
      <c r="AEJ12" s="31"/>
      <c r="AEK12" s="31"/>
      <c r="AEL12" s="31"/>
      <c r="AEM12" s="31"/>
      <c r="AEN12" s="31"/>
      <c r="AEO12" s="31"/>
      <c r="AEP12" s="31"/>
      <c r="AEQ12" s="31"/>
      <c r="AER12" s="31"/>
      <c r="AES12" s="31"/>
      <c r="AET12" s="31"/>
      <c r="AEU12" s="31"/>
      <c r="AEV12" s="31"/>
      <c r="AEW12" s="31"/>
      <c r="AEX12" s="31"/>
      <c r="AEY12" s="31"/>
      <c r="AEZ12" s="31"/>
      <c r="AFA12" s="31"/>
      <c r="AFB12" s="31"/>
      <c r="AFC12" s="31"/>
      <c r="AFD12" s="31"/>
      <c r="AFE12" s="31"/>
      <c r="AFF12" s="31"/>
      <c r="AFG12" s="31"/>
      <c r="AFH12" s="31"/>
      <c r="AFI12" s="31"/>
      <c r="AFJ12" s="31"/>
      <c r="AFK12" s="31"/>
      <c r="AFL12" s="31"/>
      <c r="AFM12" s="31"/>
      <c r="AFN12" s="31"/>
      <c r="AFO12" s="31"/>
      <c r="AFP12" s="31"/>
      <c r="AFQ12" s="31"/>
      <c r="AFR12" s="31"/>
      <c r="AFS12" s="31"/>
      <c r="AFT12" s="31"/>
      <c r="AFU12" s="31"/>
      <c r="AFV12" s="31"/>
      <c r="AFW12" s="31"/>
      <c r="AFX12" s="31"/>
      <c r="AFY12" s="31"/>
      <c r="AFZ12" s="31"/>
      <c r="AGA12" s="31"/>
      <c r="AGB12" s="31"/>
      <c r="AGC12" s="31"/>
      <c r="AGD12" s="31"/>
      <c r="AGE12" s="31"/>
      <c r="AGF12" s="31"/>
      <c r="AGG12" s="31"/>
      <c r="AGH12" s="31"/>
      <c r="AGI12" s="31"/>
      <c r="AGJ12" s="31"/>
      <c r="AGK12" s="31"/>
      <c r="AGL12" s="31"/>
      <c r="AGM12" s="31"/>
      <c r="AGN12" s="31"/>
      <c r="AGO12" s="31"/>
      <c r="AGP12" s="31"/>
      <c r="AGQ12" s="31"/>
      <c r="AGR12" s="31"/>
      <c r="AGS12" s="31"/>
      <c r="AGT12" s="31"/>
      <c r="AGU12" s="31"/>
      <c r="AGV12" s="31"/>
      <c r="AGW12" s="31"/>
      <c r="AGX12" s="31"/>
      <c r="AGY12" s="31"/>
      <c r="AGZ12" s="31"/>
      <c r="AHA12" s="31"/>
      <c r="AHB12" s="31"/>
      <c r="AHC12" s="31"/>
      <c r="AHD12" s="31"/>
      <c r="AHE12" s="31"/>
      <c r="AHF12" s="31"/>
      <c r="AHG12" s="31"/>
      <c r="AHH12" s="31"/>
      <c r="AHI12" s="31"/>
      <c r="AHJ12" s="31"/>
      <c r="AHK12" s="31"/>
      <c r="AHL12" s="31"/>
      <c r="AHM12" s="31"/>
      <c r="AHN12" s="31"/>
      <c r="AHO12" s="31"/>
      <c r="AHP12" s="31"/>
      <c r="AHQ12" s="31"/>
      <c r="AHR12" s="31"/>
      <c r="AHS12" s="31"/>
      <c r="AHT12" s="31"/>
      <c r="AHU12" s="31"/>
      <c r="AHV12" s="31"/>
      <c r="AHW12" s="31"/>
      <c r="AHX12" s="31"/>
      <c r="AHY12" s="31"/>
      <c r="AHZ12" s="31"/>
      <c r="AIA12" s="31"/>
      <c r="AIB12" s="31"/>
      <c r="AIC12" s="31"/>
      <c r="AID12" s="31"/>
      <c r="AIE12" s="31"/>
      <c r="AIF12" s="31"/>
      <c r="AIG12" s="31"/>
      <c r="AIH12" s="31"/>
      <c r="AII12" s="31"/>
      <c r="AIJ12" s="31"/>
      <c r="AIK12" s="31"/>
      <c r="AIL12" s="31"/>
      <c r="AIM12" s="31"/>
      <c r="AIN12" s="31"/>
      <c r="AIO12" s="31"/>
      <c r="AIP12" s="31"/>
      <c r="AIQ12" s="31"/>
      <c r="AIR12" s="31"/>
      <c r="AIS12" s="31"/>
      <c r="AIT12" s="31"/>
      <c r="AIU12" s="31"/>
      <c r="AIV12" s="31"/>
      <c r="AIW12" s="31"/>
      <c r="AIX12" s="31"/>
      <c r="AIY12" s="31"/>
      <c r="AIZ12" s="31"/>
      <c r="AJA12" s="31"/>
      <c r="AJB12" s="31"/>
      <c r="AJC12" s="31"/>
      <c r="AJD12" s="31"/>
      <c r="AJE12" s="31"/>
      <c r="AJF12" s="31"/>
      <c r="AJG12" s="31"/>
      <c r="AJH12" s="31"/>
      <c r="AJI12" s="31"/>
      <c r="AJJ12" s="31"/>
      <c r="AJK12" s="31"/>
      <c r="AJL12" s="31"/>
      <c r="AJM12" s="31"/>
      <c r="AJN12" s="31"/>
      <c r="AJO12" s="31"/>
      <c r="AJP12" s="31"/>
      <c r="AJQ12" s="31"/>
      <c r="AJR12" s="31"/>
      <c r="AJS12" s="31"/>
      <c r="AJT12" s="31"/>
      <c r="AJU12" s="31"/>
      <c r="AJV12" s="31"/>
      <c r="AJW12" s="31"/>
      <c r="AJX12" s="31"/>
      <c r="AJY12" s="31"/>
      <c r="AJZ12" s="31"/>
      <c r="AKA12" s="31"/>
      <c r="AKB12" s="31"/>
      <c r="AKC12" s="31"/>
      <c r="AKD12" s="31"/>
      <c r="AKE12" s="31"/>
      <c r="AKF12" s="31"/>
      <c r="AKG12" s="31"/>
      <c r="AKH12" s="31"/>
      <c r="AKI12" s="31"/>
      <c r="AKJ12" s="31"/>
      <c r="AKK12" s="31"/>
      <c r="AKL12" s="31"/>
      <c r="AKM12" s="31"/>
      <c r="AKN12" s="31"/>
      <c r="AKO12" s="31"/>
      <c r="AKP12" s="31"/>
      <c r="AKQ12" s="31"/>
      <c r="AKR12" s="31"/>
      <c r="AKS12" s="31"/>
      <c r="AKT12" s="31"/>
      <c r="AKU12" s="31"/>
      <c r="AKV12" s="31"/>
      <c r="AKW12" s="31"/>
      <c r="AKX12" s="31"/>
      <c r="AKY12" s="31"/>
      <c r="AKZ12" s="31"/>
      <c r="ALA12" s="31"/>
      <c r="ALB12" s="31"/>
      <c r="ALC12" s="31"/>
      <c r="ALD12" s="31"/>
      <c r="ALE12" s="31"/>
      <c r="ALF12" s="31"/>
      <c r="ALG12" s="31"/>
      <c r="ALH12" s="31"/>
      <c r="ALI12" s="31"/>
      <c r="ALJ12" s="31"/>
      <c r="ALK12" s="31"/>
      <c r="ALL12" s="31"/>
      <c r="ALM12" s="31"/>
      <c r="ALN12" s="31"/>
      <c r="ALO12" s="31"/>
      <c r="ALP12" s="31"/>
      <c r="ALQ12" s="31"/>
      <c r="ALR12" s="31"/>
      <c r="ALS12" s="31"/>
      <c r="ALT12" s="31"/>
      <c r="ALU12" s="31"/>
      <c r="ALV12" s="31"/>
      <c r="ALW12" s="31"/>
      <c r="ALX12" s="31"/>
      <c r="ALY12" s="31"/>
      <c r="ALZ12" s="31"/>
      <c r="AMA12" s="31"/>
      <c r="AMB12" s="31"/>
      <c r="AMC12" s="31"/>
      <c r="AMD12" s="31"/>
      <c r="AME12" s="31"/>
      <c r="AMF12" s="31"/>
      <c r="AMG12" s="31"/>
      <c r="AMH12" s="31"/>
      <c r="AMI12" s="31"/>
      <c r="AMJ12" s="31"/>
    </row>
    <row r="13" spans="1:1024" s="32" customFormat="1" ht="50.1" customHeight="1" x14ac:dyDescent="0.2">
      <c r="A13" s="122">
        <f>'ALIMENTOS PERECEDEROS'!A11</f>
        <v>2</v>
      </c>
      <c r="B13" s="49" t="str">
        <f>'ALIMENTOS PERECEDEROS'!B11</f>
        <v>2.1.1-541.20</v>
      </c>
      <c r="C13" s="150" t="str">
        <f>'ALIMENTOS PERECEDEROS'!E11</f>
        <v>CARNES; CORTE: TAPA DE NALGA, ESPECIE: VACUNA, TIPO: VACUNA</v>
      </c>
      <c r="D13" s="150"/>
      <c r="E13" s="150"/>
      <c r="F13" s="150"/>
      <c r="G13" s="150"/>
      <c r="H13" s="49" t="s">
        <v>66</v>
      </c>
      <c r="I13" s="121" t="str">
        <f>'ALIMENTOS PERECEDEROS'!F11</f>
        <v>KG</v>
      </c>
      <c r="J13" s="50">
        <f>'ALIMENTOS PERECEDEROS'!H11</f>
        <v>1368</v>
      </c>
      <c r="K13" s="51">
        <f>'ALIMENTOS PERECEDEROS'!G11</f>
        <v>70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  <c r="ALN13" s="31"/>
      <c r="ALO13" s="31"/>
      <c r="ALP13" s="31"/>
      <c r="ALQ13" s="31"/>
      <c r="ALR13" s="31"/>
      <c r="ALS13" s="31"/>
      <c r="ALT13" s="31"/>
      <c r="ALU13" s="31"/>
      <c r="ALV13" s="31"/>
      <c r="ALW13" s="31"/>
      <c r="ALX13" s="31"/>
      <c r="ALY13" s="31"/>
      <c r="ALZ13" s="31"/>
      <c r="AMA13" s="31"/>
      <c r="AMB13" s="31"/>
      <c r="AMC13" s="31"/>
      <c r="AMD13" s="31"/>
      <c r="AME13" s="31"/>
      <c r="AMF13" s="31"/>
      <c r="AMG13" s="31"/>
      <c r="AMH13" s="31"/>
      <c r="AMI13" s="31"/>
      <c r="AMJ13" s="31"/>
    </row>
    <row r="14" spans="1:1024" s="32" customFormat="1" ht="50.1" customHeight="1" x14ac:dyDescent="0.2">
      <c r="A14" s="122">
        <f>'ALIMENTOS PERECEDEROS'!A12</f>
        <v>3</v>
      </c>
      <c r="B14" s="49" t="str">
        <f>'ALIMENTOS PERECEDEROS'!B12</f>
        <v>2.1.1-541.33</v>
      </c>
      <c r="C14" s="150" t="str">
        <f>'ALIMENTOS PERECEDEROS'!E12</f>
        <v>CARNES; ESPECIE: VACUNA, CORTE: BOLA DE LOMO, TIPO: VACUNA</v>
      </c>
      <c r="D14" s="150"/>
      <c r="E14" s="150"/>
      <c r="F14" s="150"/>
      <c r="G14" s="150"/>
      <c r="H14" s="49" t="s">
        <v>66</v>
      </c>
      <c r="I14" s="121" t="str">
        <f>'ALIMENTOS PERECEDEROS'!F12</f>
        <v>KG</v>
      </c>
      <c r="J14" s="50">
        <f>'ALIMENTOS PERECEDEROS'!H12</f>
        <v>1092</v>
      </c>
      <c r="K14" s="51">
        <f>'ALIMENTOS PERECEDEROS'!G12</f>
        <v>75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31"/>
      <c r="PE14" s="31"/>
      <c r="PF14" s="31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31"/>
      <c r="PW14" s="31"/>
      <c r="PX14" s="31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31"/>
      <c r="QO14" s="31"/>
      <c r="QP14" s="31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31"/>
      <c r="RG14" s="31"/>
      <c r="RH14" s="31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31"/>
      <c r="RY14" s="31"/>
      <c r="RZ14" s="31"/>
      <c r="SA14" s="31"/>
      <c r="SB14" s="31"/>
      <c r="SC14" s="31"/>
      <c r="SD14" s="31"/>
      <c r="SE14" s="31"/>
      <c r="SF14" s="31"/>
      <c r="SG14" s="31"/>
      <c r="SH14" s="31"/>
      <c r="SI14" s="31"/>
      <c r="SJ14" s="31"/>
      <c r="SK14" s="31"/>
      <c r="SL14" s="31"/>
      <c r="SM14" s="31"/>
      <c r="SN14" s="31"/>
      <c r="SO14" s="31"/>
      <c r="SP14" s="31"/>
      <c r="SQ14" s="31"/>
      <c r="SR14" s="31"/>
      <c r="SS14" s="31"/>
      <c r="ST14" s="31"/>
      <c r="SU14" s="31"/>
      <c r="SV14" s="31"/>
      <c r="SW14" s="31"/>
      <c r="SX14" s="31"/>
      <c r="SY14" s="31"/>
      <c r="SZ14" s="31"/>
      <c r="TA14" s="31"/>
      <c r="TB14" s="31"/>
      <c r="TC14" s="31"/>
      <c r="TD14" s="31"/>
      <c r="TE14" s="31"/>
      <c r="TF14" s="31"/>
      <c r="TG14" s="31"/>
      <c r="TH14" s="31"/>
      <c r="TI14" s="31"/>
      <c r="TJ14" s="31"/>
      <c r="TK14" s="31"/>
      <c r="TL14" s="31"/>
      <c r="TM14" s="31"/>
      <c r="TN14" s="31"/>
      <c r="TO14" s="31"/>
      <c r="TP14" s="31"/>
      <c r="TQ14" s="31"/>
      <c r="TR14" s="31"/>
      <c r="TS14" s="31"/>
      <c r="TT14" s="31"/>
      <c r="TU14" s="31"/>
      <c r="TV14" s="31"/>
      <c r="TW14" s="31"/>
      <c r="TX14" s="31"/>
      <c r="TY14" s="31"/>
      <c r="TZ14" s="31"/>
      <c r="UA14" s="31"/>
      <c r="UB14" s="31"/>
      <c r="UC14" s="31"/>
      <c r="UD14" s="31"/>
      <c r="UE14" s="31"/>
      <c r="UF14" s="31"/>
      <c r="UG14" s="31"/>
      <c r="UH14" s="31"/>
      <c r="UI14" s="31"/>
      <c r="UJ14" s="31"/>
      <c r="UK14" s="31"/>
      <c r="UL14" s="31"/>
      <c r="UM14" s="31"/>
      <c r="UN14" s="31"/>
      <c r="UO14" s="31"/>
      <c r="UP14" s="31"/>
      <c r="UQ14" s="31"/>
      <c r="UR14" s="31"/>
      <c r="US14" s="31"/>
      <c r="UT14" s="31"/>
      <c r="UU14" s="31"/>
      <c r="UV14" s="31"/>
      <c r="UW14" s="31"/>
      <c r="UX14" s="31"/>
      <c r="UY14" s="31"/>
      <c r="UZ14" s="31"/>
      <c r="VA14" s="31"/>
      <c r="VB14" s="31"/>
      <c r="VC14" s="31"/>
      <c r="VD14" s="31"/>
      <c r="VE14" s="31"/>
      <c r="VF14" s="31"/>
      <c r="VG14" s="31"/>
      <c r="VH14" s="31"/>
      <c r="VI14" s="31"/>
      <c r="VJ14" s="31"/>
      <c r="VK14" s="31"/>
      <c r="VL14" s="31"/>
      <c r="VM14" s="31"/>
      <c r="VN14" s="31"/>
      <c r="VO14" s="31"/>
      <c r="VP14" s="31"/>
      <c r="VQ14" s="31"/>
      <c r="VR14" s="31"/>
      <c r="VS14" s="31"/>
      <c r="VT14" s="31"/>
      <c r="VU14" s="31"/>
      <c r="VV14" s="31"/>
      <c r="VW14" s="31"/>
      <c r="VX14" s="31"/>
      <c r="VY14" s="31"/>
      <c r="VZ14" s="31"/>
      <c r="WA14" s="31"/>
      <c r="WB14" s="31"/>
      <c r="WC14" s="31"/>
      <c r="WD14" s="31"/>
      <c r="WE14" s="31"/>
      <c r="WF14" s="31"/>
      <c r="WG14" s="31"/>
      <c r="WH14" s="31"/>
      <c r="WI14" s="31"/>
      <c r="WJ14" s="31"/>
      <c r="WK14" s="31"/>
      <c r="WL14" s="31"/>
      <c r="WM14" s="31"/>
      <c r="WN14" s="31"/>
      <c r="WO14" s="31"/>
      <c r="WP14" s="31"/>
      <c r="WQ14" s="31"/>
      <c r="WR14" s="31"/>
      <c r="WS14" s="31"/>
      <c r="WT14" s="31"/>
      <c r="WU14" s="31"/>
      <c r="WV14" s="31"/>
      <c r="WW14" s="31"/>
      <c r="WX14" s="31"/>
      <c r="WY14" s="31"/>
      <c r="WZ14" s="31"/>
      <c r="XA14" s="31"/>
      <c r="XB14" s="31"/>
      <c r="XC14" s="31"/>
      <c r="XD14" s="31"/>
      <c r="XE14" s="31"/>
      <c r="XF14" s="31"/>
      <c r="XG14" s="31"/>
      <c r="XH14" s="31"/>
      <c r="XI14" s="31"/>
      <c r="XJ14" s="31"/>
      <c r="XK14" s="31"/>
      <c r="XL14" s="31"/>
      <c r="XM14" s="31"/>
      <c r="XN14" s="31"/>
      <c r="XO14" s="31"/>
      <c r="XP14" s="31"/>
      <c r="XQ14" s="31"/>
      <c r="XR14" s="31"/>
      <c r="XS14" s="31"/>
      <c r="XT14" s="31"/>
      <c r="XU14" s="31"/>
      <c r="XV14" s="31"/>
      <c r="XW14" s="31"/>
      <c r="XX14" s="31"/>
      <c r="XY14" s="31"/>
      <c r="XZ14" s="31"/>
      <c r="YA14" s="31"/>
      <c r="YB14" s="31"/>
      <c r="YC14" s="31"/>
      <c r="YD14" s="31"/>
      <c r="YE14" s="31"/>
      <c r="YF14" s="31"/>
      <c r="YG14" s="31"/>
      <c r="YH14" s="31"/>
      <c r="YI14" s="31"/>
      <c r="YJ14" s="31"/>
      <c r="YK14" s="31"/>
      <c r="YL14" s="31"/>
      <c r="YM14" s="31"/>
      <c r="YN14" s="31"/>
      <c r="YO14" s="31"/>
      <c r="YP14" s="31"/>
      <c r="YQ14" s="31"/>
      <c r="YR14" s="31"/>
      <c r="YS14" s="31"/>
      <c r="YT14" s="31"/>
      <c r="YU14" s="31"/>
      <c r="YV14" s="31"/>
      <c r="YW14" s="31"/>
      <c r="YX14" s="31"/>
      <c r="YY14" s="31"/>
      <c r="YZ14" s="31"/>
      <c r="ZA14" s="31"/>
      <c r="ZB14" s="31"/>
      <c r="ZC14" s="31"/>
      <c r="ZD14" s="31"/>
      <c r="ZE14" s="31"/>
      <c r="ZF14" s="31"/>
      <c r="ZG14" s="31"/>
      <c r="ZH14" s="31"/>
      <c r="ZI14" s="31"/>
      <c r="ZJ14" s="31"/>
      <c r="ZK14" s="31"/>
      <c r="ZL14" s="31"/>
      <c r="ZM14" s="31"/>
      <c r="ZN14" s="31"/>
      <c r="ZO14" s="31"/>
      <c r="ZP14" s="31"/>
      <c r="ZQ14" s="31"/>
      <c r="ZR14" s="31"/>
      <c r="ZS14" s="31"/>
      <c r="ZT14" s="31"/>
      <c r="ZU14" s="31"/>
      <c r="ZV14" s="31"/>
      <c r="ZW14" s="31"/>
      <c r="ZX14" s="31"/>
      <c r="ZY14" s="31"/>
      <c r="ZZ14" s="31"/>
      <c r="AAA14" s="31"/>
      <c r="AAB14" s="31"/>
      <c r="AAC14" s="31"/>
      <c r="AAD14" s="31"/>
      <c r="AAE14" s="31"/>
      <c r="AAF14" s="31"/>
      <c r="AAG14" s="31"/>
      <c r="AAH14" s="31"/>
      <c r="AAI14" s="31"/>
      <c r="AAJ14" s="31"/>
      <c r="AAK14" s="31"/>
      <c r="AAL14" s="31"/>
      <c r="AAM14" s="31"/>
      <c r="AAN14" s="31"/>
      <c r="AAO14" s="31"/>
      <c r="AAP14" s="31"/>
      <c r="AAQ14" s="31"/>
      <c r="AAR14" s="31"/>
      <c r="AAS14" s="31"/>
      <c r="AAT14" s="31"/>
      <c r="AAU14" s="31"/>
      <c r="AAV14" s="31"/>
      <c r="AAW14" s="31"/>
      <c r="AAX14" s="31"/>
      <c r="AAY14" s="31"/>
      <c r="AAZ14" s="31"/>
      <c r="ABA14" s="31"/>
      <c r="ABB14" s="31"/>
      <c r="ABC14" s="31"/>
      <c r="ABD14" s="31"/>
      <c r="ABE14" s="31"/>
      <c r="ABF14" s="31"/>
      <c r="ABG14" s="31"/>
      <c r="ABH14" s="31"/>
      <c r="ABI14" s="31"/>
      <c r="ABJ14" s="31"/>
      <c r="ABK14" s="31"/>
      <c r="ABL14" s="31"/>
      <c r="ABM14" s="31"/>
      <c r="ABN14" s="31"/>
      <c r="ABO14" s="31"/>
      <c r="ABP14" s="31"/>
      <c r="ABQ14" s="31"/>
      <c r="ABR14" s="31"/>
      <c r="ABS14" s="31"/>
      <c r="ABT14" s="31"/>
      <c r="ABU14" s="31"/>
      <c r="ABV14" s="31"/>
      <c r="ABW14" s="31"/>
      <c r="ABX14" s="31"/>
      <c r="ABY14" s="31"/>
      <c r="ABZ14" s="31"/>
      <c r="ACA14" s="31"/>
      <c r="ACB14" s="31"/>
      <c r="ACC14" s="31"/>
      <c r="ACD14" s="31"/>
      <c r="ACE14" s="31"/>
      <c r="ACF14" s="31"/>
      <c r="ACG14" s="31"/>
      <c r="ACH14" s="31"/>
      <c r="ACI14" s="31"/>
      <c r="ACJ14" s="31"/>
      <c r="ACK14" s="31"/>
      <c r="ACL14" s="31"/>
      <c r="ACM14" s="31"/>
      <c r="ACN14" s="31"/>
      <c r="ACO14" s="31"/>
      <c r="ACP14" s="31"/>
      <c r="ACQ14" s="31"/>
      <c r="ACR14" s="31"/>
      <c r="ACS14" s="31"/>
      <c r="ACT14" s="31"/>
      <c r="ACU14" s="31"/>
      <c r="ACV14" s="31"/>
      <c r="ACW14" s="31"/>
      <c r="ACX14" s="31"/>
      <c r="ACY14" s="31"/>
      <c r="ACZ14" s="31"/>
      <c r="ADA14" s="31"/>
      <c r="ADB14" s="31"/>
      <c r="ADC14" s="31"/>
      <c r="ADD14" s="31"/>
      <c r="ADE14" s="31"/>
      <c r="ADF14" s="31"/>
      <c r="ADG14" s="31"/>
      <c r="ADH14" s="31"/>
      <c r="ADI14" s="31"/>
      <c r="ADJ14" s="31"/>
      <c r="ADK14" s="31"/>
      <c r="ADL14" s="31"/>
      <c r="ADM14" s="31"/>
      <c r="ADN14" s="31"/>
      <c r="ADO14" s="31"/>
      <c r="ADP14" s="31"/>
      <c r="ADQ14" s="31"/>
      <c r="ADR14" s="31"/>
      <c r="ADS14" s="31"/>
      <c r="ADT14" s="31"/>
      <c r="ADU14" s="31"/>
      <c r="ADV14" s="31"/>
      <c r="ADW14" s="31"/>
      <c r="ADX14" s="31"/>
      <c r="ADY14" s="31"/>
      <c r="ADZ14" s="31"/>
      <c r="AEA14" s="31"/>
      <c r="AEB14" s="31"/>
      <c r="AEC14" s="31"/>
      <c r="AED14" s="31"/>
      <c r="AEE14" s="31"/>
      <c r="AEF14" s="31"/>
      <c r="AEG14" s="31"/>
      <c r="AEH14" s="31"/>
      <c r="AEI14" s="31"/>
      <c r="AEJ14" s="31"/>
      <c r="AEK14" s="31"/>
      <c r="AEL14" s="31"/>
      <c r="AEM14" s="31"/>
      <c r="AEN14" s="31"/>
      <c r="AEO14" s="31"/>
      <c r="AEP14" s="31"/>
      <c r="AEQ14" s="31"/>
      <c r="AER14" s="31"/>
      <c r="AES14" s="31"/>
      <c r="AET14" s="31"/>
      <c r="AEU14" s="31"/>
      <c r="AEV14" s="31"/>
      <c r="AEW14" s="31"/>
      <c r="AEX14" s="31"/>
      <c r="AEY14" s="31"/>
      <c r="AEZ14" s="31"/>
      <c r="AFA14" s="31"/>
      <c r="AFB14" s="31"/>
      <c r="AFC14" s="31"/>
      <c r="AFD14" s="31"/>
      <c r="AFE14" s="31"/>
      <c r="AFF14" s="31"/>
      <c r="AFG14" s="31"/>
      <c r="AFH14" s="31"/>
      <c r="AFI14" s="31"/>
      <c r="AFJ14" s="31"/>
      <c r="AFK14" s="31"/>
      <c r="AFL14" s="31"/>
      <c r="AFM14" s="31"/>
      <c r="AFN14" s="31"/>
      <c r="AFO14" s="31"/>
      <c r="AFP14" s="31"/>
      <c r="AFQ14" s="31"/>
      <c r="AFR14" s="31"/>
      <c r="AFS14" s="31"/>
      <c r="AFT14" s="31"/>
      <c r="AFU14" s="31"/>
      <c r="AFV14" s="31"/>
      <c r="AFW14" s="31"/>
      <c r="AFX14" s="31"/>
      <c r="AFY14" s="31"/>
      <c r="AFZ14" s="31"/>
      <c r="AGA14" s="31"/>
      <c r="AGB14" s="31"/>
      <c r="AGC14" s="31"/>
      <c r="AGD14" s="31"/>
      <c r="AGE14" s="31"/>
      <c r="AGF14" s="31"/>
      <c r="AGG14" s="31"/>
      <c r="AGH14" s="31"/>
      <c r="AGI14" s="31"/>
      <c r="AGJ14" s="31"/>
      <c r="AGK14" s="31"/>
      <c r="AGL14" s="31"/>
      <c r="AGM14" s="31"/>
      <c r="AGN14" s="31"/>
      <c r="AGO14" s="31"/>
      <c r="AGP14" s="31"/>
      <c r="AGQ14" s="31"/>
      <c r="AGR14" s="31"/>
      <c r="AGS14" s="31"/>
      <c r="AGT14" s="31"/>
      <c r="AGU14" s="31"/>
      <c r="AGV14" s="31"/>
      <c r="AGW14" s="31"/>
      <c r="AGX14" s="31"/>
      <c r="AGY14" s="31"/>
      <c r="AGZ14" s="31"/>
      <c r="AHA14" s="31"/>
      <c r="AHB14" s="31"/>
      <c r="AHC14" s="31"/>
      <c r="AHD14" s="31"/>
      <c r="AHE14" s="31"/>
      <c r="AHF14" s="31"/>
      <c r="AHG14" s="31"/>
      <c r="AHH14" s="31"/>
      <c r="AHI14" s="31"/>
      <c r="AHJ14" s="31"/>
      <c r="AHK14" s="31"/>
      <c r="AHL14" s="31"/>
      <c r="AHM14" s="31"/>
      <c r="AHN14" s="31"/>
      <c r="AHO14" s="31"/>
      <c r="AHP14" s="31"/>
      <c r="AHQ14" s="31"/>
      <c r="AHR14" s="31"/>
      <c r="AHS14" s="31"/>
      <c r="AHT14" s="31"/>
      <c r="AHU14" s="31"/>
      <c r="AHV14" s="31"/>
      <c r="AHW14" s="31"/>
      <c r="AHX14" s="31"/>
      <c r="AHY14" s="31"/>
      <c r="AHZ14" s="31"/>
      <c r="AIA14" s="31"/>
      <c r="AIB14" s="31"/>
      <c r="AIC14" s="31"/>
      <c r="AID14" s="31"/>
      <c r="AIE14" s="31"/>
      <c r="AIF14" s="31"/>
      <c r="AIG14" s="31"/>
      <c r="AIH14" s="31"/>
      <c r="AII14" s="31"/>
      <c r="AIJ14" s="31"/>
      <c r="AIK14" s="31"/>
      <c r="AIL14" s="31"/>
      <c r="AIM14" s="31"/>
      <c r="AIN14" s="31"/>
      <c r="AIO14" s="31"/>
      <c r="AIP14" s="31"/>
      <c r="AIQ14" s="31"/>
      <c r="AIR14" s="31"/>
      <c r="AIS14" s="31"/>
      <c r="AIT14" s="31"/>
      <c r="AIU14" s="31"/>
      <c r="AIV14" s="31"/>
      <c r="AIW14" s="31"/>
      <c r="AIX14" s="31"/>
      <c r="AIY14" s="31"/>
      <c r="AIZ14" s="31"/>
      <c r="AJA14" s="31"/>
      <c r="AJB14" s="31"/>
      <c r="AJC14" s="31"/>
      <c r="AJD14" s="31"/>
      <c r="AJE14" s="31"/>
      <c r="AJF14" s="31"/>
      <c r="AJG14" s="31"/>
      <c r="AJH14" s="31"/>
      <c r="AJI14" s="31"/>
      <c r="AJJ14" s="31"/>
      <c r="AJK14" s="31"/>
      <c r="AJL14" s="31"/>
      <c r="AJM14" s="31"/>
      <c r="AJN14" s="31"/>
      <c r="AJO14" s="31"/>
      <c r="AJP14" s="31"/>
      <c r="AJQ14" s="31"/>
      <c r="AJR14" s="31"/>
      <c r="AJS14" s="31"/>
      <c r="AJT14" s="31"/>
      <c r="AJU14" s="31"/>
      <c r="AJV14" s="31"/>
      <c r="AJW14" s="31"/>
      <c r="AJX14" s="31"/>
      <c r="AJY14" s="31"/>
      <c r="AJZ14" s="31"/>
      <c r="AKA14" s="31"/>
      <c r="AKB14" s="31"/>
      <c r="AKC14" s="31"/>
      <c r="AKD14" s="31"/>
      <c r="AKE14" s="31"/>
      <c r="AKF14" s="31"/>
      <c r="AKG14" s="31"/>
      <c r="AKH14" s="31"/>
      <c r="AKI14" s="31"/>
      <c r="AKJ14" s="31"/>
      <c r="AKK14" s="31"/>
      <c r="AKL14" s="31"/>
      <c r="AKM14" s="31"/>
      <c r="AKN14" s="31"/>
      <c r="AKO14" s="31"/>
      <c r="AKP14" s="31"/>
      <c r="AKQ14" s="31"/>
      <c r="AKR14" s="31"/>
      <c r="AKS14" s="31"/>
      <c r="AKT14" s="31"/>
      <c r="AKU14" s="31"/>
      <c r="AKV14" s="31"/>
      <c r="AKW14" s="31"/>
      <c r="AKX14" s="31"/>
      <c r="AKY14" s="31"/>
      <c r="AKZ14" s="31"/>
      <c r="ALA14" s="31"/>
      <c r="ALB14" s="31"/>
      <c r="ALC14" s="31"/>
      <c r="ALD14" s="31"/>
      <c r="ALE14" s="31"/>
      <c r="ALF14" s="31"/>
      <c r="ALG14" s="31"/>
      <c r="ALH14" s="31"/>
      <c r="ALI14" s="31"/>
      <c r="ALJ14" s="31"/>
      <c r="ALK14" s="31"/>
      <c r="ALL14" s="31"/>
      <c r="ALM14" s="31"/>
      <c r="ALN14" s="31"/>
      <c r="ALO14" s="31"/>
      <c r="ALP14" s="31"/>
      <c r="ALQ14" s="31"/>
      <c r="ALR14" s="31"/>
      <c r="ALS14" s="31"/>
      <c r="ALT14" s="31"/>
      <c r="ALU14" s="31"/>
      <c r="ALV14" s="31"/>
      <c r="ALW14" s="31"/>
      <c r="ALX14" s="31"/>
      <c r="ALY14" s="31"/>
      <c r="ALZ14" s="31"/>
      <c r="AMA14" s="31"/>
      <c r="AMB14" s="31"/>
      <c r="AMC14" s="31"/>
      <c r="AMD14" s="31"/>
      <c r="AME14" s="31"/>
      <c r="AMF14" s="31"/>
      <c r="AMG14" s="31"/>
      <c r="AMH14" s="31"/>
      <c r="AMI14" s="31"/>
      <c r="AMJ14" s="31"/>
    </row>
    <row r="15" spans="1:1024" s="32" customFormat="1" ht="50.1" customHeight="1" thickBot="1" x14ac:dyDescent="0.25">
      <c r="A15" s="122">
        <f>'ALIMENTOS PERECEDEROS'!A13</f>
        <v>4</v>
      </c>
      <c r="B15" s="49" t="str">
        <f>'ALIMENTOS PERECEDEROS'!B13</f>
        <v>2.1.1-541.49</v>
      </c>
      <c r="C15" s="150" t="str">
        <f>'ALIMENTOS PERECEDEROS'!E13</f>
        <v>CARNES; ESPECIE: VACUNA, CORTE: NALGA, TIPO: VACUNA</v>
      </c>
      <c r="D15" s="150"/>
      <c r="E15" s="150"/>
      <c r="F15" s="150"/>
      <c r="G15" s="150"/>
      <c r="H15" s="49" t="s">
        <v>66</v>
      </c>
      <c r="I15" s="121" t="str">
        <f>'ALIMENTOS PERECEDEROS'!F13</f>
        <v>KG</v>
      </c>
      <c r="J15" s="50">
        <f>'ALIMENTOS PERECEDEROS'!H13</f>
        <v>1236</v>
      </c>
      <c r="K15" s="51">
        <f>'ALIMENTOS PERECEDEROS'!G13</f>
        <v>250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  <c r="SB15" s="31"/>
      <c r="SC15" s="31"/>
      <c r="SD15" s="31"/>
      <c r="SE15" s="31"/>
      <c r="SF15" s="31"/>
      <c r="SG15" s="31"/>
      <c r="SH15" s="31"/>
      <c r="SI15" s="31"/>
      <c r="SJ15" s="31"/>
      <c r="SK15" s="31"/>
      <c r="SL15" s="31"/>
      <c r="SM15" s="31"/>
      <c r="SN15" s="31"/>
      <c r="SO15" s="31"/>
      <c r="SP15" s="31"/>
      <c r="SQ15" s="31"/>
      <c r="SR15" s="31"/>
      <c r="SS15" s="31"/>
      <c r="ST15" s="31"/>
      <c r="SU15" s="31"/>
      <c r="SV15" s="31"/>
      <c r="SW15" s="31"/>
      <c r="SX15" s="31"/>
      <c r="SY15" s="31"/>
      <c r="SZ15" s="31"/>
      <c r="TA15" s="31"/>
      <c r="TB15" s="31"/>
      <c r="TC15" s="31"/>
      <c r="TD15" s="31"/>
      <c r="TE15" s="31"/>
      <c r="TF15" s="31"/>
      <c r="TG15" s="31"/>
      <c r="TH15" s="31"/>
      <c r="TI15" s="31"/>
      <c r="TJ15" s="31"/>
      <c r="TK15" s="31"/>
      <c r="TL15" s="31"/>
      <c r="TM15" s="31"/>
      <c r="TN15" s="31"/>
      <c r="TO15" s="31"/>
      <c r="TP15" s="31"/>
      <c r="TQ15" s="31"/>
      <c r="TR15" s="31"/>
      <c r="TS15" s="31"/>
      <c r="TT15" s="31"/>
      <c r="TU15" s="31"/>
      <c r="TV15" s="31"/>
      <c r="TW15" s="31"/>
      <c r="TX15" s="31"/>
      <c r="TY15" s="31"/>
      <c r="TZ15" s="31"/>
      <c r="UA15" s="31"/>
      <c r="UB15" s="31"/>
      <c r="UC15" s="31"/>
      <c r="UD15" s="31"/>
      <c r="UE15" s="31"/>
      <c r="UF15" s="31"/>
      <c r="UG15" s="31"/>
      <c r="UH15" s="31"/>
      <c r="UI15" s="31"/>
      <c r="UJ15" s="31"/>
      <c r="UK15" s="31"/>
      <c r="UL15" s="31"/>
      <c r="UM15" s="31"/>
      <c r="UN15" s="31"/>
      <c r="UO15" s="31"/>
      <c r="UP15" s="31"/>
      <c r="UQ15" s="31"/>
      <c r="UR15" s="31"/>
      <c r="US15" s="31"/>
      <c r="UT15" s="31"/>
      <c r="UU15" s="31"/>
      <c r="UV15" s="31"/>
      <c r="UW15" s="31"/>
      <c r="UX15" s="31"/>
      <c r="UY15" s="31"/>
      <c r="UZ15" s="31"/>
      <c r="VA15" s="31"/>
      <c r="VB15" s="31"/>
      <c r="VC15" s="31"/>
      <c r="VD15" s="31"/>
      <c r="VE15" s="31"/>
      <c r="VF15" s="31"/>
      <c r="VG15" s="31"/>
      <c r="VH15" s="31"/>
      <c r="VI15" s="31"/>
      <c r="VJ15" s="31"/>
      <c r="VK15" s="31"/>
      <c r="VL15" s="31"/>
      <c r="VM15" s="31"/>
      <c r="VN15" s="31"/>
      <c r="VO15" s="31"/>
      <c r="VP15" s="31"/>
      <c r="VQ15" s="31"/>
      <c r="VR15" s="31"/>
      <c r="VS15" s="31"/>
      <c r="VT15" s="31"/>
      <c r="VU15" s="31"/>
      <c r="VV15" s="31"/>
      <c r="VW15" s="31"/>
      <c r="VX15" s="31"/>
      <c r="VY15" s="31"/>
      <c r="VZ15" s="31"/>
      <c r="WA15" s="31"/>
      <c r="WB15" s="31"/>
      <c r="WC15" s="31"/>
      <c r="WD15" s="31"/>
      <c r="WE15" s="31"/>
      <c r="WF15" s="31"/>
      <c r="WG15" s="31"/>
      <c r="WH15" s="31"/>
      <c r="WI15" s="31"/>
      <c r="WJ15" s="31"/>
      <c r="WK15" s="31"/>
      <c r="WL15" s="31"/>
      <c r="WM15" s="31"/>
      <c r="WN15" s="31"/>
      <c r="WO15" s="31"/>
      <c r="WP15" s="31"/>
      <c r="WQ15" s="31"/>
      <c r="WR15" s="31"/>
      <c r="WS15" s="31"/>
      <c r="WT15" s="31"/>
      <c r="WU15" s="31"/>
      <c r="WV15" s="31"/>
      <c r="WW15" s="31"/>
      <c r="WX15" s="31"/>
      <c r="WY15" s="31"/>
      <c r="WZ15" s="31"/>
      <c r="XA15" s="31"/>
      <c r="XB15" s="31"/>
      <c r="XC15" s="31"/>
      <c r="XD15" s="31"/>
      <c r="XE15" s="31"/>
      <c r="XF15" s="31"/>
      <c r="XG15" s="31"/>
      <c r="XH15" s="31"/>
      <c r="XI15" s="31"/>
      <c r="XJ15" s="31"/>
      <c r="XK15" s="31"/>
      <c r="XL15" s="31"/>
      <c r="XM15" s="31"/>
      <c r="XN15" s="31"/>
      <c r="XO15" s="31"/>
      <c r="XP15" s="31"/>
      <c r="XQ15" s="31"/>
      <c r="XR15" s="31"/>
      <c r="XS15" s="31"/>
      <c r="XT15" s="31"/>
      <c r="XU15" s="31"/>
      <c r="XV15" s="31"/>
      <c r="XW15" s="31"/>
      <c r="XX15" s="31"/>
      <c r="XY15" s="31"/>
      <c r="XZ15" s="31"/>
      <c r="YA15" s="31"/>
      <c r="YB15" s="31"/>
      <c r="YC15" s="31"/>
      <c r="YD15" s="31"/>
      <c r="YE15" s="31"/>
      <c r="YF15" s="31"/>
      <c r="YG15" s="31"/>
      <c r="YH15" s="31"/>
      <c r="YI15" s="31"/>
      <c r="YJ15" s="31"/>
      <c r="YK15" s="31"/>
      <c r="YL15" s="31"/>
      <c r="YM15" s="31"/>
      <c r="YN15" s="31"/>
      <c r="YO15" s="31"/>
      <c r="YP15" s="31"/>
      <c r="YQ15" s="31"/>
      <c r="YR15" s="31"/>
      <c r="YS15" s="31"/>
      <c r="YT15" s="31"/>
      <c r="YU15" s="31"/>
      <c r="YV15" s="31"/>
      <c r="YW15" s="31"/>
      <c r="YX15" s="31"/>
      <c r="YY15" s="31"/>
      <c r="YZ15" s="31"/>
      <c r="ZA15" s="31"/>
      <c r="ZB15" s="31"/>
      <c r="ZC15" s="31"/>
      <c r="ZD15" s="31"/>
      <c r="ZE15" s="31"/>
      <c r="ZF15" s="31"/>
      <c r="ZG15" s="31"/>
      <c r="ZH15" s="31"/>
      <c r="ZI15" s="31"/>
      <c r="ZJ15" s="31"/>
      <c r="ZK15" s="31"/>
      <c r="ZL15" s="31"/>
      <c r="ZM15" s="31"/>
      <c r="ZN15" s="31"/>
      <c r="ZO15" s="31"/>
      <c r="ZP15" s="31"/>
      <c r="ZQ15" s="31"/>
      <c r="ZR15" s="31"/>
      <c r="ZS15" s="31"/>
      <c r="ZT15" s="31"/>
      <c r="ZU15" s="31"/>
      <c r="ZV15" s="31"/>
      <c r="ZW15" s="31"/>
      <c r="ZX15" s="31"/>
      <c r="ZY15" s="31"/>
      <c r="ZZ15" s="31"/>
      <c r="AAA15" s="31"/>
      <c r="AAB15" s="31"/>
      <c r="AAC15" s="31"/>
      <c r="AAD15" s="31"/>
      <c r="AAE15" s="31"/>
      <c r="AAF15" s="31"/>
      <c r="AAG15" s="31"/>
      <c r="AAH15" s="31"/>
      <c r="AAI15" s="31"/>
      <c r="AAJ15" s="31"/>
      <c r="AAK15" s="31"/>
      <c r="AAL15" s="31"/>
      <c r="AAM15" s="31"/>
      <c r="AAN15" s="31"/>
      <c r="AAO15" s="31"/>
      <c r="AAP15" s="31"/>
      <c r="AAQ15" s="31"/>
      <c r="AAR15" s="31"/>
      <c r="AAS15" s="31"/>
      <c r="AAT15" s="31"/>
      <c r="AAU15" s="31"/>
      <c r="AAV15" s="31"/>
      <c r="AAW15" s="31"/>
      <c r="AAX15" s="31"/>
      <c r="AAY15" s="31"/>
      <c r="AAZ15" s="31"/>
      <c r="ABA15" s="31"/>
      <c r="ABB15" s="31"/>
      <c r="ABC15" s="31"/>
      <c r="ABD15" s="31"/>
      <c r="ABE15" s="31"/>
      <c r="ABF15" s="31"/>
      <c r="ABG15" s="31"/>
      <c r="ABH15" s="31"/>
      <c r="ABI15" s="31"/>
      <c r="ABJ15" s="31"/>
      <c r="ABK15" s="31"/>
      <c r="ABL15" s="31"/>
      <c r="ABM15" s="31"/>
      <c r="ABN15" s="31"/>
      <c r="ABO15" s="31"/>
      <c r="ABP15" s="31"/>
      <c r="ABQ15" s="31"/>
      <c r="ABR15" s="31"/>
      <c r="ABS15" s="31"/>
      <c r="ABT15" s="31"/>
      <c r="ABU15" s="31"/>
      <c r="ABV15" s="31"/>
      <c r="ABW15" s="31"/>
      <c r="ABX15" s="31"/>
      <c r="ABY15" s="31"/>
      <c r="ABZ15" s="31"/>
      <c r="ACA15" s="31"/>
      <c r="ACB15" s="31"/>
      <c r="ACC15" s="31"/>
      <c r="ACD15" s="31"/>
      <c r="ACE15" s="31"/>
      <c r="ACF15" s="31"/>
      <c r="ACG15" s="31"/>
      <c r="ACH15" s="31"/>
      <c r="ACI15" s="31"/>
      <c r="ACJ15" s="31"/>
      <c r="ACK15" s="31"/>
      <c r="ACL15" s="31"/>
      <c r="ACM15" s="31"/>
      <c r="ACN15" s="31"/>
      <c r="ACO15" s="31"/>
      <c r="ACP15" s="31"/>
      <c r="ACQ15" s="31"/>
      <c r="ACR15" s="31"/>
      <c r="ACS15" s="31"/>
      <c r="ACT15" s="31"/>
      <c r="ACU15" s="31"/>
      <c r="ACV15" s="31"/>
      <c r="ACW15" s="31"/>
      <c r="ACX15" s="31"/>
      <c r="ACY15" s="31"/>
      <c r="ACZ15" s="31"/>
      <c r="ADA15" s="31"/>
      <c r="ADB15" s="31"/>
      <c r="ADC15" s="31"/>
      <c r="ADD15" s="31"/>
      <c r="ADE15" s="31"/>
      <c r="ADF15" s="31"/>
      <c r="ADG15" s="31"/>
      <c r="ADH15" s="31"/>
      <c r="ADI15" s="31"/>
      <c r="ADJ15" s="31"/>
      <c r="ADK15" s="31"/>
      <c r="ADL15" s="31"/>
      <c r="ADM15" s="31"/>
      <c r="ADN15" s="31"/>
      <c r="ADO15" s="31"/>
      <c r="ADP15" s="31"/>
      <c r="ADQ15" s="31"/>
      <c r="ADR15" s="31"/>
      <c r="ADS15" s="31"/>
      <c r="ADT15" s="31"/>
      <c r="ADU15" s="31"/>
      <c r="ADV15" s="31"/>
      <c r="ADW15" s="31"/>
      <c r="ADX15" s="31"/>
      <c r="ADY15" s="31"/>
      <c r="ADZ15" s="31"/>
      <c r="AEA15" s="31"/>
      <c r="AEB15" s="31"/>
      <c r="AEC15" s="31"/>
      <c r="AED15" s="31"/>
      <c r="AEE15" s="31"/>
      <c r="AEF15" s="31"/>
      <c r="AEG15" s="31"/>
      <c r="AEH15" s="31"/>
      <c r="AEI15" s="31"/>
      <c r="AEJ15" s="31"/>
      <c r="AEK15" s="31"/>
      <c r="AEL15" s="31"/>
      <c r="AEM15" s="31"/>
      <c r="AEN15" s="31"/>
      <c r="AEO15" s="31"/>
      <c r="AEP15" s="31"/>
      <c r="AEQ15" s="31"/>
      <c r="AER15" s="31"/>
      <c r="AES15" s="31"/>
      <c r="AET15" s="31"/>
      <c r="AEU15" s="31"/>
      <c r="AEV15" s="31"/>
      <c r="AEW15" s="31"/>
      <c r="AEX15" s="31"/>
      <c r="AEY15" s="31"/>
      <c r="AEZ15" s="31"/>
      <c r="AFA15" s="31"/>
      <c r="AFB15" s="31"/>
      <c r="AFC15" s="31"/>
      <c r="AFD15" s="31"/>
      <c r="AFE15" s="31"/>
      <c r="AFF15" s="31"/>
      <c r="AFG15" s="31"/>
      <c r="AFH15" s="31"/>
      <c r="AFI15" s="31"/>
      <c r="AFJ15" s="31"/>
      <c r="AFK15" s="31"/>
      <c r="AFL15" s="31"/>
      <c r="AFM15" s="31"/>
      <c r="AFN15" s="31"/>
      <c r="AFO15" s="31"/>
      <c r="AFP15" s="31"/>
      <c r="AFQ15" s="31"/>
      <c r="AFR15" s="31"/>
      <c r="AFS15" s="31"/>
      <c r="AFT15" s="31"/>
      <c r="AFU15" s="31"/>
      <c r="AFV15" s="31"/>
      <c r="AFW15" s="31"/>
      <c r="AFX15" s="31"/>
      <c r="AFY15" s="31"/>
      <c r="AFZ15" s="31"/>
      <c r="AGA15" s="31"/>
      <c r="AGB15" s="31"/>
      <c r="AGC15" s="31"/>
      <c r="AGD15" s="31"/>
      <c r="AGE15" s="31"/>
      <c r="AGF15" s="31"/>
      <c r="AGG15" s="31"/>
      <c r="AGH15" s="31"/>
      <c r="AGI15" s="31"/>
      <c r="AGJ15" s="31"/>
      <c r="AGK15" s="31"/>
      <c r="AGL15" s="31"/>
      <c r="AGM15" s="31"/>
      <c r="AGN15" s="31"/>
      <c r="AGO15" s="31"/>
      <c r="AGP15" s="31"/>
      <c r="AGQ15" s="31"/>
      <c r="AGR15" s="31"/>
      <c r="AGS15" s="31"/>
      <c r="AGT15" s="31"/>
      <c r="AGU15" s="31"/>
      <c r="AGV15" s="31"/>
      <c r="AGW15" s="31"/>
      <c r="AGX15" s="31"/>
      <c r="AGY15" s="31"/>
      <c r="AGZ15" s="31"/>
      <c r="AHA15" s="31"/>
      <c r="AHB15" s="31"/>
      <c r="AHC15" s="31"/>
      <c r="AHD15" s="31"/>
      <c r="AHE15" s="31"/>
      <c r="AHF15" s="31"/>
      <c r="AHG15" s="31"/>
      <c r="AHH15" s="31"/>
      <c r="AHI15" s="31"/>
      <c r="AHJ15" s="31"/>
      <c r="AHK15" s="31"/>
      <c r="AHL15" s="31"/>
      <c r="AHM15" s="31"/>
      <c r="AHN15" s="31"/>
      <c r="AHO15" s="31"/>
      <c r="AHP15" s="31"/>
      <c r="AHQ15" s="31"/>
      <c r="AHR15" s="31"/>
      <c r="AHS15" s="31"/>
      <c r="AHT15" s="31"/>
      <c r="AHU15" s="31"/>
      <c r="AHV15" s="31"/>
      <c r="AHW15" s="31"/>
      <c r="AHX15" s="31"/>
      <c r="AHY15" s="31"/>
      <c r="AHZ15" s="31"/>
      <c r="AIA15" s="31"/>
      <c r="AIB15" s="31"/>
      <c r="AIC15" s="31"/>
      <c r="AID15" s="31"/>
      <c r="AIE15" s="31"/>
      <c r="AIF15" s="31"/>
      <c r="AIG15" s="31"/>
      <c r="AIH15" s="31"/>
      <c r="AII15" s="31"/>
      <c r="AIJ15" s="31"/>
      <c r="AIK15" s="31"/>
      <c r="AIL15" s="31"/>
      <c r="AIM15" s="31"/>
      <c r="AIN15" s="31"/>
      <c r="AIO15" s="31"/>
      <c r="AIP15" s="31"/>
      <c r="AIQ15" s="31"/>
      <c r="AIR15" s="31"/>
      <c r="AIS15" s="31"/>
      <c r="AIT15" s="31"/>
      <c r="AIU15" s="31"/>
      <c r="AIV15" s="31"/>
      <c r="AIW15" s="31"/>
      <c r="AIX15" s="31"/>
      <c r="AIY15" s="31"/>
      <c r="AIZ15" s="31"/>
      <c r="AJA15" s="31"/>
      <c r="AJB15" s="31"/>
      <c r="AJC15" s="31"/>
      <c r="AJD15" s="31"/>
      <c r="AJE15" s="31"/>
      <c r="AJF15" s="31"/>
      <c r="AJG15" s="31"/>
      <c r="AJH15" s="31"/>
      <c r="AJI15" s="31"/>
      <c r="AJJ15" s="31"/>
      <c r="AJK15" s="31"/>
      <c r="AJL15" s="31"/>
      <c r="AJM15" s="31"/>
      <c r="AJN15" s="31"/>
      <c r="AJO15" s="31"/>
      <c r="AJP15" s="31"/>
      <c r="AJQ15" s="31"/>
      <c r="AJR15" s="31"/>
      <c r="AJS15" s="31"/>
      <c r="AJT15" s="31"/>
      <c r="AJU15" s="31"/>
      <c r="AJV15" s="31"/>
      <c r="AJW15" s="31"/>
      <c r="AJX15" s="31"/>
      <c r="AJY15" s="31"/>
      <c r="AJZ15" s="31"/>
      <c r="AKA15" s="31"/>
      <c r="AKB15" s="31"/>
      <c r="AKC15" s="31"/>
      <c r="AKD15" s="31"/>
      <c r="AKE15" s="31"/>
      <c r="AKF15" s="31"/>
      <c r="AKG15" s="31"/>
      <c r="AKH15" s="31"/>
      <c r="AKI15" s="31"/>
      <c r="AKJ15" s="31"/>
      <c r="AKK15" s="31"/>
      <c r="AKL15" s="31"/>
      <c r="AKM15" s="31"/>
      <c r="AKN15" s="31"/>
      <c r="AKO15" s="31"/>
      <c r="AKP15" s="31"/>
      <c r="AKQ15" s="31"/>
      <c r="AKR15" s="31"/>
      <c r="AKS15" s="31"/>
      <c r="AKT15" s="31"/>
      <c r="AKU15" s="31"/>
      <c r="AKV15" s="31"/>
      <c r="AKW15" s="31"/>
      <c r="AKX15" s="31"/>
      <c r="AKY15" s="31"/>
      <c r="AKZ15" s="31"/>
      <c r="ALA15" s="31"/>
      <c r="ALB15" s="31"/>
      <c r="ALC15" s="31"/>
      <c r="ALD15" s="31"/>
      <c r="ALE15" s="31"/>
      <c r="ALF15" s="31"/>
      <c r="ALG15" s="31"/>
      <c r="ALH15" s="31"/>
      <c r="ALI15" s="31"/>
      <c r="ALJ15" s="31"/>
      <c r="ALK15" s="31"/>
      <c r="ALL15" s="31"/>
      <c r="ALM15" s="31"/>
      <c r="ALN15" s="31"/>
      <c r="ALO15" s="31"/>
      <c r="ALP15" s="31"/>
      <c r="ALQ15" s="31"/>
      <c r="ALR15" s="31"/>
      <c r="ALS15" s="31"/>
      <c r="ALT15" s="31"/>
      <c r="ALU15" s="31"/>
      <c r="ALV15" s="31"/>
      <c r="ALW15" s="31"/>
      <c r="ALX15" s="31"/>
      <c r="ALY15" s="31"/>
      <c r="ALZ15" s="31"/>
      <c r="AMA15" s="31"/>
      <c r="AMB15" s="31"/>
      <c r="AMC15" s="31"/>
      <c r="AMD15" s="31"/>
      <c r="AME15" s="31"/>
      <c r="AMF15" s="31"/>
      <c r="AMG15" s="31"/>
      <c r="AMH15" s="31"/>
      <c r="AMI15" s="31"/>
      <c r="AMJ15" s="31"/>
    </row>
    <row r="16" spans="1:1024" ht="50.1" customHeight="1" thickBot="1" x14ac:dyDescent="0.25">
      <c r="A16" s="142" t="s">
        <v>94</v>
      </c>
      <c r="B16" s="143"/>
      <c r="C16" s="143"/>
      <c r="D16" s="143"/>
      <c r="E16" s="143"/>
      <c r="F16" s="143"/>
      <c r="G16" s="143"/>
      <c r="H16" s="143"/>
      <c r="I16" s="144"/>
      <c r="J16" s="140">
        <f>SUMPRODUCT(J12:J15,K12:K15)</f>
        <v>589980</v>
      </c>
      <c r="K16" s="141"/>
    </row>
  </sheetData>
  <mergeCells count="26">
    <mergeCell ref="C12:G12"/>
    <mergeCell ref="C13:G13"/>
    <mergeCell ref="D8:K8"/>
    <mergeCell ref="A10:A11"/>
    <mergeCell ref="B10:B11"/>
    <mergeCell ref="C10:G11"/>
    <mergeCell ref="H10:H11"/>
    <mergeCell ref="I10:I11"/>
    <mergeCell ref="J10:J11"/>
    <mergeCell ref="K10:K11"/>
    <mergeCell ref="J16:K16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zoomScale="130" zoomScaleNormal="130" workbookViewId="0">
      <selection activeCell="A19" sqref="A19:P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28515625" customWidth="1"/>
  </cols>
  <sheetData>
    <row r="1" spans="1:17" ht="15.75" customHeight="1" x14ac:dyDescent="0.25">
      <c r="A1" s="181" t="s">
        <v>2</v>
      </c>
      <c r="B1" s="181"/>
      <c r="C1" s="181"/>
      <c r="D1" s="182">
        <f>'ALIMENTOS PERECEDEROS'!C6</f>
        <v>2021</v>
      </c>
      <c r="E1" s="182"/>
      <c r="F1" s="3"/>
      <c r="G1" s="3"/>
      <c r="H1" s="4"/>
      <c r="I1" s="4"/>
      <c r="J1" s="4"/>
      <c r="K1" s="4"/>
      <c r="L1" s="4"/>
      <c r="M1" s="4"/>
      <c r="N1" s="4"/>
      <c r="P1" s="183" t="s">
        <v>27</v>
      </c>
      <c r="Q1" s="18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83"/>
      <c r="Q2" s="183"/>
    </row>
    <row r="4" spans="1:17" s="5" customFormat="1" ht="18" customHeight="1" thickBot="1" x14ac:dyDescent="0.25">
      <c r="A4" s="184" t="s">
        <v>28</v>
      </c>
      <c r="B4" s="184"/>
      <c r="C4" s="184"/>
      <c r="D4" s="184"/>
      <c r="E4" s="184"/>
      <c r="F4" s="184"/>
      <c r="G4" s="179" t="str">
        <f>' NotaPedido'!D3</f>
        <v>40-Ministerio de Salud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s="5" customFormat="1" ht="18" customHeight="1" thickBot="1" x14ac:dyDescent="0.25">
      <c r="A5" s="176" t="s">
        <v>51</v>
      </c>
      <c r="B5" s="177"/>
      <c r="C5" s="177"/>
      <c r="D5" s="177"/>
      <c r="E5" s="177"/>
      <c r="F5" s="178"/>
      <c r="G5" s="179" t="str">
        <f>' NotaPedido'!D4</f>
        <v>28- Maternidad Provincial 25 de Mayo</v>
      </c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s="5" customFormat="1" ht="18" customHeight="1" thickBot="1" x14ac:dyDescent="0.25">
      <c r="A6" s="176" t="s">
        <v>29</v>
      </c>
      <c r="B6" s="177"/>
      <c r="C6" s="177"/>
      <c r="D6" s="177"/>
      <c r="E6" s="177"/>
      <c r="F6" s="178"/>
      <c r="G6" s="179" t="str">
        <f>' NotaPedido'!D5</f>
        <v xml:space="preserve">169-Direccion Asistencial </v>
      </c>
      <c r="H6" s="179"/>
      <c r="I6" s="179"/>
      <c r="J6" s="179"/>
      <c r="K6" s="179"/>
      <c r="L6" s="179"/>
      <c r="M6" s="179"/>
      <c r="N6" s="179"/>
      <c r="O6" s="179"/>
      <c r="P6" s="179"/>
      <c r="Q6" s="179"/>
    </row>
    <row r="7" spans="1:17" s="5" customFormat="1" ht="18" customHeight="1" thickBot="1" x14ac:dyDescent="0.25">
      <c r="A7" s="176" t="s">
        <v>52</v>
      </c>
      <c r="B7" s="177"/>
      <c r="C7" s="177"/>
      <c r="D7" s="177"/>
      <c r="E7" s="177"/>
      <c r="F7" s="178"/>
      <c r="G7" s="179" t="str">
        <f>' NotaPedido'!D6</f>
        <v xml:space="preserve">Servicio de Nutricion 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 ht="18" customHeight="1" thickBot="1" x14ac:dyDescent="0.25">
      <c r="A8" s="180" t="s">
        <v>30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</row>
    <row r="9" spans="1:17" ht="18" customHeight="1" x14ac:dyDescent="0.2">
      <c r="A9" s="170" t="s">
        <v>31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"/>
      <c r="P9" s="1"/>
      <c r="Q9" s="6"/>
    </row>
    <row r="10" spans="1:17" ht="54.75" customHeight="1" x14ac:dyDescent="0.2">
      <c r="A10" s="17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159/2021,  afectando la erogación resultante a los créditos presupuestarios aprobados a favor de esta Unidad Ejecutora, conforme al siguiente detalle: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2" t="s">
        <v>32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</row>
    <row r="13" spans="1:17" ht="15.75" customHeight="1" x14ac:dyDescent="0.2">
      <c r="A13" s="173" t="s">
        <v>33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4" t="s">
        <v>34</v>
      </c>
      <c r="P13" s="174"/>
      <c r="Q13" s="175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74"/>
      <c r="P14" s="174"/>
      <c r="Q14" s="175"/>
    </row>
    <row r="15" spans="1:17" ht="17.25" customHeight="1" x14ac:dyDescent="0.2">
      <c r="A15" s="56">
        <v>42</v>
      </c>
      <c r="B15" s="57"/>
      <c r="C15" s="57"/>
      <c r="D15" s="57">
        <v>2</v>
      </c>
      <c r="E15" s="57"/>
      <c r="F15" s="57">
        <v>4901</v>
      </c>
      <c r="G15" s="57">
        <v>3</v>
      </c>
      <c r="H15" s="57">
        <v>1</v>
      </c>
      <c r="I15" s="57">
        <v>2</v>
      </c>
      <c r="J15" s="57">
        <v>1</v>
      </c>
      <c r="K15" s="57">
        <v>1</v>
      </c>
      <c r="L15" s="57"/>
      <c r="M15" s="57"/>
      <c r="N15" s="57" t="s">
        <v>67</v>
      </c>
      <c r="O15" s="158" t="s">
        <v>68</v>
      </c>
      <c r="P15" s="159"/>
      <c r="Q15" s="58">
        <v>589980</v>
      </c>
    </row>
    <row r="16" spans="1:17" ht="17.25" customHeight="1" x14ac:dyDescent="0.2">
      <c r="A16" s="60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165"/>
      <c r="P16" s="165"/>
      <c r="Q16" s="59"/>
    </row>
    <row r="17" spans="1:18" ht="17.25" customHeight="1" x14ac:dyDescent="0.2">
      <c r="A17" s="61"/>
      <c r="B17" s="54"/>
      <c r="C17" s="54"/>
      <c r="D17" s="54"/>
      <c r="E17" s="54"/>
      <c r="F17" s="55"/>
      <c r="G17" s="54"/>
      <c r="H17" s="54"/>
      <c r="I17" s="54"/>
      <c r="J17" s="54"/>
      <c r="K17" s="54"/>
      <c r="L17" s="54"/>
      <c r="M17" s="54"/>
      <c r="N17" s="54"/>
      <c r="O17" s="166"/>
      <c r="P17" s="166"/>
      <c r="Q17" s="59"/>
      <c r="R17" s="1"/>
    </row>
    <row r="18" spans="1:18" ht="17.25" customHeight="1" thickBo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67"/>
      <c r="P18" s="167"/>
      <c r="Q18" s="64"/>
    </row>
    <row r="19" spans="1:18" ht="25.5" customHeight="1" thickBot="1" x14ac:dyDescent="0.25">
      <c r="A19" s="168" t="s">
        <v>95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">
        <f>SUM(Q15:Q18)</f>
        <v>589980</v>
      </c>
    </row>
    <row r="20" spans="1:18" ht="18" customHeight="1" thickBot="1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</row>
    <row r="21" spans="1:18" ht="17.25" customHeight="1" thickBot="1" x14ac:dyDescent="0.25">
      <c r="A21" s="160" t="s">
        <v>49</v>
      </c>
      <c r="B21" s="161"/>
      <c r="C21" s="161"/>
      <c r="D21" s="161"/>
      <c r="E21" s="161"/>
      <c r="F21" s="162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8" ht="18" customHeight="1" thickBot="1" x14ac:dyDescent="0.25">
      <c r="A22" s="164" t="s">
        <v>83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8" ht="15" customHeight="1" x14ac:dyDescent="0.2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SILVINA ATENCIO</cp:lastModifiedBy>
  <cp:revision>2</cp:revision>
  <cp:lastPrinted>2021-06-29T12:25:57Z</cp:lastPrinted>
  <dcterms:created xsi:type="dcterms:W3CDTF">2020-07-17T23:44:49Z</dcterms:created>
  <dcterms:modified xsi:type="dcterms:W3CDTF">2021-12-03T12:29:58Z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