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ropbox\compartida PATRIMONIO-ASESORIA CONTABLE\pedidos 2022\97- NEUMATICOS\"/>
    </mc:Choice>
  </mc:AlternateContent>
  <bookViews>
    <workbookView xWindow="0" yWindow="0" windowWidth="20490" windowHeight="10920" tabRatio="500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  <definedName name="_xlnm.Print_Area" localSheetId="0">'Necesidades Trimestrales'!$A$1:$J$57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3" i="1" l="1"/>
  <c r="I11" i="1"/>
  <c r="I10" i="1"/>
  <c r="I14" i="1"/>
  <c r="I12" i="1" l="1"/>
  <c r="I13" i="1"/>
  <c r="I21" i="1"/>
  <c r="I20" i="1"/>
  <c r="I18" i="1"/>
  <c r="I17" i="1"/>
  <c r="I16" i="1"/>
  <c r="I15" i="1"/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I19" i="1"/>
  <c r="G6" i="3" l="1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<sst xmlns="http://schemas.openxmlformats.org/spreadsheetml/2006/main" count="208" uniqueCount="125">
  <si>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</si>
  <si>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</si>
  <si>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</si>
  <si>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</si>
  <si>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</si>
  <si>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</si>
  <si>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</si>
  <si>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</si>
  <si>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</si>
  <si>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</si>
  <si>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</si>
  <si>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</si>
  <si>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</si>
  <si>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</si>
  <si>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</si>
  <si>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</si>
  <si>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2.4.4-6818.744 </t>
  </si>
  <si>
    <t>REPUESTOS</t>
  </si>
  <si>
    <t>2.4.4.</t>
  </si>
  <si>
    <t>NEUMATICOS; VEHICULO: CAMIONETA, CONSTRUCCION: RADIAL, ARMADO: S/CAMARA, MEDIDA: 235/70R16</t>
  </si>
  <si>
    <t>UNIDAD</t>
  </si>
  <si>
    <t>2.4.4-6818.891</t>
  </si>
  <si>
    <t>NEUMATICOS; VEHICULO: MINIBUS, CONSTRUCCION: RADIAL, ARMADO: SIN CAMARA, MEDIDA: 195/75R16</t>
  </si>
  <si>
    <t>2.4.4-6818.810</t>
  </si>
  <si>
    <t>NEUMATICOS; VEHICULO: MINIBUS, CONSTRUCCION: RADIAL, ARMADO: S/CAMARA, MEDIDA: 225/75R16</t>
  </si>
  <si>
    <t>2.4.4-6818.989</t>
  </si>
  <si>
    <t>2.4.4</t>
  </si>
  <si>
    <t>2.4.4-6818.148</t>
  </si>
  <si>
    <t>NEUMATICOS; VEHICULO: MOTO, CONSTRUCCION: RADIAL, ARMADO: SIN VALOR, MEDIDA: 120/90R18</t>
  </si>
  <si>
    <t>2.4.4-6818.1028</t>
  </si>
  <si>
    <t>NEUMATICOS; VEHICULO: MOTO, CONSTRUCCION: RADIAL, ARMADO: S/CAMARA, MEDIDA: 110/90-17</t>
  </si>
  <si>
    <t>2.4.4-6818.1027</t>
  </si>
  <si>
    <t>NEUMATICOS; VEHICULO: MOTO, CONSTRUCCION: RADIAL, ARMADO: S/CAMARA, MEDIDA: 90/90-19</t>
  </si>
  <si>
    <t>2.4.4-6818.510</t>
  </si>
  <si>
    <t>NEUMATICOS; VEHICULO: MOTO, CONSTRUCCION: RADIAL, ARMADO: S/CAMARA, MEDIDA: 160/60R17</t>
  </si>
  <si>
    <t>2.4.4-6818.683</t>
  </si>
  <si>
    <t>NEUMATICOS; VEHICULO: MOTO, CONSTRUCCION: RADIAL, ARMADO: S/CAMARA, MEDIDA: 120/70R17</t>
  </si>
  <si>
    <t>2.4.4-6818.631</t>
  </si>
  <si>
    <t>NEUMATICOS; VEHICULO: MOTO, CONSTRUCCION: RADIAL, ARMADO: C/CAMARA, MEDIDA: 90/90-21</t>
  </si>
  <si>
    <t>2.4.4-6818.395</t>
  </si>
  <si>
    <t>NEUMATICOS; VEHICULO: MOTO, CONSTRUCCION: RADIAL, ARMADO: S/CAMARA, MEDIDA: 130/80-17</t>
  </si>
  <si>
    <t>2.4.4-6818.1033</t>
  </si>
  <si>
    <t>Especificidades</t>
  </si>
  <si>
    <t xml:space="preserve"> Item N° : 01</t>
  </si>
  <si>
    <t>Descripción técnica</t>
  </si>
  <si>
    <t xml:space="preserve"> Item N° : 03</t>
  </si>
  <si>
    <t xml:space="preserve"> Item N° : 04</t>
  </si>
  <si>
    <t xml:space="preserve"> Item N° : 05</t>
  </si>
  <si>
    <t xml:space="preserve"> Item N° : 06</t>
  </si>
  <si>
    <t xml:space="preserve"> Item N° : 07</t>
  </si>
  <si>
    <t xml:space="preserve"> Item N° : 08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</si>
  <si>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TRANSIT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COMBI MED.195/75/16   </t>
    </r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</si>
  <si>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MERCEDEZ BENZ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SPLINTER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MINIBUS MED.225/75/16    </t>
    </r>
  </si>
  <si>
    <t xml:space="preserve"> Item N° : 11</t>
  </si>
  <si>
    <t xml:space="preserve"> Item N° : 12</t>
  </si>
  <si>
    <r>
      <t xml:space="preserve"> ELEMENTO: </t>
    </r>
    <r>
      <rPr>
        <sz val="10"/>
        <rFont val="Century Gothic"/>
        <family val="2"/>
      </rPr>
      <t>NEUMATICO PARA MOTOCICLETA HONDA HONDA XR 150 CC MED. 110/90/17</t>
    </r>
  </si>
  <si>
    <r>
      <t xml:space="preserve"> ELEMENTO: </t>
    </r>
    <r>
      <rPr>
        <sz val="10"/>
        <rFont val="Century Gothic"/>
        <family val="2"/>
      </rPr>
      <t>NEUMATICO PARA MOTOCICLETA BENELLI TRK 502 CC MED. 160/60/17</t>
    </r>
  </si>
  <si>
    <r>
      <t xml:space="preserve"> ELEMENTO: </t>
    </r>
    <r>
      <rPr>
        <sz val="10"/>
        <rFont val="Century Gothic"/>
        <family val="2"/>
      </rPr>
      <t>NEUMATICO PARA MOTOCICLETA BENELLI TRK 502 CC MED. 120/70/17</t>
    </r>
  </si>
  <si>
    <r>
      <t xml:space="preserve"> ELEMENTO: </t>
    </r>
    <r>
      <rPr>
        <sz val="10"/>
        <rFont val="Century Gothic"/>
        <family val="2"/>
      </rPr>
      <t>NEUMATICO PARA MOTOCICLETA HONDA FALCON MED. 130/80/17</t>
    </r>
  </si>
  <si>
    <t>Plazos y lugares de entrega</t>
  </si>
  <si>
    <t>Calidad Minima esperada</t>
  </si>
  <si>
    <t>Mantenimiento</t>
  </si>
  <si>
    <t xml:space="preserve">30 (treinta)  días 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</si>
  <si>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</si>
  <si>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</si>
  <si>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</si>
  <si>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</si>
  <si>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</si>
  <si>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</si>
  <si>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</si>
  <si>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</si>
  <si>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</si>
  <si>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</si>
  <si>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</si>
  <si>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</si>
  <si>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</si>
  <si>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</si>
  <si>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</si>
  <si>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</si>
  <si>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</si>
  <si>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</si>
  <si>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</si>
  <si>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</si>
  <si>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</si>
  <si>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</si>
  <si>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</si>
  <si>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</si>
  <si>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</si>
  <si>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</si>
  <si>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</si>
  <si>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</si>
  <si>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</si>
  <si>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</si>
  <si>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</si>
  <si>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</si>
  <si>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</si>
  <si>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</si>
  <si>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</si>
  <si>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</si>
  <si>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</si>
  <si>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</si>
  <si>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</si>
  <si>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</si>
  <si>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</si>
  <si>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</si>
  <si>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</si>
  <si>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</si>
  <si>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</si>
  <si>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</si>
  <si>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</si>
  <si>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</si>
  <si>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FORD 1119, 235/75/17.5</t>
    </r>
  </si>
  <si>
    <t xml:space="preserve"> Item N° : 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</si>
  <si>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PARA CAMIONETA MED.225/70/17</t>
    </r>
  </si>
  <si>
    <t>12 meses cómo mínimo A partir de la fecha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</si>
  <si>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Las entregas se realizarán a requerimiento de acuerdo, a las Solicitudes de Provisión que se realicen. Se estima emitir una cantidad aproximada de 2 (DOS) Solicitudes de Provisión  de la cantidad solicitada, en un plazo de 2 (Dos) meses: 1° Solic.de Provisión: aprox.a los 2 (Dos) dias hábiles de la firma del instrumento contractual. 2° Solic.de Provisión: Aprox.  a los 30 días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  </r>
  </si>
  <si>
    <t xml:space="preserve"> Item N° : 02</t>
  </si>
  <si>
    <t xml:space="preserve"> Item N° : 10</t>
  </si>
  <si>
    <r>
      <t xml:space="preserve"> ELEMENTO: </t>
    </r>
    <r>
      <rPr>
        <sz val="10"/>
        <rFont val="Century Gothic"/>
        <family val="2"/>
      </rPr>
      <t>NEUMATICO PARA MOTOCICLETA HONDA HONDA XR 250 CC MED. 120/90/18</t>
    </r>
  </si>
  <si>
    <t>NEUMATICOS; VEHICULO: CAMIONETA, CONSTRUCCION: RADIAL, ARMADO: S/CAMARA, MEDIDA: 225/70 R17</t>
  </si>
  <si>
    <t>NEUMATICOS; VEHICULO: CAMION, CONSTRUCCION: RADIAL, ARMADO: S/CAMARA, MEDIDA: 235/75R17.5</t>
  </si>
  <si>
    <t>Que Cumpla con lo Solicitado de Forma Integra. Los neumáticos deberán ser de fabricación año 2021 como mínimo.</t>
  </si>
  <si>
    <r>
      <t xml:space="preserve">MARCA TOYOTA/VOLKSWAGEN/CHEVROLET/NISSAN.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HILUX/AMAROK/S10/FRONTIER   ELEMENTO: NEUMATICO  MED. 235/70/16  (AMAROK:20 U, HILUX 5 U, S-10 5 U, FRONTIER 5U.) </t>
    </r>
  </si>
  <si>
    <r>
      <t xml:space="preserve"> ELEMENTO: </t>
    </r>
    <r>
      <rPr>
        <sz val="10"/>
        <rFont val="Century Gothic"/>
        <family val="2"/>
      </rPr>
      <t>NEUMATICO PARA MOTOCICLETA HONDA HONDA XR 150/125CC MED. 90/90/19 (XR150 20 U, XR125 9 U.)</t>
    </r>
  </si>
  <si>
    <r>
      <t xml:space="preserve"> ELEMENTO: </t>
    </r>
    <r>
      <rPr>
        <sz val="10"/>
        <rFont val="Century Gothic"/>
        <family val="2"/>
      </rPr>
      <t>NEUMATICO PARA MOTOCICLETA HONDA TORNADO 250 CC Y YAMAHA XTZ 250 CC MED. 90/90/21  (TORNADO 15U; XTZ 15 U.)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</si>
</sst>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6">
    <xf numFmtId="0" fontId="0" fillId="0" borderId="0"/>
    <xf numFmtId="166" fontId="8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89">
    <xf numFmtId="0" fontId="0" fillId="0" borderId="0" xfId="0"/>
    <xf numFmtId="0" fontId="9" fillId="4" borderId="0" xfId="0" applyFont="1" applyFill="1"/>
    <xf numFmtId="0" fontId="13" fillId="4" borderId="0" xfId="0" applyFont="1" applyFill="1" applyAlignment="1">
      <alignment horizontal="left" wrapText="1"/>
    </xf>
    <xf numFmtId="0" fontId="13" fillId="4" borderId="0" xfId="0" applyFont="1" applyFill="1" applyAlignment="1">
      <alignment horizontal="center" wrapText="1"/>
    </xf>
    <xf numFmtId="0" fontId="12" fillId="3" borderId="0" xfId="0" applyFont="1" applyFill="1" applyAlignment="1">
      <alignment horizontal="left" wrapText="1" indent="1"/>
    </xf>
    <xf numFmtId="0" fontId="14" fillId="4" borderId="0" xfId="0" applyFont="1" applyFill="1" applyAlignment="1">
      <alignment horizontal="left" wrapText="1"/>
    </xf>
    <xf numFmtId="0" fontId="14" fillId="4" borderId="2" xfId="0" applyFont="1" applyFill="1" applyBorder="1" applyAlignment="1">
      <alignment horizontal="center" vertical="center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15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/>
    <xf numFmtId="0" fontId="15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left" vertical="center"/>
    </xf>
    <xf numFmtId="0" fontId="9" fillId="3" borderId="41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 indent="1"/>
    </xf>
    <xf numFmtId="0" fontId="9" fillId="4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wrapText="1"/>
    </xf>
    <xf numFmtId="164" fontId="9" fillId="7" borderId="7" xfId="1" applyNumberFormat="1" applyFont="1" applyFill="1" applyBorder="1" applyAlignment="1">
      <alignment horizontal="center" vertical="center"/>
    </xf>
    <xf numFmtId="3" fontId="9" fillId="7" borderId="7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3" fillId="7" borderId="41" xfId="0" applyFont="1" applyFill="1" applyBorder="1" applyAlignment="1">
      <alignment horizontal="center" vertical="center" wrapText="1"/>
    </xf>
    <xf numFmtId="164" fontId="9" fillId="7" borderId="41" xfId="1" applyNumberFormat="1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3" fontId="20" fillId="7" borderId="0" xfId="0" applyNumberFormat="1" applyFont="1" applyFill="1" applyBorder="1" applyAlignment="1"/>
    <xf numFmtId="169" fontId="9" fillId="7" borderId="0" xfId="0" applyNumberFormat="1" applyFont="1" applyFill="1" applyBorder="1" applyAlignment="1">
      <alignment horizontal="left"/>
    </xf>
    <xf numFmtId="0" fontId="9" fillId="7" borderId="0" xfId="0" applyFont="1" applyFill="1" applyBorder="1"/>
    <xf numFmtId="0" fontId="0" fillId="4" borderId="0" xfId="0" applyFill="1"/>
    <xf numFmtId="0" fontId="9" fillId="7" borderId="0" xfId="0" applyFont="1" applyFill="1" applyBorder="1" applyAlignment="1">
      <alignment horizontal="left"/>
    </xf>
    <xf numFmtId="0" fontId="3" fillId="4" borderId="0" xfId="0" applyFont="1" applyFill="1"/>
    <xf numFmtId="0" fontId="9" fillId="7" borderId="9" xfId="0" applyFont="1" applyFill="1" applyBorder="1"/>
    <xf numFmtId="0" fontId="9" fillId="7" borderId="23" xfId="0" applyFont="1" applyFill="1" applyBorder="1"/>
    <xf numFmtId="0" fontId="9" fillId="7" borderId="11" xfId="0" applyFont="1" applyFill="1" applyBorder="1"/>
    <xf numFmtId="0" fontId="9" fillId="7" borderId="11" xfId="0" applyFont="1" applyFill="1" applyBorder="1" applyAlignment="1">
      <alignment horizontal="left"/>
    </xf>
    <xf numFmtId="0" fontId="9" fillId="7" borderId="24" xfId="0" applyFont="1" applyFill="1" applyBorder="1"/>
    <xf numFmtId="0" fontId="16" fillId="7" borderId="26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left" vertical="center"/>
    </xf>
    <xf numFmtId="0" fontId="16" fillId="7" borderId="28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167" fontId="9" fillId="7" borderId="32" xfId="3" applyNumberFormat="1" applyFont="1" applyFill="1" applyBorder="1" applyAlignment="1" applyProtection="1">
      <alignment horizontal="center" vertical="center"/>
    </xf>
    <xf numFmtId="0" fontId="9" fillId="7" borderId="21" xfId="0" applyFont="1" applyFill="1" applyBorder="1" applyAlignment="1"/>
    <xf numFmtId="0" fontId="9" fillId="7" borderId="0" xfId="0" applyFont="1" applyFill="1" applyBorder="1" applyAlignment="1"/>
    <xf numFmtId="0" fontId="9" fillId="7" borderId="25" xfId="0" applyFont="1" applyFill="1" applyBorder="1" applyAlignment="1"/>
    <xf numFmtId="0" fontId="0" fillId="4" borderId="0" xfId="0" applyFill="1" applyAlignment="1">
      <alignment horizontal="left"/>
    </xf>
    <xf numFmtId="0" fontId="9" fillId="6" borderId="0" xfId="0" applyFont="1" applyFill="1"/>
    <xf numFmtId="0" fontId="9" fillId="5" borderId="7" xfId="0" applyFont="1" applyFill="1" applyBorder="1"/>
    <xf numFmtId="170" fontId="16" fillId="5" borderId="7" xfId="0" applyNumberFormat="1" applyFont="1" applyFill="1" applyBorder="1"/>
    <xf numFmtId="0" fontId="9" fillId="5" borderId="51" xfId="0" applyFont="1" applyFill="1" applyBorder="1"/>
    <xf numFmtId="0" fontId="16" fillId="5" borderId="7" xfId="0" applyFont="1" applyFill="1" applyBorder="1"/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9" fillId="5" borderId="50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/>
    </xf>
    <xf numFmtId="167" fontId="9" fillId="5" borderId="5" xfId="1" applyNumberFormat="1" applyFont="1" applyFill="1" applyBorder="1" applyAlignment="1" applyProtection="1">
      <alignment horizontal="right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vertical="center"/>
    </xf>
    <xf numFmtId="0" fontId="9" fillId="5" borderId="51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/>
    </xf>
    <xf numFmtId="167" fontId="9" fillId="5" borderId="8" xfId="1" applyNumberFormat="1" applyFont="1" applyFill="1" applyBorder="1" applyAlignment="1" applyProtection="1">
      <alignment horizontal="right" vertical="center" wrapText="1"/>
    </xf>
    <xf numFmtId="0" fontId="9" fillId="6" borderId="7" xfId="0" applyFont="1" applyFill="1" applyBorder="1" applyAlignment="1">
      <alignment vertical="center"/>
    </xf>
    <xf numFmtId="0" fontId="9" fillId="6" borderId="51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/>
    </xf>
    <xf numFmtId="167" fontId="9" fillId="6" borderId="8" xfId="1" applyNumberFormat="1" applyFont="1" applyFill="1" applyBorder="1" applyAlignment="1" applyProtection="1">
      <alignment horizontal="right" vertical="center" wrapText="1"/>
    </xf>
    <xf numFmtId="0" fontId="25" fillId="0" borderId="7" xfId="0" applyFont="1" applyBorder="1"/>
    <xf numFmtId="0" fontId="9" fillId="5" borderId="45" xfId="0" applyFont="1" applyFill="1" applyBorder="1" applyAlignment="1">
      <alignment vertical="center"/>
    </xf>
    <xf numFmtId="0" fontId="9" fillId="5" borderId="52" xfId="0" applyFont="1" applyFill="1" applyBorder="1" applyAlignment="1">
      <alignment horizontal="left" vertical="center" wrapText="1"/>
    </xf>
    <xf numFmtId="0" fontId="9" fillId="5" borderId="46" xfId="0" applyFont="1" applyFill="1" applyBorder="1" applyAlignment="1">
      <alignment horizontal="center" vertical="center"/>
    </xf>
    <xf numFmtId="167" fontId="9" fillId="5" borderId="47" xfId="1" applyNumberFormat="1" applyFont="1" applyFill="1" applyBorder="1" applyAlignment="1" applyProtection="1">
      <alignment horizontal="right" vertical="center" wrapText="1"/>
    </xf>
    <xf numFmtId="0" fontId="9" fillId="5" borderId="48" xfId="0" applyFont="1" applyFill="1" applyBorder="1" applyAlignment="1">
      <alignment vertical="center"/>
    </xf>
    <xf numFmtId="0" fontId="9" fillId="5" borderId="53" xfId="0" applyFont="1" applyFill="1" applyBorder="1" applyAlignment="1">
      <alignment horizontal="left" vertical="center" wrapText="1"/>
    </xf>
    <xf numFmtId="0" fontId="9" fillId="5" borderId="49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 wrapText="1"/>
    </xf>
    <xf numFmtId="0" fontId="15" fillId="5" borderId="54" xfId="0" applyFont="1" applyFill="1" applyBorder="1" applyAlignment="1">
      <alignment horizontal="left" vertical="center"/>
    </xf>
    <xf numFmtId="0" fontId="9" fillId="5" borderId="55" xfId="0" applyFont="1" applyFill="1" applyBorder="1" applyAlignment="1">
      <alignment horizontal="left" vertical="center"/>
    </xf>
    <xf numFmtId="0" fontId="9" fillId="5" borderId="55" xfId="0" applyFont="1" applyFill="1" applyBorder="1"/>
    <xf numFmtId="0" fontId="9" fillId="5" borderId="56" xfId="0" applyFont="1" applyFill="1" applyBorder="1"/>
    <xf numFmtId="0" fontId="9" fillId="5" borderId="57" xfId="0" applyFont="1" applyFill="1" applyBorder="1" applyAlignment="1">
      <alignment horizontal="left" vertical="center"/>
    </xf>
    <xf numFmtId="0" fontId="9" fillId="5" borderId="58" xfId="0" applyFont="1" applyFill="1" applyBorder="1"/>
    <xf numFmtId="0" fontId="18" fillId="5" borderId="57" xfId="0" applyFont="1" applyFill="1" applyBorder="1" applyAlignment="1">
      <alignment horizontal="left" vertical="center"/>
    </xf>
    <xf numFmtId="0" fontId="19" fillId="5" borderId="57" xfId="0" applyFont="1" applyFill="1" applyBorder="1" applyAlignment="1">
      <alignment horizontal="left" vertical="center"/>
    </xf>
    <xf numFmtId="0" fontId="9" fillId="5" borderId="59" xfId="0" applyFont="1" applyFill="1" applyBorder="1" applyAlignment="1">
      <alignment horizontal="left" vertical="center"/>
    </xf>
    <xf numFmtId="0" fontId="9" fillId="5" borderId="60" xfId="0" applyFont="1" applyFill="1" applyBorder="1" applyAlignment="1">
      <alignment horizontal="left" vertical="center"/>
    </xf>
    <xf numFmtId="0" fontId="9" fillId="5" borderId="60" xfId="0" applyFont="1" applyFill="1" applyBorder="1"/>
    <xf numFmtId="0" fontId="9" fillId="5" borderId="61" xfId="0" applyFont="1" applyFill="1" applyBorder="1"/>
    <xf numFmtId="0" fontId="9" fillId="5" borderId="0" xfId="0" applyFont="1" applyFill="1" applyBorder="1" applyAlignment="1">
      <alignment vertical="center"/>
    </xf>
    <xf numFmtId="0" fontId="9" fillId="7" borderId="4" xfId="0" applyFont="1" applyFill="1" applyBorder="1" applyAlignment="1">
      <alignment vertical="top" wrapText="1"/>
    </xf>
    <xf numFmtId="0" fontId="13" fillId="7" borderId="4" xfId="0" applyFont="1" applyFill="1" applyBorder="1" applyAlignment="1">
      <alignment horizontal="center" vertical="center" wrapText="1"/>
    </xf>
    <xf numFmtId="3" fontId="9" fillId="7" borderId="4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horizontal="center" vertical="center" wrapText="1"/>
    </xf>
    <xf numFmtId="3" fontId="9" fillId="4" borderId="7" xfId="0" applyNumberFormat="1" applyFont="1" applyFill="1" applyBorder="1" applyAlignment="1">
      <alignment horizontal="center" vertical="center"/>
    </xf>
    <xf numFmtId="164" fontId="9" fillId="4" borderId="7" xfId="1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top" wrapText="1"/>
    </xf>
    <xf numFmtId="0" fontId="9" fillId="7" borderId="46" xfId="0" applyFont="1" applyFill="1" applyBorder="1" applyAlignment="1">
      <alignment vertical="center" wrapText="1"/>
    </xf>
    <xf numFmtId="0" fontId="13" fillId="7" borderId="46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/>
    </xf>
    <xf numFmtId="164" fontId="9" fillId="7" borderId="46" xfId="1" applyNumberFormat="1" applyFont="1" applyFill="1" applyBorder="1" applyAlignment="1">
      <alignment horizontal="center" vertical="center"/>
    </xf>
    <xf numFmtId="0" fontId="9" fillId="7" borderId="49" xfId="0" applyFont="1" applyFill="1" applyBorder="1" applyAlignment="1">
      <alignment vertical="center" wrapText="1"/>
    </xf>
    <xf numFmtId="0" fontId="13" fillId="7" borderId="49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/>
    </xf>
    <xf numFmtId="164" fontId="9" fillId="7" borderId="49" xfId="1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170" fontId="0" fillId="0" borderId="0" xfId="0" applyNumberFormat="1" applyAlignment="1">
      <alignment horizontal="center" vertical="center" wrapText="1"/>
    </xf>
    <xf numFmtId="0" fontId="9" fillId="5" borderId="0" xfId="0" applyFont="1" applyFill="1" applyBorder="1" applyAlignment="1">
      <alignment vertical="center"/>
    </xf>
    <xf numFmtId="0" fontId="14" fillId="4" borderId="62" xfId="0" applyFont="1" applyFill="1" applyBorder="1" applyAlignment="1">
      <alignment horizontal="center" vertical="center" wrapText="1"/>
    </xf>
    <xf numFmtId="0" fontId="14" fillId="4" borderId="6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wrapText="1"/>
    </xf>
    <xf numFmtId="0" fontId="10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wrapText="1" indent="1"/>
    </xf>
    <xf numFmtId="0" fontId="9" fillId="5" borderId="0" xfId="0" applyFont="1" applyFill="1" applyBorder="1" applyAlignment="1">
      <alignment vertical="center" wrapText="1"/>
    </xf>
    <xf numFmtId="0" fontId="15" fillId="5" borderId="0" xfId="0" applyFont="1" applyFill="1" applyBorder="1" applyAlignment="1"/>
    <xf numFmtId="0" fontId="15" fillId="5" borderId="58" xfId="0" applyFont="1" applyFill="1" applyBorder="1" applyAlignment="1"/>
    <xf numFmtId="0" fontId="9" fillId="4" borderId="7" xfId="0" applyFont="1" applyFill="1" applyBorder="1" applyAlignment="1">
      <alignment horizontal="left" vertical="center" wrapText="1"/>
    </xf>
    <xf numFmtId="168" fontId="23" fillId="4" borderId="13" xfId="0" applyNumberFormat="1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left" vertical="center" wrapText="1"/>
    </xf>
    <xf numFmtId="0" fontId="21" fillId="4" borderId="19" xfId="0" applyFont="1" applyFill="1" applyBorder="1" applyAlignment="1">
      <alignment horizontal="left" vertical="center" wrapText="1"/>
    </xf>
    <xf numFmtId="0" fontId="9" fillId="4" borderId="41" xfId="0" applyFont="1" applyFill="1" applyBorder="1" applyAlignment="1">
      <alignment horizontal="left" vertical="center" wrapText="1"/>
    </xf>
    <xf numFmtId="0" fontId="23" fillId="4" borderId="15" xfId="0" applyFont="1" applyFill="1" applyBorder="1" applyAlignment="1">
      <alignment horizontal="left" vertical="center"/>
    </xf>
    <xf numFmtId="0" fontId="21" fillId="3" borderId="16" xfId="0" applyFont="1" applyFill="1" applyBorder="1" applyAlignment="1">
      <alignment horizontal="left" vertical="center" wrapText="1" indent="1"/>
    </xf>
    <xf numFmtId="0" fontId="20" fillId="4" borderId="15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 vertical="center" wrapText="1" indent="1"/>
    </xf>
    <xf numFmtId="0" fontId="23" fillId="4" borderId="14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 indent="1"/>
    </xf>
    <xf numFmtId="0" fontId="9" fillId="7" borderId="30" xfId="0" applyFont="1" applyFill="1" applyBorder="1" applyAlignment="1">
      <alignment horizontal="left" vertical="center" wrapText="1"/>
    </xf>
    <xf numFmtId="0" fontId="20" fillId="7" borderId="42" xfId="0" applyFont="1" applyFill="1" applyBorder="1" applyAlignment="1">
      <alignment horizontal="left" wrapText="1"/>
    </xf>
    <xf numFmtId="0" fontId="20" fillId="7" borderId="43" xfId="0" applyFont="1" applyFill="1" applyBorder="1" applyAlignment="1">
      <alignment horizontal="left" wrapText="1"/>
    </xf>
    <xf numFmtId="0" fontId="20" fillId="7" borderId="44" xfId="0" applyFont="1" applyFill="1" applyBorder="1" applyAlignment="1">
      <alignment horizontal="left" wrapText="1"/>
    </xf>
    <xf numFmtId="0" fontId="20" fillId="7" borderId="18" xfId="0" applyFont="1" applyFill="1" applyBorder="1" applyAlignment="1">
      <alignment vertical="center" wrapText="1"/>
    </xf>
    <xf numFmtId="0" fontId="20" fillId="7" borderId="34" xfId="0" applyFont="1" applyFill="1" applyBorder="1" applyAlignment="1">
      <alignment vertical="center" wrapText="1"/>
    </xf>
    <xf numFmtId="0" fontId="20" fillId="7" borderId="16" xfId="0" applyFont="1" applyFill="1" applyBorder="1" applyAlignment="1">
      <alignment vertical="center" wrapText="1"/>
    </xf>
    <xf numFmtId="0" fontId="17" fillId="7" borderId="25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left" vertical="top"/>
    </xf>
    <xf numFmtId="0" fontId="17" fillId="7" borderId="21" xfId="0" applyFont="1" applyFill="1" applyBorder="1" applyAlignment="1"/>
    <xf numFmtId="0" fontId="17" fillId="7" borderId="22" xfId="0" applyFont="1" applyFill="1" applyBorder="1" applyAlignment="1">
      <alignment horizontal="left" vertical="center" wrapText="1" indent="1"/>
    </xf>
    <xf numFmtId="0" fontId="16" fillId="7" borderId="2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left" vertical="center" wrapText="1"/>
    </xf>
    <xf numFmtId="0" fontId="9" fillId="7" borderId="35" xfId="0" applyFont="1" applyFill="1" applyBorder="1" applyAlignment="1">
      <alignment horizontal="left" vertical="center" wrapText="1"/>
    </xf>
    <xf numFmtId="0" fontId="9" fillId="7" borderId="36" xfId="0" applyFont="1" applyFill="1" applyBorder="1" applyAlignment="1">
      <alignment horizontal="left" vertical="center" wrapText="1"/>
    </xf>
    <xf numFmtId="0" fontId="17" fillId="7" borderId="12" xfId="0" applyFont="1" applyFill="1" applyBorder="1" applyAlignment="1">
      <alignment horizontal="left" indent="1"/>
    </xf>
    <xf numFmtId="0" fontId="17" fillId="7" borderId="35" xfId="0" applyFont="1" applyFill="1" applyBorder="1" applyAlignment="1">
      <alignment horizontal="left" indent="1"/>
    </xf>
    <xf numFmtId="0" fontId="17" fillId="7" borderId="36" xfId="0" applyFont="1" applyFill="1" applyBorder="1" applyAlignment="1">
      <alignment horizontal="left" indent="1"/>
    </xf>
    <xf numFmtId="0" fontId="19" fillId="7" borderId="10" xfId="0" applyFont="1" applyFill="1" applyBorder="1" applyAlignment="1">
      <alignment horizontal="left"/>
    </xf>
    <xf numFmtId="0" fontId="9" fillId="7" borderId="18" xfId="0" applyFont="1" applyFill="1" applyBorder="1" applyAlignment="1">
      <alignment horizontal="center"/>
    </xf>
    <xf numFmtId="3" fontId="20" fillId="7" borderId="19" xfId="0" applyNumberFormat="1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7"/>
  <sheetViews>
    <sheetView tabSelected="1" view="pageBreakPreview" topLeftCell="A7" zoomScale="70" zoomScaleNormal="115" zoomScaleSheetLayoutView="70" workbookViewId="0">
      <selection activeCell="M16" sqref="M16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6384" width="11" style="1"/>
  </cols>
  <sheetData>
    <row r="2" spans="1:9" ht="28.5" x14ac:dyDescent="0.4">
      <c r="B2" s="137" t="s">
        <v>0</v>
      </c>
      <c r="C2" s="137"/>
      <c r="D2" s="137"/>
      <c r="E2" s="137"/>
      <c r="F2" s="137"/>
      <c r="G2" s="137"/>
      <c r="H2" s="137"/>
    </row>
    <row r="4" spans="1:9" ht="18" customHeight="1" x14ac:dyDescent="0.25">
      <c r="A4" s="138" t="s">
        <v>1</v>
      </c>
      <c r="B4" s="138"/>
      <c r="C4" s="139" t="s">
        <v>2</v>
      </c>
      <c r="D4" s="139"/>
      <c r="E4" s="139"/>
      <c r="F4" s="2"/>
      <c r="G4" s="3"/>
      <c r="H4" s="2"/>
    </row>
    <row r="5" spans="1:9" ht="18" customHeight="1" x14ac:dyDescent="0.25">
      <c r="A5" s="138" t="s">
        <v>3</v>
      </c>
      <c r="B5" s="138"/>
      <c r="C5" s="139" t="s">
        <v>4</v>
      </c>
      <c r="D5" s="139"/>
      <c r="E5" s="139"/>
      <c r="F5" s="2"/>
      <c r="G5" s="3"/>
      <c r="H5" s="2"/>
    </row>
    <row r="6" spans="1:9" ht="16.5" customHeight="1" x14ac:dyDescent="0.25">
      <c r="A6" s="138" t="s">
        <v>5</v>
      </c>
      <c r="B6" s="138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138" t="s">
        <v>6</v>
      </c>
      <c r="B7" s="138"/>
      <c r="C7" s="4">
        <v>4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132" t="s">
        <v>13</v>
      </c>
      <c r="H9" s="134" t="s">
        <v>14</v>
      </c>
      <c r="I9" s="133" t="s">
        <v>15</v>
      </c>
    </row>
    <row r="10" spans="1:9" ht="27.75" thickBot="1" x14ac:dyDescent="0.3">
      <c r="A10" s="75">
        <v>1</v>
      </c>
      <c r="B10" s="76" t="s">
        <v>16</v>
      </c>
      <c r="C10" s="77" t="s">
        <v>17</v>
      </c>
      <c r="D10" s="78" t="s">
        <v>18</v>
      </c>
      <c r="E10" s="111" t="s">
        <v>19</v>
      </c>
      <c r="F10" s="112" t="s">
        <v>20</v>
      </c>
      <c r="G10" s="113">
        <v>35</v>
      </c>
      <c r="H10" s="130">
        <v>110000</v>
      </c>
      <c r="I10" s="79">
        <f>G10*H10</f>
        <v>3850000</v>
      </c>
    </row>
    <row r="11" spans="1:9" s="70" customFormat="1" ht="27" x14ac:dyDescent="0.25">
      <c r="A11" s="75">
        <v>2</v>
      </c>
      <c r="B11" s="85" t="s">
        <v>21</v>
      </c>
      <c r="C11" s="86" t="s">
        <v>17</v>
      </c>
      <c r="D11" s="87" t="s">
        <v>18</v>
      </c>
      <c r="E11" s="115" t="s">
        <v>22</v>
      </c>
      <c r="F11" s="116" t="s">
        <v>20</v>
      </c>
      <c r="G11" s="117">
        <v>4</v>
      </c>
      <c r="H11" s="118">
        <v>110000</v>
      </c>
      <c r="I11" s="88">
        <f>G11*H11</f>
        <v>440000</v>
      </c>
    </row>
    <row r="12" spans="1:9" s="70" customFormat="1" ht="27.75" thickBot="1" x14ac:dyDescent="0.3">
      <c r="A12" s="80">
        <v>3</v>
      </c>
      <c r="B12" s="85" t="s">
        <v>23</v>
      </c>
      <c r="C12" s="86" t="s">
        <v>17</v>
      </c>
      <c r="D12" s="87" t="s">
        <v>18</v>
      </c>
      <c r="E12" s="115" t="s">
        <v>24</v>
      </c>
      <c r="F12" s="116" t="s">
        <v>20</v>
      </c>
      <c r="G12" s="117">
        <v>4</v>
      </c>
      <c r="H12" s="118">
        <v>130000</v>
      </c>
      <c r="I12" s="88">
        <f t="shared" ref="I11:I19" si="0">G12*H12</f>
        <v>520000</v>
      </c>
    </row>
    <row r="13" spans="1:9" s="70" customFormat="1" ht="27.75" thickBot="1" x14ac:dyDescent="0.3">
      <c r="A13" s="75">
        <v>4</v>
      </c>
      <c r="B13" s="85" t="s">
        <v>25</v>
      </c>
      <c r="C13" s="86" t="s">
        <v>17</v>
      </c>
      <c r="D13" s="87" t="s">
        <v>18</v>
      </c>
      <c r="E13" s="115" t="s">
        <v>119</v>
      </c>
      <c r="F13" s="116" t="s">
        <v>20</v>
      </c>
      <c r="G13" s="117">
        <v>18</v>
      </c>
      <c r="H13" s="118">
        <v>120000</v>
      </c>
      <c r="I13" s="88">
        <f t="shared" si="0"/>
        <v>2160000</v>
      </c>
    </row>
    <row r="14" spans="1:9" ht="27" x14ac:dyDescent="0.25">
      <c r="A14" s="75">
        <v>5</v>
      </c>
      <c r="B14" s="89" t="s">
        <v>27</v>
      </c>
      <c r="C14" s="82" t="s">
        <v>17</v>
      </c>
      <c r="D14" s="83" t="s">
        <v>26</v>
      </c>
      <c r="E14" s="119" t="s">
        <v>28</v>
      </c>
      <c r="F14" s="38" t="s">
        <v>20</v>
      </c>
      <c r="G14" s="40">
        <v>18</v>
      </c>
      <c r="H14" s="39">
        <v>55000</v>
      </c>
      <c r="I14" s="84">
        <f t="shared" ref="I14:I18" si="1">G14*H14</f>
        <v>990000</v>
      </c>
    </row>
    <row r="15" spans="1:9" ht="27.75" thickBot="1" x14ac:dyDescent="0.3">
      <c r="A15" s="80">
        <v>6</v>
      </c>
      <c r="B15" s="89" t="s">
        <v>29</v>
      </c>
      <c r="C15" s="82" t="s">
        <v>17</v>
      </c>
      <c r="D15" s="83" t="s">
        <v>26</v>
      </c>
      <c r="E15" s="119" t="s">
        <v>30</v>
      </c>
      <c r="F15" s="38" t="s">
        <v>20</v>
      </c>
      <c r="G15" s="40">
        <v>25</v>
      </c>
      <c r="H15" s="39">
        <v>33000</v>
      </c>
      <c r="I15" s="84">
        <f t="shared" si="1"/>
        <v>825000</v>
      </c>
    </row>
    <row r="16" spans="1:9" ht="27.75" thickBot="1" x14ac:dyDescent="0.3">
      <c r="A16" s="75">
        <v>7</v>
      </c>
      <c r="B16" s="89" t="s">
        <v>31</v>
      </c>
      <c r="C16" s="82" t="s">
        <v>17</v>
      </c>
      <c r="D16" s="83" t="s">
        <v>26</v>
      </c>
      <c r="E16" s="119" t="s">
        <v>32</v>
      </c>
      <c r="F16" s="38" t="s">
        <v>20</v>
      </c>
      <c r="G16" s="40">
        <v>29</v>
      </c>
      <c r="H16" s="39">
        <v>22000</v>
      </c>
      <c r="I16" s="84">
        <f t="shared" si="1"/>
        <v>638000</v>
      </c>
    </row>
    <row r="17" spans="1:9" ht="27" x14ac:dyDescent="0.25">
      <c r="A17" s="75">
        <v>8</v>
      </c>
      <c r="B17" s="89" t="s">
        <v>33</v>
      </c>
      <c r="C17" s="82" t="s">
        <v>17</v>
      </c>
      <c r="D17" s="83" t="s">
        <v>26</v>
      </c>
      <c r="E17" s="119" t="s">
        <v>34</v>
      </c>
      <c r="F17" s="38" t="s">
        <v>20</v>
      </c>
      <c r="G17" s="40">
        <v>2</v>
      </c>
      <c r="H17" s="39">
        <v>96000</v>
      </c>
      <c r="I17" s="84">
        <f t="shared" si="1"/>
        <v>192000</v>
      </c>
    </row>
    <row r="18" spans="1:9" ht="27.75" thickBot="1" x14ac:dyDescent="0.3">
      <c r="A18" s="80">
        <v>9</v>
      </c>
      <c r="B18" s="89" t="s">
        <v>35</v>
      </c>
      <c r="C18" s="82" t="s">
        <v>17</v>
      </c>
      <c r="D18" s="83" t="s">
        <v>26</v>
      </c>
      <c r="E18" s="119" t="s">
        <v>36</v>
      </c>
      <c r="F18" s="38" t="s">
        <v>20</v>
      </c>
      <c r="G18" s="40">
        <v>2</v>
      </c>
      <c r="H18" s="39">
        <v>50000</v>
      </c>
      <c r="I18" s="84">
        <f t="shared" si="1"/>
        <v>100000</v>
      </c>
    </row>
    <row r="19" spans="1:9" ht="27.75" thickBot="1" x14ac:dyDescent="0.3">
      <c r="A19" s="75">
        <v>10</v>
      </c>
      <c r="B19" s="81" t="s">
        <v>37</v>
      </c>
      <c r="C19" s="82" t="s">
        <v>17</v>
      </c>
      <c r="D19" s="83" t="s">
        <v>18</v>
      </c>
      <c r="E19" s="114" t="s">
        <v>38</v>
      </c>
      <c r="F19" s="38" t="s">
        <v>20</v>
      </c>
      <c r="G19" s="40">
        <v>30</v>
      </c>
      <c r="H19" s="39">
        <v>25000</v>
      </c>
      <c r="I19" s="84">
        <f t="shared" si="0"/>
        <v>750000</v>
      </c>
    </row>
    <row r="20" spans="1:9" ht="27" x14ac:dyDescent="0.25">
      <c r="A20" s="75">
        <v>11</v>
      </c>
      <c r="B20" s="90" t="s">
        <v>39</v>
      </c>
      <c r="C20" s="91" t="s">
        <v>17</v>
      </c>
      <c r="D20" s="92" t="s">
        <v>18</v>
      </c>
      <c r="E20" s="120" t="s">
        <v>40</v>
      </c>
      <c r="F20" s="121" t="s">
        <v>20</v>
      </c>
      <c r="G20" s="122">
        <v>3</v>
      </c>
      <c r="H20" s="123">
        <v>40000</v>
      </c>
      <c r="I20" s="93">
        <f>G20*H20</f>
        <v>120000</v>
      </c>
    </row>
    <row r="21" spans="1:9" ht="27" x14ac:dyDescent="0.25">
      <c r="A21" s="80">
        <v>12</v>
      </c>
      <c r="B21" s="94" t="s">
        <v>41</v>
      </c>
      <c r="C21" s="95" t="s">
        <v>17</v>
      </c>
      <c r="D21" s="96" t="s">
        <v>18</v>
      </c>
      <c r="E21" s="124" t="s">
        <v>120</v>
      </c>
      <c r="F21" s="125" t="s">
        <v>20</v>
      </c>
      <c r="G21" s="126">
        <v>3</v>
      </c>
      <c r="H21" s="127">
        <v>270000</v>
      </c>
      <c r="I21" s="93">
        <f>G21*H21</f>
        <v>810000</v>
      </c>
    </row>
    <row r="22" spans="1:9" x14ac:dyDescent="0.25">
      <c r="A22" s="71"/>
      <c r="B22" s="71"/>
      <c r="C22" s="73"/>
      <c r="D22" s="71"/>
      <c r="E22" s="71"/>
      <c r="F22" s="74"/>
      <c r="G22" s="74"/>
      <c r="H22" s="74"/>
      <c r="I22" s="72"/>
    </row>
    <row r="23" spans="1:9" ht="14.25" thickBot="1" x14ac:dyDescent="0.3">
      <c r="A23" s="7"/>
      <c r="B23" s="7"/>
      <c r="C23" s="7"/>
      <c r="D23" s="7"/>
      <c r="E23" s="7"/>
      <c r="F23" s="7"/>
      <c r="G23" s="7"/>
      <c r="H23" s="7"/>
      <c r="I23" s="72">
        <f>SUM(I10:I21)</f>
        <v>11395000</v>
      </c>
    </row>
    <row r="24" spans="1:9" x14ac:dyDescent="0.25">
      <c r="A24" s="7"/>
      <c r="B24" s="98" t="s">
        <v>42</v>
      </c>
      <c r="C24" s="99"/>
      <c r="D24" s="100"/>
      <c r="E24" s="100"/>
      <c r="F24" s="100"/>
      <c r="G24" s="100"/>
      <c r="H24" s="100"/>
      <c r="I24" s="101"/>
    </row>
    <row r="25" spans="1:9" x14ac:dyDescent="0.25">
      <c r="A25" s="7"/>
      <c r="B25" s="102"/>
      <c r="C25" s="8"/>
      <c r="D25" s="7"/>
      <c r="E25" s="7"/>
      <c r="F25" s="7"/>
      <c r="G25" s="7"/>
      <c r="H25" s="7"/>
      <c r="I25" s="103"/>
    </row>
    <row r="26" spans="1:9" ht="35.25" customHeight="1" x14ac:dyDescent="0.25">
      <c r="A26" s="7"/>
      <c r="B26" s="102" t="s">
        <v>43</v>
      </c>
      <c r="C26" s="9" t="s">
        <v>44</v>
      </c>
      <c r="D26" s="140" t="s">
        <v>122</v>
      </c>
      <c r="E26" s="140"/>
      <c r="F26" s="140"/>
      <c r="G26" s="7"/>
      <c r="H26" s="7"/>
      <c r="I26" s="103"/>
    </row>
    <row r="27" spans="1:9" x14ac:dyDescent="0.25">
      <c r="A27" s="7"/>
      <c r="C27" s="8"/>
      <c r="D27" s="7"/>
      <c r="E27" s="7"/>
      <c r="F27" s="7"/>
      <c r="G27" s="7"/>
      <c r="H27" s="7"/>
      <c r="I27" s="103"/>
    </row>
    <row r="28" spans="1:9" x14ac:dyDescent="0.25">
      <c r="A28" s="7"/>
      <c r="B28" s="102" t="s">
        <v>116</v>
      </c>
      <c r="C28" s="9" t="s">
        <v>44</v>
      </c>
      <c r="D28" s="10" t="s">
        <v>51</v>
      </c>
      <c r="E28" s="11"/>
      <c r="F28" s="7"/>
      <c r="G28" s="7"/>
      <c r="H28" s="7"/>
      <c r="I28" s="103"/>
    </row>
    <row r="29" spans="1:9" x14ac:dyDescent="0.25">
      <c r="A29" s="7"/>
      <c r="C29" s="8"/>
      <c r="D29" s="7"/>
      <c r="E29" s="7"/>
      <c r="F29" s="7"/>
      <c r="G29" s="7"/>
      <c r="H29" s="7"/>
      <c r="I29" s="103"/>
    </row>
    <row r="30" spans="1:9" x14ac:dyDescent="0.25">
      <c r="A30" s="7"/>
      <c r="B30" s="102" t="s">
        <v>45</v>
      </c>
      <c r="C30" s="9" t="s">
        <v>44</v>
      </c>
      <c r="D30" s="10" t="s">
        <v>52</v>
      </c>
      <c r="E30" s="11"/>
      <c r="F30" s="7"/>
      <c r="G30" s="7"/>
      <c r="H30" s="7"/>
      <c r="I30" s="103"/>
    </row>
    <row r="31" spans="1:9" x14ac:dyDescent="0.25">
      <c r="A31" s="7"/>
      <c r="C31" s="8"/>
      <c r="D31" s="7"/>
      <c r="E31" s="7"/>
      <c r="F31" s="7"/>
      <c r="G31" s="7"/>
      <c r="H31" s="7"/>
      <c r="I31" s="103"/>
    </row>
    <row r="32" spans="1:9" x14ac:dyDescent="0.25">
      <c r="A32" s="7"/>
      <c r="B32" s="102" t="s">
        <v>46</v>
      </c>
      <c r="C32" s="9" t="s">
        <v>44</v>
      </c>
      <c r="D32" s="129" t="s">
        <v>113</v>
      </c>
      <c r="E32" s="11"/>
      <c r="F32" s="7"/>
      <c r="G32" s="7"/>
      <c r="H32" s="7"/>
      <c r="I32" s="103"/>
    </row>
    <row r="33" spans="1:9" x14ac:dyDescent="0.25">
      <c r="A33" s="7"/>
      <c r="B33" s="8"/>
      <c r="C33" s="9"/>
      <c r="D33" s="131"/>
      <c r="E33" s="11"/>
      <c r="F33" s="7"/>
      <c r="G33" s="7"/>
      <c r="H33" s="7"/>
      <c r="I33" s="103"/>
    </row>
    <row r="34" spans="1:9" x14ac:dyDescent="0.25">
      <c r="A34" s="7"/>
      <c r="B34" s="102" t="s">
        <v>47</v>
      </c>
      <c r="C34" s="9" t="s">
        <v>44</v>
      </c>
      <c r="D34" s="12" t="s">
        <v>118</v>
      </c>
      <c r="E34" s="11"/>
      <c r="F34" s="7"/>
      <c r="G34" s="7"/>
      <c r="H34" s="7"/>
      <c r="I34" s="103"/>
    </row>
    <row r="35" spans="1:9" x14ac:dyDescent="0.25">
      <c r="A35" s="7"/>
      <c r="C35" s="9"/>
      <c r="D35" s="12"/>
      <c r="E35" s="11"/>
      <c r="F35" s="7"/>
      <c r="G35" s="7"/>
      <c r="H35" s="7"/>
      <c r="I35" s="103"/>
    </row>
    <row r="36" spans="1:9" x14ac:dyDescent="0.25">
      <c r="A36" s="7"/>
      <c r="B36" s="102" t="s">
        <v>48</v>
      </c>
      <c r="C36" s="9" t="s">
        <v>44</v>
      </c>
      <c r="D36" s="12" t="s">
        <v>55</v>
      </c>
      <c r="E36" s="11"/>
      <c r="F36" s="7"/>
      <c r="G36" s="7"/>
      <c r="H36" s="7"/>
      <c r="I36" s="103"/>
    </row>
    <row r="37" spans="1:9" x14ac:dyDescent="0.25">
      <c r="A37" s="7"/>
      <c r="C37" s="9"/>
      <c r="D37" s="12"/>
      <c r="E37" s="11"/>
      <c r="F37" s="7"/>
      <c r="G37" s="7"/>
      <c r="H37" s="7"/>
      <c r="I37" s="103"/>
    </row>
    <row r="38" spans="1:9" x14ac:dyDescent="0.25">
      <c r="A38" s="7"/>
      <c r="B38" s="102" t="s">
        <v>49</v>
      </c>
      <c r="C38" s="9" t="s">
        <v>44</v>
      </c>
      <c r="D38" s="12" t="s">
        <v>123</v>
      </c>
      <c r="E38" s="11"/>
      <c r="F38" s="7"/>
      <c r="G38" s="7"/>
      <c r="H38" s="7"/>
      <c r="I38" s="103"/>
    </row>
    <row r="39" spans="1:9" x14ac:dyDescent="0.25">
      <c r="A39" s="7"/>
      <c r="C39" s="9"/>
      <c r="D39" s="12"/>
      <c r="E39" s="11"/>
      <c r="F39" s="7"/>
      <c r="G39" s="7"/>
      <c r="H39" s="7"/>
      <c r="I39" s="103"/>
    </row>
    <row r="40" spans="1:9" x14ac:dyDescent="0.25">
      <c r="A40" s="7"/>
      <c r="B40" s="102" t="s">
        <v>50</v>
      </c>
      <c r="C40" s="9" t="s">
        <v>44</v>
      </c>
      <c r="D40" s="12" t="s">
        <v>56</v>
      </c>
      <c r="E40" s="11"/>
      <c r="F40" s="7"/>
      <c r="G40" s="7"/>
      <c r="H40" s="7"/>
      <c r="I40" s="103"/>
    </row>
    <row r="41" spans="1:9" x14ac:dyDescent="0.25">
      <c r="A41" s="7"/>
      <c r="C41" s="9"/>
      <c r="D41" s="12"/>
      <c r="E41" s="11"/>
      <c r="F41" s="7"/>
      <c r="G41" s="7"/>
      <c r="H41" s="7"/>
      <c r="I41" s="103"/>
    </row>
    <row r="42" spans="1:9" ht="21.75" customHeight="1" x14ac:dyDescent="0.25">
      <c r="A42" s="7"/>
      <c r="B42" s="102" t="s">
        <v>112</v>
      </c>
      <c r="C42" s="9" t="s">
        <v>44</v>
      </c>
      <c r="D42" s="12" t="s">
        <v>57</v>
      </c>
      <c r="E42" s="11"/>
      <c r="F42" s="7"/>
      <c r="G42" s="7"/>
      <c r="H42" s="7"/>
      <c r="I42" s="103"/>
    </row>
    <row r="43" spans="1:9" ht="6" customHeight="1" x14ac:dyDescent="0.25">
      <c r="A43" s="7"/>
      <c r="C43" s="9"/>
      <c r="D43" s="141" t="s">
        <v>124</v>
      </c>
      <c r="E43" s="141"/>
      <c r="F43" s="141"/>
      <c r="G43" s="141"/>
      <c r="H43" s="141"/>
      <c r="I43" s="142"/>
    </row>
    <row r="44" spans="1:9" ht="30.75" customHeight="1" x14ac:dyDescent="0.25">
      <c r="A44" s="7"/>
      <c r="B44" s="102" t="s">
        <v>117</v>
      </c>
      <c r="C44" s="9" t="s">
        <v>44</v>
      </c>
      <c r="D44" s="141"/>
      <c r="E44" s="141"/>
      <c r="F44" s="141"/>
      <c r="G44" s="141"/>
      <c r="H44" s="141"/>
      <c r="I44" s="142"/>
    </row>
    <row r="45" spans="1:9" x14ac:dyDescent="0.25">
      <c r="A45" s="7"/>
      <c r="C45" s="9"/>
      <c r="D45" s="12"/>
      <c r="E45" s="11"/>
      <c r="F45" s="7"/>
      <c r="G45" s="7"/>
      <c r="H45" s="7"/>
      <c r="I45" s="103"/>
    </row>
    <row r="46" spans="1:9" x14ac:dyDescent="0.25">
      <c r="A46" s="7"/>
      <c r="B46" s="102" t="s">
        <v>53</v>
      </c>
      <c r="C46" s="9" t="s">
        <v>44</v>
      </c>
      <c r="D46" s="12" t="s">
        <v>58</v>
      </c>
      <c r="E46" s="11"/>
      <c r="F46" s="7"/>
      <c r="G46" s="7"/>
      <c r="H46" s="7"/>
      <c r="I46" s="103"/>
    </row>
    <row r="47" spans="1:9" x14ac:dyDescent="0.25">
      <c r="A47" s="7"/>
      <c r="C47" s="9"/>
      <c r="D47" s="12"/>
      <c r="E47" s="11"/>
      <c r="F47" s="7"/>
      <c r="G47" s="7"/>
      <c r="H47" s="7"/>
      <c r="I47" s="103"/>
    </row>
    <row r="48" spans="1:9" x14ac:dyDescent="0.25">
      <c r="A48" s="7"/>
      <c r="B48" s="102" t="s">
        <v>54</v>
      </c>
      <c r="C48" s="9" t="s">
        <v>44</v>
      </c>
      <c r="D48" s="128" t="s">
        <v>111</v>
      </c>
      <c r="E48" s="11"/>
      <c r="F48" s="7"/>
      <c r="G48" s="7"/>
      <c r="H48" s="7"/>
      <c r="I48" s="103"/>
    </row>
    <row r="49" spans="1:9" x14ac:dyDescent="0.25">
      <c r="A49" s="7"/>
      <c r="C49" s="9"/>
      <c r="D49" s="110"/>
      <c r="E49" s="11"/>
      <c r="F49" s="7"/>
      <c r="G49" s="7"/>
      <c r="H49" s="7"/>
      <c r="I49" s="103"/>
    </row>
    <row r="50" spans="1:9" ht="21.75" customHeight="1" x14ac:dyDescent="0.25">
      <c r="A50" s="7"/>
      <c r="B50" s="104" t="s">
        <v>59</v>
      </c>
      <c r="C50" s="8"/>
      <c r="D50" s="7"/>
      <c r="E50" s="13"/>
      <c r="F50" s="7"/>
      <c r="G50" s="7"/>
      <c r="H50" s="7"/>
      <c r="I50" s="103"/>
    </row>
    <row r="51" spans="1:9" ht="181.5" customHeight="1" x14ac:dyDescent="0.25">
      <c r="A51" s="7"/>
      <c r="B51" s="102"/>
      <c r="C51" s="135" t="s">
        <v>115</v>
      </c>
      <c r="D51" s="135"/>
      <c r="E51" s="135"/>
      <c r="F51" s="7"/>
      <c r="G51" s="7"/>
      <c r="H51" s="7"/>
      <c r="I51" s="103"/>
    </row>
    <row r="52" spans="1:9" x14ac:dyDescent="0.25">
      <c r="A52" s="7"/>
      <c r="B52" s="105" t="s">
        <v>60</v>
      </c>
      <c r="C52" s="8"/>
      <c r="D52" s="7"/>
      <c r="E52" s="13"/>
      <c r="F52" s="7"/>
      <c r="G52" s="7"/>
      <c r="H52" s="7"/>
      <c r="I52" s="103"/>
    </row>
    <row r="53" spans="1:9" ht="19.5" customHeight="1" x14ac:dyDescent="0.25">
      <c r="A53" s="7"/>
      <c r="B53" s="102"/>
      <c r="C53" s="135" t="s">
        <v>121</v>
      </c>
      <c r="D53" s="135"/>
      <c r="E53" s="135"/>
      <c r="F53" s="7"/>
      <c r="G53" s="7"/>
      <c r="H53" s="7"/>
      <c r="I53" s="103"/>
    </row>
    <row r="54" spans="1:9" x14ac:dyDescent="0.25">
      <c r="A54" s="7"/>
      <c r="B54" s="105" t="s">
        <v>61</v>
      </c>
      <c r="C54" s="97"/>
      <c r="D54" s="14"/>
      <c r="E54" s="14"/>
      <c r="F54" s="7"/>
      <c r="G54" s="7"/>
      <c r="H54" s="7"/>
      <c r="I54" s="103"/>
    </row>
    <row r="55" spans="1:9" x14ac:dyDescent="0.25">
      <c r="A55" s="7"/>
      <c r="B55" s="102"/>
      <c r="C55" s="136" t="s">
        <v>62</v>
      </c>
      <c r="D55" s="136"/>
      <c r="E55" s="136"/>
      <c r="F55" s="7"/>
      <c r="G55" s="7"/>
      <c r="H55" s="7"/>
      <c r="I55" s="103"/>
    </row>
    <row r="56" spans="1:9" x14ac:dyDescent="0.25">
      <c r="A56" s="7"/>
      <c r="B56" s="105" t="s">
        <v>63</v>
      </c>
      <c r="C56" s="8"/>
      <c r="D56" s="7"/>
      <c r="E56" s="7"/>
      <c r="F56" s="7"/>
      <c r="G56" s="7"/>
      <c r="H56" s="7"/>
      <c r="I56" s="103"/>
    </row>
    <row r="57" spans="1:9" ht="14.25" thickBot="1" x14ac:dyDescent="0.3">
      <c r="A57" s="7"/>
      <c r="B57" s="106"/>
      <c r="C57" s="107" t="s">
        <v>114</v>
      </c>
      <c r="D57" s="108"/>
      <c r="E57" s="108"/>
      <c r="F57" s="108"/>
      <c r="G57" s="108"/>
      <c r="H57" s="108"/>
      <c r="I57" s="109"/>
    </row>
  </sheetData>
  <mergeCells count="12">
    <mergeCell ref="C51:E51"/>
    <mergeCell ref="C53:E53"/>
    <mergeCell ref="C55:E55"/>
    <mergeCell ref="B2:H2"/>
    <mergeCell ref="A4:B4"/>
    <mergeCell ref="C4:E4"/>
    <mergeCell ref="A5:B5"/>
    <mergeCell ref="C5:E5"/>
    <mergeCell ref="A6:B6"/>
    <mergeCell ref="A7:B7"/>
    <mergeCell ref="D26:F26"/>
    <mergeCell ref="D43:I44"/>
  </mergeCells>
  <pageMargins left="0.70866141732283472" right="0.70866141732283472" top="0.74803149606299213" bottom="0.74803149606299213" header="0.51181102362204722" footer="0.51181102362204722"/>
  <pageSetup paperSize="190" scale="69" firstPageNumber="0" fitToHeight="0" orientation="landscape" verticalDpi="300" r:id="rId1"/>
  <rowBreaks count="2" manualBreakCount="2">
    <brk id="22" max="16383" man="1"/>
    <brk id="4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5.710937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4" width="5.85546875" style="32" customWidth="1"/>
    <col min="15" max="15" width="12.5703125" style="32" customWidth="1"/>
    <col min="16" max="1024" width="9.140625" style="32"/>
    <col min="1025" max="16384" width="9.140625" style="1"/>
  </cols>
  <sheetData>
    <row r="1" spans="1:11" ht="18" customHeight="1" x14ac:dyDescent="0.25">
      <c r="A1" s="158" t="s">
        <v>64</v>
      </c>
      <c r="B1" s="158"/>
      <c r="C1" s="158"/>
      <c r="D1" s="158"/>
      <c r="E1" s="158"/>
      <c r="F1" s="158"/>
      <c r="G1" s="158"/>
      <c r="H1" s="158"/>
      <c r="I1" s="158"/>
      <c r="J1" s="31" t="s">
        <v>65</v>
      </c>
      <c r="K1" s="26" t="s">
        <v>66</v>
      </c>
    </row>
    <row r="2" spans="1:11" ht="18.75" customHeight="1" thickBot="1" x14ac:dyDescent="0.3">
      <c r="A2" s="33"/>
      <c r="B2" s="33"/>
      <c r="C2" s="33"/>
      <c r="D2" s="34"/>
      <c r="E2" s="34"/>
      <c r="F2" s="34"/>
      <c r="G2" s="34"/>
      <c r="H2" s="34"/>
      <c r="I2" s="34"/>
      <c r="J2" s="34"/>
      <c r="K2" s="34"/>
    </row>
    <row r="3" spans="1:11" ht="18.75" customHeight="1" thickBot="1" x14ac:dyDescent="0.3">
      <c r="A3" s="159" t="s">
        <v>67</v>
      </c>
      <c r="B3" s="159"/>
      <c r="C3" s="159"/>
      <c r="D3" s="160" t="str">
        <f>'Necesidades Trimestrales'!C4</f>
        <v>90 - Ministerio de Seguridad</v>
      </c>
      <c r="E3" s="160"/>
      <c r="F3" s="160"/>
      <c r="G3" s="160"/>
      <c r="H3" s="160"/>
      <c r="I3" s="160"/>
      <c r="J3" s="160"/>
      <c r="K3" s="160"/>
    </row>
    <row r="4" spans="1:11" ht="18.75" customHeight="1" thickBot="1" x14ac:dyDescent="0.3">
      <c r="A4" s="161" t="s">
        <v>68</v>
      </c>
      <c r="B4" s="161"/>
      <c r="C4" s="161"/>
      <c r="D4" s="160" t="str">
        <f>'Necesidades Trimestrales'!C5</f>
        <v>7- Dirección Provincial de Administración de la Policía de la Provincia de Catamarca</v>
      </c>
      <c r="E4" s="160"/>
      <c r="F4" s="160"/>
      <c r="G4" s="160"/>
      <c r="H4" s="160"/>
      <c r="I4" s="160"/>
      <c r="J4" s="160"/>
      <c r="K4" s="160"/>
    </row>
    <row r="5" spans="1:11" ht="18.75" customHeight="1" thickBot="1" x14ac:dyDescent="0.3">
      <c r="A5" s="161" t="s">
        <v>69</v>
      </c>
      <c r="B5" s="161"/>
      <c r="C5" s="161"/>
      <c r="D5" s="160" t="s">
        <v>70</v>
      </c>
      <c r="E5" s="160"/>
      <c r="F5" s="160"/>
      <c r="G5" s="160"/>
      <c r="H5" s="160"/>
      <c r="I5" s="160"/>
      <c r="J5" s="160"/>
      <c r="K5" s="160"/>
    </row>
    <row r="6" spans="1:11" ht="16.5" customHeight="1" thickBot="1" x14ac:dyDescent="0.3">
      <c r="A6" s="159" t="s">
        <v>71</v>
      </c>
      <c r="B6" s="159"/>
      <c r="C6" s="159"/>
      <c r="D6" s="160" t="s">
        <v>72</v>
      </c>
      <c r="E6" s="160"/>
      <c r="F6" s="160"/>
      <c r="G6" s="160"/>
      <c r="H6" s="160"/>
      <c r="I6" s="160"/>
      <c r="J6" s="160"/>
      <c r="K6" s="160"/>
    </row>
    <row r="7" spans="1:11" ht="16.5" customHeight="1" x14ac:dyDescent="0.25">
      <c r="A7" s="161" t="s">
        <v>73</v>
      </c>
      <c r="B7" s="161"/>
      <c r="C7" s="161"/>
      <c r="D7" s="160" t="str">
        <f>'Necesidades Trimestrales'!C7 &amp; "° Trimestre - Año " &amp; 'Necesidades Trimestrales'!C6</f>
        <v>4° Trimestre - Año 2022</v>
      </c>
      <c r="E7" s="160"/>
      <c r="F7" s="160"/>
      <c r="G7" s="160"/>
      <c r="H7" s="160"/>
      <c r="I7" s="160"/>
      <c r="J7" s="160"/>
      <c r="K7" s="160"/>
    </row>
    <row r="8" spans="1:11" ht="16.5" customHeight="1" x14ac:dyDescent="0.25">
      <c r="A8" s="150" t="s">
        <v>74</v>
      </c>
      <c r="B8" s="150"/>
      <c r="C8" s="150"/>
      <c r="D8" s="151" t="s">
        <v>75</v>
      </c>
      <c r="E8" s="151"/>
      <c r="F8" s="151"/>
      <c r="G8" s="151"/>
      <c r="H8" s="151"/>
      <c r="I8" s="151"/>
      <c r="J8" s="151"/>
      <c r="K8" s="151"/>
    </row>
    <row r="9" spans="1:11" ht="17.25" x14ac:dyDescent="0.25">
      <c r="A9" s="35"/>
      <c r="B9" s="35"/>
      <c r="C9" s="35"/>
      <c r="D9" s="36"/>
      <c r="E9" s="36"/>
      <c r="F9" s="36"/>
      <c r="G9" s="36"/>
      <c r="H9" s="36"/>
      <c r="I9" s="36"/>
      <c r="J9" s="36"/>
      <c r="K9" s="36"/>
    </row>
    <row r="10" spans="1:11" ht="18.75" customHeight="1" thickBot="1" x14ac:dyDescent="0.3">
      <c r="A10" s="152" t="s">
        <v>76</v>
      </c>
      <c r="B10" s="154" t="s">
        <v>77</v>
      </c>
      <c r="C10" s="154" t="s">
        <v>78</v>
      </c>
      <c r="D10" s="154"/>
      <c r="E10" s="154"/>
      <c r="F10" s="154"/>
      <c r="G10" s="154"/>
      <c r="H10" s="154" t="s">
        <v>79</v>
      </c>
      <c r="I10" s="154" t="s">
        <v>80</v>
      </c>
      <c r="J10" s="154" t="s">
        <v>81</v>
      </c>
      <c r="K10" s="156" t="s">
        <v>82</v>
      </c>
    </row>
    <row r="11" spans="1:11" ht="24" customHeight="1" x14ac:dyDescent="0.25">
      <c r="A11" s="153"/>
      <c r="B11" s="155"/>
      <c r="C11" s="155"/>
      <c r="D11" s="155"/>
      <c r="E11" s="155"/>
      <c r="F11" s="155"/>
      <c r="G11" s="155"/>
      <c r="H11" s="155"/>
      <c r="I11" s="155"/>
      <c r="J11" s="155"/>
      <c r="K11" s="157"/>
    </row>
    <row r="12" spans="1:11" ht="20.25" customHeight="1" x14ac:dyDescent="0.25">
      <c r="A12" s="37">
        <v>1</v>
      </c>
      <c r="B12" s="27" t="str">
        <f>'Necesidades Trimestrales'!B10</f>
        <v xml:space="preserve">2.4.4-6818.744 </v>
      </c>
      <c r="C12" s="143" t="str">
        <f>'Necesidades Trimestrales'!E10</f>
        <v>NEUMATICOS; VEHICULO: CAMIONETA, CONSTRUCCION: RADIAL, ARMADO: S/CAMARA, MEDIDA: 235/70R16</v>
      </c>
      <c r="D12" s="143"/>
      <c r="E12" s="143"/>
      <c r="F12" s="143"/>
      <c r="G12" s="143"/>
      <c r="H12" s="28" t="s">
        <v>83</v>
      </c>
      <c r="I12" s="38" t="s">
        <v>20</v>
      </c>
      <c r="J12" s="39">
        <f>'Necesidades Trimestrales'!H10</f>
        <v>110000</v>
      </c>
      <c r="K12" s="40">
        <f>'Necesidades Trimestrales'!G10</f>
        <v>35</v>
      </c>
    </row>
    <row r="13" spans="1:11" ht="20.25" customHeight="1" x14ac:dyDescent="0.25">
      <c r="A13" s="37">
        <v>2</v>
      </c>
      <c r="B13" s="27" t="e">
        <f>'Necesidades Trimestrales'!#REF!</f>
        <v>#REF!</v>
      </c>
      <c r="C13" s="143" t="e">
        <f>'Necesidades Trimestrales'!#REF!</f>
        <v>#REF!</v>
      </c>
      <c r="D13" s="143"/>
      <c r="E13" s="143"/>
      <c r="F13" s="143"/>
      <c r="G13" s="143"/>
      <c r="H13" s="28" t="s">
        <v>83</v>
      </c>
      <c r="I13" s="38" t="s">
        <v>20</v>
      </c>
      <c r="J13" s="39" t="e">
        <f>'Necesidades Trimestrales'!#REF!</f>
        <v>#REF!</v>
      </c>
      <c r="K13" s="40" t="e">
        <f>'Necesidades Trimestrales'!#REF!</f>
        <v>#REF!</v>
      </c>
    </row>
    <row r="14" spans="1:11" ht="20.25" customHeight="1" x14ac:dyDescent="0.25">
      <c r="A14" s="37">
        <v>3</v>
      </c>
      <c r="B14" s="27" t="e">
        <f>'Necesidades Trimestrales'!#REF!</f>
        <v>#REF!</v>
      </c>
      <c r="C14" s="143" t="e">
        <f>'Necesidades Trimestrales'!#REF!</f>
        <v>#REF!</v>
      </c>
      <c r="D14" s="143"/>
      <c r="E14" s="143"/>
      <c r="F14" s="143"/>
      <c r="G14" s="143"/>
      <c r="H14" s="28" t="s">
        <v>83</v>
      </c>
      <c r="I14" s="38" t="s">
        <v>20</v>
      </c>
      <c r="J14" s="39" t="e">
        <f>'Necesidades Trimestrales'!#REF!</f>
        <v>#REF!</v>
      </c>
      <c r="K14" s="40" t="e">
        <f>'Necesidades Trimestrales'!#REF!</f>
        <v>#REF!</v>
      </c>
    </row>
    <row r="15" spans="1:11" ht="32.25" customHeight="1" x14ac:dyDescent="0.25">
      <c r="A15" s="37">
        <v>4</v>
      </c>
      <c r="B15" s="27" t="e">
        <f>'Necesidades Trimestrales'!#REF!</f>
        <v>#REF!</v>
      </c>
      <c r="C15" s="143" t="e">
        <f>'Necesidades Trimestrales'!#REF!</f>
        <v>#REF!</v>
      </c>
      <c r="D15" s="143"/>
      <c r="E15" s="143"/>
      <c r="F15" s="143"/>
      <c r="G15" s="143"/>
      <c r="H15" s="28" t="s">
        <v>83</v>
      </c>
      <c r="I15" s="38" t="s">
        <v>20</v>
      </c>
      <c r="J15" s="39" t="e">
        <f>'Necesidades Trimestrales'!#REF!</f>
        <v>#REF!</v>
      </c>
      <c r="K15" s="41" t="e">
        <f>'Necesidades Trimestrales'!#REF!</f>
        <v>#REF!</v>
      </c>
    </row>
    <row r="16" spans="1:11" ht="19.5" customHeight="1" x14ac:dyDescent="0.25">
      <c r="A16" s="37">
        <v>5</v>
      </c>
      <c r="B16" s="27" t="e">
        <f>'Necesidades Trimestrales'!#REF!</f>
        <v>#REF!</v>
      </c>
      <c r="C16" s="143" t="e">
        <f>'Necesidades Trimestrales'!#REF!</f>
        <v>#REF!</v>
      </c>
      <c r="D16" s="143"/>
      <c r="E16" s="143"/>
      <c r="F16" s="143"/>
      <c r="G16" s="143"/>
      <c r="H16" s="28" t="s">
        <v>83</v>
      </c>
      <c r="I16" s="38" t="s">
        <v>20</v>
      </c>
      <c r="J16" s="39" t="e">
        <f>'Necesidades Trimestrales'!#REF!</f>
        <v>#REF!</v>
      </c>
      <c r="K16" s="41" t="e">
        <f>'Necesidades Trimestrales'!#REF!</f>
        <v>#REF!</v>
      </c>
    </row>
    <row r="17" spans="1:11" ht="32.25" customHeight="1" x14ac:dyDescent="0.25">
      <c r="A17" s="37">
        <v>6</v>
      </c>
      <c r="B17" s="27" t="e">
        <f>'Necesidades Trimestrales'!#REF!</f>
        <v>#REF!</v>
      </c>
      <c r="C17" s="143" t="e">
        <f>'Necesidades Trimestrales'!#REF!</f>
        <v>#REF!</v>
      </c>
      <c r="D17" s="143"/>
      <c r="E17" s="143"/>
      <c r="F17" s="143"/>
      <c r="G17" s="143"/>
      <c r="H17" s="28" t="s">
        <v>83</v>
      </c>
      <c r="I17" s="38" t="s">
        <v>20</v>
      </c>
      <c r="J17" s="39" t="e">
        <f>'Necesidades Trimestrales'!#REF!</f>
        <v>#REF!</v>
      </c>
      <c r="K17" s="40" t="e">
        <f>'Necesidades Trimestrales'!#REF!</f>
        <v>#REF!</v>
      </c>
    </row>
    <row r="18" spans="1:11" ht="32.25" customHeight="1" x14ac:dyDescent="0.25">
      <c r="A18" s="37">
        <v>7</v>
      </c>
      <c r="B18" s="27" t="e">
        <f>'Necesidades Trimestrales'!#REF!</f>
        <v>#REF!</v>
      </c>
      <c r="C18" s="143" t="e">
        <f>'Necesidades Trimestrales'!#REF!</f>
        <v>#REF!</v>
      </c>
      <c r="D18" s="143"/>
      <c r="E18" s="143"/>
      <c r="F18" s="143"/>
      <c r="G18" s="143"/>
      <c r="H18" s="28" t="s">
        <v>83</v>
      </c>
      <c r="I18" s="38" t="s">
        <v>20</v>
      </c>
      <c r="J18" s="39" t="e">
        <f>'Necesidades Trimestrales'!#REF!</f>
        <v>#REF!</v>
      </c>
      <c r="K18" s="40" t="e">
        <f>'Necesidades Trimestrales'!#REF!</f>
        <v>#REF!</v>
      </c>
    </row>
    <row r="19" spans="1:11" ht="20.25" customHeight="1" x14ac:dyDescent="0.25">
      <c r="A19" s="37">
        <v>8</v>
      </c>
      <c r="B19" s="27" t="e">
        <f>'Necesidades Trimestrales'!#REF!</f>
        <v>#REF!</v>
      </c>
      <c r="C19" s="143" t="e">
        <f>'Necesidades Trimestrales'!#REF!</f>
        <v>#REF!</v>
      </c>
      <c r="D19" s="143"/>
      <c r="E19" s="143"/>
      <c r="F19" s="143"/>
      <c r="G19" s="143"/>
      <c r="H19" s="28" t="s">
        <v>83</v>
      </c>
      <c r="I19" s="38" t="s">
        <v>20</v>
      </c>
      <c r="J19" s="39" t="e">
        <f>'Necesidades Trimestrales'!#REF!</f>
        <v>#REF!</v>
      </c>
      <c r="K19" s="40" t="e">
        <f>'Necesidades Trimestrales'!#REF!</f>
        <v>#REF!</v>
      </c>
    </row>
    <row r="20" spans="1:11" ht="20.25" customHeight="1" x14ac:dyDescent="0.25">
      <c r="A20" s="37">
        <v>9</v>
      </c>
      <c r="B20" s="27" t="str">
        <f>'Necesidades Trimestrales'!B11</f>
        <v>2.4.4-6818.891</v>
      </c>
      <c r="C20" s="143" t="str">
        <f>'Necesidades Trimestrales'!E11</f>
        <v>NEUMATICOS; VEHICULO: MINIBUS, CONSTRUCCION: RADIAL, ARMADO: SIN CAMARA, MEDIDA: 195/75R16</v>
      </c>
      <c r="D20" s="143"/>
      <c r="E20" s="143"/>
      <c r="F20" s="143"/>
      <c r="G20" s="143"/>
      <c r="H20" s="28" t="s">
        <v>83</v>
      </c>
      <c r="I20" s="38" t="s">
        <v>20</v>
      </c>
      <c r="J20" s="39">
        <f>'Necesidades Trimestrales'!H11</f>
        <v>110000</v>
      </c>
      <c r="K20" s="40">
        <f>'Necesidades Trimestrales'!G11</f>
        <v>4</v>
      </c>
    </row>
    <row r="21" spans="1:11" ht="20.25" customHeight="1" x14ac:dyDescent="0.25">
      <c r="A21" s="37">
        <v>10</v>
      </c>
      <c r="B21" s="27" t="str">
        <f>'Necesidades Trimestrales'!B12</f>
        <v>2.4.4-6818.810</v>
      </c>
      <c r="C21" s="143" t="str">
        <f>'Necesidades Trimestrales'!E12</f>
        <v>NEUMATICOS; VEHICULO: MINIBUS, CONSTRUCCION: RADIAL, ARMADO: S/CAMARA, MEDIDA: 225/75R16</v>
      </c>
      <c r="D21" s="143"/>
      <c r="E21" s="143"/>
      <c r="F21" s="143"/>
      <c r="G21" s="143"/>
      <c r="H21" s="28" t="s">
        <v>83</v>
      </c>
      <c r="I21" s="38" t="s">
        <v>20</v>
      </c>
      <c r="J21" s="39">
        <f>'Necesidades Trimestrales'!H12</f>
        <v>130000</v>
      </c>
      <c r="K21" s="40">
        <f>'Necesidades Trimestrales'!G12</f>
        <v>4</v>
      </c>
    </row>
    <row r="22" spans="1:11" ht="20.25" customHeight="1" x14ac:dyDescent="0.25">
      <c r="A22" s="37">
        <v>11</v>
      </c>
      <c r="B22" s="27" t="str">
        <f>'Necesidades Trimestrales'!B13</f>
        <v>2.4.4-6818.989</v>
      </c>
      <c r="C22" s="143" t="str">
        <f>'Necesidades Trimestrales'!E13</f>
        <v>NEUMATICOS; VEHICULO: CAMIONETA, CONSTRUCCION: RADIAL, ARMADO: S/CAMARA, MEDIDA: 225/70 R17</v>
      </c>
      <c r="D22" s="143"/>
      <c r="E22" s="143"/>
      <c r="F22" s="143"/>
      <c r="G22" s="143"/>
      <c r="H22" s="28" t="s">
        <v>83</v>
      </c>
      <c r="I22" s="38" t="s">
        <v>20</v>
      </c>
      <c r="J22" s="39">
        <f>'Necesidades Trimestrales'!H13</f>
        <v>120000</v>
      </c>
      <c r="K22" s="40">
        <f>'Necesidades Trimestrales'!G13</f>
        <v>18</v>
      </c>
    </row>
    <row r="23" spans="1:11" ht="20.25" customHeight="1" x14ac:dyDescent="0.25">
      <c r="A23" s="37">
        <v>12</v>
      </c>
      <c r="B23" s="27" t="e">
        <f>'Necesidades Trimestrales'!#REF!</f>
        <v>#REF!</v>
      </c>
      <c r="C23" s="143" t="e">
        <f>'Necesidades Trimestrales'!#REF!</f>
        <v>#REF!</v>
      </c>
      <c r="D23" s="143"/>
      <c r="E23" s="143"/>
      <c r="F23" s="143"/>
      <c r="G23" s="143"/>
      <c r="H23" s="28" t="s">
        <v>83</v>
      </c>
      <c r="I23" s="38" t="s">
        <v>20</v>
      </c>
      <c r="J23" s="39" t="e">
        <f>'Necesidades Trimestrales'!#REF!</f>
        <v>#REF!</v>
      </c>
      <c r="K23" s="40" t="e">
        <f>'Necesidades Trimestrales'!#REF!</f>
        <v>#REF!</v>
      </c>
    </row>
    <row r="24" spans="1:11" ht="20.25" customHeight="1" x14ac:dyDescent="0.25">
      <c r="A24" s="37">
        <v>13</v>
      </c>
      <c r="B24" s="27" t="e">
        <f>'Necesidades Trimestrales'!#REF!</f>
        <v>#REF!</v>
      </c>
      <c r="C24" s="143" t="e">
        <f>'Necesidades Trimestrales'!#REF!</f>
        <v>#REF!</v>
      </c>
      <c r="D24" s="143"/>
      <c r="E24" s="143"/>
      <c r="F24" s="143"/>
      <c r="G24" s="143"/>
      <c r="H24" s="28" t="s">
        <v>83</v>
      </c>
      <c r="I24" s="38" t="s">
        <v>20</v>
      </c>
      <c r="J24" s="39" t="e">
        <f>'Necesidades Trimestrales'!#REF!</f>
        <v>#REF!</v>
      </c>
      <c r="K24" s="40" t="e">
        <f>'Necesidades Trimestrales'!#REF!</f>
        <v>#REF!</v>
      </c>
    </row>
    <row r="25" spans="1:11" ht="20.25" customHeight="1" x14ac:dyDescent="0.25">
      <c r="A25" s="37">
        <v>14</v>
      </c>
      <c r="B25" s="27" t="e">
        <f>'Necesidades Trimestrales'!#REF!</f>
        <v>#REF!</v>
      </c>
      <c r="C25" s="143" t="e">
        <f>'Necesidades Trimestrales'!#REF!</f>
        <v>#REF!</v>
      </c>
      <c r="D25" s="143"/>
      <c r="E25" s="143"/>
      <c r="F25" s="143"/>
      <c r="G25" s="143"/>
      <c r="H25" s="28" t="s">
        <v>83</v>
      </c>
      <c r="I25" s="38" t="s">
        <v>20</v>
      </c>
      <c r="J25" s="39" t="e">
        <f>'Necesidades Trimestrales'!#REF!</f>
        <v>#REF!</v>
      </c>
      <c r="K25" s="40" t="e">
        <f>'Necesidades Trimestrales'!#REF!</f>
        <v>#REF!</v>
      </c>
    </row>
    <row r="26" spans="1:11" ht="20.25" customHeight="1" x14ac:dyDescent="0.25">
      <c r="A26" s="37">
        <v>15</v>
      </c>
      <c r="B26" s="27" t="str">
        <f>'Necesidades Trimestrales'!B19</f>
        <v>2.4.4-6818.631</v>
      </c>
      <c r="C26" s="143" t="str">
        <f>'Necesidades Trimestrales'!E19</f>
        <v>NEUMATICOS; VEHICULO: MOTO, CONSTRUCCION: RADIAL, ARMADO: C/CAMARA, MEDIDA: 90/90-21</v>
      </c>
      <c r="D26" s="143"/>
      <c r="E26" s="143"/>
      <c r="F26" s="143"/>
      <c r="G26" s="143"/>
      <c r="H26" s="28" t="s">
        <v>83</v>
      </c>
      <c r="I26" s="38" t="s">
        <v>20</v>
      </c>
      <c r="J26" s="39">
        <f>'Necesidades Trimestrales'!H19</f>
        <v>25000</v>
      </c>
      <c r="K26" s="40">
        <f>'Necesidades Trimestrales'!G19</f>
        <v>30</v>
      </c>
    </row>
    <row r="27" spans="1:11" ht="20.25" customHeight="1" x14ac:dyDescent="0.25">
      <c r="A27" s="37">
        <v>16</v>
      </c>
      <c r="B27" s="27" t="e">
        <f>'Necesidades Trimestrales'!#REF!</f>
        <v>#REF!</v>
      </c>
      <c r="C27" s="143" t="e">
        <f>'Necesidades Trimestrales'!#REF!</f>
        <v>#REF!</v>
      </c>
      <c r="D27" s="143"/>
      <c r="E27" s="143"/>
      <c r="F27" s="143"/>
      <c r="G27" s="143"/>
      <c r="H27" s="28" t="s">
        <v>83</v>
      </c>
      <c r="I27" s="38" t="s">
        <v>20</v>
      </c>
      <c r="J27" s="39" t="e">
        <f>'Necesidades Trimestrales'!#REF!</f>
        <v>#REF!</v>
      </c>
      <c r="K27" s="40" t="e">
        <f>'Necesidades Trimestrales'!#REF!</f>
        <v>#REF!</v>
      </c>
    </row>
    <row r="28" spans="1:11" ht="20.25" customHeight="1" x14ac:dyDescent="0.25">
      <c r="A28" s="37">
        <v>17</v>
      </c>
      <c r="B28" s="27" t="e">
        <f>'Necesidades Trimestrales'!#REF!</f>
        <v>#REF!</v>
      </c>
      <c r="C28" s="143" t="e">
        <f>'Necesidades Trimestrales'!#REF!</f>
        <v>#REF!</v>
      </c>
      <c r="D28" s="143"/>
      <c r="E28" s="143"/>
      <c r="F28" s="143"/>
      <c r="G28" s="143"/>
      <c r="H28" s="28" t="s">
        <v>83</v>
      </c>
      <c r="I28" s="38" t="s">
        <v>20</v>
      </c>
      <c r="J28" s="39" t="e">
        <f>'Necesidades Trimestrales'!#REF!</f>
        <v>#REF!</v>
      </c>
      <c r="K28" s="41" t="e">
        <f>'Necesidades Trimestrales'!#REF!</f>
        <v>#REF!</v>
      </c>
    </row>
    <row r="29" spans="1:11" ht="20.25" customHeight="1" thickBot="1" x14ac:dyDescent="0.3">
      <c r="A29" s="42">
        <v>18</v>
      </c>
      <c r="B29" s="29" t="e">
        <f>'Necesidades Trimestrales'!#REF!</f>
        <v>#REF!</v>
      </c>
      <c r="C29" s="149" t="e">
        <f>'Necesidades Trimestrales'!#REF!</f>
        <v>#REF!</v>
      </c>
      <c r="D29" s="149"/>
      <c r="E29" s="149"/>
      <c r="F29" s="149"/>
      <c r="G29" s="149"/>
      <c r="H29" s="30" t="s">
        <v>83</v>
      </c>
      <c r="I29" s="43" t="s">
        <v>20</v>
      </c>
      <c r="J29" s="44" t="e">
        <f>'Necesidades Trimestrales'!#REF!</f>
        <v>#REF!</v>
      </c>
      <c r="K29" s="45" t="e">
        <f>'Necesidades Trimestrales'!#REF!</f>
        <v>#REF!</v>
      </c>
    </row>
    <row r="30" spans="1:11" ht="20.25" customHeight="1" thickBot="1" x14ac:dyDescent="0.3">
      <c r="A30" s="145" t="s">
        <v>84</v>
      </c>
      <c r="B30" s="146"/>
      <c r="C30" s="146"/>
      <c r="D30" s="147" t="s">
        <v>85</v>
      </c>
      <c r="E30" s="147"/>
      <c r="F30" s="147"/>
      <c r="G30" s="147"/>
      <c r="H30" s="147"/>
      <c r="I30" s="148"/>
      <c r="J30" s="144" t="e">
        <f>SUMPRODUCT(J12:J29,K12:K29)</f>
        <v>#REF!</v>
      </c>
      <c r="K30" s="144"/>
    </row>
  </sheetData>
  <mergeCells count="4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J30:K30"/>
    <mergeCell ref="A30:C30"/>
    <mergeCell ref="D30:I3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49" customWidth="1"/>
    <col min="7" max="7" width="4.42578125" style="69" customWidth="1"/>
    <col min="8" max="14" width="4.42578125" style="49" customWidth="1"/>
    <col min="15" max="16" width="14.85546875" style="49" customWidth="1"/>
    <col min="17" max="17" width="14.7109375" style="49" customWidth="1"/>
    <col min="18" max="16384" width="11" style="49"/>
  </cols>
  <sheetData>
    <row r="1" spans="1:17" ht="15.75" customHeight="1" thickBot="1" x14ac:dyDescent="0.3">
      <c r="A1" s="185" t="s">
        <v>5</v>
      </c>
      <c r="B1" s="185"/>
      <c r="C1" s="185"/>
      <c r="D1" s="186">
        <f>'[1]Necesidades Trimestrales'!C6</f>
        <v>2021</v>
      </c>
      <c r="E1" s="186"/>
      <c r="F1" s="46"/>
      <c r="G1" s="46"/>
      <c r="H1" s="47"/>
      <c r="I1" s="47"/>
      <c r="J1" s="47"/>
      <c r="K1" s="47"/>
      <c r="L1" s="47"/>
      <c r="M1" s="47"/>
      <c r="N1" s="47"/>
      <c r="O1" s="48"/>
      <c r="P1" s="187" t="s">
        <v>86</v>
      </c>
      <c r="Q1" s="187"/>
    </row>
    <row r="2" spans="1:17" ht="15.75" customHeight="1" thickBot="1" x14ac:dyDescent="0.3">
      <c r="A2" s="48"/>
      <c r="B2" s="48"/>
      <c r="C2" s="48"/>
      <c r="D2" s="48"/>
      <c r="E2" s="48"/>
      <c r="F2" s="48"/>
      <c r="G2" s="50"/>
      <c r="H2" s="47"/>
      <c r="I2" s="47"/>
      <c r="J2" s="47"/>
      <c r="K2" s="47"/>
      <c r="L2" s="47"/>
      <c r="M2" s="47"/>
      <c r="N2" s="47"/>
      <c r="O2" s="48"/>
      <c r="P2" s="187"/>
      <c r="Q2" s="187"/>
    </row>
    <row r="3" spans="1:17" ht="14.25" thickBot="1" x14ac:dyDescent="0.3">
      <c r="A3" s="48"/>
      <c r="B3" s="48"/>
      <c r="C3" s="48"/>
      <c r="D3" s="48"/>
      <c r="E3" s="48"/>
      <c r="F3" s="48"/>
      <c r="G3" s="50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51" customFormat="1" ht="18" customHeight="1" thickBot="1" x14ac:dyDescent="0.35">
      <c r="A4" s="188" t="s">
        <v>87</v>
      </c>
      <c r="B4" s="188"/>
      <c r="C4" s="188"/>
      <c r="D4" s="188"/>
      <c r="E4" s="188"/>
      <c r="F4" s="188"/>
      <c r="G4" s="181" t="str">
        <f>' NotaPedido'!D3</f>
        <v>90 - Ministerio de Seguridad</v>
      </c>
      <c r="H4" s="182"/>
      <c r="I4" s="182"/>
      <c r="J4" s="182"/>
      <c r="K4" s="182"/>
      <c r="L4" s="182"/>
      <c r="M4" s="182"/>
      <c r="N4" s="182"/>
      <c r="O4" s="182"/>
      <c r="P4" s="182"/>
      <c r="Q4" s="183"/>
    </row>
    <row r="5" spans="1:17" s="51" customFormat="1" ht="18" customHeight="1" thickBot="1" x14ac:dyDescent="0.35">
      <c r="A5" s="178" t="s">
        <v>68</v>
      </c>
      <c r="B5" s="179"/>
      <c r="C5" s="179"/>
      <c r="D5" s="179"/>
      <c r="E5" s="179"/>
      <c r="F5" s="180"/>
      <c r="G5" s="181" t="str">
        <f>' NotaPedido'!D4</f>
        <v>7- Dirección Provincial de Administración de la Policía de la Provincia de Catamarca</v>
      </c>
      <c r="H5" s="182"/>
      <c r="I5" s="182"/>
      <c r="J5" s="182"/>
      <c r="K5" s="182"/>
      <c r="L5" s="182"/>
      <c r="M5" s="182"/>
      <c r="N5" s="182"/>
      <c r="O5" s="182"/>
      <c r="P5" s="182"/>
      <c r="Q5" s="183"/>
    </row>
    <row r="6" spans="1:17" s="51" customFormat="1" ht="18" customHeight="1" thickBot="1" x14ac:dyDescent="0.35">
      <c r="A6" s="178" t="s">
        <v>69</v>
      </c>
      <c r="B6" s="179"/>
      <c r="C6" s="179"/>
      <c r="D6" s="179"/>
      <c r="E6" s="179"/>
      <c r="F6" s="180"/>
      <c r="G6" s="181" t="str">
        <f>' NotaPedido'!D5</f>
        <v>Jefatura de Policía de la Provincia de Catamarca</v>
      </c>
      <c r="H6" s="182"/>
      <c r="I6" s="182"/>
      <c r="J6" s="182"/>
      <c r="K6" s="182"/>
      <c r="L6" s="182"/>
      <c r="M6" s="182"/>
      <c r="N6" s="182"/>
      <c r="O6" s="182"/>
      <c r="P6" s="182"/>
      <c r="Q6" s="183"/>
    </row>
    <row r="7" spans="1:17" s="51" customFormat="1" ht="24.75" customHeight="1" thickBot="1" x14ac:dyDescent="0.35">
      <c r="A7" s="178" t="s">
        <v>71</v>
      </c>
      <c r="B7" s="179"/>
      <c r="C7" s="179"/>
      <c r="D7" s="179"/>
      <c r="E7" s="179"/>
      <c r="F7" s="180"/>
      <c r="G7" s="181" t="str">
        <f>' NotaPedido'!D6</f>
        <v>División Transporte- Dpto. Logistica (D-4)</v>
      </c>
      <c r="H7" s="182"/>
      <c r="I7" s="182"/>
      <c r="J7" s="182"/>
      <c r="K7" s="182"/>
      <c r="L7" s="182"/>
      <c r="M7" s="182"/>
      <c r="N7" s="182"/>
      <c r="O7" s="182"/>
      <c r="P7" s="182"/>
      <c r="Q7" s="183"/>
    </row>
    <row r="8" spans="1:17" ht="18" customHeight="1" thickBot="1" x14ac:dyDescent="0.25">
      <c r="A8" s="184" t="s">
        <v>88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18" customHeight="1" x14ac:dyDescent="0.3">
      <c r="A9" s="172" t="s">
        <v>89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48"/>
      <c r="P9" s="48"/>
      <c r="Q9" s="52"/>
    </row>
    <row r="10" spans="1:17" ht="66.75" customHeight="1" x14ac:dyDescent="0.2">
      <c r="A10" s="17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</row>
    <row r="11" spans="1:17" ht="9" customHeight="1" thickBot="1" x14ac:dyDescent="0.3">
      <c r="A11" s="53"/>
      <c r="B11" s="54"/>
      <c r="C11" s="54"/>
      <c r="D11" s="54"/>
      <c r="E11" s="54"/>
      <c r="F11" s="54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6"/>
    </row>
    <row r="12" spans="1:17" ht="15.75" customHeight="1" thickBot="1" x14ac:dyDescent="0.25">
      <c r="A12" s="174" t="s">
        <v>90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</row>
    <row r="13" spans="1:17" ht="15.75" customHeight="1" thickBot="1" x14ac:dyDescent="0.25">
      <c r="A13" s="175" t="s">
        <v>91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6" t="s">
        <v>92</v>
      </c>
      <c r="P13" s="176"/>
      <c r="Q13" s="177" t="s">
        <v>93</v>
      </c>
    </row>
    <row r="14" spans="1:17" ht="15.75" customHeight="1" thickBot="1" x14ac:dyDescent="0.25">
      <c r="A14" s="57" t="s">
        <v>94</v>
      </c>
      <c r="B14" s="58" t="s">
        <v>95</v>
      </c>
      <c r="C14" s="58" t="s">
        <v>96</v>
      </c>
      <c r="D14" s="58" t="s">
        <v>97</v>
      </c>
      <c r="E14" s="58" t="s">
        <v>98</v>
      </c>
      <c r="F14" s="58" t="s">
        <v>99</v>
      </c>
      <c r="G14" s="59" t="s">
        <v>100</v>
      </c>
      <c r="H14" s="58" t="s">
        <v>101</v>
      </c>
      <c r="I14" s="58" t="s">
        <v>102</v>
      </c>
      <c r="J14" s="58" t="s">
        <v>103</v>
      </c>
      <c r="K14" s="58" t="s">
        <v>103</v>
      </c>
      <c r="L14" s="58" t="s">
        <v>104</v>
      </c>
      <c r="M14" s="60" t="s">
        <v>105</v>
      </c>
      <c r="N14" s="61" t="s">
        <v>106</v>
      </c>
      <c r="O14" s="176"/>
      <c r="P14" s="176"/>
      <c r="Q14" s="177"/>
    </row>
    <row r="15" spans="1:17" ht="17.25" customHeight="1" thickBot="1" x14ac:dyDescent="0.25">
      <c r="A15" s="62">
        <v>16</v>
      </c>
      <c r="B15" s="63">
        <v>0</v>
      </c>
      <c r="C15" s="63">
        <v>0</v>
      </c>
      <c r="D15" s="63">
        <v>1</v>
      </c>
      <c r="E15" s="63">
        <v>0</v>
      </c>
      <c r="F15" s="63">
        <v>10</v>
      </c>
      <c r="G15" s="63">
        <v>2</v>
      </c>
      <c r="H15" s="63">
        <v>1</v>
      </c>
      <c r="I15" s="63">
        <v>2</v>
      </c>
      <c r="J15" s="63">
        <v>4</v>
      </c>
      <c r="K15" s="63">
        <v>4</v>
      </c>
      <c r="L15" s="63">
        <v>0</v>
      </c>
      <c r="M15" s="64">
        <v>1</v>
      </c>
      <c r="N15" s="63" t="s">
        <v>107</v>
      </c>
      <c r="O15" s="163" t="s">
        <v>108</v>
      </c>
      <c r="P15" s="163"/>
      <c r="Q15" s="65">
        <f>'Necesidades Trimestrales'!I22</f>
        <v>0</v>
      </c>
    </row>
    <row r="16" spans="1:17" ht="23.25" customHeight="1" thickBot="1" x14ac:dyDescent="0.25">
      <c r="A16" s="164" t="s">
        <v>109</v>
      </c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6"/>
      <c r="Q16" s="65">
        <f>+Q15</f>
        <v>0</v>
      </c>
    </row>
    <row r="17" spans="1:18" ht="21.75" customHeight="1" thickBot="1" x14ac:dyDescent="0.3">
      <c r="A17" s="66"/>
      <c r="B17" s="67"/>
      <c r="C17" s="67"/>
      <c r="D17" s="67"/>
      <c r="E17" s="171" t="str">
        <f>' NotaPedido'!D30</f>
        <v>Trece Millones Quinientos Cuatro Mil Doscientos Cuatro con 00/100.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68"/>
    </row>
    <row r="18" spans="1:18" ht="17.25" customHeight="1" thickBot="1" x14ac:dyDescent="0.25">
      <c r="A18" s="167" t="s">
        <v>110</v>
      </c>
      <c r="B18" s="168"/>
      <c r="C18" s="168"/>
      <c r="D18" s="168"/>
      <c r="E18" s="168"/>
      <c r="F18" s="169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</row>
    <row r="19" spans="1:18" ht="17.25" customHeight="1" thickBot="1" x14ac:dyDescent="0.25">
      <c r="A19" s="162" t="str">
        <f>' NotaPedido'!D8</f>
        <v>Adquisición de CUBIERTAS destinadas a las Unidades Moviles de la Policia de Catamarca.-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</row>
    <row r="20" spans="1:18" ht="17.25" customHeight="1" thickBot="1" x14ac:dyDescent="0.25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</row>
    <row r="21" spans="1:18" ht="17.25" customHeight="1" x14ac:dyDescent="0.2">
      <c r="A21" s="18"/>
      <c r="B21" s="18"/>
      <c r="C21" s="18"/>
      <c r="D21" s="18"/>
      <c r="E21" s="18"/>
      <c r="F21" s="19"/>
      <c r="G21" s="18"/>
      <c r="H21" s="18"/>
      <c r="I21" s="18"/>
      <c r="J21" s="18"/>
      <c r="K21" s="18"/>
      <c r="L21" s="18"/>
      <c r="M21" s="18"/>
      <c r="N21" s="18"/>
      <c r="O21" s="22"/>
      <c r="P21" s="22"/>
      <c r="Q21" s="17"/>
      <c r="R21" s="15"/>
    </row>
    <row r="22" spans="1:18" ht="17.2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2"/>
      <c r="P22" s="22"/>
      <c r="Q22" s="17"/>
    </row>
    <row r="23" spans="1:18" ht="20.25" customHeight="1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0"/>
    </row>
    <row r="24" spans="1:18" ht="18" customHeight="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8" ht="17.25" customHeight="1" x14ac:dyDescent="0.2">
      <c r="A25" s="23"/>
      <c r="B25" s="23"/>
      <c r="C25" s="23"/>
      <c r="D25" s="23"/>
      <c r="E25" s="23"/>
      <c r="F25" s="23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8" ht="18" customHeight="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spans="1:18" ht="15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8" x14ac:dyDescent="0.2">
      <c r="A28" s="15"/>
      <c r="B28" s="15"/>
      <c r="C28" s="15"/>
      <c r="D28" s="15"/>
      <c r="E28" s="15"/>
      <c r="F28" s="15"/>
      <c r="G28" s="16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8" x14ac:dyDescent="0.2">
      <c r="A29" s="15"/>
      <c r="B29" s="15"/>
      <c r="C29" s="15"/>
      <c r="D29" s="15"/>
      <c r="E29" s="15"/>
      <c r="F29" s="15"/>
      <c r="G29" s="16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8" x14ac:dyDescent="0.2">
      <c r="A30" s="15"/>
      <c r="B30" s="15"/>
      <c r="C30" s="15"/>
      <c r="D30" s="15"/>
      <c r="E30" s="15"/>
      <c r="F30" s="15"/>
      <c r="G30" s="16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8" x14ac:dyDescent="0.2">
      <c r="A31" s="15"/>
      <c r="B31" s="15"/>
      <c r="C31" s="15"/>
      <c r="D31" s="15"/>
      <c r="E31" s="15"/>
      <c r="F31" s="15"/>
      <c r="G31" s="16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8" x14ac:dyDescent="0.2">
      <c r="A32" s="15"/>
      <c r="B32" s="15"/>
      <c r="C32" s="15"/>
      <c r="D32" s="15"/>
      <c r="E32" s="15"/>
      <c r="F32" s="15"/>
      <c r="G32" s="16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">
      <c r="A33" s="15"/>
      <c r="B33" s="15"/>
      <c r="C33" s="15"/>
      <c r="D33" s="15"/>
      <c r="E33" s="15"/>
      <c r="F33" s="15"/>
      <c r="G33" s="16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">
      <c r="A34" s="15"/>
      <c r="B34" s="15"/>
      <c r="C34" s="15"/>
      <c r="D34" s="15"/>
      <c r="E34" s="15"/>
      <c r="F34" s="15"/>
      <c r="G34" s="16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2">
      <c r="A35" s="15"/>
      <c r="B35" s="15"/>
      <c r="C35" s="15"/>
      <c r="D35" s="15"/>
      <c r="E35" s="15"/>
      <c r="F35" s="15"/>
      <c r="G35" s="16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2">
      <c r="A36" s="15"/>
      <c r="B36" s="15"/>
      <c r="C36" s="15"/>
      <c r="D36" s="15"/>
      <c r="E36" s="15"/>
      <c r="F36" s="15"/>
      <c r="G36" s="16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2">
      <c r="A37" s="15"/>
      <c r="B37" s="15"/>
      <c r="C37" s="15"/>
      <c r="D37" s="15"/>
      <c r="E37" s="15"/>
      <c r="F37" s="15"/>
      <c r="G37" s="16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x14ac:dyDescent="0.2">
      <c r="A38" s="15"/>
      <c r="B38" s="15"/>
      <c r="C38" s="15"/>
      <c r="D38" s="15"/>
      <c r="E38" s="15"/>
      <c r="F38" s="15"/>
      <c r="G38" s="16"/>
      <c r="H38" s="15"/>
      <c r="I38" s="15"/>
      <c r="J38" s="15"/>
      <c r="K38" s="15"/>
      <c r="L38" s="15"/>
      <c r="M38" s="15"/>
      <c r="N38" s="15"/>
      <c r="O38" s="15"/>
      <c r="P38" s="15"/>
      <c r="Q38" s="15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19:Q20"/>
    <mergeCell ref="O15:P15"/>
    <mergeCell ref="A16:P16"/>
    <mergeCell ref="A18:F18"/>
    <mergeCell ref="G18:Q18"/>
    <mergeCell ref="E17:P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Usuario</cp:lastModifiedBy>
  <cp:revision>2</cp:revision>
  <cp:lastPrinted>2022-10-28T14:55:04Z</cp:lastPrinted>
  <dcterms:created xsi:type="dcterms:W3CDTF">2020-07-17T23:44:49Z</dcterms:created>
  <dcterms:modified xsi:type="dcterms:W3CDTF">2022-11-14T16:40:27Z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