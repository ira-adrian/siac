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131"/>
  <workbookPr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8_{A6F0B4A8-955F-45D7-B76D-59E2DDE1887D}" xr6:coauthVersionLast="47" xr6:coauthVersionMax="47" xr10:uidLastSave="{00000000-0000-0000-0000-000000000000}"/>
  <bookViews>
    <workbookView xWindow="-120" yWindow="-120" windowWidth="20730" windowHeight="11160" tabRatio="500" xr2:uid="{00000000-000D-0000-FFFF-FFFF00000000}"/>
  </bookViews>
  <sheets>
    <sheet name="Necesidades Trimestrales" sheetId="1" r:id="rId1"/>
    <sheet name=" NotaPedido" sheetId="2" r:id="rId2"/>
    <sheet name="Autor Gastar" sheetId="3" r:id="rId3"/>
  </sheets>
  <definedNames>
    <definedName name="_xlnm._FilterDatabase" localSheetId="0" hidden="1">'Necesidades Trimestrales'!$A$9:$L$18</definedName>
    <definedName name="_xlnm.Print_Area" localSheetId="1">' NotaPedido'!$A$1:$K$21</definedName>
    <definedName name="_xlnm.Print_Area" localSheetId="2">'Autor Gastar'!$A$1:$Q$28</definedName>
  </definedNames>
  <calcPr calcId="181029"/>
</workbook>
</file>

<file path=xl/calcChain.xml><?xml version="1.0" encoding="utf-8"?>
<calcChain xmlns="http://schemas.openxmlformats.org/spreadsheetml/2006/main">
  <c r="K12" i="2" l="1"/>
  <c r="K13" i="2"/>
  <c r="K14" i="2"/>
  <c r="K15" i="2"/>
  <c r="K16" i="2"/>
  <c r="K17" i="2"/>
  <c r="K18" i="2"/>
  <c r="K19" i="2"/>
  <c r="K20" i="2"/>
  <c r="J12" i="2"/>
  <c r="J13" i="2"/>
  <c r="J14" i="2"/>
  <c r="J15" i="2"/>
  <c r="J16" i="2"/>
  <c r="J17" i="2"/>
  <c r="J18" i="2"/>
  <c r="J19" i="2"/>
  <c r="J20" i="2"/>
  <c r="C12" i="2"/>
  <c r="C13" i="2"/>
  <c r="C14" i="2"/>
  <c r="C15" i="2"/>
  <c r="C16" i="2"/>
  <c r="C17" i="2"/>
  <c r="C18" i="2"/>
  <c r="C19" i="2"/>
  <c r="C20" i="2"/>
  <c r="B12" i="2"/>
  <c r="B13" i="2"/>
  <c r="B14" i="2"/>
  <c r="B15" i="2"/>
  <c r="B16" i="2"/>
  <c r="B17" i="2"/>
  <c r="B18" i="2"/>
  <c r="B19" i="2"/>
  <c r="B20" i="2"/>
  <c r="I18" i="1" l="1"/>
  <c r="D18" i="1"/>
  <c r="I17" i="1"/>
  <c r="D17" i="1"/>
  <c r="I16" i="1"/>
  <c r="D16" i="1"/>
  <c r="I15" i="1"/>
  <c r="D15" i="1"/>
  <c r="I14" i="1"/>
  <c r="D14" i="1"/>
  <c r="I13" i="1"/>
  <c r="D13" i="1"/>
  <c r="I12" i="1"/>
  <c r="D12" i="1"/>
  <c r="I11" i="1"/>
  <c r="D11" i="1"/>
  <c r="I10" i="1"/>
  <c r="D10" i="1"/>
  <c r="J21" i="2" l="1"/>
  <c r="G6" i="3" l="1"/>
  <c r="Q21" i="3" l="1"/>
  <c r="G4" i="3" l="1"/>
  <c r="G7" i="3" l="1"/>
  <c r="G5" i="3"/>
  <c r="A10" i="3" l="1"/>
  <c r="D1" i="3"/>
</calcChain>
</file>

<file path=xl/sharedStrings.xml><?xml version="1.0" encoding="utf-8"?>
<sst xmlns="http://schemas.openxmlformats.org/spreadsheetml/2006/main" count="210" uniqueCount="119">
  <si>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</si>
  <si>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</si>
  <si>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</si>
  <si>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</si>
  <si>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</si>
  <si>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</si>
  <si>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</si>
  <si>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</si>
  <si>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</si>
  <si>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</si>
  <si>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</si>
  <si>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</si>
  <si>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</si>
  <si>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</si>
  <si>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</si>
  <si>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</si>
  <si>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</si>
  <si>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</si>
  <si>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</si>
  <si>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</si>
  <si>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</si>
  <si>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</si>
  <si>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</si>
  <si>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</si>
  <si>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</si>
  <si>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</si>
  <si>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</si>
  <si>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</si>
  <si>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</si>
  <si>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</si>
  <si>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</si>
  <si>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</si>
  <si>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</si>
  <si>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</si>
  <si>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</si>
  <si>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</si>
  <si>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</si>
  <si>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</si>
  <si>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</si>
  <si>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</si>
  <si>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</si>
  <si>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</si>
  <si>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</si>
  <si>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</si>
  <si>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</si>
  <si>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</si>
  <si>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</si>
  <si>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</si>
  <si>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</si>
  <si>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</si>
  <si>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</si>
  <si>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</si>
  <si>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</si>
  <si>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</si>
  <si>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</si>
  <si>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</si>
  <si>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</si>
  <si>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</si>
  <si>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</si>
  <si>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</si>
  <si>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DIRECCION PROVINCIAL DE GESTION ADMINISTRATIVA Y RECURSOS HUMANOS</t>
  </si>
  <si>
    <t>SECRETARIA DE CIENCIA Y TECNOLOGIA</t>
  </si>
  <si>
    <t>EQUIPOS</t>
  </si>
  <si>
    <t>Costo total estimado:  PESOS TRES MILLONES CIEN MIL  CON 00/100.-</t>
  </si>
  <si>
    <t>1.1</t>
  </si>
  <si>
    <t>Equipo de Sanitario y de Laboratorio</t>
  </si>
  <si>
    <t>PESOS: TRES MILLONES CIEN MIL CON 00/100.-</t>
  </si>
  <si>
    <t>020/2021</t>
  </si>
  <si>
    <t xml:space="preserve">• Garantía total extendida por 2 (dos) años mínimo. </t>
  </si>
  <si>
    <t>4.3.5-3162.9</t>
  </si>
  <si>
    <t>GRABADOR DE DATOS; TIPO: REGIST. DE HUM., TEMP. E ILUM., LINEAS DE ENTRADA: USB, LINEAS DE SALIDA: USB, ALIMENTACION: 3 V</t>
  </si>
  <si>
    <t>4.3.9-7151.2</t>
  </si>
  <si>
    <t>PLUVIOGRAFOS; TIPO: DIGITAL, RANGO DE MEDICION: 0 A 200 mm</t>
  </si>
  <si>
    <t>4.3.9-7144.6</t>
  </si>
  <si>
    <t>SENSORES DE TEMPERATURAS; RANGO DE MEDICION: -20 A 60 °C, RESOLUCION: 0,3 °C</t>
  </si>
  <si>
    <t>4.3.3-3958.115</t>
  </si>
  <si>
    <t>INSTRUMENTOS DE MEDICION; USO: MEDIDOR DE HUMEDAD, RANGO DE MEDICION: 0 A 100 %, PRECISION: 5 %, NOMBRE: HIGROGRAFO</t>
  </si>
  <si>
    <t>4.3.3-3958.156</t>
  </si>
  <si>
    <t>INSTRUMENTOS DE MEDICION; USO: MEDIDOR RADIACION GLOBAL Y DIF, RANGO DE MEDICION: 0 - 1000 W/M2, PRECISION: 7 - 14 µV/WM² , NOMBRE: PIRANOMETRO</t>
  </si>
  <si>
    <t>4.3.3-7572.18</t>
  </si>
  <si>
    <t>SENSORES DE PRESIONES; RANGO DE MEDICION: 0 A 700 KPa, RESOLUCION: 0,1 Kpa</t>
  </si>
  <si>
    <t>4.3.3-3969.3</t>
  </si>
  <si>
    <t>ANEMOMETROS; TIPO: METEOROLOGICO, PRECISION: SIN VALOR, AUTONOMIA: SIN VALOR, ALIMENTACION: SIN VALOR, RANGO DE MEDICION: 0 - 100 Km/h</t>
  </si>
  <si>
    <t>4.3.9-7150.1</t>
  </si>
  <si>
    <t>EVAPORIMETROS; TIPO: PICHE, RANGO DE MEDICION: 1 A 25 mm, ESCALA: MILIMETRO</t>
  </si>
  <si>
    <t>3.4.9-8903.1</t>
  </si>
  <si>
    <t>SERV. PROFESIONAL Y COMERCIAL</t>
  </si>
  <si>
    <t>MONTAJE Y DESMONTAJE DE EQUIPO; DESCRIPCION: MONTAJE Y DESMONTAJE DE EQUIPO</t>
  </si>
  <si>
    <t>SERVICIO</t>
  </si>
  <si>
    <t>Especificidades Item N° 2:</t>
  </si>
  <si>
    <t>Especificidades Item N° 3:</t>
  </si>
  <si>
    <t>Especificidades Item N° 4:</t>
  </si>
  <si>
    <t>Especificidades Item N° 5:</t>
  </si>
  <si>
    <t>Especificidades Item N° 6:</t>
  </si>
  <si>
    <t>Especificidades Item N° 7:</t>
  </si>
  <si>
    <t>Especificidades Item N° 8:</t>
  </si>
  <si>
    <t>Especificidades Item N° 9:</t>
  </si>
  <si>
    <t>4º TRIMESTRE</t>
  </si>
  <si>
    <t>Otros Servicios Tecnicos y Profesionales</t>
  </si>
  <si>
    <t xml:space="preserve">Equipo Educacional y Recreativo </t>
  </si>
  <si>
    <t>Equipos Varios</t>
  </si>
  <si>
    <t>Equipo Registrador  electrónico  con muestreo configurable y conexión rs232 , tiempo de almacenamiento mínimo 350 días  (con muestras cada  1 hora como mínimo)  con Modem para transmisión datos vía GPRS o SMS , con  generación de alarmas</t>
  </si>
  <si>
    <r>
      <t xml:space="preserve">Mantenimiento:  </t>
    </r>
    <r>
      <rPr>
        <sz val="10"/>
        <rFont val="Times New Roman"/>
        <family val="1"/>
      </rPr>
      <t>Treinta (30) Días hábiles.-</t>
    </r>
  </si>
  <si>
    <r>
      <t xml:space="preserve">Mantenimiento:  </t>
    </r>
    <r>
      <rPr>
        <sz val="10"/>
        <rFont val="Times New Roman"/>
        <family val="1"/>
      </rPr>
      <t xml:space="preserve"> Treinta (30) Días hábiles.-</t>
    </r>
  </si>
  <si>
    <r>
      <t>Mantenimiento:  Treinta (30) Días hábiles</t>
    </r>
    <r>
      <rPr>
        <sz val="10"/>
        <rFont val="Times New Roman"/>
        <family val="1"/>
      </rPr>
      <t>-</t>
    </r>
  </si>
  <si>
    <r>
      <t xml:space="preserve">Mantenimiento:  </t>
    </r>
    <r>
      <rPr>
        <sz val="10"/>
        <rFont val="Times New Roman"/>
        <family val="1"/>
      </rPr>
      <t xml:space="preserve"> Treinta (30) Días hábiles</t>
    </r>
  </si>
  <si>
    <r>
      <t>Mantenimiento:  Treinta (30) Días hábiles.</t>
    </r>
    <r>
      <rPr>
        <sz val="10"/>
        <rFont val="Times New Roman"/>
        <family val="1"/>
      </rPr>
      <t>-</t>
    </r>
  </si>
  <si>
    <t>NO</t>
  </si>
  <si>
    <t xml:space="preserve">ADQUISICIÓN DE EQUIPOS PARA LA CREACIÓN DE LA RED DE CENTRALES METEOROLOGICAS PROVINCIAL.- </t>
  </si>
  <si>
    <t>Puesta en funcionamiento, sincronización, asistencia tecnica preventiva y correctiva del equipamiento por el termino de  2 (dos) años</t>
  </si>
  <si>
    <t>Registro de lluvia: sistema a cangilones , resolución 0.2mm precisión ±10% @  lluvia 50mm/hora como minimo</t>
  </si>
  <si>
    <t xml:space="preserve"> Sensor de Temperatura ambiente: rango -20 °C a 60 °C  aproximadamente</t>
  </si>
  <si>
    <t>Equipo de medición de Humedad relativa del ambiente:  rango 0-100%  ±5% aproximadamente</t>
  </si>
  <si>
    <t>Equipo de medición de  Radiación solar: (espectro  Visible 700-1100nm) ,0-1000 W/m² ±5% aproximadamente</t>
  </si>
  <si>
    <t xml:space="preserve"> Sensor de Presión atmosférica: rango de medición: 0 A 700 Kpa aproximadamente</t>
  </si>
  <si>
    <t>Equipo anemógrafo de Viento (velocidad  y dirección): sistema por ultrasonido rango vel.  1-100 com minimo</t>
  </si>
  <si>
    <t>Evaporímetro tipo A automático: rango 0.01mm 205mm, resolución .01mm  aproximadamente</t>
  </si>
  <si>
    <t xml:space="preserve">El plazo de entrega  no podrá ser superior a los sesenta (60) días hábiles a partir de la fecha de recepción de la respectiva Orden de Compra en el domicilio especial electrónico constituido, en virtud del método de contratación. La entrega de dichos bienes se realizará en  los Departamentos:Tinogasta, Antofagasta de las Sierras Paclín, Capayán, Santa Rosa, El Alto, Fray Mamerto Esquiu, Capital, La Paz y  Belén: 
1 1 Ubicación: Medanitos  dpto Tinogasta. Latitud 27° 31’ 35” Longuitud  67° 35’27”
2 Ubicación: Villa de Antofagasta de las Sierras  dpto Antofagasta de las Sierras. Latitud 26° 03’ 38” Longuitud  67° 24’28”
3 Ubicación: Palo Labrado  dpto Paclín. Latitud 28° 19’ 20” Longuitud  65° 37’09”
4 Ubicación: Chumbicha dpto Capayán. Latitud 28° 51’ 25” Longuitud  66° 14’14”
5 Ubicación: Los Altos  dpto Santa Rosa. Latitud 28° 02’ 55” Longuitud  65° 30’04”
6 Ubicación: Colonia Achalco  dpto El Alto. Latitud 28° 22’ 10” Longuitud  65° 09’49”
7 Ubicación: Dique Pirquitas  dpto Fray Mamerto Esquiu. Latitud 28° 19’ 08” Longuitud  65° 24’44”
8 Ubicación: Dique El Jumeal  dpto Capital. Latitud 28° 27’ 25” Longuitud  65° 48’35”
9 Ubicación: Dique Motegasta dpto La Paz. Latitud 29° 02’ 10” Longuitud  65° 11’36”
10 Ubicación: La Cienaga  dpto Belén. Latitud 27° 29’ 03” Longuitud  66° 57’06”
En el horario de   08 a 13 horas. Se presentará Remito que deberá cumplimentar lo dispuesto por la R.G. AFIP  1415/03, sin excepción.
</t>
  </si>
  <si>
    <t>El plazo de entrega  no podrá ser superior a los sesenta (60) días hábiles a partir de la fecha de recepción de la respectiva Orden de Compra en el domicilio especial electrónico constituido, en virtud del método de contratación. La entrega de dichos bienes se realizará en  los Departamentos:Tinogasta, Antofagasta de las Sierras Paclín, Capayán, Santa Rosa, El Alto, Fray Mamerto Esquiu, Capital, La Paz y  Belén: 
1 1 Ubicación: Medanitos  dpto Tinogasta. Latitud 27° 31’ 35” Longuitud  67° 35’27”
2 Ubicación: Villa de Antofagasta de las Sierras  dpto Antofagasta de las Sierras. Latitud 26° 03’ 38” Longuitud  67° 24’28”
3 Ubicación: Palo Labrado  dpto Paclín. Latitud 28° 19’ 20” Longuitud  65° 37’09”
4 Ubicación: Chumbicha dpto Capayán. Latitud 28° 51’ 25” Longuitud  66° 14’14”
5 Ubicación: Los Altos  dpto Santa Rosa. Latitud 28° 02’ 55” Longuitud  65° 30’04”
6 Ubicación: Colonia Achalco  dpto El Alto. Latitud 28° 22’ 10” Longuitud  65° 09’49”
7 Ubicación: Dique Pirquitas  dpto Fray Mamerto Esquiu. Latitud 28° 19’ 08” Longuitud  65° 24’44”
8 Ubicación: Dique El Jumeal  dpto Capital. Latitud 28° 27’ 25” Longuitud  65° 48’35”
9 Ubicación: Dique Motegasta dpto La Paz. Latitud 29° 02’ 10” Longuitud  65° 11’36”
10 Ubicación: La Cienaga  dpto Belén. Latitud 27° 29’ 03” Longuitud  66° 57’06”
En el horario de   08 a 13 horas.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</si>
</sst>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s>
  <fonts count="27"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sz val="9"/>
      <name val="Arial"/>
      <family val="2"/>
      <charset val="1"/>
    </font>
    <font>
      <sz val="10"/>
      <color theme="1"/>
      <name val="Arial"/>
      <family val="2"/>
    </font>
  </fonts>
  <fills count="6">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
      <patternFill patternType="solid">
        <fgColor theme="6" tint="0.79998168889431442"/>
        <bgColor indexed="64"/>
      </patternFill>
    </fill>
  </fills>
  <borders count="58">
    <border>
      <left/>
      <right/>
      <top/>
      <bottom/>
      <diagonal/>
    </border>
    <border>
      <left/>
      <right/>
      <top/>
      <bottom style="thick">
        <color rgb="FF33CCCC"/>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34">
    <xf numFmtId="0" fontId="0" fillId="0" borderId="0" xfId="0"/>
    <xf numFmtId="0" fontId="0" fillId="0" borderId="0" xfId="0" applyBorder="1"/>
    <xf numFmtId="0" fontId="2" fillId="0" borderId="0" xfId="0" applyFont="1" applyBorder="1" applyAlignment="1">
      <alignment vertical="center"/>
    </xf>
    <xf numFmtId="0" fontId="5" fillId="0" borderId="10" xfId="0" applyFont="1" applyBorder="1" applyAlignment="1">
      <alignment horizontal="right" vertical="center"/>
    </xf>
    <xf numFmtId="0" fontId="5" fillId="0" borderId="12"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9" fillId="0" borderId="20" xfId="0" applyFont="1" applyBorder="1" applyAlignment="1">
      <alignment horizontal="center" vertical="center"/>
    </xf>
    <xf numFmtId="0" fontId="9" fillId="0" borderId="20" xfId="0" applyFont="1" applyBorder="1" applyAlignment="1">
      <alignment horizontal="left" vertical="center"/>
    </xf>
    <xf numFmtId="3" fontId="4" fillId="0" borderId="20" xfId="0" applyNumberFormat="1" applyFont="1" applyBorder="1" applyAlignment="1">
      <alignment horizontal="center" vertical="center"/>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0" xfId="0" applyBorder="1"/>
    <xf numFmtId="0" fontId="0" fillId="0" borderId="26" xfId="0" applyBorder="1"/>
    <xf numFmtId="0" fontId="0" fillId="0" borderId="12" xfId="0" applyBorder="1"/>
    <xf numFmtId="0" fontId="0" fillId="0" borderId="12" xfId="0" applyBorder="1" applyAlignment="1">
      <alignment horizontal="left"/>
    </xf>
    <xf numFmtId="0" fontId="0" fillId="0" borderId="27" xfId="0" applyBorder="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25" xfId="0" applyFont="1" applyBorder="1" applyAlignment="1">
      <alignment horizontal="center" vertical="center"/>
    </xf>
    <xf numFmtId="0" fontId="0" fillId="0" borderId="33" xfId="0" applyFont="1" applyBorder="1" applyAlignment="1">
      <alignment horizontal="center" vertical="center"/>
    </xf>
    <xf numFmtId="0" fontId="0" fillId="0" borderId="37" xfId="0" applyFont="1" applyBorder="1" applyAlignment="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3" fillId="0" borderId="2" xfId="0" applyFont="1" applyBorder="1"/>
    <xf numFmtId="0" fontId="16" fillId="0" borderId="3" xfId="0" applyFont="1" applyBorder="1"/>
    <xf numFmtId="0" fontId="16" fillId="0" borderId="4" xfId="0" applyFont="1" applyBorder="1"/>
    <xf numFmtId="0" fontId="16" fillId="0" borderId="5" xfId="0" applyFont="1" applyBorder="1"/>
    <xf numFmtId="0" fontId="16" fillId="0" borderId="0" xfId="0" applyFont="1" applyBorder="1"/>
    <xf numFmtId="0" fontId="16" fillId="0" borderId="6" xfId="0" applyFont="1" applyBorder="1"/>
    <xf numFmtId="0" fontId="23" fillId="0" borderId="5" xfId="0" applyFont="1" applyBorder="1" applyAlignment="1">
      <alignment horizontal="left" indent="3"/>
    </xf>
    <xf numFmtId="0" fontId="16" fillId="0" borderId="5" xfId="0" applyFont="1" applyBorder="1" applyAlignment="1">
      <alignment horizontal="left" indent="3"/>
    </xf>
    <xf numFmtId="0" fontId="16" fillId="0" borderId="0" xfId="0" applyFont="1" applyBorder="1" applyAlignment="1">
      <alignment horizontal="center" wrapText="1"/>
    </xf>
    <xf numFmtId="0" fontId="16" fillId="0" borderId="6" xfId="0" applyFont="1" applyBorder="1" applyAlignment="1">
      <alignment horizontal="center" wrapText="1"/>
    </xf>
    <xf numFmtId="0" fontId="16" fillId="0" borderId="7" xfId="0" applyFont="1" applyBorder="1" applyAlignment="1">
      <alignment horizontal="left" indent="3"/>
    </xf>
    <xf numFmtId="0" fontId="16" fillId="0" borderId="8" xfId="0" applyFont="1" applyBorder="1"/>
    <xf numFmtId="0" fontId="16" fillId="0" borderId="9" xfId="0" applyFont="1" applyBorder="1"/>
    <xf numFmtId="0" fontId="6" fillId="4" borderId="11" xfId="0" applyFont="1" applyFill="1" applyBorder="1" applyAlignment="1">
      <alignment horizontal="center" vertical="center"/>
    </xf>
    <xf numFmtId="0" fontId="4" fillId="4" borderId="19" xfId="0" applyFont="1" applyFill="1" applyBorder="1" applyAlignment="1">
      <alignment horizontal="center" vertical="center"/>
    </xf>
    <xf numFmtId="0" fontId="4" fillId="3" borderId="19" xfId="0" applyFont="1" applyFill="1" applyBorder="1" applyAlignment="1">
      <alignment horizontal="center" vertical="center" wrapText="1"/>
    </xf>
    <xf numFmtId="166" fontId="4" fillId="3" borderId="19" xfId="1" applyNumberFormat="1" applyFont="1" applyFill="1" applyBorder="1" applyAlignment="1" applyProtection="1">
      <alignment horizontal="right" vertical="center" wrapText="1"/>
    </xf>
    <xf numFmtId="0" fontId="0" fillId="4" borderId="32" xfId="0" applyFont="1" applyFill="1" applyBorder="1" applyAlignment="1">
      <alignment horizontal="center" vertical="center"/>
    </xf>
    <xf numFmtId="0" fontId="0" fillId="4" borderId="33" xfId="0" applyFont="1" applyFill="1" applyBorder="1" applyAlignment="1">
      <alignment horizontal="center" vertical="center"/>
    </xf>
    <xf numFmtId="0" fontId="0" fillId="4" borderId="34" xfId="0" applyFont="1" applyFill="1" applyBorder="1" applyAlignment="1">
      <alignment horizontal="center" vertical="center"/>
    </xf>
    <xf numFmtId="0" fontId="15" fillId="0" borderId="0" xfId="0" applyFont="1"/>
    <xf numFmtId="0" fontId="20" fillId="3" borderId="0" xfId="0" applyFont="1" applyFill="1" applyAlignment="1">
      <alignment horizontal="left" wrapText="1"/>
    </xf>
    <xf numFmtId="0" fontId="21" fillId="0" borderId="52" xfId="0" applyFont="1" applyBorder="1" applyAlignment="1">
      <alignment horizontal="center" vertical="center"/>
    </xf>
    <xf numFmtId="0" fontId="22" fillId="4" borderId="53" xfId="0" applyFont="1" applyFill="1" applyBorder="1" applyAlignment="1">
      <alignment horizontal="center" vertical="center" wrapText="1"/>
    </xf>
    <xf numFmtId="0" fontId="22" fillId="0" borderId="53" xfId="0" applyFont="1" applyBorder="1" applyAlignment="1">
      <alignment horizontal="left" vertical="center" wrapText="1"/>
    </xf>
    <xf numFmtId="0" fontId="22" fillId="0" borderId="53" xfId="0" applyFont="1" applyBorder="1" applyAlignment="1">
      <alignment horizontal="center" vertical="center" wrapText="1"/>
    </xf>
    <xf numFmtId="166" fontId="21" fillId="4" borderId="53" xfId="1" applyNumberFormat="1" applyFont="1" applyFill="1" applyBorder="1" applyAlignment="1" applyProtection="1">
      <alignment horizontal="right" vertical="center" wrapText="1"/>
    </xf>
    <xf numFmtId="166" fontId="21" fillId="4" borderId="55" xfId="1" applyNumberFormat="1" applyFont="1" applyFill="1" applyBorder="1" applyAlignment="1" applyProtection="1">
      <alignment horizontal="right" vertical="center" wrapText="1"/>
    </xf>
    <xf numFmtId="0" fontId="20" fillId="0" borderId="54" xfId="0" applyFont="1" applyBorder="1" applyAlignment="1">
      <alignment horizontal="center" vertical="center" wrapText="1"/>
    </xf>
    <xf numFmtId="166" fontId="16" fillId="0" borderId="0" xfId="0" applyNumberFormat="1" applyFont="1"/>
    <xf numFmtId="0" fontId="15" fillId="4" borderId="33" xfId="0" applyFont="1" applyFill="1" applyBorder="1" applyAlignment="1">
      <alignment horizontal="center" vertical="center"/>
    </xf>
    <xf numFmtId="0" fontId="24" fillId="4" borderId="0" xfId="0" applyFont="1" applyFill="1" applyAlignment="1">
      <alignment horizontal="left" vertical="center" wrapText="1" indent="1"/>
    </xf>
    <xf numFmtId="169" fontId="0" fillId="0" borderId="35" xfId="3" applyNumberFormat="1" applyFont="1" applyBorder="1" applyAlignment="1" applyProtection="1">
      <alignment horizontal="right" vertical="center"/>
    </xf>
    <xf numFmtId="169" fontId="0" fillId="0" borderId="40" xfId="3" applyNumberFormat="1" applyFont="1" applyBorder="1" applyAlignment="1" applyProtection="1">
      <alignment horizontal="right" vertical="center"/>
    </xf>
    <xf numFmtId="169" fontId="0" fillId="0" borderId="40" xfId="3" applyNumberFormat="1" applyFont="1" applyBorder="1" applyAlignment="1" applyProtection="1">
      <alignment horizontal="center" vertical="center"/>
    </xf>
    <xf numFmtId="169" fontId="0" fillId="0" borderId="44" xfId="3" applyNumberFormat="1" applyFont="1" applyBorder="1" applyAlignment="1" applyProtection="1">
      <alignment horizontal="center" vertical="center"/>
    </xf>
    <xf numFmtId="169" fontId="14" fillId="0" borderId="45" xfId="0" applyNumberFormat="1" applyFont="1" applyBorder="1" applyAlignment="1">
      <alignment horizontal="center" vertical="center"/>
    </xf>
    <xf numFmtId="0" fontId="23" fillId="0" borderId="5" xfId="0" applyFont="1" applyBorder="1" applyAlignment="1">
      <alignment horizontal="left" vertical="center" indent="3"/>
    </xf>
    <xf numFmtId="0" fontId="16" fillId="4" borderId="0" xfId="0" applyFont="1" applyFill="1" applyBorder="1" applyAlignment="1">
      <alignment horizontal="left" wrapText="1"/>
    </xf>
    <xf numFmtId="0" fontId="16" fillId="4" borderId="6" xfId="0" applyFont="1" applyFill="1" applyBorder="1" applyAlignment="1">
      <alignment horizontal="left" wrapText="1"/>
    </xf>
    <xf numFmtId="0" fontId="21" fillId="4" borderId="0" xfId="0" applyFont="1" applyFill="1" applyBorder="1" applyAlignment="1">
      <alignment horizontal="left" vertical="center" wrapText="1"/>
    </xf>
    <xf numFmtId="0" fontId="21" fillId="4" borderId="6" xfId="0" applyFont="1" applyFill="1" applyBorder="1" applyAlignment="1">
      <alignment horizontal="left" vertical="center" wrapText="1"/>
    </xf>
    <xf numFmtId="0" fontId="16" fillId="4" borderId="0" xfId="0" applyFont="1" applyFill="1" applyBorder="1" applyAlignment="1">
      <alignment horizontal="left" vertical="center" wrapText="1"/>
    </xf>
    <xf numFmtId="0" fontId="16" fillId="4" borderId="6" xfId="0" applyFont="1" applyFill="1" applyBorder="1" applyAlignment="1">
      <alignment horizontal="left" vertical="center" wrapText="1"/>
    </xf>
    <xf numFmtId="0" fontId="18" fillId="0" borderId="0" xfId="0" applyFont="1" applyBorder="1" applyAlignment="1">
      <alignment horizontal="left" vertical="center" wrapText="1"/>
    </xf>
    <xf numFmtId="0" fontId="17" fillId="0" borderId="0" xfId="0" applyFont="1" applyBorder="1" applyAlignment="1">
      <alignment horizontal="center"/>
    </xf>
    <xf numFmtId="0" fontId="24" fillId="4" borderId="0" xfId="0" applyFont="1" applyFill="1" applyBorder="1" applyAlignment="1">
      <alignment horizontal="left" vertical="center" wrapText="1" indent="1"/>
    </xf>
    <xf numFmtId="0" fontId="21" fillId="4" borderId="0" xfId="0" applyFont="1" applyFill="1" applyBorder="1" applyAlignment="1">
      <alignment horizontal="left" vertical="center"/>
    </xf>
    <xf numFmtId="0" fontId="21" fillId="4" borderId="6" xfId="0" applyFont="1" applyFill="1" applyBorder="1" applyAlignment="1">
      <alignment horizontal="left" vertical="center"/>
    </xf>
    <xf numFmtId="0" fontId="8" fillId="0" borderId="14" xfId="0" applyFont="1" applyBorder="1" applyAlignment="1">
      <alignment horizontal="left" vertical="center" wrapText="1" indent="1"/>
    </xf>
    <xf numFmtId="167" fontId="7" fillId="0" borderId="14" xfId="0" applyNumberFormat="1" applyFont="1" applyBorder="1" applyAlignment="1">
      <alignment horizontal="center" vertical="center"/>
    </xf>
    <xf numFmtId="0" fontId="7" fillId="0" borderId="16" xfId="0" applyFont="1" applyBorder="1" applyAlignment="1">
      <alignment horizontal="left" vertical="center"/>
    </xf>
    <xf numFmtId="0" fontId="16" fillId="4" borderId="17" xfId="0" applyFont="1" applyFill="1" applyBorder="1" applyAlignment="1">
      <alignment horizontal="left" vertical="center" wrapText="1" indent="1"/>
    </xf>
    <xf numFmtId="0" fontId="8" fillId="0" borderId="16" xfId="0" applyFont="1" applyBorder="1" applyAlignment="1">
      <alignment horizontal="center" vertical="center"/>
    </xf>
    <xf numFmtId="0" fontId="8" fillId="0" borderId="18" xfId="0" applyFont="1" applyBorder="1" applyAlignment="1">
      <alignment horizontal="center" vertical="center" wrapText="1"/>
    </xf>
    <xf numFmtId="0" fontId="8" fillId="0" borderId="17" xfId="0" applyFont="1" applyBorder="1" applyAlignment="1">
      <alignment horizontal="center" vertical="center" wrapText="1"/>
    </xf>
    <xf numFmtId="0" fontId="4" fillId="0" borderId="49" xfId="0" applyFont="1" applyBorder="1" applyAlignment="1">
      <alignment horizontal="left" vertical="center" wrapText="1"/>
    </xf>
    <xf numFmtId="0" fontId="4" fillId="0" borderId="50" xfId="0" applyFont="1" applyBorder="1" applyAlignment="1">
      <alignment horizontal="left" vertical="center" wrapText="1"/>
    </xf>
    <xf numFmtId="0" fontId="4" fillId="0" borderId="51" xfId="0" applyFont="1" applyBorder="1" applyAlignment="1">
      <alignment horizontal="left" vertical="center" wrapText="1"/>
    </xf>
    <xf numFmtId="0" fontId="5" fillId="0" borderId="0" xfId="0" applyFont="1" applyBorder="1" applyAlignment="1">
      <alignment horizontal="center" vertical="center"/>
    </xf>
    <xf numFmtId="0" fontId="7" fillId="0" borderId="13" xfId="0" applyFont="1" applyBorder="1" applyAlignment="1">
      <alignment horizontal="left" vertical="center" wrapText="1"/>
    </xf>
    <xf numFmtId="0" fontId="6" fillId="3" borderId="14" xfId="0" applyFont="1" applyFill="1" applyBorder="1" applyAlignment="1">
      <alignment horizontal="left" vertical="center" wrapText="1" indent="1"/>
    </xf>
    <xf numFmtId="0" fontId="7" fillId="0" borderId="15" xfId="0" applyFont="1" applyBorder="1" applyAlignment="1">
      <alignment horizontal="left" vertical="center" wrapText="1"/>
    </xf>
    <xf numFmtId="0" fontId="10" fillId="0" borderId="21" xfId="0" applyFont="1" applyBorder="1" applyAlignment="1">
      <alignment vertical="center" wrapText="1"/>
    </xf>
    <xf numFmtId="0" fontId="10" fillId="0" borderId="46" xfId="0" applyFont="1" applyBorder="1" applyAlignment="1">
      <alignment vertical="center" wrapText="1"/>
    </xf>
    <xf numFmtId="0" fontId="10" fillId="0" borderId="17" xfId="0" applyFont="1" applyBorder="1" applyAlignment="1">
      <alignment vertical="center" wrapText="1"/>
    </xf>
    <xf numFmtId="0" fontId="12" fillId="0" borderId="28" xfId="0" applyFont="1" applyBorder="1" applyAlignment="1">
      <alignment vertical="center" wrapText="1"/>
    </xf>
    <xf numFmtId="0" fontId="26" fillId="4" borderId="45" xfId="0" applyFont="1" applyFill="1" applyBorder="1" applyAlignment="1">
      <alignment horizontal="left" vertical="center" wrapText="1" indent="1"/>
    </xf>
    <xf numFmtId="0" fontId="2" fillId="4" borderId="45" xfId="0" applyFont="1" applyFill="1" applyBorder="1" applyAlignment="1">
      <alignment horizontal="left" vertical="center" wrapText="1" indent="1"/>
    </xf>
    <xf numFmtId="0" fontId="0" fillId="0" borderId="39" xfId="0" applyBorder="1" applyAlignment="1">
      <alignment horizontal="left" vertical="center"/>
    </xf>
    <xf numFmtId="0" fontId="0" fillId="0" borderId="42" xfId="0" applyBorder="1" applyAlignment="1">
      <alignment horizontal="left" vertical="center"/>
    </xf>
    <xf numFmtId="0" fontId="10" fillId="0" borderId="45" xfId="0" applyFont="1" applyBorder="1" applyAlignment="1">
      <alignment horizontal="left" vertical="center" wrapText="1"/>
    </xf>
    <xf numFmtId="0" fontId="0" fillId="0" borderId="23" xfId="0" applyBorder="1"/>
    <xf numFmtId="0" fontId="15" fillId="0" borderId="33" xfId="0" applyFont="1" applyBorder="1" applyAlignment="1">
      <alignment horizontal="left" vertical="center" wrapText="1"/>
    </xf>
    <xf numFmtId="0" fontId="0" fillId="0" borderId="33" xfId="0" applyFont="1" applyBorder="1" applyAlignment="1">
      <alignment horizontal="left" vertical="center" wrapText="1"/>
    </xf>
    <xf numFmtId="0" fontId="0" fillId="0" borderId="39" xfId="0" applyFont="1" applyBorder="1" applyAlignment="1">
      <alignment horizontal="left" vertical="center"/>
    </xf>
    <xf numFmtId="0" fontId="0" fillId="0" borderId="56" xfId="0" applyFont="1" applyBorder="1" applyAlignment="1">
      <alignment horizontal="left" vertical="center" wrapText="1"/>
    </xf>
    <xf numFmtId="0" fontId="0" fillId="0" borderId="57" xfId="0" applyFont="1" applyBorder="1" applyAlignment="1">
      <alignment horizontal="left" vertical="center" wrapText="1"/>
    </xf>
    <xf numFmtId="0" fontId="12" fillId="0" borderId="24" xfId="0" applyFont="1" applyBorder="1"/>
    <xf numFmtId="0" fontId="12" fillId="0" borderId="25" xfId="0" applyFont="1" applyBorder="1" applyAlignment="1">
      <alignment horizontal="left" vertical="center" wrapText="1" indent="1"/>
    </xf>
    <xf numFmtId="0" fontId="14" fillId="0" borderId="23" xfId="0" applyFont="1" applyBorder="1" applyAlignment="1">
      <alignment horizontal="center" vertical="center"/>
    </xf>
    <xf numFmtId="0" fontId="14" fillId="0" borderId="11" xfId="0" applyFont="1" applyBorder="1" applyAlignment="1">
      <alignment horizontal="center" vertical="center"/>
    </xf>
    <xf numFmtId="0" fontId="14" fillId="0" borderId="23" xfId="0" applyFont="1" applyBorder="1" applyAlignment="1">
      <alignment horizontal="center" vertical="center" wrapText="1"/>
    </xf>
    <xf numFmtId="0" fontId="14" fillId="0" borderId="28" xfId="0" applyFont="1" applyBorder="1" applyAlignment="1">
      <alignment horizontal="center" vertical="center"/>
    </xf>
    <xf numFmtId="0" fontId="4" fillId="0" borderId="13"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2" fillId="0" borderId="11" xfId="0" applyFont="1" applyBorder="1" applyAlignment="1">
      <alignment horizontal="left" indent="1"/>
    </xf>
    <xf numFmtId="0" fontId="13" fillId="0" borderId="11" xfId="0" applyFont="1" applyBorder="1" applyAlignment="1">
      <alignment horizontal="left"/>
    </xf>
    <xf numFmtId="0" fontId="25" fillId="0" borderId="11" xfId="0" applyFont="1" applyBorder="1" applyAlignment="1">
      <alignment horizontal="left" indent="1"/>
    </xf>
    <xf numFmtId="0" fontId="0" fillId="0" borderId="21" xfId="0" applyFont="1" applyBorder="1" applyAlignment="1">
      <alignment horizontal="center"/>
    </xf>
    <xf numFmtId="3" fontId="10" fillId="0" borderId="22" xfId="0" applyNumberFormat="1" applyFont="1" applyBorder="1" applyAlignment="1">
      <alignment horizontal="center"/>
    </xf>
    <xf numFmtId="0" fontId="11" fillId="0" borderId="11" xfId="0" applyFont="1" applyBorder="1" applyAlignment="1">
      <alignment horizontal="center" vertical="center" wrapText="1"/>
    </xf>
    <xf numFmtId="0" fontId="2" fillId="0" borderId="11" xfId="0" applyFont="1" applyBorder="1"/>
    <xf numFmtId="0" fontId="16" fillId="0" borderId="0" xfId="0" applyFont="1" applyAlignment="1">
      <alignment horizontal="center" vertical="center"/>
    </xf>
    <xf numFmtId="0" fontId="16" fillId="5" borderId="0" xfId="0" applyFont="1" applyFill="1" applyAlignment="1">
      <alignment horizontal="center" vertical="center"/>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166"/>
  <sheetViews>
    <sheetView tabSelected="1" topLeftCell="A9" zoomScale="98" zoomScaleNormal="98" workbookViewId="0">
      <selection activeCell="F13" sqref="F13"/>
    </sheetView>
  </sheetViews>
  <sheetFormatPr baseColWidth="10" defaultColWidth="11" defaultRowHeight="12.75" x14ac:dyDescent="0.2"/>
  <cols>
    <col min="1" max="1" width="4.5703125" style="35" customWidth="1"/>
    <col min="2" max="2" width="12.5703125" style="35" customWidth="1"/>
    <col min="3" max="3" width="19.7109375" style="35" customWidth="1"/>
    <col min="4" max="4" width="7.140625" style="35" customWidth="1"/>
    <col min="5" max="5" width="59.42578125" style="35" customWidth="1"/>
    <col min="6" max="6" width="11" style="35"/>
    <col min="7" max="7" width="10.85546875" style="35" customWidth="1"/>
    <col min="8" max="8" width="11.85546875" style="35" customWidth="1"/>
    <col min="9" max="9" width="13.42578125" style="35" customWidth="1"/>
    <col min="10" max="11" width="11" style="35"/>
    <col min="12" max="12" width="12.5703125" style="35" customWidth="1"/>
    <col min="13" max="16384" width="11" style="35"/>
  </cols>
  <sheetData>
    <row r="2" spans="1:12" ht="27" x14ac:dyDescent="0.35">
      <c r="B2" s="83" t="s">
        <v>0</v>
      </c>
      <c r="C2" s="83"/>
      <c r="D2" s="83"/>
      <c r="E2" s="83"/>
      <c r="F2" s="83"/>
      <c r="G2" s="83"/>
      <c r="H2" s="83"/>
    </row>
    <row r="3" spans="1:12" ht="8.25" customHeight="1" x14ac:dyDescent="0.2"/>
    <row r="4" spans="1:12" ht="27.75" customHeight="1" x14ac:dyDescent="0.2">
      <c r="A4" s="82" t="s">
        <v>1</v>
      </c>
      <c r="B4" s="82"/>
      <c r="C4" s="84" t="s">
        <v>58</v>
      </c>
      <c r="D4" s="84"/>
      <c r="E4" s="84"/>
      <c r="F4" s="36"/>
      <c r="G4" s="37"/>
      <c r="H4" s="36"/>
    </row>
    <row r="5" spans="1:12" ht="18" customHeight="1" x14ac:dyDescent="0.2">
      <c r="A5" s="82" t="s">
        <v>2</v>
      </c>
      <c r="B5" s="82"/>
      <c r="C5" s="84" t="s">
        <v>59</v>
      </c>
      <c r="D5" s="84"/>
      <c r="E5" s="84"/>
      <c r="F5" s="36"/>
      <c r="G5" s="37"/>
      <c r="H5" s="36"/>
    </row>
    <row r="6" spans="1:12" ht="16.5" customHeight="1" x14ac:dyDescent="0.2">
      <c r="A6" s="82" t="s">
        <v>3</v>
      </c>
      <c r="B6" s="82"/>
      <c r="C6" s="69">
        <v>2021</v>
      </c>
      <c r="D6" s="59"/>
      <c r="E6" s="59"/>
      <c r="F6" s="36"/>
      <c r="G6" s="37"/>
      <c r="H6" s="36"/>
    </row>
    <row r="7" spans="1:12" ht="16.5" customHeight="1" x14ac:dyDescent="0.2">
      <c r="A7" s="82" t="s">
        <v>4</v>
      </c>
      <c r="B7" s="82"/>
      <c r="C7" s="69">
        <v>4</v>
      </c>
      <c r="D7" s="59"/>
      <c r="E7" s="59"/>
      <c r="F7" s="36"/>
      <c r="G7" s="37"/>
      <c r="H7" s="36"/>
    </row>
    <row r="8" spans="1:12" ht="13.5" thickBot="1" x14ac:dyDescent="0.25">
      <c r="B8" s="36"/>
      <c r="C8" s="37"/>
      <c r="D8" s="36"/>
      <c r="E8" s="36"/>
      <c r="F8" s="36"/>
      <c r="G8" s="37"/>
      <c r="H8" s="36"/>
    </row>
    <row r="9" spans="1:12" ht="39" thickTop="1" x14ac:dyDescent="0.2">
      <c r="A9" s="66" t="s">
        <v>5</v>
      </c>
      <c r="B9" s="66" t="s">
        <v>6</v>
      </c>
      <c r="C9" s="66" t="s">
        <v>7</v>
      </c>
      <c r="D9" s="66" t="s">
        <v>8</v>
      </c>
      <c r="E9" s="66" t="s">
        <v>9</v>
      </c>
      <c r="F9" s="66" t="s">
        <v>10</v>
      </c>
      <c r="G9" s="66" t="s">
        <v>11</v>
      </c>
      <c r="H9" s="66" t="s">
        <v>12</v>
      </c>
      <c r="I9" s="66" t="s">
        <v>13</v>
      </c>
    </row>
    <row r="10" spans="1:12" ht="36" x14ac:dyDescent="0.2">
      <c r="A10" s="60">
        <v>1</v>
      </c>
      <c r="B10" s="61" t="s">
        <v>69</v>
      </c>
      <c r="C10" s="62" t="s">
        <v>62</v>
      </c>
      <c r="D10" s="63" t="str">
        <f t="shared" ref="D10:D18" si="0">LEFT(B10,5)</f>
        <v>4.3.5</v>
      </c>
      <c r="E10" s="62" t="s">
        <v>70</v>
      </c>
      <c r="F10" s="61" t="s">
        <v>14</v>
      </c>
      <c r="G10" s="61">
        <v>10</v>
      </c>
      <c r="H10" s="64">
        <v>39000</v>
      </c>
      <c r="I10" s="65">
        <f t="shared" ref="I10:I18" si="1">G10*H10</f>
        <v>390000</v>
      </c>
      <c r="J10" s="133">
        <v>435</v>
      </c>
      <c r="L10" s="67"/>
    </row>
    <row r="11" spans="1:12" ht="17.25" customHeight="1" x14ac:dyDescent="0.2">
      <c r="A11" s="60">
        <v>2</v>
      </c>
      <c r="B11" s="61" t="s">
        <v>71</v>
      </c>
      <c r="C11" s="62" t="s">
        <v>62</v>
      </c>
      <c r="D11" s="63" t="str">
        <f t="shared" si="0"/>
        <v>4.3.9</v>
      </c>
      <c r="E11" s="62" t="s">
        <v>72</v>
      </c>
      <c r="F11" s="61" t="s">
        <v>14</v>
      </c>
      <c r="G11" s="61">
        <v>10</v>
      </c>
      <c r="H11" s="64">
        <v>24000</v>
      </c>
      <c r="I11" s="65">
        <f t="shared" si="1"/>
        <v>240000</v>
      </c>
      <c r="J11" s="132">
        <v>433</v>
      </c>
      <c r="L11" s="67"/>
    </row>
    <row r="12" spans="1:12" ht="24" x14ac:dyDescent="0.2">
      <c r="A12" s="60">
        <v>3</v>
      </c>
      <c r="B12" s="61" t="s">
        <v>73</v>
      </c>
      <c r="C12" s="62" t="s">
        <v>62</v>
      </c>
      <c r="D12" s="63" t="str">
        <f t="shared" si="0"/>
        <v>4.3.9</v>
      </c>
      <c r="E12" s="62" t="s">
        <v>74</v>
      </c>
      <c r="F12" s="61" t="s">
        <v>14</v>
      </c>
      <c r="G12" s="61">
        <v>10</v>
      </c>
      <c r="H12" s="64">
        <v>24000</v>
      </c>
      <c r="I12" s="65">
        <f t="shared" si="1"/>
        <v>240000</v>
      </c>
      <c r="J12" s="133">
        <v>439</v>
      </c>
    </row>
    <row r="13" spans="1:12" ht="36" x14ac:dyDescent="0.2">
      <c r="A13" s="60">
        <v>4</v>
      </c>
      <c r="B13" s="61" t="s">
        <v>75</v>
      </c>
      <c r="C13" s="62" t="s">
        <v>62</v>
      </c>
      <c r="D13" s="63" t="str">
        <f t="shared" si="0"/>
        <v>4.3.3</v>
      </c>
      <c r="E13" s="62" t="s">
        <v>76</v>
      </c>
      <c r="F13" s="61" t="s">
        <v>14</v>
      </c>
      <c r="G13" s="61">
        <v>10</v>
      </c>
      <c r="H13" s="64">
        <v>23000</v>
      </c>
      <c r="I13" s="65">
        <f t="shared" si="1"/>
        <v>230000</v>
      </c>
      <c r="J13" s="133">
        <v>433</v>
      </c>
      <c r="L13" s="67"/>
    </row>
    <row r="14" spans="1:12" ht="36" x14ac:dyDescent="0.2">
      <c r="A14" s="60">
        <v>5</v>
      </c>
      <c r="B14" s="61" t="s">
        <v>77</v>
      </c>
      <c r="C14" s="62" t="s">
        <v>62</v>
      </c>
      <c r="D14" s="63" t="str">
        <f t="shared" si="0"/>
        <v>4.3.3</v>
      </c>
      <c r="E14" s="62" t="s">
        <v>78</v>
      </c>
      <c r="F14" s="61" t="s">
        <v>14</v>
      </c>
      <c r="G14" s="61">
        <v>10</v>
      </c>
      <c r="H14" s="64">
        <v>24000</v>
      </c>
      <c r="I14" s="65">
        <f t="shared" si="1"/>
        <v>240000</v>
      </c>
      <c r="J14" s="133">
        <v>433</v>
      </c>
    </row>
    <row r="15" spans="1:12" ht="24" x14ac:dyDescent="0.2">
      <c r="A15" s="60">
        <v>6</v>
      </c>
      <c r="B15" s="61" t="s">
        <v>79</v>
      </c>
      <c r="C15" s="62" t="s">
        <v>62</v>
      </c>
      <c r="D15" s="63" t="str">
        <f t="shared" si="0"/>
        <v>4.3.3</v>
      </c>
      <c r="E15" s="62" t="s">
        <v>80</v>
      </c>
      <c r="F15" s="61" t="s">
        <v>14</v>
      </c>
      <c r="G15" s="61">
        <v>10</v>
      </c>
      <c r="H15" s="64">
        <v>24000</v>
      </c>
      <c r="I15" s="65">
        <f t="shared" si="1"/>
        <v>240000</v>
      </c>
      <c r="J15" s="132">
        <v>439</v>
      </c>
    </row>
    <row r="16" spans="1:12" ht="36" x14ac:dyDescent="0.2">
      <c r="A16" s="60">
        <v>7</v>
      </c>
      <c r="B16" s="61" t="s">
        <v>81</v>
      </c>
      <c r="C16" s="62" t="s">
        <v>62</v>
      </c>
      <c r="D16" s="63" t="str">
        <f t="shared" si="0"/>
        <v>4.3.3</v>
      </c>
      <c r="E16" s="62" t="s">
        <v>82</v>
      </c>
      <c r="F16" s="61" t="s">
        <v>14</v>
      </c>
      <c r="G16" s="61">
        <v>10</v>
      </c>
      <c r="H16" s="64">
        <v>23000</v>
      </c>
      <c r="I16" s="65">
        <f t="shared" si="1"/>
        <v>230000</v>
      </c>
      <c r="J16" s="133">
        <v>433</v>
      </c>
    </row>
    <row r="17" spans="1:12" ht="24" x14ac:dyDescent="0.2">
      <c r="A17" s="60">
        <v>8</v>
      </c>
      <c r="B17" s="61" t="s">
        <v>83</v>
      </c>
      <c r="C17" s="62" t="s">
        <v>62</v>
      </c>
      <c r="D17" s="63" t="str">
        <f t="shared" si="0"/>
        <v>4.3.9</v>
      </c>
      <c r="E17" s="62" t="s">
        <v>84</v>
      </c>
      <c r="F17" s="61" t="s">
        <v>14</v>
      </c>
      <c r="G17" s="61">
        <v>10</v>
      </c>
      <c r="H17" s="64">
        <v>21000</v>
      </c>
      <c r="I17" s="65">
        <f t="shared" si="1"/>
        <v>210000</v>
      </c>
      <c r="J17" s="133">
        <v>439</v>
      </c>
    </row>
    <row r="18" spans="1:12" ht="24" x14ac:dyDescent="0.2">
      <c r="A18" s="60">
        <v>9</v>
      </c>
      <c r="B18" s="61" t="s">
        <v>85</v>
      </c>
      <c r="C18" s="62" t="s">
        <v>86</v>
      </c>
      <c r="D18" s="63" t="str">
        <f t="shared" si="0"/>
        <v>3.4.9</v>
      </c>
      <c r="E18" s="62" t="s">
        <v>87</v>
      </c>
      <c r="F18" s="61" t="s">
        <v>88</v>
      </c>
      <c r="G18" s="61">
        <v>1</v>
      </c>
      <c r="H18" s="64">
        <v>1080000</v>
      </c>
      <c r="I18" s="65">
        <f t="shared" si="1"/>
        <v>1080000</v>
      </c>
      <c r="J18" s="133">
        <v>349</v>
      </c>
      <c r="L18" s="67"/>
    </row>
    <row r="19" spans="1:12" ht="13.5" thickBot="1" x14ac:dyDescent="0.25">
      <c r="I19" s="67"/>
      <c r="L19" s="67"/>
    </row>
    <row r="20" spans="1:12" x14ac:dyDescent="0.2">
      <c r="B20" s="38" t="s">
        <v>15</v>
      </c>
      <c r="C20" s="39"/>
      <c r="D20" s="39"/>
      <c r="E20" s="40"/>
    </row>
    <row r="21" spans="1:12" ht="7.5" customHeight="1" x14ac:dyDescent="0.2">
      <c r="B21" s="41"/>
      <c r="C21" s="42"/>
      <c r="D21" s="42"/>
      <c r="E21" s="43"/>
    </row>
    <row r="22" spans="1:12" x14ac:dyDescent="0.2">
      <c r="B22" s="44" t="s">
        <v>16</v>
      </c>
      <c r="C22" s="42"/>
      <c r="D22" s="42"/>
      <c r="E22" s="43"/>
    </row>
    <row r="23" spans="1:12" ht="47.25" customHeight="1" x14ac:dyDescent="0.2">
      <c r="B23" s="44"/>
      <c r="C23" s="78" t="s">
        <v>101</v>
      </c>
      <c r="D23" s="78"/>
      <c r="E23" s="79"/>
    </row>
    <row r="24" spans="1:12" ht="20.25" customHeight="1" x14ac:dyDescent="0.2">
      <c r="B24" s="75" t="s">
        <v>17</v>
      </c>
      <c r="C24" s="42"/>
      <c r="D24" s="42"/>
      <c r="E24" s="43"/>
    </row>
    <row r="25" spans="1:12" ht="12.75" customHeight="1" x14ac:dyDescent="0.2">
      <c r="B25" s="45"/>
      <c r="C25" s="80" t="s">
        <v>117</v>
      </c>
      <c r="D25" s="80"/>
      <c r="E25" s="81"/>
    </row>
    <row r="26" spans="1:12" ht="223.5" customHeight="1" x14ac:dyDescent="0.2">
      <c r="B26" s="45"/>
      <c r="C26" s="80"/>
      <c r="D26" s="80"/>
      <c r="E26" s="81"/>
    </row>
    <row r="27" spans="1:12" x14ac:dyDescent="0.2">
      <c r="B27" s="44" t="s">
        <v>18</v>
      </c>
      <c r="C27" s="42"/>
      <c r="D27" s="42"/>
      <c r="E27" s="43"/>
    </row>
    <row r="28" spans="1:12" ht="6" customHeight="1" x14ac:dyDescent="0.2">
      <c r="B28" s="45"/>
      <c r="C28" s="76"/>
      <c r="D28" s="76"/>
      <c r="E28" s="77"/>
    </row>
    <row r="29" spans="1:12" x14ac:dyDescent="0.2">
      <c r="B29" s="44" t="s">
        <v>102</v>
      </c>
      <c r="C29" s="46"/>
      <c r="D29" s="46"/>
      <c r="E29" s="47"/>
    </row>
    <row r="30" spans="1:12" ht="7.5" customHeight="1" x14ac:dyDescent="0.2">
      <c r="B30" s="45"/>
      <c r="C30" s="76"/>
      <c r="D30" s="76"/>
      <c r="E30" s="77"/>
    </row>
    <row r="31" spans="1:12" x14ac:dyDescent="0.2">
      <c r="B31" s="44" t="s">
        <v>19</v>
      </c>
      <c r="C31" s="42"/>
      <c r="D31" s="42"/>
      <c r="E31" s="43"/>
    </row>
    <row r="32" spans="1:12" ht="15" customHeight="1" thickBot="1" x14ac:dyDescent="0.25">
      <c r="B32" s="48"/>
      <c r="C32" s="49" t="s">
        <v>68</v>
      </c>
      <c r="D32" s="49"/>
      <c r="E32" s="50"/>
    </row>
    <row r="33" spans="2:5" ht="13.5" thickBot="1" x14ac:dyDescent="0.25"/>
    <row r="34" spans="2:5" x14ac:dyDescent="0.2">
      <c r="B34" s="38" t="s">
        <v>89</v>
      </c>
      <c r="C34" s="39"/>
      <c r="D34" s="39"/>
      <c r="E34" s="40"/>
    </row>
    <row r="35" spans="2:5" ht="8.25" customHeight="1" x14ac:dyDescent="0.2">
      <c r="B35" s="41"/>
      <c r="C35" s="42"/>
      <c r="D35" s="42"/>
      <c r="E35" s="43"/>
    </row>
    <row r="36" spans="2:5" ht="14.25" customHeight="1" x14ac:dyDescent="0.2">
      <c r="B36" s="44" t="s">
        <v>16</v>
      </c>
      <c r="C36" s="42"/>
      <c r="D36" s="42"/>
      <c r="E36" s="43"/>
    </row>
    <row r="37" spans="2:5" x14ac:dyDescent="0.2">
      <c r="B37" s="44"/>
      <c r="C37" s="78" t="s">
        <v>110</v>
      </c>
      <c r="D37" s="78"/>
      <c r="E37" s="79"/>
    </row>
    <row r="38" spans="2:5" ht="15.75" customHeight="1" x14ac:dyDescent="0.2">
      <c r="B38" s="44" t="s">
        <v>17</v>
      </c>
      <c r="C38" s="42"/>
      <c r="D38" s="42"/>
      <c r="E38" s="43"/>
    </row>
    <row r="39" spans="2:5" x14ac:dyDescent="0.2">
      <c r="B39" s="45"/>
      <c r="C39" s="80" t="s">
        <v>117</v>
      </c>
      <c r="D39" s="80"/>
      <c r="E39" s="81"/>
    </row>
    <row r="40" spans="2:5" ht="226.5" customHeight="1" x14ac:dyDescent="0.2">
      <c r="B40" s="45"/>
      <c r="C40" s="80"/>
      <c r="D40" s="80"/>
      <c r="E40" s="81"/>
    </row>
    <row r="41" spans="2:5" ht="15.75" customHeight="1" x14ac:dyDescent="0.2">
      <c r="B41" s="44" t="s">
        <v>18</v>
      </c>
      <c r="C41" s="42"/>
      <c r="D41" s="42"/>
      <c r="E41" s="43"/>
    </row>
    <row r="42" spans="2:5" x14ac:dyDescent="0.2">
      <c r="B42" s="45"/>
      <c r="C42" s="76"/>
      <c r="D42" s="76"/>
      <c r="E42" s="77"/>
    </row>
    <row r="43" spans="2:5" ht="13.5" customHeight="1" x14ac:dyDescent="0.2">
      <c r="B43" s="44" t="s">
        <v>103</v>
      </c>
      <c r="C43" s="46"/>
      <c r="D43" s="46"/>
      <c r="E43" s="47"/>
    </row>
    <row r="44" spans="2:5" ht="2.25" customHeight="1" x14ac:dyDescent="0.2">
      <c r="B44" s="45"/>
      <c r="C44" s="76"/>
      <c r="D44" s="76"/>
      <c r="E44" s="77"/>
    </row>
    <row r="45" spans="2:5" ht="15" customHeight="1" x14ac:dyDescent="0.2">
      <c r="B45" s="44" t="s">
        <v>19</v>
      </c>
      <c r="C45" s="42"/>
      <c r="D45" s="42"/>
      <c r="E45" s="43"/>
    </row>
    <row r="46" spans="2:5" ht="13.5" thickBot="1" x14ac:dyDescent="0.25">
      <c r="B46" s="48"/>
      <c r="C46" s="49" t="s">
        <v>68</v>
      </c>
      <c r="D46" s="49"/>
      <c r="E46" s="50"/>
    </row>
    <row r="47" spans="2:5" ht="12.75" customHeight="1" thickBot="1" x14ac:dyDescent="0.25"/>
    <row r="48" spans="2:5" ht="16.5" customHeight="1" x14ac:dyDescent="0.2">
      <c r="B48" s="38" t="s">
        <v>90</v>
      </c>
      <c r="C48" s="39"/>
      <c r="D48" s="39"/>
      <c r="E48" s="40"/>
    </row>
    <row r="49" spans="2:5" ht="9" customHeight="1" x14ac:dyDescent="0.2">
      <c r="B49" s="41"/>
      <c r="C49" s="42"/>
      <c r="D49" s="42"/>
      <c r="E49" s="43"/>
    </row>
    <row r="50" spans="2:5" x14ac:dyDescent="0.2">
      <c r="B50" s="44" t="s">
        <v>16</v>
      </c>
      <c r="C50" s="42"/>
      <c r="D50" s="42"/>
      <c r="E50" s="43"/>
    </row>
    <row r="51" spans="2:5" ht="13.5" customHeight="1" x14ac:dyDescent="0.2">
      <c r="B51" s="44"/>
      <c r="C51" s="78" t="s">
        <v>111</v>
      </c>
      <c r="D51" s="78"/>
      <c r="E51" s="79"/>
    </row>
    <row r="52" spans="2:5" ht="17.25" customHeight="1" x14ac:dyDescent="0.2">
      <c r="B52" s="44" t="s">
        <v>17</v>
      </c>
      <c r="C52" s="42"/>
      <c r="D52" s="42"/>
      <c r="E52" s="43"/>
    </row>
    <row r="53" spans="2:5" ht="31.5" customHeight="1" x14ac:dyDescent="0.2">
      <c r="B53" s="45"/>
      <c r="C53" s="80" t="s">
        <v>117</v>
      </c>
      <c r="D53" s="80"/>
      <c r="E53" s="81"/>
    </row>
    <row r="54" spans="2:5" ht="209.25" customHeight="1" x14ac:dyDescent="0.2">
      <c r="B54" s="45"/>
      <c r="C54" s="80"/>
      <c r="D54" s="80"/>
      <c r="E54" s="81"/>
    </row>
    <row r="55" spans="2:5" x14ac:dyDescent="0.2">
      <c r="B55" s="44" t="s">
        <v>18</v>
      </c>
      <c r="C55" s="42"/>
      <c r="D55" s="42"/>
      <c r="E55" s="43"/>
    </row>
    <row r="56" spans="2:5" ht="5.25" customHeight="1" x14ac:dyDescent="0.2">
      <c r="B56" s="45"/>
      <c r="C56" s="76"/>
      <c r="D56" s="76"/>
      <c r="E56" s="77"/>
    </row>
    <row r="57" spans="2:5" x14ac:dyDescent="0.2">
      <c r="B57" s="44" t="s">
        <v>104</v>
      </c>
      <c r="C57" s="46"/>
      <c r="D57" s="46"/>
      <c r="E57" s="47"/>
    </row>
    <row r="58" spans="2:5" ht="3" customHeight="1" x14ac:dyDescent="0.2">
      <c r="B58" s="45"/>
      <c r="C58" s="76"/>
      <c r="D58" s="76"/>
      <c r="E58" s="77"/>
    </row>
    <row r="59" spans="2:5" ht="20.25" customHeight="1" x14ac:dyDescent="0.2">
      <c r="B59" s="44" t="s">
        <v>19</v>
      </c>
      <c r="C59" s="42"/>
      <c r="D59" s="42"/>
      <c r="E59" s="43"/>
    </row>
    <row r="60" spans="2:5" ht="12.75" customHeight="1" thickBot="1" x14ac:dyDescent="0.25">
      <c r="B60" s="48"/>
      <c r="C60" s="49" t="s">
        <v>68</v>
      </c>
      <c r="D60" s="49"/>
      <c r="E60" s="50"/>
    </row>
    <row r="61" spans="2:5" ht="13.5" thickBot="1" x14ac:dyDescent="0.25"/>
    <row r="62" spans="2:5" x14ac:dyDescent="0.2">
      <c r="B62" s="38" t="s">
        <v>91</v>
      </c>
      <c r="C62" s="39"/>
      <c r="D62" s="39"/>
      <c r="E62" s="40"/>
    </row>
    <row r="63" spans="2:5" x14ac:dyDescent="0.2">
      <c r="B63" s="41"/>
      <c r="C63" s="42"/>
      <c r="D63" s="42"/>
      <c r="E63" s="43"/>
    </row>
    <row r="64" spans="2:5" x14ac:dyDescent="0.2">
      <c r="B64" s="44" t="s">
        <v>16</v>
      </c>
      <c r="C64" s="42"/>
      <c r="D64" s="42"/>
      <c r="E64" s="43"/>
    </row>
    <row r="65" spans="2:5" ht="21.75" customHeight="1" x14ac:dyDescent="0.2">
      <c r="B65" s="44"/>
      <c r="C65" s="78" t="s">
        <v>112</v>
      </c>
      <c r="D65" s="78"/>
      <c r="E65" s="79"/>
    </row>
    <row r="66" spans="2:5" x14ac:dyDescent="0.2">
      <c r="B66" s="44" t="s">
        <v>17</v>
      </c>
      <c r="C66" s="42"/>
      <c r="D66" s="42"/>
      <c r="E66" s="43"/>
    </row>
    <row r="67" spans="2:5" ht="234" customHeight="1" x14ac:dyDescent="0.2">
      <c r="B67" s="45"/>
      <c r="C67" s="80" t="s">
        <v>117</v>
      </c>
      <c r="D67" s="80"/>
      <c r="E67" s="81"/>
    </row>
    <row r="68" spans="2:5" ht="7.5" customHeight="1" x14ac:dyDescent="0.2">
      <c r="B68" s="45"/>
      <c r="C68" s="80"/>
      <c r="D68" s="80"/>
      <c r="E68" s="81"/>
    </row>
    <row r="69" spans="2:5" ht="12.75" customHeight="1" x14ac:dyDescent="0.2">
      <c r="B69" s="44" t="s">
        <v>18</v>
      </c>
      <c r="C69" s="42"/>
      <c r="D69" s="42"/>
      <c r="E69" s="43"/>
    </row>
    <row r="70" spans="2:5" x14ac:dyDescent="0.2">
      <c r="B70" s="45"/>
      <c r="C70" s="76"/>
      <c r="D70" s="76"/>
      <c r="E70" s="77"/>
    </row>
    <row r="71" spans="2:5" ht="10.5" customHeight="1" x14ac:dyDescent="0.2">
      <c r="B71" s="44" t="s">
        <v>105</v>
      </c>
      <c r="C71" s="46"/>
      <c r="D71" s="46"/>
      <c r="E71" s="47"/>
    </row>
    <row r="72" spans="2:5" ht="8.25" customHeight="1" x14ac:dyDescent="0.2">
      <c r="B72" s="45"/>
      <c r="C72" s="76"/>
      <c r="D72" s="76"/>
      <c r="E72" s="77"/>
    </row>
    <row r="73" spans="2:5" ht="12" customHeight="1" x14ac:dyDescent="0.2">
      <c r="B73" s="44" t="s">
        <v>19</v>
      </c>
      <c r="C73" s="42"/>
      <c r="D73" s="42"/>
      <c r="E73" s="43"/>
    </row>
    <row r="74" spans="2:5" ht="13.5" thickBot="1" x14ac:dyDescent="0.25">
      <c r="B74" s="48"/>
      <c r="C74" s="49" t="s">
        <v>68</v>
      </c>
      <c r="D74" s="49"/>
      <c r="E74" s="50"/>
    </row>
    <row r="75" spans="2:5" ht="13.5" thickBot="1" x14ac:dyDescent="0.25"/>
    <row r="76" spans="2:5" ht="16.5" customHeight="1" x14ac:dyDescent="0.2">
      <c r="B76" s="38" t="s">
        <v>92</v>
      </c>
      <c r="C76" s="39"/>
      <c r="D76" s="39"/>
      <c r="E76" s="40"/>
    </row>
    <row r="77" spans="2:5" x14ac:dyDescent="0.2">
      <c r="B77" s="41"/>
      <c r="C77" s="42"/>
      <c r="D77" s="42"/>
      <c r="E77" s="43"/>
    </row>
    <row r="78" spans="2:5" x14ac:dyDescent="0.2">
      <c r="B78" s="44" t="s">
        <v>16</v>
      </c>
      <c r="C78" s="42"/>
      <c r="D78" s="42"/>
      <c r="E78" s="43"/>
    </row>
    <row r="79" spans="2:5" ht="20.25" customHeight="1" x14ac:dyDescent="0.2">
      <c r="B79" s="44"/>
      <c r="C79" s="78" t="s">
        <v>113</v>
      </c>
      <c r="D79" s="78"/>
      <c r="E79" s="79"/>
    </row>
    <row r="80" spans="2:5" x14ac:dyDescent="0.2">
      <c r="B80" s="44" t="s">
        <v>17</v>
      </c>
      <c r="C80" s="42"/>
      <c r="D80" s="42"/>
      <c r="E80" s="43"/>
    </row>
    <row r="81" spans="2:5" ht="41.25" customHeight="1" x14ac:dyDescent="0.2">
      <c r="B81" s="45"/>
      <c r="C81" s="80" t="s">
        <v>118</v>
      </c>
      <c r="D81" s="80"/>
      <c r="E81" s="81"/>
    </row>
    <row r="82" spans="2:5" ht="188.25" customHeight="1" x14ac:dyDescent="0.2">
      <c r="B82" s="45"/>
      <c r="C82" s="80"/>
      <c r="D82" s="80"/>
      <c r="E82" s="81"/>
    </row>
    <row r="83" spans="2:5" x14ac:dyDescent="0.2">
      <c r="B83" s="44" t="s">
        <v>18</v>
      </c>
      <c r="C83" s="42"/>
      <c r="D83" s="42"/>
      <c r="E83" s="43"/>
    </row>
    <row r="84" spans="2:5" ht="4.5" customHeight="1" x14ac:dyDescent="0.2">
      <c r="B84" s="45"/>
      <c r="C84" s="76"/>
      <c r="D84" s="76"/>
      <c r="E84" s="77"/>
    </row>
    <row r="85" spans="2:5" x14ac:dyDescent="0.2">
      <c r="B85" s="44" t="s">
        <v>106</v>
      </c>
      <c r="C85" s="46"/>
      <c r="D85" s="46"/>
      <c r="E85" s="47"/>
    </row>
    <row r="86" spans="2:5" ht="4.5" customHeight="1" x14ac:dyDescent="0.2">
      <c r="B86" s="45"/>
      <c r="C86" s="76"/>
      <c r="D86" s="76"/>
      <c r="E86" s="77"/>
    </row>
    <row r="87" spans="2:5" ht="7.5" customHeight="1" x14ac:dyDescent="0.2">
      <c r="B87" s="44" t="s">
        <v>19</v>
      </c>
      <c r="C87" s="42"/>
      <c r="D87" s="42"/>
      <c r="E87" s="43"/>
    </row>
    <row r="88" spans="2:5" ht="18" customHeight="1" thickBot="1" x14ac:dyDescent="0.25">
      <c r="B88" s="48"/>
      <c r="C88" s="49" t="s">
        <v>68</v>
      </c>
      <c r="D88" s="49"/>
      <c r="E88" s="50"/>
    </row>
    <row r="89" spans="2:5" ht="13.5" thickBot="1" x14ac:dyDescent="0.25"/>
    <row r="90" spans="2:5" ht="14.25" customHeight="1" x14ac:dyDescent="0.2">
      <c r="B90" s="38" t="s">
        <v>93</v>
      </c>
      <c r="C90" s="39"/>
      <c r="D90" s="39"/>
      <c r="E90" s="40"/>
    </row>
    <row r="91" spans="2:5" ht="4.5" customHeight="1" x14ac:dyDescent="0.2">
      <c r="B91" s="41"/>
      <c r="C91" s="42"/>
      <c r="D91" s="42"/>
      <c r="E91" s="43"/>
    </row>
    <row r="92" spans="2:5" x14ac:dyDescent="0.2">
      <c r="B92" s="44" t="s">
        <v>16</v>
      </c>
      <c r="C92" s="42"/>
      <c r="D92" s="42"/>
      <c r="E92" s="43"/>
    </row>
    <row r="93" spans="2:5" ht="34.5" customHeight="1" x14ac:dyDescent="0.2">
      <c r="B93" s="44"/>
      <c r="C93" s="78" t="s">
        <v>114</v>
      </c>
      <c r="D93" s="78"/>
      <c r="E93" s="79"/>
    </row>
    <row r="94" spans="2:5" x14ac:dyDescent="0.2">
      <c r="B94" s="44" t="s">
        <v>17</v>
      </c>
      <c r="C94" s="42"/>
      <c r="D94" s="42"/>
      <c r="E94" s="43"/>
    </row>
    <row r="95" spans="2:5" x14ac:dyDescent="0.2">
      <c r="B95" s="45"/>
      <c r="C95" s="80" t="s">
        <v>118</v>
      </c>
      <c r="D95" s="80"/>
      <c r="E95" s="81"/>
    </row>
    <row r="96" spans="2:5" ht="242.25" customHeight="1" x14ac:dyDescent="0.2">
      <c r="B96" s="45"/>
      <c r="C96" s="80"/>
      <c r="D96" s="80"/>
      <c r="E96" s="81"/>
    </row>
    <row r="97" spans="2:5" x14ac:dyDescent="0.2">
      <c r="B97" s="44" t="s">
        <v>18</v>
      </c>
      <c r="C97" s="42"/>
      <c r="D97" s="42"/>
      <c r="E97" s="43"/>
    </row>
    <row r="98" spans="2:5" x14ac:dyDescent="0.2">
      <c r="B98" s="45"/>
      <c r="C98" s="76"/>
      <c r="D98" s="76"/>
      <c r="E98" s="77"/>
    </row>
    <row r="99" spans="2:5" x14ac:dyDescent="0.2">
      <c r="B99" s="44" t="s">
        <v>103</v>
      </c>
      <c r="C99" s="46"/>
      <c r="D99" s="46"/>
      <c r="E99" s="47"/>
    </row>
    <row r="100" spans="2:5" x14ac:dyDescent="0.2">
      <c r="B100" s="45"/>
      <c r="C100" s="76"/>
      <c r="D100" s="76"/>
      <c r="E100" s="77"/>
    </row>
    <row r="101" spans="2:5" x14ac:dyDescent="0.2">
      <c r="B101" s="44" t="s">
        <v>19</v>
      </c>
      <c r="C101" s="42"/>
      <c r="D101" s="42"/>
      <c r="E101" s="43"/>
    </row>
    <row r="102" spans="2:5" ht="13.5" thickBot="1" x14ac:dyDescent="0.25">
      <c r="B102" s="48"/>
      <c r="C102" s="49" t="s">
        <v>68</v>
      </c>
      <c r="D102" s="49"/>
      <c r="E102" s="50"/>
    </row>
    <row r="103" spans="2:5" ht="13.5" thickBot="1" x14ac:dyDescent="0.25"/>
    <row r="104" spans="2:5" x14ac:dyDescent="0.2">
      <c r="B104" s="38" t="s">
        <v>94</v>
      </c>
      <c r="C104" s="39"/>
      <c r="D104" s="39"/>
      <c r="E104" s="40"/>
    </row>
    <row r="105" spans="2:5" x14ac:dyDescent="0.2">
      <c r="B105" s="41"/>
      <c r="C105" s="42"/>
      <c r="D105" s="42"/>
      <c r="E105" s="43"/>
    </row>
    <row r="106" spans="2:5" x14ac:dyDescent="0.2">
      <c r="B106" s="44" t="s">
        <v>16</v>
      </c>
      <c r="C106" s="42"/>
      <c r="D106" s="42"/>
      <c r="E106" s="43"/>
    </row>
    <row r="107" spans="2:5" ht="20.25" customHeight="1" x14ac:dyDescent="0.2">
      <c r="B107" s="44"/>
      <c r="C107" s="85" t="s">
        <v>115</v>
      </c>
      <c r="D107" s="85"/>
      <c r="E107" s="86"/>
    </row>
    <row r="108" spans="2:5" x14ac:dyDescent="0.2">
      <c r="B108" s="44" t="s">
        <v>17</v>
      </c>
      <c r="C108" s="42"/>
      <c r="D108" s="42"/>
      <c r="E108" s="43"/>
    </row>
    <row r="109" spans="2:5" ht="250.5" customHeight="1" x14ac:dyDescent="0.2">
      <c r="B109" s="45"/>
      <c r="C109" s="80" t="s">
        <v>117</v>
      </c>
      <c r="D109" s="80"/>
      <c r="E109" s="81"/>
    </row>
    <row r="110" spans="2:5" x14ac:dyDescent="0.2">
      <c r="B110" s="45"/>
      <c r="C110" s="80"/>
      <c r="D110" s="80"/>
      <c r="E110" s="81"/>
    </row>
    <row r="111" spans="2:5" x14ac:dyDescent="0.2">
      <c r="B111" s="44" t="s">
        <v>18</v>
      </c>
      <c r="C111" s="42"/>
      <c r="D111" s="42"/>
      <c r="E111" s="43"/>
    </row>
    <row r="112" spans="2:5" x14ac:dyDescent="0.2">
      <c r="B112" s="45"/>
      <c r="C112" s="76"/>
      <c r="D112" s="76"/>
      <c r="E112" s="77"/>
    </row>
    <row r="113" spans="2:5" x14ac:dyDescent="0.2">
      <c r="B113" s="44" t="s">
        <v>103</v>
      </c>
      <c r="C113" s="46"/>
      <c r="D113" s="46"/>
      <c r="E113" s="47"/>
    </row>
    <row r="114" spans="2:5" x14ac:dyDescent="0.2">
      <c r="B114" s="45"/>
      <c r="C114" s="76"/>
      <c r="D114" s="76"/>
      <c r="E114" s="77"/>
    </row>
    <row r="115" spans="2:5" x14ac:dyDescent="0.2">
      <c r="B115" s="44" t="s">
        <v>19</v>
      </c>
      <c r="C115" s="42"/>
      <c r="D115" s="42"/>
      <c r="E115" s="43"/>
    </row>
    <row r="116" spans="2:5" ht="13.5" thickBot="1" x14ac:dyDescent="0.25">
      <c r="B116" s="48"/>
      <c r="C116" s="49" t="s">
        <v>68</v>
      </c>
      <c r="D116" s="49"/>
      <c r="E116" s="50"/>
    </row>
    <row r="117" spans="2:5" ht="13.5" thickBot="1" x14ac:dyDescent="0.25"/>
    <row r="118" spans="2:5" x14ac:dyDescent="0.2">
      <c r="B118" s="38" t="s">
        <v>95</v>
      </c>
      <c r="C118" s="39"/>
      <c r="D118" s="39"/>
      <c r="E118" s="40"/>
    </row>
    <row r="119" spans="2:5" x14ac:dyDescent="0.2">
      <c r="B119" s="41"/>
      <c r="C119" s="42"/>
      <c r="D119" s="42"/>
      <c r="E119" s="43"/>
    </row>
    <row r="120" spans="2:5" x14ac:dyDescent="0.2">
      <c r="B120" s="44" t="s">
        <v>16</v>
      </c>
      <c r="C120" s="42"/>
      <c r="D120" s="42"/>
      <c r="E120" s="43"/>
    </row>
    <row r="121" spans="2:5" ht="16.5" customHeight="1" x14ac:dyDescent="0.2">
      <c r="B121" s="44"/>
      <c r="C121" s="85" t="s">
        <v>116</v>
      </c>
      <c r="D121" s="85"/>
      <c r="E121" s="86"/>
    </row>
    <row r="122" spans="2:5" x14ac:dyDescent="0.2">
      <c r="B122" s="44" t="s">
        <v>17</v>
      </c>
      <c r="C122" s="42"/>
      <c r="D122" s="42"/>
      <c r="E122" s="43"/>
    </row>
    <row r="123" spans="2:5" x14ac:dyDescent="0.2">
      <c r="B123" s="45"/>
      <c r="C123" s="80" t="s">
        <v>118</v>
      </c>
      <c r="D123" s="80"/>
      <c r="E123" s="81"/>
    </row>
    <row r="124" spans="2:5" ht="242.25" customHeight="1" x14ac:dyDescent="0.2">
      <c r="B124" s="45"/>
      <c r="C124" s="80"/>
      <c r="D124" s="80"/>
      <c r="E124" s="81"/>
    </row>
    <row r="125" spans="2:5" x14ac:dyDescent="0.2">
      <c r="B125" s="44" t="s">
        <v>18</v>
      </c>
      <c r="C125" s="42"/>
      <c r="D125" s="42"/>
      <c r="E125" s="43"/>
    </row>
    <row r="126" spans="2:5" x14ac:dyDescent="0.2">
      <c r="B126" s="45"/>
      <c r="C126" s="76"/>
      <c r="D126" s="76"/>
      <c r="E126" s="77"/>
    </row>
    <row r="127" spans="2:5" x14ac:dyDescent="0.2">
      <c r="B127" s="44" t="s">
        <v>103</v>
      </c>
      <c r="C127" s="46"/>
      <c r="D127" s="46"/>
      <c r="E127" s="47"/>
    </row>
    <row r="128" spans="2:5" x14ac:dyDescent="0.2">
      <c r="B128" s="45"/>
      <c r="C128" s="76"/>
      <c r="D128" s="76"/>
      <c r="E128" s="77"/>
    </row>
    <row r="129" spans="2:5" x14ac:dyDescent="0.2">
      <c r="B129" s="44" t="s">
        <v>19</v>
      </c>
      <c r="C129" s="42"/>
      <c r="D129" s="42"/>
      <c r="E129" s="43"/>
    </row>
    <row r="130" spans="2:5" ht="13.5" thickBot="1" x14ac:dyDescent="0.25">
      <c r="B130" s="48"/>
      <c r="C130" s="49" t="s">
        <v>68</v>
      </c>
      <c r="D130" s="49"/>
      <c r="E130" s="50"/>
    </row>
    <row r="131" spans="2:5" ht="13.5" thickBot="1" x14ac:dyDescent="0.25"/>
    <row r="132" spans="2:5" x14ac:dyDescent="0.2">
      <c r="B132" s="38" t="s">
        <v>96</v>
      </c>
      <c r="C132" s="39"/>
      <c r="D132" s="39"/>
      <c r="E132" s="40"/>
    </row>
    <row r="133" spans="2:5" x14ac:dyDescent="0.2">
      <c r="B133" s="41"/>
      <c r="C133" s="42"/>
      <c r="D133" s="42"/>
      <c r="E133" s="43"/>
    </row>
    <row r="134" spans="2:5" x14ac:dyDescent="0.2">
      <c r="B134" s="44" t="s">
        <v>16</v>
      </c>
      <c r="C134" s="42"/>
      <c r="D134" s="42"/>
      <c r="E134" s="43"/>
    </row>
    <row r="135" spans="2:5" ht="45.75" customHeight="1" x14ac:dyDescent="0.2">
      <c r="B135" s="44"/>
      <c r="C135" s="78" t="s">
        <v>109</v>
      </c>
      <c r="D135" s="78"/>
      <c r="E135" s="79"/>
    </row>
    <row r="136" spans="2:5" x14ac:dyDescent="0.2">
      <c r="B136" s="44" t="s">
        <v>17</v>
      </c>
      <c r="C136" s="42"/>
      <c r="D136" s="42"/>
      <c r="E136" s="43"/>
    </row>
    <row r="137" spans="2:5" x14ac:dyDescent="0.2">
      <c r="B137" s="45"/>
      <c r="C137" s="80" t="s">
        <v>118</v>
      </c>
      <c r="D137" s="80"/>
      <c r="E137" s="81"/>
    </row>
    <row r="138" spans="2:5" ht="226.5" customHeight="1" x14ac:dyDescent="0.2">
      <c r="B138" s="45"/>
      <c r="C138" s="80"/>
      <c r="D138" s="80"/>
      <c r="E138" s="81"/>
    </row>
    <row r="139" spans="2:5" x14ac:dyDescent="0.2">
      <c r="B139" s="44" t="s">
        <v>18</v>
      </c>
      <c r="C139" s="42"/>
      <c r="D139" s="42"/>
      <c r="E139" s="43"/>
    </row>
    <row r="140" spans="2:5" x14ac:dyDescent="0.2">
      <c r="B140" s="45"/>
      <c r="C140" s="76"/>
      <c r="D140" s="76"/>
      <c r="E140" s="77"/>
    </row>
    <row r="141" spans="2:5" x14ac:dyDescent="0.2">
      <c r="B141" s="44" t="s">
        <v>103</v>
      </c>
      <c r="C141" s="46"/>
      <c r="D141" s="46"/>
      <c r="E141" s="47"/>
    </row>
    <row r="142" spans="2:5" x14ac:dyDescent="0.2">
      <c r="B142" s="45"/>
      <c r="C142" s="76"/>
      <c r="D142" s="76"/>
      <c r="E142" s="77"/>
    </row>
    <row r="143" spans="2:5" x14ac:dyDescent="0.2">
      <c r="B143" s="44" t="s">
        <v>19</v>
      </c>
      <c r="C143" s="42"/>
      <c r="D143" s="42"/>
      <c r="E143" s="43"/>
    </row>
    <row r="144" spans="2:5" ht="13.5" thickBot="1" x14ac:dyDescent="0.25">
      <c r="B144" s="48"/>
      <c r="C144" s="49"/>
      <c r="D144" s="49"/>
      <c r="E144" s="50"/>
    </row>
    <row r="147" ht="6.75" customHeight="1" x14ac:dyDescent="0.2"/>
    <row r="149" ht="31.5" customHeight="1" x14ac:dyDescent="0.2"/>
    <row r="151" ht="12.75" customHeight="1" x14ac:dyDescent="0.2"/>
    <row r="163" ht="12.75" customHeight="1" x14ac:dyDescent="0.2"/>
    <row r="165" ht="12.75" customHeight="1" x14ac:dyDescent="0.2"/>
    <row r="166" ht="70.5" customHeight="1" x14ac:dyDescent="0.2"/>
  </sheetData>
  <autoFilter ref="A9:L18" xr:uid="{00000000-0001-0000-0000-000000000000}"/>
  <mergeCells count="43">
    <mergeCell ref="C140:E140"/>
    <mergeCell ref="C142:E142"/>
    <mergeCell ref="C123:E124"/>
    <mergeCell ref="C126:E126"/>
    <mergeCell ref="C128:E128"/>
    <mergeCell ref="C135:E135"/>
    <mergeCell ref="C137:E138"/>
    <mergeCell ref="C107:E107"/>
    <mergeCell ref="C109:E110"/>
    <mergeCell ref="C112:E112"/>
    <mergeCell ref="C114:E114"/>
    <mergeCell ref="C121:E121"/>
    <mergeCell ref="C86:E86"/>
    <mergeCell ref="C93:E93"/>
    <mergeCell ref="C95:E96"/>
    <mergeCell ref="C98:E98"/>
    <mergeCell ref="C100:E100"/>
    <mergeCell ref="C70:E70"/>
    <mergeCell ref="C72:E72"/>
    <mergeCell ref="C79:E79"/>
    <mergeCell ref="C81:E82"/>
    <mergeCell ref="C84:E84"/>
    <mergeCell ref="C53:E54"/>
    <mergeCell ref="C56:E56"/>
    <mergeCell ref="C58:E58"/>
    <mergeCell ref="C65:E65"/>
    <mergeCell ref="C67:E68"/>
    <mergeCell ref="C37:E37"/>
    <mergeCell ref="C39:E40"/>
    <mergeCell ref="C42:E42"/>
    <mergeCell ref="C44:E44"/>
    <mergeCell ref="C51:E51"/>
    <mergeCell ref="B2:H2"/>
    <mergeCell ref="A4:B4"/>
    <mergeCell ref="C4:E4"/>
    <mergeCell ref="A5:B5"/>
    <mergeCell ref="C5:E5"/>
    <mergeCell ref="C28:E28"/>
    <mergeCell ref="C30:E30"/>
    <mergeCell ref="C23:E23"/>
    <mergeCell ref="C25:E26"/>
    <mergeCell ref="A6:B6"/>
    <mergeCell ref="A7:B7"/>
  </mergeCells>
  <pageMargins left="0.70866141732283472" right="0.70866141732283472" top="0.74803149606299213" bottom="0.74803149606299213" header="0.51181102362204722" footer="0.51181102362204722"/>
  <pageSetup paperSize="5" firstPageNumber="0" fitToHeight="0" orientation="landscape"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21"/>
  <sheetViews>
    <sheetView topLeftCell="A4" zoomScale="110" zoomScaleNormal="110" workbookViewId="0">
      <selection activeCell="J21" sqref="J21:K21"/>
    </sheetView>
  </sheetViews>
  <sheetFormatPr baseColWidth="10" defaultColWidth="9.140625" defaultRowHeight="12.75" x14ac:dyDescent="0.2"/>
  <cols>
    <col min="1" max="1" width="5.5703125" style="2" customWidth="1"/>
    <col min="2" max="2" width="15.14062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4" width="5.85546875" style="2" customWidth="1"/>
    <col min="15" max="15" width="12.5703125" style="2" customWidth="1"/>
    <col min="16" max="1024" width="9.140625" style="2"/>
  </cols>
  <sheetData>
    <row r="1" spans="1:11" ht="18" customHeight="1" x14ac:dyDescent="0.2">
      <c r="A1" s="97" t="s">
        <v>20</v>
      </c>
      <c r="B1" s="97"/>
      <c r="C1" s="97"/>
      <c r="D1" s="97"/>
      <c r="E1" s="97"/>
      <c r="F1" s="97"/>
      <c r="G1" s="97"/>
      <c r="H1" s="97"/>
      <c r="I1" s="97"/>
      <c r="J1" s="3" t="s">
        <v>21</v>
      </c>
      <c r="K1" s="51" t="s">
        <v>67</v>
      </c>
    </row>
    <row r="2" spans="1:11" ht="18.75" customHeight="1" thickBot="1" x14ac:dyDescent="0.25">
      <c r="A2" s="4"/>
      <c r="B2" s="4"/>
      <c r="C2" s="4"/>
      <c r="D2" s="5"/>
      <c r="E2" s="5"/>
      <c r="F2" s="5"/>
      <c r="G2" s="5"/>
      <c r="H2" s="5"/>
      <c r="I2" s="5"/>
      <c r="J2" s="5"/>
      <c r="K2" s="5"/>
    </row>
    <row r="3" spans="1:11" ht="18.75" customHeight="1" thickBot="1" x14ac:dyDescent="0.25">
      <c r="A3" s="98" t="s">
        <v>55</v>
      </c>
      <c r="B3" s="98"/>
      <c r="C3" s="98"/>
      <c r="D3" s="99" t="s">
        <v>58</v>
      </c>
      <c r="E3" s="99"/>
      <c r="F3" s="99"/>
      <c r="G3" s="99"/>
      <c r="H3" s="99"/>
      <c r="I3" s="99"/>
      <c r="J3" s="99"/>
      <c r="K3" s="99"/>
    </row>
    <row r="4" spans="1:11" ht="18.75" customHeight="1" thickBot="1" x14ac:dyDescent="0.25">
      <c r="A4" s="100" t="s">
        <v>56</v>
      </c>
      <c r="B4" s="100"/>
      <c r="C4" s="100"/>
      <c r="D4" s="99" t="s">
        <v>59</v>
      </c>
      <c r="E4" s="99"/>
      <c r="F4" s="99"/>
      <c r="G4" s="99"/>
      <c r="H4" s="99"/>
      <c r="I4" s="99"/>
      <c r="J4" s="99"/>
      <c r="K4" s="99"/>
    </row>
    <row r="5" spans="1:11" ht="18.75" customHeight="1" thickBot="1" x14ac:dyDescent="0.25">
      <c r="A5" s="100" t="s">
        <v>34</v>
      </c>
      <c r="B5" s="100"/>
      <c r="C5" s="100"/>
      <c r="D5" s="99" t="s">
        <v>61</v>
      </c>
      <c r="E5" s="99"/>
      <c r="F5" s="99"/>
      <c r="G5" s="99"/>
      <c r="H5" s="99"/>
      <c r="I5" s="99"/>
      <c r="J5" s="99"/>
      <c r="K5" s="99"/>
    </row>
    <row r="6" spans="1:11" ht="16.5" customHeight="1" thickBot="1" x14ac:dyDescent="0.25">
      <c r="A6" s="98" t="s">
        <v>57</v>
      </c>
      <c r="B6" s="98"/>
      <c r="C6" s="98"/>
      <c r="D6" s="99" t="s">
        <v>60</v>
      </c>
      <c r="E6" s="99"/>
      <c r="F6" s="99"/>
      <c r="G6" s="99"/>
      <c r="H6" s="99"/>
      <c r="I6" s="99"/>
      <c r="J6" s="99"/>
      <c r="K6" s="99"/>
    </row>
    <row r="7" spans="1:11" ht="16.5" customHeight="1" x14ac:dyDescent="0.2">
      <c r="A7" s="100" t="s">
        <v>22</v>
      </c>
      <c r="B7" s="100"/>
      <c r="C7" s="100"/>
      <c r="D7" s="99" t="s">
        <v>97</v>
      </c>
      <c r="E7" s="99"/>
      <c r="F7" s="99"/>
      <c r="G7" s="99"/>
      <c r="H7" s="99"/>
      <c r="I7" s="99"/>
      <c r="J7" s="99"/>
      <c r="K7" s="99"/>
    </row>
    <row r="8" spans="1:11" ht="40.5" customHeight="1" x14ac:dyDescent="0.2">
      <c r="A8" s="89" t="s">
        <v>23</v>
      </c>
      <c r="B8" s="89"/>
      <c r="C8" s="89"/>
      <c r="D8" s="90" t="s">
        <v>108</v>
      </c>
      <c r="E8" s="90"/>
      <c r="F8" s="90"/>
      <c r="G8" s="90"/>
      <c r="H8" s="90"/>
      <c r="I8" s="90"/>
      <c r="J8" s="90"/>
      <c r="K8" s="90"/>
    </row>
    <row r="9" spans="1:11" ht="15.75" x14ac:dyDescent="0.2">
      <c r="A9" s="6"/>
      <c r="B9" s="6"/>
      <c r="C9" s="6"/>
      <c r="D9" s="7"/>
      <c r="E9" s="7"/>
      <c r="F9" s="7"/>
      <c r="G9" s="7"/>
      <c r="H9" s="7"/>
      <c r="I9" s="7"/>
      <c r="J9" s="7"/>
      <c r="K9" s="7"/>
    </row>
    <row r="10" spans="1:11" ht="18.75" customHeight="1" x14ac:dyDescent="0.2">
      <c r="A10" s="91" t="s">
        <v>24</v>
      </c>
      <c r="B10" s="92" t="s">
        <v>25</v>
      </c>
      <c r="C10" s="92" t="s">
        <v>26</v>
      </c>
      <c r="D10" s="92"/>
      <c r="E10" s="92"/>
      <c r="F10" s="92"/>
      <c r="G10" s="92"/>
      <c r="H10" s="92" t="s">
        <v>27</v>
      </c>
      <c r="I10" s="92" t="s">
        <v>28</v>
      </c>
      <c r="J10" s="92" t="s">
        <v>29</v>
      </c>
      <c r="K10" s="93" t="s">
        <v>30</v>
      </c>
    </row>
    <row r="11" spans="1:11" ht="24" customHeight="1" thickBot="1" x14ac:dyDescent="0.25">
      <c r="A11" s="91"/>
      <c r="B11" s="92"/>
      <c r="C11" s="92"/>
      <c r="D11" s="92"/>
      <c r="E11" s="92"/>
      <c r="F11" s="92"/>
      <c r="G11" s="92"/>
      <c r="H11" s="92"/>
      <c r="I11" s="92"/>
      <c r="J11" s="92"/>
      <c r="K11" s="93"/>
    </row>
    <row r="12" spans="1:11" ht="24" customHeight="1" thickBot="1" x14ac:dyDescent="0.25">
      <c r="A12" s="8">
        <v>1</v>
      </c>
      <c r="B12" s="9" t="str">
        <f>'Necesidades Trimestrales'!B10</f>
        <v>4.3.5-3162.9</v>
      </c>
      <c r="C12" s="94" t="str">
        <f>'Necesidades Trimestrales'!E10</f>
        <v>GRABADOR DE DATOS; TIPO: REGIST. DE HUM., TEMP. E ILUM., LINEAS DE ENTRADA: USB, LINEAS DE SALIDA: USB, ALIMENTACION: 3 V</v>
      </c>
      <c r="D12" s="95"/>
      <c r="E12" s="95"/>
      <c r="F12" s="95"/>
      <c r="G12" s="96"/>
      <c r="H12" s="52" t="s">
        <v>31</v>
      </c>
      <c r="I12" s="53" t="s">
        <v>14</v>
      </c>
      <c r="J12" s="54">
        <f>'Necesidades Trimestrales'!H10</f>
        <v>39000</v>
      </c>
      <c r="K12" s="10">
        <f>'Necesidades Trimestrales'!G10</f>
        <v>10</v>
      </c>
    </row>
    <row r="13" spans="1:11" ht="24" customHeight="1" thickBot="1" x14ac:dyDescent="0.25">
      <c r="A13" s="8">
        <v>2</v>
      </c>
      <c r="B13" s="9" t="str">
        <f>'Necesidades Trimestrales'!B11</f>
        <v>4.3.9-7151.2</v>
      </c>
      <c r="C13" s="94" t="str">
        <f>'Necesidades Trimestrales'!E11</f>
        <v>PLUVIOGRAFOS; TIPO: DIGITAL, RANGO DE MEDICION: 0 A 200 mm</v>
      </c>
      <c r="D13" s="95"/>
      <c r="E13" s="95"/>
      <c r="F13" s="95"/>
      <c r="G13" s="96"/>
      <c r="H13" s="52" t="s">
        <v>31</v>
      </c>
      <c r="I13" s="53" t="s">
        <v>14</v>
      </c>
      <c r="J13" s="54">
        <f>'Necesidades Trimestrales'!H11</f>
        <v>24000</v>
      </c>
      <c r="K13" s="10">
        <f>'Necesidades Trimestrales'!G11</f>
        <v>10</v>
      </c>
    </row>
    <row r="14" spans="1:11" ht="24" customHeight="1" thickBot="1" x14ac:dyDescent="0.25">
      <c r="A14" s="8">
        <v>3</v>
      </c>
      <c r="B14" s="9" t="str">
        <f>'Necesidades Trimestrales'!B12</f>
        <v>4.3.9-7144.6</v>
      </c>
      <c r="C14" s="94" t="str">
        <f>'Necesidades Trimestrales'!E12</f>
        <v>SENSORES DE TEMPERATURAS; RANGO DE MEDICION: -20 A 60 °C, RESOLUCION: 0,3 °C</v>
      </c>
      <c r="D14" s="95"/>
      <c r="E14" s="95"/>
      <c r="F14" s="95"/>
      <c r="G14" s="96"/>
      <c r="H14" s="52" t="s">
        <v>31</v>
      </c>
      <c r="I14" s="53" t="s">
        <v>14</v>
      </c>
      <c r="J14" s="54">
        <f>'Necesidades Trimestrales'!H12</f>
        <v>24000</v>
      </c>
      <c r="K14" s="10">
        <f>'Necesidades Trimestrales'!G12</f>
        <v>10</v>
      </c>
    </row>
    <row r="15" spans="1:11" ht="24" customHeight="1" thickBot="1" x14ac:dyDescent="0.25">
      <c r="A15" s="8">
        <v>4</v>
      </c>
      <c r="B15" s="9" t="str">
        <f>'Necesidades Trimestrales'!B13</f>
        <v>4.3.3-3958.115</v>
      </c>
      <c r="C15" s="94" t="str">
        <f>'Necesidades Trimestrales'!E13</f>
        <v>INSTRUMENTOS DE MEDICION; USO: MEDIDOR DE HUMEDAD, RANGO DE MEDICION: 0 A 100 %, PRECISION: 5 %, NOMBRE: HIGROGRAFO</v>
      </c>
      <c r="D15" s="95"/>
      <c r="E15" s="95"/>
      <c r="F15" s="95"/>
      <c r="G15" s="96"/>
      <c r="H15" s="52" t="s">
        <v>31</v>
      </c>
      <c r="I15" s="53" t="s">
        <v>14</v>
      </c>
      <c r="J15" s="54">
        <f>'Necesidades Trimestrales'!H13</f>
        <v>23000</v>
      </c>
      <c r="K15" s="10">
        <f>'Necesidades Trimestrales'!G13</f>
        <v>10</v>
      </c>
    </row>
    <row r="16" spans="1:11" ht="24" customHeight="1" thickBot="1" x14ac:dyDescent="0.25">
      <c r="A16" s="8">
        <v>5</v>
      </c>
      <c r="B16" s="9" t="str">
        <f>'Necesidades Trimestrales'!B14</f>
        <v>4.3.3-3958.156</v>
      </c>
      <c r="C16" s="94" t="str">
        <f>'Necesidades Trimestrales'!E14</f>
        <v>INSTRUMENTOS DE MEDICION; USO: MEDIDOR RADIACION GLOBAL Y DIF, RANGO DE MEDICION: 0 - 1000 W/M2, PRECISION: 7 - 14 µV/WM² , NOMBRE: PIRANOMETRO</v>
      </c>
      <c r="D16" s="95"/>
      <c r="E16" s="95"/>
      <c r="F16" s="95"/>
      <c r="G16" s="96"/>
      <c r="H16" s="52" t="s">
        <v>107</v>
      </c>
      <c r="I16" s="53" t="s">
        <v>14</v>
      </c>
      <c r="J16" s="54">
        <f>'Necesidades Trimestrales'!H14</f>
        <v>24000</v>
      </c>
      <c r="K16" s="10">
        <f>'Necesidades Trimestrales'!G14</f>
        <v>10</v>
      </c>
    </row>
    <row r="17" spans="1:11" ht="24" customHeight="1" thickBot="1" x14ac:dyDescent="0.25">
      <c r="A17" s="8">
        <v>6</v>
      </c>
      <c r="B17" s="9" t="str">
        <f>'Necesidades Trimestrales'!B15</f>
        <v>4.3.3-7572.18</v>
      </c>
      <c r="C17" s="94" t="str">
        <f>'Necesidades Trimestrales'!E15</f>
        <v>SENSORES DE PRESIONES; RANGO DE MEDICION: 0 A 700 KPa, RESOLUCION: 0,1 Kpa</v>
      </c>
      <c r="D17" s="95"/>
      <c r="E17" s="95"/>
      <c r="F17" s="95"/>
      <c r="G17" s="96"/>
      <c r="H17" s="52" t="s">
        <v>107</v>
      </c>
      <c r="I17" s="53" t="s">
        <v>14</v>
      </c>
      <c r="J17" s="54">
        <f>'Necesidades Trimestrales'!H15</f>
        <v>24000</v>
      </c>
      <c r="K17" s="10">
        <f>'Necesidades Trimestrales'!G15</f>
        <v>10</v>
      </c>
    </row>
    <row r="18" spans="1:11" ht="24" customHeight="1" thickBot="1" x14ac:dyDescent="0.25">
      <c r="A18" s="8">
        <v>7</v>
      </c>
      <c r="B18" s="9" t="str">
        <f>'Necesidades Trimestrales'!B16</f>
        <v>4.3.3-3969.3</v>
      </c>
      <c r="C18" s="94" t="str">
        <f>'Necesidades Trimestrales'!E16</f>
        <v>ANEMOMETROS; TIPO: METEOROLOGICO, PRECISION: SIN VALOR, AUTONOMIA: SIN VALOR, ALIMENTACION: SIN VALOR, RANGO DE MEDICION: 0 - 100 Km/h</v>
      </c>
      <c r="D18" s="95"/>
      <c r="E18" s="95"/>
      <c r="F18" s="95"/>
      <c r="G18" s="96"/>
      <c r="H18" s="52" t="s">
        <v>107</v>
      </c>
      <c r="I18" s="53" t="s">
        <v>14</v>
      </c>
      <c r="J18" s="54">
        <f>'Necesidades Trimestrales'!H16</f>
        <v>23000</v>
      </c>
      <c r="K18" s="10">
        <f>'Necesidades Trimestrales'!G16</f>
        <v>10</v>
      </c>
    </row>
    <row r="19" spans="1:11" ht="24" customHeight="1" thickBot="1" x14ac:dyDescent="0.25">
      <c r="A19" s="8">
        <v>8</v>
      </c>
      <c r="B19" s="9" t="str">
        <f>'Necesidades Trimestrales'!B17</f>
        <v>4.3.9-7150.1</v>
      </c>
      <c r="C19" s="94" t="str">
        <f>'Necesidades Trimestrales'!E17</f>
        <v>EVAPORIMETROS; TIPO: PICHE, RANGO DE MEDICION: 1 A 25 mm, ESCALA: MILIMETRO</v>
      </c>
      <c r="D19" s="95"/>
      <c r="E19" s="95"/>
      <c r="F19" s="95"/>
      <c r="G19" s="96"/>
      <c r="H19" s="52" t="s">
        <v>31</v>
      </c>
      <c r="I19" s="53" t="s">
        <v>14</v>
      </c>
      <c r="J19" s="54">
        <f>'Necesidades Trimestrales'!H17</f>
        <v>21000</v>
      </c>
      <c r="K19" s="10">
        <f>'Necesidades Trimestrales'!G17</f>
        <v>10</v>
      </c>
    </row>
    <row r="20" spans="1:11" ht="24" customHeight="1" thickBot="1" x14ac:dyDescent="0.25">
      <c r="A20" s="8">
        <v>9</v>
      </c>
      <c r="B20" s="9" t="str">
        <f>'Necesidades Trimestrales'!B18</f>
        <v>3.4.9-8903.1</v>
      </c>
      <c r="C20" s="94" t="str">
        <f>'Necesidades Trimestrales'!E18</f>
        <v>MONTAJE Y DESMONTAJE DE EQUIPO; DESCRIPCION: MONTAJE Y DESMONTAJE DE EQUIPO</v>
      </c>
      <c r="D20" s="95"/>
      <c r="E20" s="95"/>
      <c r="F20" s="95"/>
      <c r="G20" s="96"/>
      <c r="H20" s="52" t="s">
        <v>31</v>
      </c>
      <c r="I20" s="53" t="s">
        <v>88</v>
      </c>
      <c r="J20" s="54">
        <f>'Necesidades Trimestrales'!H18</f>
        <v>1080000</v>
      </c>
      <c r="K20" s="10">
        <f>'Necesidades Trimestrales'!G18</f>
        <v>1</v>
      </c>
    </row>
    <row r="21" spans="1:11" ht="31.5" customHeight="1" thickBot="1" x14ac:dyDescent="0.25">
      <c r="A21" s="87" t="s">
        <v>63</v>
      </c>
      <c r="B21" s="87"/>
      <c r="C21" s="87"/>
      <c r="D21" s="87"/>
      <c r="E21" s="87"/>
      <c r="F21" s="87"/>
      <c r="G21" s="87"/>
      <c r="H21" s="87"/>
      <c r="I21" s="87"/>
      <c r="J21" s="88">
        <f>SUMPRODUCT(J12:J20,K12:K20)</f>
        <v>3100000</v>
      </c>
      <c r="K21" s="88"/>
    </row>
  </sheetData>
  <mergeCells count="31">
    <mergeCell ref="C17:G17"/>
    <mergeCell ref="C18:G18"/>
    <mergeCell ref="C19:G19"/>
    <mergeCell ref="C20:G20"/>
    <mergeCell ref="A1:I1"/>
    <mergeCell ref="A6:C6"/>
    <mergeCell ref="D6:K6"/>
    <mergeCell ref="A7:C7"/>
    <mergeCell ref="D7:K7"/>
    <mergeCell ref="A3:C3"/>
    <mergeCell ref="D3:K3"/>
    <mergeCell ref="A4:C4"/>
    <mergeCell ref="D4:K4"/>
    <mergeCell ref="A5:C5"/>
    <mergeCell ref="D5:K5"/>
    <mergeCell ref="A21:I21"/>
    <mergeCell ref="J21:K21"/>
    <mergeCell ref="A8:C8"/>
    <mergeCell ref="D8:K8"/>
    <mergeCell ref="A10:A11"/>
    <mergeCell ref="B10:B11"/>
    <mergeCell ref="C10:G11"/>
    <mergeCell ref="H10:H11"/>
    <mergeCell ref="I10:I11"/>
    <mergeCell ref="J10:J11"/>
    <mergeCell ref="K10:K11"/>
    <mergeCell ref="C12:G12"/>
    <mergeCell ref="C13:G13"/>
    <mergeCell ref="C14:G14"/>
    <mergeCell ref="C15:G15"/>
    <mergeCell ref="C16:G16"/>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8"/>
  <sheetViews>
    <sheetView topLeftCell="A10" zoomScale="130" zoomScaleNormal="130" workbookViewId="0">
      <selection activeCell="Q17" sqref="Q17"/>
    </sheetView>
  </sheetViews>
  <sheetFormatPr baseColWidth="10" defaultColWidth="11" defaultRowHeight="12.75" x14ac:dyDescent="0.2"/>
  <cols>
    <col min="1" max="4" width="4.42578125" customWidth="1"/>
    <col min="5" max="5" width="4.140625" customWidth="1"/>
    <col min="6" max="6" width="5.42578125" customWidth="1"/>
    <col min="7" max="7" width="4.42578125" style="11" customWidth="1"/>
    <col min="8" max="14" width="4.42578125" customWidth="1"/>
    <col min="15" max="15" width="14.85546875" customWidth="1"/>
    <col min="16" max="16" width="14" customWidth="1"/>
    <col min="17" max="17" width="14.7109375" customWidth="1"/>
  </cols>
  <sheetData>
    <row r="1" spans="1:17" ht="15.75" customHeight="1" x14ac:dyDescent="0.25">
      <c r="A1" s="128" t="s">
        <v>3</v>
      </c>
      <c r="B1" s="128"/>
      <c r="C1" s="128"/>
      <c r="D1" s="129">
        <f>'Necesidades Trimestrales'!C6</f>
        <v>2021</v>
      </c>
      <c r="E1" s="129"/>
      <c r="F1" s="12"/>
      <c r="G1" s="12"/>
      <c r="H1" s="13"/>
      <c r="I1" s="13"/>
      <c r="J1" s="13"/>
      <c r="K1" s="13"/>
      <c r="L1" s="13"/>
      <c r="M1" s="13"/>
      <c r="N1" s="13"/>
      <c r="P1" s="130" t="s">
        <v>32</v>
      </c>
      <c r="Q1" s="130"/>
    </row>
    <row r="2" spans="1:17" ht="15.75" customHeight="1" x14ac:dyDescent="0.2">
      <c r="H2" s="13"/>
      <c r="I2" s="13"/>
      <c r="J2" s="13"/>
      <c r="K2" s="13"/>
      <c r="L2" s="13"/>
      <c r="M2" s="13"/>
      <c r="N2" s="13"/>
      <c r="P2" s="130"/>
      <c r="Q2" s="130"/>
    </row>
    <row r="4" spans="1:17" s="14" customFormat="1" ht="18" customHeight="1" thickBot="1" x14ac:dyDescent="0.25">
      <c r="A4" s="131" t="s">
        <v>33</v>
      </c>
      <c r="B4" s="131"/>
      <c r="C4" s="131"/>
      <c r="D4" s="131"/>
      <c r="E4" s="131"/>
      <c r="F4" s="131"/>
      <c r="G4" s="125" t="str">
        <f>' NotaPedido'!D3</f>
        <v>70 - MINISTERIO DE CIENCIA E INNOVACION TECNOLOGICA</v>
      </c>
      <c r="H4" s="125"/>
      <c r="I4" s="125"/>
      <c r="J4" s="125"/>
      <c r="K4" s="125"/>
      <c r="L4" s="125"/>
      <c r="M4" s="125"/>
      <c r="N4" s="125"/>
      <c r="O4" s="125"/>
      <c r="P4" s="125"/>
      <c r="Q4" s="125"/>
    </row>
    <row r="5" spans="1:17" s="14" customFormat="1" ht="18" customHeight="1" thickBot="1" x14ac:dyDescent="0.25">
      <c r="A5" s="122" t="s">
        <v>56</v>
      </c>
      <c r="B5" s="123"/>
      <c r="C5" s="123"/>
      <c r="D5" s="123"/>
      <c r="E5" s="123"/>
      <c r="F5" s="124"/>
      <c r="G5" s="125" t="str">
        <f>' NotaPedido'!D4</f>
        <v>20 - MINISTERIO DE CIENCIA E INNOVACION TECNOLOGICA</v>
      </c>
      <c r="H5" s="125"/>
      <c r="I5" s="125"/>
      <c r="J5" s="125"/>
      <c r="K5" s="125"/>
      <c r="L5" s="125"/>
      <c r="M5" s="125"/>
      <c r="N5" s="125"/>
      <c r="O5" s="125"/>
      <c r="P5" s="125"/>
      <c r="Q5" s="125"/>
    </row>
    <row r="6" spans="1:17" s="14" customFormat="1" ht="18" customHeight="1" thickBot="1" x14ac:dyDescent="0.25">
      <c r="A6" s="122" t="s">
        <v>34</v>
      </c>
      <c r="B6" s="123"/>
      <c r="C6" s="123"/>
      <c r="D6" s="123"/>
      <c r="E6" s="123"/>
      <c r="F6" s="124"/>
      <c r="G6" s="125" t="str">
        <f>' NotaPedido'!D5</f>
        <v>SECRETARIA DE CIENCIA Y TECNOLOGIA</v>
      </c>
      <c r="H6" s="125"/>
      <c r="I6" s="125"/>
      <c r="J6" s="125"/>
      <c r="K6" s="125"/>
      <c r="L6" s="125"/>
      <c r="M6" s="125"/>
      <c r="N6" s="125"/>
      <c r="O6" s="125"/>
      <c r="P6" s="125"/>
      <c r="Q6" s="125"/>
    </row>
    <row r="7" spans="1:17" s="14" customFormat="1" ht="18" customHeight="1" thickBot="1" x14ac:dyDescent="0.25">
      <c r="A7" s="122" t="s">
        <v>57</v>
      </c>
      <c r="B7" s="123"/>
      <c r="C7" s="123"/>
      <c r="D7" s="123"/>
      <c r="E7" s="123"/>
      <c r="F7" s="124"/>
      <c r="G7" s="127" t="str">
        <f>' NotaPedido'!D6</f>
        <v>DIRECCION PROVINCIAL DE GESTION ADMINISTRATIVA Y RECURSOS HUMANOS</v>
      </c>
      <c r="H7" s="127"/>
      <c r="I7" s="127"/>
      <c r="J7" s="127"/>
      <c r="K7" s="127"/>
      <c r="L7" s="127"/>
      <c r="M7" s="127"/>
      <c r="N7" s="127"/>
      <c r="O7" s="127"/>
      <c r="P7" s="127"/>
      <c r="Q7" s="127"/>
    </row>
    <row r="8" spans="1:17" ht="18" customHeight="1" thickBot="1" x14ac:dyDescent="0.25">
      <c r="A8" s="126" t="s">
        <v>35</v>
      </c>
      <c r="B8" s="126"/>
      <c r="C8" s="126"/>
      <c r="D8" s="126"/>
      <c r="E8" s="126"/>
      <c r="F8" s="126"/>
      <c r="G8" s="126"/>
      <c r="H8" s="126"/>
      <c r="I8" s="126"/>
      <c r="J8" s="126"/>
      <c r="K8" s="126"/>
      <c r="L8" s="126"/>
      <c r="M8" s="126"/>
      <c r="N8" s="126"/>
      <c r="O8" s="126"/>
      <c r="P8" s="126"/>
      <c r="Q8" s="126"/>
    </row>
    <row r="9" spans="1:17" ht="18" customHeight="1" x14ac:dyDescent="0.2">
      <c r="A9" s="116" t="s">
        <v>36</v>
      </c>
      <c r="B9" s="116"/>
      <c r="C9" s="116"/>
      <c r="D9" s="116"/>
      <c r="E9" s="116"/>
      <c r="F9" s="116"/>
      <c r="G9" s="116"/>
      <c r="H9" s="116"/>
      <c r="I9" s="116"/>
      <c r="J9" s="116"/>
      <c r="K9" s="116"/>
      <c r="L9" s="116"/>
      <c r="M9" s="116"/>
      <c r="N9" s="116"/>
      <c r="O9" s="1"/>
      <c r="P9" s="1"/>
      <c r="Q9" s="15"/>
    </row>
    <row r="10" spans="1:17" ht="54.75" customHeight="1" x14ac:dyDescent="0.2">
      <c r="A10" s="117"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020/2021,  afectando la erogación resultante a los créditos presupuestarios aprobados a favor de esta Unidad Ejecutora, conforme al siguiente detalle:</v>
      </c>
      <c r="B10" s="117"/>
      <c r="C10" s="117"/>
      <c r="D10" s="117"/>
      <c r="E10" s="117"/>
      <c r="F10" s="117"/>
      <c r="G10" s="117"/>
      <c r="H10" s="117"/>
      <c r="I10" s="117"/>
      <c r="J10" s="117"/>
      <c r="K10" s="117"/>
      <c r="L10" s="117"/>
      <c r="M10" s="117"/>
      <c r="N10" s="117"/>
      <c r="O10" s="117"/>
      <c r="P10" s="117"/>
      <c r="Q10" s="117"/>
    </row>
    <row r="11" spans="1:17" ht="9" customHeight="1" x14ac:dyDescent="0.2">
      <c r="A11" s="16"/>
      <c r="B11" s="17"/>
      <c r="C11" s="17"/>
      <c r="D11" s="17"/>
      <c r="E11" s="17"/>
      <c r="F11" s="17"/>
      <c r="G11" s="18"/>
      <c r="H11" s="17"/>
      <c r="I11" s="17"/>
      <c r="J11" s="17"/>
      <c r="K11" s="17"/>
      <c r="L11" s="17"/>
      <c r="M11" s="17"/>
      <c r="N11" s="17"/>
      <c r="O11" s="17"/>
      <c r="P11" s="17"/>
      <c r="Q11" s="19"/>
    </row>
    <row r="12" spans="1:17" ht="15.75" customHeight="1" x14ac:dyDescent="0.2">
      <c r="A12" s="118" t="s">
        <v>37</v>
      </c>
      <c r="B12" s="118"/>
      <c r="C12" s="118"/>
      <c r="D12" s="118"/>
      <c r="E12" s="118"/>
      <c r="F12" s="118"/>
      <c r="G12" s="118"/>
      <c r="H12" s="118"/>
      <c r="I12" s="118"/>
      <c r="J12" s="118"/>
      <c r="K12" s="118"/>
      <c r="L12" s="118"/>
      <c r="M12" s="118"/>
      <c r="N12" s="118"/>
      <c r="O12" s="118"/>
      <c r="P12" s="118"/>
      <c r="Q12" s="118"/>
    </row>
    <row r="13" spans="1:17" ht="15.75" customHeight="1" x14ac:dyDescent="0.2">
      <c r="A13" s="119" t="s">
        <v>38</v>
      </c>
      <c r="B13" s="119"/>
      <c r="C13" s="119"/>
      <c r="D13" s="119"/>
      <c r="E13" s="119"/>
      <c r="F13" s="119"/>
      <c r="G13" s="119"/>
      <c r="H13" s="119"/>
      <c r="I13" s="119"/>
      <c r="J13" s="119"/>
      <c r="K13" s="119"/>
      <c r="L13" s="119"/>
      <c r="M13" s="119"/>
      <c r="N13" s="119"/>
      <c r="O13" s="120" t="s">
        <v>39</v>
      </c>
      <c r="P13" s="120"/>
      <c r="Q13" s="121" t="s">
        <v>40</v>
      </c>
    </row>
    <row r="14" spans="1:17" ht="15.75" customHeight="1" thickBot="1" x14ac:dyDescent="0.25">
      <c r="A14" s="20" t="s">
        <v>41</v>
      </c>
      <c r="B14" s="21" t="s">
        <v>42</v>
      </c>
      <c r="C14" s="21" t="s">
        <v>43</v>
      </c>
      <c r="D14" s="21" t="s">
        <v>44</v>
      </c>
      <c r="E14" s="21" t="s">
        <v>45</v>
      </c>
      <c r="F14" s="21" t="s">
        <v>46</v>
      </c>
      <c r="G14" s="22" t="s">
        <v>47</v>
      </c>
      <c r="H14" s="21" t="s">
        <v>48</v>
      </c>
      <c r="I14" s="21" t="s">
        <v>49</v>
      </c>
      <c r="J14" s="21" t="s">
        <v>50</v>
      </c>
      <c r="K14" s="21" t="s">
        <v>50</v>
      </c>
      <c r="L14" s="21" t="s">
        <v>51</v>
      </c>
      <c r="M14" s="23" t="s">
        <v>52</v>
      </c>
      <c r="N14" s="24" t="s">
        <v>53</v>
      </c>
      <c r="O14" s="120"/>
      <c r="P14" s="120"/>
      <c r="Q14" s="121"/>
    </row>
    <row r="15" spans="1:17" ht="22.5" customHeight="1" thickBot="1" x14ac:dyDescent="0.25">
      <c r="A15" s="55">
        <v>2</v>
      </c>
      <c r="B15" s="56">
        <v>0</v>
      </c>
      <c r="C15" s="56">
        <v>0</v>
      </c>
      <c r="D15" s="56">
        <v>1</v>
      </c>
      <c r="E15" s="56">
        <v>0</v>
      </c>
      <c r="F15" s="56">
        <v>4901</v>
      </c>
      <c r="G15" s="56">
        <v>3</v>
      </c>
      <c r="H15" s="56">
        <v>5</v>
      </c>
      <c r="I15" s="25">
        <v>4</v>
      </c>
      <c r="J15" s="25">
        <v>3</v>
      </c>
      <c r="K15" s="25">
        <v>3</v>
      </c>
      <c r="L15" s="56">
        <v>0</v>
      </c>
      <c r="M15" s="57">
        <v>1</v>
      </c>
      <c r="N15" s="68" t="s">
        <v>64</v>
      </c>
      <c r="O15" s="111" t="s">
        <v>65</v>
      </c>
      <c r="P15" s="112"/>
      <c r="Q15" s="70">
        <v>940000</v>
      </c>
    </row>
    <row r="16" spans="1:17" ht="17.25" customHeight="1" thickBot="1" x14ac:dyDescent="0.25">
      <c r="A16" s="55">
        <v>2</v>
      </c>
      <c r="B16" s="56">
        <v>0</v>
      </c>
      <c r="C16" s="56">
        <v>0</v>
      </c>
      <c r="D16" s="56">
        <v>1</v>
      </c>
      <c r="E16" s="56">
        <v>0</v>
      </c>
      <c r="F16" s="56">
        <v>4901</v>
      </c>
      <c r="G16" s="56">
        <v>3</v>
      </c>
      <c r="H16" s="56">
        <v>5</v>
      </c>
      <c r="I16" s="26">
        <v>4</v>
      </c>
      <c r="J16" s="26">
        <v>3</v>
      </c>
      <c r="K16" s="26">
        <v>5</v>
      </c>
      <c r="L16" s="56">
        <v>0</v>
      </c>
      <c r="M16" s="57">
        <v>1</v>
      </c>
      <c r="N16" s="68" t="s">
        <v>64</v>
      </c>
      <c r="O16" s="113" t="s">
        <v>99</v>
      </c>
      <c r="P16" s="113"/>
      <c r="Q16" s="71">
        <v>390000</v>
      </c>
    </row>
    <row r="17" spans="1:18" ht="17.25" customHeight="1" thickBot="1" x14ac:dyDescent="0.25">
      <c r="A17" s="55">
        <v>2</v>
      </c>
      <c r="B17" s="56">
        <v>0</v>
      </c>
      <c r="C17" s="56">
        <v>0</v>
      </c>
      <c r="D17" s="56">
        <v>1</v>
      </c>
      <c r="E17" s="56">
        <v>0</v>
      </c>
      <c r="F17" s="56">
        <v>4901</v>
      </c>
      <c r="G17" s="56">
        <v>3</v>
      </c>
      <c r="H17" s="56">
        <v>5</v>
      </c>
      <c r="I17" s="26">
        <v>4</v>
      </c>
      <c r="J17" s="26">
        <v>3</v>
      </c>
      <c r="K17" s="26">
        <v>9</v>
      </c>
      <c r="L17" s="56">
        <v>0</v>
      </c>
      <c r="M17" s="57">
        <v>1</v>
      </c>
      <c r="N17" s="68" t="s">
        <v>64</v>
      </c>
      <c r="O17" s="113" t="s">
        <v>100</v>
      </c>
      <c r="P17" s="113"/>
      <c r="Q17" s="71">
        <v>690000</v>
      </c>
    </row>
    <row r="18" spans="1:18" ht="24" customHeight="1" x14ac:dyDescent="0.2">
      <c r="A18" s="55">
        <v>2</v>
      </c>
      <c r="B18" s="56">
        <v>0</v>
      </c>
      <c r="C18" s="56">
        <v>0</v>
      </c>
      <c r="D18" s="56">
        <v>1</v>
      </c>
      <c r="E18" s="56">
        <v>0</v>
      </c>
      <c r="F18" s="56">
        <v>4901</v>
      </c>
      <c r="G18" s="56">
        <v>3</v>
      </c>
      <c r="H18" s="56">
        <v>5</v>
      </c>
      <c r="I18" s="26">
        <v>3</v>
      </c>
      <c r="J18" s="26">
        <v>4</v>
      </c>
      <c r="K18" s="26">
        <v>9</v>
      </c>
      <c r="L18" s="56">
        <v>0</v>
      </c>
      <c r="M18" s="57">
        <v>1</v>
      </c>
      <c r="N18" s="68" t="s">
        <v>64</v>
      </c>
      <c r="O18" s="114" t="s">
        <v>98</v>
      </c>
      <c r="P18" s="115"/>
      <c r="Q18" s="71">
        <v>1080000</v>
      </c>
    </row>
    <row r="19" spans="1:18" ht="19.5" customHeight="1" x14ac:dyDescent="0.2">
      <c r="A19" s="27"/>
      <c r="B19" s="28"/>
      <c r="C19" s="28"/>
      <c r="D19" s="28"/>
      <c r="E19" s="28"/>
      <c r="F19" s="29"/>
      <c r="G19" s="28"/>
      <c r="H19" s="28"/>
      <c r="I19" s="28"/>
      <c r="J19" s="28"/>
      <c r="K19" s="28"/>
      <c r="L19" s="28"/>
      <c r="M19" s="30"/>
      <c r="N19" s="31"/>
      <c r="O19" s="107"/>
      <c r="P19" s="107"/>
      <c r="Q19" s="72"/>
      <c r="R19" s="1"/>
    </row>
    <row r="20" spans="1:18" ht="17.25" customHeight="1" x14ac:dyDescent="0.2">
      <c r="A20" s="32"/>
      <c r="B20" s="33"/>
      <c r="C20" s="33"/>
      <c r="D20" s="33"/>
      <c r="E20" s="33"/>
      <c r="F20" s="33"/>
      <c r="G20" s="33"/>
      <c r="H20" s="33"/>
      <c r="I20" s="33"/>
      <c r="J20" s="33"/>
      <c r="K20" s="33"/>
      <c r="L20" s="33"/>
      <c r="M20" s="34"/>
      <c r="N20" s="33"/>
      <c r="O20" s="108"/>
      <c r="P20" s="108"/>
      <c r="Q20" s="73"/>
    </row>
    <row r="21" spans="1:18" ht="30.75" customHeight="1" x14ac:dyDescent="0.2">
      <c r="A21" s="109" t="s">
        <v>66</v>
      </c>
      <c r="B21" s="109"/>
      <c r="C21" s="109"/>
      <c r="D21" s="109"/>
      <c r="E21" s="109"/>
      <c r="F21" s="109"/>
      <c r="G21" s="109"/>
      <c r="H21" s="109"/>
      <c r="I21" s="109"/>
      <c r="J21" s="109"/>
      <c r="K21" s="109"/>
      <c r="L21" s="109"/>
      <c r="M21" s="109"/>
      <c r="N21" s="109"/>
      <c r="O21" s="109"/>
      <c r="P21" s="109"/>
      <c r="Q21" s="74">
        <f>SUM(Q15:Q20)</f>
        <v>3100000</v>
      </c>
    </row>
    <row r="22" spans="1:18" ht="18" customHeight="1" thickBot="1" x14ac:dyDescent="0.25">
      <c r="A22" s="110"/>
      <c r="B22" s="110"/>
      <c r="C22" s="110"/>
      <c r="D22" s="110"/>
      <c r="E22" s="110"/>
      <c r="F22" s="110"/>
      <c r="G22" s="110"/>
      <c r="H22" s="110"/>
      <c r="I22" s="110"/>
      <c r="J22" s="110"/>
      <c r="K22" s="110"/>
      <c r="L22" s="110"/>
      <c r="M22" s="110"/>
      <c r="N22" s="110"/>
      <c r="O22" s="110"/>
      <c r="P22" s="110"/>
      <c r="Q22" s="110"/>
    </row>
    <row r="23" spans="1:18" ht="17.25" customHeight="1" thickBot="1" x14ac:dyDescent="0.25">
      <c r="A23" s="101" t="s">
        <v>54</v>
      </c>
      <c r="B23" s="102"/>
      <c r="C23" s="102"/>
      <c r="D23" s="102"/>
      <c r="E23" s="102"/>
      <c r="F23" s="103"/>
      <c r="G23" s="104"/>
      <c r="H23" s="104"/>
      <c r="I23" s="104"/>
      <c r="J23" s="104"/>
      <c r="K23" s="104"/>
      <c r="L23" s="104"/>
      <c r="M23" s="104"/>
      <c r="N23" s="104"/>
      <c r="O23" s="104"/>
      <c r="P23" s="104"/>
      <c r="Q23" s="104"/>
    </row>
    <row r="24" spans="1:18" ht="18" customHeight="1" thickBot="1" x14ac:dyDescent="0.25">
      <c r="A24" s="105" t="s">
        <v>108</v>
      </c>
      <c r="B24" s="106"/>
      <c r="C24" s="106"/>
      <c r="D24" s="106"/>
      <c r="E24" s="106"/>
      <c r="F24" s="106"/>
      <c r="G24" s="106"/>
      <c r="H24" s="106"/>
      <c r="I24" s="106"/>
      <c r="J24" s="106"/>
      <c r="K24" s="106"/>
      <c r="L24" s="106"/>
      <c r="M24" s="106"/>
      <c r="N24" s="106"/>
      <c r="O24" s="106"/>
      <c r="P24" s="106"/>
      <c r="Q24" s="106"/>
    </row>
    <row r="25" spans="1:18" ht="18.75" customHeight="1" x14ac:dyDescent="0.2">
      <c r="A25" s="106"/>
      <c r="B25" s="106"/>
      <c r="C25" s="106"/>
      <c r="D25" s="106"/>
      <c r="E25" s="106"/>
      <c r="F25" s="106"/>
      <c r="G25" s="106"/>
      <c r="H25" s="106"/>
      <c r="I25" s="106"/>
      <c r="J25" s="106"/>
      <c r="K25" s="106"/>
      <c r="L25" s="106"/>
      <c r="M25" s="106"/>
      <c r="N25" s="106"/>
      <c r="O25" s="106"/>
      <c r="P25" s="106"/>
      <c r="Q25" s="106"/>
    </row>
    <row r="28" spans="1:18" x14ac:dyDescent="0.2">
      <c r="A28" s="58"/>
    </row>
  </sheetData>
  <mergeCells count="29">
    <mergeCell ref="A1:C1"/>
    <mergeCell ref="D1:E1"/>
    <mergeCell ref="P1:Q2"/>
    <mergeCell ref="A4:F4"/>
    <mergeCell ref="G4:Q4"/>
    <mergeCell ref="A5:F5"/>
    <mergeCell ref="G5:Q5"/>
    <mergeCell ref="A8:Q8"/>
    <mergeCell ref="A6:F6"/>
    <mergeCell ref="G6:Q6"/>
    <mergeCell ref="A7:F7"/>
    <mergeCell ref="G7:Q7"/>
    <mergeCell ref="O15:P15"/>
    <mergeCell ref="O16:P16"/>
    <mergeCell ref="O17:P17"/>
    <mergeCell ref="O18:P18"/>
    <mergeCell ref="A9:N9"/>
    <mergeCell ref="A10:Q10"/>
    <mergeCell ref="A12:Q12"/>
    <mergeCell ref="A13:N13"/>
    <mergeCell ref="O13:P14"/>
    <mergeCell ref="Q13:Q14"/>
    <mergeCell ref="A23:F23"/>
    <mergeCell ref="G23:Q23"/>
    <mergeCell ref="A24:Q25"/>
    <mergeCell ref="O19:P19"/>
    <mergeCell ref="O20:P20"/>
    <mergeCell ref="A21:P21"/>
    <mergeCell ref="A22:Q22"/>
  </mergeCells>
  <printOptions horizontalCentered="1"/>
  <pageMargins left="0.39374999999999999" right="0.39374999999999999" top="0.98402777777777795" bottom="0.98402777777777795" header="0.51180555555555496" footer="0.51180555555555496"/>
  <pageSetup paperSize="5" scale="90" firstPageNumber="0" orientation="portrait"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USUARIO</cp:lastModifiedBy>
  <cp:revision>2</cp:revision>
  <cp:lastPrinted>2021-06-03T11:33:19Z</cp:lastPrinted>
  <dcterms:created xsi:type="dcterms:W3CDTF">2020-07-17T23:44:49Z</dcterms:created>
  <dcterms:modified xsi:type="dcterms:W3CDTF">2021-12-14T15:19:50Z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