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C:\Users\COMPRAS\Downloads\"/>
    </mc:Choice>
  </mc:AlternateContent>
  <xr:revisionPtr revIDLastSave="0" documentId="8_{2789756B-610E-418E-9CA5-959E395BFCF1}" xr6:coauthVersionLast="46" xr6:coauthVersionMax="46" xr10:uidLastSave="{00000000-0000-0000-0000-000000000000}"/>
  <bookViews>
    <workbookView xWindow="-120" yWindow="-120" windowWidth="29040" windowHeight="15840" xr2:uid="{EE2DB562-5B72-4676-B642-DD173165B0AB}"/>
  </bookViews>
  <sheets>
    <sheet name="HSJB"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1" l="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alcChain>
</file>

<file path=xl/sharedStrings.xml><?xml version="1.0" encoding="utf-8"?>
<sst xmlns="http://schemas.openxmlformats.org/spreadsheetml/2006/main" count="201" uniqueCount="74">
  <si>
    <t>Garantia</t>
  </si>
  <si>
    <t xml:space="preserve">45 dias habiles </t>
  </si>
  <si>
    <t>Mantenimiento</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</si>
  <si>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</si>
  <si>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Calidad Minima esperada</t>
  </si>
  <si>
    <t xml:space="preserve">10 dias - Servicio de Farmacia del HISJB - Avda. Illia y Mariano Moreno </t>
  </si>
  <si>
    <t>Plazos y lugares de entrega</t>
  </si>
  <si>
    <t>Descripción técnica</t>
  </si>
  <si>
    <t>Especificidades Item N° 1:</t>
  </si>
  <si>
    <t>UNIDAD</t>
  </si>
  <si>
    <t>TUBO DE INTUBACION SELECTIVA IZQUIERDO CH 37</t>
  </si>
  <si>
    <t>2.9.5</t>
  </si>
  <si>
    <t>Ut. Menores med. Quirúrg. Y de Lab.</t>
  </si>
  <si>
    <t>TUBO DE INTUBACION SELECTIVA IZQUIERDO CH 35</t>
  </si>
  <si>
    <t>TUBO DE INTUBACION SELECTIVA DERECHO CH 37</t>
  </si>
  <si>
    <t>TUBO DE INTUBACION SELECTIVA DERECHO CH 35</t>
  </si>
  <si>
    <t>SONDA PARA NUTRICION ENTERAL TIPO K108 DE RIVERO</t>
  </si>
  <si>
    <t>SONDA PARA MUESTRA DE SECRECION TRAQUEAL B-2941 TIPO TUBO DE LUKEN</t>
  </si>
  <si>
    <t xml:space="preserve">SONDA PARA DRENAJE TORACICO SILICONADO 150/40 TIPO SILMAG </t>
  </si>
  <si>
    <t xml:space="preserve">SONDA PARA DRENAJE TORACICO SILICONADO 150/28 TIPO SILMAG </t>
  </si>
  <si>
    <t>SONDA FOLEY TRIPLE VIA HEMATURICA Nº18</t>
  </si>
  <si>
    <t>SONDA FOLEY TRIPLE VIA HEMATURICA Nº 22</t>
  </si>
  <si>
    <t>SIERRA GIGLI</t>
  </si>
  <si>
    <t>SET DE VIA CENTRAL SIMPLE LUMEN 7 FRENCH TIPO ARROW</t>
  </si>
  <si>
    <t>SET DE NEFROSTOMIA 16 FRENCH TIPO COOK</t>
  </si>
  <si>
    <t>SET DE NEFROSTOMIA 14 FRENCH TIPO COOK</t>
  </si>
  <si>
    <t xml:space="preserve">MALLA QUIRURGICA SINTETICA NO ABSORBIBLE 30 X 30 TIPO PROLENE </t>
  </si>
  <si>
    <t>MALLA ABSORBIBLE POLIGLICOLICO 30 X 30 TIPO VICRYL</t>
  </si>
  <si>
    <t>LIGACLIP LT 400</t>
  </si>
  <si>
    <t>LIGACLIP LT 300</t>
  </si>
  <si>
    <t>HEMOSUCTOR  X 800 ML</t>
  </si>
  <si>
    <t>GUIA VENOSA Y TRANSDUCTOR DE PRESION P 0.8 TIPO NIPRO</t>
  </si>
  <si>
    <t>GUIA ARTERIAL CON GUIA HEPARINA Y TRANSDUCTOR DE PRESION P 0.8 TIPO NIPRO</t>
  </si>
  <si>
    <t>FILTRO PARA HEMODIALISIS 2.1 m2 HF</t>
  </si>
  <si>
    <t>2.9.6</t>
  </si>
  <si>
    <t xml:space="preserve">Repuestos y Accesorios </t>
  </si>
  <si>
    <t>FILTRO PARA HEMODIALISIS 1.9 m2 HF</t>
  </si>
  <si>
    <t>FILTRO PARA HEMODIALISIS 1.7 m2 HF</t>
  </si>
  <si>
    <t>DRENAJE DE SILICONA ESTERIL TIPO DRENAJE BLAKE</t>
  </si>
  <si>
    <t xml:space="preserve">CONECTOR 150 CM DE BAJA PRESION </t>
  </si>
  <si>
    <t>CLAVO DE KISHNER Nº 5 x 25 CM (CLAVIJAS)</t>
  </si>
  <si>
    <t>CLAVO DE KISHNER Nº 4 x 25 CM (CLAVIJAS)</t>
  </si>
  <si>
    <t>CIRCUITO RESPIRADOR CON TRAMPA DE AGUA AUTOCLAVABLE ADULTO</t>
  </si>
  <si>
    <t>CIRCUITO CERRADO P/ASPIRACION 16 FR</t>
  </si>
  <si>
    <t>CATETER P/HEMODIALISIS DOBLE LUMEN SUBCLAVIA P/HEMODIALISIS 12FR.X 20CM</t>
  </si>
  <si>
    <t>CATETER FOGARTY Nº 5</t>
  </si>
  <si>
    <t>CATETER FOGARTY Nº 4</t>
  </si>
  <si>
    <t>CATETER FOGARTY Nº 3</t>
  </si>
  <si>
    <t>CATETER DOBLE J 7 FRENCH X 46 CM TIPO COOK</t>
  </si>
  <si>
    <t>CATETER DOBLE J 4.8 FRENCH X 46 CM TIPO COOK</t>
  </si>
  <si>
    <t>CATETER DOBLE J 4.7 FR x 26 CM TIPO COOK</t>
  </si>
  <si>
    <t>CANULA PARA TRAQUEOSTOMIA Nº 8</t>
  </si>
  <si>
    <t>CANULA PARA TRAQUEOSTOMIA Nº 7 1/2</t>
  </si>
  <si>
    <t>CANASTILLA DE DORMIA</t>
  </si>
  <si>
    <t>CAMPO DE INCISION U-DRAPE 10-15</t>
  </si>
  <si>
    <t>CAMPO DE INCISION STERI-DRAPE 10-50</t>
  </si>
  <si>
    <t>BOLSA P/ COLOSTOMIA ADULTO</t>
  </si>
  <si>
    <t>BOLSA  P/SANGRE TRIPLE T/CPD ADENINA C/SAFMAN 450 ML</t>
  </si>
  <si>
    <t xml:space="preserve">IMPORTE TOTAL ESTIMADO </t>
  </si>
  <si>
    <t>PRECIO UNITARIO ESTIMADO</t>
  </si>
  <si>
    <t>CANTIDAD</t>
  </si>
  <si>
    <t>UNIDAD DE MEDIDA</t>
  </si>
  <si>
    <t>DESCRIPCION</t>
  </si>
  <si>
    <t xml:space="preserve">I.P.P. </t>
  </si>
  <si>
    <t>RUBRO DE COMPRA</t>
  </si>
  <si>
    <t>CODIGO ITEM</t>
  </si>
  <si>
    <t>ID</t>
  </si>
  <si>
    <t>TRIMESTRE:</t>
  </si>
  <si>
    <t>EJERCICIO:</t>
  </si>
  <si>
    <t>23 - Hospital Interzonal San Juan Bautista</t>
  </si>
  <si>
    <t xml:space="preserve">SAF N°: </t>
  </si>
  <si>
    <t>40 - Ministerio de Salud</t>
  </si>
  <si>
    <t>JURISDICCION:</t>
  </si>
  <si>
    <t>Pedido de Necesidades Trimestrales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</si>
</sst>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2C0A]\ #,##0.00;[$$-2C0A]&quot; -&quot;#,##0.00"/>
    <numFmt numFmtId="165" formatCode="&quot;$&quot;\ #,##0.00"/>
  </numFmts>
  <fonts count="16" x14ac:knownFonts="1">
    <font>
      <sz val="11"/>
      <color theme="1"/>
      <name val="Calibri"/>
      <family val="2"/>
      <scheme val="minor"/>
    </font>
    <font>
      <sz val="11"/>
      <color theme="1"/>
      <name val="Calibri"/>
      <family val="2"/>
      <scheme val="minor"/>
    </font>
    <font>
      <sz val="10"/>
      <name val="Times New Roman"/>
      <family val="1"/>
    </font>
    <font>
      <u/>
      <sz val="10"/>
      <name val="Times New Roman"/>
      <family val="1"/>
    </font>
    <font>
      <sz val="9"/>
      <name val="Times New Roman"/>
      <family val="1"/>
    </font>
    <font>
      <sz val="10"/>
      <color theme="1"/>
      <name val="Arial"/>
      <family val="2"/>
    </font>
    <font>
      <sz val="9"/>
      <color rgb="FF000000"/>
      <name val="Times New Roman"/>
      <family val="1"/>
    </font>
    <font>
      <sz val="11"/>
      <color theme="1"/>
      <name val="Arial"/>
      <family val="2"/>
    </font>
    <font>
      <sz val="10"/>
      <name val="Arial"/>
      <family val="2"/>
    </font>
    <font>
      <sz val="11"/>
      <name val="Arial"/>
      <family val="2"/>
    </font>
    <font>
      <sz val="11"/>
      <color rgb="FF000000"/>
      <name val="Times New Roman"/>
      <family val="1"/>
    </font>
    <font>
      <b/>
      <sz val="10"/>
      <color rgb="FF000000"/>
      <name val="Times New Roman"/>
      <family val="1"/>
    </font>
    <font>
      <sz val="10"/>
      <color rgb="FF000000"/>
      <name val="Times New Roman"/>
      <family val="1"/>
    </font>
    <font>
      <b/>
      <sz val="12"/>
      <color rgb="FF000000"/>
      <name val="Times New Roman"/>
      <family val="1"/>
    </font>
    <font>
      <b/>
      <sz val="11"/>
      <color rgb="FF000000"/>
      <name val="Times New Roman"/>
      <family val="1"/>
    </font>
    <font>
      <b/>
      <sz val="22"/>
      <name val="Times New Roman"/>
      <family val="1"/>
    </font>
  </fonts>
  <fills count="5">
    <fill>
      <patternFill patternType="none"/>
    </fill>
    <fill>
      <patternFill patternType="gray125"/>
    </fill>
    <fill>
      <patternFill patternType="solid">
        <fgColor rgb="FFFFFF00"/>
        <bgColor rgb="FFFFFF00"/>
      </patternFill>
    </fill>
    <fill>
      <patternFill patternType="solid">
        <fgColor theme="0"/>
        <bgColor rgb="FFFFFF00"/>
      </patternFill>
    </fill>
    <fill>
      <patternFill patternType="solid">
        <fgColor theme="0"/>
        <bgColor indexed="64"/>
      </patternFill>
    </fill>
  </fills>
  <borders count="10">
    <border>
      <left/>
      <right/>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medium">
        <color auto="1"/>
      </bottom>
      <diagonal/>
    </border>
  </borders>
  <cellStyleXfs count="4">
    <xf numFmtId="0" fontId="0" fillId="0" borderId="0"/>
    <xf numFmtId="44" fontId="1" fillId="0" borderId="0" applyFont="0" applyFill="0" applyBorder="0" applyAlignment="0" applyProtection="0"/>
    <xf numFmtId="0" fontId="8" fillId="0" borderId="0"/>
    <xf numFmtId="0" fontId="1" fillId="0" borderId="0"/>
  </cellStyleXfs>
  <cellXfs count="45">
    <xf numFmtId="0" fontId="0" fillId="0" borderId="0" xfId="0"/>
    <xf numFmtId="0" fontId="2" fillId="0" borderId="0" xfId="0" applyFont="1"/>
    <xf numFmtId="0" fontId="2" fillId="0" borderId="1" xfId="0" applyFont="1" applyBorder="1"/>
    <xf numFmtId="0" fontId="2" fillId="0" borderId="2" xfId="0" applyFont="1" applyBorder="1"/>
    <xf numFmtId="0" fontId="2" fillId="0" borderId="3" xfId="0" applyFont="1" applyBorder="1" applyAlignment="1">
      <alignment horizontal="left" indent="3"/>
    </xf>
    <xf numFmtId="0" fontId="2" fillId="2" borderId="4" xfId="0" applyFont="1" applyFill="1" applyBorder="1" applyAlignment="1">
      <alignment horizontal="center"/>
    </xf>
    <xf numFmtId="0" fontId="3" fillId="0" borderId="5" xfId="0" applyFont="1" applyBorder="1" applyAlignment="1">
      <alignment horizontal="left" indent="3"/>
    </xf>
    <xf numFmtId="0" fontId="2" fillId="0" borderId="4" xfId="0" applyFont="1" applyBorder="1"/>
    <xf numFmtId="0" fontId="2" fillId="3" borderId="4" xfId="0" applyFont="1" applyFill="1" applyBorder="1" applyAlignment="1">
      <alignment horizontal="left" wrapText="1"/>
    </xf>
    <xf numFmtId="0" fontId="2" fillId="0" borderId="5" xfId="0" applyFont="1" applyBorder="1" applyAlignment="1">
      <alignment horizontal="left" indent="3"/>
    </xf>
    <xf numFmtId="0" fontId="2" fillId="0" borderId="4" xfId="0" applyFont="1" applyBorder="1" applyAlignment="1">
      <alignment horizontal="center" wrapText="1"/>
    </xf>
    <xf numFmtId="0" fontId="2" fillId="0" borderId="0" xfId="0" applyFont="1" applyAlignment="1">
      <alignment horizontal="center" wrapText="1"/>
    </xf>
    <xf numFmtId="0" fontId="2" fillId="2" borderId="4" xfId="0" applyFont="1" applyFill="1" applyBorder="1" applyAlignment="1">
      <alignment horizontal="center" vertical="top" wrapText="1"/>
    </xf>
    <xf numFmtId="0" fontId="2" fillId="3" borderId="4" xfId="0" applyFont="1" applyFill="1" applyBorder="1" applyAlignment="1">
      <alignment horizontal="center"/>
    </xf>
    <xf numFmtId="0" fontId="2" fillId="3" borderId="4" xfId="0" applyFont="1" applyFill="1" applyBorder="1" applyAlignment="1">
      <alignment horizontal="left"/>
    </xf>
    <xf numFmtId="0" fontId="2" fillId="2" borderId="4" xfId="0" applyFont="1" applyFill="1" applyBorder="1" applyAlignment="1">
      <alignment horizontal="center" wrapText="1"/>
    </xf>
    <xf numFmtId="0" fontId="2" fillId="0" borderId="5" xfId="0" applyFont="1" applyBorder="1"/>
    <xf numFmtId="0" fontId="2" fillId="0" borderId="6" xfId="0" applyFont="1" applyBorder="1"/>
    <xf numFmtId="0" fontId="2" fillId="0" borderId="7" xfId="0" applyFont="1" applyBorder="1"/>
    <xf numFmtId="0" fontId="3" fillId="0" borderId="8" xfId="0" applyFont="1" applyBorder="1"/>
    <xf numFmtId="164" fontId="4" fillId="3" borderId="9" xfId="1" applyNumberFormat="1" applyFont="1" applyFill="1" applyBorder="1" applyAlignment="1" applyProtection="1">
      <alignment horizontal="right" vertical="center" wrapText="1"/>
    </xf>
    <xf numFmtId="165" fontId="5" fillId="4" borderId="9" xfId="0" applyNumberFormat="1" applyFont="1" applyFill="1" applyBorder="1" applyAlignment="1">
      <alignment horizontal="center" vertical="center"/>
    </xf>
    <xf numFmtId="0" fontId="5" fillId="4" borderId="9" xfId="0" applyFont="1" applyFill="1" applyBorder="1" applyAlignment="1">
      <alignment horizontal="center" vertical="center"/>
    </xf>
    <xf numFmtId="0" fontId="6" fillId="3" borderId="9" xfId="0" applyFont="1" applyFill="1" applyBorder="1" applyAlignment="1">
      <alignment horizontal="center" vertical="center" wrapText="1"/>
    </xf>
    <xf numFmtId="0" fontId="7" fillId="4" borderId="9" xfId="0" applyFont="1" applyFill="1" applyBorder="1" applyAlignment="1">
      <alignment vertical="center"/>
    </xf>
    <xf numFmtId="0" fontId="6" fillId="0" borderId="9" xfId="0" applyFont="1" applyBorder="1" applyAlignment="1">
      <alignment horizontal="center" vertical="center" wrapText="1"/>
    </xf>
    <xf numFmtId="0" fontId="6" fillId="0" borderId="9" xfId="0" applyFont="1" applyBorder="1" applyAlignment="1">
      <alignment horizontal="left" vertical="center" wrapText="1"/>
    </xf>
    <xf numFmtId="0" fontId="4" fillId="0" borderId="9" xfId="0" applyFont="1" applyBorder="1" applyAlignment="1">
      <alignment horizontal="center" vertical="center"/>
    </xf>
    <xf numFmtId="0" fontId="7" fillId="4" borderId="9" xfId="2" applyFont="1" applyFill="1" applyBorder="1" applyAlignment="1">
      <alignment vertical="center" wrapText="1"/>
    </xf>
    <xf numFmtId="0" fontId="9" fillId="4" borderId="9" xfId="3" applyFont="1" applyFill="1" applyBorder="1" applyAlignment="1">
      <alignment horizontal="left" vertical="center"/>
    </xf>
    <xf numFmtId="0" fontId="7" fillId="4" borderId="9" xfId="0" applyFont="1" applyFill="1" applyBorder="1" applyAlignment="1">
      <alignment vertical="center" wrapText="1"/>
    </xf>
    <xf numFmtId="0" fontId="7" fillId="4" borderId="9" xfId="0" applyFont="1" applyFill="1" applyBorder="1" applyAlignment="1">
      <alignment horizontal="center" vertical="center"/>
    </xf>
    <xf numFmtId="0" fontId="10" fillId="3" borderId="9" xfId="0" applyFont="1" applyFill="1" applyBorder="1" applyAlignment="1">
      <alignment horizontal="center" vertical="center" wrapText="1"/>
    </xf>
    <xf numFmtId="0" fontId="7" fillId="4" borderId="9" xfId="3" applyFont="1" applyFill="1" applyBorder="1" applyAlignment="1">
      <alignment vertical="center"/>
    </xf>
    <xf numFmtId="0" fontId="10" fillId="0" borderId="9" xfId="0" applyFont="1" applyBorder="1" applyAlignment="1">
      <alignment horizontal="center" vertical="center" wrapText="1"/>
    </xf>
    <xf numFmtId="0" fontId="10" fillId="0" borderId="9" xfId="0" applyFont="1" applyBorder="1" applyAlignment="1">
      <alignment horizontal="left" vertical="center" wrapText="1"/>
    </xf>
    <xf numFmtId="0" fontId="7" fillId="4" borderId="9" xfId="0" applyFont="1" applyFill="1" applyBorder="1" applyAlignment="1">
      <alignment horizontal="left" vertical="center" wrapText="1"/>
    </xf>
    <xf numFmtId="0" fontId="11" fillId="0" borderId="9" xfId="0" applyFont="1" applyBorder="1" applyAlignment="1">
      <alignment horizontal="center" vertical="center" wrapText="1"/>
    </xf>
    <xf numFmtId="0" fontId="12" fillId="0" borderId="0" xfId="0" applyFont="1" applyAlignment="1">
      <alignment horizontal="left" wrapText="1"/>
    </xf>
    <xf numFmtId="0" fontId="12" fillId="0" borderId="0" xfId="0" applyFont="1" applyAlignment="1">
      <alignment horizontal="center" wrapText="1"/>
    </xf>
    <xf numFmtId="0" fontId="11" fillId="4" borderId="0" xfId="0" applyFont="1" applyFill="1" applyAlignment="1">
      <alignment horizontal="left" wrapText="1"/>
    </xf>
    <xf numFmtId="0" fontId="13" fillId="3" borderId="0" xfId="0" applyFont="1" applyFill="1" applyAlignment="1">
      <alignment horizontal="left" wrapText="1" indent="1"/>
    </xf>
    <xf numFmtId="0" fontId="14" fillId="0" borderId="0" xfId="0" applyFont="1" applyAlignment="1">
      <alignment horizontal="left" vertical="center" wrapText="1"/>
    </xf>
    <xf numFmtId="0" fontId="13" fillId="3" borderId="0" xfId="0" applyFont="1" applyFill="1" applyAlignment="1">
      <alignment horizontal="left" wrapText="1" indent="1"/>
    </xf>
    <xf numFmtId="0" fontId="15" fillId="0" borderId="0" xfId="0" applyFont="1" applyAlignment="1">
      <alignment horizontal="center"/>
    </xf>
  </cellXfs>
  <cellStyles count="4">
    <cellStyle name="Moneda" xfId="1" builtinId="4"/>
    <cellStyle name="Normal" xfId="0" builtinId="0"/>
    <cellStyle name="Normal 2 2" xfId="2" xr:uid="{D0B38892-7215-4DC6-9667-96A408CB5499}"/>
    <cellStyle name="Normal 4" xfId="3" xr:uid="{5CE5E57F-25EF-47BB-AC7D-AD4AB676B3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E319E-5177-44A7-960B-E35A3A4885C3}">
  <dimension ref="A1:I103"/>
  <sheetViews>
    <sheetView tabSelected="1" workbookViewId="0">
      <selection activeCell="G10" sqref="G10:G53"/>
    </sheetView>
  </sheetViews>
  <sheetFormatPr baseColWidth="10" defaultRowHeight="15" x14ac:dyDescent="0.25"/>
  <cols>
    <col min="1" max="1" width="4.5703125" customWidth="1"/>
    <col min="2" max="2" width="12.85546875" customWidth="1"/>
    <col min="3" max="3" width="32.42578125" customWidth="1"/>
    <col min="4" max="4" width="8.42578125" customWidth="1"/>
    <col min="5" max="5" width="79" customWidth="1"/>
    <col min="7" max="7" width="12.7109375" customWidth="1"/>
    <col min="8" max="8" width="13.85546875" customWidth="1"/>
    <col min="9" max="9" width="18.5703125" customWidth="1"/>
  </cols>
  <sheetData>
    <row r="1" spans="1:9" x14ac:dyDescent="0.25">
      <c r="A1" s="1"/>
      <c r="B1" s="1"/>
      <c r="C1" s="1"/>
      <c r="D1" s="1"/>
      <c r="E1" s="1"/>
      <c r="F1" s="1"/>
      <c r="G1" s="1"/>
      <c r="H1" s="1"/>
      <c r="I1" s="1"/>
    </row>
    <row r="2" spans="1:9" ht="27" x14ac:dyDescent="0.35">
      <c r="A2" s="1"/>
      <c r="B2" s="44" t="s">
        <v>73</v>
      </c>
      <c r="C2" s="44"/>
      <c r="D2" s="44"/>
      <c r="E2" s="44"/>
      <c r="F2" s="44"/>
      <c r="G2" s="44"/>
      <c r="H2" s="44"/>
      <c r="I2" s="1"/>
    </row>
    <row r="3" spans="1:9" x14ac:dyDescent="0.25">
      <c r="A3" s="1"/>
      <c r="B3" s="1"/>
      <c r="C3" s="1"/>
      <c r="D3" s="1"/>
      <c r="E3" s="1"/>
      <c r="F3" s="1"/>
      <c r="G3" s="1"/>
      <c r="H3" s="1"/>
      <c r="I3" s="1"/>
    </row>
    <row r="4" spans="1:9" ht="15.75" x14ac:dyDescent="0.25">
      <c r="A4" s="42" t="s">
        <v>72</v>
      </c>
      <c r="B4" s="42"/>
      <c r="C4" s="43" t="s">
        <v>71</v>
      </c>
      <c r="D4" s="43"/>
      <c r="E4" s="43"/>
      <c r="F4" s="38"/>
      <c r="G4" s="39"/>
      <c r="H4" s="38"/>
      <c r="I4" s="1"/>
    </row>
    <row r="5" spans="1:9" ht="15.75" x14ac:dyDescent="0.25">
      <c r="A5" s="42" t="s">
        <v>70</v>
      </c>
      <c r="B5" s="42"/>
      <c r="C5" s="43" t="s">
        <v>69</v>
      </c>
      <c r="D5" s="43"/>
      <c r="E5" s="43"/>
      <c r="F5" s="38"/>
      <c r="G5" s="39"/>
      <c r="H5" s="38"/>
      <c r="I5" s="1"/>
    </row>
    <row r="6" spans="1:9" ht="15.75" x14ac:dyDescent="0.25">
      <c r="A6" s="42" t="s">
        <v>68</v>
      </c>
      <c r="B6" s="42"/>
      <c r="C6" s="41">
        <v>2021</v>
      </c>
      <c r="D6" s="40"/>
      <c r="E6" s="40"/>
      <c r="F6" s="38"/>
      <c r="G6" s="39"/>
      <c r="H6" s="38"/>
      <c r="I6" s="1"/>
    </row>
    <row r="7" spans="1:9" ht="15.75" x14ac:dyDescent="0.25">
      <c r="A7" s="42" t="s">
        <v>67</v>
      </c>
      <c r="B7" s="42"/>
      <c r="C7" s="41">
        <v>2</v>
      </c>
      <c r="D7" s="40"/>
      <c r="E7" s="40"/>
      <c r="F7" s="38"/>
      <c r="G7" s="39"/>
      <c r="H7" s="38"/>
      <c r="I7" s="1"/>
    </row>
    <row r="8" spans="1:9" ht="15.75" thickBot="1" x14ac:dyDescent="0.3">
      <c r="A8" s="1"/>
      <c r="B8" s="38"/>
      <c r="C8" s="39"/>
      <c r="D8" s="38"/>
      <c r="E8" s="38"/>
      <c r="F8" s="38"/>
      <c r="G8" s="39"/>
      <c r="H8" s="38"/>
      <c r="I8" s="1"/>
    </row>
    <row r="9" spans="1:9" ht="39" thickBot="1" x14ac:dyDescent="0.3">
      <c r="A9" s="37" t="s">
        <v>66</v>
      </c>
      <c r="B9" s="37" t="s">
        <v>65</v>
      </c>
      <c r="C9" s="37" t="s">
        <v>64</v>
      </c>
      <c r="D9" s="37" t="s">
        <v>63</v>
      </c>
      <c r="E9" s="37" t="s">
        <v>62</v>
      </c>
      <c r="F9" s="37" t="s">
        <v>61</v>
      </c>
      <c r="G9" s="37" t="s">
        <v>60</v>
      </c>
      <c r="H9" s="37" t="s">
        <v>59</v>
      </c>
      <c r="I9" s="37" t="s">
        <v>58</v>
      </c>
    </row>
    <row r="10" spans="1:9" ht="15.75" thickBot="1" x14ac:dyDescent="0.3">
      <c r="A10" s="27">
        <v>1</v>
      </c>
      <c r="B10" s="23"/>
      <c r="C10" s="26" t="s">
        <v>12</v>
      </c>
      <c r="D10" s="25" t="s">
        <v>11</v>
      </c>
      <c r="E10" s="24" t="s">
        <v>57</v>
      </c>
      <c r="F10" s="23" t="s">
        <v>9</v>
      </c>
      <c r="G10" s="22">
        <v>1800</v>
      </c>
      <c r="H10" s="21">
        <v>882</v>
      </c>
      <c r="I10" s="20">
        <f>G10*H10</f>
        <v>1587600</v>
      </c>
    </row>
    <row r="11" spans="1:9" ht="15.75" thickBot="1" x14ac:dyDescent="0.3">
      <c r="A11" s="27">
        <v>2</v>
      </c>
      <c r="B11" s="23"/>
      <c r="C11" s="26" t="s">
        <v>12</v>
      </c>
      <c r="D11" s="25" t="s">
        <v>11</v>
      </c>
      <c r="E11" s="24" t="s">
        <v>56</v>
      </c>
      <c r="F11" s="23" t="s">
        <v>9</v>
      </c>
      <c r="G11" s="22">
        <v>1200</v>
      </c>
      <c r="H11" s="21">
        <v>368.01</v>
      </c>
      <c r="I11" s="20">
        <f>G11*H11</f>
        <v>441612</v>
      </c>
    </row>
    <row r="12" spans="1:9" ht="15.75" thickBot="1" x14ac:dyDescent="0.3">
      <c r="A12" s="27">
        <v>3</v>
      </c>
      <c r="B12" s="23"/>
      <c r="C12" s="26" t="s">
        <v>12</v>
      </c>
      <c r="D12" s="25" t="s">
        <v>11</v>
      </c>
      <c r="E12" s="24" t="s">
        <v>55</v>
      </c>
      <c r="F12" s="23" t="s">
        <v>9</v>
      </c>
      <c r="G12" s="22">
        <v>240</v>
      </c>
      <c r="H12" s="21">
        <v>449</v>
      </c>
      <c r="I12" s="20">
        <f>G12*H12</f>
        <v>107760</v>
      </c>
    </row>
    <row r="13" spans="1:9" ht="15.75" thickBot="1" x14ac:dyDescent="0.3">
      <c r="A13" s="27">
        <v>4</v>
      </c>
      <c r="B13" s="23"/>
      <c r="C13" s="26" t="s">
        <v>12</v>
      </c>
      <c r="D13" s="25" t="s">
        <v>11</v>
      </c>
      <c r="E13" s="24" t="s">
        <v>54</v>
      </c>
      <c r="F13" s="23" t="s">
        <v>9</v>
      </c>
      <c r="G13" s="22">
        <v>240</v>
      </c>
      <c r="H13" s="21">
        <v>774</v>
      </c>
      <c r="I13" s="20">
        <f>G13*H13</f>
        <v>185760</v>
      </c>
    </row>
    <row r="14" spans="1:9" ht="15.75" thickBot="1" x14ac:dyDescent="0.3">
      <c r="A14" s="27">
        <v>5</v>
      </c>
      <c r="B14" s="23"/>
      <c r="C14" s="26" t="s">
        <v>12</v>
      </c>
      <c r="D14" s="25" t="s">
        <v>11</v>
      </c>
      <c r="E14" s="24" t="s">
        <v>53</v>
      </c>
      <c r="F14" s="23" t="s">
        <v>9</v>
      </c>
      <c r="G14" s="22">
        <v>5</v>
      </c>
      <c r="H14" s="21">
        <v>35665.800000000003</v>
      </c>
      <c r="I14" s="20">
        <f>G14*H14</f>
        <v>178329</v>
      </c>
    </row>
    <row r="15" spans="1:9" ht="15.75" thickBot="1" x14ac:dyDescent="0.3">
      <c r="A15" s="27">
        <v>6</v>
      </c>
      <c r="B15" s="23"/>
      <c r="C15" s="26" t="s">
        <v>12</v>
      </c>
      <c r="D15" s="25" t="s">
        <v>11</v>
      </c>
      <c r="E15" s="24" t="s">
        <v>52</v>
      </c>
      <c r="F15" s="23" t="s">
        <v>9</v>
      </c>
      <c r="G15" s="22">
        <v>30</v>
      </c>
      <c r="H15" s="21">
        <v>552.79999999999995</v>
      </c>
      <c r="I15" s="20">
        <f>G15*H15</f>
        <v>16584</v>
      </c>
    </row>
    <row r="16" spans="1:9" ht="15.75" thickBot="1" x14ac:dyDescent="0.3">
      <c r="A16" s="27">
        <v>7</v>
      </c>
      <c r="B16" s="23"/>
      <c r="C16" s="26" t="s">
        <v>12</v>
      </c>
      <c r="D16" s="25" t="s">
        <v>11</v>
      </c>
      <c r="E16" s="24" t="s">
        <v>51</v>
      </c>
      <c r="F16" s="23" t="s">
        <v>9</v>
      </c>
      <c r="G16" s="22">
        <v>30</v>
      </c>
      <c r="H16" s="21">
        <v>552.79999999999995</v>
      </c>
      <c r="I16" s="20">
        <f>G16*H16</f>
        <v>16584</v>
      </c>
    </row>
    <row r="17" spans="1:9" ht="15.75" thickBot="1" x14ac:dyDescent="0.3">
      <c r="A17" s="27">
        <v>8</v>
      </c>
      <c r="B17" s="23"/>
      <c r="C17" s="26" t="s">
        <v>12</v>
      </c>
      <c r="D17" s="25" t="s">
        <v>11</v>
      </c>
      <c r="E17" s="24" t="s">
        <v>50</v>
      </c>
      <c r="F17" s="23" t="s">
        <v>9</v>
      </c>
      <c r="G17" s="22">
        <v>6</v>
      </c>
      <c r="H17" s="21">
        <v>7800</v>
      </c>
      <c r="I17" s="20">
        <f>G17*H17</f>
        <v>46800</v>
      </c>
    </row>
    <row r="18" spans="1:9" ht="15.75" thickBot="1" x14ac:dyDescent="0.3">
      <c r="A18" s="27">
        <v>9</v>
      </c>
      <c r="B18" s="23"/>
      <c r="C18" s="26" t="s">
        <v>12</v>
      </c>
      <c r="D18" s="25" t="s">
        <v>11</v>
      </c>
      <c r="E18" s="24" t="s">
        <v>49</v>
      </c>
      <c r="F18" s="23" t="s">
        <v>9</v>
      </c>
      <c r="G18" s="22">
        <v>6</v>
      </c>
      <c r="H18" s="21">
        <v>6870</v>
      </c>
      <c r="I18" s="20">
        <f>G18*H18</f>
        <v>41220</v>
      </c>
    </row>
    <row r="19" spans="1:9" ht="15.75" thickBot="1" x14ac:dyDescent="0.3">
      <c r="A19" s="27">
        <v>10</v>
      </c>
      <c r="B19" s="23"/>
      <c r="C19" s="26" t="s">
        <v>12</v>
      </c>
      <c r="D19" s="25" t="s">
        <v>11</v>
      </c>
      <c r="E19" s="24" t="s">
        <v>48</v>
      </c>
      <c r="F19" s="23" t="s">
        <v>9</v>
      </c>
      <c r="G19" s="22">
        <v>6</v>
      </c>
      <c r="H19" s="21">
        <v>7800</v>
      </c>
      <c r="I19" s="20">
        <f>G19*H19</f>
        <v>46800</v>
      </c>
    </row>
    <row r="20" spans="1:9" ht="15.75" thickBot="1" x14ac:dyDescent="0.3">
      <c r="A20" s="27">
        <v>11</v>
      </c>
      <c r="B20" s="23"/>
      <c r="C20" s="26" t="s">
        <v>12</v>
      </c>
      <c r="D20" s="25" t="s">
        <v>11</v>
      </c>
      <c r="E20" s="24" t="s">
        <v>47</v>
      </c>
      <c r="F20" s="23" t="s">
        <v>9</v>
      </c>
      <c r="G20" s="22">
        <v>3</v>
      </c>
      <c r="H20" s="21">
        <v>3109.4</v>
      </c>
      <c r="I20" s="20">
        <f>G20*H20</f>
        <v>9328.2000000000007</v>
      </c>
    </row>
    <row r="21" spans="1:9" ht="15.75" thickBot="1" x14ac:dyDescent="0.3">
      <c r="A21" s="27">
        <v>12</v>
      </c>
      <c r="B21" s="23"/>
      <c r="C21" s="26" t="s">
        <v>12</v>
      </c>
      <c r="D21" s="25" t="s">
        <v>11</v>
      </c>
      <c r="E21" s="24" t="s">
        <v>46</v>
      </c>
      <c r="F21" s="23" t="s">
        <v>9</v>
      </c>
      <c r="G21" s="22">
        <v>2</v>
      </c>
      <c r="H21" s="21">
        <v>3109.4</v>
      </c>
      <c r="I21" s="20">
        <f>G21*H21</f>
        <v>6218.8</v>
      </c>
    </row>
    <row r="22" spans="1:9" ht="15.75" thickBot="1" x14ac:dyDescent="0.3">
      <c r="A22" s="27">
        <v>13</v>
      </c>
      <c r="B22" s="23"/>
      <c r="C22" s="26" t="s">
        <v>12</v>
      </c>
      <c r="D22" s="25" t="s">
        <v>11</v>
      </c>
      <c r="E22" s="24" t="s">
        <v>45</v>
      </c>
      <c r="F22" s="23" t="s">
        <v>9</v>
      </c>
      <c r="G22" s="22">
        <v>2</v>
      </c>
      <c r="H22" s="21">
        <v>3109.4</v>
      </c>
      <c r="I22" s="20">
        <f>G22*H22</f>
        <v>6218.8</v>
      </c>
    </row>
    <row r="23" spans="1:9" ht="29.25" thickBot="1" x14ac:dyDescent="0.3">
      <c r="A23" s="27">
        <v>14</v>
      </c>
      <c r="B23" s="23"/>
      <c r="C23" s="26" t="s">
        <v>12</v>
      </c>
      <c r="D23" s="25" t="s">
        <v>11</v>
      </c>
      <c r="E23" s="36" t="s">
        <v>44</v>
      </c>
      <c r="F23" s="23" t="s">
        <v>9</v>
      </c>
      <c r="G23" s="22">
        <v>30</v>
      </c>
      <c r="H23" s="21">
        <v>6192</v>
      </c>
      <c r="I23" s="20">
        <f>G23*H23</f>
        <v>185760</v>
      </c>
    </row>
    <row r="24" spans="1:9" ht="15.75" thickBot="1" x14ac:dyDescent="0.3">
      <c r="A24" s="27">
        <v>15</v>
      </c>
      <c r="B24" s="23"/>
      <c r="C24" s="26" t="s">
        <v>12</v>
      </c>
      <c r="D24" s="25" t="s">
        <v>11</v>
      </c>
      <c r="E24" s="24" t="s">
        <v>43</v>
      </c>
      <c r="F24" s="23" t="s">
        <v>9</v>
      </c>
      <c r="G24" s="22">
        <v>90</v>
      </c>
      <c r="H24" s="21">
        <v>3650</v>
      </c>
      <c r="I24" s="20">
        <f>G24*H24</f>
        <v>328500</v>
      </c>
    </row>
    <row r="25" spans="1:9" ht="15.75" thickBot="1" x14ac:dyDescent="0.3">
      <c r="A25" s="27">
        <v>16</v>
      </c>
      <c r="B25" s="23"/>
      <c r="C25" s="26" t="s">
        <v>35</v>
      </c>
      <c r="D25" s="25" t="s">
        <v>34</v>
      </c>
      <c r="E25" s="24" t="s">
        <v>42</v>
      </c>
      <c r="F25" s="23" t="s">
        <v>9</v>
      </c>
      <c r="G25" s="22">
        <v>300</v>
      </c>
      <c r="H25" s="21">
        <v>1412</v>
      </c>
      <c r="I25" s="20">
        <f>G25*H25</f>
        <v>423600</v>
      </c>
    </row>
    <row r="26" spans="1:9" ht="15.75" thickBot="1" x14ac:dyDescent="0.3">
      <c r="A26" s="27">
        <v>17</v>
      </c>
      <c r="B26" s="23"/>
      <c r="C26" s="26" t="s">
        <v>12</v>
      </c>
      <c r="D26" s="25" t="s">
        <v>11</v>
      </c>
      <c r="E26" s="24" t="s">
        <v>41</v>
      </c>
      <c r="F26" s="23" t="s">
        <v>9</v>
      </c>
      <c r="G26" s="22">
        <v>60</v>
      </c>
      <c r="H26" s="21">
        <v>524</v>
      </c>
      <c r="I26" s="20">
        <f>G26*H26</f>
        <v>31440</v>
      </c>
    </row>
    <row r="27" spans="1:9" ht="15.75" thickBot="1" x14ac:dyDescent="0.3">
      <c r="A27" s="27">
        <v>18</v>
      </c>
      <c r="B27" s="23"/>
      <c r="C27" s="26" t="s">
        <v>12</v>
      </c>
      <c r="D27" s="25" t="s">
        <v>11</v>
      </c>
      <c r="E27" s="24" t="s">
        <v>40</v>
      </c>
      <c r="F27" s="23" t="s">
        <v>9</v>
      </c>
      <c r="G27" s="22">
        <v>60</v>
      </c>
      <c r="H27" s="21">
        <v>524</v>
      </c>
      <c r="I27" s="20">
        <f>G27*H27</f>
        <v>31440</v>
      </c>
    </row>
    <row r="28" spans="1:9" ht="15.75" thickBot="1" x14ac:dyDescent="0.3">
      <c r="A28" s="27">
        <v>19</v>
      </c>
      <c r="B28" s="23"/>
      <c r="C28" s="26" t="s">
        <v>12</v>
      </c>
      <c r="D28" s="25" t="s">
        <v>11</v>
      </c>
      <c r="E28" s="24" t="s">
        <v>39</v>
      </c>
      <c r="F28" s="23" t="s">
        <v>9</v>
      </c>
      <c r="G28" s="22">
        <v>5</v>
      </c>
      <c r="H28" s="21">
        <v>1850</v>
      </c>
      <c r="I28" s="20">
        <f>G28*H28</f>
        <v>9250</v>
      </c>
    </row>
    <row r="29" spans="1:9" ht="15.75" thickBot="1" x14ac:dyDescent="0.3">
      <c r="A29" s="27">
        <v>20</v>
      </c>
      <c r="B29" s="23"/>
      <c r="C29" s="26" t="s">
        <v>12</v>
      </c>
      <c r="D29" s="25" t="s">
        <v>11</v>
      </c>
      <c r="E29" s="24" t="s">
        <v>38</v>
      </c>
      <c r="F29" s="23" t="s">
        <v>9</v>
      </c>
      <c r="G29" s="22">
        <v>60</v>
      </c>
      <c r="H29" s="21">
        <v>3335</v>
      </c>
      <c r="I29" s="20">
        <f>G29*H29</f>
        <v>200100</v>
      </c>
    </row>
    <row r="30" spans="1:9" ht="15.75" thickBot="1" x14ac:dyDescent="0.3">
      <c r="A30" s="27">
        <v>21</v>
      </c>
      <c r="B30" s="23"/>
      <c r="C30" s="26" t="s">
        <v>35</v>
      </c>
      <c r="D30" s="25" t="s">
        <v>34</v>
      </c>
      <c r="E30" s="24" t="s">
        <v>37</v>
      </c>
      <c r="F30" s="23" t="s">
        <v>9</v>
      </c>
      <c r="G30" s="22">
        <v>300</v>
      </c>
      <c r="H30" s="21">
        <v>1924.7</v>
      </c>
      <c r="I30" s="20">
        <f>G30*H30</f>
        <v>577410</v>
      </c>
    </row>
    <row r="31" spans="1:9" ht="15.75" thickBot="1" x14ac:dyDescent="0.3">
      <c r="A31" s="27">
        <v>22</v>
      </c>
      <c r="B31" s="23"/>
      <c r="C31" s="35" t="s">
        <v>35</v>
      </c>
      <c r="D31" s="34" t="s">
        <v>34</v>
      </c>
      <c r="E31" s="33" t="s">
        <v>36</v>
      </c>
      <c r="F31" s="32" t="s">
        <v>9</v>
      </c>
      <c r="G31" s="31">
        <v>300</v>
      </c>
      <c r="H31" s="21">
        <v>1924.7</v>
      </c>
      <c r="I31" s="20">
        <f>G31*H31</f>
        <v>577410</v>
      </c>
    </row>
    <row r="32" spans="1:9" ht="15.75" thickBot="1" x14ac:dyDescent="0.3">
      <c r="A32" s="27">
        <v>23</v>
      </c>
      <c r="B32" s="23"/>
      <c r="C32" s="26" t="s">
        <v>35</v>
      </c>
      <c r="D32" s="25" t="s">
        <v>34</v>
      </c>
      <c r="E32" s="24" t="s">
        <v>33</v>
      </c>
      <c r="F32" s="23" t="s">
        <v>9</v>
      </c>
      <c r="G32" s="22">
        <v>300</v>
      </c>
      <c r="H32" s="21">
        <v>1924.7</v>
      </c>
      <c r="I32" s="20">
        <f>G32*H32</f>
        <v>577410</v>
      </c>
    </row>
    <row r="33" spans="1:9" ht="29.25" thickBot="1" x14ac:dyDescent="0.3">
      <c r="A33" s="27">
        <v>24</v>
      </c>
      <c r="B33" s="23"/>
      <c r="C33" s="26" t="s">
        <v>12</v>
      </c>
      <c r="D33" s="25" t="s">
        <v>11</v>
      </c>
      <c r="E33" s="30" t="s">
        <v>32</v>
      </c>
      <c r="F33" s="23" t="s">
        <v>9</v>
      </c>
      <c r="G33" s="22">
        <v>4200</v>
      </c>
      <c r="H33" s="21">
        <v>266.25</v>
      </c>
      <c r="I33" s="20">
        <f>G33*H33</f>
        <v>1118250</v>
      </c>
    </row>
    <row r="34" spans="1:9" ht="15.75" thickBot="1" x14ac:dyDescent="0.3">
      <c r="A34" s="27">
        <v>25</v>
      </c>
      <c r="B34" s="23"/>
      <c r="C34" s="26" t="s">
        <v>12</v>
      </c>
      <c r="D34" s="25" t="s">
        <v>11</v>
      </c>
      <c r="E34" s="24" t="s">
        <v>31</v>
      </c>
      <c r="F34" s="23" t="s">
        <v>9</v>
      </c>
      <c r="G34" s="22">
        <v>4200</v>
      </c>
      <c r="H34" s="21">
        <v>266.25</v>
      </c>
      <c r="I34" s="20">
        <f>G34*H34</f>
        <v>1118250</v>
      </c>
    </row>
    <row r="35" spans="1:9" ht="15.75" thickBot="1" x14ac:dyDescent="0.3">
      <c r="A35" s="27">
        <v>26</v>
      </c>
      <c r="B35" s="23"/>
      <c r="C35" s="26" t="s">
        <v>12</v>
      </c>
      <c r="D35" s="25" t="s">
        <v>11</v>
      </c>
      <c r="E35" s="29" t="s">
        <v>30</v>
      </c>
      <c r="F35" s="23" t="s">
        <v>9</v>
      </c>
      <c r="G35" s="22">
        <v>30</v>
      </c>
      <c r="H35" s="21">
        <v>1205.3</v>
      </c>
      <c r="I35" s="20">
        <f>G35*H35</f>
        <v>36159</v>
      </c>
    </row>
    <row r="36" spans="1:9" ht="15.75" thickBot="1" x14ac:dyDescent="0.3">
      <c r="A36" s="27">
        <v>27</v>
      </c>
      <c r="B36" s="23"/>
      <c r="C36" s="26" t="s">
        <v>12</v>
      </c>
      <c r="D36" s="25" t="s">
        <v>11</v>
      </c>
      <c r="E36" s="24" t="s">
        <v>29</v>
      </c>
      <c r="F36" s="23" t="s">
        <v>9</v>
      </c>
      <c r="G36" s="22">
        <v>250</v>
      </c>
      <c r="H36" s="21">
        <v>153</v>
      </c>
      <c r="I36" s="20">
        <f>G36*H36</f>
        <v>38250</v>
      </c>
    </row>
    <row r="37" spans="1:9" ht="15.75" thickBot="1" x14ac:dyDescent="0.3">
      <c r="A37" s="27">
        <v>28</v>
      </c>
      <c r="B37" s="23"/>
      <c r="C37" s="26" t="s">
        <v>12</v>
      </c>
      <c r="D37" s="25" t="s">
        <v>11</v>
      </c>
      <c r="E37" s="24" t="s">
        <v>28</v>
      </c>
      <c r="F37" s="23" t="s">
        <v>9</v>
      </c>
      <c r="G37" s="22">
        <v>250</v>
      </c>
      <c r="H37" s="21">
        <v>153</v>
      </c>
      <c r="I37" s="20">
        <f>G37*H37</f>
        <v>38250</v>
      </c>
    </row>
    <row r="38" spans="1:9" ht="15.75" thickBot="1" x14ac:dyDescent="0.3">
      <c r="A38" s="27">
        <v>29</v>
      </c>
      <c r="B38" s="23"/>
      <c r="C38" s="26" t="s">
        <v>12</v>
      </c>
      <c r="D38" s="25" t="s">
        <v>11</v>
      </c>
      <c r="E38" s="24" t="s">
        <v>27</v>
      </c>
      <c r="F38" s="23" t="s">
        <v>9</v>
      </c>
      <c r="G38" s="22">
        <v>3</v>
      </c>
      <c r="H38" s="21">
        <v>4725</v>
      </c>
      <c r="I38" s="20">
        <f>G38*H38</f>
        <v>14175</v>
      </c>
    </row>
    <row r="39" spans="1:9" ht="15.75" thickBot="1" x14ac:dyDescent="0.3">
      <c r="A39" s="27">
        <v>30</v>
      </c>
      <c r="B39" s="23"/>
      <c r="C39" s="26" t="s">
        <v>12</v>
      </c>
      <c r="D39" s="25" t="s">
        <v>11</v>
      </c>
      <c r="E39" s="24" t="s">
        <v>26</v>
      </c>
      <c r="F39" s="23" t="s">
        <v>9</v>
      </c>
      <c r="G39" s="22">
        <v>3</v>
      </c>
      <c r="H39" s="21">
        <v>15000</v>
      </c>
      <c r="I39" s="20">
        <f>G39*H39</f>
        <v>45000</v>
      </c>
    </row>
    <row r="40" spans="1:9" ht="15.75" thickBot="1" x14ac:dyDescent="0.3">
      <c r="A40" s="27">
        <v>31</v>
      </c>
      <c r="B40" s="23"/>
      <c r="C40" s="26" t="s">
        <v>12</v>
      </c>
      <c r="D40" s="25" t="s">
        <v>11</v>
      </c>
      <c r="E40" s="24" t="s">
        <v>25</v>
      </c>
      <c r="F40" s="23" t="s">
        <v>9</v>
      </c>
      <c r="G40" s="22">
        <v>1</v>
      </c>
      <c r="H40" s="21">
        <v>43000</v>
      </c>
      <c r="I40" s="20">
        <f>G40*H40</f>
        <v>43000</v>
      </c>
    </row>
    <row r="41" spans="1:9" ht="15.75" thickBot="1" x14ac:dyDescent="0.3">
      <c r="A41" s="27">
        <v>32</v>
      </c>
      <c r="B41" s="23"/>
      <c r="C41" s="26" t="s">
        <v>12</v>
      </c>
      <c r="D41" s="25" t="s">
        <v>11</v>
      </c>
      <c r="E41" s="24" t="s">
        <v>24</v>
      </c>
      <c r="F41" s="23" t="s">
        <v>9</v>
      </c>
      <c r="G41" s="22">
        <v>2</v>
      </c>
      <c r="H41" s="21">
        <v>43000</v>
      </c>
      <c r="I41" s="20">
        <f>G41*H41</f>
        <v>86000</v>
      </c>
    </row>
    <row r="42" spans="1:9" ht="15.75" thickBot="1" x14ac:dyDescent="0.3">
      <c r="A42" s="27">
        <v>33</v>
      </c>
      <c r="B42" s="23"/>
      <c r="C42" s="26" t="s">
        <v>12</v>
      </c>
      <c r="D42" s="25" t="s">
        <v>11</v>
      </c>
      <c r="E42" s="24" t="s">
        <v>23</v>
      </c>
      <c r="F42" s="23" t="s">
        <v>9</v>
      </c>
      <c r="G42" s="22">
        <v>360</v>
      </c>
      <c r="H42" s="21">
        <v>3176</v>
      </c>
      <c r="I42" s="20">
        <f>G42*H42</f>
        <v>1143360</v>
      </c>
    </row>
    <row r="43" spans="1:9" ht="15.75" thickBot="1" x14ac:dyDescent="0.3">
      <c r="A43" s="27">
        <v>34</v>
      </c>
      <c r="B43" s="23"/>
      <c r="C43" s="26" t="s">
        <v>12</v>
      </c>
      <c r="D43" s="25" t="s">
        <v>11</v>
      </c>
      <c r="E43" s="24" t="s">
        <v>22</v>
      </c>
      <c r="F43" s="23" t="s">
        <v>9</v>
      </c>
      <c r="G43" s="22">
        <v>50</v>
      </c>
      <c r="H43" s="21">
        <v>901</v>
      </c>
      <c r="I43" s="20">
        <f>G43*H43</f>
        <v>45050</v>
      </c>
    </row>
    <row r="44" spans="1:9" ht="15.75" thickBot="1" x14ac:dyDescent="0.3">
      <c r="A44" s="27">
        <v>35</v>
      </c>
      <c r="B44" s="23"/>
      <c r="C44" s="26" t="s">
        <v>12</v>
      </c>
      <c r="D44" s="25" t="s">
        <v>11</v>
      </c>
      <c r="E44" s="24" t="s">
        <v>21</v>
      </c>
      <c r="F44" s="23" t="s">
        <v>9</v>
      </c>
      <c r="G44" s="22">
        <v>6</v>
      </c>
      <c r="H44" s="21">
        <v>1961.6</v>
      </c>
      <c r="I44" s="20">
        <f>G44*H44</f>
        <v>11769.599999999999</v>
      </c>
    </row>
    <row r="45" spans="1:9" ht="15.75" thickBot="1" x14ac:dyDescent="0.3">
      <c r="A45" s="27">
        <v>36</v>
      </c>
      <c r="B45" s="23"/>
      <c r="C45" s="26" t="s">
        <v>12</v>
      </c>
      <c r="D45" s="25" t="s">
        <v>11</v>
      </c>
      <c r="E45" s="29" t="s">
        <v>20</v>
      </c>
      <c r="F45" s="23" t="s">
        <v>9</v>
      </c>
      <c r="G45" s="22">
        <v>12</v>
      </c>
      <c r="H45" s="21">
        <v>125</v>
      </c>
      <c r="I45" s="20">
        <f>G45*H45</f>
        <v>1500</v>
      </c>
    </row>
    <row r="46" spans="1:9" ht="15.75" thickBot="1" x14ac:dyDescent="0.3">
      <c r="A46" s="27">
        <v>37</v>
      </c>
      <c r="B46" s="23"/>
      <c r="C46" s="26" t="s">
        <v>12</v>
      </c>
      <c r="D46" s="25" t="s">
        <v>11</v>
      </c>
      <c r="E46" s="24" t="s">
        <v>19</v>
      </c>
      <c r="F46" s="23" t="s">
        <v>9</v>
      </c>
      <c r="G46" s="22">
        <v>120</v>
      </c>
      <c r="H46" s="21">
        <v>3142.7</v>
      </c>
      <c r="I46" s="20">
        <f>G46*H46</f>
        <v>377124</v>
      </c>
    </row>
    <row r="47" spans="1:9" ht="15.75" thickBot="1" x14ac:dyDescent="0.3">
      <c r="A47" s="27">
        <v>38</v>
      </c>
      <c r="B47" s="23"/>
      <c r="C47" s="26" t="s">
        <v>12</v>
      </c>
      <c r="D47" s="25" t="s">
        <v>11</v>
      </c>
      <c r="E47" s="24" t="s">
        <v>18</v>
      </c>
      <c r="F47" s="23" t="s">
        <v>9</v>
      </c>
      <c r="G47" s="22">
        <v>120</v>
      </c>
      <c r="H47" s="21">
        <v>3142.7</v>
      </c>
      <c r="I47" s="20">
        <f>G47*H47</f>
        <v>377124</v>
      </c>
    </row>
    <row r="48" spans="1:9" ht="29.25" thickBot="1" x14ac:dyDescent="0.3">
      <c r="A48" s="27">
        <v>39</v>
      </c>
      <c r="B48" s="23"/>
      <c r="C48" s="26" t="s">
        <v>12</v>
      </c>
      <c r="D48" s="25" t="s">
        <v>11</v>
      </c>
      <c r="E48" s="28" t="s">
        <v>17</v>
      </c>
      <c r="F48" s="23" t="s">
        <v>9</v>
      </c>
      <c r="G48" s="22">
        <v>150</v>
      </c>
      <c r="H48" s="21">
        <v>524.1</v>
      </c>
      <c r="I48" s="20">
        <f>G48*H48</f>
        <v>78615</v>
      </c>
    </row>
    <row r="49" spans="1:9" ht="15.75" thickBot="1" x14ac:dyDescent="0.3">
      <c r="A49" s="27">
        <v>40</v>
      </c>
      <c r="B49" s="23"/>
      <c r="C49" s="26" t="s">
        <v>12</v>
      </c>
      <c r="D49" s="25" t="s">
        <v>11</v>
      </c>
      <c r="E49" s="24" t="s">
        <v>16</v>
      </c>
      <c r="F49" s="23" t="s">
        <v>9</v>
      </c>
      <c r="G49" s="22">
        <v>25</v>
      </c>
      <c r="H49" s="21">
        <v>354.71</v>
      </c>
      <c r="I49" s="20">
        <f>G49*H49</f>
        <v>8867.75</v>
      </c>
    </row>
    <row r="50" spans="1:9" ht="15.75" thickBot="1" x14ac:dyDescent="0.3">
      <c r="A50" s="27">
        <v>41</v>
      </c>
      <c r="B50" s="23"/>
      <c r="C50" s="26" t="s">
        <v>12</v>
      </c>
      <c r="D50" s="25" t="s">
        <v>11</v>
      </c>
      <c r="E50" s="24" t="s">
        <v>15</v>
      </c>
      <c r="F50" s="23" t="s">
        <v>9</v>
      </c>
      <c r="G50" s="22">
        <v>2</v>
      </c>
      <c r="H50" s="21">
        <v>6857</v>
      </c>
      <c r="I50" s="20">
        <f>G50*H50</f>
        <v>13714</v>
      </c>
    </row>
    <row r="51" spans="1:9" ht="15.75" thickBot="1" x14ac:dyDescent="0.3">
      <c r="A51" s="27">
        <v>42</v>
      </c>
      <c r="B51" s="23"/>
      <c r="C51" s="26" t="s">
        <v>12</v>
      </c>
      <c r="D51" s="25" t="s">
        <v>11</v>
      </c>
      <c r="E51" s="24" t="s">
        <v>14</v>
      </c>
      <c r="F51" s="23" t="s">
        <v>9</v>
      </c>
      <c r="G51" s="22">
        <v>2</v>
      </c>
      <c r="H51" s="21">
        <v>6857</v>
      </c>
      <c r="I51" s="20">
        <f>G51*H51</f>
        <v>13714</v>
      </c>
    </row>
    <row r="52" spans="1:9" ht="15.75" thickBot="1" x14ac:dyDescent="0.3">
      <c r="A52" s="27">
        <v>43</v>
      </c>
      <c r="B52" s="23"/>
      <c r="C52" s="26" t="s">
        <v>12</v>
      </c>
      <c r="D52" s="25" t="s">
        <v>11</v>
      </c>
      <c r="E52" s="24" t="s">
        <v>13</v>
      </c>
      <c r="F52" s="23" t="s">
        <v>9</v>
      </c>
      <c r="G52" s="22">
        <v>2</v>
      </c>
      <c r="H52" s="21">
        <v>6857</v>
      </c>
      <c r="I52" s="20">
        <f>G52*H52</f>
        <v>13714</v>
      </c>
    </row>
    <row r="53" spans="1:9" ht="15.75" thickBot="1" x14ac:dyDescent="0.3">
      <c r="A53" s="27">
        <v>44</v>
      </c>
      <c r="B53" s="23"/>
      <c r="C53" s="26" t="s">
        <v>12</v>
      </c>
      <c r="D53" s="25" t="s">
        <v>11</v>
      </c>
      <c r="E53" s="24" t="s">
        <v>10</v>
      </c>
      <c r="F53" s="23" t="s">
        <v>9</v>
      </c>
      <c r="G53" s="22">
        <v>2</v>
      </c>
      <c r="H53" s="21">
        <v>6857</v>
      </c>
      <c r="I53" s="20">
        <f>G53*H53</f>
        <v>13714</v>
      </c>
    </row>
    <row r="54" spans="1:9" x14ac:dyDescent="0.25">
      <c r="A54" s="1"/>
      <c r="B54" s="1"/>
      <c r="C54" s="1"/>
      <c r="D54" s="1"/>
      <c r="E54" s="1"/>
      <c r="F54" s="1"/>
      <c r="G54" s="1"/>
      <c r="H54" s="1"/>
      <c r="I54" s="1"/>
    </row>
    <row r="55" spans="1:9" ht="15.75" thickBot="1" x14ac:dyDescent="0.3">
      <c r="A55" s="1"/>
      <c r="B55" s="1"/>
      <c r="C55" s="1"/>
      <c r="D55" s="1"/>
      <c r="E55" s="1"/>
      <c r="F55" s="1"/>
      <c r="G55" s="1"/>
      <c r="H55" s="1"/>
      <c r="I55" s="1"/>
    </row>
    <row r="56" spans="1:9" x14ac:dyDescent="0.25">
      <c r="A56" s="1"/>
      <c r="B56" s="19" t="s">
        <v>8</v>
      </c>
      <c r="C56" s="18"/>
      <c r="D56" s="18"/>
      <c r="E56" s="17"/>
      <c r="F56" s="1"/>
      <c r="G56" s="1"/>
      <c r="H56" s="1"/>
      <c r="I56" s="1"/>
    </row>
    <row r="57" spans="1:9" x14ac:dyDescent="0.25">
      <c r="A57" s="1"/>
      <c r="B57" s="16"/>
      <c r="C57" s="1"/>
      <c r="D57" s="1"/>
      <c r="E57" s="7"/>
      <c r="F57" s="1"/>
      <c r="G57" s="1"/>
      <c r="H57" s="1"/>
      <c r="I57" s="1"/>
    </row>
    <row r="58" spans="1:9" x14ac:dyDescent="0.25">
      <c r="A58" s="1"/>
      <c r="B58" s="6" t="s">
        <v>7</v>
      </c>
      <c r="C58" s="1"/>
      <c r="D58" s="1"/>
      <c r="E58" s="7"/>
      <c r="F58" s="1"/>
      <c r="G58" s="1"/>
      <c r="H58" s="1"/>
      <c r="I58" s="1"/>
    </row>
    <row r="59" spans="1:9" x14ac:dyDescent="0.25">
      <c r="A59" s="1"/>
      <c r="B59" s="6"/>
      <c r="C59" s="15"/>
      <c r="D59" s="15"/>
      <c r="E59" s="15"/>
      <c r="F59" s="1"/>
      <c r="G59" s="1"/>
      <c r="H59" s="1"/>
      <c r="I59" s="1"/>
    </row>
    <row r="60" spans="1:9" x14ac:dyDescent="0.25">
      <c r="A60" s="1"/>
      <c r="B60" s="6" t="s">
        <v>6</v>
      </c>
      <c r="C60" s="1"/>
      <c r="D60" s="1"/>
      <c r="E60" s="7"/>
      <c r="F60" s="1"/>
      <c r="G60" s="1"/>
      <c r="H60" s="1"/>
      <c r="I60" s="1"/>
    </row>
    <row r="61" spans="1:9" x14ac:dyDescent="0.25">
      <c r="A61" s="1"/>
      <c r="B61" s="9"/>
      <c r="C61" s="14" t="s">
        <v>5</v>
      </c>
      <c r="D61" s="14"/>
      <c r="E61" s="14"/>
      <c r="F61" s="1"/>
      <c r="G61" s="1"/>
      <c r="H61" s="1"/>
      <c r="I61" s="1"/>
    </row>
    <row r="62" spans="1:9" x14ac:dyDescent="0.25">
      <c r="A62" s="1"/>
      <c r="B62" s="9"/>
      <c r="C62" s="13"/>
      <c r="D62" s="13"/>
      <c r="E62" s="13"/>
      <c r="F62" s="1"/>
      <c r="G62" s="1"/>
      <c r="H62" s="1"/>
      <c r="I62" s="1"/>
    </row>
    <row r="63" spans="1:9" x14ac:dyDescent="0.25">
      <c r="A63" s="1"/>
      <c r="B63" s="6" t="s">
        <v>4</v>
      </c>
      <c r="C63" s="1"/>
      <c r="D63" s="1"/>
      <c r="E63" s="7"/>
      <c r="F63" s="1"/>
      <c r="G63" s="1"/>
      <c r="H63" s="1"/>
      <c r="I63" s="1"/>
    </row>
    <row r="64" spans="1:9" x14ac:dyDescent="0.25">
      <c r="A64" s="1"/>
      <c r="B64" s="9"/>
      <c r="C64" s="12" t="s">
        <v>3</v>
      </c>
      <c r="D64" s="12"/>
      <c r="E64" s="12"/>
      <c r="F64" s="1"/>
      <c r="G64" s="1"/>
      <c r="H64" s="1"/>
      <c r="I64" s="1"/>
    </row>
    <row r="65" spans="1:9" x14ac:dyDescent="0.25">
      <c r="A65" s="1"/>
      <c r="B65" s="6" t="s">
        <v>2</v>
      </c>
      <c r="C65" s="11"/>
      <c r="D65" s="11"/>
      <c r="E65" s="10"/>
      <c r="F65" s="1"/>
      <c r="G65" s="1"/>
      <c r="H65" s="1"/>
      <c r="I65" s="1"/>
    </row>
    <row r="66" spans="1:9" x14ac:dyDescent="0.25">
      <c r="A66" s="1"/>
      <c r="B66" s="9"/>
      <c r="C66" s="8" t="s">
        <v>1</v>
      </c>
      <c r="D66" s="8"/>
      <c r="E66" s="8"/>
      <c r="F66" s="1"/>
      <c r="G66" s="1"/>
      <c r="H66" s="1"/>
      <c r="I66" s="1"/>
    </row>
    <row r="67" spans="1:9" x14ac:dyDescent="0.25">
      <c r="A67" s="1"/>
      <c r="B67" s="6" t="s">
        <v>0</v>
      </c>
      <c r="C67" s="1"/>
      <c r="D67" s="1"/>
      <c r="E67" s="7"/>
      <c r="F67" s="1"/>
      <c r="G67" s="1"/>
      <c r="H67" s="1"/>
      <c r="I67" s="1"/>
    </row>
    <row r="68" spans="1:9" x14ac:dyDescent="0.25">
      <c r="A68" s="1"/>
      <c r="B68" s="6"/>
      <c r="C68" s="5"/>
      <c r="D68" s="5"/>
      <c r="E68" s="5"/>
      <c r="F68" s="1"/>
      <c r="G68" s="1"/>
      <c r="H68" s="1"/>
      <c r="I68" s="1"/>
    </row>
    <row r="69" spans="1:9" ht="15.75" thickBot="1" x14ac:dyDescent="0.3">
      <c r="A69" s="1"/>
      <c r="B69" s="4"/>
      <c r="C69" s="3"/>
      <c r="D69" s="3"/>
      <c r="E69" s="2"/>
      <c r="F69" s="1"/>
      <c r="G69" s="1"/>
      <c r="H69" s="1"/>
      <c r="I69" s="1"/>
    </row>
    <row r="70" spans="1:9" x14ac:dyDescent="0.25">
      <c r="A70" s="1"/>
      <c r="B70" s="1"/>
      <c r="C70" s="1"/>
      <c r="D70" s="1"/>
      <c r="E70" s="1"/>
      <c r="F70" s="1"/>
      <c r="G70" s="1"/>
      <c r="H70" s="1"/>
      <c r="I70" s="1"/>
    </row>
    <row r="71" spans="1:9" x14ac:dyDescent="0.25">
      <c r="A71" s="1"/>
      <c r="B71" s="1"/>
      <c r="C71" s="1"/>
      <c r="D71" s="1"/>
      <c r="E71" s="1"/>
      <c r="F71" s="1"/>
      <c r="G71" s="1"/>
      <c r="H71" s="1"/>
      <c r="I71" s="1"/>
    </row>
    <row r="72" spans="1:9" x14ac:dyDescent="0.25">
      <c r="A72" s="1"/>
      <c r="B72" s="1"/>
      <c r="C72" s="1"/>
      <c r="D72" s="1"/>
      <c r="E72" s="1"/>
      <c r="F72" s="1"/>
      <c r="G72" s="1"/>
      <c r="H72" s="1"/>
      <c r="I72" s="1"/>
    </row>
    <row r="73" spans="1:9" x14ac:dyDescent="0.25">
      <c r="A73" s="1"/>
      <c r="B73" s="1"/>
      <c r="C73" s="1"/>
      <c r="D73" s="1"/>
      <c r="E73" s="1"/>
      <c r="F73" s="1"/>
      <c r="G73" s="1"/>
      <c r="H73" s="1"/>
      <c r="I73" s="1"/>
    </row>
    <row r="74" spans="1:9" x14ac:dyDescent="0.25">
      <c r="A74" s="1"/>
      <c r="B74" s="1"/>
      <c r="C74" s="1"/>
      <c r="D74" s="1"/>
      <c r="E74" s="1"/>
      <c r="F74" s="1"/>
      <c r="G74" s="1"/>
      <c r="H74" s="1"/>
      <c r="I74" s="1"/>
    </row>
    <row r="75" spans="1:9" x14ac:dyDescent="0.25">
      <c r="A75" s="1"/>
      <c r="B75" s="1"/>
      <c r="C75" s="1"/>
      <c r="D75" s="1"/>
      <c r="E75" s="1"/>
      <c r="F75" s="1"/>
      <c r="G75" s="1"/>
      <c r="H75" s="1"/>
      <c r="I75" s="1"/>
    </row>
    <row r="76" spans="1:9" x14ac:dyDescent="0.25">
      <c r="A76" s="1"/>
      <c r="B76" s="1"/>
      <c r="C76" s="1"/>
      <c r="D76" s="1"/>
      <c r="E76" s="1"/>
      <c r="F76" s="1"/>
      <c r="G76" s="1"/>
      <c r="H76" s="1"/>
      <c r="I76" s="1"/>
    </row>
    <row r="77" spans="1:9" x14ac:dyDescent="0.25">
      <c r="A77" s="1"/>
      <c r="B77" s="1"/>
      <c r="C77" s="1"/>
      <c r="D77" s="1"/>
      <c r="E77" s="1"/>
      <c r="F77" s="1"/>
      <c r="G77" s="1"/>
      <c r="H77" s="1"/>
      <c r="I77" s="1"/>
    </row>
    <row r="78" spans="1:9" x14ac:dyDescent="0.25">
      <c r="A78" s="1"/>
      <c r="B78" s="1"/>
      <c r="C78" s="1"/>
      <c r="D78" s="1"/>
      <c r="E78" s="1"/>
      <c r="F78" s="1"/>
      <c r="G78" s="1"/>
      <c r="H78" s="1"/>
      <c r="I78" s="1"/>
    </row>
    <row r="79" spans="1:9" x14ac:dyDescent="0.25">
      <c r="A79" s="1"/>
      <c r="B79" s="1"/>
      <c r="C79" s="1"/>
      <c r="D79" s="1"/>
      <c r="E79" s="1"/>
      <c r="F79" s="1"/>
      <c r="G79" s="1"/>
      <c r="H79" s="1"/>
      <c r="I79" s="1"/>
    </row>
    <row r="80" spans="1:9" x14ac:dyDescent="0.25">
      <c r="A80" s="1"/>
      <c r="B80" s="1"/>
      <c r="C80" s="1"/>
      <c r="D80" s="1"/>
      <c r="E80" s="1"/>
      <c r="F80" s="1"/>
      <c r="G80" s="1"/>
      <c r="H80" s="1"/>
      <c r="I80" s="1"/>
    </row>
    <row r="81" spans="1:9" x14ac:dyDescent="0.25">
      <c r="A81" s="1"/>
      <c r="B81" s="1"/>
      <c r="C81" s="1"/>
      <c r="D81" s="1"/>
      <c r="E81" s="1"/>
      <c r="F81" s="1"/>
      <c r="G81" s="1"/>
      <c r="H81" s="1"/>
      <c r="I81" s="1"/>
    </row>
    <row r="82" spans="1:9" x14ac:dyDescent="0.25">
      <c r="A82" s="1"/>
      <c r="B82" s="1"/>
      <c r="C82" s="1"/>
      <c r="D82" s="1"/>
      <c r="E82" s="1"/>
      <c r="F82" s="1"/>
      <c r="G82" s="1"/>
      <c r="H82" s="1"/>
      <c r="I82" s="1"/>
    </row>
    <row r="83" spans="1:9" x14ac:dyDescent="0.25">
      <c r="A83" s="1"/>
      <c r="B83" s="1"/>
      <c r="C83" s="1"/>
      <c r="D83" s="1"/>
      <c r="E83" s="1"/>
      <c r="F83" s="1"/>
      <c r="G83" s="1"/>
      <c r="H83" s="1"/>
      <c r="I83" s="1"/>
    </row>
    <row r="84" spans="1:9" x14ac:dyDescent="0.25">
      <c r="A84" s="1"/>
      <c r="B84" s="1"/>
      <c r="C84" s="1"/>
      <c r="D84" s="1"/>
      <c r="E84" s="1"/>
      <c r="F84" s="1"/>
      <c r="G84" s="1"/>
      <c r="H84" s="1"/>
      <c r="I84" s="1"/>
    </row>
    <row r="85" spans="1:9" x14ac:dyDescent="0.25">
      <c r="A85" s="1"/>
      <c r="B85" s="1"/>
      <c r="C85" s="1"/>
      <c r="D85" s="1"/>
      <c r="E85" s="1"/>
      <c r="F85" s="1"/>
      <c r="G85" s="1"/>
      <c r="H85" s="1"/>
      <c r="I85" s="1"/>
    </row>
    <row r="86" spans="1:9" x14ac:dyDescent="0.25">
      <c r="A86" s="1"/>
      <c r="B86" s="1"/>
      <c r="C86" s="1"/>
      <c r="D86" s="1"/>
      <c r="E86" s="1"/>
      <c r="F86" s="1"/>
      <c r="G86" s="1"/>
      <c r="H86" s="1"/>
      <c r="I86" s="1"/>
    </row>
    <row r="87" spans="1:9" x14ac:dyDescent="0.25">
      <c r="A87" s="1"/>
      <c r="B87" s="1"/>
      <c r="C87" s="1"/>
      <c r="D87" s="1"/>
      <c r="E87" s="1"/>
      <c r="F87" s="1"/>
      <c r="G87" s="1"/>
      <c r="H87" s="1"/>
      <c r="I87" s="1"/>
    </row>
    <row r="88" spans="1:9" x14ac:dyDescent="0.25">
      <c r="A88" s="1"/>
      <c r="B88" s="1"/>
      <c r="C88" s="1"/>
      <c r="D88" s="1"/>
      <c r="E88" s="1"/>
      <c r="F88" s="1"/>
      <c r="G88" s="1"/>
      <c r="H88" s="1"/>
      <c r="I88" s="1"/>
    </row>
    <row r="89" spans="1:9" x14ac:dyDescent="0.25">
      <c r="A89" s="1"/>
      <c r="B89" s="1"/>
      <c r="C89" s="1"/>
      <c r="D89" s="1"/>
      <c r="E89" s="1"/>
      <c r="F89" s="1"/>
      <c r="G89" s="1"/>
      <c r="H89" s="1"/>
      <c r="I89" s="1"/>
    </row>
    <row r="90" spans="1:9" x14ac:dyDescent="0.25">
      <c r="A90" s="1"/>
      <c r="B90" s="1"/>
      <c r="C90" s="1"/>
      <c r="D90" s="1"/>
      <c r="E90" s="1"/>
      <c r="F90" s="1"/>
      <c r="G90" s="1"/>
      <c r="H90" s="1"/>
      <c r="I90" s="1"/>
    </row>
    <row r="91" spans="1:9" x14ac:dyDescent="0.25">
      <c r="A91" s="1"/>
      <c r="B91" s="1"/>
      <c r="C91" s="1"/>
      <c r="D91" s="1"/>
      <c r="E91" s="1"/>
      <c r="F91" s="1"/>
      <c r="G91" s="1"/>
      <c r="H91" s="1"/>
      <c r="I91" s="1"/>
    </row>
    <row r="92" spans="1:9" x14ac:dyDescent="0.25">
      <c r="A92" s="1"/>
      <c r="B92" s="1"/>
      <c r="C92" s="1"/>
      <c r="D92" s="1"/>
      <c r="E92" s="1"/>
      <c r="F92" s="1"/>
      <c r="G92" s="1"/>
      <c r="H92" s="1"/>
      <c r="I92" s="1"/>
    </row>
    <row r="93" spans="1:9" x14ac:dyDescent="0.25">
      <c r="A93" s="1"/>
      <c r="B93" s="1"/>
      <c r="C93" s="1"/>
      <c r="D93" s="1"/>
      <c r="E93" s="1"/>
      <c r="F93" s="1"/>
      <c r="G93" s="1"/>
      <c r="H93" s="1"/>
      <c r="I93" s="1"/>
    </row>
    <row r="94" spans="1:9" x14ac:dyDescent="0.25">
      <c r="A94" s="1"/>
      <c r="B94" s="1"/>
      <c r="C94" s="1"/>
      <c r="D94" s="1"/>
      <c r="E94" s="1"/>
      <c r="F94" s="1"/>
      <c r="G94" s="1"/>
      <c r="H94" s="1"/>
      <c r="I94" s="1"/>
    </row>
    <row r="95" spans="1:9" x14ac:dyDescent="0.25">
      <c r="A95" s="1"/>
      <c r="B95" s="1"/>
      <c r="C95" s="1"/>
      <c r="D95" s="1"/>
      <c r="E95" s="1"/>
      <c r="F95" s="1"/>
      <c r="G95" s="1"/>
      <c r="H95" s="1"/>
      <c r="I95" s="1"/>
    </row>
    <row r="96" spans="1:9" x14ac:dyDescent="0.25">
      <c r="A96" s="1"/>
      <c r="B96" s="1"/>
      <c r="C96" s="1"/>
      <c r="D96" s="1"/>
      <c r="E96" s="1"/>
      <c r="F96" s="1"/>
      <c r="G96" s="1"/>
      <c r="H96" s="1"/>
      <c r="I96" s="1"/>
    </row>
    <row r="97" spans="1:9" x14ac:dyDescent="0.25">
      <c r="A97" s="1"/>
      <c r="B97" s="1"/>
      <c r="C97" s="1"/>
      <c r="D97" s="1"/>
      <c r="E97" s="1"/>
      <c r="F97" s="1"/>
      <c r="G97" s="1"/>
      <c r="H97" s="1"/>
      <c r="I97" s="1"/>
    </row>
    <row r="98" spans="1:9" x14ac:dyDescent="0.25">
      <c r="A98" s="1"/>
      <c r="B98" s="1"/>
      <c r="C98" s="1"/>
      <c r="D98" s="1"/>
      <c r="E98" s="1"/>
      <c r="F98" s="1"/>
      <c r="G98" s="1"/>
      <c r="H98" s="1"/>
      <c r="I98" s="1"/>
    </row>
    <row r="99" spans="1:9" x14ac:dyDescent="0.25">
      <c r="A99" s="1"/>
      <c r="B99" s="1"/>
      <c r="C99" s="1"/>
      <c r="D99" s="1"/>
      <c r="E99" s="1"/>
      <c r="F99" s="1"/>
      <c r="G99" s="1"/>
      <c r="H99" s="1"/>
      <c r="I99" s="1"/>
    </row>
    <row r="100" spans="1:9" x14ac:dyDescent="0.25">
      <c r="A100" s="1"/>
      <c r="B100" s="1"/>
      <c r="C100" s="1"/>
      <c r="D100" s="1"/>
      <c r="E100" s="1"/>
      <c r="F100" s="1"/>
      <c r="G100" s="1"/>
      <c r="H100" s="1"/>
      <c r="I100" s="1"/>
    </row>
    <row r="101" spans="1:9" x14ac:dyDescent="0.25">
      <c r="A101" s="1"/>
      <c r="B101" s="1"/>
      <c r="C101" s="1"/>
      <c r="D101" s="1"/>
      <c r="E101" s="1"/>
      <c r="F101" s="1"/>
      <c r="G101" s="1"/>
      <c r="H101" s="1"/>
      <c r="I101" s="1"/>
    </row>
    <row r="102" spans="1:9" x14ac:dyDescent="0.25">
      <c r="A102" s="1"/>
      <c r="B102" s="1"/>
      <c r="C102" s="1"/>
      <c r="D102" s="1"/>
      <c r="E102" s="1"/>
      <c r="F102" s="1"/>
      <c r="G102" s="1"/>
      <c r="H102" s="1"/>
      <c r="I102" s="1"/>
    </row>
    <row r="103" spans="1:9" x14ac:dyDescent="0.25">
      <c r="A103" s="1"/>
      <c r="B103" s="1"/>
      <c r="C103" s="1"/>
      <c r="D103" s="1"/>
      <c r="E103" s="1"/>
      <c r="F103" s="1"/>
      <c r="G103" s="1"/>
      <c r="H103" s="1"/>
      <c r="I103" s="1"/>
    </row>
  </sheetData>
  <mergeCells count="13">
    <mergeCell ref="C68:E68"/>
    <mergeCell ref="C59:E59"/>
    <mergeCell ref="C62:E62"/>
    <mergeCell ref="C64:E64"/>
    <mergeCell ref="C66:E66"/>
    <mergeCell ref="C61:E61"/>
    <mergeCell ref="B2:H2"/>
    <mergeCell ref="C5:E5"/>
    <mergeCell ref="A7:B7"/>
    <mergeCell ref="A6:B6"/>
    <mergeCell ref="A5:B5"/>
    <mergeCell ref="A4:B4"/>
    <mergeCell ref="C4: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HSJB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COMPRAS</dc:creator>
  <cp:lastModifiedBy>COMPRAS</cp:lastModifiedBy>
  <dcterms:created xsi:type="dcterms:W3CDTF">2021-08-12T14:26:28Z</dcterms:created>
  <dcterms:modified xsi:type="dcterms:W3CDTF">2021-08-12T14:29:01Z</dcterms:modified>
</cp:coreProperties>
</file>