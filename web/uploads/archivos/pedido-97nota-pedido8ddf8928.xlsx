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383150-CAT-DPPR#MHP\"/>
    </mc:Choice>
  </mc:AlternateContent>
  <xr:revisionPtr revIDLastSave="0" documentId="8_{9776BFD2-9BC5-47C3-B1D7-06DC04B619E0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NotaPedido'!$A$1:$K$13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" i="3" l="1"/>
  <c r="A19" i="3"/>
  <c r="I10" i="1"/>
  <c r="A10" i="3"/>
  <c r="B12" i="2"/>
  <c r="I11" i="1" l="1"/>
  <c r="J13" i="2" s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<sst xmlns="http://schemas.openxmlformats.org/spreadsheetml/2006/main" count="89" uniqueCount="78">
  <si>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</si>
  <si>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</si>
  <si>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</si>
  <si>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</si>
  <si>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</si>
  <si>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</si>
  <si>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</si>
  <si>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</si>
  <si>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</si>
  <si>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</si>
  <si>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</si>
  <si>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</si>
  <si>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</si>
  <si>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</si>
  <si>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</si>
  <si>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</si>
  <si>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4.3.2-1715.24</t>
  </si>
  <si>
    <t>EQUIPO DE TRANSPORTE , TRACCION Y ELEVACION.</t>
  </si>
  <si>
    <t>4.3.2.</t>
  </si>
  <si>
    <t>CAMIONETAS; MARCA: SIN VALOR, MODELO: SIN VALOR, TIPO: PICK UP, AÑO: SIN VALOR, MOTOR: TURBO DIESEL, UBICACION MOTOR: DELANTERA, POTENCIA: 90 CV, CILINDRADA: 1900 CM3, Nº DE CILINDROS: 4, COMPRESION: 16,6:1, LARGO/ANCHO/ALTO: 4,5 X 1,7 X 1,6 M, TRACCION: 4 X 4, MARCHA: SIN VALOR, TANQUE COMBUSTIBLE: 60 L, EMBRAGUE: MONODISCO SECO, CANT. DE CILINDROS: 4, CAPACIDAD DEL TANQUE: 60 L, DIMENSION (PROF/ANCHO/ALTO): 4,5 X 1,7 X 1,6 M, TIPO DE MOTOR: DIESEL</t>
  </si>
  <si>
    <t>UNIDAD</t>
  </si>
  <si>
    <t>Especificidades Item N° 1</t>
  </si>
  <si>
    <t>Descripción</t>
  </si>
  <si>
    <r>
      <t>CARACTERÍSTICAS:</t>
    </r>
    <r>
      <rPr>
        <sz val="10"/>
        <rFont val="Century Gothic"/>
        <family val="2"/>
      </rPr>
      <t xml:space="preserve"> Camioneta tipo doble cabina,  Cilindrada 1.900 cc como mínimo - Alimentación: Inyección directa electrónica tipo Common Rail- Cilindros: 4 en  línea – Dirección: Hidráulica – Transmisión: Caja de cambios manual 5 velocidades adelante como mínimo / 1 atrás. Tracción: Doble 4x4 Llantas y neumáticos: neumáticos tipo radial sin cámara y llantas 16 x 6.5 como mínimo – Combustible: Diesel. Tanque de combustible: capacidad de 60 lts como mínimo. Potencia: 90 CV (como mínimo)- Frenos: Sistema de Frenos ABS / disco ventilado – Suspensión: Delantera independiente con barra de torsión o con doble brazo de suspensión, o con resortes helicoidales y amortiguadores telescópicos hidráulicos, traseros muelles semielicticos o eje rígido, con elásticos longitudinales y amortiguadores telescópicos  hidráulicos. Capacidad de Carga:  750 Kg como mínimo. Equipamiento Exterior: Protector de Carter, baranda con lanza en caja de carga. Cobertor de caja original.  Equipamiento Interior: Aire acondicionado, radio AM-FM con USB- asiento original de fabrica, con apoya cabezas regulables, con matafuego y herramienta estándar de fabrica,  ruedas de auxilio, protector automático VIGIA línea 500, extra plano para pick up. Seguridad: Cinturón de Seguridad  inerciales, con regulación de altura, de dos puntos- Doble Airbag delanteros (volante para conductor y Frente de torpedo para acompañante) - Batería de 12 V 75 A. Equipamiento policial: BALIZA lumínica color azul, vista 360°, delantera / trasera / lateral todas con LED, tecnología LED secuencial alto brillo. BARRAL, longitud conforme modelo de camioneta. (02) FAROS frontales en parrilla, color azul con destello alternativo. Tensión de alimentación 12 v 1ª. SIRENA bajo capot multitono (mínimo 2 tonos), secuencial automático de 75W de potencia. Más plano de instalación, manual de usuario, manual de servicio técnico. Con accionamientos de funciones individuales: barral / baliza frontal / sirena Ploteo: según modelo de móvil policia 
 Además deberá especificar: 1) SERVICIOS que cubre la concesionaria sin cargo y cuáles no (indicando progresivamente cada service); 2) CURSO DE CAPACITACIÓN para el personal de mantenimiento; 3)Manual de información y reseteo del vehículo; 4) PATENTAMIENTO a nombre de “POLICIA DE LA PROVINCIA DE CATAMARCA” – 5) COBERTURA DE SEGURO OBLIGATORIO de responsabilidad civil contra terceros y terceros transportados por 60 (sesenta) días, contados a partir de la recepción definitiva de los móviles. ------------------------------------------------------------------------------------------------------------------------------------------------------------------</t>
    </r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</si>
  <si>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</si>
  <si>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(05) días hábiles, contados a partir de la recepción de la comunicación prevista en el Reglamento Parcial N° 2 de la ley 4938.</t>
    </r>
  </si>
  <si>
    <t>Calidad Minima esperada</t>
  </si>
  <si>
    <t>Que cumpla con lo solicitado.</t>
  </si>
  <si>
    <t>Mantenimiento</t>
  </si>
  <si>
    <t>30 días</t>
  </si>
  <si>
    <t>Garantia</t>
  </si>
  <si>
    <t>GARANTÍA mínima de cinco años o 150.000 Km lo que ocurra primero, estableciendo claramente que partes mecánicas y/o electrónicas alcanzan dicha Garantía</t>
  </si>
  <si>
    <t>NOTA DE PEDIDO</t>
  </si>
  <si>
    <t>N°</t>
  </si>
  <si>
    <t>61/2021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</si>
  <si>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</si>
  <si>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</si>
  <si>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</si>
  <si>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</si>
  <si>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</si>
  <si>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Transporte</t>
  </si>
  <si>
    <t>PERIODO UTILIZACIÓN:</t>
  </si>
  <si>
    <t>2do trimestre Año 2021.-</t>
  </si>
  <si>
    <t>OBJETO:</t>
  </si>
  <si>
    <t>Adquisición de camionetas destinados a dependencias policiales.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</si>
  <si>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</si>
  <si>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</si>
  <si>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</si>
  <si>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</si>
  <si>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</si>
  <si>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</si>
  <si>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</si>
  <si>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</si>
  <si>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Veintiseis Millones Ochocientos Sesenta y Nueve Mil Treinta y Tres con 75/100.-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</si>
  <si>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</si>
  <si>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</si>
  <si>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</si>
  <si>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</si>
  <si>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</si>
  <si>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</si>
  <si>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</si>
  <si>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</si>
  <si>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</si>
  <si>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</si>
  <si>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</si>
  <si>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</si>
  <si>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</si>
  <si>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</si>
  <si>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</si>
  <si>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</si>
  <si>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</si>
  <si>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</si>
  <si>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</si>
  <si>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</si>
  <si>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</si>
  <si>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</si>
  <si>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Pesos Veintiseis Millones Ochocientos Sesenta y Nueve Mil Treinta y Tres con 75/100.-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</si>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</sst>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&quot;$&quot;\ #,##0.00"/>
  </numFmts>
  <fonts count="2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sz val="9"/>
      <color rgb="FF000000"/>
      <name val="Century Gothic"/>
      <family val="2"/>
    </font>
    <font>
      <sz val="11"/>
      <color rgb="FF333333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6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0" fontId="6" fillId="3" borderId="40" xfId="0" applyNumberFormat="1" applyFont="1" applyFill="1" applyBorder="1"/>
    <xf numFmtId="3" fontId="14" fillId="3" borderId="0" xfId="0" applyNumberFormat="1" applyFont="1" applyFill="1" applyBorder="1" applyAlignment="1"/>
    <xf numFmtId="168" fontId="5" fillId="3" borderId="0" xfId="0" applyNumberFormat="1" applyFont="1" applyFill="1" applyAlignment="1">
      <alignment horizontal="left"/>
    </xf>
    <xf numFmtId="0" fontId="5" fillId="3" borderId="12" xfId="0" applyFont="1" applyFill="1" applyBorder="1"/>
    <xf numFmtId="0" fontId="5" fillId="3" borderId="26" xfId="0" applyFont="1" applyFill="1" applyBorder="1"/>
    <xf numFmtId="0" fontId="5" fillId="3" borderId="14" xfId="0" applyFont="1" applyFill="1" applyBorder="1"/>
    <xf numFmtId="0" fontId="5" fillId="3" borderId="14" xfId="0" applyFont="1" applyFill="1" applyBorder="1" applyAlignment="1">
      <alignment horizontal="left"/>
    </xf>
    <xf numFmtId="0" fontId="5" fillId="3" borderId="27" xfId="0" applyFont="1" applyFill="1" applyBorder="1"/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left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166" fontId="5" fillId="3" borderId="35" xfId="3" applyNumberFormat="1" applyFont="1" applyFill="1" applyBorder="1" applyAlignment="1" applyProtection="1">
      <alignment horizontal="center" vertical="center"/>
    </xf>
    <xf numFmtId="166" fontId="6" fillId="3" borderId="36" xfId="0" applyNumberFormat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right" vertical="center"/>
    </xf>
    <xf numFmtId="0" fontId="12" fillId="3" borderId="1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4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6" xfId="0" applyFont="1" applyFill="1" applyBorder="1"/>
    <xf numFmtId="0" fontId="16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69" fontId="5" fillId="3" borderId="0" xfId="0" applyNumberFormat="1" applyFont="1" applyFill="1" applyBorder="1" applyAlignment="1">
      <alignment vertical="center"/>
    </xf>
    <xf numFmtId="0" fontId="20" fillId="3" borderId="3" xfId="0" applyFont="1" applyFill="1" applyBorder="1" applyAlignment="1">
      <alignment horizontal="center" vertical="center" wrapText="1"/>
    </xf>
    <xf numFmtId="0" fontId="9" fillId="5" borderId="4" xfId="0" applyFont="1" applyFill="1" applyBorder="1"/>
    <xf numFmtId="0" fontId="5" fillId="5" borderId="5" xfId="0" applyFont="1" applyFill="1" applyBorder="1"/>
    <xf numFmtId="0" fontId="5" fillId="5" borderId="6" xfId="0" applyFont="1" applyFill="1" applyBorder="1"/>
    <xf numFmtId="0" fontId="9" fillId="5" borderId="7" xfId="0" applyFont="1" applyFill="1" applyBorder="1" applyAlignment="1">
      <alignment horizontal="left" indent="3"/>
    </xf>
    <xf numFmtId="0" fontId="5" fillId="5" borderId="0" xfId="0" applyFont="1" applyFill="1" applyBorder="1"/>
    <xf numFmtId="0" fontId="5" fillId="5" borderId="8" xfId="0" applyFont="1" applyFill="1" applyBorder="1"/>
    <xf numFmtId="0" fontId="5" fillId="5" borderId="7" xfId="0" applyFont="1" applyFill="1" applyBorder="1" applyAlignment="1">
      <alignment horizontal="left" indent="3"/>
    </xf>
    <xf numFmtId="0" fontId="5" fillId="5" borderId="0" xfId="0" applyFont="1" applyFill="1" applyBorder="1" applyAlignment="1">
      <alignment horizontal="center" wrapText="1"/>
    </xf>
    <xf numFmtId="0" fontId="5" fillId="5" borderId="8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left" indent="3"/>
    </xf>
    <xf numFmtId="0" fontId="5" fillId="5" borderId="10" xfId="0" applyFont="1" applyFill="1" applyBorder="1"/>
    <xf numFmtId="0" fontId="5" fillId="5" borderId="11" xfId="0" applyFont="1" applyFill="1" applyBorder="1"/>
    <xf numFmtId="166" fontId="15" fillId="5" borderId="3" xfId="1" applyNumberFormat="1" applyFont="1" applyFill="1" applyBorder="1" applyAlignment="1" applyProtection="1">
      <alignment horizontal="center" vertical="center" wrapText="1"/>
    </xf>
    <xf numFmtId="0" fontId="15" fillId="3" borderId="51" xfId="0" applyFont="1" applyFill="1" applyBorder="1" applyAlignment="1">
      <alignment horizontal="center" vertical="center"/>
    </xf>
    <xf numFmtId="0" fontId="21" fillId="0" borderId="51" xfId="0" applyFont="1" applyBorder="1" applyAlignment="1">
      <alignment horizontal="left" vertical="center"/>
    </xf>
    <xf numFmtId="0" fontId="5" fillId="0" borderId="51" xfId="0" applyFont="1" applyBorder="1" applyAlignment="1">
      <alignment vertical="center" wrapText="1"/>
    </xf>
    <xf numFmtId="0" fontId="8" fillId="3" borderId="52" xfId="0" applyFont="1" applyFill="1" applyBorder="1" applyAlignment="1">
      <alignment horizontal="center" vertical="center" wrapText="1"/>
    </xf>
    <xf numFmtId="0" fontId="5" fillId="0" borderId="53" xfId="0" applyFont="1" applyBorder="1" applyAlignment="1">
      <alignment horizontal="left" vertical="center" wrapText="1"/>
    </xf>
    <xf numFmtId="0" fontId="8" fillId="3" borderId="53" xfId="0" applyFont="1" applyFill="1" applyBorder="1" applyAlignment="1">
      <alignment horizontal="center" vertical="center" wrapText="1"/>
    </xf>
    <xf numFmtId="170" fontId="8" fillId="3" borderId="54" xfId="0" applyNumberFormat="1" applyFont="1" applyFill="1" applyBorder="1" applyAlignment="1">
      <alignment horizontal="center" vertical="center" wrapText="1"/>
    </xf>
    <xf numFmtId="170" fontId="15" fillId="4" borderId="40" xfId="1" applyNumberFormat="1" applyFont="1" applyFill="1" applyBorder="1" applyAlignment="1" applyProtection="1">
      <alignment horizontal="center" vertical="center" wrapText="1"/>
    </xf>
    <xf numFmtId="0" fontId="7" fillId="3" borderId="55" xfId="0" applyFont="1" applyFill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center" vertical="center" wrapText="1"/>
    </xf>
    <xf numFmtId="0" fontId="7" fillId="3" borderId="57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5" fillId="5" borderId="0" xfId="0" applyFont="1" applyFill="1" applyBorder="1" applyAlignment="1">
      <alignment horizontal="justify" vertical="top" wrapText="1"/>
    </xf>
    <xf numFmtId="0" fontId="5" fillId="5" borderId="8" xfId="0" applyFont="1" applyFill="1" applyBorder="1" applyAlignment="1">
      <alignment horizontal="justify" vertical="top" wrapText="1"/>
    </xf>
    <xf numFmtId="0" fontId="10" fillId="5" borderId="0" xfId="0" applyFont="1" applyFill="1" applyBorder="1" applyAlignment="1">
      <alignment horizontal="justify" vertical="top" wrapText="1"/>
    </xf>
    <xf numFmtId="0" fontId="10" fillId="5" borderId="8" xfId="0" applyFont="1" applyFill="1" applyBorder="1" applyAlignment="1">
      <alignment horizontal="justify" vertical="top" wrapText="1"/>
    </xf>
    <xf numFmtId="0" fontId="5" fillId="5" borderId="0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left" vertical="top" wrapText="1"/>
    </xf>
    <xf numFmtId="0" fontId="5" fillId="5" borderId="8" xfId="0" applyFont="1" applyFill="1" applyBorder="1" applyAlignment="1">
      <alignment horizontal="left" vertical="top" wrapText="1"/>
    </xf>
    <xf numFmtId="0" fontId="5" fillId="5" borderId="0" xfId="0" applyFont="1" applyFill="1" applyBorder="1" applyAlignment="1">
      <alignment horizontal="left" wrapText="1"/>
    </xf>
    <xf numFmtId="0" fontId="5" fillId="5" borderId="8" xfId="0" applyFont="1" applyFill="1" applyBorder="1" applyAlignment="1">
      <alignment horizontal="left" wrapText="1"/>
    </xf>
    <xf numFmtId="0" fontId="11" fillId="3" borderId="0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left" vertical="center" wrapText="1"/>
    </xf>
    <xf numFmtId="0" fontId="12" fillId="3" borderId="16" xfId="0" applyFont="1" applyFill="1" applyBorder="1" applyAlignment="1">
      <alignment horizontal="left" vertical="center" wrapText="1" indent="1"/>
    </xf>
    <xf numFmtId="0" fontId="13" fillId="3" borderId="17" xfId="0" applyFont="1" applyFill="1" applyBorder="1" applyAlignment="1">
      <alignment horizontal="left" vertical="center" wrapText="1"/>
    </xf>
    <xf numFmtId="0" fontId="12" fillId="3" borderId="40" xfId="0" applyFont="1" applyFill="1" applyBorder="1" applyAlignment="1">
      <alignment horizontal="left" vertical="center" wrapText="1" indent="1"/>
    </xf>
    <xf numFmtId="167" fontId="12" fillId="3" borderId="40" xfId="0" applyNumberFormat="1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left" vertical="center" wrapText="1" indent="1"/>
    </xf>
    <xf numFmtId="0" fontId="12" fillId="3" borderId="48" xfId="0" applyFont="1" applyFill="1" applyBorder="1" applyAlignment="1">
      <alignment horizontal="left" vertical="center" wrapText="1" indent="1"/>
    </xf>
    <xf numFmtId="0" fontId="12" fillId="3" borderId="22" xfId="0" applyFont="1" applyFill="1" applyBorder="1" applyAlignment="1">
      <alignment horizontal="left" vertical="center" wrapText="1" indent="1"/>
    </xf>
    <xf numFmtId="0" fontId="14" fillId="3" borderId="18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left" vertical="center"/>
    </xf>
    <xf numFmtId="0" fontId="15" fillId="3" borderId="44" xfId="0" applyFont="1" applyFill="1" applyBorder="1" applyAlignment="1">
      <alignment horizontal="left" wrapText="1"/>
    </xf>
    <xf numFmtId="0" fontId="15" fillId="3" borderId="45" xfId="0" applyFont="1" applyFill="1" applyBorder="1" applyAlignment="1">
      <alignment horizontal="left" wrapText="1"/>
    </xf>
    <xf numFmtId="0" fontId="15" fillId="3" borderId="43" xfId="0" applyFont="1" applyFill="1" applyBorder="1" applyAlignment="1">
      <alignment horizontal="left" wrapText="1"/>
    </xf>
    <xf numFmtId="0" fontId="5" fillId="3" borderId="21" xfId="0" applyFont="1" applyFill="1" applyBorder="1" applyAlignment="1">
      <alignment horizontal="center"/>
    </xf>
    <xf numFmtId="3" fontId="14" fillId="3" borderId="22" xfId="0" applyNumberFormat="1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/>
    <xf numFmtId="0" fontId="16" fillId="3" borderId="13" xfId="0" applyFont="1" applyFill="1" applyBorder="1" applyAlignment="1">
      <alignment horizontal="left" indent="1"/>
    </xf>
    <xf numFmtId="0" fontId="5" fillId="3" borderId="15" xfId="0" applyFont="1" applyFill="1" applyBorder="1" applyAlignment="1">
      <alignment horizontal="left" vertical="center" wrapText="1"/>
    </xf>
    <xf numFmtId="0" fontId="5" fillId="3" borderId="38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0" fillId="3" borderId="13" xfId="0" applyFont="1" applyFill="1" applyBorder="1" applyAlignment="1">
      <alignment horizontal="left"/>
    </xf>
    <xf numFmtId="0" fontId="16" fillId="3" borderId="24" xfId="0" applyFont="1" applyFill="1" applyBorder="1" applyAlignment="1"/>
    <xf numFmtId="0" fontId="16" fillId="3" borderId="25" xfId="0" applyFont="1" applyFill="1" applyBorder="1" applyAlignment="1">
      <alignment horizontal="left" vertical="center" wrapText="1" indent="1"/>
    </xf>
    <xf numFmtId="0" fontId="6" fillId="3" borderId="2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left" vertical="center" wrapText="1"/>
    </xf>
    <xf numFmtId="0" fontId="5" fillId="3" borderId="41" xfId="0" applyFont="1" applyFill="1" applyBorder="1" applyAlignment="1">
      <alignment horizontal="left" vertical="center" wrapText="1"/>
    </xf>
    <xf numFmtId="0" fontId="14" fillId="3" borderId="21" xfId="0" applyFont="1" applyFill="1" applyBorder="1" applyAlignment="1">
      <alignment vertical="center" wrapText="1"/>
    </xf>
    <xf numFmtId="0" fontId="14" fillId="3" borderId="37" xfId="0" applyFont="1" applyFill="1" applyBorder="1" applyAlignment="1">
      <alignment vertical="center" wrapText="1"/>
    </xf>
    <xf numFmtId="0" fontId="14" fillId="3" borderId="19" xfId="0" applyFont="1" applyFill="1" applyBorder="1" applyAlignment="1">
      <alignment vertical="center" wrapText="1"/>
    </xf>
    <xf numFmtId="0" fontId="16" fillId="3" borderId="49" xfId="0" applyFont="1" applyFill="1" applyBorder="1" applyAlignment="1">
      <alignment vertical="center" wrapText="1"/>
    </xf>
    <xf numFmtId="0" fontId="16" fillId="3" borderId="50" xfId="0" applyFont="1" applyFill="1" applyBorder="1" applyAlignment="1">
      <alignment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6" xfId="0" applyFont="1" applyFill="1" applyBorder="1" applyAlignment="1">
      <alignment horizontal="left" vertical="center" wrapText="1"/>
    </xf>
    <xf numFmtId="0" fontId="16" fillId="3" borderId="14" xfId="0" applyFont="1" applyFill="1" applyBorder="1" applyAlignment="1">
      <alignment horizontal="left" vertical="center" wrapText="1"/>
    </xf>
    <xf numFmtId="0" fontId="16" fillId="3" borderId="27" xfId="0" applyFont="1" applyFill="1" applyBorder="1" applyAlignment="1">
      <alignment horizontal="left" vertical="center" wrapText="1"/>
    </xf>
    <xf numFmtId="0" fontId="14" fillId="3" borderId="36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vertical="center"/>
    </xf>
    <xf numFmtId="0" fontId="6" fillId="3" borderId="42" xfId="0" applyFont="1" applyFill="1" applyBorder="1" applyAlignment="1">
      <alignment vertical="center"/>
    </xf>
    <xf numFmtId="0" fontId="6" fillId="3" borderId="28" xfId="0" applyFont="1" applyFill="1" applyBorder="1" applyAlignment="1">
      <alignment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5"/>
  <sheetViews>
    <sheetView tabSelected="1" zoomScale="85" zoomScaleNormal="85" workbookViewId="0">
      <selection activeCell="H13" sqref="H13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7.42578125" style="1" customWidth="1"/>
    <col min="4" max="4" width="8.42578125" style="1" customWidth="1"/>
    <col min="5" max="5" width="94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64" t="s">
        <v>0</v>
      </c>
      <c r="C2" s="64"/>
      <c r="D2" s="64"/>
      <c r="E2" s="64"/>
      <c r="F2" s="64"/>
      <c r="G2" s="64"/>
      <c r="H2" s="64"/>
    </row>
    <row r="4" spans="1:9" ht="18" customHeight="1" x14ac:dyDescent="0.25">
      <c r="A4" s="63" t="s">
        <v>1</v>
      </c>
      <c r="B4" s="63"/>
      <c r="C4" s="65" t="s">
        <v>2</v>
      </c>
      <c r="D4" s="65"/>
      <c r="E4" s="65"/>
      <c r="F4" s="2"/>
      <c r="G4" s="5"/>
      <c r="H4" s="2"/>
    </row>
    <row r="5" spans="1:9" ht="18" customHeight="1" x14ac:dyDescent="0.25">
      <c r="A5" s="63" t="s">
        <v>3</v>
      </c>
      <c r="B5" s="63"/>
      <c r="C5" s="65" t="s">
        <v>4</v>
      </c>
      <c r="D5" s="65"/>
      <c r="E5" s="65"/>
      <c r="F5" s="2"/>
      <c r="G5" s="5"/>
      <c r="H5" s="2"/>
    </row>
    <row r="6" spans="1:9" ht="16.5" customHeight="1" x14ac:dyDescent="0.25">
      <c r="A6" s="63" t="s">
        <v>5</v>
      </c>
      <c r="B6" s="63"/>
      <c r="C6" s="6">
        <v>2021</v>
      </c>
      <c r="D6" s="7"/>
      <c r="E6" s="7"/>
      <c r="F6" s="2"/>
      <c r="G6" s="5"/>
      <c r="H6" s="2"/>
    </row>
    <row r="7" spans="1:9" ht="16.5" customHeight="1" x14ac:dyDescent="0.25">
      <c r="A7" s="63" t="s">
        <v>6</v>
      </c>
      <c r="B7" s="63"/>
      <c r="C7" s="6">
        <v>2</v>
      </c>
      <c r="D7" s="7"/>
      <c r="E7" s="7"/>
      <c r="F7" s="2"/>
      <c r="G7" s="5"/>
      <c r="H7" s="2"/>
    </row>
    <row r="8" spans="1:9" ht="14.25" thickBot="1" x14ac:dyDescent="0.3">
      <c r="B8" s="2"/>
      <c r="C8" s="5"/>
      <c r="D8" s="2"/>
      <c r="E8" s="2"/>
      <c r="F8" s="2"/>
      <c r="G8" s="5"/>
      <c r="H8" s="2"/>
    </row>
    <row r="9" spans="1:9" ht="39" thickBot="1" x14ac:dyDescent="0.3">
      <c r="A9" s="60" t="s">
        <v>7</v>
      </c>
      <c r="B9" s="61" t="s">
        <v>8</v>
      </c>
      <c r="C9" s="61" t="s">
        <v>9</v>
      </c>
      <c r="D9" s="61" t="s">
        <v>10</v>
      </c>
      <c r="E9" s="61" t="s">
        <v>11</v>
      </c>
      <c r="F9" s="61" t="s">
        <v>12</v>
      </c>
      <c r="G9" s="61" t="s">
        <v>13</v>
      </c>
      <c r="H9" s="61" t="s">
        <v>14</v>
      </c>
      <c r="I9" s="62" t="s">
        <v>15</v>
      </c>
    </row>
    <row r="10" spans="1:9" ht="85.5" customHeight="1" thickBot="1" x14ac:dyDescent="0.3">
      <c r="A10" s="52">
        <v>4</v>
      </c>
      <c r="B10" s="53" t="s">
        <v>16</v>
      </c>
      <c r="C10" s="54" t="s">
        <v>17</v>
      </c>
      <c r="D10" s="55" t="s">
        <v>18</v>
      </c>
      <c r="E10" s="56" t="s">
        <v>19</v>
      </c>
      <c r="F10" s="57" t="s">
        <v>20</v>
      </c>
      <c r="G10" s="57">
        <v>5</v>
      </c>
      <c r="H10" s="58">
        <v>5373806.75</v>
      </c>
      <c r="I10" s="59">
        <f>H10*G10</f>
        <v>26869033.75</v>
      </c>
    </row>
    <row r="11" spans="1:9" ht="18.75" customHeight="1" x14ac:dyDescent="0.25">
      <c r="I11" s="8">
        <f>SUM(I10:I10)</f>
        <v>26869033.75</v>
      </c>
    </row>
    <row r="12" spans="1:9" ht="78.75" customHeight="1" thickBot="1" x14ac:dyDescent="0.3"/>
    <row r="13" spans="1:9" x14ac:dyDescent="0.25">
      <c r="B13" s="39" t="s">
        <v>21</v>
      </c>
      <c r="C13" s="40"/>
      <c r="D13" s="40"/>
      <c r="E13" s="41"/>
    </row>
    <row r="14" spans="1:9" x14ac:dyDescent="0.25">
      <c r="B14" s="42" t="s">
        <v>22</v>
      </c>
      <c r="C14" s="43"/>
      <c r="D14" s="43"/>
      <c r="E14" s="44"/>
    </row>
    <row r="15" spans="1:9" ht="279.75" customHeight="1" x14ac:dyDescent="0.25">
      <c r="B15" s="42"/>
      <c r="C15" s="68" t="s">
        <v>23</v>
      </c>
      <c r="D15" s="68"/>
      <c r="E15" s="69"/>
    </row>
    <row r="16" spans="1:9" x14ac:dyDescent="0.25">
      <c r="B16" s="42" t="s">
        <v>24</v>
      </c>
      <c r="C16" s="43"/>
      <c r="D16" s="43"/>
      <c r="E16" s="44"/>
    </row>
    <row r="17" spans="2:5" ht="84" customHeight="1" x14ac:dyDescent="0.25">
      <c r="B17" s="45"/>
      <c r="C17" s="70" t="s">
        <v>25</v>
      </c>
      <c r="D17" s="70"/>
      <c r="E17" s="71"/>
    </row>
    <row r="18" spans="2:5" x14ac:dyDescent="0.25">
      <c r="B18" s="45"/>
      <c r="C18" s="72"/>
      <c r="D18" s="72"/>
      <c r="E18" s="72"/>
    </row>
    <row r="19" spans="2:5" x14ac:dyDescent="0.25">
      <c r="B19" s="42" t="s">
        <v>26</v>
      </c>
      <c r="C19" s="43"/>
      <c r="D19" s="43"/>
      <c r="E19" s="44"/>
    </row>
    <row r="20" spans="2:5" ht="13.5" customHeight="1" x14ac:dyDescent="0.25">
      <c r="B20" s="45"/>
      <c r="C20" s="73" t="s">
        <v>27</v>
      </c>
      <c r="D20" s="73"/>
      <c r="E20" s="74"/>
    </row>
    <row r="21" spans="2:5" x14ac:dyDescent="0.25">
      <c r="B21" s="42" t="s">
        <v>28</v>
      </c>
      <c r="C21" s="46"/>
      <c r="D21" s="46"/>
      <c r="E21" s="47"/>
    </row>
    <row r="22" spans="2:5" x14ac:dyDescent="0.25">
      <c r="B22" s="45"/>
      <c r="C22" s="75" t="s">
        <v>29</v>
      </c>
      <c r="D22" s="75"/>
      <c r="E22" s="76"/>
    </row>
    <row r="23" spans="2:5" x14ac:dyDescent="0.25">
      <c r="B23" s="42" t="s">
        <v>30</v>
      </c>
      <c r="C23" s="43"/>
      <c r="D23" s="43"/>
      <c r="E23" s="44"/>
    </row>
    <row r="24" spans="2:5" x14ac:dyDescent="0.25">
      <c r="B24" s="42"/>
      <c r="C24" s="66" t="s">
        <v>31</v>
      </c>
      <c r="D24" s="66"/>
      <c r="E24" s="67"/>
    </row>
    <row r="25" spans="2:5" ht="14.25" thickBot="1" x14ac:dyDescent="0.3">
      <c r="B25" s="48"/>
      <c r="C25" s="49"/>
      <c r="D25" s="49"/>
      <c r="E25" s="50"/>
    </row>
  </sheetData>
  <mergeCells count="13">
    <mergeCell ref="C24:E24"/>
    <mergeCell ref="C15:E15"/>
    <mergeCell ref="C17:E17"/>
    <mergeCell ref="C18:E18"/>
    <mergeCell ref="C20:E20"/>
    <mergeCell ref="C22:E22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zoomScale="85" zoomScaleNormal="85" workbookViewId="0">
      <selection activeCell="D26" sqref="D26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4.285156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77" t="s">
        <v>32</v>
      </c>
      <c r="B1" s="77"/>
      <c r="C1" s="77"/>
      <c r="D1" s="77"/>
      <c r="E1" s="77"/>
      <c r="F1" s="77"/>
      <c r="G1" s="77"/>
      <c r="H1" s="77"/>
      <c r="I1" s="77"/>
      <c r="J1" s="26" t="s">
        <v>33</v>
      </c>
      <c r="K1" s="27" t="s">
        <v>34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78" t="s">
        <v>35</v>
      </c>
      <c r="B3" s="78"/>
      <c r="C3" s="78"/>
      <c r="D3" s="79" t="str">
        <f>'Necesidades Trimestrales'!C4</f>
        <v>90 - Ministerio de Seguridad</v>
      </c>
      <c r="E3" s="79"/>
      <c r="F3" s="79"/>
      <c r="G3" s="79"/>
      <c r="H3" s="79"/>
      <c r="I3" s="79"/>
      <c r="J3" s="79"/>
      <c r="K3" s="79"/>
    </row>
    <row r="4" spans="1:1024" ht="18.75" customHeight="1" thickBot="1" x14ac:dyDescent="0.3">
      <c r="A4" s="80" t="s">
        <v>36</v>
      </c>
      <c r="B4" s="80"/>
      <c r="C4" s="80"/>
      <c r="D4" s="79" t="str">
        <f>'Necesidades Trimestrales'!C5</f>
        <v>7- Dirección Provincial de Administración de la Policía de la Provincia de Catamarca</v>
      </c>
      <c r="E4" s="79"/>
      <c r="F4" s="79"/>
      <c r="G4" s="79"/>
      <c r="H4" s="79"/>
      <c r="I4" s="79"/>
      <c r="J4" s="79"/>
      <c r="K4" s="79"/>
    </row>
    <row r="5" spans="1:1024" ht="18.75" customHeight="1" thickBot="1" x14ac:dyDescent="0.3">
      <c r="A5" s="80" t="s">
        <v>37</v>
      </c>
      <c r="B5" s="80"/>
      <c r="C5" s="80"/>
      <c r="D5" s="79" t="s">
        <v>38</v>
      </c>
      <c r="E5" s="79"/>
      <c r="F5" s="79"/>
      <c r="G5" s="79"/>
      <c r="H5" s="79"/>
      <c r="I5" s="79"/>
      <c r="J5" s="79"/>
      <c r="K5" s="79"/>
    </row>
    <row r="6" spans="1:1024" ht="16.5" customHeight="1" thickBot="1" x14ac:dyDescent="0.3">
      <c r="A6" s="78" t="s">
        <v>39</v>
      </c>
      <c r="B6" s="78"/>
      <c r="C6" s="78"/>
      <c r="D6" s="79" t="s">
        <v>40</v>
      </c>
      <c r="E6" s="79"/>
      <c r="F6" s="79"/>
      <c r="G6" s="79"/>
      <c r="H6" s="79"/>
      <c r="I6" s="79"/>
      <c r="J6" s="79"/>
      <c r="K6" s="79"/>
    </row>
    <row r="7" spans="1:1024" ht="16.5" customHeight="1" thickBot="1" x14ac:dyDescent="0.3">
      <c r="A7" s="80" t="s">
        <v>41</v>
      </c>
      <c r="B7" s="80"/>
      <c r="C7" s="80"/>
      <c r="D7" s="79" t="s">
        <v>42</v>
      </c>
      <c r="E7" s="79"/>
      <c r="F7" s="79"/>
      <c r="G7" s="79"/>
      <c r="H7" s="79"/>
      <c r="I7" s="79"/>
      <c r="J7" s="79"/>
      <c r="K7" s="79"/>
    </row>
    <row r="8" spans="1:1024" ht="16.5" customHeight="1" thickBot="1" x14ac:dyDescent="0.3">
      <c r="A8" s="90" t="s">
        <v>43</v>
      </c>
      <c r="B8" s="90"/>
      <c r="C8" s="90"/>
      <c r="D8" s="83" t="s">
        <v>44</v>
      </c>
      <c r="E8" s="84"/>
      <c r="F8" s="84"/>
      <c r="G8" s="84"/>
      <c r="H8" s="84"/>
      <c r="I8" s="84"/>
      <c r="J8" s="84"/>
      <c r="K8" s="85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thickBot="1" x14ac:dyDescent="0.3">
      <c r="A10" s="86" t="s">
        <v>45</v>
      </c>
      <c r="B10" s="87" t="s">
        <v>46</v>
      </c>
      <c r="C10" s="87" t="s">
        <v>47</v>
      </c>
      <c r="D10" s="87"/>
      <c r="E10" s="87"/>
      <c r="F10" s="87"/>
      <c r="G10" s="87"/>
      <c r="H10" s="87" t="s">
        <v>48</v>
      </c>
      <c r="I10" s="87" t="s">
        <v>49</v>
      </c>
      <c r="J10" s="87" t="s">
        <v>50</v>
      </c>
      <c r="K10" s="89" t="s">
        <v>51</v>
      </c>
    </row>
    <row r="11" spans="1:1024" ht="14.25" thickBot="1" x14ac:dyDescent="0.3">
      <c r="A11" s="86"/>
      <c r="B11" s="87"/>
      <c r="C11" s="88"/>
      <c r="D11" s="88"/>
      <c r="E11" s="88"/>
      <c r="F11" s="88"/>
      <c r="G11" s="88"/>
      <c r="H11" s="87"/>
      <c r="I11" s="87"/>
      <c r="J11" s="87"/>
      <c r="K11" s="89"/>
    </row>
    <row r="12" spans="1:1024" ht="57" customHeight="1" x14ac:dyDescent="0.3">
      <c r="A12" s="34">
        <v>1</v>
      </c>
      <c r="B12" s="33" t="str">
        <f>'Necesidades Trimestrales'!B10</f>
        <v>4.3.2-1715.24</v>
      </c>
      <c r="C12" s="91" t="s">
        <v>19</v>
      </c>
      <c r="D12" s="92" t="s">
        <v>19</v>
      </c>
      <c r="E12" s="92" t="s">
        <v>19</v>
      </c>
      <c r="F12" s="92" t="s">
        <v>19</v>
      </c>
      <c r="G12" s="93" t="s">
        <v>19</v>
      </c>
      <c r="H12" s="35" t="s">
        <v>52</v>
      </c>
      <c r="I12" s="36" t="s">
        <v>20</v>
      </c>
      <c r="J12" s="51">
        <v>5373806.75</v>
      </c>
      <c r="K12" s="38">
        <v>5</v>
      </c>
    </row>
    <row r="13" spans="1:1024" ht="15.75" thickBot="1" x14ac:dyDescent="0.3">
      <c r="A13" s="81" t="s">
        <v>53</v>
      </c>
      <c r="B13" s="81"/>
      <c r="C13" s="81"/>
      <c r="D13" s="81"/>
      <c r="E13" s="81"/>
      <c r="F13" s="81"/>
      <c r="G13" s="81"/>
      <c r="H13" s="81"/>
      <c r="I13" s="81"/>
      <c r="J13" s="82">
        <f>'Necesidades Trimestrales'!I11</f>
        <v>26869033.75</v>
      </c>
      <c r="K13" s="8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</row>
    <row r="14" spans="1:1024" x14ac:dyDescent="0.25">
      <c r="J14" s="37"/>
    </row>
  </sheetData>
  <mergeCells count="23">
    <mergeCell ref="A13:I13"/>
    <mergeCell ref="J13:K13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9" workbookViewId="0">
      <selection activeCell="A16" sqref="A16:P16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94" t="s">
        <v>5</v>
      </c>
      <c r="B1" s="94"/>
      <c r="C1" s="94"/>
      <c r="D1" s="95">
        <f>'Necesidades Trimestrales'!C6</f>
        <v>2021</v>
      </c>
      <c r="E1" s="95"/>
      <c r="F1" s="9"/>
      <c r="G1" s="9"/>
      <c r="H1" s="10"/>
      <c r="I1" s="10"/>
      <c r="J1" s="10"/>
      <c r="K1" s="10"/>
      <c r="L1" s="10"/>
      <c r="M1" s="10"/>
      <c r="N1" s="10"/>
      <c r="P1" s="96" t="s">
        <v>54</v>
      </c>
      <c r="Q1" s="96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96"/>
      <c r="Q2" s="96"/>
    </row>
    <row r="4" spans="1:17" ht="18" customHeight="1" thickBot="1" x14ac:dyDescent="0.35">
      <c r="A4" s="97" t="s">
        <v>55</v>
      </c>
      <c r="B4" s="97"/>
      <c r="C4" s="97"/>
      <c r="D4" s="97"/>
      <c r="E4" s="97"/>
      <c r="F4" s="97"/>
      <c r="G4" s="98" t="str">
        <f>' NotaPedido'!D3</f>
        <v>90 - Ministerio de Seguridad</v>
      </c>
      <c r="H4" s="98"/>
      <c r="I4" s="98"/>
      <c r="J4" s="98"/>
      <c r="K4" s="98"/>
      <c r="L4" s="98"/>
      <c r="M4" s="98"/>
      <c r="N4" s="98"/>
      <c r="O4" s="98"/>
      <c r="P4" s="98"/>
      <c r="Q4" s="98"/>
    </row>
    <row r="5" spans="1:17" ht="18" customHeight="1" thickBot="1" x14ac:dyDescent="0.35">
      <c r="A5" s="99" t="s">
        <v>36</v>
      </c>
      <c r="B5" s="100"/>
      <c r="C5" s="100"/>
      <c r="D5" s="100"/>
      <c r="E5" s="100"/>
      <c r="F5" s="101"/>
      <c r="G5" s="98" t="str">
        <f>' NotaPedido'!D4</f>
        <v>7- Dirección Provincial de Administración de la Policía de la Provincia de Catamarca</v>
      </c>
      <c r="H5" s="98"/>
      <c r="I5" s="98"/>
      <c r="J5" s="98"/>
      <c r="K5" s="98"/>
      <c r="L5" s="98"/>
      <c r="M5" s="98"/>
      <c r="N5" s="98"/>
      <c r="O5" s="98"/>
      <c r="P5" s="98"/>
      <c r="Q5" s="98"/>
    </row>
    <row r="6" spans="1:17" ht="18" customHeight="1" thickBot="1" x14ac:dyDescent="0.35">
      <c r="A6" s="99" t="s">
        <v>37</v>
      </c>
      <c r="B6" s="100"/>
      <c r="C6" s="100"/>
      <c r="D6" s="100"/>
      <c r="E6" s="100"/>
      <c r="F6" s="101"/>
      <c r="G6" s="98" t="str">
        <f>' NotaPedido'!D5</f>
        <v>Policía de la Provincia de Catamarca</v>
      </c>
      <c r="H6" s="98"/>
      <c r="I6" s="98"/>
      <c r="J6" s="98"/>
      <c r="K6" s="98"/>
      <c r="L6" s="98"/>
      <c r="M6" s="98"/>
      <c r="N6" s="98"/>
      <c r="O6" s="98"/>
      <c r="P6" s="98"/>
      <c r="Q6" s="98"/>
    </row>
    <row r="7" spans="1:17" ht="18" customHeight="1" thickBot="1" x14ac:dyDescent="0.35">
      <c r="A7" s="99" t="s">
        <v>39</v>
      </c>
      <c r="B7" s="100"/>
      <c r="C7" s="100"/>
      <c r="D7" s="100"/>
      <c r="E7" s="100"/>
      <c r="F7" s="101"/>
      <c r="G7" s="98" t="str">
        <f>' NotaPedido'!D6</f>
        <v>División Transporte</v>
      </c>
      <c r="H7" s="98"/>
      <c r="I7" s="98"/>
      <c r="J7" s="98"/>
      <c r="K7" s="98"/>
      <c r="L7" s="98"/>
      <c r="M7" s="98"/>
      <c r="N7" s="98"/>
      <c r="O7" s="98"/>
      <c r="P7" s="98"/>
      <c r="Q7" s="98"/>
    </row>
    <row r="8" spans="1:17" ht="18" customHeight="1" thickBot="1" x14ac:dyDescent="0.3">
      <c r="A8" s="102" t="s">
        <v>56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</row>
    <row r="9" spans="1:17" ht="18" customHeight="1" x14ac:dyDescent="0.3">
      <c r="A9" s="103" t="s">
        <v>57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3"/>
      <c r="P9" s="3"/>
      <c r="Q9" s="11"/>
    </row>
    <row r="10" spans="1:17" ht="66.75" customHeight="1" x14ac:dyDescent="0.25">
      <c r="A10" s="104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61/2021,  afectando la erogación resultante a los créditos presupuestarios aprobados a favor de esta Unidad Ejecutora, conforme al siguiente detalle: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05" t="s">
        <v>58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</row>
    <row r="13" spans="1:17" ht="15.75" customHeight="1" x14ac:dyDescent="0.25">
      <c r="A13" s="106" t="s">
        <v>59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7" t="s">
        <v>60</v>
      </c>
      <c r="P13" s="107"/>
      <c r="Q13" s="108" t="s">
        <v>61</v>
      </c>
    </row>
    <row r="14" spans="1:17" ht="15.75" customHeight="1" thickBot="1" x14ac:dyDescent="0.3">
      <c r="A14" s="16" t="s">
        <v>62</v>
      </c>
      <c r="B14" s="17" t="s">
        <v>63</v>
      </c>
      <c r="C14" s="17" t="s">
        <v>64</v>
      </c>
      <c r="D14" s="17" t="s">
        <v>65</v>
      </c>
      <c r="E14" s="17" t="s">
        <v>66</v>
      </c>
      <c r="F14" s="17" t="s">
        <v>67</v>
      </c>
      <c r="G14" s="18" t="s">
        <v>68</v>
      </c>
      <c r="H14" s="17" t="s">
        <v>69</v>
      </c>
      <c r="I14" s="17" t="s">
        <v>70</v>
      </c>
      <c r="J14" s="17" t="s">
        <v>71</v>
      </c>
      <c r="K14" s="17" t="s">
        <v>71</v>
      </c>
      <c r="L14" s="17" t="s">
        <v>72</v>
      </c>
      <c r="M14" s="19" t="s">
        <v>73</v>
      </c>
      <c r="N14" s="20" t="s">
        <v>74</v>
      </c>
      <c r="O14" s="107"/>
      <c r="P14" s="107"/>
      <c r="Q14" s="108"/>
    </row>
    <row r="15" spans="1:17" ht="36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1</v>
      </c>
      <c r="I15" s="22">
        <v>4</v>
      </c>
      <c r="J15" s="22">
        <v>3</v>
      </c>
      <c r="K15" s="22">
        <v>2</v>
      </c>
      <c r="L15" s="22">
        <v>0</v>
      </c>
      <c r="M15" s="23">
        <v>1</v>
      </c>
      <c r="N15" s="22" t="s">
        <v>75</v>
      </c>
      <c r="O15" s="109" t="str">
        <f>'Necesidades Trimestrales'!C10</f>
        <v>EQUIPO DE TRANSPORTE , TRACCION Y ELEVACION.</v>
      </c>
      <c r="P15" s="110"/>
      <c r="Q15" s="24">
        <f>' NotaPedido'!J13</f>
        <v>26869033.75</v>
      </c>
    </row>
    <row r="16" spans="1:17" ht="33" customHeight="1" thickBot="1" x14ac:dyDescent="0.3">
      <c r="A16" s="122" t="s">
        <v>76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25">
        <f>Q15</f>
        <v>26869033.75</v>
      </c>
    </row>
    <row r="17" spans="1:17" ht="18" customHeight="1" thickBot="1" x14ac:dyDescent="0.3">
      <c r="A17" s="123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5"/>
    </row>
    <row r="18" spans="1:17" ht="17.25" customHeight="1" thickBot="1" x14ac:dyDescent="0.3">
      <c r="A18" s="111" t="s">
        <v>77</v>
      </c>
      <c r="B18" s="112"/>
      <c r="C18" s="112"/>
      <c r="D18" s="112"/>
      <c r="E18" s="112"/>
      <c r="F18" s="113"/>
      <c r="G18" s="114"/>
      <c r="H18" s="115"/>
      <c r="I18" s="115"/>
      <c r="J18" s="115"/>
      <c r="K18" s="115"/>
      <c r="L18" s="115"/>
      <c r="M18" s="115"/>
      <c r="N18" s="115"/>
      <c r="O18" s="115"/>
      <c r="P18" s="115"/>
      <c r="Q18" s="115"/>
    </row>
    <row r="19" spans="1:17" ht="18" customHeight="1" x14ac:dyDescent="0.25">
      <c r="A19" s="116" t="str">
        <f>' NotaPedido'!D8</f>
        <v>Adquisición de camionetas destinados a dependencias policiales.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8"/>
    </row>
    <row r="20" spans="1:17" ht="15" customHeight="1" thickBot="1" x14ac:dyDescent="0.3">
      <c r="A20" s="119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1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COMPRAS</cp:lastModifiedBy>
  <cp:revision>2</cp:revision>
  <dcterms:created xsi:type="dcterms:W3CDTF">2020-07-17T23:44:49Z</dcterms:created>
  <dcterms:modified xsi:type="dcterms:W3CDTF">2021-08-11T13:01:12Z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