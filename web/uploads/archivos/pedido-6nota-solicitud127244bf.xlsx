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heckCompatibility="1" defaultThemeVersion="124226"/>
  <bookViews>
    <workbookView xWindow="-105" yWindow="-105" windowWidth="20640" windowHeight="11760" tabRatio="500" activeTab="1"/>
  </bookViews>
  <sheets>
    <sheet name="Necesidades Trimestrales" sheetId="1" r:id="rId1"/>
    <sheet name=" NotaPedido" sheetId="2" r:id="rId2"/>
    <sheet name="Autor Gastar" sheetId="3" r:id="rId3"/>
  </sheets>
  <definedNames>
    <definedName name="_xlnm.Print_Area" localSheetId="1">' NotaPedido'!$A$1:$K$13</definedName>
    <definedName name="_xlnm.Print_Area" localSheetId="2">'Autor Gastar'!$A$1:$Q$26</definedName>
    <definedName name="_xlnm.Print_Area" localSheetId="0">'Necesidades Trimestrales'!$E$9:$E$10</definedName>
  </definedNames>
  <calcPr calcId="14562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12" i="2" l="1"/>
  <c r="A10" i="3" l="1"/>
  <c r="G6" i="3" l="1"/>
  <c r="G7" i="3"/>
  <c r="D7" i="2"/>
  <c r="D3" i="2"/>
  <c r="G4" i="3" s="1"/>
  <c r="D4" i="2"/>
  <c r="G5" i="3" s="1"/>
  <c r="D1" i="3" l="1"/>
  <c r="K12" i="2"/>
  <c r="J12" i="2"/>
  <c r="I12" i="2"/>
  <c r="C12" i="2"/>
  <c r="I10" i="1"/>
  <c r="Q22" i="3" l="1"/>
  <c r="J13" i="2"/>
</calcChain>
</file>

<file path=xl/sharedStrings.xml><?xml version="1.0" encoding="utf-8"?>
<sst xmlns="http://schemas.openxmlformats.org/spreadsheetml/2006/main" count="73" uniqueCount="67">
  <si>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</si>
  <si>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</si>
  <si>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</si>
  <si>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</si>
  <si>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</si>
  <si>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</si>
  <si>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</si>
  <si>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</si>
  <si>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</si>
  <si>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</si>
  <si>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</si>
  <si>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</si>
  <si>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</si>
  <si>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</si>
  <si>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</si>
  <si>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</si>
  <si>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</si>
  <si>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</si>
  <si>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</si>
  <si>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</si>
  <si>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</si>
  <si>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</si>
  <si>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</si>
  <si>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</si>
  <si>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</si>
  <si>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</si>
  <si>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</si>
  <si>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</si>
  <si>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</si>
  <si>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</si>
  <si>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</si>
  <si>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</si>
  <si>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</si>
  <si>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</si>
  <si>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</si>
  <si>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</si>
  <si>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</si>
  <si>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</si>
  <si>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</si>
  <si>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</si>
  <si>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</si>
  <si>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</si>
  <si>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</si>
  <si>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</si>
  <si>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</si>
  <si>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</si>
  <si>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</si>
  <si>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</si>
  <si>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</si>
  <si>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</si>
  <si>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</si>
  <si>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024 - Hospital Interzonal de Niños</t>
  </si>
  <si>
    <t>040 - Ministerio de Salud</t>
  </si>
  <si>
    <t>1.1</t>
  </si>
  <si>
    <t>SI</t>
  </si>
  <si>
    <t>M3</t>
  </si>
  <si>
    <r>
      <rPr>
        <b/>
        <u/>
        <sz val="10"/>
        <rFont val="Times New Roman"/>
        <family val="1"/>
      </rPr>
      <t>Lugar de Entrega</t>
    </r>
    <r>
      <rPr>
        <u/>
        <sz val="10"/>
        <rFont val="Times New Roman"/>
        <family val="1"/>
      </rPr>
      <t xml:space="preserve">: </t>
    </r>
    <r>
      <rPr>
        <sz val="10"/>
        <rFont val="Times New Roman"/>
        <family val="1"/>
      </rPr>
      <t>HOSPITAL INT. DE NIÑOS – AV. VIRGEN DEL VALLE N° 1050-CATAMARCA DE 8:00 A 12:00HS., DEBIENDO CORRER LOS GASTOS DE FLETES, ACARREO, CARGA, DESCARGA Y SEGURO A CARGO DEL ADJUDICATARIO.</t>
    </r>
  </si>
  <si>
    <t>Adq. de Oxigeno Liquido Medicinal</t>
  </si>
  <si>
    <t xml:space="preserve">Hospital de Niños Eva Peron </t>
  </si>
  <si>
    <t>PRODUCTOS FARMACEUTICOS Y MEDICINALES</t>
  </si>
  <si>
    <r>
      <rPr>
        <b/>
        <u/>
        <sz val="10"/>
        <rFont val="Times New Roman"/>
        <family val="1"/>
      </rPr>
      <t xml:space="preserve">Especificaciones según: </t>
    </r>
    <r>
      <rPr>
        <sz val="10"/>
        <rFont val="Times New Roman"/>
        <family val="1"/>
      </rPr>
      <t>Acuerdo Marco de Oxigeno Medicinal del EX-2021-01793336- -CAT-DPCBS#MHP, de acuerdo al  del Pliego de Bases y Condiciones Particulares obrante en
orden 11, del mencionado expediente</t>
    </r>
  </si>
  <si>
    <t>29/2022</t>
  </si>
  <si>
    <t>Costo total estimado: Dos Millones seiscientos setenta y siete Mil ochocientos con 00/100.</t>
  </si>
  <si>
    <t>TOTAL DE PESOS: Dos millones seiscientos setenta y siete mil ochocientos con 00/100.</t>
  </si>
  <si>
    <t>Para la adquisición de Oxigeno Liquido Medicinal destinados al servico de Laboratorio del Hospital Interzonal de Niños Eva Peron, para el normal funcionamiento del organismo. Según Acuerdo Marco de Oxigeno Medicinal del EX-2021-01793336- -CAT-DPCBS#MHP.</t>
  </si>
  <si>
    <t>GASES; COMPUESTO QUIMICO: OXIGENO, CALIDAD: MEDICINAL, PRESENTACION: LIQUIDA EN M3 A GRANEL</t>
  </si>
  <si>
    <t>2.5.1-9018.316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</si>
</sst>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5"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u/>
      <sz val="10"/>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50">
    <border>
      <left/>
      <right/>
      <top/>
      <bottom/>
      <diagonal/>
    </border>
    <border>
      <left/>
      <right/>
      <top/>
      <bottom style="thick">
        <color rgb="FF33CCCC"/>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style="thin">
        <color auto="1"/>
      </right>
      <top style="medium">
        <color auto="1"/>
      </top>
      <bottom style="thin">
        <color auto="1"/>
      </bottom>
      <diagonal/>
    </border>
    <border>
      <left style="medium">
        <color rgb="FF3D3D3D"/>
      </left>
      <right style="thin">
        <color rgb="FF3D3D3D"/>
      </right>
      <top style="thin">
        <color rgb="FF3D3D3D"/>
      </top>
      <bottom style="thin">
        <color rgb="FF3D3D3D"/>
      </bottom>
      <diagonal/>
    </border>
    <border>
      <left style="thin">
        <color rgb="FF3D3D3D"/>
      </left>
      <right style="thin">
        <color rgb="FF3D3D3D"/>
      </right>
      <top style="thin">
        <color rgb="FF3D3D3D"/>
      </top>
      <bottom style="thin">
        <color indexed="64"/>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s>
  <cellStyleXfs count="6">
    <xf numFmtId="0" fontId="0" fillId="0" borderId="0"/>
    <xf numFmtId="165" fontId="14" fillId="0" borderId="0" applyBorder="0" applyProtection="0"/>
    <xf numFmtId="0" fontId="1" fillId="0" borderId="1" applyProtection="0"/>
    <xf numFmtId="164" fontId="2" fillId="0" borderId="0" applyBorder="0" applyProtection="0"/>
    <xf numFmtId="0" fontId="3" fillId="2" borderId="0" applyBorder="0" applyProtection="0"/>
    <xf numFmtId="0" fontId="14" fillId="0" borderId="0"/>
  </cellStyleXfs>
  <cellXfs count="128">
    <xf numFmtId="0" fontId="0" fillId="0" borderId="0" xfId="0"/>
    <xf numFmtId="0" fontId="0" fillId="0" borderId="0" xfId="0" applyBorder="1"/>
    <xf numFmtId="0" fontId="0" fillId="0" borderId="0" xfId="0" applyAlignment="1">
      <alignment horizontal="left"/>
    </xf>
    <xf numFmtId="3" fontId="9"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2" xfId="0" applyBorder="1"/>
    <xf numFmtId="0" fontId="0" fillId="0" borderId="26" xfId="0" applyBorder="1"/>
    <xf numFmtId="0" fontId="0" fillId="0" borderId="14" xfId="0" applyBorder="1"/>
    <xf numFmtId="0" fontId="0" fillId="0" borderId="14" xfId="0" applyBorder="1" applyAlignment="1">
      <alignment horizontal="left"/>
    </xf>
    <xf numFmtId="0" fontId="0" fillId="0" borderId="27" xfId="0" applyBorder="1"/>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30" xfId="0" applyFont="1" applyBorder="1" applyAlignment="1">
      <alignment horizontal="left" vertical="center"/>
    </xf>
    <xf numFmtId="0" fontId="13" fillId="0" borderId="31" xfId="0" applyFont="1" applyBorder="1" applyAlignment="1">
      <alignment horizontal="center" vertical="center"/>
    </xf>
    <xf numFmtId="0" fontId="13" fillId="0" borderId="25" xfId="0" applyFont="1" applyBorder="1" applyAlignment="1">
      <alignment horizontal="center" vertical="center"/>
    </xf>
    <xf numFmtId="0" fontId="0" fillId="0" borderId="32" xfId="0" applyFont="1" applyBorder="1" applyAlignment="1">
      <alignment horizontal="center" vertical="center"/>
    </xf>
    <xf numFmtId="0" fontId="0" fillId="0" borderId="33" xfId="0" applyFont="1" applyBorder="1" applyAlignment="1">
      <alignment horizontal="center" vertical="center"/>
    </xf>
    <xf numFmtId="0" fontId="0" fillId="0" borderId="34" xfId="0" applyFont="1" applyBorder="1" applyAlignment="1">
      <alignment horizontal="center" vertical="center"/>
    </xf>
    <xf numFmtId="0" fontId="0" fillId="0" borderId="35" xfId="0" applyFont="1" applyBorder="1" applyAlignment="1">
      <alignment horizontal="center" vertical="center"/>
    </xf>
    <xf numFmtId="166" fontId="0" fillId="0" borderId="36" xfId="3" applyNumberFormat="1" applyFont="1" applyBorder="1" applyAlignment="1" applyProtection="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0" fillId="0" borderId="35" xfId="0" applyBorder="1" applyAlignment="1">
      <alignment horizontal="center" vertical="center"/>
    </xf>
    <xf numFmtId="0" fontId="11" fillId="0" borderId="34" xfId="0" applyFont="1" applyBorder="1" applyAlignment="1">
      <alignment horizontal="center" vertical="center"/>
    </xf>
    <xf numFmtId="0" fontId="11" fillId="0" borderId="35" xfId="0" applyFont="1"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166" fontId="0" fillId="0" borderId="40" xfId="3" applyNumberFormat="1" applyFont="1" applyBorder="1" applyAlignment="1" applyProtection="1">
      <alignment horizontal="center" vertical="center"/>
    </xf>
    <xf numFmtId="166" fontId="13" fillId="0" borderId="41" xfId="0" applyNumberFormat="1" applyFont="1" applyBorder="1" applyAlignment="1">
      <alignment horizontal="center" vertical="center"/>
    </xf>
    <xf numFmtId="0" fontId="15" fillId="0" borderId="0" xfId="0" applyFont="1"/>
    <xf numFmtId="0" fontId="18" fillId="0" borderId="0" xfId="0" applyFont="1" applyAlignment="1">
      <alignment horizontal="left" wrapText="1"/>
    </xf>
    <xf numFmtId="0" fontId="18" fillId="0" borderId="0" xfId="0" applyFont="1" applyAlignment="1">
      <alignment horizontal="center" wrapText="1"/>
    </xf>
    <xf numFmtId="0" fontId="15" fillId="0" borderId="5" xfId="0" applyFont="1" applyBorder="1"/>
    <xf numFmtId="166" fontId="15" fillId="0" borderId="0" xfId="0" applyNumberFormat="1" applyFont="1"/>
    <xf numFmtId="0" fontId="5" fillId="3" borderId="12" xfId="0" applyFont="1" applyFill="1" applyBorder="1" applyAlignment="1">
      <alignment horizontal="right" vertical="center"/>
    </xf>
    <xf numFmtId="0" fontId="6" fillId="4" borderId="13" xfId="0" applyFont="1" applyFill="1" applyBorder="1" applyAlignment="1">
      <alignment horizontal="center" vertical="center"/>
    </xf>
    <xf numFmtId="0" fontId="2" fillId="3" borderId="0" xfId="0" applyFont="1" applyFill="1" applyBorder="1" applyAlignment="1">
      <alignment vertical="center"/>
    </xf>
    <xf numFmtId="0" fontId="0" fillId="3" borderId="0" xfId="0" applyFill="1"/>
    <xf numFmtId="0" fontId="5" fillId="3" borderId="14" xfId="0" applyFont="1" applyFill="1" applyBorder="1" applyAlignment="1">
      <alignment vertical="center"/>
    </xf>
    <xf numFmtId="0" fontId="5" fillId="3" borderId="0" xfId="0" applyFont="1" applyFill="1" applyBorder="1" applyAlignment="1">
      <alignment vertical="center"/>
    </xf>
    <xf numFmtId="0" fontId="7" fillId="3" borderId="0" xfId="0" applyFont="1" applyFill="1" applyBorder="1" applyAlignment="1">
      <alignment horizontal="left" vertical="center"/>
    </xf>
    <xf numFmtId="0" fontId="6" fillId="3" borderId="0" xfId="0" applyFont="1" applyFill="1" applyBorder="1" applyAlignment="1">
      <alignment horizontal="left" vertical="center" wrapText="1" indent="1"/>
    </xf>
    <xf numFmtId="0" fontId="23" fillId="4" borderId="0" xfId="0" applyFont="1" applyFill="1" applyAlignment="1">
      <alignment horizontal="left" wrapText="1" indent="1"/>
    </xf>
    <xf numFmtId="0" fontId="19" fillId="3" borderId="0" xfId="0" applyFont="1" applyFill="1" applyAlignment="1">
      <alignment horizontal="left" wrapText="1"/>
    </xf>
    <xf numFmtId="0" fontId="21" fillId="4" borderId="2" xfId="0" applyFont="1" applyFill="1" applyBorder="1" applyAlignment="1">
      <alignment horizontal="center" vertical="center" wrapText="1"/>
    </xf>
    <xf numFmtId="166" fontId="20" fillId="4" borderId="2" xfId="1" applyNumberFormat="1" applyFont="1" applyFill="1" applyBorder="1" applyAlignment="1" applyProtection="1">
      <alignment horizontal="right" vertical="center" wrapText="1"/>
    </xf>
    <xf numFmtId="166" fontId="20" fillId="4" borderId="3" xfId="1" applyNumberFormat="1" applyFont="1" applyFill="1" applyBorder="1" applyAlignment="1" applyProtection="1">
      <alignment horizontal="right" vertical="center" wrapText="1"/>
    </xf>
    <xf numFmtId="0" fontId="20" fillId="0" borderId="45" xfId="0" applyFont="1" applyBorder="1" applyAlignment="1">
      <alignment horizontal="center" vertical="center"/>
    </xf>
    <xf numFmtId="0" fontId="21" fillId="0" borderId="2" xfId="0" applyFont="1" applyBorder="1" applyAlignment="1">
      <alignment horizontal="center" vertical="center" wrapText="1"/>
    </xf>
    <xf numFmtId="0" fontId="0" fillId="4" borderId="46" xfId="0" applyFont="1" applyFill="1" applyBorder="1" applyAlignment="1">
      <alignment horizontal="center" vertical="center"/>
    </xf>
    <xf numFmtId="0" fontId="0" fillId="4" borderId="35" xfId="0" applyFont="1" applyFill="1" applyBorder="1" applyAlignment="1">
      <alignment horizontal="center" vertical="center"/>
    </xf>
    <xf numFmtId="0" fontId="14" fillId="4" borderId="35" xfId="0" applyFont="1" applyFill="1" applyBorder="1" applyAlignment="1">
      <alignment horizontal="center" vertical="center"/>
    </xf>
    <xf numFmtId="0" fontId="0" fillId="3" borderId="35" xfId="0" applyFont="1" applyFill="1" applyBorder="1" applyAlignment="1">
      <alignment horizontal="center" vertical="center"/>
    </xf>
    <xf numFmtId="0" fontId="0" fillId="4" borderId="33" xfId="0" applyFont="1" applyFill="1" applyBorder="1" applyAlignment="1">
      <alignment horizontal="center" vertical="center"/>
    </xf>
    <xf numFmtId="0" fontId="0" fillId="3" borderId="33" xfId="0" applyFont="1" applyFill="1" applyBorder="1" applyAlignment="1">
      <alignment horizontal="center" vertical="center"/>
    </xf>
    <xf numFmtId="0" fontId="0" fillId="4" borderId="47" xfId="0" applyFont="1" applyFill="1" applyBorder="1" applyAlignment="1">
      <alignment horizontal="center" vertical="center"/>
    </xf>
    <xf numFmtId="0" fontId="0" fillId="3" borderId="47" xfId="0" applyFont="1" applyFill="1" applyBorder="1" applyAlignment="1">
      <alignment horizontal="center" vertical="center"/>
    </xf>
    <xf numFmtId="0" fontId="15" fillId="0" borderId="10" xfId="0" applyFont="1" applyBorder="1"/>
    <xf numFmtId="0" fontId="15" fillId="0" borderId="11" xfId="0" applyFont="1" applyBorder="1"/>
    <xf numFmtId="0" fontId="15" fillId="0" borderId="5" xfId="0" applyFont="1" applyFill="1" applyBorder="1"/>
    <xf numFmtId="0" fontId="19" fillId="0" borderId="16" xfId="0" applyFont="1" applyBorder="1" applyAlignment="1">
      <alignment horizontal="center" vertical="center" wrapText="1"/>
    </xf>
    <xf numFmtId="0" fontId="4" fillId="3" borderId="2" xfId="0" applyFont="1" applyFill="1" applyBorder="1" applyAlignment="1">
      <alignment horizontal="center" vertical="center" wrapText="1"/>
    </xf>
    <xf numFmtId="166" fontId="4" fillId="3" borderId="2" xfId="1" applyNumberFormat="1" applyFont="1" applyFill="1" applyBorder="1" applyAlignment="1" applyProtection="1">
      <alignment horizontal="right" vertical="center" wrapText="1"/>
    </xf>
    <xf numFmtId="0" fontId="0" fillId="0" borderId="2" xfId="0" applyBorder="1" applyAlignment="1">
      <alignment horizontal="center" vertical="center"/>
    </xf>
    <xf numFmtId="0" fontId="0" fillId="0" borderId="2" xfId="0" applyBorder="1" applyAlignment="1">
      <alignment wrapText="1"/>
    </xf>
    <xf numFmtId="0" fontId="15" fillId="4" borderId="7" xfId="5" applyFont="1" applyFill="1" applyBorder="1" applyAlignment="1">
      <alignment wrapText="1"/>
    </xf>
    <xf numFmtId="0" fontId="15" fillId="4" borderId="0" xfId="5" applyFont="1" applyFill="1" applyBorder="1" applyAlignment="1">
      <alignment wrapText="1"/>
    </xf>
    <xf numFmtId="0" fontId="15" fillId="4" borderId="8" xfId="5" applyFont="1" applyFill="1" applyBorder="1" applyAlignment="1">
      <alignment wrapText="1"/>
    </xf>
    <xf numFmtId="0" fontId="22" fillId="0" borderId="9" xfId="0" applyFont="1" applyBorder="1" applyAlignment="1">
      <alignment horizontal="left" indent="3"/>
    </xf>
    <xf numFmtId="0" fontId="4" fillId="3" borderId="2" xfId="0" applyFont="1" applyFill="1" applyBorder="1" applyAlignment="1">
      <alignment horizontal="left" vertical="center" wrapText="1"/>
    </xf>
    <xf numFmtId="0" fontId="16" fillId="0" borderId="0" xfId="0" applyFont="1" applyBorder="1" applyAlignment="1">
      <alignment horizontal="center"/>
    </xf>
    <xf numFmtId="0" fontId="17" fillId="0" borderId="0" xfId="0" applyFont="1" applyBorder="1" applyAlignment="1">
      <alignment horizontal="left" vertical="center" wrapText="1"/>
    </xf>
    <xf numFmtId="0" fontId="23" fillId="4" borderId="0" xfId="0" applyFont="1" applyFill="1" applyBorder="1" applyAlignment="1">
      <alignment horizontal="left" wrapText="1" indent="1"/>
    </xf>
    <xf numFmtId="0" fontId="15" fillId="4" borderId="4" xfId="5" applyFont="1" applyFill="1" applyBorder="1" applyAlignment="1">
      <alignment horizontal="left" wrapText="1"/>
    </xf>
    <xf numFmtId="0" fontId="15" fillId="4" borderId="5" xfId="5" applyFont="1" applyFill="1" applyBorder="1" applyAlignment="1">
      <alignment horizontal="left" wrapText="1"/>
    </xf>
    <xf numFmtId="0" fontId="15" fillId="4" borderId="6" xfId="5" applyFont="1" applyFill="1" applyBorder="1" applyAlignment="1">
      <alignment horizontal="left" wrapText="1"/>
    </xf>
    <xf numFmtId="0" fontId="15" fillId="0" borderId="7" xfId="0" applyFont="1" applyBorder="1" applyAlignment="1">
      <alignment horizontal="left" wrapText="1"/>
    </xf>
    <xf numFmtId="0" fontId="15" fillId="0" borderId="0" xfId="0" applyFont="1" applyBorder="1" applyAlignment="1">
      <alignment horizontal="left" wrapText="1"/>
    </xf>
    <xf numFmtId="0" fontId="15" fillId="0" borderId="8" xfId="0" applyFont="1" applyBorder="1" applyAlignment="1">
      <alignment horizontal="left" wrapText="1"/>
    </xf>
    <xf numFmtId="0" fontId="5" fillId="3" borderId="0" xfId="0" applyFont="1" applyFill="1" applyBorder="1" applyAlignment="1">
      <alignment horizontal="center" vertical="center"/>
    </xf>
    <xf numFmtId="0" fontId="7" fillId="3" borderId="15" xfId="0" applyFont="1" applyFill="1" applyBorder="1" applyAlignment="1">
      <alignment horizontal="left" vertical="center" wrapText="1"/>
    </xf>
    <xf numFmtId="0" fontId="6" fillId="3" borderId="16" xfId="0" applyFont="1" applyFill="1" applyBorder="1" applyAlignment="1">
      <alignment horizontal="left" vertical="center" wrapText="1" indent="1"/>
    </xf>
    <xf numFmtId="0" fontId="7" fillId="3" borderId="17" xfId="0" applyFont="1" applyFill="1" applyBorder="1" applyAlignment="1">
      <alignment horizontal="left" vertical="center" wrapText="1"/>
    </xf>
    <xf numFmtId="0" fontId="7" fillId="3" borderId="18" xfId="0" applyFont="1" applyFill="1" applyBorder="1" applyAlignment="1">
      <alignment horizontal="left" vertical="center"/>
    </xf>
    <xf numFmtId="0" fontId="6" fillId="4" borderId="19" xfId="0" applyFont="1" applyFill="1" applyBorder="1" applyAlignment="1">
      <alignment horizontal="left" vertical="center" wrapText="1" indent="1"/>
    </xf>
    <xf numFmtId="0" fontId="8" fillId="3" borderId="18" xfId="0" applyFont="1" applyFill="1" applyBorder="1" applyAlignment="1">
      <alignment horizontal="center" vertical="center"/>
    </xf>
    <xf numFmtId="0" fontId="8" fillId="3" borderId="20" xfId="0" applyFont="1" applyFill="1" applyBorder="1" applyAlignment="1">
      <alignment horizontal="center" vertical="center" wrapText="1"/>
    </xf>
    <xf numFmtId="0" fontId="8" fillId="3" borderId="19" xfId="0" applyFont="1" applyFill="1" applyBorder="1" applyAlignment="1">
      <alignment horizontal="center" vertical="center" wrapText="1"/>
    </xf>
    <xf numFmtId="167" fontId="7" fillId="3" borderId="16" xfId="0" applyNumberFormat="1" applyFont="1" applyFill="1" applyBorder="1" applyAlignment="1">
      <alignment horizontal="center" vertical="center"/>
    </xf>
    <xf numFmtId="0" fontId="4" fillId="3" borderId="2" xfId="0" applyFont="1" applyFill="1" applyBorder="1" applyAlignment="1">
      <alignment horizontal="left" vertical="center" wrapText="1"/>
    </xf>
    <xf numFmtId="0" fontId="0" fillId="0" borderId="21" xfId="0" applyFont="1" applyBorder="1" applyAlignment="1">
      <alignment horizontal="center"/>
    </xf>
    <xf numFmtId="3" fontId="9" fillId="0" borderId="22" xfId="0" applyNumberFormat="1" applyFont="1" applyBorder="1" applyAlignment="1">
      <alignment horizontal="center"/>
    </xf>
    <xf numFmtId="0" fontId="10" fillId="0" borderId="13" xfId="0" applyFont="1" applyBorder="1" applyAlignment="1">
      <alignment horizontal="center" vertical="center" wrapText="1"/>
    </xf>
    <xf numFmtId="0" fontId="2" fillId="0" borderId="13" xfId="0" applyFont="1" applyBorder="1"/>
    <xf numFmtId="0" fontId="11" fillId="0" borderId="13" xfId="0" applyFont="1" applyBorder="1" applyAlignment="1">
      <alignment horizontal="left" indent="1"/>
    </xf>
    <xf numFmtId="0" fontId="4" fillId="0" borderId="15" xfId="0" applyFont="1" applyBorder="1" applyAlignment="1">
      <alignment horizontal="left" vertical="center" wrapText="1"/>
    </xf>
    <xf numFmtId="0" fontId="4" fillId="0" borderId="43" xfId="0" applyFont="1" applyBorder="1" applyAlignment="1">
      <alignment horizontal="left" vertical="center" wrapText="1"/>
    </xf>
    <xf numFmtId="0" fontId="4" fillId="0" borderId="44" xfId="0" applyFont="1" applyBorder="1" applyAlignment="1">
      <alignment horizontal="left" vertical="center" wrapText="1"/>
    </xf>
    <xf numFmtId="0" fontId="12" fillId="0" borderId="13" xfId="0" applyFont="1" applyBorder="1" applyAlignment="1">
      <alignment horizontal="left"/>
    </xf>
    <xf numFmtId="0" fontId="14" fillId="0" borderId="48" xfId="0" applyFont="1" applyBorder="1" applyAlignment="1">
      <alignment horizontal="left" vertical="center" wrapText="1"/>
    </xf>
    <xf numFmtId="0" fontId="0" fillId="0" borderId="49" xfId="0" applyFont="1" applyBorder="1" applyAlignment="1">
      <alignment horizontal="left" vertical="center" wrapText="1"/>
    </xf>
    <xf numFmtId="0" fontId="14" fillId="0" borderId="35" xfId="0" applyFont="1" applyBorder="1" applyAlignment="1">
      <alignment horizontal="left" vertical="center"/>
    </xf>
    <xf numFmtId="0" fontId="0" fillId="0" borderId="35" xfId="0" applyFont="1" applyBorder="1" applyAlignment="1">
      <alignment horizontal="left" vertical="center"/>
    </xf>
    <xf numFmtId="0" fontId="0" fillId="0" borderId="35" xfId="0" applyFont="1" applyBorder="1" applyAlignment="1">
      <alignment horizontal="left" vertical="center" wrapText="1"/>
    </xf>
    <xf numFmtId="0" fontId="11" fillId="0" borderId="24" xfId="0" applyFont="1" applyBorder="1"/>
    <xf numFmtId="0" fontId="11" fillId="0" borderId="25" xfId="0" applyFont="1" applyBorder="1" applyAlignment="1">
      <alignment horizontal="left" vertical="center" wrapText="1" indent="1"/>
    </xf>
    <xf numFmtId="0" fontId="13" fillId="0" borderId="23" xfId="0" applyFont="1" applyBorder="1" applyAlignment="1">
      <alignment horizontal="center" vertical="center"/>
    </xf>
    <xf numFmtId="0" fontId="13" fillId="0" borderId="13" xfId="0" applyFont="1" applyBorder="1" applyAlignment="1">
      <alignment horizontal="center" vertical="center"/>
    </xf>
    <xf numFmtId="0" fontId="13" fillId="0" borderId="23" xfId="0" applyFont="1" applyBorder="1" applyAlignment="1">
      <alignment horizontal="center" vertical="center" wrapText="1"/>
    </xf>
    <xf numFmtId="0" fontId="13" fillId="0" borderId="28" xfId="0" applyFont="1" applyBorder="1" applyAlignment="1">
      <alignment horizontal="center" vertical="center"/>
    </xf>
    <xf numFmtId="0" fontId="9" fillId="0" borderId="21" xfId="0" applyFont="1" applyBorder="1" applyAlignment="1">
      <alignment vertical="center" wrapText="1"/>
    </xf>
    <xf numFmtId="0" fontId="9" fillId="0" borderId="42" xfId="0" applyFont="1" applyBorder="1" applyAlignment="1">
      <alignment vertical="center" wrapText="1"/>
    </xf>
    <xf numFmtId="0" fontId="9" fillId="0" borderId="19" xfId="0" applyFont="1" applyBorder="1" applyAlignment="1">
      <alignment vertical="center" wrapText="1"/>
    </xf>
    <xf numFmtId="0" fontId="11" fillId="0" borderId="28" xfId="0" applyFont="1" applyBorder="1" applyAlignment="1">
      <alignment vertical="center" wrapText="1"/>
    </xf>
    <xf numFmtId="0" fontId="11" fillId="4" borderId="41" xfId="0" applyFont="1" applyFill="1" applyBorder="1" applyAlignment="1">
      <alignment horizontal="left" vertical="center" wrapText="1" indent="1"/>
    </xf>
    <xf numFmtId="0" fontId="0" fillId="0" borderId="35" xfId="0" applyBorder="1" applyAlignment="1">
      <alignment horizontal="left" vertical="center"/>
    </xf>
    <xf numFmtId="0" fontId="0" fillId="0" borderId="38" xfId="0" applyBorder="1" applyAlignment="1">
      <alignment horizontal="left" vertical="center"/>
    </xf>
    <xf numFmtId="0" fontId="9" fillId="0" borderId="41" xfId="0" applyFont="1" applyBorder="1" applyAlignment="1">
      <alignment horizontal="left" vertical="center" wrapText="1"/>
    </xf>
    <xf numFmtId="0" fontId="0" fillId="0" borderId="23" xfId="0" applyBorder="1"/>
    <xf numFmtId="0" fontId="6" fillId="0" borderId="16" xfId="0" applyFont="1" applyFill="1" applyBorder="1" applyAlignment="1">
      <alignment horizontal="left" vertical="center" wrapText="1" indent="1"/>
    </xf>
    <xf numFmtId="0" fontId="4" fillId="3" borderId="45" xfId="0" applyFont="1" applyFill="1" applyBorder="1" applyAlignment="1">
      <alignment horizontal="center" vertical="center" wrapText="1"/>
    </xf>
    <xf numFmtId="0" fontId="4" fillId="4" borderId="2" xfId="0" applyFont="1" applyFill="1" applyBorder="1" applyAlignment="1">
      <alignment horizontal="center" vertical="center" wrapText="1"/>
    </xf>
    <xf numFmtId="3" fontId="4" fillId="3" borderId="3" xfId="0" applyNumberFormat="1" applyFont="1" applyFill="1" applyBorder="1" applyAlignment="1">
      <alignment horizontal="center" vertical="center" wrapText="1"/>
    </xf>
    <xf numFmtId="0" fontId="0" fillId="0" borderId="0" xfId="0" applyAlignment="1">
      <alignment wrapText="1"/>
    </xf>
    <xf numFmtId="0" fontId="2" fillId="3" borderId="0" xfId="0" applyFont="1" applyFill="1" applyBorder="1" applyAlignment="1">
      <alignment vertical="center" wrapText="1"/>
    </xf>
    <xf numFmtId="0" fontId="0" fillId="3" borderId="0" xfId="0" applyFill="1" applyAlignment="1">
      <alignment wrapText="1"/>
    </xf>
  </cellXfs>
  <cellStyles count="6">
    <cellStyle name="Encabezado 1" xfId="2"/>
    <cellStyle name="Moneda" xfId="1" builtinId="4"/>
    <cellStyle name="Moneda_AUTORIZACION Y NOTA DE PEDIDO" xfId="3"/>
    <cellStyle name="Neutral 1" xfId="4"/>
    <cellStyle name="Normal" xfId="0" builtinId="0"/>
    <cellStyle name="Normal 2" xf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L16"/>
  <sheetViews>
    <sheetView zoomScale="89" zoomScaleNormal="89" workbookViewId="0">
      <selection activeCell="G12" sqref="G12"/>
    </sheetView>
  </sheetViews>
  <sheetFormatPr baseColWidth="10" defaultColWidth="11" defaultRowHeight="12.75" x14ac:dyDescent="0.2"/>
  <cols>
    <col min="1" max="1" width="4.5703125" style="31" customWidth="1"/>
    <col min="2" max="2" width="14" style="31" customWidth="1"/>
    <col min="3" max="3" width="13.28515625" style="31" customWidth="1"/>
    <col min="4" max="4" width="8.42578125" style="31" customWidth="1"/>
    <col min="5" max="5" width="48.140625" style="31" customWidth="1"/>
    <col min="6" max="6" width="11" style="31"/>
    <col min="7" max="7" width="11.5703125" style="31" customWidth="1"/>
    <col min="8" max="8" width="13.85546875" style="31" customWidth="1"/>
    <col min="9" max="9" width="18.5703125" style="31" customWidth="1"/>
    <col min="10" max="11" width="11" style="31"/>
    <col min="12" max="12" width="12.7109375" style="31" bestFit="1" customWidth="1"/>
    <col min="13" max="16384" width="11" style="31"/>
  </cols>
  <sheetData>
    <row r="2" spans="1:12" ht="27" x14ac:dyDescent="0.35">
      <c r="B2" s="72" t="s">
        <v>0</v>
      </c>
      <c r="C2" s="72"/>
      <c r="D2" s="72"/>
      <c r="E2" s="72"/>
      <c r="F2" s="72"/>
      <c r="G2" s="72"/>
      <c r="H2" s="72"/>
    </row>
    <row r="3" spans="1:12" ht="12" customHeight="1" x14ac:dyDescent="0.2"/>
    <row r="4" spans="1:12" ht="18" customHeight="1" x14ac:dyDescent="0.25">
      <c r="A4" s="73" t="s">
        <v>1</v>
      </c>
      <c r="B4" s="73"/>
      <c r="C4" s="74" t="s">
        <v>52</v>
      </c>
      <c r="D4" s="74"/>
      <c r="E4" s="74"/>
      <c r="F4" s="32"/>
      <c r="G4" s="33"/>
      <c r="H4" s="32"/>
    </row>
    <row r="5" spans="1:12" ht="18" customHeight="1" x14ac:dyDescent="0.25">
      <c r="A5" s="73" t="s">
        <v>2</v>
      </c>
      <c r="B5" s="73"/>
      <c r="C5" s="74" t="s">
        <v>51</v>
      </c>
      <c r="D5" s="74"/>
      <c r="E5" s="74"/>
      <c r="F5" s="32"/>
      <c r="G5" s="33"/>
      <c r="H5" s="32"/>
    </row>
    <row r="6" spans="1:12" ht="16.5" customHeight="1" x14ac:dyDescent="0.25">
      <c r="A6" s="73" t="s">
        <v>3</v>
      </c>
      <c r="B6" s="73"/>
      <c r="C6" s="44">
        <v>2022</v>
      </c>
      <c r="D6" s="45"/>
      <c r="E6" s="45"/>
      <c r="F6" s="32"/>
      <c r="G6" s="33"/>
      <c r="H6" s="32"/>
    </row>
    <row r="7" spans="1:12" ht="16.5" customHeight="1" x14ac:dyDescent="0.25">
      <c r="A7" s="73" t="s">
        <v>4</v>
      </c>
      <c r="B7" s="73"/>
      <c r="C7" s="44">
        <v>1</v>
      </c>
      <c r="D7" s="45"/>
      <c r="E7" s="45"/>
      <c r="F7" s="32"/>
      <c r="G7" s="33"/>
      <c r="H7" s="32"/>
    </row>
    <row r="8" spans="1:12" ht="13.5" thickBot="1" x14ac:dyDescent="0.25">
      <c r="B8" s="32"/>
      <c r="C8" s="33"/>
      <c r="D8" s="32"/>
      <c r="E8" s="32"/>
      <c r="F8" s="32"/>
      <c r="G8" s="33"/>
      <c r="H8" s="32"/>
    </row>
    <row r="9" spans="1:12" ht="39" thickBot="1" x14ac:dyDescent="0.25">
      <c r="A9" s="62" t="s">
        <v>5</v>
      </c>
      <c r="B9" s="62" t="s">
        <v>6</v>
      </c>
      <c r="C9" s="62" t="s">
        <v>7</v>
      </c>
      <c r="D9" s="62" t="s">
        <v>8</v>
      </c>
      <c r="E9" s="62" t="s">
        <v>9</v>
      </c>
      <c r="F9" s="62" t="s">
        <v>10</v>
      </c>
      <c r="G9" s="62" t="s">
        <v>11</v>
      </c>
      <c r="H9" s="62" t="s">
        <v>12</v>
      </c>
      <c r="I9" s="62" t="s">
        <v>13</v>
      </c>
    </row>
    <row r="10" spans="1:12" ht="38.25" x14ac:dyDescent="0.2">
      <c r="A10" s="49">
        <v>1</v>
      </c>
      <c r="B10" s="65" t="s">
        <v>66</v>
      </c>
      <c r="C10" s="65"/>
      <c r="D10" s="50">
        <v>252</v>
      </c>
      <c r="E10" s="66" t="s">
        <v>65</v>
      </c>
      <c r="F10" s="46" t="s">
        <v>55</v>
      </c>
      <c r="G10" s="46">
        <v>30000</v>
      </c>
      <c r="H10" s="47">
        <v>89.26</v>
      </c>
      <c r="I10" s="48">
        <f>H10*G10</f>
        <v>2677800</v>
      </c>
      <c r="L10" s="35"/>
    </row>
    <row r="11" spans="1:12" ht="13.5" thickBot="1" x14ac:dyDescent="0.25">
      <c r="I11" s="35"/>
    </row>
    <row r="12" spans="1:12" ht="56.25" customHeight="1" x14ac:dyDescent="0.2">
      <c r="B12" s="75" t="s">
        <v>56</v>
      </c>
      <c r="C12" s="76"/>
      <c r="D12" s="76"/>
      <c r="E12" s="77"/>
    </row>
    <row r="13" spans="1:12" x14ac:dyDescent="0.2">
      <c r="B13" s="67"/>
      <c r="C13" s="68"/>
      <c r="D13" s="68"/>
      <c r="E13" s="69"/>
    </row>
    <row r="14" spans="1:12" ht="44.25" customHeight="1" x14ac:dyDescent="0.2">
      <c r="B14" s="78" t="s">
        <v>60</v>
      </c>
      <c r="C14" s="79"/>
      <c r="D14" s="79"/>
      <c r="E14" s="80"/>
    </row>
    <row r="15" spans="1:12" ht="13.5" thickBot="1" x14ac:dyDescent="0.25">
      <c r="B15" s="70"/>
      <c r="C15" s="59"/>
      <c r="D15" s="59"/>
      <c r="E15" s="60"/>
    </row>
    <row r="16" spans="1:12" x14ac:dyDescent="0.2">
      <c r="B16" s="34"/>
      <c r="C16" s="61"/>
      <c r="D16" s="61"/>
      <c r="E16" s="61"/>
    </row>
  </sheetData>
  <mergeCells count="9">
    <mergeCell ref="A6:B6"/>
    <mergeCell ref="A7:B7"/>
    <mergeCell ref="B12:E12"/>
    <mergeCell ref="B14:E14"/>
    <mergeCell ref="B2:H2"/>
    <mergeCell ref="A4:B4"/>
    <mergeCell ref="C4:E4"/>
    <mergeCell ref="A5:B5"/>
    <mergeCell ref="C5:E5"/>
  </mergeCells>
  <printOptions horizontalCentered="1"/>
  <pageMargins left="0.11811023622047245" right="0.11811023622047245" top="0.74803149606299213" bottom="0.35433070866141736" header="0.11811023622047245" footer="0"/>
  <pageSetup paperSize="5" firstPageNumber="0" fitToWidth="2" fitToHeight="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3"/>
  <sheetViews>
    <sheetView tabSelected="1" zoomScale="110" zoomScaleNormal="110" workbookViewId="0">
      <selection activeCell="O12" sqref="O12"/>
    </sheetView>
  </sheetViews>
  <sheetFormatPr baseColWidth="10" defaultColWidth="9.140625" defaultRowHeight="12.75" x14ac:dyDescent="0.2"/>
  <cols>
    <col min="1" max="1" width="5.5703125" style="38" customWidth="1"/>
    <col min="2" max="2" width="15.140625" style="38" customWidth="1"/>
    <col min="3" max="3" width="14.140625" style="38" customWidth="1"/>
    <col min="4" max="4" width="26" style="38" customWidth="1"/>
    <col min="5" max="5" width="5" style="38" customWidth="1"/>
    <col min="6" max="6" width="7.85546875" style="38" hidden="1" customWidth="1"/>
    <col min="7" max="7" width="48.5703125" style="38" hidden="1" customWidth="1"/>
    <col min="8" max="8" width="9.28515625" style="38" customWidth="1"/>
    <col min="9" max="9" width="15.5703125" style="38" customWidth="1"/>
    <col min="10" max="10" width="14.7109375" style="38" customWidth="1"/>
    <col min="11" max="11" width="15.5703125" style="38" customWidth="1"/>
    <col min="12" max="12" width="0.28515625" style="38" customWidth="1"/>
    <col min="13" max="14" width="5.85546875" style="38" customWidth="1"/>
    <col min="15" max="15" width="12.5703125" style="38" customWidth="1"/>
    <col min="16" max="1024" width="9.140625" style="38"/>
    <col min="1025" max="16384" width="9.140625" style="39"/>
  </cols>
  <sheetData>
    <row r="1" spans="1:1024" ht="18" customHeight="1" x14ac:dyDescent="0.2">
      <c r="A1" s="81" t="s">
        <v>14</v>
      </c>
      <c r="B1" s="81"/>
      <c r="C1" s="81"/>
      <c r="D1" s="81"/>
      <c r="E1" s="81"/>
      <c r="F1" s="81"/>
      <c r="G1" s="81"/>
      <c r="H1" s="81"/>
      <c r="I1" s="81"/>
      <c r="J1" s="36" t="s">
        <v>15</v>
      </c>
      <c r="K1" s="37" t="s">
        <v>61</v>
      </c>
    </row>
    <row r="2" spans="1:1024" ht="18.75" customHeight="1" thickBot="1" x14ac:dyDescent="0.25">
      <c r="A2" s="40"/>
      <c r="B2" s="40"/>
      <c r="C2" s="40"/>
      <c r="D2" s="41"/>
      <c r="E2" s="41"/>
      <c r="F2" s="41"/>
      <c r="G2" s="41"/>
      <c r="H2" s="41"/>
      <c r="I2" s="41"/>
      <c r="J2" s="41"/>
      <c r="K2" s="41"/>
    </row>
    <row r="3" spans="1:1024" ht="18.75" customHeight="1" thickBot="1" x14ac:dyDescent="0.25">
      <c r="A3" s="82" t="s">
        <v>48</v>
      </c>
      <c r="B3" s="82"/>
      <c r="C3" s="82"/>
      <c r="D3" s="83" t="str">
        <f>'Necesidades Trimestrales'!C4</f>
        <v>040 - Ministerio de Salud</v>
      </c>
      <c r="E3" s="83"/>
      <c r="F3" s="83"/>
      <c r="G3" s="83"/>
      <c r="H3" s="83"/>
      <c r="I3" s="83"/>
      <c r="J3" s="83"/>
      <c r="K3" s="83"/>
    </row>
    <row r="4" spans="1:1024" ht="18.75" customHeight="1" thickBot="1" x14ac:dyDescent="0.25">
      <c r="A4" s="84" t="s">
        <v>49</v>
      </c>
      <c r="B4" s="84"/>
      <c r="C4" s="84"/>
      <c r="D4" s="83" t="str">
        <f>'Necesidades Trimestrales'!C5</f>
        <v>024 - Hospital Interzonal de Niños</v>
      </c>
      <c r="E4" s="83"/>
      <c r="F4" s="83"/>
      <c r="G4" s="83"/>
      <c r="H4" s="83"/>
      <c r="I4" s="83"/>
      <c r="J4" s="83"/>
      <c r="K4" s="83"/>
    </row>
    <row r="5" spans="1:1024" ht="18.75" customHeight="1" thickBot="1" x14ac:dyDescent="0.25">
      <c r="A5" s="84" t="s">
        <v>27</v>
      </c>
      <c r="B5" s="84"/>
      <c r="C5" s="84"/>
      <c r="D5" s="83" t="s">
        <v>51</v>
      </c>
      <c r="E5" s="83"/>
      <c r="F5" s="83"/>
      <c r="G5" s="83"/>
      <c r="H5" s="83"/>
      <c r="I5" s="83"/>
      <c r="J5" s="83"/>
      <c r="K5" s="83"/>
    </row>
    <row r="6" spans="1:1024" ht="16.5" customHeight="1" thickBot="1" x14ac:dyDescent="0.25">
      <c r="A6" s="82" t="s">
        <v>50</v>
      </c>
      <c r="B6" s="82"/>
      <c r="C6" s="82"/>
      <c r="D6" s="83" t="s">
        <v>58</v>
      </c>
      <c r="E6" s="83"/>
      <c r="F6" s="83"/>
      <c r="G6" s="83"/>
      <c r="H6" s="83"/>
      <c r="I6" s="83"/>
      <c r="J6" s="83"/>
      <c r="K6" s="83"/>
    </row>
    <row r="7" spans="1:1024" ht="16.5" customHeight="1" x14ac:dyDescent="0.2">
      <c r="A7" s="84" t="s">
        <v>16</v>
      </c>
      <c r="B7" s="84"/>
      <c r="C7" s="84"/>
      <c r="D7" s="83" t="str">
        <f>'Necesidades Trimestrales'!C7 &amp; "° Trimestre - Año " &amp; 'Necesidades Trimestrales'!C6</f>
        <v>1° Trimestre - Año 2022</v>
      </c>
      <c r="E7" s="83"/>
      <c r="F7" s="83"/>
      <c r="G7" s="83"/>
      <c r="H7" s="83"/>
      <c r="I7" s="83"/>
      <c r="J7" s="83"/>
      <c r="K7" s="83"/>
    </row>
    <row r="8" spans="1:1024" ht="16.5" customHeight="1" x14ac:dyDescent="0.2">
      <c r="A8" s="85" t="s">
        <v>17</v>
      </c>
      <c r="B8" s="85"/>
      <c r="C8" s="85"/>
      <c r="D8" s="86" t="s">
        <v>57</v>
      </c>
      <c r="E8" s="86"/>
      <c r="F8" s="86"/>
      <c r="G8" s="86"/>
      <c r="H8" s="86"/>
      <c r="I8" s="86"/>
      <c r="J8" s="86"/>
      <c r="K8" s="86"/>
    </row>
    <row r="9" spans="1:1024" ht="15.75" x14ac:dyDescent="0.2">
      <c r="A9" s="42"/>
      <c r="B9" s="42"/>
      <c r="C9" s="42"/>
      <c r="D9" s="43"/>
      <c r="E9" s="43"/>
      <c r="F9" s="43"/>
      <c r="G9" s="43"/>
      <c r="H9" s="43"/>
      <c r="I9" s="43"/>
      <c r="J9" s="43"/>
      <c r="K9" s="43"/>
    </row>
    <row r="10" spans="1:1024" ht="18.75" customHeight="1" x14ac:dyDescent="0.2">
      <c r="A10" s="87" t="s">
        <v>18</v>
      </c>
      <c r="B10" s="88" t="s">
        <v>19</v>
      </c>
      <c r="C10" s="88" t="s">
        <v>20</v>
      </c>
      <c r="D10" s="88"/>
      <c r="E10" s="88"/>
      <c r="F10" s="88"/>
      <c r="G10" s="88"/>
      <c r="H10" s="88" t="s">
        <v>21</v>
      </c>
      <c r="I10" s="88" t="s">
        <v>22</v>
      </c>
      <c r="J10" s="88" t="s">
        <v>23</v>
      </c>
      <c r="K10" s="89" t="s">
        <v>24</v>
      </c>
    </row>
    <row r="11" spans="1:1024" ht="24" customHeight="1" thickBot="1" x14ac:dyDescent="0.25">
      <c r="A11" s="87"/>
      <c r="B11" s="88"/>
      <c r="C11" s="88"/>
      <c r="D11" s="88"/>
      <c r="E11" s="88"/>
      <c r="F11" s="88"/>
      <c r="G11" s="88"/>
      <c r="H11" s="88"/>
      <c r="I11" s="88"/>
      <c r="J11" s="88"/>
      <c r="K11" s="89"/>
    </row>
    <row r="12" spans="1:1024" s="127" customFormat="1" ht="38.25" customHeight="1" thickBot="1" x14ac:dyDescent="0.25">
      <c r="A12" s="122">
        <v>1</v>
      </c>
      <c r="B12" s="71" t="str">
        <f>+'Necesidades Trimestrales'!B10</f>
        <v>2.5.1-9018.316</v>
      </c>
      <c r="C12" s="91" t="str">
        <f>'Necesidades Trimestrales'!E10</f>
        <v>GASES; COMPUESTO QUIMICO: OXIGENO, CALIDAD: MEDICINAL, PRESENTACION: LIQUIDA EN M3 A GRANEL</v>
      </c>
      <c r="D12" s="91"/>
      <c r="E12" s="91"/>
      <c r="F12" s="91"/>
      <c r="G12" s="91"/>
      <c r="H12" s="123" t="s">
        <v>54</v>
      </c>
      <c r="I12" s="63" t="str">
        <f>'Necesidades Trimestrales'!F10</f>
        <v>M3</v>
      </c>
      <c r="J12" s="64">
        <f>'Necesidades Trimestrales'!H10</f>
        <v>89.26</v>
      </c>
      <c r="K12" s="124">
        <f>'Necesidades Trimestrales'!G10</f>
        <v>30000</v>
      </c>
      <c r="L12" s="125"/>
      <c r="M12" s="126"/>
      <c r="N12" s="126"/>
      <c r="O12" s="126"/>
      <c r="P12" s="126"/>
      <c r="Q12" s="126"/>
      <c r="R12" s="126"/>
      <c r="S12" s="126"/>
      <c r="T12" s="126"/>
      <c r="U12" s="126"/>
      <c r="V12" s="126"/>
      <c r="W12" s="126"/>
      <c r="X12" s="126"/>
      <c r="Y12" s="126"/>
      <c r="Z12" s="126"/>
      <c r="AA12" s="126"/>
      <c r="AB12" s="126"/>
      <c r="AC12" s="126"/>
      <c r="AD12" s="126"/>
      <c r="AE12" s="126"/>
      <c r="AF12" s="126"/>
      <c r="AG12" s="126"/>
      <c r="AH12" s="126"/>
      <c r="AI12" s="126"/>
      <c r="AJ12" s="126"/>
      <c r="AK12" s="126"/>
      <c r="AL12" s="126"/>
      <c r="AM12" s="126"/>
      <c r="AN12" s="126"/>
      <c r="AO12" s="126"/>
      <c r="AP12" s="126"/>
      <c r="AQ12" s="126"/>
      <c r="AR12" s="126"/>
      <c r="AS12" s="126"/>
      <c r="AT12" s="126"/>
      <c r="AU12" s="126"/>
      <c r="AV12" s="126"/>
      <c r="AW12" s="126"/>
      <c r="AX12" s="126"/>
      <c r="AY12" s="126"/>
      <c r="AZ12" s="126"/>
      <c r="BA12" s="126"/>
      <c r="BB12" s="126"/>
      <c r="BC12" s="126"/>
      <c r="BD12" s="126"/>
      <c r="BE12" s="126"/>
      <c r="BF12" s="126"/>
      <c r="BG12" s="126"/>
      <c r="BH12" s="126"/>
      <c r="BI12" s="126"/>
      <c r="BJ12" s="126"/>
      <c r="BK12" s="126"/>
      <c r="BL12" s="126"/>
      <c r="BM12" s="126"/>
      <c r="BN12" s="126"/>
      <c r="BO12" s="126"/>
      <c r="BP12" s="126"/>
      <c r="BQ12" s="126"/>
      <c r="BR12" s="126"/>
      <c r="BS12" s="126"/>
      <c r="BT12" s="126"/>
      <c r="BU12" s="126"/>
      <c r="BV12" s="126"/>
      <c r="BW12" s="126"/>
      <c r="BX12" s="126"/>
      <c r="BY12" s="126"/>
      <c r="BZ12" s="126"/>
      <c r="CA12" s="126"/>
      <c r="CB12" s="126"/>
      <c r="CC12" s="126"/>
      <c r="CD12" s="126"/>
      <c r="CE12" s="126"/>
      <c r="CF12" s="126"/>
      <c r="CG12" s="126"/>
      <c r="CH12" s="126"/>
      <c r="CI12" s="126"/>
      <c r="CJ12" s="126"/>
      <c r="CK12" s="126"/>
      <c r="CL12" s="126"/>
      <c r="CM12" s="126"/>
      <c r="CN12" s="126"/>
      <c r="CO12" s="126"/>
      <c r="CP12" s="126"/>
      <c r="CQ12" s="126"/>
      <c r="CR12" s="126"/>
      <c r="CS12" s="126"/>
      <c r="CT12" s="126"/>
      <c r="CU12" s="126"/>
      <c r="CV12" s="126"/>
      <c r="CW12" s="126"/>
      <c r="CX12" s="126"/>
      <c r="CY12" s="126"/>
      <c r="CZ12" s="126"/>
      <c r="DA12" s="126"/>
      <c r="DB12" s="126"/>
      <c r="DC12" s="126"/>
      <c r="DD12" s="126"/>
      <c r="DE12" s="126"/>
      <c r="DF12" s="126"/>
      <c r="DG12" s="126"/>
      <c r="DH12" s="126"/>
      <c r="DI12" s="126"/>
      <c r="DJ12" s="126"/>
      <c r="DK12" s="126"/>
      <c r="DL12" s="126"/>
      <c r="DM12" s="126"/>
      <c r="DN12" s="126"/>
      <c r="DO12" s="126"/>
      <c r="DP12" s="126"/>
      <c r="DQ12" s="126"/>
      <c r="DR12" s="126"/>
      <c r="DS12" s="126"/>
      <c r="DT12" s="126"/>
      <c r="DU12" s="126"/>
      <c r="DV12" s="126"/>
      <c r="DW12" s="126"/>
      <c r="DX12" s="126"/>
      <c r="DY12" s="126"/>
      <c r="DZ12" s="126"/>
      <c r="EA12" s="126"/>
      <c r="EB12" s="126"/>
      <c r="EC12" s="126"/>
      <c r="ED12" s="126"/>
      <c r="EE12" s="126"/>
      <c r="EF12" s="126"/>
      <c r="EG12" s="126"/>
      <c r="EH12" s="126"/>
      <c r="EI12" s="126"/>
      <c r="EJ12" s="126"/>
      <c r="EK12" s="126"/>
      <c r="EL12" s="126"/>
      <c r="EM12" s="126"/>
      <c r="EN12" s="126"/>
      <c r="EO12" s="126"/>
      <c r="EP12" s="126"/>
      <c r="EQ12" s="126"/>
      <c r="ER12" s="126"/>
      <c r="ES12" s="126"/>
      <c r="ET12" s="126"/>
      <c r="EU12" s="126"/>
      <c r="EV12" s="126"/>
      <c r="EW12" s="126"/>
      <c r="EX12" s="126"/>
      <c r="EY12" s="126"/>
      <c r="EZ12" s="126"/>
      <c r="FA12" s="126"/>
      <c r="FB12" s="126"/>
      <c r="FC12" s="126"/>
      <c r="FD12" s="126"/>
      <c r="FE12" s="126"/>
      <c r="FF12" s="126"/>
      <c r="FG12" s="126"/>
      <c r="FH12" s="126"/>
      <c r="FI12" s="126"/>
      <c r="FJ12" s="126"/>
      <c r="FK12" s="126"/>
      <c r="FL12" s="126"/>
      <c r="FM12" s="126"/>
      <c r="FN12" s="126"/>
      <c r="FO12" s="126"/>
      <c r="FP12" s="126"/>
      <c r="FQ12" s="126"/>
      <c r="FR12" s="126"/>
      <c r="FS12" s="126"/>
      <c r="FT12" s="126"/>
      <c r="FU12" s="126"/>
      <c r="FV12" s="126"/>
      <c r="FW12" s="126"/>
      <c r="FX12" s="126"/>
      <c r="FY12" s="126"/>
      <c r="FZ12" s="126"/>
      <c r="GA12" s="126"/>
      <c r="GB12" s="126"/>
      <c r="GC12" s="126"/>
      <c r="GD12" s="126"/>
      <c r="GE12" s="126"/>
      <c r="GF12" s="126"/>
      <c r="GG12" s="126"/>
      <c r="GH12" s="126"/>
      <c r="GI12" s="126"/>
      <c r="GJ12" s="126"/>
      <c r="GK12" s="126"/>
      <c r="GL12" s="126"/>
      <c r="GM12" s="126"/>
      <c r="GN12" s="126"/>
      <c r="GO12" s="126"/>
      <c r="GP12" s="126"/>
      <c r="GQ12" s="126"/>
      <c r="GR12" s="126"/>
      <c r="GS12" s="126"/>
      <c r="GT12" s="126"/>
      <c r="GU12" s="126"/>
      <c r="GV12" s="126"/>
      <c r="GW12" s="126"/>
      <c r="GX12" s="126"/>
      <c r="GY12" s="126"/>
      <c r="GZ12" s="126"/>
      <c r="HA12" s="126"/>
      <c r="HB12" s="126"/>
      <c r="HC12" s="126"/>
      <c r="HD12" s="126"/>
      <c r="HE12" s="126"/>
      <c r="HF12" s="126"/>
      <c r="HG12" s="126"/>
      <c r="HH12" s="126"/>
      <c r="HI12" s="126"/>
      <c r="HJ12" s="126"/>
      <c r="HK12" s="126"/>
      <c r="HL12" s="126"/>
      <c r="HM12" s="126"/>
      <c r="HN12" s="126"/>
      <c r="HO12" s="126"/>
      <c r="HP12" s="126"/>
      <c r="HQ12" s="126"/>
      <c r="HR12" s="126"/>
      <c r="HS12" s="126"/>
      <c r="HT12" s="126"/>
      <c r="HU12" s="126"/>
      <c r="HV12" s="126"/>
      <c r="HW12" s="126"/>
      <c r="HX12" s="126"/>
      <c r="HY12" s="126"/>
      <c r="HZ12" s="126"/>
      <c r="IA12" s="126"/>
      <c r="IB12" s="126"/>
      <c r="IC12" s="126"/>
      <c r="ID12" s="126"/>
      <c r="IE12" s="126"/>
      <c r="IF12" s="126"/>
      <c r="IG12" s="126"/>
      <c r="IH12" s="126"/>
      <c r="II12" s="126"/>
      <c r="IJ12" s="126"/>
      <c r="IK12" s="126"/>
      <c r="IL12" s="126"/>
      <c r="IM12" s="126"/>
      <c r="IN12" s="126"/>
      <c r="IO12" s="126"/>
      <c r="IP12" s="126"/>
      <c r="IQ12" s="126"/>
      <c r="IR12" s="126"/>
      <c r="IS12" s="126"/>
      <c r="IT12" s="126"/>
      <c r="IU12" s="126"/>
      <c r="IV12" s="126"/>
      <c r="IW12" s="126"/>
      <c r="IX12" s="126"/>
      <c r="IY12" s="126"/>
      <c r="IZ12" s="126"/>
      <c r="JA12" s="126"/>
      <c r="JB12" s="126"/>
      <c r="JC12" s="126"/>
      <c r="JD12" s="126"/>
      <c r="JE12" s="126"/>
      <c r="JF12" s="126"/>
      <c r="JG12" s="126"/>
      <c r="JH12" s="126"/>
      <c r="JI12" s="126"/>
      <c r="JJ12" s="126"/>
      <c r="JK12" s="126"/>
      <c r="JL12" s="126"/>
      <c r="JM12" s="126"/>
      <c r="JN12" s="126"/>
      <c r="JO12" s="126"/>
      <c r="JP12" s="126"/>
      <c r="JQ12" s="126"/>
      <c r="JR12" s="126"/>
      <c r="JS12" s="126"/>
      <c r="JT12" s="126"/>
      <c r="JU12" s="126"/>
      <c r="JV12" s="126"/>
      <c r="JW12" s="126"/>
      <c r="JX12" s="126"/>
      <c r="JY12" s="126"/>
      <c r="JZ12" s="126"/>
      <c r="KA12" s="126"/>
      <c r="KB12" s="126"/>
      <c r="KC12" s="126"/>
      <c r="KD12" s="126"/>
      <c r="KE12" s="126"/>
      <c r="KF12" s="126"/>
      <c r="KG12" s="126"/>
      <c r="KH12" s="126"/>
      <c r="KI12" s="126"/>
      <c r="KJ12" s="126"/>
      <c r="KK12" s="126"/>
      <c r="KL12" s="126"/>
      <c r="KM12" s="126"/>
      <c r="KN12" s="126"/>
      <c r="KO12" s="126"/>
      <c r="KP12" s="126"/>
      <c r="KQ12" s="126"/>
      <c r="KR12" s="126"/>
      <c r="KS12" s="126"/>
      <c r="KT12" s="126"/>
      <c r="KU12" s="126"/>
      <c r="KV12" s="126"/>
      <c r="KW12" s="126"/>
      <c r="KX12" s="126"/>
      <c r="KY12" s="126"/>
      <c r="KZ12" s="126"/>
      <c r="LA12" s="126"/>
      <c r="LB12" s="126"/>
      <c r="LC12" s="126"/>
      <c r="LD12" s="126"/>
      <c r="LE12" s="126"/>
      <c r="LF12" s="126"/>
      <c r="LG12" s="126"/>
      <c r="LH12" s="126"/>
      <c r="LI12" s="126"/>
      <c r="LJ12" s="126"/>
      <c r="LK12" s="126"/>
      <c r="LL12" s="126"/>
      <c r="LM12" s="126"/>
      <c r="LN12" s="126"/>
      <c r="LO12" s="126"/>
      <c r="LP12" s="126"/>
      <c r="LQ12" s="126"/>
      <c r="LR12" s="126"/>
      <c r="LS12" s="126"/>
      <c r="LT12" s="126"/>
      <c r="LU12" s="126"/>
      <c r="LV12" s="126"/>
      <c r="LW12" s="126"/>
      <c r="LX12" s="126"/>
      <c r="LY12" s="126"/>
      <c r="LZ12" s="126"/>
      <c r="MA12" s="126"/>
      <c r="MB12" s="126"/>
      <c r="MC12" s="126"/>
      <c r="MD12" s="126"/>
      <c r="ME12" s="126"/>
      <c r="MF12" s="126"/>
      <c r="MG12" s="126"/>
      <c r="MH12" s="126"/>
      <c r="MI12" s="126"/>
      <c r="MJ12" s="126"/>
      <c r="MK12" s="126"/>
      <c r="ML12" s="126"/>
      <c r="MM12" s="126"/>
      <c r="MN12" s="126"/>
      <c r="MO12" s="126"/>
      <c r="MP12" s="126"/>
      <c r="MQ12" s="126"/>
      <c r="MR12" s="126"/>
      <c r="MS12" s="126"/>
      <c r="MT12" s="126"/>
      <c r="MU12" s="126"/>
      <c r="MV12" s="126"/>
      <c r="MW12" s="126"/>
      <c r="MX12" s="126"/>
      <c r="MY12" s="126"/>
      <c r="MZ12" s="126"/>
      <c r="NA12" s="126"/>
      <c r="NB12" s="126"/>
      <c r="NC12" s="126"/>
      <c r="ND12" s="126"/>
      <c r="NE12" s="126"/>
      <c r="NF12" s="126"/>
      <c r="NG12" s="126"/>
      <c r="NH12" s="126"/>
      <c r="NI12" s="126"/>
      <c r="NJ12" s="126"/>
      <c r="NK12" s="126"/>
      <c r="NL12" s="126"/>
      <c r="NM12" s="126"/>
      <c r="NN12" s="126"/>
      <c r="NO12" s="126"/>
      <c r="NP12" s="126"/>
      <c r="NQ12" s="126"/>
      <c r="NR12" s="126"/>
      <c r="NS12" s="126"/>
      <c r="NT12" s="126"/>
      <c r="NU12" s="126"/>
      <c r="NV12" s="126"/>
      <c r="NW12" s="126"/>
      <c r="NX12" s="126"/>
      <c r="NY12" s="126"/>
      <c r="NZ12" s="126"/>
      <c r="OA12" s="126"/>
      <c r="OB12" s="126"/>
      <c r="OC12" s="126"/>
      <c r="OD12" s="126"/>
      <c r="OE12" s="126"/>
      <c r="OF12" s="126"/>
      <c r="OG12" s="126"/>
      <c r="OH12" s="126"/>
      <c r="OI12" s="126"/>
      <c r="OJ12" s="126"/>
      <c r="OK12" s="126"/>
      <c r="OL12" s="126"/>
      <c r="OM12" s="126"/>
      <c r="ON12" s="126"/>
      <c r="OO12" s="126"/>
      <c r="OP12" s="126"/>
      <c r="OQ12" s="126"/>
      <c r="OR12" s="126"/>
      <c r="OS12" s="126"/>
      <c r="OT12" s="126"/>
      <c r="OU12" s="126"/>
      <c r="OV12" s="126"/>
      <c r="OW12" s="126"/>
      <c r="OX12" s="126"/>
      <c r="OY12" s="126"/>
      <c r="OZ12" s="126"/>
      <c r="PA12" s="126"/>
      <c r="PB12" s="126"/>
      <c r="PC12" s="126"/>
      <c r="PD12" s="126"/>
      <c r="PE12" s="126"/>
      <c r="PF12" s="126"/>
      <c r="PG12" s="126"/>
      <c r="PH12" s="126"/>
      <c r="PI12" s="126"/>
      <c r="PJ12" s="126"/>
      <c r="PK12" s="126"/>
      <c r="PL12" s="126"/>
      <c r="PM12" s="126"/>
      <c r="PN12" s="126"/>
      <c r="PO12" s="126"/>
      <c r="PP12" s="126"/>
      <c r="PQ12" s="126"/>
      <c r="PR12" s="126"/>
      <c r="PS12" s="126"/>
      <c r="PT12" s="126"/>
      <c r="PU12" s="126"/>
      <c r="PV12" s="126"/>
      <c r="PW12" s="126"/>
      <c r="PX12" s="126"/>
      <c r="PY12" s="126"/>
      <c r="PZ12" s="126"/>
      <c r="QA12" s="126"/>
      <c r="QB12" s="126"/>
      <c r="QC12" s="126"/>
      <c r="QD12" s="126"/>
      <c r="QE12" s="126"/>
      <c r="QF12" s="126"/>
      <c r="QG12" s="126"/>
      <c r="QH12" s="126"/>
      <c r="QI12" s="126"/>
      <c r="QJ12" s="126"/>
      <c r="QK12" s="126"/>
      <c r="QL12" s="126"/>
      <c r="QM12" s="126"/>
      <c r="QN12" s="126"/>
      <c r="QO12" s="126"/>
      <c r="QP12" s="126"/>
      <c r="QQ12" s="126"/>
      <c r="QR12" s="126"/>
      <c r="QS12" s="126"/>
      <c r="QT12" s="126"/>
      <c r="QU12" s="126"/>
      <c r="QV12" s="126"/>
      <c r="QW12" s="126"/>
      <c r="QX12" s="126"/>
      <c r="QY12" s="126"/>
      <c r="QZ12" s="126"/>
      <c r="RA12" s="126"/>
      <c r="RB12" s="126"/>
      <c r="RC12" s="126"/>
      <c r="RD12" s="126"/>
      <c r="RE12" s="126"/>
      <c r="RF12" s="126"/>
      <c r="RG12" s="126"/>
      <c r="RH12" s="126"/>
      <c r="RI12" s="126"/>
      <c r="RJ12" s="126"/>
      <c r="RK12" s="126"/>
      <c r="RL12" s="126"/>
      <c r="RM12" s="126"/>
      <c r="RN12" s="126"/>
      <c r="RO12" s="126"/>
      <c r="RP12" s="126"/>
      <c r="RQ12" s="126"/>
      <c r="RR12" s="126"/>
      <c r="RS12" s="126"/>
      <c r="RT12" s="126"/>
      <c r="RU12" s="126"/>
      <c r="RV12" s="126"/>
      <c r="RW12" s="126"/>
      <c r="RX12" s="126"/>
      <c r="RY12" s="126"/>
      <c r="RZ12" s="126"/>
      <c r="SA12" s="126"/>
      <c r="SB12" s="126"/>
      <c r="SC12" s="126"/>
      <c r="SD12" s="126"/>
      <c r="SE12" s="126"/>
      <c r="SF12" s="126"/>
      <c r="SG12" s="126"/>
      <c r="SH12" s="126"/>
      <c r="SI12" s="126"/>
      <c r="SJ12" s="126"/>
      <c r="SK12" s="126"/>
      <c r="SL12" s="126"/>
      <c r="SM12" s="126"/>
      <c r="SN12" s="126"/>
      <c r="SO12" s="126"/>
      <c r="SP12" s="126"/>
      <c r="SQ12" s="126"/>
      <c r="SR12" s="126"/>
      <c r="SS12" s="126"/>
      <c r="ST12" s="126"/>
      <c r="SU12" s="126"/>
      <c r="SV12" s="126"/>
      <c r="SW12" s="126"/>
      <c r="SX12" s="126"/>
      <c r="SY12" s="126"/>
      <c r="SZ12" s="126"/>
      <c r="TA12" s="126"/>
      <c r="TB12" s="126"/>
      <c r="TC12" s="126"/>
      <c r="TD12" s="126"/>
      <c r="TE12" s="126"/>
      <c r="TF12" s="126"/>
      <c r="TG12" s="126"/>
      <c r="TH12" s="126"/>
      <c r="TI12" s="126"/>
      <c r="TJ12" s="126"/>
      <c r="TK12" s="126"/>
      <c r="TL12" s="126"/>
      <c r="TM12" s="126"/>
      <c r="TN12" s="126"/>
      <c r="TO12" s="126"/>
      <c r="TP12" s="126"/>
      <c r="TQ12" s="126"/>
      <c r="TR12" s="126"/>
      <c r="TS12" s="126"/>
      <c r="TT12" s="126"/>
      <c r="TU12" s="126"/>
      <c r="TV12" s="126"/>
      <c r="TW12" s="126"/>
      <c r="TX12" s="126"/>
      <c r="TY12" s="126"/>
      <c r="TZ12" s="126"/>
      <c r="UA12" s="126"/>
      <c r="UB12" s="126"/>
      <c r="UC12" s="126"/>
      <c r="UD12" s="126"/>
      <c r="UE12" s="126"/>
      <c r="UF12" s="126"/>
      <c r="UG12" s="126"/>
      <c r="UH12" s="126"/>
      <c r="UI12" s="126"/>
      <c r="UJ12" s="126"/>
      <c r="UK12" s="126"/>
      <c r="UL12" s="126"/>
      <c r="UM12" s="126"/>
      <c r="UN12" s="126"/>
      <c r="UO12" s="126"/>
      <c r="UP12" s="126"/>
      <c r="UQ12" s="126"/>
      <c r="UR12" s="126"/>
      <c r="US12" s="126"/>
      <c r="UT12" s="126"/>
      <c r="UU12" s="126"/>
      <c r="UV12" s="126"/>
      <c r="UW12" s="126"/>
      <c r="UX12" s="126"/>
      <c r="UY12" s="126"/>
      <c r="UZ12" s="126"/>
      <c r="VA12" s="126"/>
      <c r="VB12" s="126"/>
      <c r="VC12" s="126"/>
      <c r="VD12" s="126"/>
      <c r="VE12" s="126"/>
      <c r="VF12" s="126"/>
      <c r="VG12" s="126"/>
      <c r="VH12" s="126"/>
      <c r="VI12" s="126"/>
      <c r="VJ12" s="126"/>
      <c r="VK12" s="126"/>
      <c r="VL12" s="126"/>
      <c r="VM12" s="126"/>
      <c r="VN12" s="126"/>
      <c r="VO12" s="126"/>
      <c r="VP12" s="126"/>
      <c r="VQ12" s="126"/>
      <c r="VR12" s="126"/>
      <c r="VS12" s="126"/>
      <c r="VT12" s="126"/>
      <c r="VU12" s="126"/>
      <c r="VV12" s="126"/>
      <c r="VW12" s="126"/>
      <c r="VX12" s="126"/>
      <c r="VY12" s="126"/>
      <c r="VZ12" s="126"/>
      <c r="WA12" s="126"/>
      <c r="WB12" s="126"/>
      <c r="WC12" s="126"/>
      <c r="WD12" s="126"/>
      <c r="WE12" s="126"/>
      <c r="WF12" s="126"/>
      <c r="WG12" s="126"/>
      <c r="WH12" s="126"/>
      <c r="WI12" s="126"/>
      <c r="WJ12" s="126"/>
      <c r="WK12" s="126"/>
      <c r="WL12" s="126"/>
      <c r="WM12" s="126"/>
      <c r="WN12" s="126"/>
      <c r="WO12" s="126"/>
      <c r="WP12" s="126"/>
      <c r="WQ12" s="126"/>
      <c r="WR12" s="126"/>
      <c r="WS12" s="126"/>
      <c r="WT12" s="126"/>
      <c r="WU12" s="126"/>
      <c r="WV12" s="126"/>
      <c r="WW12" s="126"/>
      <c r="WX12" s="126"/>
      <c r="WY12" s="126"/>
      <c r="WZ12" s="126"/>
      <c r="XA12" s="126"/>
      <c r="XB12" s="126"/>
      <c r="XC12" s="126"/>
      <c r="XD12" s="126"/>
      <c r="XE12" s="126"/>
      <c r="XF12" s="126"/>
      <c r="XG12" s="126"/>
      <c r="XH12" s="126"/>
      <c r="XI12" s="126"/>
      <c r="XJ12" s="126"/>
      <c r="XK12" s="126"/>
      <c r="XL12" s="126"/>
      <c r="XM12" s="126"/>
      <c r="XN12" s="126"/>
      <c r="XO12" s="126"/>
      <c r="XP12" s="126"/>
      <c r="XQ12" s="126"/>
      <c r="XR12" s="126"/>
      <c r="XS12" s="126"/>
      <c r="XT12" s="126"/>
      <c r="XU12" s="126"/>
      <c r="XV12" s="126"/>
      <c r="XW12" s="126"/>
      <c r="XX12" s="126"/>
      <c r="XY12" s="126"/>
      <c r="XZ12" s="126"/>
      <c r="YA12" s="126"/>
      <c r="YB12" s="126"/>
      <c r="YC12" s="126"/>
      <c r="YD12" s="126"/>
      <c r="YE12" s="126"/>
      <c r="YF12" s="126"/>
      <c r="YG12" s="126"/>
      <c r="YH12" s="126"/>
      <c r="YI12" s="126"/>
      <c r="YJ12" s="126"/>
      <c r="YK12" s="126"/>
      <c r="YL12" s="126"/>
      <c r="YM12" s="126"/>
      <c r="YN12" s="126"/>
      <c r="YO12" s="126"/>
      <c r="YP12" s="126"/>
      <c r="YQ12" s="126"/>
      <c r="YR12" s="126"/>
      <c r="YS12" s="126"/>
      <c r="YT12" s="126"/>
      <c r="YU12" s="126"/>
      <c r="YV12" s="126"/>
      <c r="YW12" s="126"/>
      <c r="YX12" s="126"/>
      <c r="YY12" s="126"/>
      <c r="YZ12" s="126"/>
      <c r="ZA12" s="126"/>
      <c r="ZB12" s="126"/>
      <c r="ZC12" s="126"/>
      <c r="ZD12" s="126"/>
      <c r="ZE12" s="126"/>
      <c r="ZF12" s="126"/>
      <c r="ZG12" s="126"/>
      <c r="ZH12" s="126"/>
      <c r="ZI12" s="126"/>
      <c r="ZJ12" s="126"/>
      <c r="ZK12" s="126"/>
      <c r="ZL12" s="126"/>
      <c r="ZM12" s="126"/>
      <c r="ZN12" s="126"/>
      <c r="ZO12" s="126"/>
      <c r="ZP12" s="126"/>
      <c r="ZQ12" s="126"/>
      <c r="ZR12" s="126"/>
      <c r="ZS12" s="126"/>
      <c r="ZT12" s="126"/>
      <c r="ZU12" s="126"/>
      <c r="ZV12" s="126"/>
      <c r="ZW12" s="126"/>
      <c r="ZX12" s="126"/>
      <c r="ZY12" s="126"/>
      <c r="ZZ12" s="126"/>
      <c r="AAA12" s="126"/>
      <c r="AAB12" s="126"/>
      <c r="AAC12" s="126"/>
      <c r="AAD12" s="126"/>
      <c r="AAE12" s="126"/>
      <c r="AAF12" s="126"/>
      <c r="AAG12" s="126"/>
      <c r="AAH12" s="126"/>
      <c r="AAI12" s="126"/>
      <c r="AAJ12" s="126"/>
      <c r="AAK12" s="126"/>
      <c r="AAL12" s="126"/>
      <c r="AAM12" s="126"/>
      <c r="AAN12" s="126"/>
      <c r="AAO12" s="126"/>
      <c r="AAP12" s="126"/>
      <c r="AAQ12" s="126"/>
      <c r="AAR12" s="126"/>
      <c r="AAS12" s="126"/>
      <c r="AAT12" s="126"/>
      <c r="AAU12" s="126"/>
      <c r="AAV12" s="126"/>
      <c r="AAW12" s="126"/>
      <c r="AAX12" s="126"/>
      <c r="AAY12" s="126"/>
      <c r="AAZ12" s="126"/>
      <c r="ABA12" s="126"/>
      <c r="ABB12" s="126"/>
      <c r="ABC12" s="126"/>
      <c r="ABD12" s="126"/>
      <c r="ABE12" s="126"/>
      <c r="ABF12" s="126"/>
      <c r="ABG12" s="126"/>
      <c r="ABH12" s="126"/>
      <c r="ABI12" s="126"/>
      <c r="ABJ12" s="126"/>
      <c r="ABK12" s="126"/>
      <c r="ABL12" s="126"/>
      <c r="ABM12" s="126"/>
      <c r="ABN12" s="126"/>
      <c r="ABO12" s="126"/>
      <c r="ABP12" s="126"/>
      <c r="ABQ12" s="126"/>
      <c r="ABR12" s="126"/>
      <c r="ABS12" s="126"/>
      <c r="ABT12" s="126"/>
      <c r="ABU12" s="126"/>
      <c r="ABV12" s="126"/>
      <c r="ABW12" s="126"/>
      <c r="ABX12" s="126"/>
      <c r="ABY12" s="126"/>
      <c r="ABZ12" s="126"/>
      <c r="ACA12" s="126"/>
      <c r="ACB12" s="126"/>
      <c r="ACC12" s="126"/>
      <c r="ACD12" s="126"/>
      <c r="ACE12" s="126"/>
      <c r="ACF12" s="126"/>
      <c r="ACG12" s="126"/>
      <c r="ACH12" s="126"/>
      <c r="ACI12" s="126"/>
      <c r="ACJ12" s="126"/>
      <c r="ACK12" s="126"/>
      <c r="ACL12" s="126"/>
      <c r="ACM12" s="126"/>
      <c r="ACN12" s="126"/>
      <c r="ACO12" s="126"/>
      <c r="ACP12" s="126"/>
      <c r="ACQ12" s="126"/>
      <c r="ACR12" s="126"/>
      <c r="ACS12" s="126"/>
      <c r="ACT12" s="126"/>
      <c r="ACU12" s="126"/>
      <c r="ACV12" s="126"/>
      <c r="ACW12" s="126"/>
      <c r="ACX12" s="126"/>
      <c r="ACY12" s="126"/>
      <c r="ACZ12" s="126"/>
      <c r="ADA12" s="126"/>
      <c r="ADB12" s="126"/>
      <c r="ADC12" s="126"/>
      <c r="ADD12" s="126"/>
      <c r="ADE12" s="126"/>
      <c r="ADF12" s="126"/>
      <c r="ADG12" s="126"/>
      <c r="ADH12" s="126"/>
      <c r="ADI12" s="126"/>
      <c r="ADJ12" s="126"/>
      <c r="ADK12" s="126"/>
      <c r="ADL12" s="126"/>
      <c r="ADM12" s="126"/>
      <c r="ADN12" s="126"/>
      <c r="ADO12" s="126"/>
      <c r="ADP12" s="126"/>
      <c r="ADQ12" s="126"/>
      <c r="ADR12" s="126"/>
      <c r="ADS12" s="126"/>
      <c r="ADT12" s="126"/>
      <c r="ADU12" s="126"/>
      <c r="ADV12" s="126"/>
      <c r="ADW12" s="126"/>
      <c r="ADX12" s="126"/>
      <c r="ADY12" s="126"/>
      <c r="ADZ12" s="126"/>
      <c r="AEA12" s="126"/>
      <c r="AEB12" s="126"/>
      <c r="AEC12" s="126"/>
      <c r="AED12" s="126"/>
      <c r="AEE12" s="126"/>
      <c r="AEF12" s="126"/>
      <c r="AEG12" s="126"/>
      <c r="AEH12" s="126"/>
      <c r="AEI12" s="126"/>
      <c r="AEJ12" s="126"/>
      <c r="AEK12" s="126"/>
      <c r="AEL12" s="126"/>
      <c r="AEM12" s="126"/>
      <c r="AEN12" s="126"/>
      <c r="AEO12" s="126"/>
      <c r="AEP12" s="126"/>
      <c r="AEQ12" s="126"/>
      <c r="AER12" s="126"/>
      <c r="AES12" s="126"/>
      <c r="AET12" s="126"/>
      <c r="AEU12" s="126"/>
      <c r="AEV12" s="126"/>
      <c r="AEW12" s="126"/>
      <c r="AEX12" s="126"/>
      <c r="AEY12" s="126"/>
      <c r="AEZ12" s="126"/>
      <c r="AFA12" s="126"/>
      <c r="AFB12" s="126"/>
      <c r="AFC12" s="126"/>
      <c r="AFD12" s="126"/>
      <c r="AFE12" s="126"/>
      <c r="AFF12" s="126"/>
      <c r="AFG12" s="126"/>
      <c r="AFH12" s="126"/>
      <c r="AFI12" s="126"/>
      <c r="AFJ12" s="126"/>
      <c r="AFK12" s="126"/>
      <c r="AFL12" s="126"/>
      <c r="AFM12" s="126"/>
      <c r="AFN12" s="126"/>
      <c r="AFO12" s="126"/>
      <c r="AFP12" s="126"/>
      <c r="AFQ12" s="126"/>
      <c r="AFR12" s="126"/>
      <c r="AFS12" s="126"/>
      <c r="AFT12" s="126"/>
      <c r="AFU12" s="126"/>
      <c r="AFV12" s="126"/>
      <c r="AFW12" s="126"/>
      <c r="AFX12" s="126"/>
      <c r="AFY12" s="126"/>
      <c r="AFZ12" s="126"/>
      <c r="AGA12" s="126"/>
      <c r="AGB12" s="126"/>
      <c r="AGC12" s="126"/>
      <c r="AGD12" s="126"/>
      <c r="AGE12" s="126"/>
      <c r="AGF12" s="126"/>
      <c r="AGG12" s="126"/>
      <c r="AGH12" s="126"/>
      <c r="AGI12" s="126"/>
      <c r="AGJ12" s="126"/>
      <c r="AGK12" s="126"/>
      <c r="AGL12" s="126"/>
      <c r="AGM12" s="126"/>
      <c r="AGN12" s="126"/>
      <c r="AGO12" s="126"/>
      <c r="AGP12" s="126"/>
      <c r="AGQ12" s="126"/>
      <c r="AGR12" s="126"/>
      <c r="AGS12" s="126"/>
      <c r="AGT12" s="126"/>
      <c r="AGU12" s="126"/>
      <c r="AGV12" s="126"/>
      <c r="AGW12" s="126"/>
      <c r="AGX12" s="126"/>
      <c r="AGY12" s="126"/>
      <c r="AGZ12" s="126"/>
      <c r="AHA12" s="126"/>
      <c r="AHB12" s="126"/>
      <c r="AHC12" s="126"/>
      <c r="AHD12" s="126"/>
      <c r="AHE12" s="126"/>
      <c r="AHF12" s="126"/>
      <c r="AHG12" s="126"/>
      <c r="AHH12" s="126"/>
      <c r="AHI12" s="126"/>
      <c r="AHJ12" s="126"/>
      <c r="AHK12" s="126"/>
      <c r="AHL12" s="126"/>
      <c r="AHM12" s="126"/>
      <c r="AHN12" s="126"/>
      <c r="AHO12" s="126"/>
      <c r="AHP12" s="126"/>
      <c r="AHQ12" s="126"/>
      <c r="AHR12" s="126"/>
      <c r="AHS12" s="126"/>
      <c r="AHT12" s="126"/>
      <c r="AHU12" s="126"/>
      <c r="AHV12" s="126"/>
      <c r="AHW12" s="126"/>
      <c r="AHX12" s="126"/>
      <c r="AHY12" s="126"/>
      <c r="AHZ12" s="126"/>
      <c r="AIA12" s="126"/>
      <c r="AIB12" s="126"/>
      <c r="AIC12" s="126"/>
      <c r="AID12" s="126"/>
      <c r="AIE12" s="126"/>
      <c r="AIF12" s="126"/>
      <c r="AIG12" s="126"/>
      <c r="AIH12" s="126"/>
      <c r="AII12" s="126"/>
      <c r="AIJ12" s="126"/>
      <c r="AIK12" s="126"/>
      <c r="AIL12" s="126"/>
      <c r="AIM12" s="126"/>
      <c r="AIN12" s="126"/>
      <c r="AIO12" s="126"/>
      <c r="AIP12" s="126"/>
      <c r="AIQ12" s="126"/>
      <c r="AIR12" s="126"/>
      <c r="AIS12" s="126"/>
      <c r="AIT12" s="126"/>
      <c r="AIU12" s="126"/>
      <c r="AIV12" s="126"/>
      <c r="AIW12" s="126"/>
      <c r="AIX12" s="126"/>
      <c r="AIY12" s="126"/>
      <c r="AIZ12" s="126"/>
      <c r="AJA12" s="126"/>
      <c r="AJB12" s="126"/>
      <c r="AJC12" s="126"/>
      <c r="AJD12" s="126"/>
      <c r="AJE12" s="126"/>
      <c r="AJF12" s="126"/>
      <c r="AJG12" s="126"/>
      <c r="AJH12" s="126"/>
      <c r="AJI12" s="126"/>
      <c r="AJJ12" s="126"/>
      <c r="AJK12" s="126"/>
      <c r="AJL12" s="126"/>
      <c r="AJM12" s="126"/>
      <c r="AJN12" s="126"/>
      <c r="AJO12" s="126"/>
      <c r="AJP12" s="126"/>
      <c r="AJQ12" s="126"/>
      <c r="AJR12" s="126"/>
      <c r="AJS12" s="126"/>
      <c r="AJT12" s="126"/>
      <c r="AJU12" s="126"/>
      <c r="AJV12" s="126"/>
      <c r="AJW12" s="126"/>
      <c r="AJX12" s="126"/>
      <c r="AJY12" s="126"/>
      <c r="AJZ12" s="126"/>
      <c r="AKA12" s="126"/>
      <c r="AKB12" s="126"/>
      <c r="AKC12" s="126"/>
      <c r="AKD12" s="126"/>
      <c r="AKE12" s="126"/>
      <c r="AKF12" s="126"/>
      <c r="AKG12" s="126"/>
      <c r="AKH12" s="126"/>
      <c r="AKI12" s="126"/>
      <c r="AKJ12" s="126"/>
      <c r="AKK12" s="126"/>
      <c r="AKL12" s="126"/>
      <c r="AKM12" s="126"/>
      <c r="AKN12" s="126"/>
      <c r="AKO12" s="126"/>
      <c r="AKP12" s="126"/>
      <c r="AKQ12" s="126"/>
      <c r="AKR12" s="126"/>
      <c r="AKS12" s="126"/>
      <c r="AKT12" s="126"/>
      <c r="AKU12" s="126"/>
      <c r="AKV12" s="126"/>
      <c r="AKW12" s="126"/>
      <c r="AKX12" s="126"/>
      <c r="AKY12" s="126"/>
      <c r="AKZ12" s="126"/>
      <c r="ALA12" s="126"/>
      <c r="ALB12" s="126"/>
      <c r="ALC12" s="126"/>
      <c r="ALD12" s="126"/>
      <c r="ALE12" s="126"/>
      <c r="ALF12" s="126"/>
      <c r="ALG12" s="126"/>
      <c r="ALH12" s="126"/>
      <c r="ALI12" s="126"/>
      <c r="ALJ12" s="126"/>
      <c r="ALK12" s="126"/>
      <c r="ALL12" s="126"/>
      <c r="ALM12" s="126"/>
      <c r="ALN12" s="126"/>
      <c r="ALO12" s="126"/>
      <c r="ALP12" s="126"/>
      <c r="ALQ12" s="126"/>
      <c r="ALR12" s="126"/>
      <c r="ALS12" s="126"/>
      <c r="ALT12" s="126"/>
      <c r="ALU12" s="126"/>
      <c r="ALV12" s="126"/>
      <c r="ALW12" s="126"/>
      <c r="ALX12" s="126"/>
      <c r="ALY12" s="126"/>
      <c r="ALZ12" s="126"/>
      <c r="AMA12" s="126"/>
      <c r="AMB12" s="126"/>
      <c r="AMC12" s="126"/>
      <c r="AMD12" s="126"/>
      <c r="AME12" s="126"/>
      <c r="AMF12" s="126"/>
      <c r="AMG12" s="126"/>
      <c r="AMH12" s="126"/>
      <c r="AMI12" s="126"/>
      <c r="AMJ12" s="126"/>
    </row>
    <row r="13" spans="1:1024" ht="31.5" customHeight="1" thickBot="1" x14ac:dyDescent="0.25">
      <c r="A13" s="121" t="s">
        <v>62</v>
      </c>
      <c r="B13" s="121"/>
      <c r="C13" s="121"/>
      <c r="D13" s="121"/>
      <c r="E13" s="121"/>
      <c r="F13" s="121"/>
      <c r="G13" s="121"/>
      <c r="H13" s="121"/>
      <c r="I13" s="121"/>
      <c r="J13" s="90">
        <f>SUMPRODUCT(J12:J12,K12:K12)</f>
        <v>2677800</v>
      </c>
      <c r="K13" s="90"/>
      <c r="L13"/>
    </row>
  </sheetData>
  <mergeCells count="23">
    <mergeCell ref="A13:I13"/>
    <mergeCell ref="J13:K13"/>
    <mergeCell ref="C12:G12"/>
    <mergeCell ref="A8:C8"/>
    <mergeCell ref="D8:K8"/>
    <mergeCell ref="A10:A11"/>
    <mergeCell ref="B10:B11"/>
    <mergeCell ref="C10:G11"/>
    <mergeCell ref="H10:H11"/>
    <mergeCell ref="I10:I11"/>
    <mergeCell ref="J10:J11"/>
    <mergeCell ref="K10:K11"/>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6"/>
  <sheetViews>
    <sheetView topLeftCell="A10" zoomScale="130" zoomScaleNormal="130" workbookViewId="0">
      <selection activeCell="A25" sqref="A25:Q26"/>
    </sheetView>
  </sheetViews>
  <sheetFormatPr baseColWidth="10" defaultColWidth="11" defaultRowHeight="12.75" x14ac:dyDescent="0.2"/>
  <cols>
    <col min="1" max="5" width="4.42578125" customWidth="1"/>
    <col min="6" max="6" width="5" customWidth="1"/>
    <col min="7" max="7" width="4.42578125" style="2" customWidth="1"/>
    <col min="8" max="14" width="4.42578125" customWidth="1"/>
    <col min="15" max="16" width="14.85546875" customWidth="1"/>
    <col min="17" max="17" width="14.7109375" customWidth="1"/>
  </cols>
  <sheetData>
    <row r="1" spans="1:17" ht="15.75" customHeight="1" x14ac:dyDescent="0.25">
      <c r="A1" s="92" t="s">
        <v>3</v>
      </c>
      <c r="B1" s="92"/>
      <c r="C1" s="92"/>
      <c r="D1" s="93">
        <f>'Necesidades Trimestrales'!C6</f>
        <v>2022</v>
      </c>
      <c r="E1" s="93"/>
      <c r="F1" s="3"/>
      <c r="G1" s="3"/>
      <c r="H1" s="4"/>
      <c r="I1" s="4"/>
      <c r="J1" s="4"/>
      <c r="K1" s="4"/>
      <c r="L1" s="4"/>
      <c r="M1" s="4"/>
      <c r="N1" s="4"/>
      <c r="P1" s="94" t="s">
        <v>25</v>
      </c>
      <c r="Q1" s="94"/>
    </row>
    <row r="2" spans="1:17" ht="15.75" customHeight="1" x14ac:dyDescent="0.2">
      <c r="H2" s="4"/>
      <c r="I2" s="4"/>
      <c r="J2" s="4"/>
      <c r="K2" s="4"/>
      <c r="L2" s="4"/>
      <c r="M2" s="4"/>
      <c r="N2" s="4"/>
      <c r="P2" s="94"/>
      <c r="Q2" s="94"/>
    </row>
    <row r="4" spans="1:17" s="5" customFormat="1" ht="18" customHeight="1" thickBot="1" x14ac:dyDescent="0.25">
      <c r="A4" s="95" t="s">
        <v>26</v>
      </c>
      <c r="B4" s="95"/>
      <c r="C4" s="95"/>
      <c r="D4" s="95"/>
      <c r="E4" s="95"/>
      <c r="F4" s="95"/>
      <c r="G4" s="96" t="str">
        <f>' NotaPedido'!D3</f>
        <v>040 - Ministerio de Salud</v>
      </c>
      <c r="H4" s="96"/>
      <c r="I4" s="96"/>
      <c r="J4" s="96"/>
      <c r="K4" s="96"/>
      <c r="L4" s="96"/>
      <c r="M4" s="96"/>
      <c r="N4" s="96"/>
      <c r="O4" s="96"/>
      <c r="P4" s="96"/>
      <c r="Q4" s="96"/>
    </row>
    <row r="5" spans="1:17" s="5" customFormat="1" ht="18" customHeight="1" thickBot="1" x14ac:dyDescent="0.25">
      <c r="A5" s="97" t="s">
        <v>49</v>
      </c>
      <c r="B5" s="98"/>
      <c r="C5" s="98"/>
      <c r="D5" s="98"/>
      <c r="E5" s="98"/>
      <c r="F5" s="99"/>
      <c r="G5" s="96" t="str">
        <f>' NotaPedido'!D4</f>
        <v>024 - Hospital Interzonal de Niños</v>
      </c>
      <c r="H5" s="96"/>
      <c r="I5" s="96"/>
      <c r="J5" s="96"/>
      <c r="K5" s="96"/>
      <c r="L5" s="96"/>
      <c r="M5" s="96"/>
      <c r="N5" s="96"/>
      <c r="O5" s="96"/>
      <c r="P5" s="96"/>
      <c r="Q5" s="96"/>
    </row>
    <row r="6" spans="1:17" s="5" customFormat="1" ht="18" customHeight="1" thickBot="1" x14ac:dyDescent="0.25">
      <c r="A6" s="97" t="s">
        <v>27</v>
      </c>
      <c r="B6" s="98"/>
      <c r="C6" s="98"/>
      <c r="D6" s="98"/>
      <c r="E6" s="98"/>
      <c r="F6" s="99"/>
      <c r="G6" s="96" t="str">
        <f>' NotaPedido'!D5</f>
        <v>024 - Hospital Interzonal de Niños</v>
      </c>
      <c r="H6" s="96"/>
      <c r="I6" s="96"/>
      <c r="J6" s="96"/>
      <c r="K6" s="96"/>
      <c r="L6" s="96"/>
      <c r="M6" s="96"/>
      <c r="N6" s="96"/>
      <c r="O6" s="96"/>
      <c r="P6" s="96"/>
      <c r="Q6" s="96"/>
    </row>
    <row r="7" spans="1:17" s="5" customFormat="1" ht="18" customHeight="1" thickBot="1" x14ac:dyDescent="0.25">
      <c r="A7" s="97" t="s">
        <v>50</v>
      </c>
      <c r="B7" s="98"/>
      <c r="C7" s="98"/>
      <c r="D7" s="98"/>
      <c r="E7" s="98"/>
      <c r="F7" s="99"/>
      <c r="G7" s="96" t="str">
        <f>' NotaPedido'!D6</f>
        <v xml:space="preserve">Hospital de Niños Eva Peron </v>
      </c>
      <c r="H7" s="96"/>
      <c r="I7" s="96"/>
      <c r="J7" s="96"/>
      <c r="K7" s="96"/>
      <c r="L7" s="96"/>
      <c r="M7" s="96"/>
      <c r="N7" s="96"/>
      <c r="O7" s="96"/>
      <c r="P7" s="96"/>
      <c r="Q7" s="96"/>
    </row>
    <row r="8" spans="1:17" ht="18" customHeight="1" thickBot="1" x14ac:dyDescent="0.25">
      <c r="A8" s="100" t="s">
        <v>28</v>
      </c>
      <c r="B8" s="100"/>
      <c r="C8" s="100"/>
      <c r="D8" s="100"/>
      <c r="E8" s="100"/>
      <c r="F8" s="100"/>
      <c r="G8" s="100"/>
      <c r="H8" s="100"/>
      <c r="I8" s="100"/>
      <c r="J8" s="100"/>
      <c r="K8" s="100"/>
      <c r="L8" s="100"/>
      <c r="M8" s="100"/>
      <c r="N8" s="100"/>
      <c r="O8" s="100"/>
      <c r="P8" s="100"/>
      <c r="Q8" s="100"/>
    </row>
    <row r="9" spans="1:17" ht="18" customHeight="1" x14ac:dyDescent="0.2">
      <c r="A9" s="106" t="s">
        <v>29</v>
      </c>
      <c r="B9" s="106"/>
      <c r="C9" s="106"/>
      <c r="D9" s="106"/>
      <c r="E9" s="106"/>
      <c r="F9" s="106"/>
      <c r="G9" s="106"/>
      <c r="H9" s="106"/>
      <c r="I9" s="106"/>
      <c r="J9" s="106"/>
      <c r="K9" s="106"/>
      <c r="L9" s="106"/>
      <c r="M9" s="106"/>
      <c r="N9" s="106"/>
      <c r="O9" s="1"/>
      <c r="P9" s="1"/>
      <c r="Q9" s="6"/>
    </row>
    <row r="10" spans="1:17" ht="54.75" customHeight="1" x14ac:dyDescent="0.2">
      <c r="A10" s="107"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29/2022,  afectando la erogación resultante a los créditos presupuestarios aprobados a favor de esta Unidad Ejecutora, conforme al siguiente detalle:</v>
      </c>
      <c r="B10" s="107"/>
      <c r="C10" s="107"/>
      <c r="D10" s="107"/>
      <c r="E10" s="107"/>
      <c r="F10" s="107"/>
      <c r="G10" s="107"/>
      <c r="H10" s="107"/>
      <c r="I10" s="107"/>
      <c r="J10" s="107"/>
      <c r="K10" s="107"/>
      <c r="L10" s="107"/>
      <c r="M10" s="107"/>
      <c r="N10" s="107"/>
      <c r="O10" s="107"/>
      <c r="P10" s="107"/>
      <c r="Q10" s="107"/>
    </row>
    <row r="11" spans="1:17" ht="9" customHeight="1" x14ac:dyDescent="0.2">
      <c r="A11" s="7"/>
      <c r="B11" s="8"/>
      <c r="C11" s="8"/>
      <c r="D11" s="8"/>
      <c r="E11" s="8"/>
      <c r="F11" s="8"/>
      <c r="G11" s="9"/>
      <c r="H11" s="8"/>
      <c r="I11" s="8"/>
      <c r="J11" s="8"/>
      <c r="K11" s="8"/>
      <c r="L11" s="8"/>
      <c r="M11" s="8"/>
      <c r="N11" s="8"/>
      <c r="O11" s="8"/>
      <c r="P11" s="8"/>
      <c r="Q11" s="10"/>
    </row>
    <row r="12" spans="1:17" ht="15.75" customHeight="1" x14ac:dyDescent="0.2">
      <c r="A12" s="108" t="s">
        <v>30</v>
      </c>
      <c r="B12" s="108"/>
      <c r="C12" s="108"/>
      <c r="D12" s="108"/>
      <c r="E12" s="108"/>
      <c r="F12" s="108"/>
      <c r="G12" s="108"/>
      <c r="H12" s="108"/>
      <c r="I12" s="108"/>
      <c r="J12" s="108"/>
      <c r="K12" s="108"/>
      <c r="L12" s="108"/>
      <c r="M12" s="108"/>
      <c r="N12" s="108"/>
      <c r="O12" s="108"/>
      <c r="P12" s="108"/>
      <c r="Q12" s="108"/>
    </row>
    <row r="13" spans="1:17" ht="15.75" customHeight="1" x14ac:dyDescent="0.2">
      <c r="A13" s="109" t="s">
        <v>31</v>
      </c>
      <c r="B13" s="109"/>
      <c r="C13" s="109"/>
      <c r="D13" s="109"/>
      <c r="E13" s="109"/>
      <c r="F13" s="109"/>
      <c r="G13" s="109"/>
      <c r="H13" s="109"/>
      <c r="I13" s="109"/>
      <c r="J13" s="109"/>
      <c r="K13" s="109"/>
      <c r="L13" s="109"/>
      <c r="M13" s="109"/>
      <c r="N13" s="109"/>
      <c r="O13" s="110" t="s">
        <v>32</v>
      </c>
      <c r="P13" s="110"/>
      <c r="Q13" s="111" t="s">
        <v>33</v>
      </c>
    </row>
    <row r="14" spans="1:17" ht="15.75" customHeight="1" x14ac:dyDescent="0.2">
      <c r="A14" s="11" t="s">
        <v>34</v>
      </c>
      <c r="B14" s="12" t="s">
        <v>35</v>
      </c>
      <c r="C14" s="12" t="s">
        <v>36</v>
      </c>
      <c r="D14" s="12" t="s">
        <v>37</v>
      </c>
      <c r="E14" s="12" t="s">
        <v>38</v>
      </c>
      <c r="F14" s="12" t="s">
        <v>39</v>
      </c>
      <c r="G14" s="13" t="s">
        <v>40</v>
      </c>
      <c r="H14" s="12" t="s">
        <v>41</v>
      </c>
      <c r="I14" s="12" t="s">
        <v>42</v>
      </c>
      <c r="J14" s="12" t="s">
        <v>43</v>
      </c>
      <c r="K14" s="12" t="s">
        <v>43</v>
      </c>
      <c r="L14" s="12" t="s">
        <v>44</v>
      </c>
      <c r="M14" s="14" t="s">
        <v>45</v>
      </c>
      <c r="N14" s="15" t="s">
        <v>46</v>
      </c>
      <c r="O14" s="110"/>
      <c r="P14" s="110"/>
      <c r="Q14" s="111"/>
    </row>
    <row r="15" spans="1:17" ht="24.75" customHeight="1" x14ac:dyDescent="0.2">
      <c r="A15" s="51">
        <v>36</v>
      </c>
      <c r="B15" s="57"/>
      <c r="C15" s="57"/>
      <c r="D15" s="57">
        <v>1</v>
      </c>
      <c r="E15" s="57"/>
      <c r="F15" s="57">
        <v>4901</v>
      </c>
      <c r="G15" s="57">
        <v>3</v>
      </c>
      <c r="H15" s="57">
        <v>310</v>
      </c>
      <c r="I15" s="58">
        <v>2</v>
      </c>
      <c r="J15" s="58">
        <v>5</v>
      </c>
      <c r="K15" s="58">
        <v>2</v>
      </c>
      <c r="L15" s="57"/>
      <c r="M15" s="52">
        <v>1</v>
      </c>
      <c r="N15" s="53" t="s">
        <v>53</v>
      </c>
      <c r="O15" s="101" t="s">
        <v>59</v>
      </c>
      <c r="P15" s="102"/>
      <c r="Q15" s="20">
        <v>2677800</v>
      </c>
    </row>
    <row r="16" spans="1:17" ht="17.25" customHeight="1" x14ac:dyDescent="0.2">
      <c r="A16" s="51"/>
      <c r="B16" s="55"/>
      <c r="C16" s="55"/>
      <c r="D16" s="55"/>
      <c r="E16" s="55"/>
      <c r="F16" s="55"/>
      <c r="G16" s="55"/>
      <c r="H16" s="55"/>
      <c r="I16" s="56"/>
      <c r="J16" s="56"/>
      <c r="K16" s="56"/>
      <c r="L16" s="55"/>
      <c r="M16" s="52"/>
      <c r="N16" s="53"/>
      <c r="O16" s="103"/>
      <c r="P16" s="104"/>
      <c r="Q16" s="20"/>
    </row>
    <row r="17" spans="1:18" ht="17.25" customHeight="1" x14ac:dyDescent="0.2">
      <c r="A17" s="51"/>
      <c r="B17" s="52"/>
      <c r="C17" s="52"/>
      <c r="D17" s="52"/>
      <c r="E17" s="52"/>
      <c r="F17" s="52"/>
      <c r="G17" s="52"/>
      <c r="H17" s="52"/>
      <c r="I17" s="54"/>
      <c r="J17" s="54"/>
      <c r="K17" s="54"/>
      <c r="L17" s="52"/>
      <c r="M17" s="52"/>
      <c r="N17" s="53"/>
      <c r="O17" s="103"/>
      <c r="P17" s="104"/>
      <c r="Q17" s="20"/>
    </row>
    <row r="18" spans="1:18" ht="23.25" customHeight="1" x14ac:dyDescent="0.2">
      <c r="A18" s="51"/>
      <c r="B18" s="52"/>
      <c r="C18" s="52"/>
      <c r="D18" s="52"/>
      <c r="E18" s="52"/>
      <c r="F18" s="52"/>
      <c r="G18" s="52"/>
      <c r="H18" s="52"/>
      <c r="I18" s="54"/>
      <c r="J18" s="54"/>
      <c r="K18" s="54"/>
      <c r="L18" s="52"/>
      <c r="M18" s="52"/>
      <c r="N18" s="53"/>
      <c r="O18" s="105"/>
      <c r="P18" s="104"/>
      <c r="Q18" s="20"/>
    </row>
    <row r="19" spans="1:18" ht="17.25" customHeight="1" x14ac:dyDescent="0.2">
      <c r="A19" s="16"/>
      <c r="B19" s="17"/>
      <c r="C19" s="17"/>
      <c r="D19" s="17"/>
      <c r="E19" s="17"/>
      <c r="F19" s="19"/>
      <c r="G19" s="17"/>
      <c r="H19" s="17"/>
      <c r="I19" s="17"/>
      <c r="J19" s="17"/>
      <c r="K19" s="17"/>
      <c r="L19" s="17"/>
      <c r="M19" s="18"/>
      <c r="N19" s="19"/>
      <c r="O19" s="104"/>
      <c r="P19" s="104"/>
      <c r="Q19" s="20"/>
    </row>
    <row r="20" spans="1:18" ht="17.25" customHeight="1" x14ac:dyDescent="0.2">
      <c r="A20" s="21"/>
      <c r="B20" s="22"/>
      <c r="C20" s="22"/>
      <c r="D20" s="22"/>
      <c r="E20" s="22"/>
      <c r="F20" s="23"/>
      <c r="G20" s="22"/>
      <c r="H20" s="22"/>
      <c r="I20" s="22"/>
      <c r="J20" s="22"/>
      <c r="K20" s="22"/>
      <c r="L20" s="22"/>
      <c r="M20" s="24"/>
      <c r="N20" s="25"/>
      <c r="O20" s="117"/>
      <c r="P20" s="117"/>
      <c r="Q20" s="20"/>
      <c r="R20" s="1"/>
    </row>
    <row r="21" spans="1:18" ht="17.25" customHeight="1" x14ac:dyDescent="0.2">
      <c r="A21" s="26"/>
      <c r="B21" s="27"/>
      <c r="C21" s="27"/>
      <c r="D21" s="27"/>
      <c r="E21" s="27"/>
      <c r="F21" s="27"/>
      <c r="G21" s="27"/>
      <c r="H21" s="27"/>
      <c r="I21" s="27"/>
      <c r="J21" s="27"/>
      <c r="K21" s="27"/>
      <c r="L21" s="27"/>
      <c r="M21" s="28"/>
      <c r="N21" s="27"/>
      <c r="O21" s="118"/>
      <c r="P21" s="118"/>
      <c r="Q21" s="29"/>
    </row>
    <row r="22" spans="1:18" ht="29.25" customHeight="1" x14ac:dyDescent="0.2">
      <c r="A22" s="119" t="s">
        <v>63</v>
      </c>
      <c r="B22" s="119"/>
      <c r="C22" s="119"/>
      <c r="D22" s="119"/>
      <c r="E22" s="119"/>
      <c r="F22" s="119"/>
      <c r="G22" s="119"/>
      <c r="H22" s="119"/>
      <c r="I22" s="119"/>
      <c r="J22" s="119"/>
      <c r="K22" s="119"/>
      <c r="L22" s="119"/>
      <c r="M22" s="119"/>
      <c r="N22" s="119"/>
      <c r="O22" s="119"/>
      <c r="P22" s="119"/>
      <c r="Q22" s="30">
        <f>SUM(Q15:Q21)</f>
        <v>2677800</v>
      </c>
    </row>
    <row r="23" spans="1:18" ht="18" customHeight="1" thickBot="1" x14ac:dyDescent="0.25">
      <c r="A23" s="120"/>
      <c r="B23" s="120"/>
      <c r="C23" s="120"/>
      <c r="D23" s="120"/>
      <c r="E23" s="120"/>
      <c r="F23" s="120"/>
      <c r="G23" s="120"/>
      <c r="H23" s="120"/>
      <c r="I23" s="120"/>
      <c r="J23" s="120"/>
      <c r="K23" s="120"/>
      <c r="L23" s="120"/>
      <c r="M23" s="120"/>
      <c r="N23" s="120"/>
      <c r="O23" s="120"/>
      <c r="P23" s="120"/>
      <c r="Q23" s="120"/>
    </row>
    <row r="24" spans="1:18" ht="17.25" customHeight="1" thickBot="1" x14ac:dyDescent="0.25">
      <c r="A24" s="112" t="s">
        <v>47</v>
      </c>
      <c r="B24" s="113"/>
      <c r="C24" s="113"/>
      <c r="D24" s="113"/>
      <c r="E24" s="113"/>
      <c r="F24" s="114"/>
      <c r="G24" s="115"/>
      <c r="H24" s="115"/>
      <c r="I24" s="115"/>
      <c r="J24" s="115"/>
      <c r="K24" s="115"/>
      <c r="L24" s="115"/>
      <c r="M24" s="115"/>
      <c r="N24" s="115"/>
      <c r="O24" s="115"/>
      <c r="P24" s="115"/>
      <c r="Q24" s="115"/>
    </row>
    <row r="25" spans="1:18" ht="18" customHeight="1" thickBot="1" x14ac:dyDescent="0.25">
      <c r="A25" s="116" t="s">
        <v>64</v>
      </c>
      <c r="B25" s="116"/>
      <c r="C25" s="116"/>
      <c r="D25" s="116"/>
      <c r="E25" s="116"/>
      <c r="F25" s="116"/>
      <c r="G25" s="116"/>
      <c r="H25" s="116"/>
      <c r="I25" s="116"/>
      <c r="J25" s="116"/>
      <c r="K25" s="116"/>
      <c r="L25" s="116"/>
      <c r="M25" s="116"/>
      <c r="N25" s="116"/>
      <c r="O25" s="116"/>
      <c r="P25" s="116"/>
      <c r="Q25" s="116"/>
    </row>
    <row r="26" spans="1:18" ht="40.5" customHeight="1" x14ac:dyDescent="0.2">
      <c r="A26" s="116"/>
      <c r="B26" s="116"/>
      <c r="C26" s="116"/>
      <c r="D26" s="116"/>
      <c r="E26" s="116"/>
      <c r="F26" s="116"/>
      <c r="G26" s="116"/>
      <c r="H26" s="116"/>
      <c r="I26" s="116"/>
      <c r="J26" s="116"/>
      <c r="K26" s="116"/>
      <c r="L26" s="116"/>
      <c r="M26" s="116"/>
      <c r="N26" s="116"/>
      <c r="O26" s="116"/>
      <c r="P26" s="116"/>
      <c r="Q26" s="116"/>
    </row>
  </sheetData>
  <mergeCells count="30">
    <mergeCell ref="A24:F24"/>
    <mergeCell ref="G24:Q24"/>
    <mergeCell ref="A25:Q26"/>
    <mergeCell ref="O19:P19"/>
    <mergeCell ref="O20:P20"/>
    <mergeCell ref="O21:P21"/>
    <mergeCell ref="A22:P22"/>
    <mergeCell ref="A23:Q23"/>
    <mergeCell ref="O15:P15"/>
    <mergeCell ref="O16:P16"/>
    <mergeCell ref="O17:P17"/>
    <mergeCell ref="O18:P18"/>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Necesidades Trimestrales</vt:lpstr>
      <vt:lpstr> NotaPedido</vt:lpstr>
      <vt:lpstr>Autor Gastar</vt:lpstr>
      <vt:lpstr>' NotaPedido'!Área_de_impresión</vt:lpstr>
      <vt:lpstr>'Autor Gastar'!Área_de_impresión</vt:lpstr>
      <vt:lpstr>'Necesidades Trimestrales'!Área_de_impresión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Lorena</cp:lastModifiedBy>
  <cp:revision>2</cp:revision>
  <cp:lastPrinted>2020-09-28T12:27:35Z</cp:lastPrinted>
  <dcterms:created xsi:type="dcterms:W3CDTF">2020-07-17T23:44:49Z</dcterms:created>
  <dcterms:modified xsi:type="dcterms:W3CDTF">2022-01-26T15:16:34Z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