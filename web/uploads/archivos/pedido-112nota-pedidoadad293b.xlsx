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4E08CE6A-0C0F-4C8A-9A11-B26F386D71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011'!$A$9:$M$9</definedName>
  </definedNames>
  <calcPr calcId="181029"/>
</workbook>
</file>

<file path=xl/calcChain.xml><?xml version="1.0" encoding="utf-8"?>
<calcChain xmlns="http://schemas.openxmlformats.org/spreadsheetml/2006/main">
  <c r="K19" i="2" l="1"/>
  <c r="K2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12" i="2"/>
  <c r="A41" i="3" l="1"/>
  <c r="G6" i="3"/>
  <c r="G7" i="3"/>
  <c r="J13" i="2"/>
  <c r="J14" i="2"/>
  <c r="J15" i="2"/>
  <c r="J16" i="2"/>
  <c r="J17" i="2"/>
  <c r="J18" i="2"/>
  <c r="J19" i="2"/>
  <c r="M19" i="2" s="1"/>
  <c r="J20" i="2"/>
  <c r="J21" i="2"/>
  <c r="J22" i="2"/>
  <c r="M22" i="2" s="1"/>
  <c r="J23" i="2"/>
  <c r="J24" i="2"/>
  <c r="J25" i="2"/>
  <c r="J26" i="2"/>
  <c r="J27" i="2"/>
  <c r="J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12" i="2"/>
  <c r="D4" i="2"/>
  <c r="G5" i="3" s="1"/>
  <c r="D3" i="2"/>
  <c r="G4" i="3" s="1"/>
  <c r="K17" i="2" l="1"/>
  <c r="M17" i="2" s="1"/>
  <c r="K21" i="2"/>
  <c r="M21" i="2" s="1"/>
  <c r="K12" i="2"/>
  <c r="M12" i="2" s="1"/>
  <c r="K16" i="2"/>
  <c r="M16" i="2" s="1"/>
  <c r="K20" i="2"/>
  <c r="M20" i="2" s="1"/>
  <c r="K23" i="2"/>
  <c r="M23" i="2" s="1"/>
  <c r="K24" i="2"/>
  <c r="M24" i="2" s="1"/>
  <c r="K15" i="2"/>
  <c r="M15" i="2" s="1"/>
  <c r="K27" i="2"/>
  <c r="M27" i="2" s="1"/>
  <c r="K14" i="2"/>
  <c r="M14" i="2" s="1"/>
  <c r="K18" i="2"/>
  <c r="M18" i="2" s="1"/>
  <c r="K26" i="2"/>
  <c r="M26" i="2" s="1"/>
  <c r="K13" i="2"/>
  <c r="M13" i="2" s="1"/>
  <c r="K25" i="2"/>
  <c r="M25" i="2" s="1"/>
  <c r="M29" i="2" l="1"/>
  <c r="J29" i="2" s="1"/>
  <c r="Q15" i="3"/>
  <c r="Q38" i="3" s="1"/>
</calcChain>
</file>

<file path=xl/sharedStrings.xml><?xml version="1.0" encoding="utf-8"?>
<sst xmlns="http://schemas.openxmlformats.org/spreadsheetml/2006/main" count="163" uniqueCount="101">
  <si>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</si>
  <si>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</si>
  <si>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</si>
  <si>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</si>
  <si>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</si>
  <si>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</si>
  <si>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</si>
  <si>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PRIMERO</t>
  </si>
  <si>
    <t>ID</t>
  </si>
  <si>
    <t>CODIGO ITEM</t>
  </si>
  <si>
    <t>RUBRO DE COMPRA</t>
  </si>
  <si>
    <t xml:space="preserve">I.P.P. </t>
  </si>
  <si>
    <t>DESCRIPCION</t>
  </si>
  <si>
    <t>UNIDAD DE MEDIDA</t>
  </si>
  <si>
    <t xml:space="preserve">DIR DE CANCER </t>
  </si>
  <si>
    <t>TOTAL DE DIR DE CANCER</t>
  </si>
  <si>
    <t>FARMACIA</t>
  </si>
  <si>
    <t>TOTAL FARMACIA</t>
  </si>
  <si>
    <t>CANTIDAD TOTAL</t>
  </si>
  <si>
    <t xml:space="preserve">IMPORTE TOTAL ESTIMADO </t>
  </si>
  <si>
    <t>PRODUCTOS  MEDICOS/FARMACEUTICOS/LAB.</t>
  </si>
  <si>
    <t>2.5.2</t>
  </si>
  <si>
    <t xml:space="preserve">Acetato de goserelin  depot </t>
  </si>
  <si>
    <t xml:space="preserve">Azacitidina 100 mg </t>
  </si>
  <si>
    <t>Frasco- ampolla</t>
  </si>
  <si>
    <t>Bevacizumab 100 mg</t>
  </si>
  <si>
    <t>Frasco -ampolla</t>
  </si>
  <si>
    <t>Bevacizumab 400 mg</t>
  </si>
  <si>
    <t>Fulvestrant 250 mg x 2 ampollas</t>
  </si>
  <si>
    <t>nilotinib 150 x 120 comp</t>
  </si>
  <si>
    <t>nilotinib 200 x 120 comp</t>
  </si>
  <si>
    <t xml:space="preserve">Pembrolizumab 100 mg </t>
  </si>
  <si>
    <t xml:space="preserve">pertuzumab 420 mg </t>
  </si>
  <si>
    <t>Trastuzumab 440MG.</t>
  </si>
  <si>
    <t>TOTAL RUBRO MEDICAMENTOS ONCOLOGICOS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</si>
  <si>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</si>
  <si>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</si>
  <si>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</si>
  <si>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</si>
  <si>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</si>
  <si>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</si>
  <si>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</si>
  <si>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</si>
  <si>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</si>
  <si>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</si>
  <si>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</si>
  <si>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</si>
  <si>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</si>
  <si>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</si>
  <si>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</si>
  <si>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</si>
  <si>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</si>
  <si>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</si>
  <si>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</si>
  <si>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</si>
  <si>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</si>
  <si>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</si>
  <si>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</si>
  <si>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</si>
  <si>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</si>
  <si>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</si>
  <si>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</si>
  <si>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</si>
  <si>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</si>
  <si>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</si>
  <si>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</si>
  <si>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</si>
  <si>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</si>
  <si>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</si>
  <si>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</si>
  <si>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</si>
  <si>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</si>
  <si>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</si>
  <si>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</si>
  <si>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</si>
  <si>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Lugar de Entrega:</t>
  </si>
  <si>
    <t>Calidad Minima esperada</t>
  </si>
  <si>
    <t>Mantenimiento</t>
  </si>
  <si>
    <t>cuarenta y cinco (45) días</t>
  </si>
  <si>
    <t xml:space="preserve"> 01/2022</t>
  </si>
  <si>
    <t>DIRECCION PROVINCIAL DE CANCER</t>
  </si>
  <si>
    <t>1° TRIMESTRE 2022</t>
  </si>
  <si>
    <t>ADQUISICION DEL RUBRO MEDICAMENTOS ONCOLOGICOS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</si>
  <si>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</si>
  <si>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1.1</t>
  </si>
  <si>
    <t>PRODUCTOS FARMACEUTICOS Y MEDICINALES</t>
  </si>
  <si>
    <t>DIR. PROV. DE CANCER - CHACABUCO N° 169 - en el horario de 8:00hs a 12:00hs de lunes a viernes</t>
  </si>
  <si>
    <t>veinte (20) dias habiles</t>
  </si>
  <si>
    <t>CAJA</t>
  </si>
  <si>
    <t>Jeringa Prellenada</t>
  </si>
  <si>
    <t>Vial Inyectable</t>
  </si>
  <si>
    <t>imatinib 100 mg x 180 comp</t>
  </si>
  <si>
    <t>imatinib 400 mg x 30 comp</t>
  </si>
  <si>
    <t>pazopanib 200 mg x 30 comp</t>
  </si>
  <si>
    <t>Regorafenib 40 mg  tab.3 x 28 comp (84 comp)</t>
  </si>
  <si>
    <t>sunitinib 25 mg x 28 caps</t>
  </si>
  <si>
    <t>Lenalidomida 25 mg  x 21 caps</t>
  </si>
  <si>
    <t>NO</t>
  </si>
  <si>
    <t>Costo total estimado: QUINCE MILLONES CIENTO DIECINUEVE MIL CIENTO OCHENTA Y DOS CON 60/100.-</t>
  </si>
  <si>
    <t>TOTAL DE PESOS: QUINCE MILLONES CIENTO DIECINUEVE MIL CIENTO OCHENTA Y DOS CON 60/100.-</t>
  </si>
  <si>
    <t>PRECIO 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</si>
</sst>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6" formatCode="_-[$$-2C0A]\ * #,##0.00_-;\-[$$-2C0A]\ * #,##0.00_-;_-[$$-2C0A]\ * &quot;-&quot;??_-;_-@_-"/>
    <numFmt numFmtId="167" formatCode="[$$-2C0A]\ #,##0.00"/>
    <numFmt numFmtId="168" formatCode="dd\-mm\-yy;@"/>
    <numFmt numFmtId="169" formatCode="_(\$* #,##0.00_);_(\$* \(#,##0.00\);_(\$* \-??_);_(@_)"/>
    <numFmt numFmtId="170" formatCode="[$$-2C0A]\ #,##0.00;[$$-2C0A]&quot; -&quot;#,##0.00"/>
    <numFmt numFmtId="171" formatCode="_-* #,##0.00&quot; €&quot;_-;\-* #,##0.00&quot; €&quot;_-;_-* \-??&quot; €&quot;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u val="singleAccounting"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/>
      <bottom style="thick">
        <color rgb="FF33CCCC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169" fontId="19" fillId="0" borderId="0" applyBorder="0" applyProtection="0"/>
    <xf numFmtId="0" fontId="23" fillId="0" borderId="59" applyProtection="0"/>
    <xf numFmtId="0" fontId="23" fillId="0" borderId="59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7" fillId="0" borderId="0" applyBorder="0" applyAlignment="0" applyProtection="0"/>
    <xf numFmtId="171" fontId="7" fillId="0" borderId="0" applyBorder="0" applyProtection="0"/>
    <xf numFmtId="171" fontId="7" fillId="0" borderId="0" applyBorder="0" applyProtection="0"/>
    <xf numFmtId="171" fontId="7" fillId="0" borderId="0" applyBorder="0" applyProtection="0"/>
    <xf numFmtId="0" fontId="24" fillId="2" borderId="0" applyBorder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98">
    <xf numFmtId="0" fontId="0" fillId="0" borderId="0" xfId="0"/>
    <xf numFmtId="0" fontId="2" fillId="0" borderId="0" xfId="0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6" fontId="2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21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11" fillId="0" borderId="15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9" xfId="0" applyFont="1" applyBorder="1" applyAlignment="1">
      <alignment horizontal="left" vertical="center"/>
    </xf>
    <xf numFmtId="0" fontId="15" fillId="0" borderId="9" xfId="0" applyFont="1" applyBorder="1" applyAlignment="1">
      <alignment horizontal="center" vertical="center" wrapText="1"/>
    </xf>
    <xf numFmtId="3" fontId="15" fillId="0" borderId="26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7" fillId="0" borderId="31" xfId="0" applyNumberFormat="1" applyFont="1" applyBorder="1" applyAlignment="1"/>
    <xf numFmtId="168" fontId="0" fillId="0" borderId="31" xfId="0" applyNumberFormat="1" applyBorder="1" applyAlignment="1">
      <alignment horizontal="left"/>
    </xf>
    <xf numFmtId="0" fontId="0" fillId="0" borderId="31" xfId="0" applyBorder="1"/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8" fontId="0" fillId="0" borderId="0" xfId="0" applyNumberFormat="1" applyBorder="1" applyAlignment="1">
      <alignment horizontal="left"/>
    </xf>
    <xf numFmtId="0" fontId="0" fillId="0" borderId="15" xfId="0" applyBorder="1"/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37" xfId="0" applyBorder="1"/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22" fillId="0" borderId="42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0" fontId="0" fillId="0" borderId="52" xfId="7" applyNumberFormat="1" applyFont="1" applyBorder="1" applyAlignment="1" applyProtection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70" fontId="0" fillId="0" borderId="56" xfId="7" applyNumberFormat="1" applyFont="1" applyBorder="1" applyAlignment="1" applyProtection="1">
      <alignment horizontal="center" vertical="center"/>
    </xf>
    <xf numFmtId="170" fontId="22" fillId="0" borderId="58" xfId="0" applyNumberFormat="1" applyFont="1" applyBorder="1" applyAlignment="1">
      <alignment horizontal="center" vertical="center"/>
    </xf>
    <xf numFmtId="0" fontId="25" fillId="0" borderId="10" xfId="5" applyFont="1" applyFill="1" applyBorder="1" applyAlignment="1">
      <alignment horizontal="center" vertical="center" wrapText="1"/>
    </xf>
    <xf numFmtId="0" fontId="25" fillId="0" borderId="21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25" fillId="0" borderId="21" xfId="5" applyFont="1" applyFill="1" applyBorder="1" applyAlignment="1">
      <alignment horizontal="center" wrapText="1"/>
    </xf>
    <xf numFmtId="0" fontId="25" fillId="0" borderId="21" xfId="5" applyFont="1" applyBorder="1" applyAlignment="1">
      <alignment horizontal="center" wrapText="1"/>
    </xf>
    <xf numFmtId="0" fontId="25" fillId="0" borderId="60" xfId="5" applyFont="1" applyBorder="1" applyAlignment="1">
      <alignment horizontal="center" wrapText="1"/>
    </xf>
    <xf numFmtId="0" fontId="0" fillId="0" borderId="15" xfId="0" applyBorder="1" applyAlignment="1">
      <alignment horizontal="left" vertical="center" wrapText="1"/>
    </xf>
    <xf numFmtId="0" fontId="2" fillId="0" borderId="0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66" fontId="11" fillId="0" borderId="0" xfId="0" applyNumberFormat="1" applyFont="1" applyBorder="1" applyAlignment="1">
      <alignment horizontal="left" vertical="center" wrapText="1" indent="1"/>
    </xf>
    <xf numFmtId="166" fontId="15" fillId="0" borderId="9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6" fontId="0" fillId="0" borderId="0" xfId="0" applyNumberFormat="1"/>
    <xf numFmtId="166" fontId="26" fillId="0" borderId="0" xfId="0" applyNumberFormat="1" applyFont="1"/>
    <xf numFmtId="0" fontId="6" fillId="0" borderId="1" xfId="0" applyFont="1" applyFill="1" applyBorder="1" applyAlignment="1">
      <alignment horizontal="left" vertical="center" wrapText="1"/>
    </xf>
    <xf numFmtId="3" fontId="6" fillId="0" borderId="3" xfId="2" applyNumberFormat="1" applyFont="1" applyFill="1" applyBorder="1" applyAlignment="1">
      <alignment horizontal="center" vertical="center" wrapText="1"/>
    </xf>
    <xf numFmtId="3" fontId="6" fillId="0" borderId="1" xfId="2" applyNumberFormat="1" applyFont="1" applyFill="1" applyBorder="1" applyAlignment="1">
      <alignment horizontal="center" vertical="center" wrapText="1"/>
    </xf>
    <xf numFmtId="3" fontId="6" fillId="0" borderId="5" xfId="2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1" fontId="2" fillId="0" borderId="0" xfId="0" applyNumberFormat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166" fontId="2" fillId="0" borderId="0" xfId="0" applyNumberFormat="1" applyFont="1" applyFill="1" applyAlignment="1">
      <alignment horizontal="center" vertical="center"/>
    </xf>
    <xf numFmtId="166" fontId="2" fillId="0" borderId="0" xfId="1" applyNumberFormat="1" applyFont="1" applyFill="1" applyAlignment="1">
      <alignment horizontal="center" vertical="center"/>
    </xf>
    <xf numFmtId="0" fontId="0" fillId="0" borderId="0" xfId="0" applyFill="1"/>
    <xf numFmtId="0" fontId="5" fillId="0" borderId="0" xfId="0" applyFont="1" applyFill="1" applyAlignment="1">
      <alignment horizontal="center" vertical="center" wrapText="1"/>
    </xf>
    <xf numFmtId="1" fontId="5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center" vertical="center" wrapText="1"/>
    </xf>
    <xf numFmtId="166" fontId="5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0" fontId="2" fillId="0" borderId="0" xfId="5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66" fontId="6" fillId="0" borderId="3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166" fontId="6" fillId="0" borderId="3" xfId="2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/>
    <xf numFmtId="3" fontId="6" fillId="0" borderId="1" xfId="0" applyNumberFormat="1" applyFont="1" applyFill="1" applyBorder="1" applyAlignment="1">
      <alignment horizontal="center" vertical="center"/>
    </xf>
    <xf numFmtId="166" fontId="6" fillId="0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center" vertical="center"/>
    </xf>
    <xf numFmtId="166" fontId="6" fillId="0" borderId="4" xfId="0" applyNumberFormat="1" applyFont="1" applyFill="1" applyBorder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166" fontId="6" fillId="0" borderId="2" xfId="0" applyNumberFormat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wrapText="1"/>
    </xf>
    <xf numFmtId="3" fontId="8" fillId="0" borderId="7" xfId="0" applyNumberFormat="1" applyFont="1" applyFill="1" applyBorder="1" applyAlignment="1">
      <alignment horizontal="center" vertical="center"/>
    </xf>
    <xf numFmtId="166" fontId="8" fillId="0" borderId="7" xfId="0" applyNumberFormat="1" applyFont="1" applyFill="1" applyBorder="1" applyAlignment="1">
      <alignment horizontal="center" vertical="center"/>
    </xf>
    <xf numFmtId="3" fontId="6" fillId="0" borderId="7" xfId="2" applyNumberFormat="1" applyFont="1" applyFill="1" applyBorder="1" applyAlignment="1">
      <alignment horizontal="center" vertical="center" wrapText="1"/>
    </xf>
    <xf numFmtId="166" fontId="8" fillId="0" borderId="8" xfId="2" applyNumberFormat="1" applyFont="1" applyFill="1" applyBorder="1" applyAlignment="1">
      <alignment horizontal="center" vertical="center" wrapText="1"/>
    </xf>
    <xf numFmtId="0" fontId="8" fillId="0" borderId="0" xfId="0" applyFont="1" applyFill="1"/>
    <xf numFmtId="166" fontId="10" fillId="0" borderId="11" xfId="0" applyNumberFormat="1" applyFont="1" applyFill="1" applyBorder="1" applyAlignment="1">
      <alignment horizontal="right" vertical="center"/>
    </xf>
    <xf numFmtId="0" fontId="11" fillId="0" borderId="12" xfId="0" applyFont="1" applyFill="1" applyBorder="1" applyAlignment="1">
      <alignment horizontal="center" vertical="center"/>
    </xf>
    <xf numFmtId="166" fontId="26" fillId="0" borderId="0" xfId="0" applyNumberFormat="1" applyFont="1" applyFill="1"/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66" fontId="10" fillId="0" borderId="0" xfId="0" applyNumberFormat="1" applyFont="1" applyFill="1" applyBorder="1" applyAlignment="1">
      <alignment vertical="center"/>
    </xf>
    <xf numFmtId="0" fontId="10" fillId="0" borderId="15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3" fontId="15" fillId="0" borderId="65" xfId="0" applyNumberFormat="1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166" fontId="15" fillId="0" borderId="5" xfId="0" applyNumberFormat="1" applyFont="1" applyBorder="1" applyAlignment="1">
      <alignment horizontal="center" vertical="center" wrapText="1"/>
    </xf>
    <xf numFmtId="3" fontId="15" fillId="0" borderId="67" xfId="0" applyNumberFormat="1" applyFont="1" applyBorder="1" applyAlignment="1">
      <alignment horizontal="center" vertical="center"/>
    </xf>
    <xf numFmtId="0" fontId="0" fillId="0" borderId="44" xfId="0" applyFont="1" applyFill="1" applyBorder="1" applyAlignment="1">
      <alignment horizontal="center" vertical="center"/>
    </xf>
    <xf numFmtId="0" fontId="0" fillId="0" borderId="45" xfId="0" applyFont="1" applyFill="1" applyBorder="1" applyAlignment="1">
      <alignment horizontal="center" vertical="center"/>
    </xf>
    <xf numFmtId="0" fontId="0" fillId="0" borderId="46" xfId="0" applyFont="1" applyFill="1" applyBorder="1" applyAlignment="1">
      <alignment horizontal="center" vertical="center"/>
    </xf>
    <xf numFmtId="170" fontId="0" fillId="0" borderId="47" xfId="7" applyNumberFormat="1" applyFont="1" applyFill="1" applyBorder="1" applyAlignment="1" applyProtection="1">
      <alignment horizontal="center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5" xfId="5" applyFont="1" applyFill="1" applyBorder="1" applyAlignment="1">
      <alignment horizontal="left" vertical="center" wrapText="1"/>
    </xf>
    <xf numFmtId="0" fontId="2" fillId="0" borderId="61" xfId="5" applyFont="1" applyBorder="1" applyAlignment="1">
      <alignment horizontal="left" vertical="center" wrapText="1"/>
    </xf>
    <xf numFmtId="0" fontId="2" fillId="0" borderId="62" xfId="5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" fillId="0" borderId="31" xfId="5" applyFont="1" applyFill="1" applyBorder="1" applyAlignment="1">
      <alignment horizontal="left" vertical="center" wrapText="1"/>
    </xf>
    <xf numFmtId="0" fontId="2" fillId="0" borderId="63" xfId="5" applyFont="1" applyFill="1" applyBorder="1" applyAlignment="1">
      <alignment horizontal="left" vertical="center" wrapText="1"/>
    </xf>
    <xf numFmtId="0" fontId="12" fillId="0" borderId="18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left" vertical="center" wrapText="1" indent="1"/>
    </xf>
    <xf numFmtId="0" fontId="9" fillId="0" borderId="10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166" fontId="13" fillId="0" borderId="23" xfId="0" applyNumberFormat="1" applyFont="1" applyBorder="1" applyAlignment="1">
      <alignment horizontal="center" vertical="center" wrapText="1"/>
    </xf>
    <xf numFmtId="166" fontId="13" fillId="0" borderId="64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 indent="1"/>
    </xf>
    <xf numFmtId="167" fontId="12" fillId="0" borderId="17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left"/>
    </xf>
    <xf numFmtId="0" fontId="0" fillId="0" borderId="29" xfId="0" applyFont="1" applyBorder="1" applyAlignment="1">
      <alignment horizontal="center"/>
    </xf>
    <xf numFmtId="3" fontId="17" fillId="0" borderId="30" xfId="0" applyNumberFormat="1" applyFont="1" applyFill="1" applyBorder="1" applyAlignment="1">
      <alignment horizontal="center"/>
    </xf>
    <xf numFmtId="0" fontId="18" fillId="0" borderId="12" xfId="0" applyFont="1" applyBorder="1" applyAlignment="1">
      <alignment horizontal="center" vertical="center" wrapText="1"/>
    </xf>
    <xf numFmtId="0" fontId="19" fillId="0" borderId="32" xfId="0" applyFont="1" applyFill="1" applyBorder="1"/>
    <xf numFmtId="0" fontId="20" fillId="0" borderId="33" xfId="0" applyFont="1" applyFill="1" applyBorder="1" applyAlignment="1">
      <alignment horizontal="left" indent="1"/>
    </xf>
    <xf numFmtId="0" fontId="15" fillId="0" borderId="32" xfId="0" applyFont="1" applyFill="1" applyBorder="1" applyAlignment="1">
      <alignment horizontal="left" vertical="center" wrapText="1"/>
    </xf>
    <xf numFmtId="0" fontId="21" fillId="0" borderId="34" xfId="0" applyFont="1" applyBorder="1" applyAlignment="1">
      <alignment horizontal="left"/>
    </xf>
    <xf numFmtId="0" fontId="0" fillId="0" borderId="51" xfId="0" applyFont="1" applyBorder="1" applyAlignment="1">
      <alignment horizontal="center" vertical="center"/>
    </xf>
    <xf numFmtId="0" fontId="20" fillId="0" borderId="36" xfId="0" applyNumberFormat="1" applyFont="1" applyFill="1" applyBorder="1" applyAlignment="1">
      <alignment horizontal="justify" vertical="center" wrapText="1"/>
    </xf>
    <xf numFmtId="0" fontId="22" fillId="0" borderId="35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center"/>
    </xf>
    <xf numFmtId="0" fontId="17" fillId="0" borderId="17" xfId="0" applyFont="1" applyBorder="1" applyAlignment="1">
      <alignment vertical="center" wrapText="1"/>
    </xf>
    <xf numFmtId="0" fontId="20" fillId="0" borderId="39" xfId="0" applyFont="1" applyBorder="1" applyAlignment="1">
      <alignment vertical="center" wrapText="1"/>
    </xf>
    <xf numFmtId="0" fontId="20" fillId="0" borderId="28" xfId="0" applyFont="1" applyFill="1" applyBorder="1" applyAlignment="1">
      <alignment horizontal="left" vertical="center" wrapText="1" indent="1"/>
    </xf>
    <xf numFmtId="0" fontId="0" fillId="0" borderId="51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17" fillId="0" borderId="57" xfId="0" applyFont="1" applyBorder="1" applyAlignment="1">
      <alignment horizontal="left" vertical="center" wrapText="1"/>
    </xf>
    <xf numFmtId="0" fontId="0" fillId="0" borderId="35" xfId="0" applyBorder="1"/>
    <xf numFmtId="166" fontId="28" fillId="0" borderId="3" xfId="2" applyNumberFormat="1" applyFont="1" applyFill="1" applyBorder="1" applyAlignment="1">
      <alignment horizontal="center" vertical="center" wrapText="1"/>
    </xf>
    <xf numFmtId="0" fontId="27" fillId="0" borderId="0" xfId="0" applyFont="1" applyFill="1" applyBorder="1" applyAlignment="1">
      <alignment vertical="center"/>
    </xf>
  </cellXfs>
  <cellStyles count="33">
    <cellStyle name="Encabezado 1" xfId="8" xr:uid="{00000000-0005-0000-0000-000000000000}"/>
    <cellStyle name="Encabezado 1 2" xfId="9" xr:uid="{00000000-0005-0000-0000-000001000000}"/>
    <cellStyle name="Millares 2" xfId="10" xr:uid="{00000000-0005-0000-0000-000002000000}"/>
    <cellStyle name="Millares 2 2" xfId="11" xr:uid="{00000000-0005-0000-0000-000003000000}"/>
    <cellStyle name="Moneda" xfId="1" builtinId="4"/>
    <cellStyle name="Moneda 2" xfId="3" xr:uid="{00000000-0005-0000-0000-000005000000}"/>
    <cellStyle name="Moneda 2 2" xfId="12" xr:uid="{00000000-0005-0000-0000-000006000000}"/>
    <cellStyle name="Moneda 3" xfId="13" xr:uid="{00000000-0005-0000-0000-000007000000}"/>
    <cellStyle name="Moneda 4" xfId="14" xr:uid="{00000000-0005-0000-0000-000008000000}"/>
    <cellStyle name="Moneda 5" xfId="15" xr:uid="{00000000-0005-0000-0000-000009000000}"/>
    <cellStyle name="Moneda_AUTORIZACION Y NOTA DE PEDIDO" xfId="7" xr:uid="{00000000-0005-0000-0000-00000A000000}"/>
    <cellStyle name="Neutral 1" xfId="16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17" xr:uid="{00000000-0005-0000-0000-00000F000000}"/>
    <cellStyle name="Normal 3 2" xfId="18" xr:uid="{00000000-0005-0000-0000-000010000000}"/>
    <cellStyle name="Normal 3 2 2" xfId="19" xr:uid="{00000000-0005-0000-0000-000011000000}"/>
    <cellStyle name="Normal 3 3" xfId="20" xr:uid="{00000000-0005-0000-0000-000012000000}"/>
    <cellStyle name="Normal 3 4" xfId="21" xr:uid="{00000000-0005-0000-0000-000013000000}"/>
    <cellStyle name="Normal 3 4 2" xfId="22" xr:uid="{00000000-0005-0000-0000-000014000000}"/>
    <cellStyle name="Normal 4" xfId="6" xr:uid="{00000000-0005-0000-0000-000015000000}"/>
    <cellStyle name="Normal 4 2" xfId="23" xr:uid="{00000000-0005-0000-0000-000016000000}"/>
    <cellStyle name="Normal 4 3" xfId="24" xr:uid="{00000000-0005-0000-0000-000017000000}"/>
    <cellStyle name="Normal 4 3 2" xfId="25" xr:uid="{00000000-0005-0000-0000-000018000000}"/>
    <cellStyle name="Normal 5" xfId="4" xr:uid="{00000000-0005-0000-0000-000019000000}"/>
    <cellStyle name="Normal 5 2" xfId="26" xr:uid="{00000000-0005-0000-0000-00001A000000}"/>
    <cellStyle name="Normal 6" xfId="27" xr:uid="{00000000-0005-0000-0000-00001B000000}"/>
    <cellStyle name="Normal 7" xfId="28" xr:uid="{00000000-0005-0000-0000-00001C000000}"/>
    <cellStyle name="Normal 8" xfId="29" xr:uid="{00000000-0005-0000-0000-00001D000000}"/>
    <cellStyle name="Normal 8 2" xfId="30" xr:uid="{00000000-0005-0000-0000-00001E000000}"/>
    <cellStyle name="Normal 8 3" xfId="31" xr:uid="{00000000-0005-0000-0000-00001F000000}"/>
    <cellStyle name="Normal 8 4" xfId="32" xr:uid="{00000000-0005-0000-0000-000020000000}"/>
  </cellStyles>
  <dxfs count="1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130" zoomScaleNormal="130" workbookViewId="0">
      <selection activeCell="G6" sqref="G6"/>
    </sheetView>
  </sheetViews>
  <sheetFormatPr baseColWidth="10" defaultRowHeight="15" x14ac:dyDescent="0.25"/>
  <cols>
    <col min="1" max="1" width="5.42578125" style="16" bestFit="1" customWidth="1"/>
    <col min="2" max="2" width="13" style="16" bestFit="1" customWidth="1"/>
    <col min="3" max="3" width="39.7109375" style="16" customWidth="1"/>
    <col min="4" max="4" width="8.7109375" style="16" customWidth="1"/>
    <col min="5" max="5" width="56.7109375" style="17" customWidth="1"/>
    <col min="6" max="6" width="21.85546875" style="16" bestFit="1" customWidth="1"/>
    <col min="7" max="7" width="14.7109375" style="16" customWidth="1"/>
    <col min="8" max="8" width="13.85546875" style="16" customWidth="1"/>
    <col min="9" max="9" width="10.5703125" style="18" customWidth="1"/>
    <col min="10" max="10" width="10.5703125" style="19" customWidth="1"/>
    <col min="11" max="11" width="10.42578125" style="18" bestFit="1" customWidth="1"/>
    <col min="12" max="12" width="12.42578125" style="19" bestFit="1" customWidth="1"/>
    <col min="13" max="13" width="16.28515625" style="19" bestFit="1" customWidth="1"/>
  </cols>
  <sheetData>
    <row r="1" spans="1:13" s="94" customFormat="1" x14ac:dyDescent="0.25">
      <c r="A1" s="86">
        <v>2022</v>
      </c>
      <c r="B1" s="87"/>
      <c r="C1" s="88"/>
      <c r="D1" s="88"/>
      <c r="E1" s="89"/>
      <c r="F1" s="88"/>
      <c r="G1" s="90"/>
      <c r="H1" s="88"/>
      <c r="I1" s="91"/>
      <c r="J1" s="92"/>
      <c r="K1" s="91"/>
      <c r="L1" s="93"/>
      <c r="M1" s="92"/>
    </row>
    <row r="2" spans="1:13" s="94" customFormat="1" ht="18.75" x14ac:dyDescent="0.25">
      <c r="A2" s="88"/>
      <c r="B2" s="197" t="s">
        <v>0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92"/>
    </row>
    <row r="3" spans="1:13" s="94" customFormat="1" x14ac:dyDescent="0.25">
      <c r="A3" s="88"/>
      <c r="B3" s="87"/>
      <c r="C3" s="88"/>
      <c r="D3" s="88"/>
      <c r="E3" s="89"/>
      <c r="F3" s="88"/>
      <c r="G3" s="90"/>
      <c r="H3" s="88"/>
      <c r="I3" s="91"/>
      <c r="J3" s="92"/>
      <c r="K3" s="91"/>
      <c r="L3" s="93"/>
      <c r="M3" s="92"/>
    </row>
    <row r="4" spans="1:13" s="94" customFormat="1" x14ac:dyDescent="0.25">
      <c r="A4" s="150" t="s">
        <v>1</v>
      </c>
      <c r="B4" s="150"/>
      <c r="C4" s="70" t="s">
        <v>2</v>
      </c>
      <c r="D4" s="70"/>
      <c r="E4" s="70"/>
      <c r="F4" s="95"/>
      <c r="G4" s="96"/>
      <c r="H4" s="95"/>
      <c r="I4" s="97"/>
      <c r="J4" s="98"/>
      <c r="K4" s="97"/>
      <c r="L4" s="93"/>
      <c r="M4" s="92"/>
    </row>
    <row r="5" spans="1:13" s="94" customFormat="1" ht="15" customHeight="1" x14ac:dyDescent="0.25">
      <c r="A5" s="150" t="s">
        <v>3</v>
      </c>
      <c r="B5" s="150"/>
      <c r="C5" s="70" t="s">
        <v>4</v>
      </c>
      <c r="D5" s="70"/>
      <c r="E5" s="70"/>
      <c r="F5" s="95"/>
      <c r="G5" s="96"/>
      <c r="H5" s="95"/>
      <c r="I5" s="97"/>
      <c r="J5" s="98"/>
      <c r="K5" s="97"/>
      <c r="L5" s="93"/>
      <c r="M5" s="92"/>
    </row>
    <row r="6" spans="1:13" s="94" customFormat="1" x14ac:dyDescent="0.25">
      <c r="A6" s="150" t="s">
        <v>5</v>
      </c>
      <c r="B6" s="150"/>
      <c r="C6" s="71">
        <v>2022</v>
      </c>
      <c r="D6" s="72"/>
      <c r="E6" s="71"/>
      <c r="F6" s="95"/>
      <c r="G6" s="96"/>
      <c r="H6" s="95"/>
      <c r="I6" s="97"/>
      <c r="J6" s="98"/>
      <c r="K6" s="97"/>
      <c r="L6" s="93"/>
      <c r="M6" s="92"/>
    </row>
    <row r="7" spans="1:13" s="94" customFormat="1" x14ac:dyDescent="0.25">
      <c r="A7" s="150" t="s">
        <v>6</v>
      </c>
      <c r="B7" s="150"/>
      <c r="C7" s="71" t="s">
        <v>7</v>
      </c>
      <c r="D7" s="72"/>
      <c r="E7" s="71"/>
      <c r="F7" s="95"/>
      <c r="G7" s="96"/>
      <c r="H7" s="95"/>
      <c r="I7" s="97"/>
      <c r="J7" s="98"/>
      <c r="K7" s="97"/>
      <c r="L7" s="93"/>
      <c r="M7" s="92"/>
    </row>
    <row r="8" spans="1:13" x14ac:dyDescent="0.25">
      <c r="A8" s="1"/>
      <c r="B8" s="4"/>
      <c r="C8" s="4"/>
      <c r="D8" s="4"/>
      <c r="E8" s="8"/>
      <c r="F8" s="4"/>
      <c r="G8" s="5"/>
      <c r="H8" s="4"/>
      <c r="I8" s="6"/>
      <c r="J8" s="7"/>
      <c r="K8" s="6"/>
      <c r="L8" s="3"/>
      <c r="M8" s="2"/>
    </row>
    <row r="9" spans="1:13" ht="25.5" x14ac:dyDescent="0.25">
      <c r="A9" s="9" t="s">
        <v>8</v>
      </c>
      <c r="B9" s="9" t="s">
        <v>9</v>
      </c>
      <c r="C9" s="10" t="s">
        <v>10</v>
      </c>
      <c r="D9" s="9" t="s">
        <v>11</v>
      </c>
      <c r="E9" s="11" t="s">
        <v>12</v>
      </c>
      <c r="F9" s="10" t="s">
        <v>13</v>
      </c>
      <c r="G9" s="12" t="s">
        <v>14</v>
      </c>
      <c r="H9" s="10" t="s">
        <v>15</v>
      </c>
      <c r="I9" s="13" t="s">
        <v>16</v>
      </c>
      <c r="J9" s="14" t="s">
        <v>17</v>
      </c>
      <c r="K9" s="13" t="s">
        <v>18</v>
      </c>
      <c r="L9" s="15" t="s">
        <v>100</v>
      </c>
      <c r="M9" s="14" t="s">
        <v>19</v>
      </c>
    </row>
    <row r="10" spans="1:13" s="109" customFormat="1" ht="12.75" x14ac:dyDescent="0.2">
      <c r="A10" s="103">
        <v>1</v>
      </c>
      <c r="B10" s="103"/>
      <c r="C10" s="103" t="s">
        <v>20</v>
      </c>
      <c r="D10" s="103" t="s">
        <v>21</v>
      </c>
      <c r="E10" s="82" t="s">
        <v>22</v>
      </c>
      <c r="F10" s="104" t="s">
        <v>89</v>
      </c>
      <c r="G10" s="103">
        <v>10</v>
      </c>
      <c r="H10" s="105">
        <v>333150</v>
      </c>
      <c r="I10" s="106"/>
      <c r="J10" s="105">
        <v>0</v>
      </c>
      <c r="K10" s="79">
        <v>10</v>
      </c>
      <c r="L10" s="105">
        <v>33315</v>
      </c>
      <c r="M10" s="107">
        <v>333150</v>
      </c>
    </row>
    <row r="11" spans="1:13" s="109" customFormat="1" ht="12.75" x14ac:dyDescent="0.2">
      <c r="A11" s="103">
        <v>2</v>
      </c>
      <c r="B11" s="108"/>
      <c r="C11" s="108" t="s">
        <v>20</v>
      </c>
      <c r="D11" s="108" t="s">
        <v>21</v>
      </c>
      <c r="E11" s="78" t="s">
        <v>23</v>
      </c>
      <c r="F11" s="108" t="s">
        <v>24</v>
      </c>
      <c r="G11" s="108">
        <v>14</v>
      </c>
      <c r="H11" s="105">
        <v>60760</v>
      </c>
      <c r="I11" s="110"/>
      <c r="J11" s="111">
        <v>0</v>
      </c>
      <c r="K11" s="80">
        <v>14</v>
      </c>
      <c r="L11" s="111">
        <v>4340</v>
      </c>
      <c r="M11" s="107">
        <v>60760</v>
      </c>
    </row>
    <row r="12" spans="1:13" s="109" customFormat="1" ht="12.75" x14ac:dyDescent="0.2">
      <c r="A12" s="103">
        <v>3</v>
      </c>
      <c r="B12" s="108"/>
      <c r="C12" s="108" t="s">
        <v>20</v>
      </c>
      <c r="D12" s="108" t="s">
        <v>21</v>
      </c>
      <c r="E12" s="78" t="s">
        <v>25</v>
      </c>
      <c r="F12" s="108" t="s">
        <v>26</v>
      </c>
      <c r="G12" s="108">
        <v>8</v>
      </c>
      <c r="H12" s="105">
        <v>408080</v>
      </c>
      <c r="I12" s="110"/>
      <c r="J12" s="111">
        <v>0</v>
      </c>
      <c r="K12" s="80">
        <v>8</v>
      </c>
      <c r="L12" s="111">
        <v>51010</v>
      </c>
      <c r="M12" s="107">
        <v>408080</v>
      </c>
    </row>
    <row r="13" spans="1:13" s="109" customFormat="1" ht="12.75" x14ac:dyDescent="0.2">
      <c r="A13" s="103">
        <v>4</v>
      </c>
      <c r="B13" s="108"/>
      <c r="C13" s="108" t="s">
        <v>20</v>
      </c>
      <c r="D13" s="108" t="s">
        <v>21</v>
      </c>
      <c r="E13" s="78" t="s">
        <v>27</v>
      </c>
      <c r="F13" s="108" t="s">
        <v>26</v>
      </c>
      <c r="G13" s="108">
        <v>8</v>
      </c>
      <c r="H13" s="105">
        <v>1486480</v>
      </c>
      <c r="I13" s="110"/>
      <c r="J13" s="111">
        <v>0</v>
      </c>
      <c r="K13" s="80">
        <v>8</v>
      </c>
      <c r="L13" s="111">
        <v>185810</v>
      </c>
      <c r="M13" s="107">
        <v>1486480</v>
      </c>
    </row>
    <row r="14" spans="1:13" s="109" customFormat="1" ht="12.75" x14ac:dyDescent="0.2">
      <c r="A14" s="103">
        <v>5</v>
      </c>
      <c r="B14" s="108"/>
      <c r="C14" s="108" t="s">
        <v>20</v>
      </c>
      <c r="D14" s="108" t="s">
        <v>21</v>
      </c>
      <c r="E14" s="78" t="s">
        <v>28</v>
      </c>
      <c r="F14" s="108" t="s">
        <v>26</v>
      </c>
      <c r="G14" s="108">
        <v>3</v>
      </c>
      <c r="H14" s="105">
        <v>40545</v>
      </c>
      <c r="I14" s="110"/>
      <c r="J14" s="111">
        <v>0</v>
      </c>
      <c r="K14" s="80">
        <v>3</v>
      </c>
      <c r="L14" s="111">
        <v>13515</v>
      </c>
      <c r="M14" s="107">
        <v>40545</v>
      </c>
    </row>
    <row r="15" spans="1:13" s="109" customFormat="1" ht="12.75" x14ac:dyDescent="0.2">
      <c r="A15" s="103">
        <v>6</v>
      </c>
      <c r="B15" s="108"/>
      <c r="C15" s="108" t="s">
        <v>20</v>
      </c>
      <c r="D15" s="108" t="s">
        <v>21</v>
      </c>
      <c r="E15" s="78" t="s">
        <v>91</v>
      </c>
      <c r="F15" s="108" t="s">
        <v>88</v>
      </c>
      <c r="G15" s="108">
        <v>5</v>
      </c>
      <c r="H15" s="105">
        <v>18500</v>
      </c>
      <c r="I15" s="110"/>
      <c r="J15" s="111">
        <v>0</v>
      </c>
      <c r="K15" s="80">
        <v>5</v>
      </c>
      <c r="L15" s="111">
        <v>3700</v>
      </c>
      <c r="M15" s="107">
        <v>18500</v>
      </c>
    </row>
    <row r="16" spans="1:13" s="109" customFormat="1" x14ac:dyDescent="0.2">
      <c r="A16" s="103">
        <v>7</v>
      </c>
      <c r="B16" s="108"/>
      <c r="C16" s="108" t="s">
        <v>20</v>
      </c>
      <c r="D16" s="108" t="s">
        <v>21</v>
      </c>
      <c r="E16" s="78" t="s">
        <v>92</v>
      </c>
      <c r="F16" s="108" t="s">
        <v>88</v>
      </c>
      <c r="G16" s="108">
        <v>5</v>
      </c>
      <c r="H16" s="105">
        <v>19200</v>
      </c>
      <c r="I16" s="110"/>
      <c r="J16" s="111">
        <v>0</v>
      </c>
      <c r="K16" s="80">
        <v>5</v>
      </c>
      <c r="L16" s="111">
        <v>3840</v>
      </c>
      <c r="M16" s="196">
        <v>19200</v>
      </c>
    </row>
    <row r="17" spans="1:13" s="109" customFormat="1" ht="12.75" x14ac:dyDescent="0.2">
      <c r="A17" s="103">
        <v>8</v>
      </c>
      <c r="B17" s="108"/>
      <c r="C17" s="108" t="s">
        <v>20</v>
      </c>
      <c r="D17" s="108" t="s">
        <v>21</v>
      </c>
      <c r="E17" s="78" t="s">
        <v>96</v>
      </c>
      <c r="F17" s="108" t="s">
        <v>88</v>
      </c>
      <c r="G17" s="108">
        <v>2</v>
      </c>
      <c r="H17" s="105">
        <v>400160</v>
      </c>
      <c r="I17" s="110"/>
      <c r="J17" s="111">
        <v>0</v>
      </c>
      <c r="K17" s="80">
        <v>3</v>
      </c>
      <c r="L17" s="111">
        <v>200080</v>
      </c>
      <c r="M17" s="107">
        <v>600240</v>
      </c>
    </row>
    <row r="18" spans="1:13" s="109" customFormat="1" ht="12.75" x14ac:dyDescent="0.2">
      <c r="A18" s="103">
        <v>9</v>
      </c>
      <c r="B18" s="108"/>
      <c r="C18" s="108" t="s">
        <v>20</v>
      </c>
      <c r="D18" s="108" t="s">
        <v>21</v>
      </c>
      <c r="E18" s="78" t="s">
        <v>29</v>
      </c>
      <c r="F18" s="108" t="s">
        <v>88</v>
      </c>
      <c r="G18" s="108">
        <v>5</v>
      </c>
      <c r="H18" s="105">
        <v>1689800</v>
      </c>
      <c r="I18" s="110"/>
      <c r="J18" s="111">
        <v>0</v>
      </c>
      <c r="K18" s="80">
        <v>5</v>
      </c>
      <c r="L18" s="111">
        <v>337960</v>
      </c>
      <c r="M18" s="107">
        <v>1689800</v>
      </c>
    </row>
    <row r="19" spans="1:13" s="109" customFormat="1" ht="12.75" x14ac:dyDescent="0.2">
      <c r="A19" s="103">
        <v>10</v>
      </c>
      <c r="B19" s="108"/>
      <c r="C19" s="108" t="s">
        <v>20</v>
      </c>
      <c r="D19" s="108" t="s">
        <v>21</v>
      </c>
      <c r="E19" s="78" t="s">
        <v>30</v>
      </c>
      <c r="F19" s="108" t="s">
        <v>88</v>
      </c>
      <c r="G19" s="108">
        <v>5</v>
      </c>
      <c r="H19" s="105">
        <v>2461700</v>
      </c>
      <c r="I19" s="110"/>
      <c r="J19" s="111">
        <v>0</v>
      </c>
      <c r="K19" s="80">
        <v>5</v>
      </c>
      <c r="L19" s="111">
        <v>492340</v>
      </c>
      <c r="M19" s="107">
        <v>2461700</v>
      </c>
    </row>
    <row r="20" spans="1:13" s="109" customFormat="1" ht="12.75" x14ac:dyDescent="0.2">
      <c r="A20" s="103">
        <v>11</v>
      </c>
      <c r="B20" s="108"/>
      <c r="C20" s="108" t="s">
        <v>20</v>
      </c>
      <c r="D20" s="108" t="s">
        <v>21</v>
      </c>
      <c r="E20" s="78" t="s">
        <v>93</v>
      </c>
      <c r="F20" s="108" t="s">
        <v>88</v>
      </c>
      <c r="G20" s="108">
        <v>2</v>
      </c>
      <c r="H20" s="105">
        <v>24700</v>
      </c>
      <c r="I20" s="110"/>
      <c r="J20" s="111">
        <v>0</v>
      </c>
      <c r="K20" s="80">
        <v>5</v>
      </c>
      <c r="L20" s="111">
        <v>12350</v>
      </c>
      <c r="M20" s="107">
        <v>61750</v>
      </c>
    </row>
    <row r="21" spans="1:13" s="109" customFormat="1" ht="12.75" x14ac:dyDescent="0.2">
      <c r="A21" s="103">
        <v>12</v>
      </c>
      <c r="B21" s="108"/>
      <c r="C21" s="108" t="s">
        <v>20</v>
      </c>
      <c r="D21" s="108" t="s">
        <v>21</v>
      </c>
      <c r="E21" s="78" t="s">
        <v>31</v>
      </c>
      <c r="F21" s="108" t="s">
        <v>90</v>
      </c>
      <c r="G21" s="108">
        <v>10</v>
      </c>
      <c r="H21" s="105">
        <v>3552631.5999999996</v>
      </c>
      <c r="I21" s="110"/>
      <c r="J21" s="111"/>
      <c r="K21" s="80">
        <v>10</v>
      </c>
      <c r="L21" s="112">
        <v>355263.16</v>
      </c>
      <c r="M21" s="107">
        <v>3552631.5999999996</v>
      </c>
    </row>
    <row r="22" spans="1:13" s="109" customFormat="1" ht="12.75" x14ac:dyDescent="0.2">
      <c r="A22" s="103">
        <v>13</v>
      </c>
      <c r="B22" s="84"/>
      <c r="C22" s="108" t="s">
        <v>20</v>
      </c>
      <c r="D22" s="84" t="s">
        <v>21</v>
      </c>
      <c r="E22" s="78" t="s">
        <v>32</v>
      </c>
      <c r="F22" s="108" t="s">
        <v>90</v>
      </c>
      <c r="G22" s="108">
        <v>5</v>
      </c>
      <c r="H22" s="105">
        <v>2157400</v>
      </c>
      <c r="I22" s="110"/>
      <c r="J22" s="111">
        <v>0</v>
      </c>
      <c r="K22" s="80">
        <v>5</v>
      </c>
      <c r="L22" s="111">
        <v>431480</v>
      </c>
      <c r="M22" s="107">
        <v>2157400</v>
      </c>
    </row>
    <row r="23" spans="1:13" s="109" customFormat="1" ht="15" customHeight="1" x14ac:dyDescent="0.2">
      <c r="A23" s="103">
        <v>14</v>
      </c>
      <c r="B23" s="108"/>
      <c r="C23" s="108" t="s">
        <v>20</v>
      </c>
      <c r="D23" s="108" t="s">
        <v>21</v>
      </c>
      <c r="E23" s="78" t="s">
        <v>94</v>
      </c>
      <c r="F23" s="108" t="s">
        <v>88</v>
      </c>
      <c r="G23" s="108">
        <v>2</v>
      </c>
      <c r="H23" s="105">
        <v>500000</v>
      </c>
      <c r="I23" s="110"/>
      <c r="J23" s="111">
        <v>0</v>
      </c>
      <c r="K23" s="80">
        <v>2</v>
      </c>
      <c r="L23" s="111">
        <v>250000</v>
      </c>
      <c r="M23" s="107">
        <v>500000</v>
      </c>
    </row>
    <row r="24" spans="1:13" s="109" customFormat="1" ht="12.75" x14ac:dyDescent="0.2">
      <c r="A24" s="103">
        <v>15</v>
      </c>
      <c r="B24" s="108"/>
      <c r="C24" s="108" t="s">
        <v>20</v>
      </c>
      <c r="D24" s="108" t="s">
        <v>21</v>
      </c>
      <c r="E24" s="78" t="s">
        <v>95</v>
      </c>
      <c r="F24" s="108" t="s">
        <v>88</v>
      </c>
      <c r="G24" s="108">
        <v>2</v>
      </c>
      <c r="H24" s="105">
        <v>915696</v>
      </c>
      <c r="I24" s="110"/>
      <c r="J24" s="111">
        <v>0</v>
      </c>
      <c r="K24" s="80">
        <v>2</v>
      </c>
      <c r="L24" s="111">
        <v>457848</v>
      </c>
      <c r="M24" s="107">
        <v>915696</v>
      </c>
    </row>
    <row r="25" spans="1:13" s="109" customFormat="1" ht="13.5" thickBot="1" x14ac:dyDescent="0.25">
      <c r="A25" s="103">
        <v>16</v>
      </c>
      <c r="B25" s="113"/>
      <c r="C25" s="113" t="s">
        <v>20</v>
      </c>
      <c r="D25" s="113" t="s">
        <v>21</v>
      </c>
      <c r="E25" s="83" t="s">
        <v>33</v>
      </c>
      <c r="F25" s="113" t="s">
        <v>26</v>
      </c>
      <c r="G25" s="113">
        <v>5</v>
      </c>
      <c r="H25" s="114">
        <v>813250</v>
      </c>
      <c r="I25" s="115"/>
      <c r="J25" s="116">
        <v>0</v>
      </c>
      <c r="K25" s="81">
        <v>5</v>
      </c>
      <c r="L25" s="116">
        <v>162650</v>
      </c>
      <c r="M25" s="107">
        <v>813250</v>
      </c>
    </row>
    <row r="26" spans="1:13" s="124" customFormat="1" ht="24.75" customHeight="1" thickBot="1" x14ac:dyDescent="0.25">
      <c r="A26" s="117"/>
      <c r="B26" s="118"/>
      <c r="C26" s="118"/>
      <c r="D26" s="118"/>
      <c r="E26" s="119" t="s">
        <v>34</v>
      </c>
      <c r="F26" s="118"/>
      <c r="G26" s="118"/>
      <c r="H26" s="118"/>
      <c r="I26" s="120"/>
      <c r="J26" s="121">
        <v>0</v>
      </c>
      <c r="K26" s="122"/>
      <c r="L26" s="121"/>
      <c r="M26" s="123">
        <v>15119182.6</v>
      </c>
    </row>
    <row r="27" spans="1:13" ht="15.75" thickBot="1" x14ac:dyDescent="0.3"/>
    <row r="28" spans="1:13" s="94" customFormat="1" ht="152.25" customHeight="1" x14ac:dyDescent="0.25">
      <c r="A28" s="99"/>
      <c r="B28" s="99"/>
      <c r="C28" s="62" t="s">
        <v>72</v>
      </c>
      <c r="D28" s="151" t="s">
        <v>73</v>
      </c>
      <c r="E28" s="152"/>
      <c r="F28" s="102"/>
      <c r="G28" s="99"/>
      <c r="H28" s="99"/>
      <c r="I28" s="100"/>
      <c r="J28" s="101"/>
      <c r="K28" s="100"/>
      <c r="L28" s="101"/>
      <c r="M28" s="101"/>
    </row>
    <row r="29" spans="1:13" ht="38.25" customHeight="1" x14ac:dyDescent="0.25">
      <c r="C29" s="63"/>
      <c r="D29" s="64"/>
      <c r="E29" s="68"/>
    </row>
    <row r="30" spans="1:13" s="94" customFormat="1" ht="15" customHeight="1" x14ac:dyDescent="0.25">
      <c r="A30" s="99"/>
      <c r="B30" s="99"/>
      <c r="C30" s="65" t="s">
        <v>74</v>
      </c>
      <c r="D30" s="146" t="s">
        <v>87</v>
      </c>
      <c r="E30" s="147"/>
      <c r="F30" s="99"/>
      <c r="G30" s="99"/>
      <c r="H30" s="99"/>
      <c r="I30" s="100"/>
      <c r="J30" s="101"/>
      <c r="K30" s="100"/>
      <c r="L30" s="101"/>
      <c r="M30" s="101"/>
    </row>
    <row r="31" spans="1:13" x14ac:dyDescent="0.25">
      <c r="C31" s="65"/>
      <c r="D31" s="64"/>
      <c r="E31" s="68"/>
    </row>
    <row r="32" spans="1:13" s="94" customFormat="1" ht="27" customHeight="1" x14ac:dyDescent="0.25">
      <c r="A32" s="99"/>
      <c r="B32" s="99"/>
      <c r="C32" s="65" t="s">
        <v>75</v>
      </c>
      <c r="D32" s="146" t="s">
        <v>86</v>
      </c>
      <c r="E32" s="147"/>
      <c r="F32" s="99"/>
      <c r="G32" s="99"/>
      <c r="H32" s="99"/>
      <c r="I32" s="100"/>
      <c r="J32" s="101"/>
      <c r="K32" s="100"/>
      <c r="L32" s="101"/>
      <c r="M32" s="101"/>
    </row>
    <row r="33" spans="3:5" x14ac:dyDescent="0.25">
      <c r="C33" s="65"/>
      <c r="D33" s="64"/>
      <c r="E33" s="68"/>
    </row>
    <row r="34" spans="3:5" x14ac:dyDescent="0.25">
      <c r="C34" s="66" t="s">
        <v>76</v>
      </c>
      <c r="D34" s="69"/>
      <c r="E34" s="68"/>
    </row>
    <row r="35" spans="3:5" x14ac:dyDescent="0.25">
      <c r="C35" s="66"/>
      <c r="D35" s="69"/>
      <c r="E35" s="68"/>
    </row>
    <row r="36" spans="3:5" ht="15.75" customHeight="1" thickBot="1" x14ac:dyDescent="0.3">
      <c r="C36" s="67" t="s">
        <v>77</v>
      </c>
      <c r="D36" s="148" t="s">
        <v>78</v>
      </c>
      <c r="E36" s="149"/>
    </row>
  </sheetData>
  <mergeCells count="8">
    <mergeCell ref="D32:E32"/>
    <mergeCell ref="D36:E36"/>
    <mergeCell ref="A7:B7"/>
    <mergeCell ref="A6:B6"/>
    <mergeCell ref="A4:B4"/>
    <mergeCell ref="A5:B5"/>
    <mergeCell ref="D30:E30"/>
    <mergeCell ref="D28:E28"/>
  </mergeCells>
  <conditionalFormatting sqref="B22">
    <cfRule type="duplicateValues" dxfId="13" priority="15"/>
  </conditionalFormatting>
  <conditionalFormatting sqref="E22">
    <cfRule type="duplicateValues" dxfId="12" priority="16"/>
  </conditionalFormatting>
  <conditionalFormatting sqref="E22">
    <cfRule type="duplicateValues" dxfId="11" priority="17"/>
    <cfRule type="duplicateValues" dxfId="10" priority="18"/>
  </conditionalFormatting>
  <conditionalFormatting sqref="B1:B9 E1:E9">
    <cfRule type="duplicateValues" dxfId="9" priority="94"/>
  </conditionalFormatting>
  <conditionalFormatting sqref="E1:E9 B1:B9">
    <cfRule type="duplicateValues" dxfId="8" priority="95"/>
  </conditionalFormatting>
  <conditionalFormatting sqref="B1:B9">
    <cfRule type="duplicateValues" dxfId="7" priority="138"/>
  </conditionalFormatting>
  <conditionalFormatting sqref="E1:E9">
    <cfRule type="duplicateValues" dxfId="6" priority="139"/>
  </conditionalFormatting>
  <conditionalFormatting sqref="E1:E9">
    <cfRule type="duplicateValues" dxfId="5" priority="140"/>
    <cfRule type="duplicateValues" dxfId="4" priority="141"/>
  </conditionalFormatting>
  <conditionalFormatting sqref="C30:C36">
    <cfRule type="duplicateValues" dxfId="3" priority="1"/>
  </conditionalFormatting>
  <conditionalFormatting sqref="C30:C36">
    <cfRule type="duplicateValues" dxfId="2" priority="2"/>
  </conditionalFormatting>
  <conditionalFormatting sqref="C30:C36">
    <cfRule type="duplicateValues" dxfId="1" priority="3"/>
  </conditionalFormatting>
  <conditionalFormatting sqref="C30:C36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9"/>
  <sheetViews>
    <sheetView zoomScale="90" zoomScaleNormal="90" workbookViewId="0">
      <selection activeCell="B37" sqref="B37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28.5703125" customWidth="1"/>
    <col min="8" max="8" width="9.28515625" customWidth="1"/>
    <col min="9" max="9" width="15.5703125" customWidth="1"/>
    <col min="10" max="10" width="14.7109375" style="76" customWidth="1"/>
    <col min="11" max="11" width="15.5703125" customWidth="1"/>
    <col min="13" max="13" width="15.5703125" style="77" bestFit="1" customWidth="1"/>
  </cols>
  <sheetData>
    <row r="1" spans="1:13" s="94" customFormat="1" ht="30.75" thickBot="1" x14ac:dyDescent="0.3">
      <c r="A1" s="155" t="s">
        <v>35</v>
      </c>
      <c r="B1" s="155"/>
      <c r="C1" s="155"/>
      <c r="D1" s="155"/>
      <c r="E1" s="155"/>
      <c r="F1" s="155"/>
      <c r="G1" s="155"/>
      <c r="H1" s="155"/>
      <c r="I1" s="155"/>
      <c r="J1" s="125" t="s">
        <v>36</v>
      </c>
      <c r="K1" s="126" t="s">
        <v>79</v>
      </c>
      <c r="M1" s="127"/>
    </row>
    <row r="2" spans="1:13" s="94" customFormat="1" ht="16.5" thickBot="1" x14ac:dyDescent="0.3">
      <c r="A2" s="128"/>
      <c r="B2" s="129"/>
      <c r="C2" s="129"/>
      <c r="D2" s="130"/>
      <c r="E2" s="130"/>
      <c r="F2" s="130"/>
      <c r="G2" s="130"/>
      <c r="H2" s="130"/>
      <c r="I2" s="130"/>
      <c r="J2" s="131"/>
      <c r="K2" s="132"/>
      <c r="M2" s="127"/>
    </row>
    <row r="3" spans="1:13" s="94" customFormat="1" ht="16.5" thickBot="1" x14ac:dyDescent="0.3">
      <c r="A3" s="156" t="s">
        <v>37</v>
      </c>
      <c r="B3" s="156"/>
      <c r="C3" s="156"/>
      <c r="D3" s="154" t="str">
        <f>'SAF 011'!C4</f>
        <v>040 - MINISTERIO DE SALUD</v>
      </c>
      <c r="E3" s="154"/>
      <c r="F3" s="154"/>
      <c r="G3" s="154"/>
      <c r="H3" s="154"/>
      <c r="I3" s="154"/>
      <c r="J3" s="154"/>
      <c r="K3" s="154"/>
      <c r="M3" s="127"/>
    </row>
    <row r="4" spans="1:13" s="94" customFormat="1" ht="16.5" thickBot="1" x14ac:dyDescent="0.3">
      <c r="A4" s="153" t="s">
        <v>38</v>
      </c>
      <c r="B4" s="153"/>
      <c r="C4" s="153"/>
      <c r="D4" s="154" t="str">
        <f>'SAF 011'!C5</f>
        <v>011 - DIRECCION PROVINCIAL DE ADMINISTRACION - MINISTERIO DE SALUD</v>
      </c>
      <c r="E4" s="154"/>
      <c r="F4" s="154"/>
      <c r="G4" s="154"/>
      <c r="H4" s="154"/>
      <c r="I4" s="154"/>
      <c r="J4" s="154"/>
      <c r="K4" s="154"/>
      <c r="M4" s="127"/>
    </row>
    <row r="5" spans="1:13" s="94" customFormat="1" ht="16.5" thickBot="1" x14ac:dyDescent="0.3">
      <c r="A5" s="153" t="s">
        <v>39</v>
      </c>
      <c r="B5" s="153"/>
      <c r="C5" s="153"/>
      <c r="D5" s="154" t="s">
        <v>80</v>
      </c>
      <c r="E5" s="154"/>
      <c r="F5" s="154"/>
      <c r="G5" s="154"/>
      <c r="H5" s="154"/>
      <c r="I5" s="154"/>
      <c r="J5" s="154"/>
      <c r="K5" s="154"/>
      <c r="M5" s="127"/>
    </row>
    <row r="6" spans="1:13" s="94" customFormat="1" ht="16.5" thickBot="1" x14ac:dyDescent="0.3">
      <c r="A6" s="156" t="s">
        <v>40</v>
      </c>
      <c r="B6" s="156"/>
      <c r="C6" s="156"/>
      <c r="D6" s="154" t="s">
        <v>80</v>
      </c>
      <c r="E6" s="154"/>
      <c r="F6" s="154"/>
      <c r="G6" s="154"/>
      <c r="H6" s="154"/>
      <c r="I6" s="154"/>
      <c r="J6" s="154"/>
      <c r="K6" s="154"/>
      <c r="M6" s="127"/>
    </row>
    <row r="7" spans="1:13" s="94" customFormat="1" ht="16.5" thickBot="1" x14ac:dyDescent="0.3">
      <c r="A7" s="153" t="s">
        <v>41</v>
      </c>
      <c r="B7" s="153"/>
      <c r="C7" s="153"/>
      <c r="D7" s="154" t="s">
        <v>81</v>
      </c>
      <c r="E7" s="154"/>
      <c r="F7" s="154"/>
      <c r="G7" s="154"/>
      <c r="H7" s="154"/>
      <c r="I7" s="154"/>
      <c r="J7" s="154"/>
      <c r="K7" s="154"/>
      <c r="M7" s="127"/>
    </row>
    <row r="8" spans="1:13" s="94" customFormat="1" ht="16.5" thickBot="1" x14ac:dyDescent="0.3">
      <c r="A8" s="157" t="s">
        <v>42</v>
      </c>
      <c r="B8" s="157"/>
      <c r="C8" s="157"/>
      <c r="D8" s="158" t="s">
        <v>82</v>
      </c>
      <c r="E8" s="158"/>
      <c r="F8" s="158"/>
      <c r="G8" s="158"/>
      <c r="H8" s="158"/>
      <c r="I8" s="158"/>
      <c r="J8" s="158"/>
      <c r="K8" s="158"/>
      <c r="M8" s="127"/>
    </row>
    <row r="9" spans="1:13" ht="16.5" thickBot="1" x14ac:dyDescent="0.3">
      <c r="A9" s="20"/>
      <c r="B9" s="21"/>
      <c r="C9" s="21"/>
      <c r="D9" s="22"/>
      <c r="E9" s="22"/>
      <c r="F9" s="22"/>
      <c r="G9" s="22"/>
      <c r="H9" s="22"/>
      <c r="I9" s="22"/>
      <c r="J9" s="73"/>
      <c r="K9" s="23"/>
    </row>
    <row r="10" spans="1:13" ht="15.75" thickBot="1" x14ac:dyDescent="0.3">
      <c r="A10" s="160" t="s">
        <v>43</v>
      </c>
      <c r="B10" s="162" t="s">
        <v>44</v>
      </c>
      <c r="C10" s="162" t="s">
        <v>45</v>
      </c>
      <c r="D10" s="162"/>
      <c r="E10" s="162"/>
      <c r="F10" s="162"/>
      <c r="G10" s="162"/>
      <c r="H10" s="162" t="s">
        <v>46</v>
      </c>
      <c r="I10" s="162" t="s">
        <v>47</v>
      </c>
      <c r="J10" s="167" t="s">
        <v>48</v>
      </c>
      <c r="K10" s="164" t="s">
        <v>49</v>
      </c>
    </row>
    <row r="11" spans="1:13" ht="36" customHeight="1" thickBot="1" x14ac:dyDescent="0.3">
      <c r="A11" s="161"/>
      <c r="B11" s="163"/>
      <c r="C11" s="163"/>
      <c r="D11" s="163"/>
      <c r="E11" s="163"/>
      <c r="F11" s="163"/>
      <c r="G11" s="163"/>
      <c r="H11" s="163"/>
      <c r="I11" s="163"/>
      <c r="J11" s="168"/>
      <c r="K11" s="165"/>
    </row>
    <row r="12" spans="1:13" ht="15.75" x14ac:dyDescent="0.25">
      <c r="A12" s="24">
        <v>1</v>
      </c>
      <c r="B12" s="25"/>
      <c r="C12" s="166" t="str">
        <f>'SAF 011'!E10</f>
        <v xml:space="preserve">Acetato de goserelin  depot </v>
      </c>
      <c r="D12" s="166"/>
      <c r="E12" s="166"/>
      <c r="F12" s="166"/>
      <c r="G12" s="166"/>
      <c r="H12" s="85" t="s">
        <v>97</v>
      </c>
      <c r="I12" s="26" t="str">
        <f>+'SAF 011'!F10</f>
        <v>Jeringa Prellenada</v>
      </c>
      <c r="J12" s="74">
        <f>'SAF 011'!L10</f>
        <v>33315</v>
      </c>
      <c r="K12" s="27">
        <f>+'SAF 011'!K10</f>
        <v>10</v>
      </c>
      <c r="M12" s="77">
        <f>+J12*K12</f>
        <v>333150</v>
      </c>
    </row>
    <row r="13" spans="1:13" ht="16.5" customHeight="1" x14ac:dyDescent="0.25">
      <c r="A13" s="28">
        <v>2</v>
      </c>
      <c r="B13" s="29"/>
      <c r="C13" s="159" t="str">
        <f>'SAF 011'!E11</f>
        <v xml:space="preserve">Azacitidina 100 mg </v>
      </c>
      <c r="D13" s="159"/>
      <c r="E13" s="159"/>
      <c r="F13" s="159"/>
      <c r="G13" s="159"/>
      <c r="H13" s="133" t="s">
        <v>97</v>
      </c>
      <c r="I13" s="134" t="str">
        <f>+'SAF 011'!F11</f>
        <v>Frasco- ampolla</v>
      </c>
      <c r="J13" s="75">
        <f>'SAF 011'!L11</f>
        <v>4340</v>
      </c>
      <c r="K13" s="135">
        <f>+'SAF 011'!K11</f>
        <v>14</v>
      </c>
      <c r="M13" s="77">
        <f t="shared" ref="M13:M27" si="0">+J13*K13</f>
        <v>60760</v>
      </c>
    </row>
    <row r="14" spans="1:13" ht="16.5" customHeight="1" x14ac:dyDescent="0.25">
      <c r="A14" s="28">
        <v>3</v>
      </c>
      <c r="B14" s="29"/>
      <c r="C14" s="159" t="str">
        <f>'SAF 011'!E12</f>
        <v>Bevacizumab 100 mg</v>
      </c>
      <c r="D14" s="159"/>
      <c r="E14" s="159"/>
      <c r="F14" s="159"/>
      <c r="G14" s="159"/>
      <c r="H14" s="133" t="s">
        <v>97</v>
      </c>
      <c r="I14" s="134" t="str">
        <f>+'SAF 011'!F12</f>
        <v>Frasco -ampolla</v>
      </c>
      <c r="J14" s="75">
        <f>'SAF 011'!L12</f>
        <v>51010</v>
      </c>
      <c r="K14" s="135">
        <f>+'SAF 011'!K12</f>
        <v>8</v>
      </c>
      <c r="M14" s="77">
        <f t="shared" si="0"/>
        <v>408080</v>
      </c>
    </row>
    <row r="15" spans="1:13" ht="16.5" customHeight="1" x14ac:dyDescent="0.25">
      <c r="A15" s="28">
        <v>4</v>
      </c>
      <c r="B15" s="29"/>
      <c r="C15" s="159" t="str">
        <f>'SAF 011'!E13</f>
        <v>Bevacizumab 400 mg</v>
      </c>
      <c r="D15" s="159"/>
      <c r="E15" s="159"/>
      <c r="F15" s="159"/>
      <c r="G15" s="159"/>
      <c r="H15" s="133" t="s">
        <v>97</v>
      </c>
      <c r="I15" s="134" t="str">
        <f>+'SAF 011'!F13</f>
        <v>Frasco -ampolla</v>
      </c>
      <c r="J15" s="75">
        <f>'SAF 011'!L13</f>
        <v>185810</v>
      </c>
      <c r="K15" s="135">
        <f>+'SAF 011'!K13</f>
        <v>8</v>
      </c>
      <c r="M15" s="77">
        <f t="shared" si="0"/>
        <v>1486480</v>
      </c>
    </row>
    <row r="16" spans="1:13" ht="16.5" customHeight="1" x14ac:dyDescent="0.25">
      <c r="A16" s="28">
        <v>5</v>
      </c>
      <c r="B16" s="29"/>
      <c r="C16" s="159" t="str">
        <f>'SAF 011'!E14</f>
        <v>Fulvestrant 250 mg x 2 ampollas</v>
      </c>
      <c r="D16" s="159"/>
      <c r="E16" s="159"/>
      <c r="F16" s="159"/>
      <c r="G16" s="159"/>
      <c r="H16" s="133" t="s">
        <v>97</v>
      </c>
      <c r="I16" s="134" t="str">
        <f>+'SAF 011'!F14</f>
        <v>Frasco -ampolla</v>
      </c>
      <c r="J16" s="75">
        <f>'SAF 011'!L14</f>
        <v>13515</v>
      </c>
      <c r="K16" s="135">
        <f>+'SAF 011'!K14</f>
        <v>3</v>
      </c>
      <c r="M16" s="77">
        <f t="shared" si="0"/>
        <v>40545</v>
      </c>
    </row>
    <row r="17" spans="1:13" ht="16.5" customHeight="1" x14ac:dyDescent="0.25">
      <c r="A17" s="28">
        <v>6</v>
      </c>
      <c r="B17" s="29"/>
      <c r="C17" s="159" t="str">
        <f>'SAF 011'!E15</f>
        <v>imatinib 100 mg x 180 comp</v>
      </c>
      <c r="D17" s="159"/>
      <c r="E17" s="159"/>
      <c r="F17" s="159"/>
      <c r="G17" s="159"/>
      <c r="H17" s="133" t="s">
        <v>97</v>
      </c>
      <c r="I17" s="134" t="str">
        <f>+'SAF 011'!F15</f>
        <v>CAJA</v>
      </c>
      <c r="J17" s="75">
        <f>'SAF 011'!L15</f>
        <v>3700</v>
      </c>
      <c r="K17" s="135">
        <f>+'SAF 011'!K15</f>
        <v>5</v>
      </c>
      <c r="M17" s="77">
        <f t="shared" si="0"/>
        <v>18500</v>
      </c>
    </row>
    <row r="18" spans="1:13" ht="16.5" customHeight="1" x14ac:dyDescent="0.25">
      <c r="A18" s="28">
        <v>7</v>
      </c>
      <c r="B18" s="29"/>
      <c r="C18" s="159" t="str">
        <f>'SAF 011'!E16</f>
        <v>imatinib 400 mg x 30 comp</v>
      </c>
      <c r="D18" s="159"/>
      <c r="E18" s="159"/>
      <c r="F18" s="159"/>
      <c r="G18" s="159"/>
      <c r="H18" s="133" t="s">
        <v>97</v>
      </c>
      <c r="I18" s="134" t="str">
        <f>+'SAF 011'!F16</f>
        <v>CAJA</v>
      </c>
      <c r="J18" s="75">
        <f>'SAF 011'!L16</f>
        <v>3840</v>
      </c>
      <c r="K18" s="135">
        <f>+'SAF 011'!K16</f>
        <v>5</v>
      </c>
      <c r="M18" s="77">
        <f t="shared" si="0"/>
        <v>19200</v>
      </c>
    </row>
    <row r="19" spans="1:13" ht="16.5" customHeight="1" x14ac:dyDescent="0.25">
      <c r="A19" s="28">
        <v>8</v>
      </c>
      <c r="B19" s="29"/>
      <c r="C19" s="159" t="str">
        <f>'SAF 011'!E17</f>
        <v>Lenalidomida 25 mg  x 21 caps</v>
      </c>
      <c r="D19" s="159"/>
      <c r="E19" s="159"/>
      <c r="F19" s="159"/>
      <c r="G19" s="159"/>
      <c r="H19" s="133" t="s">
        <v>97</v>
      </c>
      <c r="I19" s="134" t="str">
        <f>+'SAF 011'!F17</f>
        <v>CAJA</v>
      </c>
      <c r="J19" s="75">
        <f>'SAF 011'!L17</f>
        <v>200080</v>
      </c>
      <c r="K19" s="135">
        <f>+'SAF 011'!K17</f>
        <v>3</v>
      </c>
      <c r="M19" s="77">
        <f t="shared" si="0"/>
        <v>600240</v>
      </c>
    </row>
    <row r="20" spans="1:13" ht="16.5" customHeight="1" x14ac:dyDescent="0.25">
      <c r="A20" s="28">
        <v>9</v>
      </c>
      <c r="B20" s="29"/>
      <c r="C20" s="159" t="str">
        <f>'SAF 011'!E18</f>
        <v>nilotinib 150 x 120 comp</v>
      </c>
      <c r="D20" s="159"/>
      <c r="E20" s="159"/>
      <c r="F20" s="159"/>
      <c r="G20" s="159"/>
      <c r="H20" s="133" t="s">
        <v>97</v>
      </c>
      <c r="I20" s="134" t="str">
        <f>+'SAF 011'!F18</f>
        <v>CAJA</v>
      </c>
      <c r="J20" s="75">
        <f>'SAF 011'!L18</f>
        <v>337960</v>
      </c>
      <c r="K20" s="135">
        <f>+'SAF 011'!K18</f>
        <v>5</v>
      </c>
      <c r="M20" s="77">
        <f t="shared" si="0"/>
        <v>1689800</v>
      </c>
    </row>
    <row r="21" spans="1:13" ht="16.5" customHeight="1" x14ac:dyDescent="0.25">
      <c r="A21" s="28">
        <v>10</v>
      </c>
      <c r="B21" s="29"/>
      <c r="C21" s="159" t="str">
        <f>'SAF 011'!E19</f>
        <v>nilotinib 200 x 120 comp</v>
      </c>
      <c r="D21" s="159"/>
      <c r="E21" s="159"/>
      <c r="F21" s="159"/>
      <c r="G21" s="159"/>
      <c r="H21" s="133" t="s">
        <v>97</v>
      </c>
      <c r="I21" s="134" t="str">
        <f>+'SAF 011'!F19</f>
        <v>CAJA</v>
      </c>
      <c r="J21" s="75">
        <f>'SAF 011'!L19</f>
        <v>492340</v>
      </c>
      <c r="K21" s="135">
        <f>+'SAF 011'!K19</f>
        <v>5</v>
      </c>
      <c r="M21" s="77">
        <f t="shared" si="0"/>
        <v>2461700</v>
      </c>
    </row>
    <row r="22" spans="1:13" ht="16.5" customHeight="1" x14ac:dyDescent="0.25">
      <c r="A22" s="28">
        <v>11</v>
      </c>
      <c r="B22" s="29"/>
      <c r="C22" s="159" t="str">
        <f>'SAF 011'!E20</f>
        <v>pazopanib 200 mg x 30 comp</v>
      </c>
      <c r="D22" s="159"/>
      <c r="E22" s="159"/>
      <c r="F22" s="159"/>
      <c r="G22" s="159"/>
      <c r="H22" s="133" t="s">
        <v>97</v>
      </c>
      <c r="I22" s="134" t="str">
        <f>+'SAF 011'!F20</f>
        <v>CAJA</v>
      </c>
      <c r="J22" s="75">
        <f>'SAF 011'!L20</f>
        <v>12350</v>
      </c>
      <c r="K22" s="135">
        <f>+'SAF 011'!K20</f>
        <v>5</v>
      </c>
      <c r="M22" s="77">
        <f t="shared" si="0"/>
        <v>61750</v>
      </c>
    </row>
    <row r="23" spans="1:13" ht="16.5" customHeight="1" x14ac:dyDescent="0.25">
      <c r="A23" s="28">
        <v>12</v>
      </c>
      <c r="B23" s="29"/>
      <c r="C23" s="159" t="str">
        <f>'SAF 011'!E21</f>
        <v xml:space="preserve">Pembrolizumab 100 mg </v>
      </c>
      <c r="D23" s="159"/>
      <c r="E23" s="159"/>
      <c r="F23" s="159"/>
      <c r="G23" s="159"/>
      <c r="H23" s="133" t="s">
        <v>97</v>
      </c>
      <c r="I23" s="134" t="str">
        <f>+'SAF 011'!F21</f>
        <v>Vial Inyectable</v>
      </c>
      <c r="J23" s="75">
        <f>'SAF 011'!L21</f>
        <v>355263.16</v>
      </c>
      <c r="K23" s="135">
        <f>+'SAF 011'!K21</f>
        <v>10</v>
      </c>
      <c r="M23" s="77">
        <f t="shared" si="0"/>
        <v>3552631.5999999996</v>
      </c>
    </row>
    <row r="24" spans="1:13" ht="16.5" customHeight="1" x14ac:dyDescent="0.25">
      <c r="A24" s="28">
        <v>13</v>
      </c>
      <c r="B24" s="29"/>
      <c r="C24" s="159" t="str">
        <f>'SAF 011'!E22</f>
        <v xml:space="preserve">pertuzumab 420 mg </v>
      </c>
      <c r="D24" s="159"/>
      <c r="E24" s="159"/>
      <c r="F24" s="159"/>
      <c r="G24" s="159"/>
      <c r="H24" s="133" t="s">
        <v>97</v>
      </c>
      <c r="I24" s="134" t="str">
        <f>+'SAF 011'!F22</f>
        <v>Vial Inyectable</v>
      </c>
      <c r="J24" s="75">
        <f>'SAF 011'!L22</f>
        <v>431480</v>
      </c>
      <c r="K24" s="135">
        <f>+'SAF 011'!K22</f>
        <v>5</v>
      </c>
      <c r="M24" s="77">
        <f t="shared" si="0"/>
        <v>2157400</v>
      </c>
    </row>
    <row r="25" spans="1:13" ht="16.5" customHeight="1" x14ac:dyDescent="0.25">
      <c r="A25" s="28">
        <v>14</v>
      </c>
      <c r="B25" s="29"/>
      <c r="C25" s="159" t="str">
        <f>'SAF 011'!E23</f>
        <v>Regorafenib 40 mg  tab.3 x 28 comp (84 comp)</v>
      </c>
      <c r="D25" s="159"/>
      <c r="E25" s="159"/>
      <c r="F25" s="159"/>
      <c r="G25" s="159"/>
      <c r="H25" s="133" t="s">
        <v>97</v>
      </c>
      <c r="I25" s="134" t="str">
        <f>+'SAF 011'!F23</f>
        <v>CAJA</v>
      </c>
      <c r="J25" s="75">
        <f>'SAF 011'!L23</f>
        <v>250000</v>
      </c>
      <c r="K25" s="135">
        <f>+'SAF 011'!K23</f>
        <v>2</v>
      </c>
      <c r="M25" s="77">
        <f t="shared" si="0"/>
        <v>500000</v>
      </c>
    </row>
    <row r="26" spans="1:13" ht="16.5" customHeight="1" x14ac:dyDescent="0.25">
      <c r="A26" s="28">
        <v>15</v>
      </c>
      <c r="B26" s="29"/>
      <c r="C26" s="159" t="str">
        <f>'SAF 011'!E24</f>
        <v>sunitinib 25 mg x 28 caps</v>
      </c>
      <c r="D26" s="159"/>
      <c r="E26" s="159"/>
      <c r="F26" s="159"/>
      <c r="G26" s="159"/>
      <c r="H26" s="133" t="s">
        <v>97</v>
      </c>
      <c r="I26" s="134" t="str">
        <f>+'SAF 011'!F24</f>
        <v>CAJA</v>
      </c>
      <c r="J26" s="75">
        <f>'SAF 011'!L24</f>
        <v>457848</v>
      </c>
      <c r="K26" s="135">
        <f>+'SAF 011'!K24</f>
        <v>2</v>
      </c>
      <c r="M26" s="77">
        <f t="shared" si="0"/>
        <v>915696</v>
      </c>
    </row>
    <row r="27" spans="1:13" ht="15.75" customHeight="1" x14ac:dyDescent="0.25">
      <c r="A27" s="28">
        <v>16</v>
      </c>
      <c r="B27" s="29"/>
      <c r="C27" s="159" t="str">
        <f>'SAF 011'!E25</f>
        <v>Trastuzumab 440MG.</v>
      </c>
      <c r="D27" s="159"/>
      <c r="E27" s="159"/>
      <c r="F27" s="159"/>
      <c r="G27" s="159"/>
      <c r="H27" s="133" t="s">
        <v>97</v>
      </c>
      <c r="I27" s="134" t="str">
        <f>+'SAF 011'!F25</f>
        <v>Frasco -ampolla</v>
      </c>
      <c r="J27" s="75">
        <f>'SAF 011'!L25</f>
        <v>162650</v>
      </c>
      <c r="K27" s="135">
        <f>+'SAF 011'!K25</f>
        <v>5</v>
      </c>
      <c r="M27" s="77">
        <f t="shared" si="0"/>
        <v>813250</v>
      </c>
    </row>
    <row r="28" spans="1:13" ht="16.5" thickBot="1" x14ac:dyDescent="0.3">
      <c r="A28" s="136"/>
      <c r="B28" s="137"/>
      <c r="C28" s="171"/>
      <c r="D28" s="171"/>
      <c r="E28" s="171"/>
      <c r="F28" s="171"/>
      <c r="G28" s="171"/>
      <c r="H28" s="138"/>
      <c r="I28" s="139"/>
      <c r="J28" s="140"/>
      <c r="K28" s="141"/>
    </row>
    <row r="29" spans="1:13" ht="36" customHeight="1" thickBot="1" x14ac:dyDescent="0.3">
      <c r="A29" s="169" t="s">
        <v>98</v>
      </c>
      <c r="B29" s="169"/>
      <c r="C29" s="169"/>
      <c r="D29" s="169"/>
      <c r="E29" s="169"/>
      <c r="F29" s="169"/>
      <c r="G29" s="169"/>
      <c r="H29" s="169"/>
      <c r="I29" s="169"/>
      <c r="J29" s="170">
        <f>+M29</f>
        <v>15119182.6</v>
      </c>
      <c r="K29" s="170"/>
      <c r="M29" s="77">
        <f>SUM(M12:M28)</f>
        <v>15119182.6</v>
      </c>
    </row>
  </sheetData>
  <mergeCells count="39">
    <mergeCell ref="C22:G22"/>
    <mergeCell ref="C17:G17"/>
    <mergeCell ref="C18:G18"/>
    <mergeCell ref="C19:G19"/>
    <mergeCell ref="C20:G20"/>
    <mergeCell ref="C21:G21"/>
    <mergeCell ref="A29:I29"/>
    <mergeCell ref="J29:K29"/>
    <mergeCell ref="C23:G23"/>
    <mergeCell ref="C24:G24"/>
    <mergeCell ref="C25:G25"/>
    <mergeCell ref="C26:G26"/>
    <mergeCell ref="C27:G27"/>
    <mergeCell ref="C28:G28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S9" sqref="S9"/>
    </sheetView>
  </sheetViews>
  <sheetFormatPr baseColWidth="10" defaultRowHeight="15" x14ac:dyDescent="0.25"/>
  <cols>
    <col min="1" max="5" width="4.42578125" customWidth="1"/>
    <col min="6" max="6" width="7.710937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73" t="s">
        <v>5</v>
      </c>
      <c r="B1" s="173"/>
      <c r="C1" s="173"/>
      <c r="D1" s="174">
        <v>2022</v>
      </c>
      <c r="E1" s="174"/>
      <c r="F1" s="30"/>
      <c r="G1" s="30"/>
      <c r="H1" s="31"/>
      <c r="I1" s="31"/>
      <c r="J1" s="31"/>
      <c r="K1" s="31"/>
      <c r="L1" s="31"/>
      <c r="M1" s="31"/>
      <c r="N1" s="31"/>
      <c r="O1" s="32"/>
      <c r="P1" s="175" t="s">
        <v>50</v>
      </c>
      <c r="Q1" s="175"/>
    </row>
    <row r="2" spans="1:17" ht="15.75" thickBot="1" x14ac:dyDescent="0.3">
      <c r="A2" s="33"/>
      <c r="B2" s="34"/>
      <c r="C2" s="34"/>
      <c r="D2" s="34"/>
      <c r="E2" s="34"/>
      <c r="F2" s="34"/>
      <c r="G2" s="35"/>
      <c r="H2" s="36"/>
      <c r="I2" s="36"/>
      <c r="J2" s="36"/>
      <c r="K2" s="36"/>
      <c r="L2" s="36"/>
      <c r="M2" s="36"/>
      <c r="N2" s="36"/>
      <c r="O2" s="34"/>
      <c r="P2" s="175"/>
      <c r="Q2" s="175"/>
    </row>
    <row r="3" spans="1:17" ht="15.75" thickBot="1" x14ac:dyDescent="0.3">
      <c r="A3" s="33"/>
      <c r="B3" s="34"/>
      <c r="C3" s="34"/>
      <c r="D3" s="34"/>
      <c r="E3" s="34"/>
      <c r="F3" s="34"/>
      <c r="G3" s="35"/>
      <c r="H3" s="34"/>
      <c r="I3" s="34"/>
      <c r="J3" s="34"/>
      <c r="K3" s="34"/>
      <c r="L3" s="34"/>
      <c r="M3" s="34"/>
      <c r="N3" s="34"/>
      <c r="O3" s="34"/>
      <c r="P3" s="34"/>
      <c r="Q3" s="37"/>
    </row>
    <row r="4" spans="1:17" s="94" customFormat="1" ht="15.75" thickBot="1" x14ac:dyDescent="0.3">
      <c r="A4" s="176" t="s">
        <v>51</v>
      </c>
      <c r="B4" s="176"/>
      <c r="C4" s="176"/>
      <c r="D4" s="176"/>
      <c r="E4" s="176"/>
      <c r="F4" s="176"/>
      <c r="G4" s="177" t="str">
        <f>NP!D3</f>
        <v>040 - MINISTERIO DE SALUD</v>
      </c>
      <c r="H4" s="177"/>
      <c r="I4" s="177"/>
      <c r="J4" s="177"/>
      <c r="K4" s="177"/>
      <c r="L4" s="177"/>
      <c r="M4" s="177"/>
      <c r="N4" s="177"/>
      <c r="O4" s="177"/>
      <c r="P4" s="177"/>
      <c r="Q4" s="177"/>
    </row>
    <row r="5" spans="1:17" s="94" customFormat="1" ht="15.75" thickBot="1" x14ac:dyDescent="0.3">
      <c r="A5" s="178" t="s">
        <v>38</v>
      </c>
      <c r="B5" s="178"/>
      <c r="C5" s="178"/>
      <c r="D5" s="178"/>
      <c r="E5" s="178"/>
      <c r="F5" s="178"/>
      <c r="G5" s="177" t="str">
        <f>NP!D4</f>
        <v>011 - DIRECCION PROVINCIAL DE ADMINISTRACION - MINISTERIO DE SALUD</v>
      </c>
      <c r="H5" s="177"/>
      <c r="I5" s="177"/>
      <c r="J5" s="177"/>
      <c r="K5" s="177"/>
      <c r="L5" s="177"/>
      <c r="M5" s="177"/>
      <c r="N5" s="177"/>
      <c r="O5" s="177"/>
      <c r="P5" s="177"/>
      <c r="Q5" s="177"/>
    </row>
    <row r="6" spans="1:17" s="94" customFormat="1" ht="15.75" thickBot="1" x14ac:dyDescent="0.3">
      <c r="A6" s="178" t="s">
        <v>39</v>
      </c>
      <c r="B6" s="178"/>
      <c r="C6" s="178"/>
      <c r="D6" s="178"/>
      <c r="E6" s="178"/>
      <c r="F6" s="178"/>
      <c r="G6" s="177" t="str">
        <f>NP!D5</f>
        <v>DIRECCION PROVINCIAL DE CANCER</v>
      </c>
      <c r="H6" s="177"/>
      <c r="I6" s="177"/>
      <c r="J6" s="177"/>
      <c r="K6" s="177"/>
      <c r="L6" s="177"/>
      <c r="M6" s="177"/>
      <c r="N6" s="177"/>
      <c r="O6" s="177"/>
      <c r="P6" s="177"/>
      <c r="Q6" s="177"/>
    </row>
    <row r="7" spans="1:17" s="94" customFormat="1" ht="15.75" thickBot="1" x14ac:dyDescent="0.3">
      <c r="A7" s="178" t="s">
        <v>40</v>
      </c>
      <c r="B7" s="178"/>
      <c r="C7" s="178"/>
      <c r="D7" s="178"/>
      <c r="E7" s="178"/>
      <c r="F7" s="178"/>
      <c r="G7" s="177" t="str">
        <f>NP!D6</f>
        <v>DIRECCION PROVINCIAL DE CANCER</v>
      </c>
      <c r="H7" s="177"/>
      <c r="I7" s="177"/>
      <c r="J7" s="177"/>
      <c r="K7" s="177"/>
      <c r="L7" s="177"/>
      <c r="M7" s="177"/>
      <c r="N7" s="177"/>
      <c r="O7" s="177"/>
      <c r="P7" s="177"/>
      <c r="Q7" s="177"/>
    </row>
    <row r="8" spans="1:17" ht="15.75" thickBot="1" x14ac:dyDescent="0.3">
      <c r="A8" s="179" t="s">
        <v>52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</row>
    <row r="9" spans="1:17" ht="20.25" customHeight="1" x14ac:dyDescent="0.25">
      <c r="A9" s="172" t="s">
        <v>53</v>
      </c>
      <c r="B9" s="172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</row>
    <row r="10" spans="1:17" s="94" customFormat="1" ht="69" customHeight="1" x14ac:dyDescent="0.25">
      <c r="A10" s="181" t="s">
        <v>83</v>
      </c>
      <c r="B10" s="181"/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</row>
    <row r="11" spans="1:17" ht="15.75" thickBot="1" x14ac:dyDescent="0.3">
      <c r="A11" s="38"/>
      <c r="B11" s="39"/>
      <c r="C11" s="39"/>
      <c r="D11" s="39"/>
      <c r="E11" s="39"/>
      <c r="F11" s="39"/>
      <c r="G11" s="40"/>
      <c r="H11" s="39"/>
      <c r="I11" s="39"/>
      <c r="J11" s="39"/>
      <c r="K11" s="39"/>
      <c r="L11" s="39"/>
      <c r="M11" s="39"/>
      <c r="N11" s="39"/>
      <c r="O11" s="39"/>
      <c r="P11" s="39"/>
      <c r="Q11" s="41"/>
    </row>
    <row r="12" spans="1:17" ht="15.75" thickBot="1" x14ac:dyDescent="0.3">
      <c r="A12" s="182" t="s">
        <v>54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</row>
    <row r="13" spans="1:17" ht="15.75" thickBot="1" x14ac:dyDescent="0.3">
      <c r="A13" s="183" t="s">
        <v>55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4" t="s">
        <v>56</v>
      </c>
      <c r="P13" s="184"/>
      <c r="Q13" s="185" t="s">
        <v>57</v>
      </c>
    </row>
    <row r="14" spans="1:17" ht="15.75" thickBot="1" x14ac:dyDescent="0.3">
      <c r="A14" s="42" t="s">
        <v>58</v>
      </c>
      <c r="B14" s="43" t="s">
        <v>59</v>
      </c>
      <c r="C14" s="43" t="s">
        <v>60</v>
      </c>
      <c r="D14" s="43" t="s">
        <v>61</v>
      </c>
      <c r="E14" s="43" t="s">
        <v>62</v>
      </c>
      <c r="F14" s="43" t="s">
        <v>63</v>
      </c>
      <c r="G14" s="44" t="s">
        <v>64</v>
      </c>
      <c r="H14" s="43" t="s">
        <v>65</v>
      </c>
      <c r="I14" s="43" t="s">
        <v>66</v>
      </c>
      <c r="J14" s="43" t="s">
        <v>67</v>
      </c>
      <c r="K14" s="43" t="s">
        <v>67</v>
      </c>
      <c r="L14" s="43" t="s">
        <v>68</v>
      </c>
      <c r="M14" s="45" t="s">
        <v>69</v>
      </c>
      <c r="N14" s="46" t="s">
        <v>70</v>
      </c>
      <c r="O14" s="184"/>
      <c r="P14" s="184"/>
      <c r="Q14" s="185"/>
    </row>
    <row r="15" spans="1:17" s="94" customFormat="1" ht="35.25" customHeight="1" x14ac:dyDescent="0.25">
      <c r="A15" s="142">
        <v>44</v>
      </c>
      <c r="B15" s="143"/>
      <c r="C15" s="143"/>
      <c r="D15" s="143">
        <v>1</v>
      </c>
      <c r="E15" s="143"/>
      <c r="F15" s="143">
        <v>4901</v>
      </c>
      <c r="G15" s="143">
        <v>3</v>
      </c>
      <c r="H15" s="143">
        <v>1</v>
      </c>
      <c r="I15" s="143">
        <v>2</v>
      </c>
      <c r="J15" s="143">
        <v>5</v>
      </c>
      <c r="K15" s="143">
        <v>2</v>
      </c>
      <c r="L15" s="143"/>
      <c r="M15" s="144">
        <v>1</v>
      </c>
      <c r="N15" s="143" t="s">
        <v>84</v>
      </c>
      <c r="O15" s="186" t="s">
        <v>85</v>
      </c>
      <c r="P15" s="186"/>
      <c r="Q15" s="145">
        <f>NP!M29</f>
        <v>15119182.6</v>
      </c>
    </row>
    <row r="16" spans="1:17" x14ac:dyDescent="0.25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9"/>
      <c r="N16" s="50"/>
      <c r="O16" s="187"/>
      <c r="P16" s="187"/>
      <c r="Q16" s="51"/>
    </row>
    <row r="17" spans="1:17" x14ac:dyDescent="0.25">
      <c r="A17" s="47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9"/>
      <c r="N17" s="50"/>
      <c r="O17" s="188"/>
      <c r="P17" s="188"/>
      <c r="Q17" s="51"/>
    </row>
    <row r="18" spans="1:17" x14ac:dyDescent="0.25">
      <c r="A18" s="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9"/>
      <c r="N18" s="50"/>
      <c r="O18" s="180"/>
      <c r="P18" s="180"/>
      <c r="Q18" s="51"/>
    </row>
    <row r="19" spans="1:17" x14ac:dyDescent="0.25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9"/>
      <c r="N19" s="50"/>
      <c r="O19" s="180"/>
      <c r="P19" s="180"/>
      <c r="Q19" s="51"/>
    </row>
    <row r="20" spans="1:17" x14ac:dyDescent="0.25">
      <c r="A20" s="47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9"/>
      <c r="N20" s="50"/>
      <c r="O20" s="180"/>
      <c r="P20" s="180"/>
      <c r="Q20" s="51"/>
    </row>
    <row r="21" spans="1:17" x14ac:dyDescent="0.25">
      <c r="A21" s="47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9"/>
      <c r="N21" s="50"/>
      <c r="O21" s="180"/>
      <c r="P21" s="180"/>
      <c r="Q21" s="51"/>
    </row>
    <row r="22" spans="1:17" x14ac:dyDescent="0.25">
      <c r="A22" s="47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9"/>
      <c r="N22" s="50"/>
      <c r="O22" s="180"/>
      <c r="P22" s="180"/>
      <c r="Q22" s="51"/>
    </row>
    <row r="23" spans="1:17" x14ac:dyDescent="0.25">
      <c r="A23" s="47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9"/>
      <c r="N23" s="50"/>
      <c r="O23" s="180"/>
      <c r="P23" s="180"/>
      <c r="Q23" s="51"/>
    </row>
    <row r="24" spans="1:17" x14ac:dyDescent="0.25">
      <c r="A24" s="47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9"/>
      <c r="N24" s="50"/>
      <c r="O24" s="180"/>
      <c r="P24" s="180"/>
      <c r="Q24" s="51"/>
    </row>
    <row r="25" spans="1:17" x14ac:dyDescent="0.25">
      <c r="A25" s="47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9"/>
      <c r="N25" s="50"/>
      <c r="O25" s="180"/>
      <c r="P25" s="180"/>
      <c r="Q25" s="51"/>
    </row>
    <row r="26" spans="1:17" x14ac:dyDescent="0.25">
      <c r="A26" s="47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9"/>
      <c r="N26" s="50"/>
      <c r="O26" s="180"/>
      <c r="P26" s="180"/>
      <c r="Q26" s="51"/>
    </row>
    <row r="27" spans="1:17" x14ac:dyDescent="0.25">
      <c r="A27" s="47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9"/>
      <c r="N27" s="50"/>
      <c r="O27" s="180"/>
      <c r="P27" s="180"/>
      <c r="Q27" s="51"/>
    </row>
    <row r="28" spans="1:17" x14ac:dyDescent="0.25">
      <c r="A28" s="47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9"/>
      <c r="N28" s="50"/>
      <c r="O28" s="180"/>
      <c r="P28" s="180"/>
      <c r="Q28" s="51"/>
    </row>
    <row r="29" spans="1:17" x14ac:dyDescent="0.25">
      <c r="A29" s="47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9"/>
      <c r="N29" s="50"/>
      <c r="O29" s="180"/>
      <c r="P29" s="180"/>
      <c r="Q29" s="51"/>
    </row>
    <row r="30" spans="1:17" x14ac:dyDescent="0.25">
      <c r="A30" s="47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9"/>
      <c r="N30" s="50"/>
      <c r="O30" s="180"/>
      <c r="P30" s="180"/>
      <c r="Q30" s="51"/>
    </row>
    <row r="31" spans="1:17" x14ac:dyDescent="0.25">
      <c r="A31" s="47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9"/>
      <c r="N31" s="50"/>
      <c r="O31" s="180"/>
      <c r="P31" s="180"/>
      <c r="Q31" s="51"/>
    </row>
    <row r="32" spans="1:17" x14ac:dyDescent="0.25">
      <c r="A32" s="47"/>
      <c r="B32" s="48"/>
      <c r="C32" s="48"/>
      <c r="D32" s="48"/>
      <c r="E32" s="48"/>
      <c r="F32" s="50"/>
      <c r="G32" s="48"/>
      <c r="H32" s="48"/>
      <c r="I32" s="48"/>
      <c r="J32" s="48"/>
      <c r="K32" s="48"/>
      <c r="L32" s="48"/>
      <c r="M32" s="49"/>
      <c r="N32" s="50"/>
      <c r="O32" s="187"/>
      <c r="P32" s="187"/>
      <c r="Q32" s="51"/>
    </row>
    <row r="33" spans="1:17" x14ac:dyDescent="0.25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9"/>
      <c r="N33" s="50"/>
      <c r="O33" s="187"/>
      <c r="P33" s="187"/>
      <c r="Q33" s="51"/>
    </row>
    <row r="34" spans="1:17" x14ac:dyDescent="0.25">
      <c r="A34" s="47"/>
      <c r="B34" s="48"/>
      <c r="C34" s="48"/>
      <c r="D34" s="48"/>
      <c r="E34" s="48"/>
      <c r="F34" s="50"/>
      <c r="G34" s="48"/>
      <c r="H34" s="48"/>
      <c r="I34" s="48"/>
      <c r="J34" s="48"/>
      <c r="K34" s="48"/>
      <c r="L34" s="48"/>
      <c r="M34" s="49"/>
      <c r="N34" s="50"/>
      <c r="O34" s="187"/>
      <c r="P34" s="187"/>
      <c r="Q34" s="51"/>
    </row>
    <row r="35" spans="1:17" x14ac:dyDescent="0.25">
      <c r="A35" s="47"/>
      <c r="B35" s="48"/>
      <c r="C35" s="48"/>
      <c r="D35" s="48"/>
      <c r="E35" s="48"/>
      <c r="F35" s="50"/>
      <c r="G35" s="48"/>
      <c r="H35" s="48"/>
      <c r="I35" s="48"/>
      <c r="J35" s="48"/>
      <c r="K35" s="48"/>
      <c r="L35" s="48"/>
      <c r="M35" s="49"/>
      <c r="N35" s="50"/>
      <c r="O35" s="187"/>
      <c r="P35" s="187"/>
      <c r="Q35" s="51"/>
    </row>
    <row r="36" spans="1:17" x14ac:dyDescent="0.25">
      <c r="A36" s="52"/>
      <c r="B36" s="53"/>
      <c r="C36" s="53"/>
      <c r="D36" s="53"/>
      <c r="E36" s="53"/>
      <c r="F36" s="54"/>
      <c r="G36" s="53"/>
      <c r="H36" s="53"/>
      <c r="I36" s="53"/>
      <c r="J36" s="53"/>
      <c r="K36" s="53"/>
      <c r="L36" s="53"/>
      <c r="M36" s="55"/>
      <c r="N36" s="56"/>
      <c r="O36" s="192"/>
      <c r="P36" s="192"/>
      <c r="Q36" s="51"/>
    </row>
    <row r="37" spans="1:17" ht="15.75" thickBot="1" x14ac:dyDescent="0.3">
      <c r="A37" s="57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8"/>
      <c r="O37" s="193"/>
      <c r="P37" s="193"/>
      <c r="Q37" s="60"/>
    </row>
    <row r="38" spans="1:17" ht="33" customHeight="1" thickBot="1" x14ac:dyDescent="0.3">
      <c r="A38" s="194" t="s">
        <v>99</v>
      </c>
      <c r="B38" s="194"/>
      <c r="C38" s="194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4"/>
      <c r="Q38" s="61">
        <f>SUM(Q15:Q37)</f>
        <v>15119182.6</v>
      </c>
    </row>
    <row r="39" spans="1:17" ht="15.75" thickBot="1" x14ac:dyDescent="0.3">
      <c r="A39" s="195"/>
      <c r="B39" s="195"/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</row>
    <row r="40" spans="1:17" ht="15.75" thickBot="1" x14ac:dyDescent="0.3">
      <c r="A40" s="189" t="s">
        <v>71</v>
      </c>
      <c r="B40" s="189"/>
      <c r="C40" s="189"/>
      <c r="D40" s="189"/>
      <c r="E40" s="189"/>
      <c r="F40" s="189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90"/>
    </row>
    <row r="41" spans="1:17" s="94" customFormat="1" ht="15.75" thickBot="1" x14ac:dyDescent="0.3">
      <c r="A41" s="191" t="str">
        <f>NP!D8</f>
        <v>ADQUISICION DEL RUBRO MEDICAMENTOS ONCOLOGICOS</v>
      </c>
      <c r="B41" s="191"/>
      <c r="C41" s="191"/>
      <c r="D41" s="191"/>
      <c r="E41" s="191"/>
      <c r="F41" s="191"/>
      <c r="G41" s="191"/>
      <c r="H41" s="191"/>
      <c r="I41" s="191"/>
      <c r="J41" s="191"/>
      <c r="K41" s="191"/>
      <c r="L41" s="191"/>
      <c r="M41" s="191"/>
      <c r="N41" s="191"/>
      <c r="O41" s="191"/>
      <c r="P41" s="191"/>
      <c r="Q41" s="191"/>
    </row>
    <row r="42" spans="1:17" s="94" customFormat="1" ht="15.75" thickBot="1" x14ac:dyDescent="0.3">
      <c r="A42" s="191"/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191"/>
      <c r="Q42" s="191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ADRIAN</cp:lastModifiedBy>
  <dcterms:created xsi:type="dcterms:W3CDTF">2021-12-21T17:55:07Z</dcterms:created>
  <dcterms:modified xsi:type="dcterms:W3CDTF">2022-01-24T14:09:01Z</dcterms:modified>
</cp:coreProperties>
</file>