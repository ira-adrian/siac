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05"/>
  <workbookPr defaultThemeVersion="124226"/>
  <xr:revisionPtr revIDLastSave="0" documentId="11_AD682C022C28513BF85084B09B2857D160132A90" xr6:coauthVersionLast="47" xr6:coauthVersionMax="47" xr10:uidLastSave="{00000000-0000-0000-0000-000000000000}"/>
  <bookViews>
    <workbookView xWindow="-105" yWindow="-105" windowWidth="20640" windowHeight="11760" tabRatio="500" xr2:uid="{00000000-000D-0000-FFFF-FFFF00000000}"/>
  </bookViews>
  <sheets>
    <sheet name="Necesidades Trimestrales" sheetId="1" r:id="rId1"/>
    <sheet name=" NotaPedido" sheetId="2" state="hidden" r:id="rId2"/>
    <sheet name="Autor_Gastar" sheetId="3" state="hidden" r:id="rId3"/>
  </sheets>
  <definedNames>
    <definedName name="_xlnm.Print_Area" localSheetId="1">' NotaPedido'!$A$1:$K$14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5" i="1"/>
  <c r="A19" i="3"/>
  <c r="J13" i="2"/>
  <c r="K13" i="2"/>
  <c r="I13" i="2"/>
  <c r="G7" i="3" l="1"/>
  <c r="Q16" i="3"/>
  <c r="A10" i="3"/>
  <c r="G6" i="3"/>
  <c r="D1" i="3"/>
  <c r="I10" i="1"/>
  <c r="I11" i="1" l="1"/>
  <c r="D7" i="2"/>
  <c r="D3" i="2"/>
  <c r="G4" i="3" s="1"/>
  <c r="D4" i="2"/>
  <c r="G5" i="3" s="1"/>
  <c r="K12" i="2" l="1"/>
  <c r="J12" i="2"/>
  <c r="I12" i="2"/>
  <c r="J14" i="2" l="1"/>
</calcChain>
</file>

<file path=xl/sharedStrings.xml><?xml version="1.0" encoding="utf-8"?>
<sst xmlns="http://schemas.openxmlformats.org/spreadsheetml/2006/main" count="93" uniqueCount="79">
  <si>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</si>
  <si>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</si>
  <si>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</si>
  <si>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</si>
  <si>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</si>
  <si>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</si>
  <si>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</si>
  <si>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</si>
  <si>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</si>
  <si>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</si>
  <si>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</si>
  <si>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</si>
  <si>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</si>
  <si>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</si>
  <si>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</si>
  <si>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</si>
  <si>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3.5.4-5098.1</t>
  </si>
  <si>
    <t>BANCOS Y SEGUROS</t>
  </si>
  <si>
    <t>3.5.4.</t>
  </si>
  <si>
    <t>SEGURO ACCIDENTE PERSONAL; DESCRIPCION: SEGURO ACCIDENTES PERSONALES</t>
  </si>
  <si>
    <t>UNIDAD</t>
  </si>
  <si>
    <t>Especificidades Item N° 1:</t>
  </si>
  <si>
    <t xml:space="preserve">SEGURO INTEGRAL CONTRA ACCIDENTES PERSONALES Y SEGURO DE VIDA, COBERTURA NECESARIA: MUERTE POR ACCIDENTE, INCAPACIDAD TOTAL O PERMANENTE POR ACCIDENTE, ASISTENCIA MEDICA Y FARMACEUTICA, AYUDA DE GASTOS POR SEPELIO ACCIDENTAL, SEGURO COLECTIVO DE SEPELIO, ACCIDENTE CON ARMA DE FUEGO, POR 12 MESES PARA  UN TOTAL DE 363 ALUMNOS, COBERTURA A NIVEL NACIONAL POR 24 HORAS </t>
  </si>
  <si>
    <t>Calidad Minima esperada</t>
  </si>
  <si>
    <t xml:space="preserve">QUE SE CUMPLA CON EL SERVICIO SOLICITADO </t>
  </si>
  <si>
    <t>Mantenimiento</t>
  </si>
  <si>
    <t>30 DIAS</t>
  </si>
  <si>
    <t>Garantia</t>
  </si>
  <si>
    <t>12 MESES</t>
  </si>
  <si>
    <t>NOTA DE PEDIDO</t>
  </si>
  <si>
    <t>N°</t>
  </si>
  <si>
    <t>28/2021</t>
  </si>
  <si>
    <t xml:space="preserve">JURISDICCIÓN: </t>
  </si>
  <si>
    <t>SAF:</t>
  </si>
  <si>
    <t>UNIDAD EJECUTORA:</t>
  </si>
  <si>
    <t xml:space="preserve">Policia de la Provincia de Catamarca </t>
  </si>
  <si>
    <t xml:space="preserve">DEPENDENCIA SOLICITANTE: </t>
  </si>
  <si>
    <t>División Policia Adicional</t>
  </si>
  <si>
    <t>PERIODO UTILIZACIÓN:</t>
  </si>
  <si>
    <t>OBJETO:</t>
  </si>
  <si>
    <t>Adquisición de municiones destinadas a la División Policia Adicional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</si>
  <si>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</si>
  <si>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</si>
  <si>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</si>
  <si>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</si>
  <si>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</si>
  <si>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</si>
  <si>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</si>
  <si>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2.7.3-2899.1</t>
  </si>
  <si>
    <t>CARTUCHOS DE BALA; PRESENTACION: CAJA X 50, CALIBRE: 9 X 19 mm</t>
  </si>
  <si>
    <t>SI</t>
  </si>
  <si>
    <t>2.7.3-2941.3</t>
  </si>
  <si>
    <t>CARTUCHOS DE ESCOPETA; CALIBRE: 12/70, PRESENTACION: CAJA X 25</t>
  </si>
  <si>
    <t>Costo total estimado: son Pesos  Un Millon Ciento trece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</si>
  <si>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</si>
  <si>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</si>
  <si>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</si>
  <si>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</si>
  <si>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</si>
  <si>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</si>
  <si>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</si>
  <si>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</si>
  <si>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</si>
  <si>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</si>
  <si>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</si>
  <si>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</si>
  <si>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</si>
  <si>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</si>
  <si>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</si>
  <si>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</si>
  <si>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</si>
  <si>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</si>
  <si>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</si>
  <si>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</si>
  <si>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</si>
  <si>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1.3</t>
  </si>
  <si>
    <t>MATERIAL DE GUERRA</t>
  </si>
  <si>
    <t>TOTAL DE PESOS: Un Millon Ciento trece Mil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</si>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</sst>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_ [$$-2C0A]\ * #,##0.00_ ;_ [$$-2C0A]\ * \-#,##0.00_ ;_ [$$-2C0A]\ * &quot;-&quot;??_ ;_ @_ "/>
    <numFmt numFmtId="169" formatCode="dd\-mm\-yy;@"/>
  </numFmts>
  <fonts count="23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u/>
      <sz val="10"/>
      <name val="Century Gothic"/>
      <family val="2"/>
    </font>
    <font>
      <sz val="1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0"/>
      <color rgb="FF00000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35">
    <xf numFmtId="0" fontId="0" fillId="0" borderId="0" xfId="0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1" fillId="0" borderId="13" xfId="0" applyFont="1" applyBorder="1" applyAlignment="1">
      <alignment horizontal="right"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 wrapText="1"/>
    </xf>
    <xf numFmtId="166" fontId="7" fillId="0" borderId="22" xfId="1" applyNumberFormat="1" applyFont="1" applyFill="1" applyBorder="1" applyAlignment="1" applyProtection="1">
      <alignment horizontal="right" vertical="center" wrapText="1"/>
    </xf>
    <xf numFmtId="3" fontId="7" fillId="0" borderId="22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7" fillId="0" borderId="4" xfId="0" applyFont="1" applyFill="1" applyBorder="1"/>
    <xf numFmtId="0" fontId="7" fillId="0" borderId="23" xfId="0" applyFont="1" applyFill="1" applyBorder="1" applyAlignment="1">
      <alignment horizontal="center" vertical="center"/>
    </xf>
    <xf numFmtId="3" fontId="14" fillId="0" borderId="0" xfId="0" applyNumberFormat="1" applyFont="1" applyBorder="1" applyAlignment="1"/>
    <xf numFmtId="169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Border="1"/>
    <xf numFmtId="0" fontId="7" fillId="0" borderId="13" xfId="0" applyFont="1" applyBorder="1"/>
    <xf numFmtId="0" fontId="7" fillId="0" borderId="37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left"/>
    </xf>
    <xf numFmtId="0" fontId="7" fillId="0" borderId="38" xfId="0" applyFont="1" applyBorder="1"/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168" fontId="7" fillId="0" borderId="47" xfId="4" applyNumberFormat="1" applyFont="1" applyBorder="1" applyAlignment="1" applyProtection="1">
      <alignment horizontal="center" vertical="center"/>
    </xf>
    <xf numFmtId="166" fontId="9" fillId="0" borderId="48" xfId="0" applyNumberFormat="1" applyFont="1" applyBorder="1" applyAlignment="1">
      <alignment horizontal="center" vertical="center"/>
    </xf>
    <xf numFmtId="166" fontId="10" fillId="0" borderId="22" xfId="1" applyNumberFormat="1" applyFont="1" applyFill="1" applyBorder="1" applyAlignment="1" applyProtection="1">
      <alignment horizontal="right" vertical="center" wrapText="1"/>
    </xf>
    <xf numFmtId="167" fontId="2" fillId="0" borderId="0" xfId="0" applyNumberFormat="1" applyFont="1" applyBorder="1" applyAlignment="1">
      <alignment vertical="center"/>
    </xf>
    <xf numFmtId="0" fontId="12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 wrapText="1"/>
    </xf>
    <xf numFmtId="0" fontId="7" fillId="0" borderId="50" xfId="0" applyFont="1" applyFill="1" applyBorder="1" applyAlignment="1">
      <alignment horizontal="left" vertical="center" wrapText="1"/>
    </xf>
    <xf numFmtId="0" fontId="7" fillId="0" borderId="31" xfId="0" applyFont="1" applyFill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/>
    </xf>
    <xf numFmtId="0" fontId="12" fillId="0" borderId="20" xfId="0" applyFont="1" applyFill="1" applyBorder="1" applyAlignment="1">
      <alignment horizontal="left" vertical="center" wrapText="1" indent="1"/>
    </xf>
    <xf numFmtId="0" fontId="14" fillId="0" borderId="1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 indent="1"/>
    </xf>
    <xf numFmtId="0" fontId="13" fillId="0" borderId="18" xfId="0" applyFont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 indent="1"/>
    </xf>
    <xf numFmtId="0" fontId="15" fillId="0" borderId="35" xfId="0" applyFont="1" applyBorder="1" applyAlignment="1"/>
    <xf numFmtId="0" fontId="7" fillId="0" borderId="30" xfId="0" applyFont="1" applyBorder="1" applyAlignment="1">
      <alignment horizontal="center"/>
    </xf>
    <xf numFmtId="3" fontId="14" fillId="0" borderId="31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/>
    <xf numFmtId="0" fontId="15" fillId="0" borderId="14" xfId="0" applyFont="1" applyBorder="1" applyAlignment="1">
      <alignment horizontal="left" indent="1"/>
    </xf>
    <xf numFmtId="0" fontId="7" fillId="0" borderId="16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15" fillId="0" borderId="34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5" fillId="0" borderId="33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15" fillId="0" borderId="36" xfId="0" applyFont="1" applyBorder="1" applyAlignment="1">
      <alignment horizontal="left" vertical="center" wrapText="1" indent="1"/>
    </xf>
    <xf numFmtId="0" fontId="9" fillId="0" borderId="3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7" fillId="0" borderId="45" xfId="0" applyFont="1" applyFill="1" applyBorder="1" applyAlignment="1">
      <alignment horizontal="left" vertical="center" wrapText="1"/>
    </xf>
    <xf numFmtId="0" fontId="15" fillId="0" borderId="48" xfId="0" applyFont="1" applyFill="1" applyBorder="1" applyAlignment="1">
      <alignment horizontal="left" vertical="center" wrapText="1" indent="1"/>
    </xf>
    <xf numFmtId="0" fontId="14" fillId="0" borderId="16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7" fillId="0" borderId="39" xfId="0" applyFont="1" applyBorder="1" applyAlignment="1"/>
    <xf numFmtId="0" fontId="14" fillId="0" borderId="30" xfId="0" applyFont="1" applyBorder="1" applyAlignment="1">
      <alignment vertical="center" wrapText="1"/>
    </xf>
    <xf numFmtId="0" fontId="14" fillId="0" borderId="4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7" fillId="4" borderId="0" xfId="0" applyFont="1" applyFill="1"/>
    <xf numFmtId="0" fontId="22" fillId="4" borderId="0" xfId="0" applyFont="1" applyFill="1"/>
    <xf numFmtId="0" fontId="16" fillId="4" borderId="0" xfId="0" applyFont="1" applyFill="1" applyBorder="1" applyAlignment="1">
      <alignment horizontal="center"/>
    </xf>
    <xf numFmtId="0" fontId="5" fillId="4" borderId="0" xfId="0" applyFont="1" applyFill="1"/>
    <xf numFmtId="0" fontId="17" fillId="4" borderId="0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horizontal="left" wrapText="1" indent="1"/>
    </xf>
    <xf numFmtId="0" fontId="10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center" wrapText="1"/>
    </xf>
    <xf numFmtId="0" fontId="18" fillId="4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19" fillId="4" borderId="25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/>
    </xf>
    <xf numFmtId="0" fontId="7" fillId="4" borderId="24" xfId="0" applyFont="1" applyFill="1" applyBorder="1"/>
    <xf numFmtId="0" fontId="7" fillId="4" borderId="3" xfId="0" applyFont="1" applyFill="1" applyBorder="1" applyAlignment="1">
      <alignment wrapText="1"/>
    </xf>
    <xf numFmtId="0" fontId="21" fillId="4" borderId="24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wrapText="1"/>
    </xf>
    <xf numFmtId="0" fontId="21" fillId="4" borderId="4" xfId="0" applyFont="1" applyFill="1" applyBorder="1" applyAlignment="1">
      <alignment horizontal="center" vertical="center" wrapText="1"/>
    </xf>
    <xf numFmtId="1" fontId="20" fillId="4" borderId="3" xfId="0" applyNumberFormat="1" applyFont="1" applyFill="1" applyBorder="1" applyAlignment="1">
      <alignment horizontal="center" vertical="center" wrapText="1"/>
    </xf>
    <xf numFmtId="168" fontId="21" fillId="4" borderId="3" xfId="1" applyNumberFormat="1" applyFont="1" applyFill="1" applyBorder="1" applyAlignment="1" applyProtection="1">
      <alignment horizontal="right" vertical="center" wrapText="1"/>
    </xf>
    <xf numFmtId="168" fontId="20" fillId="4" borderId="51" xfId="1" applyNumberFormat="1" applyFont="1" applyFill="1" applyBorder="1" applyAlignment="1" applyProtection="1">
      <alignment horizontal="right" vertical="center" wrapText="1"/>
    </xf>
    <xf numFmtId="168" fontId="5" fillId="4" borderId="0" xfId="1" applyNumberFormat="1" applyFont="1" applyFill="1"/>
    <xf numFmtId="168" fontId="9" fillId="4" borderId="17" xfId="0" applyNumberFormat="1" applyFont="1" applyFill="1" applyBorder="1"/>
    <xf numFmtId="0" fontId="6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7" fillId="4" borderId="0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indent="3"/>
    </xf>
    <xf numFmtId="0" fontId="7" fillId="4" borderId="0" xfId="0" applyFont="1" applyFill="1" applyBorder="1"/>
    <xf numFmtId="0" fontId="7" fillId="4" borderId="9" xfId="0" applyFont="1" applyFill="1" applyBorder="1"/>
    <xf numFmtId="0" fontId="7" fillId="4" borderId="0" xfId="0" applyFont="1" applyFill="1" applyBorder="1" applyAlignment="1">
      <alignment horizontal="justify" wrapText="1"/>
    </xf>
    <xf numFmtId="0" fontId="7" fillId="4" borderId="9" xfId="0" applyFont="1" applyFill="1" applyBorder="1" applyAlignment="1">
      <alignment horizontal="justify" wrapText="1"/>
    </xf>
    <xf numFmtId="0" fontId="7" fillId="4" borderId="8" xfId="0" applyFont="1" applyFill="1" applyBorder="1" applyAlignment="1">
      <alignment horizontal="left" indent="3"/>
    </xf>
    <xf numFmtId="0" fontId="7" fillId="4" borderId="0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6" fillId="4" borderId="8" xfId="0" applyFont="1" applyFill="1" applyBorder="1" applyAlignment="1"/>
    <xf numFmtId="0" fontId="7" fillId="4" borderId="0" xfId="0" applyFont="1" applyFill="1" applyBorder="1" applyAlignment="1">
      <alignment horizontal="left" wrapText="1"/>
    </xf>
    <xf numFmtId="0" fontId="7" fillId="4" borderId="9" xfId="0" applyFont="1" applyFill="1" applyBorder="1" applyAlignment="1">
      <alignment horizontal="left" wrapText="1"/>
    </xf>
    <xf numFmtId="0" fontId="7" fillId="4" borderId="0" xfId="0" applyFont="1" applyFill="1" applyBorder="1" applyAlignment="1">
      <alignment horizontal="center" wrapText="1"/>
    </xf>
    <xf numFmtId="0" fontId="7" fillId="4" borderId="9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 indent="3"/>
    </xf>
    <xf numFmtId="0" fontId="7" fillId="4" borderId="11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7"/>
  <sheetViews>
    <sheetView tabSelected="1" topLeftCell="A5" zoomScale="82" zoomScaleNormal="82" workbookViewId="0">
      <selection activeCell="A5" sqref="A1:XFD1048576"/>
    </sheetView>
  </sheetViews>
  <sheetFormatPr defaultColWidth="11" defaultRowHeight="12.75"/>
  <cols>
    <col min="1" max="1" width="4.5703125" style="87" customWidth="1"/>
    <col min="2" max="2" width="12.85546875" style="87" customWidth="1"/>
    <col min="3" max="3" width="32.42578125" style="87" customWidth="1"/>
    <col min="4" max="4" width="8.42578125" style="87" customWidth="1"/>
    <col min="5" max="5" width="79" style="87" customWidth="1"/>
    <col min="6" max="6" width="11" style="87"/>
    <col min="7" max="7" width="12.7109375" style="87" customWidth="1"/>
    <col min="8" max="8" width="13.85546875" style="87" customWidth="1"/>
    <col min="9" max="9" width="18.5703125" style="87" customWidth="1"/>
    <col min="10" max="10" width="12.85546875" style="87" bestFit="1" customWidth="1"/>
    <col min="11" max="16384" width="11" style="87"/>
  </cols>
  <sheetData>
    <row r="2" spans="1:10" ht="28.5">
      <c r="A2" s="84"/>
      <c r="B2" s="86" t="s">
        <v>0</v>
      </c>
      <c r="C2" s="86"/>
      <c r="D2" s="86"/>
      <c r="E2" s="86"/>
      <c r="F2" s="86"/>
      <c r="G2" s="86"/>
      <c r="H2" s="86"/>
      <c r="I2" s="84"/>
    </row>
    <row r="3" spans="1:10" ht="13.5">
      <c r="A3" s="84"/>
      <c r="B3" s="84"/>
      <c r="C3" s="84"/>
      <c r="D3" s="84"/>
      <c r="E3" s="84"/>
      <c r="F3" s="84"/>
      <c r="G3" s="84"/>
      <c r="H3" s="84"/>
      <c r="I3" s="84"/>
    </row>
    <row r="4" spans="1:10" ht="18" customHeight="1">
      <c r="A4" s="88" t="s">
        <v>1</v>
      </c>
      <c r="B4" s="88"/>
      <c r="C4" s="89" t="s">
        <v>2</v>
      </c>
      <c r="D4" s="89"/>
      <c r="E4" s="89"/>
      <c r="F4" s="90"/>
      <c r="G4" s="91"/>
      <c r="H4" s="90"/>
      <c r="I4" s="84"/>
    </row>
    <row r="5" spans="1:10" ht="18" customHeight="1">
      <c r="A5" s="88" t="s">
        <v>3</v>
      </c>
      <c r="B5" s="88"/>
      <c r="C5" s="89" t="s">
        <v>4</v>
      </c>
      <c r="D5" s="89"/>
      <c r="E5" s="89"/>
      <c r="F5" s="90"/>
      <c r="G5" s="91"/>
      <c r="H5" s="90"/>
      <c r="I5" s="84"/>
    </row>
    <row r="6" spans="1:10" ht="16.5" customHeight="1">
      <c r="A6" s="88" t="s">
        <v>5</v>
      </c>
      <c r="B6" s="88"/>
      <c r="C6" s="92">
        <v>2021</v>
      </c>
      <c r="D6" s="93"/>
      <c r="E6" s="93"/>
      <c r="F6" s="90"/>
      <c r="G6" s="91"/>
      <c r="H6" s="90"/>
      <c r="I6" s="84"/>
    </row>
    <row r="7" spans="1:10" ht="16.5" customHeight="1">
      <c r="A7" s="88" t="s">
        <v>6</v>
      </c>
      <c r="B7" s="88"/>
      <c r="C7" s="92">
        <v>4</v>
      </c>
      <c r="D7" s="93"/>
      <c r="E7" s="93"/>
      <c r="F7" s="90"/>
      <c r="G7" s="91"/>
      <c r="H7" s="90"/>
      <c r="I7" s="84"/>
    </row>
    <row r="8" spans="1:10" ht="14.25" thickBot="1">
      <c r="A8" s="84"/>
      <c r="B8" s="90"/>
      <c r="C8" s="91"/>
      <c r="D8" s="90"/>
      <c r="E8" s="90"/>
      <c r="F8" s="90"/>
      <c r="G8" s="91"/>
      <c r="H8" s="90"/>
      <c r="I8" s="84"/>
    </row>
    <row r="9" spans="1:10" ht="39.75" thickTop="1" thickBot="1">
      <c r="A9" s="94" t="s">
        <v>7</v>
      </c>
      <c r="B9" s="95" t="s">
        <v>8</v>
      </c>
      <c r="C9" s="96" t="s">
        <v>9</v>
      </c>
      <c r="D9" s="94" t="s">
        <v>10</v>
      </c>
      <c r="E9" s="96" t="s">
        <v>11</v>
      </c>
      <c r="F9" s="97" t="s">
        <v>12</v>
      </c>
      <c r="G9" s="98" t="s">
        <v>13</v>
      </c>
      <c r="H9" s="99" t="s">
        <v>14</v>
      </c>
      <c r="I9" s="99" t="s">
        <v>15</v>
      </c>
    </row>
    <row r="10" spans="1:10" ht="31.5" customHeight="1" thickBot="1">
      <c r="A10" s="100">
        <v>1</v>
      </c>
      <c r="B10" s="101" t="s">
        <v>16</v>
      </c>
      <c r="C10" s="102" t="s">
        <v>17</v>
      </c>
      <c r="D10" s="103" t="s">
        <v>18</v>
      </c>
      <c r="E10" s="104" t="s">
        <v>19</v>
      </c>
      <c r="F10" s="105" t="s">
        <v>20</v>
      </c>
      <c r="G10" s="106">
        <v>1</v>
      </c>
      <c r="H10" s="107">
        <f>I15</f>
        <v>479160</v>
      </c>
      <c r="I10" s="108">
        <f>G10*H10</f>
        <v>479160</v>
      </c>
      <c r="J10" s="109"/>
    </row>
    <row r="11" spans="1:10" ht="14.25" thickBot="1">
      <c r="A11" s="84"/>
      <c r="B11" s="84"/>
      <c r="C11" s="84"/>
      <c r="D11" s="84"/>
      <c r="E11" s="84"/>
      <c r="F11" s="84"/>
      <c r="G11" s="84"/>
      <c r="H11" s="84"/>
      <c r="I11" s="110">
        <f>SUM(I10:I10)</f>
        <v>479160</v>
      </c>
    </row>
    <row r="12" spans="1:10" ht="13.5">
      <c r="A12" s="84"/>
      <c r="B12" s="111" t="s">
        <v>21</v>
      </c>
      <c r="C12" s="112"/>
      <c r="D12" s="112"/>
      <c r="E12" s="113"/>
      <c r="F12" s="84"/>
      <c r="G12" s="84"/>
      <c r="H12" s="84"/>
      <c r="I12" s="84"/>
    </row>
    <row r="13" spans="1:10" ht="13.5">
      <c r="A13" s="84"/>
      <c r="B13" s="114"/>
      <c r="C13" s="115" t="s">
        <v>22</v>
      </c>
      <c r="D13" s="115"/>
      <c r="E13" s="116"/>
      <c r="F13" s="84"/>
      <c r="G13" s="84"/>
      <c r="H13" s="84"/>
      <c r="I13" s="84"/>
    </row>
    <row r="14" spans="1:10" ht="13.5">
      <c r="A14" s="84"/>
      <c r="B14" s="117"/>
      <c r="C14" s="115"/>
      <c r="D14" s="115"/>
      <c r="E14" s="116"/>
      <c r="F14" s="84"/>
      <c r="G14" s="84"/>
      <c r="H14" s="84"/>
      <c r="I14" s="84"/>
    </row>
    <row r="15" spans="1:10" ht="13.5" customHeight="1">
      <c r="A15" s="84"/>
      <c r="B15" s="117"/>
      <c r="C15" s="115"/>
      <c r="D15" s="115"/>
      <c r="E15" s="116"/>
      <c r="F15" s="84"/>
      <c r="G15" s="84"/>
      <c r="H15" s="84"/>
      <c r="I15" s="85">
        <f>(75+35)*12*363</f>
        <v>479160</v>
      </c>
    </row>
    <row r="16" spans="1:10" ht="13.5">
      <c r="A16" s="84"/>
      <c r="B16" s="114"/>
      <c r="C16" s="118"/>
      <c r="D16" s="118"/>
      <c r="E16" s="119"/>
      <c r="F16" s="84"/>
      <c r="G16" s="84"/>
      <c r="H16" s="84"/>
      <c r="I16" s="84"/>
    </row>
    <row r="17" spans="1:10" ht="13.5">
      <c r="A17" s="84"/>
      <c r="B17" s="117"/>
      <c r="C17" s="120"/>
      <c r="D17" s="120"/>
      <c r="E17" s="121"/>
      <c r="F17" s="84"/>
      <c r="G17" s="84"/>
      <c r="H17" s="84"/>
      <c r="I17" s="84"/>
      <c r="J17" s="84"/>
    </row>
    <row r="18" spans="1:10" ht="6.75" customHeight="1">
      <c r="A18" s="84"/>
      <c r="B18" s="122"/>
      <c r="C18" s="123"/>
      <c r="D18" s="123"/>
      <c r="E18" s="124"/>
      <c r="F18" s="84"/>
      <c r="G18" s="84"/>
      <c r="H18" s="84"/>
      <c r="I18" s="84"/>
      <c r="J18" s="84"/>
    </row>
    <row r="19" spans="1:10" ht="13.5">
      <c r="A19" s="84"/>
      <c r="B19" s="125" t="s">
        <v>23</v>
      </c>
      <c r="C19" s="118"/>
      <c r="D19" s="118"/>
      <c r="E19" s="119"/>
      <c r="F19" s="84"/>
      <c r="G19" s="84"/>
      <c r="H19" s="84"/>
      <c r="I19" s="84"/>
    </row>
    <row r="20" spans="1:10" ht="13.5" customHeight="1">
      <c r="A20" s="84"/>
      <c r="B20" s="122"/>
      <c r="C20" s="126" t="s">
        <v>24</v>
      </c>
      <c r="D20" s="126"/>
      <c r="E20" s="127"/>
      <c r="F20" s="84"/>
      <c r="G20" s="84"/>
      <c r="H20" s="84"/>
      <c r="I20" s="84"/>
    </row>
    <row r="21" spans="1:10" ht="13.5">
      <c r="A21" s="84"/>
      <c r="B21" s="125" t="s">
        <v>25</v>
      </c>
      <c r="C21" s="128"/>
      <c r="D21" s="128"/>
      <c r="E21" s="129"/>
      <c r="F21" s="84"/>
      <c r="G21" s="84"/>
      <c r="H21" s="84"/>
      <c r="I21" s="84"/>
    </row>
    <row r="22" spans="1:10" ht="13.5">
      <c r="A22" s="84"/>
      <c r="B22" s="122"/>
      <c r="C22" s="126" t="s">
        <v>26</v>
      </c>
      <c r="D22" s="126"/>
      <c r="E22" s="127"/>
      <c r="F22" s="84"/>
      <c r="G22" s="84"/>
      <c r="H22" s="84"/>
      <c r="I22" s="84"/>
    </row>
    <row r="23" spans="1:10" ht="13.5">
      <c r="A23" s="84"/>
      <c r="B23" s="125" t="s">
        <v>27</v>
      </c>
      <c r="C23" s="118"/>
      <c r="D23" s="118"/>
      <c r="E23" s="119"/>
      <c r="F23" s="84"/>
      <c r="G23" s="84"/>
      <c r="H23" s="84"/>
      <c r="I23" s="84"/>
    </row>
    <row r="24" spans="1:10" ht="13.5">
      <c r="A24" s="84"/>
      <c r="B24" s="117"/>
      <c r="C24" s="130" t="s">
        <v>28</v>
      </c>
      <c r="D24" s="130"/>
      <c r="E24" s="131"/>
      <c r="F24" s="84"/>
      <c r="G24" s="84"/>
      <c r="H24" s="84"/>
      <c r="I24" s="84"/>
    </row>
    <row r="25" spans="1:10" ht="14.25" thickBot="1">
      <c r="A25" s="84"/>
      <c r="B25" s="132"/>
      <c r="C25" s="133"/>
      <c r="D25" s="133"/>
      <c r="E25" s="134"/>
      <c r="F25" s="84"/>
      <c r="G25" s="84"/>
      <c r="H25" s="84"/>
      <c r="I25" s="84"/>
    </row>
    <row r="26" spans="1:10" ht="13.5">
      <c r="A26" s="84"/>
      <c r="B26" s="118"/>
      <c r="C26" s="118"/>
      <c r="D26" s="118"/>
      <c r="E26" s="118"/>
      <c r="F26" s="84"/>
      <c r="G26" s="84"/>
      <c r="H26" s="84"/>
      <c r="I26" s="84"/>
    </row>
    <row r="27" spans="1:10" ht="13.5">
      <c r="A27" s="84"/>
      <c r="B27" s="84"/>
      <c r="C27" s="84"/>
      <c r="D27" s="84"/>
      <c r="E27" s="84"/>
      <c r="F27" s="84"/>
      <c r="G27" s="84"/>
      <c r="H27" s="84"/>
      <c r="I27" s="84"/>
    </row>
  </sheetData>
  <mergeCells count="12">
    <mergeCell ref="C24:E24"/>
    <mergeCell ref="A6:B6"/>
    <mergeCell ref="A7:B7"/>
    <mergeCell ref="B2:H2"/>
    <mergeCell ref="A4:B4"/>
    <mergeCell ref="C4:E4"/>
    <mergeCell ref="A5:B5"/>
    <mergeCell ref="C5:E5"/>
    <mergeCell ref="C18:E18"/>
    <mergeCell ref="C22:E22"/>
    <mergeCell ref="C20:E20"/>
    <mergeCell ref="C13:E1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A14" sqref="A14:I14"/>
    </sheetView>
  </sheetViews>
  <sheetFormatPr defaultColWidth="9.140625" defaultRowHeight="12.75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5.85546875" style="1" customWidth="1"/>
    <col min="13" max="13" width="13.5703125" style="1" bestFit="1" customWidth="1"/>
    <col min="14" max="14" width="5.85546875" style="1" customWidth="1"/>
    <col min="15" max="15" width="12.5703125" style="1" customWidth="1"/>
    <col min="16" max="1024" width="9.140625" style="1"/>
  </cols>
  <sheetData>
    <row r="1" spans="1:13" ht="18" customHeight="1">
      <c r="A1" s="51" t="s">
        <v>29</v>
      </c>
      <c r="B1" s="51"/>
      <c r="C1" s="51"/>
      <c r="D1" s="51"/>
      <c r="E1" s="51"/>
      <c r="F1" s="51"/>
      <c r="G1" s="51"/>
      <c r="H1" s="51"/>
      <c r="I1" s="51"/>
      <c r="J1" s="4" t="s">
        <v>30</v>
      </c>
      <c r="K1" s="5" t="s">
        <v>31</v>
      </c>
    </row>
    <row r="2" spans="1:13" ht="18.75" customHeight="1" thickBot="1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3" ht="18.75" customHeight="1" thickBot="1">
      <c r="A3" s="52" t="s">
        <v>32</v>
      </c>
      <c r="B3" s="52"/>
      <c r="C3" s="52"/>
      <c r="D3" s="53" t="str">
        <f>'Necesidades Trimestrales'!C4</f>
        <v>90 - Ministerio de Seguridad</v>
      </c>
      <c r="E3" s="53"/>
      <c r="F3" s="53"/>
      <c r="G3" s="53"/>
      <c r="H3" s="53"/>
      <c r="I3" s="53"/>
      <c r="J3" s="53"/>
      <c r="K3" s="53"/>
    </row>
    <row r="4" spans="1:13" ht="18.75" customHeight="1" thickBot="1">
      <c r="A4" s="54" t="s">
        <v>33</v>
      </c>
      <c r="B4" s="54"/>
      <c r="C4" s="54"/>
      <c r="D4" s="53" t="str">
        <f>'Necesidades Trimestrales'!C5</f>
        <v>7 - Direccion Provincial de Administracion de la Policia de Catamarca</v>
      </c>
      <c r="E4" s="53"/>
      <c r="F4" s="53"/>
      <c r="G4" s="53"/>
      <c r="H4" s="53"/>
      <c r="I4" s="53"/>
      <c r="J4" s="53"/>
      <c r="K4" s="53"/>
    </row>
    <row r="5" spans="1:13" ht="18.75" customHeight="1" thickBot="1">
      <c r="A5" s="54" t="s">
        <v>34</v>
      </c>
      <c r="B5" s="54"/>
      <c r="C5" s="54"/>
      <c r="D5" s="53" t="s">
        <v>35</v>
      </c>
      <c r="E5" s="53"/>
      <c r="F5" s="53"/>
      <c r="G5" s="53"/>
      <c r="H5" s="53"/>
      <c r="I5" s="53"/>
      <c r="J5" s="53"/>
      <c r="K5" s="53"/>
    </row>
    <row r="6" spans="1:13" ht="16.5" customHeight="1">
      <c r="A6" s="52" t="s">
        <v>36</v>
      </c>
      <c r="B6" s="52"/>
      <c r="C6" s="52"/>
      <c r="D6" s="53" t="s">
        <v>37</v>
      </c>
      <c r="E6" s="53"/>
      <c r="F6" s="53"/>
      <c r="G6" s="53"/>
      <c r="H6" s="53"/>
      <c r="I6" s="53"/>
      <c r="J6" s="53"/>
      <c r="K6" s="53"/>
    </row>
    <row r="7" spans="1:13" ht="16.5" customHeight="1">
      <c r="A7" s="54" t="s">
        <v>38</v>
      </c>
      <c r="B7" s="54"/>
      <c r="C7" s="54"/>
      <c r="D7" s="55" t="str">
        <f>'Necesidades Trimestrales'!C7 &amp; "° Trimestre - Año " &amp; 'Necesidades Trimestrales'!C6</f>
        <v>4° Trimestre - Año 2021</v>
      </c>
      <c r="E7" s="55"/>
      <c r="F7" s="55"/>
      <c r="G7" s="55"/>
      <c r="H7" s="55"/>
      <c r="I7" s="55"/>
      <c r="J7" s="55"/>
      <c r="K7" s="55"/>
    </row>
    <row r="8" spans="1:13" ht="16.5" customHeight="1">
      <c r="A8" s="46" t="s">
        <v>39</v>
      </c>
      <c r="B8" s="46"/>
      <c r="C8" s="46"/>
      <c r="D8" s="47" t="s">
        <v>40</v>
      </c>
      <c r="E8" s="47"/>
      <c r="F8" s="47"/>
      <c r="G8" s="47"/>
      <c r="H8" s="47"/>
      <c r="I8" s="47"/>
      <c r="J8" s="47"/>
      <c r="K8" s="47"/>
    </row>
    <row r="9" spans="1:13" ht="17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3" ht="18.75" customHeight="1">
      <c r="A10" s="48" t="s">
        <v>41</v>
      </c>
      <c r="B10" s="49" t="s">
        <v>42</v>
      </c>
      <c r="C10" s="49" t="s">
        <v>43</v>
      </c>
      <c r="D10" s="49"/>
      <c r="E10" s="49"/>
      <c r="F10" s="49"/>
      <c r="G10" s="49"/>
      <c r="H10" s="49" t="s">
        <v>44</v>
      </c>
      <c r="I10" s="49" t="s">
        <v>45</v>
      </c>
      <c r="J10" s="49" t="s">
        <v>46</v>
      </c>
      <c r="K10" s="50" t="s">
        <v>47</v>
      </c>
    </row>
    <row r="11" spans="1:13" ht="24" customHeight="1" thickBot="1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50"/>
    </row>
    <row r="12" spans="1:13" ht="24.75" customHeight="1">
      <c r="A12" s="10">
        <v>1</v>
      </c>
      <c r="B12" s="11" t="s">
        <v>48</v>
      </c>
      <c r="C12" s="43" t="s">
        <v>49</v>
      </c>
      <c r="D12" s="44" t="s">
        <v>49</v>
      </c>
      <c r="E12" s="44" t="s">
        <v>49</v>
      </c>
      <c r="F12" s="44" t="s">
        <v>49</v>
      </c>
      <c r="G12" s="45" t="s">
        <v>49</v>
      </c>
      <c r="H12" s="12" t="s">
        <v>50</v>
      </c>
      <c r="I12" s="13" t="str">
        <f>'Necesidades Trimestrales'!F10</f>
        <v>UNIDAD</v>
      </c>
      <c r="J12" s="39">
        <f>'Necesidades Trimestrales'!H10</f>
        <v>479160</v>
      </c>
      <c r="K12" s="15">
        <f>'Necesidades Trimestrales'!G10</f>
        <v>1</v>
      </c>
      <c r="M12" s="40"/>
    </row>
    <row r="13" spans="1:13" ht="28.5" customHeight="1" thickBot="1">
      <c r="A13" s="16">
        <v>2</v>
      </c>
      <c r="B13" s="17" t="s">
        <v>51</v>
      </c>
      <c r="C13" s="43" t="s">
        <v>52</v>
      </c>
      <c r="D13" s="44" t="s">
        <v>52</v>
      </c>
      <c r="E13" s="44" t="s">
        <v>52</v>
      </c>
      <c r="F13" s="44" t="s">
        <v>52</v>
      </c>
      <c r="G13" s="45" t="s">
        <v>52</v>
      </c>
      <c r="H13" s="18" t="s">
        <v>50</v>
      </c>
      <c r="I13" s="13" t="e">
        <f>'Necesidades Trimestrales'!#REF!</f>
        <v>#REF!</v>
      </c>
      <c r="J13" s="14" t="e">
        <f>'Necesidades Trimestrales'!#REF!</f>
        <v>#REF!</v>
      </c>
      <c r="K13" s="15" t="e">
        <f>'Necesidades Trimestrales'!#REF!</f>
        <v>#REF!</v>
      </c>
      <c r="M13" s="40"/>
    </row>
    <row r="14" spans="1:13" ht="20.25" customHeight="1">
      <c r="A14" s="41" t="s">
        <v>53</v>
      </c>
      <c r="B14" s="41"/>
      <c r="C14" s="41"/>
      <c r="D14" s="41"/>
      <c r="E14" s="41"/>
      <c r="F14" s="41"/>
      <c r="G14" s="41"/>
      <c r="H14" s="41"/>
      <c r="I14" s="41"/>
      <c r="J14" s="42" t="e">
        <f>SUMPRODUCT(J12:J13,K12:K13)</f>
        <v>#REF!</v>
      </c>
      <c r="K14" s="42"/>
      <c r="M14" s="40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"/>
  <sheetViews>
    <sheetView workbookViewId="0">
      <selection activeCell="U15" sqref="U15"/>
    </sheetView>
  </sheetViews>
  <sheetFormatPr defaultColWidth="11" defaultRowHeight="12.75"/>
  <cols>
    <col min="1" max="5" width="4.42578125" customWidth="1"/>
    <col min="6" max="6" width="8.710937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9" ht="15.75" customHeight="1" thickBot="1">
      <c r="A1" s="57" t="s">
        <v>5</v>
      </c>
      <c r="B1" s="57"/>
      <c r="C1" s="57"/>
      <c r="D1" s="58">
        <f>'Necesidades Trimestrales'!C6</f>
        <v>2021</v>
      </c>
      <c r="E1" s="58"/>
      <c r="F1" s="19"/>
      <c r="G1" s="19"/>
      <c r="H1" s="20"/>
      <c r="I1" s="20"/>
      <c r="J1" s="20"/>
      <c r="K1" s="20"/>
      <c r="L1" s="20"/>
      <c r="M1" s="20"/>
      <c r="N1" s="20"/>
      <c r="O1" s="21"/>
      <c r="P1" s="59" t="s">
        <v>54</v>
      </c>
      <c r="Q1" s="59"/>
      <c r="R1" s="21"/>
      <c r="S1" s="21"/>
    </row>
    <row r="2" spans="1:19" ht="15.75" customHeight="1" thickBot="1">
      <c r="A2" s="21"/>
      <c r="B2" s="21"/>
      <c r="C2" s="21"/>
      <c r="D2" s="21"/>
      <c r="E2" s="21"/>
      <c r="F2" s="21"/>
      <c r="G2" s="22"/>
      <c r="H2" s="20"/>
      <c r="I2" s="20"/>
      <c r="J2" s="20"/>
      <c r="K2" s="20"/>
      <c r="L2" s="20"/>
      <c r="M2" s="20"/>
      <c r="N2" s="20"/>
      <c r="O2" s="21"/>
      <c r="P2" s="59"/>
      <c r="Q2" s="59"/>
      <c r="R2" s="21"/>
      <c r="S2" s="21"/>
    </row>
    <row r="3" spans="1:19" ht="13.5">
      <c r="A3" s="21"/>
      <c r="B3" s="21"/>
      <c r="C3" s="21"/>
      <c r="D3" s="21"/>
      <c r="E3" s="21"/>
      <c r="F3" s="21"/>
      <c r="G3" s="22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s="3" customFormat="1" ht="18" customHeight="1" thickBot="1">
      <c r="A4" s="60" t="s">
        <v>55</v>
      </c>
      <c r="B4" s="60"/>
      <c r="C4" s="60"/>
      <c r="D4" s="60"/>
      <c r="E4" s="60"/>
      <c r="F4" s="60"/>
      <c r="G4" s="61" t="str">
        <f>' NotaPedido'!D3</f>
        <v>90 - Ministerio de Seguridad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21"/>
      <c r="S4" s="21"/>
    </row>
    <row r="5" spans="1:19" s="3" customFormat="1" ht="18" customHeight="1" thickBot="1">
      <c r="A5" s="62" t="s">
        <v>33</v>
      </c>
      <c r="B5" s="63"/>
      <c r="C5" s="63"/>
      <c r="D5" s="63"/>
      <c r="E5" s="63"/>
      <c r="F5" s="64"/>
      <c r="G5" s="61" t="str">
        <f>' NotaPedido'!D4</f>
        <v>7 - Direccion Provincial de Administracion de la Policia de Catamarca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21"/>
      <c r="S5" s="21"/>
    </row>
    <row r="6" spans="1:19" s="3" customFormat="1" ht="18" customHeight="1" thickBot="1">
      <c r="A6" s="62" t="s">
        <v>34</v>
      </c>
      <c r="B6" s="63"/>
      <c r="C6" s="63"/>
      <c r="D6" s="63"/>
      <c r="E6" s="63"/>
      <c r="F6" s="64"/>
      <c r="G6" s="61" t="str">
        <f>' NotaPedido'!D5</f>
        <v xml:space="preserve">Policia de la Provincia de Catamarca 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21"/>
      <c r="S6" s="21"/>
    </row>
    <row r="7" spans="1:19" s="3" customFormat="1" ht="20.25" customHeight="1" thickBot="1">
      <c r="A7" s="62" t="s">
        <v>36</v>
      </c>
      <c r="B7" s="63"/>
      <c r="C7" s="63"/>
      <c r="D7" s="63"/>
      <c r="E7" s="63"/>
      <c r="F7" s="64"/>
      <c r="G7" s="65" t="str">
        <f>' NotaPedido'!D6</f>
        <v>División Policia Adicional</v>
      </c>
      <c r="H7" s="66"/>
      <c r="I7" s="66"/>
      <c r="J7" s="66"/>
      <c r="K7" s="66"/>
      <c r="L7" s="66"/>
      <c r="M7" s="66"/>
      <c r="N7" s="66"/>
      <c r="O7" s="66"/>
      <c r="P7" s="66"/>
      <c r="Q7" s="67"/>
      <c r="R7" s="21"/>
      <c r="S7" s="21"/>
    </row>
    <row r="8" spans="1:19" ht="18" customHeight="1" thickBot="1">
      <c r="A8" s="68" t="s">
        <v>56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21"/>
      <c r="S8" s="21"/>
    </row>
    <row r="9" spans="1:19" ht="18" customHeight="1">
      <c r="A9" s="56" t="s">
        <v>57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23"/>
      <c r="P9" s="23"/>
      <c r="Q9" s="24"/>
      <c r="R9" s="21"/>
      <c r="S9" s="21"/>
    </row>
    <row r="10" spans="1:19" ht="54.75" customHeight="1">
      <c r="A10" s="6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28/2021,  afectando la erogación resultante a los créditos presupuestarios aprobados a favor de esta Unidad Ejecutora, conforme al siguiente detalle: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21"/>
      <c r="S10" s="21"/>
    </row>
    <row r="11" spans="1:19" ht="9" customHeight="1" thickBot="1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8"/>
      <c r="R11" s="21"/>
      <c r="S11" s="21"/>
    </row>
    <row r="12" spans="1:19" ht="15.75" customHeight="1" thickBot="1">
      <c r="A12" s="70" t="s">
        <v>58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21"/>
      <c r="S12" s="21"/>
    </row>
    <row r="13" spans="1:19" ht="15.75" customHeight="1" thickBot="1">
      <c r="A13" s="71" t="s">
        <v>59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2" t="s">
        <v>60</v>
      </c>
      <c r="P13" s="72"/>
      <c r="Q13" s="73" t="s">
        <v>61</v>
      </c>
      <c r="R13" s="21"/>
      <c r="S13" s="21"/>
    </row>
    <row r="14" spans="1:19" ht="15.75" customHeight="1">
      <c r="A14" s="29" t="s">
        <v>62</v>
      </c>
      <c r="B14" s="30" t="s">
        <v>63</v>
      </c>
      <c r="C14" s="30" t="s">
        <v>64</v>
      </c>
      <c r="D14" s="30" t="s">
        <v>65</v>
      </c>
      <c r="E14" s="30" t="s">
        <v>66</v>
      </c>
      <c r="F14" s="30" t="s">
        <v>67</v>
      </c>
      <c r="G14" s="31" t="s">
        <v>68</v>
      </c>
      <c r="H14" s="30" t="s">
        <v>69</v>
      </c>
      <c r="I14" s="30" t="s">
        <v>70</v>
      </c>
      <c r="J14" s="30" t="s">
        <v>71</v>
      </c>
      <c r="K14" s="30" t="s">
        <v>71</v>
      </c>
      <c r="L14" s="30" t="s">
        <v>72</v>
      </c>
      <c r="M14" s="32" t="s">
        <v>73</v>
      </c>
      <c r="N14" s="33" t="s">
        <v>74</v>
      </c>
      <c r="O14" s="72"/>
      <c r="P14" s="72"/>
      <c r="Q14" s="73"/>
      <c r="R14" s="21"/>
      <c r="S14" s="21"/>
    </row>
    <row r="15" spans="1:19" ht="17.25" customHeight="1">
      <c r="A15" s="34">
        <v>16</v>
      </c>
      <c r="B15" s="35">
        <v>0</v>
      </c>
      <c r="C15" s="35">
        <v>0</v>
      </c>
      <c r="D15" s="35">
        <v>1</v>
      </c>
      <c r="E15" s="35">
        <v>0</v>
      </c>
      <c r="F15" s="35">
        <v>10</v>
      </c>
      <c r="G15" s="35">
        <v>2</v>
      </c>
      <c r="H15" s="35">
        <v>1</v>
      </c>
      <c r="I15" s="35">
        <v>2</v>
      </c>
      <c r="J15" s="35">
        <v>7</v>
      </c>
      <c r="K15" s="35">
        <v>3</v>
      </c>
      <c r="L15" s="35">
        <v>0</v>
      </c>
      <c r="M15" s="36">
        <v>1</v>
      </c>
      <c r="N15" s="35" t="s">
        <v>75</v>
      </c>
      <c r="O15" s="74" t="s">
        <v>76</v>
      </c>
      <c r="P15" s="74"/>
      <c r="Q15" s="37">
        <v>1113000</v>
      </c>
      <c r="R15" s="21"/>
      <c r="S15" s="21"/>
    </row>
    <row r="16" spans="1:19" ht="20.25" customHeight="1">
      <c r="A16" s="76" t="s">
        <v>77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8"/>
      <c r="Q16" s="38">
        <f>SUM(Q15:Q15)</f>
        <v>1113000</v>
      </c>
      <c r="R16" s="21"/>
      <c r="S16" s="21"/>
    </row>
    <row r="17" spans="1:19" ht="18" customHeight="1" thickBo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21"/>
      <c r="S17" s="21"/>
    </row>
    <row r="18" spans="1:19" ht="17.25" customHeight="1" thickBot="1">
      <c r="A18" s="80" t="s">
        <v>78</v>
      </c>
      <c r="B18" s="81"/>
      <c r="C18" s="81"/>
      <c r="D18" s="81"/>
      <c r="E18" s="81"/>
      <c r="F18" s="82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21"/>
      <c r="S18" s="21"/>
    </row>
    <row r="19" spans="1:19" ht="18" customHeight="1" thickBot="1">
      <c r="A19" s="75" t="str">
        <f>' NotaPedido'!D8</f>
        <v>Adquisición de municiones destinadas a la División Policia Adicional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21"/>
      <c r="S19" s="21"/>
    </row>
    <row r="20" spans="1:19" ht="15" customHeight="1" thickBo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21"/>
      <c r="S20" s="21"/>
    </row>
    <row r="21" spans="1:19" ht="13.5">
      <c r="A21" s="21"/>
      <c r="B21" s="21"/>
      <c r="C21" s="21"/>
      <c r="D21" s="21"/>
      <c r="E21" s="21"/>
      <c r="F21" s="21"/>
      <c r="G21" s="22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13.5">
      <c r="A22" s="21"/>
      <c r="B22" s="21"/>
      <c r="C22" s="21"/>
      <c r="D22" s="21"/>
      <c r="E22" s="21"/>
      <c r="F22" s="21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ht="13.5">
      <c r="A23" s="21"/>
      <c r="B23" s="21"/>
      <c r="C23" s="21"/>
      <c r="D23" s="21"/>
      <c r="E23" s="21"/>
      <c r="F23" s="21"/>
      <c r="G23" s="22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ht="13.5">
      <c r="A24" s="21"/>
      <c r="B24" s="21"/>
      <c r="C24" s="21"/>
      <c r="D24" s="21"/>
      <c r="E24" s="21"/>
      <c r="F24" s="21"/>
      <c r="G24" s="2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</sheetData>
  <mergeCells count="24">
    <mergeCell ref="O15:P15"/>
    <mergeCell ref="A19:Q20"/>
    <mergeCell ref="A16:P16"/>
    <mergeCell ref="A17:Q17"/>
    <mergeCell ref="A18:F18"/>
    <mergeCell ref="G18:Q18"/>
    <mergeCell ref="A10:Q10"/>
    <mergeCell ref="A12:Q12"/>
    <mergeCell ref="A13:N13"/>
    <mergeCell ref="O13:P14"/>
    <mergeCell ref="Q13:Q14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PATRIMONIO POLICIA</cp:lastModifiedBy>
  <cp:revision>2</cp:revision>
  <dcterms:created xsi:type="dcterms:W3CDTF">2020-07-17T23:44:49Z</dcterms:created>
  <dcterms:modified xsi:type="dcterms:W3CDTF">2021-12-10T14:21:10Z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