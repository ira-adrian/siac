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2 TRIMESTRE  2022\sistema genitourinario y hormonas\HNEP\"/>
    </mc:Choice>
  </mc:AlternateContent>
  <xr:revisionPtr revIDLastSave="0" documentId="8_{D81BFB8D-E7A6-4C2A-9D7B-15340D6950B4}" xr6:coauthVersionLast="47" xr6:coauthVersionMax="47" xr10:uidLastSave="{00000000-0000-0000-0000-000000000000}"/>
  <bookViews>
    <workbookView xWindow="-120" yWindow="-120" windowWidth="29040" windowHeight="15840" tabRatio="488" activeTab="1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Trimestrales'!$A$9:$I$35</definedName>
    <definedName name="_xlnm.Print_Area" localSheetId="1">' NotaPedido'!$A$1:$K$38</definedName>
    <definedName name="_xlnm.Print_Area" localSheetId="2">'Autor Gastar'!$A$1:$Q$25</definedName>
  </definedNames>
  <calcPr calcId="181029"/>
</workbook>
</file>

<file path=xl/calcChain.xml><?xml version="1.0" encoding="utf-8"?>
<calcChain xmlns="http://schemas.openxmlformats.org/spreadsheetml/2006/main">
  <c r="A10" i="3" l="1"/>
  <c r="K34" i="2" l="1"/>
  <c r="J34" i="2"/>
  <c r="I34" i="2"/>
  <c r="C34" i="2"/>
  <c r="I32" i="1"/>
  <c r="C12" i="2" l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5" i="2"/>
  <c r="C36" i="2"/>
  <c r="C37" i="2"/>
  <c r="K26" i="2" l="1"/>
  <c r="K27" i="2"/>
  <c r="K28" i="2"/>
  <c r="K29" i="2"/>
  <c r="K30" i="2"/>
  <c r="K31" i="2"/>
  <c r="K32" i="2"/>
  <c r="K33" i="2"/>
  <c r="K35" i="2"/>
  <c r="K36" i="2"/>
  <c r="K37" i="2"/>
  <c r="J31" i="2"/>
  <c r="J32" i="2"/>
  <c r="J33" i="2"/>
  <c r="J35" i="2"/>
  <c r="J36" i="2"/>
  <c r="J37" i="2"/>
  <c r="I30" i="2"/>
  <c r="I31" i="2"/>
  <c r="I32" i="2"/>
  <c r="I33" i="2"/>
  <c r="I35" i="2"/>
  <c r="I36" i="2"/>
  <c r="I37" i="2"/>
  <c r="I33" i="1"/>
  <c r="I34" i="1"/>
  <c r="I35" i="1"/>
  <c r="I30" i="1" l="1"/>
  <c r="I31" i="1"/>
  <c r="K21" i="2" l="1"/>
  <c r="K22" i="2"/>
  <c r="K23" i="2"/>
  <c r="K24" i="2"/>
  <c r="K25" i="2"/>
  <c r="J21" i="2"/>
  <c r="J22" i="2"/>
  <c r="J23" i="2"/>
  <c r="J24" i="2"/>
  <c r="J25" i="2"/>
  <c r="J26" i="2"/>
  <c r="J27" i="2"/>
  <c r="J28" i="2"/>
  <c r="J29" i="2"/>
  <c r="J30" i="2"/>
  <c r="I21" i="2"/>
  <c r="I22" i="2"/>
  <c r="I23" i="2"/>
  <c r="I24" i="2"/>
  <c r="I25" i="2"/>
  <c r="I26" i="2"/>
  <c r="I27" i="2"/>
  <c r="I28" i="2"/>
  <c r="I29" i="2"/>
  <c r="I19" i="1"/>
  <c r="I20" i="1"/>
  <c r="I21" i="1"/>
  <c r="I22" i="1"/>
  <c r="I23" i="1"/>
  <c r="I24" i="1"/>
  <c r="I25" i="1"/>
  <c r="I26" i="1"/>
  <c r="I27" i="1"/>
  <c r="I28" i="1"/>
  <c r="I29" i="1"/>
  <c r="I12" i="2" l="1"/>
  <c r="I13" i="2"/>
  <c r="I14" i="2"/>
  <c r="I15" i="2"/>
  <c r="I16" i="2"/>
  <c r="I17" i="2"/>
  <c r="I18" i="2"/>
  <c r="I19" i="2"/>
  <c r="I20" i="2"/>
  <c r="K12" i="2"/>
  <c r="K13" i="2"/>
  <c r="K14" i="2"/>
  <c r="K15" i="2"/>
  <c r="K16" i="2"/>
  <c r="K17" i="2"/>
  <c r="K18" i="2"/>
  <c r="K19" i="2"/>
  <c r="K20" i="2"/>
  <c r="J12" i="2"/>
  <c r="J13" i="2"/>
  <c r="J14" i="2"/>
  <c r="J15" i="2"/>
  <c r="J16" i="2"/>
  <c r="J17" i="2"/>
  <c r="J18" i="2"/>
  <c r="J19" i="2"/>
  <c r="J20" i="2"/>
  <c r="I10" i="1"/>
  <c r="I11" i="1"/>
  <c r="I12" i="1"/>
  <c r="I13" i="1"/>
  <c r="I14" i="1"/>
  <c r="I15" i="1"/>
  <c r="I16" i="1"/>
  <c r="I17" i="1"/>
  <c r="I18" i="1"/>
  <c r="J38" i="2" l="1"/>
  <c r="G6" i="3"/>
  <c r="D3" i="2"/>
  <c r="G4" i="3" s="1"/>
  <c r="D4" i="2"/>
  <c r="G5" i="3" s="1"/>
  <c r="D1" i="3" l="1"/>
  <c r="Q21" i="3" l="1"/>
</calcChain>
</file>

<file path=xl/sharedStrings.xml><?xml version="1.0" encoding="utf-8"?>
<sst xmlns="http://schemas.openxmlformats.org/spreadsheetml/2006/main" count="209" uniqueCount="132">
  <si>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</si>
  <si>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</si>
  <si>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</si>
  <si>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</si>
  <si>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</si>
  <si>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</si>
  <si>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</si>
  <si>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</si>
  <si>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</si>
  <si>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</si>
  <si>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</si>
  <si>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</si>
  <si>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</si>
  <si>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</si>
  <si>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</si>
  <si>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</si>
  <si>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</si>
  <si>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</si>
  <si>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</si>
  <si>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</si>
  <si>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</si>
  <si>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</si>
  <si>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</si>
  <si>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</si>
  <si>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</si>
  <si>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</si>
  <si>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</si>
  <si>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</si>
  <si>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</si>
  <si>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</si>
  <si>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</si>
  <si>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</si>
  <si>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</si>
  <si>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</si>
  <si>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</si>
  <si>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</si>
  <si>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</si>
  <si>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</si>
  <si>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</si>
  <si>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</si>
  <si>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</si>
  <si>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</si>
  <si>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</si>
  <si>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</si>
  <si>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</si>
  <si>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</si>
  <si>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</si>
  <si>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</si>
  <si>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</si>
  <si>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</si>
  <si>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</si>
  <si>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040 - Ministerio de Salud</t>
  </si>
  <si>
    <t>1.1</t>
  </si>
  <si>
    <t>NO</t>
  </si>
  <si>
    <t xml:space="preserve"> </t>
  </si>
  <si>
    <t>Servicio de Farmacia</t>
  </si>
  <si>
    <t>UNIDAD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</si>
  <si>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</si>
  <si>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</si>
  <si>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t>Descripción técnica:</t>
  </si>
  <si>
    <t>024 - Direccion de Administracion del Hospital Interzonal de Niños Eva Peron</t>
  </si>
  <si>
    <t>2.5.2-1875.133</t>
  </si>
  <si>
    <t>PROD. MEDICO/FARMACEUTICOS/LAB</t>
  </si>
  <si>
    <t>ANTIASMATICO BRONCODILATADOR; TIPO: MONODROGA, DROGA GENERICA: N-ACETIL CISTEINA 600 MGR, FORMA FARMACEUTICA: TABLETA EFERVESCENTE, PRESENTACION: UNIDAD</t>
  </si>
  <si>
    <t>TABLETAS</t>
  </si>
  <si>
    <t>2.5.2-1821.189</t>
  </si>
  <si>
    <t>ANTIBIOTICOS P/PERSONAS; DROGA GENERICA: ACIDO FUSIDICO 20MG, FORMA FARMACEUTICA: CREMA, PRESENTACION: POMO X 15 GR, TIPO: MONODROGA</t>
  </si>
  <si>
    <t>ENVASE</t>
  </si>
  <si>
    <t>2.9.5-427.33</t>
  </si>
  <si>
    <t>APOSITOS; TIPO: HIDROCOLOIDE, TAMAÑO: 15 X 17,5 Cm</t>
  </si>
  <si>
    <t>2.9.5-427.39</t>
  </si>
  <si>
    <t>APOSITOS; TIPO: HIDROCOLOIDE, TAMAÑO: 10 X 10 Cm</t>
  </si>
  <si>
    <t>2.5.2-1855.23</t>
  </si>
  <si>
    <t>CORTICOESTEROIDES; TIPO: MONODROGA, DROGA GENERICA: BETAMETASONA, FORMA FARMACEUTICA: CREMA, PRESENTACION: 15 GR</t>
  </si>
  <si>
    <t>2.5.2-1875.134</t>
  </si>
  <si>
    <t>ANTIASMATICO BRONCODILATADOR; TIPO: MONODROGA, DROGA GENERICA: BUDESONIDE 200 µGR, FORMA FARMACEUTICA: AEROSOL, PRESENTACION: 100 DOSIS</t>
  </si>
  <si>
    <t>2.5.2-2476.50</t>
  </si>
  <si>
    <t>ANTIALERGICOS-ANTIHISTAMINICOS; TIPO: MONODROGA, DROGA GENERICA: BUDESONIDA 1 MG/ML, FORMA FARMACEUTICA: GOTAS, PRESENTACION: ENVASE X 20 mL</t>
  </si>
  <si>
    <t>2.5.2-1855.7</t>
  </si>
  <si>
    <t>CORTICOESTEROIDES; TIPO: MONODROGA, DROGA GENERICA: DEXAMETASONA, FORMA FARMACEUTICA: AMPOLLA, PRESENTACION: 8 mGr</t>
  </si>
  <si>
    <t>AMPOLLA</t>
  </si>
  <si>
    <t>2.5.2-2476.74</t>
  </si>
  <si>
    <t>ANTIALERGICOS-ANTIHISTAMINICOS; TIPO: MONODROGA, DROGA GENERICA: DIFENHIDRAMINA 250 MG, FORMA FARMACEUTICA: JARABE, PRESENTACION: FRASCO X 120 mL</t>
  </si>
  <si>
    <t>FRASCO</t>
  </si>
  <si>
    <t>2.5.2-2476.36</t>
  </si>
  <si>
    <t>ANTIALERGICOS-ANTIHISTAMINICOS; TIPO: MONODROGA, DROGA GENERICA: DIFENHIDRAMINA, FORMA FARMACEUTICA: COMPRIMIDO, PRESENTACION: 50 mGr</t>
  </si>
  <si>
    <t>COMPRIMIDO</t>
  </si>
  <si>
    <t>2.5.2-2476.44</t>
  </si>
  <si>
    <t>ANTIALERGICOS-ANTIHISTAMINICOS; TIPO: MONODROGA, DROGA GENERICA: DIFENHIDRAMINA, FORMA FARMACEUTICA: AMPOLLA, PRESENTACION: 10 mGr</t>
  </si>
  <si>
    <t>2.5.2-2200.11</t>
  </si>
  <si>
    <t>CORTICOIDES; DROGA GENERICA: HIDROCORTIZONA 1%, FORMA FARMACEUTICA: CREMA, PRESENTACION: ENVASE X 400 mGr, TIPO: MONODROGA</t>
  </si>
  <si>
    <t>2.5.2-1855.47</t>
  </si>
  <si>
    <t>CORTICOESTEROIDES; TIPO: MONODROGA, DROGA GENERICA: HIDROCORTISONA, FORMA FARMACEUTICA: AMPOLLA/FRASCO, PRESENTACION: 100 mGr</t>
  </si>
  <si>
    <t>2.5.2-1855.77</t>
  </si>
  <si>
    <t>CORTICOESTEROIDES; TIPO: MONODROGA, DROGA GENERICA: HIDROCORTISONA, FORMA FARMACEUTICA: FRASCO AMPOLLA, PRESENTACION: ENVASE X 500 mGr</t>
  </si>
  <si>
    <t>2.5.2-1875.108</t>
  </si>
  <si>
    <t>ANTIASMATICO BRONCODILATADOR; TIPO: MONODROGA, DROGA GENERICA: BROMURO DE IPRATROPIO 20 µGr, FORMA FARMACEUTICA: AEROSOL, PRESENTACION: UNIDAD</t>
  </si>
  <si>
    <t>2.5.2-1875.9</t>
  </si>
  <si>
    <t>ANTIASMATICO BRONCODILATADOR; TIPO: MONODROGA, DROGA GENERICA: BROMURO DE IPRATROPIO, FORMA FARMACEUTICA: SOLUCION, PRESENTACION: 20 mL</t>
  </si>
  <si>
    <t>GOTERO</t>
  </si>
  <si>
    <t>2.5.2-1823.24</t>
  </si>
  <si>
    <t>ANTIMICOTICOS; TIPO: MONODROGA, FORMA FARMACEUTICA: CREMA, PRESENTACION: 15 GR, DROGA GENERICA: KETOCONAZOL</t>
  </si>
  <si>
    <t>2.5.2-2200.4</t>
  </si>
  <si>
    <t>CORTICOIDES; DROGA GENERICA: MEPREDNISONA, FORMA FARMACEUTICA: COMPRIMIDO, PRESENTACION: 4 mGr, TIPO: MONODROGA</t>
  </si>
  <si>
    <t>2.5.2-2200.41</t>
  </si>
  <si>
    <t>CORTICOIDES; DROGA GENÉRICA: MEPREDNISONA 4 ML/MG, FORMA FARMACEÚTICA: GOTAS</t>
  </si>
  <si>
    <t>2.5.2-2200.24</t>
  </si>
  <si>
    <t>CORTICOIDES; DROGA GENERICA: METILPREDNISOLONA, FORMA FARMACEUTICA: FRASCO AMPOLLA, PRESENTACION: 500, TIPO: MONODROGA</t>
  </si>
  <si>
    <t>2.5.2-2200.19</t>
  </si>
  <si>
    <t>CORTICOIDES; DROGA GENERICA: MEPREDNISONA, FORMA FARMACEUTICA: COMPRIMIDO, PRESENTACION: 40 mGr, TIPO: MONODROGA</t>
  </si>
  <si>
    <t>2.5.2-1855.105</t>
  </si>
  <si>
    <t>CORTICOESTEROIDES; TIPO: MONODROGA, DROGA GENERICA: MEPREDNISONA 8 mGr, FORMA FARMACEUTICA: COMPRIMIDO, PRESENTACION: UNIDAD</t>
  </si>
  <si>
    <t>2.5.2-1875.55</t>
  </si>
  <si>
    <t>ANTIASMATICO BRONCODILATADOR; TIPO: MONODROGA, DROGA GENERICA: SALBUTAMOL, FORMA FARMACEUTICA: AEROSOL, PRESENTACION: 250 DOSIS</t>
  </si>
  <si>
    <t>2.5.2-1875.11</t>
  </si>
  <si>
    <t>ANTIASMATICO BRONCODILATADOR; TIPO: MONODROGA, PRESENTACION: 20 mL, FORMA FARMACEUTICA: GOTAS, DROGA GENERICA: SALBUTAMOL</t>
  </si>
  <si>
    <t>2.5.2-1883.189</t>
  </si>
  <si>
    <t>ANESTÉSICOS LOCALES; TIPO: ANALGÉSICO LOCAL Y ANTIBACTERIANO, DROGA GENÉRICA: LIDOCAÍNA + SULFADIAZINA + VITAMINA A, FORMA FARMACEÚTICA: CREMA, PRESENTACIÓN: ENVASE X 100 GR</t>
  </si>
  <si>
    <t>2.5.2-2481.3</t>
  </si>
  <si>
    <t>LAXANTES; TIPO: MONODROGA, DROGA GENERICA: VASELINA, FORMA FARMACEUTICA: SOLIDO, PRESENTACION: 1000 GR</t>
  </si>
  <si>
    <t>Especificidades Item N° 23:</t>
  </si>
  <si>
    <t>CON AEROCAMARA</t>
  </si>
  <si>
    <r>
      <t>Mantenimiento de Oferta</t>
    </r>
    <r>
      <rPr>
        <sz val="10"/>
        <rFont val="Times New Roman"/>
        <family val="1"/>
      </rPr>
      <t xml:space="preserve">: Cuarenta y Cinco (45) dias habiles. 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</si>
  <si>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Compra.</t>
    </r>
  </si>
  <si>
    <t>057/2022</t>
  </si>
  <si>
    <t>PRODUCTOS FARMACEUTICOS Y MEDICINALES</t>
  </si>
  <si>
    <t>TOTAL DE PESOS: TRES MILLONES CUATROCIENTOS SETENTA Y SIETE MIL TRESCIENTOS OCHENTA Y NUEVE CON 40/100.</t>
  </si>
  <si>
    <t>Costo total estimado Pesos: Tres Millones Cuatrocientos Setenta y Siete Mil Trescientos Ochenta y Nueve Con 40/100.</t>
  </si>
  <si>
    <r>
      <rPr>
        <u/>
        <sz val="10"/>
        <rFont val="Times New Roman"/>
        <family val="1"/>
      </rPr>
      <t>Forma de Pago</t>
    </r>
    <r>
      <rPr>
        <sz val="10"/>
        <rFont val="Times New Roman"/>
        <family val="1"/>
      </rPr>
      <t>: Dentro de los Treinta (30) dias habiles.</t>
    </r>
  </si>
  <si>
    <t>Cuatrimestral</t>
  </si>
  <si>
    <t>TERAPIA DERMATOLOGICA/SISTEMA GENITOURINARIO Y HORMONAS SEXUALES /HORMONAS SISTEMICAS /CORTICOIDES SISTEMICOS/RESPIRATORIO/ANTIHISTAMINICOS</t>
  </si>
  <si>
    <t>Para la adquisición de Insumos relacionados a TERAPIA DERMATOLOGICA/ SISTEMA GENITOURINARIO Y HORMONAS SEXUALES / HORMONAS SISTEMICAS / CORTICOIDES SISTEMICOS/ RESPIRATORIO/ ANTIHISTAMINICOS destinados al Servicio de Farmacia del Hospital Interzonal de Niños Eva Peron, para el normal funcionamiento del organismo.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</si>
</sst>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</numFmts>
  <fonts count="30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5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</borders>
  <cellStyleXfs count="9">
    <xf numFmtId="0" fontId="0" fillId="0" borderId="0"/>
    <xf numFmtId="165" fontId="17" fillId="0" borderId="0" applyBorder="0" applyProtection="0"/>
    <xf numFmtId="0" fontId="4" fillId="0" borderId="1" applyProtection="0"/>
    <xf numFmtId="164" fontId="5" fillId="0" borderId="0" applyBorder="0" applyProtection="0"/>
    <xf numFmtId="0" fontId="6" fillId="2" borderId="0" applyBorder="0" applyProtection="0"/>
    <xf numFmtId="0" fontId="17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</cellStyleXfs>
  <cellXfs count="152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2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5" fillId="0" borderId="0" xfId="0" applyFont="1"/>
    <xf numFmtId="0" fontId="0" fillId="0" borderId="10" xfId="0" applyBorder="1"/>
    <xf numFmtId="0" fontId="0" fillId="0" borderId="24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5" xfId="0" applyBorder="1"/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166" fontId="0" fillId="0" borderId="31" xfId="3" applyNumberFormat="1" applyFont="1" applyBorder="1" applyAlignment="1" applyProtection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166" fontId="16" fillId="0" borderId="36" xfId="0" applyNumberFormat="1" applyFont="1" applyBorder="1" applyAlignment="1">
      <alignment horizontal="center" vertical="center"/>
    </xf>
    <xf numFmtId="0" fontId="18" fillId="0" borderId="0" xfId="0" applyFont="1"/>
    <xf numFmtId="0" fontId="21" fillId="0" borderId="0" xfId="0" applyFont="1" applyAlignment="1">
      <alignment horizontal="left" wrapText="1"/>
    </xf>
    <xf numFmtId="0" fontId="21" fillId="0" borderId="0" xfId="0" applyFont="1" applyAlignment="1">
      <alignment horizontal="center" wrapText="1"/>
    </xf>
    <xf numFmtId="0" fontId="18" fillId="0" borderId="3" xfId="0" applyFont="1" applyBorder="1"/>
    <xf numFmtId="0" fontId="18" fillId="0" borderId="4" xfId="0" applyFont="1" applyBorder="1"/>
    <xf numFmtId="0" fontId="18" fillId="0" borderId="0" xfId="0" applyFont="1" applyBorder="1"/>
    <xf numFmtId="166" fontId="18" fillId="0" borderId="0" xfId="0" applyNumberFormat="1" applyFont="1"/>
    <xf numFmtId="0" fontId="8" fillId="3" borderId="10" xfId="0" applyFont="1" applyFill="1" applyBorder="1" applyAlignment="1">
      <alignment horizontal="right" vertical="center"/>
    </xf>
    <xf numFmtId="0" fontId="9" fillId="4" borderId="1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0" fillId="3" borderId="0" xfId="0" applyFill="1"/>
    <xf numFmtId="0" fontId="8" fillId="3" borderId="12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 wrapText="1" indent="1"/>
    </xf>
    <xf numFmtId="0" fontId="26" fillId="4" borderId="0" xfId="0" applyFont="1" applyFill="1" applyAlignment="1">
      <alignment horizontal="left" wrapText="1" indent="1"/>
    </xf>
    <xf numFmtId="0" fontId="22" fillId="3" borderId="0" xfId="0" applyFont="1" applyFill="1" applyAlignment="1">
      <alignment horizontal="left" wrapText="1"/>
    </xf>
    <xf numFmtId="167" fontId="18" fillId="0" borderId="0" xfId="0" applyNumberFormat="1" applyFont="1"/>
    <xf numFmtId="169" fontId="23" fillId="0" borderId="0" xfId="0" applyNumberFormat="1" applyFont="1"/>
    <xf numFmtId="169" fontId="24" fillId="0" borderId="0" xfId="0" applyNumberFormat="1" applyFont="1" applyAlignment="1">
      <alignment horizontal="left" wrapText="1"/>
    </xf>
    <xf numFmtId="167" fontId="5" fillId="3" borderId="0" xfId="0" applyNumberFormat="1" applyFont="1" applyFill="1" applyBorder="1" applyAlignment="1">
      <alignment vertical="center"/>
    </xf>
    <xf numFmtId="0" fontId="0" fillId="0" borderId="27" xfId="0" applyFont="1" applyFill="1" applyBorder="1" applyAlignment="1">
      <alignment horizontal="center" vertical="center"/>
    </xf>
    <xf numFmtId="0" fontId="0" fillId="0" borderId="28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5" xfId="0" applyFont="1" applyBorder="1" applyAlignment="1">
      <alignment horizontal="left" vertical="center"/>
    </xf>
    <xf numFmtId="0" fontId="16" fillId="0" borderId="46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166" fontId="0" fillId="0" borderId="50" xfId="3" applyNumberFormat="1" applyFont="1" applyBorder="1" applyAlignment="1" applyProtection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23" fillId="0" borderId="54" xfId="0" applyFont="1" applyBorder="1" applyAlignment="1">
      <alignment horizontal="center" vertical="center"/>
    </xf>
    <xf numFmtId="166" fontId="23" fillId="4" borderId="55" xfId="1" applyNumberFormat="1" applyFont="1" applyFill="1" applyBorder="1" applyAlignment="1" applyProtection="1">
      <alignment horizontal="right" vertical="center" wrapText="1"/>
    </xf>
    <xf numFmtId="0" fontId="7" fillId="3" borderId="54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left" vertical="center"/>
    </xf>
    <xf numFmtId="3" fontId="7" fillId="3" borderId="55" xfId="0" applyNumberFormat="1" applyFont="1" applyFill="1" applyBorder="1" applyAlignment="1">
      <alignment horizontal="center" vertical="center"/>
    </xf>
    <xf numFmtId="166" fontId="7" fillId="3" borderId="53" xfId="1" applyNumberFormat="1" applyFont="1" applyFill="1" applyBorder="1" applyAlignment="1" applyProtection="1">
      <alignment horizontal="right" vertical="center" wrapText="1"/>
    </xf>
    <xf numFmtId="0" fontId="7" fillId="4" borderId="53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169" fontId="27" fillId="0" borderId="14" xfId="0" applyNumberFormat="1" applyFont="1" applyBorder="1" applyAlignment="1">
      <alignment horizontal="center" vertical="center" wrapText="1"/>
    </xf>
    <xf numFmtId="0" fontId="7" fillId="3" borderId="56" xfId="0" applyFont="1" applyFill="1" applyBorder="1" applyAlignment="1">
      <alignment horizontal="left" vertical="center"/>
    </xf>
    <xf numFmtId="0" fontId="25" fillId="0" borderId="2" xfId="0" applyFont="1" applyBorder="1" applyAlignment="1">
      <alignment horizontal="left" indent="3"/>
    </xf>
    <xf numFmtId="0" fontId="25" fillId="0" borderId="7" xfId="0" applyFont="1" applyBorder="1" applyAlignment="1"/>
    <xf numFmtId="0" fontId="25" fillId="0" borderId="2" xfId="0" applyFont="1" applyBorder="1"/>
    <xf numFmtId="0" fontId="18" fillId="0" borderId="8" xfId="0" applyFont="1" applyBorder="1"/>
    <xf numFmtId="0" fontId="18" fillId="0" borderId="9" xfId="0" applyFont="1" applyBorder="1"/>
    <xf numFmtId="0" fontId="17" fillId="0" borderId="14" xfId="0" applyFont="1" applyFill="1" applyBorder="1" applyAlignment="1">
      <alignment horizontal="center" vertical="center"/>
    </xf>
    <xf numFmtId="0" fontId="0" fillId="0" borderId="14" xfId="0" applyFill="1" applyBorder="1" applyAlignment="1">
      <alignment vertical="center" wrapText="1"/>
    </xf>
    <xf numFmtId="0" fontId="29" fillId="0" borderId="14" xfId="0" applyFont="1" applyFill="1" applyBorder="1" applyAlignment="1">
      <alignment horizontal="center" vertical="center" wrapText="1"/>
    </xf>
    <xf numFmtId="0" fontId="17" fillId="0" borderId="14" xfId="0" applyFont="1" applyFill="1" applyBorder="1" applyAlignment="1">
      <alignment horizontal="left" vertical="center" wrapText="1"/>
    </xf>
    <xf numFmtId="0" fontId="17" fillId="3" borderId="14" xfId="0" applyFont="1" applyFill="1" applyBorder="1" applyAlignment="1">
      <alignment horizontal="center" vertical="center"/>
    </xf>
    <xf numFmtId="3" fontId="17" fillId="3" borderId="14" xfId="0" applyNumberFormat="1" applyFont="1" applyFill="1" applyBorder="1" applyAlignment="1">
      <alignment horizontal="center" vertical="center"/>
    </xf>
    <xf numFmtId="44" fontId="17" fillId="3" borderId="14" xfId="1" applyNumberFormat="1" applyFont="1" applyFill="1" applyBorder="1" applyAlignment="1">
      <alignment horizontal="center" vertical="center"/>
    </xf>
    <xf numFmtId="0" fontId="29" fillId="0" borderId="14" xfId="0" applyFont="1" applyFill="1" applyBorder="1" applyAlignment="1">
      <alignment horizontal="left" vertical="center" wrapText="1"/>
    </xf>
    <xf numFmtId="3" fontId="17" fillId="0" borderId="14" xfId="0" applyNumberFormat="1" applyFont="1" applyFill="1" applyBorder="1" applyAlignment="1">
      <alignment horizontal="center" vertical="center"/>
    </xf>
    <xf numFmtId="44" fontId="17" fillId="0" borderId="14" xfId="1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left" vertical="center"/>
    </xf>
    <xf numFmtId="0" fontId="0" fillId="0" borderId="14" xfId="0" applyBorder="1" applyAlignment="1">
      <alignment vertical="center" wrapText="1"/>
    </xf>
    <xf numFmtId="0" fontId="29" fillId="3" borderId="14" xfId="0" applyFont="1" applyFill="1" applyBorder="1" applyAlignment="1">
      <alignment horizontal="center" vertical="center" wrapText="1"/>
    </xf>
    <xf numFmtId="0" fontId="29" fillId="3" borderId="14" xfId="0" applyFont="1" applyFill="1" applyBorder="1" applyAlignment="1">
      <alignment horizontal="left" vertical="center" wrapText="1"/>
    </xf>
    <xf numFmtId="0" fontId="17" fillId="3" borderId="14" xfId="0" applyFont="1" applyFill="1" applyBorder="1" applyAlignment="1">
      <alignment vertical="center" wrapText="1"/>
    </xf>
    <xf numFmtId="0" fontId="17" fillId="0" borderId="14" xfId="0" applyFont="1" applyFill="1" applyBorder="1" applyAlignment="1">
      <alignment vertical="center" wrapText="1"/>
    </xf>
    <xf numFmtId="44" fontId="17" fillId="3" borderId="14" xfId="1" applyNumberFormat="1" applyFont="1" applyFill="1" applyBorder="1" applyAlignment="1">
      <alignment horizontal="right" vertical="center"/>
    </xf>
    <xf numFmtId="3" fontId="17" fillId="0" borderId="14" xfId="1" applyNumberFormat="1" applyFont="1" applyFill="1" applyBorder="1" applyAlignment="1">
      <alignment horizontal="center" vertical="center"/>
    </xf>
    <xf numFmtId="44" fontId="17" fillId="0" borderId="14" xfId="1" applyNumberFormat="1" applyFont="1" applyFill="1" applyBorder="1" applyAlignment="1">
      <alignment horizontal="right" vertical="center"/>
    </xf>
    <xf numFmtId="3" fontId="17" fillId="3" borderId="14" xfId="1" applyNumberFormat="1" applyFont="1" applyFill="1" applyBorder="1" applyAlignment="1">
      <alignment horizontal="center" vertical="center"/>
    </xf>
    <xf numFmtId="0" fontId="25" fillId="0" borderId="5" xfId="0" applyFont="1" applyBorder="1" applyAlignment="1"/>
    <xf numFmtId="0" fontId="18" fillId="0" borderId="0" xfId="0" applyFont="1" applyBorder="1" applyAlignment="1">
      <alignment horizontal="center" wrapText="1"/>
    </xf>
    <xf numFmtId="0" fontId="18" fillId="0" borderId="0" xfId="0" applyFont="1" applyFill="1" applyBorder="1" applyAlignment="1">
      <alignment horizontal="center" wrapText="1"/>
    </xf>
    <xf numFmtId="0" fontId="18" fillId="0" borderId="6" xfId="0" applyFont="1" applyBorder="1" applyAlignment="1">
      <alignment horizontal="center" wrapText="1"/>
    </xf>
    <xf numFmtId="0" fontId="18" fillId="0" borderId="7" xfId="0" applyFont="1" applyBorder="1"/>
    <xf numFmtId="0" fontId="20" fillId="0" borderId="0" xfId="0" applyFont="1" applyBorder="1" applyAlignment="1">
      <alignment horizontal="left" vertical="center" wrapText="1"/>
    </xf>
    <xf numFmtId="0" fontId="18" fillId="4" borderId="5" xfId="5" applyFont="1" applyFill="1" applyBorder="1" applyAlignment="1">
      <alignment horizontal="left" vertical="top" wrapText="1"/>
    </xf>
    <xf numFmtId="0" fontId="18" fillId="4" borderId="0" xfId="5" applyFont="1" applyFill="1" applyBorder="1" applyAlignment="1">
      <alignment horizontal="left" vertical="top" wrapText="1"/>
    </xf>
    <xf numFmtId="0" fontId="18" fillId="4" borderId="6" xfId="5" applyFont="1" applyFill="1" applyBorder="1" applyAlignment="1">
      <alignment horizontal="left" vertical="top" wrapText="1"/>
    </xf>
    <xf numFmtId="0" fontId="18" fillId="4" borderId="5" xfId="5" applyFont="1" applyFill="1" applyBorder="1" applyAlignment="1">
      <alignment horizontal="left" wrapText="1"/>
    </xf>
    <xf numFmtId="0" fontId="18" fillId="4" borderId="0" xfId="5" applyFont="1" applyFill="1" applyBorder="1" applyAlignment="1">
      <alignment horizontal="left" wrapText="1"/>
    </xf>
    <xf numFmtId="0" fontId="18" fillId="4" borderId="6" xfId="5" applyFont="1" applyFill="1" applyBorder="1" applyAlignment="1">
      <alignment horizontal="left" wrapText="1"/>
    </xf>
    <xf numFmtId="0" fontId="19" fillId="0" borderId="0" xfId="0" applyFont="1" applyBorder="1" applyAlignment="1">
      <alignment horizontal="center"/>
    </xf>
    <xf numFmtId="0" fontId="26" fillId="4" borderId="0" xfId="0" applyFont="1" applyFill="1" applyBorder="1" applyAlignment="1">
      <alignment horizontal="left" wrapText="1" indent="1"/>
    </xf>
    <xf numFmtId="0" fontId="9" fillId="3" borderId="14" xfId="0" applyFont="1" applyFill="1" applyBorder="1" applyAlignment="1">
      <alignment horizontal="left" vertical="center" wrapText="1" indent="1"/>
    </xf>
    <xf numFmtId="167" fontId="10" fillId="3" borderId="14" xfId="0" applyNumberFormat="1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left" vertical="center" wrapText="1"/>
    </xf>
    <xf numFmtId="0" fontId="9" fillId="4" borderId="17" xfId="0" applyFont="1" applyFill="1" applyBorder="1" applyAlignment="1">
      <alignment horizontal="left" vertical="center" wrapText="1" indent="1"/>
    </xf>
    <xf numFmtId="0" fontId="11" fillId="3" borderId="16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left" vertical="center" wrapText="1"/>
    </xf>
    <xf numFmtId="0" fontId="10" fillId="3" borderId="15" xfId="0" applyFont="1" applyFill="1" applyBorder="1" applyAlignment="1">
      <alignment horizontal="left" vertical="center" wrapText="1"/>
    </xf>
    <xf numFmtId="0" fontId="14" fillId="4" borderId="36" xfId="0" applyFont="1" applyFill="1" applyBorder="1" applyAlignment="1">
      <alignment horizontal="left" vertical="center" wrapText="1" indent="1"/>
    </xf>
    <xf numFmtId="0" fontId="0" fillId="0" borderId="30" xfId="0" applyFont="1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12" fillId="0" borderId="36" xfId="0" applyFont="1" applyBorder="1" applyAlignment="1">
      <alignment horizontal="left" vertical="center" wrapText="1"/>
    </xf>
    <xf numFmtId="0" fontId="0" fillId="0" borderId="21" xfId="0" applyBorder="1"/>
    <xf numFmtId="0" fontId="28" fillId="0" borderId="28" xfId="0" applyFont="1" applyFill="1" applyBorder="1" applyAlignment="1">
      <alignment horizontal="left" vertical="center" wrapText="1"/>
    </xf>
    <xf numFmtId="0" fontId="17" fillId="0" borderId="57" xfId="0" applyFont="1" applyBorder="1" applyAlignment="1">
      <alignment horizontal="left" vertical="center" wrapText="1"/>
    </xf>
    <xf numFmtId="0" fontId="0" fillId="0" borderId="58" xfId="0" applyFont="1" applyBorder="1" applyAlignment="1">
      <alignment horizontal="left" vertical="center" wrapText="1"/>
    </xf>
    <xf numFmtId="0" fontId="12" fillId="0" borderId="19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12" fillId="0" borderId="17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4" fillId="0" borderId="22" xfId="0" applyFont="1" applyBorder="1"/>
    <xf numFmtId="0" fontId="14" fillId="0" borderId="23" xfId="0" applyFont="1" applyBorder="1" applyAlignment="1">
      <alignment horizontal="left" vertical="center" wrapText="1" indent="1"/>
    </xf>
    <xf numFmtId="0" fontId="16" fillId="0" borderId="21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8" xfId="0" applyFont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indent="1"/>
    </xf>
    <xf numFmtId="0" fontId="15" fillId="0" borderId="11" xfId="0" applyFont="1" applyBorder="1" applyAlignment="1">
      <alignment horizontal="left"/>
    </xf>
    <xf numFmtId="0" fontId="0" fillId="0" borderId="19" xfId="0" applyFont="1" applyBorder="1" applyAlignment="1">
      <alignment horizontal="center"/>
    </xf>
    <xf numFmtId="3" fontId="12" fillId="0" borderId="20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 vertical="center" wrapText="1"/>
    </xf>
    <xf numFmtId="0" fontId="5" fillId="0" borderId="11" xfId="0" applyFont="1" applyBorder="1"/>
  </cellXfs>
  <cellStyles count="9">
    <cellStyle name="Encabezado 1" xfId="2" xr:uid="{00000000-0005-0000-0000-000000000000}"/>
    <cellStyle name="Millares 2" xfId="6" xr:uid="{00000000-0005-0000-0000-000001000000}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2 3" xfId="5" xr:uid="{00000000-0005-0000-0000-000006000000}"/>
    <cellStyle name="Normal 3" xfId="7" xr:uid="{00000000-0005-0000-0000-000007000000}"/>
    <cellStyle name="Normal 4" xfId="8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45"/>
  <sheetViews>
    <sheetView zoomScale="93" zoomScaleNormal="93" workbookViewId="0">
      <selection activeCell="Q10" sqref="Q10"/>
    </sheetView>
  </sheetViews>
  <sheetFormatPr baseColWidth="10" defaultColWidth="11" defaultRowHeight="12.75" x14ac:dyDescent="0.2"/>
  <cols>
    <col min="1" max="1" width="6.42578125" style="26" customWidth="1"/>
    <col min="2" max="2" width="15.5703125" style="26" customWidth="1"/>
    <col min="3" max="3" width="28.42578125" style="26" customWidth="1"/>
    <col min="4" max="4" width="8.42578125" style="26" customWidth="1"/>
    <col min="5" max="5" width="77.5703125" style="26" customWidth="1"/>
    <col min="6" max="6" width="11" style="26"/>
    <col min="7" max="7" width="10.85546875" style="26" customWidth="1"/>
    <col min="8" max="8" width="13.85546875" style="44" customWidth="1"/>
    <col min="9" max="9" width="18.5703125" style="26" customWidth="1"/>
    <col min="10" max="11" width="11" style="26"/>
    <col min="12" max="12" width="13.140625" style="26" customWidth="1"/>
    <col min="13" max="16384" width="11" style="26"/>
  </cols>
  <sheetData>
    <row r="2" spans="1:10" ht="27" x14ac:dyDescent="0.35">
      <c r="B2" s="106" t="s">
        <v>0</v>
      </c>
      <c r="C2" s="106"/>
      <c r="D2" s="106"/>
      <c r="E2" s="106"/>
      <c r="F2" s="106"/>
      <c r="G2" s="106"/>
      <c r="H2" s="106"/>
    </row>
    <row r="3" spans="1:10" ht="12" customHeight="1" x14ac:dyDescent="0.2"/>
    <row r="4" spans="1:10" ht="18" customHeight="1" x14ac:dyDescent="0.25">
      <c r="A4" s="99" t="s">
        <v>1</v>
      </c>
      <c r="B4" s="99"/>
      <c r="C4" s="107" t="s">
        <v>51</v>
      </c>
      <c r="D4" s="107"/>
      <c r="E4" s="107"/>
      <c r="F4" s="27"/>
      <c r="G4" s="28"/>
      <c r="H4" s="45"/>
    </row>
    <row r="5" spans="1:10" ht="18" customHeight="1" x14ac:dyDescent="0.25">
      <c r="A5" s="99" t="s">
        <v>2</v>
      </c>
      <c r="B5" s="99"/>
      <c r="C5" s="107" t="s">
        <v>60</v>
      </c>
      <c r="D5" s="107"/>
      <c r="E5" s="107"/>
      <c r="F5" s="27"/>
      <c r="G5" s="28" t="s">
        <v>54</v>
      </c>
      <c r="H5" s="45"/>
    </row>
    <row r="6" spans="1:10" ht="16.5" customHeight="1" x14ac:dyDescent="0.25">
      <c r="A6" s="99" t="s">
        <v>3</v>
      </c>
      <c r="B6" s="99"/>
      <c r="C6" s="41">
        <v>2022</v>
      </c>
      <c r="D6" s="42"/>
      <c r="E6" s="42"/>
      <c r="F6" s="27"/>
      <c r="G6" s="28"/>
      <c r="H6" s="45"/>
    </row>
    <row r="7" spans="1:10" ht="16.5" customHeight="1" x14ac:dyDescent="0.25">
      <c r="A7" s="99" t="s">
        <v>4</v>
      </c>
      <c r="B7" s="99"/>
      <c r="C7" s="41">
        <v>2</v>
      </c>
      <c r="D7" s="42"/>
      <c r="E7" s="42"/>
      <c r="F7" s="27"/>
      <c r="G7" s="28"/>
      <c r="H7" s="45"/>
    </row>
    <row r="8" spans="1:10" ht="13.5" thickBot="1" x14ac:dyDescent="0.25">
      <c r="B8" s="27"/>
      <c r="C8" s="28"/>
      <c r="D8" s="27"/>
      <c r="E8" s="27"/>
      <c r="F8" s="27"/>
      <c r="G8" s="28"/>
      <c r="H8" s="45"/>
      <c r="J8" s="43"/>
    </row>
    <row r="9" spans="1:10" ht="36.75" thickBot="1" x14ac:dyDescent="0.25">
      <c r="A9" s="66" t="s">
        <v>5</v>
      </c>
      <c r="B9" s="66" t="s">
        <v>6</v>
      </c>
      <c r="C9" s="66" t="s">
        <v>7</v>
      </c>
      <c r="D9" s="66" t="s">
        <v>8</v>
      </c>
      <c r="E9" s="66" t="s">
        <v>9</v>
      </c>
      <c r="F9" s="66" t="s">
        <v>10</v>
      </c>
      <c r="G9" s="66" t="s">
        <v>11</v>
      </c>
      <c r="H9" s="67" t="s">
        <v>12</v>
      </c>
      <c r="I9" s="66" t="s">
        <v>13</v>
      </c>
    </row>
    <row r="10" spans="1:10" ht="39" thickBot="1" x14ac:dyDescent="0.25">
      <c r="A10" s="58">
        <v>1</v>
      </c>
      <c r="B10" s="74" t="s">
        <v>61</v>
      </c>
      <c r="C10" s="75" t="s">
        <v>62</v>
      </c>
      <c r="D10" s="76">
        <v>252</v>
      </c>
      <c r="E10" s="77" t="s">
        <v>63</v>
      </c>
      <c r="F10" s="78" t="s">
        <v>64</v>
      </c>
      <c r="G10" s="79">
        <v>300</v>
      </c>
      <c r="H10" s="80">
        <v>113.3</v>
      </c>
      <c r="I10" s="59">
        <f t="shared" ref="I10:I35" si="0">+G10*H10</f>
        <v>33990</v>
      </c>
    </row>
    <row r="11" spans="1:10" ht="39" thickBot="1" x14ac:dyDescent="0.25">
      <c r="A11" s="58">
        <v>2</v>
      </c>
      <c r="B11" s="74" t="s">
        <v>65</v>
      </c>
      <c r="C11" s="75" t="s">
        <v>62</v>
      </c>
      <c r="D11" s="76">
        <v>252</v>
      </c>
      <c r="E11" s="81" t="s">
        <v>66</v>
      </c>
      <c r="F11" s="74" t="s">
        <v>67</v>
      </c>
      <c r="G11" s="82">
        <v>10</v>
      </c>
      <c r="H11" s="83">
        <v>459</v>
      </c>
      <c r="I11" s="59">
        <f t="shared" si="0"/>
        <v>4590</v>
      </c>
    </row>
    <row r="12" spans="1:10" ht="39" thickBot="1" x14ac:dyDescent="0.25">
      <c r="A12" s="58">
        <v>3</v>
      </c>
      <c r="B12" s="74" t="s">
        <v>68</v>
      </c>
      <c r="C12" s="75" t="s">
        <v>62</v>
      </c>
      <c r="D12" s="76">
        <v>252</v>
      </c>
      <c r="E12" s="84" t="s">
        <v>69</v>
      </c>
      <c r="F12" s="78" t="s">
        <v>56</v>
      </c>
      <c r="G12" s="79">
        <v>100</v>
      </c>
      <c r="H12" s="80">
        <v>998</v>
      </c>
      <c r="I12" s="59">
        <f t="shared" si="0"/>
        <v>99800</v>
      </c>
    </row>
    <row r="13" spans="1:10" ht="39" thickBot="1" x14ac:dyDescent="0.25">
      <c r="A13" s="58">
        <v>4</v>
      </c>
      <c r="B13" s="74" t="s">
        <v>70</v>
      </c>
      <c r="C13" s="85" t="s">
        <v>62</v>
      </c>
      <c r="D13" s="76">
        <v>252</v>
      </c>
      <c r="E13" s="81" t="s">
        <v>71</v>
      </c>
      <c r="F13" s="78" t="s">
        <v>56</v>
      </c>
      <c r="G13" s="79">
        <v>100</v>
      </c>
      <c r="H13" s="80">
        <v>380</v>
      </c>
      <c r="I13" s="59">
        <f t="shared" si="0"/>
        <v>38000</v>
      </c>
    </row>
    <row r="14" spans="1:10" ht="39" thickBot="1" x14ac:dyDescent="0.25">
      <c r="A14" s="58">
        <v>5</v>
      </c>
      <c r="B14" s="78" t="s">
        <v>72</v>
      </c>
      <c r="C14" s="85" t="s">
        <v>62</v>
      </c>
      <c r="D14" s="86">
        <v>252</v>
      </c>
      <c r="E14" s="87" t="s">
        <v>73</v>
      </c>
      <c r="F14" s="78" t="s">
        <v>67</v>
      </c>
      <c r="G14" s="79">
        <v>10</v>
      </c>
      <c r="H14" s="80">
        <v>235</v>
      </c>
      <c r="I14" s="59">
        <f t="shared" si="0"/>
        <v>2350</v>
      </c>
    </row>
    <row r="15" spans="1:10" ht="39" thickBot="1" x14ac:dyDescent="0.25">
      <c r="A15" s="58">
        <v>6</v>
      </c>
      <c r="B15" s="74" t="s">
        <v>74</v>
      </c>
      <c r="C15" s="75" t="s">
        <v>62</v>
      </c>
      <c r="D15" s="76">
        <v>252</v>
      </c>
      <c r="E15" s="77" t="s">
        <v>75</v>
      </c>
      <c r="F15" s="74" t="s">
        <v>56</v>
      </c>
      <c r="G15" s="82">
        <v>300</v>
      </c>
      <c r="H15" s="83">
        <v>659</v>
      </c>
      <c r="I15" s="59">
        <f t="shared" si="0"/>
        <v>197700</v>
      </c>
    </row>
    <row r="16" spans="1:10" ht="39" thickBot="1" x14ac:dyDescent="0.25">
      <c r="A16" s="58">
        <v>7</v>
      </c>
      <c r="B16" s="78" t="s">
        <v>76</v>
      </c>
      <c r="C16" s="85" t="s">
        <v>62</v>
      </c>
      <c r="D16" s="86">
        <v>252</v>
      </c>
      <c r="E16" s="87" t="s">
        <v>77</v>
      </c>
      <c r="F16" s="78" t="s">
        <v>67</v>
      </c>
      <c r="G16" s="79">
        <v>300</v>
      </c>
      <c r="H16" s="80">
        <v>327</v>
      </c>
      <c r="I16" s="59">
        <f t="shared" si="0"/>
        <v>98100</v>
      </c>
    </row>
    <row r="17" spans="1:9" ht="39" thickBot="1" x14ac:dyDescent="0.25">
      <c r="A17" s="58">
        <v>8</v>
      </c>
      <c r="B17" s="78" t="s">
        <v>78</v>
      </c>
      <c r="C17" s="85" t="s">
        <v>62</v>
      </c>
      <c r="D17" s="86">
        <v>252</v>
      </c>
      <c r="E17" s="87" t="s">
        <v>79</v>
      </c>
      <c r="F17" s="78" t="s">
        <v>80</v>
      </c>
      <c r="G17" s="79">
        <v>5000</v>
      </c>
      <c r="H17" s="80">
        <v>45</v>
      </c>
      <c r="I17" s="59">
        <f t="shared" si="0"/>
        <v>225000</v>
      </c>
    </row>
    <row r="18" spans="1:9" ht="39" thickBot="1" x14ac:dyDescent="0.25">
      <c r="A18" s="58">
        <v>9</v>
      </c>
      <c r="B18" s="78" t="s">
        <v>81</v>
      </c>
      <c r="C18" s="85" t="s">
        <v>62</v>
      </c>
      <c r="D18" s="86">
        <v>252</v>
      </c>
      <c r="E18" s="87" t="s">
        <v>82</v>
      </c>
      <c r="F18" s="78" t="s">
        <v>83</v>
      </c>
      <c r="G18" s="79">
        <v>2000</v>
      </c>
      <c r="H18" s="80">
        <v>139</v>
      </c>
      <c r="I18" s="59">
        <f t="shared" si="0"/>
        <v>278000</v>
      </c>
    </row>
    <row r="19" spans="1:9" ht="39" thickBot="1" x14ac:dyDescent="0.25">
      <c r="A19" s="58">
        <v>10</v>
      </c>
      <c r="B19" s="78" t="s">
        <v>84</v>
      </c>
      <c r="C19" s="85" t="s">
        <v>62</v>
      </c>
      <c r="D19" s="86">
        <v>252</v>
      </c>
      <c r="E19" s="87" t="s">
        <v>85</v>
      </c>
      <c r="F19" s="78" t="s">
        <v>86</v>
      </c>
      <c r="G19" s="79">
        <v>400</v>
      </c>
      <c r="H19" s="80">
        <v>4.6500000000000004</v>
      </c>
      <c r="I19" s="59">
        <f t="shared" si="0"/>
        <v>1860.0000000000002</v>
      </c>
    </row>
    <row r="20" spans="1:9" ht="39" thickBot="1" x14ac:dyDescent="0.25">
      <c r="A20" s="58">
        <v>11</v>
      </c>
      <c r="B20" s="78" t="s">
        <v>87</v>
      </c>
      <c r="C20" s="85" t="s">
        <v>62</v>
      </c>
      <c r="D20" s="86">
        <v>252</v>
      </c>
      <c r="E20" s="87" t="s">
        <v>88</v>
      </c>
      <c r="F20" s="78" t="s">
        <v>80</v>
      </c>
      <c r="G20" s="79">
        <v>5000</v>
      </c>
      <c r="H20" s="80">
        <v>55</v>
      </c>
      <c r="I20" s="59">
        <f t="shared" si="0"/>
        <v>275000</v>
      </c>
    </row>
    <row r="21" spans="1:9" ht="39" thickBot="1" x14ac:dyDescent="0.25">
      <c r="A21" s="58">
        <v>12</v>
      </c>
      <c r="B21" s="78" t="s">
        <v>89</v>
      </c>
      <c r="C21" s="85" t="s">
        <v>62</v>
      </c>
      <c r="D21" s="86">
        <v>252</v>
      </c>
      <c r="E21" s="87" t="s">
        <v>90</v>
      </c>
      <c r="F21" s="78" t="s">
        <v>67</v>
      </c>
      <c r="G21" s="79">
        <v>20</v>
      </c>
      <c r="H21" s="80">
        <v>246.72</v>
      </c>
      <c r="I21" s="59">
        <f t="shared" si="0"/>
        <v>4934.3999999999996</v>
      </c>
    </row>
    <row r="22" spans="1:9" ht="39" thickBot="1" x14ac:dyDescent="0.25">
      <c r="A22" s="58">
        <v>13</v>
      </c>
      <c r="B22" s="78" t="s">
        <v>91</v>
      </c>
      <c r="C22" s="85" t="s">
        <v>62</v>
      </c>
      <c r="D22" s="86">
        <v>252</v>
      </c>
      <c r="E22" s="87" t="s">
        <v>92</v>
      </c>
      <c r="F22" s="78" t="s">
        <v>80</v>
      </c>
      <c r="G22" s="79">
        <v>1500</v>
      </c>
      <c r="H22" s="80">
        <v>120</v>
      </c>
      <c r="I22" s="59">
        <f t="shared" si="0"/>
        <v>180000</v>
      </c>
    </row>
    <row r="23" spans="1:9" ht="39" thickBot="1" x14ac:dyDescent="0.25">
      <c r="A23" s="58">
        <v>14</v>
      </c>
      <c r="B23" s="78" t="s">
        <v>93</v>
      </c>
      <c r="C23" s="85" t="s">
        <v>62</v>
      </c>
      <c r="D23" s="86">
        <v>252</v>
      </c>
      <c r="E23" s="87" t="s">
        <v>94</v>
      </c>
      <c r="F23" s="78" t="s">
        <v>80</v>
      </c>
      <c r="G23" s="79">
        <v>1500</v>
      </c>
      <c r="H23" s="80">
        <v>222</v>
      </c>
      <c r="I23" s="59">
        <f t="shared" si="0"/>
        <v>333000</v>
      </c>
    </row>
    <row r="24" spans="1:9" ht="39" thickBot="1" x14ac:dyDescent="0.25">
      <c r="A24" s="58">
        <v>15</v>
      </c>
      <c r="B24" s="78" t="s">
        <v>95</v>
      </c>
      <c r="C24" s="88" t="s">
        <v>62</v>
      </c>
      <c r="D24" s="86">
        <v>252</v>
      </c>
      <c r="E24" s="87" t="s">
        <v>96</v>
      </c>
      <c r="F24" s="78" t="s">
        <v>56</v>
      </c>
      <c r="G24" s="79">
        <v>10</v>
      </c>
      <c r="H24" s="80">
        <v>966</v>
      </c>
      <c r="I24" s="59">
        <f t="shared" si="0"/>
        <v>9660</v>
      </c>
    </row>
    <row r="25" spans="1:9" ht="39" thickBot="1" x14ac:dyDescent="0.25">
      <c r="A25" s="58">
        <v>16</v>
      </c>
      <c r="B25" s="78" t="s">
        <v>97</v>
      </c>
      <c r="C25" s="85" t="s">
        <v>62</v>
      </c>
      <c r="D25" s="86">
        <v>252</v>
      </c>
      <c r="E25" s="87" t="s">
        <v>98</v>
      </c>
      <c r="F25" s="78" t="s">
        <v>99</v>
      </c>
      <c r="G25" s="79">
        <v>1000</v>
      </c>
      <c r="H25" s="80">
        <v>98</v>
      </c>
      <c r="I25" s="59">
        <f t="shared" si="0"/>
        <v>98000</v>
      </c>
    </row>
    <row r="26" spans="1:9" ht="39" thickBot="1" x14ac:dyDescent="0.25">
      <c r="A26" s="58">
        <v>17</v>
      </c>
      <c r="B26" s="78" t="s">
        <v>100</v>
      </c>
      <c r="C26" s="85" t="s">
        <v>62</v>
      </c>
      <c r="D26" s="86">
        <v>252</v>
      </c>
      <c r="E26" s="87" t="s">
        <v>101</v>
      </c>
      <c r="F26" s="78" t="s">
        <v>67</v>
      </c>
      <c r="G26" s="79">
        <v>10</v>
      </c>
      <c r="H26" s="80">
        <v>648</v>
      </c>
      <c r="I26" s="59">
        <f t="shared" si="0"/>
        <v>6480</v>
      </c>
    </row>
    <row r="27" spans="1:9" ht="39" thickBot="1" x14ac:dyDescent="0.25">
      <c r="A27" s="58">
        <v>18</v>
      </c>
      <c r="B27" s="78" t="s">
        <v>102</v>
      </c>
      <c r="C27" s="85" t="s">
        <v>62</v>
      </c>
      <c r="D27" s="86">
        <v>252</v>
      </c>
      <c r="E27" s="87" t="s">
        <v>103</v>
      </c>
      <c r="F27" s="78" t="s">
        <v>86</v>
      </c>
      <c r="G27" s="79">
        <v>1000</v>
      </c>
      <c r="H27" s="80">
        <v>9.8000000000000007</v>
      </c>
      <c r="I27" s="59">
        <f t="shared" si="0"/>
        <v>9800</v>
      </c>
    </row>
    <row r="28" spans="1:9" ht="39" thickBot="1" x14ac:dyDescent="0.25">
      <c r="A28" s="58">
        <v>19</v>
      </c>
      <c r="B28" s="74" t="s">
        <v>104</v>
      </c>
      <c r="C28" s="89" t="s">
        <v>62</v>
      </c>
      <c r="D28" s="76">
        <v>252</v>
      </c>
      <c r="E28" s="77" t="s">
        <v>105</v>
      </c>
      <c r="F28" s="78" t="s">
        <v>99</v>
      </c>
      <c r="G28" s="79">
        <v>2000</v>
      </c>
      <c r="H28" s="90">
        <v>315</v>
      </c>
      <c r="I28" s="59">
        <f t="shared" si="0"/>
        <v>630000</v>
      </c>
    </row>
    <row r="29" spans="1:9" ht="39" thickBot="1" x14ac:dyDescent="0.25">
      <c r="A29" s="58">
        <v>20</v>
      </c>
      <c r="B29" s="78" t="s">
        <v>106</v>
      </c>
      <c r="C29" s="85" t="s">
        <v>62</v>
      </c>
      <c r="D29" s="86">
        <v>252</v>
      </c>
      <c r="E29" s="87" t="s">
        <v>107</v>
      </c>
      <c r="F29" s="78" t="s">
        <v>80</v>
      </c>
      <c r="G29" s="79">
        <v>50</v>
      </c>
      <c r="H29" s="90">
        <v>978</v>
      </c>
      <c r="I29" s="59">
        <f t="shared" si="0"/>
        <v>48900</v>
      </c>
    </row>
    <row r="30" spans="1:9" ht="39" thickBot="1" x14ac:dyDescent="0.25">
      <c r="A30" s="58">
        <v>21</v>
      </c>
      <c r="B30" s="78" t="s">
        <v>108</v>
      </c>
      <c r="C30" s="85" t="s">
        <v>62</v>
      </c>
      <c r="D30" s="86">
        <v>252</v>
      </c>
      <c r="E30" s="87" t="s">
        <v>109</v>
      </c>
      <c r="F30" s="78" t="s">
        <v>86</v>
      </c>
      <c r="G30" s="79">
        <v>1000</v>
      </c>
      <c r="H30" s="90">
        <v>45</v>
      </c>
      <c r="I30" s="59">
        <f t="shared" si="0"/>
        <v>45000</v>
      </c>
    </row>
    <row r="31" spans="1:9" ht="39" thickBot="1" x14ac:dyDescent="0.25">
      <c r="A31" s="58">
        <v>22</v>
      </c>
      <c r="B31" s="78" t="s">
        <v>110</v>
      </c>
      <c r="C31" s="85" t="s">
        <v>62</v>
      </c>
      <c r="D31" s="86">
        <v>252</v>
      </c>
      <c r="E31" s="87" t="s">
        <v>111</v>
      </c>
      <c r="F31" s="78" t="s">
        <v>86</v>
      </c>
      <c r="G31" s="79">
        <v>1500</v>
      </c>
      <c r="H31" s="90">
        <v>17.350000000000001</v>
      </c>
      <c r="I31" s="59">
        <f t="shared" si="0"/>
        <v>26025.000000000004</v>
      </c>
    </row>
    <row r="32" spans="1:9" ht="39" thickBot="1" x14ac:dyDescent="0.25">
      <c r="A32" s="58">
        <v>23</v>
      </c>
      <c r="B32" s="74" t="s">
        <v>112</v>
      </c>
      <c r="C32" s="89" t="s">
        <v>62</v>
      </c>
      <c r="D32" s="76">
        <v>252</v>
      </c>
      <c r="E32" s="81" t="s">
        <v>113</v>
      </c>
      <c r="F32" s="74" t="s">
        <v>56</v>
      </c>
      <c r="G32" s="91">
        <v>1000</v>
      </c>
      <c r="H32" s="92">
        <v>580</v>
      </c>
      <c r="I32" s="59">
        <f t="shared" si="0"/>
        <v>580000</v>
      </c>
    </row>
    <row r="33" spans="1:9" ht="39" thickBot="1" x14ac:dyDescent="0.25">
      <c r="A33" s="58">
        <v>24</v>
      </c>
      <c r="B33" s="78" t="s">
        <v>114</v>
      </c>
      <c r="C33" s="85" t="s">
        <v>62</v>
      </c>
      <c r="D33" s="86">
        <v>252</v>
      </c>
      <c r="E33" s="87" t="s">
        <v>115</v>
      </c>
      <c r="F33" s="78" t="s">
        <v>99</v>
      </c>
      <c r="G33" s="93">
        <v>1000</v>
      </c>
      <c r="H33" s="90">
        <v>58</v>
      </c>
      <c r="I33" s="59">
        <f t="shared" si="0"/>
        <v>58000</v>
      </c>
    </row>
    <row r="34" spans="1:9" ht="39" thickBot="1" x14ac:dyDescent="0.25">
      <c r="A34" s="58">
        <v>25</v>
      </c>
      <c r="B34" s="74" t="s">
        <v>116</v>
      </c>
      <c r="C34" s="75" t="s">
        <v>62</v>
      </c>
      <c r="D34" s="76">
        <v>252</v>
      </c>
      <c r="E34" s="77" t="s">
        <v>117</v>
      </c>
      <c r="F34" s="74" t="s">
        <v>67</v>
      </c>
      <c r="G34" s="91">
        <v>150</v>
      </c>
      <c r="H34" s="92">
        <v>1120</v>
      </c>
      <c r="I34" s="59">
        <f t="shared" si="0"/>
        <v>168000</v>
      </c>
    </row>
    <row r="35" spans="1:9" ht="39" thickBot="1" x14ac:dyDescent="0.25">
      <c r="A35" s="58">
        <v>26</v>
      </c>
      <c r="B35" s="74" t="s">
        <v>118</v>
      </c>
      <c r="C35" s="75" t="s">
        <v>62</v>
      </c>
      <c r="D35" s="76">
        <v>252</v>
      </c>
      <c r="E35" s="81" t="s">
        <v>119</v>
      </c>
      <c r="F35" s="74" t="s">
        <v>56</v>
      </c>
      <c r="G35" s="91">
        <v>20</v>
      </c>
      <c r="H35" s="83">
        <v>1260</v>
      </c>
      <c r="I35" s="59">
        <f t="shared" si="0"/>
        <v>25200</v>
      </c>
    </row>
    <row r="36" spans="1:9" ht="13.5" thickBot="1" x14ac:dyDescent="0.25">
      <c r="I36" s="32"/>
    </row>
    <row r="37" spans="1:9" x14ac:dyDescent="0.2">
      <c r="B37" s="71" t="s">
        <v>120</v>
      </c>
      <c r="C37" s="29"/>
      <c r="D37" s="29"/>
      <c r="E37" s="30"/>
      <c r="I37" s="32"/>
    </row>
    <row r="38" spans="1:9" ht="13.5" customHeight="1" thickBot="1" x14ac:dyDescent="0.25">
      <c r="B38" s="70" t="s">
        <v>59</v>
      </c>
      <c r="C38" s="72" t="s">
        <v>121</v>
      </c>
      <c r="D38" s="72"/>
      <c r="E38" s="73"/>
    </row>
    <row r="39" spans="1:9" ht="13.5" customHeight="1" thickBot="1" x14ac:dyDescent="0.25">
      <c r="E39" s="29"/>
      <c r="F39" s="31"/>
      <c r="G39" s="31"/>
    </row>
    <row r="40" spans="1:9" x14ac:dyDescent="0.2">
      <c r="B40" s="69" t="s">
        <v>57</v>
      </c>
      <c r="C40" s="29"/>
      <c r="D40" s="29"/>
      <c r="E40" s="30"/>
    </row>
    <row r="41" spans="1:9" x14ac:dyDescent="0.2">
      <c r="B41" s="100" t="s">
        <v>58</v>
      </c>
      <c r="C41" s="101"/>
      <c r="D41" s="101"/>
      <c r="E41" s="102"/>
    </row>
    <row r="42" spans="1:9" x14ac:dyDescent="0.2">
      <c r="B42" s="100"/>
      <c r="C42" s="101"/>
      <c r="D42" s="101"/>
      <c r="E42" s="102"/>
    </row>
    <row r="43" spans="1:9" x14ac:dyDescent="0.2">
      <c r="B43" s="103" t="s">
        <v>123</v>
      </c>
      <c r="C43" s="104"/>
      <c r="D43" s="104"/>
      <c r="E43" s="105"/>
    </row>
    <row r="44" spans="1:9" x14ac:dyDescent="0.2">
      <c r="B44" s="94" t="s">
        <v>122</v>
      </c>
      <c r="C44" s="95"/>
      <c r="D44" s="96"/>
      <c r="E44" s="97"/>
    </row>
    <row r="45" spans="1:9" ht="13.5" thickBot="1" x14ac:dyDescent="0.25">
      <c r="B45" s="98" t="s">
        <v>128</v>
      </c>
      <c r="C45" s="72"/>
      <c r="D45" s="72"/>
      <c r="E45" s="73"/>
    </row>
  </sheetData>
  <autoFilter ref="A9:I35" xr:uid="{00000000-0009-0000-0000-000000000000}"/>
  <mergeCells count="9">
    <mergeCell ref="A6:B6"/>
    <mergeCell ref="A7:B7"/>
    <mergeCell ref="B41:E42"/>
    <mergeCell ref="B43:E43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8"/>
  <sheetViews>
    <sheetView tabSelected="1" zoomScale="80" zoomScaleNormal="80" workbookViewId="0">
      <selection activeCell="P32" sqref="P32"/>
    </sheetView>
  </sheetViews>
  <sheetFormatPr baseColWidth="10" defaultColWidth="9.140625" defaultRowHeight="12.75" x14ac:dyDescent="0.2"/>
  <cols>
    <col min="1" max="1" width="5.5703125" style="35" customWidth="1"/>
    <col min="2" max="2" width="15.140625" style="35" customWidth="1"/>
    <col min="3" max="3" width="14.140625" style="35" customWidth="1"/>
    <col min="4" max="4" width="26" style="35" customWidth="1"/>
    <col min="5" max="5" width="8" style="35" customWidth="1"/>
    <col min="6" max="6" width="7.85546875" style="35" customWidth="1"/>
    <col min="7" max="7" width="48.5703125" style="35" customWidth="1"/>
    <col min="8" max="8" width="9.28515625" style="35" customWidth="1"/>
    <col min="9" max="9" width="15.5703125" style="35" customWidth="1"/>
    <col min="10" max="10" width="14.7109375" style="35" customWidth="1"/>
    <col min="11" max="11" width="15.5703125" style="35" customWidth="1"/>
    <col min="12" max="13" width="5.85546875" style="35" customWidth="1"/>
    <col min="14" max="14" width="14.140625" style="35" customWidth="1"/>
    <col min="15" max="15" width="12.5703125" style="35" customWidth="1"/>
    <col min="16" max="1024" width="9.140625" style="35"/>
    <col min="1025" max="16384" width="9.140625" style="36"/>
  </cols>
  <sheetData>
    <row r="1" spans="1:11" ht="18" customHeight="1" x14ac:dyDescent="0.2">
      <c r="A1" s="116" t="s">
        <v>14</v>
      </c>
      <c r="B1" s="116"/>
      <c r="C1" s="116"/>
      <c r="D1" s="116"/>
      <c r="E1" s="116"/>
      <c r="F1" s="116"/>
      <c r="G1" s="116"/>
      <c r="H1" s="116"/>
      <c r="I1" s="116"/>
      <c r="J1" s="33" t="s">
        <v>15</v>
      </c>
      <c r="K1" s="34" t="s">
        <v>124</v>
      </c>
    </row>
    <row r="2" spans="1:11" ht="18.75" customHeight="1" thickBot="1" x14ac:dyDescent="0.25">
      <c r="A2" s="37"/>
      <c r="B2" s="37"/>
      <c r="C2" s="37"/>
      <c r="D2" s="38"/>
      <c r="E2" s="38"/>
      <c r="F2" s="38"/>
      <c r="G2" s="38"/>
      <c r="H2" s="38"/>
      <c r="I2" s="38"/>
      <c r="J2" s="38"/>
      <c r="K2" s="38"/>
    </row>
    <row r="3" spans="1:11" ht="18.75" customHeight="1" thickBot="1" x14ac:dyDescent="0.25">
      <c r="A3" s="117" t="s">
        <v>48</v>
      </c>
      <c r="B3" s="117"/>
      <c r="C3" s="117"/>
      <c r="D3" s="108" t="str">
        <f>'Necesidades Trimestrales'!C4</f>
        <v>040 - Ministerio de Salud</v>
      </c>
      <c r="E3" s="108"/>
      <c r="F3" s="108"/>
      <c r="G3" s="108"/>
      <c r="H3" s="108"/>
      <c r="I3" s="108"/>
      <c r="J3" s="108"/>
      <c r="K3" s="108"/>
    </row>
    <row r="4" spans="1:11" ht="18.75" customHeight="1" thickBot="1" x14ac:dyDescent="0.25">
      <c r="A4" s="118" t="s">
        <v>49</v>
      </c>
      <c r="B4" s="118"/>
      <c r="C4" s="118"/>
      <c r="D4" s="108" t="str">
        <f>'Necesidades Trimestrales'!C5</f>
        <v>024 - Direccion de Administracion del Hospital Interzonal de Niños Eva Peron</v>
      </c>
      <c r="E4" s="108"/>
      <c r="F4" s="108"/>
      <c r="G4" s="108"/>
      <c r="H4" s="108"/>
      <c r="I4" s="108"/>
      <c r="J4" s="108"/>
      <c r="K4" s="108"/>
    </row>
    <row r="5" spans="1:11" ht="18.75" customHeight="1" thickBot="1" x14ac:dyDescent="0.25">
      <c r="A5" s="118" t="s">
        <v>27</v>
      </c>
      <c r="B5" s="118"/>
      <c r="C5" s="118"/>
      <c r="D5" s="108" t="s">
        <v>60</v>
      </c>
      <c r="E5" s="108"/>
      <c r="F5" s="108"/>
      <c r="G5" s="108"/>
      <c r="H5" s="108"/>
      <c r="I5" s="108"/>
      <c r="J5" s="108"/>
      <c r="K5" s="108"/>
    </row>
    <row r="6" spans="1:11" ht="16.5" customHeight="1" thickBot="1" x14ac:dyDescent="0.25">
      <c r="A6" s="117" t="s">
        <v>50</v>
      </c>
      <c r="B6" s="117"/>
      <c r="C6" s="117"/>
      <c r="D6" s="108" t="s">
        <v>55</v>
      </c>
      <c r="E6" s="108"/>
      <c r="F6" s="108"/>
      <c r="G6" s="108"/>
      <c r="H6" s="108"/>
      <c r="I6" s="108"/>
      <c r="J6" s="108"/>
      <c r="K6" s="108"/>
    </row>
    <row r="7" spans="1:11" ht="16.5" customHeight="1" x14ac:dyDescent="0.2">
      <c r="A7" s="118" t="s">
        <v>16</v>
      </c>
      <c r="B7" s="118"/>
      <c r="C7" s="118"/>
      <c r="D7" s="108" t="s">
        <v>129</v>
      </c>
      <c r="E7" s="108"/>
      <c r="F7" s="108"/>
      <c r="G7" s="108"/>
      <c r="H7" s="108"/>
      <c r="I7" s="108"/>
      <c r="J7" s="108"/>
      <c r="K7" s="108"/>
    </row>
    <row r="8" spans="1:11" ht="37.5" customHeight="1" x14ac:dyDescent="0.2">
      <c r="A8" s="115" t="s">
        <v>17</v>
      </c>
      <c r="B8" s="115"/>
      <c r="C8" s="115"/>
      <c r="D8" s="111" t="s">
        <v>130</v>
      </c>
      <c r="E8" s="111"/>
      <c r="F8" s="111"/>
      <c r="G8" s="111"/>
      <c r="H8" s="111"/>
      <c r="I8" s="111"/>
      <c r="J8" s="111"/>
      <c r="K8" s="111"/>
    </row>
    <row r="9" spans="1:11" ht="15.75" x14ac:dyDescent="0.2">
      <c r="A9" s="39"/>
      <c r="B9" s="39"/>
      <c r="C9" s="39"/>
      <c r="D9" s="40"/>
      <c r="E9" s="40"/>
      <c r="F9" s="40"/>
      <c r="G9" s="40"/>
      <c r="H9" s="40"/>
      <c r="I9" s="40"/>
      <c r="J9" s="40"/>
      <c r="K9" s="40"/>
    </row>
    <row r="10" spans="1:11" ht="18.75" customHeight="1" x14ac:dyDescent="0.2">
      <c r="A10" s="112" t="s">
        <v>18</v>
      </c>
      <c r="B10" s="113" t="s">
        <v>19</v>
      </c>
      <c r="C10" s="113" t="s">
        <v>20</v>
      </c>
      <c r="D10" s="113"/>
      <c r="E10" s="113"/>
      <c r="F10" s="113"/>
      <c r="G10" s="113"/>
      <c r="H10" s="113" t="s">
        <v>21</v>
      </c>
      <c r="I10" s="113" t="s">
        <v>22</v>
      </c>
      <c r="J10" s="113" t="s">
        <v>23</v>
      </c>
      <c r="K10" s="114" t="s">
        <v>24</v>
      </c>
    </row>
    <row r="11" spans="1:11" ht="24" customHeight="1" thickBot="1" x14ac:dyDescent="0.25">
      <c r="A11" s="112"/>
      <c r="B11" s="113"/>
      <c r="C11" s="113"/>
      <c r="D11" s="113"/>
      <c r="E11" s="113"/>
      <c r="F11" s="113"/>
      <c r="G11" s="113"/>
      <c r="H11" s="113"/>
      <c r="I11" s="113"/>
      <c r="J11" s="113"/>
      <c r="K11" s="114"/>
    </row>
    <row r="12" spans="1:11" ht="27.75" customHeight="1" x14ac:dyDescent="0.2">
      <c r="A12" s="60">
        <v>1</v>
      </c>
      <c r="B12" s="61"/>
      <c r="C12" s="110" t="str">
        <f>'Necesidades Trimestrales'!E10</f>
        <v>ANTIASMATICO BRONCODILATADOR; TIPO: MONODROGA, DROGA GENERICA: N-ACETIL CISTEINA 600 MGR, FORMA FARMACEUTICA: TABLETA EFERVESCENTE, PRESENTACION: UNIDAD</v>
      </c>
      <c r="D12" s="110"/>
      <c r="E12" s="110"/>
      <c r="F12" s="110"/>
      <c r="G12" s="110"/>
      <c r="H12" s="64" t="s">
        <v>53</v>
      </c>
      <c r="I12" s="65" t="str">
        <f>'Necesidades Trimestrales'!F10</f>
        <v>TABLETAS</v>
      </c>
      <c r="J12" s="63">
        <f>'Necesidades Trimestrales'!H10</f>
        <v>113.3</v>
      </c>
      <c r="K12" s="62">
        <f>'Necesidades Trimestrales'!G10</f>
        <v>300</v>
      </c>
    </row>
    <row r="13" spans="1:11" ht="27.75" customHeight="1" x14ac:dyDescent="0.2">
      <c r="A13" s="60">
        <v>2</v>
      </c>
      <c r="B13" s="61"/>
      <c r="C13" s="110" t="str">
        <f>'Necesidades Trimestrales'!E11</f>
        <v>ANTIBIOTICOS P/PERSONAS; DROGA GENERICA: ACIDO FUSIDICO 20MG, FORMA FARMACEUTICA: CREMA, PRESENTACION: POMO X 15 GR, TIPO: MONODROGA</v>
      </c>
      <c r="D13" s="110"/>
      <c r="E13" s="110"/>
      <c r="F13" s="110"/>
      <c r="G13" s="110"/>
      <c r="H13" s="64" t="s">
        <v>53</v>
      </c>
      <c r="I13" s="65" t="str">
        <f>'Necesidades Trimestrales'!F11</f>
        <v>ENVASE</v>
      </c>
      <c r="J13" s="63">
        <f>'Necesidades Trimestrales'!H11</f>
        <v>459</v>
      </c>
      <c r="K13" s="62">
        <f>'Necesidades Trimestrales'!G11</f>
        <v>10</v>
      </c>
    </row>
    <row r="14" spans="1:11" ht="27.75" customHeight="1" x14ac:dyDescent="0.2">
      <c r="A14" s="60">
        <v>3</v>
      </c>
      <c r="B14" s="61"/>
      <c r="C14" s="110" t="str">
        <f>'Necesidades Trimestrales'!E12</f>
        <v>APOSITOS; TIPO: HIDROCOLOIDE, TAMAÑO: 15 X 17,5 Cm</v>
      </c>
      <c r="D14" s="110"/>
      <c r="E14" s="110"/>
      <c r="F14" s="110"/>
      <c r="G14" s="110"/>
      <c r="H14" s="64" t="s">
        <v>53</v>
      </c>
      <c r="I14" s="65" t="str">
        <f>'Necesidades Trimestrales'!F12</f>
        <v>UNIDAD</v>
      </c>
      <c r="J14" s="63">
        <f>'Necesidades Trimestrales'!H12</f>
        <v>998</v>
      </c>
      <c r="K14" s="62">
        <f>'Necesidades Trimestrales'!G12</f>
        <v>100</v>
      </c>
    </row>
    <row r="15" spans="1:11" ht="27.75" customHeight="1" x14ac:dyDescent="0.2">
      <c r="A15" s="60">
        <v>4</v>
      </c>
      <c r="B15" s="61"/>
      <c r="C15" s="110" t="str">
        <f>'Necesidades Trimestrales'!E13</f>
        <v>APOSITOS; TIPO: HIDROCOLOIDE, TAMAÑO: 10 X 10 Cm</v>
      </c>
      <c r="D15" s="110"/>
      <c r="E15" s="110"/>
      <c r="F15" s="110"/>
      <c r="G15" s="110"/>
      <c r="H15" s="64" t="s">
        <v>53</v>
      </c>
      <c r="I15" s="65" t="str">
        <f>'Necesidades Trimestrales'!F13</f>
        <v>UNIDAD</v>
      </c>
      <c r="J15" s="63">
        <f>'Necesidades Trimestrales'!H13</f>
        <v>380</v>
      </c>
      <c r="K15" s="62">
        <f>'Necesidades Trimestrales'!G13</f>
        <v>100</v>
      </c>
    </row>
    <row r="16" spans="1:11" ht="27.75" customHeight="1" x14ac:dyDescent="0.2">
      <c r="A16" s="60">
        <v>5</v>
      </c>
      <c r="B16" s="61"/>
      <c r="C16" s="110" t="str">
        <f>'Necesidades Trimestrales'!E14</f>
        <v>CORTICOESTEROIDES; TIPO: MONODROGA, DROGA GENERICA: BETAMETASONA, FORMA FARMACEUTICA: CREMA, PRESENTACION: 15 GR</v>
      </c>
      <c r="D16" s="110"/>
      <c r="E16" s="110"/>
      <c r="F16" s="110"/>
      <c r="G16" s="110"/>
      <c r="H16" s="64" t="s">
        <v>53</v>
      </c>
      <c r="I16" s="65" t="str">
        <f>'Necesidades Trimestrales'!F14</f>
        <v>ENVASE</v>
      </c>
      <c r="J16" s="63">
        <f>'Necesidades Trimestrales'!H14</f>
        <v>235</v>
      </c>
      <c r="K16" s="62">
        <f>'Necesidades Trimestrales'!G14</f>
        <v>10</v>
      </c>
    </row>
    <row r="17" spans="1:14" ht="27.75" customHeight="1" x14ac:dyDescent="0.2">
      <c r="A17" s="60">
        <v>6</v>
      </c>
      <c r="B17" s="61"/>
      <c r="C17" s="110" t="str">
        <f>'Necesidades Trimestrales'!E15</f>
        <v>ANTIASMATICO BRONCODILATADOR; TIPO: MONODROGA, DROGA GENERICA: BUDESONIDE 200 µGR, FORMA FARMACEUTICA: AEROSOL, PRESENTACION: 100 DOSIS</v>
      </c>
      <c r="D17" s="110"/>
      <c r="E17" s="110"/>
      <c r="F17" s="110"/>
      <c r="G17" s="110"/>
      <c r="H17" s="64" t="s">
        <v>53</v>
      </c>
      <c r="I17" s="65" t="str">
        <f>'Necesidades Trimestrales'!F15</f>
        <v>UNIDAD</v>
      </c>
      <c r="J17" s="63">
        <f>'Necesidades Trimestrales'!H15</f>
        <v>659</v>
      </c>
      <c r="K17" s="62">
        <f>'Necesidades Trimestrales'!G15</f>
        <v>300</v>
      </c>
    </row>
    <row r="18" spans="1:14" ht="27.75" customHeight="1" x14ac:dyDescent="0.2">
      <c r="A18" s="60">
        <v>7</v>
      </c>
      <c r="B18" s="61"/>
      <c r="C18" s="110" t="str">
        <f>'Necesidades Trimestrales'!E16</f>
        <v>ANTIALERGICOS-ANTIHISTAMINICOS; TIPO: MONODROGA, DROGA GENERICA: BUDESONIDA 1 MG/ML, FORMA FARMACEUTICA: GOTAS, PRESENTACION: ENVASE X 20 mL</v>
      </c>
      <c r="D18" s="110"/>
      <c r="E18" s="110"/>
      <c r="F18" s="110"/>
      <c r="G18" s="110"/>
      <c r="H18" s="64" t="s">
        <v>53</v>
      </c>
      <c r="I18" s="65" t="str">
        <f>'Necesidades Trimestrales'!F16</f>
        <v>ENVASE</v>
      </c>
      <c r="J18" s="63">
        <f>'Necesidades Trimestrales'!H16</f>
        <v>327</v>
      </c>
      <c r="K18" s="62">
        <f>'Necesidades Trimestrales'!G16</f>
        <v>300</v>
      </c>
    </row>
    <row r="19" spans="1:14" ht="27.75" customHeight="1" x14ac:dyDescent="0.2">
      <c r="A19" s="60">
        <v>8</v>
      </c>
      <c r="B19" s="61"/>
      <c r="C19" s="110" t="str">
        <f>'Necesidades Trimestrales'!E17</f>
        <v>CORTICOESTEROIDES; TIPO: MONODROGA, DROGA GENERICA: DEXAMETASONA, FORMA FARMACEUTICA: AMPOLLA, PRESENTACION: 8 mGr</v>
      </c>
      <c r="D19" s="110"/>
      <c r="E19" s="110"/>
      <c r="F19" s="110"/>
      <c r="G19" s="110"/>
      <c r="H19" s="64" t="s">
        <v>53</v>
      </c>
      <c r="I19" s="65" t="str">
        <f>'Necesidades Trimestrales'!F17</f>
        <v>AMPOLLA</v>
      </c>
      <c r="J19" s="63">
        <f>'Necesidades Trimestrales'!H17</f>
        <v>45</v>
      </c>
      <c r="K19" s="62">
        <f>'Necesidades Trimestrales'!G17</f>
        <v>5000</v>
      </c>
    </row>
    <row r="20" spans="1:14" ht="27.75" customHeight="1" x14ac:dyDescent="0.2">
      <c r="A20" s="60">
        <v>9</v>
      </c>
      <c r="B20" s="61"/>
      <c r="C20" s="110" t="str">
        <f>'Necesidades Trimestrales'!E18</f>
        <v>ANTIALERGICOS-ANTIHISTAMINICOS; TIPO: MONODROGA, DROGA GENERICA: DIFENHIDRAMINA 250 MG, FORMA FARMACEUTICA: JARABE, PRESENTACION: FRASCO X 120 mL</v>
      </c>
      <c r="D20" s="110"/>
      <c r="E20" s="110"/>
      <c r="F20" s="110"/>
      <c r="G20" s="110"/>
      <c r="H20" s="64" t="s">
        <v>53</v>
      </c>
      <c r="I20" s="65" t="str">
        <f>'Necesidades Trimestrales'!F18</f>
        <v>FRASCO</v>
      </c>
      <c r="J20" s="63">
        <f>'Necesidades Trimestrales'!H18</f>
        <v>139</v>
      </c>
      <c r="K20" s="62">
        <f>'Necesidades Trimestrales'!G18</f>
        <v>2000</v>
      </c>
    </row>
    <row r="21" spans="1:14" ht="27.75" customHeight="1" x14ac:dyDescent="0.2">
      <c r="A21" s="60">
        <v>10</v>
      </c>
      <c r="B21" s="68"/>
      <c r="C21" s="110" t="str">
        <f>'Necesidades Trimestrales'!E19</f>
        <v>ANTIALERGICOS-ANTIHISTAMINICOS; TIPO: MONODROGA, DROGA GENERICA: DIFENHIDRAMINA, FORMA FARMACEUTICA: COMPRIMIDO, PRESENTACION: 50 mGr</v>
      </c>
      <c r="D21" s="110"/>
      <c r="E21" s="110"/>
      <c r="F21" s="110"/>
      <c r="G21" s="110"/>
      <c r="H21" s="64" t="s">
        <v>53</v>
      </c>
      <c r="I21" s="65" t="str">
        <f>'Necesidades Trimestrales'!F19</f>
        <v>COMPRIMIDO</v>
      </c>
      <c r="J21" s="63">
        <f>'Necesidades Trimestrales'!H19</f>
        <v>4.6500000000000004</v>
      </c>
      <c r="K21" s="62">
        <f>'Necesidades Trimestrales'!G19</f>
        <v>400</v>
      </c>
    </row>
    <row r="22" spans="1:14" ht="27.75" customHeight="1" x14ac:dyDescent="0.2">
      <c r="A22" s="60">
        <v>11</v>
      </c>
      <c r="B22" s="68"/>
      <c r="C22" s="110" t="str">
        <f>'Necesidades Trimestrales'!E20</f>
        <v>ANTIALERGICOS-ANTIHISTAMINICOS; TIPO: MONODROGA, DROGA GENERICA: DIFENHIDRAMINA, FORMA FARMACEUTICA: AMPOLLA, PRESENTACION: 10 mGr</v>
      </c>
      <c r="D22" s="110"/>
      <c r="E22" s="110"/>
      <c r="F22" s="110"/>
      <c r="G22" s="110"/>
      <c r="H22" s="64" t="s">
        <v>53</v>
      </c>
      <c r="I22" s="65" t="str">
        <f>'Necesidades Trimestrales'!F20</f>
        <v>AMPOLLA</v>
      </c>
      <c r="J22" s="63">
        <f>'Necesidades Trimestrales'!H20</f>
        <v>55</v>
      </c>
      <c r="K22" s="62">
        <f>'Necesidades Trimestrales'!G20</f>
        <v>5000</v>
      </c>
    </row>
    <row r="23" spans="1:14" ht="27.75" customHeight="1" x14ac:dyDescent="0.2">
      <c r="A23" s="60">
        <v>12</v>
      </c>
      <c r="B23" s="68"/>
      <c r="C23" s="110" t="str">
        <f>'Necesidades Trimestrales'!E21</f>
        <v>CORTICOIDES; DROGA GENERICA: HIDROCORTIZONA 1%, FORMA FARMACEUTICA: CREMA, PRESENTACION: ENVASE X 400 mGr, TIPO: MONODROGA</v>
      </c>
      <c r="D23" s="110"/>
      <c r="E23" s="110"/>
      <c r="F23" s="110"/>
      <c r="G23" s="110"/>
      <c r="H23" s="64" t="s">
        <v>53</v>
      </c>
      <c r="I23" s="65" t="str">
        <f>'Necesidades Trimestrales'!F21</f>
        <v>ENVASE</v>
      </c>
      <c r="J23" s="63">
        <f>'Necesidades Trimestrales'!H21</f>
        <v>246.72</v>
      </c>
      <c r="K23" s="62">
        <f>'Necesidades Trimestrales'!G21</f>
        <v>20</v>
      </c>
    </row>
    <row r="24" spans="1:14" ht="27.75" customHeight="1" x14ac:dyDescent="0.2">
      <c r="A24" s="60">
        <v>13</v>
      </c>
      <c r="B24" s="68"/>
      <c r="C24" s="110" t="str">
        <f>'Necesidades Trimestrales'!E22</f>
        <v>CORTICOESTEROIDES; TIPO: MONODROGA, DROGA GENERICA: HIDROCORTISONA, FORMA FARMACEUTICA: AMPOLLA/FRASCO, PRESENTACION: 100 mGr</v>
      </c>
      <c r="D24" s="110"/>
      <c r="E24" s="110"/>
      <c r="F24" s="110"/>
      <c r="G24" s="110"/>
      <c r="H24" s="64" t="s">
        <v>53</v>
      </c>
      <c r="I24" s="65" t="str">
        <f>'Necesidades Trimestrales'!F22</f>
        <v>AMPOLLA</v>
      </c>
      <c r="J24" s="63">
        <f>'Necesidades Trimestrales'!H22</f>
        <v>120</v>
      </c>
      <c r="K24" s="62">
        <f>'Necesidades Trimestrales'!G22</f>
        <v>1500</v>
      </c>
    </row>
    <row r="25" spans="1:14" ht="27.75" customHeight="1" x14ac:dyDescent="0.2">
      <c r="A25" s="60">
        <v>14</v>
      </c>
      <c r="B25" s="68"/>
      <c r="C25" s="110" t="str">
        <f>'Necesidades Trimestrales'!E23</f>
        <v>CORTICOESTEROIDES; TIPO: MONODROGA, DROGA GENERICA: HIDROCORTISONA, FORMA FARMACEUTICA: FRASCO AMPOLLA, PRESENTACION: ENVASE X 500 mGr</v>
      </c>
      <c r="D25" s="110"/>
      <c r="E25" s="110"/>
      <c r="F25" s="110"/>
      <c r="G25" s="110"/>
      <c r="H25" s="64" t="s">
        <v>53</v>
      </c>
      <c r="I25" s="65" t="str">
        <f>'Necesidades Trimestrales'!F23</f>
        <v>AMPOLLA</v>
      </c>
      <c r="J25" s="63">
        <f>'Necesidades Trimestrales'!H23</f>
        <v>222</v>
      </c>
      <c r="K25" s="62">
        <f>'Necesidades Trimestrales'!G23</f>
        <v>1500</v>
      </c>
    </row>
    <row r="26" spans="1:14" ht="27.75" customHeight="1" x14ac:dyDescent="0.2">
      <c r="A26" s="60">
        <v>15</v>
      </c>
      <c r="B26" s="68"/>
      <c r="C26" s="110" t="str">
        <f>'Necesidades Trimestrales'!E24</f>
        <v>ANTIASMATICO BRONCODILATADOR; TIPO: MONODROGA, DROGA GENERICA: BROMURO DE IPRATROPIO 20 µGr, FORMA FARMACEUTICA: AEROSOL, PRESENTACION: UNIDAD</v>
      </c>
      <c r="D26" s="110"/>
      <c r="E26" s="110"/>
      <c r="F26" s="110"/>
      <c r="G26" s="110"/>
      <c r="H26" s="64" t="s">
        <v>53</v>
      </c>
      <c r="I26" s="65" t="str">
        <f>'Necesidades Trimestrales'!F24</f>
        <v>UNIDAD</v>
      </c>
      <c r="J26" s="63">
        <f>'Necesidades Trimestrales'!H24</f>
        <v>966</v>
      </c>
      <c r="K26" s="62">
        <f>'Necesidades Trimestrales'!G24</f>
        <v>10</v>
      </c>
    </row>
    <row r="27" spans="1:14" ht="27.75" customHeight="1" x14ac:dyDescent="0.2">
      <c r="A27" s="60">
        <v>16</v>
      </c>
      <c r="B27" s="68"/>
      <c r="C27" s="110" t="str">
        <f>'Necesidades Trimestrales'!E25</f>
        <v>ANTIASMATICO BRONCODILATADOR; TIPO: MONODROGA, DROGA GENERICA: BROMURO DE IPRATROPIO, FORMA FARMACEUTICA: SOLUCION, PRESENTACION: 20 mL</v>
      </c>
      <c r="D27" s="110"/>
      <c r="E27" s="110"/>
      <c r="F27" s="110"/>
      <c r="G27" s="110"/>
      <c r="H27" s="64" t="s">
        <v>53</v>
      </c>
      <c r="I27" s="65" t="str">
        <f>'Necesidades Trimestrales'!F25</f>
        <v>GOTERO</v>
      </c>
      <c r="J27" s="63">
        <f>'Necesidades Trimestrales'!H25</f>
        <v>98</v>
      </c>
      <c r="K27" s="62">
        <f>'Necesidades Trimestrales'!G25</f>
        <v>1000</v>
      </c>
    </row>
    <row r="28" spans="1:14" ht="27.75" customHeight="1" x14ac:dyDescent="0.2">
      <c r="A28" s="60">
        <v>17</v>
      </c>
      <c r="B28" s="68"/>
      <c r="C28" s="110" t="str">
        <f>'Necesidades Trimestrales'!E26</f>
        <v>ANTIMICOTICOS; TIPO: MONODROGA, FORMA FARMACEUTICA: CREMA, PRESENTACION: 15 GR, DROGA GENERICA: KETOCONAZOL</v>
      </c>
      <c r="D28" s="110"/>
      <c r="E28" s="110"/>
      <c r="F28" s="110"/>
      <c r="G28" s="110"/>
      <c r="H28" s="64" t="s">
        <v>53</v>
      </c>
      <c r="I28" s="65" t="str">
        <f>'Necesidades Trimestrales'!F26</f>
        <v>ENVASE</v>
      </c>
      <c r="J28" s="63">
        <f>'Necesidades Trimestrales'!H26</f>
        <v>648</v>
      </c>
      <c r="K28" s="62">
        <f>'Necesidades Trimestrales'!G26</f>
        <v>10</v>
      </c>
    </row>
    <row r="29" spans="1:14" ht="27.75" customHeight="1" x14ac:dyDescent="0.2">
      <c r="A29" s="60">
        <v>18</v>
      </c>
      <c r="B29" s="68"/>
      <c r="C29" s="110" t="str">
        <f>'Necesidades Trimestrales'!E27</f>
        <v>CORTICOIDES; DROGA GENERICA: MEPREDNISONA, FORMA FARMACEUTICA: COMPRIMIDO, PRESENTACION: 4 mGr, TIPO: MONODROGA</v>
      </c>
      <c r="D29" s="110"/>
      <c r="E29" s="110"/>
      <c r="F29" s="110"/>
      <c r="G29" s="110"/>
      <c r="H29" s="64" t="s">
        <v>53</v>
      </c>
      <c r="I29" s="65" t="str">
        <f>'Necesidades Trimestrales'!F27</f>
        <v>COMPRIMIDO</v>
      </c>
      <c r="J29" s="63">
        <f>'Necesidades Trimestrales'!H27</f>
        <v>9.8000000000000007</v>
      </c>
      <c r="K29" s="62">
        <f>'Necesidades Trimestrales'!G27</f>
        <v>1000</v>
      </c>
    </row>
    <row r="30" spans="1:14" ht="27.75" customHeight="1" x14ac:dyDescent="0.2">
      <c r="A30" s="60">
        <v>19</v>
      </c>
      <c r="B30" s="68"/>
      <c r="C30" s="110" t="str">
        <f>'Necesidades Trimestrales'!E28</f>
        <v>CORTICOIDES; DROGA GENÉRICA: MEPREDNISONA 4 ML/MG, FORMA FARMACEÚTICA: GOTAS</v>
      </c>
      <c r="D30" s="110"/>
      <c r="E30" s="110"/>
      <c r="F30" s="110"/>
      <c r="G30" s="110"/>
      <c r="H30" s="64" t="s">
        <v>53</v>
      </c>
      <c r="I30" s="65" t="str">
        <f>'Necesidades Trimestrales'!F28</f>
        <v>GOTERO</v>
      </c>
      <c r="J30" s="63">
        <f>'Necesidades Trimestrales'!H28</f>
        <v>315</v>
      </c>
      <c r="K30" s="62">
        <f>'Necesidades Trimestrales'!G28</f>
        <v>2000</v>
      </c>
    </row>
    <row r="31" spans="1:14" ht="27.75" customHeight="1" x14ac:dyDescent="0.2">
      <c r="A31" s="60">
        <v>20</v>
      </c>
      <c r="B31" s="68"/>
      <c r="C31" s="110" t="str">
        <f>'Necesidades Trimestrales'!E29</f>
        <v>CORTICOIDES; DROGA GENERICA: METILPREDNISOLONA, FORMA FARMACEUTICA: FRASCO AMPOLLA, PRESENTACION: 500, TIPO: MONODROGA</v>
      </c>
      <c r="D31" s="110"/>
      <c r="E31" s="110"/>
      <c r="F31" s="110"/>
      <c r="G31" s="110"/>
      <c r="H31" s="64" t="s">
        <v>53</v>
      </c>
      <c r="I31" s="65" t="str">
        <f>'Necesidades Trimestrales'!F29</f>
        <v>AMPOLLA</v>
      </c>
      <c r="J31" s="63">
        <f>'Necesidades Trimestrales'!H29</f>
        <v>978</v>
      </c>
      <c r="K31" s="62">
        <f>'Necesidades Trimestrales'!G29</f>
        <v>50</v>
      </c>
      <c r="N31" s="35" t="s">
        <v>54</v>
      </c>
    </row>
    <row r="32" spans="1:14" ht="27.75" customHeight="1" x14ac:dyDescent="0.2">
      <c r="A32" s="60">
        <v>21</v>
      </c>
      <c r="B32" s="68"/>
      <c r="C32" s="110" t="str">
        <f>'Necesidades Trimestrales'!E30</f>
        <v>CORTICOIDES; DROGA GENERICA: MEPREDNISONA, FORMA FARMACEUTICA: COMPRIMIDO, PRESENTACION: 40 mGr, TIPO: MONODROGA</v>
      </c>
      <c r="D32" s="110"/>
      <c r="E32" s="110"/>
      <c r="F32" s="110"/>
      <c r="G32" s="110"/>
      <c r="H32" s="64" t="s">
        <v>53</v>
      </c>
      <c r="I32" s="65" t="str">
        <f>'Necesidades Trimestrales'!F30</f>
        <v>COMPRIMIDO</v>
      </c>
      <c r="J32" s="63">
        <f>'Necesidades Trimestrales'!H30</f>
        <v>45</v>
      </c>
      <c r="K32" s="62">
        <f>'Necesidades Trimestrales'!G30</f>
        <v>1000</v>
      </c>
    </row>
    <row r="33" spans="1:14" ht="27.75" customHeight="1" x14ac:dyDescent="0.2">
      <c r="A33" s="60">
        <v>22</v>
      </c>
      <c r="B33" s="68"/>
      <c r="C33" s="110" t="str">
        <f>'Necesidades Trimestrales'!E31</f>
        <v>CORTICOESTEROIDES; TIPO: MONODROGA, DROGA GENERICA: MEPREDNISONA 8 mGr, FORMA FARMACEUTICA: COMPRIMIDO, PRESENTACION: UNIDAD</v>
      </c>
      <c r="D33" s="110"/>
      <c r="E33" s="110"/>
      <c r="F33" s="110"/>
      <c r="G33" s="110"/>
      <c r="H33" s="64" t="s">
        <v>53</v>
      </c>
      <c r="I33" s="65" t="str">
        <f>'Necesidades Trimestrales'!F31</f>
        <v>COMPRIMIDO</v>
      </c>
      <c r="J33" s="63">
        <f>'Necesidades Trimestrales'!H31</f>
        <v>17.350000000000001</v>
      </c>
      <c r="K33" s="62">
        <f>'Necesidades Trimestrales'!G31</f>
        <v>1500</v>
      </c>
    </row>
    <row r="34" spans="1:14" ht="27.75" customHeight="1" x14ac:dyDescent="0.2">
      <c r="A34" s="60">
        <v>23</v>
      </c>
      <c r="B34" s="68"/>
      <c r="C34" s="110" t="str">
        <f>'Necesidades Trimestrales'!E32</f>
        <v>ANTIASMATICO BRONCODILATADOR; TIPO: MONODROGA, DROGA GENERICA: SALBUTAMOL, FORMA FARMACEUTICA: AEROSOL, PRESENTACION: 250 DOSIS</v>
      </c>
      <c r="D34" s="110"/>
      <c r="E34" s="110"/>
      <c r="F34" s="110"/>
      <c r="G34" s="110"/>
      <c r="H34" s="64" t="s">
        <v>53</v>
      </c>
      <c r="I34" s="65" t="str">
        <f>'Necesidades Trimestrales'!F32</f>
        <v>UNIDAD</v>
      </c>
      <c r="J34" s="63">
        <f>'Necesidades Trimestrales'!H32</f>
        <v>580</v>
      </c>
      <c r="K34" s="62">
        <f>'Necesidades Trimestrales'!G32</f>
        <v>1000</v>
      </c>
    </row>
    <row r="35" spans="1:14" ht="27.75" customHeight="1" x14ac:dyDescent="0.2">
      <c r="A35" s="60">
        <v>24</v>
      </c>
      <c r="B35" s="68"/>
      <c r="C35" s="110" t="str">
        <f>'Necesidades Trimestrales'!E33</f>
        <v>ANTIASMATICO BRONCODILATADOR; TIPO: MONODROGA, PRESENTACION: 20 mL, FORMA FARMACEUTICA: GOTAS, DROGA GENERICA: SALBUTAMOL</v>
      </c>
      <c r="D35" s="110"/>
      <c r="E35" s="110"/>
      <c r="F35" s="110"/>
      <c r="G35" s="110"/>
      <c r="H35" s="64" t="s">
        <v>53</v>
      </c>
      <c r="I35" s="65" t="str">
        <f>'Necesidades Trimestrales'!F33</f>
        <v>GOTERO</v>
      </c>
      <c r="J35" s="63">
        <f>'Necesidades Trimestrales'!H33</f>
        <v>58</v>
      </c>
      <c r="K35" s="62">
        <f>'Necesidades Trimestrales'!G33</f>
        <v>1000</v>
      </c>
    </row>
    <row r="36" spans="1:14" ht="27.75" customHeight="1" x14ac:dyDescent="0.2">
      <c r="A36" s="60">
        <v>25</v>
      </c>
      <c r="B36" s="68"/>
      <c r="C36" s="110" t="str">
        <f>'Necesidades Trimestrales'!E34</f>
        <v>ANESTÉSICOS LOCALES; TIPO: ANALGÉSICO LOCAL Y ANTIBACTERIANO, DROGA GENÉRICA: LIDOCAÍNA + SULFADIAZINA + VITAMINA A, FORMA FARMACEÚTICA: CREMA, PRESENTACIÓN: ENVASE X 100 GR</v>
      </c>
      <c r="D36" s="110"/>
      <c r="E36" s="110"/>
      <c r="F36" s="110"/>
      <c r="G36" s="110"/>
      <c r="H36" s="64" t="s">
        <v>53</v>
      </c>
      <c r="I36" s="65" t="str">
        <f>'Necesidades Trimestrales'!F34</f>
        <v>ENVASE</v>
      </c>
      <c r="J36" s="63">
        <f>'Necesidades Trimestrales'!H34</f>
        <v>1120</v>
      </c>
      <c r="K36" s="62">
        <f>'Necesidades Trimestrales'!G34</f>
        <v>150</v>
      </c>
    </row>
    <row r="37" spans="1:14" ht="27.75" customHeight="1" thickBot="1" x14ac:dyDescent="0.25">
      <c r="A37" s="60">
        <v>26</v>
      </c>
      <c r="B37" s="68"/>
      <c r="C37" s="110" t="str">
        <f>'Necesidades Trimestrales'!E35</f>
        <v>LAXANTES; TIPO: MONODROGA, DROGA GENERICA: VASELINA, FORMA FARMACEUTICA: SOLIDO, PRESENTACION: 1000 GR</v>
      </c>
      <c r="D37" s="110"/>
      <c r="E37" s="110"/>
      <c r="F37" s="110"/>
      <c r="G37" s="110"/>
      <c r="H37" s="64" t="s">
        <v>53</v>
      </c>
      <c r="I37" s="65" t="str">
        <f>'Necesidades Trimestrales'!F35</f>
        <v>UNIDAD</v>
      </c>
      <c r="J37" s="63">
        <f>'Necesidades Trimestrales'!H35</f>
        <v>1260</v>
      </c>
      <c r="K37" s="62">
        <f>'Necesidades Trimestrales'!G35</f>
        <v>20</v>
      </c>
    </row>
    <row r="38" spans="1:14" ht="20.25" customHeight="1" thickBot="1" x14ac:dyDescent="0.25">
      <c r="A38" s="108" t="s">
        <v>127</v>
      </c>
      <c r="B38" s="108"/>
      <c r="C38" s="108"/>
      <c r="D38" s="108"/>
      <c r="E38" s="108"/>
      <c r="F38" s="108"/>
      <c r="G38" s="108"/>
      <c r="H38" s="108"/>
      <c r="I38" s="108"/>
      <c r="J38" s="109">
        <f>SUMPRODUCT(J12:J37,K12:K37)</f>
        <v>3477389.4</v>
      </c>
      <c r="K38" s="109"/>
      <c r="N38" s="46"/>
    </row>
  </sheetData>
  <mergeCells count="48">
    <mergeCell ref="C32:G32"/>
    <mergeCell ref="C33:G33"/>
    <mergeCell ref="C35:G35"/>
    <mergeCell ref="C36:G36"/>
    <mergeCell ref="C37:G37"/>
    <mergeCell ref="C34:G34"/>
    <mergeCell ref="C31:G31"/>
    <mergeCell ref="C25:G25"/>
    <mergeCell ref="C26:G26"/>
    <mergeCell ref="C27:G27"/>
    <mergeCell ref="C28:G28"/>
    <mergeCell ref="C29:G29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A38:I38"/>
    <mergeCell ref="J38:K38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4:G24"/>
    <mergeCell ref="C21:G21"/>
    <mergeCell ref="C22:G22"/>
    <mergeCell ref="C23:G23"/>
    <mergeCell ref="C30:G30"/>
  </mergeCells>
  <printOptions horizontalCentered="1"/>
  <pageMargins left="0.19685039370078741" right="0.19685039370078741" top="0.39370078740157483" bottom="0.39370078740157483" header="0" footer="0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"/>
  <sheetViews>
    <sheetView topLeftCell="A16" zoomScale="130" zoomScaleNormal="130" workbookViewId="0">
      <selection activeCell="F29" sqref="F29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48" t="s">
        <v>3</v>
      </c>
      <c r="B1" s="148"/>
      <c r="C1" s="148"/>
      <c r="D1" s="149">
        <f>'Necesidades Trimestrales'!C6</f>
        <v>2022</v>
      </c>
      <c r="E1" s="149"/>
      <c r="F1" s="3"/>
      <c r="G1" s="3"/>
      <c r="H1" s="4"/>
      <c r="I1" s="4"/>
      <c r="J1" s="4"/>
      <c r="K1" s="4"/>
      <c r="L1" s="4"/>
      <c r="M1" s="4"/>
      <c r="N1" s="4"/>
      <c r="P1" s="150" t="s">
        <v>25</v>
      </c>
      <c r="Q1" s="150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50"/>
      <c r="Q2" s="150"/>
    </row>
    <row r="4" spans="1:17" s="5" customFormat="1" ht="18" customHeight="1" thickBot="1" x14ac:dyDescent="0.25">
      <c r="A4" s="151" t="s">
        <v>26</v>
      </c>
      <c r="B4" s="151"/>
      <c r="C4" s="151"/>
      <c r="D4" s="151"/>
      <c r="E4" s="151"/>
      <c r="F4" s="151"/>
      <c r="G4" s="146" t="str">
        <f>' NotaPedido'!D3</f>
        <v>040 - Ministerio de Salud</v>
      </c>
      <c r="H4" s="146"/>
      <c r="I4" s="146"/>
      <c r="J4" s="146"/>
      <c r="K4" s="146"/>
      <c r="L4" s="146"/>
      <c r="M4" s="146"/>
      <c r="N4" s="146"/>
      <c r="O4" s="146"/>
      <c r="P4" s="146"/>
      <c r="Q4" s="146"/>
    </row>
    <row r="5" spans="1:17" s="5" customFormat="1" ht="18" customHeight="1" thickBot="1" x14ac:dyDescent="0.25">
      <c r="A5" s="143" t="s">
        <v>49</v>
      </c>
      <c r="B5" s="144"/>
      <c r="C5" s="144"/>
      <c r="D5" s="144"/>
      <c r="E5" s="144"/>
      <c r="F5" s="145"/>
      <c r="G5" s="146" t="str">
        <f>' NotaPedido'!D4</f>
        <v>024 - Direccion de Administracion del Hospital Interzonal de Niños Eva Peron</v>
      </c>
      <c r="H5" s="146"/>
      <c r="I5" s="146"/>
      <c r="J5" s="146"/>
      <c r="K5" s="146"/>
      <c r="L5" s="146"/>
      <c r="M5" s="146"/>
      <c r="N5" s="146"/>
      <c r="O5" s="146"/>
      <c r="P5" s="146"/>
      <c r="Q5" s="146"/>
    </row>
    <row r="6" spans="1:17" s="5" customFormat="1" ht="18" customHeight="1" thickBot="1" x14ac:dyDescent="0.25">
      <c r="A6" s="143" t="s">
        <v>27</v>
      </c>
      <c r="B6" s="144"/>
      <c r="C6" s="144"/>
      <c r="D6" s="144"/>
      <c r="E6" s="144"/>
      <c r="F6" s="145"/>
      <c r="G6" s="146" t="str">
        <f>' NotaPedido'!D5</f>
        <v>024 - Direccion de Administracion del Hospital Interzonal de Niños Eva Peron</v>
      </c>
      <c r="H6" s="146"/>
      <c r="I6" s="146"/>
      <c r="J6" s="146"/>
      <c r="K6" s="146"/>
      <c r="L6" s="146"/>
      <c r="M6" s="146"/>
      <c r="N6" s="146"/>
      <c r="O6" s="146"/>
      <c r="P6" s="146"/>
      <c r="Q6" s="146"/>
    </row>
    <row r="7" spans="1:17" s="5" customFormat="1" ht="18" customHeight="1" thickBot="1" x14ac:dyDescent="0.25">
      <c r="A7" s="143" t="s">
        <v>50</v>
      </c>
      <c r="B7" s="144"/>
      <c r="C7" s="144"/>
      <c r="D7" s="144"/>
      <c r="E7" s="144"/>
      <c r="F7" s="145"/>
      <c r="G7" s="146" t="s">
        <v>55</v>
      </c>
      <c r="H7" s="146"/>
      <c r="I7" s="146"/>
      <c r="J7" s="146"/>
      <c r="K7" s="146"/>
      <c r="L7" s="146"/>
      <c r="M7" s="146"/>
      <c r="N7" s="146"/>
      <c r="O7" s="146"/>
      <c r="P7" s="146"/>
      <c r="Q7" s="146"/>
    </row>
    <row r="8" spans="1:17" ht="18" customHeight="1" thickBot="1" x14ac:dyDescent="0.25">
      <c r="A8" s="147" t="s">
        <v>28</v>
      </c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</row>
    <row r="9" spans="1:17" ht="18" customHeight="1" x14ac:dyDescent="0.2">
      <c r="A9" s="132" t="s">
        <v>29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"/>
      <c r="P9" s="1"/>
      <c r="Q9" s="6"/>
    </row>
    <row r="10" spans="1:17" ht="54.75" customHeight="1" x14ac:dyDescent="0.2">
      <c r="A10" s="133" t="str">
        <f>"Autorizo la realización de los  trámites correspondientes, a fin de proveer a  este Organismo los bienes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que se detallan en Nota  de Pedido N° 057/2022,  afectando la erogación resultante a los créditos presupuestarios aprobados a favor de esta Unidad Ejecutora, conforme al siguiente detalle:</v>
      </c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34" t="s">
        <v>30</v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</row>
    <row r="13" spans="1:17" ht="15.75" customHeight="1" thickBot="1" x14ac:dyDescent="0.25">
      <c r="A13" s="135" t="s">
        <v>31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7" t="s">
        <v>32</v>
      </c>
      <c r="P13" s="138"/>
      <c r="Q13" s="141" t="s">
        <v>33</v>
      </c>
    </row>
    <row r="14" spans="1:17" ht="15.75" customHeight="1" thickBot="1" x14ac:dyDescent="0.25">
      <c r="A14" s="51" t="s">
        <v>34</v>
      </c>
      <c r="B14" s="52" t="s">
        <v>35</v>
      </c>
      <c r="C14" s="52" t="s">
        <v>36</v>
      </c>
      <c r="D14" s="52" t="s">
        <v>37</v>
      </c>
      <c r="E14" s="52" t="s">
        <v>38</v>
      </c>
      <c r="F14" s="52" t="s">
        <v>39</v>
      </c>
      <c r="G14" s="53" t="s">
        <v>40</v>
      </c>
      <c r="H14" s="52" t="s">
        <v>41</v>
      </c>
      <c r="I14" s="52" t="s">
        <v>42</v>
      </c>
      <c r="J14" s="52" t="s">
        <v>43</v>
      </c>
      <c r="K14" s="52" t="s">
        <v>43</v>
      </c>
      <c r="L14" s="52" t="s">
        <v>44</v>
      </c>
      <c r="M14" s="54" t="s">
        <v>45</v>
      </c>
      <c r="N14" s="55" t="s">
        <v>46</v>
      </c>
      <c r="O14" s="139"/>
      <c r="P14" s="140"/>
      <c r="Q14" s="142"/>
    </row>
    <row r="15" spans="1:17" ht="26.25" customHeight="1" x14ac:dyDescent="0.2">
      <c r="A15" s="47">
        <v>36</v>
      </c>
      <c r="B15" s="48"/>
      <c r="C15" s="48"/>
      <c r="D15" s="48">
        <v>1</v>
      </c>
      <c r="E15" s="48"/>
      <c r="F15" s="48">
        <v>4901</v>
      </c>
      <c r="G15" s="48">
        <v>3</v>
      </c>
      <c r="H15" s="48">
        <v>310</v>
      </c>
      <c r="I15" s="48">
        <v>2</v>
      </c>
      <c r="J15" s="48">
        <v>5</v>
      </c>
      <c r="K15" s="48">
        <v>2</v>
      </c>
      <c r="L15" s="48"/>
      <c r="M15" s="49">
        <v>1</v>
      </c>
      <c r="N15" s="50" t="s">
        <v>52</v>
      </c>
      <c r="O15" s="125" t="s">
        <v>125</v>
      </c>
      <c r="P15" s="125"/>
      <c r="Q15" s="56">
        <v>3477389.4</v>
      </c>
    </row>
    <row r="16" spans="1:17" ht="24.75" customHeight="1" x14ac:dyDescent="0.2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57"/>
      <c r="O16" s="126"/>
      <c r="P16" s="127"/>
      <c r="Q16" s="15"/>
    </row>
    <row r="17" spans="1:18" ht="17.25" customHeight="1" x14ac:dyDescent="0.2">
      <c r="A17" s="11"/>
      <c r="B17" s="12"/>
      <c r="C17" s="12"/>
      <c r="D17" s="12"/>
      <c r="E17" s="12"/>
      <c r="F17" s="14"/>
      <c r="G17" s="12"/>
      <c r="H17" s="12"/>
      <c r="I17" s="12"/>
      <c r="J17" s="12"/>
      <c r="K17" s="12"/>
      <c r="L17" s="12"/>
      <c r="M17" s="13"/>
      <c r="N17" s="14"/>
      <c r="O17" s="120"/>
      <c r="P17" s="120"/>
      <c r="Q17" s="15"/>
    </row>
    <row r="18" spans="1:18" ht="17.25" customHeight="1" x14ac:dyDescent="0.2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14"/>
      <c r="O18" s="120"/>
      <c r="P18" s="120"/>
      <c r="Q18" s="15"/>
    </row>
    <row r="19" spans="1:18" ht="17.25" customHeight="1" x14ac:dyDescent="0.2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21"/>
      <c r="P19" s="121"/>
      <c r="Q19" s="15"/>
      <c r="R19" s="1"/>
    </row>
    <row r="20" spans="1:18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22"/>
      <c r="P20" s="122"/>
      <c r="Q20" s="24"/>
    </row>
    <row r="21" spans="1:18" ht="29.25" customHeight="1" x14ac:dyDescent="0.2">
      <c r="A21" s="123" t="s">
        <v>126</v>
      </c>
      <c r="B21" s="123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25">
        <f>SUM(Q15:Q20)</f>
        <v>3477389.4</v>
      </c>
    </row>
    <row r="22" spans="1:18" ht="18" customHeight="1" thickBot="1" x14ac:dyDescent="0.25">
      <c r="A22" s="124"/>
      <c r="B22" s="124"/>
      <c r="C22" s="124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</row>
    <row r="23" spans="1:18" ht="17.25" customHeight="1" thickBot="1" x14ac:dyDescent="0.25">
      <c r="A23" s="128" t="s">
        <v>47</v>
      </c>
      <c r="B23" s="129"/>
      <c r="C23" s="129"/>
      <c r="D23" s="129"/>
      <c r="E23" s="129"/>
      <c r="F23" s="130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</row>
    <row r="24" spans="1:18" ht="18" customHeight="1" thickBot="1" x14ac:dyDescent="0.25">
      <c r="A24" s="119" t="s">
        <v>131</v>
      </c>
      <c r="B24" s="119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</row>
    <row r="25" spans="1:18" ht="39.75" customHeight="1" thickBot="1" x14ac:dyDescent="0.25">
      <c r="A25" s="119"/>
      <c r="B25" s="119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</row>
  </sheetData>
  <mergeCells count="29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A23:F23"/>
    <mergeCell ref="G23:Q23"/>
    <mergeCell ref="A24:Q25"/>
    <mergeCell ref="O18:P18"/>
    <mergeCell ref="O19:P19"/>
    <mergeCell ref="O20:P20"/>
    <mergeCell ref="A21:P21"/>
    <mergeCell ref="A22:Q22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2022-05-16T15:22:53Z</cp:lastPrinted>
  <dcterms:created xsi:type="dcterms:W3CDTF">2020-07-17T23:44:49Z</dcterms:created>
  <dcterms:modified xsi:type="dcterms:W3CDTF">2022-05-20T12:40:50Z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