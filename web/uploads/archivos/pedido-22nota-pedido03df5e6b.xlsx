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Carga SIAC\NO-2021-00680308-CAT-DPPR#MHP\"/>
    </mc:Choice>
  </mc:AlternateContent>
  <xr:revisionPtr revIDLastSave="0" documentId="8_{6C9C88FD-6654-4831-9E0B-8919A98F2474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MCT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1" i="2" l="1"/>
  <c r="K39" i="2" s="1"/>
  <c r="D31" i="2"/>
  <c r="I30" i="2"/>
  <c r="K41" i="2" s="1"/>
  <c r="D30" i="2"/>
  <c r="I29" i="2"/>
  <c r="K37" i="2" s="1"/>
  <c r="D29" i="2"/>
  <c r="I28" i="2"/>
  <c r="D28" i="2"/>
  <c r="I27" i="2"/>
  <c r="D27" i="2"/>
  <c r="I26" i="2"/>
  <c r="D26" i="2"/>
  <c r="I25" i="2"/>
  <c r="D25" i="2"/>
  <c r="I24" i="2"/>
  <c r="D24" i="2"/>
  <c r="I23" i="2"/>
  <c r="K38" i="2" s="1"/>
  <c r="I22" i="2"/>
  <c r="D22" i="2"/>
  <c r="I21" i="2"/>
  <c r="D21" i="2"/>
  <c r="I20" i="2"/>
  <c r="D20" i="2"/>
  <c r="I19" i="2"/>
  <c r="D19" i="2"/>
  <c r="I18" i="2"/>
  <c r="D18" i="2"/>
  <c r="I17" i="2"/>
  <c r="D17" i="2"/>
  <c r="I16" i="2"/>
  <c r="D16" i="2"/>
  <c r="I15" i="2"/>
  <c r="D15" i="2"/>
  <c r="I14" i="2"/>
  <c r="D14" i="2"/>
  <c r="I13" i="2"/>
  <c r="D13" i="2"/>
  <c r="I12" i="2"/>
  <c r="D12" i="2"/>
  <c r="I11" i="2"/>
  <c r="D11" i="2"/>
  <c r="I10" i="2"/>
  <c r="I9" i="2"/>
  <c r="K40" i="2" s="1"/>
  <c r="I8" i="2"/>
  <c r="D8" i="2"/>
  <c r="I7" i="2"/>
  <c r="D7" i="2"/>
  <c r="I6" i="2"/>
  <c r="D6" i="2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I5" i="2"/>
  <c r="D5" i="2"/>
  <c r="K43" i="2" l="1"/>
  <c r="I33" i="2"/>
</calcChain>
</file>

<file path=xl/sharedStrings.xml><?xml version="1.0" encoding="utf-8"?>
<sst xmlns="http://schemas.openxmlformats.org/spreadsheetml/2006/main" count="142" uniqueCount="86">
  <si>
    <t>ID</t>
  </si>
  <si>
    <t>CODIGO ITEM</t>
  </si>
  <si>
    <t>RUBRO DE COMPRA</t>
  </si>
  <si>
    <t xml:space="preserve">I.P.P. </t>
  </si>
  <si>
    <t>UNIDAD DE MEDIDA</t>
  </si>
  <si>
    <t>CANTIDAD</t>
  </si>
  <si>
    <t>PRECIO UNITARIO ESTIMADO</t>
  </si>
  <si>
    <t xml:space="preserve">IMPORTE TOTAL ESTIMADO </t>
  </si>
  <si>
    <t>ELEMENTOS DE LIMPIEZA</t>
  </si>
  <si>
    <t>UNIDAD</t>
  </si>
  <si>
    <t>2.9.1-564.23</t>
  </si>
  <si>
    <t>2.5.4-505.13</t>
  </si>
  <si>
    <t>PAQUETE</t>
  </si>
  <si>
    <t>2.9.1-6952.29</t>
  </si>
  <si>
    <t>CEPILLOS; TIPO: ESCOBILLA LIMPIA INODORO, MATERIAL: PLASTICO</t>
  </si>
  <si>
    <t>2.5.8</t>
  </si>
  <si>
    <t>Control IPP</t>
  </si>
  <si>
    <r>
      <t>NO-2021-00675117-CAT-DPARH#MCT</t>
    </r>
    <r>
      <rPr>
        <b/>
        <sz val="14"/>
        <color theme="1"/>
        <rFont val="Calibri"/>
        <family val="2"/>
        <scheme val="minor"/>
      </rPr>
      <t xml:space="preserve"> (Adq.de artículos de Limpieza)</t>
    </r>
  </si>
  <si>
    <t>DESCRIPCION S/NEC.TRIM. Y Npe N° 27/2021</t>
  </si>
  <si>
    <t>2.9.1-6951.303</t>
  </si>
  <si>
    <r>
      <t xml:space="preserve">LIMPIADORES; TIPO: LIMPIA MUEBLES, PRESENTACION: </t>
    </r>
    <r>
      <rPr>
        <b/>
        <sz val="10"/>
        <rFont val="Arial"/>
        <family val="2"/>
      </rPr>
      <t>AEROSOL X 360 CM3</t>
    </r>
    <r>
      <rPr>
        <sz val="10"/>
        <rFont val="Arial"/>
        <family val="2"/>
      </rPr>
      <t>, BIODEGRADABLE: SI</t>
    </r>
  </si>
  <si>
    <t>2.9.1-6951.41</t>
  </si>
  <si>
    <r>
      <t xml:space="preserve">LIMPIADORES; TIPO: DESINFECTANTE P/PISO, PRESENTACION: </t>
    </r>
    <r>
      <rPr>
        <b/>
        <sz val="10"/>
        <rFont val="Arial"/>
        <family val="2"/>
      </rPr>
      <t>ENVASE X 5 L</t>
    </r>
  </si>
  <si>
    <t>Especificidades Item N° 2</t>
  </si>
  <si>
    <t>NO SE ACEPTARAN PRODUCTOS PARA DILUIR, SOLO SE TENDRAN EN CUENTA PRODUCTOS PREPARADOS SOLO LISTOS PARA SU USO.-</t>
  </si>
  <si>
    <t>2.9.1-6956.27</t>
  </si>
  <si>
    <r>
      <t xml:space="preserve">ARTICULOS DE TOCADOR; TIPO: JABON DE TOCADOR LIQUIDO, PRESENTACION: </t>
    </r>
    <r>
      <rPr>
        <b/>
        <sz val="10"/>
        <rFont val="Arial"/>
        <family val="2"/>
      </rPr>
      <t>ENVASE X 5 L</t>
    </r>
  </si>
  <si>
    <t>Especificidades Item N° 3</t>
  </si>
  <si>
    <r>
      <t xml:space="preserve">BALDES DE PLASTICO; </t>
    </r>
    <r>
      <rPr>
        <b/>
        <sz val="10"/>
        <rFont val="Arial"/>
        <family val="2"/>
      </rPr>
      <t>CAPACIDAD: 12 L</t>
    </r>
    <r>
      <rPr>
        <sz val="10"/>
        <rFont val="Arial"/>
        <family val="2"/>
      </rPr>
      <t>, TIPO DE PLASTICO: POLIPROPILENO</t>
    </r>
  </si>
  <si>
    <t>2.9.1-646.32</t>
  </si>
  <si>
    <t>BOLSAS DE RESIDUOS; DIMENSION: 120 X 90 Cm, PRESENTACION: BOLSA X 100, ESPESOR: 60 Mn, COLOR: NEGRO</t>
  </si>
  <si>
    <t>BOLSA</t>
  </si>
  <si>
    <t>2.9.1-646.98</t>
  </si>
  <si>
    <t>BOLSAS DE RESIDUOS; DIMENSION: 90 X 60 Cm, PRESENTACION: ENVASE X 50 UN, ESPESOR: 120 Mn</t>
  </si>
  <si>
    <t>2.9.1-6952.75</t>
  </si>
  <si>
    <t>CEPILLOS; TIPO: ESCOBA BARREHOJAS, MATERIAL: CERDAS METALICAS</t>
  </si>
  <si>
    <t>2.9.1-6952.45</t>
  </si>
  <si>
    <t>CEPILLOS; TIPO: ESCOBILLA LIMPIAVIDRIOS, MATERIAL: PLASTICO Y GOMA</t>
  </si>
  <si>
    <t>2.9.1-544.64</t>
  </si>
  <si>
    <r>
      <t xml:space="preserve">DESODORANTES DE AMBIENTE; FORMATO: AEROSOL, FRAGANCIA: CAMPOS DE JAZMIN, PRESENTACION: </t>
    </r>
    <r>
      <rPr>
        <b/>
        <sz val="10"/>
        <rFont val="Arial"/>
        <family val="2"/>
      </rPr>
      <t>ENVASE X 360 CM3</t>
    </r>
    <r>
      <rPr>
        <sz val="10"/>
        <rFont val="Arial"/>
        <family val="2"/>
      </rPr>
      <t>, LIBRE DE CFC: SI</t>
    </r>
  </si>
  <si>
    <t>2.9.1-6961.27</t>
  </si>
  <si>
    <r>
      <t xml:space="preserve">ELEM. P/LIMPIEZA SANITARIOS; TIPO: BOLILLA P/MINGITORIO, PRESENTACION: </t>
    </r>
    <r>
      <rPr>
        <b/>
        <sz val="10"/>
        <rFont val="Arial"/>
        <family val="2"/>
      </rPr>
      <t>ENVASE X 480 GR</t>
    </r>
  </si>
  <si>
    <t>2.9.1-6961.23</t>
  </si>
  <si>
    <r>
      <t xml:space="preserve">ELEM. P/LIMPIEZA SANITARIOS; TIPO: SODA CAUSTICA, PRESENTACION: </t>
    </r>
    <r>
      <rPr>
        <b/>
        <sz val="10"/>
        <rFont val="Arial"/>
        <family val="2"/>
      </rPr>
      <t>ENVASE X 1 Kg</t>
    </r>
  </si>
  <si>
    <t>2.9.1-544.46</t>
  </si>
  <si>
    <r>
      <t xml:space="preserve">DESODORANTES DE AMBIENTE; FORMATO: BIDON DE PLASTICO, PRESENTACION: UNIDAD, FRAGANCIA: LAVANDA, </t>
    </r>
    <r>
      <rPr>
        <b/>
        <sz val="10"/>
        <rFont val="Arial"/>
        <family val="2"/>
      </rPr>
      <t>CONTENIDO: 5 L</t>
    </r>
    <r>
      <rPr>
        <sz val="10"/>
        <rFont val="Arial"/>
        <family val="2"/>
      </rPr>
      <t>, LIBRE DE CFC: NO CORRESPONDE</t>
    </r>
  </si>
  <si>
    <t>BIDON</t>
  </si>
  <si>
    <t>Especificidades Item N° 13</t>
  </si>
  <si>
    <t>2.9.1-714.3</t>
  </si>
  <si>
    <t>FRANELAS; DIMENSION: 50 X 45 Cm</t>
  </si>
  <si>
    <t>2.9.1-6951.12</t>
  </si>
  <si>
    <r>
      <t xml:space="preserve">LIMPIADORES; PRESENTACION: </t>
    </r>
    <r>
      <rPr>
        <b/>
        <sz val="10"/>
        <rFont val="Arial"/>
        <family val="2"/>
      </rPr>
      <t>ENVASE X 5 L</t>
    </r>
    <r>
      <rPr>
        <sz val="10"/>
        <rFont val="Arial"/>
        <family val="2"/>
      </rPr>
      <t>, TIPO: DETERGENTE</t>
    </r>
  </si>
  <si>
    <t>Especificidades Item N° 15</t>
  </si>
  <si>
    <t>DETERGENTE BIODEGRADABLE CONCENTRADO 15% DE MATERIA ACTIVA EN ENVASE DE 5 L. Y ETIQUETADO.-</t>
  </si>
  <si>
    <t>2.9.1-6951.30</t>
  </si>
  <si>
    <r>
      <t xml:space="preserve">LIMPIADORES; TIPO: LAVANDINA, PRESENTACION: </t>
    </r>
    <r>
      <rPr>
        <b/>
        <sz val="10"/>
        <rFont val="Arial"/>
        <family val="2"/>
      </rPr>
      <t>ENVASE X 5 L</t>
    </r>
  </si>
  <si>
    <t>Especificidades Item N° 16</t>
  </si>
  <si>
    <t>2.9.1-6951.60</t>
  </si>
  <si>
    <r>
      <t xml:space="preserve">LIMPIADORES; TIPO: DESENGRASANTE, PRESENTACION: </t>
    </r>
    <r>
      <rPr>
        <b/>
        <sz val="10"/>
        <rFont val="Arial"/>
        <family val="2"/>
      </rPr>
      <t>ENVASE X 5 L</t>
    </r>
  </si>
  <si>
    <t>Especificidades Item N° 17</t>
  </si>
  <si>
    <t>2.9.1-678.17</t>
  </si>
  <si>
    <t>TRAPOS REJILLA; DIMENSION: 50 X 55 Cm, MATERIAL: PURO ALGODON, RECICLADO: NO</t>
  </si>
  <si>
    <t>2.9.1-6963.15</t>
  </si>
  <si>
    <t>2.5.2</t>
  </si>
  <si>
    <r>
      <t xml:space="preserve">UTENSILLOS P/HIGIENE PERSONAL; TIPO: ALCOHOL EN GEL, PRESENTACION: </t>
    </r>
    <r>
      <rPr>
        <b/>
        <sz val="10"/>
        <rFont val="Arial"/>
        <family val="2"/>
      </rPr>
      <t>ENVASE X 5 L</t>
    </r>
  </si>
  <si>
    <t>2.9.1-713.2</t>
  </si>
  <si>
    <t>TRAPOS DE PISO; DIMENSION: 60 X 60 Cm, COLOR: GRIS</t>
  </si>
  <si>
    <t>2.9.1-6951.137</t>
  </si>
  <si>
    <r>
      <t xml:space="preserve">LIMPIADORES; TIPO: QUITASARRO, PRESENTACION: </t>
    </r>
    <r>
      <rPr>
        <b/>
        <sz val="10"/>
        <rFont val="Arial"/>
        <family val="2"/>
      </rPr>
      <t>ENVASE X 5 L</t>
    </r>
  </si>
  <si>
    <t>2.9.1-4784.37</t>
  </si>
  <si>
    <r>
      <t xml:space="preserve">LIMPIADORES MULTIUSO; TIPO: P/LAMPAZO, PRESENTACION: </t>
    </r>
    <r>
      <rPr>
        <b/>
        <sz val="10"/>
        <rFont val="Arial"/>
        <family val="2"/>
      </rPr>
      <t>ENVASE X 5 L</t>
    </r>
  </si>
  <si>
    <t>Especificidades Item N° 22</t>
  </si>
  <si>
    <t>2.9.1-2425.2</t>
  </si>
  <si>
    <t>LAMPAZOS; MATERIAL: HILO, MANGO: MADERA</t>
  </si>
  <si>
    <t>2.9.1-683.6</t>
  </si>
  <si>
    <t>SECADORES DE GOMA; COLOR: NEGRO, LARGO: 50 Cm</t>
  </si>
  <si>
    <t>2.3.4-786.32</t>
  </si>
  <si>
    <r>
      <t xml:space="preserve">PAPEL HIGIENICO; PRESENTACION: </t>
    </r>
    <r>
      <rPr>
        <b/>
        <sz val="10"/>
        <rFont val="Arial"/>
        <family val="2"/>
      </rPr>
      <t>PAQUETE X 48</t>
    </r>
    <r>
      <rPr>
        <sz val="10"/>
        <rFont val="Arial"/>
        <family val="2"/>
      </rPr>
      <t>, TIPO: ROLLO, ANCHO: 10 Cm, LARGO: 74 M, HOJA: DOBLE, MATERIAL HOJA: DOBLE, TIPO DE HOJA: DOBLE</t>
    </r>
  </si>
  <si>
    <t>2.7.5-1491.11</t>
  </si>
  <si>
    <r>
      <t xml:space="preserve">PULVERIZADORES; MATERIAL: PLASTICO, CAPACIDAD: </t>
    </r>
    <r>
      <rPr>
        <b/>
        <sz val="10"/>
        <rFont val="Arial"/>
        <family val="2"/>
      </rPr>
      <t>500 mL</t>
    </r>
    <r>
      <rPr>
        <sz val="10"/>
        <rFont val="Arial"/>
        <family val="2"/>
      </rPr>
      <t>, TIPO: MANUAL</t>
    </r>
  </si>
  <si>
    <r>
      <t xml:space="preserve">DESINFECTANTES; </t>
    </r>
    <r>
      <rPr>
        <b/>
        <sz val="10"/>
        <rFont val="Arial"/>
        <family val="2"/>
      </rPr>
      <t>CAPACIDAD: 5 L</t>
    </r>
    <r>
      <rPr>
        <sz val="10"/>
        <rFont val="Arial"/>
        <family val="2"/>
      </rPr>
      <t>, USO P/CONTROL: BACTERIAS, PRINCIPIO ACTIVO: SAL AMONIO CUATERNARIO, PRESENTACION: ENVASE X 5 L, CONTROL: BACTERIAS</t>
    </r>
  </si>
  <si>
    <t>Especificidades Item N° 27</t>
  </si>
  <si>
    <t>Plazo y Lugar de entrega:</t>
  </si>
  <si>
    <t xml:space="preserve">El plazo de entrega no podrá ser superior a los Diez (10) días hábiles a partir de la fecha de recepción de la respectiva Orden de Compra. La entrega de dichos bienes se realizará en la Dirección Provincial de Administracion y Recursos Humanos, sito en Avda. Mexico S/N° - Predio Ferial Catamarca, en la ciudad de San Fernando del Valle de Catamarca de 8:00hs. a 13:00hs. debiendo correr los gastos de fletes, acarreo, carga, descarga y seguro a cargo del adjudicatario. Se presentará Remito que deberá cumplimentar lo dispuesto por la R.G. AFIP  1415/03, sin excepción. </t>
  </si>
  <si>
    <t>Mantenimiento:</t>
  </si>
  <si>
    <t>Treinta (30) días hábiles.-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</si>
</sst>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&quot;$&quot;\ #,##0.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1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7" fillId="0" borderId="3" xfId="0" applyFont="1" applyBorder="1" applyAlignment="1">
      <alignment wrapText="1"/>
    </xf>
    <xf numFmtId="0" fontId="7" fillId="0" borderId="3" xfId="0" applyFont="1" applyBorder="1" applyAlignment="1">
      <alignment vertical="center" wrapText="1"/>
    </xf>
    <xf numFmtId="0" fontId="2" fillId="4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6" borderId="8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10" fillId="0" borderId="10" xfId="0" applyFont="1" applyFill="1" applyBorder="1" applyAlignment="1">
      <alignment horizontal="center" vertical="center"/>
    </xf>
    <xf numFmtId="0" fontId="11" fillId="0" borderId="10" xfId="0" applyFont="1" applyFill="1" applyBorder="1" applyAlignment="1">
      <alignment horizontal="center" vertical="center" wrapText="1"/>
    </xf>
    <xf numFmtId="0" fontId="12" fillId="0" borderId="10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12" fillId="0" borderId="11" xfId="0" applyFont="1" applyFill="1" applyBorder="1" applyAlignment="1">
      <alignment horizontal="center" vertical="center" wrapText="1"/>
    </xf>
    <xf numFmtId="1" fontId="12" fillId="0" borderId="11" xfId="0" applyNumberFormat="1" applyFont="1" applyFill="1" applyBorder="1" applyAlignment="1">
      <alignment horizontal="center" vertical="center" wrapText="1"/>
    </xf>
    <xf numFmtId="164" fontId="12" fillId="0" borderId="11" xfId="0" applyNumberFormat="1" applyFont="1" applyFill="1" applyBorder="1" applyAlignment="1">
      <alignment horizontal="center" vertical="center" wrapText="1"/>
    </xf>
    <xf numFmtId="164" fontId="10" fillId="0" borderId="11" xfId="1" applyNumberFormat="1" applyFont="1" applyBorder="1" applyAlignment="1" applyProtection="1">
      <alignment horizontal="center" vertical="center" wrapText="1"/>
    </xf>
    <xf numFmtId="0" fontId="0" fillId="6" borderId="12" xfId="0" applyFill="1" applyBorder="1" applyAlignment="1">
      <alignment horizontal="center" vertical="center"/>
    </xf>
    <xf numFmtId="0" fontId="10" fillId="0" borderId="12" xfId="0" applyFont="1" applyFill="1" applyBorder="1" applyAlignment="1">
      <alignment horizontal="center" vertical="center"/>
    </xf>
    <xf numFmtId="0" fontId="11" fillId="0" borderId="12" xfId="0" applyFont="1" applyFill="1" applyBorder="1" applyAlignment="1">
      <alignment horizontal="center" vertical="center" wrapText="1"/>
    </xf>
    <xf numFmtId="0" fontId="12" fillId="0" borderId="12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left" vertical="center" wrapText="1"/>
    </xf>
    <xf numFmtId="0" fontId="12" fillId="0" borderId="13" xfId="0" applyFont="1" applyFill="1" applyBorder="1" applyAlignment="1">
      <alignment horizontal="center" vertical="center" wrapText="1"/>
    </xf>
    <xf numFmtId="1" fontId="12" fillId="0" borderId="13" xfId="0" applyNumberFormat="1" applyFont="1" applyFill="1" applyBorder="1" applyAlignment="1">
      <alignment horizontal="center" vertical="center" wrapText="1"/>
    </xf>
    <xf numFmtId="164" fontId="12" fillId="0" borderId="13" xfId="0" applyNumberFormat="1" applyFont="1" applyFill="1" applyBorder="1" applyAlignment="1">
      <alignment horizontal="center" vertical="center" wrapText="1"/>
    </xf>
    <xf numFmtId="164" fontId="10" fillId="0" borderId="13" xfId="1" applyNumberFormat="1" applyFont="1" applyFill="1" applyBorder="1" applyAlignment="1" applyProtection="1">
      <alignment horizontal="center" vertical="center" wrapText="1"/>
    </xf>
    <xf numFmtId="0" fontId="6" fillId="6" borderId="2" xfId="0" applyFont="1" applyFill="1" applyBorder="1" applyAlignment="1">
      <alignment vertical="center" wrapText="1"/>
    </xf>
    <xf numFmtId="0" fontId="8" fillId="0" borderId="12" xfId="0" applyFont="1" applyBorder="1" applyAlignment="1">
      <alignment horizontal="center" vertical="center"/>
    </xf>
    <xf numFmtId="0" fontId="10" fillId="0" borderId="12" xfId="0" applyFont="1" applyFill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0" fontId="10" fillId="2" borderId="12" xfId="0" applyFont="1" applyFill="1" applyBorder="1" applyAlignment="1">
      <alignment horizontal="center" vertical="center" wrapText="1"/>
    </xf>
    <xf numFmtId="164" fontId="10" fillId="2" borderId="13" xfId="1" applyNumberFormat="1" applyFont="1" applyFill="1" applyBorder="1" applyAlignment="1" applyProtection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6" fillId="0" borderId="0" xfId="0" applyFont="1" applyBorder="1" applyAlignment="1">
      <alignment wrapText="1"/>
    </xf>
    <xf numFmtId="0" fontId="0" fillId="0" borderId="0" xfId="0" applyBorder="1"/>
    <xf numFmtId="0" fontId="10" fillId="7" borderId="12" xfId="0" applyFont="1" applyFill="1" applyBorder="1" applyAlignment="1">
      <alignment horizontal="center" vertical="center" wrapText="1"/>
    </xf>
    <xf numFmtId="164" fontId="10" fillId="7" borderId="13" xfId="1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12" fillId="3" borderId="12" xfId="0" applyFont="1" applyFill="1" applyBorder="1" applyAlignment="1">
      <alignment horizontal="center" vertical="center" wrapText="1"/>
    </xf>
    <xf numFmtId="164" fontId="10" fillId="3" borderId="13" xfId="1" applyNumberFormat="1" applyFont="1" applyFill="1" applyBorder="1" applyAlignment="1" applyProtection="1">
      <alignment horizontal="center" vertical="center" wrapText="1"/>
    </xf>
    <xf numFmtId="0" fontId="12" fillId="4" borderId="12" xfId="0" applyFont="1" applyFill="1" applyBorder="1" applyAlignment="1">
      <alignment horizontal="center" vertical="center" wrapText="1"/>
    </xf>
    <xf numFmtId="164" fontId="10" fillId="4" borderId="13" xfId="1" applyNumberFormat="1" applyFont="1" applyFill="1" applyBorder="1" applyAlignment="1" applyProtection="1">
      <alignment horizontal="center" vertical="center" wrapText="1"/>
    </xf>
    <xf numFmtId="0" fontId="0" fillId="6" borderId="14" xfId="0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4" xfId="0" applyFont="1" applyFill="1" applyBorder="1" applyAlignment="1">
      <alignment horizontal="center" vertical="center" wrapText="1"/>
    </xf>
    <xf numFmtId="0" fontId="12" fillId="8" borderId="14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left" vertical="center" wrapText="1"/>
    </xf>
    <xf numFmtId="0" fontId="12" fillId="0" borderId="15" xfId="0" applyFont="1" applyFill="1" applyBorder="1" applyAlignment="1">
      <alignment horizontal="center" vertical="center" wrapText="1"/>
    </xf>
    <xf numFmtId="1" fontId="12" fillId="0" borderId="15" xfId="0" applyNumberFormat="1" applyFont="1" applyFill="1" applyBorder="1" applyAlignment="1">
      <alignment horizontal="center" vertical="center" wrapText="1"/>
    </xf>
    <xf numFmtId="164" fontId="12" fillId="0" borderId="15" xfId="0" applyNumberFormat="1" applyFont="1" applyFill="1" applyBorder="1" applyAlignment="1">
      <alignment horizontal="center" vertical="center" wrapText="1"/>
    </xf>
    <xf numFmtId="164" fontId="10" fillId="8" borderId="15" xfId="1" applyNumberFormat="1" applyFont="1" applyFill="1" applyBorder="1" applyAlignment="1" applyProtection="1">
      <alignment horizontal="center" vertical="center" wrapText="1"/>
    </xf>
    <xf numFmtId="164" fontId="2" fillId="5" borderId="6" xfId="0" applyNumberFormat="1" applyFont="1" applyFill="1" applyBorder="1"/>
    <xf numFmtId="0" fontId="2" fillId="3" borderId="3" xfId="0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2" fillId="7" borderId="3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0" fillId="0" borderId="0" xfId="0" applyBorder="1" applyAlignment="1">
      <alignment wrapText="1"/>
    </xf>
    <xf numFmtId="0" fontId="2" fillId="0" borderId="3" xfId="0" applyFon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2" fillId="0" borderId="0" xfId="0" applyNumberFormat="1" applyFont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6" borderId="0" xfId="0" applyFill="1"/>
    <xf numFmtId="0" fontId="0" fillId="6" borderId="0" xfId="0" applyFill="1" applyAlignment="1">
      <alignment wrapText="1"/>
    </xf>
    <xf numFmtId="0" fontId="0" fillId="6" borderId="3" xfId="0" applyFill="1" applyBorder="1" applyAlignment="1">
      <alignment horizontal="left"/>
    </xf>
    <xf numFmtId="0" fontId="0" fillId="6" borderId="16" xfId="0" applyFill="1" applyBorder="1" applyAlignment="1">
      <alignment horizontal="left" wrapText="1"/>
    </xf>
    <xf numFmtId="0" fontId="0" fillId="6" borderId="17" xfId="0" applyFill="1" applyBorder="1" applyAlignment="1">
      <alignment horizontal="left" wrapText="1"/>
    </xf>
    <xf numFmtId="0" fontId="0" fillId="6" borderId="18" xfId="0" applyFill="1" applyBorder="1" applyAlignment="1">
      <alignment horizontal="left" wrapText="1"/>
    </xf>
    <xf numFmtId="0" fontId="0" fillId="6" borderId="19" xfId="0" applyFill="1" applyBorder="1" applyAlignment="1">
      <alignment horizontal="left" wrapText="1"/>
    </xf>
    <xf numFmtId="0" fontId="0" fillId="6" borderId="0" xfId="0" applyFill="1" applyBorder="1" applyAlignment="1">
      <alignment horizontal="left" wrapText="1"/>
    </xf>
    <xf numFmtId="0" fontId="0" fillId="6" borderId="20" xfId="0" applyFill="1" applyBorder="1" applyAlignment="1">
      <alignment horizontal="left" wrapText="1"/>
    </xf>
    <xf numFmtId="0" fontId="0" fillId="6" borderId="21" xfId="0" applyFill="1" applyBorder="1" applyAlignment="1">
      <alignment horizontal="left" wrapText="1"/>
    </xf>
    <xf numFmtId="0" fontId="0" fillId="6" borderId="22" xfId="0" applyFill="1" applyBorder="1" applyAlignment="1">
      <alignment horizontal="left" wrapText="1"/>
    </xf>
    <xf numFmtId="0" fontId="0" fillId="6" borderId="23" xfId="0" applyFill="1" applyBorder="1" applyAlignment="1">
      <alignment horizontal="left" wrapText="1"/>
    </xf>
    <xf numFmtId="0" fontId="0" fillId="0" borderId="0" xfId="0" applyBorder="1" applyAlignment="1">
      <alignment horizontal="left"/>
    </xf>
    <xf numFmtId="0" fontId="3" fillId="6" borderId="22" xfId="0" applyFont="1" applyFill="1" applyBorder="1" applyAlignment="1">
      <alignment horizontal="left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3"/>
  <sheetViews>
    <sheetView tabSelected="1" workbookViewId="0">
      <selection activeCell="A2" sqref="A2"/>
    </sheetView>
  </sheetViews>
  <sheetFormatPr baseColWidth="10" defaultRowHeight="15" x14ac:dyDescent="0.25"/>
  <cols>
    <col min="1" max="1" width="2.85546875" bestFit="1" customWidth="1"/>
    <col min="2" max="2" width="13.140625" bestFit="1" customWidth="1"/>
    <col min="3" max="3" width="21.5703125" bestFit="1" customWidth="1"/>
    <col min="4" max="4" width="10.140625" customWidth="1"/>
    <col min="5" max="5" width="72.85546875" customWidth="1"/>
    <col min="6" max="6" width="10.42578125" customWidth="1"/>
    <col min="7" max="7" width="9.5703125" customWidth="1"/>
    <col min="8" max="8" width="9.85546875" customWidth="1"/>
    <col min="9" max="9" width="14.42578125" customWidth="1"/>
    <col min="10" max="10" width="12.42578125" customWidth="1"/>
    <col min="11" max="11" width="29.42578125" customWidth="1"/>
  </cols>
  <sheetData>
    <row r="1" spans="1:11" x14ac:dyDescent="0.25">
      <c r="A1" s="6"/>
      <c r="B1" s="6"/>
      <c r="E1" s="2"/>
    </row>
    <row r="2" spans="1:11" ht="18.75" x14ac:dyDescent="0.25">
      <c r="A2" s="6"/>
      <c r="B2" s="7" t="s">
        <v>17</v>
      </c>
      <c r="E2" s="2"/>
    </row>
    <row r="3" spans="1:11" ht="15.75" thickBot="1" x14ac:dyDescent="0.3">
      <c r="A3" s="6"/>
      <c r="B3" s="6"/>
      <c r="E3" s="2"/>
    </row>
    <row r="4" spans="1:11" ht="36.75" thickBot="1" x14ac:dyDescent="0.3">
      <c r="A4" s="8" t="s">
        <v>0</v>
      </c>
      <c r="B4" s="8" t="s">
        <v>1</v>
      </c>
      <c r="C4" s="8" t="s">
        <v>2</v>
      </c>
      <c r="D4" s="8" t="s">
        <v>3</v>
      </c>
      <c r="E4" s="9" t="s">
        <v>18</v>
      </c>
      <c r="F4" s="10" t="s">
        <v>4</v>
      </c>
      <c r="G4" s="10" t="s">
        <v>5</v>
      </c>
      <c r="H4" s="10" t="s">
        <v>6</v>
      </c>
      <c r="I4" s="10" t="s">
        <v>7</v>
      </c>
    </row>
    <row r="5" spans="1:11" ht="25.5" x14ac:dyDescent="0.25">
      <c r="A5" s="11">
        <v>1</v>
      </c>
      <c r="B5" s="12" t="s">
        <v>19</v>
      </c>
      <c r="C5" s="13" t="s">
        <v>8</v>
      </c>
      <c r="D5" s="14" t="str">
        <f t="shared" ref="D5:D31" si="0">LEFT(B5,5)</f>
        <v>2.9.1</v>
      </c>
      <c r="E5" s="15" t="s">
        <v>20</v>
      </c>
      <c r="F5" s="16" t="s">
        <v>9</v>
      </c>
      <c r="G5" s="17">
        <v>30</v>
      </c>
      <c r="H5" s="18">
        <v>199</v>
      </c>
      <c r="I5" s="19">
        <f t="shared" ref="I5:I31" si="1">G5*H5</f>
        <v>5970</v>
      </c>
    </row>
    <row r="6" spans="1:11" ht="45" x14ac:dyDescent="0.25">
      <c r="A6" s="20">
        <f t="shared" ref="A6:A31" si="2">A5+1</f>
        <v>2</v>
      </c>
      <c r="B6" s="21" t="s">
        <v>21</v>
      </c>
      <c r="C6" s="22" t="s">
        <v>8</v>
      </c>
      <c r="D6" s="23" t="str">
        <f t="shared" si="0"/>
        <v>2.9.1</v>
      </c>
      <c r="E6" s="24" t="s">
        <v>22</v>
      </c>
      <c r="F6" s="25" t="s">
        <v>9</v>
      </c>
      <c r="G6" s="26">
        <v>80</v>
      </c>
      <c r="H6" s="27">
        <v>200</v>
      </c>
      <c r="I6" s="28">
        <f t="shared" si="1"/>
        <v>16000</v>
      </c>
      <c r="J6" s="29" t="s">
        <v>23</v>
      </c>
      <c r="K6" s="4" t="s">
        <v>24</v>
      </c>
    </row>
    <row r="7" spans="1:11" ht="45" x14ac:dyDescent="0.25">
      <c r="A7" s="20">
        <f t="shared" si="2"/>
        <v>3</v>
      </c>
      <c r="B7" s="21" t="s">
        <v>25</v>
      </c>
      <c r="C7" s="22" t="s">
        <v>8</v>
      </c>
      <c r="D7" s="23" t="str">
        <f t="shared" si="0"/>
        <v>2.9.1</v>
      </c>
      <c r="E7" s="24" t="s">
        <v>26</v>
      </c>
      <c r="F7" s="25" t="s">
        <v>9</v>
      </c>
      <c r="G7" s="26">
        <v>30</v>
      </c>
      <c r="H7" s="27">
        <v>450</v>
      </c>
      <c r="I7" s="28">
        <f t="shared" si="1"/>
        <v>13500</v>
      </c>
      <c r="J7" s="29" t="s">
        <v>27</v>
      </c>
      <c r="K7" s="4" t="s">
        <v>24</v>
      </c>
    </row>
    <row r="8" spans="1:11" ht="25.5" x14ac:dyDescent="0.25">
      <c r="A8" s="30">
        <f t="shared" si="2"/>
        <v>4</v>
      </c>
      <c r="B8" s="21" t="s">
        <v>10</v>
      </c>
      <c r="C8" s="22" t="s">
        <v>8</v>
      </c>
      <c r="D8" s="31" t="str">
        <f t="shared" si="0"/>
        <v>2.9.1</v>
      </c>
      <c r="E8" s="24" t="s">
        <v>28</v>
      </c>
      <c r="F8" s="25" t="s">
        <v>9</v>
      </c>
      <c r="G8" s="26">
        <v>30</v>
      </c>
      <c r="H8" s="27">
        <v>230</v>
      </c>
      <c r="I8" s="28">
        <f t="shared" si="1"/>
        <v>6900</v>
      </c>
      <c r="J8" s="32"/>
    </row>
    <row r="9" spans="1:11" ht="25.5" x14ac:dyDescent="0.25">
      <c r="A9" s="30">
        <f t="shared" si="2"/>
        <v>5</v>
      </c>
      <c r="B9" s="21" t="s">
        <v>29</v>
      </c>
      <c r="C9" s="22" t="s">
        <v>8</v>
      </c>
      <c r="D9" s="33" t="s">
        <v>15</v>
      </c>
      <c r="E9" s="24" t="s">
        <v>30</v>
      </c>
      <c r="F9" s="25" t="s">
        <v>31</v>
      </c>
      <c r="G9" s="26">
        <v>30</v>
      </c>
      <c r="H9" s="27">
        <v>1500</v>
      </c>
      <c r="I9" s="34">
        <f t="shared" si="1"/>
        <v>45000</v>
      </c>
      <c r="J9" s="32"/>
    </row>
    <row r="10" spans="1:11" ht="25.5" x14ac:dyDescent="0.25">
      <c r="A10" s="30">
        <f t="shared" si="2"/>
        <v>6</v>
      </c>
      <c r="B10" s="21" t="s">
        <v>32</v>
      </c>
      <c r="C10" s="22" t="s">
        <v>8</v>
      </c>
      <c r="D10" s="33" t="s">
        <v>15</v>
      </c>
      <c r="E10" s="24" t="s">
        <v>33</v>
      </c>
      <c r="F10" s="25" t="s">
        <v>31</v>
      </c>
      <c r="G10" s="26">
        <v>30</v>
      </c>
      <c r="H10" s="27">
        <v>450</v>
      </c>
      <c r="I10" s="34">
        <f t="shared" si="1"/>
        <v>13500</v>
      </c>
      <c r="J10" s="32"/>
    </row>
    <row r="11" spans="1:11" ht="24" x14ac:dyDescent="0.25">
      <c r="A11" s="35">
        <f t="shared" si="2"/>
        <v>7</v>
      </c>
      <c r="B11" s="21" t="s">
        <v>34</v>
      </c>
      <c r="C11" s="22" t="s">
        <v>8</v>
      </c>
      <c r="D11" s="23" t="str">
        <f t="shared" si="0"/>
        <v>2.9.1</v>
      </c>
      <c r="E11" s="24" t="s">
        <v>35</v>
      </c>
      <c r="F11" s="25" t="s">
        <v>9</v>
      </c>
      <c r="G11" s="26">
        <v>40</v>
      </c>
      <c r="H11" s="27">
        <v>450</v>
      </c>
      <c r="I11" s="28">
        <f t="shared" si="1"/>
        <v>18000</v>
      </c>
      <c r="J11" s="32"/>
    </row>
    <row r="12" spans="1:11" ht="24" x14ac:dyDescent="0.25">
      <c r="A12" s="35">
        <f t="shared" si="2"/>
        <v>8</v>
      </c>
      <c r="B12" s="21" t="s">
        <v>13</v>
      </c>
      <c r="C12" s="22" t="s">
        <v>8</v>
      </c>
      <c r="D12" s="23" t="str">
        <f t="shared" si="0"/>
        <v>2.9.1</v>
      </c>
      <c r="E12" s="24" t="s">
        <v>14</v>
      </c>
      <c r="F12" s="25" t="s">
        <v>9</v>
      </c>
      <c r="G12" s="26">
        <v>50</v>
      </c>
      <c r="H12" s="27">
        <v>230</v>
      </c>
      <c r="I12" s="28">
        <f t="shared" si="1"/>
        <v>11500</v>
      </c>
      <c r="J12" s="32"/>
    </row>
    <row r="13" spans="1:11" ht="24" x14ac:dyDescent="0.25">
      <c r="A13" s="35">
        <f t="shared" si="2"/>
        <v>9</v>
      </c>
      <c r="B13" s="21" t="s">
        <v>36</v>
      </c>
      <c r="C13" s="22" t="s">
        <v>8</v>
      </c>
      <c r="D13" s="23" t="str">
        <f t="shared" si="0"/>
        <v>2.9.1</v>
      </c>
      <c r="E13" s="24" t="s">
        <v>37</v>
      </c>
      <c r="F13" s="25" t="s">
        <v>9</v>
      </c>
      <c r="G13" s="26">
        <v>25</v>
      </c>
      <c r="H13" s="27">
        <v>250</v>
      </c>
      <c r="I13" s="28">
        <f t="shared" si="1"/>
        <v>6250</v>
      </c>
      <c r="J13" s="32"/>
    </row>
    <row r="14" spans="1:11" ht="25.5" x14ac:dyDescent="0.25">
      <c r="A14" s="35">
        <f t="shared" si="2"/>
        <v>10</v>
      </c>
      <c r="B14" s="21" t="s">
        <v>38</v>
      </c>
      <c r="C14" s="22" t="s">
        <v>8</v>
      </c>
      <c r="D14" s="23" t="str">
        <f t="shared" si="0"/>
        <v>2.9.1</v>
      </c>
      <c r="E14" s="24" t="s">
        <v>39</v>
      </c>
      <c r="F14" s="25" t="s">
        <v>9</v>
      </c>
      <c r="G14" s="26">
        <v>200</v>
      </c>
      <c r="H14" s="27">
        <v>190</v>
      </c>
      <c r="I14" s="28">
        <f t="shared" si="1"/>
        <v>38000</v>
      </c>
      <c r="J14" s="36"/>
      <c r="K14" s="37"/>
    </row>
    <row r="15" spans="1:11" ht="25.5" x14ac:dyDescent="0.25">
      <c r="A15" s="35">
        <f t="shared" si="2"/>
        <v>11</v>
      </c>
      <c r="B15" s="21" t="s">
        <v>40</v>
      </c>
      <c r="C15" s="22" t="s">
        <v>8</v>
      </c>
      <c r="D15" s="23" t="str">
        <f t="shared" si="0"/>
        <v>2.9.1</v>
      </c>
      <c r="E15" s="24" t="s">
        <v>41</v>
      </c>
      <c r="F15" s="25" t="s">
        <v>9</v>
      </c>
      <c r="G15" s="26">
        <v>50</v>
      </c>
      <c r="H15" s="27">
        <v>650</v>
      </c>
      <c r="I15" s="28">
        <f t="shared" si="1"/>
        <v>32500</v>
      </c>
      <c r="J15" s="32"/>
    </row>
    <row r="16" spans="1:11" ht="25.5" x14ac:dyDescent="0.25">
      <c r="A16" s="35">
        <f t="shared" si="2"/>
        <v>12</v>
      </c>
      <c r="B16" s="21" t="s">
        <v>42</v>
      </c>
      <c r="C16" s="22" t="s">
        <v>8</v>
      </c>
      <c r="D16" s="23" t="str">
        <f t="shared" si="0"/>
        <v>2.9.1</v>
      </c>
      <c r="E16" s="24" t="s">
        <v>43</v>
      </c>
      <c r="F16" s="25" t="s">
        <v>9</v>
      </c>
      <c r="G16" s="26">
        <v>50</v>
      </c>
      <c r="H16" s="27">
        <v>220</v>
      </c>
      <c r="I16" s="28">
        <f t="shared" si="1"/>
        <v>11000</v>
      </c>
      <c r="J16" s="36"/>
      <c r="K16" s="37"/>
    </row>
    <row r="17" spans="1:11" ht="45" x14ac:dyDescent="0.25">
      <c r="A17" s="20">
        <f t="shared" si="2"/>
        <v>13</v>
      </c>
      <c r="B17" s="21" t="s">
        <v>44</v>
      </c>
      <c r="C17" s="22" t="s">
        <v>8</v>
      </c>
      <c r="D17" s="23" t="str">
        <f t="shared" si="0"/>
        <v>2.9.1</v>
      </c>
      <c r="E17" s="24" t="s">
        <v>45</v>
      </c>
      <c r="F17" s="25" t="s">
        <v>46</v>
      </c>
      <c r="G17" s="26">
        <v>100</v>
      </c>
      <c r="H17" s="27">
        <v>225</v>
      </c>
      <c r="I17" s="28">
        <f t="shared" si="1"/>
        <v>22500</v>
      </c>
      <c r="J17" s="29" t="s">
        <v>47</v>
      </c>
      <c r="K17" s="4" t="s">
        <v>24</v>
      </c>
    </row>
    <row r="18" spans="1:11" ht="24" x14ac:dyDescent="0.25">
      <c r="A18" s="35">
        <f t="shared" si="2"/>
        <v>14</v>
      </c>
      <c r="B18" s="21" t="s">
        <v>48</v>
      </c>
      <c r="C18" s="22" t="s">
        <v>8</v>
      </c>
      <c r="D18" s="23" t="str">
        <f t="shared" si="0"/>
        <v>2.9.1</v>
      </c>
      <c r="E18" s="24" t="s">
        <v>49</v>
      </c>
      <c r="F18" s="25" t="s">
        <v>9</v>
      </c>
      <c r="G18" s="26">
        <v>100</v>
      </c>
      <c r="H18" s="27">
        <v>67</v>
      </c>
      <c r="I18" s="28">
        <f t="shared" si="1"/>
        <v>6700</v>
      </c>
      <c r="J18" s="36"/>
      <c r="K18" s="37"/>
    </row>
    <row r="19" spans="1:11" ht="34.5" x14ac:dyDescent="0.25">
      <c r="A19" s="20">
        <f t="shared" si="2"/>
        <v>15</v>
      </c>
      <c r="B19" s="21" t="s">
        <v>50</v>
      </c>
      <c r="C19" s="22" t="s">
        <v>8</v>
      </c>
      <c r="D19" s="23" t="str">
        <f t="shared" si="0"/>
        <v>2.9.1</v>
      </c>
      <c r="E19" s="24" t="s">
        <v>51</v>
      </c>
      <c r="F19" s="25" t="s">
        <v>9</v>
      </c>
      <c r="G19" s="26">
        <v>50</v>
      </c>
      <c r="H19" s="27">
        <v>325</v>
      </c>
      <c r="I19" s="28">
        <f t="shared" si="1"/>
        <v>16250</v>
      </c>
      <c r="J19" s="29" t="s">
        <v>52</v>
      </c>
      <c r="K19" s="3" t="s">
        <v>53</v>
      </c>
    </row>
    <row r="20" spans="1:11" ht="45" x14ac:dyDescent="0.25">
      <c r="A20" s="20">
        <f t="shared" si="2"/>
        <v>16</v>
      </c>
      <c r="B20" s="21" t="s">
        <v>54</v>
      </c>
      <c r="C20" s="22" t="s">
        <v>8</v>
      </c>
      <c r="D20" s="23" t="str">
        <f t="shared" si="0"/>
        <v>2.9.1</v>
      </c>
      <c r="E20" s="24" t="s">
        <v>55</v>
      </c>
      <c r="F20" s="25" t="s">
        <v>9</v>
      </c>
      <c r="G20" s="26">
        <v>100</v>
      </c>
      <c r="H20" s="27">
        <v>200</v>
      </c>
      <c r="I20" s="28">
        <f t="shared" si="1"/>
        <v>20000</v>
      </c>
      <c r="J20" s="29" t="s">
        <v>56</v>
      </c>
      <c r="K20" s="4" t="s">
        <v>24</v>
      </c>
    </row>
    <row r="21" spans="1:11" ht="45" x14ac:dyDescent="0.25">
      <c r="A21" s="20">
        <f t="shared" si="2"/>
        <v>17</v>
      </c>
      <c r="B21" s="21" t="s">
        <v>57</v>
      </c>
      <c r="C21" s="22" t="s">
        <v>8</v>
      </c>
      <c r="D21" s="23" t="str">
        <f t="shared" si="0"/>
        <v>2.9.1</v>
      </c>
      <c r="E21" s="24" t="s">
        <v>58</v>
      </c>
      <c r="F21" s="25" t="s">
        <v>9</v>
      </c>
      <c r="G21" s="26">
        <v>50</v>
      </c>
      <c r="H21" s="27">
        <v>375</v>
      </c>
      <c r="I21" s="28">
        <f t="shared" si="1"/>
        <v>18750</v>
      </c>
      <c r="J21" s="29" t="s">
        <v>59</v>
      </c>
      <c r="K21" s="4" t="s">
        <v>24</v>
      </c>
    </row>
    <row r="22" spans="1:11" ht="25.5" x14ac:dyDescent="0.25">
      <c r="A22" s="35">
        <f t="shared" si="2"/>
        <v>18</v>
      </c>
      <c r="B22" s="21" t="s">
        <v>60</v>
      </c>
      <c r="C22" s="22" t="s">
        <v>8</v>
      </c>
      <c r="D22" s="23" t="str">
        <f t="shared" si="0"/>
        <v>2.9.1</v>
      </c>
      <c r="E22" s="24" t="s">
        <v>61</v>
      </c>
      <c r="F22" s="25" t="s">
        <v>9</v>
      </c>
      <c r="G22" s="26">
        <v>100</v>
      </c>
      <c r="H22" s="27">
        <v>160</v>
      </c>
      <c r="I22" s="28">
        <f t="shared" si="1"/>
        <v>16000</v>
      </c>
      <c r="J22" s="32"/>
    </row>
    <row r="23" spans="1:11" ht="25.5" x14ac:dyDescent="0.25">
      <c r="A23" s="30">
        <f t="shared" si="2"/>
        <v>19</v>
      </c>
      <c r="B23" s="21" t="s">
        <v>62</v>
      </c>
      <c r="C23" s="22" t="s">
        <v>8</v>
      </c>
      <c r="D23" s="38" t="s">
        <v>63</v>
      </c>
      <c r="E23" s="24" t="s">
        <v>64</v>
      </c>
      <c r="F23" s="25" t="s">
        <v>9</v>
      </c>
      <c r="G23" s="26">
        <v>50</v>
      </c>
      <c r="H23" s="27">
        <v>1400</v>
      </c>
      <c r="I23" s="39">
        <f t="shared" si="1"/>
        <v>70000</v>
      </c>
      <c r="J23" s="36"/>
      <c r="K23" s="37"/>
    </row>
    <row r="24" spans="1:11" ht="24" x14ac:dyDescent="0.25">
      <c r="A24" s="35">
        <f t="shared" si="2"/>
        <v>20</v>
      </c>
      <c r="B24" s="21" t="s">
        <v>65</v>
      </c>
      <c r="C24" s="22" t="s">
        <v>8</v>
      </c>
      <c r="D24" s="23" t="str">
        <f t="shared" si="0"/>
        <v>2.9.1</v>
      </c>
      <c r="E24" s="24" t="s">
        <v>66</v>
      </c>
      <c r="F24" s="25" t="s">
        <v>9</v>
      </c>
      <c r="G24" s="26">
        <v>100</v>
      </c>
      <c r="H24" s="27">
        <v>140</v>
      </c>
      <c r="I24" s="28">
        <f t="shared" si="1"/>
        <v>14000</v>
      </c>
      <c r="J24" s="32"/>
    </row>
    <row r="25" spans="1:11" ht="24" x14ac:dyDescent="0.25">
      <c r="A25" s="35">
        <f t="shared" si="2"/>
        <v>21</v>
      </c>
      <c r="B25" s="21" t="s">
        <v>67</v>
      </c>
      <c r="C25" s="22" t="s">
        <v>8</v>
      </c>
      <c r="D25" s="23" t="str">
        <f t="shared" si="0"/>
        <v>2.9.1</v>
      </c>
      <c r="E25" s="24" t="s">
        <v>68</v>
      </c>
      <c r="F25" s="25" t="s">
        <v>9</v>
      </c>
      <c r="G25" s="26">
        <v>50</v>
      </c>
      <c r="H25" s="27">
        <v>700</v>
      </c>
      <c r="I25" s="28">
        <f t="shared" si="1"/>
        <v>35000</v>
      </c>
      <c r="J25" s="32"/>
    </row>
    <row r="26" spans="1:11" ht="45" x14ac:dyDescent="0.25">
      <c r="A26" s="20">
        <f t="shared" si="2"/>
        <v>22</v>
      </c>
      <c r="B26" s="21" t="s">
        <v>69</v>
      </c>
      <c r="C26" s="22" t="s">
        <v>8</v>
      </c>
      <c r="D26" s="23" t="str">
        <f t="shared" si="0"/>
        <v>2.9.1</v>
      </c>
      <c r="E26" s="24" t="s">
        <v>70</v>
      </c>
      <c r="F26" s="25" t="s">
        <v>9</v>
      </c>
      <c r="G26" s="26">
        <v>35</v>
      </c>
      <c r="H26" s="27">
        <v>1000</v>
      </c>
      <c r="I26" s="28">
        <f t="shared" si="1"/>
        <v>35000</v>
      </c>
      <c r="J26" s="29" t="s">
        <v>71</v>
      </c>
      <c r="K26" s="4" t="s">
        <v>24</v>
      </c>
    </row>
    <row r="27" spans="1:11" ht="24" x14ac:dyDescent="0.25">
      <c r="A27" s="35">
        <f t="shared" si="2"/>
        <v>23</v>
      </c>
      <c r="B27" s="21" t="s">
        <v>72</v>
      </c>
      <c r="C27" s="22" t="s">
        <v>8</v>
      </c>
      <c r="D27" s="23" t="str">
        <f t="shared" si="0"/>
        <v>2.9.1</v>
      </c>
      <c r="E27" s="24" t="s">
        <v>73</v>
      </c>
      <c r="F27" s="25" t="s">
        <v>9</v>
      </c>
      <c r="G27" s="26">
        <v>30</v>
      </c>
      <c r="H27" s="27">
        <v>420</v>
      </c>
      <c r="I27" s="28">
        <f t="shared" si="1"/>
        <v>12600</v>
      </c>
      <c r="J27" s="32"/>
      <c r="K27" s="40"/>
    </row>
    <row r="28" spans="1:11" ht="24" x14ac:dyDescent="0.25">
      <c r="A28" s="35">
        <f t="shared" si="2"/>
        <v>24</v>
      </c>
      <c r="B28" s="21" t="s">
        <v>74</v>
      </c>
      <c r="C28" s="22" t="s">
        <v>8</v>
      </c>
      <c r="D28" s="23" t="str">
        <f t="shared" si="0"/>
        <v>2.9.1</v>
      </c>
      <c r="E28" s="24" t="s">
        <v>75</v>
      </c>
      <c r="F28" s="25" t="s">
        <v>9</v>
      </c>
      <c r="G28" s="26">
        <v>50</v>
      </c>
      <c r="H28" s="27">
        <v>190</v>
      </c>
      <c r="I28" s="28">
        <f t="shared" si="1"/>
        <v>9500</v>
      </c>
      <c r="J28" s="36"/>
      <c r="K28" s="41"/>
    </row>
    <row r="29" spans="1:11" ht="38.25" x14ac:dyDescent="0.25">
      <c r="A29" s="35">
        <f t="shared" si="2"/>
        <v>25</v>
      </c>
      <c r="B29" s="21" t="s">
        <v>76</v>
      </c>
      <c r="C29" s="22" t="s">
        <v>8</v>
      </c>
      <c r="D29" s="42" t="str">
        <f t="shared" si="0"/>
        <v>2.3.4</v>
      </c>
      <c r="E29" s="24" t="s">
        <v>77</v>
      </c>
      <c r="F29" s="25" t="s">
        <v>12</v>
      </c>
      <c r="G29" s="26">
        <v>50</v>
      </c>
      <c r="H29" s="27">
        <v>1000</v>
      </c>
      <c r="I29" s="43">
        <f t="shared" si="1"/>
        <v>50000</v>
      </c>
      <c r="J29" s="32"/>
      <c r="K29" s="40"/>
    </row>
    <row r="30" spans="1:11" ht="25.5" x14ac:dyDescent="0.25">
      <c r="A30" s="35">
        <f t="shared" si="2"/>
        <v>26</v>
      </c>
      <c r="B30" s="21" t="s">
        <v>78</v>
      </c>
      <c r="C30" s="22" t="s">
        <v>8</v>
      </c>
      <c r="D30" s="44" t="str">
        <f t="shared" si="0"/>
        <v>2.7.5</v>
      </c>
      <c r="E30" s="24" t="s">
        <v>79</v>
      </c>
      <c r="F30" s="25" t="s">
        <v>9</v>
      </c>
      <c r="G30" s="26">
        <v>150</v>
      </c>
      <c r="H30" s="27">
        <v>250</v>
      </c>
      <c r="I30" s="45">
        <f t="shared" si="1"/>
        <v>37500</v>
      </c>
      <c r="J30" s="36"/>
      <c r="K30" s="41"/>
    </row>
    <row r="31" spans="1:11" ht="45.75" thickBot="1" x14ac:dyDescent="0.3">
      <c r="A31" s="46">
        <f t="shared" si="2"/>
        <v>27</v>
      </c>
      <c r="B31" s="47" t="s">
        <v>11</v>
      </c>
      <c r="C31" s="48" t="s">
        <v>8</v>
      </c>
      <c r="D31" s="49" t="str">
        <f t="shared" si="0"/>
        <v>2.5.4</v>
      </c>
      <c r="E31" s="50" t="s">
        <v>80</v>
      </c>
      <c r="F31" s="51" t="s">
        <v>9</v>
      </c>
      <c r="G31" s="52">
        <v>150</v>
      </c>
      <c r="H31" s="53">
        <v>200</v>
      </c>
      <c r="I31" s="54">
        <f t="shared" si="1"/>
        <v>30000</v>
      </c>
      <c r="J31" s="29" t="s">
        <v>81</v>
      </c>
      <c r="K31" s="4" t="s">
        <v>24</v>
      </c>
    </row>
    <row r="32" spans="1:11" ht="15.75" thickBot="1" x14ac:dyDescent="0.3">
      <c r="A32" s="6"/>
      <c r="B32" s="6"/>
      <c r="E32" s="2"/>
    </row>
    <row r="33" spans="1:11" ht="15.75" thickBot="1" x14ac:dyDescent="0.3">
      <c r="A33" s="6"/>
      <c r="B33" s="6"/>
      <c r="E33" s="2"/>
      <c r="I33" s="55">
        <f>SUM(I5:I32)</f>
        <v>611920</v>
      </c>
    </row>
    <row r="34" spans="1:11" x14ac:dyDescent="0.25">
      <c r="A34" s="6"/>
      <c r="B34" s="6"/>
      <c r="E34" s="2"/>
    </row>
    <row r="35" spans="1:11" x14ac:dyDescent="0.25">
      <c r="A35" s="6"/>
      <c r="B35" s="80" t="s">
        <v>82</v>
      </c>
      <c r="C35" s="80"/>
      <c r="D35" s="80"/>
      <c r="E35" s="80"/>
      <c r="F35" s="80"/>
      <c r="G35" s="80"/>
      <c r="H35" s="80"/>
    </row>
    <row r="36" spans="1:11" x14ac:dyDescent="0.25">
      <c r="A36" s="6"/>
      <c r="B36" s="70" t="s">
        <v>83</v>
      </c>
      <c r="C36" s="71"/>
      <c r="D36" s="71"/>
      <c r="E36" s="71"/>
      <c r="F36" s="71"/>
      <c r="G36" s="71"/>
      <c r="H36" s="72"/>
      <c r="J36" s="1" t="s">
        <v>16</v>
      </c>
    </row>
    <row r="37" spans="1:11" x14ac:dyDescent="0.25">
      <c r="A37" s="6"/>
      <c r="B37" s="73"/>
      <c r="C37" s="74"/>
      <c r="D37" s="74"/>
      <c r="E37" s="74"/>
      <c r="F37" s="74"/>
      <c r="G37" s="74"/>
      <c r="H37" s="75"/>
      <c r="J37" s="56">
        <v>234</v>
      </c>
      <c r="K37" s="57">
        <f>I29</f>
        <v>50000</v>
      </c>
    </row>
    <row r="38" spans="1:11" x14ac:dyDescent="0.25">
      <c r="A38" s="6"/>
      <c r="B38" s="73"/>
      <c r="C38" s="74"/>
      <c r="D38" s="74"/>
      <c r="E38" s="74"/>
      <c r="F38" s="74"/>
      <c r="G38" s="74"/>
      <c r="H38" s="75"/>
      <c r="J38" s="58">
        <v>252</v>
      </c>
      <c r="K38" s="57">
        <f>+I23</f>
        <v>70000</v>
      </c>
    </row>
    <row r="39" spans="1:11" x14ac:dyDescent="0.25">
      <c r="A39" s="6"/>
      <c r="B39" s="76"/>
      <c r="C39" s="77"/>
      <c r="D39" s="77"/>
      <c r="E39" s="77"/>
      <c r="F39" s="77"/>
      <c r="G39" s="77"/>
      <c r="H39" s="78"/>
      <c r="J39" s="59">
        <v>254</v>
      </c>
      <c r="K39" s="57">
        <f>I31</f>
        <v>30000</v>
      </c>
    </row>
    <row r="40" spans="1:11" x14ac:dyDescent="0.25">
      <c r="A40" s="6"/>
      <c r="B40" s="66" t="s">
        <v>84</v>
      </c>
      <c r="C40" s="67"/>
      <c r="D40" s="67"/>
      <c r="E40" s="68"/>
      <c r="F40" s="67"/>
      <c r="G40" s="67"/>
      <c r="H40" s="67"/>
      <c r="J40" s="60">
        <v>258</v>
      </c>
      <c r="K40" s="57">
        <f>+I9+I10</f>
        <v>58500</v>
      </c>
    </row>
    <row r="41" spans="1:11" x14ac:dyDescent="0.25">
      <c r="A41" s="6"/>
      <c r="B41" s="69" t="s">
        <v>85</v>
      </c>
      <c r="C41" s="69"/>
      <c r="D41" s="69"/>
      <c r="E41" s="69"/>
      <c r="F41" s="69"/>
      <c r="G41" s="69"/>
      <c r="H41" s="69"/>
      <c r="J41" s="5">
        <v>275</v>
      </c>
      <c r="K41" s="57">
        <f>I30</f>
        <v>37500</v>
      </c>
    </row>
    <row r="42" spans="1:11" ht="15.75" thickBot="1" x14ac:dyDescent="0.3">
      <c r="A42" s="6"/>
      <c r="B42" s="61"/>
      <c r="C42" s="37"/>
      <c r="D42" s="37"/>
      <c r="E42" s="62"/>
      <c r="F42" s="37"/>
      <c r="G42" s="37"/>
      <c r="H42" s="37"/>
      <c r="J42" s="63">
        <v>291</v>
      </c>
      <c r="K42" s="64">
        <v>365920</v>
      </c>
    </row>
    <row r="43" spans="1:11" x14ac:dyDescent="0.25">
      <c r="A43" s="6"/>
      <c r="B43" s="79"/>
      <c r="C43" s="79"/>
      <c r="D43" s="79"/>
      <c r="E43" s="79"/>
      <c r="F43" s="79"/>
      <c r="G43" s="79"/>
      <c r="H43" s="79"/>
      <c r="K43" s="65">
        <f>SUM(K37:K42)</f>
        <v>611920</v>
      </c>
    </row>
  </sheetData>
  <mergeCells count="4">
    <mergeCell ref="B36:H39"/>
    <mergeCell ref="B41:H41"/>
    <mergeCell ref="B43:H43"/>
    <mergeCell ref="B35:H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</dc:creator>
  <cp:lastModifiedBy>COMPRAS</cp:lastModifiedBy>
  <dcterms:created xsi:type="dcterms:W3CDTF">2021-07-16T21:01:09Z</dcterms:created>
  <dcterms:modified xsi:type="dcterms:W3CDTF">2021-08-04T13:55:06Z</dcterms:modified>
</cp:coreProperties>
</file>