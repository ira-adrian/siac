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E3E273DE-D107-4EF9-A743-40A8F51BF68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ERECEDERO" sheetId="1" r:id="rId1"/>
    <sheet name="Nota de Pedido PERECEDERO" sheetId="4" r:id="rId2"/>
    <sheet name="APG-PERECEDERO" sheetId="5" r:id="rId3"/>
  </sheets>
  <externalReferences>
    <externalReference r:id="rId4"/>
    <externalReference r:id="rId5"/>
  </externalReferences>
  <calcPr calcId="181029"/>
</workbook>
</file>

<file path=xl/calcChain.xml><?xml version="1.0" encoding="utf-8"?>
<calcChain xmlns="http://schemas.openxmlformats.org/spreadsheetml/2006/main">
  <c r="A37" i="4" l="1"/>
  <c r="A26" i="5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12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F11" i="1"/>
  <c r="C13" i="4" s="1"/>
  <c r="Q26" i="5" l="1"/>
  <c r="D1" i="5"/>
  <c r="A22" i="4"/>
  <c r="A21" i="4"/>
  <c r="A20" i="4"/>
  <c r="A19" i="4"/>
  <c r="A18" i="4"/>
  <c r="A17" i="4"/>
  <c r="A16" i="4"/>
  <c r="A15" i="4"/>
  <c r="A14" i="4"/>
  <c r="A13" i="4"/>
  <c r="A12" i="4"/>
  <c r="D7" i="4"/>
  <c r="J37" i="4" l="1"/>
  <c r="J22" i="1" l="1"/>
  <c r="J23" i="1"/>
  <c r="J24" i="1"/>
  <c r="J25" i="1"/>
  <c r="J26" i="1"/>
  <c r="J27" i="1"/>
  <c r="J28" i="1"/>
  <c r="J29" i="1"/>
  <c r="J30" i="1"/>
  <c r="J31" i="1"/>
  <c r="J32" i="1"/>
  <c r="J33" i="1"/>
  <c r="J34" i="1"/>
  <c r="J15" i="1"/>
  <c r="J16" i="1"/>
  <c r="J17" i="1"/>
  <c r="J18" i="1"/>
  <c r="J19" i="1"/>
  <c r="J20" i="1"/>
  <c r="J21" i="1"/>
  <c r="J11" i="1"/>
  <c r="J12" i="1"/>
  <c r="J13" i="1"/>
  <c r="J14" i="1"/>
  <c r="J10" i="1"/>
  <c r="J35" i="1" l="1"/>
</calcChain>
</file>

<file path=xl/sharedStrings.xml><?xml version="1.0" encoding="utf-8"?>
<sst xmlns="http://schemas.openxmlformats.org/spreadsheetml/2006/main" count="238" uniqueCount="138">
  <si>
    <t>Alimentos</t>
  </si>
  <si>
    <t>I.P.P</t>
  </si>
  <si>
    <t>2..1.1.</t>
  </si>
  <si>
    <t>2.1.1</t>
  </si>
  <si>
    <t>Kilo</t>
  </si>
  <si>
    <t>Kg.</t>
  </si>
  <si>
    <t>Rubro Compra</t>
  </si>
  <si>
    <t>CODIGO</t>
  </si>
  <si>
    <t>2.1.1-669.64</t>
  </si>
  <si>
    <t>2.1.1-541.70</t>
  </si>
  <si>
    <t>2.1.1-541.34</t>
  </si>
  <si>
    <t>2.1.1-541.154</t>
  </si>
  <si>
    <t>2.1.1-541.122</t>
  </si>
  <si>
    <t>2.1.1-621.13</t>
  </si>
  <si>
    <t>2.1.1-541.45</t>
  </si>
  <si>
    <t>2.1.1-6546.95</t>
  </si>
  <si>
    <t>2.1.1-6539.30</t>
  </si>
  <si>
    <t>2.1.1-6539.19</t>
  </si>
  <si>
    <t>2.1.1-6546.374</t>
  </si>
  <si>
    <t>2.1.1-6546.158</t>
  </si>
  <si>
    <t>2.1.1-541.49</t>
  </si>
  <si>
    <t>2.1.1-483.33</t>
  </si>
  <si>
    <t>PANES; TIPO: FRANCES, PRESENTACION: ENVASE X 1 Kg</t>
  </si>
  <si>
    <t>CARNES; CORTE: CARRE CON LOMO, TIPO: PORCINA, ESPECIE: PORCINA</t>
  </si>
  <si>
    <t>CARNES; CORTE: OSOBUCO, TIPO: VACUNA, ESPECIE: VACUNA</t>
  </si>
  <si>
    <t>CARNES; ESPECIE: CARNE VACUNA, CORTE: MILANESA NALGA, TIPO: CARNE VACUNA</t>
  </si>
  <si>
    <t>CARNES; ESPECIE: VACUNA, CORTE: NALGA, TIPO: VACUNA</t>
  </si>
  <si>
    <t>CARNES; CORTE: CHORIZO CONGELADO, TIPO: VACUNA, ESPECIE: VACUNA</t>
  </si>
  <si>
    <t>AVES; ESPECIE: POLLO, PRESENTACION: CAJON X 8 UN, EVISCERADO: SIN VALOR, TIPO: POLLO</t>
  </si>
  <si>
    <t>CARNES; CORTE: HIGADO, ESPECIE: VACUNA, TIPO: VACUNA</t>
  </si>
  <si>
    <t>VERDURAS Y HORTALIZAS; VARIEDAD: ACELGA, ESTADO: EN HOJA, PRESENTACION: ATADO, PESO: SIN VALOR</t>
  </si>
  <si>
    <t>2.1.1-6546.34</t>
  </si>
  <si>
    <t>HUEVO DE GALLINA; TAMAÑO: MEDIANOS, COLOR: BLANCOS, PRESENTACION: 30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</si>
  <si>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</si>
  <si>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</si>
  <si>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ESTADO: NATURAL, VARIEDAD: ZAPALLO ANCO, PRESENTACION: GRANEL, PESO: SIN VALOR</t>
  </si>
  <si>
    <t>FRUTAS; VARIEDAD: BANANA, PRESENTACION: CAJON, ESTADO: NATURAL, PESO: SIN VALOR</t>
  </si>
  <si>
    <t>FRUTAS; ESTADO: NATURAL, VARIEDAD: MANZANA RED ELEGIDA, PRESENTACION: CAJON, PESO: SIN VALOR</t>
  </si>
  <si>
    <t>FRUTAS; PESO: SIN VALOR, VARIEDAD: NARANJA PARA JUGO, ESTADO: NATURAL, PRESENTACION: GRANEL</t>
  </si>
  <si>
    <t>QUESOS; TIPO: TYBO, PRESENTACION: HORMA, ELEM. TRANSPORTE: SIN, MATERIAL ELEM. TRANSPORTE: SIN, MATERIAL ENVASE: PLASTICO, CERTIFICADO FORESTAL (GFS): SIN, LIBRE DE GLUTEN: NO</t>
  </si>
  <si>
    <t>2.1.1-542.197</t>
  </si>
  <si>
    <t>DESCRIPCION</t>
  </si>
  <si>
    <t>PEDIDOS DE NECESIDADES TRIMESTRALES</t>
  </si>
  <si>
    <t>UNIDAD</t>
  </si>
  <si>
    <t>CANTIDAD</t>
  </si>
  <si>
    <t>ID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</si>
  <si>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</si>
  <si>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</si>
  <si>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</si>
  <si>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</si>
  <si>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</si>
  <si>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</si>
  <si>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 xml:space="preserve">JURISDICCION:  </t>
  </si>
  <si>
    <t xml:space="preserve"> 20- MINISTERIO DE GOBIERNO, JUSTICIA Y DERECHOS HUMANOS</t>
  </si>
  <si>
    <t xml:space="preserve">SAF N° </t>
  </si>
  <si>
    <t>EJERCICIO:</t>
  </si>
  <si>
    <t>TRIMESTRE</t>
  </si>
  <si>
    <t>UNIDAD DE MEDIDA</t>
  </si>
  <si>
    <t>PRECIO UNITARIO ESTIMADO</t>
  </si>
  <si>
    <t>IMPORTE TOTAL ESTIMADO</t>
  </si>
  <si>
    <t>06- SECRETARIA DE GESTION ADMINISTRATIVA DEL MINISTERIO DE GOBIERNO , JUSTICIA Y DERECHOS HUMANOS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</si>
  <si>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</si>
  <si>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</si>
  <si>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</si>
  <si>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</si>
  <si>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</si>
  <si>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</si>
  <si>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</si>
  <si>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</si>
  <si>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</si>
  <si>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</si>
  <si>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</si>
  <si>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</si>
  <si>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</si>
  <si>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</si>
  <si>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</si>
  <si>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</si>
  <si>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</si>
  <si>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</si>
  <si>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</si>
  <si>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</si>
  <si>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</si>
  <si>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</si>
  <si>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</si>
  <si>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</si>
  <si>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</si>
  <si>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</si>
  <si>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</si>
  <si>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</si>
  <si>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</si>
  <si>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</si>
  <si>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</si>
  <si>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</si>
  <si>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</si>
  <si>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</si>
  <si>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</si>
  <si>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</si>
  <si>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</si>
  <si>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</si>
  <si>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</si>
  <si>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</si>
  <si>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</si>
  <si>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</si>
  <si>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</si>
  <si>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2.1.1-542.236</t>
  </si>
  <si>
    <t>2.1.1-969.96</t>
  </si>
  <si>
    <t>FIAMBRES; TIPO: JAMON COCIDO, PRESENTACION: AL VACIO</t>
  </si>
  <si>
    <t>LEVADURAS; TIPO: DE CERVEZA, PRESENTACION: PAQUETE, PESO: 500 GR</t>
  </si>
  <si>
    <t>2.1.1-2116.1</t>
  </si>
  <si>
    <t>KG</t>
  </si>
  <si>
    <t>CAJON</t>
  </si>
  <si>
    <t>2.1.1-6546.335</t>
  </si>
  <si>
    <t>VERDURAS Y HORTALIZAS; VARIEDAD: PAPA BLANCA,ESTADO :NATURAL PRESENTACION: BOLSA  PESO: 25 KG</t>
  </si>
  <si>
    <t>2.1.1-6546.18</t>
  </si>
  <si>
    <t>VERDURAS Y HORTALIZAS; VARIEDAD: TOMATE REDONDO, ESTADO: NATURAL, PRESENTACION: CAJON, PESO: 10 KG</t>
  </si>
  <si>
    <t>VERDURAS Y HORTALIZAS; VARIEDAD: CEBOLLA, ESTADO: NATURAL, PRESENTACION: BOLSA, PESO: 25 KG</t>
  </si>
  <si>
    <t>2.1.1-6546.39</t>
  </si>
  <si>
    <t>VERDURAS Y HORTALIZAS; VARIEDAD: ZANAHORIA, ESTADO: NATURAL,  PESO: SIN VALOR</t>
  </si>
  <si>
    <t>2.1.1-6546.166</t>
  </si>
  <si>
    <t>2.1.1-6539.7</t>
  </si>
  <si>
    <t>2.1.1-6546.154</t>
  </si>
  <si>
    <t>VERDURAS Y HORTALIZAS; VARIEDAD: AJO, ESTADO: NATURAL, PRESENTACION: UNIDAD, PESO: SIN VALOR</t>
  </si>
  <si>
    <t>COSTO TOTAL ESTIMADO: SON PESOS QUINIENTOS SETENTA MIL QUINIENTOS CUARENTA CON 00/100</t>
  </si>
  <si>
    <t>Adquisición de ALIMENTOS PERECEDEROS para el Hogar Warmi</t>
  </si>
  <si>
    <t>20- MINISTERIO DE GOBIERNO,JUSTICIA Y DERECHOS HUMANOS</t>
  </si>
  <si>
    <t>06-SECRETARIA DE GESTION ADMINISTRATIVA DEL MINISTERIO DE GOBIERNO ,JUSTICIA Y DERECHOS HUMANOS</t>
  </si>
  <si>
    <t>ALIMENTOS PARA PERSONAS</t>
  </si>
  <si>
    <t>Adquiscion de ALIMENTOS PERECEDEROS para el Hogar Warmi</t>
  </si>
  <si>
    <t>06- SECRETARIA DE GESTION ADMINISTRATIVA DEL MINISTERIO DE GOBIERNO,JUSTICIA Y DERECHOS HUMANOS</t>
  </si>
  <si>
    <t>034/2021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</si>
  <si>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34/2021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</si>
  <si>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Especificidades Item N° 2:</t>
  </si>
  <si>
    <t>Se solicita que el producto sea SIN GLUTEN</t>
  </si>
  <si>
    <t>Se solicita que el producto sea de tamaño Mediano</t>
  </si>
  <si>
    <t>Especificidades Item N° 11:</t>
  </si>
  <si>
    <t>Especificidades Item N° 20:</t>
  </si>
  <si>
    <t>Especificidades Item N° 21:</t>
  </si>
  <si>
    <t>Se solicita que el cajon sea de 10 kg aproximandamente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</si>
</sst>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17">
    <xf numFmtId="0" fontId="0" fillId="0" borderId="0" xfId="0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3" fillId="0" borderId="19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1" xfId="0" applyFont="1" applyFill="1" applyBorder="1" applyAlignment="1">
      <alignment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0" borderId="57" xfId="0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168" fontId="26" fillId="0" borderId="61" xfId="43" applyNumberFormat="1" applyFont="1" applyFill="1" applyBorder="1" applyAlignment="1" applyProtection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3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3" fillId="0" borderId="21" xfId="0" applyFont="1" applyBorder="1" applyAlignment="1">
      <alignment vertical="center"/>
    </xf>
    <xf numFmtId="43" fontId="0" fillId="0" borderId="0" xfId="0" applyNumberFormat="1" applyBorder="1"/>
    <xf numFmtId="0" fontId="3" fillId="0" borderId="21" xfId="0" applyFont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Fill="1" applyBorder="1" applyAlignment="1">
      <alignment horizontal="left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4" fillId="33" borderId="48" xfId="0" applyFont="1" applyFill="1" applyBorder="1" applyAlignment="1">
      <alignment horizontal="right" vertical="center"/>
    </xf>
    <xf numFmtId="17" fontId="25" fillId="0" borderId="67" xfId="0" applyNumberFormat="1" applyFont="1" applyFill="1" applyBorder="1" applyAlignment="1">
      <alignment horizontal="center" vertical="center"/>
    </xf>
    <xf numFmtId="0" fontId="24" fillId="33" borderId="68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/>
    </xf>
    <xf numFmtId="0" fontId="26" fillId="33" borderId="27" xfId="0" applyFont="1" applyFill="1" applyBorder="1" applyAlignment="1">
      <alignment horizontal="left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left" vertical="center"/>
    </xf>
    <xf numFmtId="0" fontId="28" fillId="33" borderId="28" xfId="0" applyFont="1" applyFill="1" applyBorder="1" applyAlignment="1">
      <alignment horizontal="left" vertical="center" wrapText="1" indent="1"/>
    </xf>
    <xf numFmtId="0" fontId="28" fillId="33" borderId="29" xfId="0" applyFont="1" applyFill="1" applyBorder="1" applyAlignment="1">
      <alignment horizontal="left" vertical="center" wrapText="1" indent="1"/>
    </xf>
    <xf numFmtId="0" fontId="28" fillId="33" borderId="70" xfId="0" applyFont="1" applyFill="1" applyBorder="1" applyAlignment="1">
      <alignment horizontal="center" vertical="center"/>
    </xf>
    <xf numFmtId="3" fontId="28" fillId="33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25" xfId="0" applyBorder="1"/>
    <xf numFmtId="0" fontId="0" fillId="0" borderId="0" xfId="0" applyBorder="1"/>
    <xf numFmtId="0" fontId="0" fillId="0" borderId="0" xfId="0" applyFill="1" applyBorder="1"/>
    <xf numFmtId="0" fontId="0" fillId="0" borderId="26" xfId="0" applyBorder="1"/>
    <xf numFmtId="0" fontId="33" fillId="0" borderId="6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8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0" fillId="0" borderId="58" xfId="0" applyFill="1" applyBorder="1" applyAlignment="1">
      <alignment horizontal="center" vertical="center"/>
    </xf>
    <xf numFmtId="0" fontId="0" fillId="0" borderId="58" xfId="0" applyFill="1" applyBorder="1" applyAlignment="1">
      <alignment wrapText="1"/>
    </xf>
    <xf numFmtId="43" fontId="0" fillId="0" borderId="58" xfId="1" applyFont="1" applyFill="1" applyBorder="1" applyAlignment="1">
      <alignment horizontal="center" vertical="center"/>
    </xf>
    <xf numFmtId="43" fontId="0" fillId="0" borderId="61" xfId="1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3" fontId="0" fillId="0" borderId="1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2" xfId="0" applyFill="1" applyBorder="1" applyAlignment="1">
      <alignment vertical="center"/>
    </xf>
    <xf numFmtId="0" fontId="0" fillId="0" borderId="73" xfId="0" applyFill="1" applyBorder="1" applyAlignment="1">
      <alignment vertical="center"/>
    </xf>
    <xf numFmtId="0" fontId="0" fillId="0" borderId="73" xfId="0" applyFill="1" applyBorder="1" applyAlignment="1">
      <alignment horizontal="center" vertical="center"/>
    </xf>
    <xf numFmtId="0" fontId="0" fillId="0" borderId="73" xfId="0" applyFill="1" applyBorder="1" applyAlignment="1">
      <alignment vertical="center" wrapText="1"/>
    </xf>
    <xf numFmtId="0" fontId="0" fillId="0" borderId="73" xfId="0" applyFill="1" applyBorder="1" applyAlignment="1">
      <alignment horizontal="center" vertical="center" wrapText="1"/>
    </xf>
    <xf numFmtId="43" fontId="0" fillId="0" borderId="73" xfId="1" applyFont="1" applyFill="1" applyBorder="1" applyAlignment="1">
      <alignment vertical="center"/>
    </xf>
    <xf numFmtId="43" fontId="0" fillId="0" borderId="74" xfId="1" applyFont="1" applyFill="1" applyBorder="1" applyAlignment="1">
      <alignment vertical="center"/>
    </xf>
    <xf numFmtId="43" fontId="0" fillId="0" borderId="76" xfId="0" applyNumberFormat="1" applyFill="1" applyBorder="1" applyAlignment="1">
      <alignment vertical="center"/>
    </xf>
    <xf numFmtId="0" fontId="20" fillId="0" borderId="25" xfId="0" applyFont="1" applyBorder="1"/>
    <xf numFmtId="0" fontId="21" fillId="0" borderId="0" xfId="0" applyFont="1" applyFill="1" applyBorder="1" applyAlignment="1">
      <alignment horizontal="left" vertical="center" wrapText="1"/>
    </xf>
    <xf numFmtId="0" fontId="34" fillId="0" borderId="62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3" fillId="0" borderId="2" xfId="0" applyFont="1" applyBorder="1" applyAlignment="1">
      <alignment horizontal="left"/>
    </xf>
    <xf numFmtId="0" fontId="33" fillId="0" borderId="65" xfId="0" applyFont="1" applyBorder="1" applyAlignment="1">
      <alignment horizontal="left"/>
    </xf>
    <xf numFmtId="0" fontId="33" fillId="0" borderId="71" xfId="0" applyFont="1" applyBorder="1" applyAlignment="1">
      <alignment horizontal="left"/>
    </xf>
    <xf numFmtId="0" fontId="21" fillId="0" borderId="26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75" xfId="0" applyFont="1" applyFill="1" applyBorder="1" applyAlignment="1">
      <alignment horizontal="left" vertical="center"/>
    </xf>
    <xf numFmtId="0" fontId="23" fillId="33" borderId="23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7" fillId="33" borderId="69" xfId="0" applyFont="1" applyFill="1" applyBorder="1" applyAlignment="1">
      <alignment horizontal="left" vertical="center" wrapText="1"/>
    </xf>
    <xf numFmtId="0" fontId="27" fillId="33" borderId="32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64" xfId="0" applyFont="1" applyFill="1" applyBorder="1" applyAlignment="1">
      <alignment horizontal="left" vertical="center" wrapText="1"/>
    </xf>
    <xf numFmtId="0" fontId="27" fillId="33" borderId="33" xfId="0" applyFont="1" applyFill="1" applyBorder="1" applyAlignment="1">
      <alignment horizontal="left" vertical="center" wrapText="1"/>
    </xf>
    <xf numFmtId="0" fontId="27" fillId="33" borderId="34" xfId="0" applyFont="1" applyFill="1" applyBorder="1" applyAlignment="1">
      <alignment horizontal="left" vertical="center"/>
    </xf>
    <xf numFmtId="0" fontId="25" fillId="33" borderId="35" xfId="0" applyFont="1" applyFill="1" applyBorder="1" applyAlignment="1">
      <alignment horizontal="left" vertical="center" wrapText="1" indent="1"/>
    </xf>
    <xf numFmtId="0" fontId="28" fillId="33" borderId="34" xfId="0" applyFont="1" applyFill="1" applyBorder="1" applyAlignment="1">
      <alignment horizontal="center" vertical="center"/>
    </xf>
    <xf numFmtId="0" fontId="28" fillId="33" borderId="36" xfId="0" applyFont="1" applyFill="1" applyBorder="1" applyAlignment="1">
      <alignment horizontal="center" vertical="center" wrapText="1"/>
    </xf>
    <xf numFmtId="0" fontId="28" fillId="33" borderId="35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3" xfId="0" applyFont="1" applyBorder="1"/>
    <xf numFmtId="0" fontId="30" fillId="0" borderId="42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6" fillId="0" borderId="32" xfId="0" applyFont="1" applyBorder="1"/>
    <xf numFmtId="0" fontId="26" fillId="0" borderId="40" xfId="0" applyFont="1" applyBorder="1"/>
    <xf numFmtId="0" fontId="26" fillId="0" borderId="41" xfId="0" applyFont="1" applyBorder="1"/>
    <xf numFmtId="0" fontId="30" fillId="0" borderId="32" xfId="0" applyFont="1" applyBorder="1" applyAlignment="1">
      <alignment horizontal="left" indent="1"/>
    </xf>
    <xf numFmtId="0" fontId="30" fillId="0" borderId="40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26" fillId="0" borderId="32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wrapText="1" indent="1"/>
    </xf>
    <xf numFmtId="0" fontId="30" fillId="0" borderId="40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24" fillId="0" borderId="32" xfId="0" applyFont="1" applyBorder="1" applyAlignment="1">
      <alignment horizontal="left"/>
    </xf>
    <xf numFmtId="0" fontId="24" fillId="0" borderId="40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6" fillId="0" borderId="59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3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0" fontId="30" fillId="0" borderId="42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30" fillId="0" borderId="43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8" xfId="0" applyFont="1" applyFill="1" applyBorder="1" applyAlignment="1">
      <alignment horizontal="left" vertical="center" wrapText="1" indent="1"/>
    </xf>
    <xf numFmtId="0" fontId="30" fillId="0" borderId="31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HOGAR%20WARMI/CATALOGO%20ALIMENTOS%20PERECEDER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ECEDERO"/>
    </sheetNames>
    <sheetDataSet>
      <sheetData sheetId="0">
        <row r="52">
          <cell r="E52" t="str">
            <v>QUESOS; TIPO: CREMOSO, PRESENTACION: AL PESO, ELEM. TRANSPORTE: SIN, MATERIAL ELEM. TRANSPORTE: SIN, MATERIAL ENVASE: SIN, CERTIFICADO FORESTAL (GFS): SIN, LIBRE DE GLUTEN: A DEFINIR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L66"/>
  <sheetViews>
    <sheetView tabSelected="1" workbookViewId="0">
      <selection activeCell="F12" sqref="F12"/>
    </sheetView>
  </sheetViews>
  <sheetFormatPr baseColWidth="10" defaultRowHeight="15" x14ac:dyDescent="0.25"/>
  <cols>
    <col min="1" max="1" width="1" customWidth="1"/>
    <col min="2" max="2" width="3.140625" style="3" customWidth="1"/>
    <col min="3" max="3" width="14.5703125" customWidth="1"/>
    <col min="4" max="4" width="13.5703125" style="3" bestFit="1" customWidth="1"/>
    <col min="5" max="5" width="6.28515625" style="3" bestFit="1" customWidth="1"/>
    <col min="6" max="6" width="42.28515625" style="4" customWidth="1"/>
    <col min="7" max="7" width="10.28515625" customWidth="1"/>
    <col min="8" max="8" width="10.42578125" style="4" customWidth="1"/>
    <col min="9" max="9" width="13" customWidth="1"/>
    <col min="10" max="10" width="11.42578125" customWidth="1"/>
  </cols>
  <sheetData>
    <row r="1" spans="2:12" s="3" customFormat="1" ht="15.75" thickBot="1" x14ac:dyDescent="0.3">
      <c r="F1" s="4"/>
      <c r="H1" s="4"/>
    </row>
    <row r="2" spans="2:12" s="3" customFormat="1" ht="29.25" customHeight="1" x14ac:dyDescent="0.25">
      <c r="B2" s="126" t="s">
        <v>42</v>
      </c>
      <c r="C2" s="127"/>
      <c r="D2" s="127"/>
      <c r="E2" s="127"/>
      <c r="F2" s="127"/>
      <c r="G2" s="127"/>
      <c r="H2" s="127"/>
      <c r="I2" s="127"/>
      <c r="J2" s="128"/>
    </row>
    <row r="3" spans="2:12" s="3" customFormat="1" x14ac:dyDescent="0.25">
      <c r="B3" s="85"/>
      <c r="C3" s="86"/>
      <c r="D3" s="86"/>
      <c r="E3" s="86"/>
      <c r="F3" s="87"/>
      <c r="G3" s="86"/>
      <c r="H3" s="87"/>
      <c r="I3" s="86"/>
      <c r="J3" s="88"/>
    </row>
    <row r="4" spans="2:12" s="3" customFormat="1" ht="25.5" customHeight="1" x14ac:dyDescent="0.25">
      <c r="B4" s="120" t="s">
        <v>52</v>
      </c>
      <c r="C4" s="121"/>
      <c r="D4" s="122" t="s">
        <v>53</v>
      </c>
      <c r="E4" s="123"/>
      <c r="F4" s="123"/>
      <c r="G4" s="123"/>
      <c r="H4" s="123"/>
      <c r="I4" s="123"/>
      <c r="J4" s="124"/>
    </row>
    <row r="5" spans="2:12" s="3" customFormat="1" ht="15.75" x14ac:dyDescent="0.25">
      <c r="B5" s="120" t="s">
        <v>54</v>
      </c>
      <c r="C5" s="121"/>
      <c r="D5" s="60" t="s">
        <v>60</v>
      </c>
      <c r="E5" s="61"/>
      <c r="F5" s="60"/>
      <c r="G5" s="62"/>
      <c r="H5" s="60"/>
      <c r="I5" s="60"/>
      <c r="J5" s="89"/>
      <c r="K5" s="59"/>
      <c r="L5" s="59"/>
    </row>
    <row r="6" spans="2:12" s="3" customFormat="1" ht="20.25" customHeight="1" x14ac:dyDescent="0.25">
      <c r="B6" s="120" t="s">
        <v>55</v>
      </c>
      <c r="C6" s="121"/>
      <c r="D6" s="122">
        <v>2021</v>
      </c>
      <c r="E6" s="123"/>
      <c r="F6" s="123"/>
      <c r="G6" s="123"/>
      <c r="H6" s="123"/>
      <c r="I6" s="123"/>
      <c r="J6" s="124"/>
    </row>
    <row r="7" spans="2:12" s="3" customFormat="1" ht="28.5" customHeight="1" x14ac:dyDescent="0.25">
      <c r="B7" s="120" t="s">
        <v>56</v>
      </c>
      <c r="C7" s="121"/>
      <c r="D7" s="122">
        <v>2</v>
      </c>
      <c r="E7" s="123"/>
      <c r="F7" s="123"/>
      <c r="G7" s="123"/>
      <c r="H7" s="123"/>
      <c r="I7" s="123"/>
      <c r="J7" s="124"/>
    </row>
    <row r="8" spans="2:12" ht="19.5" thickBot="1" x14ac:dyDescent="0.35">
      <c r="B8" s="85"/>
      <c r="C8" s="86"/>
      <c r="D8" s="86"/>
      <c r="E8" s="86"/>
      <c r="F8" s="87"/>
      <c r="G8" s="90"/>
      <c r="H8" s="87"/>
      <c r="I8" s="91"/>
      <c r="J8" s="92"/>
    </row>
    <row r="9" spans="2:12" s="1" customFormat="1" ht="48.75" customHeight="1" thickBot="1" x14ac:dyDescent="0.3">
      <c r="B9" s="51" t="s">
        <v>45</v>
      </c>
      <c r="C9" s="52" t="s">
        <v>7</v>
      </c>
      <c r="D9" s="5" t="s">
        <v>6</v>
      </c>
      <c r="E9" s="54" t="s">
        <v>1</v>
      </c>
      <c r="F9" s="55" t="s">
        <v>41</v>
      </c>
      <c r="G9" s="56" t="s">
        <v>57</v>
      </c>
      <c r="H9" s="55" t="s">
        <v>44</v>
      </c>
      <c r="I9" s="57" t="s">
        <v>58</v>
      </c>
      <c r="J9" s="58" t="s">
        <v>59</v>
      </c>
    </row>
    <row r="10" spans="2:12" s="1" customFormat="1" ht="36" customHeight="1" x14ac:dyDescent="0.25">
      <c r="B10" s="94">
        <v>1</v>
      </c>
      <c r="C10" s="93" t="s">
        <v>8</v>
      </c>
      <c r="D10" s="95" t="s">
        <v>0</v>
      </c>
      <c r="E10" s="93" t="s">
        <v>3</v>
      </c>
      <c r="F10" s="96" t="s">
        <v>22</v>
      </c>
      <c r="G10" s="95" t="s">
        <v>109</v>
      </c>
      <c r="H10" s="95">
        <v>252</v>
      </c>
      <c r="I10" s="97">
        <v>180</v>
      </c>
      <c r="J10" s="98">
        <f t="shared" ref="J10:J34" si="0">+H10*I10</f>
        <v>45360</v>
      </c>
    </row>
    <row r="11" spans="2:12" s="1" customFormat="1" ht="74.25" customHeight="1" x14ac:dyDescent="0.25">
      <c r="B11" s="99">
        <v>2</v>
      </c>
      <c r="C11" s="100" t="s">
        <v>104</v>
      </c>
      <c r="D11" s="101" t="s">
        <v>0</v>
      </c>
      <c r="E11" s="100" t="s">
        <v>3</v>
      </c>
      <c r="F11" s="102" t="str">
        <f>+[1]PERECEDERO!$E$52</f>
        <v>QUESOS; TIPO: CREMOSO, PRESENTACION: AL PESO, ELEM. TRANSPORTE: SIN, MATERIAL ELEM. TRANSPORTE: SIN, MATERIAL ENVASE: SIN, CERTIFICADO FORESTAL (GFS): SIN, LIBRE DE GLUTEN: A DEFINIR</v>
      </c>
      <c r="G11" s="101" t="s">
        <v>109</v>
      </c>
      <c r="H11" s="101">
        <v>12</v>
      </c>
      <c r="I11" s="103">
        <v>700</v>
      </c>
      <c r="J11" s="104">
        <f t="shared" si="0"/>
        <v>8400</v>
      </c>
    </row>
    <row r="12" spans="2:12" s="1" customFormat="1" ht="80.25" customHeight="1" x14ac:dyDescent="0.25">
      <c r="B12" s="99">
        <v>3</v>
      </c>
      <c r="C12" s="100" t="s">
        <v>40</v>
      </c>
      <c r="D12" s="101" t="s">
        <v>0</v>
      </c>
      <c r="E12" s="100" t="s">
        <v>3</v>
      </c>
      <c r="F12" s="102" t="s">
        <v>39</v>
      </c>
      <c r="G12" s="101" t="s">
        <v>43</v>
      </c>
      <c r="H12" s="105">
        <v>6</v>
      </c>
      <c r="I12" s="103">
        <v>3800</v>
      </c>
      <c r="J12" s="104">
        <f t="shared" si="0"/>
        <v>22800</v>
      </c>
    </row>
    <row r="13" spans="2:12" s="1" customFormat="1" ht="43.5" customHeight="1" x14ac:dyDescent="0.25">
      <c r="B13" s="99">
        <v>4</v>
      </c>
      <c r="C13" s="100" t="s">
        <v>105</v>
      </c>
      <c r="D13" s="101" t="s">
        <v>0</v>
      </c>
      <c r="E13" s="100" t="s">
        <v>3</v>
      </c>
      <c r="F13" s="106" t="s">
        <v>106</v>
      </c>
      <c r="G13" s="101" t="s">
        <v>109</v>
      </c>
      <c r="H13" s="101">
        <v>15</v>
      </c>
      <c r="I13" s="103">
        <v>760</v>
      </c>
      <c r="J13" s="104">
        <f t="shared" si="0"/>
        <v>11400</v>
      </c>
    </row>
    <row r="14" spans="2:12" s="1" customFormat="1" ht="57.75" customHeight="1" x14ac:dyDescent="0.25">
      <c r="B14" s="99">
        <v>5</v>
      </c>
      <c r="C14" s="101" t="s">
        <v>108</v>
      </c>
      <c r="D14" s="101" t="s">
        <v>0</v>
      </c>
      <c r="E14" s="101" t="s">
        <v>3</v>
      </c>
      <c r="F14" s="107" t="s">
        <v>107</v>
      </c>
      <c r="G14" s="101" t="s">
        <v>43</v>
      </c>
      <c r="H14" s="101">
        <v>3</v>
      </c>
      <c r="I14" s="103">
        <v>250</v>
      </c>
      <c r="J14" s="104">
        <f t="shared" si="0"/>
        <v>750</v>
      </c>
    </row>
    <row r="15" spans="2:12" s="1" customFormat="1" ht="39" customHeight="1" x14ac:dyDescent="0.25">
      <c r="B15" s="99">
        <v>6</v>
      </c>
      <c r="C15" s="100" t="s">
        <v>9</v>
      </c>
      <c r="D15" s="101" t="s">
        <v>0</v>
      </c>
      <c r="E15" s="100" t="s">
        <v>2</v>
      </c>
      <c r="F15" s="102" t="s">
        <v>23</v>
      </c>
      <c r="G15" s="101" t="s">
        <v>109</v>
      </c>
      <c r="H15" s="101">
        <v>90</v>
      </c>
      <c r="I15" s="108">
        <v>900</v>
      </c>
      <c r="J15" s="104">
        <f t="shared" si="0"/>
        <v>81000</v>
      </c>
    </row>
    <row r="16" spans="2:12" s="1" customFormat="1" ht="28.5" customHeight="1" x14ac:dyDescent="0.25">
      <c r="B16" s="99">
        <v>7</v>
      </c>
      <c r="C16" s="100" t="s">
        <v>10</v>
      </c>
      <c r="D16" s="101" t="s">
        <v>0</v>
      </c>
      <c r="E16" s="100" t="s">
        <v>2</v>
      </c>
      <c r="F16" s="102" t="s">
        <v>24</v>
      </c>
      <c r="G16" s="101" t="s">
        <v>109</v>
      </c>
      <c r="H16" s="101">
        <v>90</v>
      </c>
      <c r="I16" s="108">
        <v>500</v>
      </c>
      <c r="J16" s="104">
        <f t="shared" si="0"/>
        <v>45000</v>
      </c>
    </row>
    <row r="17" spans="2:10" s="1" customFormat="1" ht="29.25" customHeight="1" x14ac:dyDescent="0.25">
      <c r="B17" s="99">
        <v>8</v>
      </c>
      <c r="C17" s="100" t="s">
        <v>20</v>
      </c>
      <c r="D17" s="101" t="s">
        <v>0</v>
      </c>
      <c r="E17" s="100" t="s">
        <v>3</v>
      </c>
      <c r="F17" s="102" t="s">
        <v>26</v>
      </c>
      <c r="G17" s="101" t="s">
        <v>109</v>
      </c>
      <c r="H17" s="101">
        <v>90</v>
      </c>
      <c r="I17" s="108">
        <v>1100</v>
      </c>
      <c r="J17" s="104">
        <f t="shared" si="0"/>
        <v>99000</v>
      </c>
    </row>
    <row r="18" spans="2:10" s="1" customFormat="1" ht="45" customHeight="1" x14ac:dyDescent="0.25">
      <c r="B18" s="99">
        <v>9</v>
      </c>
      <c r="C18" s="100" t="s">
        <v>11</v>
      </c>
      <c r="D18" s="101" t="s">
        <v>0</v>
      </c>
      <c r="E18" s="100" t="s">
        <v>3</v>
      </c>
      <c r="F18" s="102" t="s">
        <v>25</v>
      </c>
      <c r="G18" s="101" t="s">
        <v>109</v>
      </c>
      <c r="H18" s="101">
        <v>90</v>
      </c>
      <c r="I18" s="108">
        <v>1100</v>
      </c>
      <c r="J18" s="104">
        <f t="shared" si="0"/>
        <v>99000</v>
      </c>
    </row>
    <row r="19" spans="2:10" s="1" customFormat="1" ht="41.25" customHeight="1" x14ac:dyDescent="0.25">
      <c r="B19" s="99">
        <v>10</v>
      </c>
      <c r="C19" s="100" t="s">
        <v>12</v>
      </c>
      <c r="D19" s="101" t="s">
        <v>0</v>
      </c>
      <c r="E19" s="100" t="s">
        <v>3</v>
      </c>
      <c r="F19" s="102" t="s">
        <v>27</v>
      </c>
      <c r="G19" s="101" t="s">
        <v>109</v>
      </c>
      <c r="H19" s="101">
        <v>30</v>
      </c>
      <c r="I19" s="108">
        <v>500</v>
      </c>
      <c r="J19" s="104">
        <f t="shared" si="0"/>
        <v>15000</v>
      </c>
    </row>
    <row r="20" spans="2:10" s="1" customFormat="1" ht="43.5" customHeight="1" x14ac:dyDescent="0.25">
      <c r="B20" s="99">
        <v>11</v>
      </c>
      <c r="C20" s="100" t="s">
        <v>13</v>
      </c>
      <c r="D20" s="101" t="s">
        <v>0</v>
      </c>
      <c r="E20" s="100" t="s">
        <v>3</v>
      </c>
      <c r="F20" s="106" t="s">
        <v>28</v>
      </c>
      <c r="G20" s="101" t="s">
        <v>110</v>
      </c>
      <c r="H20" s="101">
        <v>6</v>
      </c>
      <c r="I20" s="108">
        <v>450</v>
      </c>
      <c r="J20" s="104">
        <f t="shared" si="0"/>
        <v>2700</v>
      </c>
    </row>
    <row r="21" spans="2:10" s="1" customFormat="1" ht="36" customHeight="1" x14ac:dyDescent="0.25">
      <c r="B21" s="99">
        <v>12</v>
      </c>
      <c r="C21" s="100" t="s">
        <v>14</v>
      </c>
      <c r="D21" s="101" t="s">
        <v>0</v>
      </c>
      <c r="E21" s="100" t="s">
        <v>3</v>
      </c>
      <c r="F21" s="102" t="s">
        <v>29</v>
      </c>
      <c r="G21" s="101" t="s">
        <v>4</v>
      </c>
      <c r="H21" s="101">
        <v>60</v>
      </c>
      <c r="I21" s="108">
        <v>300</v>
      </c>
      <c r="J21" s="104">
        <f t="shared" si="0"/>
        <v>18000</v>
      </c>
    </row>
    <row r="22" spans="2:10" s="1" customFormat="1" ht="43.5" customHeight="1" x14ac:dyDescent="0.25">
      <c r="B22" s="99">
        <v>13</v>
      </c>
      <c r="C22" s="100" t="s">
        <v>111</v>
      </c>
      <c r="D22" s="101" t="s">
        <v>0</v>
      </c>
      <c r="E22" s="100" t="s">
        <v>3</v>
      </c>
      <c r="F22" s="102" t="s">
        <v>112</v>
      </c>
      <c r="G22" s="109" t="s">
        <v>43</v>
      </c>
      <c r="H22" s="109">
        <v>10</v>
      </c>
      <c r="I22" s="108">
        <v>1750</v>
      </c>
      <c r="J22" s="104">
        <f t="shared" si="0"/>
        <v>17500</v>
      </c>
    </row>
    <row r="23" spans="2:10" s="1" customFormat="1" ht="46.5" customHeight="1" x14ac:dyDescent="0.25">
      <c r="B23" s="99">
        <v>14</v>
      </c>
      <c r="C23" s="100" t="s">
        <v>113</v>
      </c>
      <c r="D23" s="101" t="s">
        <v>0</v>
      </c>
      <c r="E23" s="100" t="s">
        <v>3</v>
      </c>
      <c r="F23" s="102" t="s">
        <v>114</v>
      </c>
      <c r="G23" s="109" t="s">
        <v>110</v>
      </c>
      <c r="H23" s="109">
        <v>9</v>
      </c>
      <c r="I23" s="103">
        <v>1500</v>
      </c>
      <c r="J23" s="104">
        <f t="shared" si="0"/>
        <v>13500</v>
      </c>
    </row>
    <row r="24" spans="2:10" s="1" customFormat="1" ht="48.75" customHeight="1" x14ac:dyDescent="0.25">
      <c r="B24" s="99">
        <v>15</v>
      </c>
      <c r="C24" s="100" t="s">
        <v>15</v>
      </c>
      <c r="D24" s="101" t="s">
        <v>0</v>
      </c>
      <c r="E24" s="100" t="s">
        <v>3</v>
      </c>
      <c r="F24" s="102" t="s">
        <v>34</v>
      </c>
      <c r="G24" s="109" t="s">
        <v>109</v>
      </c>
      <c r="H24" s="109">
        <v>90</v>
      </c>
      <c r="I24" s="103">
        <v>50</v>
      </c>
      <c r="J24" s="104">
        <f t="shared" si="0"/>
        <v>4500</v>
      </c>
    </row>
    <row r="25" spans="2:10" s="1" customFormat="1" ht="50.25" customHeight="1" x14ac:dyDescent="0.25">
      <c r="B25" s="99">
        <v>16</v>
      </c>
      <c r="C25" s="100" t="s">
        <v>116</v>
      </c>
      <c r="D25" s="101" t="s">
        <v>0</v>
      </c>
      <c r="E25" s="100" t="s">
        <v>3</v>
      </c>
      <c r="F25" s="102" t="s">
        <v>115</v>
      </c>
      <c r="G25" s="109" t="s">
        <v>43</v>
      </c>
      <c r="H25" s="109">
        <v>5</v>
      </c>
      <c r="I25" s="103">
        <v>2250</v>
      </c>
      <c r="J25" s="104">
        <f t="shared" si="0"/>
        <v>11250</v>
      </c>
    </row>
    <row r="26" spans="2:10" s="1" customFormat="1" ht="45.75" customHeight="1" x14ac:dyDescent="0.25">
      <c r="B26" s="99">
        <v>17</v>
      </c>
      <c r="C26" s="100" t="s">
        <v>19</v>
      </c>
      <c r="D26" s="101" t="s">
        <v>0</v>
      </c>
      <c r="E26" s="100" t="s">
        <v>3</v>
      </c>
      <c r="F26" s="102" t="s">
        <v>35</v>
      </c>
      <c r="G26" s="109" t="s">
        <v>5</v>
      </c>
      <c r="H26" s="109">
        <v>24</v>
      </c>
      <c r="I26" s="103">
        <v>140</v>
      </c>
      <c r="J26" s="104">
        <f t="shared" si="0"/>
        <v>3360</v>
      </c>
    </row>
    <row r="27" spans="2:10" s="1" customFormat="1" ht="57" customHeight="1" x14ac:dyDescent="0.25">
      <c r="B27" s="99">
        <v>18</v>
      </c>
      <c r="C27" s="100" t="s">
        <v>120</v>
      </c>
      <c r="D27" s="101" t="s">
        <v>0</v>
      </c>
      <c r="E27" s="100" t="s">
        <v>3</v>
      </c>
      <c r="F27" s="106" t="s">
        <v>121</v>
      </c>
      <c r="G27" s="109" t="s">
        <v>43</v>
      </c>
      <c r="H27" s="109">
        <v>72</v>
      </c>
      <c r="I27" s="103">
        <v>70</v>
      </c>
      <c r="J27" s="104">
        <f t="shared" si="0"/>
        <v>5040</v>
      </c>
    </row>
    <row r="28" spans="2:10" s="1" customFormat="1" ht="53.25" customHeight="1" x14ac:dyDescent="0.25">
      <c r="B28" s="99">
        <v>19</v>
      </c>
      <c r="C28" s="100" t="s">
        <v>118</v>
      </c>
      <c r="D28" s="101" t="s">
        <v>0</v>
      </c>
      <c r="E28" s="100" t="s">
        <v>3</v>
      </c>
      <c r="F28" s="106" t="s">
        <v>117</v>
      </c>
      <c r="G28" s="109" t="s">
        <v>109</v>
      </c>
      <c r="H28" s="109">
        <v>60</v>
      </c>
      <c r="I28" s="103">
        <v>80</v>
      </c>
      <c r="J28" s="104">
        <f t="shared" si="0"/>
        <v>4800</v>
      </c>
    </row>
    <row r="29" spans="2:10" s="1" customFormat="1" ht="43.5" customHeight="1" x14ac:dyDescent="0.25">
      <c r="B29" s="99">
        <v>20</v>
      </c>
      <c r="C29" s="100" t="s">
        <v>16</v>
      </c>
      <c r="D29" s="101" t="s">
        <v>0</v>
      </c>
      <c r="E29" s="100" t="s">
        <v>3</v>
      </c>
      <c r="F29" s="106" t="s">
        <v>36</v>
      </c>
      <c r="G29" s="109" t="s">
        <v>110</v>
      </c>
      <c r="H29" s="109">
        <v>7</v>
      </c>
      <c r="I29" s="103">
        <v>2500</v>
      </c>
      <c r="J29" s="104">
        <f t="shared" si="0"/>
        <v>17500</v>
      </c>
    </row>
    <row r="30" spans="2:10" s="1" customFormat="1" ht="48.75" customHeight="1" x14ac:dyDescent="0.25">
      <c r="B30" s="99">
        <v>21</v>
      </c>
      <c r="C30" s="100" t="s">
        <v>17</v>
      </c>
      <c r="D30" s="101" t="s">
        <v>0</v>
      </c>
      <c r="E30" s="100" t="s">
        <v>3</v>
      </c>
      <c r="F30" s="106" t="s">
        <v>37</v>
      </c>
      <c r="G30" s="109" t="s">
        <v>110</v>
      </c>
      <c r="H30" s="109">
        <v>5</v>
      </c>
      <c r="I30" s="103">
        <v>2900</v>
      </c>
      <c r="J30" s="104">
        <f t="shared" si="0"/>
        <v>14500</v>
      </c>
    </row>
    <row r="31" spans="2:10" s="1" customFormat="1" ht="47.25" customHeight="1" x14ac:dyDescent="0.25">
      <c r="B31" s="99">
        <v>22</v>
      </c>
      <c r="C31" s="100" t="s">
        <v>119</v>
      </c>
      <c r="D31" s="101" t="s">
        <v>0</v>
      </c>
      <c r="E31" s="100" t="s">
        <v>3</v>
      </c>
      <c r="F31" s="106" t="s">
        <v>38</v>
      </c>
      <c r="G31" s="109" t="s">
        <v>109</v>
      </c>
      <c r="H31" s="109">
        <v>54</v>
      </c>
      <c r="I31" s="103">
        <v>240</v>
      </c>
      <c r="J31" s="104">
        <f t="shared" si="0"/>
        <v>12960</v>
      </c>
    </row>
    <row r="32" spans="2:10" s="1" customFormat="1" ht="45.75" customHeight="1" x14ac:dyDescent="0.25">
      <c r="B32" s="99">
        <v>23</v>
      </c>
      <c r="C32" s="100" t="s">
        <v>31</v>
      </c>
      <c r="D32" s="101" t="s">
        <v>0</v>
      </c>
      <c r="E32" s="100" t="s">
        <v>3</v>
      </c>
      <c r="F32" s="106" t="s">
        <v>30</v>
      </c>
      <c r="G32" s="109" t="s">
        <v>43</v>
      </c>
      <c r="H32" s="109">
        <v>108</v>
      </c>
      <c r="I32" s="103">
        <v>35</v>
      </c>
      <c r="J32" s="104">
        <f t="shared" si="0"/>
        <v>3780</v>
      </c>
    </row>
    <row r="33" spans="2:10" s="1" customFormat="1" ht="54" customHeight="1" x14ac:dyDescent="0.25">
      <c r="B33" s="99">
        <v>24</v>
      </c>
      <c r="C33" s="100" t="s">
        <v>21</v>
      </c>
      <c r="D33" s="101" t="s">
        <v>0</v>
      </c>
      <c r="E33" s="100" t="s">
        <v>3</v>
      </c>
      <c r="F33" s="106" t="s">
        <v>32</v>
      </c>
      <c r="G33" s="109" t="s">
        <v>43</v>
      </c>
      <c r="H33" s="109">
        <v>24</v>
      </c>
      <c r="I33" s="103">
        <v>350</v>
      </c>
      <c r="J33" s="104">
        <f t="shared" si="0"/>
        <v>8400</v>
      </c>
    </row>
    <row r="34" spans="2:10" s="1" customFormat="1" ht="77.25" customHeight="1" thickBot="1" x14ac:dyDescent="0.3">
      <c r="B34" s="110">
        <v>25</v>
      </c>
      <c r="C34" s="111" t="s">
        <v>18</v>
      </c>
      <c r="D34" s="112" t="s">
        <v>0</v>
      </c>
      <c r="E34" s="111" t="s">
        <v>3</v>
      </c>
      <c r="F34" s="113" t="s">
        <v>33</v>
      </c>
      <c r="G34" s="114" t="s">
        <v>109</v>
      </c>
      <c r="H34" s="114">
        <v>42</v>
      </c>
      <c r="I34" s="115">
        <v>120</v>
      </c>
      <c r="J34" s="116">
        <f t="shared" si="0"/>
        <v>5040</v>
      </c>
    </row>
    <row r="35" spans="2:10" ht="24.75" customHeight="1" thickBot="1" x14ac:dyDescent="0.3">
      <c r="B35" s="130" t="s">
        <v>122</v>
      </c>
      <c r="C35" s="131"/>
      <c r="D35" s="131"/>
      <c r="E35" s="131"/>
      <c r="F35" s="131"/>
      <c r="G35" s="131"/>
      <c r="H35" s="131"/>
      <c r="I35" s="132"/>
      <c r="J35" s="117">
        <f>SUM(J10:J34)</f>
        <v>570540</v>
      </c>
    </row>
    <row r="36" spans="2:10" s="3" customFormat="1" ht="24.75" customHeight="1" thickBot="1" x14ac:dyDescent="0.3">
      <c r="B36" s="6"/>
      <c r="C36" s="6"/>
      <c r="D36" s="6"/>
      <c r="E36" s="6"/>
      <c r="F36" s="6"/>
      <c r="G36" s="6"/>
      <c r="H36" s="6"/>
      <c r="I36" s="6"/>
      <c r="J36" s="53"/>
    </row>
    <row r="37" spans="2:10" s="3" customFormat="1" ht="24.75" customHeight="1" x14ac:dyDescent="0.25">
      <c r="B37" s="6"/>
      <c r="C37" s="7" t="s">
        <v>131</v>
      </c>
      <c r="D37" s="8"/>
      <c r="E37" s="9"/>
      <c r="F37" s="65"/>
      <c r="G37" s="66"/>
      <c r="H37" s="66"/>
      <c r="I37" s="67"/>
      <c r="J37" s="53"/>
    </row>
    <row r="38" spans="2:10" s="3" customFormat="1" ht="24.75" customHeight="1" x14ac:dyDescent="0.25">
      <c r="B38" s="6"/>
      <c r="C38" s="10"/>
      <c r="D38" s="129" t="s">
        <v>132</v>
      </c>
      <c r="E38" s="129"/>
      <c r="F38" s="129"/>
      <c r="G38" s="6"/>
      <c r="H38" s="6"/>
      <c r="I38" s="68"/>
      <c r="J38" s="53"/>
    </row>
    <row r="39" spans="2:10" s="3" customFormat="1" ht="24.75" customHeight="1" x14ac:dyDescent="0.25">
      <c r="B39" s="6"/>
      <c r="C39" s="118" t="s">
        <v>134</v>
      </c>
      <c r="D39" s="12"/>
      <c r="E39" s="84"/>
      <c r="F39" s="84"/>
      <c r="G39" s="6"/>
      <c r="H39" s="6"/>
      <c r="I39" s="68"/>
      <c r="J39" s="53"/>
    </row>
    <row r="40" spans="2:10" s="3" customFormat="1" ht="24.75" customHeight="1" x14ac:dyDescent="0.25">
      <c r="B40" s="6"/>
      <c r="C40" s="118"/>
      <c r="D40" s="129" t="s">
        <v>133</v>
      </c>
      <c r="E40" s="129"/>
      <c r="F40" s="129"/>
      <c r="G40" s="6"/>
      <c r="H40" s="6"/>
      <c r="I40" s="68"/>
      <c r="J40" s="53"/>
    </row>
    <row r="41" spans="2:10" s="3" customFormat="1" ht="24.75" customHeight="1" x14ac:dyDescent="0.25">
      <c r="B41" s="6"/>
      <c r="C41" s="118" t="s">
        <v>135</v>
      </c>
      <c r="D41" s="12"/>
      <c r="E41" s="84"/>
      <c r="F41" s="84"/>
      <c r="G41" s="6"/>
      <c r="H41" s="6"/>
      <c r="I41" s="68"/>
      <c r="J41" s="53"/>
    </row>
    <row r="42" spans="2:10" s="3" customFormat="1" ht="24.75" customHeight="1" x14ac:dyDescent="0.25">
      <c r="B42" s="6"/>
      <c r="C42" s="118"/>
      <c r="D42" s="129" t="s">
        <v>137</v>
      </c>
      <c r="E42" s="129"/>
      <c r="F42" s="129"/>
      <c r="G42" s="6"/>
      <c r="H42" s="6"/>
      <c r="I42" s="68"/>
      <c r="J42" s="53"/>
    </row>
    <row r="43" spans="2:10" s="3" customFormat="1" ht="24.75" customHeight="1" x14ac:dyDescent="0.25">
      <c r="B43" s="6"/>
      <c r="C43" s="118" t="s">
        <v>136</v>
      </c>
      <c r="D43" s="12"/>
      <c r="E43" s="84"/>
      <c r="F43" s="84"/>
      <c r="G43" s="6"/>
      <c r="H43" s="6"/>
      <c r="I43" s="68"/>
      <c r="J43" s="53"/>
    </row>
    <row r="44" spans="2:10" s="3" customFormat="1" ht="24.75" customHeight="1" x14ac:dyDescent="0.25">
      <c r="B44" s="6"/>
      <c r="C44" s="118"/>
      <c r="D44" s="129" t="s">
        <v>137</v>
      </c>
      <c r="E44" s="129"/>
      <c r="F44" s="129"/>
      <c r="G44" s="6"/>
      <c r="H44" s="6"/>
      <c r="I44" s="68"/>
      <c r="J44" s="53"/>
    </row>
    <row r="45" spans="2:10" s="3" customFormat="1" ht="24.75" customHeight="1" x14ac:dyDescent="0.25">
      <c r="B45" s="6"/>
      <c r="C45" s="11" t="s">
        <v>46</v>
      </c>
      <c r="D45" s="12"/>
      <c r="E45" s="13"/>
      <c r="F45" s="63"/>
      <c r="G45" s="6"/>
      <c r="H45" s="6"/>
      <c r="I45" s="68"/>
      <c r="J45" s="53"/>
    </row>
    <row r="46" spans="2:10" s="3" customFormat="1" ht="24.75" customHeight="1" x14ac:dyDescent="0.25">
      <c r="B46" s="6"/>
      <c r="C46" s="11"/>
      <c r="D46" s="14"/>
      <c r="E46" s="15"/>
      <c r="F46" s="15"/>
      <c r="G46" s="6"/>
      <c r="H46" s="6"/>
      <c r="I46" s="68"/>
      <c r="J46" s="53"/>
    </row>
    <row r="47" spans="2:10" s="3" customFormat="1" ht="24.75" customHeight="1" x14ac:dyDescent="0.25">
      <c r="B47" s="6"/>
      <c r="C47" s="11" t="s">
        <v>47</v>
      </c>
      <c r="D47" s="12"/>
      <c r="E47" s="13"/>
      <c r="F47" s="63"/>
      <c r="G47" s="6"/>
      <c r="H47" s="6"/>
      <c r="I47" s="68"/>
      <c r="J47" s="53"/>
    </row>
    <row r="48" spans="2:10" s="3" customFormat="1" ht="123" customHeight="1" x14ac:dyDescent="0.25">
      <c r="B48" s="6"/>
      <c r="C48" s="16"/>
      <c r="D48" s="119" t="s">
        <v>62</v>
      </c>
      <c r="E48" s="119"/>
      <c r="F48" s="119"/>
      <c r="G48" s="119"/>
      <c r="H48" s="119"/>
      <c r="I48" s="125"/>
      <c r="J48" s="53"/>
    </row>
    <row r="49" spans="2:10" s="3" customFormat="1" ht="24.75" customHeight="1" x14ac:dyDescent="0.25">
      <c r="B49" s="6"/>
      <c r="C49" s="16"/>
      <c r="D49" s="17"/>
      <c r="E49" s="17"/>
      <c r="F49" s="17"/>
      <c r="G49" s="6"/>
      <c r="H49" s="6"/>
      <c r="I49" s="68"/>
      <c r="J49" s="53"/>
    </row>
    <row r="50" spans="2:10" s="3" customFormat="1" ht="24.75" customHeight="1" x14ac:dyDescent="0.25">
      <c r="B50" s="6"/>
      <c r="C50" s="11" t="s">
        <v>48</v>
      </c>
      <c r="D50" s="12"/>
      <c r="E50" s="13"/>
      <c r="F50" s="63"/>
      <c r="G50" s="6"/>
      <c r="H50" s="6"/>
      <c r="I50" s="68"/>
      <c r="J50" s="53"/>
    </row>
    <row r="51" spans="2:10" s="3" customFormat="1" ht="24.75" customHeight="1" x14ac:dyDescent="0.25">
      <c r="B51" s="6"/>
      <c r="C51" s="16"/>
      <c r="D51" s="119" t="s">
        <v>61</v>
      </c>
      <c r="E51" s="119"/>
      <c r="F51" s="119"/>
      <c r="G51" s="6"/>
      <c r="H51" s="6"/>
      <c r="I51" s="68"/>
      <c r="J51" s="53"/>
    </row>
    <row r="52" spans="2:10" s="3" customFormat="1" ht="24.75" customHeight="1" x14ac:dyDescent="0.25">
      <c r="B52" s="6"/>
      <c r="C52" s="11" t="s">
        <v>49</v>
      </c>
      <c r="D52" s="18"/>
      <c r="E52" s="18"/>
      <c r="F52" s="18"/>
      <c r="G52" s="6"/>
      <c r="H52" s="6"/>
      <c r="I52" s="68"/>
      <c r="J52" s="53"/>
    </row>
    <row r="53" spans="2:10" s="3" customFormat="1" ht="24.75" customHeight="1" x14ac:dyDescent="0.25">
      <c r="B53" s="6"/>
      <c r="C53" s="16"/>
      <c r="D53" s="19" t="s">
        <v>50</v>
      </c>
      <c r="E53" s="20"/>
      <c r="F53" s="20"/>
      <c r="G53" s="6"/>
      <c r="H53" s="6"/>
      <c r="I53" s="68"/>
      <c r="J53" s="53"/>
    </row>
    <row r="54" spans="2:10" s="3" customFormat="1" ht="24.75" customHeight="1" x14ac:dyDescent="0.25">
      <c r="B54" s="6"/>
      <c r="C54" s="11" t="s">
        <v>51</v>
      </c>
      <c r="D54" s="12"/>
      <c r="E54" s="13"/>
      <c r="F54" s="63"/>
      <c r="G54" s="6"/>
      <c r="H54" s="6"/>
      <c r="I54" s="68"/>
      <c r="J54" s="53"/>
    </row>
    <row r="55" spans="2:10" s="3" customFormat="1" ht="24.75" customHeight="1" thickBot="1" x14ac:dyDescent="0.3">
      <c r="B55" s="6"/>
      <c r="C55" s="69"/>
      <c r="D55" s="70"/>
      <c r="E55" s="70"/>
      <c r="F55" s="70"/>
      <c r="G55" s="71"/>
      <c r="H55" s="71"/>
      <c r="I55" s="72"/>
      <c r="J55" s="53"/>
    </row>
    <row r="56" spans="2:10" s="3" customFormat="1" ht="24.75" customHeight="1" x14ac:dyDescent="0.25">
      <c r="B56" s="6"/>
      <c r="C56" s="64"/>
      <c r="D56" s="12"/>
      <c r="E56" s="13"/>
      <c r="F56" s="63"/>
      <c r="G56" s="6"/>
      <c r="H56" s="6"/>
      <c r="I56" s="6"/>
      <c r="J56" s="53"/>
    </row>
    <row r="57" spans="2:10" s="3" customFormat="1" ht="24.75" customHeight="1" x14ac:dyDescent="0.25">
      <c r="B57" s="6"/>
      <c r="C57" s="6"/>
      <c r="D57" s="6"/>
      <c r="E57" s="6"/>
      <c r="F57" s="6"/>
      <c r="G57" s="6"/>
      <c r="H57" s="6"/>
      <c r="I57" s="6"/>
      <c r="J57" s="53"/>
    </row>
    <row r="58" spans="2:10" s="3" customFormat="1" ht="24.75" customHeight="1" x14ac:dyDescent="0.25">
      <c r="B58" s="6"/>
      <c r="C58" s="6"/>
      <c r="D58" s="6"/>
      <c r="E58" s="6"/>
      <c r="F58" s="6"/>
      <c r="G58" s="6"/>
      <c r="H58" s="6"/>
      <c r="I58" s="6"/>
      <c r="J58" s="53"/>
    </row>
    <row r="59" spans="2:10" s="3" customFormat="1" ht="24.75" customHeight="1" x14ac:dyDescent="0.25">
      <c r="B59" s="6"/>
      <c r="C59" s="6"/>
      <c r="D59" s="6"/>
      <c r="E59" s="6"/>
      <c r="F59" s="6"/>
      <c r="G59" s="6"/>
      <c r="H59" s="6"/>
      <c r="I59" s="6"/>
      <c r="J59" s="53"/>
    </row>
    <row r="60" spans="2:10" s="3" customFormat="1" ht="24.75" customHeight="1" x14ac:dyDescent="0.25">
      <c r="B60" s="6"/>
      <c r="C60" s="6"/>
      <c r="D60" s="6"/>
      <c r="E60" s="6"/>
      <c r="F60" s="6"/>
      <c r="G60" s="6"/>
      <c r="H60" s="6"/>
      <c r="I60" s="6"/>
      <c r="J60" s="53"/>
    </row>
    <row r="61" spans="2:10" s="3" customFormat="1" ht="24.75" customHeight="1" x14ac:dyDescent="0.25">
      <c r="B61" s="6"/>
      <c r="C61" s="6"/>
      <c r="D61" s="6"/>
      <c r="E61" s="6"/>
      <c r="F61" s="6"/>
      <c r="G61" s="6"/>
      <c r="H61" s="6"/>
      <c r="I61" s="6"/>
      <c r="J61" s="53"/>
    </row>
    <row r="62" spans="2:10" x14ac:dyDescent="0.25">
      <c r="C62" s="3"/>
      <c r="F62" s="3"/>
      <c r="G62" s="3"/>
    </row>
    <row r="63" spans="2:10" x14ac:dyDescent="0.25">
      <c r="C63" s="3"/>
      <c r="F63" s="3"/>
    </row>
    <row r="64" spans="2:10" x14ac:dyDescent="0.25">
      <c r="C64" s="3"/>
      <c r="F64" s="3"/>
      <c r="G64" s="3"/>
      <c r="I64" s="2"/>
    </row>
    <row r="65" spans="3:9" x14ac:dyDescent="0.25">
      <c r="C65" s="3"/>
      <c r="F65" s="3"/>
      <c r="G65" s="3"/>
      <c r="I65" s="2"/>
    </row>
    <row r="66" spans="3:9" x14ac:dyDescent="0.25">
      <c r="C66" s="3"/>
      <c r="F66" s="3"/>
      <c r="G66" s="3"/>
    </row>
  </sheetData>
  <mergeCells count="15">
    <mergeCell ref="B2:J2"/>
    <mergeCell ref="D40:F40"/>
    <mergeCell ref="D42:F42"/>
    <mergeCell ref="D44:F44"/>
    <mergeCell ref="B7:C7"/>
    <mergeCell ref="B35:I35"/>
    <mergeCell ref="D38:F38"/>
    <mergeCell ref="D51:F51"/>
    <mergeCell ref="B4:C4"/>
    <mergeCell ref="B5:C5"/>
    <mergeCell ref="B6:C6"/>
    <mergeCell ref="D4:J4"/>
    <mergeCell ref="D6:J6"/>
    <mergeCell ref="D7:J7"/>
    <mergeCell ref="D48:I48"/>
  </mergeCells>
  <pageMargins left="0.31496062992125984" right="0.31496062992125984" top="0.35433070866141736" bottom="0.15748031496062992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31" workbookViewId="0">
      <selection activeCell="L10" sqref="L10"/>
    </sheetView>
  </sheetViews>
  <sheetFormatPr baseColWidth="10" defaultColWidth="9.140625" defaultRowHeight="13.5" x14ac:dyDescent="0.25"/>
  <cols>
    <col min="1" max="1" width="5.5703125" style="21" customWidth="1"/>
    <col min="2" max="2" width="15.140625" style="26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42" style="21" customWidth="1"/>
    <col min="8" max="8" width="9.28515625" style="21" customWidth="1"/>
    <col min="9" max="9" width="15.5703125" style="21" customWidth="1"/>
    <col min="10" max="10" width="14.7109375" style="21" customWidth="1"/>
    <col min="11" max="11" width="14.42578125" style="21" customWidth="1"/>
    <col min="12" max="14" width="5.85546875" style="21" customWidth="1"/>
    <col min="15" max="15" width="12.5703125" style="21" customWidth="1"/>
    <col min="16" max="1024" width="9.140625" style="21"/>
    <col min="1025" max="16384" width="9.140625" style="22"/>
  </cols>
  <sheetData>
    <row r="1" spans="1:11" ht="26.25" customHeight="1" thickBot="1" x14ac:dyDescent="0.3">
      <c r="A1" s="133" t="s">
        <v>63</v>
      </c>
      <c r="B1" s="134"/>
      <c r="C1" s="134"/>
      <c r="D1" s="134"/>
      <c r="E1" s="134"/>
      <c r="F1" s="134"/>
      <c r="G1" s="134"/>
      <c r="H1" s="134"/>
      <c r="I1" s="134"/>
      <c r="J1" s="73" t="s">
        <v>64</v>
      </c>
      <c r="K1" s="74" t="s">
        <v>129</v>
      </c>
    </row>
    <row r="2" spans="1:11" ht="18.75" customHeight="1" thickBot="1" x14ac:dyDescent="0.3">
      <c r="A2" s="75"/>
      <c r="B2" s="24"/>
      <c r="C2" s="23"/>
      <c r="D2" s="25"/>
      <c r="E2" s="25"/>
      <c r="F2" s="25"/>
      <c r="G2" s="25"/>
      <c r="H2" s="25"/>
      <c r="I2" s="25"/>
      <c r="J2" s="25"/>
      <c r="K2" s="76"/>
    </row>
    <row r="3" spans="1:11" ht="18.75" customHeight="1" thickBot="1" x14ac:dyDescent="0.3">
      <c r="A3" s="135" t="s">
        <v>65</v>
      </c>
      <c r="B3" s="136"/>
      <c r="C3" s="136"/>
      <c r="D3" s="137" t="s">
        <v>124</v>
      </c>
      <c r="E3" s="137"/>
      <c r="F3" s="137"/>
      <c r="G3" s="137"/>
      <c r="H3" s="137"/>
      <c r="I3" s="137"/>
      <c r="J3" s="137"/>
      <c r="K3" s="137"/>
    </row>
    <row r="4" spans="1:11" ht="18.75" customHeight="1" thickBot="1" x14ac:dyDescent="0.3">
      <c r="A4" s="138" t="s">
        <v>66</v>
      </c>
      <c r="B4" s="139"/>
      <c r="C4" s="139"/>
      <c r="D4" s="137" t="s">
        <v>128</v>
      </c>
      <c r="E4" s="137"/>
      <c r="F4" s="137"/>
      <c r="G4" s="137"/>
      <c r="H4" s="137"/>
      <c r="I4" s="137"/>
      <c r="J4" s="137"/>
      <c r="K4" s="137"/>
    </row>
    <row r="5" spans="1:11" ht="18.75" customHeight="1" thickBot="1" x14ac:dyDescent="0.3">
      <c r="A5" s="138" t="s">
        <v>67</v>
      </c>
      <c r="B5" s="139"/>
      <c r="C5" s="139"/>
      <c r="D5" s="137" t="s">
        <v>79</v>
      </c>
      <c r="E5" s="137"/>
      <c r="F5" s="137"/>
      <c r="G5" s="137"/>
      <c r="H5" s="137"/>
      <c r="I5" s="137"/>
      <c r="J5" s="137"/>
      <c r="K5" s="137"/>
    </row>
    <row r="6" spans="1:11" ht="16.5" customHeight="1" thickBot="1" x14ac:dyDescent="0.3">
      <c r="A6" s="135" t="s">
        <v>68</v>
      </c>
      <c r="B6" s="136"/>
      <c r="C6" s="136"/>
      <c r="D6" s="137" t="s">
        <v>80</v>
      </c>
      <c r="E6" s="137"/>
      <c r="F6" s="137"/>
      <c r="G6" s="137"/>
      <c r="H6" s="137"/>
      <c r="I6" s="137"/>
      <c r="J6" s="137"/>
      <c r="K6" s="137"/>
    </row>
    <row r="7" spans="1:11" ht="16.5" customHeight="1" thickBot="1" x14ac:dyDescent="0.3">
      <c r="A7" s="138" t="s">
        <v>69</v>
      </c>
      <c r="B7" s="139"/>
      <c r="C7" s="139"/>
      <c r="D7" s="137" t="str">
        <f>'[2]Necesidades Trimestrales'!C7 &amp; "° Trimestre - Año " &amp; '[2]Necesidades Trimestrales'!C6</f>
        <v>2° Trimestre - Año 2021</v>
      </c>
      <c r="E7" s="137"/>
      <c r="F7" s="137"/>
      <c r="G7" s="137"/>
      <c r="H7" s="137"/>
      <c r="I7" s="137"/>
      <c r="J7" s="137"/>
      <c r="K7" s="137"/>
    </row>
    <row r="8" spans="1:11" ht="16.5" customHeight="1" thickBot="1" x14ac:dyDescent="0.3">
      <c r="A8" s="140" t="s">
        <v>70</v>
      </c>
      <c r="B8" s="140"/>
      <c r="C8" s="140"/>
      <c r="D8" s="141" t="s">
        <v>123</v>
      </c>
      <c r="E8" s="141"/>
      <c r="F8" s="141"/>
      <c r="G8" s="141"/>
      <c r="H8" s="141"/>
      <c r="I8" s="141"/>
      <c r="J8" s="141"/>
      <c r="K8" s="141"/>
    </row>
    <row r="9" spans="1:11" ht="14.25" thickBot="1" x14ac:dyDescent="0.3">
      <c r="A9" s="77"/>
      <c r="B9" s="78"/>
      <c r="C9" s="79"/>
      <c r="D9" s="80"/>
      <c r="E9" s="80"/>
      <c r="F9" s="80"/>
      <c r="G9" s="80"/>
      <c r="H9" s="80"/>
      <c r="I9" s="80"/>
      <c r="J9" s="80"/>
      <c r="K9" s="81"/>
    </row>
    <row r="10" spans="1:11" ht="18.75" customHeight="1" thickBot="1" x14ac:dyDescent="0.3">
      <c r="A10" s="142" t="s">
        <v>71</v>
      </c>
      <c r="B10" s="143" t="s">
        <v>72</v>
      </c>
      <c r="C10" s="143" t="s">
        <v>73</v>
      </c>
      <c r="D10" s="143"/>
      <c r="E10" s="143"/>
      <c r="F10" s="143"/>
      <c r="G10" s="143"/>
      <c r="H10" s="143" t="s">
        <v>74</v>
      </c>
      <c r="I10" s="143" t="s">
        <v>75</v>
      </c>
      <c r="J10" s="143" t="s">
        <v>76</v>
      </c>
      <c r="K10" s="144" t="s">
        <v>77</v>
      </c>
    </row>
    <row r="11" spans="1:11" ht="24" customHeight="1" thickBot="1" x14ac:dyDescent="0.3">
      <c r="A11" s="142"/>
      <c r="B11" s="143"/>
      <c r="C11" s="143"/>
      <c r="D11" s="143"/>
      <c r="E11" s="143"/>
      <c r="F11" s="143"/>
      <c r="G11" s="143"/>
      <c r="H11" s="143"/>
      <c r="I11" s="143"/>
      <c r="J11" s="143"/>
      <c r="K11" s="144"/>
    </row>
    <row r="12" spans="1:11" ht="29.25" customHeight="1" x14ac:dyDescent="0.25">
      <c r="A12" s="82">
        <f>+'[2]Necesidades Trimestrales'!A10</f>
        <v>1</v>
      </c>
      <c r="B12" s="27" t="str">
        <f>+PERECEDERO!C10</f>
        <v>2.1.1-669.64</v>
      </c>
      <c r="C12" s="145" t="str">
        <f>+PERECEDERO!F10</f>
        <v>PANES; TIPO: FRANCES, PRESENTACION: ENVASE X 1 Kg</v>
      </c>
      <c r="D12" s="145"/>
      <c r="E12" s="145"/>
      <c r="F12" s="145"/>
      <c r="G12" s="145"/>
      <c r="H12" s="27" t="s">
        <v>78</v>
      </c>
      <c r="I12" s="27" t="str">
        <f>+PERECEDERO!G10</f>
        <v>KG</v>
      </c>
      <c r="J12" s="28">
        <f>+PERECEDERO!I10</f>
        <v>180</v>
      </c>
      <c r="K12" s="83">
        <f>+PERECEDERO!H10</f>
        <v>252</v>
      </c>
    </row>
    <row r="13" spans="1:11" ht="40.5" customHeight="1" x14ac:dyDescent="0.25">
      <c r="A13" s="82">
        <f>+'[2]Necesidades Trimestrales'!A11</f>
        <v>2</v>
      </c>
      <c r="B13" s="27" t="str">
        <f>+PERECEDERO!C11</f>
        <v>2.1.1-542.236</v>
      </c>
      <c r="C13" s="145" t="str">
        <f>+PERECEDERO!F11</f>
        <v>QUESOS; TIPO: CREMOSO, PRESENTACION: AL PESO, ELEM. TRANSPORTE: SIN, MATERIAL ELEM. TRANSPORTE: SIN, MATERIAL ENVASE: SIN, CERTIFICADO FORESTAL (GFS): SIN, LIBRE DE GLUTEN: A DEFINIR</v>
      </c>
      <c r="D13" s="145"/>
      <c r="E13" s="145"/>
      <c r="F13" s="145"/>
      <c r="G13" s="145"/>
      <c r="H13" s="27" t="s">
        <v>78</v>
      </c>
      <c r="I13" s="27" t="str">
        <f>+PERECEDERO!G11</f>
        <v>KG</v>
      </c>
      <c r="J13" s="28">
        <f>+PERECEDERO!I11</f>
        <v>700</v>
      </c>
      <c r="K13" s="83">
        <f>+PERECEDERO!H11</f>
        <v>12</v>
      </c>
    </row>
    <row r="14" spans="1:11" ht="37.5" customHeight="1" x14ac:dyDescent="0.25">
      <c r="A14" s="82">
        <f>+'[2]Necesidades Trimestrales'!A12</f>
        <v>3</v>
      </c>
      <c r="B14" s="27" t="str">
        <f>+PERECEDERO!C12</f>
        <v>2.1.1-542.197</v>
      </c>
      <c r="C14" s="145" t="str">
        <f>+PERECEDERO!F12</f>
        <v>QUESOS; TIPO: TYBO, PRESENTACION: HORMA, ELEM. TRANSPORTE: SIN, MATERIAL ELEM. TRANSPORTE: SIN, MATERIAL ENVASE: PLASTICO, CERTIFICADO FORESTAL (GFS): SIN, LIBRE DE GLUTEN: NO</v>
      </c>
      <c r="D14" s="145"/>
      <c r="E14" s="145"/>
      <c r="F14" s="145"/>
      <c r="G14" s="145"/>
      <c r="H14" s="27" t="s">
        <v>78</v>
      </c>
      <c r="I14" s="27" t="str">
        <f>+PERECEDERO!G12</f>
        <v>UNIDAD</v>
      </c>
      <c r="J14" s="28">
        <f>+PERECEDERO!I12</f>
        <v>3800</v>
      </c>
      <c r="K14" s="83">
        <f>+PERECEDERO!H12</f>
        <v>6</v>
      </c>
    </row>
    <row r="15" spans="1:11" ht="42.75" customHeight="1" x14ac:dyDescent="0.25">
      <c r="A15" s="82">
        <f>+'[2]Necesidades Trimestrales'!A13</f>
        <v>4</v>
      </c>
      <c r="B15" s="27" t="str">
        <f>+PERECEDERO!C13</f>
        <v>2.1.1-969.96</v>
      </c>
      <c r="C15" s="145" t="str">
        <f>+PERECEDERO!F13</f>
        <v>FIAMBRES; TIPO: JAMON COCIDO, PRESENTACION: AL VACIO</v>
      </c>
      <c r="D15" s="145"/>
      <c r="E15" s="145"/>
      <c r="F15" s="145"/>
      <c r="G15" s="145"/>
      <c r="H15" s="27" t="s">
        <v>78</v>
      </c>
      <c r="I15" s="27" t="str">
        <f>+PERECEDERO!G13</f>
        <v>KG</v>
      </c>
      <c r="J15" s="28">
        <f>+PERECEDERO!I13</f>
        <v>760</v>
      </c>
      <c r="K15" s="83">
        <f>+PERECEDERO!H13</f>
        <v>15</v>
      </c>
    </row>
    <row r="16" spans="1:11" ht="47.25" customHeight="1" x14ac:dyDescent="0.25">
      <c r="A16" s="82">
        <f>+'[2]Necesidades Trimestrales'!A14</f>
        <v>5</v>
      </c>
      <c r="B16" s="27" t="str">
        <f>+PERECEDERO!C14</f>
        <v>2.1.1-2116.1</v>
      </c>
      <c r="C16" s="145" t="str">
        <f>+PERECEDERO!F14</f>
        <v>LEVADURAS; TIPO: DE CERVEZA, PRESENTACION: PAQUETE, PESO: 500 GR</v>
      </c>
      <c r="D16" s="145"/>
      <c r="E16" s="145"/>
      <c r="F16" s="145"/>
      <c r="G16" s="145"/>
      <c r="H16" s="27" t="s">
        <v>78</v>
      </c>
      <c r="I16" s="27" t="str">
        <f>+PERECEDERO!G14</f>
        <v>UNIDAD</v>
      </c>
      <c r="J16" s="28">
        <f>+PERECEDERO!I14</f>
        <v>250</v>
      </c>
      <c r="K16" s="83">
        <f>+PERECEDERO!H14</f>
        <v>3</v>
      </c>
    </row>
    <row r="17" spans="1:11" ht="44.25" customHeight="1" x14ac:dyDescent="0.25">
      <c r="A17" s="82">
        <f>+'[2]Necesidades Trimestrales'!A15</f>
        <v>6</v>
      </c>
      <c r="B17" s="27" t="str">
        <f>+PERECEDERO!C15</f>
        <v>2.1.1-541.70</v>
      </c>
      <c r="C17" s="145" t="str">
        <f>+PERECEDERO!F15</f>
        <v>CARNES; CORTE: CARRE CON LOMO, TIPO: PORCINA, ESPECIE: PORCINA</v>
      </c>
      <c r="D17" s="145"/>
      <c r="E17" s="145"/>
      <c r="F17" s="145"/>
      <c r="G17" s="145"/>
      <c r="H17" s="27" t="s">
        <v>78</v>
      </c>
      <c r="I17" s="27" t="str">
        <f>+PERECEDERO!G15</f>
        <v>KG</v>
      </c>
      <c r="J17" s="28">
        <f>+PERECEDERO!I15</f>
        <v>900</v>
      </c>
      <c r="K17" s="83">
        <f>+PERECEDERO!H15</f>
        <v>90</v>
      </c>
    </row>
    <row r="18" spans="1:11" ht="29.25" customHeight="1" x14ac:dyDescent="0.25">
      <c r="A18" s="82">
        <f>+'[2]Necesidades Trimestrales'!A16</f>
        <v>7</v>
      </c>
      <c r="B18" s="27" t="str">
        <f>+PERECEDERO!C16</f>
        <v>2.1.1-541.34</v>
      </c>
      <c r="C18" s="145" t="str">
        <f>+PERECEDERO!F16</f>
        <v>CARNES; CORTE: OSOBUCO, TIPO: VACUNA, ESPECIE: VACUNA</v>
      </c>
      <c r="D18" s="145"/>
      <c r="E18" s="145"/>
      <c r="F18" s="145"/>
      <c r="G18" s="145"/>
      <c r="H18" s="27" t="s">
        <v>78</v>
      </c>
      <c r="I18" s="27" t="str">
        <f>+PERECEDERO!G16</f>
        <v>KG</v>
      </c>
      <c r="J18" s="28">
        <f>+PERECEDERO!I16</f>
        <v>500</v>
      </c>
      <c r="K18" s="83">
        <f>+PERECEDERO!H16</f>
        <v>90</v>
      </c>
    </row>
    <row r="19" spans="1:11" ht="39.75" customHeight="1" x14ac:dyDescent="0.25">
      <c r="A19" s="82">
        <f>+'[2]Necesidades Trimestrales'!A17</f>
        <v>8</v>
      </c>
      <c r="B19" s="27" t="str">
        <f>+PERECEDERO!C17</f>
        <v>2.1.1-541.49</v>
      </c>
      <c r="C19" s="145" t="str">
        <f>+PERECEDERO!F17</f>
        <v>CARNES; ESPECIE: VACUNA, CORTE: NALGA, TIPO: VACUNA</v>
      </c>
      <c r="D19" s="145"/>
      <c r="E19" s="145"/>
      <c r="F19" s="145"/>
      <c r="G19" s="145"/>
      <c r="H19" s="27" t="s">
        <v>78</v>
      </c>
      <c r="I19" s="27" t="str">
        <f>+PERECEDERO!G17</f>
        <v>KG</v>
      </c>
      <c r="J19" s="28">
        <f>+PERECEDERO!I17</f>
        <v>1100</v>
      </c>
      <c r="K19" s="83">
        <f>+PERECEDERO!H17</f>
        <v>90</v>
      </c>
    </row>
    <row r="20" spans="1:11" ht="39" customHeight="1" x14ac:dyDescent="0.25">
      <c r="A20" s="82">
        <f>+'[2]Necesidades Trimestrales'!A18</f>
        <v>9</v>
      </c>
      <c r="B20" s="27" t="str">
        <f>+PERECEDERO!C18</f>
        <v>2.1.1-541.154</v>
      </c>
      <c r="C20" s="145" t="str">
        <f>+PERECEDERO!F18</f>
        <v>CARNES; ESPECIE: CARNE VACUNA, CORTE: MILANESA NALGA, TIPO: CARNE VACUNA</v>
      </c>
      <c r="D20" s="145"/>
      <c r="E20" s="145"/>
      <c r="F20" s="145"/>
      <c r="G20" s="145"/>
      <c r="H20" s="27" t="s">
        <v>78</v>
      </c>
      <c r="I20" s="27" t="str">
        <f>+PERECEDERO!G18</f>
        <v>KG</v>
      </c>
      <c r="J20" s="28">
        <f>+PERECEDERO!I18</f>
        <v>1100</v>
      </c>
      <c r="K20" s="83">
        <f>+PERECEDERO!H18</f>
        <v>90</v>
      </c>
    </row>
    <row r="21" spans="1:11" ht="41.25" customHeight="1" x14ac:dyDescent="0.25">
      <c r="A21" s="82">
        <f>+'[2]Necesidades Trimestrales'!A19</f>
        <v>10</v>
      </c>
      <c r="B21" s="27" t="str">
        <f>+PERECEDERO!C19</f>
        <v>2.1.1-541.122</v>
      </c>
      <c r="C21" s="145" t="str">
        <f>+PERECEDERO!F19</f>
        <v>CARNES; CORTE: CHORIZO CONGELADO, TIPO: VACUNA, ESPECIE: VACUNA</v>
      </c>
      <c r="D21" s="145"/>
      <c r="E21" s="145"/>
      <c r="F21" s="145"/>
      <c r="G21" s="145"/>
      <c r="H21" s="27" t="s">
        <v>78</v>
      </c>
      <c r="I21" s="27" t="str">
        <f>+PERECEDERO!G19</f>
        <v>KG</v>
      </c>
      <c r="J21" s="28">
        <f>+PERECEDERO!I19</f>
        <v>500</v>
      </c>
      <c r="K21" s="83">
        <f>+PERECEDERO!H19</f>
        <v>30</v>
      </c>
    </row>
    <row r="22" spans="1:11" ht="41.25" customHeight="1" x14ac:dyDescent="0.25">
      <c r="A22" s="82">
        <f>+'[2]Necesidades Trimestrales'!A20</f>
        <v>11</v>
      </c>
      <c r="B22" s="27" t="str">
        <f>+PERECEDERO!C20</f>
        <v>2.1.1-621.13</v>
      </c>
      <c r="C22" s="145" t="str">
        <f>+PERECEDERO!F20</f>
        <v>AVES; ESPECIE: POLLO, PRESENTACION: CAJON X 8 UN, EVISCERADO: SIN VALOR, TIPO: POLLO</v>
      </c>
      <c r="D22" s="145"/>
      <c r="E22" s="145"/>
      <c r="F22" s="145"/>
      <c r="G22" s="145"/>
      <c r="H22" s="27" t="s">
        <v>78</v>
      </c>
      <c r="I22" s="27" t="str">
        <f>+PERECEDERO!G20</f>
        <v>CAJON</v>
      </c>
      <c r="J22" s="28">
        <f>+PERECEDERO!I20</f>
        <v>450</v>
      </c>
      <c r="K22" s="83">
        <f>+PERECEDERO!H20</f>
        <v>6</v>
      </c>
    </row>
    <row r="23" spans="1:11" ht="41.25" customHeight="1" x14ac:dyDescent="0.25">
      <c r="A23" s="82">
        <f>+'[2]Necesidades Trimestrales'!A21</f>
        <v>12</v>
      </c>
      <c r="B23" s="27" t="str">
        <f>+PERECEDERO!C21</f>
        <v>2.1.1-541.45</v>
      </c>
      <c r="C23" s="145" t="str">
        <f>+PERECEDERO!F21</f>
        <v>CARNES; CORTE: HIGADO, ESPECIE: VACUNA, TIPO: VACUNA</v>
      </c>
      <c r="D23" s="145"/>
      <c r="E23" s="145"/>
      <c r="F23" s="145"/>
      <c r="G23" s="145"/>
      <c r="H23" s="27" t="s">
        <v>78</v>
      </c>
      <c r="I23" s="27" t="str">
        <f>+PERECEDERO!G21</f>
        <v>Kilo</v>
      </c>
      <c r="J23" s="28">
        <f>+PERECEDERO!I21</f>
        <v>300</v>
      </c>
      <c r="K23" s="83">
        <f>+PERECEDERO!H21</f>
        <v>60</v>
      </c>
    </row>
    <row r="24" spans="1:11" ht="41.25" customHeight="1" x14ac:dyDescent="0.25">
      <c r="A24" s="82">
        <f>+'[2]Necesidades Trimestrales'!A22</f>
        <v>13</v>
      </c>
      <c r="B24" s="27" t="str">
        <f>+PERECEDERO!C22</f>
        <v>2.1.1-6546.335</v>
      </c>
      <c r="C24" s="145" t="str">
        <f>+PERECEDERO!F22</f>
        <v>VERDURAS Y HORTALIZAS; VARIEDAD: PAPA BLANCA,ESTADO :NATURAL PRESENTACION: BOLSA  PESO: 25 KG</v>
      </c>
      <c r="D24" s="145"/>
      <c r="E24" s="145"/>
      <c r="F24" s="145"/>
      <c r="G24" s="145"/>
      <c r="H24" s="27" t="s">
        <v>78</v>
      </c>
      <c r="I24" s="27" t="str">
        <f>+PERECEDERO!G22</f>
        <v>UNIDAD</v>
      </c>
      <c r="J24" s="28">
        <f>+PERECEDERO!I22</f>
        <v>1750</v>
      </c>
      <c r="K24" s="83">
        <f>+PERECEDERO!H22</f>
        <v>10</v>
      </c>
    </row>
    <row r="25" spans="1:11" ht="41.25" customHeight="1" x14ac:dyDescent="0.25">
      <c r="A25" s="82">
        <f>+'[2]Necesidades Trimestrales'!A23</f>
        <v>14</v>
      </c>
      <c r="B25" s="27" t="str">
        <f>+PERECEDERO!C23</f>
        <v>2.1.1-6546.18</v>
      </c>
      <c r="C25" s="145" t="str">
        <f>+PERECEDERO!F23</f>
        <v>VERDURAS Y HORTALIZAS; VARIEDAD: TOMATE REDONDO, ESTADO: NATURAL, PRESENTACION: CAJON, PESO: 10 KG</v>
      </c>
      <c r="D25" s="145"/>
      <c r="E25" s="145"/>
      <c r="F25" s="145"/>
      <c r="G25" s="145"/>
      <c r="H25" s="27" t="s">
        <v>78</v>
      </c>
      <c r="I25" s="27" t="str">
        <f>+PERECEDERO!G23</f>
        <v>CAJON</v>
      </c>
      <c r="J25" s="28">
        <f>+PERECEDERO!I23</f>
        <v>1500</v>
      </c>
      <c r="K25" s="83">
        <f>+PERECEDERO!H23</f>
        <v>9</v>
      </c>
    </row>
    <row r="26" spans="1:11" ht="41.25" customHeight="1" x14ac:dyDescent="0.25">
      <c r="A26" s="82">
        <f>+'[2]Necesidades Trimestrales'!A24</f>
        <v>15</v>
      </c>
      <c r="B26" s="27" t="str">
        <f>+PERECEDERO!C24</f>
        <v>2.1.1-6546.95</v>
      </c>
      <c r="C26" s="145" t="str">
        <f>+PERECEDERO!F24</f>
        <v>VERDURAS Y HORTALIZAS; VARIEDAD: MORRON VERDE, ESTADO: NATURAL, PRESENTACION: GRANEL, PESO: SIN VALOR</v>
      </c>
      <c r="D26" s="145"/>
      <c r="E26" s="145"/>
      <c r="F26" s="145"/>
      <c r="G26" s="145"/>
      <c r="H26" s="27" t="s">
        <v>78</v>
      </c>
      <c r="I26" s="27" t="str">
        <f>+PERECEDERO!G24</f>
        <v>KG</v>
      </c>
      <c r="J26" s="28">
        <f>+PERECEDERO!I24</f>
        <v>50</v>
      </c>
      <c r="K26" s="83">
        <f>+PERECEDERO!H24</f>
        <v>90</v>
      </c>
    </row>
    <row r="27" spans="1:11" ht="41.25" customHeight="1" x14ac:dyDescent="0.25">
      <c r="A27" s="82">
        <f>+'[2]Necesidades Trimestrales'!A25</f>
        <v>16</v>
      </c>
      <c r="B27" s="27" t="str">
        <f>+PERECEDERO!C25</f>
        <v>2.1.1-6546.39</v>
      </c>
      <c r="C27" s="145" t="str">
        <f>+PERECEDERO!F25</f>
        <v>VERDURAS Y HORTALIZAS; VARIEDAD: CEBOLLA, ESTADO: NATURAL, PRESENTACION: BOLSA, PESO: 25 KG</v>
      </c>
      <c r="D27" s="145"/>
      <c r="E27" s="145"/>
      <c r="F27" s="145"/>
      <c r="G27" s="145"/>
      <c r="H27" s="27" t="s">
        <v>78</v>
      </c>
      <c r="I27" s="27" t="str">
        <f>+PERECEDERO!G25</f>
        <v>UNIDAD</v>
      </c>
      <c r="J27" s="28">
        <f>+PERECEDERO!I25</f>
        <v>2250</v>
      </c>
      <c r="K27" s="83">
        <f>+PERECEDERO!H25</f>
        <v>5</v>
      </c>
    </row>
    <row r="28" spans="1:11" ht="41.25" customHeight="1" x14ac:dyDescent="0.25">
      <c r="A28" s="82">
        <f>+'[2]Necesidades Trimestrales'!A26</f>
        <v>17</v>
      </c>
      <c r="B28" s="27" t="str">
        <f>+PERECEDERO!C26</f>
        <v>2.1.1-6546.158</v>
      </c>
      <c r="C28" s="145" t="str">
        <f>+PERECEDERO!F26</f>
        <v>VERDURAS Y HORTALIZAS; ESTADO: NATURAL, VARIEDAD: ZAPALLO ANCO, PRESENTACION: GRANEL, PESO: SIN VALOR</v>
      </c>
      <c r="D28" s="145"/>
      <c r="E28" s="145"/>
      <c r="F28" s="145"/>
      <c r="G28" s="145"/>
      <c r="H28" s="27" t="s">
        <v>78</v>
      </c>
      <c r="I28" s="27" t="str">
        <f>+PERECEDERO!G26</f>
        <v>Kg.</v>
      </c>
      <c r="J28" s="28">
        <f>+PERECEDERO!I26</f>
        <v>140</v>
      </c>
      <c r="K28" s="83">
        <f>+PERECEDERO!H26</f>
        <v>24</v>
      </c>
    </row>
    <row r="29" spans="1:11" ht="41.25" customHeight="1" x14ac:dyDescent="0.25">
      <c r="A29" s="82">
        <f>+'[2]Necesidades Trimestrales'!A27</f>
        <v>18</v>
      </c>
      <c r="B29" s="27" t="str">
        <f>+PERECEDERO!C27</f>
        <v>2.1.1-6546.154</v>
      </c>
      <c r="C29" s="145" t="str">
        <f>+PERECEDERO!F27</f>
        <v>VERDURAS Y HORTALIZAS; VARIEDAD: AJO, ESTADO: NATURAL, PRESENTACION: UNIDAD, PESO: SIN VALOR</v>
      </c>
      <c r="D29" s="145"/>
      <c r="E29" s="145"/>
      <c r="F29" s="145"/>
      <c r="G29" s="145"/>
      <c r="H29" s="27" t="s">
        <v>78</v>
      </c>
      <c r="I29" s="27" t="str">
        <f>+PERECEDERO!G27</f>
        <v>UNIDAD</v>
      </c>
      <c r="J29" s="28">
        <f>+PERECEDERO!I27</f>
        <v>70</v>
      </c>
      <c r="K29" s="83">
        <f>+PERECEDERO!H27</f>
        <v>72</v>
      </c>
    </row>
    <row r="30" spans="1:11" ht="41.25" customHeight="1" x14ac:dyDescent="0.25">
      <c r="A30" s="82">
        <f>+'[2]Necesidades Trimestrales'!A28</f>
        <v>19</v>
      </c>
      <c r="B30" s="27" t="str">
        <f>+PERECEDERO!C28</f>
        <v>2.1.1-6546.166</v>
      </c>
      <c r="C30" s="145" t="str">
        <f>+PERECEDERO!F28</f>
        <v>VERDURAS Y HORTALIZAS; VARIEDAD: ZANAHORIA, ESTADO: NATURAL,  PESO: SIN VALOR</v>
      </c>
      <c r="D30" s="145"/>
      <c r="E30" s="145"/>
      <c r="F30" s="145"/>
      <c r="G30" s="145"/>
      <c r="H30" s="27" t="s">
        <v>78</v>
      </c>
      <c r="I30" s="27" t="str">
        <f>+PERECEDERO!G28</f>
        <v>KG</v>
      </c>
      <c r="J30" s="28">
        <f>+PERECEDERO!I28</f>
        <v>80</v>
      </c>
      <c r="K30" s="83">
        <f>+PERECEDERO!H28</f>
        <v>60</v>
      </c>
    </row>
    <row r="31" spans="1:11" ht="29.25" customHeight="1" x14ac:dyDescent="0.25">
      <c r="A31" s="82">
        <f>+'[2]Necesidades Trimestrales'!A29</f>
        <v>20</v>
      </c>
      <c r="B31" s="27" t="str">
        <f>+PERECEDERO!C29</f>
        <v>2.1.1-6539.30</v>
      </c>
      <c r="C31" s="145" t="str">
        <f>+PERECEDERO!F29</f>
        <v>FRUTAS; VARIEDAD: BANANA, PRESENTACION: CAJON, ESTADO: NATURAL, PESO: SIN VALOR</v>
      </c>
      <c r="D31" s="145"/>
      <c r="E31" s="145"/>
      <c r="F31" s="145"/>
      <c r="G31" s="145"/>
      <c r="H31" s="27" t="s">
        <v>78</v>
      </c>
      <c r="I31" s="27" t="str">
        <f>+PERECEDERO!G29</f>
        <v>CAJON</v>
      </c>
      <c r="J31" s="28">
        <f>+PERECEDERO!I29</f>
        <v>2500</v>
      </c>
      <c r="K31" s="83">
        <f>+PERECEDERO!H29</f>
        <v>7</v>
      </c>
    </row>
    <row r="32" spans="1:11" ht="29.25" customHeight="1" x14ac:dyDescent="0.25">
      <c r="A32" s="82">
        <f>+'[2]Necesidades Trimestrales'!A30</f>
        <v>21</v>
      </c>
      <c r="B32" s="27" t="str">
        <f>+PERECEDERO!C30</f>
        <v>2.1.1-6539.19</v>
      </c>
      <c r="C32" s="145" t="str">
        <f>+PERECEDERO!F30</f>
        <v>FRUTAS; ESTADO: NATURAL, VARIEDAD: MANZANA RED ELEGIDA, PRESENTACION: CAJON, PESO: SIN VALOR</v>
      </c>
      <c r="D32" s="145"/>
      <c r="E32" s="145"/>
      <c r="F32" s="145"/>
      <c r="G32" s="145"/>
      <c r="H32" s="27" t="s">
        <v>78</v>
      </c>
      <c r="I32" s="27" t="str">
        <f>+PERECEDERO!G30</f>
        <v>CAJON</v>
      </c>
      <c r="J32" s="28">
        <f>+PERECEDERO!I30</f>
        <v>2900</v>
      </c>
      <c r="K32" s="83">
        <f>+PERECEDERO!H30</f>
        <v>5</v>
      </c>
    </row>
    <row r="33" spans="1:11" ht="29.25" customHeight="1" x14ac:dyDescent="0.25">
      <c r="A33" s="82">
        <f>+'[2]Necesidades Trimestrales'!A31</f>
        <v>22</v>
      </c>
      <c r="B33" s="27" t="str">
        <f>+PERECEDERO!C31</f>
        <v>2.1.1-6539.7</v>
      </c>
      <c r="C33" s="145" t="str">
        <f>+PERECEDERO!F31</f>
        <v>FRUTAS; PESO: SIN VALOR, VARIEDAD: NARANJA PARA JUGO, ESTADO: NATURAL, PRESENTACION: GRANEL</v>
      </c>
      <c r="D33" s="145"/>
      <c r="E33" s="145"/>
      <c r="F33" s="145"/>
      <c r="G33" s="145"/>
      <c r="H33" s="27" t="s">
        <v>78</v>
      </c>
      <c r="I33" s="27" t="str">
        <f>+PERECEDERO!G31</f>
        <v>KG</v>
      </c>
      <c r="J33" s="28">
        <f>+PERECEDERO!I31</f>
        <v>240</v>
      </c>
      <c r="K33" s="83">
        <f>+PERECEDERO!H31</f>
        <v>54</v>
      </c>
    </row>
    <row r="34" spans="1:11" ht="29.25" customHeight="1" x14ac:dyDescent="0.25">
      <c r="A34" s="82">
        <f>+'[2]Necesidades Trimestrales'!A32</f>
        <v>23</v>
      </c>
      <c r="B34" s="27" t="str">
        <f>+PERECEDERO!C32</f>
        <v>2.1.1-6546.34</v>
      </c>
      <c r="C34" s="145" t="str">
        <f>+PERECEDERO!F32</f>
        <v>VERDURAS Y HORTALIZAS; VARIEDAD: ACELGA, ESTADO: EN HOJA, PRESENTACION: ATADO, PESO: SIN VALOR</v>
      </c>
      <c r="D34" s="145"/>
      <c r="E34" s="145"/>
      <c r="F34" s="145"/>
      <c r="G34" s="145"/>
      <c r="H34" s="27" t="s">
        <v>78</v>
      </c>
      <c r="I34" s="27" t="str">
        <f>+PERECEDERO!G32</f>
        <v>UNIDAD</v>
      </c>
      <c r="J34" s="28">
        <f>+PERECEDERO!I32</f>
        <v>35</v>
      </c>
      <c r="K34" s="83">
        <f>+PERECEDERO!H32</f>
        <v>108</v>
      </c>
    </row>
    <row r="35" spans="1:11" ht="29.25" customHeight="1" x14ac:dyDescent="0.25">
      <c r="A35" s="82">
        <f>+'[2]Necesidades Trimestrales'!A33</f>
        <v>24</v>
      </c>
      <c r="B35" s="27" t="str">
        <f>+PERECEDERO!C33</f>
        <v>2.1.1-483.33</v>
      </c>
      <c r="C35" s="145" t="str">
        <f>+PERECEDERO!F33</f>
        <v>HUEVO DE GALLINA; TAMAÑO: MEDIANOS, COLOR: BLANCOS, PRESENTACION: 30</v>
      </c>
      <c r="D35" s="145"/>
      <c r="E35" s="145"/>
      <c r="F35" s="145"/>
      <c r="G35" s="145"/>
      <c r="H35" s="27" t="s">
        <v>78</v>
      </c>
      <c r="I35" s="27" t="str">
        <f>+PERECEDERO!G33</f>
        <v>UNIDAD</v>
      </c>
      <c r="J35" s="28">
        <f>+PERECEDERO!I33</f>
        <v>350</v>
      </c>
      <c r="K35" s="83">
        <f>+PERECEDERO!H33</f>
        <v>24</v>
      </c>
    </row>
    <row r="36" spans="1:11" ht="44.25" customHeight="1" thickBot="1" x14ac:dyDescent="0.3">
      <c r="A36" s="82">
        <f>+'[2]Necesidades Trimestrales'!A34</f>
        <v>25</v>
      </c>
      <c r="B36" s="27" t="str">
        <f>+PERECEDERO!C34</f>
        <v>2.1.1-6546.374</v>
      </c>
      <c r="C36" s="145" t="str">
        <f>+PERECEDERO!F34</f>
        <v>VERDURAS Y HORTALIZAS; VARIEDAD: LECHUGA ARREPOLLADA, ESTADO: NATURAL, PRESENTACION: A GRANEL, PESO: 300 GR CADA PLANTA, ELEM. TRANSPORTE: SIN, MATERIAL ELEM. TRANSPORTE: SIN, LIBRE DE GLUTEN: SI</v>
      </c>
      <c r="D36" s="145"/>
      <c r="E36" s="145"/>
      <c r="F36" s="145"/>
      <c r="G36" s="145"/>
      <c r="H36" s="27" t="s">
        <v>78</v>
      </c>
      <c r="I36" s="27" t="str">
        <f>+PERECEDERO!G34</f>
        <v>KG</v>
      </c>
      <c r="J36" s="28">
        <f>+PERECEDERO!I34</f>
        <v>120</v>
      </c>
      <c r="K36" s="83">
        <f>+PERECEDERO!H34</f>
        <v>42</v>
      </c>
    </row>
    <row r="37" spans="1:11" ht="30.75" customHeight="1" thickBot="1" x14ac:dyDescent="0.3">
      <c r="A37" s="146" t="str">
        <f>+PERECEDERO!B35</f>
        <v>COSTO TOTAL ESTIMADO: SON PESOS QUINIENTOS SETENTA MIL QUINIENTOS CUARENTA CON 00/100</v>
      </c>
      <c r="B37" s="147"/>
      <c r="C37" s="147"/>
      <c r="D37" s="147"/>
      <c r="E37" s="147"/>
      <c r="F37" s="147"/>
      <c r="G37" s="147"/>
      <c r="H37" s="147"/>
      <c r="I37" s="148"/>
      <c r="J37" s="149">
        <f>SUMPRODUCT(J12:J36,K12:K36)</f>
        <v>570540</v>
      </c>
      <c r="K37" s="149"/>
    </row>
  </sheetData>
  <mergeCells count="47">
    <mergeCell ref="A37:I37"/>
    <mergeCell ref="J37:K37"/>
    <mergeCell ref="C34:G34"/>
    <mergeCell ref="C35:G35"/>
    <mergeCell ref="C36:G36"/>
    <mergeCell ref="C22:G22"/>
    <mergeCell ref="C30:G30"/>
    <mergeCell ref="C31:G31"/>
    <mergeCell ref="C32:G32"/>
    <mergeCell ref="C33:G33"/>
    <mergeCell ref="C23:G23"/>
    <mergeCell ref="C24:G24"/>
    <mergeCell ref="C25:G25"/>
    <mergeCell ref="C26:G26"/>
    <mergeCell ref="C27:G27"/>
    <mergeCell ref="C28:G28"/>
    <mergeCell ref="C29:G29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topLeftCell="A4" workbookViewId="0">
      <selection activeCell="T10" sqref="T10"/>
    </sheetView>
  </sheetViews>
  <sheetFormatPr baseColWidth="10" defaultColWidth="11" defaultRowHeight="13.5" x14ac:dyDescent="0.25"/>
  <cols>
    <col min="1" max="5" width="4.42578125" style="31" customWidth="1"/>
    <col min="6" max="6" width="5.85546875" style="31" customWidth="1"/>
    <col min="7" max="7" width="4.42578125" style="32" customWidth="1"/>
    <col min="8" max="14" width="4.42578125" style="31" customWidth="1"/>
    <col min="15" max="15" width="14.85546875" style="31" customWidth="1"/>
    <col min="16" max="16" width="18.85546875" style="31" customWidth="1"/>
    <col min="17" max="17" width="18" style="31" customWidth="1"/>
    <col min="18" max="18" width="16.42578125" style="31" customWidth="1"/>
    <col min="19" max="16384" width="11" style="31"/>
  </cols>
  <sheetData>
    <row r="1" spans="1:17" ht="15.75" thickBot="1" x14ac:dyDescent="0.3">
      <c r="A1" s="152" t="s">
        <v>55</v>
      </c>
      <c r="B1" s="153"/>
      <c r="C1" s="153"/>
      <c r="D1" s="154">
        <f>'[2]Necesidades Trimestrales'!C6</f>
        <v>2021</v>
      </c>
      <c r="E1" s="155"/>
      <c r="F1" s="29"/>
      <c r="G1" s="29"/>
      <c r="H1" s="30"/>
      <c r="I1" s="30"/>
      <c r="J1" s="30"/>
      <c r="K1" s="30"/>
      <c r="L1" s="30"/>
      <c r="M1" s="30"/>
      <c r="N1" s="30"/>
      <c r="P1" s="156" t="s">
        <v>81</v>
      </c>
      <c r="Q1" s="157"/>
    </row>
    <row r="2" spans="1:17" ht="14.25" thickBot="1" x14ac:dyDescent="0.3">
      <c r="H2" s="30"/>
      <c r="I2" s="30"/>
      <c r="J2" s="30"/>
      <c r="K2" s="30"/>
      <c r="L2" s="30"/>
      <c r="M2" s="30"/>
      <c r="N2" s="30"/>
      <c r="P2" s="158"/>
      <c r="Q2" s="159"/>
    </row>
    <row r="3" spans="1:17" ht="26.25" customHeight="1" thickBot="1" x14ac:dyDescent="0.3"/>
    <row r="4" spans="1:17" ht="17.25" thickBot="1" x14ac:dyDescent="0.35">
      <c r="A4" s="160" t="s">
        <v>82</v>
      </c>
      <c r="B4" s="161"/>
      <c r="C4" s="161"/>
      <c r="D4" s="161"/>
      <c r="E4" s="161"/>
      <c r="F4" s="162"/>
      <c r="G4" s="163" t="s">
        <v>124</v>
      </c>
      <c r="H4" s="164"/>
      <c r="I4" s="164"/>
      <c r="J4" s="164"/>
      <c r="K4" s="164"/>
      <c r="L4" s="164"/>
      <c r="M4" s="164"/>
      <c r="N4" s="164"/>
      <c r="O4" s="164"/>
      <c r="P4" s="164"/>
      <c r="Q4" s="165"/>
    </row>
    <row r="5" spans="1:17" ht="34.5" customHeight="1" thickBot="1" x14ac:dyDescent="0.35">
      <c r="A5" s="166" t="s">
        <v>66</v>
      </c>
      <c r="B5" s="167"/>
      <c r="C5" s="167"/>
      <c r="D5" s="167"/>
      <c r="E5" s="167"/>
      <c r="F5" s="168"/>
      <c r="G5" s="169" t="s">
        <v>125</v>
      </c>
      <c r="H5" s="170"/>
      <c r="I5" s="170"/>
      <c r="J5" s="170"/>
      <c r="K5" s="170"/>
      <c r="L5" s="170"/>
      <c r="M5" s="170"/>
      <c r="N5" s="170"/>
      <c r="O5" s="170"/>
      <c r="P5" s="170"/>
      <c r="Q5" s="171"/>
    </row>
    <row r="6" spans="1:17" ht="17.25" thickBot="1" x14ac:dyDescent="0.35">
      <c r="A6" s="166" t="s">
        <v>67</v>
      </c>
      <c r="B6" s="167"/>
      <c r="C6" s="167"/>
      <c r="D6" s="167"/>
      <c r="E6" s="167"/>
      <c r="F6" s="168"/>
      <c r="G6" s="163" t="s">
        <v>79</v>
      </c>
      <c r="H6" s="164"/>
      <c r="I6" s="164"/>
      <c r="J6" s="164"/>
      <c r="K6" s="164"/>
      <c r="L6" s="164"/>
      <c r="M6" s="164"/>
      <c r="N6" s="164"/>
      <c r="O6" s="164"/>
      <c r="P6" s="164"/>
      <c r="Q6" s="165"/>
    </row>
    <row r="7" spans="1:17" ht="22.5" customHeight="1" thickBot="1" x14ac:dyDescent="0.35">
      <c r="A7" s="166" t="s">
        <v>68</v>
      </c>
      <c r="B7" s="167"/>
      <c r="C7" s="167"/>
      <c r="D7" s="167"/>
      <c r="E7" s="167"/>
      <c r="F7" s="168"/>
      <c r="G7" s="163" t="s">
        <v>80</v>
      </c>
      <c r="H7" s="164"/>
      <c r="I7" s="164"/>
      <c r="J7" s="164"/>
      <c r="K7" s="164"/>
      <c r="L7" s="164"/>
      <c r="M7" s="164"/>
      <c r="N7" s="164"/>
      <c r="O7" s="164"/>
      <c r="P7" s="164"/>
      <c r="Q7" s="165"/>
    </row>
    <row r="8" spans="1:17" ht="23.25" customHeight="1" thickBot="1" x14ac:dyDescent="0.3">
      <c r="A8" s="172" t="s">
        <v>83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4"/>
    </row>
    <row r="9" spans="1:17" ht="28.5" customHeight="1" x14ac:dyDescent="0.3">
      <c r="A9" s="150" t="s">
        <v>84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33"/>
      <c r="P9" s="33"/>
      <c r="Q9" s="34"/>
    </row>
    <row r="10" spans="1:17" ht="27.75" customHeight="1" x14ac:dyDescent="0.25">
      <c r="A10" s="175" t="s">
        <v>130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7"/>
    </row>
    <row r="11" spans="1:17" ht="27.75" customHeight="1" x14ac:dyDescent="0.25">
      <c r="A11" s="175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7"/>
    </row>
    <row r="12" spans="1:17" ht="21.75" customHeight="1" thickBot="1" x14ac:dyDescent="0.3">
      <c r="A12" s="175"/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7"/>
    </row>
    <row r="13" spans="1:17" ht="21.75" customHeight="1" thickBot="1" x14ac:dyDescent="0.3">
      <c r="A13" s="185" t="s">
        <v>85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7"/>
    </row>
    <row r="14" spans="1:17" ht="21.75" customHeight="1" thickBot="1" x14ac:dyDescent="0.3">
      <c r="A14" s="190" t="s">
        <v>86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2"/>
      <c r="O14" s="193" t="s">
        <v>87</v>
      </c>
      <c r="P14" s="194"/>
      <c r="Q14" s="197" t="s">
        <v>88</v>
      </c>
    </row>
    <row r="15" spans="1:17" ht="21.75" customHeight="1" thickBot="1" x14ac:dyDescent="0.3">
      <c r="A15" s="35" t="s">
        <v>89</v>
      </c>
      <c r="B15" s="36" t="s">
        <v>90</v>
      </c>
      <c r="C15" s="36" t="s">
        <v>91</v>
      </c>
      <c r="D15" s="36" t="s">
        <v>92</v>
      </c>
      <c r="E15" s="36" t="s">
        <v>93</v>
      </c>
      <c r="F15" s="36" t="s">
        <v>94</v>
      </c>
      <c r="G15" s="37" t="s">
        <v>95</v>
      </c>
      <c r="H15" s="36" t="s">
        <v>96</v>
      </c>
      <c r="I15" s="36" t="s">
        <v>97</v>
      </c>
      <c r="J15" s="36" t="s">
        <v>98</v>
      </c>
      <c r="K15" s="36" t="s">
        <v>98</v>
      </c>
      <c r="L15" s="36" t="s">
        <v>99</v>
      </c>
      <c r="M15" s="38" t="s">
        <v>100</v>
      </c>
      <c r="N15" s="39" t="s">
        <v>101</v>
      </c>
      <c r="O15" s="195"/>
      <c r="P15" s="196"/>
      <c r="Q15" s="198"/>
    </row>
    <row r="16" spans="1:17" ht="21" customHeight="1" x14ac:dyDescent="0.25">
      <c r="A16" s="40">
        <v>9</v>
      </c>
      <c r="B16" s="41">
        <v>0</v>
      </c>
      <c r="C16" s="41">
        <v>0</v>
      </c>
      <c r="D16" s="41">
        <v>1</v>
      </c>
      <c r="E16" s="41">
        <v>0</v>
      </c>
      <c r="F16" s="41">
        <v>4901</v>
      </c>
      <c r="G16" s="41">
        <v>3</v>
      </c>
      <c r="H16" s="41">
        <v>2</v>
      </c>
      <c r="I16" s="41">
        <v>2</v>
      </c>
      <c r="J16" s="41">
        <v>1</v>
      </c>
      <c r="K16" s="41">
        <v>1</v>
      </c>
      <c r="L16" s="41">
        <v>0</v>
      </c>
      <c r="M16" s="41">
        <v>1</v>
      </c>
      <c r="N16" s="41" t="s">
        <v>102</v>
      </c>
      <c r="O16" s="188" t="s">
        <v>126</v>
      </c>
      <c r="P16" s="189"/>
      <c r="Q16" s="42">
        <v>570540</v>
      </c>
    </row>
    <row r="17" spans="1:18" ht="19.5" customHeigh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182"/>
      <c r="P17" s="183"/>
      <c r="Q17" s="45"/>
    </row>
    <row r="18" spans="1:18" ht="26.25" customHeight="1" x14ac:dyDescent="0.2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182"/>
      <c r="P18" s="183"/>
      <c r="Q18" s="45"/>
    </row>
    <row r="19" spans="1:18" ht="22.5" customHeigh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184"/>
      <c r="P19" s="184"/>
      <c r="Q19" s="45"/>
      <c r="R19" s="46"/>
    </row>
    <row r="20" spans="1:18" ht="22.5" customHeigh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182"/>
      <c r="P20" s="183"/>
      <c r="Q20" s="45"/>
    </row>
    <row r="21" spans="1:18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180"/>
      <c r="P21" s="180"/>
      <c r="Q21" s="45"/>
      <c r="R21" s="46"/>
    </row>
    <row r="22" spans="1:18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180"/>
      <c r="P22" s="180"/>
      <c r="Q22" s="45"/>
    </row>
    <row r="23" spans="1:18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178"/>
      <c r="P23" s="179"/>
      <c r="Q23" s="45"/>
      <c r="R23" s="46"/>
    </row>
    <row r="24" spans="1:18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180"/>
      <c r="P24" s="180"/>
      <c r="Q24" s="45"/>
    </row>
    <row r="25" spans="1:18" ht="14.25" thickBot="1" x14ac:dyDescent="0.3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181"/>
      <c r="P25" s="181"/>
      <c r="Q25" s="49"/>
      <c r="R25" s="46"/>
    </row>
    <row r="26" spans="1:18" ht="38.25" customHeight="1" thickBot="1" x14ac:dyDescent="0.3">
      <c r="A26" s="199" t="str">
        <f>+'Nota de Pedido PERECEDERO'!A37:I37</f>
        <v>COSTO TOTAL ESTIMADO: SON PESOS QUINIENTOS SETENTA MIL QUINIENTOS CUARENTA CON 00/100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1"/>
      <c r="Q26" s="50">
        <f>SUM(Q16:Q25)</f>
        <v>570540</v>
      </c>
      <c r="R26" s="46"/>
    </row>
    <row r="27" spans="1:18" ht="14.25" thickBot="1" x14ac:dyDescent="0.3">
      <c r="A27" s="202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4"/>
    </row>
    <row r="28" spans="1:18" ht="17.25" thickBot="1" x14ac:dyDescent="0.3">
      <c r="A28" s="205" t="s">
        <v>103</v>
      </c>
      <c r="B28" s="206"/>
      <c r="C28" s="206"/>
      <c r="D28" s="206"/>
      <c r="E28" s="206"/>
      <c r="F28" s="207"/>
      <c r="G28" s="208"/>
      <c r="H28" s="209"/>
      <c r="I28" s="209"/>
      <c r="J28" s="209"/>
      <c r="K28" s="209"/>
      <c r="L28" s="209"/>
      <c r="M28" s="209"/>
      <c r="N28" s="209"/>
      <c r="O28" s="209"/>
      <c r="P28" s="209"/>
      <c r="Q28" s="210"/>
    </row>
    <row r="29" spans="1:18" x14ac:dyDescent="0.25">
      <c r="A29" s="211" t="s">
        <v>127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3"/>
    </row>
    <row r="30" spans="1:18" ht="14.25" thickBot="1" x14ac:dyDescent="0.3">
      <c r="A30" s="214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6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PERECEDERO</vt:lpstr>
      <vt:lpstr>Nota de Pedido PERECEDERO</vt:lpstr>
      <vt:lpstr>APG-PERECEDERO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2021-08-13T12:01:09Z</dcterms:modified>
</cp:coreProperties>
</file>