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Trimestrales'!$A$9:$I$26</definedName>
    <definedName name="_xlnm.Print_Area" localSheetId="2">'Autor Gastar'!$A$1:$Q$27</definedName>
    <definedName name="_xlnm.Print_Area" localSheetId="1">NotaPedido!$A$1:$K$29</definedName>
  </definedNames>
  <calcPr calcId="144525"/>
</workbook>
</file>

<file path=xl/calcChain.xml><?xml version="1.0" encoding="utf-8"?>
<calcChain xmlns="http://schemas.openxmlformats.org/spreadsheetml/2006/main">
  <c r="A26" i="3" l="1"/>
  <c r="Q23" i="3"/>
  <c r="A10" i="3"/>
  <c r="G7" i="3"/>
  <c r="G6" i="3"/>
  <c r="G5" i="3"/>
  <c r="G4" i="3"/>
  <c r="D1" i="3"/>
  <c r="K28" i="2"/>
  <c r="J28" i="2"/>
  <c r="I28" i="2"/>
  <c r="C28" i="2"/>
  <c r="B28" i="2"/>
  <c r="K27" i="2"/>
  <c r="J27" i="2"/>
  <c r="I27" i="2"/>
  <c r="C27" i="2"/>
  <c r="B27" i="2"/>
  <c r="K26" i="2"/>
  <c r="J26" i="2"/>
  <c r="I26" i="2"/>
  <c r="C26" i="2"/>
  <c r="B26" i="2"/>
  <c r="K25" i="2"/>
  <c r="J25" i="2"/>
  <c r="I25" i="2"/>
  <c r="C25" i="2"/>
  <c r="B25" i="2"/>
  <c r="K24" i="2"/>
  <c r="J24" i="2"/>
  <c r="I24" i="2"/>
  <c r="C24" i="2"/>
  <c r="B24" i="2"/>
  <c r="K23" i="2"/>
  <c r="J23" i="2"/>
  <c r="I23" i="2"/>
  <c r="C23" i="2"/>
  <c r="B23" i="2"/>
  <c r="K22" i="2"/>
  <c r="J22" i="2"/>
  <c r="I22" i="2"/>
  <c r="C22" i="2"/>
  <c r="B22" i="2"/>
  <c r="K21" i="2"/>
  <c r="J21" i="2"/>
  <c r="I21" i="2"/>
  <c r="C21" i="2"/>
  <c r="B21" i="2"/>
  <c r="K20" i="2"/>
  <c r="J20" i="2"/>
  <c r="I20" i="2"/>
  <c r="C20" i="2"/>
  <c r="B20" i="2"/>
  <c r="K19" i="2"/>
  <c r="J19" i="2"/>
  <c r="I19" i="2"/>
  <c r="C19" i="2"/>
  <c r="B19" i="2"/>
  <c r="K18" i="2"/>
  <c r="J18" i="2"/>
  <c r="I18" i="2"/>
  <c r="C18" i="2"/>
  <c r="B18" i="2"/>
  <c r="K17" i="2"/>
  <c r="J17" i="2"/>
  <c r="I17" i="2"/>
  <c r="C17" i="2"/>
  <c r="B17" i="2"/>
  <c r="K16" i="2"/>
  <c r="J16" i="2"/>
  <c r="I16" i="2"/>
  <c r="C16" i="2"/>
  <c r="B16" i="2"/>
  <c r="K15" i="2"/>
  <c r="J15" i="2"/>
  <c r="I15" i="2"/>
  <c r="C15" i="2"/>
  <c r="B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D7" i="2"/>
  <c r="D4" i="2"/>
  <c r="D3" i="2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J29" i="2" l="1"/>
</calcChain>
</file>

<file path=xl/sharedStrings.xml><?xml version="1.0" encoding="utf-8"?>
<sst xmlns="http://schemas.openxmlformats.org/spreadsheetml/2006/main" count="226" uniqueCount="132">
  <si>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</si>
  <si>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</si>
  <si>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</si>
  <si>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</si>
  <si>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</si>
  <si>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</si>
  <si>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</si>
  <si>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</si>
  <si>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</si>
  <si>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</si>
  <si>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</si>
  <si>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</si>
  <si>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</si>
  <si>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</si>
  <si>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</si>
  <si>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</si>
  <si>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2.3.4-938.46</t>
  </si>
  <si>
    <t>BAZAR Y MENAJE</t>
  </si>
  <si>
    <t>UNIDAD</t>
  </si>
  <si>
    <t>2.9.4-689.15</t>
  </si>
  <si>
    <t>2.9.4-1184.42</t>
  </si>
  <si>
    <t>2.5.8-3977.40</t>
  </si>
  <si>
    <t>FERRETERIA</t>
  </si>
  <si>
    <t>2.9.4-6970.3</t>
  </si>
  <si>
    <t>2.9.4-1184.49</t>
  </si>
  <si>
    <t>2.9.4-690.15</t>
  </si>
  <si>
    <t>2.5.8-1055.37</t>
  </si>
  <si>
    <t>2.9.4-4743.4</t>
  </si>
  <si>
    <t>2.9.4-692.10</t>
  </si>
  <si>
    <t>2.3.4-938.59</t>
  </si>
  <si>
    <t>2.9.4-4743.24</t>
  </si>
  <si>
    <t>2.9.4-690.16</t>
  </si>
  <si>
    <t>2.5.8-5590.59</t>
  </si>
  <si>
    <t>LIBRERIA,PAP. Y UTILES OFICINA</t>
  </si>
  <si>
    <t>2.9.4-1015.40</t>
  </si>
  <si>
    <t>2.9.4-588.70</t>
  </si>
  <si>
    <t>VASOS PLASTICOS DESCARTABLES; MATERIAL: POLIESTIRENO, MOTIVO: LISO, CAPACIDAD: 240 CM3, PRESENTACION: ENVASE X 1000 UN, TIPO: APTO MICROONDAS</t>
  </si>
  <si>
    <t>2.9.5-1909.206</t>
  </si>
  <si>
    <t>PROD. MEDICO/FARMACEUTICOS/LAB</t>
  </si>
  <si>
    <t>MANTENIMIENTO DE OFERTA: 45 DIAS HABILES</t>
  </si>
  <si>
    <t>Especificidades Item N° 2:</t>
  </si>
  <si>
    <t>Descripción técnica</t>
  </si>
  <si>
    <t xml:space="preserve">Cuchillos Plásticos Super Reforzados Serruchos  color Blanco descartables </t>
  </si>
  <si>
    <t>Plazos y lugares de entrega</t>
  </si>
  <si>
    <t>Calidad Minima esperada</t>
  </si>
  <si>
    <t>Mantenimiento</t>
  </si>
  <si>
    <t>Garantia</t>
  </si>
  <si>
    <t>Especificidades Item N° 3:</t>
  </si>
  <si>
    <t>VASOS DE POLIESTILENO EXPANDIDO CAPACIDAD: 180 CM3 CON TAPA</t>
  </si>
  <si>
    <t>Especificidades Item N° 6:</t>
  </si>
  <si>
    <t xml:space="preserve">VASOS DE POLIESTILENO EXPANDIDO CAPACIDAD: 240 CM3 CON TAPA TERMICO </t>
  </si>
  <si>
    <t>Especificidades Item N° 7:</t>
  </si>
  <si>
    <t>Especificidades Item N° 9:</t>
  </si>
  <si>
    <t>Especificidades Item N° 10:</t>
  </si>
  <si>
    <t xml:space="preserve">Tenedores Plásticos Super Reforzados Firmes color Blanco descartables </t>
  </si>
  <si>
    <t>Especificidades Item N° 13:</t>
  </si>
  <si>
    <t>Cucharitas para postre, blancas plasticas descartables</t>
  </si>
  <si>
    <t>NOTA DE PEDIDO</t>
  </si>
  <si>
    <t>N°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</si>
  <si>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</si>
  <si>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</si>
  <si>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</si>
  <si>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</si>
  <si>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</si>
  <si>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>Servicio de Nutricion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</si>
  <si>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</si>
  <si>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</si>
  <si>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</si>
  <si>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</si>
  <si>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</si>
  <si>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</si>
  <si>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</si>
  <si>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</si>
  <si>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</si>
  <si>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</si>
  <si>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</si>
  <si>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</si>
  <si>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charset val="1"/>
      </rPr>
      <t>AUTORIZACIÓN</t>
    </r>
    <r>
      <rPr>
        <b/>
        <sz val="10"/>
        <rFont val="Arial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</si>
  <si>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</si>
  <si>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</si>
  <si>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</si>
  <si>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</si>
  <si>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</si>
  <si>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</si>
  <si>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</si>
  <si>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</si>
  <si>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</si>
  <si>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</si>
  <si>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</si>
  <si>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</si>
  <si>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</si>
  <si>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</si>
  <si>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</si>
  <si>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</si>
  <si>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</si>
  <si>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</si>
  <si>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</si>
  <si>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</si>
  <si>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 xml:space="preserve">Productos de papel y cartón </t>
  </si>
  <si>
    <t xml:space="preserve">Productos de material plástico </t>
  </si>
  <si>
    <t>Utensillos de Cocina y Comedor</t>
  </si>
  <si>
    <t>Utiles Menores Med. Quir. y de Lab.</t>
  </si>
  <si>
    <t>JUSTIFICACIÓN:</t>
  </si>
  <si>
    <t>SERVILLETAS DE PAPEL; TIPO: LISAS, MOTIVO: SIN, DIMENSION: 33 X 33 Cm, PRESENTACION: PAQUETE X 1000 UN, COLOR: BLANCA</t>
  </si>
  <si>
    <t>CUCHILLOS; TIPO: DE MESA, MATERIAL: PLASTICO</t>
  </si>
  <si>
    <t>VASOS; MATERIAL: POLIESTIRENO EXPANDIDO, TIPO: DESCARTABLE, CAPACIDAD: 180 CM3</t>
  </si>
  <si>
    <t>BOLSAS DE POLIETILENO; TAMAÑO: 15 X 25 Cm, ESPESOR: 17 Mn, PRESENTACION: ROLLO X 200 UN</t>
  </si>
  <si>
    <t>COMPOTERAS; MATERIAL: POLICARBONATO, CAPACIDAD: 250 Ml</t>
  </si>
  <si>
    <t>VASOS; MATERIAL: POLIESTIRENO, TIPO: TERMICO, CAPACIDAD: 240 mL</t>
  </si>
  <si>
    <t>CUCHARAS; TIPO: DE MESA, MATERIAL: PLASTICO</t>
  </si>
  <si>
    <t>Cucharas de Plastico Blancas Resistente Tipo Sopera Descartable</t>
  </si>
  <si>
    <t>BANDEJA DE ALUMINIO CON TAPA</t>
  </si>
  <si>
    <t>BANDEJAS DE PLASTICO; MATERIAL: PLASTICO, LARGO X ANCHO: 233 X 170 mm, FORMA: OVAL, PRESENTACION: CAJA X 600</t>
  </si>
  <si>
    <t>BANDEJA P/TRANSP. DE ALIMENTO; CAPACIDAD: 700 GR, MATERIAL: ALUMINIO, TIPO: SIN VALOR, MEDIDAS: 14 X 10 X 4,5 Cm, INTERIOR: SIN VALOR, EXTERIOR: SIN VALOR, DIMENSION: 14 X 10 X 4,5 Cm, ACABADO: SIN VALOR</t>
  </si>
  <si>
    <t>TENEDORES; TIPO: DE MESA, MATERIAL: PLASTICO</t>
  </si>
  <si>
    <t>SERVILLETAS DE PAPEL; TIPO: ROLLO, MOTIVO: SIN, DIMENSION: 25 X 10 Cm, PRESENTACION: ENVASE X 3 UN</t>
  </si>
  <si>
    <t>BANDEJA P/TRANSP. DE ALIMENTO; DIMENSION: 18 X 14 X 4 Cm, TIPO: C/TAPA, MATERIAL: ALUMINIO APTO MICROONDAS, CAPACIDAD: 750 CM3</t>
  </si>
  <si>
    <t>CUCHARAS; TIPO: TE, MATERIAL: PLASTICO</t>
  </si>
  <si>
    <t>FILMS DE POLIETILENO; ESPESOR: 10 Mn, ANCHO: 45 Cm, PRESENTACION: ROLLO X 900 M, USO: ALIMENTARIO</t>
  </si>
  <si>
    <t>BANDEJAS DE MESA; MATERIAL: PLASTICO, DIMENSION: 16,5 X 12 X 5,5 Cm, FORMA: RECTANGULAR</t>
  </si>
  <si>
    <t>GUANTES USO MEDICINAL; TIPO: DESCARTABLE, TAMAÑO: UNICO, MATERIAL: POLIETILENO, PRESENTACION: ENVASE X 100 UN, ESTERIL: SI, TALCO: NO, DESCARTABLE: SI</t>
  </si>
  <si>
    <t>Adquisición de Descartables para Nutrición</t>
  </si>
  <si>
    <t>SERVICIO DE NUTRICION - HOSPITAL INTERZONAL SAN JUAN BAUTISTA - AV. ILLIA ESQ. MARIANO MORENO</t>
  </si>
  <si>
    <t>45 DIAS HABILES</t>
  </si>
  <si>
    <t>PLAZO DE ENTREGA: 10 DIAS HABILES  - LUGAR DE ENTREGA: SERVICIO DE NUTRICION - HOSPITAL INTERZONAL SAN JUAN BAUTISTA - AV. ILLIA ESQ. MARIANO MORENO - DE LUNES A VIERNES EN EL HORARIO DE 08 HORAS A 11 HORAS.</t>
  </si>
  <si>
    <t>Costo total estimado: PESOS DOS MILLONES DOSCIENTOS OCHENTA Y CUATRO MIL OCHOCIENTOS CON 00/100.-</t>
  </si>
  <si>
    <t>039 - 2022</t>
  </si>
  <si>
    <t>PAQUETE</t>
  </si>
  <si>
    <t>ROLLO</t>
  </si>
  <si>
    <t>CAJA</t>
  </si>
  <si>
    <t>TOTAL DE PESOS: DOS MILLONES DOSCIENTOS OCHENTA Y CUATRO MIL OCHOCIENTOS CON 00/100.---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</si>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</sst>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&quot; €&quot;_-;\-* #,##0.00&quot; €&quot;_-;_-* \-??&quot; €&quot;_-;_-@_-"/>
    <numFmt numFmtId="165" formatCode="_(&quot;$&quot;* #,##0.00_);_(&quot;$&quot;* \(#,##0.00\);_(&quot;$&quot;* \-??_);_(@_)"/>
    <numFmt numFmtId="166" formatCode="dd\-mm\-yy;@"/>
    <numFmt numFmtId="167" formatCode="[$$-2C0A]\ #,##0.00;[$$-2C0A]&quot; -&quot;#,##0.00"/>
    <numFmt numFmtId="168" formatCode="[$$-2C0A]\ #,##0.00"/>
  </numFmts>
  <fonts count="28">
    <font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Times New Roman"/>
      <charset val="1"/>
    </font>
    <font>
      <b/>
      <u/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b/>
      <sz val="9"/>
      <name val="Arial"/>
      <charset val="1"/>
    </font>
    <font>
      <b/>
      <sz val="12"/>
      <name val="Arial"/>
      <charset val="1"/>
    </font>
    <font>
      <sz val="9"/>
      <name val="Arial"/>
      <charset val="134"/>
    </font>
    <font>
      <b/>
      <u/>
      <sz val="12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b/>
      <sz val="11"/>
      <name val="Times New Roman"/>
      <charset val="1"/>
    </font>
    <font>
      <sz val="10"/>
      <name val="Times New Roman"/>
      <charset val="134"/>
    </font>
    <font>
      <b/>
      <sz val="22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9"/>
      <name val="Times New Roman"/>
      <charset val="134"/>
    </font>
    <font>
      <sz val="9"/>
      <color rgb="FF000000"/>
      <name val="Times New Roman"/>
      <charset val="134"/>
    </font>
    <font>
      <sz val="12"/>
      <name val="Calibri"/>
      <charset val="134"/>
    </font>
    <font>
      <b/>
      <sz val="10"/>
      <name val="Times New Roman"/>
      <charset val="134"/>
    </font>
    <font>
      <u/>
      <sz val="10"/>
      <name val="Times New Roman"/>
      <charset val="134"/>
    </font>
    <font>
      <b/>
      <sz val="15"/>
      <color rgb="FF666699"/>
      <name val="Calibri"/>
      <charset val="1"/>
    </font>
    <font>
      <sz val="11"/>
      <color rgb="FF9933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/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5">
    <xf numFmtId="0" fontId="0" fillId="0" borderId="0"/>
    <xf numFmtId="164" fontId="7" fillId="0" borderId="0" applyBorder="0" applyProtection="0"/>
    <xf numFmtId="165" fontId="1" fillId="0" borderId="0" applyBorder="0" applyProtection="0"/>
    <xf numFmtId="0" fontId="26" fillId="0" borderId="50" applyProtection="0"/>
    <xf numFmtId="0" fontId="27" fillId="5" borderId="0" applyBorder="0" applyProtection="0"/>
  </cellStyleXfs>
  <cellXfs count="13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3" fontId="2" fillId="0" borderId="0" xfId="0" applyNumberFormat="1" applyFont="1" applyBorder="1" applyAlignment="1"/>
    <xf numFmtId="166" fontId="0" fillId="0" borderId="0" xfId="0" applyNumberFormat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/>
    <xf numFmtId="0" fontId="6" fillId="0" borderId="2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167" fontId="0" fillId="0" borderId="31" xfId="2" applyNumberFormat="1" applyFont="1" applyBorder="1" applyAlignment="1" applyProtection="1">
      <alignment horizontal="center" vertical="center"/>
    </xf>
    <xf numFmtId="167" fontId="0" fillId="0" borderId="32" xfId="2" applyNumberFormat="1" applyFont="1" applyBorder="1" applyAlignment="1" applyProtection="1">
      <alignment horizontal="center" vertical="center"/>
    </xf>
    <xf numFmtId="167" fontId="0" fillId="0" borderId="0" xfId="0" applyNumberFormat="1"/>
    <xf numFmtId="167" fontId="0" fillId="0" borderId="33" xfId="2" applyNumberFormat="1" applyFont="1" applyBorder="1" applyAlignment="1" applyProtection="1">
      <alignment horizontal="center" vertical="center"/>
    </xf>
    <xf numFmtId="167" fontId="6" fillId="0" borderId="2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4" fillId="0" borderId="38" xfId="0" applyFont="1" applyBorder="1" applyAlignment="1">
      <alignment horizontal="center" vertical="center"/>
    </xf>
    <xf numFmtId="0" fontId="4" fillId="3" borderId="38" xfId="0" applyFont="1" applyFill="1" applyBorder="1" applyAlignment="1">
      <alignment horizontal="left" vertical="center"/>
    </xf>
    <xf numFmtId="0" fontId="4" fillId="2" borderId="38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right" vertical="center"/>
    </xf>
    <xf numFmtId="0" fontId="13" fillId="2" borderId="3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167" fontId="4" fillId="3" borderId="38" xfId="1" applyNumberFormat="1" applyFont="1" applyFill="1" applyBorder="1" applyAlignment="1" applyProtection="1">
      <alignment horizontal="right" vertical="center" wrapText="1"/>
    </xf>
    <xf numFmtId="3" fontId="4" fillId="3" borderId="38" xfId="0" applyNumberFormat="1" applyFont="1" applyFill="1" applyBorder="1" applyAlignment="1">
      <alignment horizontal="center" vertical="center"/>
    </xf>
    <xf numFmtId="0" fontId="15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8" fillId="2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20" fillId="0" borderId="34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 wrapText="1"/>
    </xf>
    <xf numFmtId="0" fontId="22" fillId="0" borderId="34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center" vertical="center" wrapText="1"/>
    </xf>
    <xf numFmtId="0" fontId="23" fillId="0" borderId="34" xfId="0" applyFont="1" applyFill="1" applyBorder="1" applyAlignment="1">
      <alignment vertical="center" wrapText="1"/>
    </xf>
    <xf numFmtId="167" fontId="21" fillId="2" borderId="34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5" fillId="0" borderId="42" xfId="0" applyFont="1" applyBorder="1"/>
    <xf numFmtId="0" fontId="15" fillId="0" borderId="43" xfId="0" applyFont="1" applyBorder="1"/>
    <xf numFmtId="0" fontId="15" fillId="0" borderId="44" xfId="0" applyFont="1" applyBorder="1"/>
    <xf numFmtId="0" fontId="15" fillId="0" borderId="45" xfId="0" applyFont="1" applyBorder="1"/>
    <xf numFmtId="0" fontId="15" fillId="0" borderId="0" xfId="0" applyFont="1" applyBorder="1"/>
    <xf numFmtId="0" fontId="15" fillId="0" borderId="46" xfId="0" applyFont="1" applyBorder="1"/>
    <xf numFmtId="0" fontId="25" fillId="0" borderId="45" xfId="0" applyFont="1" applyBorder="1" applyAlignment="1">
      <alignment horizontal="left" indent="3"/>
    </xf>
    <xf numFmtId="0" fontId="15" fillId="0" borderId="4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46" xfId="0" applyFont="1" applyBorder="1" applyAlignment="1">
      <alignment horizontal="center" wrapText="1"/>
    </xf>
    <xf numFmtId="0" fontId="15" fillId="0" borderId="47" xfId="0" applyFont="1" applyBorder="1" applyAlignment="1">
      <alignment horizontal="left" indent="3"/>
    </xf>
    <xf numFmtId="0" fontId="15" fillId="0" borderId="48" xfId="0" applyFont="1" applyBorder="1"/>
    <xf numFmtId="0" fontId="15" fillId="0" borderId="49" xfId="0" applyFont="1" applyBorder="1"/>
    <xf numFmtId="167" fontId="21" fillId="2" borderId="34" xfId="1" applyNumberFormat="1" applyFont="1" applyFill="1" applyBorder="1" applyAlignment="1" applyProtection="1">
      <alignment horizontal="right" vertical="center" wrapText="1"/>
    </xf>
    <xf numFmtId="167" fontId="15" fillId="0" borderId="0" xfId="0" applyNumberFormat="1" applyFont="1"/>
    <xf numFmtId="0" fontId="15" fillId="4" borderId="46" xfId="0" applyFont="1" applyFill="1" applyBorder="1" applyAlignment="1">
      <alignment horizontal="center"/>
    </xf>
    <xf numFmtId="0" fontId="15" fillId="4" borderId="46" xfId="0" applyFont="1" applyFill="1" applyBorder="1" applyAlignment="1">
      <alignment horizontal="left" vertical="center" wrapText="1"/>
    </xf>
    <xf numFmtId="0" fontId="15" fillId="2" borderId="46" xfId="0" applyFont="1" applyFill="1" applyBorder="1" applyAlignment="1">
      <alignment horizontal="left"/>
    </xf>
    <xf numFmtId="0" fontId="15" fillId="4" borderId="0" xfId="0" applyFont="1" applyFill="1" applyBorder="1" applyAlignment="1">
      <alignment horizontal="left" vertical="center"/>
    </xf>
    <xf numFmtId="0" fontId="15" fillId="4" borderId="46" xfId="0" applyFont="1" applyFill="1" applyBorder="1" applyAlignment="1">
      <alignment horizontal="left" vertical="center"/>
    </xf>
    <xf numFmtId="0" fontId="15" fillId="4" borderId="46" xfId="0" applyFont="1" applyFill="1" applyBorder="1" applyAlignment="1">
      <alignment horizontal="center" wrapText="1"/>
    </xf>
    <xf numFmtId="0" fontId="15" fillId="4" borderId="0" xfId="0" applyFont="1" applyFill="1" applyBorder="1" applyAlignment="1">
      <alignment horizontal="left" vertical="center" wrapText="1"/>
    </xf>
    <xf numFmtId="0" fontId="15" fillId="2" borderId="4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4" fillId="6" borderId="39" xfId="0" applyFont="1" applyFill="1" applyBorder="1" applyAlignment="1">
      <alignment horizontal="left" vertical="center" wrapText="1"/>
    </xf>
    <xf numFmtId="0" fontId="24" fillId="6" borderId="40" xfId="0" applyFont="1" applyFill="1" applyBorder="1" applyAlignment="1">
      <alignment horizontal="left" vertical="center" wrapText="1"/>
    </xf>
    <xf numFmtId="0" fontId="24" fillId="6" borderId="41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8" fillId="2" borderId="0" xfId="0" applyFont="1" applyFill="1" applyBorder="1" applyAlignment="1">
      <alignment horizontal="left" wrapText="1" indent="1"/>
    </xf>
    <xf numFmtId="168" fontId="12" fillId="0" borderId="34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 indent="1"/>
    </xf>
    <xf numFmtId="0" fontId="12" fillId="0" borderId="36" xfId="0" applyFont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 wrapText="1" indent="1"/>
    </xf>
    <xf numFmtId="0" fontId="12" fillId="0" borderId="35" xfId="0" applyFont="1" applyBorder="1" applyAlignment="1">
      <alignment horizontal="left" vertical="center" wrapText="1"/>
    </xf>
    <xf numFmtId="0" fontId="13" fillId="3" borderId="34" xfId="0" applyFont="1" applyFill="1" applyBorder="1" applyAlignment="1">
      <alignment horizontal="left" vertical="center" wrapText="1" indent="1"/>
    </xf>
    <xf numFmtId="0" fontId="12" fillId="0" borderId="4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8" fillId="0" borderId="21" xfId="0" applyFont="1" applyBorder="1" applyAlignment="1">
      <alignment horizontal="left" vertical="center" wrapText="1"/>
    </xf>
    <xf numFmtId="0" fontId="0" fillId="0" borderId="11" xfId="0" applyBorder="1"/>
    <xf numFmtId="0" fontId="2" fillId="0" borderId="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10" fillId="0" borderId="18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3" fillId="0" borderId="7" xfId="0" applyFont="1" applyBorder="1"/>
    <xf numFmtId="0" fontId="3" fillId="0" borderId="8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indent="1"/>
    </xf>
    <xf numFmtId="0" fontId="5" fillId="0" borderId="3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1" fillId="0" borderId="3" xfId="0" applyFont="1" applyBorder="1"/>
    <xf numFmtId="0" fontId="9" fillId="0" borderId="3" xfId="0" applyFont="1" applyBorder="1" applyAlignment="1">
      <alignment horizontal="center" vertical="center" wrapText="1"/>
    </xf>
  </cellXfs>
  <cellStyles count="5">
    <cellStyle name="Encabezado 1" xfId="3"/>
    <cellStyle name="Moneda" xfId="1" builtinId="4"/>
    <cellStyle name="Moneda_AUTORIZACION Y NOTA DE PEDIDO" xfId="2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5"/>
  <sheetViews>
    <sheetView tabSelected="1" topLeftCell="A25" zoomScale="90" zoomScaleNormal="90" workbookViewId="0">
      <selection activeCell="C88" sqref="C88"/>
    </sheetView>
  </sheetViews>
  <sheetFormatPr baseColWidth="10" defaultColWidth="11" defaultRowHeight="12.75"/>
  <cols>
    <col min="1" max="1" width="4.5703125" style="53" customWidth="1"/>
    <col min="2" max="2" width="12.85546875" style="53" customWidth="1"/>
    <col min="3" max="3" width="32.42578125" style="53" customWidth="1"/>
    <col min="4" max="4" width="8.42578125" style="53" customWidth="1"/>
    <col min="5" max="5" width="79" style="53" customWidth="1"/>
    <col min="6" max="6" width="11" style="53"/>
    <col min="7" max="7" width="12.7109375" style="53" customWidth="1"/>
    <col min="8" max="8" width="13.85546875" style="53" customWidth="1"/>
    <col min="9" max="9" width="18.5703125" style="53" customWidth="1"/>
    <col min="10" max="16384" width="11" style="53"/>
  </cols>
  <sheetData>
    <row r="2" spans="1:9" ht="27">
      <c r="B2" s="93" t="s">
        <v>0</v>
      </c>
      <c r="C2" s="93"/>
      <c r="D2" s="93"/>
      <c r="E2" s="93"/>
      <c r="F2" s="93"/>
      <c r="G2" s="93"/>
      <c r="H2" s="93"/>
    </row>
    <row r="4" spans="1:9" ht="18" customHeight="1">
      <c r="A4" s="89" t="s">
        <v>1</v>
      </c>
      <c r="B4" s="89"/>
      <c r="C4" s="94" t="s">
        <v>2</v>
      </c>
      <c r="D4" s="94"/>
      <c r="E4" s="94"/>
      <c r="F4" s="54"/>
      <c r="G4" s="55"/>
      <c r="H4" s="54"/>
    </row>
    <row r="5" spans="1:9" ht="18" customHeight="1">
      <c r="A5" s="89" t="s">
        <v>3</v>
      </c>
      <c r="B5" s="89"/>
      <c r="C5" s="94" t="s">
        <v>4</v>
      </c>
      <c r="D5" s="94"/>
      <c r="E5" s="94"/>
      <c r="F5" s="54"/>
      <c r="G5" s="55"/>
      <c r="H5" s="54"/>
    </row>
    <row r="6" spans="1:9" ht="16.5" customHeight="1">
      <c r="A6" s="89" t="s">
        <v>5</v>
      </c>
      <c r="B6" s="89"/>
      <c r="C6" s="56">
        <v>2022</v>
      </c>
      <c r="D6" s="57"/>
      <c r="E6" s="57"/>
      <c r="F6" s="54"/>
      <c r="G6" s="55"/>
      <c r="H6" s="54"/>
    </row>
    <row r="7" spans="1:9" ht="16.5" customHeight="1">
      <c r="A7" s="89" t="s">
        <v>6</v>
      </c>
      <c r="B7" s="89"/>
      <c r="C7" s="56">
        <v>2</v>
      </c>
      <c r="D7" s="57"/>
      <c r="E7" s="57"/>
      <c r="F7" s="54"/>
      <c r="G7" s="55"/>
      <c r="H7" s="54"/>
    </row>
    <row r="8" spans="1:9">
      <c r="B8" s="54"/>
      <c r="C8" s="55"/>
      <c r="D8" s="54"/>
      <c r="E8" s="54"/>
      <c r="F8" s="54"/>
      <c r="G8" s="55"/>
      <c r="H8" s="54"/>
    </row>
    <row r="9" spans="1:9" ht="38.25">
      <c r="A9" s="58" t="s">
        <v>7</v>
      </c>
      <c r="B9" s="58" t="s">
        <v>8</v>
      </c>
      <c r="C9" s="58" t="s">
        <v>9</v>
      </c>
      <c r="D9" s="58" t="s">
        <v>10</v>
      </c>
      <c r="E9" s="58" t="s">
        <v>11</v>
      </c>
      <c r="F9" s="58" t="s">
        <v>12</v>
      </c>
      <c r="G9" s="58" t="s">
        <v>13</v>
      </c>
      <c r="H9" s="58" t="s">
        <v>14</v>
      </c>
      <c r="I9" s="58" t="s">
        <v>15</v>
      </c>
    </row>
    <row r="10" spans="1:9" ht="37.5" customHeight="1">
      <c r="A10" s="59">
        <v>1</v>
      </c>
      <c r="B10" s="60" t="s">
        <v>16</v>
      </c>
      <c r="C10" s="61" t="s">
        <v>17</v>
      </c>
      <c r="D10" s="62" t="str">
        <f>LEFT(B10,5)</f>
        <v>2.3.4</v>
      </c>
      <c r="E10" s="63" t="s">
        <v>103</v>
      </c>
      <c r="F10" s="60" t="s">
        <v>127</v>
      </c>
      <c r="G10" s="60">
        <v>10</v>
      </c>
      <c r="H10" s="64">
        <v>1700</v>
      </c>
      <c r="I10" s="79">
        <f t="shared" ref="I10:I26" si="0">G10*H10</f>
        <v>17000</v>
      </c>
    </row>
    <row r="11" spans="1:9" ht="34.5" customHeight="1">
      <c r="A11" s="59">
        <v>2</v>
      </c>
      <c r="B11" s="60" t="s">
        <v>19</v>
      </c>
      <c r="C11" s="61" t="s">
        <v>17</v>
      </c>
      <c r="D11" s="62" t="str">
        <f t="shared" ref="D11:D26" si="1">LEFT(B11,5)</f>
        <v>2.9.4</v>
      </c>
      <c r="E11" s="63" t="s">
        <v>104</v>
      </c>
      <c r="F11" s="60" t="s">
        <v>18</v>
      </c>
      <c r="G11" s="60">
        <v>12000</v>
      </c>
      <c r="H11" s="64">
        <v>3</v>
      </c>
      <c r="I11" s="79">
        <f t="shared" si="0"/>
        <v>36000</v>
      </c>
    </row>
    <row r="12" spans="1:9" ht="44.25" customHeight="1">
      <c r="A12" s="59">
        <v>3</v>
      </c>
      <c r="B12" s="60" t="s">
        <v>20</v>
      </c>
      <c r="C12" s="61" t="s">
        <v>17</v>
      </c>
      <c r="D12" s="62" t="str">
        <f t="shared" si="1"/>
        <v>2.9.4</v>
      </c>
      <c r="E12" s="63" t="s">
        <v>105</v>
      </c>
      <c r="F12" s="60" t="s">
        <v>18</v>
      </c>
      <c r="G12" s="60">
        <v>5000</v>
      </c>
      <c r="H12" s="64">
        <v>12</v>
      </c>
      <c r="I12" s="79">
        <f t="shared" si="0"/>
        <v>60000</v>
      </c>
    </row>
    <row r="13" spans="1:9" ht="39" customHeight="1">
      <c r="A13" s="59">
        <v>4</v>
      </c>
      <c r="B13" s="60" t="s">
        <v>21</v>
      </c>
      <c r="C13" s="61" t="s">
        <v>22</v>
      </c>
      <c r="D13" s="62" t="str">
        <f t="shared" si="1"/>
        <v>2.5.8</v>
      </c>
      <c r="E13" s="63" t="s">
        <v>106</v>
      </c>
      <c r="F13" s="60" t="s">
        <v>128</v>
      </c>
      <c r="G13" s="60">
        <v>200</v>
      </c>
      <c r="H13" s="64">
        <v>280</v>
      </c>
      <c r="I13" s="79">
        <f t="shared" si="0"/>
        <v>56000</v>
      </c>
    </row>
    <row r="14" spans="1:9" ht="31.9" customHeight="1">
      <c r="A14" s="59">
        <v>5</v>
      </c>
      <c r="B14" s="60" t="s">
        <v>23</v>
      </c>
      <c r="C14" s="61" t="s">
        <v>17</v>
      </c>
      <c r="D14" s="62" t="str">
        <f t="shared" si="1"/>
        <v>2.9.4</v>
      </c>
      <c r="E14" s="63" t="s">
        <v>107</v>
      </c>
      <c r="F14" s="60" t="s">
        <v>18</v>
      </c>
      <c r="G14" s="60">
        <v>18000</v>
      </c>
      <c r="H14" s="64">
        <v>10</v>
      </c>
      <c r="I14" s="79">
        <f t="shared" si="0"/>
        <v>180000</v>
      </c>
    </row>
    <row r="15" spans="1:9" ht="31.9" customHeight="1">
      <c r="A15" s="59">
        <v>6</v>
      </c>
      <c r="B15" s="60" t="s">
        <v>24</v>
      </c>
      <c r="C15" s="61" t="s">
        <v>17</v>
      </c>
      <c r="D15" s="62" t="str">
        <f t="shared" si="1"/>
        <v>2.9.4</v>
      </c>
      <c r="E15" s="63" t="s">
        <v>108</v>
      </c>
      <c r="F15" s="60" t="s">
        <v>18</v>
      </c>
      <c r="G15" s="60">
        <v>20000</v>
      </c>
      <c r="H15" s="64">
        <v>14</v>
      </c>
      <c r="I15" s="79">
        <f t="shared" si="0"/>
        <v>280000</v>
      </c>
    </row>
    <row r="16" spans="1:9" ht="31.9" customHeight="1">
      <c r="A16" s="59">
        <v>7</v>
      </c>
      <c r="B16" s="60" t="s">
        <v>25</v>
      </c>
      <c r="C16" s="61" t="s">
        <v>17</v>
      </c>
      <c r="D16" s="62" t="str">
        <f t="shared" si="1"/>
        <v>2.9.4</v>
      </c>
      <c r="E16" s="63" t="s">
        <v>109</v>
      </c>
      <c r="F16" s="60" t="s">
        <v>18</v>
      </c>
      <c r="G16" s="60">
        <v>12000</v>
      </c>
      <c r="H16" s="64">
        <v>4.5</v>
      </c>
      <c r="I16" s="79">
        <f t="shared" si="0"/>
        <v>54000</v>
      </c>
    </row>
    <row r="17" spans="1:14" ht="36.75" customHeight="1">
      <c r="A17" s="59">
        <v>8</v>
      </c>
      <c r="B17" s="60" t="s">
        <v>26</v>
      </c>
      <c r="C17" s="61" t="s">
        <v>17</v>
      </c>
      <c r="D17" s="62" t="str">
        <f t="shared" si="1"/>
        <v>2.5.8</v>
      </c>
      <c r="E17" s="63" t="s">
        <v>112</v>
      </c>
      <c r="F17" s="60" t="s">
        <v>129</v>
      </c>
      <c r="G17" s="60">
        <v>10</v>
      </c>
      <c r="H17" s="64">
        <v>33000</v>
      </c>
      <c r="I17" s="79">
        <f t="shared" si="0"/>
        <v>330000</v>
      </c>
    </row>
    <row r="18" spans="1:14" ht="57" customHeight="1">
      <c r="A18" s="59">
        <v>9</v>
      </c>
      <c r="B18" s="60" t="s">
        <v>27</v>
      </c>
      <c r="C18" s="61" t="s">
        <v>17</v>
      </c>
      <c r="D18" s="62" t="str">
        <f t="shared" si="1"/>
        <v>2.9.4</v>
      </c>
      <c r="E18" s="63" t="s">
        <v>113</v>
      </c>
      <c r="F18" s="60" t="s">
        <v>18</v>
      </c>
      <c r="G18" s="60">
        <v>2000</v>
      </c>
      <c r="H18" s="64">
        <v>26</v>
      </c>
      <c r="I18" s="79">
        <f t="shared" si="0"/>
        <v>52000</v>
      </c>
      <c r="N18" s="53">
        <v>3</v>
      </c>
    </row>
    <row r="19" spans="1:14" ht="37.5" customHeight="1">
      <c r="A19" s="59">
        <v>10</v>
      </c>
      <c r="B19" s="60" t="s">
        <v>28</v>
      </c>
      <c r="C19" s="61" t="s">
        <v>17</v>
      </c>
      <c r="D19" s="62" t="str">
        <f t="shared" si="1"/>
        <v>2.9.4</v>
      </c>
      <c r="E19" s="63" t="s">
        <v>114</v>
      </c>
      <c r="F19" s="60" t="s">
        <v>18</v>
      </c>
      <c r="G19" s="60">
        <v>12000</v>
      </c>
      <c r="H19" s="64">
        <v>3</v>
      </c>
      <c r="I19" s="79">
        <f t="shared" si="0"/>
        <v>36000</v>
      </c>
    </row>
    <row r="20" spans="1:14" ht="41.25" customHeight="1">
      <c r="A20" s="59">
        <v>11</v>
      </c>
      <c r="B20" s="60" t="s">
        <v>29</v>
      </c>
      <c r="C20" s="61" t="s">
        <v>17</v>
      </c>
      <c r="D20" s="62" t="str">
        <f t="shared" si="1"/>
        <v>2.3.4</v>
      </c>
      <c r="E20" s="63" t="s">
        <v>115</v>
      </c>
      <c r="F20" s="60" t="s">
        <v>127</v>
      </c>
      <c r="G20" s="60">
        <v>50</v>
      </c>
      <c r="H20" s="64">
        <v>160</v>
      </c>
      <c r="I20" s="79">
        <f t="shared" si="0"/>
        <v>8000</v>
      </c>
    </row>
    <row r="21" spans="1:14" ht="41.25" customHeight="1">
      <c r="A21" s="59">
        <v>12</v>
      </c>
      <c r="B21" s="60" t="s">
        <v>30</v>
      </c>
      <c r="C21" s="61" t="s">
        <v>17</v>
      </c>
      <c r="D21" s="62" t="str">
        <f t="shared" si="1"/>
        <v>2.9.4</v>
      </c>
      <c r="E21" s="63" t="s">
        <v>116</v>
      </c>
      <c r="F21" s="60" t="s">
        <v>18</v>
      </c>
      <c r="G21" s="60">
        <v>25000</v>
      </c>
      <c r="H21" s="64">
        <v>29</v>
      </c>
      <c r="I21" s="79">
        <f t="shared" si="0"/>
        <v>725000</v>
      </c>
    </row>
    <row r="22" spans="1:14" ht="31.9" customHeight="1">
      <c r="A22" s="59">
        <v>13</v>
      </c>
      <c r="B22" s="60" t="s">
        <v>31</v>
      </c>
      <c r="C22" s="61" t="s">
        <v>17</v>
      </c>
      <c r="D22" s="62" t="str">
        <f t="shared" si="1"/>
        <v>2.9.4</v>
      </c>
      <c r="E22" s="63" t="s">
        <v>117</v>
      </c>
      <c r="F22" s="60" t="s">
        <v>18</v>
      </c>
      <c r="G22" s="60">
        <v>12000</v>
      </c>
      <c r="H22" s="64">
        <v>2</v>
      </c>
      <c r="I22" s="79">
        <f t="shared" si="0"/>
        <v>24000</v>
      </c>
    </row>
    <row r="23" spans="1:14" ht="41.25" customHeight="1">
      <c r="A23" s="59">
        <v>14</v>
      </c>
      <c r="B23" s="60" t="s">
        <v>32</v>
      </c>
      <c r="C23" s="61" t="s">
        <v>33</v>
      </c>
      <c r="D23" s="62" t="str">
        <f t="shared" si="1"/>
        <v>2.5.8</v>
      </c>
      <c r="E23" s="63" t="s">
        <v>118</v>
      </c>
      <c r="F23" s="60" t="s">
        <v>128</v>
      </c>
      <c r="G23" s="60">
        <v>3</v>
      </c>
      <c r="H23" s="64">
        <v>6900</v>
      </c>
      <c r="I23" s="79">
        <f t="shared" si="0"/>
        <v>20700</v>
      </c>
    </row>
    <row r="24" spans="1:14" ht="40.5" customHeight="1">
      <c r="A24" s="59">
        <v>15</v>
      </c>
      <c r="B24" s="60" t="s">
        <v>34</v>
      </c>
      <c r="C24" s="61" t="s">
        <v>17</v>
      </c>
      <c r="D24" s="62" t="str">
        <f t="shared" si="1"/>
        <v>2.9.4</v>
      </c>
      <c r="E24" s="63" t="s">
        <v>119</v>
      </c>
      <c r="F24" s="60" t="s">
        <v>18</v>
      </c>
      <c r="G24" s="60">
        <v>1500</v>
      </c>
      <c r="H24" s="64">
        <v>10</v>
      </c>
      <c r="I24" s="79">
        <f t="shared" si="0"/>
        <v>15000</v>
      </c>
    </row>
    <row r="25" spans="1:14" ht="51" customHeight="1">
      <c r="A25" s="59">
        <v>16</v>
      </c>
      <c r="B25" s="60" t="s">
        <v>35</v>
      </c>
      <c r="C25" s="61" t="s">
        <v>17</v>
      </c>
      <c r="D25" s="62" t="str">
        <f t="shared" si="1"/>
        <v>2.9.4</v>
      </c>
      <c r="E25" s="63" t="s">
        <v>36</v>
      </c>
      <c r="F25" s="60" t="s">
        <v>127</v>
      </c>
      <c r="G25" s="60">
        <v>30</v>
      </c>
      <c r="H25" s="64">
        <v>13000</v>
      </c>
      <c r="I25" s="79">
        <f t="shared" si="0"/>
        <v>390000</v>
      </c>
    </row>
    <row r="26" spans="1:14" ht="52.5" customHeight="1">
      <c r="A26" s="59">
        <v>17</v>
      </c>
      <c r="B26" s="60" t="s">
        <v>37</v>
      </c>
      <c r="C26" s="61" t="s">
        <v>38</v>
      </c>
      <c r="D26" s="62" t="str">
        <f t="shared" si="1"/>
        <v>2.9.5</v>
      </c>
      <c r="E26" s="63" t="s">
        <v>120</v>
      </c>
      <c r="F26" s="60" t="s">
        <v>129</v>
      </c>
      <c r="G26" s="60">
        <v>10</v>
      </c>
      <c r="H26" s="64">
        <v>110</v>
      </c>
      <c r="I26" s="79">
        <f t="shared" si="0"/>
        <v>1100</v>
      </c>
    </row>
    <row r="28" spans="1:14" ht="37.5" customHeight="1">
      <c r="B28" s="90" t="s">
        <v>124</v>
      </c>
      <c r="C28" s="91"/>
      <c r="D28" s="91"/>
      <c r="E28" s="92"/>
      <c r="G28" s="65"/>
      <c r="H28" s="65"/>
      <c r="I28" s="80"/>
    </row>
    <row r="29" spans="1:14" ht="35.25" customHeight="1">
      <c r="B29" s="90" t="s">
        <v>39</v>
      </c>
      <c r="C29" s="91"/>
      <c r="D29" s="91"/>
      <c r="E29" s="92"/>
      <c r="G29" s="65"/>
      <c r="H29" s="65"/>
      <c r="I29" s="80"/>
    </row>
    <row r="30" spans="1:14">
      <c r="B30" s="65"/>
      <c r="G30" s="65"/>
      <c r="H30" s="65"/>
      <c r="I30" s="80"/>
    </row>
    <row r="31" spans="1:14">
      <c r="B31" s="65"/>
      <c r="G31" s="65"/>
      <c r="H31" s="65"/>
    </row>
    <row r="32" spans="1:14">
      <c r="B32" s="66" t="s">
        <v>40</v>
      </c>
      <c r="C32" s="67"/>
      <c r="D32" s="67"/>
      <c r="E32" s="68"/>
    </row>
    <row r="33" spans="2:5">
      <c r="B33" s="69"/>
      <c r="C33" s="70"/>
      <c r="D33" s="70"/>
      <c r="E33" s="71"/>
    </row>
    <row r="34" spans="2:5">
      <c r="B34" s="72" t="s">
        <v>41</v>
      </c>
      <c r="C34" s="70"/>
      <c r="D34" s="70"/>
      <c r="E34" s="71"/>
    </row>
    <row r="35" spans="2:5" ht="33.75" customHeight="1">
      <c r="B35" s="72"/>
      <c r="C35" s="82" t="s">
        <v>42</v>
      </c>
      <c r="D35" s="82"/>
      <c r="E35" s="82"/>
    </row>
    <row r="36" spans="2:5">
      <c r="B36" s="72" t="s">
        <v>43</v>
      </c>
      <c r="C36" s="70"/>
      <c r="D36" s="70"/>
      <c r="E36" s="71"/>
    </row>
    <row r="37" spans="2:5" ht="30" customHeight="1">
      <c r="B37" s="73"/>
      <c r="C37" s="84" t="s">
        <v>122</v>
      </c>
      <c r="D37" s="84"/>
      <c r="E37" s="85"/>
    </row>
    <row r="38" spans="2:5">
      <c r="B38" s="73"/>
      <c r="C38" s="88"/>
      <c r="D38" s="88"/>
      <c r="E38" s="88"/>
    </row>
    <row r="39" spans="2:5">
      <c r="B39" s="72" t="s">
        <v>44</v>
      </c>
      <c r="C39" s="70"/>
      <c r="D39" s="70"/>
      <c r="E39" s="71"/>
    </row>
    <row r="40" spans="2:5">
      <c r="B40" s="73"/>
      <c r="C40" s="86"/>
      <c r="D40" s="86"/>
      <c r="E40" s="86"/>
    </row>
    <row r="41" spans="2:5">
      <c r="B41" s="72" t="s">
        <v>45</v>
      </c>
      <c r="C41" s="74"/>
      <c r="D41" s="74"/>
      <c r="E41" s="75"/>
    </row>
    <row r="42" spans="2:5" ht="24.75" customHeight="1">
      <c r="B42" s="73"/>
      <c r="C42" s="87" t="s">
        <v>123</v>
      </c>
      <c r="D42" s="87"/>
      <c r="E42" s="82"/>
    </row>
    <row r="43" spans="2:5">
      <c r="B43" s="72" t="s">
        <v>46</v>
      </c>
      <c r="C43" s="70"/>
      <c r="D43" s="70"/>
      <c r="E43" s="71"/>
    </row>
    <row r="44" spans="2:5" ht="16.5" customHeight="1">
      <c r="B44" s="72"/>
      <c r="C44" s="81"/>
      <c r="D44" s="81"/>
      <c r="E44" s="81"/>
    </row>
    <row r="45" spans="2:5">
      <c r="B45" s="76"/>
      <c r="C45" s="77"/>
      <c r="D45" s="77"/>
      <c r="E45" s="78"/>
    </row>
    <row r="47" spans="2:5">
      <c r="B47" s="66" t="s">
        <v>47</v>
      </c>
      <c r="C47" s="67"/>
      <c r="D47" s="67"/>
      <c r="E47" s="68"/>
    </row>
    <row r="48" spans="2:5">
      <c r="B48" s="69"/>
      <c r="C48" s="70"/>
      <c r="D48" s="70"/>
      <c r="E48" s="71"/>
    </row>
    <row r="49" spans="2:5">
      <c r="B49" s="72" t="s">
        <v>41</v>
      </c>
      <c r="C49" s="70"/>
      <c r="D49" s="70"/>
      <c r="E49" s="71"/>
    </row>
    <row r="50" spans="2:5" ht="24.75" customHeight="1">
      <c r="B50" s="72"/>
      <c r="C50" s="82" t="s">
        <v>48</v>
      </c>
      <c r="D50" s="82"/>
      <c r="E50" s="82"/>
    </row>
    <row r="51" spans="2:5">
      <c r="B51" s="72" t="s">
        <v>43</v>
      </c>
      <c r="C51" s="70"/>
      <c r="D51" s="70"/>
      <c r="E51" s="71"/>
    </row>
    <row r="52" spans="2:5" ht="6.75" customHeight="1">
      <c r="B52" s="73"/>
      <c r="C52" s="83"/>
      <c r="D52" s="83"/>
      <c r="E52" s="83"/>
    </row>
    <row r="53" spans="2:5" ht="30.75" customHeight="1">
      <c r="B53" s="73"/>
      <c r="C53" s="84" t="s">
        <v>122</v>
      </c>
      <c r="D53" s="84"/>
      <c r="E53" s="85"/>
    </row>
    <row r="54" spans="2:5">
      <c r="B54" s="72" t="s">
        <v>44</v>
      </c>
      <c r="C54" s="70"/>
      <c r="D54" s="70"/>
      <c r="E54" s="71"/>
    </row>
    <row r="55" spans="2:5">
      <c r="B55" s="73"/>
      <c r="C55" s="86"/>
      <c r="D55" s="86"/>
      <c r="E55" s="86"/>
    </row>
    <row r="56" spans="2:5">
      <c r="B56" s="72" t="s">
        <v>45</v>
      </c>
      <c r="C56" s="74"/>
      <c r="D56" s="74"/>
      <c r="E56" s="75"/>
    </row>
    <row r="57" spans="2:5" ht="24.75" customHeight="1">
      <c r="B57" s="73"/>
      <c r="C57" s="87" t="s">
        <v>123</v>
      </c>
      <c r="D57" s="87"/>
      <c r="E57" s="82"/>
    </row>
    <row r="58" spans="2:5">
      <c r="B58" s="72" t="s">
        <v>46</v>
      </c>
      <c r="C58" s="70"/>
      <c r="D58" s="70"/>
      <c r="E58" s="71"/>
    </row>
    <row r="59" spans="2:5">
      <c r="B59" s="72"/>
      <c r="C59" s="81"/>
      <c r="D59" s="81"/>
      <c r="E59" s="81"/>
    </row>
    <row r="60" spans="2:5">
      <c r="B60" s="76"/>
      <c r="C60" s="77"/>
      <c r="D60" s="77"/>
      <c r="E60" s="78"/>
    </row>
    <row r="62" spans="2:5">
      <c r="B62" s="66" t="s">
        <v>49</v>
      </c>
      <c r="C62" s="67"/>
      <c r="D62" s="67"/>
      <c r="E62" s="68"/>
    </row>
    <row r="63" spans="2:5">
      <c r="B63" s="69"/>
      <c r="C63" s="70"/>
      <c r="D63" s="70"/>
      <c r="E63" s="71"/>
    </row>
    <row r="64" spans="2:5">
      <c r="B64" s="72" t="s">
        <v>41</v>
      </c>
      <c r="C64" s="70"/>
      <c r="D64" s="70"/>
      <c r="E64" s="71"/>
    </row>
    <row r="65" spans="2:5" ht="24" customHeight="1">
      <c r="B65" s="72"/>
      <c r="C65" s="82" t="s">
        <v>50</v>
      </c>
      <c r="D65" s="82"/>
      <c r="E65" s="82"/>
    </row>
    <row r="66" spans="2:5">
      <c r="B66" s="72" t="s">
        <v>43</v>
      </c>
      <c r="C66" s="70"/>
      <c r="D66" s="70"/>
      <c r="E66" s="71"/>
    </row>
    <row r="67" spans="2:5" ht="6.75" customHeight="1">
      <c r="B67" s="73"/>
      <c r="C67" s="83"/>
      <c r="D67" s="83"/>
      <c r="E67" s="83"/>
    </row>
    <row r="68" spans="2:5" ht="26.25" customHeight="1">
      <c r="B68" s="73"/>
      <c r="C68" s="84" t="s">
        <v>122</v>
      </c>
      <c r="D68" s="84"/>
      <c r="E68" s="85"/>
    </row>
    <row r="69" spans="2:5">
      <c r="B69" s="72" t="s">
        <v>44</v>
      </c>
      <c r="C69" s="70"/>
      <c r="D69" s="70"/>
      <c r="E69" s="71"/>
    </row>
    <row r="70" spans="2:5">
      <c r="B70" s="73"/>
      <c r="C70" s="86"/>
      <c r="D70" s="86"/>
      <c r="E70" s="86"/>
    </row>
    <row r="71" spans="2:5">
      <c r="B71" s="72" t="s">
        <v>45</v>
      </c>
      <c r="C71" s="74"/>
      <c r="D71" s="74"/>
      <c r="E71" s="75"/>
    </row>
    <row r="72" spans="2:5" ht="27" customHeight="1">
      <c r="B72" s="73"/>
      <c r="C72" s="87" t="s">
        <v>123</v>
      </c>
      <c r="D72" s="87"/>
      <c r="E72" s="82"/>
    </row>
    <row r="73" spans="2:5">
      <c r="B73" s="72" t="s">
        <v>46</v>
      </c>
      <c r="C73" s="70"/>
      <c r="D73" s="70"/>
      <c r="E73" s="71"/>
    </row>
    <row r="74" spans="2:5">
      <c r="B74" s="72"/>
      <c r="C74" s="81"/>
      <c r="D74" s="81"/>
      <c r="E74" s="81"/>
    </row>
    <row r="75" spans="2:5">
      <c r="B75" s="76"/>
      <c r="C75" s="77"/>
      <c r="D75" s="77"/>
      <c r="E75" s="78"/>
    </row>
    <row r="77" spans="2:5">
      <c r="B77" s="66" t="s">
        <v>51</v>
      </c>
      <c r="C77" s="67"/>
      <c r="D77" s="67"/>
      <c r="E77" s="68"/>
    </row>
    <row r="78" spans="2:5" ht="5.25" customHeight="1">
      <c r="B78" s="69"/>
      <c r="C78" s="70"/>
      <c r="D78" s="70"/>
      <c r="E78" s="71"/>
    </row>
    <row r="79" spans="2:5">
      <c r="B79" s="72" t="s">
        <v>41</v>
      </c>
      <c r="C79" s="70"/>
      <c r="D79" s="70"/>
      <c r="E79" s="71"/>
    </row>
    <row r="80" spans="2:5" ht="41.25" customHeight="1">
      <c r="B80" s="72"/>
      <c r="C80" s="82" t="s">
        <v>110</v>
      </c>
      <c r="D80" s="82"/>
      <c r="E80" s="82"/>
    </row>
    <row r="81" spans="2:5">
      <c r="B81" s="72" t="s">
        <v>43</v>
      </c>
      <c r="C81" s="70"/>
      <c r="D81" s="70"/>
      <c r="E81" s="71"/>
    </row>
    <row r="82" spans="2:5">
      <c r="B82" s="73"/>
      <c r="C82" s="83"/>
      <c r="D82" s="83"/>
      <c r="E82" s="83"/>
    </row>
    <row r="83" spans="2:5" ht="30.75" customHeight="1">
      <c r="B83" s="73"/>
      <c r="C83" s="84" t="s">
        <v>122</v>
      </c>
      <c r="D83" s="84"/>
      <c r="E83" s="85"/>
    </row>
    <row r="84" spans="2:5">
      <c r="B84" s="72" t="s">
        <v>44</v>
      </c>
      <c r="C84" s="70"/>
      <c r="D84" s="70"/>
      <c r="E84" s="71"/>
    </row>
    <row r="85" spans="2:5" ht="26.25" customHeight="1">
      <c r="B85" s="73"/>
      <c r="C85" s="86"/>
      <c r="D85" s="86"/>
      <c r="E85" s="86"/>
    </row>
    <row r="86" spans="2:5">
      <c r="B86" s="72" t="s">
        <v>45</v>
      </c>
      <c r="C86" s="74"/>
      <c r="D86" s="74"/>
      <c r="E86" s="75"/>
    </row>
    <row r="87" spans="2:5" ht="26.25" customHeight="1">
      <c r="B87" s="73"/>
      <c r="C87" s="87" t="s">
        <v>123</v>
      </c>
      <c r="D87" s="87"/>
      <c r="E87" s="82"/>
    </row>
    <row r="88" spans="2:5">
      <c r="B88" s="72" t="s">
        <v>46</v>
      </c>
      <c r="C88" s="70"/>
      <c r="D88" s="70"/>
      <c r="E88" s="71"/>
    </row>
    <row r="89" spans="2:5" ht="23.25" customHeight="1">
      <c r="B89" s="72"/>
      <c r="C89" s="81"/>
      <c r="D89" s="81"/>
      <c r="E89" s="81"/>
    </row>
    <row r="90" spans="2:5">
      <c r="B90" s="76"/>
      <c r="C90" s="77"/>
      <c r="D90" s="77"/>
      <c r="E90" s="78"/>
    </row>
    <row r="92" spans="2:5">
      <c r="B92" s="66" t="s">
        <v>52</v>
      </c>
      <c r="C92" s="67"/>
      <c r="D92" s="67"/>
      <c r="E92" s="68"/>
    </row>
    <row r="93" spans="2:5">
      <c r="B93" s="69"/>
      <c r="C93" s="70"/>
      <c r="D93" s="70"/>
      <c r="E93" s="71"/>
    </row>
    <row r="94" spans="2:5">
      <c r="B94" s="72" t="s">
        <v>41</v>
      </c>
      <c r="C94" s="70"/>
      <c r="D94" s="70"/>
      <c r="E94" s="71"/>
    </row>
    <row r="95" spans="2:5" ht="37.5" customHeight="1">
      <c r="B95" s="72"/>
      <c r="C95" s="82" t="s">
        <v>111</v>
      </c>
      <c r="D95" s="82"/>
      <c r="E95" s="82"/>
    </row>
    <row r="96" spans="2:5">
      <c r="B96" s="72" t="s">
        <v>43</v>
      </c>
      <c r="C96" s="70"/>
      <c r="D96" s="70"/>
      <c r="E96" s="71"/>
    </row>
    <row r="97" spans="2:5">
      <c r="B97" s="73"/>
      <c r="C97" s="83"/>
      <c r="D97" s="83"/>
      <c r="E97" s="83"/>
    </row>
    <row r="98" spans="2:5" ht="26.25" customHeight="1">
      <c r="B98" s="73"/>
      <c r="C98" s="84" t="s">
        <v>122</v>
      </c>
      <c r="D98" s="84"/>
      <c r="E98" s="85"/>
    </row>
    <row r="99" spans="2:5">
      <c r="B99" s="72" t="s">
        <v>44</v>
      </c>
      <c r="C99" s="70"/>
      <c r="D99" s="70"/>
      <c r="E99" s="71"/>
    </row>
    <row r="100" spans="2:5">
      <c r="B100" s="73"/>
      <c r="C100" s="86"/>
      <c r="D100" s="86"/>
      <c r="E100" s="86"/>
    </row>
    <row r="101" spans="2:5">
      <c r="B101" s="72" t="s">
        <v>45</v>
      </c>
      <c r="C101" s="74"/>
      <c r="D101" s="74"/>
      <c r="E101" s="75"/>
    </row>
    <row r="102" spans="2:5" ht="24.75" customHeight="1">
      <c r="B102" s="73"/>
      <c r="C102" s="87" t="s">
        <v>123</v>
      </c>
      <c r="D102" s="87"/>
      <c r="E102" s="82"/>
    </row>
    <row r="103" spans="2:5">
      <c r="B103" s="72" t="s">
        <v>46</v>
      </c>
      <c r="C103" s="70"/>
      <c r="D103" s="70"/>
      <c r="E103" s="71"/>
    </row>
    <row r="104" spans="2:5">
      <c r="B104" s="72"/>
      <c r="C104" s="81"/>
      <c r="D104" s="81"/>
      <c r="E104" s="81"/>
    </row>
    <row r="105" spans="2:5">
      <c r="B105" s="76"/>
      <c r="C105" s="77"/>
      <c r="D105" s="77"/>
      <c r="E105" s="78"/>
    </row>
    <row r="107" spans="2:5">
      <c r="B107" s="66" t="s">
        <v>53</v>
      </c>
      <c r="C107" s="67"/>
      <c r="D107" s="67"/>
      <c r="E107" s="68"/>
    </row>
    <row r="108" spans="2:5">
      <c r="B108" s="69"/>
      <c r="C108" s="70"/>
      <c r="D108" s="70"/>
      <c r="E108" s="71"/>
    </row>
    <row r="109" spans="2:5">
      <c r="B109" s="72" t="s">
        <v>41</v>
      </c>
      <c r="C109" s="70"/>
      <c r="D109" s="70"/>
      <c r="E109" s="71"/>
    </row>
    <row r="110" spans="2:5" ht="33" customHeight="1">
      <c r="B110" s="72"/>
      <c r="C110" s="82" t="s">
        <v>54</v>
      </c>
      <c r="D110" s="82"/>
      <c r="E110" s="82"/>
    </row>
    <row r="111" spans="2:5">
      <c r="B111" s="72" t="s">
        <v>43</v>
      </c>
      <c r="C111" s="70"/>
      <c r="D111" s="70"/>
      <c r="E111" s="71"/>
    </row>
    <row r="112" spans="2:5">
      <c r="B112" s="73"/>
      <c r="C112" s="83"/>
      <c r="D112" s="83"/>
      <c r="E112" s="83"/>
    </row>
    <row r="113" spans="2:5" ht="26.25" customHeight="1">
      <c r="B113" s="73"/>
      <c r="C113" s="84" t="s">
        <v>122</v>
      </c>
      <c r="D113" s="84"/>
      <c r="E113" s="85"/>
    </row>
    <row r="114" spans="2:5">
      <c r="B114" s="72" t="s">
        <v>44</v>
      </c>
      <c r="C114" s="70"/>
      <c r="D114" s="70"/>
      <c r="E114" s="71"/>
    </row>
    <row r="115" spans="2:5">
      <c r="B115" s="73"/>
      <c r="C115" s="86"/>
      <c r="D115" s="86"/>
      <c r="E115" s="86"/>
    </row>
    <row r="116" spans="2:5">
      <c r="B116" s="72" t="s">
        <v>45</v>
      </c>
      <c r="C116" s="74"/>
      <c r="D116" s="74"/>
      <c r="E116" s="75"/>
    </row>
    <row r="117" spans="2:5" ht="30.75" customHeight="1">
      <c r="B117" s="73"/>
      <c r="C117" s="87" t="s">
        <v>123</v>
      </c>
      <c r="D117" s="87"/>
      <c r="E117" s="82"/>
    </row>
    <row r="118" spans="2:5">
      <c r="B118" s="72" t="s">
        <v>46</v>
      </c>
      <c r="C118" s="70"/>
      <c r="D118" s="70"/>
      <c r="E118" s="71"/>
    </row>
    <row r="119" spans="2:5">
      <c r="B119" s="72"/>
      <c r="C119" s="81"/>
      <c r="D119" s="81"/>
      <c r="E119" s="81"/>
    </row>
    <row r="120" spans="2:5">
      <c r="B120" s="76"/>
      <c r="C120" s="77"/>
      <c r="D120" s="77"/>
      <c r="E120" s="78"/>
    </row>
    <row r="122" spans="2:5">
      <c r="B122" s="66" t="s">
        <v>55</v>
      </c>
      <c r="C122" s="67"/>
      <c r="D122" s="67"/>
      <c r="E122" s="68"/>
    </row>
    <row r="123" spans="2:5">
      <c r="B123" s="69"/>
      <c r="C123" s="70"/>
      <c r="D123" s="70"/>
      <c r="E123" s="71"/>
    </row>
    <row r="124" spans="2:5">
      <c r="B124" s="72" t="s">
        <v>41</v>
      </c>
      <c r="C124" s="70"/>
      <c r="D124" s="70"/>
      <c r="E124" s="71"/>
    </row>
    <row r="125" spans="2:5" ht="32.25" customHeight="1">
      <c r="B125" s="72"/>
      <c r="C125" s="82" t="s">
        <v>56</v>
      </c>
      <c r="D125" s="82"/>
      <c r="E125" s="82"/>
    </row>
    <row r="126" spans="2:5">
      <c r="B126" s="72" t="s">
        <v>43</v>
      </c>
      <c r="C126" s="70"/>
      <c r="D126" s="70"/>
      <c r="E126" s="71"/>
    </row>
    <row r="127" spans="2:5">
      <c r="B127" s="73"/>
      <c r="C127" s="83"/>
      <c r="D127" s="83"/>
      <c r="E127" s="83"/>
    </row>
    <row r="128" spans="2:5" ht="24.75" customHeight="1">
      <c r="B128" s="73"/>
      <c r="C128" s="84" t="s">
        <v>122</v>
      </c>
      <c r="D128" s="84"/>
      <c r="E128" s="85"/>
    </row>
    <row r="129" spans="2:5">
      <c r="B129" s="72" t="s">
        <v>44</v>
      </c>
      <c r="C129" s="70"/>
      <c r="D129" s="70"/>
      <c r="E129" s="71"/>
    </row>
    <row r="130" spans="2:5">
      <c r="B130" s="73"/>
      <c r="C130" s="86"/>
      <c r="D130" s="86"/>
      <c r="E130" s="86"/>
    </row>
    <row r="131" spans="2:5">
      <c r="B131" s="72" t="s">
        <v>45</v>
      </c>
      <c r="C131" s="74"/>
      <c r="D131" s="74"/>
      <c r="E131" s="75"/>
    </row>
    <row r="132" spans="2:5" ht="23.25" customHeight="1">
      <c r="B132" s="73"/>
      <c r="C132" s="87" t="s">
        <v>123</v>
      </c>
      <c r="D132" s="87"/>
      <c r="E132" s="82"/>
    </row>
    <row r="133" spans="2:5">
      <c r="B133" s="72" t="s">
        <v>46</v>
      </c>
      <c r="C133" s="70"/>
      <c r="D133" s="70"/>
      <c r="E133" s="71"/>
    </row>
    <row r="134" spans="2:5">
      <c r="B134" s="72"/>
      <c r="C134" s="81"/>
      <c r="D134" s="81"/>
      <c r="E134" s="81"/>
    </row>
    <row r="135" spans="2:5" ht="31.5" customHeight="1">
      <c r="B135" s="76"/>
      <c r="C135" s="77"/>
      <c r="D135" s="77"/>
      <c r="E135" s="78"/>
    </row>
  </sheetData>
  <autoFilter ref="A9:I26"/>
  <mergeCells count="51">
    <mergeCell ref="B2:H2"/>
    <mergeCell ref="A4:B4"/>
    <mergeCell ref="C4:E4"/>
    <mergeCell ref="A5:B5"/>
    <mergeCell ref="C5:E5"/>
    <mergeCell ref="A6:B6"/>
    <mergeCell ref="A7:B7"/>
    <mergeCell ref="B28:E28"/>
    <mergeCell ref="B29:E29"/>
    <mergeCell ref="C35:E35"/>
    <mergeCell ref="C37:E37"/>
    <mergeCell ref="C38:E38"/>
    <mergeCell ref="C40:E40"/>
    <mergeCell ref="C42:E42"/>
    <mergeCell ref="C44:E44"/>
    <mergeCell ref="C50:E50"/>
    <mergeCell ref="C52:E52"/>
    <mergeCell ref="C53:E53"/>
    <mergeCell ref="C55:E55"/>
    <mergeCell ref="C57:E57"/>
    <mergeCell ref="C59:E59"/>
    <mergeCell ref="C65:E65"/>
    <mergeCell ref="C67:E67"/>
    <mergeCell ref="C68:E68"/>
    <mergeCell ref="C70:E70"/>
    <mergeCell ref="C72:E72"/>
    <mergeCell ref="C74:E74"/>
    <mergeCell ref="C80:E80"/>
    <mergeCell ref="C82:E82"/>
    <mergeCell ref="C83:E83"/>
    <mergeCell ref="C85:E85"/>
    <mergeCell ref="C87:E87"/>
    <mergeCell ref="C89:E89"/>
    <mergeCell ref="C95:E95"/>
    <mergeCell ref="C97:E97"/>
    <mergeCell ref="C98:E98"/>
    <mergeCell ref="C100:E100"/>
    <mergeCell ref="C102:E102"/>
    <mergeCell ref="C104:E104"/>
    <mergeCell ref="C110:E110"/>
    <mergeCell ref="C112:E112"/>
    <mergeCell ref="C113:E113"/>
    <mergeCell ref="C115:E115"/>
    <mergeCell ref="C117:E117"/>
    <mergeCell ref="C119:E119"/>
    <mergeCell ref="C134:E134"/>
    <mergeCell ref="C125:E125"/>
    <mergeCell ref="C127:E127"/>
    <mergeCell ref="C128:E128"/>
    <mergeCell ref="C130:E130"/>
    <mergeCell ref="C132:E132"/>
  </mergeCells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9"/>
  <sheetViews>
    <sheetView topLeftCell="A17" zoomScale="70" zoomScaleNormal="70" workbookViewId="0">
      <selection activeCell="H32" sqref="H32"/>
    </sheetView>
  </sheetViews>
  <sheetFormatPr baseColWidth="10" defaultColWidth="9.140625" defaultRowHeight="12.75"/>
  <cols>
    <col min="1" max="1" width="5.5703125" style="40" customWidth="1"/>
    <col min="2" max="2" width="15.140625" style="40" customWidth="1"/>
    <col min="3" max="3" width="14.140625" style="40" customWidth="1"/>
    <col min="4" max="4" width="26" style="40" customWidth="1"/>
    <col min="5" max="5" width="8" style="40" customWidth="1"/>
    <col min="6" max="6" width="7.85546875" style="40" customWidth="1"/>
    <col min="7" max="7" width="42" style="40" customWidth="1"/>
    <col min="8" max="8" width="9.28515625" style="40" customWidth="1"/>
    <col min="9" max="9" width="15.5703125" style="40" customWidth="1"/>
    <col min="10" max="10" width="14.7109375" style="40" customWidth="1"/>
    <col min="11" max="11" width="15.5703125" style="40" customWidth="1"/>
    <col min="12" max="14" width="5.85546875" style="40" customWidth="1"/>
    <col min="15" max="15" width="12.5703125" style="40" customWidth="1"/>
    <col min="16" max="1024" width="9.140625" style="40"/>
  </cols>
  <sheetData>
    <row r="1" spans="1:11" ht="18" customHeight="1">
      <c r="A1" s="106" t="s">
        <v>57</v>
      </c>
      <c r="B1" s="106"/>
      <c r="C1" s="106"/>
      <c r="D1" s="106"/>
      <c r="E1" s="106"/>
      <c r="F1" s="106"/>
      <c r="G1" s="106"/>
      <c r="H1" s="106"/>
      <c r="I1" s="106"/>
      <c r="J1" s="48" t="s">
        <v>58</v>
      </c>
      <c r="K1" s="49" t="s">
        <v>126</v>
      </c>
    </row>
    <row r="2" spans="1:11" ht="18.75" customHeight="1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>
      <c r="A3" s="105" t="s">
        <v>59</v>
      </c>
      <c r="B3" s="105"/>
      <c r="C3" s="105"/>
      <c r="D3" s="104" t="str">
        <f>'Necesidades Trimestrales'!C4</f>
        <v>40 - Ministerio de Salud</v>
      </c>
      <c r="E3" s="104"/>
      <c r="F3" s="104"/>
      <c r="G3" s="104"/>
      <c r="H3" s="104"/>
      <c r="I3" s="104"/>
      <c r="J3" s="104"/>
      <c r="K3" s="104"/>
    </row>
    <row r="4" spans="1:11" ht="18.75" customHeight="1">
      <c r="A4" s="103" t="s">
        <v>60</v>
      </c>
      <c r="B4" s="103"/>
      <c r="C4" s="103"/>
      <c r="D4" s="104" t="str">
        <f>'Necesidades Trimestrales'!C5</f>
        <v>23 - Hospital Interzonal San Juan Bautista</v>
      </c>
      <c r="E4" s="104"/>
      <c r="F4" s="104"/>
      <c r="G4" s="104"/>
      <c r="H4" s="104"/>
      <c r="I4" s="104"/>
      <c r="J4" s="104"/>
      <c r="K4" s="104"/>
    </row>
    <row r="5" spans="1:11" ht="18.75" customHeight="1">
      <c r="A5" s="103" t="s">
        <v>61</v>
      </c>
      <c r="B5" s="103"/>
      <c r="C5" s="103"/>
      <c r="D5" s="104" t="s">
        <v>62</v>
      </c>
      <c r="E5" s="104"/>
      <c r="F5" s="104"/>
      <c r="G5" s="104"/>
      <c r="H5" s="104"/>
      <c r="I5" s="104"/>
      <c r="J5" s="104"/>
      <c r="K5" s="104"/>
    </row>
    <row r="6" spans="1:11" ht="16.5" customHeight="1">
      <c r="A6" s="105" t="s">
        <v>63</v>
      </c>
      <c r="B6" s="105"/>
      <c r="C6" s="105"/>
      <c r="D6" s="104" t="s">
        <v>64</v>
      </c>
      <c r="E6" s="104"/>
      <c r="F6" s="104"/>
      <c r="G6" s="104"/>
      <c r="H6" s="104"/>
      <c r="I6" s="104"/>
      <c r="J6" s="104"/>
      <c r="K6" s="104"/>
    </row>
    <row r="7" spans="1:11" ht="16.5" customHeight="1">
      <c r="A7" s="103" t="s">
        <v>65</v>
      </c>
      <c r="B7" s="103"/>
      <c r="C7" s="103"/>
      <c r="D7" s="104" t="str">
        <f>'Necesidades Trimestrales'!C7&amp;"° Trimestre - Año "&amp;'Necesidades Trimestrales'!C6</f>
        <v>2° Trimestre - Año 2022</v>
      </c>
      <c r="E7" s="104"/>
      <c r="F7" s="104"/>
      <c r="G7" s="104"/>
      <c r="H7" s="104"/>
      <c r="I7" s="104"/>
      <c r="J7" s="104"/>
      <c r="K7" s="104"/>
    </row>
    <row r="8" spans="1:11" ht="16.5" customHeight="1">
      <c r="A8" s="101" t="s">
        <v>66</v>
      </c>
      <c r="B8" s="101"/>
      <c r="C8" s="101"/>
      <c r="D8" s="102" t="s">
        <v>121</v>
      </c>
      <c r="E8" s="102"/>
      <c r="F8" s="102"/>
      <c r="G8" s="102"/>
      <c r="H8" s="102"/>
      <c r="I8" s="102"/>
      <c r="J8" s="102"/>
      <c r="K8" s="102"/>
    </row>
    <row r="9" spans="1:11" ht="15.75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>
      <c r="A10" s="96" t="s">
        <v>67</v>
      </c>
      <c r="B10" s="97" t="s">
        <v>68</v>
      </c>
      <c r="C10" s="97" t="s">
        <v>69</v>
      </c>
      <c r="D10" s="97"/>
      <c r="E10" s="97"/>
      <c r="F10" s="97"/>
      <c r="G10" s="97"/>
      <c r="H10" s="97" t="s">
        <v>70</v>
      </c>
      <c r="I10" s="97" t="s">
        <v>71</v>
      </c>
      <c r="J10" s="97" t="s">
        <v>72</v>
      </c>
      <c r="K10" s="98" t="s">
        <v>73</v>
      </c>
    </row>
    <row r="11" spans="1:11" ht="24" customHeight="1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8"/>
    </row>
    <row r="12" spans="1:11" ht="36" customHeight="1">
      <c r="A12" s="45">
        <v>1</v>
      </c>
      <c r="B12" s="46" t="str">
        <f>'Necesidades Trimestrales'!B10</f>
        <v>2.3.4-938.46</v>
      </c>
      <c r="C12" s="99" t="str">
        <f>'Necesidades Trimestrales'!E10</f>
        <v>SERVILLETAS DE PAPEL; TIPO: LISAS, MOTIVO: SIN, DIMENSION: 33 X 33 Cm, PRESENTACION: PAQUETE X 1000 UN, COLOR: BLANCA</v>
      </c>
      <c r="D12" s="99"/>
      <c r="E12" s="99"/>
      <c r="F12" s="99"/>
      <c r="G12" s="99"/>
      <c r="H12" s="47" t="s">
        <v>74</v>
      </c>
      <c r="I12" s="50" t="str">
        <f>'Necesidades Trimestrales'!F10</f>
        <v>PAQUETE</v>
      </c>
      <c r="J12" s="51">
        <f>'Necesidades Trimestrales'!H10</f>
        <v>1700</v>
      </c>
      <c r="K12" s="52">
        <f>'Necesidades Trimestrales'!G10</f>
        <v>10</v>
      </c>
    </row>
    <row r="13" spans="1:11" ht="36" customHeight="1">
      <c r="A13" s="45">
        <v>2</v>
      </c>
      <c r="B13" s="46" t="str">
        <f>'Necesidades Trimestrales'!B11</f>
        <v>2.9.4-689.15</v>
      </c>
      <c r="C13" s="99" t="str">
        <f>'Necesidades Trimestrales'!E11</f>
        <v>CUCHILLOS; TIPO: DE MESA, MATERIAL: PLASTICO</v>
      </c>
      <c r="D13" s="99"/>
      <c r="E13" s="99"/>
      <c r="F13" s="99"/>
      <c r="G13" s="99"/>
      <c r="H13" s="47" t="s">
        <v>131</v>
      </c>
      <c r="I13" s="50" t="str">
        <f>'Necesidades Trimestrales'!F11</f>
        <v>UNIDAD</v>
      </c>
      <c r="J13" s="51">
        <f>'Necesidades Trimestrales'!H11</f>
        <v>3</v>
      </c>
      <c r="K13" s="52">
        <f>'Necesidades Trimestrales'!G11</f>
        <v>12000</v>
      </c>
    </row>
    <row r="14" spans="1:11" ht="36" customHeight="1">
      <c r="A14" s="45">
        <v>3</v>
      </c>
      <c r="B14" s="46" t="str">
        <f>'Necesidades Trimestrales'!B12</f>
        <v>2.9.4-1184.42</v>
      </c>
      <c r="C14" s="99" t="str">
        <f>'Necesidades Trimestrales'!E12</f>
        <v>VASOS; MATERIAL: POLIESTIRENO EXPANDIDO, TIPO: DESCARTABLE, CAPACIDAD: 180 CM3</v>
      </c>
      <c r="D14" s="99"/>
      <c r="E14" s="99"/>
      <c r="F14" s="99"/>
      <c r="G14" s="99"/>
      <c r="H14" s="47" t="s">
        <v>131</v>
      </c>
      <c r="I14" s="50" t="str">
        <f>'Necesidades Trimestrales'!F12</f>
        <v>UNIDAD</v>
      </c>
      <c r="J14" s="51">
        <f>'Necesidades Trimestrales'!H12</f>
        <v>12</v>
      </c>
      <c r="K14" s="52">
        <f>'Necesidades Trimestrales'!G12</f>
        <v>5000</v>
      </c>
    </row>
    <row r="15" spans="1:11" ht="36" customHeight="1">
      <c r="A15" s="45">
        <v>4</v>
      </c>
      <c r="B15" s="46" t="str">
        <f>'Necesidades Trimestrales'!B13</f>
        <v>2.5.8-3977.40</v>
      </c>
      <c r="C15" s="99" t="str">
        <f>'Necesidades Trimestrales'!E13</f>
        <v>BOLSAS DE POLIETILENO; TAMAÑO: 15 X 25 Cm, ESPESOR: 17 Mn, PRESENTACION: ROLLO X 200 UN</v>
      </c>
      <c r="D15" s="99"/>
      <c r="E15" s="99"/>
      <c r="F15" s="99"/>
      <c r="G15" s="99"/>
      <c r="H15" s="47" t="s">
        <v>74</v>
      </c>
      <c r="I15" s="50" t="str">
        <f>'Necesidades Trimestrales'!F13</f>
        <v>ROLLO</v>
      </c>
      <c r="J15" s="51">
        <f>'Necesidades Trimestrales'!H13</f>
        <v>280</v>
      </c>
      <c r="K15" s="52">
        <f>'Necesidades Trimestrales'!G13</f>
        <v>200</v>
      </c>
    </row>
    <row r="16" spans="1:11" ht="36" customHeight="1">
      <c r="A16" s="45">
        <v>5</v>
      </c>
      <c r="B16" s="46" t="str">
        <f>'Necesidades Trimestrales'!B14</f>
        <v>2.9.4-6970.3</v>
      </c>
      <c r="C16" s="99" t="str">
        <f>'Necesidades Trimestrales'!E14</f>
        <v>COMPOTERAS; MATERIAL: POLICARBONATO, CAPACIDAD: 250 Ml</v>
      </c>
      <c r="D16" s="99"/>
      <c r="E16" s="99"/>
      <c r="F16" s="99"/>
      <c r="G16" s="99"/>
      <c r="H16" s="47" t="s">
        <v>74</v>
      </c>
      <c r="I16" s="50" t="str">
        <f>'Necesidades Trimestrales'!F14</f>
        <v>UNIDAD</v>
      </c>
      <c r="J16" s="51">
        <f>'Necesidades Trimestrales'!H14</f>
        <v>10</v>
      </c>
      <c r="K16" s="52">
        <f>'Necesidades Trimestrales'!G14</f>
        <v>18000</v>
      </c>
    </row>
    <row r="17" spans="1:1024" ht="36" customHeight="1">
      <c r="A17" s="45">
        <v>6</v>
      </c>
      <c r="B17" s="46" t="str">
        <f>'Necesidades Trimestrales'!B15</f>
        <v>2.9.4-1184.49</v>
      </c>
      <c r="C17" s="99" t="str">
        <f>'Necesidades Trimestrales'!E15</f>
        <v>VASOS; MATERIAL: POLIESTIRENO, TIPO: TERMICO, CAPACIDAD: 240 mL</v>
      </c>
      <c r="D17" s="99"/>
      <c r="E17" s="99"/>
      <c r="F17" s="99"/>
      <c r="G17" s="99"/>
      <c r="H17" s="47" t="s">
        <v>131</v>
      </c>
      <c r="I17" s="50" t="str">
        <f>'Necesidades Trimestrales'!F15</f>
        <v>UNIDAD</v>
      </c>
      <c r="J17" s="51">
        <f>'Necesidades Trimestrales'!H15</f>
        <v>14</v>
      </c>
      <c r="K17" s="52">
        <f>'Necesidades Trimestrales'!G15</f>
        <v>20000</v>
      </c>
    </row>
    <row r="18" spans="1:1024" ht="36" customHeight="1">
      <c r="A18" s="45">
        <v>7</v>
      </c>
      <c r="B18" s="46" t="str">
        <f>'Necesidades Trimestrales'!B16</f>
        <v>2.9.4-690.15</v>
      </c>
      <c r="C18" s="99" t="str">
        <f>'Necesidades Trimestrales'!E16</f>
        <v>CUCHARAS; TIPO: DE MESA, MATERIAL: PLASTICO</v>
      </c>
      <c r="D18" s="99"/>
      <c r="E18" s="99"/>
      <c r="F18" s="99"/>
      <c r="G18" s="99"/>
      <c r="H18" s="47" t="s">
        <v>131</v>
      </c>
      <c r="I18" s="50" t="str">
        <f>'Necesidades Trimestrales'!F16</f>
        <v>UNIDAD</v>
      </c>
      <c r="J18" s="51">
        <f>'Necesidades Trimestrales'!H16</f>
        <v>4.5</v>
      </c>
      <c r="K18" s="52">
        <f>'Necesidades Trimestrales'!G16</f>
        <v>12000</v>
      </c>
    </row>
    <row r="19" spans="1:1024" ht="36" customHeight="1">
      <c r="A19" s="45">
        <v>8</v>
      </c>
      <c r="B19" s="46" t="str">
        <f>'Necesidades Trimestrales'!B17</f>
        <v>2.5.8-1055.37</v>
      </c>
      <c r="C19" s="99" t="str">
        <f>'Necesidades Trimestrales'!E17</f>
        <v>BANDEJAS DE PLASTICO; MATERIAL: PLASTICO, LARGO X ANCHO: 233 X 170 mm, FORMA: OVAL, PRESENTACION: CAJA X 600</v>
      </c>
      <c r="D19" s="99"/>
      <c r="E19" s="99"/>
      <c r="F19" s="99"/>
      <c r="G19" s="99"/>
      <c r="H19" s="47" t="s">
        <v>74</v>
      </c>
      <c r="I19" s="50" t="str">
        <f>'Necesidades Trimestrales'!F17</f>
        <v>CAJA</v>
      </c>
      <c r="J19" s="51">
        <f>'Necesidades Trimestrales'!H17</f>
        <v>33000</v>
      </c>
      <c r="K19" s="52">
        <f>'Necesidades Trimestrales'!G17</f>
        <v>10</v>
      </c>
    </row>
    <row r="20" spans="1:1024" ht="48" customHeight="1">
      <c r="A20" s="45">
        <v>9</v>
      </c>
      <c r="B20" s="46" t="str">
        <f>'Necesidades Trimestrales'!B18</f>
        <v>2.9.4-4743.4</v>
      </c>
      <c r="C20" s="99" t="str">
        <f>'Necesidades Trimestrales'!E18</f>
        <v>BANDEJA P/TRANSP. DE ALIMENTO; CAPACIDAD: 700 GR, MATERIAL: ALUMINIO, TIPO: SIN VALOR, MEDIDAS: 14 X 10 X 4,5 Cm, INTERIOR: SIN VALOR, EXTERIOR: SIN VALOR, DIMENSION: 14 X 10 X 4,5 Cm, ACABADO: SIN VALOR</v>
      </c>
      <c r="D20" s="99"/>
      <c r="E20" s="99"/>
      <c r="F20" s="99"/>
      <c r="G20" s="99"/>
      <c r="H20" s="47" t="s">
        <v>131</v>
      </c>
      <c r="I20" s="50" t="str">
        <f>'Necesidades Trimestrales'!F18</f>
        <v>UNIDAD</v>
      </c>
      <c r="J20" s="51">
        <f>'Necesidades Trimestrales'!H18</f>
        <v>26</v>
      </c>
      <c r="K20" s="52">
        <f>'Necesidades Trimestrales'!G18</f>
        <v>2000</v>
      </c>
    </row>
    <row r="21" spans="1:1024" ht="36" customHeight="1">
      <c r="A21" s="45">
        <v>10</v>
      </c>
      <c r="B21" s="46" t="str">
        <f>'Necesidades Trimestrales'!B19</f>
        <v>2.9.4-692.10</v>
      </c>
      <c r="C21" s="99" t="str">
        <f>'Necesidades Trimestrales'!E19</f>
        <v>TENEDORES; TIPO: DE MESA, MATERIAL: PLASTICO</v>
      </c>
      <c r="D21" s="99"/>
      <c r="E21" s="99"/>
      <c r="F21" s="99"/>
      <c r="G21" s="99"/>
      <c r="H21" s="47" t="s">
        <v>131</v>
      </c>
      <c r="I21" s="50" t="str">
        <f>'Necesidades Trimestrales'!F19</f>
        <v>UNIDAD</v>
      </c>
      <c r="J21" s="51">
        <f>'Necesidades Trimestrales'!H19</f>
        <v>3</v>
      </c>
      <c r="K21" s="52">
        <f>'Necesidades Trimestrales'!G19</f>
        <v>12000</v>
      </c>
    </row>
    <row r="22" spans="1:1024" ht="36" customHeight="1">
      <c r="A22" s="45">
        <v>11</v>
      </c>
      <c r="B22" s="46" t="str">
        <f>'Necesidades Trimestrales'!B20</f>
        <v>2.3.4-938.59</v>
      </c>
      <c r="C22" s="99" t="str">
        <f>'Necesidades Trimestrales'!E20</f>
        <v>SERVILLETAS DE PAPEL; TIPO: ROLLO, MOTIVO: SIN, DIMENSION: 25 X 10 Cm, PRESENTACION: ENVASE X 3 UN</v>
      </c>
      <c r="D22" s="99"/>
      <c r="E22" s="99"/>
      <c r="F22" s="99"/>
      <c r="G22" s="99"/>
      <c r="H22" s="47" t="s">
        <v>74</v>
      </c>
      <c r="I22" s="50" t="str">
        <f>'Necesidades Trimestrales'!F20</f>
        <v>PAQUETE</v>
      </c>
      <c r="J22" s="51">
        <f>'Necesidades Trimestrales'!H20</f>
        <v>160</v>
      </c>
      <c r="K22" s="52">
        <f>'Necesidades Trimestrales'!G20</f>
        <v>50</v>
      </c>
    </row>
    <row r="23" spans="1:1024" ht="36" customHeight="1">
      <c r="A23" s="45">
        <v>12</v>
      </c>
      <c r="B23" s="46" t="str">
        <f>'Necesidades Trimestrales'!B21</f>
        <v>2.9.4-4743.24</v>
      </c>
      <c r="C23" s="99" t="str">
        <f>'Necesidades Trimestrales'!E21</f>
        <v>BANDEJA P/TRANSP. DE ALIMENTO; DIMENSION: 18 X 14 X 4 Cm, TIPO: C/TAPA, MATERIAL: ALUMINIO APTO MICROONDAS, CAPACIDAD: 750 CM3</v>
      </c>
      <c r="D23" s="99"/>
      <c r="E23" s="99"/>
      <c r="F23" s="99"/>
      <c r="G23" s="99"/>
      <c r="H23" s="47" t="s">
        <v>74</v>
      </c>
      <c r="I23" s="50" t="str">
        <f>'Necesidades Trimestrales'!F21</f>
        <v>UNIDAD</v>
      </c>
      <c r="J23" s="51">
        <f>'Necesidades Trimestrales'!H21</f>
        <v>29</v>
      </c>
      <c r="K23" s="52">
        <f>'Necesidades Trimestrales'!G21</f>
        <v>25000</v>
      </c>
    </row>
    <row r="24" spans="1:1024" ht="36" customHeight="1">
      <c r="A24" s="45">
        <v>13</v>
      </c>
      <c r="B24" s="46" t="str">
        <f>'Necesidades Trimestrales'!B22</f>
        <v>2.9.4-690.16</v>
      </c>
      <c r="C24" s="99" t="str">
        <f>'Necesidades Trimestrales'!E22</f>
        <v>CUCHARAS; TIPO: TE, MATERIAL: PLASTICO</v>
      </c>
      <c r="D24" s="99"/>
      <c r="E24" s="99"/>
      <c r="F24" s="99"/>
      <c r="G24" s="99"/>
      <c r="H24" s="47" t="s">
        <v>131</v>
      </c>
      <c r="I24" s="50" t="str">
        <f>'Necesidades Trimestrales'!F22</f>
        <v>UNIDAD</v>
      </c>
      <c r="J24" s="51">
        <f>'Necesidades Trimestrales'!H22</f>
        <v>2</v>
      </c>
      <c r="K24" s="52">
        <f>'Necesidades Trimestrales'!G22</f>
        <v>12000</v>
      </c>
    </row>
    <row r="25" spans="1:1024" ht="36" customHeight="1">
      <c r="A25" s="45">
        <v>14</v>
      </c>
      <c r="B25" s="46" t="str">
        <f>'Necesidades Trimestrales'!B23</f>
        <v>2.5.8-5590.59</v>
      </c>
      <c r="C25" s="99" t="str">
        <f>'Necesidades Trimestrales'!E23</f>
        <v>FILMS DE POLIETILENO; ESPESOR: 10 Mn, ANCHO: 45 Cm, PRESENTACION: ROLLO X 900 M, USO: ALIMENTARIO</v>
      </c>
      <c r="D25" s="99"/>
      <c r="E25" s="99"/>
      <c r="F25" s="99"/>
      <c r="G25" s="99"/>
      <c r="H25" s="47" t="s">
        <v>74</v>
      </c>
      <c r="I25" s="50" t="str">
        <f>'Necesidades Trimestrales'!F23</f>
        <v>ROLLO</v>
      </c>
      <c r="J25" s="51">
        <f>'Necesidades Trimestrales'!H23</f>
        <v>6900</v>
      </c>
      <c r="K25" s="52">
        <f>'Necesidades Trimestrales'!G23</f>
        <v>3</v>
      </c>
    </row>
    <row r="26" spans="1:1024" ht="36" customHeight="1">
      <c r="A26" s="45">
        <v>15</v>
      </c>
      <c r="B26" s="46" t="str">
        <f>'Necesidades Trimestrales'!B24</f>
        <v>2.9.4-1015.40</v>
      </c>
      <c r="C26" s="99" t="str">
        <f>'Necesidades Trimestrales'!E24</f>
        <v>BANDEJAS DE MESA; MATERIAL: PLASTICO, DIMENSION: 16,5 X 12 X 5,5 Cm, FORMA: RECTANGULAR</v>
      </c>
      <c r="D26" s="99"/>
      <c r="E26" s="99"/>
      <c r="F26" s="99"/>
      <c r="G26" s="99"/>
      <c r="H26" s="47" t="s">
        <v>74</v>
      </c>
      <c r="I26" s="50" t="str">
        <f>'Necesidades Trimestrales'!F24</f>
        <v>UNIDAD</v>
      </c>
      <c r="J26" s="51">
        <f>'Necesidades Trimestrales'!H24</f>
        <v>10</v>
      </c>
      <c r="K26" s="52">
        <f>'Necesidades Trimestrales'!G24</f>
        <v>1500</v>
      </c>
    </row>
    <row r="27" spans="1:1024" ht="36" customHeight="1">
      <c r="A27" s="45">
        <v>16</v>
      </c>
      <c r="B27" s="46" t="str">
        <f>'Necesidades Trimestrales'!B25</f>
        <v>2.9.4-588.70</v>
      </c>
      <c r="C27" s="99" t="str">
        <f>'Necesidades Trimestrales'!E25</f>
        <v>VASOS PLASTICOS DESCARTABLES; MATERIAL: POLIESTIRENO, MOTIVO: LISO, CAPACIDAD: 240 CM3, PRESENTACION: ENVASE X 1000 UN, TIPO: APTO MICROONDAS</v>
      </c>
      <c r="D27" s="99"/>
      <c r="E27" s="99"/>
      <c r="F27" s="99"/>
      <c r="G27" s="99"/>
      <c r="H27" s="47" t="s">
        <v>74</v>
      </c>
      <c r="I27" s="50" t="str">
        <f>'Necesidades Trimestrales'!F25</f>
        <v>PAQUETE</v>
      </c>
      <c r="J27" s="51">
        <f>'Necesidades Trimestrales'!H25</f>
        <v>13000</v>
      </c>
      <c r="K27" s="52">
        <f>'Necesidades Trimestrales'!G25</f>
        <v>30</v>
      </c>
    </row>
    <row r="28" spans="1:1024" ht="48.6" customHeight="1">
      <c r="A28" s="45">
        <v>17</v>
      </c>
      <c r="B28" s="46" t="str">
        <f>'Necesidades Trimestrales'!B26</f>
        <v>2.9.5-1909.206</v>
      </c>
      <c r="C28" s="99" t="str">
        <f>'Necesidades Trimestrales'!E26</f>
        <v>GUANTES USO MEDICINAL; TIPO: DESCARTABLE, TAMAÑO: UNICO, MATERIAL: POLIETILENO, PRESENTACION: ENVASE X 100 UN, ESTERIL: SI, TALCO: NO, DESCARTABLE: SI</v>
      </c>
      <c r="D28" s="99"/>
      <c r="E28" s="99"/>
      <c r="F28" s="99"/>
      <c r="G28" s="99"/>
      <c r="H28" s="47" t="s">
        <v>74</v>
      </c>
      <c r="I28" s="50" t="str">
        <f>'Necesidades Trimestrales'!F26</f>
        <v>CAJA</v>
      </c>
      <c r="J28" s="51">
        <f>'Necesidades Trimestrales'!H26</f>
        <v>110</v>
      </c>
      <c r="K28" s="52">
        <f>'Necesidades Trimestrales'!G26</f>
        <v>10</v>
      </c>
    </row>
    <row r="29" spans="1:1024" ht="20.25" customHeight="1">
      <c r="A29" s="100" t="s">
        <v>125</v>
      </c>
      <c r="B29" s="100"/>
      <c r="C29" s="100"/>
      <c r="D29" s="100"/>
      <c r="E29" s="100"/>
      <c r="F29" s="100"/>
      <c r="G29" s="100"/>
      <c r="H29" s="100"/>
      <c r="I29" s="100"/>
      <c r="J29" s="95">
        <f>SUMPRODUCT(J12:J28,K12:K28)</f>
        <v>2284800</v>
      </c>
      <c r="K29" s="95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</sheetData>
  <mergeCells count="39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C12:G12"/>
    <mergeCell ref="C13:G13"/>
    <mergeCell ref="C14:G14"/>
    <mergeCell ref="C23:G23"/>
    <mergeCell ref="C24:G24"/>
    <mergeCell ref="C15:G15"/>
    <mergeCell ref="C16:G16"/>
    <mergeCell ref="C17:G17"/>
    <mergeCell ref="C18:G18"/>
    <mergeCell ref="C19:G19"/>
    <mergeCell ref="J29:K29"/>
    <mergeCell ref="A10:A11"/>
    <mergeCell ref="B10:B11"/>
    <mergeCell ref="H10:H11"/>
    <mergeCell ref="I10:I11"/>
    <mergeCell ref="J10:J11"/>
    <mergeCell ref="K10:K11"/>
    <mergeCell ref="C10:G11"/>
    <mergeCell ref="C25:G25"/>
    <mergeCell ref="C26:G26"/>
    <mergeCell ref="C27:G27"/>
    <mergeCell ref="C28:G28"/>
    <mergeCell ref="A29:I29"/>
    <mergeCell ref="C20:G20"/>
    <mergeCell ref="C21:G21"/>
    <mergeCell ref="C22:G22"/>
  </mergeCells>
  <printOptions horizontalCentered="1"/>
  <pageMargins left="0.196850393700787" right="0.196850393700787" top="0.98425196850393704" bottom="0.98425196850393704" header="0.511811023622047" footer="0.511811023622047"/>
  <pageSetup paperSize="5" scale="90" firstPageNumber="0" orientation="landscape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0" zoomScale="130" zoomScaleNormal="130" workbookViewId="0">
      <selection activeCell="S14" sqref="S14"/>
    </sheetView>
  </sheetViews>
  <sheetFormatPr baseColWidth="10" defaultColWidth="11" defaultRowHeight="12.75"/>
  <cols>
    <col min="1" max="4" width="4.42578125" customWidth="1"/>
    <col min="5" max="5" width="4.140625" customWidth="1"/>
    <col min="6" max="6" width="5.14062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customWidth="1"/>
  </cols>
  <sheetData>
    <row r="1" spans="1:17" ht="15.75" customHeight="1">
      <c r="A1" s="130" t="s">
        <v>5</v>
      </c>
      <c r="B1" s="130"/>
      <c r="C1" s="130"/>
      <c r="D1" s="131">
        <f>'Necesidades Trimestrales'!C6</f>
        <v>2022</v>
      </c>
      <c r="E1" s="131"/>
      <c r="F1" s="3"/>
      <c r="G1" s="3"/>
      <c r="H1" s="4"/>
      <c r="I1" s="4"/>
      <c r="J1" s="4"/>
      <c r="K1" s="4"/>
      <c r="L1" s="4"/>
      <c r="M1" s="4"/>
      <c r="N1" s="4"/>
      <c r="P1" s="133" t="s">
        <v>75</v>
      </c>
      <c r="Q1" s="133"/>
    </row>
    <row r="2" spans="1:17" ht="15.75" customHeight="1">
      <c r="H2" s="4"/>
      <c r="I2" s="4"/>
      <c r="J2" s="4"/>
      <c r="K2" s="4"/>
      <c r="L2" s="4"/>
      <c r="M2" s="4"/>
      <c r="N2" s="4"/>
      <c r="P2" s="133"/>
      <c r="Q2" s="133"/>
    </row>
    <row r="4" spans="1:17" s="1" customFormat="1" ht="18" customHeight="1">
      <c r="A4" s="132" t="s">
        <v>76</v>
      </c>
      <c r="B4" s="132"/>
      <c r="C4" s="132"/>
      <c r="D4" s="132"/>
      <c r="E4" s="132"/>
      <c r="F4" s="132"/>
      <c r="G4" s="128" t="str">
        <f>NotaPedido!D3</f>
        <v>40 - Ministerio de Salud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7" s="1" customFormat="1" ht="18" customHeight="1">
      <c r="A5" s="125" t="s">
        <v>60</v>
      </c>
      <c r="B5" s="126"/>
      <c r="C5" s="126"/>
      <c r="D5" s="126"/>
      <c r="E5" s="126"/>
      <c r="F5" s="127"/>
      <c r="G5" s="128" t="str">
        <f>NotaPedido!D4</f>
        <v>23 - Hospital Interzonal San Juan Bautista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7" s="1" customFormat="1" ht="18" customHeight="1">
      <c r="A6" s="125" t="s">
        <v>61</v>
      </c>
      <c r="B6" s="126"/>
      <c r="C6" s="126"/>
      <c r="D6" s="126"/>
      <c r="E6" s="126"/>
      <c r="F6" s="127"/>
      <c r="G6" s="128" t="str">
        <f>NotaPedido!D5</f>
        <v>168 - Direccion Asistencial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7" s="1" customFormat="1" ht="18" customHeight="1">
      <c r="A7" s="125" t="s">
        <v>63</v>
      </c>
      <c r="B7" s="126"/>
      <c r="C7" s="126"/>
      <c r="D7" s="126"/>
      <c r="E7" s="126"/>
      <c r="F7" s="127"/>
      <c r="G7" s="128" t="str">
        <f>NotaPedido!D6</f>
        <v>Servicio de Nutricion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17" ht="18" customHeight="1">
      <c r="A8" s="129" t="s">
        <v>77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>
      <c r="A9" s="118" t="s">
        <v>78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23"/>
      <c r="P9" s="23"/>
      <c r="Q9" s="33"/>
    </row>
    <row r="10" spans="1:17" ht="54.75" customHeight="1">
      <c r="A10" s="119" t="str">
        <f>"Autorizo la realización de los  trámites correspondientes, a fin de proveer a  este Organismo los bienes y/o servicios que se detallan en Nota de Pedido N° "&amp;NotaPedido!K1&amp;",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039 - 2022,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34"/>
    </row>
    <row r="12" spans="1:17" ht="15.75" customHeight="1">
      <c r="A12" s="120" t="s">
        <v>79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>
      <c r="A13" s="121" t="s">
        <v>80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4" t="s">
        <v>81</v>
      </c>
      <c r="P13" s="124"/>
      <c r="Q13" s="123" t="s">
        <v>82</v>
      </c>
    </row>
    <row r="14" spans="1:17" ht="15.75" customHeight="1">
      <c r="A14" s="8" t="s">
        <v>83</v>
      </c>
      <c r="B14" s="9" t="s">
        <v>84</v>
      </c>
      <c r="C14" s="9" t="s">
        <v>85</v>
      </c>
      <c r="D14" s="9" t="s">
        <v>86</v>
      </c>
      <c r="E14" s="9" t="s">
        <v>87</v>
      </c>
      <c r="F14" s="9" t="s">
        <v>88</v>
      </c>
      <c r="G14" s="10" t="s">
        <v>89</v>
      </c>
      <c r="H14" s="9" t="s">
        <v>90</v>
      </c>
      <c r="I14" s="9" t="s">
        <v>91</v>
      </c>
      <c r="J14" s="9" t="s">
        <v>92</v>
      </c>
      <c r="K14" s="9" t="s">
        <v>92</v>
      </c>
      <c r="L14" s="9" t="s">
        <v>93</v>
      </c>
      <c r="M14" s="24" t="s">
        <v>94</v>
      </c>
      <c r="N14" s="25" t="s">
        <v>95</v>
      </c>
      <c r="O14" s="124"/>
      <c r="P14" s="124"/>
      <c r="Q14" s="123"/>
    </row>
    <row r="15" spans="1:17" ht="17.25" customHeight="1">
      <c r="A15" s="11">
        <v>33</v>
      </c>
      <c r="B15" s="12"/>
      <c r="C15" s="12"/>
      <c r="D15" s="12">
        <v>2</v>
      </c>
      <c r="E15" s="12"/>
      <c r="F15" s="12">
        <v>4901</v>
      </c>
      <c r="G15" s="12">
        <v>3</v>
      </c>
      <c r="H15" s="13" t="s">
        <v>96</v>
      </c>
      <c r="I15" s="26">
        <v>2</v>
      </c>
      <c r="J15" s="26">
        <v>3</v>
      </c>
      <c r="K15" s="26">
        <v>4</v>
      </c>
      <c r="L15" s="12"/>
      <c r="M15" s="27">
        <v>1</v>
      </c>
      <c r="N15" s="13" t="s">
        <v>97</v>
      </c>
      <c r="O15" s="122" t="s">
        <v>98</v>
      </c>
      <c r="P15" s="122"/>
      <c r="Q15" s="35">
        <v>25000</v>
      </c>
    </row>
    <row r="16" spans="1:17" ht="17.25" customHeight="1">
      <c r="A16" s="14">
        <v>33</v>
      </c>
      <c r="B16" s="15"/>
      <c r="C16" s="15"/>
      <c r="D16" s="15">
        <v>2</v>
      </c>
      <c r="E16" s="15"/>
      <c r="F16" s="15">
        <v>4901</v>
      </c>
      <c r="G16" s="15">
        <v>3</v>
      </c>
      <c r="H16" s="16" t="s">
        <v>96</v>
      </c>
      <c r="I16" s="15">
        <v>2</v>
      </c>
      <c r="J16" s="15">
        <v>5</v>
      </c>
      <c r="K16" s="15">
        <v>8</v>
      </c>
      <c r="L16" s="15"/>
      <c r="M16" s="28">
        <v>1</v>
      </c>
      <c r="N16" s="29" t="s">
        <v>97</v>
      </c>
      <c r="O16" s="116" t="s">
        <v>99</v>
      </c>
      <c r="P16" s="116"/>
      <c r="Q16" s="36">
        <v>406700</v>
      </c>
    </row>
    <row r="17" spans="1:19" ht="17.25" customHeight="1">
      <c r="A17" s="14">
        <v>33</v>
      </c>
      <c r="B17" s="15"/>
      <c r="C17" s="15"/>
      <c r="D17" s="15">
        <v>2</v>
      </c>
      <c r="E17" s="15"/>
      <c r="F17" s="17">
        <v>4901</v>
      </c>
      <c r="G17" s="15">
        <v>3</v>
      </c>
      <c r="H17" s="16" t="s">
        <v>96</v>
      </c>
      <c r="I17" s="15">
        <v>2</v>
      </c>
      <c r="J17" s="15">
        <v>9</v>
      </c>
      <c r="K17" s="15">
        <v>4</v>
      </c>
      <c r="L17" s="15"/>
      <c r="M17" s="28">
        <v>1</v>
      </c>
      <c r="N17" s="29" t="s">
        <v>97</v>
      </c>
      <c r="O17" s="116" t="s">
        <v>100</v>
      </c>
      <c r="P17" s="116"/>
      <c r="Q17" s="36">
        <v>1852000</v>
      </c>
      <c r="S17" s="37"/>
    </row>
    <row r="18" spans="1:19" ht="17.25" customHeight="1">
      <c r="A18" s="14">
        <v>33</v>
      </c>
      <c r="B18" s="15"/>
      <c r="C18" s="15"/>
      <c r="D18" s="15">
        <v>2</v>
      </c>
      <c r="E18" s="15"/>
      <c r="F18" s="17">
        <v>4901</v>
      </c>
      <c r="G18" s="15">
        <v>3</v>
      </c>
      <c r="H18" s="16" t="s">
        <v>96</v>
      </c>
      <c r="I18" s="15">
        <v>2</v>
      </c>
      <c r="J18" s="15">
        <v>9</v>
      </c>
      <c r="K18" s="15">
        <v>5</v>
      </c>
      <c r="L18" s="15"/>
      <c r="M18" s="28">
        <v>1</v>
      </c>
      <c r="N18" s="29" t="s">
        <v>97</v>
      </c>
      <c r="O18" s="116" t="s">
        <v>101</v>
      </c>
      <c r="P18" s="116"/>
      <c r="Q18" s="36">
        <v>1100</v>
      </c>
    </row>
    <row r="19" spans="1:19" ht="17.25" customHeight="1">
      <c r="A19" s="14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28"/>
      <c r="N19" s="17"/>
      <c r="O19" s="117"/>
      <c r="P19" s="117"/>
      <c r="Q19" s="36"/>
    </row>
    <row r="20" spans="1:19" ht="17.25" customHeight="1">
      <c r="A20" s="14"/>
      <c r="B20" s="15"/>
      <c r="C20" s="15"/>
      <c r="D20" s="15"/>
      <c r="E20" s="15"/>
      <c r="F20" s="17"/>
      <c r="G20" s="15"/>
      <c r="H20" s="15"/>
      <c r="I20" s="15"/>
      <c r="J20" s="15"/>
      <c r="K20" s="15"/>
      <c r="L20" s="15"/>
      <c r="M20" s="28"/>
      <c r="N20" s="17"/>
      <c r="O20" s="117"/>
      <c r="P20" s="117"/>
      <c r="Q20" s="36"/>
    </row>
    <row r="21" spans="1:19" ht="17.25" customHeight="1">
      <c r="A21" s="18"/>
      <c r="B21" s="19"/>
      <c r="C21" s="19"/>
      <c r="D21" s="19"/>
      <c r="E21" s="19"/>
      <c r="F21" s="20"/>
      <c r="G21" s="19"/>
      <c r="H21" s="19"/>
      <c r="I21" s="19"/>
      <c r="J21" s="19"/>
      <c r="K21" s="19"/>
      <c r="L21" s="19"/>
      <c r="M21" s="30"/>
      <c r="N21" s="31"/>
      <c r="O21" s="108"/>
      <c r="P21" s="108"/>
      <c r="Q21" s="36"/>
      <c r="R21" s="23"/>
    </row>
    <row r="22" spans="1:19" ht="17.25" customHeight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32"/>
      <c r="N22" s="22"/>
      <c r="O22" s="109"/>
      <c r="P22" s="109"/>
      <c r="Q22" s="38"/>
    </row>
    <row r="23" spans="1:19" ht="28.9" customHeight="1">
      <c r="A23" s="110" t="s">
        <v>130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39">
        <f>SUM(Q15:Q22)</f>
        <v>2284800</v>
      </c>
    </row>
    <row r="24" spans="1:19" ht="18" customHeight="1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</row>
    <row r="25" spans="1:19" ht="17.25" customHeight="1">
      <c r="A25" s="112" t="s">
        <v>102</v>
      </c>
      <c r="B25" s="113"/>
      <c r="C25" s="113"/>
      <c r="D25" s="113"/>
      <c r="E25" s="113"/>
      <c r="F25" s="114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</row>
    <row r="26" spans="1:19" ht="18" customHeight="1">
      <c r="A26" s="107" t="str">
        <f>"Para la "&amp;NotaPedido!D8&amp;" para ser destinados al "&amp;NotaPedido!D6&amp;"  del HISJB del Ministerio de Salud."</f>
        <v>Para la Adquisición de Descartables para Nutrición para ser destinados al Servicio de Nutricion  del HISJB del Ministerio de Salud.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</row>
    <row r="27" spans="1:19" ht="15" customHeight="1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</row>
  </sheetData>
  <mergeCells count="31">
    <mergeCell ref="A1:C1"/>
    <mergeCell ref="D1:E1"/>
    <mergeCell ref="A4:F4"/>
    <mergeCell ref="G4:Q4"/>
    <mergeCell ref="A5:F5"/>
    <mergeCell ref="G5:Q5"/>
    <mergeCell ref="P1:Q2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5:P15"/>
    <mergeCell ref="Q13:Q14"/>
    <mergeCell ref="O13:P14"/>
    <mergeCell ref="O16:P16"/>
    <mergeCell ref="O17:P17"/>
    <mergeCell ref="O18:P18"/>
    <mergeCell ref="O19:P19"/>
    <mergeCell ref="O20:P20"/>
    <mergeCell ref="A26:Q27"/>
    <mergeCell ref="O21:P21"/>
    <mergeCell ref="O22:P22"/>
    <mergeCell ref="A23:P23"/>
    <mergeCell ref="A24:Q24"/>
    <mergeCell ref="A25:F25"/>
    <mergeCell ref="G25:Q25"/>
  </mergeCells>
  <printOptions horizontalCentered="1"/>
  <pageMargins left="0.26" right="0.23" top="0.98402777777777795" bottom="0.98402777777777795" header="0.51180555555555496" footer="0.51180555555555496"/>
  <pageSetup paperSize="9" scale="90" firstPageNumber="0" orientation="portrait" useFirstPageNumber="1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2021-08-26T15:12:00Z</cp:lastPrinted>
  <dcterms:created xsi:type="dcterms:W3CDTF">2020-07-17T23:44:00Z</dcterms:created>
  <dcterms:modified xsi:type="dcterms:W3CDTF">2022-04-04T11:29:40Z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8A86285752E5414CAA0A59F60631F7CE</vt:lpwstr>
  </property>
  <property fmtid="{D5CDD505-2E9C-101B-9397-08002B2CF9AE}" pid="9" name="KSOProductBuildVer">
    <vt:lpwstr>1033-11.2.0.10463</vt:lpwstr>
  </property>
</Properties>
</file>