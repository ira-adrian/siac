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-105" yWindow="-45" windowWidth="20640" windowHeight="1170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Trimestrales'!$A$9:$I$40</definedName>
    <definedName name="_xlnm.Print_Area" localSheetId="1">' NotaPedido'!$A$1:$K$43</definedName>
    <definedName name="_xlnm.Print_Area" localSheetId="2">'Autor Gastar'!$A$1:$Q$24</definedName>
    <definedName name="_xlnm.Print_Area" localSheetId="0">'Necesidades Trimestrales'!$E$9:$E$27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3"/>
  <c r="K42" i="2" l="1"/>
  <c r="J42"/>
  <c r="K41"/>
  <c r="J41"/>
  <c r="I42"/>
  <c r="I41"/>
  <c r="C42"/>
  <c r="C41"/>
  <c r="I40" i="1"/>
  <c r="I39"/>
  <c r="I38" l="1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D7" i="2"/>
  <c r="K30" l="1"/>
  <c r="K31"/>
  <c r="K32"/>
  <c r="K33"/>
  <c r="K34"/>
  <c r="K35"/>
  <c r="K36"/>
  <c r="K37"/>
  <c r="K38"/>
  <c r="K39"/>
  <c r="K40"/>
  <c r="J30"/>
  <c r="J31"/>
  <c r="J32"/>
  <c r="J33"/>
  <c r="J34"/>
  <c r="J35"/>
  <c r="J36"/>
  <c r="J37"/>
  <c r="J38"/>
  <c r="J39"/>
  <c r="J40"/>
  <c r="I30"/>
  <c r="I31"/>
  <c r="I32"/>
  <c r="I33"/>
  <c r="I34"/>
  <c r="I35"/>
  <c r="I36"/>
  <c r="I37"/>
  <c r="I38"/>
  <c r="I39"/>
  <c r="I40"/>
  <c r="C35"/>
  <c r="C36"/>
  <c r="C37"/>
  <c r="C38"/>
  <c r="C39"/>
  <c r="C40"/>
  <c r="C32"/>
  <c r="C33"/>
  <c r="C34"/>
  <c r="C30"/>
  <c r="C31"/>
  <c r="K13" l="1"/>
  <c r="K14"/>
  <c r="K15"/>
  <c r="K16"/>
  <c r="K17"/>
  <c r="K18"/>
  <c r="K19"/>
  <c r="K20"/>
  <c r="K21"/>
  <c r="K22"/>
  <c r="K23"/>
  <c r="K24"/>
  <c r="K25"/>
  <c r="K26"/>
  <c r="K27"/>
  <c r="K28"/>
  <c r="K29"/>
  <c r="J13"/>
  <c r="J14"/>
  <c r="J15"/>
  <c r="J16"/>
  <c r="J17"/>
  <c r="J18"/>
  <c r="J19"/>
  <c r="J20"/>
  <c r="J21"/>
  <c r="J22"/>
  <c r="J23"/>
  <c r="J24"/>
  <c r="J25"/>
  <c r="J26"/>
  <c r="J27"/>
  <c r="J28"/>
  <c r="J29"/>
  <c r="I13"/>
  <c r="I14"/>
  <c r="I15"/>
  <c r="I16"/>
  <c r="I17"/>
  <c r="I18"/>
  <c r="I19"/>
  <c r="I20"/>
  <c r="I21"/>
  <c r="I22"/>
  <c r="I23"/>
  <c r="I24"/>
  <c r="I25"/>
  <c r="I26"/>
  <c r="I27"/>
  <c r="I28"/>
  <c r="I29"/>
  <c r="C13"/>
  <c r="C14"/>
  <c r="C15"/>
  <c r="C16"/>
  <c r="C17"/>
  <c r="C18"/>
  <c r="C19"/>
  <c r="C20"/>
  <c r="C21"/>
  <c r="C22"/>
  <c r="C23"/>
  <c r="C24"/>
  <c r="C25"/>
  <c r="C26"/>
  <c r="C27"/>
  <c r="C28"/>
  <c r="C29"/>
  <c r="K12"/>
  <c r="J12"/>
  <c r="I12"/>
  <c r="C12"/>
  <c r="J43" l="1"/>
  <c r="A10" i="3"/>
  <c r="G6" l="1"/>
  <c r="D3" i="2"/>
  <c r="G4" i="3" s="1"/>
  <c r="D4" i="2"/>
  <c r="G5" i="3" s="1"/>
  <c r="D1" l="1"/>
</calcChain>
</file>

<file path=xl/sharedStrings.xml><?xml version="1.0" encoding="utf-8"?>
<sst xmlns="http://schemas.openxmlformats.org/spreadsheetml/2006/main" count="202" uniqueCount="106">
  <si>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</si>
  <si>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</si>
  <si>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</si>
  <si>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</si>
  <si>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</si>
  <si>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</si>
  <si>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</si>
  <si>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</si>
  <si>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</si>
  <si>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</si>
  <si>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</si>
  <si>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</si>
  <si>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</si>
  <si>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</si>
  <si>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</si>
  <si>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</si>
  <si>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</si>
  <si>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</si>
  <si>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</si>
  <si>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</si>
  <si>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</si>
  <si>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</si>
  <si>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</si>
  <si>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</si>
  <si>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</si>
  <si>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</si>
  <si>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</si>
  <si>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</si>
  <si>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</si>
  <si>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</si>
  <si>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</si>
  <si>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</si>
  <si>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</si>
  <si>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</si>
  <si>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</si>
  <si>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</si>
  <si>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</si>
  <si>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</si>
  <si>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</si>
  <si>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</si>
  <si>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</si>
  <si>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</si>
  <si>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</si>
  <si>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</si>
  <si>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</si>
  <si>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</si>
  <si>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</si>
  <si>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</si>
  <si>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</si>
  <si>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</si>
  <si>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</si>
  <si>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</si>
  <si>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</si>
  <si>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</si>
  <si>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</si>
  <si>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UNIDAD</t>
  </si>
  <si>
    <t>Plazos y lugares de entrega</t>
  </si>
  <si>
    <r>
      <t>Mantenimiento</t>
    </r>
    <r>
      <rPr>
        <sz val="10"/>
        <rFont val="Times New Roman"/>
        <family val="1"/>
      </rPr>
      <t xml:space="preserve">: 45 dias habiles </t>
    </r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</si>
  <si>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</si>
  <si>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</si>
  <si>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t>QUIMICOS</t>
  </si>
  <si>
    <t>Servicio de Laboratorio</t>
  </si>
  <si>
    <t>COMPUESTOS QUIMICOS</t>
  </si>
  <si>
    <t>PAQUETE</t>
  </si>
  <si>
    <t>FRASCOS BACT/ALERT PF FAN PEDIATRICOS- TIPO BIOMERIEUX</t>
  </si>
  <si>
    <t>FRASCO</t>
  </si>
  <si>
    <t>MONOTEST</t>
  </si>
  <si>
    <t>TUBOS TAPA LILA X 1ML C/EDTA</t>
  </si>
  <si>
    <t>TUBOS TAPA CELESTE X 1ML</t>
  </si>
  <si>
    <t>CRHOMAGAR ORIENTACION P/5000 ML</t>
  </si>
  <si>
    <t>SUPLEMENTO CRHOMAGAR KPC P/5000ML</t>
  </si>
  <si>
    <t>ANCA KITS (IFI)-  ALTERNATIVA</t>
  </si>
  <si>
    <t>CHROM ID O157 H7 REF 42605 X 6 X 200 ML - BIOMERIEUX</t>
  </si>
  <si>
    <t>CHROM SUPLEMENTO O 157 H7 X 6U - BIOMERIEUX</t>
  </si>
  <si>
    <t>CONTROL POSITIVO ANA PATRÓN CENTROMERICO- ALTERNATIVA</t>
  </si>
  <si>
    <t>CONTROL POSITIVO ANA PATRÓN HOMOGÉNEO- ALTERNATIVA</t>
  </si>
  <si>
    <t>CONTROL POSITIVO ANA PATRÓN NUCLEOLAR- ALTERNATIVA</t>
  </si>
  <si>
    <t>CONTROL POSITIVO ANTICUERPOS AMA ( ANTI MITOCONDRIAL )ALTERNATIVA</t>
  </si>
  <si>
    <t>CONTROL POSITIVO ANTICUERPOS LKM ( ANTI MICROSOMAL )ALTERNATIVA</t>
  </si>
  <si>
    <t>CONTROL POSITIVO DNA- (X0.5ML)  ALTERNATIVA</t>
  </si>
  <si>
    <t>CONTROL POSITIVO ENDOMISIO IG G -ALTERNATIVA</t>
  </si>
  <si>
    <t>CONTROL POSITIVO IG G- MYCOPLASMA PNEUMONIAE- ALTERNATIVA</t>
  </si>
  <si>
    <t>CONTROL POSITIVO IG M- MYCOPLASMA PNEUMONIAE- ALTERNATIVA</t>
  </si>
  <si>
    <t xml:space="preserve">CONTROL POSITIVO SÍFILIS-  ALTERNATIVA </t>
  </si>
  <si>
    <t>CONTROL POSITIVO TOXOPLASMOSIS IG M</t>
  </si>
  <si>
    <t>CRHOMAGAR MSRA POWDER C/SUPLEMENTO P/5000 ML</t>
  </si>
  <si>
    <t>ENA KIT SCREENING (ELISA)–   ALTERNATIVA</t>
  </si>
  <si>
    <t xml:space="preserve">GLUCOSA - BIOSYSTEM X 1000 ML </t>
  </si>
  <si>
    <t>IMPRONTAS MYCOPLASMA PNEUMONIAE ( X 12 POCILLOS)–  ALTERNATIVA</t>
  </si>
  <si>
    <t>IMPRONTAS TOXOPLASMOSIS (IFI)(X12 POCILLOS) -   ALTERNATIVA</t>
  </si>
  <si>
    <t>KIT ERITROSEDIMENTACION X 100 C/PIPETA+TUBO</t>
  </si>
  <si>
    <t>ROTAVIRUS ELISA X 96 DET. –ALTERNATIVA</t>
  </si>
  <si>
    <t>SORBENT PARA FTA-ABS SÍFILIS- ALTERNATIVA</t>
  </si>
  <si>
    <t>024 - Hospital Interzonal de Niños Eva Perón</t>
  </si>
  <si>
    <t>ANTICUERPOS ANTITRANSGLUTAMINASA TIPO ORGESTRIOL</t>
  </si>
  <si>
    <t>AMPOULE ADAPTER X 150 UNID. P/COBAS B221</t>
  </si>
  <si>
    <t>PAPEL P/CONTADOR MINDRAY BC3000 PLUS X6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</si>
  <si>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20 días corridos de notificada la Orden de Compra. </t>
    </r>
  </si>
  <si>
    <t>UTILES MENORES MEDICO, QUIRURGICO Y DE LABORATORIO</t>
  </si>
  <si>
    <r>
      <rPr>
        <b/>
        <u/>
        <sz val="11"/>
        <rFont val="Arial"/>
        <family val="2"/>
      </rPr>
      <t>TOTAL DE PESOS:</t>
    </r>
    <r>
      <rPr>
        <b/>
        <sz val="11"/>
        <rFont val="Arial"/>
        <family val="2"/>
      </rPr>
      <t xml:space="preserve"> NOVECIENTOS TREINTA Y NUEVE MIL NOVECIENTOS TREINTA CON 00/100.-</t>
    </r>
  </si>
  <si>
    <t>Adquisición de Reactivos Y Descartables de Laboratorio desiertos</t>
  </si>
  <si>
    <r>
      <rPr>
        <b/>
        <u/>
        <sz val="12"/>
        <rFont val="Times New Roman"/>
        <family val="1"/>
      </rPr>
      <t>Costo total estimado:</t>
    </r>
    <r>
      <rPr>
        <b/>
        <sz val="12"/>
        <rFont val="Times New Roman"/>
        <family val="1"/>
        <charset val="1"/>
      </rPr>
      <t xml:space="preserve"> Novecientos treinta y nueve mil novecientos treinta CON 00/100.</t>
    </r>
  </si>
  <si>
    <t>111/2021</t>
  </si>
  <si>
    <t>Para la adquisición de Adquisición de Reactivos Y Descartables de Laboratorio desiertos destinados al Servicio de Laboratorio del Hospital Interzonal de Niños Eva Perón, para el normal funcionamiento del organismo.</t>
  </si>
  <si>
    <t>Productos de Papel y Cartón</t>
  </si>
  <si>
    <t>3° TRIMESTRE</t>
  </si>
</sst>
</file>

<file path=xl/styles.xml><?xml version="1.0" encoding="utf-8"?>
<styleSheet xmlns="http://schemas.openxmlformats.org/spreadsheetml/2006/main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11"/>
      <name val="Arial"/>
      <family val="2"/>
      <charset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thin">
        <color rgb="FF3D3D3D"/>
      </top>
      <bottom style="thin">
        <color rgb="FF3D3D3D"/>
      </bottom>
      <diagonal/>
    </border>
  </borders>
  <cellStyleXfs count="9">
    <xf numFmtId="0" fontId="0" fillId="0" borderId="0"/>
    <xf numFmtId="166" fontId="16" fillId="0" borderId="0" applyBorder="0" applyProtection="0"/>
    <xf numFmtId="0" fontId="3" fillId="0" borderId="1" applyProtection="0"/>
    <xf numFmtId="165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  <xf numFmtId="0" fontId="16" fillId="0" borderId="0"/>
  </cellStyleXfs>
  <cellXfs count="16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4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7" fillId="3" borderId="1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2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168" fontId="17" fillId="0" borderId="0" xfId="0" applyNumberFormat="1" applyFont="1"/>
    <xf numFmtId="170" fontId="22" fillId="0" borderId="0" xfId="0" applyNumberFormat="1" applyFont="1"/>
    <xf numFmtId="170" fontId="23" fillId="0" borderId="0" xfId="0" applyNumberFormat="1" applyFont="1" applyAlignment="1">
      <alignment horizontal="left" wrapText="1"/>
    </xf>
    <xf numFmtId="168" fontId="4" fillId="3" borderId="0" xfId="0" applyNumberFormat="1" applyFont="1" applyFill="1" applyBorder="1" applyAlignment="1">
      <alignment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70" fontId="26" fillId="0" borderId="14" xfId="0" applyNumberFormat="1" applyFont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wrapText="1"/>
    </xf>
    <xf numFmtId="0" fontId="27" fillId="3" borderId="14" xfId="0" applyFont="1" applyFill="1" applyBorder="1" applyAlignment="1">
      <alignment horizontal="center" vertical="center"/>
    </xf>
    <xf numFmtId="3" fontId="27" fillId="0" borderId="14" xfId="0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wrapText="1"/>
    </xf>
    <xf numFmtId="0" fontId="25" fillId="4" borderId="0" xfId="0" applyFont="1" applyFill="1" applyAlignment="1">
      <alignment horizontal="left" indent="1"/>
    </xf>
    <xf numFmtId="0" fontId="16" fillId="0" borderId="4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3" fontId="6" fillId="3" borderId="14" xfId="0" applyNumberFormat="1" applyFont="1" applyFill="1" applyBorder="1" applyAlignment="1">
      <alignment horizontal="center" vertical="center"/>
    </xf>
    <xf numFmtId="164" fontId="6" fillId="3" borderId="14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164" fontId="27" fillId="0" borderId="14" xfId="1" applyNumberFormat="1" applyFont="1" applyFill="1" applyBorder="1" applyAlignment="1">
      <alignment horizontal="center"/>
    </xf>
    <xf numFmtId="164" fontId="27" fillId="0" borderId="14" xfId="1" applyNumberFormat="1" applyFont="1" applyFill="1" applyBorder="1" applyAlignment="1" applyProtection="1">
      <alignment horizontal="right" vertical="center" wrapText="1"/>
    </xf>
    <xf numFmtId="0" fontId="27" fillId="0" borderId="14" xfId="5" applyFont="1" applyFill="1" applyBorder="1" applyAlignment="1">
      <alignment wrapText="1"/>
    </xf>
    <xf numFmtId="0" fontId="27" fillId="0" borderId="14" xfId="5" applyFont="1" applyFill="1" applyBorder="1" applyAlignment="1">
      <alignment horizontal="center" vertical="center"/>
    </xf>
    <xf numFmtId="3" fontId="27" fillId="0" borderId="14" xfId="5" applyNumberFormat="1" applyFont="1" applyFill="1" applyBorder="1" applyAlignment="1">
      <alignment horizontal="center" vertical="center"/>
    </xf>
    <xf numFmtId="164" fontId="27" fillId="0" borderId="14" xfId="1" applyNumberFormat="1" applyFont="1" applyFill="1" applyBorder="1" applyAlignment="1">
      <alignment horizontal="right" vertical="center" indent="2"/>
    </xf>
    <xf numFmtId="3" fontId="27" fillId="0" borderId="14" xfId="1" applyNumberFormat="1" applyFont="1" applyFill="1" applyBorder="1" applyAlignment="1">
      <alignment horizontal="center" vertical="center"/>
    </xf>
    <xf numFmtId="164" fontId="27" fillId="0" borderId="14" xfId="1" applyNumberFormat="1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left" wrapText="1"/>
    </xf>
    <xf numFmtId="164" fontId="27" fillId="0" borderId="14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vertical="center"/>
    </xf>
    <xf numFmtId="0" fontId="17" fillId="0" borderId="0" xfId="0" applyFont="1" applyFill="1"/>
    <xf numFmtId="0" fontId="17" fillId="0" borderId="0" xfId="0" applyFont="1" applyFill="1" applyAlignment="1">
      <alignment horizontal="center" vertical="center"/>
    </xf>
    <xf numFmtId="170" fontId="22" fillId="0" borderId="0" xfId="0" applyNumberFormat="1" applyFont="1" applyFill="1"/>
    <xf numFmtId="167" fontId="17" fillId="0" borderId="0" xfId="0" applyNumberFormat="1" applyFont="1" applyFill="1"/>
    <xf numFmtId="0" fontId="24" fillId="0" borderId="2" xfId="0" applyFont="1" applyFill="1" applyBorder="1" applyAlignment="1">
      <alignment horizontal="left" indent="3"/>
    </xf>
    <xf numFmtId="0" fontId="17" fillId="0" borderId="3" xfId="0" applyFont="1" applyFill="1" applyBorder="1"/>
    <xf numFmtId="0" fontId="17" fillId="0" borderId="4" xfId="0" applyFont="1" applyFill="1" applyBorder="1"/>
    <xf numFmtId="170" fontId="22" fillId="0" borderId="0" xfId="0" applyNumberFormat="1" applyFont="1" applyFill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4" fillId="0" borderId="7" xfId="0" applyFont="1" applyFill="1" applyBorder="1" applyAlignment="1"/>
    <xf numFmtId="0" fontId="17" fillId="0" borderId="9" xfId="0" applyFont="1" applyFill="1" applyBorder="1" applyAlignment="1">
      <alignment horizontal="center" wrapText="1"/>
    </xf>
    <xf numFmtId="0" fontId="27" fillId="3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wrapText="1"/>
    </xf>
    <xf numFmtId="3" fontId="27" fillId="0" borderId="0" xfId="0" applyNumberFormat="1" applyFont="1" applyFill="1" applyBorder="1" applyAlignment="1">
      <alignment horizontal="center" vertical="center"/>
    </xf>
    <xf numFmtId="164" fontId="27" fillId="0" borderId="0" xfId="0" applyNumberFormat="1" applyFont="1" applyFill="1" applyBorder="1" applyAlignment="1">
      <alignment horizontal="center" vertical="center"/>
    </xf>
    <xf numFmtId="164" fontId="27" fillId="0" borderId="0" xfId="1" applyNumberFormat="1" applyFont="1" applyFill="1" applyBorder="1" applyAlignment="1" applyProtection="1">
      <alignment horizontal="right" vertical="center" wrapText="1"/>
    </xf>
    <xf numFmtId="0" fontId="8" fillId="0" borderId="11" xfId="0" applyFont="1" applyFill="1" applyBorder="1" applyAlignment="1">
      <alignment horizontal="center" vertical="center"/>
    </xf>
    <xf numFmtId="44" fontId="0" fillId="0" borderId="45" xfId="3" applyNumberFormat="1" applyFont="1" applyBorder="1" applyAlignment="1" applyProtection="1">
      <alignment horizontal="center" vertical="center"/>
    </xf>
    <xf numFmtId="44" fontId="0" fillId="0" borderId="46" xfId="3" applyNumberFormat="1" applyFont="1" applyBorder="1" applyAlignment="1" applyProtection="1">
      <alignment horizontal="center" vertical="center"/>
    </xf>
    <xf numFmtId="44" fontId="0" fillId="0" borderId="47" xfId="3" applyNumberFormat="1" applyFont="1" applyBorder="1" applyAlignment="1" applyProtection="1">
      <alignment horizontal="center" vertical="center"/>
    </xf>
    <xf numFmtId="44" fontId="15" fillId="0" borderId="29" xfId="0" applyNumberFormat="1" applyFont="1" applyBorder="1" applyAlignment="1">
      <alignment horizontal="center" vertical="center"/>
    </xf>
    <xf numFmtId="0" fontId="17" fillId="0" borderId="5" xfId="5" applyFont="1" applyFill="1" applyBorder="1" applyAlignment="1">
      <alignment horizontal="left" wrapText="1"/>
    </xf>
    <xf numFmtId="0" fontId="17" fillId="0" borderId="0" xfId="5" applyFont="1" applyFill="1" applyBorder="1" applyAlignment="1">
      <alignment horizontal="left" wrapText="1"/>
    </xf>
    <xf numFmtId="0" fontId="17" fillId="0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30" fillId="3" borderId="14" xfId="0" applyFont="1" applyFill="1" applyBorder="1" applyAlignment="1">
      <alignment horizontal="left" vertical="center" wrapText="1" indent="1"/>
    </xf>
    <xf numFmtId="0" fontId="8" fillId="3" borderId="14" xfId="0" applyFont="1" applyFill="1" applyBorder="1" applyAlignment="1">
      <alignment horizontal="left" vertical="center" wrapText="1" indent="1"/>
    </xf>
    <xf numFmtId="168" fontId="30" fillId="3" borderId="14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13" fillId="4" borderId="57" xfId="0" applyFont="1" applyFill="1" applyBorder="1" applyAlignment="1">
      <alignment horizontal="left" vertical="center" wrapText="1" indent="1"/>
    </xf>
    <xf numFmtId="0" fontId="13" fillId="4" borderId="29" xfId="0" applyFont="1" applyFill="1" applyBorder="1" applyAlignment="1">
      <alignment horizontal="left" vertical="center" wrapText="1" indent="1"/>
    </xf>
    <xf numFmtId="0" fontId="13" fillId="4" borderId="58" xfId="0" applyFont="1" applyFill="1" applyBorder="1" applyAlignment="1">
      <alignment horizontal="left" vertical="center" wrapText="1" indent="1"/>
    </xf>
    <xf numFmtId="0" fontId="13" fillId="4" borderId="59" xfId="0" applyFont="1" applyFill="1" applyBorder="1" applyAlignment="1">
      <alignment horizontal="left" vertical="center" wrapText="1" indent="1"/>
    </xf>
    <xf numFmtId="0" fontId="13" fillId="4" borderId="39" xfId="0" applyFont="1" applyFill="1" applyBorder="1" applyAlignment="1">
      <alignment horizontal="left" vertical="center" wrapText="1" indent="1"/>
    </xf>
    <xf numFmtId="0" fontId="13" fillId="4" borderId="60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32" fillId="0" borderId="29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0" fillId="0" borderId="21" xfId="0" applyBorder="1"/>
    <xf numFmtId="0" fontId="27" fillId="0" borderId="48" xfId="0" applyFont="1" applyFill="1" applyBorder="1" applyAlignment="1">
      <alignment horizontal="left" vertical="center" wrapText="1"/>
    </xf>
    <xf numFmtId="0" fontId="27" fillId="0" borderId="49" xfId="0" applyFont="1" applyFill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33" fillId="0" borderId="2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22" xfId="0" applyFont="1" applyBorder="1"/>
    <xf numFmtId="0" fontId="13" fillId="0" borderId="23" xfId="0" applyFont="1" applyBorder="1" applyAlignment="1">
      <alignment horizontal="left" vertical="center" wrapText="1" indent="1"/>
    </xf>
    <xf numFmtId="0" fontId="15" fillId="0" borderId="2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indent="1"/>
    </xf>
    <xf numFmtId="0" fontId="14" fillId="0" borderId="11" xfId="0" applyFont="1" applyBorder="1" applyAlignment="1">
      <alignment horizontal="left"/>
    </xf>
    <xf numFmtId="0" fontId="13" fillId="0" borderId="11" xfId="0" applyFont="1" applyBorder="1" applyAlignment="1">
      <alignment horizontal="left" vertical="center" indent="1"/>
    </xf>
    <xf numFmtId="0" fontId="0" fillId="0" borderId="19" xfId="0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2" xfId="8"/>
    <cellStyle name="Normal 2 3" xfId="5"/>
    <cellStyle name="Normal 3" xfId="7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76"/>
  <sheetViews>
    <sheetView tabSelected="1" topLeftCell="A15" zoomScale="93" zoomScaleNormal="93" workbookViewId="0">
      <selection activeCell="E13" sqref="E13"/>
    </sheetView>
  </sheetViews>
  <sheetFormatPr baseColWidth="10" defaultColWidth="11" defaultRowHeight="12.75"/>
  <cols>
    <col min="1" max="1" width="6.42578125" style="16" customWidth="1"/>
    <col min="2" max="2" width="11.5703125" style="16" customWidth="1"/>
    <col min="3" max="3" width="13.5703125" style="16" customWidth="1"/>
    <col min="4" max="4" width="8.42578125" style="16" customWidth="1"/>
    <col min="5" max="5" width="80.42578125" style="16" customWidth="1"/>
    <col min="6" max="6" width="12.5703125" style="60" customWidth="1"/>
    <col min="7" max="7" width="12.140625" style="60" customWidth="1"/>
    <col min="8" max="8" width="15.28515625" style="29" customWidth="1"/>
    <col min="9" max="9" width="18.5703125" style="16" customWidth="1"/>
    <col min="10" max="16384" width="11" style="16"/>
  </cols>
  <sheetData>
    <row r="2" spans="1:10" ht="27">
      <c r="B2" s="105" t="s">
        <v>0</v>
      </c>
      <c r="C2" s="105"/>
      <c r="D2" s="105"/>
      <c r="E2" s="105"/>
      <c r="F2" s="105"/>
      <c r="G2" s="105"/>
      <c r="H2" s="105"/>
    </row>
    <row r="3" spans="1:10" ht="12" customHeight="1"/>
    <row r="4" spans="1:10" ht="18" customHeight="1">
      <c r="A4" s="104" t="s">
        <v>1</v>
      </c>
      <c r="B4" s="104"/>
      <c r="C4" s="106" t="s">
        <v>51</v>
      </c>
      <c r="D4" s="106"/>
      <c r="E4" s="106"/>
      <c r="F4" s="61"/>
      <c r="G4" s="61"/>
      <c r="H4" s="30"/>
    </row>
    <row r="5" spans="1:10" ht="18" customHeight="1">
      <c r="A5" s="104" t="s">
        <v>2</v>
      </c>
      <c r="B5" s="104"/>
      <c r="C5" s="106" t="s">
        <v>93</v>
      </c>
      <c r="D5" s="106"/>
      <c r="E5" s="106"/>
      <c r="F5" s="61"/>
      <c r="G5" s="61" t="s">
        <v>54</v>
      </c>
      <c r="H5" s="30"/>
    </row>
    <row r="6" spans="1:10" ht="16.5" customHeight="1">
      <c r="A6" s="104" t="s">
        <v>3</v>
      </c>
      <c r="B6" s="104"/>
      <c r="C6" s="26">
        <v>2021</v>
      </c>
      <c r="D6" s="27"/>
      <c r="E6" s="27"/>
      <c r="F6" s="61"/>
      <c r="G6" s="61"/>
      <c r="H6" s="30"/>
    </row>
    <row r="7" spans="1:10" ht="16.5" customHeight="1">
      <c r="A7" s="104" t="s">
        <v>4</v>
      </c>
      <c r="B7" s="104"/>
      <c r="C7" s="43" t="s">
        <v>105</v>
      </c>
      <c r="D7" s="27"/>
      <c r="E7" s="27"/>
      <c r="F7" s="61"/>
      <c r="G7" s="61"/>
      <c r="H7" s="30"/>
    </row>
    <row r="8" spans="1:10" ht="13.5" thickBot="1">
      <c r="B8" s="17"/>
      <c r="C8" s="18"/>
      <c r="D8" s="17"/>
      <c r="E8" s="17"/>
      <c r="F8" s="61"/>
      <c r="G8" s="61"/>
      <c r="H8" s="30"/>
      <c r="J8" s="28"/>
    </row>
    <row r="9" spans="1:10" ht="38.1" customHeight="1" thickBot="1">
      <c r="A9" s="37" t="s">
        <v>5</v>
      </c>
      <c r="B9" s="37" t="s">
        <v>6</v>
      </c>
      <c r="C9" s="37" t="s">
        <v>7</v>
      </c>
      <c r="D9" s="37" t="s">
        <v>8</v>
      </c>
      <c r="E9" s="37" t="s">
        <v>9</v>
      </c>
      <c r="F9" s="37" t="s">
        <v>10</v>
      </c>
      <c r="G9" s="37" t="s">
        <v>11</v>
      </c>
      <c r="H9" s="38" t="s">
        <v>12</v>
      </c>
      <c r="I9" s="37" t="s">
        <v>13</v>
      </c>
    </row>
    <row r="10" spans="1:10" ht="13.5" thickBot="1">
      <c r="A10" s="40">
        <v>1</v>
      </c>
      <c r="B10" s="62">
        <v>0</v>
      </c>
      <c r="C10" s="63" t="s">
        <v>60</v>
      </c>
      <c r="D10" s="64">
        <v>295</v>
      </c>
      <c r="E10" s="42" t="s">
        <v>95</v>
      </c>
      <c r="F10" s="62" t="s">
        <v>58</v>
      </c>
      <c r="G10" s="41">
        <v>2</v>
      </c>
      <c r="H10" s="65">
        <v>4780</v>
      </c>
      <c r="I10" s="66">
        <f>G10*H10</f>
        <v>9560</v>
      </c>
    </row>
    <row r="11" spans="1:10" ht="13.5" thickBot="1">
      <c r="A11" s="40">
        <v>2</v>
      </c>
      <c r="B11" s="62">
        <v>0</v>
      </c>
      <c r="C11" s="63" t="s">
        <v>60</v>
      </c>
      <c r="D11" s="64">
        <v>251</v>
      </c>
      <c r="E11" s="42" t="s">
        <v>71</v>
      </c>
      <c r="F11" s="62" t="s">
        <v>58</v>
      </c>
      <c r="G11" s="41">
        <v>1</v>
      </c>
      <c r="H11" s="65">
        <v>30000</v>
      </c>
      <c r="I11" s="66">
        <f t="shared" ref="I11:I27" si="0">G11*H11</f>
        <v>30000</v>
      </c>
    </row>
    <row r="12" spans="1:10" ht="13.5" thickBot="1">
      <c r="A12" s="40">
        <v>3</v>
      </c>
      <c r="B12" s="62">
        <v>0</v>
      </c>
      <c r="C12" s="63" t="s">
        <v>60</v>
      </c>
      <c r="D12" s="64">
        <v>251</v>
      </c>
      <c r="E12" s="42" t="s">
        <v>94</v>
      </c>
      <c r="F12" s="62" t="s">
        <v>58</v>
      </c>
      <c r="G12" s="41">
        <v>2</v>
      </c>
      <c r="H12" s="65">
        <v>35754</v>
      </c>
      <c r="I12" s="66">
        <f t="shared" si="0"/>
        <v>71508</v>
      </c>
    </row>
    <row r="13" spans="1:10" ht="13.5" thickBot="1">
      <c r="A13" s="40">
        <v>4</v>
      </c>
      <c r="B13" s="62">
        <v>0</v>
      </c>
      <c r="C13" s="63" t="s">
        <v>60</v>
      </c>
      <c r="D13" s="64">
        <v>251</v>
      </c>
      <c r="E13" s="42" t="s">
        <v>72</v>
      </c>
      <c r="F13" s="62" t="s">
        <v>58</v>
      </c>
      <c r="G13" s="41">
        <v>3</v>
      </c>
      <c r="H13" s="65">
        <v>11672</v>
      </c>
      <c r="I13" s="66">
        <f t="shared" si="0"/>
        <v>35016</v>
      </c>
    </row>
    <row r="14" spans="1:10" ht="13.5" thickBot="1">
      <c r="A14" s="40">
        <v>5</v>
      </c>
      <c r="B14" s="62">
        <v>0</v>
      </c>
      <c r="C14" s="63" t="s">
        <v>60</v>
      </c>
      <c r="D14" s="64">
        <v>251</v>
      </c>
      <c r="E14" s="42" t="s">
        <v>73</v>
      </c>
      <c r="F14" s="62" t="s">
        <v>58</v>
      </c>
      <c r="G14" s="41">
        <v>3</v>
      </c>
      <c r="H14" s="65">
        <v>1800</v>
      </c>
      <c r="I14" s="66">
        <f t="shared" si="0"/>
        <v>5400</v>
      </c>
    </row>
    <row r="15" spans="1:10" ht="13.5" thickBot="1">
      <c r="A15" s="40">
        <v>6</v>
      </c>
      <c r="B15" s="62">
        <v>0</v>
      </c>
      <c r="C15" s="63" t="s">
        <v>60</v>
      </c>
      <c r="D15" s="64">
        <v>251</v>
      </c>
      <c r="E15" s="67" t="s">
        <v>74</v>
      </c>
      <c r="F15" s="68" t="s">
        <v>65</v>
      </c>
      <c r="G15" s="69">
        <v>1</v>
      </c>
      <c r="H15" s="70">
        <v>8000</v>
      </c>
      <c r="I15" s="66">
        <f t="shared" si="0"/>
        <v>8000</v>
      </c>
    </row>
    <row r="16" spans="1:10" ht="13.5" thickBot="1">
      <c r="A16" s="40">
        <v>7</v>
      </c>
      <c r="B16" s="62">
        <v>0</v>
      </c>
      <c r="C16" s="63" t="s">
        <v>60</v>
      </c>
      <c r="D16" s="64">
        <v>251</v>
      </c>
      <c r="E16" s="67" t="s">
        <v>75</v>
      </c>
      <c r="F16" s="68" t="s">
        <v>65</v>
      </c>
      <c r="G16" s="69">
        <v>1</v>
      </c>
      <c r="H16" s="70">
        <v>8000</v>
      </c>
      <c r="I16" s="66">
        <f t="shared" si="0"/>
        <v>8000</v>
      </c>
    </row>
    <row r="17" spans="1:9" ht="13.5" thickBot="1">
      <c r="A17" s="40">
        <v>8</v>
      </c>
      <c r="B17" s="62">
        <v>0</v>
      </c>
      <c r="C17" s="63" t="s">
        <v>60</v>
      </c>
      <c r="D17" s="64">
        <v>251</v>
      </c>
      <c r="E17" s="67" t="s">
        <v>76</v>
      </c>
      <c r="F17" s="68" t="s">
        <v>65</v>
      </c>
      <c r="G17" s="69">
        <v>1</v>
      </c>
      <c r="H17" s="70">
        <v>8000</v>
      </c>
      <c r="I17" s="66">
        <f t="shared" si="0"/>
        <v>8000</v>
      </c>
    </row>
    <row r="18" spans="1:9" ht="13.5" thickBot="1">
      <c r="A18" s="40">
        <v>9</v>
      </c>
      <c r="B18" s="62">
        <v>0</v>
      </c>
      <c r="C18" s="63" t="s">
        <v>60</v>
      </c>
      <c r="D18" s="64">
        <v>251</v>
      </c>
      <c r="E18" s="67" t="s">
        <v>77</v>
      </c>
      <c r="F18" s="68" t="s">
        <v>65</v>
      </c>
      <c r="G18" s="69">
        <v>1</v>
      </c>
      <c r="H18" s="70">
        <v>8500</v>
      </c>
      <c r="I18" s="66">
        <f t="shared" si="0"/>
        <v>8500</v>
      </c>
    </row>
    <row r="19" spans="1:9" ht="13.5" thickBot="1">
      <c r="A19" s="40">
        <v>10</v>
      </c>
      <c r="B19" s="62">
        <v>0</v>
      </c>
      <c r="C19" s="63" t="s">
        <v>60</v>
      </c>
      <c r="D19" s="64">
        <v>251</v>
      </c>
      <c r="E19" s="67" t="s">
        <v>78</v>
      </c>
      <c r="F19" s="68" t="s">
        <v>65</v>
      </c>
      <c r="G19" s="69">
        <v>1</v>
      </c>
      <c r="H19" s="70">
        <v>8500</v>
      </c>
      <c r="I19" s="66">
        <f t="shared" si="0"/>
        <v>8500</v>
      </c>
    </row>
    <row r="20" spans="1:9" ht="13.5" thickBot="1">
      <c r="A20" s="40">
        <v>11</v>
      </c>
      <c r="B20" s="62">
        <v>0</v>
      </c>
      <c r="C20" s="63" t="s">
        <v>60</v>
      </c>
      <c r="D20" s="64">
        <v>251</v>
      </c>
      <c r="E20" s="67" t="s">
        <v>79</v>
      </c>
      <c r="F20" s="68" t="s">
        <v>55</v>
      </c>
      <c r="G20" s="69">
        <v>1</v>
      </c>
      <c r="H20" s="70">
        <v>8500</v>
      </c>
      <c r="I20" s="66">
        <f t="shared" si="0"/>
        <v>8500</v>
      </c>
    </row>
    <row r="21" spans="1:9" ht="13.5" thickBot="1">
      <c r="A21" s="40">
        <v>12</v>
      </c>
      <c r="B21" s="62">
        <v>0</v>
      </c>
      <c r="C21" s="63" t="s">
        <v>60</v>
      </c>
      <c r="D21" s="64">
        <v>251</v>
      </c>
      <c r="E21" s="67" t="s">
        <v>80</v>
      </c>
      <c r="F21" s="68" t="s">
        <v>65</v>
      </c>
      <c r="G21" s="69">
        <v>1</v>
      </c>
      <c r="H21" s="70">
        <v>8000</v>
      </c>
      <c r="I21" s="66">
        <f t="shared" si="0"/>
        <v>8000</v>
      </c>
    </row>
    <row r="22" spans="1:9" ht="13.5" thickBot="1">
      <c r="A22" s="40">
        <v>13</v>
      </c>
      <c r="B22" s="62">
        <v>0</v>
      </c>
      <c r="C22" s="63" t="s">
        <v>60</v>
      </c>
      <c r="D22" s="64">
        <v>251</v>
      </c>
      <c r="E22" s="67" t="s">
        <v>81</v>
      </c>
      <c r="F22" s="68" t="s">
        <v>65</v>
      </c>
      <c r="G22" s="69">
        <v>1</v>
      </c>
      <c r="H22" s="70">
        <v>15000</v>
      </c>
      <c r="I22" s="66">
        <f t="shared" si="0"/>
        <v>15000</v>
      </c>
    </row>
    <row r="23" spans="1:9" ht="13.5" thickBot="1">
      <c r="A23" s="40">
        <v>14</v>
      </c>
      <c r="B23" s="62">
        <v>0</v>
      </c>
      <c r="C23" s="63" t="s">
        <v>60</v>
      </c>
      <c r="D23" s="64">
        <v>251</v>
      </c>
      <c r="E23" s="67" t="s">
        <v>82</v>
      </c>
      <c r="F23" s="68" t="s">
        <v>65</v>
      </c>
      <c r="G23" s="69">
        <v>1</v>
      </c>
      <c r="H23" s="70">
        <v>15000</v>
      </c>
      <c r="I23" s="66">
        <f t="shared" si="0"/>
        <v>15000</v>
      </c>
    </row>
    <row r="24" spans="1:9" ht="13.5" thickBot="1">
      <c r="A24" s="40">
        <v>15</v>
      </c>
      <c r="B24" s="62">
        <v>0</v>
      </c>
      <c r="C24" s="63" t="s">
        <v>60</v>
      </c>
      <c r="D24" s="64">
        <v>251</v>
      </c>
      <c r="E24" s="67" t="s">
        <v>83</v>
      </c>
      <c r="F24" s="68" t="s">
        <v>55</v>
      </c>
      <c r="G24" s="69">
        <v>1</v>
      </c>
      <c r="H24" s="70">
        <v>8000</v>
      </c>
      <c r="I24" s="66">
        <f t="shared" si="0"/>
        <v>8000</v>
      </c>
    </row>
    <row r="25" spans="1:9" ht="13.5" thickBot="1">
      <c r="A25" s="40">
        <v>16</v>
      </c>
      <c r="B25" s="62">
        <v>0</v>
      </c>
      <c r="C25" s="63" t="s">
        <v>60</v>
      </c>
      <c r="D25" s="64">
        <v>251</v>
      </c>
      <c r="E25" s="67" t="s">
        <v>84</v>
      </c>
      <c r="F25" s="68" t="s">
        <v>65</v>
      </c>
      <c r="G25" s="69">
        <v>1</v>
      </c>
      <c r="H25" s="70">
        <v>8000</v>
      </c>
      <c r="I25" s="66">
        <f t="shared" si="0"/>
        <v>8000</v>
      </c>
    </row>
    <row r="26" spans="1:9" ht="13.5" thickBot="1">
      <c r="A26" s="40">
        <v>17</v>
      </c>
      <c r="B26" s="62">
        <v>0</v>
      </c>
      <c r="C26" s="63" t="s">
        <v>60</v>
      </c>
      <c r="D26" s="64">
        <v>251</v>
      </c>
      <c r="E26" s="67" t="s">
        <v>85</v>
      </c>
      <c r="F26" s="68" t="s">
        <v>65</v>
      </c>
      <c r="G26" s="71">
        <v>1</v>
      </c>
      <c r="H26" s="70">
        <v>59498</v>
      </c>
      <c r="I26" s="66">
        <f t="shared" si="0"/>
        <v>59498</v>
      </c>
    </row>
    <row r="27" spans="1:9" ht="13.5" thickBot="1">
      <c r="A27" s="40">
        <v>18</v>
      </c>
      <c r="B27" s="62">
        <v>0</v>
      </c>
      <c r="C27" s="63" t="s">
        <v>60</v>
      </c>
      <c r="D27" s="64">
        <v>251</v>
      </c>
      <c r="E27" s="67" t="s">
        <v>69</v>
      </c>
      <c r="F27" s="68" t="s">
        <v>65</v>
      </c>
      <c r="G27" s="71">
        <v>1</v>
      </c>
      <c r="H27" s="70">
        <v>41702</v>
      </c>
      <c r="I27" s="66">
        <f t="shared" si="0"/>
        <v>41702</v>
      </c>
    </row>
    <row r="28" spans="1:9" ht="13.5" thickBot="1">
      <c r="A28" s="40">
        <v>19</v>
      </c>
      <c r="B28" s="62">
        <v>0</v>
      </c>
      <c r="C28" s="63" t="s">
        <v>60</v>
      </c>
      <c r="D28" s="64">
        <v>251</v>
      </c>
      <c r="E28" s="42" t="s">
        <v>86</v>
      </c>
      <c r="F28" s="62" t="s">
        <v>58</v>
      </c>
      <c r="G28" s="41">
        <v>1</v>
      </c>
      <c r="H28" s="72">
        <v>39997</v>
      </c>
      <c r="I28" s="66">
        <f t="shared" ref="I28:I30" si="1">G28*H28</f>
        <v>39997</v>
      </c>
    </row>
    <row r="29" spans="1:9" ht="13.5" thickBot="1">
      <c r="A29" s="40">
        <v>20</v>
      </c>
      <c r="B29" s="62">
        <v>0</v>
      </c>
      <c r="C29" s="63" t="s">
        <v>60</v>
      </c>
      <c r="D29" s="64">
        <v>251</v>
      </c>
      <c r="E29" s="42" t="s">
        <v>64</v>
      </c>
      <c r="F29" s="62" t="s">
        <v>65</v>
      </c>
      <c r="G29" s="41">
        <v>400</v>
      </c>
      <c r="H29" s="72">
        <v>764</v>
      </c>
      <c r="I29" s="66">
        <f t="shared" si="1"/>
        <v>305600</v>
      </c>
    </row>
    <row r="30" spans="1:9" ht="13.5" thickBot="1">
      <c r="A30" s="40">
        <v>21</v>
      </c>
      <c r="B30" s="62">
        <v>0</v>
      </c>
      <c r="C30" s="63" t="s">
        <v>60</v>
      </c>
      <c r="D30" s="64">
        <v>251</v>
      </c>
      <c r="E30" s="42" t="s">
        <v>87</v>
      </c>
      <c r="F30" s="62" t="s">
        <v>65</v>
      </c>
      <c r="G30" s="41">
        <v>1</v>
      </c>
      <c r="H30" s="72">
        <v>3000</v>
      </c>
      <c r="I30" s="66">
        <f t="shared" si="1"/>
        <v>3000</v>
      </c>
    </row>
    <row r="31" spans="1:9" ht="13.5" thickBot="1">
      <c r="A31" s="40">
        <v>22</v>
      </c>
      <c r="B31" s="62">
        <v>0</v>
      </c>
      <c r="C31" s="63" t="s">
        <v>60</v>
      </c>
      <c r="D31" s="64">
        <v>251</v>
      </c>
      <c r="E31" s="42" t="s">
        <v>88</v>
      </c>
      <c r="F31" s="62" t="s">
        <v>55</v>
      </c>
      <c r="G31" s="41">
        <v>3</v>
      </c>
      <c r="H31" s="72">
        <v>2500</v>
      </c>
      <c r="I31" s="66">
        <f t="shared" ref="I31:I40" si="2">G31*H31</f>
        <v>7500</v>
      </c>
    </row>
    <row r="32" spans="1:9" ht="13.5" thickBot="1">
      <c r="A32" s="40">
        <v>23</v>
      </c>
      <c r="B32" s="62">
        <v>0</v>
      </c>
      <c r="C32" s="63" t="s">
        <v>60</v>
      </c>
      <c r="D32" s="64">
        <v>251</v>
      </c>
      <c r="E32" s="42" t="s">
        <v>89</v>
      </c>
      <c r="F32" s="62" t="s">
        <v>55</v>
      </c>
      <c r="G32" s="41">
        <v>10</v>
      </c>
      <c r="H32" s="72">
        <v>1757</v>
      </c>
      <c r="I32" s="66">
        <f t="shared" si="2"/>
        <v>17570</v>
      </c>
    </row>
    <row r="33" spans="1:9" ht="13.5" thickBot="1">
      <c r="A33" s="40">
        <v>24</v>
      </c>
      <c r="B33" s="62">
        <v>0</v>
      </c>
      <c r="C33" s="63" t="s">
        <v>60</v>
      </c>
      <c r="D33" s="64">
        <v>251</v>
      </c>
      <c r="E33" s="67" t="s">
        <v>90</v>
      </c>
      <c r="F33" s="68" t="s">
        <v>58</v>
      </c>
      <c r="G33" s="41">
        <v>10</v>
      </c>
      <c r="H33" s="72">
        <v>3184</v>
      </c>
      <c r="I33" s="66">
        <f t="shared" si="2"/>
        <v>31840</v>
      </c>
    </row>
    <row r="34" spans="1:9" ht="13.5" thickBot="1">
      <c r="A34" s="40">
        <v>25</v>
      </c>
      <c r="B34" s="62">
        <v>0</v>
      </c>
      <c r="C34" s="63" t="s">
        <v>60</v>
      </c>
      <c r="D34" s="64">
        <v>251</v>
      </c>
      <c r="E34" s="67" t="s">
        <v>66</v>
      </c>
      <c r="F34" s="68" t="s">
        <v>58</v>
      </c>
      <c r="G34" s="41">
        <v>2</v>
      </c>
      <c r="H34" s="72">
        <v>4045</v>
      </c>
      <c r="I34" s="66">
        <f t="shared" si="2"/>
        <v>8090</v>
      </c>
    </row>
    <row r="35" spans="1:9" ht="13.5" thickBot="1">
      <c r="A35" s="40">
        <v>26</v>
      </c>
      <c r="B35" s="62">
        <v>0</v>
      </c>
      <c r="C35" s="63" t="s">
        <v>60</v>
      </c>
      <c r="D35" s="64">
        <v>234</v>
      </c>
      <c r="E35" s="73" t="s">
        <v>96</v>
      </c>
      <c r="F35" s="63" t="s">
        <v>63</v>
      </c>
      <c r="G35" s="41">
        <v>12</v>
      </c>
      <c r="H35" s="74">
        <v>2438</v>
      </c>
      <c r="I35" s="66">
        <f t="shared" si="2"/>
        <v>29256</v>
      </c>
    </row>
    <row r="36" spans="1:9" ht="13.5" thickBot="1">
      <c r="A36" s="40">
        <v>27</v>
      </c>
      <c r="B36" s="62">
        <v>0</v>
      </c>
      <c r="C36" s="63" t="s">
        <v>60</v>
      </c>
      <c r="D36" s="64">
        <v>251</v>
      </c>
      <c r="E36" s="73" t="s">
        <v>91</v>
      </c>
      <c r="F36" s="63" t="s">
        <v>58</v>
      </c>
      <c r="G36" s="41">
        <v>1</v>
      </c>
      <c r="H36" s="74">
        <v>57000</v>
      </c>
      <c r="I36" s="66">
        <f t="shared" si="2"/>
        <v>57000</v>
      </c>
    </row>
    <row r="37" spans="1:9" ht="13.5" thickBot="1">
      <c r="A37" s="40">
        <v>28</v>
      </c>
      <c r="B37" s="62">
        <v>0</v>
      </c>
      <c r="C37" s="63" t="s">
        <v>60</v>
      </c>
      <c r="D37" s="64">
        <v>251</v>
      </c>
      <c r="E37" s="42" t="s">
        <v>92</v>
      </c>
      <c r="F37" s="63" t="s">
        <v>65</v>
      </c>
      <c r="G37" s="41">
        <v>1</v>
      </c>
      <c r="H37" s="74">
        <v>8500</v>
      </c>
      <c r="I37" s="66">
        <f t="shared" si="2"/>
        <v>8500</v>
      </c>
    </row>
    <row r="38" spans="1:9" ht="13.5" thickBot="1">
      <c r="A38" s="40">
        <v>29</v>
      </c>
      <c r="B38" s="62">
        <v>0</v>
      </c>
      <c r="C38" s="63" t="s">
        <v>60</v>
      </c>
      <c r="D38" s="64">
        <v>251</v>
      </c>
      <c r="E38" s="42" t="s">
        <v>70</v>
      </c>
      <c r="F38" s="63" t="s">
        <v>65</v>
      </c>
      <c r="G38" s="41">
        <v>1</v>
      </c>
      <c r="H38" s="74">
        <v>25273</v>
      </c>
      <c r="I38" s="66">
        <f t="shared" si="2"/>
        <v>25273</v>
      </c>
    </row>
    <row r="39" spans="1:9" ht="13.5" thickBot="1">
      <c r="A39" s="40">
        <v>30</v>
      </c>
      <c r="B39" s="62">
        <v>0</v>
      </c>
      <c r="C39" s="63" t="s">
        <v>60</v>
      </c>
      <c r="D39" s="64">
        <v>251</v>
      </c>
      <c r="E39" s="42" t="s">
        <v>68</v>
      </c>
      <c r="F39" s="63" t="s">
        <v>55</v>
      </c>
      <c r="G39" s="41">
        <v>1000</v>
      </c>
      <c r="H39" s="74">
        <v>17.32</v>
      </c>
      <c r="I39" s="66">
        <f t="shared" si="2"/>
        <v>17320</v>
      </c>
    </row>
    <row r="40" spans="1:9" ht="13.5" thickBot="1">
      <c r="A40" s="40">
        <v>31</v>
      </c>
      <c r="B40" s="62">
        <v>0</v>
      </c>
      <c r="C40" s="63" t="s">
        <v>60</v>
      </c>
      <c r="D40" s="64">
        <v>251</v>
      </c>
      <c r="E40" s="42" t="s">
        <v>67</v>
      </c>
      <c r="F40" s="63" t="s">
        <v>55</v>
      </c>
      <c r="G40" s="41">
        <v>4000</v>
      </c>
      <c r="H40" s="74">
        <v>8.1999999999999993</v>
      </c>
      <c r="I40" s="66">
        <f t="shared" si="2"/>
        <v>32800</v>
      </c>
    </row>
    <row r="41" spans="1:9">
      <c r="A41" s="88"/>
      <c r="B41" s="89"/>
      <c r="C41" s="90"/>
      <c r="D41" s="91"/>
      <c r="E41" s="92"/>
      <c r="F41" s="90"/>
      <c r="G41" s="93"/>
      <c r="H41" s="94"/>
      <c r="I41" s="95"/>
    </row>
    <row r="42" spans="1:9" ht="21" customHeight="1" thickBot="1">
      <c r="B42" s="75"/>
      <c r="C42" s="76"/>
      <c r="D42" s="76"/>
      <c r="E42" s="76"/>
      <c r="F42" s="77"/>
      <c r="G42" s="77"/>
      <c r="H42" s="78"/>
      <c r="I42" s="79"/>
    </row>
    <row r="43" spans="1:9">
      <c r="B43" s="80" t="s">
        <v>56</v>
      </c>
      <c r="C43" s="81"/>
      <c r="D43" s="81"/>
      <c r="E43" s="82"/>
      <c r="F43" s="77"/>
      <c r="G43" s="77"/>
      <c r="H43" s="78"/>
      <c r="I43" s="79"/>
    </row>
    <row r="44" spans="1:9">
      <c r="B44" s="101" t="s">
        <v>59</v>
      </c>
      <c r="C44" s="102"/>
      <c r="D44" s="102"/>
      <c r="E44" s="103"/>
      <c r="F44" s="77"/>
      <c r="G44" s="83"/>
      <c r="H44" s="78"/>
      <c r="I44" s="76"/>
    </row>
    <row r="45" spans="1:9">
      <c r="B45" s="101"/>
      <c r="C45" s="102"/>
      <c r="D45" s="102"/>
      <c r="E45" s="103"/>
      <c r="F45" s="84"/>
      <c r="G45" s="85"/>
      <c r="H45" s="78"/>
      <c r="I45" s="76"/>
    </row>
    <row r="46" spans="1:9" ht="39" customHeight="1">
      <c r="B46" s="101" t="s">
        <v>97</v>
      </c>
      <c r="C46" s="102"/>
      <c r="D46" s="102"/>
      <c r="E46" s="103"/>
      <c r="F46" s="84"/>
      <c r="G46" s="85"/>
      <c r="H46" s="78"/>
      <c r="I46" s="76"/>
    </row>
    <row r="47" spans="1:9" ht="27" customHeight="1" thickBot="1">
      <c r="B47" s="86" t="s">
        <v>57</v>
      </c>
      <c r="C47" s="39"/>
      <c r="D47" s="39"/>
      <c r="E47" s="87"/>
      <c r="F47" s="84"/>
      <c r="G47" s="85"/>
      <c r="H47" s="78"/>
      <c r="I47" s="76"/>
    </row>
    <row r="48" spans="1:9">
      <c r="B48" s="76"/>
      <c r="C48" s="76"/>
      <c r="D48" s="76"/>
      <c r="E48" s="76"/>
      <c r="F48" s="77"/>
      <c r="G48" s="77"/>
      <c r="H48" s="78"/>
      <c r="I48" s="76"/>
    </row>
    <row r="49" spans="2:9">
      <c r="B49" s="76"/>
      <c r="C49" s="76"/>
      <c r="D49" s="76"/>
      <c r="E49" s="76"/>
      <c r="F49" s="77"/>
      <c r="G49" s="77"/>
      <c r="H49" s="78"/>
      <c r="I49" s="76"/>
    </row>
    <row r="50" spans="2:9">
      <c r="B50" s="76"/>
      <c r="C50" s="76"/>
      <c r="D50" s="76"/>
      <c r="E50" s="76"/>
      <c r="F50" s="77"/>
      <c r="G50" s="77"/>
      <c r="H50" s="78"/>
      <c r="I50" s="76"/>
    </row>
    <row r="51" spans="2:9">
      <c r="B51" s="76"/>
      <c r="C51" s="76"/>
      <c r="D51" s="76"/>
      <c r="E51" s="76"/>
      <c r="F51" s="77"/>
      <c r="G51" s="77"/>
      <c r="H51" s="78"/>
      <c r="I51" s="76"/>
    </row>
    <row r="52" spans="2:9">
      <c r="B52" s="76"/>
      <c r="C52" s="76"/>
      <c r="D52" s="76"/>
      <c r="E52" s="76"/>
      <c r="F52" s="77"/>
      <c r="G52" s="77"/>
      <c r="H52" s="78"/>
      <c r="I52" s="76"/>
    </row>
    <row r="53" spans="2:9">
      <c r="B53" s="76"/>
      <c r="C53" s="76"/>
      <c r="D53" s="76"/>
      <c r="E53" s="76"/>
      <c r="F53" s="77"/>
      <c r="G53" s="77"/>
      <c r="H53" s="78"/>
      <c r="I53" s="76"/>
    </row>
    <row r="54" spans="2:9">
      <c r="B54" s="76"/>
      <c r="C54" s="76"/>
      <c r="D54" s="76"/>
      <c r="E54" s="76"/>
      <c r="F54" s="77"/>
      <c r="G54" s="77"/>
      <c r="H54" s="78"/>
      <c r="I54" s="76"/>
    </row>
    <row r="55" spans="2:9">
      <c r="B55" s="76"/>
      <c r="C55" s="76"/>
      <c r="D55" s="76"/>
      <c r="E55" s="76"/>
      <c r="F55" s="77"/>
      <c r="G55" s="77"/>
      <c r="H55" s="78"/>
      <c r="I55" s="76"/>
    </row>
    <row r="56" spans="2:9">
      <c r="B56" s="76"/>
      <c r="C56" s="76"/>
      <c r="D56" s="76"/>
      <c r="E56" s="76"/>
      <c r="F56" s="77"/>
      <c r="G56" s="77"/>
      <c r="H56" s="78"/>
      <c r="I56" s="76"/>
    </row>
    <row r="57" spans="2:9">
      <c r="B57" s="76"/>
      <c r="C57" s="76"/>
      <c r="D57" s="76"/>
      <c r="E57" s="76"/>
      <c r="F57" s="77"/>
      <c r="G57" s="77"/>
      <c r="H57" s="78"/>
      <c r="I57" s="76"/>
    </row>
    <row r="58" spans="2:9">
      <c r="B58" s="76"/>
      <c r="C58" s="76"/>
      <c r="D58" s="76"/>
      <c r="E58" s="76"/>
      <c r="F58" s="77"/>
      <c r="G58" s="77"/>
      <c r="H58" s="78"/>
      <c r="I58" s="76"/>
    </row>
    <row r="59" spans="2:9">
      <c r="B59" s="76"/>
      <c r="C59" s="76"/>
      <c r="D59" s="76"/>
      <c r="E59" s="76"/>
      <c r="F59" s="77"/>
      <c r="G59" s="77"/>
      <c r="H59" s="78"/>
      <c r="I59" s="76"/>
    </row>
    <row r="60" spans="2:9">
      <c r="B60" s="76"/>
      <c r="C60" s="76"/>
      <c r="D60" s="76"/>
      <c r="E60" s="76"/>
      <c r="F60" s="77"/>
      <c r="G60" s="77"/>
      <c r="H60" s="78"/>
      <c r="I60" s="76"/>
    </row>
    <row r="61" spans="2:9">
      <c r="B61" s="76"/>
      <c r="C61" s="76"/>
      <c r="D61" s="76"/>
      <c r="E61" s="76"/>
      <c r="F61" s="77"/>
      <c r="G61" s="77"/>
      <c r="H61" s="78"/>
      <c r="I61" s="76"/>
    </row>
    <row r="62" spans="2:9">
      <c r="B62" s="76"/>
      <c r="C62" s="76"/>
      <c r="D62" s="76"/>
      <c r="E62" s="76"/>
      <c r="F62" s="77"/>
      <c r="G62" s="77"/>
      <c r="H62" s="78"/>
      <c r="I62" s="76"/>
    </row>
    <row r="63" spans="2:9">
      <c r="B63" s="76"/>
      <c r="C63" s="76"/>
      <c r="D63" s="76"/>
      <c r="E63" s="76"/>
      <c r="F63" s="77"/>
      <c r="G63" s="77"/>
      <c r="H63" s="78"/>
      <c r="I63" s="76"/>
    </row>
    <row r="64" spans="2:9">
      <c r="B64" s="76"/>
      <c r="C64" s="76"/>
      <c r="D64" s="76"/>
      <c r="E64" s="76"/>
      <c r="F64" s="77"/>
      <c r="G64" s="77"/>
      <c r="H64" s="78"/>
      <c r="I64" s="76"/>
    </row>
    <row r="65" spans="2:9">
      <c r="B65" s="76"/>
      <c r="C65" s="76"/>
      <c r="D65" s="76"/>
      <c r="E65" s="76"/>
      <c r="F65" s="77"/>
      <c r="G65" s="77"/>
      <c r="H65" s="78"/>
      <c r="I65" s="76"/>
    </row>
    <row r="66" spans="2:9">
      <c r="B66" s="76"/>
      <c r="C66" s="76"/>
      <c r="D66" s="76"/>
      <c r="E66" s="76"/>
      <c r="F66" s="77"/>
      <c r="G66" s="77"/>
      <c r="H66" s="78"/>
      <c r="I66" s="76"/>
    </row>
    <row r="67" spans="2:9">
      <c r="B67" s="76"/>
      <c r="C67" s="76"/>
      <c r="D67" s="76"/>
      <c r="E67" s="76"/>
      <c r="F67" s="77"/>
      <c r="G67" s="77"/>
      <c r="H67" s="78"/>
      <c r="I67" s="76"/>
    </row>
    <row r="68" spans="2:9">
      <c r="B68" s="76"/>
      <c r="C68" s="76"/>
      <c r="D68" s="76"/>
      <c r="E68" s="76"/>
      <c r="F68" s="77"/>
      <c r="G68" s="77"/>
      <c r="H68" s="78"/>
      <c r="I68" s="76"/>
    </row>
    <row r="69" spans="2:9">
      <c r="B69" s="76"/>
      <c r="C69" s="76"/>
      <c r="D69" s="76"/>
      <c r="E69" s="76"/>
      <c r="F69" s="77"/>
      <c r="G69" s="77"/>
      <c r="H69" s="78"/>
      <c r="I69" s="76"/>
    </row>
    <row r="70" spans="2:9">
      <c r="B70" s="76"/>
      <c r="C70" s="76"/>
      <c r="D70" s="76"/>
      <c r="E70" s="76"/>
      <c r="F70" s="77"/>
      <c r="G70" s="77"/>
      <c r="H70" s="78"/>
      <c r="I70" s="76"/>
    </row>
    <row r="71" spans="2:9">
      <c r="B71" s="76"/>
      <c r="C71" s="76"/>
      <c r="D71" s="76"/>
      <c r="E71" s="76"/>
      <c r="F71" s="77"/>
      <c r="G71" s="77"/>
      <c r="H71" s="78"/>
      <c r="I71" s="76"/>
    </row>
    <row r="72" spans="2:9">
      <c r="B72" s="76"/>
      <c r="C72" s="76"/>
      <c r="D72" s="76"/>
      <c r="E72" s="76"/>
      <c r="F72" s="77"/>
      <c r="G72" s="77"/>
      <c r="H72" s="78"/>
      <c r="I72" s="76"/>
    </row>
    <row r="73" spans="2:9">
      <c r="B73" s="76"/>
      <c r="C73" s="76"/>
      <c r="D73" s="76"/>
      <c r="E73" s="76"/>
      <c r="F73" s="77"/>
      <c r="G73" s="77"/>
      <c r="H73" s="78"/>
      <c r="I73" s="76"/>
    </row>
    <row r="74" spans="2:9">
      <c r="B74" s="76"/>
      <c r="C74" s="76"/>
      <c r="D74" s="76"/>
      <c r="E74" s="76"/>
      <c r="F74" s="77"/>
      <c r="G74" s="77"/>
      <c r="H74" s="78"/>
      <c r="I74" s="76"/>
    </row>
    <row r="75" spans="2:9">
      <c r="B75" s="76"/>
      <c r="C75" s="76"/>
      <c r="D75" s="76"/>
      <c r="E75" s="76"/>
      <c r="F75" s="77"/>
      <c r="G75" s="77"/>
      <c r="H75" s="78"/>
      <c r="I75" s="76"/>
    </row>
    <row r="76" spans="2:9">
      <c r="B76" s="76"/>
      <c r="C76" s="76"/>
      <c r="D76" s="76"/>
      <c r="E76" s="76"/>
      <c r="F76" s="77"/>
      <c r="G76" s="77"/>
      <c r="H76" s="78"/>
      <c r="I76" s="76"/>
    </row>
  </sheetData>
  <autoFilter ref="A9:I40">
    <filterColumn colId="3"/>
  </autoFilter>
  <mergeCells count="9">
    <mergeCell ref="B44:E45"/>
    <mergeCell ref="B46:E46"/>
    <mergeCell ref="A6:B6"/>
    <mergeCell ref="A7:B7"/>
    <mergeCell ref="B2:H2"/>
    <mergeCell ref="A4:B4"/>
    <mergeCell ref="C4:E4"/>
    <mergeCell ref="A5:B5"/>
    <mergeCell ref="C5:E5"/>
  </mergeCells>
  <conditionalFormatting sqref="E35:E36">
    <cfRule type="cellIs" dxfId="3" priority="29" operator="equal">
      <formula>"duplicado"</formula>
    </cfRule>
  </conditionalFormatting>
  <conditionalFormatting sqref="E35:E36">
    <cfRule type="duplicateValues" dxfId="2" priority="101"/>
    <cfRule type="duplicateValues" dxfId="1" priority="102"/>
    <cfRule type="cellIs" dxfId="0" priority="103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43"/>
  <sheetViews>
    <sheetView zoomScale="80" zoomScaleNormal="80" workbookViewId="0">
      <selection activeCell="O3" sqref="O3"/>
    </sheetView>
  </sheetViews>
  <sheetFormatPr baseColWidth="10" defaultColWidth="9.140625" defaultRowHeight="12.75"/>
  <cols>
    <col min="1" max="1" width="5.5703125" style="20" customWidth="1"/>
    <col min="2" max="2" width="15.140625" style="20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8.5703125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5.5703125" style="20" customWidth="1"/>
    <col min="12" max="13" width="5.85546875" style="20" customWidth="1"/>
    <col min="14" max="14" width="14.14062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18" customHeight="1">
      <c r="A1" s="116" t="s">
        <v>14</v>
      </c>
      <c r="B1" s="116"/>
      <c r="C1" s="116"/>
      <c r="D1" s="116"/>
      <c r="E1" s="116"/>
      <c r="F1" s="116"/>
      <c r="G1" s="116"/>
      <c r="H1" s="116"/>
      <c r="I1" s="116"/>
      <c r="J1" s="19" t="s">
        <v>15</v>
      </c>
      <c r="K1" s="96" t="s">
        <v>102</v>
      </c>
    </row>
    <row r="2" spans="1:11" ht="18.75" customHeight="1" thickBo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</row>
    <row r="3" spans="1:11" ht="18.75" customHeight="1" thickBot="1">
      <c r="A3" s="117" t="s">
        <v>48</v>
      </c>
      <c r="B3" s="117"/>
      <c r="C3" s="117"/>
      <c r="D3" s="108" t="str">
        <f>'Necesidades Trimestrales'!C4</f>
        <v>040 - Ministerio de Salud</v>
      </c>
      <c r="E3" s="108"/>
      <c r="F3" s="108"/>
      <c r="G3" s="108"/>
      <c r="H3" s="108"/>
      <c r="I3" s="108"/>
      <c r="J3" s="108"/>
      <c r="K3" s="108"/>
    </row>
    <row r="4" spans="1:11" ht="18.75" customHeight="1" thickBot="1">
      <c r="A4" s="118" t="s">
        <v>49</v>
      </c>
      <c r="B4" s="118"/>
      <c r="C4" s="118"/>
      <c r="D4" s="108" t="str">
        <f>'Necesidades Trimestrales'!C5</f>
        <v>024 - Hospital Interzonal de Niños Eva Perón</v>
      </c>
      <c r="E4" s="108"/>
      <c r="F4" s="108"/>
      <c r="G4" s="108"/>
      <c r="H4" s="108"/>
      <c r="I4" s="108"/>
      <c r="J4" s="108"/>
      <c r="K4" s="108"/>
    </row>
    <row r="5" spans="1:11" ht="18.75" customHeight="1" thickBot="1">
      <c r="A5" s="118" t="s">
        <v>27</v>
      </c>
      <c r="B5" s="118"/>
      <c r="C5" s="118"/>
      <c r="D5" s="108" t="s">
        <v>93</v>
      </c>
      <c r="E5" s="108"/>
      <c r="F5" s="108"/>
      <c r="G5" s="108"/>
      <c r="H5" s="108"/>
      <c r="I5" s="108"/>
      <c r="J5" s="108"/>
      <c r="K5" s="108"/>
    </row>
    <row r="6" spans="1:11" ht="16.5" customHeight="1" thickBot="1">
      <c r="A6" s="117" t="s">
        <v>50</v>
      </c>
      <c r="B6" s="117"/>
      <c r="C6" s="117"/>
      <c r="D6" s="108" t="s">
        <v>61</v>
      </c>
      <c r="E6" s="108"/>
      <c r="F6" s="108"/>
      <c r="G6" s="108"/>
      <c r="H6" s="108"/>
      <c r="I6" s="108"/>
      <c r="J6" s="108"/>
      <c r="K6" s="108"/>
    </row>
    <row r="7" spans="1:11" ht="16.5" customHeight="1">
      <c r="A7" s="118" t="s">
        <v>16</v>
      </c>
      <c r="B7" s="118"/>
      <c r="C7" s="118"/>
      <c r="D7" s="108" t="str">
        <f>'Necesidades Trimestrales'!C7 &amp; "° - Año " &amp; 'Necesidades Trimestrales'!C6</f>
        <v>3° TRIMESTRE° - Año 2021</v>
      </c>
      <c r="E7" s="108"/>
      <c r="F7" s="108"/>
      <c r="G7" s="108"/>
      <c r="H7" s="108"/>
      <c r="I7" s="108"/>
      <c r="J7" s="108"/>
      <c r="K7" s="108"/>
    </row>
    <row r="8" spans="1:11" ht="16.5" customHeight="1">
      <c r="A8" s="115" t="s">
        <v>17</v>
      </c>
      <c r="B8" s="115"/>
      <c r="C8" s="115"/>
      <c r="D8" s="111" t="s">
        <v>100</v>
      </c>
      <c r="E8" s="111"/>
      <c r="F8" s="111"/>
      <c r="G8" s="111"/>
      <c r="H8" s="111"/>
      <c r="I8" s="111"/>
      <c r="J8" s="111"/>
      <c r="K8" s="111"/>
    </row>
    <row r="9" spans="1:11" ht="15.75">
      <c r="A9" s="24"/>
      <c r="B9" s="24"/>
      <c r="C9" s="24"/>
      <c r="D9" s="25"/>
      <c r="E9" s="25"/>
      <c r="F9" s="25"/>
      <c r="G9" s="25"/>
      <c r="H9" s="25"/>
      <c r="I9" s="25"/>
      <c r="J9" s="25"/>
      <c r="K9" s="25"/>
    </row>
    <row r="10" spans="1:11" ht="18.75" customHeight="1">
      <c r="A10" s="112" t="s">
        <v>18</v>
      </c>
      <c r="B10" s="113" t="s">
        <v>19</v>
      </c>
      <c r="C10" s="113" t="s">
        <v>20</v>
      </c>
      <c r="D10" s="113"/>
      <c r="E10" s="113"/>
      <c r="F10" s="113"/>
      <c r="G10" s="113"/>
      <c r="H10" s="113" t="s">
        <v>21</v>
      </c>
      <c r="I10" s="113" t="s">
        <v>22</v>
      </c>
      <c r="J10" s="113" t="s">
        <v>23</v>
      </c>
      <c r="K10" s="114" t="s">
        <v>24</v>
      </c>
    </row>
    <row r="11" spans="1:11" ht="24" customHeight="1" thickBot="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7.75" customHeight="1" thickBot="1">
      <c r="A12" s="55">
        <v>1</v>
      </c>
      <c r="B12" s="55"/>
      <c r="C12" s="110" t="str">
        <f>'Necesidades Trimestrales'!E10</f>
        <v>AMPOULE ADAPTER X 150 UNID. P/COBAS B221</v>
      </c>
      <c r="D12" s="110"/>
      <c r="E12" s="110"/>
      <c r="F12" s="110"/>
      <c r="G12" s="110"/>
      <c r="H12" s="56" t="s">
        <v>53</v>
      </c>
      <c r="I12" s="57" t="str">
        <f>'Necesidades Trimestrales'!F10</f>
        <v>CAJA</v>
      </c>
      <c r="J12" s="59">
        <f>'Necesidades Trimestrales'!H10</f>
        <v>4780</v>
      </c>
      <c r="K12" s="58">
        <f>'Necesidades Trimestrales'!G10</f>
        <v>2</v>
      </c>
    </row>
    <row r="13" spans="1:11" ht="27.75" customHeight="1" thickBot="1">
      <c r="A13" s="55">
        <v>2</v>
      </c>
      <c r="B13" s="55"/>
      <c r="C13" s="110" t="str">
        <f>'Necesidades Trimestrales'!E11</f>
        <v>ANCA KITS (IFI)-  ALTERNATIVA</v>
      </c>
      <c r="D13" s="110"/>
      <c r="E13" s="110"/>
      <c r="F13" s="110"/>
      <c r="G13" s="110"/>
      <c r="H13" s="56" t="s">
        <v>53</v>
      </c>
      <c r="I13" s="57" t="str">
        <f>'Necesidades Trimestrales'!F11</f>
        <v>CAJA</v>
      </c>
      <c r="J13" s="59">
        <f>'Necesidades Trimestrales'!H11</f>
        <v>30000</v>
      </c>
      <c r="K13" s="58">
        <f>'Necesidades Trimestrales'!G11</f>
        <v>1</v>
      </c>
    </row>
    <row r="14" spans="1:11" ht="27.75" customHeight="1" thickBot="1">
      <c r="A14" s="55">
        <v>3</v>
      </c>
      <c r="B14" s="55"/>
      <c r="C14" s="110" t="str">
        <f>'Necesidades Trimestrales'!E12</f>
        <v>ANTICUERPOS ANTITRANSGLUTAMINASA TIPO ORGESTRIOL</v>
      </c>
      <c r="D14" s="110"/>
      <c r="E14" s="110"/>
      <c r="F14" s="110"/>
      <c r="G14" s="110"/>
      <c r="H14" s="56" t="s">
        <v>53</v>
      </c>
      <c r="I14" s="57" t="str">
        <f>'Necesidades Trimestrales'!F12</f>
        <v>CAJA</v>
      </c>
      <c r="J14" s="59">
        <f>'Necesidades Trimestrales'!H12</f>
        <v>35754</v>
      </c>
      <c r="K14" s="58">
        <f>'Necesidades Trimestrales'!G12</f>
        <v>2</v>
      </c>
    </row>
    <row r="15" spans="1:11" ht="27.75" customHeight="1" thickBot="1">
      <c r="A15" s="55">
        <v>4</v>
      </c>
      <c r="B15" s="55"/>
      <c r="C15" s="110" t="str">
        <f>'Necesidades Trimestrales'!E13</f>
        <v>CHROM ID O157 H7 REF 42605 X 6 X 200 ML - BIOMERIEUX</v>
      </c>
      <c r="D15" s="110"/>
      <c r="E15" s="110"/>
      <c r="F15" s="110"/>
      <c r="G15" s="110"/>
      <c r="H15" s="56" t="s">
        <v>53</v>
      </c>
      <c r="I15" s="57" t="str">
        <f>'Necesidades Trimestrales'!F13</f>
        <v>CAJA</v>
      </c>
      <c r="J15" s="59">
        <f>'Necesidades Trimestrales'!H13</f>
        <v>11672</v>
      </c>
      <c r="K15" s="58">
        <f>'Necesidades Trimestrales'!G13</f>
        <v>3</v>
      </c>
    </row>
    <row r="16" spans="1:11" ht="27.75" customHeight="1" thickBot="1">
      <c r="A16" s="55">
        <v>5</v>
      </c>
      <c r="B16" s="55"/>
      <c r="C16" s="110" t="str">
        <f>'Necesidades Trimestrales'!E14</f>
        <v>CHROM SUPLEMENTO O 157 H7 X 6U - BIOMERIEUX</v>
      </c>
      <c r="D16" s="110"/>
      <c r="E16" s="110"/>
      <c r="F16" s="110"/>
      <c r="G16" s="110"/>
      <c r="H16" s="56" t="s">
        <v>53</v>
      </c>
      <c r="I16" s="57" t="str">
        <f>'Necesidades Trimestrales'!F14</f>
        <v>CAJA</v>
      </c>
      <c r="J16" s="59">
        <f>'Necesidades Trimestrales'!H14</f>
        <v>1800</v>
      </c>
      <c r="K16" s="58">
        <f>'Necesidades Trimestrales'!G14</f>
        <v>3</v>
      </c>
    </row>
    <row r="17" spans="1:11" ht="27.75" customHeight="1" thickBot="1">
      <c r="A17" s="55">
        <v>6</v>
      </c>
      <c r="B17" s="55"/>
      <c r="C17" s="110" t="str">
        <f>'Necesidades Trimestrales'!E15</f>
        <v>CONTROL POSITIVO ANA PATRÓN CENTROMERICO- ALTERNATIVA</v>
      </c>
      <c r="D17" s="110"/>
      <c r="E17" s="110"/>
      <c r="F17" s="110"/>
      <c r="G17" s="110"/>
      <c r="H17" s="56" t="s">
        <v>53</v>
      </c>
      <c r="I17" s="57" t="str">
        <f>'Necesidades Trimestrales'!F15</f>
        <v>FRASCO</v>
      </c>
      <c r="J17" s="59">
        <f>'Necesidades Trimestrales'!H15</f>
        <v>8000</v>
      </c>
      <c r="K17" s="58">
        <f>'Necesidades Trimestrales'!G15</f>
        <v>1</v>
      </c>
    </row>
    <row r="18" spans="1:11" ht="27.75" customHeight="1" thickBot="1">
      <c r="A18" s="55">
        <v>7</v>
      </c>
      <c r="B18" s="55"/>
      <c r="C18" s="110" t="str">
        <f>'Necesidades Trimestrales'!E16</f>
        <v>CONTROL POSITIVO ANA PATRÓN HOMOGÉNEO- ALTERNATIVA</v>
      </c>
      <c r="D18" s="110"/>
      <c r="E18" s="110"/>
      <c r="F18" s="110"/>
      <c r="G18" s="110"/>
      <c r="H18" s="56" t="s">
        <v>53</v>
      </c>
      <c r="I18" s="57" t="str">
        <f>'Necesidades Trimestrales'!F16</f>
        <v>FRASCO</v>
      </c>
      <c r="J18" s="59">
        <f>'Necesidades Trimestrales'!H16</f>
        <v>8000</v>
      </c>
      <c r="K18" s="58">
        <f>'Necesidades Trimestrales'!G16</f>
        <v>1</v>
      </c>
    </row>
    <row r="19" spans="1:11" ht="27.75" customHeight="1" thickBot="1">
      <c r="A19" s="55">
        <v>8</v>
      </c>
      <c r="B19" s="55"/>
      <c r="C19" s="110" t="str">
        <f>'Necesidades Trimestrales'!E17</f>
        <v>CONTROL POSITIVO ANA PATRÓN NUCLEOLAR- ALTERNATIVA</v>
      </c>
      <c r="D19" s="110"/>
      <c r="E19" s="110"/>
      <c r="F19" s="110"/>
      <c r="G19" s="110"/>
      <c r="H19" s="56" t="s">
        <v>53</v>
      </c>
      <c r="I19" s="57" t="str">
        <f>'Necesidades Trimestrales'!F17</f>
        <v>FRASCO</v>
      </c>
      <c r="J19" s="59">
        <f>'Necesidades Trimestrales'!H17</f>
        <v>8000</v>
      </c>
      <c r="K19" s="58">
        <f>'Necesidades Trimestrales'!G17</f>
        <v>1</v>
      </c>
    </row>
    <row r="20" spans="1:11" ht="27.75" customHeight="1" thickBot="1">
      <c r="A20" s="55">
        <v>9</v>
      </c>
      <c r="B20" s="55"/>
      <c r="C20" s="110" t="str">
        <f>'Necesidades Trimestrales'!E18</f>
        <v>CONTROL POSITIVO ANTICUERPOS AMA ( ANTI MITOCONDRIAL )ALTERNATIVA</v>
      </c>
      <c r="D20" s="110"/>
      <c r="E20" s="110"/>
      <c r="F20" s="110"/>
      <c r="G20" s="110"/>
      <c r="H20" s="56" t="s">
        <v>53</v>
      </c>
      <c r="I20" s="57" t="str">
        <f>'Necesidades Trimestrales'!F18</f>
        <v>FRASCO</v>
      </c>
      <c r="J20" s="59">
        <f>'Necesidades Trimestrales'!H18</f>
        <v>8500</v>
      </c>
      <c r="K20" s="58">
        <f>'Necesidades Trimestrales'!G18</f>
        <v>1</v>
      </c>
    </row>
    <row r="21" spans="1:11" ht="27.75" customHeight="1" thickBot="1">
      <c r="A21" s="55">
        <v>10</v>
      </c>
      <c r="B21" s="55"/>
      <c r="C21" s="110" t="str">
        <f>'Necesidades Trimestrales'!E19</f>
        <v>CONTROL POSITIVO ANTICUERPOS LKM ( ANTI MICROSOMAL )ALTERNATIVA</v>
      </c>
      <c r="D21" s="110"/>
      <c r="E21" s="110"/>
      <c r="F21" s="110"/>
      <c r="G21" s="110"/>
      <c r="H21" s="56" t="s">
        <v>53</v>
      </c>
      <c r="I21" s="57" t="str">
        <f>'Necesidades Trimestrales'!F19</f>
        <v>FRASCO</v>
      </c>
      <c r="J21" s="59">
        <f>'Necesidades Trimestrales'!H19</f>
        <v>8500</v>
      </c>
      <c r="K21" s="58">
        <f>'Necesidades Trimestrales'!G19</f>
        <v>1</v>
      </c>
    </row>
    <row r="22" spans="1:11" ht="27.75" customHeight="1" thickBot="1">
      <c r="A22" s="55">
        <v>11</v>
      </c>
      <c r="B22" s="55"/>
      <c r="C22" s="110" t="str">
        <f>'Necesidades Trimestrales'!E20</f>
        <v>CONTROL POSITIVO DNA- (X0.5ML)  ALTERNATIVA</v>
      </c>
      <c r="D22" s="110"/>
      <c r="E22" s="110"/>
      <c r="F22" s="110"/>
      <c r="G22" s="110"/>
      <c r="H22" s="56" t="s">
        <v>53</v>
      </c>
      <c r="I22" s="57" t="str">
        <f>'Necesidades Trimestrales'!F20</f>
        <v>UNIDAD</v>
      </c>
      <c r="J22" s="59">
        <f>'Necesidades Trimestrales'!H20</f>
        <v>8500</v>
      </c>
      <c r="K22" s="58">
        <f>'Necesidades Trimestrales'!G20</f>
        <v>1</v>
      </c>
    </row>
    <row r="23" spans="1:11" ht="27.75" customHeight="1" thickBot="1">
      <c r="A23" s="55">
        <v>12</v>
      </c>
      <c r="B23" s="55"/>
      <c r="C23" s="110" t="str">
        <f>'Necesidades Trimestrales'!E21</f>
        <v>CONTROL POSITIVO ENDOMISIO IG G -ALTERNATIVA</v>
      </c>
      <c r="D23" s="110"/>
      <c r="E23" s="110"/>
      <c r="F23" s="110"/>
      <c r="G23" s="110"/>
      <c r="H23" s="56" t="s">
        <v>53</v>
      </c>
      <c r="I23" s="57" t="str">
        <f>'Necesidades Trimestrales'!F21</f>
        <v>FRASCO</v>
      </c>
      <c r="J23" s="59">
        <f>'Necesidades Trimestrales'!H21</f>
        <v>8000</v>
      </c>
      <c r="K23" s="58">
        <f>'Necesidades Trimestrales'!G21</f>
        <v>1</v>
      </c>
    </row>
    <row r="24" spans="1:11" ht="27.75" customHeight="1" thickBot="1">
      <c r="A24" s="55">
        <v>13</v>
      </c>
      <c r="B24" s="55"/>
      <c r="C24" s="110" t="str">
        <f>'Necesidades Trimestrales'!E22</f>
        <v>CONTROL POSITIVO IG G- MYCOPLASMA PNEUMONIAE- ALTERNATIVA</v>
      </c>
      <c r="D24" s="110"/>
      <c r="E24" s="110"/>
      <c r="F24" s="110"/>
      <c r="G24" s="110"/>
      <c r="H24" s="56" t="s">
        <v>53</v>
      </c>
      <c r="I24" s="57" t="str">
        <f>'Necesidades Trimestrales'!F22</f>
        <v>FRASCO</v>
      </c>
      <c r="J24" s="59">
        <f>'Necesidades Trimestrales'!H22</f>
        <v>15000</v>
      </c>
      <c r="K24" s="58">
        <f>'Necesidades Trimestrales'!G22</f>
        <v>1</v>
      </c>
    </row>
    <row r="25" spans="1:11" ht="27.75" customHeight="1" thickBot="1">
      <c r="A25" s="55">
        <v>14</v>
      </c>
      <c r="B25" s="55"/>
      <c r="C25" s="110" t="str">
        <f>'Necesidades Trimestrales'!E23</f>
        <v>CONTROL POSITIVO IG M- MYCOPLASMA PNEUMONIAE- ALTERNATIVA</v>
      </c>
      <c r="D25" s="110"/>
      <c r="E25" s="110"/>
      <c r="F25" s="110"/>
      <c r="G25" s="110"/>
      <c r="H25" s="56" t="s">
        <v>53</v>
      </c>
      <c r="I25" s="57" t="str">
        <f>'Necesidades Trimestrales'!F23</f>
        <v>FRASCO</v>
      </c>
      <c r="J25" s="59">
        <f>'Necesidades Trimestrales'!H23</f>
        <v>15000</v>
      </c>
      <c r="K25" s="58">
        <f>'Necesidades Trimestrales'!G23</f>
        <v>1</v>
      </c>
    </row>
    <row r="26" spans="1:11" ht="27.75" customHeight="1" thickBot="1">
      <c r="A26" s="55">
        <v>15</v>
      </c>
      <c r="B26" s="55"/>
      <c r="C26" s="110" t="str">
        <f>'Necesidades Trimestrales'!E24</f>
        <v xml:space="preserve">CONTROL POSITIVO SÍFILIS-  ALTERNATIVA </v>
      </c>
      <c r="D26" s="110"/>
      <c r="E26" s="110"/>
      <c r="F26" s="110"/>
      <c r="G26" s="110"/>
      <c r="H26" s="56" t="s">
        <v>53</v>
      </c>
      <c r="I26" s="57" t="str">
        <f>'Necesidades Trimestrales'!F24</f>
        <v>UNIDAD</v>
      </c>
      <c r="J26" s="59">
        <f>'Necesidades Trimestrales'!H24</f>
        <v>8000</v>
      </c>
      <c r="K26" s="58">
        <f>'Necesidades Trimestrales'!G24</f>
        <v>1</v>
      </c>
    </row>
    <row r="27" spans="1:11" ht="27.75" customHeight="1" thickBot="1">
      <c r="A27" s="55">
        <v>16</v>
      </c>
      <c r="B27" s="55"/>
      <c r="C27" s="110" t="str">
        <f>'Necesidades Trimestrales'!E25</f>
        <v>CONTROL POSITIVO TOXOPLASMOSIS IG M</v>
      </c>
      <c r="D27" s="110"/>
      <c r="E27" s="110"/>
      <c r="F27" s="110"/>
      <c r="G27" s="110"/>
      <c r="H27" s="56" t="s">
        <v>53</v>
      </c>
      <c r="I27" s="57" t="str">
        <f>'Necesidades Trimestrales'!F25</f>
        <v>FRASCO</v>
      </c>
      <c r="J27" s="59">
        <f>'Necesidades Trimestrales'!H25</f>
        <v>8000</v>
      </c>
      <c r="K27" s="58">
        <f>'Necesidades Trimestrales'!G25</f>
        <v>1</v>
      </c>
    </row>
    <row r="28" spans="1:11" ht="27.75" customHeight="1" thickBot="1">
      <c r="A28" s="55">
        <v>17</v>
      </c>
      <c r="B28" s="55"/>
      <c r="C28" s="110" t="str">
        <f>'Necesidades Trimestrales'!E26</f>
        <v>CRHOMAGAR MSRA POWDER C/SUPLEMENTO P/5000 ML</v>
      </c>
      <c r="D28" s="110"/>
      <c r="E28" s="110"/>
      <c r="F28" s="110"/>
      <c r="G28" s="110"/>
      <c r="H28" s="56" t="s">
        <v>53</v>
      </c>
      <c r="I28" s="57" t="str">
        <f>'Necesidades Trimestrales'!F26</f>
        <v>FRASCO</v>
      </c>
      <c r="J28" s="59">
        <f>'Necesidades Trimestrales'!H26</f>
        <v>59498</v>
      </c>
      <c r="K28" s="58">
        <f>'Necesidades Trimestrales'!G26</f>
        <v>1</v>
      </c>
    </row>
    <row r="29" spans="1:11" ht="27.75" customHeight="1" thickBot="1">
      <c r="A29" s="55">
        <v>18</v>
      </c>
      <c r="B29" s="55"/>
      <c r="C29" s="110" t="str">
        <f>'Necesidades Trimestrales'!E27</f>
        <v>CRHOMAGAR ORIENTACION P/5000 ML</v>
      </c>
      <c r="D29" s="110"/>
      <c r="E29" s="110"/>
      <c r="F29" s="110"/>
      <c r="G29" s="110"/>
      <c r="H29" s="56" t="s">
        <v>53</v>
      </c>
      <c r="I29" s="57" t="str">
        <f>'Necesidades Trimestrales'!F27</f>
        <v>FRASCO</v>
      </c>
      <c r="J29" s="59">
        <f>'Necesidades Trimestrales'!H27</f>
        <v>41702</v>
      </c>
      <c r="K29" s="58">
        <f>'Necesidades Trimestrales'!G27</f>
        <v>1</v>
      </c>
    </row>
    <row r="30" spans="1:11" ht="27.75" customHeight="1" thickBot="1">
      <c r="A30" s="55">
        <v>19</v>
      </c>
      <c r="B30" s="55"/>
      <c r="C30" s="110" t="str">
        <f>'Necesidades Trimestrales'!E28</f>
        <v>ENA KIT SCREENING (ELISA)–   ALTERNATIVA</v>
      </c>
      <c r="D30" s="110"/>
      <c r="E30" s="110"/>
      <c r="F30" s="110"/>
      <c r="G30" s="110"/>
      <c r="H30" s="56" t="s">
        <v>53</v>
      </c>
      <c r="I30" s="57" t="str">
        <f>'Necesidades Trimestrales'!F28</f>
        <v>CAJA</v>
      </c>
      <c r="J30" s="59">
        <f>'Necesidades Trimestrales'!H28</f>
        <v>39997</v>
      </c>
      <c r="K30" s="58">
        <f>'Necesidades Trimestrales'!G28</f>
        <v>1</v>
      </c>
    </row>
    <row r="31" spans="1:11" ht="27.75" customHeight="1" thickBot="1">
      <c r="A31" s="55">
        <v>20</v>
      </c>
      <c r="B31" s="55"/>
      <c r="C31" s="110" t="str">
        <f>'Necesidades Trimestrales'!E29</f>
        <v>FRASCOS BACT/ALERT PF FAN PEDIATRICOS- TIPO BIOMERIEUX</v>
      </c>
      <c r="D31" s="110"/>
      <c r="E31" s="110"/>
      <c r="F31" s="110"/>
      <c r="G31" s="110"/>
      <c r="H31" s="56" t="s">
        <v>53</v>
      </c>
      <c r="I31" s="57" t="str">
        <f>'Necesidades Trimestrales'!F29</f>
        <v>FRASCO</v>
      </c>
      <c r="J31" s="59">
        <f>'Necesidades Trimestrales'!H29</f>
        <v>764</v>
      </c>
      <c r="K31" s="58">
        <f>'Necesidades Trimestrales'!G29</f>
        <v>400</v>
      </c>
    </row>
    <row r="32" spans="1:11" ht="27.75" customHeight="1" thickBot="1">
      <c r="A32" s="55">
        <v>21</v>
      </c>
      <c r="B32" s="55"/>
      <c r="C32" s="110" t="str">
        <f>'Necesidades Trimestrales'!E30</f>
        <v xml:space="preserve">GLUCOSA - BIOSYSTEM X 1000 ML </v>
      </c>
      <c r="D32" s="110"/>
      <c r="E32" s="110"/>
      <c r="F32" s="110"/>
      <c r="G32" s="110"/>
      <c r="H32" s="56" t="s">
        <v>53</v>
      </c>
      <c r="I32" s="57" t="str">
        <f>'Necesidades Trimestrales'!F30</f>
        <v>FRASCO</v>
      </c>
      <c r="J32" s="59">
        <f>'Necesidades Trimestrales'!H30</f>
        <v>3000</v>
      </c>
      <c r="K32" s="58">
        <f>'Necesidades Trimestrales'!G30</f>
        <v>1</v>
      </c>
    </row>
    <row r="33" spans="1:14" ht="27.75" customHeight="1" thickBot="1">
      <c r="A33" s="55">
        <v>22</v>
      </c>
      <c r="B33" s="55"/>
      <c r="C33" s="110" t="str">
        <f>'Necesidades Trimestrales'!E31</f>
        <v>IMPRONTAS MYCOPLASMA PNEUMONIAE ( X 12 POCILLOS)–  ALTERNATIVA</v>
      </c>
      <c r="D33" s="110"/>
      <c r="E33" s="110"/>
      <c r="F33" s="110"/>
      <c r="G33" s="110"/>
      <c r="H33" s="56" t="s">
        <v>53</v>
      </c>
      <c r="I33" s="57" t="str">
        <f>'Necesidades Trimestrales'!F31</f>
        <v>UNIDAD</v>
      </c>
      <c r="J33" s="59">
        <f>'Necesidades Trimestrales'!H31</f>
        <v>2500</v>
      </c>
      <c r="K33" s="58">
        <f>'Necesidades Trimestrales'!G31</f>
        <v>3</v>
      </c>
    </row>
    <row r="34" spans="1:14" ht="27.75" customHeight="1" thickBot="1">
      <c r="A34" s="55">
        <v>23</v>
      </c>
      <c r="B34" s="55"/>
      <c r="C34" s="110" t="str">
        <f>'Necesidades Trimestrales'!E32</f>
        <v>IMPRONTAS TOXOPLASMOSIS (IFI)(X12 POCILLOS) -   ALTERNATIVA</v>
      </c>
      <c r="D34" s="110"/>
      <c r="E34" s="110"/>
      <c r="F34" s="110"/>
      <c r="G34" s="110"/>
      <c r="H34" s="56" t="s">
        <v>53</v>
      </c>
      <c r="I34" s="57" t="str">
        <f>'Necesidades Trimestrales'!F32</f>
        <v>UNIDAD</v>
      </c>
      <c r="J34" s="59">
        <f>'Necesidades Trimestrales'!H32</f>
        <v>1757</v>
      </c>
      <c r="K34" s="58">
        <f>'Necesidades Trimestrales'!G32</f>
        <v>10</v>
      </c>
    </row>
    <row r="35" spans="1:14" ht="27.75" customHeight="1" thickBot="1">
      <c r="A35" s="55">
        <v>24</v>
      </c>
      <c r="B35" s="55"/>
      <c r="C35" s="110" t="str">
        <f>'Necesidades Trimestrales'!E33</f>
        <v>KIT ERITROSEDIMENTACION X 100 C/PIPETA+TUBO</v>
      </c>
      <c r="D35" s="110"/>
      <c r="E35" s="110"/>
      <c r="F35" s="110"/>
      <c r="G35" s="110"/>
      <c r="H35" s="56" t="s">
        <v>53</v>
      </c>
      <c r="I35" s="57" t="str">
        <f>'Necesidades Trimestrales'!F33</f>
        <v>CAJA</v>
      </c>
      <c r="J35" s="59">
        <f>'Necesidades Trimestrales'!H33</f>
        <v>3184</v>
      </c>
      <c r="K35" s="58">
        <f>'Necesidades Trimestrales'!G33</f>
        <v>10</v>
      </c>
    </row>
    <row r="36" spans="1:14" ht="27.75" customHeight="1" thickBot="1">
      <c r="A36" s="55">
        <v>25</v>
      </c>
      <c r="B36" s="55"/>
      <c r="C36" s="110" t="str">
        <f>'Necesidades Trimestrales'!E34</f>
        <v>MONOTEST</v>
      </c>
      <c r="D36" s="110"/>
      <c r="E36" s="110"/>
      <c r="F36" s="110"/>
      <c r="G36" s="110"/>
      <c r="H36" s="56" t="s">
        <v>53</v>
      </c>
      <c r="I36" s="57" t="str">
        <f>'Necesidades Trimestrales'!F34</f>
        <v>CAJA</v>
      </c>
      <c r="J36" s="59">
        <f>'Necesidades Trimestrales'!H34</f>
        <v>4045</v>
      </c>
      <c r="K36" s="58">
        <f>'Necesidades Trimestrales'!G34</f>
        <v>2</v>
      </c>
    </row>
    <row r="37" spans="1:14" ht="27.75" customHeight="1" thickBot="1">
      <c r="A37" s="55">
        <v>26</v>
      </c>
      <c r="B37" s="55"/>
      <c r="C37" s="110" t="str">
        <f>'Necesidades Trimestrales'!E35</f>
        <v>PAPEL P/CONTADOR MINDRAY BC3000 PLUS X6</v>
      </c>
      <c r="D37" s="110"/>
      <c r="E37" s="110"/>
      <c r="F37" s="110"/>
      <c r="G37" s="110"/>
      <c r="H37" s="56" t="s">
        <v>53</v>
      </c>
      <c r="I37" s="57" t="str">
        <f>'Necesidades Trimestrales'!F35</f>
        <v>PAQUETE</v>
      </c>
      <c r="J37" s="59">
        <f>'Necesidades Trimestrales'!H35</f>
        <v>2438</v>
      </c>
      <c r="K37" s="58">
        <f>'Necesidades Trimestrales'!G35</f>
        <v>12</v>
      </c>
    </row>
    <row r="38" spans="1:14" ht="27.75" customHeight="1" thickBot="1">
      <c r="A38" s="55">
        <v>27</v>
      </c>
      <c r="B38" s="55"/>
      <c r="C38" s="110" t="str">
        <f>'Necesidades Trimestrales'!E36</f>
        <v>ROTAVIRUS ELISA X 96 DET. –ALTERNATIVA</v>
      </c>
      <c r="D38" s="110"/>
      <c r="E38" s="110"/>
      <c r="F38" s="110"/>
      <c r="G38" s="110"/>
      <c r="H38" s="56" t="s">
        <v>53</v>
      </c>
      <c r="I38" s="57" t="str">
        <f>'Necesidades Trimestrales'!F36</f>
        <v>CAJA</v>
      </c>
      <c r="J38" s="59">
        <f>'Necesidades Trimestrales'!H36</f>
        <v>57000</v>
      </c>
      <c r="K38" s="58">
        <f>'Necesidades Trimestrales'!G36</f>
        <v>1</v>
      </c>
    </row>
    <row r="39" spans="1:14" ht="27.75" customHeight="1" thickBot="1">
      <c r="A39" s="55">
        <v>28</v>
      </c>
      <c r="B39" s="55"/>
      <c r="C39" s="110" t="str">
        <f>'Necesidades Trimestrales'!E37</f>
        <v>SORBENT PARA FTA-ABS SÍFILIS- ALTERNATIVA</v>
      </c>
      <c r="D39" s="110"/>
      <c r="E39" s="110"/>
      <c r="F39" s="110"/>
      <c r="G39" s="110"/>
      <c r="H39" s="56" t="s">
        <v>53</v>
      </c>
      <c r="I39" s="57" t="str">
        <f>'Necesidades Trimestrales'!F37</f>
        <v>FRASCO</v>
      </c>
      <c r="J39" s="59">
        <f>'Necesidades Trimestrales'!H37</f>
        <v>8500</v>
      </c>
      <c r="K39" s="58">
        <f>'Necesidades Trimestrales'!G37</f>
        <v>1</v>
      </c>
    </row>
    <row r="40" spans="1:14" ht="27.75" customHeight="1" thickBot="1">
      <c r="A40" s="55">
        <v>29</v>
      </c>
      <c r="B40" s="55"/>
      <c r="C40" s="110" t="str">
        <f>'Necesidades Trimestrales'!E38</f>
        <v>SUPLEMENTO CRHOMAGAR KPC P/5000ML</v>
      </c>
      <c r="D40" s="110"/>
      <c r="E40" s="110"/>
      <c r="F40" s="110"/>
      <c r="G40" s="110"/>
      <c r="H40" s="56" t="s">
        <v>53</v>
      </c>
      <c r="I40" s="57" t="str">
        <f>'Necesidades Trimestrales'!F38</f>
        <v>FRASCO</v>
      </c>
      <c r="J40" s="59">
        <f>'Necesidades Trimestrales'!H38</f>
        <v>25273</v>
      </c>
      <c r="K40" s="58">
        <f>'Necesidades Trimestrales'!G38</f>
        <v>1</v>
      </c>
    </row>
    <row r="41" spans="1:14" ht="27.75" customHeight="1" thickBot="1">
      <c r="A41" s="55">
        <v>30</v>
      </c>
      <c r="B41" s="55"/>
      <c r="C41" s="110" t="str">
        <f>'Necesidades Trimestrales'!E39</f>
        <v>TUBOS TAPA CELESTE X 1ML</v>
      </c>
      <c r="D41" s="110"/>
      <c r="E41" s="110"/>
      <c r="F41" s="110"/>
      <c r="G41" s="110"/>
      <c r="H41" s="56" t="s">
        <v>53</v>
      </c>
      <c r="I41" s="57" t="str">
        <f>'Necesidades Trimestrales'!F39</f>
        <v>UNIDAD</v>
      </c>
      <c r="J41" s="59">
        <f>'Necesidades Trimestrales'!H39</f>
        <v>17.32</v>
      </c>
      <c r="K41" s="58">
        <f>'Necesidades Trimestrales'!G39</f>
        <v>1000</v>
      </c>
    </row>
    <row r="42" spans="1:14" ht="27.75" customHeight="1" thickBot="1">
      <c r="A42" s="55">
        <v>31</v>
      </c>
      <c r="B42" s="55"/>
      <c r="C42" s="110" t="str">
        <f>'Necesidades Trimestrales'!E40</f>
        <v>TUBOS TAPA LILA X 1ML C/EDTA</v>
      </c>
      <c r="D42" s="110"/>
      <c r="E42" s="110"/>
      <c r="F42" s="110"/>
      <c r="G42" s="110"/>
      <c r="H42" s="56" t="s">
        <v>53</v>
      </c>
      <c r="I42" s="57" t="str">
        <f>'Necesidades Trimestrales'!F40</f>
        <v>UNIDAD</v>
      </c>
      <c r="J42" s="59">
        <f>'Necesidades Trimestrales'!H40</f>
        <v>8.1999999999999993</v>
      </c>
      <c r="K42" s="58">
        <f>'Necesidades Trimestrales'!G40</f>
        <v>4000</v>
      </c>
    </row>
    <row r="43" spans="1:14" ht="20.25" customHeight="1" thickBot="1">
      <c r="A43" s="107" t="s">
        <v>101</v>
      </c>
      <c r="B43" s="108"/>
      <c r="C43" s="108"/>
      <c r="D43" s="108"/>
      <c r="E43" s="108"/>
      <c r="F43" s="108"/>
      <c r="G43" s="108"/>
      <c r="H43" s="108"/>
      <c r="I43" s="108"/>
      <c r="J43" s="109">
        <f>SUMPRODUCT(J12:J42,K12:K42)</f>
        <v>939930</v>
      </c>
      <c r="K43" s="109"/>
      <c r="N43" s="31"/>
    </row>
  </sheetData>
  <mergeCells count="53">
    <mergeCell ref="C37:G37"/>
    <mergeCell ref="C38:G38"/>
    <mergeCell ref="C41:G41"/>
    <mergeCell ref="C42:G42"/>
    <mergeCell ref="C39:G39"/>
    <mergeCell ref="C40:G40"/>
    <mergeCell ref="C32:G32"/>
    <mergeCell ref="C33:G33"/>
    <mergeCell ref="C34:G34"/>
    <mergeCell ref="C35:G35"/>
    <mergeCell ref="C36:G36"/>
    <mergeCell ref="C22:G22"/>
    <mergeCell ref="C23:G23"/>
    <mergeCell ref="C24:G24"/>
    <mergeCell ref="C30:G30"/>
    <mergeCell ref="C31:G31"/>
    <mergeCell ref="C28:G28"/>
    <mergeCell ref="C29:G29"/>
    <mergeCell ref="C25:G25"/>
    <mergeCell ref="C26:G26"/>
    <mergeCell ref="C27:G27"/>
    <mergeCell ref="C17:G17"/>
    <mergeCell ref="C18:G18"/>
    <mergeCell ref="C19:G19"/>
    <mergeCell ref="C20:G20"/>
    <mergeCell ref="C21:G2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43:I43"/>
    <mergeCell ref="J43:K43"/>
    <mergeCell ref="C12:G12"/>
    <mergeCell ref="C13:G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"/>
  <sheetViews>
    <sheetView topLeftCell="A11" zoomScale="130" zoomScaleNormal="130" workbookViewId="0">
      <selection activeCell="A21" sqref="A21:Q21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58" t="s">
        <v>3</v>
      </c>
      <c r="B1" s="158"/>
      <c r="C1" s="158"/>
      <c r="D1" s="159">
        <f>'Necesidades Trimestrales'!C6</f>
        <v>2021</v>
      </c>
      <c r="E1" s="159"/>
      <c r="F1" s="3"/>
      <c r="G1" s="3"/>
      <c r="H1" s="4"/>
      <c r="I1" s="4"/>
      <c r="J1" s="4"/>
      <c r="K1" s="4"/>
      <c r="L1" s="4"/>
      <c r="M1" s="4"/>
      <c r="N1" s="4"/>
      <c r="P1" s="160" t="s">
        <v>25</v>
      </c>
      <c r="Q1" s="160"/>
    </row>
    <row r="2" spans="1:17" ht="15.75" customHeight="1">
      <c r="H2" s="4"/>
      <c r="I2" s="4"/>
      <c r="J2" s="4"/>
      <c r="K2" s="4"/>
      <c r="L2" s="4"/>
      <c r="M2" s="4"/>
      <c r="N2" s="4"/>
      <c r="P2" s="160"/>
      <c r="Q2" s="160"/>
    </row>
    <row r="4" spans="1:17" s="5" customFormat="1" ht="18" customHeight="1" thickBot="1">
      <c r="A4" s="161" t="s">
        <v>26</v>
      </c>
      <c r="B4" s="161"/>
      <c r="C4" s="161"/>
      <c r="D4" s="161"/>
      <c r="E4" s="161"/>
      <c r="F4" s="161"/>
      <c r="G4" s="155" t="str">
        <f>' NotaPedido'!D3</f>
        <v>040 - Ministerio de Salud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s="5" customFormat="1" ht="18" customHeight="1" thickBot="1">
      <c r="A5" s="152" t="s">
        <v>49</v>
      </c>
      <c r="B5" s="153"/>
      <c r="C5" s="153"/>
      <c r="D5" s="153"/>
      <c r="E5" s="153"/>
      <c r="F5" s="154"/>
      <c r="G5" s="155" t="str">
        <f>' NotaPedido'!D4</f>
        <v>024 - Hospital Interzonal de Niños Eva Perón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s="5" customFormat="1" ht="18" customHeight="1" thickBot="1">
      <c r="A6" s="152" t="s">
        <v>27</v>
      </c>
      <c r="B6" s="153"/>
      <c r="C6" s="153"/>
      <c r="D6" s="153"/>
      <c r="E6" s="153"/>
      <c r="F6" s="154"/>
      <c r="G6" s="155" t="str">
        <f>' NotaPedido'!D5</f>
        <v>024 - Hospital Interzonal de Niños Eva Perón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s="5" customFormat="1" ht="18" customHeight="1" thickBot="1">
      <c r="A7" s="152" t="s">
        <v>50</v>
      </c>
      <c r="B7" s="153"/>
      <c r="C7" s="153"/>
      <c r="D7" s="153"/>
      <c r="E7" s="153"/>
      <c r="F7" s="154"/>
      <c r="G7" s="157" t="s">
        <v>61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>
      <c r="A8" s="156" t="s">
        <v>28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>
      <c r="A9" s="141" t="s">
        <v>29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"/>
      <c r="P9" s="1"/>
      <c r="Q9" s="6"/>
    </row>
    <row r="10" spans="1:17" ht="54.75" customHeight="1">
      <c r="A10" s="14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111/2021,  afectando la erogación resultante a los créditos presupuestarios aprobados a favor de esta Unidad Ejecutora, conforme al siguiente detalle: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43" t="s">
        <v>30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thickBot="1">
      <c r="A13" s="144" t="s">
        <v>31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32</v>
      </c>
      <c r="P13" s="147"/>
      <c r="Q13" s="150" t="s">
        <v>33</v>
      </c>
    </row>
    <row r="14" spans="1:17" ht="15.75" customHeight="1" thickBot="1">
      <c r="A14" s="32" t="s">
        <v>34</v>
      </c>
      <c r="B14" s="33" t="s">
        <v>35</v>
      </c>
      <c r="C14" s="33" t="s">
        <v>36</v>
      </c>
      <c r="D14" s="33" t="s">
        <v>37</v>
      </c>
      <c r="E14" s="33" t="s">
        <v>38</v>
      </c>
      <c r="F14" s="33" t="s">
        <v>39</v>
      </c>
      <c r="G14" s="34" t="s">
        <v>40</v>
      </c>
      <c r="H14" s="33" t="s">
        <v>41</v>
      </c>
      <c r="I14" s="33" t="s">
        <v>42</v>
      </c>
      <c r="J14" s="33" t="s">
        <v>43</v>
      </c>
      <c r="K14" s="33" t="s">
        <v>43</v>
      </c>
      <c r="L14" s="33" t="s">
        <v>44</v>
      </c>
      <c r="M14" s="35" t="s">
        <v>45</v>
      </c>
      <c r="N14" s="36" t="s">
        <v>46</v>
      </c>
      <c r="O14" s="148"/>
      <c r="P14" s="149"/>
      <c r="Q14" s="151"/>
    </row>
    <row r="15" spans="1:17" ht="26.25" customHeight="1">
      <c r="A15" s="46">
        <v>36</v>
      </c>
      <c r="B15" s="47"/>
      <c r="C15" s="47"/>
      <c r="D15" s="47">
        <v>1</v>
      </c>
      <c r="E15" s="47"/>
      <c r="F15" s="47">
        <v>4901</v>
      </c>
      <c r="G15" s="47">
        <v>3</v>
      </c>
      <c r="H15" s="47">
        <v>1</v>
      </c>
      <c r="I15" s="47">
        <v>2</v>
      </c>
      <c r="J15" s="47">
        <v>5</v>
      </c>
      <c r="K15" s="47">
        <v>1</v>
      </c>
      <c r="L15" s="47"/>
      <c r="M15" s="48">
        <v>1</v>
      </c>
      <c r="N15" s="49" t="s">
        <v>52</v>
      </c>
      <c r="O15" s="133" t="s">
        <v>62</v>
      </c>
      <c r="P15" s="134"/>
      <c r="Q15" s="97">
        <v>901114</v>
      </c>
    </row>
    <row r="16" spans="1:17" ht="36.75" customHeight="1">
      <c r="A16" s="50">
        <v>36</v>
      </c>
      <c r="B16" s="11"/>
      <c r="C16" s="11"/>
      <c r="D16" s="11">
        <v>1</v>
      </c>
      <c r="E16" s="11"/>
      <c r="F16" s="11">
        <v>4901</v>
      </c>
      <c r="G16" s="11">
        <v>3</v>
      </c>
      <c r="H16" s="11">
        <v>1</v>
      </c>
      <c r="I16" s="11">
        <v>2</v>
      </c>
      <c r="J16" s="11">
        <v>9</v>
      </c>
      <c r="K16" s="11">
        <v>5</v>
      </c>
      <c r="L16" s="11"/>
      <c r="M16" s="12">
        <v>1</v>
      </c>
      <c r="N16" s="44" t="s">
        <v>52</v>
      </c>
      <c r="O16" s="135" t="s">
        <v>98</v>
      </c>
      <c r="P16" s="136"/>
      <c r="Q16" s="98">
        <v>9560</v>
      </c>
    </row>
    <row r="17" spans="1:18" ht="17.25" customHeight="1">
      <c r="A17" s="50">
        <v>36</v>
      </c>
      <c r="B17" s="11"/>
      <c r="C17" s="11"/>
      <c r="D17" s="11">
        <v>1</v>
      </c>
      <c r="E17" s="11"/>
      <c r="F17" s="11">
        <v>4901</v>
      </c>
      <c r="G17" s="11">
        <v>3</v>
      </c>
      <c r="H17" s="11">
        <v>1</v>
      </c>
      <c r="I17" s="11">
        <v>2</v>
      </c>
      <c r="J17" s="11">
        <v>3</v>
      </c>
      <c r="K17" s="11">
        <v>4</v>
      </c>
      <c r="L17" s="11"/>
      <c r="M17" s="12">
        <v>1</v>
      </c>
      <c r="N17" s="44" t="s">
        <v>52</v>
      </c>
      <c r="O17" s="125" t="s">
        <v>104</v>
      </c>
      <c r="P17" s="126"/>
      <c r="Q17" s="98">
        <v>29256</v>
      </c>
    </row>
    <row r="18" spans="1:18" ht="17.25" customHeight="1">
      <c r="A18" s="51"/>
      <c r="B18" s="13"/>
      <c r="C18" s="13"/>
      <c r="D18" s="13"/>
      <c r="E18" s="13"/>
      <c r="F18" s="14"/>
      <c r="G18" s="13"/>
      <c r="H18" s="13"/>
      <c r="I18" s="13"/>
      <c r="J18" s="13"/>
      <c r="K18" s="13"/>
      <c r="L18" s="13"/>
      <c r="M18" s="15"/>
      <c r="N18" s="45"/>
      <c r="O18" s="125"/>
      <c r="P18" s="127"/>
      <c r="Q18" s="98"/>
      <c r="R18" s="1"/>
    </row>
    <row r="19" spans="1:18" ht="17.25" customHeight="1" thickBot="1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N19" s="54"/>
      <c r="O19" s="128"/>
      <c r="P19" s="129"/>
      <c r="Q19" s="99"/>
    </row>
    <row r="20" spans="1:18" ht="29.25" customHeight="1" thickBot="1">
      <c r="A20" s="130" t="s">
        <v>99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00">
        <f>SUM(Q15:Q19)</f>
        <v>939930</v>
      </c>
    </row>
    <row r="21" spans="1:18" ht="18" customHeight="1" thickBot="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</row>
    <row r="22" spans="1:18" ht="17.25" customHeight="1">
      <c r="A22" s="137" t="s">
        <v>47</v>
      </c>
      <c r="B22" s="138"/>
      <c r="C22" s="138"/>
      <c r="D22" s="138"/>
      <c r="E22" s="138"/>
      <c r="F22" s="138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40"/>
    </row>
    <row r="23" spans="1:18" ht="18" customHeight="1" thickBot="1">
      <c r="A23" s="119" t="s">
        <v>103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1"/>
    </row>
    <row r="24" spans="1:18" ht="26.25" customHeight="1" thickBot="1">
      <c r="A24" s="122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22:F22"/>
    <mergeCell ref="G22:Q22"/>
    <mergeCell ref="A9:N9"/>
    <mergeCell ref="A10:Q10"/>
    <mergeCell ref="A12:Q12"/>
    <mergeCell ref="A13:N13"/>
    <mergeCell ref="O13:P14"/>
    <mergeCell ref="Q13:Q14"/>
    <mergeCell ref="A23:Q24"/>
    <mergeCell ref="O17:P17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Ponce</cp:lastModifiedBy>
  <cp:revision>2</cp:revision>
  <cp:lastPrinted>2020-07-23T13:47:13Z</cp:lastPrinted>
  <dcterms:created xsi:type="dcterms:W3CDTF">2020-07-17T23:44:49Z</dcterms:created>
  <dcterms:modified xsi:type="dcterms:W3CDTF">2021-07-14T01:27:40Z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