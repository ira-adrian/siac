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15" windowWidth="16605" windowHeight="9375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2" i="2" l="1"/>
  <c r="J12" i="2"/>
  <c r="Q15" i="3" s="1"/>
  <c r="C12" i="2"/>
  <c r="B12" i="2"/>
  <c r="I10" i="1"/>
  <c r="J13" i="2" l="1"/>
  <c r="G6" i="3"/>
  <c r="G7" i="3"/>
  <c r="D3" i="2"/>
  <c r="G4" i="3" s="1"/>
  <c r="D4" i="2"/>
  <c r="G5" i="3" s="1"/>
  <c r="A10" i="3" l="1"/>
  <c r="D1" i="3"/>
  <c r="Q16" i="3"/>
</calcChain>
</file>

<file path=xl/sharedStrings.xml><?xml version="1.0" encoding="utf-8"?>
<sst xmlns="http://schemas.openxmlformats.org/spreadsheetml/2006/main" count="85" uniqueCount="78">
  <si>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</si>
  <si>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</si>
  <si>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</si>
  <si>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</si>
  <si>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</si>
  <si>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</si>
  <si>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</si>
  <si>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</si>
  <si>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</si>
  <si>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</si>
  <si>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</si>
  <si>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</si>
  <si>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</si>
  <si>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</si>
  <si>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</si>
  <si>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</si>
  <si>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</si>
  <si>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</si>
  <si>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</si>
  <si>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</si>
  <si>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</si>
  <si>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</si>
  <si>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</si>
  <si>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</si>
  <si>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</si>
  <si>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</si>
  <si>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</si>
  <si>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</si>
  <si>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</si>
  <si>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</si>
  <si>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</si>
  <si>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</si>
  <si>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</si>
  <si>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</si>
  <si>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</si>
  <si>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</si>
  <si>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</si>
  <si>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</si>
  <si>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</si>
  <si>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</si>
  <si>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</si>
  <si>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</si>
  <si>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</si>
  <si>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</si>
  <si>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</si>
  <si>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</si>
  <si>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</si>
  <si>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</si>
  <si>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</si>
  <si>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</si>
  <si>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</si>
  <si>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</si>
  <si>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</si>
  <si>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TOTAL DE PESOS: 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</si>
  <si>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</si>
  <si>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</si>
  <si>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</si>
  <si>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</si>
  <si>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</si>
  <si>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7 - Direccion de Administracion de la Policia de la Provincia de Catamarca</t>
  </si>
  <si>
    <t>Policía de la Provincia de Catamarca</t>
  </si>
  <si>
    <t>1.1</t>
  </si>
  <si>
    <t>Especificidades de todos los Items.</t>
  </si>
  <si>
    <t>4.4.0-2939.12</t>
  </si>
  <si>
    <t xml:space="preserve">EQUIPO MILITAR Y DE SEGURIDAD </t>
  </si>
  <si>
    <t>PISTOLAS; CALIBRE: 9 MM X 19 NATO, TIPO: DOBLE Y SIMPLE ACCION</t>
  </si>
  <si>
    <t>División Armamento y Municiones - Dpto. Logística - Policía de Catamarca</t>
  </si>
  <si>
    <t>Adquisición de armas reglamentarias destinadas al personal policial.</t>
  </si>
  <si>
    <t>SI</t>
  </si>
  <si>
    <t>El bien a proveer deberá contar con las siguientes ESPECIFICACIONES TÉCNICAS: Pistola de funcionamiento semiautomático Calibre 9x19 milímetros. Acción: Simple y doble. Martillo: externo. Seguros: externos ambidiestro, seguro automático de aguja percutora. Peso: No mayor a 1.000 grs. (con cargador vacio)  Aparato de puntería: alza y guión fijos. Cargador: con dos (2) cargadores - Capacidad no menor a 14 cartuchos. Terminación: pavonado mate. La registración en la ANMAC a cuenta del proveedor.</t>
  </si>
  <si>
    <t>Que Cumpla con lo Solicitado de Forma Integra. -</t>
  </si>
  <si>
    <r>
      <t xml:space="preserve">a) </t>
    </r>
    <r>
      <rPr>
        <b/>
        <sz val="10"/>
        <rFont val="Times New Roman"/>
        <family val="1"/>
      </rPr>
      <t>LUGAR DE ENTREGA</t>
    </r>
    <r>
      <rPr>
        <sz val="10"/>
        <rFont val="Times New Roman"/>
        <family val="1"/>
      </rPr>
      <t>: En la División Armamento y Municiones  - Policía de Catamarca– sito en Chacabuco 809 San Fernando del Valle de Catamarca.  Horario: 08 a 12 horas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quince (15) días hábiles, contados a partir de la recepción de la comunicación prevista en el Artículo 80° de del Reglamento Pracial N° 2 de la ley 4938.</t>
    </r>
  </si>
  <si>
    <t>Adquisición de armas reglamentarias destinadas al personal policial.-</t>
  </si>
  <si>
    <t>4.4.0</t>
  </si>
  <si>
    <t>89/2020</t>
  </si>
  <si>
    <t>Costo total estimado:  Dieciséis Millones Cuatrocientos Cincuenta y Seis Mil Quinientos con 00/100</t>
  </si>
  <si>
    <t>Son Pesos Dieciséis Millones Cuatrocientos Cincuenta y Seis Mil Quinientos con 00/100</t>
  </si>
  <si>
    <t>4° trimestre- Año 2020.-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</si>
</sst>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5" xfId="0" applyFont="1" applyBorder="1" applyAlignment="1">
      <alignment horizontal="right" vertical="center"/>
    </xf>
    <xf numFmtId="0" fontId="5" fillId="0" borderId="17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5" xfId="0" applyBorder="1"/>
    <xf numFmtId="0" fontId="0" fillId="0" borderId="29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0" xfId="0" applyBorder="1"/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/>
    </xf>
    <xf numFmtId="0" fontId="13" fillId="0" borderId="34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9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15" fillId="0" borderId="8" xfId="0" applyFont="1" applyBorder="1"/>
    <xf numFmtId="0" fontId="15" fillId="0" borderId="0" xfId="0" applyFont="1" applyBorder="1"/>
    <xf numFmtId="0" fontId="19" fillId="0" borderId="0" xfId="0" applyFont="1" applyFill="1" applyAlignment="1">
      <alignment horizontal="left" wrapText="1"/>
    </xf>
    <xf numFmtId="0" fontId="19" fillId="0" borderId="2" xfId="0" applyFont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5" fillId="0" borderId="9" xfId="0" applyFont="1" applyBorder="1" applyAlignment="1">
      <alignment horizontal="left"/>
    </xf>
    <xf numFmtId="0" fontId="15" fillId="0" borderId="11" xfId="0" applyFont="1" applyBorder="1" applyAlignment="1">
      <alignment horizontal="left"/>
    </xf>
    <xf numFmtId="169" fontId="19" fillId="0" borderId="2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9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9" fontId="14" fillId="0" borderId="4" xfId="1" applyNumberFormat="1" applyBorder="1" applyAlignment="1" applyProtection="1">
      <alignment horizontal="center" vertical="center"/>
    </xf>
    <xf numFmtId="0" fontId="15" fillId="0" borderId="0" xfId="0" applyFont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166" fontId="24" fillId="0" borderId="38" xfId="3" applyNumberFormat="1" applyFont="1" applyBorder="1" applyAlignment="1" applyProtection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11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11" xfId="0" applyFont="1" applyFill="1" applyBorder="1" applyAlignment="1">
      <alignment horizontal="left" wrapText="1"/>
    </xf>
    <xf numFmtId="0" fontId="15" fillId="0" borderId="13" xfId="0" applyFont="1" applyFill="1" applyBorder="1" applyAlignment="1">
      <alignment horizontal="center" vertical="center"/>
    </xf>
    <xf numFmtId="0" fontId="15" fillId="0" borderId="13" xfId="0" applyFont="1" applyFill="1" applyBorder="1"/>
    <xf numFmtId="0" fontId="15" fillId="0" borderId="14" xfId="0" applyFont="1" applyFill="1" applyBorder="1" applyAlignment="1">
      <alignment horizontal="left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/>
    <xf numFmtId="0" fontId="15" fillId="0" borderId="0" xfId="0" applyFont="1" applyFill="1" applyAlignment="1">
      <alignment horizontal="left"/>
    </xf>
    <xf numFmtId="3" fontId="15" fillId="0" borderId="4" xfId="0" applyNumberFormat="1" applyFont="1" applyFill="1" applyBorder="1" applyAlignment="1">
      <alignment horizontal="center" vertical="center"/>
    </xf>
    <xf numFmtId="169" fontId="15" fillId="0" borderId="4" xfId="1" applyNumberFormat="1" applyFont="1" applyBorder="1" applyAlignment="1" applyProtection="1">
      <alignment horizontal="center" vertical="center"/>
    </xf>
    <xf numFmtId="169" fontId="15" fillId="0" borderId="5" xfId="0" applyNumberFormat="1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/>
    </xf>
    <xf numFmtId="0" fontId="15" fillId="0" borderId="6" xfId="0" applyFont="1" applyBorder="1"/>
    <xf numFmtId="166" fontId="13" fillId="3" borderId="39" xfId="0" applyNumberFormat="1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 wrapText="1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24" fillId="0" borderId="36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left" wrapText="1"/>
    </xf>
    <xf numFmtId="0" fontId="15" fillId="0" borderId="11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left" wrapText="1" indent="1"/>
    </xf>
    <xf numFmtId="0" fontId="6" fillId="0" borderId="46" xfId="0" applyFont="1" applyFill="1" applyBorder="1" applyAlignment="1">
      <alignment horizontal="left" vertical="center" wrapText="1" indent="1"/>
    </xf>
    <xf numFmtId="167" fontId="7" fillId="0" borderId="46" xfId="0" applyNumberFormat="1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left" vertical="center" wrapText="1" indent="1"/>
    </xf>
    <xf numFmtId="0" fontId="8" fillId="0" borderId="21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 indent="1"/>
    </xf>
    <xf numFmtId="0" fontId="7" fillId="0" borderId="20" xfId="0" applyFont="1" applyBorder="1" applyAlignment="1">
      <alignment horizontal="left" vertical="center" wrapText="1"/>
    </xf>
    <xf numFmtId="0" fontId="9" fillId="0" borderId="24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27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horizontal="left" vertical="center" wrapText="1"/>
    </xf>
    <xf numFmtId="0" fontId="11" fillId="0" borderId="29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left" vertical="center" wrapText="1"/>
    </xf>
    <xf numFmtId="0" fontId="11" fillId="0" borderId="30" xfId="0" applyFont="1" applyFill="1" applyBorder="1" applyAlignment="1">
      <alignment horizontal="left" vertical="center" wrapText="1"/>
    </xf>
    <xf numFmtId="0" fontId="9" fillId="0" borderId="39" xfId="0" applyFont="1" applyBorder="1" applyAlignment="1">
      <alignment horizontal="left" vertical="center" wrapText="1"/>
    </xf>
    <xf numFmtId="0" fontId="26" fillId="0" borderId="20" xfId="0" applyFont="1" applyBorder="1" applyAlignment="1">
      <alignment vertical="center"/>
    </xf>
    <xf numFmtId="0" fontId="26" fillId="0" borderId="48" xfId="0" applyFont="1" applyBorder="1" applyAlignment="1">
      <alignment vertical="center"/>
    </xf>
    <xf numFmtId="0" fontId="26" fillId="0" borderId="31" xfId="0" applyFont="1" applyBorder="1" applyAlignment="1">
      <alignment vertical="center"/>
    </xf>
    <xf numFmtId="0" fontId="27" fillId="0" borderId="37" xfId="0" applyFont="1" applyBorder="1" applyAlignment="1">
      <alignment horizontal="left" vertical="center" wrapText="1"/>
    </xf>
    <xf numFmtId="0" fontId="27" fillId="0" borderId="47" xfId="0" applyFont="1" applyBorder="1" applyAlignment="1">
      <alignment horizontal="left" vertical="center" wrapText="1"/>
    </xf>
    <xf numFmtId="0" fontId="11" fillId="0" borderId="27" xfId="0" applyFont="1" applyBorder="1"/>
    <xf numFmtId="0" fontId="11" fillId="0" borderId="28" xfId="0" applyFont="1" applyBorder="1" applyAlignment="1">
      <alignment horizontal="left" vertical="center" wrapText="1" indent="1"/>
    </xf>
    <xf numFmtId="0" fontId="13" fillId="0" borderId="2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indent="1"/>
    </xf>
    <xf numFmtId="0" fontId="12" fillId="0" borderId="16" xfId="0" applyFont="1" applyBorder="1" applyAlignment="1">
      <alignment horizontal="left"/>
    </xf>
    <xf numFmtId="0" fontId="0" fillId="0" borderId="24" xfId="0" applyFont="1" applyBorder="1" applyAlignment="1">
      <alignment horizontal="center"/>
    </xf>
    <xf numFmtId="3" fontId="9" fillId="0" borderId="25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2" fillId="0" borderId="16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1"/>
  <sheetViews>
    <sheetView topLeftCell="A4" zoomScale="90" zoomScaleNormal="90" workbookViewId="0">
      <selection activeCell="C15" sqref="C15:E15"/>
    </sheetView>
  </sheetViews>
  <sheetFormatPr baseColWidth="10" defaultColWidth="11" defaultRowHeight="12.75" x14ac:dyDescent="0.2"/>
  <cols>
    <col min="1" max="1" width="7.140625" style="39" customWidth="1"/>
    <col min="2" max="2" width="12.85546875" style="39" customWidth="1"/>
    <col min="3" max="3" width="32.85546875" style="39" customWidth="1"/>
    <col min="4" max="4" width="8.42578125" style="22" customWidth="1"/>
    <col min="5" max="5" width="78.28515625" style="31" customWidth="1"/>
    <col min="6" max="6" width="11" style="39"/>
    <col min="7" max="7" width="12.7109375" style="39" customWidth="1"/>
    <col min="8" max="8" width="13.85546875" style="39" customWidth="1"/>
    <col min="9" max="9" width="18.5703125" style="36" customWidth="1"/>
    <col min="10" max="16384" width="11" style="22"/>
  </cols>
  <sheetData>
    <row r="2" spans="1:9" ht="27" x14ac:dyDescent="0.35">
      <c r="B2" s="83" t="s">
        <v>0</v>
      </c>
      <c r="C2" s="83"/>
      <c r="D2" s="83"/>
      <c r="E2" s="83"/>
      <c r="F2" s="83"/>
      <c r="G2" s="83"/>
      <c r="H2" s="83"/>
    </row>
    <row r="4" spans="1:9" ht="18" customHeight="1" x14ac:dyDescent="0.25">
      <c r="A4" s="84" t="s">
        <v>1</v>
      </c>
      <c r="B4" s="84"/>
      <c r="C4" s="85" t="s">
        <v>58</v>
      </c>
      <c r="D4" s="85"/>
      <c r="E4" s="85"/>
      <c r="F4" s="37"/>
      <c r="G4" s="37"/>
      <c r="H4" s="37"/>
    </row>
    <row r="5" spans="1:9" ht="18" customHeight="1" x14ac:dyDescent="0.25">
      <c r="A5" s="84" t="s">
        <v>2</v>
      </c>
      <c r="B5" s="84"/>
      <c r="C5" s="85" t="s">
        <v>59</v>
      </c>
      <c r="D5" s="85"/>
      <c r="E5" s="85"/>
      <c r="F5" s="37"/>
      <c r="G5" s="37"/>
      <c r="H5" s="37"/>
    </row>
    <row r="6" spans="1:9" ht="16.5" customHeight="1" x14ac:dyDescent="0.2">
      <c r="A6" s="84" t="s">
        <v>3</v>
      </c>
      <c r="B6" s="84"/>
      <c r="C6" s="40">
        <v>2020</v>
      </c>
      <c r="D6" s="28"/>
      <c r="E6" s="28"/>
      <c r="F6" s="37"/>
      <c r="G6" s="37"/>
      <c r="H6" s="37"/>
    </row>
    <row r="7" spans="1:9" ht="16.5" customHeight="1" x14ac:dyDescent="0.2">
      <c r="A7" s="84" t="s">
        <v>4</v>
      </c>
      <c r="B7" s="84"/>
      <c r="C7" s="40">
        <v>4</v>
      </c>
      <c r="D7" s="28"/>
      <c r="E7" s="28"/>
      <c r="F7" s="37"/>
      <c r="G7" s="37"/>
      <c r="H7" s="37"/>
    </row>
    <row r="8" spans="1:9" x14ac:dyDescent="0.2">
      <c r="B8" s="37"/>
      <c r="C8" s="37"/>
      <c r="D8" s="23"/>
      <c r="E8" s="23"/>
      <c r="F8" s="37"/>
      <c r="G8" s="37"/>
      <c r="H8" s="37"/>
    </row>
    <row r="9" spans="1:9" ht="39.75" thickTop="1" thickBot="1" x14ac:dyDescent="0.25">
      <c r="A9" s="24" t="s">
        <v>5</v>
      </c>
      <c r="B9" s="24" t="s">
        <v>6</v>
      </c>
      <c r="C9" s="24" t="s">
        <v>7</v>
      </c>
      <c r="D9" s="24" t="s">
        <v>8</v>
      </c>
      <c r="E9" s="29" t="s">
        <v>9</v>
      </c>
      <c r="F9" s="24" t="s">
        <v>10</v>
      </c>
      <c r="G9" s="24" t="s">
        <v>11</v>
      </c>
      <c r="H9" s="24" t="s">
        <v>12</v>
      </c>
      <c r="I9" s="34" t="s">
        <v>13</v>
      </c>
    </row>
    <row r="10" spans="1:9" ht="18.75" customHeight="1" x14ac:dyDescent="0.2">
      <c r="A10" s="25">
        <v>1</v>
      </c>
      <c r="B10" s="68" t="s">
        <v>63</v>
      </c>
      <c r="C10" s="68" t="s">
        <v>64</v>
      </c>
      <c r="D10" s="71" t="s">
        <v>73</v>
      </c>
      <c r="E10" s="69" t="s">
        <v>65</v>
      </c>
      <c r="F10" s="67" t="s">
        <v>14</v>
      </c>
      <c r="G10" s="64">
        <v>477</v>
      </c>
      <c r="H10" s="65">
        <v>34500</v>
      </c>
      <c r="I10" s="66">
        <f>+H10*G10</f>
        <v>16456500</v>
      </c>
    </row>
    <row r="11" spans="1:9" ht="13.5" thickBot="1" x14ac:dyDescent="0.25"/>
    <row r="12" spans="1:9" x14ac:dyDescent="0.2">
      <c r="B12" s="41" t="s">
        <v>62</v>
      </c>
      <c r="C12" s="42"/>
      <c r="D12" s="26"/>
      <c r="E12" s="32"/>
    </row>
    <row r="13" spans="1:9" x14ac:dyDescent="0.2">
      <c r="B13" s="43"/>
      <c r="C13" s="44"/>
      <c r="D13" s="27"/>
      <c r="E13" s="33"/>
    </row>
    <row r="14" spans="1:9" x14ac:dyDescent="0.2">
      <c r="B14" s="45" t="s">
        <v>15</v>
      </c>
      <c r="C14" s="44"/>
      <c r="D14" s="27"/>
      <c r="E14" s="33"/>
    </row>
    <row r="15" spans="1:9" ht="87.75" customHeight="1" x14ac:dyDescent="0.2">
      <c r="B15" s="45"/>
      <c r="C15" s="81" t="s">
        <v>69</v>
      </c>
      <c r="D15" s="81"/>
      <c r="E15" s="82"/>
    </row>
    <row r="16" spans="1:9" ht="25.5" customHeight="1" x14ac:dyDescent="0.2">
      <c r="B16" s="45"/>
      <c r="C16" s="77"/>
      <c r="D16" s="77"/>
      <c r="E16" s="78"/>
    </row>
    <row r="17" spans="2:5" x14ac:dyDescent="0.2">
      <c r="B17" s="45" t="s">
        <v>16</v>
      </c>
      <c r="C17" s="44"/>
      <c r="D17" s="27"/>
      <c r="E17" s="33"/>
    </row>
    <row r="18" spans="2:5" ht="102.75" customHeight="1" x14ac:dyDescent="0.2">
      <c r="B18" s="43"/>
      <c r="C18" s="79" t="s">
        <v>71</v>
      </c>
      <c r="D18" s="79"/>
      <c r="E18" s="80"/>
    </row>
    <row r="19" spans="2:5" x14ac:dyDescent="0.2">
      <c r="B19" s="43"/>
      <c r="C19" s="76"/>
      <c r="D19" s="76"/>
      <c r="E19" s="76"/>
    </row>
    <row r="20" spans="2:5" x14ac:dyDescent="0.2">
      <c r="B20" s="45" t="s">
        <v>17</v>
      </c>
      <c r="C20" s="52"/>
      <c r="D20" s="53"/>
      <c r="E20" s="54"/>
    </row>
    <row r="21" spans="2:5" ht="48" customHeight="1" x14ac:dyDescent="0.2">
      <c r="B21" s="43"/>
      <c r="C21" s="79" t="s">
        <v>70</v>
      </c>
      <c r="D21" s="79"/>
      <c r="E21" s="80"/>
    </row>
    <row r="22" spans="2:5" x14ac:dyDescent="0.2">
      <c r="B22" s="45" t="s">
        <v>18</v>
      </c>
      <c r="C22" s="55"/>
      <c r="D22" s="56"/>
      <c r="E22" s="57"/>
    </row>
    <row r="23" spans="2:5" ht="18.75" customHeight="1" x14ac:dyDescent="0.2">
      <c r="B23" s="43"/>
      <c r="C23" s="77"/>
      <c r="D23" s="77"/>
      <c r="E23" s="78"/>
    </row>
    <row r="24" spans="2:5" x14ac:dyDescent="0.2">
      <c r="B24" s="45" t="s">
        <v>19</v>
      </c>
      <c r="C24" s="52"/>
      <c r="D24" s="53"/>
      <c r="E24" s="54"/>
    </row>
    <row r="25" spans="2:5" x14ac:dyDescent="0.2">
      <c r="B25" s="45"/>
      <c r="C25" s="76"/>
      <c r="D25" s="76"/>
      <c r="E25" s="76"/>
    </row>
    <row r="26" spans="2:5" ht="13.5" thickBot="1" x14ac:dyDescent="0.25">
      <c r="B26" s="46"/>
      <c r="C26" s="58"/>
      <c r="D26" s="59"/>
      <c r="E26" s="60"/>
    </row>
    <row r="27" spans="2:5" x14ac:dyDescent="0.2">
      <c r="C27" s="61"/>
      <c r="D27" s="62"/>
      <c r="E27" s="63"/>
    </row>
    <row r="28" spans="2:5" x14ac:dyDescent="0.2">
      <c r="C28" s="61"/>
      <c r="D28" s="62"/>
      <c r="E28" s="63"/>
    </row>
    <row r="29" spans="2:5" x14ac:dyDescent="0.2">
      <c r="C29" s="61"/>
      <c r="D29" s="62"/>
      <c r="E29" s="63"/>
    </row>
    <row r="30" spans="2:5" x14ac:dyDescent="0.2">
      <c r="C30" s="61"/>
      <c r="D30" s="62"/>
      <c r="E30" s="63"/>
    </row>
    <row r="31" spans="2:5" x14ac:dyDescent="0.2">
      <c r="C31" s="61"/>
      <c r="D31" s="62"/>
      <c r="E31" s="63"/>
    </row>
    <row r="32" spans="2:5" x14ac:dyDescent="0.2">
      <c r="C32" s="61"/>
      <c r="D32" s="62"/>
      <c r="E32" s="63"/>
    </row>
    <row r="33" spans="3:5" x14ac:dyDescent="0.2">
      <c r="C33" s="61"/>
      <c r="D33" s="62"/>
      <c r="E33" s="63"/>
    </row>
    <row r="34" spans="3:5" x14ac:dyDescent="0.2">
      <c r="C34" s="61"/>
      <c r="D34" s="62"/>
      <c r="E34" s="63"/>
    </row>
    <row r="35" spans="3:5" x14ac:dyDescent="0.2">
      <c r="C35" s="61"/>
      <c r="D35" s="62"/>
      <c r="E35" s="63"/>
    </row>
    <row r="36" spans="3:5" x14ac:dyDescent="0.2">
      <c r="C36" s="61"/>
      <c r="D36" s="62"/>
      <c r="E36" s="63"/>
    </row>
    <row r="37" spans="3:5" x14ac:dyDescent="0.2">
      <c r="C37" s="61"/>
      <c r="D37" s="62"/>
      <c r="E37" s="63"/>
    </row>
    <row r="38" spans="3:5" x14ac:dyDescent="0.2">
      <c r="C38" s="61"/>
      <c r="D38" s="62"/>
      <c r="E38" s="63"/>
    </row>
    <row r="39" spans="3:5" x14ac:dyDescent="0.2">
      <c r="C39" s="61"/>
      <c r="D39" s="62"/>
      <c r="E39" s="63"/>
    </row>
    <row r="40" spans="3:5" x14ac:dyDescent="0.2">
      <c r="C40" s="61"/>
      <c r="D40" s="62"/>
      <c r="E40" s="63"/>
    </row>
    <row r="41" spans="3:5" x14ac:dyDescent="0.2">
      <c r="C41" s="61"/>
      <c r="D41" s="62"/>
      <c r="E41" s="63"/>
    </row>
  </sheetData>
  <mergeCells count="14">
    <mergeCell ref="C15:E15"/>
    <mergeCell ref="B2:H2"/>
    <mergeCell ref="A4:B4"/>
    <mergeCell ref="C4:E4"/>
    <mergeCell ref="A5:B5"/>
    <mergeCell ref="C5:E5"/>
    <mergeCell ref="A6:B6"/>
    <mergeCell ref="A7:B7"/>
    <mergeCell ref="C25:E25"/>
    <mergeCell ref="C16:E16"/>
    <mergeCell ref="C18:E18"/>
    <mergeCell ref="C19:E19"/>
    <mergeCell ref="C21:E21"/>
    <mergeCell ref="C23:E23"/>
  </mergeCells>
  <pageMargins left="0.19685039370078741" right="0.15748031496062992" top="0.74803149606299213" bottom="0.74803149606299213" header="0.51181102362204722" footer="0.51181102362204722"/>
  <pageSetup paperSize="190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90" zoomScaleNormal="90" workbookViewId="0">
      <selection activeCell="K12" sqref="K12"/>
    </sheetView>
  </sheetViews>
  <sheetFormatPr baseColWidth="10" defaultColWidth="9.140625" defaultRowHeight="12.75" x14ac:dyDescent="0.2"/>
  <cols>
    <col min="1" max="1" width="5.42578125" style="2" customWidth="1"/>
    <col min="2" max="2" width="12.28515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4.7109375" style="2" customWidth="1"/>
    <col min="8" max="8" width="8.42578125" style="2" customWidth="1"/>
    <col min="9" max="9" width="12" style="2" customWidth="1"/>
    <col min="10" max="10" width="15.7109375" style="2" customWidth="1"/>
    <col min="11" max="11" width="10.8554687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97" t="s">
        <v>20</v>
      </c>
      <c r="B1" s="97"/>
      <c r="C1" s="97"/>
      <c r="D1" s="97"/>
      <c r="E1" s="97"/>
      <c r="F1" s="97"/>
      <c r="G1" s="97"/>
      <c r="H1" s="97"/>
      <c r="I1" s="97"/>
      <c r="J1" s="3" t="s">
        <v>21</v>
      </c>
      <c r="K1" s="47" t="s">
        <v>74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98" t="s">
        <v>55</v>
      </c>
      <c r="B3" s="98"/>
      <c r="C3" s="98"/>
      <c r="D3" s="99" t="str">
        <f>'Necesidades Trimestrales'!C4</f>
        <v>90 - Ministerio de Seguridad</v>
      </c>
      <c r="E3" s="99"/>
      <c r="F3" s="99"/>
      <c r="G3" s="99"/>
      <c r="H3" s="99"/>
      <c r="I3" s="99"/>
      <c r="J3" s="99"/>
      <c r="K3" s="99"/>
    </row>
    <row r="4" spans="1:1024" ht="18.75" customHeight="1" thickBot="1" x14ac:dyDescent="0.25">
      <c r="A4" s="100" t="s">
        <v>56</v>
      </c>
      <c r="B4" s="100"/>
      <c r="C4" s="100"/>
      <c r="D4" s="99" t="str">
        <f>'Necesidades Trimestrales'!C5</f>
        <v>7 - Direccion de Administracion de la Policia de la Provincia de Catamarca</v>
      </c>
      <c r="E4" s="99"/>
      <c r="F4" s="99"/>
      <c r="G4" s="99"/>
      <c r="H4" s="99"/>
      <c r="I4" s="99"/>
      <c r="J4" s="99"/>
      <c r="K4" s="99"/>
    </row>
    <row r="5" spans="1:1024" ht="18.75" customHeight="1" thickBot="1" x14ac:dyDescent="0.25">
      <c r="A5" s="100" t="s">
        <v>33</v>
      </c>
      <c r="B5" s="100"/>
      <c r="C5" s="100"/>
      <c r="D5" s="99" t="s">
        <v>60</v>
      </c>
      <c r="E5" s="99"/>
      <c r="F5" s="99"/>
      <c r="G5" s="99"/>
      <c r="H5" s="99"/>
      <c r="I5" s="99"/>
      <c r="J5" s="99"/>
      <c r="K5" s="99"/>
    </row>
    <row r="6" spans="1:1024" ht="16.5" customHeight="1" thickBot="1" x14ac:dyDescent="0.25">
      <c r="A6" s="98" t="s">
        <v>57</v>
      </c>
      <c r="B6" s="98"/>
      <c r="C6" s="98"/>
      <c r="D6" s="99" t="s">
        <v>66</v>
      </c>
      <c r="E6" s="99"/>
      <c r="F6" s="99"/>
      <c r="G6" s="99"/>
      <c r="H6" s="99"/>
      <c r="I6" s="99"/>
      <c r="J6" s="99"/>
      <c r="K6" s="99"/>
    </row>
    <row r="7" spans="1:1024" ht="16.5" customHeight="1" thickBot="1" x14ac:dyDescent="0.25">
      <c r="A7" s="100" t="s">
        <v>22</v>
      </c>
      <c r="B7" s="100"/>
      <c r="C7" s="100"/>
      <c r="D7" s="99" t="s">
        <v>77</v>
      </c>
      <c r="E7" s="99"/>
      <c r="F7" s="99"/>
      <c r="G7" s="99"/>
      <c r="H7" s="99"/>
      <c r="I7" s="99"/>
      <c r="J7" s="99"/>
      <c r="K7" s="99"/>
    </row>
    <row r="8" spans="1:1024" ht="16.5" customHeight="1" thickBot="1" x14ac:dyDescent="0.25">
      <c r="A8" s="95" t="s">
        <v>23</v>
      </c>
      <c r="B8" s="95"/>
      <c r="C8" s="95"/>
      <c r="D8" s="88" t="s">
        <v>67</v>
      </c>
      <c r="E8" s="88"/>
      <c r="F8" s="88"/>
      <c r="G8" s="88"/>
      <c r="H8" s="88"/>
      <c r="I8" s="88"/>
      <c r="J8" s="88"/>
      <c r="K8" s="88"/>
    </row>
    <row r="9" spans="1:1024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3.5" thickBot="1" x14ac:dyDescent="0.25">
      <c r="A10" s="89" t="s">
        <v>24</v>
      </c>
      <c r="B10" s="91" t="s">
        <v>25</v>
      </c>
      <c r="C10" s="91" t="s">
        <v>26</v>
      </c>
      <c r="D10" s="91"/>
      <c r="E10" s="91"/>
      <c r="F10" s="91"/>
      <c r="G10" s="91"/>
      <c r="H10" s="91" t="s">
        <v>27</v>
      </c>
      <c r="I10" s="91" t="s">
        <v>28</v>
      </c>
      <c r="J10" s="91" t="s">
        <v>29</v>
      </c>
      <c r="K10" s="93" t="s">
        <v>30</v>
      </c>
    </row>
    <row r="11" spans="1:1024" ht="13.5" thickBot="1" x14ac:dyDescent="0.25">
      <c r="A11" s="90"/>
      <c r="B11" s="92"/>
      <c r="C11" s="92"/>
      <c r="D11" s="92"/>
      <c r="E11" s="92"/>
      <c r="F11" s="92"/>
      <c r="G11" s="92"/>
      <c r="H11" s="92"/>
      <c r="I11" s="92"/>
      <c r="J11" s="92"/>
      <c r="K11" s="94"/>
    </row>
    <row r="12" spans="1:1024" ht="28.5" customHeight="1" x14ac:dyDescent="0.2">
      <c r="A12" s="48">
        <v>1</v>
      </c>
      <c r="B12" s="30" t="str">
        <f>+'Necesidades Trimestrales'!B10</f>
        <v>4.4.0-2939.12</v>
      </c>
      <c r="C12" s="96" t="str">
        <f>+'Necesidades Trimestrales'!E10</f>
        <v>PISTOLAS; CALIBRE: 9 MM X 19 NATO, TIPO: DOBLE Y SIMPLE ACCION</v>
      </c>
      <c r="D12" s="96"/>
      <c r="E12" s="96"/>
      <c r="F12" s="96"/>
      <c r="G12" s="96"/>
      <c r="H12" s="49" t="s">
        <v>68</v>
      </c>
      <c r="I12" s="35" t="s">
        <v>14</v>
      </c>
      <c r="J12" s="38">
        <f>'Necesidades Trimestrales'!H10</f>
        <v>34500</v>
      </c>
      <c r="K12" s="50">
        <f>'Necesidades Trimestrales'!G10</f>
        <v>477</v>
      </c>
    </row>
    <row r="13" spans="1:1024" ht="16.5" thickBot="1" x14ac:dyDescent="0.25">
      <c r="A13" s="86" t="s">
        <v>75</v>
      </c>
      <c r="B13" s="86"/>
      <c r="C13" s="86"/>
      <c r="D13" s="86"/>
      <c r="E13" s="86"/>
      <c r="F13" s="86"/>
      <c r="G13" s="86"/>
      <c r="H13" s="86"/>
      <c r="I13" s="86"/>
      <c r="J13" s="87">
        <f>SUMPRODUCT(+J12:J12,K12:K12)</f>
        <v>16456500</v>
      </c>
      <c r="K13" s="8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zoomScale="130" zoomScaleNormal="130" workbookViewId="0">
      <selection activeCell="A19" sqref="A19:Q20"/>
    </sheetView>
  </sheetViews>
  <sheetFormatPr baseColWidth="10" defaultColWidth="11" defaultRowHeight="12.75" x14ac:dyDescent="0.2"/>
  <cols>
    <col min="1" max="6" width="4.42578125" customWidth="1"/>
    <col min="7" max="7" width="4.42578125" style="8" customWidth="1"/>
    <col min="8" max="8" width="4.42578125" customWidth="1"/>
    <col min="9" max="9" width="6.42578125" customWidth="1"/>
    <col min="10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8" t="s">
        <v>3</v>
      </c>
      <c r="B1" s="128"/>
      <c r="C1" s="128"/>
      <c r="D1" s="129">
        <f>'Necesidades Trimestrales'!C6</f>
        <v>2020</v>
      </c>
      <c r="E1" s="129"/>
      <c r="F1" s="9"/>
      <c r="G1" s="9"/>
      <c r="H1" s="10"/>
      <c r="I1" s="10"/>
      <c r="J1" s="10"/>
      <c r="K1" s="10"/>
      <c r="L1" s="10"/>
      <c r="M1" s="10"/>
      <c r="N1" s="10"/>
      <c r="P1" s="130" t="s">
        <v>31</v>
      </c>
      <c r="Q1" s="130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30"/>
      <c r="Q2" s="130"/>
    </row>
    <row r="4" spans="1:17" s="11" customFormat="1" ht="18" customHeight="1" thickBot="1" x14ac:dyDescent="0.25">
      <c r="A4" s="131" t="s">
        <v>32</v>
      </c>
      <c r="B4" s="131"/>
      <c r="C4" s="131"/>
      <c r="D4" s="131"/>
      <c r="E4" s="131"/>
      <c r="F4" s="131"/>
      <c r="G4" s="126" t="str">
        <f>' NotaPedido'!D3</f>
        <v>90 - Ministerio de Seguridad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s="11" customFormat="1" ht="18" customHeight="1" thickBot="1" x14ac:dyDescent="0.25">
      <c r="A5" s="123" t="s">
        <v>56</v>
      </c>
      <c r="B5" s="124"/>
      <c r="C5" s="124"/>
      <c r="D5" s="124"/>
      <c r="E5" s="124"/>
      <c r="F5" s="125"/>
      <c r="G5" s="126" t="str">
        <f>' NotaPedido'!D4</f>
        <v>7 - Direccion de Administracion de la Policia de la Provincia de Catamarca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s="11" customFormat="1" ht="18" customHeight="1" thickBot="1" x14ac:dyDescent="0.25">
      <c r="A6" s="123" t="s">
        <v>33</v>
      </c>
      <c r="B6" s="124"/>
      <c r="C6" s="124"/>
      <c r="D6" s="124"/>
      <c r="E6" s="124"/>
      <c r="F6" s="125"/>
      <c r="G6" s="126" t="str">
        <f>' NotaPedido'!D5</f>
        <v>Policía de la Provincia de Catamarca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s="11" customFormat="1" ht="18" customHeight="1" thickBot="1" x14ac:dyDescent="0.25">
      <c r="A7" s="123" t="s">
        <v>57</v>
      </c>
      <c r="B7" s="124"/>
      <c r="C7" s="124"/>
      <c r="D7" s="124"/>
      <c r="E7" s="124"/>
      <c r="F7" s="125"/>
      <c r="G7" s="126" t="str">
        <f>' NotaPedido'!D6</f>
        <v>División Armamento y Municiones - Dpto. Logística - Policía de Catamarca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ht="18" customHeight="1" thickBot="1" x14ac:dyDescent="0.25">
      <c r="A8" s="127" t="s">
        <v>34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2">
      <c r="A9" s="117" t="s">
        <v>35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"/>
      <c r="P9" s="1"/>
      <c r="Q9" s="12"/>
    </row>
    <row r="10" spans="1:17" ht="54.75" customHeight="1" x14ac:dyDescent="0.2">
      <c r="A10" s="11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89/2020,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19" t="s">
        <v>36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 x14ac:dyDescent="0.2">
      <c r="A13" s="120" t="s">
        <v>37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1" t="s">
        <v>38</v>
      </c>
      <c r="P13" s="121"/>
      <c r="Q13" s="122" t="s">
        <v>39</v>
      </c>
    </row>
    <row r="14" spans="1:17" ht="15.75" customHeight="1" thickBot="1" x14ac:dyDescent="0.25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1"/>
      <c r="P14" s="121"/>
      <c r="Q14" s="122"/>
    </row>
    <row r="15" spans="1:17" ht="17.25" customHeight="1" x14ac:dyDescent="0.2">
      <c r="A15" s="72">
        <v>16</v>
      </c>
      <c r="B15" s="73">
        <v>0</v>
      </c>
      <c r="C15" s="73">
        <v>0</v>
      </c>
      <c r="D15" s="73">
        <v>1</v>
      </c>
      <c r="E15" s="73">
        <v>0</v>
      </c>
      <c r="F15" s="73">
        <v>10</v>
      </c>
      <c r="G15" s="73">
        <v>2</v>
      </c>
      <c r="H15" s="73">
        <v>210</v>
      </c>
      <c r="I15" s="73">
        <v>4</v>
      </c>
      <c r="J15" s="73">
        <v>4</v>
      </c>
      <c r="K15" s="73">
        <v>0</v>
      </c>
      <c r="L15" s="73">
        <v>0</v>
      </c>
      <c r="M15" s="74">
        <v>1</v>
      </c>
      <c r="N15" s="75" t="s">
        <v>61</v>
      </c>
      <c r="O15" s="115" t="s">
        <v>64</v>
      </c>
      <c r="P15" s="116"/>
      <c r="Q15" s="51">
        <f>' NotaPedido'!J12*' NotaPedido'!K12</f>
        <v>16456500</v>
      </c>
    </row>
    <row r="16" spans="1:17" ht="20.25" customHeight="1" thickBot="1" x14ac:dyDescent="0.25">
      <c r="A16" s="111" t="s">
        <v>53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70">
        <f>SUM(Q15:Q15)</f>
        <v>16456500</v>
      </c>
    </row>
    <row r="17" spans="1:17" ht="18" customHeight="1" thickBot="1" x14ac:dyDescent="0.25">
      <c r="A17" s="112" t="s">
        <v>76</v>
      </c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</row>
    <row r="18" spans="1:17" ht="17.25" customHeight="1" thickBot="1" x14ac:dyDescent="0.25">
      <c r="A18" s="101" t="s">
        <v>54</v>
      </c>
      <c r="B18" s="102"/>
      <c r="C18" s="102"/>
      <c r="D18" s="102"/>
      <c r="E18" s="102"/>
      <c r="F18" s="103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</row>
    <row r="19" spans="1:17" ht="18" customHeight="1" x14ac:dyDescent="0.2">
      <c r="A19" s="105" t="s">
        <v>72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</row>
    <row r="20" spans="1:17" ht="15" customHeight="1" thickBot="1" x14ac:dyDescent="0.25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Policia</cp:lastModifiedBy>
  <cp:revision>2</cp:revision>
  <cp:lastPrinted>2020-10-08T11:47:20Z</cp:lastPrinted>
  <dcterms:created xsi:type="dcterms:W3CDTF">2020-07-17T23:44:49Z</dcterms:created>
  <dcterms:modified xsi:type="dcterms:W3CDTF">2020-10-08T11:47:24Z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