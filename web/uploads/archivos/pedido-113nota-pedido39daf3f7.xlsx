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9993-CAT-DPPR#MHP\"/>
    </mc:Choice>
  </mc:AlternateContent>
  <xr:revisionPtr revIDLastSave="0" documentId="8_{0A9AC4FA-70B8-49F0-A0CC-C0691BEA5169}" xr6:coauthVersionLast="46" xr6:coauthVersionMax="46" xr10:uidLastSave="{00000000-0000-0000-0000-000000000000}"/>
  <bookViews>
    <workbookView xWindow="-120" yWindow="-120" windowWidth="29040" windowHeight="15840" xr2:uid="{59173B95-C9B0-4B25-92E3-71F97560D3F4}"/>
  </bookViews>
  <sheets>
    <sheet name="HI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<sst xmlns="http://schemas.openxmlformats.org/spreadsheetml/2006/main" count="69" uniqueCount="39">
  <si>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</si>
  <si>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</si>
  <si>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</si>
  <si>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</si>
  <si>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</si>
  <si>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 xml:space="preserve">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</si>
  <si>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</si>
  <si>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</si>
  <si>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</si>
  <si>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</si>
  <si>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</si>
  <si>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</si>
  <si>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</si>
  <si>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</si>
  <si>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</si>
  <si>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</si>
  <si>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</si>
  <si>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 FARMACEUTICOS/LAB</t>
  </si>
  <si>
    <t>ACICLOVIR 80 MG/ML SUSPENSIÓN X 200ML</t>
  </si>
  <si>
    <t>UNIDAD</t>
  </si>
  <si>
    <t>ATRACURIUM 50 MG AMPOLLA</t>
  </si>
  <si>
    <t>COMPLEJO B AMPOLLAS TIPO BECOZYM NF</t>
  </si>
  <si>
    <t>COMPLEJO B COMPRIMIDOS TIPO BECOZYM NF</t>
  </si>
  <si>
    <t>DOPAMINA 200 MG  AMPOLLA</t>
  </si>
  <si>
    <t>FENOBARBITAL 200MG AMPOLLAS</t>
  </si>
  <si>
    <t>KETAMINA 50MG/ML FCO AMPOLLA</t>
  </si>
  <si>
    <t>METILPREDNISONA 4MG/ML AMPOLLA</t>
  </si>
  <si>
    <t>NITROPRUSIATO SODIO 50 MG VIAL</t>
  </si>
  <si>
    <t>PANCURONIO 4 MG/ ML</t>
  </si>
  <si>
    <t>PARACETAMOL 1GR ML FRASCO AMPOLLA</t>
  </si>
  <si>
    <t>PROPOFOL 1% AMPOLLAS X 20 ML</t>
  </si>
  <si>
    <t>PROPOFOL 1% FCO AMPOLLAS VIAL X 50 ML</t>
  </si>
  <si>
    <t>TRAMADOL 50 MG AMPOLLA</t>
  </si>
  <si>
    <t>VECURONIO BROMURO 10 MG AMPOLLA</t>
  </si>
  <si>
    <t>VITAMINA C 2 GR COMPRIMIDO EFERVESCENTES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</si>
  <si>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</si>
  <si>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</si>
  <si>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</si>
  <si>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r>
      <t>Mantenimiento</t>
    </r>
    <r>
      <rPr>
        <sz val="10"/>
        <rFont val="Times New Roman"/>
        <family val="1"/>
      </rPr>
      <t xml:space="preserve">: 45 dias habiles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</si>
</sst>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_-&quot;$&quot;* #,##0.00_-;\-&quot;$&quot;* #,##0.00_-;_-&quot;$&quot;* &quot;-&quot;??_-;_-@_-"/>
    <numFmt numFmtId="166" formatCode="[$$-2C0A]\ #,##0.00;[$$-2C0A]&quot; -&quot;#,##0.00"/>
    <numFmt numFmtId="170" formatCode="_-* #,##0.00&quot; €&quot;_-;\-* #,##0.00&quot; €&quot;_-;_-* \-??&quot; 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9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170" fontId="11" fillId="0" borderId="0" applyBorder="0" applyProtection="0"/>
    <xf numFmtId="0" fontId="11" fillId="0" borderId="0"/>
  </cellStyleXfs>
  <cellXfs count="44">
    <xf numFmtId="0" fontId="0" fillId="0" borderId="0" xfId="0"/>
    <xf numFmtId="0" fontId="2" fillId="0" borderId="0" xfId="0" applyFont="1"/>
    <xf numFmtId="164" fontId="4" fillId="0" borderId="0" xfId="0" applyNumberFormat="1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left" wrapText="1"/>
    </xf>
    <xf numFmtId="0" fontId="6" fillId="2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/>
    <xf numFmtId="0" fontId="11" fillId="0" borderId="3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11" fillId="0" borderId="4" xfId="2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/>
    </xf>
    <xf numFmtId="165" fontId="4" fillId="0" borderId="7" xfId="1" applyNumberFormat="1" applyFont="1" applyFill="1" applyBorder="1" applyAlignment="1" applyProtection="1">
      <alignment horizontal="right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11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165" fontId="11" fillId="0" borderId="5" xfId="0" applyNumberFormat="1" applyFont="1" applyBorder="1" applyAlignment="1">
      <alignment horizontal="center" vertical="center" wrapText="1"/>
    </xf>
    <xf numFmtId="0" fontId="11" fillId="0" borderId="5" xfId="3" applyFont="1" applyBorder="1" applyAlignment="1">
      <alignment horizontal="left" vertical="center" wrapText="1"/>
    </xf>
    <xf numFmtId="165" fontId="12" fillId="0" borderId="5" xfId="0" applyNumberFormat="1" applyFont="1" applyBorder="1" applyAlignment="1">
      <alignment horizontal="center" wrapText="1"/>
    </xf>
    <xf numFmtId="165" fontId="11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5" fontId="0" fillId="3" borderId="0" xfId="0" applyNumberFormat="1" applyFill="1" applyAlignment="1">
      <alignment horizontal="center" vertical="center" wrapText="1"/>
    </xf>
    <xf numFmtId="166" fontId="2" fillId="0" borderId="0" xfId="0" applyNumberFormat="1" applyFont="1"/>
    <xf numFmtId="0" fontId="13" fillId="0" borderId="9" xfId="0" applyFont="1" applyBorder="1" applyAlignment="1">
      <alignment horizontal="left" indent="3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3" fillId="0" borderId="14" xfId="0" applyFont="1" applyBorder="1"/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2" fillId="2" borderId="12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3" xfId="2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left" wrapText="1" indent="1"/>
    </xf>
  </cellXfs>
  <cellStyles count="7">
    <cellStyle name="Moneda" xfId="1" builtinId="4"/>
    <cellStyle name="Moneda 2" xfId="5" xr:uid="{5B6C5887-60DA-40D9-AF09-827E9D45A969}"/>
    <cellStyle name="Normal" xfId="0" builtinId="0"/>
    <cellStyle name="Normal 2 2" xfId="4" xr:uid="{D6FD152C-1CAE-401B-BE45-8E3D603A5336}"/>
    <cellStyle name="Normal 2 3" xfId="2" xr:uid="{FA9BAEFE-BCD6-4628-85F3-5335D6408515}"/>
    <cellStyle name="Normal 4" xfId="3" xr:uid="{B9F90093-DB33-4C03-9F46-8EE707FA988F}"/>
    <cellStyle name="Normal 4 2" xfId="6" xr:uid="{CE187EC6-1677-404C-8DF3-E331DB64146C}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7A92-4F69-4EB5-B3D1-FB35030521CA}">
  <dimension ref="A2:I32"/>
  <sheetViews>
    <sheetView tabSelected="1" workbookViewId="0">
      <selection activeCell="M16" sqref="M16"/>
    </sheetView>
  </sheetViews>
  <sheetFormatPr baseColWidth="10" defaultColWidth="11" defaultRowHeight="12.75" x14ac:dyDescent="0.2"/>
  <cols>
    <col min="1" max="1" width="14.140625" style="1" customWidth="1"/>
    <col min="2" max="2" width="18.7109375" style="1" customWidth="1"/>
    <col min="3" max="3" width="41.85546875" style="1" customWidth="1"/>
    <col min="4" max="4" width="7.42578125" style="1" customWidth="1"/>
    <col min="5" max="5" width="27.42578125" style="1" customWidth="1"/>
    <col min="6" max="6" width="16.42578125" style="1" customWidth="1"/>
    <col min="7" max="7" width="10.42578125" style="1" customWidth="1"/>
    <col min="8" max="8" width="13.85546875" style="2" customWidth="1"/>
    <col min="9" max="9" width="22.42578125" style="1" customWidth="1"/>
    <col min="10" max="10" width="11" style="1"/>
    <col min="11" max="11" width="13.140625" style="1" customWidth="1"/>
    <col min="12" max="16384" width="11" style="1"/>
  </cols>
  <sheetData>
    <row r="2" spans="1:9" ht="27" x14ac:dyDescent="0.35">
      <c r="B2" s="42" t="s">
        <v>0</v>
      </c>
      <c r="C2" s="42"/>
      <c r="D2" s="42"/>
      <c r="E2" s="42"/>
      <c r="F2" s="42"/>
      <c r="G2" s="42"/>
      <c r="H2" s="42"/>
    </row>
    <row r="3" spans="1:9" ht="12" customHeight="1" x14ac:dyDescent="0.2"/>
    <row r="4" spans="1:9" ht="28.5" customHeight="1" x14ac:dyDescent="0.25">
      <c r="A4" s="38" t="s">
        <v>1</v>
      </c>
      <c r="B4" s="38"/>
      <c r="C4" s="43" t="s">
        <v>2</v>
      </c>
      <c r="D4" s="43"/>
      <c r="E4" s="43"/>
      <c r="F4" s="3"/>
      <c r="G4" s="4"/>
      <c r="H4" s="5"/>
    </row>
    <row r="5" spans="1:9" ht="18" customHeight="1" x14ac:dyDescent="0.25">
      <c r="A5" s="38" t="s">
        <v>3</v>
      </c>
      <c r="B5" s="38"/>
      <c r="C5" s="43" t="s">
        <v>4</v>
      </c>
      <c r="D5" s="43"/>
      <c r="E5" s="43"/>
      <c r="F5" s="3"/>
      <c r="G5" s="4" t="s">
        <v>5</v>
      </c>
      <c r="H5" s="5"/>
    </row>
    <row r="6" spans="1:9" ht="16.5" customHeight="1" x14ac:dyDescent="0.25">
      <c r="A6" s="38" t="s">
        <v>6</v>
      </c>
      <c r="B6" s="38"/>
      <c r="C6" s="6">
        <v>2021</v>
      </c>
      <c r="D6" s="7"/>
      <c r="E6" s="7"/>
      <c r="F6" s="3"/>
      <c r="G6" s="4"/>
      <c r="H6" s="5"/>
    </row>
    <row r="7" spans="1:9" ht="16.5" customHeight="1" x14ac:dyDescent="0.25">
      <c r="A7" s="38" t="s">
        <v>7</v>
      </c>
      <c r="B7" s="38"/>
      <c r="C7" s="6">
        <v>3</v>
      </c>
      <c r="D7" s="7"/>
      <c r="E7" s="7"/>
      <c r="F7" s="3"/>
      <c r="G7" s="4"/>
      <c r="H7" s="5"/>
    </row>
    <row r="8" spans="1:9" ht="13.5" thickBot="1" x14ac:dyDescent="0.25">
      <c r="B8" s="3"/>
      <c r="C8" s="4"/>
      <c r="D8" s="3"/>
      <c r="E8" s="3"/>
      <c r="F8" s="3"/>
      <c r="G8" s="4"/>
      <c r="H8" s="5"/>
    </row>
    <row r="9" spans="1:9" ht="36.75" thickBot="1" x14ac:dyDescent="0.25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9" t="s">
        <v>15</v>
      </c>
      <c r="I9" s="8" t="s">
        <v>16</v>
      </c>
    </row>
    <row r="10" spans="1:9" ht="25.5" x14ac:dyDescent="0.25">
      <c r="A10" s="10">
        <v>1</v>
      </c>
      <c r="B10" s="11"/>
      <c r="C10" s="12" t="s">
        <v>17</v>
      </c>
      <c r="D10" s="13">
        <v>252</v>
      </c>
      <c r="E10" s="14" t="s">
        <v>18</v>
      </c>
      <c r="F10" s="15" t="s">
        <v>19</v>
      </c>
      <c r="G10" s="15">
        <v>20</v>
      </c>
      <c r="H10" s="16">
        <v>456.25</v>
      </c>
      <c r="I10" s="17">
        <f t="shared" ref="I10:I25" si="0">+G10*H10</f>
        <v>9125</v>
      </c>
    </row>
    <row r="11" spans="1:9" ht="25.5" x14ac:dyDescent="0.25">
      <c r="A11" s="18">
        <v>2</v>
      </c>
      <c r="B11" s="19"/>
      <c r="C11" s="20" t="s">
        <v>17</v>
      </c>
      <c r="D11" s="21">
        <v>252</v>
      </c>
      <c r="E11" s="22" t="s">
        <v>20</v>
      </c>
      <c r="F11" s="15" t="s">
        <v>19</v>
      </c>
      <c r="G11" s="15">
        <v>300</v>
      </c>
      <c r="H11" s="23">
        <v>732</v>
      </c>
      <c r="I11" s="17">
        <f t="shared" si="0"/>
        <v>219600</v>
      </c>
    </row>
    <row r="12" spans="1:9" ht="25.5" x14ac:dyDescent="0.25">
      <c r="A12" s="18">
        <v>3</v>
      </c>
      <c r="B12" s="19"/>
      <c r="C12" s="20" t="s">
        <v>17</v>
      </c>
      <c r="D12" s="21">
        <v>252</v>
      </c>
      <c r="E12" s="24" t="s">
        <v>21</v>
      </c>
      <c r="F12" s="15" t="s">
        <v>19</v>
      </c>
      <c r="G12" s="15">
        <v>1000</v>
      </c>
      <c r="H12" s="25">
        <v>62</v>
      </c>
      <c r="I12" s="17">
        <f t="shared" si="0"/>
        <v>62000</v>
      </c>
    </row>
    <row r="13" spans="1:9" ht="25.5" x14ac:dyDescent="0.25">
      <c r="A13" s="18">
        <v>4</v>
      </c>
      <c r="B13" s="19"/>
      <c r="C13" s="20" t="s">
        <v>17</v>
      </c>
      <c r="D13" s="21">
        <v>252</v>
      </c>
      <c r="E13" s="22" t="s">
        <v>22</v>
      </c>
      <c r="F13" s="15" t="s">
        <v>19</v>
      </c>
      <c r="G13" s="15">
        <v>1000</v>
      </c>
      <c r="H13" s="25">
        <v>22</v>
      </c>
      <c r="I13" s="17">
        <f t="shared" si="0"/>
        <v>22000</v>
      </c>
    </row>
    <row r="14" spans="1:9" ht="25.5" x14ac:dyDescent="0.25">
      <c r="A14" s="18">
        <v>5</v>
      </c>
      <c r="B14" s="19"/>
      <c r="C14" s="20" t="s">
        <v>17</v>
      </c>
      <c r="D14" s="21">
        <v>252</v>
      </c>
      <c r="E14" s="24" t="s">
        <v>23</v>
      </c>
      <c r="F14" s="15" t="s">
        <v>19</v>
      </c>
      <c r="G14" s="15">
        <v>300</v>
      </c>
      <c r="H14" s="23">
        <v>85</v>
      </c>
      <c r="I14" s="17">
        <f t="shared" si="0"/>
        <v>25500</v>
      </c>
    </row>
    <row r="15" spans="1:9" ht="25.5" x14ac:dyDescent="0.25">
      <c r="A15" s="18">
        <v>6</v>
      </c>
      <c r="B15" s="19"/>
      <c r="C15" s="20" t="s">
        <v>17</v>
      </c>
      <c r="D15" s="21">
        <v>252</v>
      </c>
      <c r="E15" s="22" t="s">
        <v>24</v>
      </c>
      <c r="F15" s="15" t="s">
        <v>19</v>
      </c>
      <c r="G15" s="15">
        <v>500</v>
      </c>
      <c r="H15" s="23">
        <v>324.02</v>
      </c>
      <c r="I15" s="17">
        <f t="shared" si="0"/>
        <v>162010</v>
      </c>
    </row>
    <row r="16" spans="1:9" ht="25.5" x14ac:dyDescent="0.25">
      <c r="A16" s="18">
        <v>7</v>
      </c>
      <c r="B16" s="19"/>
      <c r="C16" s="20" t="s">
        <v>17</v>
      </c>
      <c r="D16" s="21">
        <v>252</v>
      </c>
      <c r="E16" s="24" t="s">
        <v>25</v>
      </c>
      <c r="F16" s="15" t="s">
        <v>19</v>
      </c>
      <c r="G16" s="15">
        <v>500</v>
      </c>
      <c r="H16" s="26">
        <v>2013</v>
      </c>
      <c r="I16" s="17">
        <f t="shared" si="0"/>
        <v>1006500</v>
      </c>
    </row>
    <row r="17" spans="1:9" ht="25.5" x14ac:dyDescent="0.25">
      <c r="A17" s="18">
        <v>8</v>
      </c>
      <c r="B17" s="19"/>
      <c r="C17" s="20" t="s">
        <v>17</v>
      </c>
      <c r="D17" s="21">
        <v>252</v>
      </c>
      <c r="E17" s="24" t="s">
        <v>26</v>
      </c>
      <c r="F17" s="15" t="s">
        <v>19</v>
      </c>
      <c r="G17" s="15">
        <v>2000</v>
      </c>
      <c r="H17" s="26">
        <v>17</v>
      </c>
      <c r="I17" s="17">
        <f t="shared" si="0"/>
        <v>34000</v>
      </c>
    </row>
    <row r="18" spans="1:9" ht="25.5" x14ac:dyDescent="0.25">
      <c r="A18" s="18">
        <v>9</v>
      </c>
      <c r="B18" s="19"/>
      <c r="C18" s="20" t="s">
        <v>17</v>
      </c>
      <c r="D18" s="21">
        <v>252</v>
      </c>
      <c r="E18" s="24" t="s">
        <v>27</v>
      </c>
      <c r="F18" s="15" t="s">
        <v>19</v>
      </c>
      <c r="G18" s="15">
        <v>100</v>
      </c>
      <c r="H18" s="26">
        <v>650</v>
      </c>
      <c r="I18" s="17">
        <f t="shared" si="0"/>
        <v>65000</v>
      </c>
    </row>
    <row r="19" spans="1:9" ht="15" x14ac:dyDescent="0.25">
      <c r="A19" s="18">
        <v>10</v>
      </c>
      <c r="B19" s="19"/>
      <c r="C19" s="20" t="s">
        <v>17</v>
      </c>
      <c r="D19" s="21">
        <v>252</v>
      </c>
      <c r="E19" s="24" t="s">
        <v>28</v>
      </c>
      <c r="F19" s="15" t="s">
        <v>19</v>
      </c>
      <c r="G19" s="15">
        <v>1000</v>
      </c>
      <c r="H19" s="27">
        <v>248</v>
      </c>
      <c r="I19" s="17">
        <f t="shared" si="0"/>
        <v>248000</v>
      </c>
    </row>
    <row r="20" spans="1:9" ht="25.5" x14ac:dyDescent="0.25">
      <c r="A20" s="18">
        <v>11</v>
      </c>
      <c r="B20" s="19"/>
      <c r="C20" s="20" t="s">
        <v>17</v>
      </c>
      <c r="D20" s="21">
        <v>252</v>
      </c>
      <c r="E20" s="24" t="s">
        <v>29</v>
      </c>
      <c r="F20" s="15" t="s">
        <v>19</v>
      </c>
      <c r="G20" s="15">
        <v>50</v>
      </c>
      <c r="H20" s="23">
        <v>864.4</v>
      </c>
      <c r="I20" s="17">
        <f t="shared" si="0"/>
        <v>43220</v>
      </c>
    </row>
    <row r="21" spans="1:9" ht="25.5" x14ac:dyDescent="0.25">
      <c r="A21" s="18">
        <v>12</v>
      </c>
      <c r="B21" s="19"/>
      <c r="C21" s="20" t="s">
        <v>17</v>
      </c>
      <c r="D21" s="21">
        <v>252</v>
      </c>
      <c r="E21" s="22" t="s">
        <v>30</v>
      </c>
      <c r="F21" s="15" t="s">
        <v>19</v>
      </c>
      <c r="G21" s="15">
        <v>400</v>
      </c>
      <c r="H21" s="26">
        <v>859.1</v>
      </c>
      <c r="I21" s="17">
        <f t="shared" si="0"/>
        <v>343640</v>
      </c>
    </row>
    <row r="22" spans="1:9" ht="25.5" x14ac:dyDescent="0.25">
      <c r="A22" s="18">
        <v>13</v>
      </c>
      <c r="B22" s="19"/>
      <c r="C22" s="20" t="s">
        <v>17</v>
      </c>
      <c r="D22" s="21">
        <v>252</v>
      </c>
      <c r="E22" s="22" t="s">
        <v>31</v>
      </c>
      <c r="F22" s="15" t="s">
        <v>19</v>
      </c>
      <c r="G22" s="15">
        <v>200</v>
      </c>
      <c r="H22" s="26">
        <v>860</v>
      </c>
      <c r="I22" s="17">
        <f t="shared" si="0"/>
        <v>172000</v>
      </c>
    </row>
    <row r="23" spans="1:9" ht="15" x14ac:dyDescent="0.25">
      <c r="A23" s="18">
        <v>14</v>
      </c>
      <c r="B23" s="19"/>
      <c r="C23" s="20" t="s">
        <v>17</v>
      </c>
      <c r="D23" s="21">
        <v>252</v>
      </c>
      <c r="E23" s="24" t="s">
        <v>32</v>
      </c>
      <c r="F23" s="15" t="s">
        <v>19</v>
      </c>
      <c r="G23" s="28">
        <v>200</v>
      </c>
      <c r="H23" s="26">
        <v>39</v>
      </c>
      <c r="I23" s="17">
        <f t="shared" si="0"/>
        <v>7800</v>
      </c>
    </row>
    <row r="24" spans="1:9" ht="25.5" x14ac:dyDescent="0.25">
      <c r="A24" s="18">
        <v>15</v>
      </c>
      <c r="B24" s="19"/>
      <c r="C24" s="20" t="s">
        <v>17</v>
      </c>
      <c r="D24" s="21">
        <v>252</v>
      </c>
      <c r="E24" s="24" t="s">
        <v>33</v>
      </c>
      <c r="F24" s="15" t="s">
        <v>19</v>
      </c>
      <c r="G24" s="15">
        <v>500</v>
      </c>
      <c r="H24" s="27">
        <v>634.67999999999995</v>
      </c>
      <c r="I24" s="17">
        <f t="shared" si="0"/>
        <v>317340</v>
      </c>
    </row>
    <row r="25" spans="1:9" ht="38.25" x14ac:dyDescent="0.25">
      <c r="A25" s="18">
        <v>16</v>
      </c>
      <c r="B25" s="19"/>
      <c r="C25" s="20" t="s">
        <v>17</v>
      </c>
      <c r="D25" s="21">
        <v>252</v>
      </c>
      <c r="E25" s="24" t="s">
        <v>34</v>
      </c>
      <c r="F25" s="15" t="s">
        <v>19</v>
      </c>
      <c r="G25" s="15">
        <v>1000</v>
      </c>
      <c r="H25" s="23">
        <v>49</v>
      </c>
      <c r="I25" s="17">
        <f t="shared" si="0"/>
        <v>49000</v>
      </c>
    </row>
    <row r="26" spans="1:9" ht="15.75" thickBot="1" x14ac:dyDescent="0.25">
      <c r="H26" s="29"/>
      <c r="I26" s="30"/>
    </row>
    <row r="27" spans="1:9" x14ac:dyDescent="0.2">
      <c r="B27" s="31" t="s">
        <v>35</v>
      </c>
      <c r="C27" s="32"/>
      <c r="D27" s="32"/>
      <c r="E27" s="33"/>
      <c r="I27" s="30"/>
    </row>
    <row r="28" spans="1:9" ht="13.5" customHeight="1" x14ac:dyDescent="0.2">
      <c r="B28" s="39" t="s">
        <v>36</v>
      </c>
      <c r="C28" s="40"/>
      <c r="D28" s="40"/>
      <c r="E28" s="41"/>
    </row>
    <row r="29" spans="1:9" ht="25.5" customHeight="1" x14ac:dyDescent="0.2">
      <c r="B29" s="39"/>
      <c r="C29" s="40"/>
      <c r="D29" s="40"/>
      <c r="E29" s="41"/>
      <c r="F29" s="34"/>
    </row>
    <row r="30" spans="1:9" ht="20.25" customHeight="1" x14ac:dyDescent="0.2">
      <c r="B30" s="39" t="s">
        <v>37</v>
      </c>
      <c r="C30" s="40"/>
      <c r="D30" s="40"/>
      <c r="E30" s="41"/>
      <c r="F30" s="34"/>
    </row>
    <row r="31" spans="1:9" ht="13.5" thickBot="1" x14ac:dyDescent="0.25">
      <c r="B31" s="35" t="s">
        <v>38</v>
      </c>
      <c r="C31" s="36"/>
      <c r="D31" s="36"/>
      <c r="E31" s="37"/>
      <c r="F31" s="34"/>
    </row>
    <row r="32" spans="1:9" ht="12" customHeight="1" x14ac:dyDescent="0.2"/>
  </sheetData>
  <mergeCells count="9">
    <mergeCell ref="A7:B7"/>
    <mergeCell ref="B28:E29"/>
    <mergeCell ref="B30:E30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COMPRAS</cp:lastModifiedBy>
  <dcterms:created xsi:type="dcterms:W3CDTF">2021-07-12T16:04:44Z</dcterms:created>
  <dcterms:modified xsi:type="dcterms:W3CDTF">2021-08-11T16:04:48Z</dcterms:modified>
</cp:coreProperties>
</file>