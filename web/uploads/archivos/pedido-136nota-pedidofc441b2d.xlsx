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05" yWindow="-45" windowWidth="20640" windowHeight="1170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Trimestrales'!$A$9:$I$19</definedName>
    <definedName name="_xlnm.Print_Area" localSheetId="1">' NotaPedido'!$A$1:$K$28</definedName>
    <definedName name="_xlnm.Print_Area" localSheetId="2">'Autor Gastar'!$A$1:$Q$25</definedName>
    <definedName name="_xlnm.Print_Area" localSheetId="0">'Necesidades Trimestrales'!$E$9:$E$19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12" i="2"/>
  <c r="K22" i="2" l="1"/>
  <c r="K23" i="2"/>
  <c r="K24" i="2"/>
  <c r="K25" i="2"/>
  <c r="K26" i="2"/>
  <c r="K27" i="2"/>
  <c r="J22" i="2"/>
  <c r="J23" i="2"/>
  <c r="J24" i="2"/>
  <c r="J25" i="2"/>
  <c r="J26" i="2"/>
  <c r="J27" i="2"/>
  <c r="I22" i="2"/>
  <c r="I23" i="2"/>
  <c r="I24" i="2"/>
  <c r="I25" i="2"/>
  <c r="I26" i="2"/>
  <c r="I27" i="2"/>
  <c r="C22" i="2"/>
  <c r="C23" i="2"/>
  <c r="C24" i="2"/>
  <c r="C25" i="2"/>
  <c r="C26" i="2"/>
  <c r="C27" i="2"/>
  <c r="I20" i="1"/>
  <c r="I21" i="1"/>
  <c r="I22" i="1"/>
  <c r="I23" i="1"/>
  <c r="I24" i="1"/>
  <c r="I25" i="1"/>
  <c r="C13" i="2" l="1"/>
  <c r="C14" i="2" l="1"/>
  <c r="C15" i="2"/>
  <c r="C16" i="2"/>
  <c r="C17" i="2"/>
  <c r="C18" i="2"/>
  <c r="C19" i="2"/>
  <c r="C20" i="2"/>
  <c r="C21" i="2"/>
  <c r="I13" i="2"/>
  <c r="I14" i="2"/>
  <c r="I15" i="2"/>
  <c r="I16" i="2"/>
  <c r="I17" i="2"/>
  <c r="I18" i="2"/>
  <c r="I19" i="2"/>
  <c r="I20" i="2"/>
  <c r="I21" i="2"/>
  <c r="K13" i="2"/>
  <c r="K14" i="2"/>
  <c r="K15" i="2"/>
  <c r="K16" i="2"/>
  <c r="K17" i="2"/>
  <c r="K18" i="2"/>
  <c r="K19" i="2"/>
  <c r="K20" i="2"/>
  <c r="K21" i="2"/>
  <c r="J13" i="2"/>
  <c r="J14" i="2"/>
  <c r="J15" i="2"/>
  <c r="J16" i="2"/>
  <c r="J17" i="2"/>
  <c r="J18" i="2"/>
  <c r="J19" i="2"/>
  <c r="J20" i="2"/>
  <c r="J21" i="2"/>
  <c r="I11" i="1"/>
  <c r="I12" i="1"/>
  <c r="I13" i="1"/>
  <c r="I14" i="1"/>
  <c r="I15" i="1"/>
  <c r="I16" i="1"/>
  <c r="I17" i="1"/>
  <c r="I18" i="1"/>
  <c r="I19" i="1"/>
  <c r="I10" i="1"/>
  <c r="A10" i="3" l="1"/>
  <c r="G6" i="3" l="1"/>
  <c r="D3" i="2"/>
  <c r="G4" i="3" s="1"/>
  <c r="D4" i="2"/>
  <c r="G5" i="3" s="1"/>
  <c r="D1" i="3" l="1"/>
  <c r="K12" i="2"/>
  <c r="J12" i="2"/>
  <c r="J28" i="2" s="1"/>
  <c r="I12" i="2"/>
  <c r="C12" i="2"/>
  <c r="Q21" i="3" l="1"/>
</calcChain>
</file>

<file path=xl/sharedStrings.xml><?xml version="1.0" encoding="utf-8"?>
<sst xmlns="http://schemas.openxmlformats.org/spreadsheetml/2006/main" count="166" uniqueCount="118">
  <si>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</si>
  <si>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</si>
  <si>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</si>
  <si>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</si>
  <si>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</si>
  <si>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</si>
  <si>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</si>
  <si>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</si>
  <si>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</si>
  <si>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</si>
  <si>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</si>
  <si>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</si>
  <si>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</si>
  <si>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</si>
  <si>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</si>
  <si>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</si>
  <si>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</si>
  <si>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</si>
  <si>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</si>
  <si>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</si>
  <si>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</si>
  <si>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</si>
  <si>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</si>
  <si>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</si>
  <si>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</si>
  <si>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</si>
  <si>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</si>
  <si>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</si>
  <si>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</si>
  <si>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</si>
  <si>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</si>
  <si>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</si>
  <si>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</si>
  <si>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</si>
  <si>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</si>
  <si>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</si>
  <si>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</si>
  <si>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</si>
  <si>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</si>
  <si>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</si>
  <si>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</si>
  <si>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</si>
  <si>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</si>
  <si>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</si>
  <si>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</si>
  <si>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</si>
  <si>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</si>
  <si>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</si>
  <si>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</si>
  <si>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</si>
  <si>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</si>
  <si>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</si>
  <si>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</si>
  <si>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</si>
  <si>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</si>
  <si>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</si>
  <si>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PRODUCTOS FARMACEUTICOS Y MEDICINALES</t>
  </si>
  <si>
    <t>Servicio de Farmacia</t>
  </si>
  <si>
    <t>PROD. MEDICO/ FARMACEUTICOS/LAB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</si>
  <si>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</si>
  <si>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</si>
  <si>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Antisepticos y Desinfectantes</t>
  </si>
  <si>
    <t>Para la adquisición de Antisepticos y Desinfectantes destinados al Servicio de Farmacia del Hospital Interzonal de Niños Eva Peron, para el normal funcionamiento del organismo.</t>
  </si>
  <si>
    <t>BOTELLA</t>
  </si>
  <si>
    <t>FRASCO</t>
  </si>
  <si>
    <t>BIDON</t>
  </si>
  <si>
    <t>COMPUESTOS QUIMICOS</t>
  </si>
  <si>
    <t>UNIDAD</t>
  </si>
  <si>
    <t>SOBRE</t>
  </si>
  <si>
    <r>
      <t>Mantenimiento de Oferta</t>
    </r>
    <r>
      <rPr>
        <sz val="10"/>
        <rFont val="Times New Roman"/>
        <family val="1"/>
      </rPr>
      <t xml:space="preserve">: 45 dias habiles </t>
    </r>
  </si>
  <si>
    <t>006/2022</t>
  </si>
  <si>
    <t>Semestral</t>
  </si>
  <si>
    <t>Costo total estimado: Novecientos Cincuenta y Cinco Mil Novecientos Cuarenta y Siete Con 30/100.</t>
  </si>
  <si>
    <t>TOTAL DE PESOS: NOVECIENTOS CINCUENTA Y CINCO MIL NOVECIENTOS CUARENTA Y SIETE CON 30/100.</t>
  </si>
  <si>
    <t>ACIDOS; COMPUESTO QUIMICO: AC. ACETICO; ESTADO SOLIDO; CALIDAD: FARMACEUTICA; CONCENTRACION/PUREZA 25/30%; PRESENTACION: 5KG</t>
  </si>
  <si>
    <t>2.5.1-9009.497</t>
  </si>
  <si>
    <t>ACIDOS; COMPUESTO QUIMICO: AC. CITRICO, ESTADO: SOLIDO, CALIDAD: BIOLOGIA MOLECULAR, CONCENTRACION/PUREZA: 99,99 %, PRESENTACION: ENVASE X 1 Kg</t>
  </si>
  <si>
    <t>2.5.1-9009.262</t>
  </si>
  <si>
    <t>AGUA OXIGENADA; CAPACIDAD: 1000 CM3, VOLUMEN: 10, PRESENTACION: ENVASE X 1000 CM3</t>
  </si>
  <si>
    <t>2.5.2-710.4</t>
  </si>
  <si>
    <t>DESINFECTANTES Y DETERGENTES; PRINCIPIO ACTIVO: AMONIO CUATERNARIO, CALIDAD: COMERCIAL, CONCENTRACION/PUREZA: 99 %, PRESENTACION: ENVASE X 5 L</t>
  </si>
  <si>
    <t>2.5.1-9065.27</t>
  </si>
  <si>
    <t>ANTISEPTICOS LOCALES P/PERSONA; TIPO: MONODROGA, DROGA GENERICA: CLORHEXIDINA AL 2%, FORMA FARMACEUTICA: SOLUCION ACUOSA, PRESENTACION: ENVASE X 250 ML</t>
  </si>
  <si>
    <t>2.5.2-1723.172</t>
  </si>
  <si>
    <t>ANTISEPTICOS LOCALES P/PERSONA; TIPO: MONODROGA, DROGA GENERICA: CLORHEXIDINA AL 4%, FORMA FARMACEUTICA: JABON MEDICINAL, PRESENTACION: ENVASE X 500 mL</t>
  </si>
  <si>
    <t>2.5.2-1723.166</t>
  </si>
  <si>
    <t>DESINFECTANTES Y DETERGENTES; PRINCIPIO ACTIVO: AMILASA, PROTEASA, LIPASA, CALIDAD: COMERCIAL, CONCENTRACION/PUREZA: 100 %, PRESENTACION: ENVASE X 5 L</t>
  </si>
  <si>
    <t>2.5.1-9065.16</t>
  </si>
  <si>
    <t>DESINFECTANTES Y DETERGENTES; PRINCIPIO ACTIVO: GLUTARALDEHIDO CON SULFACTANTE, CALIDAD: BIOLOGIA MOLECULAR, CONCENTRACION/PUREZA: 2 %, PRESENTACION: ENVASE X 4 L</t>
  </si>
  <si>
    <t>2.5.1-9065.53</t>
  </si>
  <si>
    <t>ANTISEPTICOS LOCALES P/PERSONA; DROGA GENERICA: IODOPOVIDONA 10%, FORMA FARMACEUTICA: SOLUCION, PRESENTACION: ENVASE X 1 L, TIPO: MONODROGA</t>
  </si>
  <si>
    <t>2.5.2-1723.50</t>
  </si>
  <si>
    <t>DESINFECTANTES; PRINCIPIO ACTIVO: MONOPERSUFATO DE POTASIO, CONTROL: BACTERIAS, HONGOS, VIRUS, PRESENTACION: ENVASE X 20 G</t>
  </si>
  <si>
    <t>2.5.4-505.99</t>
  </si>
  <si>
    <t>ANTISEPTICOS LOCALES P/PERSONA; TIPO: MONODROGA, DROGA GENERICA: NITROFURAZONA, FORMA FARMACEUTICA: SOLUCION, PRESENTACION: FRASCO X 1 L</t>
  </si>
  <si>
    <t>2.5.2-1723.35</t>
  </si>
  <si>
    <t>ANTISEPTICOS LOCALES P/PERSONA; TIPO: MONODROGA, DROGA GENERICA: TINTURA DE IODO FUERTE, FORMA FARMACEUTICA: SOLUCION, PRESENTACION: ENVASE X 1 L</t>
  </si>
  <si>
    <t>2.5.2-1723.89</t>
  </si>
  <si>
    <t>ALCOHOL USO MEDICINAL; PUREZA: 70 %, PRESENTACION: ENVASE X 1 L</t>
  </si>
  <si>
    <t>2.5.2-711.15</t>
  </si>
  <si>
    <t>ALCOHOL USO MEDICINAL; PUREZA: 70 %, PRESENTACION: ENVASE X 500 mL</t>
  </si>
  <si>
    <t>2.5.2-711.29</t>
  </si>
  <si>
    <t>ALCOHOL USO MEDICINAL; PUREZA: 96 %, PRESENTACION: ENVASE X 500 CM3, CAPACIDAD: 500 CM3</t>
  </si>
  <si>
    <t>2.5.2-711.1</t>
  </si>
  <si>
    <t>ALCOHOL USO MEDICINAL; PUREZA: 96 %, PRESENTACION: ENVASE X 1000 CM3</t>
  </si>
  <si>
    <t>2.5.2-711.32</t>
  </si>
  <si>
    <r>
      <t xml:space="preserve">Descripción técnica: </t>
    </r>
    <r>
      <rPr>
        <sz val="10"/>
        <rFont val="Arial"/>
        <charset val="1"/>
      </rPr>
      <t>USO HOSPITALARIO. Limpiador para areas criticas en base a amonios cuaternarios de 4TA Generacion.Dilucion 2,5 ml/ litro .Aprobacion ANMAT</t>
    </r>
  </si>
  <si>
    <t>Especificidades Item N° 8:</t>
  </si>
  <si>
    <r>
      <t>Descripción técnica :</t>
    </r>
    <r>
      <rPr>
        <sz val="10"/>
        <rFont val="Arial"/>
        <charset val="1"/>
      </rPr>
      <t xml:space="preserve"> Detergente trienzimatico (proteada, lipasa y amilasa). Concentración: 3 a 5 ml/litro. Libre de fenoles, Atoxico. Aprobación ANMAT. Proveer 1 válvula dosificadora cada 5 unidades. </t>
    </r>
  </si>
  <si>
    <t>Especificidades Item N° 11:</t>
  </si>
  <si>
    <r>
      <t xml:space="preserve">Descripción técnica: </t>
    </r>
    <r>
      <rPr>
        <sz val="10"/>
        <rFont val="Arial"/>
        <charset val="1"/>
      </rPr>
      <t>con valvula atomizadora</t>
    </r>
  </si>
  <si>
    <t>Especificidades Item N°13:</t>
  </si>
  <si>
    <t>Especificidades Item N°14:</t>
  </si>
  <si>
    <t>QUIMICOS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</si>
  <si>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veinte (10) días habiles de notificada la Orden de Compra</t>
    </r>
  </si>
  <si>
    <r>
      <t>Descripción técnica: Entrega de los mismos con e</t>
    </r>
    <r>
      <rPr>
        <sz val="10"/>
        <rFont val="Arial"/>
        <charset val="1"/>
      </rPr>
      <t>nvase con atomizador para el preparado.</t>
    </r>
  </si>
  <si>
    <t>SI</t>
  </si>
  <si>
    <t>ELEMENTOS DE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</si>
</sst>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_-* #,##0.00_-;\-* #,##0.00_-;_-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  <numFmt numFmtId="171" formatCode="_-&quot;$&quot;\ * #,##0.00_-;\-&quot;$&quot;\ * #,##0.00_-;_-&quot;$&quot;\ * &quot;-&quot;??_-;_-@"/>
    <numFmt numFmtId="172" formatCode="_-&quot;$&quot;\ * #,##0.00_-;\-&quot;$&quot;\ * #,##0.00_-;_-&quot;$&quot;\ * &quot;-&quot;??_-;_-@_-"/>
    <numFmt numFmtId="173" formatCode="_-&quot;$&quot;* #,##0.00_-;\-&quot;$&quot;* #,##0.00_-;_-&quot;$&quot;* &quot;-&quot;??_-;_-@_-"/>
  </numFmts>
  <fonts count="3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CCC0D9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8">
    <xf numFmtId="0" fontId="0" fillId="0" borderId="0"/>
    <xf numFmtId="166" fontId="16" fillId="0" borderId="0" applyBorder="0" applyProtection="0"/>
    <xf numFmtId="0" fontId="3" fillId="0" borderId="1" applyProtection="0"/>
    <xf numFmtId="165" fontId="4" fillId="0" borderId="0" applyBorder="0" applyProtection="0"/>
    <xf numFmtId="0" fontId="5" fillId="2" borderId="0" applyBorder="0" applyProtection="0"/>
    <xf numFmtId="0" fontId="16" fillId="0" borderId="0"/>
    <xf numFmtId="164" fontId="2" fillId="0" borderId="0" applyFont="0" applyFill="0" applyBorder="0" applyAlignment="0" applyProtection="0"/>
    <xf numFmtId="0" fontId="1" fillId="0" borderId="0"/>
  </cellStyleXfs>
  <cellXfs count="173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4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7" fontId="0" fillId="0" borderId="33" xfId="3" applyNumberFormat="1" applyFont="1" applyBorder="1" applyAlignment="1" applyProtection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7" fontId="0" fillId="0" borderId="37" xfId="3" applyNumberFormat="1" applyFont="1" applyBorder="1" applyAlignment="1" applyProtection="1">
      <alignment horizontal="center" vertical="center"/>
    </xf>
    <xf numFmtId="167" fontId="15" fillId="0" borderId="38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17" fillId="0" borderId="5" xfId="0" applyFont="1" applyBorder="1"/>
    <xf numFmtId="0" fontId="17" fillId="0" borderId="0" xfId="0" applyFont="1" applyBorder="1"/>
    <xf numFmtId="167" fontId="17" fillId="0" borderId="0" xfId="0" applyNumberFormat="1" applyFont="1"/>
    <xf numFmtId="0" fontId="7" fillId="3" borderId="12" xfId="0" applyFont="1" applyFill="1" applyBorder="1" applyAlignment="1">
      <alignment horizontal="right" vertical="center"/>
    </xf>
    <xf numFmtId="0" fontId="8" fillId="4" borderId="1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0" fillId="3" borderId="0" xfId="0" applyFill="1"/>
    <xf numFmtId="0" fontId="7" fillId="3" borderId="14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wrapText="1" indent="1"/>
    </xf>
    <xf numFmtId="0" fontId="25" fillId="4" borderId="0" xfId="0" applyFont="1" applyFill="1" applyAlignment="1">
      <alignment horizontal="left" wrapText="1" indent="1"/>
    </xf>
    <xf numFmtId="0" fontId="21" fillId="3" borderId="0" xfId="0" applyFont="1" applyFill="1" applyAlignment="1">
      <alignment horizontal="left" wrapText="1"/>
    </xf>
    <xf numFmtId="0" fontId="6" fillId="3" borderId="4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167" fontId="6" fillId="3" borderId="2" xfId="1" applyNumberFormat="1" applyFont="1" applyFill="1" applyBorder="1" applyAlignment="1" applyProtection="1">
      <alignment horizontal="right" vertical="center" wrapText="1"/>
    </xf>
    <xf numFmtId="3" fontId="6" fillId="3" borderId="3" xfId="0" applyNumberFormat="1" applyFont="1" applyFill="1" applyBorder="1" applyAlignment="1">
      <alignment horizontal="center" vertical="center"/>
    </xf>
    <xf numFmtId="168" fontId="17" fillId="0" borderId="0" xfId="0" applyNumberFormat="1" applyFont="1"/>
    <xf numFmtId="170" fontId="22" fillId="0" borderId="0" xfId="0" applyNumberFormat="1" applyFont="1"/>
    <xf numFmtId="170" fontId="23" fillId="0" borderId="0" xfId="0" applyNumberFormat="1" applyFont="1" applyAlignment="1">
      <alignment horizontal="left" wrapText="1"/>
    </xf>
    <xf numFmtId="168" fontId="4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8" xfId="0" applyFont="1" applyBorder="1" applyAlignment="1">
      <alignment horizontal="left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67" fontId="0" fillId="0" borderId="53" xfId="3" applyNumberFormat="1" applyFont="1" applyBorder="1" applyAlignment="1" applyProtection="1">
      <alignment horizontal="center" vertical="center"/>
    </xf>
    <xf numFmtId="0" fontId="0" fillId="0" borderId="56" xfId="0" applyBorder="1"/>
    <xf numFmtId="0" fontId="22" fillId="0" borderId="57" xfId="0" applyFont="1" applyBorder="1" applyAlignment="1">
      <alignment horizontal="center" vertical="center"/>
    </xf>
    <xf numFmtId="0" fontId="16" fillId="0" borderId="56" xfId="0" applyFont="1" applyBorder="1" applyAlignment="1">
      <alignment wrapText="1"/>
    </xf>
    <xf numFmtId="167" fontId="22" fillId="4" borderId="58" xfId="1" applyNumberFormat="1" applyFont="1" applyFill="1" applyBorder="1" applyAlignment="1" applyProtection="1">
      <alignment horizontal="right" vertical="center" wrapText="1"/>
    </xf>
    <xf numFmtId="0" fontId="6" fillId="3" borderId="57" xfId="0" applyFont="1" applyFill="1" applyBorder="1" applyAlignment="1">
      <alignment horizontal="center" vertical="center"/>
    </xf>
    <xf numFmtId="3" fontId="6" fillId="3" borderId="58" xfId="0" applyNumberFormat="1" applyFont="1" applyFill="1" applyBorder="1" applyAlignment="1">
      <alignment horizontal="center" vertical="center"/>
    </xf>
    <xf numFmtId="167" fontId="6" fillId="3" borderId="56" xfId="1" applyNumberFormat="1" applyFont="1" applyFill="1" applyBorder="1" applyAlignment="1" applyProtection="1">
      <alignment horizontal="right" vertical="center" wrapText="1"/>
    </xf>
    <xf numFmtId="0" fontId="6" fillId="4" borderId="56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 wrapText="1"/>
    </xf>
    <xf numFmtId="0" fontId="22" fillId="0" borderId="61" xfId="0" applyFont="1" applyBorder="1" applyAlignment="1">
      <alignment horizontal="center" vertical="center"/>
    </xf>
    <xf numFmtId="0" fontId="0" fillId="0" borderId="60" xfId="0" applyBorder="1"/>
    <xf numFmtId="0" fontId="16" fillId="0" borderId="60" xfId="0" applyFont="1" applyBorder="1" applyAlignment="1">
      <alignment wrapText="1"/>
    </xf>
    <xf numFmtId="167" fontId="22" fillId="4" borderId="62" xfId="1" applyNumberFormat="1" applyFont="1" applyFill="1" applyBorder="1" applyAlignment="1" applyProtection="1">
      <alignment horizontal="right" vertical="center" wrapText="1"/>
    </xf>
    <xf numFmtId="0" fontId="21" fillId="0" borderId="16" xfId="0" applyFont="1" applyBorder="1" applyAlignment="1">
      <alignment horizontal="center" vertical="center" wrapText="1"/>
    </xf>
    <xf numFmtId="170" fontId="26" fillId="0" borderId="16" xfId="0" applyNumberFormat="1" applyFont="1" applyBorder="1" applyAlignment="1">
      <alignment horizontal="center" vertical="center" wrapText="1"/>
    </xf>
    <xf numFmtId="0" fontId="24" fillId="0" borderId="4" xfId="0" applyFont="1" applyBorder="1" applyAlignment="1">
      <alignment horizontal="left" indent="3"/>
    </xf>
    <xf numFmtId="0" fontId="24" fillId="0" borderId="9" xfId="0" applyFont="1" applyBorder="1" applyAlignment="1"/>
    <xf numFmtId="0" fontId="17" fillId="0" borderId="10" xfId="0" applyFont="1" applyBorder="1" applyAlignment="1">
      <alignment horizontal="center" wrapText="1"/>
    </xf>
    <xf numFmtId="0" fontId="17" fillId="0" borderId="10" xfId="0" applyFont="1" applyFill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0" fontId="22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wrapText="1"/>
    </xf>
    <xf numFmtId="0" fontId="28" fillId="0" borderId="0" xfId="0" applyFont="1" applyBorder="1" applyAlignment="1">
      <alignment horizontal="center" vertical="center"/>
    </xf>
    <xf numFmtId="0" fontId="29" fillId="0" borderId="0" xfId="0" applyFont="1" applyBorder="1" applyAlignment="1">
      <alignment horizontal="left" vertical="center" wrapText="1"/>
    </xf>
    <xf numFmtId="0" fontId="16" fillId="5" borderId="0" xfId="0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171" fontId="16" fillId="5" borderId="0" xfId="0" applyNumberFormat="1" applyFont="1" applyFill="1" applyBorder="1" applyAlignment="1">
      <alignment horizontal="center" vertical="center"/>
    </xf>
    <xf numFmtId="167" fontId="22" fillId="4" borderId="0" xfId="1" applyNumberFormat="1" applyFont="1" applyFill="1" applyBorder="1" applyAlignment="1" applyProtection="1">
      <alignment horizontal="right" vertical="center" wrapText="1"/>
    </xf>
    <xf numFmtId="0" fontId="29" fillId="3" borderId="56" xfId="0" applyFont="1" applyFill="1" applyBorder="1" applyAlignment="1">
      <alignment horizontal="center" vertical="center" wrapText="1"/>
    </xf>
    <xf numFmtId="0" fontId="16" fillId="3" borderId="56" xfId="0" applyFont="1" applyFill="1" applyBorder="1" applyAlignment="1">
      <alignment horizontal="left" vertical="center"/>
    </xf>
    <xf numFmtId="3" fontId="16" fillId="3" borderId="56" xfId="0" applyNumberFormat="1" applyFont="1" applyFill="1" applyBorder="1" applyAlignment="1">
      <alignment horizontal="left" vertical="center"/>
    </xf>
    <xf numFmtId="172" fontId="16" fillId="3" borderId="56" xfId="1" applyNumberFormat="1" applyFont="1" applyFill="1" applyBorder="1" applyAlignment="1">
      <alignment horizontal="left" vertical="center"/>
    </xf>
    <xf numFmtId="0" fontId="16" fillId="6" borderId="56" xfId="0" applyFont="1" applyFill="1" applyBorder="1" applyAlignment="1">
      <alignment horizontal="left" vertical="center" wrapText="1"/>
    </xf>
    <xf numFmtId="0" fontId="31" fillId="3" borderId="56" xfId="0" applyFont="1" applyFill="1" applyBorder="1" applyAlignment="1">
      <alignment horizontal="left" vertical="center" wrapText="1"/>
    </xf>
    <xf numFmtId="0" fontId="31" fillId="6" borderId="56" xfId="0" applyFont="1" applyFill="1" applyBorder="1" applyAlignment="1">
      <alignment horizontal="left" vertical="center" wrapText="1"/>
    </xf>
    <xf numFmtId="0" fontId="17" fillId="0" borderId="0" xfId="0" applyFont="1" applyAlignment="1">
      <alignment wrapText="1"/>
    </xf>
    <xf numFmtId="0" fontId="17" fillId="0" borderId="6" xfId="0" applyFont="1" applyBorder="1" applyAlignment="1">
      <alignment wrapText="1"/>
    </xf>
    <xf numFmtId="0" fontId="17" fillId="3" borderId="0" xfId="0" applyFont="1" applyFill="1"/>
    <xf numFmtId="0" fontId="33" fillId="0" borderId="4" xfId="7" applyFont="1" applyBorder="1"/>
    <xf numFmtId="0" fontId="1" fillId="0" borderId="5" xfId="7" applyBorder="1"/>
    <xf numFmtId="0" fontId="1" fillId="0" borderId="6" xfId="7" applyBorder="1"/>
    <xf numFmtId="173" fontId="17" fillId="3" borderId="0" xfId="0" applyNumberFormat="1" applyFont="1" applyFill="1"/>
    <xf numFmtId="0" fontId="32" fillId="0" borderId="7" xfId="7" applyFont="1" applyBorder="1"/>
    <xf numFmtId="0" fontId="1" fillId="0" borderId="0" xfId="7"/>
    <xf numFmtId="0" fontId="1" fillId="0" borderId="8" xfId="7" applyBorder="1"/>
    <xf numFmtId="0" fontId="32" fillId="0" borderId="9" xfId="7" applyFont="1" applyBorder="1"/>
    <xf numFmtId="0" fontId="1" fillId="0" borderId="10" xfId="7" applyBorder="1" applyAlignment="1">
      <alignment wrapText="1"/>
    </xf>
    <xf numFmtId="0" fontId="1" fillId="0" borderId="11" xfId="7" applyBorder="1" applyAlignment="1">
      <alignment wrapText="1"/>
    </xf>
    <xf numFmtId="0" fontId="32" fillId="0" borderId="7" xfId="7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32" fillId="0" borderId="7" xfId="7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7" fillId="4" borderId="7" xfId="5" applyFont="1" applyFill="1" applyBorder="1" applyAlignment="1">
      <alignment horizontal="left" wrapText="1"/>
    </xf>
    <xf numFmtId="0" fontId="17" fillId="4" borderId="0" xfId="5" applyFont="1" applyFill="1" applyBorder="1" applyAlignment="1">
      <alignment horizontal="left" wrapText="1"/>
    </xf>
    <xf numFmtId="0" fontId="17" fillId="4" borderId="8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center"/>
    </xf>
    <xf numFmtId="0" fontId="25" fillId="4" borderId="0" xfId="0" applyFont="1" applyFill="1" applyBorder="1" applyAlignment="1">
      <alignment horizontal="left" wrapText="1" indent="1"/>
    </xf>
    <xf numFmtId="0" fontId="7" fillId="3" borderId="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 indent="1"/>
    </xf>
    <xf numFmtId="0" fontId="9" fillId="3" borderId="17" xfId="0" applyFont="1" applyFill="1" applyBorder="1" applyAlignment="1">
      <alignment horizontal="left" vertical="center" wrapText="1"/>
    </xf>
    <xf numFmtId="0" fontId="6" fillId="3" borderId="56" xfId="0" applyFont="1" applyFill="1" applyBorder="1" applyAlignment="1">
      <alignment horizontal="left" vertical="center" wrapText="1"/>
    </xf>
    <xf numFmtId="0" fontId="9" fillId="3" borderId="18" xfId="0" applyFont="1" applyFill="1" applyBorder="1" applyAlignment="1">
      <alignment horizontal="left" vertical="center"/>
    </xf>
    <xf numFmtId="0" fontId="8" fillId="4" borderId="19" xfId="0" applyFont="1" applyFill="1" applyBorder="1" applyAlignment="1">
      <alignment horizontal="left" vertical="center" wrapText="1" indent="1"/>
    </xf>
    <xf numFmtId="0" fontId="10" fillId="3" borderId="18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168" fontId="9" fillId="3" borderId="1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59" xfId="0" applyFont="1" applyFill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4" fillId="0" borderId="13" xfId="0" applyFont="1" applyBorder="1"/>
    <xf numFmtId="0" fontId="13" fillId="0" borderId="13" xfId="0" applyFont="1" applyBorder="1" applyAlignment="1">
      <alignment horizontal="left" indent="1"/>
    </xf>
    <xf numFmtId="0" fontId="6" fillId="0" borderId="15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/>
    </xf>
    <xf numFmtId="0" fontId="13" fillId="0" borderId="24" xfId="0" applyFont="1" applyBorder="1"/>
    <xf numFmtId="0" fontId="13" fillId="0" borderId="25" xfId="0" applyFont="1" applyBorder="1" applyAlignment="1">
      <alignment horizontal="left" vertical="center" wrapText="1" indent="1"/>
    </xf>
    <xf numFmtId="0" fontId="15" fillId="0" borderId="23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27" fillId="0" borderId="30" xfId="0" applyFont="1" applyFill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/>
    </xf>
    <xf numFmtId="0" fontId="11" fillId="0" borderId="21" xfId="0" applyFont="1" applyBorder="1" applyAlignment="1">
      <alignment vertical="center" wrapText="1"/>
    </xf>
    <xf numFmtId="0" fontId="11" fillId="0" borderId="3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4" borderId="38" xfId="0" applyFont="1" applyFill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1" fillId="0" borderId="38" xfId="0" applyFont="1" applyBorder="1" applyAlignment="1">
      <alignment horizontal="left" vertical="center" wrapText="1"/>
    </xf>
    <xf numFmtId="0" fontId="0" fillId="0" borderId="23" xfId="0" applyBorder="1"/>
    <xf numFmtId="0" fontId="16" fillId="0" borderId="56" xfId="0" applyFont="1" applyFill="1" applyBorder="1" applyAlignment="1">
      <alignment wrapText="1"/>
    </xf>
  </cellXfs>
  <cellStyles count="8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Q47"/>
  <sheetViews>
    <sheetView tabSelected="1" topLeftCell="A4" zoomScale="93" zoomScaleNormal="93" workbookViewId="0">
      <selection activeCell="E20" sqref="E20"/>
    </sheetView>
  </sheetViews>
  <sheetFormatPr baseColWidth="10" defaultColWidth="11" defaultRowHeight="12.75" x14ac:dyDescent="0.2"/>
  <cols>
    <col min="1" max="1" width="6.42578125" style="26" customWidth="1"/>
    <col min="2" max="2" width="13.85546875" style="26" customWidth="1"/>
    <col min="3" max="3" width="21.42578125" style="26" customWidth="1"/>
    <col min="4" max="4" width="8.42578125" style="26" customWidth="1"/>
    <col min="5" max="5" width="68.7109375" style="97" customWidth="1"/>
    <col min="6" max="6" width="11" style="26"/>
    <col min="7" max="7" width="10.42578125" style="26" bestFit="1" customWidth="1"/>
    <col min="8" max="8" width="13.85546875" style="49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2" ht="27" x14ac:dyDescent="0.35">
      <c r="B2" s="126" t="s">
        <v>0</v>
      </c>
      <c r="C2" s="126"/>
      <c r="D2" s="126"/>
      <c r="E2" s="126"/>
      <c r="F2" s="126"/>
      <c r="G2" s="126"/>
      <c r="H2" s="126"/>
    </row>
    <row r="3" spans="1:12" ht="12" customHeight="1" x14ac:dyDescent="0.2"/>
    <row r="4" spans="1:12" ht="19.5" customHeight="1" x14ac:dyDescent="0.25">
      <c r="A4" s="125" t="s">
        <v>1</v>
      </c>
      <c r="B4" s="125"/>
      <c r="C4" s="127" t="s">
        <v>52</v>
      </c>
      <c r="D4" s="127"/>
      <c r="E4" s="127"/>
      <c r="F4" s="27"/>
      <c r="G4" s="28"/>
      <c r="H4" s="50"/>
    </row>
    <row r="5" spans="1:12" ht="18" customHeight="1" x14ac:dyDescent="0.25">
      <c r="A5" s="125" t="s">
        <v>2</v>
      </c>
      <c r="B5" s="125"/>
      <c r="C5" s="127" t="s">
        <v>51</v>
      </c>
      <c r="D5" s="127"/>
      <c r="E5" s="127"/>
      <c r="F5" s="27" t="s">
        <v>55</v>
      </c>
      <c r="G5" s="28" t="s">
        <v>55</v>
      </c>
      <c r="H5" s="50"/>
    </row>
    <row r="6" spans="1:12" ht="16.5" customHeight="1" x14ac:dyDescent="0.25">
      <c r="A6" s="125" t="s">
        <v>3</v>
      </c>
      <c r="B6" s="125"/>
      <c r="C6" s="40">
        <v>2022</v>
      </c>
      <c r="D6" s="41"/>
      <c r="E6" s="41"/>
      <c r="F6" s="27"/>
      <c r="G6" s="28"/>
      <c r="H6" s="50"/>
      <c r="K6" s="26" t="s">
        <v>55</v>
      </c>
    </row>
    <row r="7" spans="1:12" ht="16.5" customHeight="1" x14ac:dyDescent="0.25">
      <c r="A7" s="125" t="s">
        <v>4</v>
      </c>
      <c r="B7" s="125"/>
      <c r="C7" s="40">
        <v>1</v>
      </c>
      <c r="D7" s="41"/>
      <c r="E7" s="41"/>
      <c r="F7" s="27"/>
      <c r="G7" s="28"/>
      <c r="H7" s="50"/>
    </row>
    <row r="8" spans="1:12" ht="13.5" thickBot="1" x14ac:dyDescent="0.25">
      <c r="B8" s="27"/>
      <c r="C8" s="28"/>
      <c r="D8" s="27"/>
      <c r="E8" s="27"/>
      <c r="F8" s="27"/>
      <c r="G8" s="28"/>
      <c r="H8" s="50"/>
      <c r="J8" s="48"/>
    </row>
    <row r="9" spans="1:12" ht="36.75" thickBot="1" x14ac:dyDescent="0.25">
      <c r="A9" s="75" t="s">
        <v>5</v>
      </c>
      <c r="B9" s="75" t="s">
        <v>6</v>
      </c>
      <c r="C9" s="75" t="s">
        <v>7</v>
      </c>
      <c r="D9" s="75" t="s">
        <v>8</v>
      </c>
      <c r="E9" s="75" t="s">
        <v>9</v>
      </c>
      <c r="F9" s="75" t="s">
        <v>10</v>
      </c>
      <c r="G9" s="75" t="s">
        <v>11</v>
      </c>
      <c r="H9" s="76" t="s">
        <v>12</v>
      </c>
      <c r="I9" s="75" t="s">
        <v>13</v>
      </c>
    </row>
    <row r="10" spans="1:12" ht="38.25" x14ac:dyDescent="0.2">
      <c r="A10" s="71">
        <v>1</v>
      </c>
      <c r="B10" s="72" t="s">
        <v>75</v>
      </c>
      <c r="C10" s="73" t="s">
        <v>113</v>
      </c>
      <c r="D10" s="90">
        <v>251</v>
      </c>
      <c r="E10" s="95" t="s">
        <v>74</v>
      </c>
      <c r="F10" s="91" t="s">
        <v>65</v>
      </c>
      <c r="G10" s="92">
        <v>1</v>
      </c>
      <c r="H10" s="93">
        <v>3300</v>
      </c>
      <c r="I10" s="74">
        <f>+G10*H10</f>
        <v>3300</v>
      </c>
      <c r="K10" s="31"/>
      <c r="L10" s="31"/>
    </row>
    <row r="11" spans="1:12" ht="38.25" x14ac:dyDescent="0.2">
      <c r="A11" s="63">
        <v>2</v>
      </c>
      <c r="B11" s="62" t="s">
        <v>77</v>
      </c>
      <c r="C11" s="64" t="s">
        <v>113</v>
      </c>
      <c r="D11" s="90">
        <v>251</v>
      </c>
      <c r="E11" s="95" t="s">
        <v>76</v>
      </c>
      <c r="F11" s="91" t="s">
        <v>67</v>
      </c>
      <c r="G11" s="92">
        <v>1</v>
      </c>
      <c r="H11" s="93">
        <v>1560</v>
      </c>
      <c r="I11" s="65">
        <f t="shared" ref="I11:I25" si="0">+G11*H11</f>
        <v>1560</v>
      </c>
      <c r="K11" s="31"/>
      <c r="L11" s="31"/>
    </row>
    <row r="12" spans="1:12" ht="25.5" x14ac:dyDescent="0.2">
      <c r="A12" s="63">
        <v>3</v>
      </c>
      <c r="B12" s="62" t="s">
        <v>79</v>
      </c>
      <c r="C12" s="64" t="s">
        <v>58</v>
      </c>
      <c r="D12" s="90">
        <v>252</v>
      </c>
      <c r="E12" s="96" t="s">
        <v>78</v>
      </c>
      <c r="F12" s="91" t="s">
        <v>63</v>
      </c>
      <c r="G12" s="92">
        <v>50</v>
      </c>
      <c r="H12" s="93">
        <v>128.59</v>
      </c>
      <c r="I12" s="65">
        <f t="shared" si="0"/>
        <v>6429.5</v>
      </c>
      <c r="L12" s="31"/>
    </row>
    <row r="13" spans="1:12" ht="25.5" x14ac:dyDescent="0.2">
      <c r="A13" s="63">
        <v>4</v>
      </c>
      <c r="B13" s="62" t="s">
        <v>99</v>
      </c>
      <c r="C13" s="64" t="s">
        <v>58</v>
      </c>
      <c r="D13" s="90">
        <v>252</v>
      </c>
      <c r="E13" s="94" t="s">
        <v>98</v>
      </c>
      <c r="F13" s="91" t="s">
        <v>63</v>
      </c>
      <c r="G13" s="92">
        <v>400</v>
      </c>
      <c r="H13" s="93">
        <v>189</v>
      </c>
      <c r="I13" s="65">
        <f t="shared" si="0"/>
        <v>75600</v>
      </c>
    </row>
    <row r="14" spans="1:12" ht="25.5" x14ac:dyDescent="0.2">
      <c r="A14" s="63">
        <v>5</v>
      </c>
      <c r="B14" s="62" t="s">
        <v>101</v>
      </c>
      <c r="C14" s="64" t="s">
        <v>58</v>
      </c>
      <c r="D14" s="90">
        <v>252</v>
      </c>
      <c r="E14" s="94" t="s">
        <v>100</v>
      </c>
      <c r="F14" s="91" t="s">
        <v>63</v>
      </c>
      <c r="G14" s="92">
        <v>400</v>
      </c>
      <c r="H14" s="93">
        <v>109</v>
      </c>
      <c r="I14" s="65">
        <f t="shared" si="0"/>
        <v>43600</v>
      </c>
    </row>
    <row r="15" spans="1:12" ht="25.5" x14ac:dyDescent="0.2">
      <c r="A15" s="63">
        <v>6</v>
      </c>
      <c r="B15" s="62" t="s">
        <v>103</v>
      </c>
      <c r="C15" s="64" t="s">
        <v>58</v>
      </c>
      <c r="D15" s="90">
        <v>252</v>
      </c>
      <c r="E15" s="96" t="s">
        <v>102</v>
      </c>
      <c r="F15" s="91" t="s">
        <v>63</v>
      </c>
      <c r="G15" s="92">
        <v>1000</v>
      </c>
      <c r="H15" s="93">
        <v>108</v>
      </c>
      <c r="I15" s="65">
        <f t="shared" si="0"/>
        <v>108000</v>
      </c>
    </row>
    <row r="16" spans="1:12" ht="25.5" x14ac:dyDescent="0.2">
      <c r="A16" s="63">
        <v>7</v>
      </c>
      <c r="B16" s="62" t="s">
        <v>105</v>
      </c>
      <c r="C16" s="64" t="s">
        <v>58</v>
      </c>
      <c r="D16" s="90">
        <v>252</v>
      </c>
      <c r="E16" s="96" t="s">
        <v>104</v>
      </c>
      <c r="F16" s="91" t="s">
        <v>63</v>
      </c>
      <c r="G16" s="92">
        <v>500</v>
      </c>
      <c r="H16" s="93">
        <v>201</v>
      </c>
      <c r="I16" s="65">
        <f t="shared" si="0"/>
        <v>100500</v>
      </c>
    </row>
    <row r="17" spans="1:9" ht="38.25" x14ac:dyDescent="0.2">
      <c r="A17" s="63">
        <v>8</v>
      </c>
      <c r="B17" s="62" t="s">
        <v>81</v>
      </c>
      <c r="C17" s="64" t="s">
        <v>113</v>
      </c>
      <c r="D17" s="90">
        <v>251</v>
      </c>
      <c r="E17" s="94" t="s">
        <v>80</v>
      </c>
      <c r="F17" s="91" t="s">
        <v>65</v>
      </c>
      <c r="G17" s="92">
        <v>4</v>
      </c>
      <c r="H17" s="93">
        <v>9229.2000000000007</v>
      </c>
      <c r="I17" s="65">
        <f t="shared" si="0"/>
        <v>36916.800000000003</v>
      </c>
    </row>
    <row r="18" spans="1:9" ht="38.25" x14ac:dyDescent="0.2">
      <c r="A18" s="63">
        <v>9</v>
      </c>
      <c r="B18" s="62" t="s">
        <v>83</v>
      </c>
      <c r="C18" s="64" t="s">
        <v>58</v>
      </c>
      <c r="D18" s="90">
        <v>252</v>
      </c>
      <c r="E18" s="96" t="s">
        <v>82</v>
      </c>
      <c r="F18" s="91" t="s">
        <v>64</v>
      </c>
      <c r="G18" s="92">
        <v>300</v>
      </c>
      <c r="H18" s="93">
        <v>630</v>
      </c>
      <c r="I18" s="65">
        <f t="shared" si="0"/>
        <v>189000</v>
      </c>
    </row>
    <row r="19" spans="1:9" ht="38.25" x14ac:dyDescent="0.2">
      <c r="A19" s="63">
        <v>10</v>
      </c>
      <c r="B19" s="62" t="s">
        <v>85</v>
      </c>
      <c r="C19" s="64" t="s">
        <v>58</v>
      </c>
      <c r="D19" s="90">
        <v>252</v>
      </c>
      <c r="E19" s="94" t="s">
        <v>84</v>
      </c>
      <c r="F19" s="91" t="s">
        <v>64</v>
      </c>
      <c r="G19" s="92">
        <v>300</v>
      </c>
      <c r="H19" s="93">
        <v>570</v>
      </c>
      <c r="I19" s="65">
        <f t="shared" si="0"/>
        <v>171000</v>
      </c>
    </row>
    <row r="20" spans="1:9" ht="38.25" x14ac:dyDescent="0.2">
      <c r="A20" s="63">
        <v>11</v>
      </c>
      <c r="B20" s="62" t="s">
        <v>87</v>
      </c>
      <c r="C20" s="64" t="s">
        <v>113</v>
      </c>
      <c r="D20" s="90">
        <v>251</v>
      </c>
      <c r="E20" s="94" t="s">
        <v>86</v>
      </c>
      <c r="F20" s="91" t="s">
        <v>65</v>
      </c>
      <c r="G20" s="92">
        <v>30</v>
      </c>
      <c r="H20" s="93">
        <v>4900.5</v>
      </c>
      <c r="I20" s="65">
        <f t="shared" si="0"/>
        <v>147015</v>
      </c>
    </row>
    <row r="21" spans="1:9" ht="51" x14ac:dyDescent="0.2">
      <c r="A21" s="63">
        <v>12</v>
      </c>
      <c r="B21" s="62" t="s">
        <v>89</v>
      </c>
      <c r="C21" s="64" t="s">
        <v>113</v>
      </c>
      <c r="D21" s="90">
        <v>251</v>
      </c>
      <c r="E21" s="96" t="s">
        <v>88</v>
      </c>
      <c r="F21" s="91" t="s">
        <v>65</v>
      </c>
      <c r="G21" s="92">
        <v>2</v>
      </c>
      <c r="H21" s="93">
        <v>1680</v>
      </c>
      <c r="I21" s="65">
        <f t="shared" si="0"/>
        <v>3360</v>
      </c>
    </row>
    <row r="22" spans="1:9" ht="38.25" x14ac:dyDescent="0.2">
      <c r="A22" s="63">
        <v>13</v>
      </c>
      <c r="B22" s="62" t="s">
        <v>91</v>
      </c>
      <c r="C22" s="64" t="s">
        <v>58</v>
      </c>
      <c r="D22" s="90">
        <v>252</v>
      </c>
      <c r="E22" s="96" t="s">
        <v>90</v>
      </c>
      <c r="F22" s="91" t="s">
        <v>63</v>
      </c>
      <c r="G22" s="92">
        <v>30</v>
      </c>
      <c r="H22" s="93">
        <v>573</v>
      </c>
      <c r="I22" s="65">
        <f t="shared" si="0"/>
        <v>17190</v>
      </c>
    </row>
    <row r="23" spans="1:9" ht="38.25" x14ac:dyDescent="0.2">
      <c r="A23" s="63">
        <v>14</v>
      </c>
      <c r="B23" s="62" t="s">
        <v>93</v>
      </c>
      <c r="C23" s="172" t="s">
        <v>117</v>
      </c>
      <c r="D23" s="90">
        <v>251</v>
      </c>
      <c r="E23" s="94" t="s">
        <v>92</v>
      </c>
      <c r="F23" s="91" t="s">
        <v>68</v>
      </c>
      <c r="G23" s="92">
        <v>200</v>
      </c>
      <c r="H23" s="93">
        <v>199.65</v>
      </c>
      <c r="I23" s="65">
        <f t="shared" si="0"/>
        <v>39930</v>
      </c>
    </row>
    <row r="24" spans="1:9" ht="38.25" x14ac:dyDescent="0.2">
      <c r="A24" s="63">
        <v>15</v>
      </c>
      <c r="B24" s="62" t="s">
        <v>95</v>
      </c>
      <c r="C24" s="64" t="s">
        <v>58</v>
      </c>
      <c r="D24" s="90">
        <v>252</v>
      </c>
      <c r="E24" s="96" t="s">
        <v>94</v>
      </c>
      <c r="F24" s="91" t="s">
        <v>63</v>
      </c>
      <c r="G24" s="92">
        <v>10</v>
      </c>
      <c r="H24" s="93">
        <v>859</v>
      </c>
      <c r="I24" s="65">
        <f t="shared" si="0"/>
        <v>8590</v>
      </c>
    </row>
    <row r="25" spans="1:9" ht="38.25" x14ac:dyDescent="0.2">
      <c r="A25" s="63">
        <v>16</v>
      </c>
      <c r="B25" s="62" t="s">
        <v>97</v>
      </c>
      <c r="C25" s="64" t="s">
        <v>58</v>
      </c>
      <c r="D25" s="90">
        <v>252</v>
      </c>
      <c r="E25" s="96" t="s">
        <v>96</v>
      </c>
      <c r="F25" s="91" t="s">
        <v>63</v>
      </c>
      <c r="G25" s="92">
        <v>4</v>
      </c>
      <c r="H25" s="93">
        <v>989</v>
      </c>
      <c r="I25" s="65">
        <f t="shared" si="0"/>
        <v>3956</v>
      </c>
    </row>
    <row r="26" spans="1:9" ht="13.5" thickBot="1" x14ac:dyDescent="0.25">
      <c r="A26" s="82"/>
      <c r="B26" s="1"/>
      <c r="C26" s="83"/>
      <c r="D26" s="84"/>
      <c r="E26" s="85"/>
      <c r="F26" s="86"/>
      <c r="G26" s="87"/>
      <c r="H26" s="88"/>
      <c r="I26" s="89"/>
    </row>
    <row r="27" spans="1:9" x14ac:dyDescent="0.2">
      <c r="B27" s="77" t="s">
        <v>59</v>
      </c>
      <c r="C27" s="29"/>
      <c r="D27" s="29"/>
      <c r="E27" s="98"/>
      <c r="I27" s="31"/>
    </row>
    <row r="28" spans="1:9" x14ac:dyDescent="0.2">
      <c r="B28" s="122" t="s">
        <v>60</v>
      </c>
      <c r="C28" s="123"/>
      <c r="D28" s="123"/>
      <c r="E28" s="124"/>
    </row>
    <row r="29" spans="1:9" x14ac:dyDescent="0.2">
      <c r="B29" s="122"/>
      <c r="C29" s="123"/>
      <c r="D29" s="123"/>
      <c r="E29" s="124"/>
      <c r="F29" s="30"/>
      <c r="G29" s="30"/>
    </row>
    <row r="30" spans="1:9" ht="18" customHeight="1" x14ac:dyDescent="0.2">
      <c r="B30" s="122" t="s">
        <v>114</v>
      </c>
      <c r="C30" s="123"/>
      <c r="D30" s="123"/>
      <c r="E30" s="124"/>
      <c r="F30" s="30"/>
      <c r="G30" s="30"/>
    </row>
    <row r="31" spans="1:9" ht="14.25" customHeight="1" thickBot="1" x14ac:dyDescent="0.25">
      <c r="B31" s="78" t="s">
        <v>69</v>
      </c>
      <c r="C31" s="79"/>
      <c r="D31" s="80"/>
      <c r="E31" s="81"/>
      <c r="F31" s="30"/>
      <c r="G31" s="30"/>
    </row>
    <row r="32" spans="1:9" ht="13.5" thickBot="1" x14ac:dyDescent="0.25"/>
    <row r="33" spans="1:17" customFormat="1" ht="15" x14ac:dyDescent="0.25">
      <c r="A33" s="99"/>
      <c r="B33" s="100" t="s">
        <v>107</v>
      </c>
      <c r="C33" s="101"/>
      <c r="D33" s="101"/>
      <c r="E33" s="102"/>
      <c r="F33" s="99"/>
      <c r="G33" s="99"/>
      <c r="H33" s="99"/>
      <c r="I33" s="103"/>
      <c r="J33" s="99"/>
      <c r="K33" s="99"/>
      <c r="L33" s="99"/>
      <c r="M33" s="99"/>
      <c r="N33" s="99"/>
      <c r="O33" s="99"/>
      <c r="P33" s="99"/>
      <c r="Q33" s="99"/>
    </row>
    <row r="34" spans="1:17" customFormat="1" x14ac:dyDescent="0.2">
      <c r="A34" s="99"/>
      <c r="B34" s="110" t="s">
        <v>106</v>
      </c>
      <c r="C34" s="111"/>
      <c r="D34" s="111"/>
      <c r="E34" s="112"/>
      <c r="F34" s="99"/>
      <c r="G34" s="99"/>
      <c r="H34" s="99"/>
      <c r="I34" s="103"/>
      <c r="J34" s="99"/>
      <c r="K34" s="99"/>
      <c r="L34" s="99"/>
      <c r="M34" s="99"/>
      <c r="N34" s="99"/>
      <c r="O34" s="99"/>
      <c r="P34" s="99"/>
      <c r="Q34" s="99"/>
    </row>
    <row r="35" spans="1:17" customFormat="1" ht="13.5" thickBot="1" x14ac:dyDescent="0.25">
      <c r="A35" s="99"/>
      <c r="B35" s="113"/>
      <c r="C35" s="114"/>
      <c r="D35" s="114"/>
      <c r="E35" s="115"/>
      <c r="F35" s="99"/>
      <c r="G35" s="99"/>
      <c r="H35" s="99"/>
      <c r="I35" s="103"/>
      <c r="J35" s="99"/>
      <c r="K35" s="99"/>
      <c r="L35" s="99"/>
      <c r="M35" s="99"/>
      <c r="N35" s="99"/>
      <c r="O35" s="99"/>
      <c r="P35" s="99"/>
      <c r="Q35" s="99"/>
    </row>
    <row r="36" spans="1:17" ht="13.5" thickBot="1" x14ac:dyDescent="0.25"/>
    <row r="37" spans="1:17" customFormat="1" ht="15" x14ac:dyDescent="0.25">
      <c r="A37" s="99"/>
      <c r="B37" s="100" t="s">
        <v>109</v>
      </c>
      <c r="C37" s="101"/>
      <c r="D37" s="101"/>
      <c r="E37" s="102"/>
      <c r="F37" s="99"/>
      <c r="G37" s="99"/>
      <c r="H37" s="99"/>
      <c r="I37" s="103"/>
      <c r="J37" s="99"/>
      <c r="K37" s="99"/>
      <c r="L37" s="99"/>
      <c r="M37" s="99"/>
      <c r="N37" s="99"/>
      <c r="O37" s="99"/>
      <c r="P37" s="99"/>
      <c r="Q37" s="99"/>
    </row>
    <row r="38" spans="1:17" customFormat="1" x14ac:dyDescent="0.2">
      <c r="A38" s="99"/>
      <c r="B38" s="116" t="s">
        <v>108</v>
      </c>
      <c r="C38" s="117"/>
      <c r="D38" s="117"/>
      <c r="E38" s="118"/>
      <c r="F38" s="99"/>
      <c r="G38" s="99"/>
      <c r="H38" s="99"/>
      <c r="I38" s="103"/>
      <c r="J38" s="99"/>
      <c r="K38" s="99"/>
      <c r="L38" s="99"/>
      <c r="M38" s="99"/>
      <c r="N38" s="99"/>
      <c r="O38" s="99"/>
      <c r="P38" s="99"/>
      <c r="Q38" s="99"/>
    </row>
    <row r="39" spans="1:17" customFormat="1" ht="13.5" thickBot="1" x14ac:dyDescent="0.25">
      <c r="A39" s="99"/>
      <c r="B39" s="119"/>
      <c r="C39" s="120"/>
      <c r="D39" s="120"/>
      <c r="E39" s="121"/>
      <c r="F39" s="99"/>
      <c r="G39" s="99"/>
      <c r="H39" s="99"/>
      <c r="I39" s="103"/>
      <c r="J39" s="99"/>
      <c r="K39" s="99"/>
      <c r="L39" s="99"/>
      <c r="M39" s="99"/>
      <c r="N39" s="99"/>
      <c r="O39" s="99"/>
      <c r="P39" s="99"/>
      <c r="Q39" s="99"/>
    </row>
    <row r="40" spans="1:17" ht="13.5" thickBot="1" x14ac:dyDescent="0.25"/>
    <row r="41" spans="1:17" customFormat="1" ht="15" x14ac:dyDescent="0.25">
      <c r="A41" s="99"/>
      <c r="B41" s="100" t="s">
        <v>111</v>
      </c>
      <c r="C41" s="101"/>
      <c r="D41" s="101"/>
      <c r="E41" s="102"/>
      <c r="F41" s="99"/>
      <c r="G41" s="99"/>
      <c r="H41" s="99"/>
      <c r="I41" s="103"/>
      <c r="J41" s="99"/>
      <c r="K41" s="99"/>
      <c r="L41" s="99"/>
      <c r="M41" s="99"/>
      <c r="N41" s="99"/>
      <c r="O41" s="99"/>
      <c r="P41" s="99"/>
      <c r="Q41" s="99"/>
    </row>
    <row r="42" spans="1:17" customFormat="1" ht="15" x14ac:dyDescent="0.25">
      <c r="A42" s="99"/>
      <c r="B42" s="104" t="s">
        <v>110</v>
      </c>
      <c r="C42" s="105"/>
      <c r="D42" s="105"/>
      <c r="E42" s="106"/>
      <c r="F42" s="99"/>
      <c r="G42" s="99"/>
      <c r="H42" s="99"/>
      <c r="I42" s="103"/>
      <c r="J42" s="99"/>
      <c r="K42" s="99"/>
      <c r="L42" s="99"/>
      <c r="M42" s="99"/>
      <c r="N42" s="99"/>
      <c r="O42" s="99"/>
      <c r="P42" s="99"/>
      <c r="Q42" s="99"/>
    </row>
    <row r="43" spans="1:17" customFormat="1" ht="15.75" thickBot="1" x14ac:dyDescent="0.3">
      <c r="A43" s="99"/>
      <c r="B43" s="107"/>
      <c r="C43" s="108"/>
      <c r="D43" s="108"/>
      <c r="E43" s="109"/>
      <c r="F43" s="99"/>
      <c r="G43" s="99"/>
      <c r="H43" s="99"/>
      <c r="I43" s="103"/>
      <c r="J43" s="99"/>
      <c r="K43" s="99"/>
      <c r="L43" s="99"/>
      <c r="M43" s="99"/>
      <c r="N43" s="99"/>
      <c r="O43" s="99"/>
      <c r="P43" s="99"/>
      <c r="Q43" s="99"/>
    </row>
    <row r="44" spans="1:17" ht="13.5" thickBot="1" x14ac:dyDescent="0.25"/>
    <row r="45" spans="1:17" customFormat="1" ht="15" x14ac:dyDescent="0.25">
      <c r="A45" s="99"/>
      <c r="B45" s="100" t="s">
        <v>112</v>
      </c>
      <c r="C45" s="101"/>
      <c r="D45" s="101"/>
      <c r="E45" s="102"/>
      <c r="F45" s="99"/>
      <c r="G45" s="99"/>
      <c r="H45" s="99"/>
      <c r="I45" s="103"/>
      <c r="J45" s="99"/>
      <c r="K45" s="99"/>
      <c r="L45" s="99"/>
      <c r="M45" s="99"/>
      <c r="N45" s="99"/>
      <c r="O45" s="99"/>
      <c r="P45" s="99"/>
      <c r="Q45" s="99"/>
    </row>
    <row r="46" spans="1:17" customFormat="1" ht="15" x14ac:dyDescent="0.25">
      <c r="A46" s="99"/>
      <c r="B46" s="104" t="s">
        <v>115</v>
      </c>
      <c r="C46" s="105"/>
      <c r="D46" s="105"/>
      <c r="E46" s="106"/>
      <c r="F46" s="99"/>
      <c r="G46" s="99"/>
      <c r="H46" s="99"/>
      <c r="I46" s="103"/>
      <c r="J46" s="99"/>
      <c r="K46" s="99"/>
      <c r="L46" s="99"/>
      <c r="M46" s="99"/>
      <c r="N46" s="99"/>
      <c r="O46" s="99"/>
      <c r="P46" s="99"/>
      <c r="Q46" s="99"/>
    </row>
    <row r="47" spans="1:17" customFormat="1" ht="15.75" thickBot="1" x14ac:dyDescent="0.3">
      <c r="A47" s="99"/>
      <c r="B47" s="107"/>
      <c r="C47" s="108"/>
      <c r="D47" s="108"/>
      <c r="E47" s="109"/>
      <c r="F47" s="99"/>
      <c r="G47" s="99"/>
      <c r="H47" s="99"/>
      <c r="I47" s="103"/>
      <c r="J47" s="99"/>
      <c r="K47" s="99"/>
      <c r="L47" s="99"/>
      <c r="M47" s="99"/>
      <c r="N47" s="99"/>
      <c r="O47" s="99"/>
      <c r="P47" s="99"/>
      <c r="Q47" s="99"/>
    </row>
  </sheetData>
  <autoFilter ref="A9:I19"/>
  <mergeCells count="11">
    <mergeCell ref="B2:H2"/>
    <mergeCell ref="A4:B4"/>
    <mergeCell ref="C4:E4"/>
    <mergeCell ref="A5:B5"/>
    <mergeCell ref="C5:E5"/>
    <mergeCell ref="B34:E35"/>
    <mergeCell ref="B38:E39"/>
    <mergeCell ref="B28:E29"/>
    <mergeCell ref="B30:E30"/>
    <mergeCell ref="A6:B6"/>
    <mergeCell ref="A7:B7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8"/>
  <sheetViews>
    <sheetView topLeftCell="A13" zoomScale="80" zoomScaleNormal="80" workbookViewId="0">
      <selection activeCell="O18" sqref="O18"/>
    </sheetView>
  </sheetViews>
  <sheetFormatPr baseColWidth="10" defaultColWidth="9.140625" defaultRowHeight="12.75" x14ac:dyDescent="0.2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4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3" width="5.85546875" style="34" customWidth="1"/>
    <col min="14" max="14" width="14.140625" style="34" customWidth="1"/>
    <col min="15" max="15" width="12.5703125" style="34" customWidth="1"/>
    <col min="16" max="1024" width="9.140625" style="34"/>
    <col min="1025" max="16384" width="9.140625" style="35"/>
  </cols>
  <sheetData>
    <row r="1" spans="1:11" ht="18" customHeight="1" x14ac:dyDescent="0.2">
      <c r="A1" s="128" t="s">
        <v>14</v>
      </c>
      <c r="B1" s="128"/>
      <c r="C1" s="128"/>
      <c r="D1" s="128"/>
      <c r="E1" s="128"/>
      <c r="F1" s="128"/>
      <c r="G1" s="128"/>
      <c r="H1" s="128"/>
      <c r="I1" s="128"/>
      <c r="J1" s="32" t="s">
        <v>15</v>
      </c>
      <c r="K1" s="33" t="s">
        <v>70</v>
      </c>
    </row>
    <row r="2" spans="1:11" ht="18.75" customHeight="1" thickBot="1" x14ac:dyDescent="0.25">
      <c r="A2" s="36"/>
      <c r="B2" s="36"/>
      <c r="C2" s="36"/>
      <c r="D2" s="37"/>
      <c r="E2" s="37"/>
      <c r="F2" s="37"/>
      <c r="G2" s="37"/>
      <c r="H2" s="37"/>
      <c r="I2" s="37"/>
      <c r="J2" s="37"/>
      <c r="K2" s="37"/>
    </row>
    <row r="3" spans="1:11" ht="18.75" customHeight="1" thickBot="1" x14ac:dyDescent="0.25">
      <c r="A3" s="129" t="s">
        <v>48</v>
      </c>
      <c r="B3" s="129"/>
      <c r="C3" s="129"/>
      <c r="D3" s="130" t="str">
        <f>'Necesidades Trimestrales'!C4</f>
        <v>040 - Ministerio de Salud</v>
      </c>
      <c r="E3" s="130"/>
      <c r="F3" s="130"/>
      <c r="G3" s="130"/>
      <c r="H3" s="130"/>
      <c r="I3" s="130"/>
      <c r="J3" s="130"/>
      <c r="K3" s="130"/>
    </row>
    <row r="4" spans="1:11" ht="18.75" customHeight="1" thickBot="1" x14ac:dyDescent="0.25">
      <c r="A4" s="131" t="s">
        <v>49</v>
      </c>
      <c r="B4" s="131"/>
      <c r="C4" s="131"/>
      <c r="D4" s="130" t="str">
        <f>'Necesidades Trimestrales'!C5</f>
        <v>024 - Hospital Interzonal de Niños</v>
      </c>
      <c r="E4" s="130"/>
      <c r="F4" s="130"/>
      <c r="G4" s="130"/>
      <c r="H4" s="130"/>
      <c r="I4" s="130"/>
      <c r="J4" s="130"/>
      <c r="K4" s="130"/>
    </row>
    <row r="5" spans="1:11" ht="18.75" customHeight="1" thickBot="1" x14ac:dyDescent="0.25">
      <c r="A5" s="131" t="s">
        <v>27</v>
      </c>
      <c r="B5" s="131"/>
      <c r="C5" s="131"/>
      <c r="D5" s="130" t="s">
        <v>51</v>
      </c>
      <c r="E5" s="130"/>
      <c r="F5" s="130"/>
      <c r="G5" s="130"/>
      <c r="H5" s="130"/>
      <c r="I5" s="130"/>
      <c r="J5" s="130"/>
      <c r="K5" s="130"/>
    </row>
    <row r="6" spans="1:11" ht="16.5" customHeight="1" thickBot="1" x14ac:dyDescent="0.25">
      <c r="A6" s="129" t="s">
        <v>50</v>
      </c>
      <c r="B6" s="129"/>
      <c r="C6" s="129"/>
      <c r="D6" s="130" t="s">
        <v>57</v>
      </c>
      <c r="E6" s="130"/>
      <c r="F6" s="130"/>
      <c r="G6" s="130"/>
      <c r="H6" s="130"/>
      <c r="I6" s="130"/>
      <c r="J6" s="130"/>
      <c r="K6" s="130"/>
    </row>
    <row r="7" spans="1:11" ht="16.5" customHeight="1" x14ac:dyDescent="0.2">
      <c r="A7" s="131" t="s">
        <v>16</v>
      </c>
      <c r="B7" s="131"/>
      <c r="C7" s="131"/>
      <c r="D7" s="130" t="s">
        <v>71</v>
      </c>
      <c r="E7" s="130"/>
      <c r="F7" s="130"/>
      <c r="G7" s="130"/>
      <c r="H7" s="130"/>
      <c r="I7" s="130"/>
      <c r="J7" s="130"/>
      <c r="K7" s="130"/>
    </row>
    <row r="8" spans="1:11" ht="16.5" customHeight="1" x14ac:dyDescent="0.2">
      <c r="A8" s="133" t="s">
        <v>17</v>
      </c>
      <c r="B8" s="133"/>
      <c r="C8" s="133"/>
      <c r="D8" s="134" t="s">
        <v>61</v>
      </c>
      <c r="E8" s="134"/>
      <c r="F8" s="134"/>
      <c r="G8" s="134"/>
      <c r="H8" s="134"/>
      <c r="I8" s="134"/>
      <c r="J8" s="134"/>
      <c r="K8" s="134"/>
    </row>
    <row r="9" spans="1:11" ht="15.75" x14ac:dyDescent="0.2">
      <c r="A9" s="38"/>
      <c r="B9" s="38"/>
      <c r="C9" s="38"/>
      <c r="D9" s="39"/>
      <c r="E9" s="39"/>
      <c r="F9" s="39"/>
      <c r="G9" s="39"/>
      <c r="H9" s="39"/>
      <c r="I9" s="39"/>
      <c r="J9" s="39"/>
      <c r="K9" s="39"/>
    </row>
    <row r="10" spans="1:11" ht="18.75" customHeight="1" x14ac:dyDescent="0.2">
      <c r="A10" s="135" t="s">
        <v>18</v>
      </c>
      <c r="B10" s="136" t="s">
        <v>19</v>
      </c>
      <c r="C10" s="136" t="s">
        <v>20</v>
      </c>
      <c r="D10" s="136"/>
      <c r="E10" s="136"/>
      <c r="F10" s="136"/>
      <c r="G10" s="136"/>
      <c r="H10" s="136" t="s">
        <v>21</v>
      </c>
      <c r="I10" s="136" t="s">
        <v>22</v>
      </c>
      <c r="J10" s="136" t="s">
        <v>23</v>
      </c>
      <c r="K10" s="137" t="s">
        <v>24</v>
      </c>
    </row>
    <row r="11" spans="1:11" ht="24" customHeight="1" thickBot="1" x14ac:dyDescent="0.25">
      <c r="A11" s="135"/>
      <c r="B11" s="136"/>
      <c r="C11" s="136"/>
      <c r="D11" s="136"/>
      <c r="E11" s="136"/>
      <c r="F11" s="136"/>
      <c r="G11" s="136"/>
      <c r="H11" s="136"/>
      <c r="I11" s="136"/>
      <c r="J11" s="136"/>
      <c r="K11" s="137"/>
    </row>
    <row r="12" spans="1:11" ht="27.75" customHeight="1" thickBot="1" x14ac:dyDescent="0.25">
      <c r="A12" s="42">
        <v>1</v>
      </c>
      <c r="B12" s="43" t="str">
        <f>+'Necesidades Trimestrales'!B10</f>
        <v>2.5.1-9009.497</v>
      </c>
      <c r="C12" s="139" t="str">
        <f>'Necesidades Trimestrales'!E10</f>
        <v>ACIDOS; COMPUESTO QUIMICO: AC. ACETICO; ESTADO SOLIDO; CALIDAD: FARMACEUTICA; CONCENTRACION/PUREZA 25/30%; PRESENTACION: 5KG</v>
      </c>
      <c r="D12" s="139"/>
      <c r="E12" s="139"/>
      <c r="F12" s="139"/>
      <c r="G12" s="139"/>
      <c r="H12" s="44" t="s">
        <v>54</v>
      </c>
      <c r="I12" s="45" t="str">
        <f>'Necesidades Trimestrales'!F10</f>
        <v>BIDON</v>
      </c>
      <c r="J12" s="46">
        <f>'Necesidades Trimestrales'!H10</f>
        <v>3300</v>
      </c>
      <c r="K12" s="47">
        <f>'Necesidades Trimestrales'!G10</f>
        <v>1</v>
      </c>
    </row>
    <row r="13" spans="1:11" ht="27.75" customHeight="1" thickBot="1" x14ac:dyDescent="0.25">
      <c r="A13" s="66">
        <v>2</v>
      </c>
      <c r="B13" s="43" t="str">
        <f>+'Necesidades Trimestrales'!B11</f>
        <v>2.5.1-9009.262</v>
      </c>
      <c r="C13" s="140" t="str">
        <f>'Necesidades Trimestrales'!E11</f>
        <v>ACIDOS; COMPUESTO QUIMICO: AC. CITRICO, ESTADO: SOLIDO, CALIDAD: BIOLOGIA MOLECULAR, CONCENTRACION/PUREZA: 99,99 %, PRESENTACION: ENVASE X 1 Kg</v>
      </c>
      <c r="D13" s="140"/>
      <c r="E13" s="140"/>
      <c r="F13" s="140"/>
      <c r="G13" s="140"/>
      <c r="H13" s="69" t="s">
        <v>54</v>
      </c>
      <c r="I13" s="70" t="str">
        <f>'Necesidades Trimestrales'!F11</f>
        <v>UNIDAD</v>
      </c>
      <c r="J13" s="68">
        <f>'Necesidades Trimestrales'!H11</f>
        <v>1560</v>
      </c>
      <c r="K13" s="67">
        <f>'Necesidades Trimestrales'!G11</f>
        <v>1</v>
      </c>
    </row>
    <row r="14" spans="1:11" ht="27.75" customHeight="1" thickBot="1" x14ac:dyDescent="0.25">
      <c r="A14" s="66">
        <v>3</v>
      </c>
      <c r="B14" s="43" t="str">
        <f>+'Necesidades Trimestrales'!B12</f>
        <v>2.5.2-710.4</v>
      </c>
      <c r="C14" s="132" t="str">
        <f>'Necesidades Trimestrales'!E12</f>
        <v>AGUA OXIGENADA; CAPACIDAD: 1000 CM3, VOLUMEN: 10, PRESENTACION: ENVASE X 1000 CM3</v>
      </c>
      <c r="D14" s="132"/>
      <c r="E14" s="132"/>
      <c r="F14" s="132"/>
      <c r="G14" s="132"/>
      <c r="H14" s="69" t="s">
        <v>54</v>
      </c>
      <c r="I14" s="70" t="str">
        <f>'Necesidades Trimestrales'!F12</f>
        <v>BOTELLA</v>
      </c>
      <c r="J14" s="68">
        <f>'Necesidades Trimestrales'!H12</f>
        <v>128.59</v>
      </c>
      <c r="K14" s="67">
        <f>'Necesidades Trimestrales'!G12</f>
        <v>50</v>
      </c>
    </row>
    <row r="15" spans="1:11" ht="27.75" customHeight="1" thickBot="1" x14ac:dyDescent="0.25">
      <c r="A15" s="66">
        <v>4</v>
      </c>
      <c r="B15" s="43" t="str">
        <f>+'Necesidades Trimestrales'!B13</f>
        <v>2.5.2-711.15</v>
      </c>
      <c r="C15" s="132" t="str">
        <f>'Necesidades Trimestrales'!E13</f>
        <v>ALCOHOL USO MEDICINAL; PUREZA: 70 %, PRESENTACION: ENVASE X 1 L</v>
      </c>
      <c r="D15" s="132"/>
      <c r="E15" s="132"/>
      <c r="F15" s="132"/>
      <c r="G15" s="132"/>
      <c r="H15" s="69" t="s">
        <v>54</v>
      </c>
      <c r="I15" s="70" t="str">
        <f>'Necesidades Trimestrales'!F13</f>
        <v>BOTELLA</v>
      </c>
      <c r="J15" s="68">
        <f>'Necesidades Trimestrales'!H13</f>
        <v>189</v>
      </c>
      <c r="K15" s="67">
        <f>'Necesidades Trimestrales'!G13</f>
        <v>400</v>
      </c>
    </row>
    <row r="16" spans="1:11" ht="27.75" customHeight="1" thickBot="1" x14ac:dyDescent="0.25">
      <c r="A16" s="66">
        <v>5</v>
      </c>
      <c r="B16" s="43" t="str">
        <f>+'Necesidades Trimestrales'!B14</f>
        <v>2.5.2-711.29</v>
      </c>
      <c r="C16" s="132" t="str">
        <f>'Necesidades Trimestrales'!E14</f>
        <v>ALCOHOL USO MEDICINAL; PUREZA: 70 %, PRESENTACION: ENVASE X 500 mL</v>
      </c>
      <c r="D16" s="132"/>
      <c r="E16" s="132"/>
      <c r="F16" s="132"/>
      <c r="G16" s="132"/>
      <c r="H16" s="69" t="s">
        <v>54</v>
      </c>
      <c r="I16" s="70" t="str">
        <f>'Necesidades Trimestrales'!F14</f>
        <v>BOTELLA</v>
      </c>
      <c r="J16" s="68">
        <f>'Necesidades Trimestrales'!H14</f>
        <v>109</v>
      </c>
      <c r="K16" s="67">
        <f>'Necesidades Trimestrales'!G14</f>
        <v>400</v>
      </c>
    </row>
    <row r="17" spans="1:14" ht="27.75" customHeight="1" thickBot="1" x14ac:dyDescent="0.25">
      <c r="A17" s="66">
        <v>6</v>
      </c>
      <c r="B17" s="43" t="str">
        <f>+'Necesidades Trimestrales'!B15</f>
        <v>2.5.2-711.1</v>
      </c>
      <c r="C17" s="132" t="str">
        <f>'Necesidades Trimestrales'!E15</f>
        <v>ALCOHOL USO MEDICINAL; PUREZA: 96 %, PRESENTACION: ENVASE X 500 CM3, CAPACIDAD: 500 CM3</v>
      </c>
      <c r="D17" s="132"/>
      <c r="E17" s="132"/>
      <c r="F17" s="132"/>
      <c r="G17" s="132"/>
      <c r="H17" s="69" t="s">
        <v>54</v>
      </c>
      <c r="I17" s="70" t="str">
        <f>'Necesidades Trimestrales'!F15</f>
        <v>BOTELLA</v>
      </c>
      <c r="J17" s="68">
        <f>'Necesidades Trimestrales'!H15</f>
        <v>108</v>
      </c>
      <c r="K17" s="67">
        <f>'Necesidades Trimestrales'!G15</f>
        <v>1000</v>
      </c>
    </row>
    <row r="18" spans="1:14" ht="27.75" customHeight="1" thickBot="1" x14ac:dyDescent="0.25">
      <c r="A18" s="66">
        <v>7</v>
      </c>
      <c r="B18" s="43" t="str">
        <f>+'Necesidades Trimestrales'!B16</f>
        <v>2.5.2-711.32</v>
      </c>
      <c r="C18" s="132" t="str">
        <f>'Necesidades Trimestrales'!E16</f>
        <v>ALCOHOL USO MEDICINAL; PUREZA: 96 %, PRESENTACION: ENVASE X 1000 CM3</v>
      </c>
      <c r="D18" s="132"/>
      <c r="E18" s="132"/>
      <c r="F18" s="132"/>
      <c r="G18" s="132"/>
      <c r="H18" s="69" t="s">
        <v>54</v>
      </c>
      <c r="I18" s="70" t="str">
        <f>'Necesidades Trimestrales'!F16</f>
        <v>BOTELLA</v>
      </c>
      <c r="J18" s="68">
        <f>'Necesidades Trimestrales'!H16</f>
        <v>201</v>
      </c>
      <c r="K18" s="67">
        <f>'Necesidades Trimestrales'!G16</f>
        <v>500</v>
      </c>
    </row>
    <row r="19" spans="1:14" ht="27.75" customHeight="1" thickBot="1" x14ac:dyDescent="0.25">
      <c r="A19" s="66">
        <v>8</v>
      </c>
      <c r="B19" s="43" t="str">
        <f>+'Necesidades Trimestrales'!B17</f>
        <v>2.5.1-9065.27</v>
      </c>
      <c r="C19" s="132" t="str">
        <f>'Necesidades Trimestrales'!E17</f>
        <v>DESINFECTANTES Y DETERGENTES; PRINCIPIO ACTIVO: AMONIO CUATERNARIO, CALIDAD: COMERCIAL, CONCENTRACION/PUREZA: 99 %, PRESENTACION: ENVASE X 5 L</v>
      </c>
      <c r="D19" s="132"/>
      <c r="E19" s="132"/>
      <c r="F19" s="132"/>
      <c r="G19" s="132"/>
      <c r="H19" s="69" t="s">
        <v>116</v>
      </c>
      <c r="I19" s="70" t="str">
        <f>'Necesidades Trimestrales'!F17</f>
        <v>BIDON</v>
      </c>
      <c r="J19" s="68">
        <f>'Necesidades Trimestrales'!H17</f>
        <v>9229.2000000000007</v>
      </c>
      <c r="K19" s="67">
        <f>'Necesidades Trimestrales'!G17</f>
        <v>4</v>
      </c>
    </row>
    <row r="20" spans="1:14" ht="27.75" customHeight="1" thickBot="1" x14ac:dyDescent="0.25">
      <c r="A20" s="66">
        <v>9</v>
      </c>
      <c r="B20" s="43" t="str">
        <f>+'Necesidades Trimestrales'!B18</f>
        <v>2.5.2-1723.172</v>
      </c>
      <c r="C20" s="132" t="str">
        <f>'Necesidades Trimestrales'!E18</f>
        <v>ANTISEPTICOS LOCALES P/PERSONA; TIPO: MONODROGA, DROGA GENERICA: CLORHEXIDINA AL 2%, FORMA FARMACEUTICA: SOLUCION ACUOSA, PRESENTACION: ENVASE X 250 ML</v>
      </c>
      <c r="D20" s="132"/>
      <c r="E20" s="132"/>
      <c r="F20" s="132"/>
      <c r="G20" s="132"/>
      <c r="H20" s="69" t="s">
        <v>54</v>
      </c>
      <c r="I20" s="70" t="str">
        <f>'Necesidades Trimestrales'!F18</f>
        <v>FRASCO</v>
      </c>
      <c r="J20" s="68">
        <f>'Necesidades Trimestrales'!H18</f>
        <v>630</v>
      </c>
      <c r="K20" s="67">
        <f>'Necesidades Trimestrales'!G18</f>
        <v>300</v>
      </c>
    </row>
    <row r="21" spans="1:14" ht="27.75" customHeight="1" thickBot="1" x14ac:dyDescent="0.25">
      <c r="A21" s="66">
        <v>10</v>
      </c>
      <c r="B21" s="43" t="str">
        <f>+'Necesidades Trimestrales'!B19</f>
        <v>2.5.2-1723.166</v>
      </c>
      <c r="C21" s="132" t="str">
        <f>'Necesidades Trimestrales'!E19</f>
        <v>ANTISEPTICOS LOCALES P/PERSONA; TIPO: MONODROGA, DROGA GENERICA: CLORHEXIDINA AL 4%, FORMA FARMACEUTICA: JABON MEDICINAL, PRESENTACION: ENVASE X 500 mL</v>
      </c>
      <c r="D21" s="132"/>
      <c r="E21" s="132"/>
      <c r="F21" s="132"/>
      <c r="G21" s="132"/>
      <c r="H21" s="69" t="s">
        <v>54</v>
      </c>
      <c r="I21" s="70" t="str">
        <f>'Necesidades Trimestrales'!F19</f>
        <v>FRASCO</v>
      </c>
      <c r="J21" s="68">
        <f>'Necesidades Trimestrales'!H19</f>
        <v>570</v>
      </c>
      <c r="K21" s="67">
        <f>'Necesidades Trimestrales'!G19</f>
        <v>300</v>
      </c>
    </row>
    <row r="22" spans="1:14" ht="27.75" customHeight="1" thickBot="1" x14ac:dyDescent="0.25">
      <c r="A22" s="66">
        <v>11</v>
      </c>
      <c r="B22" s="43" t="str">
        <f>+'Necesidades Trimestrales'!B20</f>
        <v>2.5.1-9065.16</v>
      </c>
      <c r="C22" s="132" t="str">
        <f>'Necesidades Trimestrales'!E20</f>
        <v>DESINFECTANTES Y DETERGENTES; PRINCIPIO ACTIVO: AMILASA, PROTEASA, LIPASA, CALIDAD: COMERCIAL, CONCENTRACION/PUREZA: 100 %, PRESENTACION: ENVASE X 5 L</v>
      </c>
      <c r="D22" s="132"/>
      <c r="E22" s="132"/>
      <c r="F22" s="132"/>
      <c r="G22" s="132"/>
      <c r="H22" s="69" t="s">
        <v>116</v>
      </c>
      <c r="I22" s="70" t="str">
        <f>'Necesidades Trimestrales'!F20</f>
        <v>BIDON</v>
      </c>
      <c r="J22" s="68">
        <f>'Necesidades Trimestrales'!H20</f>
        <v>4900.5</v>
      </c>
      <c r="K22" s="67">
        <f>'Necesidades Trimestrales'!G20</f>
        <v>30</v>
      </c>
    </row>
    <row r="23" spans="1:14" ht="27.75" customHeight="1" thickBot="1" x14ac:dyDescent="0.25">
      <c r="A23" s="66">
        <v>12</v>
      </c>
      <c r="B23" s="43" t="str">
        <f>+'Necesidades Trimestrales'!B21</f>
        <v>2.5.1-9065.53</v>
      </c>
      <c r="C23" s="132" t="str">
        <f>'Necesidades Trimestrales'!E21</f>
        <v>DESINFECTANTES Y DETERGENTES; PRINCIPIO ACTIVO: GLUTARALDEHIDO CON SULFACTANTE, CALIDAD: BIOLOGIA MOLECULAR, CONCENTRACION/PUREZA: 2 %, PRESENTACION: ENVASE X 4 L</v>
      </c>
      <c r="D23" s="132"/>
      <c r="E23" s="132"/>
      <c r="F23" s="132"/>
      <c r="G23" s="132"/>
      <c r="H23" s="69" t="s">
        <v>54</v>
      </c>
      <c r="I23" s="70" t="str">
        <f>'Necesidades Trimestrales'!F21</f>
        <v>BIDON</v>
      </c>
      <c r="J23" s="68">
        <f>'Necesidades Trimestrales'!H21</f>
        <v>1680</v>
      </c>
      <c r="K23" s="67">
        <f>'Necesidades Trimestrales'!G21</f>
        <v>2</v>
      </c>
    </row>
    <row r="24" spans="1:14" ht="27.75" customHeight="1" thickBot="1" x14ac:dyDescent="0.25">
      <c r="A24" s="66">
        <v>13</v>
      </c>
      <c r="B24" s="43" t="str">
        <f>+'Necesidades Trimestrales'!B22</f>
        <v>2.5.2-1723.50</v>
      </c>
      <c r="C24" s="132" t="str">
        <f>'Necesidades Trimestrales'!E22</f>
        <v>ANTISEPTICOS LOCALES P/PERSONA; DROGA GENERICA: IODOPOVIDONA 10%, FORMA FARMACEUTICA: SOLUCION, PRESENTACION: ENVASE X 1 L, TIPO: MONODROGA</v>
      </c>
      <c r="D24" s="132"/>
      <c r="E24" s="132"/>
      <c r="F24" s="132"/>
      <c r="G24" s="132"/>
      <c r="H24" s="69" t="s">
        <v>116</v>
      </c>
      <c r="I24" s="70" t="str">
        <f>'Necesidades Trimestrales'!F22</f>
        <v>BOTELLA</v>
      </c>
      <c r="J24" s="68">
        <f>'Necesidades Trimestrales'!H22</f>
        <v>573</v>
      </c>
      <c r="K24" s="67">
        <f>'Necesidades Trimestrales'!G22</f>
        <v>30</v>
      </c>
    </row>
    <row r="25" spans="1:14" ht="27.75" customHeight="1" thickBot="1" x14ac:dyDescent="0.25">
      <c r="A25" s="66">
        <v>14</v>
      </c>
      <c r="B25" s="43" t="str">
        <f>+'Necesidades Trimestrales'!B23</f>
        <v>2.5.4-505.99</v>
      </c>
      <c r="C25" s="132" t="str">
        <f>'Necesidades Trimestrales'!E23</f>
        <v>DESINFECTANTES; PRINCIPIO ACTIVO: MONOPERSUFATO DE POTASIO, CONTROL: BACTERIAS, HONGOS, VIRUS, PRESENTACION: ENVASE X 20 G</v>
      </c>
      <c r="D25" s="132"/>
      <c r="E25" s="132"/>
      <c r="F25" s="132"/>
      <c r="G25" s="132"/>
      <c r="H25" s="69" t="s">
        <v>116</v>
      </c>
      <c r="I25" s="70" t="str">
        <f>'Necesidades Trimestrales'!F23</f>
        <v>SOBRE</v>
      </c>
      <c r="J25" s="68">
        <f>'Necesidades Trimestrales'!H23</f>
        <v>199.65</v>
      </c>
      <c r="K25" s="67">
        <f>'Necesidades Trimestrales'!G23</f>
        <v>200</v>
      </c>
    </row>
    <row r="26" spans="1:14" ht="27.75" customHeight="1" thickBot="1" x14ac:dyDescent="0.25">
      <c r="A26" s="66">
        <v>15</v>
      </c>
      <c r="B26" s="43" t="str">
        <f>+'Necesidades Trimestrales'!B24</f>
        <v>2.5.2-1723.35</v>
      </c>
      <c r="C26" s="132" t="str">
        <f>'Necesidades Trimestrales'!E24</f>
        <v>ANTISEPTICOS LOCALES P/PERSONA; TIPO: MONODROGA, DROGA GENERICA: NITROFURAZONA, FORMA FARMACEUTICA: SOLUCION, PRESENTACION: FRASCO X 1 L</v>
      </c>
      <c r="D26" s="132"/>
      <c r="E26" s="132"/>
      <c r="F26" s="132"/>
      <c r="G26" s="132"/>
      <c r="H26" s="69" t="s">
        <v>54</v>
      </c>
      <c r="I26" s="70" t="str">
        <f>'Necesidades Trimestrales'!F24</f>
        <v>BOTELLA</v>
      </c>
      <c r="J26" s="68">
        <f>'Necesidades Trimestrales'!H24</f>
        <v>859</v>
      </c>
      <c r="K26" s="67">
        <f>'Necesidades Trimestrales'!G24</f>
        <v>10</v>
      </c>
    </row>
    <row r="27" spans="1:14" ht="27.75" customHeight="1" thickBot="1" x14ac:dyDescent="0.25">
      <c r="A27" s="66">
        <v>16</v>
      </c>
      <c r="B27" s="43" t="str">
        <f>+'Necesidades Trimestrales'!B25</f>
        <v>2.5.2-1723.89</v>
      </c>
      <c r="C27" s="132" t="str">
        <f>'Necesidades Trimestrales'!E25</f>
        <v>ANTISEPTICOS LOCALES P/PERSONA; TIPO: MONODROGA, DROGA GENERICA: TINTURA DE IODO FUERTE, FORMA FARMACEUTICA: SOLUCION, PRESENTACION: ENVASE X 1 L</v>
      </c>
      <c r="D27" s="132"/>
      <c r="E27" s="132"/>
      <c r="F27" s="132"/>
      <c r="G27" s="132"/>
      <c r="H27" s="69" t="s">
        <v>54</v>
      </c>
      <c r="I27" s="70" t="str">
        <f>'Necesidades Trimestrales'!F25</f>
        <v>BOTELLA</v>
      </c>
      <c r="J27" s="68">
        <f>'Necesidades Trimestrales'!H25</f>
        <v>989</v>
      </c>
      <c r="K27" s="67">
        <f>'Necesidades Trimestrales'!G25</f>
        <v>4</v>
      </c>
    </row>
    <row r="28" spans="1:14" ht="20.25" customHeight="1" thickBot="1" x14ac:dyDescent="0.25">
      <c r="A28" s="130" t="s">
        <v>72</v>
      </c>
      <c r="B28" s="130"/>
      <c r="C28" s="130"/>
      <c r="D28" s="130"/>
      <c r="E28" s="130"/>
      <c r="F28" s="130"/>
      <c r="G28" s="130"/>
      <c r="H28" s="130"/>
      <c r="I28" s="130"/>
      <c r="J28" s="138">
        <f>SUMPRODUCT(J12:J27,K12:K27)</f>
        <v>955947.3</v>
      </c>
      <c r="K28" s="138"/>
      <c r="N28" s="51"/>
    </row>
  </sheetData>
  <mergeCells count="38">
    <mergeCell ref="C26:G26"/>
    <mergeCell ref="C27:G27"/>
    <mergeCell ref="A28:I28"/>
    <mergeCell ref="J28:K28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opLeftCell="A13" zoomScale="130" zoomScaleNormal="130" workbookViewId="0">
      <selection activeCell="S13" sqref="S13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1" t="s">
        <v>3</v>
      </c>
      <c r="B1" s="141"/>
      <c r="C1" s="141"/>
      <c r="D1" s="142">
        <f>'Necesidades Trimestrales'!C6</f>
        <v>2022</v>
      </c>
      <c r="E1" s="142"/>
      <c r="F1" s="3"/>
      <c r="G1" s="3"/>
      <c r="H1" s="4"/>
      <c r="I1" s="4"/>
      <c r="J1" s="4"/>
      <c r="K1" s="4"/>
      <c r="L1" s="4"/>
      <c r="M1" s="4"/>
      <c r="N1" s="4"/>
      <c r="P1" s="143" t="s">
        <v>25</v>
      </c>
      <c r="Q1" s="143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3"/>
      <c r="Q2" s="143"/>
    </row>
    <row r="4" spans="1:17" s="5" customFormat="1" ht="18" customHeight="1" thickBot="1" x14ac:dyDescent="0.25">
      <c r="A4" s="144" t="s">
        <v>26</v>
      </c>
      <c r="B4" s="144"/>
      <c r="C4" s="144"/>
      <c r="D4" s="144"/>
      <c r="E4" s="144"/>
      <c r="F4" s="144"/>
      <c r="G4" s="145" t="str">
        <f>' NotaPedido'!D3</f>
        <v>040 - Ministerio de Salud</v>
      </c>
      <c r="H4" s="145"/>
      <c r="I4" s="145"/>
      <c r="J4" s="145"/>
      <c r="K4" s="145"/>
      <c r="L4" s="145"/>
      <c r="M4" s="145"/>
      <c r="N4" s="145"/>
      <c r="O4" s="145"/>
      <c r="P4" s="145"/>
      <c r="Q4" s="145"/>
    </row>
    <row r="5" spans="1:17" s="5" customFormat="1" ht="18" customHeight="1" thickBot="1" x14ac:dyDescent="0.25">
      <c r="A5" s="146" t="s">
        <v>49</v>
      </c>
      <c r="B5" s="147"/>
      <c r="C5" s="147"/>
      <c r="D5" s="147"/>
      <c r="E5" s="147"/>
      <c r="F5" s="148"/>
      <c r="G5" s="145" t="str">
        <f>' NotaPedido'!D4</f>
        <v>024 - Hospital Interzonal de Niños</v>
      </c>
      <c r="H5" s="145"/>
      <c r="I5" s="145"/>
      <c r="J5" s="145"/>
      <c r="K5" s="145"/>
      <c r="L5" s="145"/>
      <c r="M5" s="145"/>
      <c r="N5" s="145"/>
      <c r="O5" s="145"/>
      <c r="P5" s="145"/>
      <c r="Q5" s="145"/>
    </row>
    <row r="6" spans="1:17" s="5" customFormat="1" ht="18" customHeight="1" thickBot="1" x14ac:dyDescent="0.25">
      <c r="A6" s="146" t="s">
        <v>27</v>
      </c>
      <c r="B6" s="147"/>
      <c r="C6" s="147"/>
      <c r="D6" s="147"/>
      <c r="E6" s="147"/>
      <c r="F6" s="148"/>
      <c r="G6" s="145" t="str">
        <f>' NotaPedido'!D5</f>
        <v>024 - Hospital Interzonal de Niños</v>
      </c>
      <c r="H6" s="145"/>
      <c r="I6" s="145"/>
      <c r="J6" s="145"/>
      <c r="K6" s="145"/>
      <c r="L6" s="145"/>
      <c r="M6" s="145"/>
      <c r="N6" s="145"/>
      <c r="O6" s="145"/>
      <c r="P6" s="145"/>
      <c r="Q6" s="145"/>
    </row>
    <row r="7" spans="1:17" s="5" customFormat="1" ht="18" customHeight="1" thickBot="1" x14ac:dyDescent="0.25">
      <c r="A7" s="146" t="s">
        <v>50</v>
      </c>
      <c r="B7" s="147"/>
      <c r="C7" s="147"/>
      <c r="D7" s="147"/>
      <c r="E7" s="147"/>
      <c r="F7" s="148"/>
      <c r="G7" s="145" t="s">
        <v>57</v>
      </c>
      <c r="H7" s="145"/>
      <c r="I7" s="145"/>
      <c r="J7" s="145"/>
      <c r="K7" s="145"/>
      <c r="L7" s="145"/>
      <c r="M7" s="145"/>
      <c r="N7" s="145"/>
      <c r="O7" s="145"/>
      <c r="P7" s="145"/>
      <c r="Q7" s="145"/>
    </row>
    <row r="8" spans="1:17" ht="18" customHeight="1" thickBot="1" x14ac:dyDescent="0.25">
      <c r="A8" s="149" t="s">
        <v>28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</row>
    <row r="9" spans="1:17" ht="18" customHeight="1" x14ac:dyDescent="0.2">
      <c r="A9" s="150" t="s">
        <v>29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"/>
      <c r="P9" s="1"/>
      <c r="Q9" s="6"/>
    </row>
    <row r="10" spans="1:17" ht="54.75" customHeight="1" x14ac:dyDescent="0.2">
      <c r="A10" s="15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006/2022,  afectando la erogación resultante a los créditos presupuestarios aprobados a favor de esta Unidad Ejecutora, conforme al siguiente detalle:</v>
      </c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52" t="s">
        <v>30</v>
      </c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</row>
    <row r="13" spans="1:17" ht="15.75" customHeight="1" thickBot="1" x14ac:dyDescent="0.25">
      <c r="A13" s="153" t="s">
        <v>31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5" t="s">
        <v>32</v>
      </c>
      <c r="P13" s="156"/>
      <c r="Q13" s="159" t="s">
        <v>33</v>
      </c>
    </row>
    <row r="14" spans="1:17" ht="15.75" customHeight="1" thickBot="1" x14ac:dyDescent="0.25">
      <c r="A14" s="56" t="s">
        <v>34</v>
      </c>
      <c r="B14" s="57" t="s">
        <v>35</v>
      </c>
      <c r="C14" s="57" t="s">
        <v>36</v>
      </c>
      <c r="D14" s="57" t="s">
        <v>37</v>
      </c>
      <c r="E14" s="57" t="s">
        <v>38</v>
      </c>
      <c r="F14" s="57" t="s">
        <v>39</v>
      </c>
      <c r="G14" s="58" t="s">
        <v>40</v>
      </c>
      <c r="H14" s="57" t="s">
        <v>41</v>
      </c>
      <c r="I14" s="57" t="s">
        <v>42</v>
      </c>
      <c r="J14" s="57" t="s">
        <v>43</v>
      </c>
      <c r="K14" s="57" t="s">
        <v>43</v>
      </c>
      <c r="L14" s="57" t="s">
        <v>44</v>
      </c>
      <c r="M14" s="59" t="s">
        <v>45</v>
      </c>
      <c r="N14" s="60" t="s">
        <v>46</v>
      </c>
      <c r="O14" s="157"/>
      <c r="P14" s="158"/>
      <c r="Q14" s="160"/>
    </row>
    <row r="15" spans="1:17" ht="26.25" customHeight="1" x14ac:dyDescent="0.2">
      <c r="A15" s="52">
        <v>36</v>
      </c>
      <c r="B15" s="53"/>
      <c r="C15" s="53"/>
      <c r="D15" s="53">
        <v>1</v>
      </c>
      <c r="E15" s="53"/>
      <c r="F15" s="53">
        <v>4901</v>
      </c>
      <c r="G15" s="53">
        <v>3</v>
      </c>
      <c r="H15" s="53">
        <v>310</v>
      </c>
      <c r="I15" s="53">
        <v>2</v>
      </c>
      <c r="J15" s="53">
        <v>5</v>
      </c>
      <c r="K15" s="53">
        <v>1</v>
      </c>
      <c r="L15" s="53"/>
      <c r="M15" s="54">
        <v>1</v>
      </c>
      <c r="N15" s="55" t="s">
        <v>53</v>
      </c>
      <c r="O15" s="161" t="s">
        <v>66</v>
      </c>
      <c r="P15" s="161"/>
      <c r="Q15" s="61">
        <v>232081.8</v>
      </c>
    </row>
    <row r="16" spans="1:17" ht="26.25" customHeight="1" x14ac:dyDescent="0.2">
      <c r="A16" s="52">
        <v>36</v>
      </c>
      <c r="B16" s="53"/>
      <c r="C16" s="53"/>
      <c r="D16" s="53">
        <v>1</v>
      </c>
      <c r="E16" s="53"/>
      <c r="F16" s="53">
        <v>4901</v>
      </c>
      <c r="G16" s="53">
        <v>3</v>
      </c>
      <c r="H16" s="53">
        <v>310</v>
      </c>
      <c r="I16" s="53">
        <v>2</v>
      </c>
      <c r="J16" s="53">
        <v>5</v>
      </c>
      <c r="K16" s="53">
        <v>2</v>
      </c>
      <c r="L16" s="53"/>
      <c r="M16" s="54">
        <v>1</v>
      </c>
      <c r="N16" s="55" t="s">
        <v>53</v>
      </c>
      <c r="O16" s="161" t="s">
        <v>56</v>
      </c>
      <c r="P16" s="161"/>
      <c r="Q16" s="15">
        <v>723865.5</v>
      </c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62"/>
      <c r="P17" s="162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62"/>
      <c r="P18" s="162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68"/>
      <c r="P19" s="168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69"/>
      <c r="P20" s="169"/>
      <c r="Q20" s="24"/>
    </row>
    <row r="21" spans="1:18" ht="29.25" customHeight="1" x14ac:dyDescent="0.2">
      <c r="A21" s="170" t="s">
        <v>73</v>
      </c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25">
        <f>SUM(Q15:Q20)</f>
        <v>955947.3</v>
      </c>
    </row>
    <row r="22" spans="1:18" ht="18" customHeight="1" thickBot="1" x14ac:dyDescent="0.25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</row>
    <row r="23" spans="1:18" ht="17.25" customHeight="1" thickBot="1" x14ac:dyDescent="0.25">
      <c r="A23" s="163" t="s">
        <v>47</v>
      </c>
      <c r="B23" s="164"/>
      <c r="C23" s="164"/>
      <c r="D23" s="164"/>
      <c r="E23" s="164"/>
      <c r="F23" s="165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</row>
    <row r="24" spans="1:18" ht="18" customHeight="1" thickBot="1" x14ac:dyDescent="0.25">
      <c r="A24" s="167" t="s">
        <v>62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</row>
    <row r="25" spans="1:18" ht="15" customHeight="1" x14ac:dyDescent="0.2">
      <c r="A25" s="167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2022-02-02T12:57:27Z</cp:lastPrinted>
  <dcterms:created xsi:type="dcterms:W3CDTF">2020-07-17T23:44:49Z</dcterms:created>
  <dcterms:modified xsi:type="dcterms:W3CDTF">2022-02-22T12:14:48Z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