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228"/>
  <workbookPr defaultThemeVersion="124226"/>
  <mc:AlternateContent xmlns:mc="http://schemas.openxmlformats.org/markup-compatibility/2006">
    <mc:Choice Requires="x15">
      <x15ac:absPath xmlns:x15ac="http://schemas.microsoft.com/office/spreadsheetml/2010/11/ac" url="E:\SILVINA\AGOSTO 2021\CONSOLIDADO DESCARTABLE (Desier.yFracas.II trimestre)\"/>
    </mc:Choice>
  </mc:AlternateContent>
  <xr:revisionPtr revIDLastSave="0" documentId="13_ncr:1_{B4755BB9-B448-4A45-A7C5-B19262DEFAB7}" xr6:coauthVersionLast="47" xr6:coauthVersionMax="47" xr10:uidLastSave="{00000000-0000-0000-0000-000000000000}"/>
  <bookViews>
    <workbookView xWindow="-120" yWindow="-120" windowWidth="29040" windowHeight="15840" tabRatio="500" xr2:uid="{00000000-000D-0000-FFFF-FFFF00000000}"/>
  </bookViews>
  <sheets>
    <sheet name="Necesidades Trimestrales" sheetId="1" r:id="rId1"/>
  </sheets>
  <definedNames>
    <definedName name="_xlnm._FilterDatabase" localSheetId="0" hidden="1">'Necesidades Trimestrales'!$A$9:$K$61</definedName>
  </definedNames>
  <calcPr calcId="181029"/>
</workbook>
</file>

<file path=xl/calcChain.xml><?xml version="1.0" encoding="utf-8"?>
<calcChain xmlns="http://schemas.openxmlformats.org/spreadsheetml/2006/main">
  <c r="I51" i="1" l="1"/>
  <c r="I48" i="1"/>
  <c r="I47" i="1"/>
  <c r="I22" i="1"/>
  <c r="I21" i="1"/>
  <c r="I50" i="1" l="1"/>
  <c r="I49" i="1"/>
  <c r="I45" i="1"/>
  <c r="I44" i="1"/>
  <c r="I30" i="1"/>
  <c r="I29" i="1"/>
  <c r="I25" i="1"/>
  <c r="I24" i="1"/>
  <c r="I33" i="1" l="1"/>
  <c r="I32" i="1"/>
  <c r="I28" i="1"/>
  <c r="J11" i="1" l="1"/>
  <c r="I59" i="1" l="1"/>
  <c r="I23" i="1"/>
  <c r="I26" i="1"/>
  <c r="I27" i="1"/>
  <c r="I31" i="1"/>
  <c r="I39" i="1"/>
  <c r="I41" i="1"/>
  <c r="I56" i="1"/>
  <c r="J14" i="1" s="1"/>
  <c r="I46" i="1" l="1"/>
  <c r="I43" i="1"/>
  <c r="I42" i="1"/>
  <c r="I20" i="1"/>
  <c r="I19" i="1"/>
  <c r="I18" i="1"/>
  <c r="I17" i="1"/>
  <c r="I10" i="1"/>
  <c r="I16" i="1"/>
  <c r="I15" i="1"/>
  <c r="I14" i="1"/>
  <c r="I13" i="1"/>
  <c r="I12" i="1"/>
  <c r="I11" i="1"/>
  <c r="I58" i="1"/>
  <c r="I57" i="1"/>
  <c r="I40" i="1"/>
  <c r="I55" i="1"/>
  <c r="I54" i="1"/>
  <c r="I53" i="1"/>
  <c r="I52" i="1"/>
  <c r="I38" i="1"/>
  <c r="I37" i="1"/>
  <c r="I36" i="1"/>
  <c r="I35" i="1"/>
  <c r="I34" i="1"/>
  <c r="J12" i="1" l="1"/>
  <c r="J13" i="1"/>
  <c r="J10" i="1"/>
  <c r="H60" i="1"/>
  <c r="J15" i="1" l="1"/>
</calcChain>
</file>

<file path=xl/sharedStrings.xml><?xml version="1.0" encoding="utf-8"?>
<sst xmlns="http://schemas.openxmlformats.org/spreadsheetml/2006/main" count="243" uniqueCount="95">
  <si>
    <t>Pedido de Necesidades Trimestrales</t>
  </si>
  <si>
    <t>JURISDICCION:</t>
  </si>
  <si>
    <t xml:space="preserve">SAF N°: </t>
  </si>
  <si>
    <t>EJERCICIO:</t>
  </si>
  <si>
    <t>TRIMESTRE:</t>
  </si>
  <si>
    <t>ID</t>
  </si>
  <si>
    <t>CODIGO ITEM</t>
  </si>
  <si>
    <t>RUBRO DE COMPRA</t>
  </si>
  <si>
    <t xml:space="preserve">I.P.P. </t>
  </si>
  <si>
    <t>DESCRIPCION</t>
  </si>
  <si>
    <t>UNIDAD DE MEDIDA</t>
  </si>
  <si>
    <t>CANTIDAD</t>
  </si>
  <si>
    <t>PRECIO UNITARIO ESTIMADO</t>
  </si>
  <si>
    <t xml:space="preserve">IMPORTE TOTAL ESTIMADO </t>
  </si>
  <si>
    <t>Descripción técnica</t>
  </si>
  <si>
    <t>Plazos y lugares de entrega</t>
  </si>
  <si>
    <t>Calidad Minima esperada</t>
  </si>
  <si>
    <t>Mantenimiento</t>
  </si>
  <si>
    <t>Garantia</t>
  </si>
  <si>
    <t>40 - Ministerio de Salud</t>
  </si>
  <si>
    <t>23 - Hospital Interzonal San Juan Bautista</t>
  </si>
  <si>
    <t>Compuestos Quimicos</t>
  </si>
  <si>
    <t xml:space="preserve">45 dias habiles </t>
  </si>
  <si>
    <t xml:space="preserve">Otros NEP </t>
  </si>
  <si>
    <t>GLUTARALDEHIDO 2% SIN SURFACTANTE BIDON X 4 LITROS</t>
  </si>
  <si>
    <t xml:space="preserve">COMPUESTOS QUIMICOS </t>
  </si>
  <si>
    <t>2.5.1</t>
  </si>
  <si>
    <t>UNIDAD</t>
  </si>
  <si>
    <t>HILO DE SUTURA CATGUT  CROMICO Nº0</t>
  </si>
  <si>
    <t>HILO DE SUTURA CATGUT CROMICO Nro 1 CON AGUJA TIPO TAGUM</t>
  </si>
  <si>
    <t>HILO DE SUTURA CATGUT CROMICO Nro 2 CON AGUJA TIPO TAGUM</t>
  </si>
  <si>
    <t>HILO DE SUTURA MONOFILAMENTO 4-0 AGUJA PS-1 3/8 CIRC 24 MM</t>
  </si>
  <si>
    <t>SUT.ABS.CATGUT  SIMP. 1  SIN AGUJA</t>
  </si>
  <si>
    <t>SUT.ABS.CATGUT SIMP. 2  SIN AGUJA</t>
  </si>
  <si>
    <t>2.9.5</t>
  </si>
  <si>
    <t>Ut. Menor. Med. Quirurg. Y de Laborat.</t>
  </si>
  <si>
    <t xml:space="preserve">SUTURA QUIRURGICA ACIDO POLIGLICOLICO Nª 8/0 J546G OFTALMOLOGICO TIPO VICRYL </t>
  </si>
  <si>
    <t>Ut. Men. Med. Quirurg. Y de Laborator.</t>
  </si>
  <si>
    <t>MANOPLAS DE POLIETILENO X 100</t>
  </si>
  <si>
    <t>TIRAS REACTIVAS PARA DETERMINACION GLUCOSA X 50 UNIDADES</t>
  </si>
  <si>
    <t>TUBO DE LATEX  3 X 5 X METRO</t>
  </si>
  <si>
    <t>TUBO DE LATEX 5 X 8 MM X METRO</t>
  </si>
  <si>
    <t>Ut. Menores med. Quirúrg. Y de Lab.</t>
  </si>
  <si>
    <t>AGUJA ESPINAL 25G 31/2 PUNTA LAPIZ</t>
  </si>
  <si>
    <t>Aguja ESPINAL 26 G 31/2</t>
  </si>
  <si>
    <t>Aguja ESPINAL 27 G 3 1/2</t>
  </si>
  <si>
    <t xml:space="preserve">AGUJA ESPINAL 27G 3 1/2 PUNTA LAPIZ </t>
  </si>
  <si>
    <t>Aguja espinal para obesos  25 G  punta lapiz</t>
  </si>
  <si>
    <t xml:space="preserve">Aguja espinal para obesos  27 G </t>
  </si>
  <si>
    <t>Aguja ESPINAL 21 G 3 1/2 PUNTA LAPIZ</t>
  </si>
  <si>
    <t>AGUJA PUNTA CURVA HUBER Nº 20 X 25 MM</t>
  </si>
  <si>
    <t>AGUJA PUNTA CURVA HUBER Nº 21 X 25 MM</t>
  </si>
  <si>
    <t>AGUJA PUNTA CURVA HUBER Nº 22 X 25 MM</t>
  </si>
  <si>
    <t>AGUJA TROCAR X 1 - 30/12</t>
  </si>
  <si>
    <t>2.5.9</t>
  </si>
  <si>
    <t>PLACA MAMOGRAFICA TIPO DI MI 20/25 FUJIFILM CAJA X 150 UNIDADES</t>
  </si>
  <si>
    <t>PLACA MAMOGRAFICA TIPO DI MI 26/36 FUJIFILM CAJA X 150 UNIDADES</t>
  </si>
  <si>
    <t>SISTEMA DE REGULACION DE FLUJO B-2763</t>
  </si>
  <si>
    <t>La totalidad de los insumos debera tener un vencimiento minimo de un año. Las firmas comerciales deberan poseer Habilitación Sanitaria emitida por las autoridades sanitarias provinciales competentes en caso de empresas locales y para empresa no locales Habilitación de transito
interjurisdiccional por autoridad sanitaria nacional (ANMAT). Empresas importadoras de productos médicos, disposición del registro de sus productos. Establecimientos elaboradores de productos médicos certificado de Buenas Prácticas de Fabricación (BPF). Como así también toda otra
documentación obligatoria en virtud del rubro que se pretende contratar con el Estado Provincial (Rubricado por personal).
idóneo).</t>
  </si>
  <si>
    <t>Ut. Menores Med. Quirurg. Y de Lab.</t>
  </si>
  <si>
    <t>Camisolin P/Cirugia de tela verde brin con puño caña larga</t>
  </si>
  <si>
    <t>CEPILLO P/LAVAR TUBOS GRANDES X 1</t>
  </si>
  <si>
    <t>CEPILLO P/LAVAR TUBOS MEDIANOS X 1</t>
  </si>
  <si>
    <t xml:space="preserve">Envoltorio para esterilización de Tela no tejida 100% a base de Polipropileno SMS. Gramaje 45 gr/m2 Bobina x 200 metros </t>
  </si>
  <si>
    <t>LUPAS; POTENCIA: 75 Diop, DIAMETRO: 65 mm, MATERIAL LENTE: VIDRIO, ACCESORIO: C/LUZ, ARMAZON: PLASTICO, ESTRUCTURA: PLASTICO</t>
  </si>
  <si>
    <t>PAPELES P/ESTERILIZACION; TIPO: PAPEL CREPPE, PRESENTACION: 100 X 100 Cm</t>
  </si>
  <si>
    <t xml:space="preserve">Hilados y Telas </t>
  </si>
  <si>
    <t>2.2.1</t>
  </si>
  <si>
    <t>Tela verde brin de algodón rollo 50 mtrs largo (doble ancho) Indantrend</t>
  </si>
  <si>
    <t>Cinta Testigo p/calor seco  (en rollo) Tipo Kims</t>
  </si>
  <si>
    <t>GASA HIDROFILA PIEZA X 1,8 KGS. TIPO HIDROSAN</t>
  </si>
  <si>
    <t>GASAS; TIPO: CORTADA, MEDIDA: 40 X 40 Cm, PRESENTACION: X KILO</t>
  </si>
  <si>
    <t>CATETER DOBLE J 4.8 FRENCH X 46 CM TIPO COOK</t>
  </si>
  <si>
    <t>CATETER DOBLE J 7 FRENCH X 46 CM TIPO COOK</t>
  </si>
  <si>
    <t xml:space="preserve">CONECTOR 150 CM DE BAJA PRESION </t>
  </si>
  <si>
    <t>DRENAJE DE SILICONA ESTERIL TIPO DRENAJE BLAKE</t>
  </si>
  <si>
    <t>SET DE NEFROSTOMIA 14 FRENCH TIPO COOK</t>
  </si>
  <si>
    <t>SET DE NEFROSTOMIA 16 FRENCH TIPO COOK</t>
  </si>
  <si>
    <t>SONDA FOLEY TRIPLE VIA HEMATURICA Nº 22</t>
  </si>
  <si>
    <t>Ut. Menores Med. Quirurg. Y de Laboratorio</t>
  </si>
  <si>
    <t>BUTERFLY Nº 19</t>
  </si>
  <si>
    <t>BUTERFLY Nº 21</t>
  </si>
  <si>
    <t>SONDA FOLEY DOBLE VIA DE LATEX RECUBIERTA CON SILICONA  Nº 16</t>
  </si>
  <si>
    <t>SONDA FOLEY DOBLE VIA DE LATEX RECUBIERTA CON SILICONA Nº 18</t>
  </si>
  <si>
    <t>SONDA PARA INTUBACION GASTRICA K11</t>
  </si>
  <si>
    <t>20 dias corridos - Servicio de Farmacia del HISJB</t>
  </si>
  <si>
    <t>2.3.4</t>
  </si>
  <si>
    <t xml:space="preserve">Productos de papel y cartón </t>
  </si>
  <si>
    <t>SONDA FOLEY TRIPLE VIA HEMATURICA Nº 18</t>
  </si>
  <si>
    <t>SUT.ABS.CATGUT SIMP. 0 SIN AGUJA</t>
  </si>
  <si>
    <t>Especificidades Item N° 47:</t>
  </si>
  <si>
    <t>La totalidad de los insumos debera tener un vencimiento minimo de un año. Las firmas comerciales deberan poseer Habilitación Sanitaria emitida por las autoridades sanitarias provinciales competentes en caso de empresas locales y para empresa no locales Habilitación de transito
interjurisdiccional por autoridad sanitaria nacional (ANMAT). Empresas importadoras de productos médicos, disposición del registro de sus productos. Establecimientos elaboradores de productos médicos certificado de Buenas Prácticas de Fabricación (BPF). Como así también toda otra
documentación obligatoria en virtud del rubro que se pretende contratar con el Estado Provincial (Rubricado por personal).
idóneo). Entiendase el ancho del rollo de tela de 1,50 mts - se solicita doble ancho.</t>
  </si>
  <si>
    <t>Especificidades Item N° 48:</t>
  </si>
  <si>
    <t>La totalidad de los insumos debera tener un vencimiento minimo de un año. Las firmas comerciales deberan poseer Habilitación Sanitaria emitida por las autoridades sanitarias provinciales competentes en caso de empresas locales y para empresa no locales Habilitación de transito
interjurisdiccional por autoridad sanitaria nacional (ANMAT). Empresas importadoras de productos médicos, disposición del registro de sus productos. Establecimientos elaboradores de productos médicos certificado de Buenas Prácticas de Fabricación (BPF). Como así también toda otra
documentación obligatoria en virtud del rubro que se pretende contratar con el Estado Provincial (Rubricado por personal).
idóneo). Tiras reactivas para ser utilizadas en aparatos marca Optium Abbott</t>
  </si>
  <si>
    <t>Especificidades Item N° 1 al 46, 49 y 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</si>
</sst>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_);_(@_)"/>
    <numFmt numFmtId="165" formatCode="_-* #,##0.00&quot; €&quot;_-;\-* #,##0.00&quot; €&quot;_-;_-* \-??&quot; €&quot;_-;_-@_-"/>
    <numFmt numFmtId="166" formatCode="[$$-2C0A]\ #,##0.00;[$$-2C0A]&quot; -&quot;#,##0.00"/>
    <numFmt numFmtId="167" formatCode="[$$-2C0A]\ #,##0.00"/>
    <numFmt numFmtId="169" formatCode="&quot;$&quot;\ #,##0.00"/>
  </numFmts>
  <fonts count="21" x14ac:knownFonts="1">
    <font>
      <sz val="10"/>
      <name val="Arial"/>
      <charset val="1"/>
    </font>
    <font>
      <sz val="11"/>
      <color theme="1"/>
      <name val="Calibri"/>
      <family val="2"/>
      <scheme val="minor"/>
    </font>
    <font>
      <b/>
      <sz val="15"/>
      <color rgb="FF666699"/>
      <name val="Calibri"/>
      <family val="2"/>
      <charset val="1"/>
    </font>
    <font>
      <sz val="10"/>
      <name val="Arial"/>
      <family val="2"/>
      <charset val="1"/>
    </font>
    <font>
      <sz val="11"/>
      <color rgb="FF993300"/>
      <name val="Calibri"/>
      <family val="2"/>
      <charset val="1"/>
    </font>
    <font>
      <sz val="10"/>
      <name val="Arial"/>
      <family val="2"/>
    </font>
    <font>
      <sz val="10"/>
      <name val="Times New Roman"/>
      <family val="1"/>
    </font>
    <font>
      <b/>
      <sz val="22"/>
      <name val="Times New Roman"/>
      <family val="1"/>
    </font>
    <font>
      <b/>
      <sz val="11"/>
      <color rgb="FF000000"/>
      <name val="Times New Roman"/>
      <family val="1"/>
    </font>
    <font>
      <sz val="10"/>
      <color rgb="FF000000"/>
      <name val="Times New Roman"/>
      <family val="1"/>
    </font>
    <font>
      <b/>
      <sz val="10"/>
      <color rgb="FF000000"/>
      <name val="Times New Roman"/>
      <family val="1"/>
    </font>
    <font>
      <sz val="9"/>
      <name val="Times New Roman"/>
      <family val="1"/>
    </font>
    <font>
      <sz val="9"/>
      <color rgb="FF000000"/>
      <name val="Times New Roman"/>
      <family val="1"/>
    </font>
    <font>
      <u/>
      <sz val="10"/>
      <name val="Times New Roman"/>
      <family val="1"/>
    </font>
    <font>
      <b/>
      <sz val="12"/>
      <color rgb="FF000000"/>
      <name val="Times New Roman"/>
      <family val="1"/>
    </font>
    <font>
      <sz val="10"/>
      <color theme="1"/>
      <name val="Arial"/>
      <family val="2"/>
    </font>
    <font>
      <sz val="11"/>
      <color theme="1"/>
      <name val="Arial"/>
      <family val="2"/>
    </font>
    <font>
      <sz val="9"/>
      <name val="Calibri"/>
      <family val="2"/>
    </font>
    <font>
      <sz val="11"/>
      <name val="Arial"/>
      <family val="2"/>
    </font>
    <font>
      <sz val="12"/>
      <name val="Calibri"/>
      <family val="2"/>
    </font>
    <font>
      <sz val="10"/>
      <color theme="0"/>
      <name val="Times New Roman"/>
      <family val="1"/>
    </font>
  </fonts>
  <fills count="6">
    <fill>
      <patternFill patternType="none"/>
    </fill>
    <fill>
      <patternFill patternType="gray125"/>
    </fill>
    <fill>
      <patternFill patternType="solid">
        <fgColor rgb="FFFFFF99"/>
        <bgColor rgb="FFFFFFCC"/>
      </patternFill>
    </fill>
    <fill>
      <patternFill patternType="solid">
        <fgColor rgb="FFFFFF00"/>
        <bgColor rgb="FFFFFF00"/>
      </patternFill>
    </fill>
    <fill>
      <patternFill patternType="solid">
        <fgColor theme="0"/>
        <bgColor rgb="FFFFFF00"/>
      </patternFill>
    </fill>
    <fill>
      <patternFill patternType="solid">
        <fgColor theme="0"/>
        <bgColor indexed="64"/>
      </patternFill>
    </fill>
  </fills>
  <borders count="13">
    <border>
      <left/>
      <right/>
      <top/>
      <bottom/>
      <diagonal/>
    </border>
    <border>
      <left/>
      <right/>
      <top/>
      <bottom style="thick">
        <color rgb="FF33CCCC"/>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
      <left style="thin">
        <color indexed="64"/>
      </left>
      <right style="thin">
        <color indexed="64"/>
      </right>
      <top/>
      <bottom style="thin">
        <color indexed="64"/>
      </bottom>
      <diagonal/>
    </border>
  </borders>
  <cellStyleXfs count="7">
    <xf numFmtId="0" fontId="0" fillId="0" borderId="0"/>
    <xf numFmtId="165" fontId="5" fillId="0" borderId="0" applyBorder="0" applyProtection="0"/>
    <xf numFmtId="0" fontId="2" fillId="0" borderId="1" applyProtection="0"/>
    <xf numFmtId="0" fontId="4" fillId="2" borderId="0" applyBorder="0" applyProtection="0"/>
    <xf numFmtId="0" fontId="1" fillId="0" borderId="0"/>
    <xf numFmtId="0" fontId="5" fillId="0" borderId="0"/>
    <xf numFmtId="0" fontId="5" fillId="0" borderId="0"/>
  </cellStyleXfs>
  <cellXfs count="68">
    <xf numFmtId="0" fontId="0" fillId="0" borderId="0" xfId="0"/>
    <xf numFmtId="0" fontId="6" fillId="0" borderId="0" xfId="0" applyFont="1"/>
    <xf numFmtId="0" fontId="9" fillId="0" borderId="0" xfId="0" applyFont="1" applyAlignment="1">
      <alignment horizontal="left" wrapText="1"/>
    </xf>
    <xf numFmtId="0" fontId="9" fillId="0" borderId="0" xfId="0" applyFont="1" applyAlignment="1">
      <alignment horizontal="center" wrapText="1"/>
    </xf>
    <xf numFmtId="0" fontId="13" fillId="0" borderId="2" xfId="0" applyFont="1" applyBorder="1"/>
    <xf numFmtId="0" fontId="6" fillId="0" borderId="3" xfId="0" applyFont="1" applyBorder="1"/>
    <xf numFmtId="0" fontId="6" fillId="0" borderId="4" xfId="0" applyFont="1" applyBorder="1"/>
    <xf numFmtId="0" fontId="6" fillId="0" borderId="5" xfId="0" applyFont="1" applyBorder="1"/>
    <xf numFmtId="0" fontId="6" fillId="0" borderId="0" xfId="0" applyFont="1" applyBorder="1"/>
    <xf numFmtId="0" fontId="6" fillId="0" borderId="6" xfId="0" applyFont="1" applyBorder="1"/>
    <xf numFmtId="0" fontId="13" fillId="0" borderId="5" xfId="0" applyFont="1" applyBorder="1" applyAlignment="1">
      <alignment horizontal="left" indent="3"/>
    </xf>
    <xf numFmtId="0" fontId="6" fillId="0" borderId="5" xfId="0" applyFont="1" applyBorder="1" applyAlignment="1">
      <alignment horizontal="left" indent="3"/>
    </xf>
    <xf numFmtId="0" fontId="6" fillId="0" borderId="0" xfId="0" applyFont="1" applyBorder="1" applyAlignment="1">
      <alignment horizontal="center" wrapText="1"/>
    </xf>
    <xf numFmtId="0" fontId="6" fillId="0" borderId="6" xfId="0" applyFont="1" applyBorder="1" applyAlignment="1">
      <alignment horizontal="center" wrapText="1"/>
    </xf>
    <xf numFmtId="0" fontId="6" fillId="0" borderId="7" xfId="0" applyFont="1" applyBorder="1" applyAlignment="1">
      <alignment horizontal="left" indent="3"/>
    </xf>
    <xf numFmtId="0" fontId="6" fillId="0" borderId="8" xfId="0" applyFont="1" applyBorder="1"/>
    <xf numFmtId="0" fontId="6" fillId="0" borderId="9" xfId="0" applyFont="1" applyBorder="1"/>
    <xf numFmtId="0" fontId="10" fillId="0" borderId="10" xfId="0" applyFont="1" applyBorder="1" applyAlignment="1">
      <alignment horizontal="center" vertical="center" wrapText="1"/>
    </xf>
    <xf numFmtId="0" fontId="12" fillId="4" borderId="10" xfId="0" applyFont="1" applyFill="1" applyBorder="1" applyAlignment="1">
      <alignment horizontal="center" vertical="center" wrapText="1"/>
    </xf>
    <xf numFmtId="0" fontId="14" fillId="4" borderId="0" xfId="0" applyFont="1" applyFill="1" applyAlignment="1">
      <alignment horizontal="left" wrapText="1" indent="1"/>
    </xf>
    <xf numFmtId="0" fontId="10" fillId="5" borderId="0" xfId="0" applyFont="1" applyFill="1" applyAlignment="1">
      <alignment horizontal="left" wrapText="1"/>
    </xf>
    <xf numFmtId="0" fontId="12" fillId="0" borderId="0" xfId="0" applyFont="1" applyFill="1" applyBorder="1" applyAlignment="1">
      <alignment horizontal="center" vertical="center" wrapText="1"/>
    </xf>
    <xf numFmtId="0" fontId="12" fillId="0" borderId="0" xfId="0" applyFont="1" applyFill="1" applyBorder="1" applyAlignment="1">
      <alignment horizontal="left" vertical="center" wrapText="1"/>
    </xf>
    <xf numFmtId="0" fontId="0" fillId="0" borderId="0" xfId="0" applyFill="1" applyBorder="1" applyAlignment="1">
      <alignment wrapText="1"/>
    </xf>
    <xf numFmtId="0" fontId="9" fillId="0" borderId="0" xfId="0" applyFont="1" applyFill="1" applyBorder="1" applyAlignment="1">
      <alignment horizontal="center" vertical="center" wrapText="1"/>
    </xf>
    <xf numFmtId="166" fontId="11" fillId="0" borderId="0" xfId="1" applyNumberFormat="1" applyFont="1" applyFill="1" applyBorder="1" applyAlignment="1" applyProtection="1">
      <alignment horizontal="center" vertical="center" wrapText="1"/>
    </xf>
    <xf numFmtId="166" fontId="11" fillId="0" borderId="0" xfId="1" applyNumberFormat="1" applyFont="1" applyFill="1" applyBorder="1" applyAlignment="1" applyProtection="1">
      <alignment horizontal="right" vertical="center" wrapText="1"/>
    </xf>
    <xf numFmtId="0" fontId="6" fillId="0" borderId="0" xfId="0" applyFont="1" applyFill="1"/>
    <xf numFmtId="0" fontId="12" fillId="0" borderId="10" xfId="0" applyFont="1" applyFill="1" applyBorder="1" applyAlignment="1">
      <alignment horizontal="center" vertical="center" wrapText="1"/>
    </xf>
    <xf numFmtId="0" fontId="10" fillId="0" borderId="10" xfId="0" applyFont="1" applyFill="1" applyBorder="1" applyAlignment="1">
      <alignment horizontal="center" vertical="center" wrapText="1"/>
    </xf>
    <xf numFmtId="0" fontId="11" fillId="0" borderId="10" xfId="0" applyFont="1" applyFill="1" applyBorder="1" applyAlignment="1">
      <alignment horizontal="center" vertical="center"/>
    </xf>
    <xf numFmtId="166" fontId="20" fillId="0" borderId="0" xfId="0" applyNumberFormat="1" applyFont="1" applyFill="1"/>
    <xf numFmtId="0" fontId="20" fillId="0" borderId="0" xfId="0" applyFont="1" applyFill="1"/>
    <xf numFmtId="0" fontId="20" fillId="0" borderId="0" xfId="0" applyFont="1"/>
    <xf numFmtId="167" fontId="20" fillId="0" borderId="0" xfId="0" applyNumberFormat="1" applyFont="1" applyFill="1"/>
    <xf numFmtId="0" fontId="12" fillId="5" borderId="10" xfId="0" applyFont="1" applyFill="1" applyBorder="1" applyAlignment="1">
      <alignment horizontal="left" vertical="center" wrapText="1"/>
    </xf>
    <xf numFmtId="0" fontId="12" fillId="5" borderId="10" xfId="0" applyFont="1" applyFill="1" applyBorder="1" applyAlignment="1">
      <alignment horizontal="center" vertical="center" wrapText="1"/>
    </xf>
    <xf numFmtId="0" fontId="5" fillId="5" borderId="10" xfId="4" applyNumberFormat="1" applyFont="1" applyFill="1" applyBorder="1" applyAlignment="1">
      <alignment horizontal="left" vertical="center"/>
    </xf>
    <xf numFmtId="0" fontId="16" fillId="5" borderId="10" xfId="0" applyFont="1" applyFill="1" applyBorder="1" applyAlignment="1">
      <alignment horizontal="center" vertical="center"/>
    </xf>
    <xf numFmtId="169" fontId="16" fillId="5" borderId="10" xfId="0" applyNumberFormat="1" applyFont="1" applyFill="1" applyBorder="1" applyAlignment="1">
      <alignment horizontal="center" vertical="center"/>
    </xf>
    <xf numFmtId="166" fontId="11" fillId="4" borderId="10" xfId="1" applyNumberFormat="1" applyFont="1" applyFill="1" applyBorder="1" applyAlignment="1" applyProtection="1">
      <alignment horizontal="right" vertical="center" wrapText="1"/>
    </xf>
    <xf numFmtId="0" fontId="15" fillId="5" borderId="10" xfId="0" applyFont="1" applyFill="1" applyBorder="1" applyAlignment="1">
      <alignment vertical="center"/>
    </xf>
    <xf numFmtId="0" fontId="15" fillId="5" borderId="10" xfId="0" applyFont="1" applyFill="1" applyBorder="1" applyAlignment="1">
      <alignment horizontal="center" vertical="center"/>
    </xf>
    <xf numFmtId="169" fontId="15" fillId="5" borderId="10" xfId="0" applyNumberFormat="1" applyFont="1" applyFill="1" applyBorder="1" applyAlignment="1">
      <alignment horizontal="center" vertical="center"/>
    </xf>
    <xf numFmtId="0" fontId="19" fillId="5" borderId="10" xfId="0" applyFont="1" applyFill="1" applyBorder="1" applyAlignment="1">
      <alignment vertical="center" wrapText="1"/>
    </xf>
    <xf numFmtId="166" fontId="11" fillId="4" borderId="10" xfId="1" applyNumberFormat="1" applyFont="1" applyFill="1" applyBorder="1" applyAlignment="1" applyProtection="1">
      <alignment horizontal="center" vertical="center" wrapText="1"/>
    </xf>
    <xf numFmtId="0" fontId="16" fillId="5" borderId="10" xfId="0" applyFont="1" applyFill="1" applyBorder="1" applyAlignment="1">
      <alignment vertical="center"/>
    </xf>
    <xf numFmtId="166" fontId="11" fillId="5" borderId="10" xfId="1" applyNumberFormat="1" applyFont="1" applyFill="1" applyBorder="1" applyAlignment="1" applyProtection="1">
      <alignment horizontal="right" vertical="center" wrapText="1"/>
    </xf>
    <xf numFmtId="0" fontId="18" fillId="5" borderId="10" xfId="5" applyFont="1" applyFill="1" applyBorder="1" applyAlignment="1">
      <alignment horizontal="left" vertical="center"/>
    </xf>
    <xf numFmtId="0" fontId="17" fillId="5" borderId="10" xfId="0" applyFont="1" applyFill="1" applyBorder="1" applyAlignment="1">
      <alignment vertical="center" wrapText="1"/>
    </xf>
    <xf numFmtId="0" fontId="15" fillId="5" borderId="10" xfId="5" applyNumberFormat="1" applyFont="1" applyFill="1" applyBorder="1" applyAlignment="1">
      <alignment vertical="center" wrapText="1"/>
    </xf>
    <xf numFmtId="0" fontId="19" fillId="5" borderId="12" xfId="0" applyFont="1" applyFill="1" applyBorder="1" applyAlignment="1">
      <alignment vertical="center" wrapText="1"/>
    </xf>
    <xf numFmtId="0" fontId="12" fillId="4" borderId="11" xfId="0" applyFont="1" applyFill="1" applyBorder="1" applyAlignment="1">
      <alignment horizontal="center" vertical="center" wrapText="1"/>
    </xf>
    <xf numFmtId="0" fontId="12" fillId="5" borderId="11" xfId="0" applyFont="1" applyFill="1" applyBorder="1" applyAlignment="1">
      <alignment horizontal="center" vertical="center" wrapText="1"/>
    </xf>
    <xf numFmtId="0" fontId="18" fillId="5" borderId="10" xfId="4" applyNumberFormat="1" applyFont="1" applyFill="1" applyBorder="1" applyAlignment="1">
      <alignment horizontal="left" vertical="center"/>
    </xf>
    <xf numFmtId="0" fontId="15" fillId="5" borderId="10" xfId="0" applyFont="1" applyFill="1" applyBorder="1" applyAlignment="1">
      <alignment horizontal="left" vertical="center"/>
    </xf>
    <xf numFmtId="0" fontId="6" fillId="5" borderId="0" xfId="0" applyFont="1" applyFill="1"/>
    <xf numFmtId="0" fontId="6" fillId="5" borderId="5" xfId="0" applyFont="1" applyFill="1" applyBorder="1" applyAlignment="1"/>
    <xf numFmtId="0" fontId="6" fillId="5" borderId="0" xfId="0" applyFont="1" applyFill="1" applyBorder="1" applyAlignment="1"/>
    <xf numFmtId="0" fontId="6" fillId="4" borderId="6" xfId="0" applyFont="1" applyFill="1" applyBorder="1" applyAlignment="1">
      <alignment horizontal="left" wrapText="1"/>
    </xf>
    <xf numFmtId="0" fontId="6" fillId="3" borderId="6" xfId="0" applyFont="1" applyFill="1" applyBorder="1" applyAlignment="1">
      <alignment horizontal="center"/>
    </xf>
    <xf numFmtId="0" fontId="6" fillId="3" borderId="6" xfId="0" applyFont="1" applyFill="1" applyBorder="1" applyAlignment="1">
      <alignment horizontal="center" vertical="center" wrapText="1"/>
    </xf>
    <xf numFmtId="0" fontId="6" fillId="4" borderId="6" xfId="0" applyFont="1" applyFill="1" applyBorder="1" applyAlignment="1">
      <alignment horizontal="left"/>
    </xf>
    <xf numFmtId="0" fontId="6" fillId="4" borderId="6" xfId="0" applyFont="1" applyFill="1" applyBorder="1" applyAlignment="1">
      <alignment horizontal="center"/>
    </xf>
    <xf numFmtId="0" fontId="6" fillId="3" borderId="6" xfId="0" applyFont="1" applyFill="1" applyBorder="1" applyAlignment="1">
      <alignment horizontal="center" wrapText="1"/>
    </xf>
    <xf numFmtId="0" fontId="8" fillId="0" borderId="0" xfId="0" applyFont="1" applyBorder="1" applyAlignment="1">
      <alignment horizontal="left" vertical="center" wrapText="1"/>
    </xf>
    <xf numFmtId="0" fontId="7" fillId="0" borderId="0" xfId="0" applyFont="1" applyBorder="1" applyAlignment="1">
      <alignment horizontal="center"/>
    </xf>
    <xf numFmtId="0" fontId="14" fillId="4" borderId="0" xfId="0" applyFont="1" applyFill="1" applyBorder="1" applyAlignment="1">
      <alignment horizontal="left" wrapText="1" indent="1"/>
    </xf>
  </cellXfs>
  <cellStyles count="7">
    <cellStyle name="Encabezado 1" xfId="2" xr:uid="{00000000-0005-0000-0000-000000000000}"/>
    <cellStyle name="Moneda" xfId="1" builtinId="4"/>
    <cellStyle name="Neutral 1" xfId="3" xr:uid="{00000000-0005-0000-0000-000003000000}"/>
    <cellStyle name="Normal" xfId="0" builtinId="0"/>
    <cellStyle name="Normal 2" xfId="5" xr:uid="{00000000-0005-0000-0000-000005000000}"/>
    <cellStyle name="Normal 3" xfId="6" xr:uid="{00000000-0005-0000-0000-000006000000}"/>
    <cellStyle name="Normal 4" xfId="4" xr:uid="{00000000-0005-0000-0000-000007000000}"/>
  </cellStyles>
  <dxfs count="1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mruColors>
      <color rgb="FFFF66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6"/>
  <sheetViews>
    <sheetView tabSelected="1" zoomScale="85" zoomScaleNormal="85" workbookViewId="0">
      <selection activeCell="C7" sqref="C7"/>
    </sheetView>
  </sheetViews>
  <sheetFormatPr baseColWidth="10" defaultColWidth="11" defaultRowHeight="12.75" x14ac:dyDescent="0.2"/>
  <cols>
    <col min="1" max="1" width="4.5703125" style="27" customWidth="1"/>
    <col min="2" max="2" width="12.85546875" style="1" customWidth="1"/>
    <col min="3" max="3" width="42.5703125" style="1" customWidth="1"/>
    <col min="4" max="4" width="11.42578125" style="1" customWidth="1"/>
    <col min="5" max="5" width="79" style="1" customWidth="1"/>
    <col min="6" max="6" width="11" style="1"/>
    <col min="7" max="7" width="12.7109375" style="1" customWidth="1"/>
    <col min="8" max="8" width="13.85546875" style="1" customWidth="1"/>
    <col min="9" max="9" width="18.5703125" style="1" customWidth="1"/>
    <col min="10" max="10" width="16.140625" style="1" customWidth="1"/>
    <col min="11" max="16384" width="11" style="1"/>
  </cols>
  <sheetData>
    <row r="1" spans="1:13" x14ac:dyDescent="0.2">
      <c r="J1" s="56"/>
      <c r="K1" s="56"/>
      <c r="L1" s="56"/>
      <c r="M1" s="56"/>
    </row>
    <row r="2" spans="1:13" ht="27" x14ac:dyDescent="0.35">
      <c r="B2" s="66" t="s">
        <v>0</v>
      </c>
      <c r="C2" s="66"/>
      <c r="D2" s="66"/>
      <c r="E2" s="66"/>
      <c r="F2" s="66"/>
      <c r="G2" s="66"/>
      <c r="H2" s="66"/>
      <c r="J2" s="56"/>
      <c r="K2" s="56"/>
      <c r="L2" s="56"/>
      <c r="M2" s="56"/>
    </row>
    <row r="3" spans="1:13" x14ac:dyDescent="0.2">
      <c r="J3" s="56"/>
      <c r="K3" s="56"/>
      <c r="L3" s="56"/>
      <c r="M3" s="56"/>
    </row>
    <row r="4" spans="1:13" ht="18" customHeight="1" x14ac:dyDescent="0.25">
      <c r="A4" s="65" t="s">
        <v>1</v>
      </c>
      <c r="B4" s="65"/>
      <c r="C4" s="67" t="s">
        <v>19</v>
      </c>
      <c r="D4" s="67"/>
      <c r="E4" s="67"/>
      <c r="F4" s="2"/>
      <c r="G4" s="3"/>
      <c r="H4" s="2"/>
      <c r="J4" s="56"/>
      <c r="K4" s="56"/>
      <c r="L4" s="56"/>
      <c r="M4" s="56"/>
    </row>
    <row r="5" spans="1:13" ht="18" customHeight="1" x14ac:dyDescent="0.25">
      <c r="A5" s="65" t="s">
        <v>2</v>
      </c>
      <c r="B5" s="65"/>
      <c r="C5" s="67" t="s">
        <v>20</v>
      </c>
      <c r="D5" s="67"/>
      <c r="E5" s="67"/>
      <c r="F5" s="2"/>
      <c r="G5" s="3"/>
      <c r="H5" s="2"/>
      <c r="J5" s="56"/>
      <c r="K5" s="56"/>
      <c r="L5" s="56"/>
      <c r="M5" s="56"/>
    </row>
    <row r="6" spans="1:13" ht="16.5" customHeight="1" x14ac:dyDescent="0.25">
      <c r="A6" s="65" t="s">
        <v>3</v>
      </c>
      <c r="B6" s="65"/>
      <c r="C6" s="19">
        <v>2021</v>
      </c>
      <c r="D6" s="20"/>
      <c r="E6" s="20"/>
      <c r="F6" s="2"/>
      <c r="G6" s="3"/>
      <c r="H6" s="2"/>
      <c r="J6" s="56"/>
      <c r="K6" s="56"/>
      <c r="L6" s="56"/>
      <c r="M6" s="56"/>
    </row>
    <row r="7" spans="1:13" ht="16.5" customHeight="1" x14ac:dyDescent="0.25">
      <c r="A7" s="65" t="s">
        <v>4</v>
      </c>
      <c r="B7" s="65"/>
      <c r="C7" s="19">
        <v>3</v>
      </c>
      <c r="D7" s="20"/>
      <c r="E7" s="20"/>
      <c r="F7" s="2"/>
      <c r="G7" s="3"/>
      <c r="H7" s="2"/>
      <c r="J7" s="56"/>
      <c r="K7" s="56"/>
      <c r="L7" s="56"/>
      <c r="M7" s="56"/>
    </row>
    <row r="8" spans="1:13" ht="13.5" thickBot="1" x14ac:dyDescent="0.25">
      <c r="B8" s="2"/>
      <c r="C8" s="3"/>
      <c r="D8" s="2"/>
      <c r="E8" s="2"/>
      <c r="F8" s="2"/>
      <c r="G8" s="3"/>
      <c r="H8" s="2"/>
      <c r="J8" s="57"/>
      <c r="K8" s="58"/>
      <c r="L8" s="58"/>
      <c r="M8" s="56"/>
    </row>
    <row r="9" spans="1:13" ht="39" thickBot="1" x14ac:dyDescent="0.25">
      <c r="A9" s="29" t="s">
        <v>5</v>
      </c>
      <c r="B9" s="17" t="s">
        <v>6</v>
      </c>
      <c r="C9" s="17" t="s">
        <v>7</v>
      </c>
      <c r="D9" s="17" t="s">
        <v>8</v>
      </c>
      <c r="E9" s="17" t="s">
        <v>9</v>
      </c>
      <c r="F9" s="17" t="s">
        <v>10</v>
      </c>
      <c r="G9" s="17" t="s">
        <v>11</v>
      </c>
      <c r="H9" s="17" t="s">
        <v>12</v>
      </c>
      <c r="I9" s="17" t="s">
        <v>13</v>
      </c>
      <c r="J9" s="56"/>
      <c r="K9" s="56"/>
      <c r="L9" s="56"/>
      <c r="M9" s="56"/>
    </row>
    <row r="10" spans="1:13" ht="31.9" customHeight="1" thickBot="1" x14ac:dyDescent="0.25">
      <c r="A10" s="30">
        <v>1</v>
      </c>
      <c r="B10" s="28"/>
      <c r="C10" s="35" t="s">
        <v>42</v>
      </c>
      <c r="D10" s="36" t="s">
        <v>34</v>
      </c>
      <c r="E10" s="37" t="s">
        <v>49</v>
      </c>
      <c r="F10" s="18" t="s">
        <v>27</v>
      </c>
      <c r="G10" s="38">
        <v>400</v>
      </c>
      <c r="H10" s="39">
        <v>520</v>
      </c>
      <c r="I10" s="40">
        <f t="shared" ref="I10:I35" si="0">G10*H10</f>
        <v>208000</v>
      </c>
      <c r="J10" s="31" t="e">
        <f>I10+I11+I12+I13+I14+I15+I16+I17+I18+I19+I20+I21+I22+I23+I24+I25+I26+I27+I28+I29+#REF!+I30+I31+#REF!+#REF!+#REF!+I32+I33+I35+I36+I37+I38+#REF!+I39+I40+#REF!+I44+I45+I46+I47+I48+I49+I50+#REF!+I51+I52+I53+I54+I55+I58+I59</f>
        <v>#REF!</v>
      </c>
      <c r="K10" s="32">
        <v>295</v>
      </c>
      <c r="L10" s="33"/>
    </row>
    <row r="11" spans="1:13" ht="31.9" customHeight="1" thickBot="1" x14ac:dyDescent="0.25">
      <c r="A11" s="30">
        <v>2</v>
      </c>
      <c r="B11" s="28"/>
      <c r="C11" s="35" t="s">
        <v>42</v>
      </c>
      <c r="D11" s="36" t="s">
        <v>34</v>
      </c>
      <c r="E11" s="41" t="s">
        <v>43</v>
      </c>
      <c r="F11" s="18" t="s">
        <v>27</v>
      </c>
      <c r="G11" s="38">
        <v>400</v>
      </c>
      <c r="H11" s="39">
        <v>520</v>
      </c>
      <c r="I11" s="40">
        <f t="shared" si="0"/>
        <v>208000</v>
      </c>
      <c r="J11" s="31" t="e">
        <f>#REF!</f>
        <v>#REF!</v>
      </c>
      <c r="K11" s="32">
        <v>296</v>
      </c>
      <c r="L11" s="33"/>
    </row>
    <row r="12" spans="1:13" ht="31.9" customHeight="1" thickBot="1" x14ac:dyDescent="0.25">
      <c r="A12" s="30">
        <v>3</v>
      </c>
      <c r="B12" s="28"/>
      <c r="C12" s="35" t="s">
        <v>42</v>
      </c>
      <c r="D12" s="36" t="s">
        <v>34</v>
      </c>
      <c r="E12" s="37" t="s">
        <v>44</v>
      </c>
      <c r="F12" s="18" t="s">
        <v>27</v>
      </c>
      <c r="G12" s="38">
        <v>400</v>
      </c>
      <c r="H12" s="39">
        <v>520</v>
      </c>
      <c r="I12" s="40">
        <f t="shared" si="0"/>
        <v>208000</v>
      </c>
      <c r="J12" s="34" t="e">
        <f>#REF!+I41+I42+I43</f>
        <v>#REF!</v>
      </c>
      <c r="K12" s="32">
        <v>259</v>
      </c>
      <c r="L12" s="33"/>
    </row>
    <row r="13" spans="1:13" ht="31.9" customHeight="1" thickBot="1" x14ac:dyDescent="0.25">
      <c r="A13" s="30">
        <v>4</v>
      </c>
      <c r="B13" s="28"/>
      <c r="C13" s="35" t="s">
        <v>42</v>
      </c>
      <c r="D13" s="36" t="s">
        <v>34</v>
      </c>
      <c r="E13" s="37" t="s">
        <v>45</v>
      </c>
      <c r="F13" s="18" t="s">
        <v>27</v>
      </c>
      <c r="G13" s="38">
        <v>400</v>
      </c>
      <c r="H13" s="39">
        <v>520</v>
      </c>
      <c r="I13" s="40">
        <f t="shared" si="0"/>
        <v>208000</v>
      </c>
      <c r="J13" s="34">
        <f>I34+I57</f>
        <v>612800</v>
      </c>
      <c r="K13" s="32">
        <v>251</v>
      </c>
      <c r="L13" s="33"/>
    </row>
    <row r="14" spans="1:13" ht="31.9" customHeight="1" thickBot="1" x14ac:dyDescent="0.25">
      <c r="A14" s="30">
        <v>5</v>
      </c>
      <c r="B14" s="28"/>
      <c r="C14" s="35" t="s">
        <v>42</v>
      </c>
      <c r="D14" s="36" t="s">
        <v>34</v>
      </c>
      <c r="E14" s="41" t="s">
        <v>46</v>
      </c>
      <c r="F14" s="18" t="s">
        <v>27</v>
      </c>
      <c r="G14" s="38">
        <v>400</v>
      </c>
      <c r="H14" s="39">
        <v>520</v>
      </c>
      <c r="I14" s="40">
        <f t="shared" si="0"/>
        <v>208000</v>
      </c>
      <c r="J14" s="31">
        <f>I56</f>
        <v>45000</v>
      </c>
      <c r="K14" s="32">
        <v>221</v>
      </c>
      <c r="L14" s="33"/>
    </row>
    <row r="15" spans="1:13" ht="31.9" customHeight="1" thickBot="1" x14ac:dyDescent="0.25">
      <c r="A15" s="30">
        <v>6</v>
      </c>
      <c r="B15" s="28"/>
      <c r="C15" s="35" t="s">
        <v>42</v>
      </c>
      <c r="D15" s="36" t="s">
        <v>34</v>
      </c>
      <c r="E15" s="37" t="s">
        <v>47</v>
      </c>
      <c r="F15" s="18" t="s">
        <v>27</v>
      </c>
      <c r="G15" s="38">
        <v>50</v>
      </c>
      <c r="H15" s="39">
        <v>620</v>
      </c>
      <c r="I15" s="40">
        <f t="shared" si="0"/>
        <v>31000</v>
      </c>
      <c r="J15" s="31" t="e">
        <f>SUM(J10:J14)</f>
        <v>#REF!</v>
      </c>
      <c r="K15" s="32"/>
      <c r="L15" s="33"/>
    </row>
    <row r="16" spans="1:13" ht="31.9" customHeight="1" thickBot="1" x14ac:dyDescent="0.25">
      <c r="A16" s="30">
        <v>7</v>
      </c>
      <c r="B16" s="28"/>
      <c r="C16" s="35" t="s">
        <v>42</v>
      </c>
      <c r="D16" s="36" t="s">
        <v>34</v>
      </c>
      <c r="E16" s="37" t="s">
        <v>48</v>
      </c>
      <c r="F16" s="18" t="s">
        <v>27</v>
      </c>
      <c r="G16" s="38">
        <v>50</v>
      </c>
      <c r="H16" s="39">
        <v>620</v>
      </c>
      <c r="I16" s="40">
        <f t="shared" si="0"/>
        <v>31000</v>
      </c>
      <c r="J16" s="33"/>
      <c r="K16" s="33"/>
      <c r="L16" s="33"/>
    </row>
    <row r="17" spans="1:9" ht="31.9" customHeight="1" thickBot="1" x14ac:dyDescent="0.25">
      <c r="A17" s="30">
        <v>8</v>
      </c>
      <c r="B17" s="28"/>
      <c r="C17" s="35" t="s">
        <v>42</v>
      </c>
      <c r="D17" s="36" t="s">
        <v>34</v>
      </c>
      <c r="E17" s="41" t="s">
        <v>50</v>
      </c>
      <c r="F17" s="18" t="s">
        <v>27</v>
      </c>
      <c r="G17" s="38">
        <v>60</v>
      </c>
      <c r="H17" s="39">
        <v>182</v>
      </c>
      <c r="I17" s="40">
        <f t="shared" si="0"/>
        <v>10920</v>
      </c>
    </row>
    <row r="18" spans="1:9" ht="31.9" customHeight="1" thickBot="1" x14ac:dyDescent="0.25">
      <c r="A18" s="30">
        <v>9</v>
      </c>
      <c r="B18" s="28"/>
      <c r="C18" s="35" t="s">
        <v>42</v>
      </c>
      <c r="D18" s="36" t="s">
        <v>34</v>
      </c>
      <c r="E18" s="41" t="s">
        <v>51</v>
      </c>
      <c r="F18" s="18" t="s">
        <v>27</v>
      </c>
      <c r="G18" s="38">
        <v>60</v>
      </c>
      <c r="H18" s="39">
        <v>182</v>
      </c>
      <c r="I18" s="40">
        <f t="shared" si="0"/>
        <v>10920</v>
      </c>
    </row>
    <row r="19" spans="1:9" ht="31.9" customHeight="1" thickBot="1" x14ac:dyDescent="0.25">
      <c r="A19" s="30">
        <v>10</v>
      </c>
      <c r="B19" s="28"/>
      <c r="C19" s="35" t="s">
        <v>42</v>
      </c>
      <c r="D19" s="36" t="s">
        <v>34</v>
      </c>
      <c r="E19" s="41" t="s">
        <v>52</v>
      </c>
      <c r="F19" s="18" t="s">
        <v>27</v>
      </c>
      <c r="G19" s="38">
        <v>60</v>
      </c>
      <c r="H19" s="39">
        <v>182</v>
      </c>
      <c r="I19" s="40">
        <f t="shared" si="0"/>
        <v>10920</v>
      </c>
    </row>
    <row r="20" spans="1:9" ht="31.9" customHeight="1" thickBot="1" x14ac:dyDescent="0.25">
      <c r="A20" s="30">
        <v>11</v>
      </c>
      <c r="B20" s="28"/>
      <c r="C20" s="35" t="s">
        <v>42</v>
      </c>
      <c r="D20" s="36" t="s">
        <v>34</v>
      </c>
      <c r="E20" s="41" t="s">
        <v>53</v>
      </c>
      <c r="F20" s="18" t="s">
        <v>27</v>
      </c>
      <c r="G20" s="38">
        <v>5000</v>
      </c>
      <c r="H20" s="39">
        <v>1.32</v>
      </c>
      <c r="I20" s="40">
        <f t="shared" si="0"/>
        <v>6600</v>
      </c>
    </row>
    <row r="21" spans="1:9" ht="31.9" customHeight="1" thickBot="1" x14ac:dyDescent="0.25">
      <c r="A21" s="30">
        <v>12</v>
      </c>
      <c r="B21" s="18"/>
      <c r="C21" s="35" t="s">
        <v>79</v>
      </c>
      <c r="D21" s="36" t="s">
        <v>34</v>
      </c>
      <c r="E21" s="41" t="s">
        <v>80</v>
      </c>
      <c r="F21" s="18" t="s">
        <v>27</v>
      </c>
      <c r="G21" s="42">
        <v>1200</v>
      </c>
      <c r="H21" s="43">
        <v>14.5</v>
      </c>
      <c r="I21" s="40">
        <f t="shared" si="0"/>
        <v>17400</v>
      </c>
    </row>
    <row r="22" spans="1:9" ht="31.9" customHeight="1" thickBot="1" x14ac:dyDescent="0.25">
      <c r="A22" s="30">
        <v>13</v>
      </c>
      <c r="B22" s="18"/>
      <c r="C22" s="35" t="s">
        <v>79</v>
      </c>
      <c r="D22" s="36" t="s">
        <v>34</v>
      </c>
      <c r="E22" s="41" t="s">
        <v>81</v>
      </c>
      <c r="F22" s="18" t="s">
        <v>27</v>
      </c>
      <c r="G22" s="42">
        <v>1200</v>
      </c>
      <c r="H22" s="43">
        <v>14.5</v>
      </c>
      <c r="I22" s="40">
        <f t="shared" si="0"/>
        <v>17400</v>
      </c>
    </row>
    <row r="23" spans="1:9" ht="31.9" customHeight="1" thickBot="1" x14ac:dyDescent="0.25">
      <c r="A23" s="30">
        <v>14</v>
      </c>
      <c r="B23" s="18"/>
      <c r="C23" s="35" t="s">
        <v>59</v>
      </c>
      <c r="D23" s="36" t="s">
        <v>34</v>
      </c>
      <c r="E23" s="44" t="s">
        <v>60</v>
      </c>
      <c r="F23" s="18" t="s">
        <v>27</v>
      </c>
      <c r="G23" s="18">
        <v>80</v>
      </c>
      <c r="H23" s="45">
        <v>1990</v>
      </c>
      <c r="I23" s="40">
        <f t="shared" si="0"/>
        <v>159200</v>
      </c>
    </row>
    <row r="24" spans="1:9" ht="31.9" customHeight="1" thickBot="1" x14ac:dyDescent="0.25">
      <c r="A24" s="30">
        <v>15</v>
      </c>
      <c r="B24" s="28"/>
      <c r="C24" s="35" t="s">
        <v>42</v>
      </c>
      <c r="D24" s="36" t="s">
        <v>34</v>
      </c>
      <c r="E24" s="46" t="s">
        <v>72</v>
      </c>
      <c r="F24" s="36" t="s">
        <v>27</v>
      </c>
      <c r="G24" s="42">
        <v>6</v>
      </c>
      <c r="H24" s="43">
        <v>6870</v>
      </c>
      <c r="I24" s="47">
        <f t="shared" si="0"/>
        <v>41220</v>
      </c>
    </row>
    <row r="25" spans="1:9" ht="31.9" customHeight="1" thickBot="1" x14ac:dyDescent="0.25">
      <c r="A25" s="30">
        <v>16</v>
      </c>
      <c r="B25" s="28"/>
      <c r="C25" s="35" t="s">
        <v>42</v>
      </c>
      <c r="D25" s="36" t="s">
        <v>34</v>
      </c>
      <c r="E25" s="46" t="s">
        <v>73</v>
      </c>
      <c r="F25" s="36" t="s">
        <v>27</v>
      </c>
      <c r="G25" s="42">
        <v>6</v>
      </c>
      <c r="H25" s="43">
        <v>7800</v>
      </c>
      <c r="I25" s="47">
        <f t="shared" si="0"/>
        <v>46800</v>
      </c>
    </row>
    <row r="26" spans="1:9" ht="31.9" customHeight="1" thickBot="1" x14ac:dyDescent="0.25">
      <c r="A26" s="30">
        <v>17</v>
      </c>
      <c r="B26" s="18"/>
      <c r="C26" s="35" t="s">
        <v>59</v>
      </c>
      <c r="D26" s="36" t="s">
        <v>34</v>
      </c>
      <c r="E26" s="44" t="s">
        <v>61</v>
      </c>
      <c r="F26" s="18" t="s">
        <v>27</v>
      </c>
      <c r="G26" s="18">
        <v>3</v>
      </c>
      <c r="H26" s="45">
        <v>290</v>
      </c>
      <c r="I26" s="40">
        <f t="shared" si="0"/>
        <v>870</v>
      </c>
    </row>
    <row r="27" spans="1:9" ht="31.9" customHeight="1" thickBot="1" x14ac:dyDescent="0.25">
      <c r="A27" s="30">
        <v>18</v>
      </c>
      <c r="B27" s="18"/>
      <c r="C27" s="35" t="s">
        <v>59</v>
      </c>
      <c r="D27" s="36" t="s">
        <v>34</v>
      </c>
      <c r="E27" s="44" t="s">
        <v>62</v>
      </c>
      <c r="F27" s="18" t="s">
        <v>27</v>
      </c>
      <c r="G27" s="18">
        <v>3</v>
      </c>
      <c r="H27" s="45">
        <v>310</v>
      </c>
      <c r="I27" s="40">
        <f t="shared" si="0"/>
        <v>930</v>
      </c>
    </row>
    <row r="28" spans="1:9" ht="31.9" customHeight="1" thickBot="1" x14ac:dyDescent="0.25">
      <c r="A28" s="30">
        <v>19</v>
      </c>
      <c r="B28" s="18"/>
      <c r="C28" s="35" t="s">
        <v>59</v>
      </c>
      <c r="D28" s="36" t="s">
        <v>34</v>
      </c>
      <c r="E28" s="48" t="s">
        <v>69</v>
      </c>
      <c r="F28" s="18" t="s">
        <v>27</v>
      </c>
      <c r="G28" s="18">
        <v>30</v>
      </c>
      <c r="H28" s="45">
        <v>290</v>
      </c>
      <c r="I28" s="40">
        <f t="shared" si="0"/>
        <v>8700</v>
      </c>
    </row>
    <row r="29" spans="1:9" ht="31.9" customHeight="1" thickBot="1" x14ac:dyDescent="0.25">
      <c r="A29" s="30">
        <v>20</v>
      </c>
      <c r="B29" s="28"/>
      <c r="C29" s="35" t="s">
        <v>42</v>
      </c>
      <c r="D29" s="36" t="s">
        <v>34</v>
      </c>
      <c r="E29" s="46" t="s">
        <v>74</v>
      </c>
      <c r="F29" s="36" t="s">
        <v>27</v>
      </c>
      <c r="G29" s="42">
        <v>5</v>
      </c>
      <c r="H29" s="43">
        <v>1850</v>
      </c>
      <c r="I29" s="47">
        <f t="shared" si="0"/>
        <v>9250</v>
      </c>
    </row>
    <row r="30" spans="1:9" ht="31.9" customHeight="1" thickBot="1" x14ac:dyDescent="0.25">
      <c r="A30" s="30">
        <v>21</v>
      </c>
      <c r="B30" s="28"/>
      <c r="C30" s="35" t="s">
        <v>42</v>
      </c>
      <c r="D30" s="36" t="s">
        <v>34</v>
      </c>
      <c r="E30" s="46" t="s">
        <v>75</v>
      </c>
      <c r="F30" s="36" t="s">
        <v>27</v>
      </c>
      <c r="G30" s="42">
        <v>60</v>
      </c>
      <c r="H30" s="43">
        <v>320</v>
      </c>
      <c r="I30" s="47">
        <f t="shared" si="0"/>
        <v>19200</v>
      </c>
    </row>
    <row r="31" spans="1:9" ht="36.75" customHeight="1" thickBot="1" x14ac:dyDescent="0.25">
      <c r="A31" s="30">
        <v>22</v>
      </c>
      <c r="B31" s="18"/>
      <c r="C31" s="35" t="s">
        <v>59</v>
      </c>
      <c r="D31" s="36" t="s">
        <v>34</v>
      </c>
      <c r="E31" s="44" t="s">
        <v>63</v>
      </c>
      <c r="F31" s="18" t="s">
        <v>27</v>
      </c>
      <c r="G31" s="18">
        <v>15</v>
      </c>
      <c r="H31" s="45">
        <v>22400</v>
      </c>
      <c r="I31" s="40">
        <f t="shared" si="0"/>
        <v>336000</v>
      </c>
    </row>
    <row r="32" spans="1:9" ht="31.9" customHeight="1" thickBot="1" x14ac:dyDescent="0.25">
      <c r="A32" s="30">
        <v>23</v>
      </c>
      <c r="B32" s="18"/>
      <c r="C32" s="35" t="s">
        <v>59</v>
      </c>
      <c r="D32" s="36" t="s">
        <v>34</v>
      </c>
      <c r="E32" s="44" t="s">
        <v>70</v>
      </c>
      <c r="F32" s="18" t="s">
        <v>27</v>
      </c>
      <c r="G32" s="18">
        <v>1500</v>
      </c>
      <c r="H32" s="45">
        <v>1500</v>
      </c>
      <c r="I32" s="40">
        <f t="shared" si="0"/>
        <v>2250000</v>
      </c>
    </row>
    <row r="33" spans="1:9" ht="31.9" customHeight="1" thickBot="1" x14ac:dyDescent="0.25">
      <c r="A33" s="30">
        <v>24</v>
      </c>
      <c r="B33" s="18"/>
      <c r="C33" s="35" t="s">
        <v>59</v>
      </c>
      <c r="D33" s="36" t="s">
        <v>34</v>
      </c>
      <c r="E33" s="44" t="s">
        <v>71</v>
      </c>
      <c r="F33" s="18" t="s">
        <v>27</v>
      </c>
      <c r="G33" s="18">
        <v>12</v>
      </c>
      <c r="H33" s="45">
        <v>850</v>
      </c>
      <c r="I33" s="40">
        <f t="shared" si="0"/>
        <v>10200</v>
      </c>
    </row>
    <row r="34" spans="1:9" ht="31.9" customHeight="1" thickBot="1" x14ac:dyDescent="0.25">
      <c r="A34" s="30">
        <v>25</v>
      </c>
      <c r="B34" s="28"/>
      <c r="C34" s="35" t="s">
        <v>25</v>
      </c>
      <c r="D34" s="36" t="s">
        <v>26</v>
      </c>
      <c r="E34" s="49" t="s">
        <v>24</v>
      </c>
      <c r="F34" s="18" t="s">
        <v>27</v>
      </c>
      <c r="G34" s="18">
        <v>48</v>
      </c>
      <c r="H34" s="45">
        <v>1100</v>
      </c>
      <c r="I34" s="40">
        <f t="shared" si="0"/>
        <v>52800</v>
      </c>
    </row>
    <row r="35" spans="1:9" ht="31.9" customHeight="1" thickBot="1" x14ac:dyDescent="0.25">
      <c r="A35" s="30">
        <v>26</v>
      </c>
      <c r="B35" s="28"/>
      <c r="C35" s="35" t="s">
        <v>35</v>
      </c>
      <c r="D35" s="36" t="s">
        <v>34</v>
      </c>
      <c r="E35" s="37" t="s">
        <v>28</v>
      </c>
      <c r="F35" s="18" t="s">
        <v>27</v>
      </c>
      <c r="G35" s="38">
        <v>288</v>
      </c>
      <c r="H35" s="39">
        <v>320</v>
      </c>
      <c r="I35" s="40">
        <f t="shared" si="0"/>
        <v>92160</v>
      </c>
    </row>
    <row r="36" spans="1:9" ht="31.9" customHeight="1" thickBot="1" x14ac:dyDescent="0.25">
      <c r="A36" s="30">
        <v>27</v>
      </c>
      <c r="B36" s="28"/>
      <c r="C36" s="35" t="s">
        <v>35</v>
      </c>
      <c r="D36" s="36" t="s">
        <v>34</v>
      </c>
      <c r="E36" s="41" t="s">
        <v>29</v>
      </c>
      <c r="F36" s="18" t="s">
        <v>27</v>
      </c>
      <c r="G36" s="38">
        <v>288</v>
      </c>
      <c r="H36" s="39">
        <v>320</v>
      </c>
      <c r="I36" s="40">
        <f t="shared" ref="I36:I59" si="1">G36*H36</f>
        <v>92160</v>
      </c>
    </row>
    <row r="37" spans="1:9" ht="31.9" customHeight="1" thickBot="1" x14ac:dyDescent="0.25">
      <c r="A37" s="30">
        <v>28</v>
      </c>
      <c r="B37" s="28"/>
      <c r="C37" s="35" t="s">
        <v>35</v>
      </c>
      <c r="D37" s="36" t="s">
        <v>34</v>
      </c>
      <c r="E37" s="41" t="s">
        <v>30</v>
      </c>
      <c r="F37" s="18" t="s">
        <v>27</v>
      </c>
      <c r="G37" s="38">
        <v>288</v>
      </c>
      <c r="H37" s="39">
        <v>320</v>
      </c>
      <c r="I37" s="40">
        <f t="shared" si="1"/>
        <v>92160</v>
      </c>
    </row>
    <row r="38" spans="1:9" ht="31.9" customHeight="1" thickBot="1" x14ac:dyDescent="0.25">
      <c r="A38" s="30">
        <v>29</v>
      </c>
      <c r="B38" s="28"/>
      <c r="C38" s="35" t="s">
        <v>35</v>
      </c>
      <c r="D38" s="36" t="s">
        <v>34</v>
      </c>
      <c r="E38" s="50" t="s">
        <v>31</v>
      </c>
      <c r="F38" s="18" t="s">
        <v>27</v>
      </c>
      <c r="G38" s="38">
        <v>72</v>
      </c>
      <c r="H38" s="39">
        <v>180</v>
      </c>
      <c r="I38" s="40">
        <f t="shared" si="1"/>
        <v>12960</v>
      </c>
    </row>
    <row r="39" spans="1:9" ht="31.9" customHeight="1" thickBot="1" x14ac:dyDescent="0.25">
      <c r="A39" s="30">
        <v>30</v>
      </c>
      <c r="B39" s="18"/>
      <c r="C39" s="35" t="s">
        <v>59</v>
      </c>
      <c r="D39" s="36" t="s">
        <v>34</v>
      </c>
      <c r="E39" s="51" t="s">
        <v>64</v>
      </c>
      <c r="F39" s="18" t="s">
        <v>27</v>
      </c>
      <c r="G39" s="18">
        <v>3</v>
      </c>
      <c r="H39" s="45">
        <v>900</v>
      </c>
      <c r="I39" s="40">
        <f t="shared" si="1"/>
        <v>2700</v>
      </c>
    </row>
    <row r="40" spans="1:9" ht="31.9" customHeight="1" thickBot="1" x14ac:dyDescent="0.25">
      <c r="A40" s="30">
        <v>31</v>
      </c>
      <c r="B40" s="28"/>
      <c r="C40" s="35" t="s">
        <v>37</v>
      </c>
      <c r="D40" s="36" t="s">
        <v>34</v>
      </c>
      <c r="E40" s="41" t="s">
        <v>38</v>
      </c>
      <c r="F40" s="52" t="s">
        <v>27</v>
      </c>
      <c r="G40" s="42">
        <v>14</v>
      </c>
      <c r="H40" s="43">
        <v>79.900000000000006</v>
      </c>
      <c r="I40" s="40">
        <f t="shared" si="1"/>
        <v>1118.6000000000001</v>
      </c>
    </row>
    <row r="41" spans="1:9" ht="31.9" customHeight="1" thickBot="1" x14ac:dyDescent="0.25">
      <c r="A41" s="30">
        <v>32</v>
      </c>
      <c r="B41" s="18"/>
      <c r="C41" s="35" t="s">
        <v>87</v>
      </c>
      <c r="D41" s="36" t="s">
        <v>86</v>
      </c>
      <c r="E41" s="44" t="s">
        <v>65</v>
      </c>
      <c r="F41" s="52" t="s">
        <v>27</v>
      </c>
      <c r="G41" s="18">
        <v>20</v>
      </c>
      <c r="H41" s="45">
        <v>9414</v>
      </c>
      <c r="I41" s="40">
        <f t="shared" si="1"/>
        <v>188280</v>
      </c>
    </row>
    <row r="42" spans="1:9" ht="31.9" customHeight="1" thickBot="1" x14ac:dyDescent="0.25">
      <c r="A42" s="30">
        <v>33</v>
      </c>
      <c r="B42" s="28"/>
      <c r="C42" s="35" t="s">
        <v>23</v>
      </c>
      <c r="D42" s="36" t="s">
        <v>54</v>
      </c>
      <c r="E42" s="41" t="s">
        <v>55</v>
      </c>
      <c r="F42" s="52" t="s">
        <v>27</v>
      </c>
      <c r="G42" s="38">
        <v>12</v>
      </c>
      <c r="H42" s="39">
        <v>10291</v>
      </c>
      <c r="I42" s="40">
        <f t="shared" si="1"/>
        <v>123492</v>
      </c>
    </row>
    <row r="43" spans="1:9" ht="31.9" customHeight="1" thickBot="1" x14ac:dyDescent="0.25">
      <c r="A43" s="30">
        <v>34</v>
      </c>
      <c r="B43" s="28"/>
      <c r="C43" s="35" t="s">
        <v>23</v>
      </c>
      <c r="D43" s="36" t="s">
        <v>54</v>
      </c>
      <c r="E43" s="41" t="s">
        <v>56</v>
      </c>
      <c r="F43" s="52" t="s">
        <v>27</v>
      </c>
      <c r="G43" s="38">
        <v>12</v>
      </c>
      <c r="H43" s="39">
        <v>19311</v>
      </c>
      <c r="I43" s="40">
        <f t="shared" si="1"/>
        <v>231732</v>
      </c>
    </row>
    <row r="44" spans="1:9" ht="31.9" customHeight="1" thickBot="1" x14ac:dyDescent="0.25">
      <c r="A44" s="30">
        <v>35</v>
      </c>
      <c r="B44" s="28"/>
      <c r="C44" s="35" t="s">
        <v>42</v>
      </c>
      <c r="D44" s="36" t="s">
        <v>34</v>
      </c>
      <c r="E44" s="46" t="s">
        <v>76</v>
      </c>
      <c r="F44" s="53" t="s">
        <v>27</v>
      </c>
      <c r="G44" s="42">
        <v>1</v>
      </c>
      <c r="H44" s="43">
        <v>43000</v>
      </c>
      <c r="I44" s="47">
        <f t="shared" si="1"/>
        <v>43000</v>
      </c>
    </row>
    <row r="45" spans="1:9" ht="31.9" customHeight="1" thickBot="1" x14ac:dyDescent="0.25">
      <c r="A45" s="30">
        <v>36</v>
      </c>
      <c r="B45" s="28"/>
      <c r="C45" s="35" t="s">
        <v>42</v>
      </c>
      <c r="D45" s="36" t="s">
        <v>34</v>
      </c>
      <c r="E45" s="46" t="s">
        <v>77</v>
      </c>
      <c r="F45" s="36" t="s">
        <v>27</v>
      </c>
      <c r="G45" s="42">
        <v>2</v>
      </c>
      <c r="H45" s="43">
        <v>43000</v>
      </c>
      <c r="I45" s="47">
        <f t="shared" si="1"/>
        <v>86000</v>
      </c>
    </row>
    <row r="46" spans="1:9" ht="31.9" customHeight="1" thickBot="1" x14ac:dyDescent="0.25">
      <c r="A46" s="30">
        <v>37</v>
      </c>
      <c r="B46" s="28"/>
      <c r="C46" s="35" t="s">
        <v>42</v>
      </c>
      <c r="D46" s="36" t="s">
        <v>34</v>
      </c>
      <c r="E46" s="41" t="s">
        <v>57</v>
      </c>
      <c r="F46" s="18" t="s">
        <v>27</v>
      </c>
      <c r="G46" s="38">
        <v>1800</v>
      </c>
      <c r="H46" s="39">
        <v>138</v>
      </c>
      <c r="I46" s="40">
        <f t="shared" si="1"/>
        <v>248400</v>
      </c>
    </row>
    <row r="47" spans="1:9" ht="31.9" customHeight="1" thickBot="1" x14ac:dyDescent="0.25">
      <c r="A47" s="30">
        <v>38</v>
      </c>
      <c r="B47" s="18"/>
      <c r="C47" s="35" t="s">
        <v>79</v>
      </c>
      <c r="D47" s="36" t="s">
        <v>34</v>
      </c>
      <c r="E47" s="41" t="s">
        <v>82</v>
      </c>
      <c r="F47" s="18" t="s">
        <v>27</v>
      </c>
      <c r="G47" s="42">
        <v>30</v>
      </c>
      <c r="H47" s="43">
        <v>85</v>
      </c>
      <c r="I47" s="40">
        <f t="shared" si="1"/>
        <v>2550</v>
      </c>
    </row>
    <row r="48" spans="1:9" ht="31.9" customHeight="1" thickBot="1" x14ac:dyDescent="0.25">
      <c r="A48" s="30">
        <v>39</v>
      </c>
      <c r="B48" s="18"/>
      <c r="C48" s="35" t="s">
        <v>79</v>
      </c>
      <c r="D48" s="36" t="s">
        <v>34</v>
      </c>
      <c r="E48" s="41" t="s">
        <v>83</v>
      </c>
      <c r="F48" s="18" t="s">
        <v>27</v>
      </c>
      <c r="G48" s="42">
        <v>240</v>
      </c>
      <c r="H48" s="43">
        <v>85</v>
      </c>
      <c r="I48" s="40">
        <f t="shared" si="1"/>
        <v>20400</v>
      </c>
    </row>
    <row r="49" spans="1:9" s="27" customFormat="1" ht="31.9" customHeight="1" thickBot="1" x14ac:dyDescent="0.25">
      <c r="A49" s="30">
        <v>40</v>
      </c>
      <c r="B49" s="28"/>
      <c r="C49" s="35" t="s">
        <v>42</v>
      </c>
      <c r="D49" s="36" t="s">
        <v>34</v>
      </c>
      <c r="E49" s="46" t="s">
        <v>78</v>
      </c>
      <c r="F49" s="36" t="s">
        <v>27</v>
      </c>
      <c r="G49" s="42">
        <v>6</v>
      </c>
      <c r="H49" s="43">
        <v>1350</v>
      </c>
      <c r="I49" s="47">
        <f t="shared" si="1"/>
        <v>8100</v>
      </c>
    </row>
    <row r="50" spans="1:9" s="27" customFormat="1" ht="31.9" customHeight="1" thickBot="1" x14ac:dyDescent="0.25">
      <c r="A50" s="30">
        <v>41</v>
      </c>
      <c r="B50" s="28"/>
      <c r="C50" s="35" t="s">
        <v>42</v>
      </c>
      <c r="D50" s="36" t="s">
        <v>34</v>
      </c>
      <c r="E50" s="54" t="s">
        <v>88</v>
      </c>
      <c r="F50" s="36" t="s">
        <v>27</v>
      </c>
      <c r="G50" s="42">
        <v>12</v>
      </c>
      <c r="H50" s="43">
        <v>1350</v>
      </c>
      <c r="I50" s="47">
        <f t="shared" si="1"/>
        <v>16200</v>
      </c>
    </row>
    <row r="51" spans="1:9" s="27" customFormat="1" ht="31.9" customHeight="1" thickBot="1" x14ac:dyDescent="0.25">
      <c r="A51" s="30">
        <v>42</v>
      </c>
      <c r="B51" s="18"/>
      <c r="C51" s="35" t="s">
        <v>79</v>
      </c>
      <c r="D51" s="36" t="s">
        <v>34</v>
      </c>
      <c r="E51" s="41" t="s">
        <v>84</v>
      </c>
      <c r="F51" s="18" t="s">
        <v>27</v>
      </c>
      <c r="G51" s="42">
        <v>120</v>
      </c>
      <c r="H51" s="43">
        <v>58.2</v>
      </c>
      <c r="I51" s="40">
        <f t="shared" si="1"/>
        <v>6984</v>
      </c>
    </row>
    <row r="52" spans="1:9" s="27" customFormat="1" ht="31.9" customHeight="1" thickBot="1" x14ac:dyDescent="0.25">
      <c r="A52" s="30">
        <v>43</v>
      </c>
      <c r="B52" s="28"/>
      <c r="C52" s="35" t="s">
        <v>35</v>
      </c>
      <c r="D52" s="36" t="s">
        <v>34</v>
      </c>
      <c r="E52" s="37" t="s">
        <v>32</v>
      </c>
      <c r="F52" s="18" t="s">
        <v>27</v>
      </c>
      <c r="G52" s="38">
        <v>288</v>
      </c>
      <c r="H52" s="39">
        <v>260</v>
      </c>
      <c r="I52" s="40">
        <f t="shared" si="1"/>
        <v>74880</v>
      </c>
    </row>
    <row r="53" spans="1:9" s="27" customFormat="1" ht="31.9" customHeight="1" thickBot="1" x14ac:dyDescent="0.25">
      <c r="A53" s="30">
        <v>44</v>
      </c>
      <c r="B53" s="28"/>
      <c r="C53" s="35" t="s">
        <v>35</v>
      </c>
      <c r="D53" s="36" t="s">
        <v>34</v>
      </c>
      <c r="E53" s="37" t="s">
        <v>89</v>
      </c>
      <c r="F53" s="18" t="s">
        <v>27</v>
      </c>
      <c r="G53" s="38">
        <v>288</v>
      </c>
      <c r="H53" s="39">
        <v>260</v>
      </c>
      <c r="I53" s="40">
        <f t="shared" si="1"/>
        <v>74880</v>
      </c>
    </row>
    <row r="54" spans="1:9" s="27" customFormat="1" ht="31.9" customHeight="1" thickBot="1" x14ac:dyDescent="0.25">
      <c r="A54" s="30">
        <v>45</v>
      </c>
      <c r="B54" s="28"/>
      <c r="C54" s="35" t="s">
        <v>35</v>
      </c>
      <c r="D54" s="36" t="s">
        <v>34</v>
      </c>
      <c r="E54" s="37" t="s">
        <v>33</v>
      </c>
      <c r="F54" s="18" t="s">
        <v>27</v>
      </c>
      <c r="G54" s="38">
        <v>288</v>
      </c>
      <c r="H54" s="39">
        <v>260</v>
      </c>
      <c r="I54" s="40">
        <f t="shared" si="1"/>
        <v>74880</v>
      </c>
    </row>
    <row r="55" spans="1:9" s="27" customFormat="1" ht="31.9" customHeight="1" thickBot="1" x14ac:dyDescent="0.25">
      <c r="A55" s="30">
        <v>46</v>
      </c>
      <c r="B55" s="28"/>
      <c r="C55" s="35" t="s">
        <v>35</v>
      </c>
      <c r="D55" s="36" t="s">
        <v>34</v>
      </c>
      <c r="E55" s="55" t="s">
        <v>36</v>
      </c>
      <c r="F55" s="18" t="s">
        <v>27</v>
      </c>
      <c r="G55" s="18">
        <v>144</v>
      </c>
      <c r="H55" s="45">
        <v>580</v>
      </c>
      <c r="I55" s="40">
        <f t="shared" si="1"/>
        <v>83520</v>
      </c>
    </row>
    <row r="56" spans="1:9" s="27" customFormat="1" ht="31.9" customHeight="1" thickBot="1" x14ac:dyDescent="0.25">
      <c r="A56" s="30">
        <v>47</v>
      </c>
      <c r="B56" s="18"/>
      <c r="C56" s="35" t="s">
        <v>66</v>
      </c>
      <c r="D56" s="36" t="s">
        <v>67</v>
      </c>
      <c r="E56" s="44" t="s">
        <v>68</v>
      </c>
      <c r="F56" s="18" t="s">
        <v>27</v>
      </c>
      <c r="G56" s="18">
        <v>2</v>
      </c>
      <c r="H56" s="45">
        <v>22500</v>
      </c>
      <c r="I56" s="40">
        <f t="shared" si="1"/>
        <v>45000</v>
      </c>
    </row>
    <row r="57" spans="1:9" ht="31.9" customHeight="1" thickBot="1" x14ac:dyDescent="0.25">
      <c r="A57" s="30">
        <v>48</v>
      </c>
      <c r="B57" s="28"/>
      <c r="C57" s="35" t="s">
        <v>21</v>
      </c>
      <c r="D57" s="36" t="s">
        <v>26</v>
      </c>
      <c r="E57" s="41" t="s">
        <v>39</v>
      </c>
      <c r="F57" s="18" t="s">
        <v>27</v>
      </c>
      <c r="G57" s="42">
        <v>400</v>
      </c>
      <c r="H57" s="43">
        <v>1400</v>
      </c>
      <c r="I57" s="40">
        <f t="shared" si="1"/>
        <v>560000</v>
      </c>
    </row>
    <row r="58" spans="1:9" ht="31.9" customHeight="1" thickBot="1" x14ac:dyDescent="0.25">
      <c r="A58" s="30">
        <v>49</v>
      </c>
      <c r="B58" s="28"/>
      <c r="C58" s="35" t="s">
        <v>37</v>
      </c>
      <c r="D58" s="36" t="s">
        <v>34</v>
      </c>
      <c r="E58" s="41" t="s">
        <v>40</v>
      </c>
      <c r="F58" s="18" t="s">
        <v>27</v>
      </c>
      <c r="G58" s="42">
        <v>15</v>
      </c>
      <c r="H58" s="43">
        <v>84</v>
      </c>
      <c r="I58" s="40">
        <f t="shared" si="1"/>
        <v>1260</v>
      </c>
    </row>
    <row r="59" spans="1:9" ht="31.9" customHeight="1" thickBot="1" x14ac:dyDescent="0.25">
      <c r="A59" s="30">
        <v>50</v>
      </c>
      <c r="B59" s="28"/>
      <c r="C59" s="35" t="s">
        <v>37</v>
      </c>
      <c r="D59" s="36" t="s">
        <v>34</v>
      </c>
      <c r="E59" s="55" t="s">
        <v>41</v>
      </c>
      <c r="F59" s="18" t="s">
        <v>27</v>
      </c>
      <c r="G59" s="42">
        <v>50</v>
      </c>
      <c r="H59" s="43">
        <v>99</v>
      </c>
      <c r="I59" s="40">
        <f t="shared" si="1"/>
        <v>4950</v>
      </c>
    </row>
    <row r="60" spans="1:9" ht="31.9" customHeight="1" thickBot="1" x14ac:dyDescent="0.25">
      <c r="A60" s="21"/>
      <c r="B60" s="22"/>
      <c r="C60" s="21"/>
      <c r="D60" s="23"/>
      <c r="E60" s="24"/>
      <c r="F60" s="21"/>
      <c r="G60" s="25"/>
      <c r="H60" s="26">
        <f>SUM(I10:I59)</f>
        <v>6299096.5999999996</v>
      </c>
    </row>
    <row r="61" spans="1:9" ht="12.75" customHeight="1" x14ac:dyDescent="0.2">
      <c r="B61" s="4" t="s">
        <v>94</v>
      </c>
      <c r="C61" s="5"/>
      <c r="D61" s="5"/>
      <c r="E61" s="6"/>
    </row>
    <row r="62" spans="1:9" x14ac:dyDescent="0.2">
      <c r="B62" s="7"/>
      <c r="C62" s="8"/>
      <c r="D62" s="8"/>
      <c r="E62" s="9"/>
    </row>
    <row r="63" spans="1:9" x14ac:dyDescent="0.2">
      <c r="B63" s="10" t="s">
        <v>14</v>
      </c>
      <c r="C63" s="8"/>
      <c r="D63" s="8"/>
      <c r="E63" s="9"/>
    </row>
    <row r="64" spans="1:9" ht="82.5" customHeight="1" x14ac:dyDescent="0.2">
      <c r="B64" s="10"/>
      <c r="C64" s="64" t="s">
        <v>58</v>
      </c>
      <c r="D64" s="64"/>
      <c r="E64" s="64"/>
    </row>
    <row r="65" spans="2:5" ht="12.75" customHeight="1" x14ac:dyDescent="0.2">
      <c r="B65" s="10" t="s">
        <v>15</v>
      </c>
      <c r="C65" s="8"/>
      <c r="D65" s="8"/>
      <c r="E65" s="9"/>
    </row>
    <row r="66" spans="2:5" x14ac:dyDescent="0.2">
      <c r="B66" s="11"/>
      <c r="C66" s="62" t="s">
        <v>85</v>
      </c>
      <c r="D66" s="62"/>
      <c r="E66" s="62"/>
    </row>
    <row r="67" spans="2:5" x14ac:dyDescent="0.2">
      <c r="B67" s="11"/>
      <c r="C67" s="63"/>
      <c r="D67" s="63"/>
      <c r="E67" s="63"/>
    </row>
    <row r="68" spans="2:5" x14ac:dyDescent="0.2">
      <c r="B68" s="10" t="s">
        <v>16</v>
      </c>
      <c r="C68" s="8"/>
      <c r="D68" s="8"/>
      <c r="E68" s="9"/>
    </row>
    <row r="69" spans="2:5" x14ac:dyDescent="0.2">
      <c r="B69" s="11"/>
      <c r="C69" s="64"/>
      <c r="D69" s="64"/>
      <c r="E69" s="64"/>
    </row>
    <row r="70" spans="2:5" x14ac:dyDescent="0.2">
      <c r="B70" s="10" t="s">
        <v>17</v>
      </c>
      <c r="C70" s="12"/>
      <c r="D70" s="12"/>
      <c r="E70" s="13"/>
    </row>
    <row r="71" spans="2:5" x14ac:dyDescent="0.2">
      <c r="B71" s="11"/>
      <c r="C71" s="59" t="s">
        <v>22</v>
      </c>
      <c r="D71" s="59"/>
      <c r="E71" s="59"/>
    </row>
    <row r="72" spans="2:5" x14ac:dyDescent="0.2">
      <c r="B72" s="10" t="s">
        <v>18</v>
      </c>
      <c r="C72" s="8"/>
      <c r="D72" s="8"/>
      <c r="E72" s="9"/>
    </row>
    <row r="73" spans="2:5" x14ac:dyDescent="0.2">
      <c r="B73" s="10"/>
      <c r="C73" s="60"/>
      <c r="D73" s="60"/>
      <c r="E73" s="60"/>
    </row>
    <row r="74" spans="2:5" ht="13.5" thickBot="1" x14ac:dyDescent="0.25">
      <c r="B74" s="14"/>
      <c r="C74" s="15"/>
      <c r="D74" s="15"/>
      <c r="E74" s="16"/>
    </row>
    <row r="76" spans="2:5" ht="13.5" thickBot="1" x14ac:dyDescent="0.25"/>
    <row r="77" spans="2:5" x14ac:dyDescent="0.2">
      <c r="B77" s="4" t="s">
        <v>90</v>
      </c>
      <c r="C77" s="5"/>
      <c r="D77" s="5"/>
      <c r="E77" s="6"/>
    </row>
    <row r="78" spans="2:5" x14ac:dyDescent="0.2">
      <c r="B78" s="7"/>
      <c r="C78" s="8"/>
      <c r="D78" s="8"/>
      <c r="E78" s="9"/>
    </row>
    <row r="79" spans="2:5" x14ac:dyDescent="0.2">
      <c r="B79" s="10" t="s">
        <v>14</v>
      </c>
      <c r="C79" s="8"/>
      <c r="D79" s="8"/>
      <c r="E79" s="9"/>
    </row>
    <row r="80" spans="2:5" ht="100.5" customHeight="1" x14ac:dyDescent="0.2">
      <c r="B80" s="10"/>
      <c r="C80" s="61" t="s">
        <v>91</v>
      </c>
      <c r="D80" s="61"/>
      <c r="E80" s="61"/>
    </row>
    <row r="81" spans="2:5" x14ac:dyDescent="0.2">
      <c r="B81" s="10" t="s">
        <v>15</v>
      </c>
      <c r="C81" s="8"/>
      <c r="D81" s="8"/>
      <c r="E81" s="9"/>
    </row>
    <row r="82" spans="2:5" x14ac:dyDescent="0.2">
      <c r="B82" s="11"/>
      <c r="C82" s="62" t="s">
        <v>85</v>
      </c>
      <c r="D82" s="62"/>
      <c r="E82" s="62"/>
    </row>
    <row r="83" spans="2:5" x14ac:dyDescent="0.2">
      <c r="B83" s="11"/>
      <c r="C83" s="63"/>
      <c r="D83" s="63"/>
      <c r="E83" s="63"/>
    </row>
    <row r="84" spans="2:5" x14ac:dyDescent="0.2">
      <c r="B84" s="10" t="s">
        <v>16</v>
      </c>
      <c r="C84" s="8"/>
      <c r="D84" s="8"/>
      <c r="E84" s="9"/>
    </row>
    <row r="85" spans="2:5" x14ac:dyDescent="0.2">
      <c r="B85" s="11"/>
      <c r="C85" s="64"/>
      <c r="D85" s="64"/>
      <c r="E85" s="64"/>
    </row>
    <row r="86" spans="2:5" x14ac:dyDescent="0.2">
      <c r="B86" s="10" t="s">
        <v>17</v>
      </c>
      <c r="C86" s="12"/>
      <c r="D86" s="12"/>
      <c r="E86" s="13"/>
    </row>
    <row r="87" spans="2:5" x14ac:dyDescent="0.2">
      <c r="B87" s="11"/>
      <c r="C87" s="59" t="s">
        <v>22</v>
      </c>
      <c r="D87" s="59"/>
      <c r="E87" s="59"/>
    </row>
    <row r="88" spans="2:5" x14ac:dyDescent="0.2">
      <c r="B88" s="10" t="s">
        <v>18</v>
      </c>
      <c r="C88" s="8"/>
      <c r="D88" s="8"/>
      <c r="E88" s="9"/>
    </row>
    <row r="89" spans="2:5" x14ac:dyDescent="0.2">
      <c r="B89" s="10"/>
      <c r="C89" s="60"/>
      <c r="D89" s="60"/>
      <c r="E89" s="60"/>
    </row>
    <row r="90" spans="2:5" ht="13.5" thickBot="1" x14ac:dyDescent="0.25">
      <c r="B90" s="14"/>
      <c r="C90" s="15"/>
      <c r="D90" s="15"/>
      <c r="E90" s="16"/>
    </row>
    <row r="92" spans="2:5" ht="13.5" thickBot="1" x14ac:dyDescent="0.25"/>
    <row r="93" spans="2:5" x14ac:dyDescent="0.2">
      <c r="B93" s="4" t="s">
        <v>92</v>
      </c>
      <c r="C93" s="5"/>
      <c r="D93" s="5"/>
      <c r="E93" s="6"/>
    </row>
    <row r="94" spans="2:5" x14ac:dyDescent="0.2">
      <c r="B94" s="7"/>
      <c r="C94" s="8"/>
      <c r="D94" s="8"/>
      <c r="E94" s="9"/>
    </row>
    <row r="95" spans="2:5" x14ac:dyDescent="0.2">
      <c r="B95" s="10" t="s">
        <v>14</v>
      </c>
      <c r="C95" s="8"/>
      <c r="D95" s="8"/>
      <c r="E95" s="9"/>
    </row>
    <row r="96" spans="2:5" ht="104.25" customHeight="1" x14ac:dyDescent="0.2">
      <c r="B96" s="10"/>
      <c r="C96" s="61" t="s">
        <v>93</v>
      </c>
      <c r="D96" s="61"/>
      <c r="E96" s="61"/>
    </row>
    <row r="97" spans="2:5" x14ac:dyDescent="0.2">
      <c r="B97" s="10" t="s">
        <v>15</v>
      </c>
      <c r="C97" s="8"/>
      <c r="D97" s="8"/>
      <c r="E97" s="9"/>
    </row>
    <row r="98" spans="2:5" x14ac:dyDescent="0.2">
      <c r="B98" s="11"/>
      <c r="C98" s="62" t="s">
        <v>85</v>
      </c>
      <c r="D98" s="62"/>
      <c r="E98" s="62"/>
    </row>
    <row r="99" spans="2:5" x14ac:dyDescent="0.2">
      <c r="B99" s="11"/>
      <c r="C99" s="63"/>
      <c r="D99" s="63"/>
      <c r="E99" s="63"/>
    </row>
    <row r="100" spans="2:5" x14ac:dyDescent="0.2">
      <c r="B100" s="10" t="s">
        <v>16</v>
      </c>
      <c r="C100" s="8"/>
      <c r="D100" s="8"/>
      <c r="E100" s="9"/>
    </row>
    <row r="101" spans="2:5" ht="17.25" customHeight="1" x14ac:dyDescent="0.2">
      <c r="B101" s="11"/>
      <c r="C101" s="64"/>
      <c r="D101" s="64"/>
      <c r="E101" s="64"/>
    </row>
    <row r="102" spans="2:5" x14ac:dyDescent="0.2">
      <c r="B102" s="10" t="s">
        <v>17</v>
      </c>
      <c r="C102" s="12"/>
      <c r="D102" s="12"/>
      <c r="E102" s="13"/>
    </row>
    <row r="103" spans="2:5" x14ac:dyDescent="0.2">
      <c r="B103" s="11"/>
      <c r="C103" s="59" t="s">
        <v>22</v>
      </c>
      <c r="D103" s="59"/>
      <c r="E103" s="59"/>
    </row>
    <row r="104" spans="2:5" x14ac:dyDescent="0.2">
      <c r="B104" s="10" t="s">
        <v>18</v>
      </c>
      <c r="C104" s="8"/>
      <c r="D104" s="8"/>
      <c r="E104" s="9"/>
    </row>
    <row r="105" spans="2:5" x14ac:dyDescent="0.2">
      <c r="B105" s="10"/>
      <c r="C105" s="60"/>
      <c r="D105" s="60"/>
      <c r="E105" s="60"/>
    </row>
    <row r="106" spans="2:5" ht="13.5" thickBot="1" x14ac:dyDescent="0.25">
      <c r="B106" s="14"/>
      <c r="C106" s="15"/>
      <c r="D106" s="15"/>
      <c r="E106" s="16"/>
    </row>
  </sheetData>
  <sortState xmlns:xlrd2="http://schemas.microsoft.com/office/spreadsheetml/2017/richdata2" ref="A10:I69">
    <sortCondition ref="E10"/>
  </sortState>
  <mergeCells count="25">
    <mergeCell ref="C73:E73"/>
    <mergeCell ref="A6:B6"/>
    <mergeCell ref="A7:B7"/>
    <mergeCell ref="B2:H2"/>
    <mergeCell ref="A4:B4"/>
    <mergeCell ref="C4:E4"/>
    <mergeCell ref="A5:B5"/>
    <mergeCell ref="C5:E5"/>
    <mergeCell ref="C67:E67"/>
    <mergeCell ref="C64:E64"/>
    <mergeCell ref="C66:E66"/>
    <mergeCell ref="C69:E69"/>
    <mergeCell ref="C71:E71"/>
    <mergeCell ref="C80:E80"/>
    <mergeCell ref="C82:E82"/>
    <mergeCell ref="C83:E83"/>
    <mergeCell ref="C85:E85"/>
    <mergeCell ref="C87:E87"/>
    <mergeCell ref="C103:E103"/>
    <mergeCell ref="C105:E105"/>
    <mergeCell ref="C89:E89"/>
    <mergeCell ref="C96:E96"/>
    <mergeCell ref="C98:E98"/>
    <mergeCell ref="C99:E99"/>
    <mergeCell ref="C101:E101"/>
  </mergeCells>
  <conditionalFormatting sqref="D60 E45:E59">
    <cfRule type="cellIs" dxfId="9" priority="11" operator="equal">
      <formula>"duplicado"</formula>
    </cfRule>
  </conditionalFormatting>
  <conditionalFormatting sqref="E45">
    <cfRule type="duplicateValues" dxfId="8" priority="8"/>
    <cfRule type="duplicateValues" dxfId="7" priority="9"/>
    <cfRule type="cellIs" dxfId="6" priority="10" operator="equal">
      <formula>"calibra"</formula>
    </cfRule>
  </conditionalFormatting>
  <conditionalFormatting sqref="E45">
    <cfRule type="duplicateValues" dxfId="5" priority="12"/>
    <cfRule type="duplicateValues" dxfId="4" priority="13"/>
    <cfRule type="cellIs" dxfId="3" priority="14" operator="equal">
      <formula>"calibra"</formula>
    </cfRule>
  </conditionalFormatting>
  <conditionalFormatting sqref="D60 E46:E59">
    <cfRule type="duplicateValues" dxfId="2" priority="22"/>
    <cfRule type="duplicateValues" dxfId="1" priority="23"/>
    <cfRule type="cellIs" dxfId="0" priority="24" operator="equal">
      <formula>"calibra"</formula>
    </cfRule>
  </conditionalFormatting>
  <pageMargins left="0.7" right="0.7" top="0.75" bottom="0.75" header="0.51180555555555496" footer="0.51180555555555496"/>
  <pageSetup paperSize="9" firstPageNumber="0" orientation="portrait" horizontalDpi="300" verticalDpi="300" r:id="rId1"/>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Necesidades Trimestrales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llicta6</dc:creator>
  <cp:lastModifiedBy>SILVINA ATENCIO</cp:lastModifiedBy>
  <cp:revision>2</cp:revision>
  <cp:lastPrinted>2020-07-17T22:18:48Z</cp:lastPrinted>
  <dcterms:created xsi:type="dcterms:W3CDTF">2020-07-17T23:44:49Z</dcterms:created>
  <dcterms:modified xsi:type="dcterms:W3CDTF">2021-08-12T15:49:35Z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