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K\Nueva carpeta\FARMACIA\TERAPIA ANTIINFECCIOSA\CORREGIDO\"/>
    </mc:Choice>
  </mc:AlternateContent>
  <bookViews>
    <workbookView xWindow="-12" yWindow="-12" windowWidth="28836" windowHeight="6408" activeTab="2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52511"/>
</workbook>
</file>

<file path=xl/calcChain.xml><?xml version="1.0" encoding="utf-8"?>
<calcChain xmlns="http://schemas.openxmlformats.org/spreadsheetml/2006/main">
  <c r="C17" i="2" l="1"/>
  <c r="A41" i="3" l="1"/>
  <c r="M22" i="2"/>
  <c r="M23" i="2"/>
  <c r="M24" i="2"/>
  <c r="M38" i="2"/>
  <c r="M39" i="2"/>
  <c r="M40" i="2"/>
  <c r="K13" i="2"/>
  <c r="K14" i="2"/>
  <c r="K15" i="2"/>
  <c r="K16" i="2"/>
  <c r="K17" i="2"/>
  <c r="K18" i="2"/>
  <c r="K19" i="2"/>
  <c r="M19" i="2" s="1"/>
  <c r="K20" i="2"/>
  <c r="M20" i="2" s="1"/>
  <c r="K21" i="2"/>
  <c r="M21" i="2" s="1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M35" i="2" s="1"/>
  <c r="K36" i="2"/>
  <c r="M36" i="2" s="1"/>
  <c r="K37" i="2"/>
  <c r="M37" i="2" s="1"/>
  <c r="K38" i="2"/>
  <c r="K39" i="2"/>
  <c r="K40" i="2"/>
  <c r="K41" i="2"/>
  <c r="K42" i="2"/>
  <c r="K43" i="2"/>
  <c r="K44" i="2"/>
  <c r="K45" i="2"/>
  <c r="K46" i="2"/>
  <c r="K12" i="2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J20" i="2"/>
  <c r="J21" i="2"/>
  <c r="J22" i="2"/>
  <c r="J23" i="2"/>
  <c r="J24" i="2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J36" i="2"/>
  <c r="J37" i="2"/>
  <c r="J38" i="2"/>
  <c r="J39" i="2"/>
  <c r="J40" i="2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12" i="2"/>
  <c r="M48" i="2" l="1"/>
  <c r="G6" i="3"/>
  <c r="G7" i="3"/>
  <c r="D4" i="2"/>
  <c r="G5" i="3" s="1"/>
  <c r="D3" i="2"/>
  <c r="G4" i="3" s="1"/>
  <c r="Q15" i="3" l="1"/>
  <c r="J48" i="2"/>
  <c r="Q38" i="3"/>
  <c r="AW44" i="1"/>
  <c r="AY44" i="1" s="1"/>
  <c r="T44" i="1"/>
  <c r="AW43" i="1"/>
  <c r="AY43" i="1" s="1"/>
  <c r="T43" i="1"/>
  <c r="AW42" i="1"/>
  <c r="AY42" i="1" s="1"/>
  <c r="T42" i="1"/>
  <c r="AW41" i="1"/>
  <c r="AY41" i="1" s="1"/>
  <c r="T41" i="1"/>
  <c r="AW40" i="1"/>
  <c r="AY40" i="1" s="1"/>
  <c r="T40" i="1"/>
  <c r="AW39" i="1"/>
  <c r="AY39" i="1" s="1"/>
  <c r="T39" i="1"/>
  <c r="AW38" i="1"/>
  <c r="AY38" i="1" s="1"/>
  <c r="T38" i="1"/>
  <c r="AW37" i="1"/>
  <c r="AY37" i="1" s="1"/>
  <c r="T37" i="1"/>
  <c r="AW36" i="1"/>
  <c r="AY36" i="1" s="1"/>
  <c r="T36" i="1"/>
  <c r="AW35" i="1"/>
  <c r="AY35" i="1" s="1"/>
  <c r="T35" i="1"/>
  <c r="AW34" i="1"/>
  <c r="AY34" i="1" s="1"/>
  <c r="T34" i="1"/>
  <c r="AW33" i="1"/>
  <c r="AY33" i="1" s="1"/>
  <c r="T33" i="1"/>
  <c r="AW32" i="1"/>
  <c r="AY32" i="1" s="1"/>
  <c r="T32" i="1"/>
  <c r="AW31" i="1"/>
  <c r="AY31" i="1" s="1"/>
  <c r="T31" i="1"/>
  <c r="AW30" i="1"/>
  <c r="AY30" i="1" s="1"/>
  <c r="T30" i="1"/>
  <c r="AW29" i="1"/>
  <c r="AY29" i="1" s="1"/>
  <c r="T29" i="1"/>
  <c r="AW28" i="1"/>
  <c r="AY28" i="1" s="1"/>
  <c r="T28" i="1"/>
  <c r="AW27" i="1"/>
  <c r="AY27" i="1" s="1"/>
  <c r="T27" i="1"/>
  <c r="AW26" i="1"/>
  <c r="AY26" i="1" s="1"/>
  <c r="T26" i="1"/>
  <c r="AW25" i="1"/>
  <c r="AY25" i="1" s="1"/>
  <c r="T25" i="1"/>
  <c r="AW24" i="1"/>
  <c r="AY24" i="1" s="1"/>
  <c r="T24" i="1"/>
  <c r="AW23" i="1"/>
  <c r="AY23" i="1" s="1"/>
  <c r="T23" i="1"/>
  <c r="AW22" i="1"/>
  <c r="AY22" i="1" s="1"/>
  <c r="T22" i="1"/>
  <c r="AW21" i="1"/>
  <c r="AY21" i="1" s="1"/>
  <c r="T21" i="1"/>
  <c r="AW20" i="1"/>
  <c r="AY20" i="1" s="1"/>
  <c r="T20" i="1"/>
  <c r="AW19" i="1"/>
  <c r="AY19" i="1" s="1"/>
  <c r="T19" i="1"/>
  <c r="AW18" i="1"/>
  <c r="AY18" i="1" s="1"/>
  <c r="T18" i="1"/>
  <c r="AW17" i="1"/>
  <c r="AY17" i="1" s="1"/>
  <c r="T17" i="1"/>
  <c r="AW16" i="1"/>
  <c r="AY16" i="1" s="1"/>
  <c r="T16" i="1"/>
  <c r="AW15" i="1"/>
  <c r="AY15" i="1" s="1"/>
  <c r="T15" i="1"/>
  <c r="AW14" i="1"/>
  <c r="AY14" i="1" s="1"/>
  <c r="T14" i="1"/>
  <c r="AW13" i="1"/>
  <c r="AY13" i="1" s="1"/>
  <c r="T13" i="1"/>
  <c r="AW12" i="1"/>
  <c r="AY12" i="1" s="1"/>
  <c r="T12" i="1"/>
  <c r="AW11" i="1"/>
  <c r="AY11" i="1" s="1"/>
  <c r="T11" i="1"/>
  <c r="AW10" i="1"/>
  <c r="AY10" i="1" s="1"/>
  <c r="T10" i="1"/>
  <c r="AY45" i="1" l="1"/>
</calcChain>
</file>

<file path=xl/sharedStrings.xml><?xml version="1.0" encoding="utf-8"?>
<sst xmlns="http://schemas.openxmlformats.org/spreadsheetml/2006/main" count="297" uniqueCount="158">
  <si>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</si>
  <si>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</si>
  <si>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</si>
  <si>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</si>
  <si>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</si>
  <si>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</si>
  <si>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</si>
  <si>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</si>
  <si>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</si>
  <si>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</si>
  <si>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</si>
  <si>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</si>
  <si>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</si>
  <si>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</si>
  <si>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</si>
  <si>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</si>
  <si>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</si>
  <si>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</si>
  <si>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</si>
  <si>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</si>
  <si>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</si>
  <si>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</si>
  <si>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</si>
  <si>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</si>
  <si>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</si>
  <si>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</si>
  <si>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</si>
  <si>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</si>
  <si>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</si>
  <si>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</si>
  <si>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</si>
  <si>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</si>
  <si>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</si>
  <si>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</si>
  <si>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</si>
  <si>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</si>
  <si>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</si>
  <si>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</si>
  <si>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</si>
  <si>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</si>
  <si>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</si>
  <si>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</si>
  <si>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</si>
  <si>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</si>
  <si>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</si>
  <si>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</si>
  <si>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</si>
  <si>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</si>
  <si>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</si>
  <si>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</si>
  <si>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</si>
  <si>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</si>
  <si>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</si>
  <si>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</si>
  <si>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</si>
  <si>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</si>
  <si>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</si>
  <si>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</si>
  <si>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</si>
  <si>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</si>
  <si>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</si>
  <si>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2.5.2</t>
  </si>
  <si>
    <t>FRASCO</t>
  </si>
  <si>
    <t>AMPOLLA</t>
  </si>
  <si>
    <t>COMPRIMIDO</t>
  </si>
  <si>
    <t>AMIKACINA 500 MG AMPOLLA</t>
  </si>
  <si>
    <t>AMOXICILINA + CLAVULANICO 1 G COMPRIMIDO</t>
  </si>
  <si>
    <t>AMOXICILINA 500 MG SUSPENSIÓN X 90 ML</t>
  </si>
  <si>
    <t>AMPICILINA 1G FCO AMPOLLA</t>
  </si>
  <si>
    <t xml:space="preserve">AZITROMICINA 500 MG COMPRIMIDOS </t>
  </si>
  <si>
    <t xml:space="preserve">BUPIVACAINA 5 MG / ML  HIBERBARICA  AMPOLLA DE 4 ML CON AGUJA 27 G X 3 1/2 CON INTRODUCTOR </t>
  </si>
  <si>
    <t>CEFALOTINA 1 GR. AMP.</t>
  </si>
  <si>
    <t>CIPROFLOXACINA 200 MG AMPOLLA</t>
  </si>
  <si>
    <t>CIPROFLOXACINA 500 MG COMP</t>
  </si>
  <si>
    <t>CLARITROMICINA 500 MG COMPRIMIDO</t>
  </si>
  <si>
    <t>CLARITROMICINA 500 MG FRASCO AMPOLLA</t>
  </si>
  <si>
    <t>COLISTINA 100 MG FCO AMPOLLA</t>
  </si>
  <si>
    <t>DICLOFENAC 75 MG COMPRIMIDOS</t>
  </si>
  <si>
    <t xml:space="preserve">DICLOFENAC 75 MG. AMPOLLA </t>
  </si>
  <si>
    <t>DIPIRONA 1GR AMPOLLA</t>
  </si>
  <si>
    <t>FENTANILO 250 MCG INYECTABLE</t>
  </si>
  <si>
    <t>FLUCONAZOL 200 MG SACHET 100 ML</t>
  </si>
  <si>
    <t>ENVASE</t>
  </si>
  <si>
    <t>IBUPROFENO 2% SUSPENSIÓN X 90 ML</t>
  </si>
  <si>
    <t>IBUPROFENO 400 MG COMPRIMIDO</t>
  </si>
  <si>
    <t>KETAMINA 50MG/ML FCO AMPOLLA</t>
  </si>
  <si>
    <t>KETOROLAC 10 MG COMPRIMIDO</t>
  </si>
  <si>
    <t>KETOROLAC 30 MG AMPOLLA</t>
  </si>
  <si>
    <t>LIDOCAINA AEROSOL</t>
  </si>
  <si>
    <t>METRONIDAZOL 500 MG SACHET</t>
  </si>
  <si>
    <t>PARACETAMOL 1GR ML FRASCO AMPOLLA</t>
  </si>
  <si>
    <t>PARACETAMOL 2% JARABE X 120 ML</t>
  </si>
  <si>
    <t>PARACETAMOL 500 MG COMPRIMIDO</t>
  </si>
  <si>
    <t>PERMETRINA LOCION</t>
  </si>
  <si>
    <t>PROPOFOL 1% AMPOLLAS X 20 ML</t>
  </si>
  <si>
    <t>SUCCINILCOLINA 500 MG FCO AMP</t>
  </si>
  <si>
    <t>TRAMADOL 50 MG AMPOLLA</t>
  </si>
  <si>
    <t>VECURONIO BROMURO 10 MG AMPOLLA</t>
  </si>
  <si>
    <t>TOTAL RUBRO TERAPIA ANTIINFECCIOSA SISTEMICA/SUEROS INMUNES E INMUNOGLOBULINAS  Y MEDIOS DE CONTRASTES /ANALGESICOS ANTINFLAMATORIOS /MIORRELAJANTES/ANESTESICOS/ANALGESICOS OPIACIOS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</si>
  <si>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</si>
  <si>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</si>
  <si>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</si>
  <si>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</si>
  <si>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</si>
  <si>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</si>
  <si>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</si>
  <si>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</si>
  <si>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</si>
  <si>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</si>
  <si>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</si>
  <si>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</si>
  <si>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</si>
  <si>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</si>
  <si>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</si>
  <si>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</si>
  <si>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</si>
  <si>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</si>
  <si>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</si>
  <si>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</si>
  <si>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</si>
  <si>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</si>
  <si>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</si>
  <si>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</si>
  <si>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</si>
  <si>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</si>
  <si>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</si>
  <si>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</si>
  <si>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</si>
  <si>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</si>
  <si>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</si>
  <si>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</si>
  <si>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</si>
  <si>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</si>
  <si>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</si>
  <si>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</si>
  <si>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</si>
  <si>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</si>
  <si>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</si>
  <si>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</si>
  <si>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</si>
  <si>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</si>
  <si>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</si>
  <si>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</si>
  <si>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</si>
  <si>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</si>
  <si>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</si>
  <si>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</si>
  <si>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PRODUCTOS FARMACEUTICOS Y MEDICINALES</t>
  </si>
  <si>
    <t xml:space="preserve"> 05/2022</t>
  </si>
  <si>
    <t>ADQUISICION DEL RUBRO TERAPIA ANTIINFECCIOSA SISTEMICA/SUEROS INMUNES E INMUNOGLOBULINAS  Y MEDIOS DE CONTRASTES /ANALGESICOS ANTINFLAMATORIOS /MIORRELAJANTES/ANESTESICOS/ANALGESICOS OPIACIOS</t>
  </si>
  <si>
    <t>SI</t>
  </si>
  <si>
    <t>Costo total estimado: VEINTITRES MILLONES OCHENTA Y TRES MIL SETECIENTOS NOVENTA CON 00/100.-</t>
  </si>
  <si>
    <t>Autorizo la realización de los  trámites correspondientes, a fin de proveer a  este Organismo los bienes que se detallan en Nota  de Pedido N° 05/2022 afectando la erogación resultante a los créditos presupuestarios aprobados a favor de esta Unidad Ejecutora, conforme al siguiente detalle:</t>
  </si>
  <si>
    <t>TOTAL DE PESOS: VEINTITRES MILLONES OCHENTA Y TRES MIL SETECIENTOS NOVENTA CON 00/100.-</t>
  </si>
  <si>
    <t xml:space="preserve">AMOXICILINA  400 MG + ACIDO CLAVULANICO 57 MG  SUSPENSIÓN x 70 ML </t>
  </si>
  <si>
    <t>DIPIRONA JARABE X 120 ML</t>
  </si>
  <si>
    <t>AZITROMICINA 200 MG / 5 ML SUSPENSIÓN x 15 ML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</si>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</sst>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61" applyProtection="0"/>
    <xf numFmtId="0" fontId="25" fillId="0" borderId="6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0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6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0" xfId="0" applyFont="1"/>
    <xf numFmtId="3" fontId="10" fillId="0" borderId="8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3" fontId="7" fillId="0" borderId="8" xfId="2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left" vertical="center" wrapText="1" indent="1"/>
    </xf>
    <xf numFmtId="0" fontId="16" fillId="0" borderId="28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3" fontId="17" fillId="0" borderId="29" xfId="0" applyNumberFormat="1" applyFont="1" applyBorder="1" applyAlignment="1">
      <alignment horizontal="center" vertical="center"/>
    </xf>
    <xf numFmtId="3" fontId="19" fillId="0" borderId="33" xfId="0" applyNumberFormat="1" applyFont="1" applyBorder="1" applyAlignment="1"/>
    <xf numFmtId="168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9" xfId="0" applyBorder="1"/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70" fontId="0" fillId="0" borderId="49" xfId="7" applyNumberFormat="1" applyFont="1" applyBorder="1" applyAlignment="1" applyProtection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170" fontId="0" fillId="0" borderId="54" xfId="7" applyNumberFormat="1" applyFont="1" applyBorder="1" applyAlignment="1" applyProtection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70" fontId="0" fillId="0" borderId="58" xfId="7" applyNumberFormat="1" applyFont="1" applyBorder="1" applyAlignment="1" applyProtection="1">
      <alignment horizontal="center" vertical="center"/>
    </xf>
    <xf numFmtId="170" fontId="24" fillId="0" borderId="60" xfId="0" applyNumberFormat="1" applyFont="1" applyBorder="1" applyAlignment="1">
      <alignment horizontal="center" vertical="center"/>
    </xf>
    <xf numFmtId="0" fontId="27" fillId="0" borderId="11" xfId="5" applyFont="1" applyFill="1" applyBorder="1" applyAlignment="1">
      <alignment horizontal="center" vertical="center" wrapText="1"/>
    </xf>
    <xf numFmtId="0" fontId="27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2" xfId="5" applyFont="1" applyFill="1" applyBorder="1" applyAlignment="1">
      <alignment horizontal="center" wrapText="1"/>
    </xf>
    <xf numFmtId="0" fontId="27" fillId="0" borderId="22" xfId="5" applyFont="1" applyBorder="1" applyAlignment="1">
      <alignment horizontal="center" wrapText="1"/>
    </xf>
    <xf numFmtId="0" fontId="27" fillId="0" borderId="62" xfId="5" applyFont="1" applyBorder="1" applyAlignment="1">
      <alignment horizontal="center" wrapText="1"/>
    </xf>
    <xf numFmtId="0" fontId="0" fillId="0" borderId="16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9" fillId="0" borderId="26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9" fillId="0" borderId="66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3" fontId="29" fillId="0" borderId="27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3" fontId="29" fillId="0" borderId="67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3" fontId="29" fillId="0" borderId="29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9" fillId="0" borderId="10" xfId="0" applyNumberFormat="1" applyFont="1" applyBorder="1" applyAlignment="1">
      <alignment horizontal="center" vertical="center" wrapText="1"/>
    </xf>
    <xf numFmtId="165" fontId="29" fillId="0" borderId="3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8" fillId="0" borderId="0" xfId="0" applyNumberFormat="1" applyFont="1"/>
    <xf numFmtId="0" fontId="31" fillId="0" borderId="0" xfId="0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0" fontId="33" fillId="0" borderId="0" xfId="0" applyFont="1"/>
    <xf numFmtId="0" fontId="2" fillId="0" borderId="0" xfId="0" applyFont="1"/>
    <xf numFmtId="165" fontId="30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3" fillId="0" borderId="63" xfId="5" applyFont="1" applyBorder="1" applyAlignment="1">
      <alignment horizontal="left" vertical="center" wrapText="1"/>
    </xf>
    <xf numFmtId="0" fontId="3" fillId="0" borderId="65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/>
    </xf>
    <xf numFmtId="0" fontId="3" fillId="0" borderId="33" xfId="5" applyFont="1" applyFill="1" applyBorder="1" applyAlignment="1">
      <alignment horizontal="left" vertical="center" wrapText="1"/>
    </xf>
    <xf numFmtId="0" fontId="3" fillId="0" borderId="64" xfId="5" applyFont="1" applyFill="1" applyBorder="1" applyAlignment="1">
      <alignment horizontal="left" vertical="center" wrapText="1"/>
    </xf>
    <xf numFmtId="0" fontId="29" fillId="0" borderId="68" xfId="0" applyFont="1" applyBorder="1" applyAlignment="1">
      <alignment horizontal="left" vertical="center" wrapText="1"/>
    </xf>
    <xf numFmtId="0" fontId="29" fillId="0" borderId="69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11" fillId="0" borderId="11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 indent="1"/>
    </xf>
    <xf numFmtId="166" fontId="13" fillId="0" borderId="30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19" fillId="0" borderId="32" xfId="0" applyNumberFormat="1" applyFont="1" applyBorder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1" fillId="0" borderId="34" xfId="0" applyFont="1" applyBorder="1"/>
    <xf numFmtId="0" fontId="22" fillId="0" borderId="35" xfId="0" applyFont="1" applyBorder="1" applyAlignment="1">
      <alignment horizontal="left" indent="1"/>
    </xf>
    <xf numFmtId="0" fontId="17" fillId="0" borderId="34" xfId="0" applyFont="1" applyBorder="1" applyAlignment="1">
      <alignment horizontal="left" vertical="center" wrapText="1"/>
    </xf>
    <xf numFmtId="0" fontId="23" fillId="0" borderId="36" xfId="0" applyFont="1" applyBorder="1" applyAlignment="1">
      <alignment horizontal="left"/>
    </xf>
    <xf numFmtId="0" fontId="0" fillId="0" borderId="53" xfId="0" applyFont="1" applyBorder="1" applyAlignment="1">
      <alignment horizontal="center" vertical="center"/>
    </xf>
    <xf numFmtId="49" fontId="22" fillId="0" borderId="38" xfId="0" applyNumberFormat="1" applyFont="1" applyBorder="1" applyAlignment="1">
      <alignment horizontal="justify" vertical="center" wrapText="1"/>
    </xf>
    <xf numFmtId="0" fontId="24" fillId="0" borderId="37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center"/>
    </xf>
    <xf numFmtId="0" fontId="19" fillId="0" borderId="18" xfId="0" applyFont="1" applyBorder="1" applyAlignment="1">
      <alignment vertical="center" wrapText="1"/>
    </xf>
    <xf numFmtId="0" fontId="22" fillId="0" borderId="41" xfId="0" applyFont="1" applyBorder="1" applyAlignment="1">
      <alignment vertical="center" wrapText="1"/>
    </xf>
    <xf numFmtId="0" fontId="22" fillId="0" borderId="30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9" fillId="0" borderId="59" xfId="0" applyFont="1" applyBorder="1" applyAlignment="1">
      <alignment horizontal="left" vertical="center" wrapText="1"/>
    </xf>
    <xf numFmtId="0" fontId="0" fillId="0" borderId="37" xfId="0" applyBorder="1"/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"/>
  <sheetViews>
    <sheetView topLeftCell="A34" zoomScaleNormal="100" workbookViewId="0">
      <selection activeCell="D50" sqref="D50"/>
    </sheetView>
  </sheetViews>
  <sheetFormatPr baseColWidth="10" defaultRowHeight="14.4" x14ac:dyDescent="0.3"/>
  <cols>
    <col min="1" max="1" width="4.88671875" style="62" bestFit="1" customWidth="1"/>
    <col min="2" max="2" width="13" style="62" bestFit="1" customWidth="1"/>
    <col min="3" max="3" width="36.44140625" style="62" bestFit="1" customWidth="1"/>
    <col min="4" max="4" width="5.5546875" style="62" bestFit="1" customWidth="1"/>
    <col min="5" max="5" width="75.5546875" style="63" bestFit="1" customWidth="1"/>
    <col min="6" max="6" width="12" style="62" bestFit="1" customWidth="1"/>
    <col min="7" max="7" width="17.109375" style="62" hidden="1" customWidth="1"/>
    <col min="8" max="8" width="10.88671875" style="62" hidden="1" customWidth="1"/>
    <col min="9" max="9" width="8" style="62" hidden="1" customWidth="1"/>
    <col min="10" max="10" width="14.5546875" style="62" hidden="1" customWidth="1"/>
    <col min="11" max="11" width="9.44140625" style="62" hidden="1" customWidth="1"/>
    <col min="12" max="12" width="14" style="62" hidden="1" customWidth="1"/>
    <col min="13" max="13" width="8.33203125" style="62" hidden="1" customWidth="1"/>
    <col min="14" max="14" width="14.109375" style="62" hidden="1" customWidth="1"/>
    <col min="15" max="15" width="4.5546875" style="62" hidden="1" customWidth="1"/>
    <col min="16" max="16" width="12.44140625" style="62" hidden="1" customWidth="1"/>
    <col min="17" max="17" width="14.6640625" style="62" hidden="1" customWidth="1"/>
    <col min="18" max="18" width="13.44140625" style="62" hidden="1" customWidth="1"/>
    <col min="19" max="19" width="10.5546875" style="64" hidden="1" customWidth="1"/>
    <col min="20" max="20" width="13.88671875" style="65" hidden="1" customWidth="1"/>
    <col min="21" max="21" width="14.6640625" style="62" hidden="1" customWidth="1"/>
    <col min="22" max="22" width="12.88671875" style="62" hidden="1" customWidth="1"/>
    <col min="23" max="23" width="6" style="62" hidden="1" customWidth="1"/>
    <col min="24" max="24" width="12.5546875" style="62" hidden="1" customWidth="1"/>
    <col min="25" max="25" width="10.109375" style="62" hidden="1" customWidth="1"/>
    <col min="26" max="26" width="13.5546875" style="62" hidden="1" customWidth="1"/>
    <col min="27" max="28" width="14.44140625" style="62" hidden="1" customWidth="1"/>
    <col min="29" max="29" width="5.6640625" style="62" hidden="1" customWidth="1"/>
    <col min="30" max="30" width="12.33203125" style="62" hidden="1" customWidth="1"/>
    <col min="31" max="31" width="10.109375" style="62" hidden="1" customWidth="1"/>
    <col min="32" max="32" width="13.5546875" style="62" hidden="1" customWidth="1"/>
    <col min="33" max="33" width="12.109375" style="62" hidden="1" customWidth="1"/>
    <col min="34" max="34" width="13" style="62" hidden="1" customWidth="1"/>
    <col min="35" max="36" width="10.5546875" style="62" hidden="1" customWidth="1"/>
    <col min="37" max="37" width="5" style="62" hidden="1" customWidth="1"/>
    <col min="38" max="38" width="11.33203125" style="62" hidden="1" customWidth="1"/>
    <col min="39" max="39" width="6.5546875" style="62" hidden="1" customWidth="1"/>
    <col min="40" max="40" width="13.5546875" style="65" hidden="1" customWidth="1"/>
    <col min="41" max="41" width="14.88671875" style="62" hidden="1" customWidth="1"/>
    <col min="42" max="42" width="13.5546875" style="62" hidden="1" customWidth="1"/>
    <col min="43" max="43" width="13.88671875" style="62" hidden="1" customWidth="1"/>
    <col min="44" max="44" width="12.88671875" style="65" hidden="1" customWidth="1"/>
    <col min="45" max="45" width="15.33203125" style="66" hidden="1" customWidth="1"/>
    <col min="46" max="46" width="15.33203125" style="62" hidden="1" customWidth="1"/>
    <col min="47" max="47" width="7.33203125" style="66" hidden="1" customWidth="1"/>
    <col min="48" max="48" width="13.88671875" style="62" hidden="1" customWidth="1"/>
    <col min="49" max="49" width="10.44140625" style="64" bestFit="1" customWidth="1"/>
    <col min="50" max="50" width="11.44140625" style="65" bestFit="1" customWidth="1"/>
    <col min="51" max="51" width="16.33203125" style="65" bestFit="1" customWidth="1"/>
    <col min="52" max="52" width="23.6640625" hidden="1" customWidth="1"/>
  </cols>
  <sheetData>
    <row r="1" spans="1:52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s="153" customFormat="1" ht="18" x14ac:dyDescent="0.35">
      <c r="A2" s="151"/>
      <c r="B2" s="161" t="s">
        <v>0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52"/>
    </row>
    <row r="3" spans="1:52" x14ac:dyDescent="0.3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3">
      <c r="A4" s="160" t="s">
        <v>1</v>
      </c>
      <c r="B4" s="160"/>
      <c r="C4" s="125" t="s">
        <v>2</v>
      </c>
      <c r="D4" s="125"/>
      <c r="E4" s="125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3">
      <c r="A5" s="160" t="s">
        <v>3</v>
      </c>
      <c r="B5" s="160"/>
      <c r="C5" s="125" t="s">
        <v>4</v>
      </c>
      <c r="D5" s="125"/>
      <c r="E5" s="125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3">
      <c r="A6" s="160" t="s">
        <v>5</v>
      </c>
      <c r="B6" s="160"/>
      <c r="C6" s="126">
        <v>2022</v>
      </c>
      <c r="D6" s="127"/>
      <c r="E6" s="126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3">
      <c r="A7" s="160" t="s">
        <v>6</v>
      </c>
      <c r="B7" s="160"/>
      <c r="C7" s="126" t="s">
        <v>7</v>
      </c>
      <c r="D7" s="127"/>
      <c r="E7" s="126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3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52.8" x14ac:dyDescent="0.3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24" t="s">
        <v>32</v>
      </c>
      <c r="Z9" s="19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</row>
    <row r="10" spans="1:52" s="37" customFormat="1" ht="13.8" x14ac:dyDescent="0.3">
      <c r="A10" s="44">
        <v>1</v>
      </c>
      <c r="B10" s="44"/>
      <c r="C10" s="48" t="s">
        <v>60</v>
      </c>
      <c r="D10" s="48" t="s">
        <v>61</v>
      </c>
      <c r="E10" s="61" t="s">
        <v>65</v>
      </c>
      <c r="F10" s="44" t="s">
        <v>63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6">
        <v>2000</v>
      </c>
      <c r="T10" s="45">
        <f>+S10*AX10</f>
        <v>186340</v>
      </c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5"/>
      <c r="AO10" s="44"/>
      <c r="AP10" s="44"/>
      <c r="AQ10" s="44"/>
      <c r="AR10" s="45"/>
      <c r="AS10" s="47"/>
      <c r="AT10" s="44"/>
      <c r="AU10" s="47"/>
      <c r="AV10" s="44"/>
      <c r="AW10" s="34">
        <f t="shared" ref="AW10:AW36" si="0">+AQ10+AO10+AM10+AK10+AI10+AG10+AE10+AC10+AA10+Y10+W10+U10+S10+Q10+O10+M10+K10+I10+AS10+G10+AU10</f>
        <v>2000</v>
      </c>
      <c r="AX10" s="45">
        <v>93.17</v>
      </c>
      <c r="AY10" s="45">
        <f t="shared" ref="AY10:AY44" si="1">+AW10*AX10</f>
        <v>186340</v>
      </c>
      <c r="AZ10" s="32"/>
    </row>
    <row r="11" spans="1:52" s="37" customFormat="1" ht="13.8" x14ac:dyDescent="0.3">
      <c r="A11" s="44">
        <v>2</v>
      </c>
      <c r="B11" s="30"/>
      <c r="C11" s="55" t="s">
        <v>60</v>
      </c>
      <c r="D11" s="55" t="s">
        <v>61</v>
      </c>
      <c r="E11" s="51" t="s">
        <v>154</v>
      </c>
      <c r="F11" s="30" t="s">
        <v>62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52">
        <v>5000</v>
      </c>
      <c r="T11" s="45">
        <f t="shared" ref="T11:T44" si="2">+S11*AX11</f>
        <v>1700000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53"/>
      <c r="AO11" s="30"/>
      <c r="AP11" s="30"/>
      <c r="AQ11" s="30"/>
      <c r="AR11" s="53"/>
      <c r="AS11" s="54"/>
      <c r="AT11" s="30"/>
      <c r="AU11" s="54"/>
      <c r="AV11" s="30"/>
      <c r="AW11" s="31">
        <f t="shared" si="0"/>
        <v>5000</v>
      </c>
      <c r="AX11" s="53">
        <v>340</v>
      </c>
      <c r="AY11" s="45">
        <f t="shared" si="1"/>
        <v>1700000</v>
      </c>
      <c r="AZ11" s="32"/>
    </row>
    <row r="12" spans="1:52" s="37" customFormat="1" ht="13.8" x14ac:dyDescent="0.3">
      <c r="A12" s="44">
        <v>3</v>
      </c>
      <c r="B12" s="30"/>
      <c r="C12" s="55" t="s">
        <v>60</v>
      </c>
      <c r="D12" s="55" t="s">
        <v>61</v>
      </c>
      <c r="E12" s="51" t="s">
        <v>66</v>
      </c>
      <c r="F12" s="30" t="s">
        <v>64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52">
        <v>100000</v>
      </c>
      <c r="T12" s="45">
        <f t="shared" si="2"/>
        <v>2800000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53"/>
      <c r="AO12" s="30"/>
      <c r="AP12" s="30"/>
      <c r="AQ12" s="30"/>
      <c r="AR12" s="53"/>
      <c r="AS12" s="54"/>
      <c r="AT12" s="30"/>
      <c r="AU12" s="54"/>
      <c r="AV12" s="30"/>
      <c r="AW12" s="31">
        <f t="shared" si="0"/>
        <v>100000</v>
      </c>
      <c r="AX12" s="53">
        <v>28</v>
      </c>
      <c r="AY12" s="45">
        <f t="shared" si="1"/>
        <v>2800000</v>
      </c>
      <c r="AZ12" s="32"/>
    </row>
    <row r="13" spans="1:52" s="37" customFormat="1" ht="13.8" x14ac:dyDescent="0.3">
      <c r="A13" s="44">
        <v>4</v>
      </c>
      <c r="B13" s="30"/>
      <c r="C13" s="55" t="s">
        <v>60</v>
      </c>
      <c r="D13" s="55" t="s">
        <v>61</v>
      </c>
      <c r="E13" s="51" t="s">
        <v>67</v>
      </c>
      <c r="F13" s="30" t="s">
        <v>62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52">
        <v>3100</v>
      </c>
      <c r="T13" s="45">
        <f t="shared" si="2"/>
        <v>651000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53"/>
      <c r="AO13" s="30"/>
      <c r="AP13" s="30"/>
      <c r="AQ13" s="30"/>
      <c r="AR13" s="53"/>
      <c r="AS13" s="54"/>
      <c r="AT13" s="30"/>
      <c r="AU13" s="54"/>
      <c r="AV13" s="30"/>
      <c r="AW13" s="31">
        <f t="shared" si="0"/>
        <v>3100</v>
      </c>
      <c r="AX13" s="53">
        <v>210</v>
      </c>
      <c r="AY13" s="45">
        <f t="shared" si="1"/>
        <v>651000</v>
      </c>
      <c r="AZ13" s="32"/>
    </row>
    <row r="14" spans="1:52" s="37" customFormat="1" ht="13.8" x14ac:dyDescent="0.3">
      <c r="A14" s="44">
        <v>5</v>
      </c>
      <c r="B14" s="30"/>
      <c r="C14" s="55" t="s">
        <v>60</v>
      </c>
      <c r="D14" s="55" t="s">
        <v>61</v>
      </c>
      <c r="E14" s="51" t="s">
        <v>68</v>
      </c>
      <c r="F14" s="30" t="s">
        <v>63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52">
        <v>4000</v>
      </c>
      <c r="T14" s="45">
        <f t="shared" si="2"/>
        <v>520000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53"/>
      <c r="AO14" s="30"/>
      <c r="AP14" s="30"/>
      <c r="AQ14" s="30"/>
      <c r="AR14" s="53"/>
      <c r="AS14" s="54"/>
      <c r="AT14" s="30"/>
      <c r="AU14" s="54"/>
      <c r="AV14" s="30"/>
      <c r="AW14" s="31">
        <f t="shared" si="0"/>
        <v>4000</v>
      </c>
      <c r="AX14" s="53">
        <v>130</v>
      </c>
      <c r="AY14" s="45">
        <f t="shared" si="1"/>
        <v>520000</v>
      </c>
      <c r="AZ14" s="32"/>
    </row>
    <row r="15" spans="1:52" s="37" customFormat="1" ht="13.8" x14ac:dyDescent="0.3">
      <c r="A15" s="44">
        <v>6</v>
      </c>
      <c r="B15" s="30"/>
      <c r="C15" s="55" t="s">
        <v>60</v>
      </c>
      <c r="D15" s="55" t="s">
        <v>61</v>
      </c>
      <c r="E15" s="51" t="s">
        <v>156</v>
      </c>
      <c r="F15" s="30" t="s">
        <v>62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52">
        <v>1000</v>
      </c>
      <c r="T15" s="45">
        <f t="shared" si="2"/>
        <v>213000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53"/>
      <c r="AO15" s="30"/>
      <c r="AP15" s="30"/>
      <c r="AQ15" s="30"/>
      <c r="AR15" s="53"/>
      <c r="AS15" s="54"/>
      <c r="AT15" s="30"/>
      <c r="AU15" s="54"/>
      <c r="AV15" s="30"/>
      <c r="AW15" s="31">
        <f t="shared" si="0"/>
        <v>1000</v>
      </c>
      <c r="AX15" s="53">
        <v>213</v>
      </c>
      <c r="AY15" s="45">
        <f t="shared" si="1"/>
        <v>213000</v>
      </c>
      <c r="AZ15" s="32"/>
    </row>
    <row r="16" spans="1:52" s="37" customFormat="1" ht="13.8" x14ac:dyDescent="0.3">
      <c r="A16" s="44">
        <v>7</v>
      </c>
      <c r="B16" s="30"/>
      <c r="C16" s="55" t="s">
        <v>60</v>
      </c>
      <c r="D16" s="55" t="s">
        <v>61</v>
      </c>
      <c r="E16" s="51" t="s">
        <v>69</v>
      </c>
      <c r="F16" s="30" t="s">
        <v>64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52">
        <v>15000</v>
      </c>
      <c r="T16" s="45">
        <f t="shared" si="2"/>
        <v>468750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53"/>
      <c r="AO16" s="30"/>
      <c r="AP16" s="30"/>
      <c r="AQ16" s="30"/>
      <c r="AR16" s="53"/>
      <c r="AS16" s="54"/>
      <c r="AT16" s="30"/>
      <c r="AU16" s="54"/>
      <c r="AV16" s="30"/>
      <c r="AW16" s="31">
        <f t="shared" si="0"/>
        <v>15000</v>
      </c>
      <c r="AX16" s="53">
        <v>31.25</v>
      </c>
      <c r="AY16" s="45">
        <f t="shared" si="1"/>
        <v>468750</v>
      </c>
      <c r="AZ16" s="32"/>
    </row>
    <row r="17" spans="1:52" s="37" customFormat="1" ht="27.6" x14ac:dyDescent="0.3">
      <c r="A17" s="44">
        <v>8</v>
      </c>
      <c r="B17" s="30"/>
      <c r="C17" s="55" t="s">
        <v>60</v>
      </c>
      <c r="D17" s="55" t="s">
        <v>61</v>
      </c>
      <c r="E17" s="51" t="s">
        <v>70</v>
      </c>
      <c r="F17" s="30" t="s">
        <v>63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52">
        <v>200</v>
      </c>
      <c r="T17" s="45">
        <f t="shared" si="2"/>
        <v>224000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53"/>
      <c r="AO17" s="30"/>
      <c r="AP17" s="30"/>
      <c r="AQ17" s="30"/>
      <c r="AR17" s="53"/>
      <c r="AS17" s="54"/>
      <c r="AT17" s="30"/>
      <c r="AU17" s="54"/>
      <c r="AV17" s="30"/>
      <c r="AW17" s="31">
        <f t="shared" si="0"/>
        <v>200</v>
      </c>
      <c r="AX17" s="53">
        <v>1120</v>
      </c>
      <c r="AY17" s="45">
        <f t="shared" si="1"/>
        <v>224000</v>
      </c>
      <c r="AZ17" s="32"/>
    </row>
    <row r="18" spans="1:52" s="37" customFormat="1" ht="13.8" x14ac:dyDescent="0.3">
      <c r="A18" s="44">
        <v>9</v>
      </c>
      <c r="B18" s="30"/>
      <c r="C18" s="55" t="s">
        <v>60</v>
      </c>
      <c r="D18" s="55" t="s">
        <v>61</v>
      </c>
      <c r="E18" s="51" t="s">
        <v>71</v>
      </c>
      <c r="F18" s="30" t="s">
        <v>63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52">
        <v>3000</v>
      </c>
      <c r="T18" s="45">
        <f t="shared" si="2"/>
        <v>435000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53"/>
      <c r="AO18" s="30"/>
      <c r="AP18" s="30"/>
      <c r="AQ18" s="30"/>
      <c r="AR18" s="53"/>
      <c r="AS18" s="54"/>
      <c r="AT18" s="30"/>
      <c r="AU18" s="54"/>
      <c r="AV18" s="30"/>
      <c r="AW18" s="31">
        <f t="shared" si="0"/>
        <v>3000</v>
      </c>
      <c r="AX18" s="53">
        <v>145</v>
      </c>
      <c r="AY18" s="45">
        <f t="shared" si="1"/>
        <v>435000</v>
      </c>
      <c r="AZ18" s="32"/>
    </row>
    <row r="19" spans="1:52" s="37" customFormat="1" ht="13.8" x14ac:dyDescent="0.3">
      <c r="A19" s="44">
        <v>10</v>
      </c>
      <c r="B19" s="30"/>
      <c r="C19" s="55" t="s">
        <v>60</v>
      </c>
      <c r="D19" s="55" t="s">
        <v>61</v>
      </c>
      <c r="E19" s="51" t="s">
        <v>72</v>
      </c>
      <c r="F19" s="30" t="s">
        <v>63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52">
        <v>4000</v>
      </c>
      <c r="T19" s="45">
        <f t="shared" si="2"/>
        <v>460000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53"/>
      <c r="AO19" s="30"/>
      <c r="AP19" s="30"/>
      <c r="AQ19" s="30"/>
      <c r="AR19" s="53"/>
      <c r="AS19" s="54"/>
      <c r="AT19" s="30"/>
      <c r="AU19" s="54"/>
      <c r="AV19" s="30"/>
      <c r="AW19" s="31">
        <f t="shared" si="0"/>
        <v>4000</v>
      </c>
      <c r="AX19" s="53">
        <v>115</v>
      </c>
      <c r="AY19" s="45">
        <f t="shared" si="1"/>
        <v>460000</v>
      </c>
      <c r="AZ19" s="32"/>
    </row>
    <row r="20" spans="1:52" s="37" customFormat="1" ht="13.8" x14ac:dyDescent="0.3">
      <c r="A20" s="44">
        <v>11</v>
      </c>
      <c r="B20" s="30"/>
      <c r="C20" s="55" t="s">
        <v>60</v>
      </c>
      <c r="D20" s="55" t="s">
        <v>61</v>
      </c>
      <c r="E20" s="51" t="s">
        <v>73</v>
      </c>
      <c r="F20" s="30" t="s">
        <v>64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52">
        <v>50000</v>
      </c>
      <c r="T20" s="45">
        <f t="shared" si="2"/>
        <v>550000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53"/>
      <c r="AO20" s="30"/>
      <c r="AP20" s="30"/>
      <c r="AQ20" s="30"/>
      <c r="AR20" s="53"/>
      <c r="AS20" s="54"/>
      <c r="AT20" s="30"/>
      <c r="AU20" s="54"/>
      <c r="AV20" s="30"/>
      <c r="AW20" s="31">
        <f t="shared" si="0"/>
        <v>50000</v>
      </c>
      <c r="AX20" s="53">
        <v>11</v>
      </c>
      <c r="AY20" s="53">
        <f t="shared" si="1"/>
        <v>550000</v>
      </c>
      <c r="AZ20" s="32"/>
    </row>
    <row r="21" spans="1:52" s="37" customFormat="1" ht="13.8" x14ac:dyDescent="0.3">
      <c r="A21" s="44">
        <v>12</v>
      </c>
      <c r="B21" s="30"/>
      <c r="C21" s="55" t="s">
        <v>60</v>
      </c>
      <c r="D21" s="55" t="s">
        <v>61</v>
      </c>
      <c r="E21" s="51" t="s">
        <v>74</v>
      </c>
      <c r="F21" s="30" t="s">
        <v>64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52">
        <v>15000</v>
      </c>
      <c r="T21" s="45">
        <f t="shared" si="2"/>
        <v>630000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53"/>
      <c r="AO21" s="30"/>
      <c r="AP21" s="30"/>
      <c r="AQ21" s="30"/>
      <c r="AR21" s="53"/>
      <c r="AS21" s="54"/>
      <c r="AT21" s="30"/>
      <c r="AU21" s="54"/>
      <c r="AV21" s="30"/>
      <c r="AW21" s="31">
        <f t="shared" si="0"/>
        <v>15000</v>
      </c>
      <c r="AX21" s="53">
        <v>42</v>
      </c>
      <c r="AY21" s="53">
        <f t="shared" si="1"/>
        <v>630000</v>
      </c>
      <c r="AZ21" s="32"/>
    </row>
    <row r="22" spans="1:52" s="37" customFormat="1" ht="13.8" x14ac:dyDescent="0.3">
      <c r="A22" s="44">
        <v>13</v>
      </c>
      <c r="B22" s="30"/>
      <c r="C22" s="55" t="s">
        <v>60</v>
      </c>
      <c r="D22" s="55" t="s">
        <v>61</v>
      </c>
      <c r="E22" s="51" t="s">
        <v>75</v>
      </c>
      <c r="F22" s="30" t="s">
        <v>63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52">
        <v>300</v>
      </c>
      <c r="T22" s="45">
        <f t="shared" si="2"/>
        <v>247500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53"/>
      <c r="AO22" s="30"/>
      <c r="AP22" s="30"/>
      <c r="AQ22" s="30"/>
      <c r="AR22" s="53"/>
      <c r="AS22" s="54"/>
      <c r="AT22" s="30"/>
      <c r="AU22" s="54"/>
      <c r="AV22" s="30"/>
      <c r="AW22" s="31">
        <f t="shared" si="0"/>
        <v>300</v>
      </c>
      <c r="AX22" s="53">
        <v>825</v>
      </c>
      <c r="AY22" s="53">
        <f t="shared" si="1"/>
        <v>247500</v>
      </c>
      <c r="AZ22" s="32"/>
    </row>
    <row r="23" spans="1:52" s="37" customFormat="1" ht="13.8" x14ac:dyDescent="0.3">
      <c r="A23" s="44">
        <v>14</v>
      </c>
      <c r="B23" s="30"/>
      <c r="C23" s="55" t="s">
        <v>60</v>
      </c>
      <c r="D23" s="55" t="s">
        <v>61</v>
      </c>
      <c r="E23" s="51" t="s">
        <v>76</v>
      </c>
      <c r="F23" s="30" t="s">
        <v>63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52">
        <v>1000</v>
      </c>
      <c r="T23" s="45">
        <f t="shared" si="2"/>
        <v>451000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53"/>
      <c r="AO23" s="30"/>
      <c r="AP23" s="30"/>
      <c r="AQ23" s="30"/>
      <c r="AR23" s="53"/>
      <c r="AS23" s="54"/>
      <c r="AT23" s="30"/>
      <c r="AU23" s="54"/>
      <c r="AV23" s="30"/>
      <c r="AW23" s="31">
        <f t="shared" si="0"/>
        <v>1000</v>
      </c>
      <c r="AX23" s="53">
        <v>451</v>
      </c>
      <c r="AY23" s="53">
        <f t="shared" si="1"/>
        <v>451000</v>
      </c>
      <c r="AZ23" s="32"/>
    </row>
    <row r="24" spans="1:52" s="37" customFormat="1" ht="13.8" x14ac:dyDescent="0.3">
      <c r="A24" s="44">
        <v>15</v>
      </c>
      <c r="B24" s="30"/>
      <c r="C24" s="55" t="s">
        <v>60</v>
      </c>
      <c r="D24" s="55" t="s">
        <v>61</v>
      </c>
      <c r="E24" s="51" t="s">
        <v>77</v>
      </c>
      <c r="F24" s="30" t="s">
        <v>64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52">
        <v>100000</v>
      </c>
      <c r="T24" s="45">
        <f t="shared" si="2"/>
        <v>254999.99999999997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53"/>
      <c r="AO24" s="30"/>
      <c r="AP24" s="30"/>
      <c r="AQ24" s="30"/>
      <c r="AR24" s="53"/>
      <c r="AS24" s="54"/>
      <c r="AT24" s="30"/>
      <c r="AU24" s="54"/>
      <c r="AV24" s="30"/>
      <c r="AW24" s="31">
        <f t="shared" si="0"/>
        <v>100000</v>
      </c>
      <c r="AX24" s="53">
        <v>2.5499999999999998</v>
      </c>
      <c r="AY24" s="53">
        <f t="shared" si="1"/>
        <v>254999.99999999997</v>
      </c>
      <c r="AZ24" s="32"/>
    </row>
    <row r="25" spans="1:52" s="37" customFormat="1" ht="13.8" x14ac:dyDescent="0.3">
      <c r="A25" s="44">
        <v>16</v>
      </c>
      <c r="B25" s="30"/>
      <c r="C25" s="55" t="s">
        <v>60</v>
      </c>
      <c r="D25" s="55" t="s">
        <v>61</v>
      </c>
      <c r="E25" s="51" t="s">
        <v>78</v>
      </c>
      <c r="F25" s="30" t="s">
        <v>63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52">
        <v>30000</v>
      </c>
      <c r="T25" s="45">
        <f t="shared" si="2"/>
        <v>1350000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53"/>
      <c r="AO25" s="30"/>
      <c r="AP25" s="30"/>
      <c r="AQ25" s="30"/>
      <c r="AR25" s="53"/>
      <c r="AS25" s="54"/>
      <c r="AT25" s="30"/>
      <c r="AU25" s="54"/>
      <c r="AV25" s="30"/>
      <c r="AW25" s="31">
        <f t="shared" si="0"/>
        <v>30000</v>
      </c>
      <c r="AX25" s="53">
        <v>45</v>
      </c>
      <c r="AY25" s="53">
        <f t="shared" si="1"/>
        <v>1350000</v>
      </c>
      <c r="AZ25" s="32"/>
    </row>
    <row r="26" spans="1:52" s="37" customFormat="1" ht="13.8" x14ac:dyDescent="0.3">
      <c r="A26" s="44">
        <v>17</v>
      </c>
      <c r="B26" s="30"/>
      <c r="C26" s="55" t="s">
        <v>60</v>
      </c>
      <c r="D26" s="55" t="s">
        <v>61</v>
      </c>
      <c r="E26" s="51" t="s">
        <v>79</v>
      </c>
      <c r="F26" s="30" t="s">
        <v>63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52">
        <v>30000</v>
      </c>
      <c r="T26" s="45">
        <f t="shared" si="2"/>
        <v>1350000</v>
      </c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53"/>
      <c r="AO26" s="30"/>
      <c r="AP26" s="30"/>
      <c r="AQ26" s="30"/>
      <c r="AR26" s="53"/>
      <c r="AS26" s="54"/>
      <c r="AT26" s="30"/>
      <c r="AU26" s="54"/>
      <c r="AV26" s="30"/>
      <c r="AW26" s="31">
        <f t="shared" si="0"/>
        <v>30000</v>
      </c>
      <c r="AX26" s="53">
        <v>45</v>
      </c>
      <c r="AY26" s="53">
        <f t="shared" si="1"/>
        <v>1350000</v>
      </c>
      <c r="AZ26" s="32"/>
    </row>
    <row r="27" spans="1:52" s="37" customFormat="1" ht="13.8" x14ac:dyDescent="0.3">
      <c r="A27" s="44">
        <v>18</v>
      </c>
      <c r="B27" s="30"/>
      <c r="C27" s="55" t="s">
        <v>60</v>
      </c>
      <c r="D27" s="55" t="s">
        <v>61</v>
      </c>
      <c r="E27" s="51" t="s">
        <v>155</v>
      </c>
      <c r="F27" s="30" t="s">
        <v>62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52">
        <v>6000</v>
      </c>
      <c r="T27" s="45">
        <f t="shared" si="2"/>
        <v>720000</v>
      </c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53"/>
      <c r="AO27" s="30"/>
      <c r="AP27" s="30"/>
      <c r="AQ27" s="30"/>
      <c r="AR27" s="53"/>
      <c r="AS27" s="54"/>
      <c r="AT27" s="30"/>
      <c r="AU27" s="54"/>
      <c r="AV27" s="30"/>
      <c r="AW27" s="31">
        <f t="shared" si="0"/>
        <v>6000</v>
      </c>
      <c r="AX27" s="53">
        <v>120</v>
      </c>
      <c r="AY27" s="53">
        <f t="shared" si="1"/>
        <v>720000</v>
      </c>
      <c r="AZ27" s="32"/>
    </row>
    <row r="28" spans="1:52" s="37" customFormat="1" ht="13.8" x14ac:dyDescent="0.3">
      <c r="A28" s="44">
        <v>19</v>
      </c>
      <c r="B28" s="30"/>
      <c r="C28" s="55" t="s">
        <v>60</v>
      </c>
      <c r="D28" s="55" t="s">
        <v>61</v>
      </c>
      <c r="E28" s="51" t="s">
        <v>80</v>
      </c>
      <c r="F28" s="30" t="s">
        <v>63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52">
        <v>10000</v>
      </c>
      <c r="T28" s="45">
        <f t="shared" si="2"/>
        <v>2600000</v>
      </c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53"/>
      <c r="AO28" s="30"/>
      <c r="AP28" s="30"/>
      <c r="AQ28" s="30"/>
      <c r="AR28" s="53"/>
      <c r="AS28" s="54"/>
      <c r="AT28" s="30"/>
      <c r="AU28" s="54"/>
      <c r="AV28" s="30"/>
      <c r="AW28" s="31">
        <f t="shared" si="0"/>
        <v>10000</v>
      </c>
      <c r="AX28" s="53">
        <v>260</v>
      </c>
      <c r="AY28" s="53">
        <f t="shared" si="1"/>
        <v>2600000</v>
      </c>
      <c r="AZ28" s="32"/>
    </row>
    <row r="29" spans="1:52" s="37" customFormat="1" ht="13.8" x14ac:dyDescent="0.3">
      <c r="A29" s="44">
        <v>20</v>
      </c>
      <c r="B29" s="30"/>
      <c r="C29" s="55" t="s">
        <v>60</v>
      </c>
      <c r="D29" s="55" t="s">
        <v>61</v>
      </c>
      <c r="E29" s="51" t="s">
        <v>81</v>
      </c>
      <c r="F29" s="30" t="s">
        <v>82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52">
        <v>50</v>
      </c>
      <c r="T29" s="45">
        <f t="shared" si="2"/>
        <v>37500</v>
      </c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53"/>
      <c r="AO29" s="30"/>
      <c r="AP29" s="30"/>
      <c r="AQ29" s="30"/>
      <c r="AR29" s="53"/>
      <c r="AS29" s="54"/>
      <c r="AT29" s="30"/>
      <c r="AU29" s="54"/>
      <c r="AV29" s="30"/>
      <c r="AW29" s="31">
        <f t="shared" si="0"/>
        <v>50</v>
      </c>
      <c r="AX29" s="53">
        <v>750</v>
      </c>
      <c r="AY29" s="53">
        <f t="shared" si="1"/>
        <v>37500</v>
      </c>
      <c r="AZ29" s="32"/>
    </row>
    <row r="30" spans="1:52" s="37" customFormat="1" ht="13.8" x14ac:dyDescent="0.3">
      <c r="A30" s="44">
        <v>21</v>
      </c>
      <c r="B30" s="30"/>
      <c r="C30" s="55" t="s">
        <v>60</v>
      </c>
      <c r="D30" s="55" t="s">
        <v>61</v>
      </c>
      <c r="E30" s="51" t="s">
        <v>83</v>
      </c>
      <c r="F30" s="30" t="s">
        <v>62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52">
        <v>4000</v>
      </c>
      <c r="T30" s="45">
        <f t="shared" si="2"/>
        <v>340000</v>
      </c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53"/>
      <c r="AO30" s="30"/>
      <c r="AP30" s="30"/>
      <c r="AQ30" s="30"/>
      <c r="AR30" s="53"/>
      <c r="AS30" s="54"/>
      <c r="AT30" s="30"/>
      <c r="AU30" s="54"/>
      <c r="AV30" s="30"/>
      <c r="AW30" s="31">
        <f t="shared" si="0"/>
        <v>4000</v>
      </c>
      <c r="AX30" s="53">
        <v>85</v>
      </c>
      <c r="AY30" s="53">
        <f t="shared" si="1"/>
        <v>340000</v>
      </c>
      <c r="AZ30" s="32"/>
    </row>
    <row r="31" spans="1:52" s="37" customFormat="1" ht="13.8" x14ac:dyDescent="0.3">
      <c r="A31" s="44">
        <v>22</v>
      </c>
      <c r="B31" s="30"/>
      <c r="C31" s="55" t="s">
        <v>60</v>
      </c>
      <c r="D31" s="55" t="s">
        <v>61</v>
      </c>
      <c r="E31" s="51" t="s">
        <v>84</v>
      </c>
      <c r="F31" s="30" t="s">
        <v>64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52">
        <v>100000</v>
      </c>
      <c r="T31" s="45">
        <f t="shared" si="2"/>
        <v>480000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53"/>
      <c r="AO31" s="30"/>
      <c r="AP31" s="30"/>
      <c r="AQ31" s="30"/>
      <c r="AR31" s="53"/>
      <c r="AS31" s="54"/>
      <c r="AT31" s="30"/>
      <c r="AU31" s="54"/>
      <c r="AV31" s="30"/>
      <c r="AW31" s="31">
        <f t="shared" si="0"/>
        <v>100000</v>
      </c>
      <c r="AX31" s="53">
        <v>4.8</v>
      </c>
      <c r="AY31" s="53">
        <f t="shared" si="1"/>
        <v>480000</v>
      </c>
      <c r="AZ31" s="32"/>
    </row>
    <row r="32" spans="1:52" s="37" customFormat="1" ht="13.8" x14ac:dyDescent="0.3">
      <c r="A32" s="44">
        <v>23</v>
      </c>
      <c r="B32" s="30"/>
      <c r="C32" s="55" t="s">
        <v>60</v>
      </c>
      <c r="D32" s="55" t="s">
        <v>61</v>
      </c>
      <c r="E32" s="51" t="s">
        <v>85</v>
      </c>
      <c r="F32" s="30" t="s">
        <v>63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52">
        <v>1000</v>
      </c>
      <c r="T32" s="45">
        <f t="shared" si="2"/>
        <v>1950000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53"/>
      <c r="AO32" s="30"/>
      <c r="AP32" s="30"/>
      <c r="AQ32" s="30"/>
      <c r="AR32" s="53"/>
      <c r="AS32" s="54"/>
      <c r="AT32" s="30"/>
      <c r="AU32" s="54"/>
      <c r="AV32" s="30"/>
      <c r="AW32" s="31">
        <f t="shared" si="0"/>
        <v>1000</v>
      </c>
      <c r="AX32" s="53">
        <v>1950</v>
      </c>
      <c r="AY32" s="53">
        <f t="shared" si="1"/>
        <v>1950000</v>
      </c>
      <c r="AZ32" s="32"/>
    </row>
    <row r="33" spans="1:52" s="37" customFormat="1" ht="13.8" x14ac:dyDescent="0.3">
      <c r="A33" s="44">
        <v>24</v>
      </c>
      <c r="B33" s="30"/>
      <c r="C33" s="55" t="s">
        <v>60</v>
      </c>
      <c r="D33" s="55" t="s">
        <v>61</v>
      </c>
      <c r="E33" s="51" t="s">
        <v>86</v>
      </c>
      <c r="F33" s="30" t="s">
        <v>64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52">
        <v>50000</v>
      </c>
      <c r="T33" s="45">
        <f t="shared" si="2"/>
        <v>165000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53"/>
      <c r="AO33" s="30"/>
      <c r="AP33" s="30"/>
      <c r="AQ33" s="30"/>
      <c r="AR33" s="53"/>
      <c r="AS33" s="54"/>
      <c r="AT33" s="30"/>
      <c r="AU33" s="54"/>
      <c r="AV33" s="30"/>
      <c r="AW33" s="31">
        <f t="shared" si="0"/>
        <v>50000</v>
      </c>
      <c r="AX33" s="53">
        <v>3.3</v>
      </c>
      <c r="AY33" s="53">
        <f t="shared" si="1"/>
        <v>165000</v>
      </c>
      <c r="AZ33" s="32"/>
    </row>
    <row r="34" spans="1:52" s="37" customFormat="1" ht="13.8" x14ac:dyDescent="0.3">
      <c r="A34" s="44">
        <v>25</v>
      </c>
      <c r="B34" s="30"/>
      <c r="C34" s="55" t="s">
        <v>60</v>
      </c>
      <c r="D34" s="55" t="s">
        <v>61</v>
      </c>
      <c r="E34" s="51" t="s">
        <v>87</v>
      </c>
      <c r="F34" s="30" t="s">
        <v>63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52">
        <v>5000</v>
      </c>
      <c r="T34" s="45">
        <f t="shared" si="2"/>
        <v>275000</v>
      </c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53"/>
      <c r="AO34" s="30"/>
      <c r="AP34" s="30"/>
      <c r="AQ34" s="30"/>
      <c r="AR34" s="53"/>
      <c r="AS34" s="54"/>
      <c r="AT34" s="30"/>
      <c r="AU34" s="54"/>
      <c r="AV34" s="30"/>
      <c r="AW34" s="31">
        <f t="shared" si="0"/>
        <v>5000</v>
      </c>
      <c r="AX34" s="53">
        <v>55</v>
      </c>
      <c r="AY34" s="53">
        <f t="shared" si="1"/>
        <v>275000</v>
      </c>
      <c r="AZ34" s="32"/>
    </row>
    <row r="35" spans="1:52" s="37" customFormat="1" ht="13.8" x14ac:dyDescent="0.3">
      <c r="A35" s="44">
        <v>26</v>
      </c>
      <c r="B35" s="30"/>
      <c r="C35" s="55" t="s">
        <v>60</v>
      </c>
      <c r="D35" s="55" t="s">
        <v>61</v>
      </c>
      <c r="E35" s="51" t="s">
        <v>88</v>
      </c>
      <c r="F35" s="30" t="s">
        <v>82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52">
        <v>20</v>
      </c>
      <c r="T35" s="45">
        <f t="shared" si="2"/>
        <v>12800</v>
      </c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53"/>
      <c r="AO35" s="30"/>
      <c r="AP35" s="30"/>
      <c r="AQ35" s="30"/>
      <c r="AR35" s="53"/>
      <c r="AS35" s="54"/>
      <c r="AT35" s="30"/>
      <c r="AU35" s="54"/>
      <c r="AV35" s="30"/>
      <c r="AW35" s="31">
        <f t="shared" si="0"/>
        <v>20</v>
      </c>
      <c r="AX35" s="53">
        <v>640</v>
      </c>
      <c r="AY35" s="53">
        <f t="shared" si="1"/>
        <v>12800</v>
      </c>
      <c r="AZ35" s="32"/>
    </row>
    <row r="36" spans="1:52" s="37" customFormat="1" ht="13.8" x14ac:dyDescent="0.3">
      <c r="A36" s="44">
        <v>27</v>
      </c>
      <c r="B36" s="30"/>
      <c r="C36" s="55" t="s">
        <v>60</v>
      </c>
      <c r="D36" s="55" t="s">
        <v>61</v>
      </c>
      <c r="E36" s="51" t="s">
        <v>89</v>
      </c>
      <c r="F36" s="30" t="s">
        <v>82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52">
        <v>1000</v>
      </c>
      <c r="T36" s="45">
        <f t="shared" si="2"/>
        <v>110000</v>
      </c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53"/>
      <c r="AO36" s="30"/>
      <c r="AP36" s="30"/>
      <c r="AQ36" s="30"/>
      <c r="AR36" s="53"/>
      <c r="AS36" s="54"/>
      <c r="AT36" s="30"/>
      <c r="AU36" s="54"/>
      <c r="AV36" s="30"/>
      <c r="AW36" s="31">
        <f t="shared" si="0"/>
        <v>1000</v>
      </c>
      <c r="AX36" s="53">
        <v>110</v>
      </c>
      <c r="AY36" s="53">
        <f t="shared" si="1"/>
        <v>110000</v>
      </c>
      <c r="AZ36" s="32"/>
    </row>
    <row r="37" spans="1:52" s="37" customFormat="1" ht="13.8" x14ac:dyDescent="0.3">
      <c r="A37" s="44">
        <v>28</v>
      </c>
      <c r="B37" s="30"/>
      <c r="C37" s="55" t="s">
        <v>60</v>
      </c>
      <c r="D37" s="55" t="s">
        <v>61</v>
      </c>
      <c r="E37" s="51" t="s">
        <v>90</v>
      </c>
      <c r="F37" s="30" t="s">
        <v>63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52">
        <v>100</v>
      </c>
      <c r="T37" s="45">
        <f t="shared" si="2"/>
        <v>98000</v>
      </c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53"/>
      <c r="AO37" s="30"/>
      <c r="AP37" s="30"/>
      <c r="AQ37" s="30"/>
      <c r="AR37" s="53"/>
      <c r="AS37" s="54"/>
      <c r="AT37" s="30"/>
      <c r="AU37" s="54"/>
      <c r="AV37" s="30"/>
      <c r="AW37" s="31">
        <f t="shared" ref="AW37:AW44" si="3">+AQ37+AO37+AM37+AK37+AI37+AG37+AE37+AC37+AA37+Y37+W37+U37+S37+Q37+O37+M37+K37+I37+AS37+G37+AU37</f>
        <v>100</v>
      </c>
      <c r="AX37" s="53">
        <v>980</v>
      </c>
      <c r="AY37" s="53">
        <f t="shared" si="1"/>
        <v>98000</v>
      </c>
      <c r="AZ37" s="32"/>
    </row>
    <row r="38" spans="1:52" s="37" customFormat="1" ht="13.8" x14ac:dyDescent="0.3">
      <c r="A38" s="44">
        <v>29</v>
      </c>
      <c r="B38" s="30"/>
      <c r="C38" s="55" t="s">
        <v>60</v>
      </c>
      <c r="D38" s="55" t="s">
        <v>61</v>
      </c>
      <c r="E38" s="51" t="s">
        <v>91</v>
      </c>
      <c r="F38" s="30" t="s">
        <v>62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52">
        <v>5000</v>
      </c>
      <c r="T38" s="45">
        <f t="shared" si="2"/>
        <v>825000</v>
      </c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53"/>
      <c r="AO38" s="30"/>
      <c r="AP38" s="30"/>
      <c r="AQ38" s="30"/>
      <c r="AR38" s="53"/>
      <c r="AS38" s="54"/>
      <c r="AT38" s="30"/>
      <c r="AU38" s="54"/>
      <c r="AV38" s="30"/>
      <c r="AW38" s="31">
        <f t="shared" si="3"/>
        <v>5000</v>
      </c>
      <c r="AX38" s="53">
        <v>165</v>
      </c>
      <c r="AY38" s="53">
        <f t="shared" si="1"/>
        <v>825000</v>
      </c>
      <c r="AZ38" s="32"/>
    </row>
    <row r="39" spans="1:52" s="37" customFormat="1" ht="13.8" x14ac:dyDescent="0.3">
      <c r="A39" s="44">
        <v>30</v>
      </c>
      <c r="B39" s="30"/>
      <c r="C39" s="55" t="s">
        <v>60</v>
      </c>
      <c r="D39" s="55" t="s">
        <v>61</v>
      </c>
      <c r="E39" s="51" t="s">
        <v>92</v>
      </c>
      <c r="F39" s="30" t="s">
        <v>64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52">
        <v>50000</v>
      </c>
      <c r="T39" s="45">
        <f t="shared" si="2"/>
        <v>265000</v>
      </c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53"/>
      <c r="AO39" s="30"/>
      <c r="AP39" s="30"/>
      <c r="AQ39" s="30"/>
      <c r="AR39" s="53"/>
      <c r="AS39" s="54"/>
      <c r="AT39" s="30"/>
      <c r="AU39" s="54"/>
      <c r="AV39" s="30"/>
      <c r="AW39" s="31">
        <f t="shared" si="3"/>
        <v>50000</v>
      </c>
      <c r="AX39" s="53">
        <v>5.3</v>
      </c>
      <c r="AY39" s="53">
        <f t="shared" si="1"/>
        <v>265000</v>
      </c>
      <c r="AZ39" s="32"/>
    </row>
    <row r="40" spans="1:52" s="37" customFormat="1" ht="13.8" x14ac:dyDescent="0.3">
      <c r="A40" s="44">
        <v>31</v>
      </c>
      <c r="B40" s="30"/>
      <c r="C40" s="55" t="s">
        <v>60</v>
      </c>
      <c r="D40" s="55" t="s">
        <v>61</v>
      </c>
      <c r="E40" s="51" t="s">
        <v>93</v>
      </c>
      <c r="F40" s="30" t="s">
        <v>82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52">
        <v>3000</v>
      </c>
      <c r="T40" s="45">
        <f t="shared" si="2"/>
        <v>990000</v>
      </c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53"/>
      <c r="AO40" s="30"/>
      <c r="AP40" s="30"/>
      <c r="AQ40" s="30"/>
      <c r="AR40" s="53"/>
      <c r="AS40" s="54"/>
      <c r="AT40" s="30"/>
      <c r="AU40" s="54"/>
      <c r="AV40" s="30"/>
      <c r="AW40" s="31">
        <f t="shared" si="3"/>
        <v>3000</v>
      </c>
      <c r="AX40" s="53">
        <v>330</v>
      </c>
      <c r="AY40" s="53">
        <f t="shared" si="1"/>
        <v>990000</v>
      </c>
      <c r="AZ40" s="32"/>
    </row>
    <row r="41" spans="1:52" s="37" customFormat="1" ht="13.8" x14ac:dyDescent="0.3">
      <c r="A41" s="44">
        <v>32</v>
      </c>
      <c r="B41" s="30"/>
      <c r="C41" s="55" t="s">
        <v>60</v>
      </c>
      <c r="D41" s="55" t="s">
        <v>61</v>
      </c>
      <c r="E41" s="51" t="s">
        <v>94</v>
      </c>
      <c r="F41" s="30" t="s">
        <v>63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52">
        <v>2000</v>
      </c>
      <c r="T41" s="45">
        <f t="shared" si="2"/>
        <v>1260000</v>
      </c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53"/>
      <c r="AO41" s="30"/>
      <c r="AP41" s="30"/>
      <c r="AQ41" s="30"/>
      <c r="AR41" s="53"/>
      <c r="AS41" s="54"/>
      <c r="AT41" s="30"/>
      <c r="AU41" s="54"/>
      <c r="AV41" s="30"/>
      <c r="AW41" s="31">
        <f t="shared" si="3"/>
        <v>2000</v>
      </c>
      <c r="AX41" s="53">
        <v>630</v>
      </c>
      <c r="AY41" s="53">
        <f t="shared" si="1"/>
        <v>1260000</v>
      </c>
      <c r="AZ41" s="32"/>
    </row>
    <row r="42" spans="1:52" s="37" customFormat="1" ht="13.8" x14ac:dyDescent="0.3">
      <c r="A42" s="44">
        <v>33</v>
      </c>
      <c r="B42" s="30"/>
      <c r="C42" s="55" t="s">
        <v>60</v>
      </c>
      <c r="D42" s="55" t="s">
        <v>61</v>
      </c>
      <c r="E42" s="51" t="s">
        <v>95</v>
      </c>
      <c r="F42" s="30" t="s">
        <v>63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52">
        <v>500</v>
      </c>
      <c r="T42" s="45">
        <f t="shared" si="2"/>
        <v>139500</v>
      </c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53"/>
      <c r="AO42" s="30"/>
      <c r="AP42" s="30"/>
      <c r="AQ42" s="30"/>
      <c r="AR42" s="53"/>
      <c r="AS42" s="54"/>
      <c r="AT42" s="30"/>
      <c r="AU42" s="54"/>
      <c r="AV42" s="30"/>
      <c r="AW42" s="31">
        <f t="shared" si="3"/>
        <v>500</v>
      </c>
      <c r="AX42" s="53">
        <v>279</v>
      </c>
      <c r="AY42" s="53">
        <f t="shared" si="1"/>
        <v>139500</v>
      </c>
      <c r="AZ42" s="32"/>
    </row>
    <row r="43" spans="1:52" s="37" customFormat="1" ht="13.8" x14ac:dyDescent="0.3">
      <c r="A43" s="44">
        <v>34</v>
      </c>
      <c r="B43" s="30"/>
      <c r="C43" s="55" t="s">
        <v>60</v>
      </c>
      <c r="D43" s="55" t="s">
        <v>61</v>
      </c>
      <c r="E43" s="51" t="s">
        <v>96</v>
      </c>
      <c r="F43" s="30" t="s">
        <v>63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52">
        <v>500</v>
      </c>
      <c r="T43" s="45">
        <f t="shared" si="2"/>
        <v>28000</v>
      </c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53"/>
      <c r="AO43" s="30"/>
      <c r="AP43" s="30"/>
      <c r="AQ43" s="30"/>
      <c r="AR43" s="53"/>
      <c r="AS43" s="54"/>
      <c r="AT43" s="30"/>
      <c r="AU43" s="54"/>
      <c r="AV43" s="30"/>
      <c r="AW43" s="31">
        <f t="shared" si="3"/>
        <v>500</v>
      </c>
      <c r="AX43" s="53">
        <v>56</v>
      </c>
      <c r="AY43" s="53">
        <f t="shared" si="1"/>
        <v>28000</v>
      </c>
      <c r="AZ43" s="32"/>
    </row>
    <row r="44" spans="1:52" s="37" customFormat="1" thickBot="1" x14ac:dyDescent="0.35">
      <c r="A44" s="44">
        <v>35</v>
      </c>
      <c r="B44" s="55"/>
      <c r="C44" s="55" t="s">
        <v>60</v>
      </c>
      <c r="D44" s="55" t="s">
        <v>61</v>
      </c>
      <c r="E44" s="56" t="s">
        <v>97</v>
      </c>
      <c r="F44" s="55" t="s">
        <v>63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7">
        <v>300</v>
      </c>
      <c r="T44" s="49">
        <f t="shared" si="2"/>
        <v>296400</v>
      </c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8"/>
      <c r="AO44" s="55"/>
      <c r="AP44" s="55"/>
      <c r="AQ44" s="55"/>
      <c r="AR44" s="58"/>
      <c r="AS44" s="59"/>
      <c r="AT44" s="55"/>
      <c r="AU44" s="59"/>
      <c r="AV44" s="55"/>
      <c r="AW44" s="33">
        <f t="shared" si="3"/>
        <v>300</v>
      </c>
      <c r="AX44" s="58">
        <v>988</v>
      </c>
      <c r="AY44" s="58">
        <f t="shared" si="1"/>
        <v>296400</v>
      </c>
      <c r="AZ44" s="32"/>
    </row>
    <row r="45" spans="1:52" s="43" customFormat="1" ht="43.5" customHeight="1" thickBot="1" x14ac:dyDescent="0.35">
      <c r="A45" s="41"/>
      <c r="B45" s="36"/>
      <c r="C45" s="36"/>
      <c r="D45" s="36"/>
      <c r="E45" s="35" t="s">
        <v>98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8"/>
      <c r="T45" s="39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9"/>
      <c r="AO45" s="36"/>
      <c r="AP45" s="36"/>
      <c r="AQ45" s="36"/>
      <c r="AR45" s="39"/>
      <c r="AS45" s="40"/>
      <c r="AT45" s="36"/>
      <c r="AU45" s="40"/>
      <c r="AV45" s="36"/>
      <c r="AW45" s="50"/>
      <c r="AX45" s="39"/>
      <c r="AY45" s="60">
        <f>+SUM(AY10:AY44)</f>
        <v>23083790</v>
      </c>
      <c r="AZ45" s="42"/>
    </row>
    <row r="46" spans="1:52" ht="15" thickBot="1" x14ac:dyDescent="0.35"/>
    <row r="47" spans="1:52" ht="149.25" customHeight="1" x14ac:dyDescent="0.3">
      <c r="C47" s="117" t="s">
        <v>136</v>
      </c>
      <c r="D47" s="162" t="s">
        <v>137</v>
      </c>
      <c r="E47" s="163"/>
    </row>
    <row r="48" spans="1:52" x14ac:dyDescent="0.3">
      <c r="C48" s="118"/>
      <c r="D48" s="119"/>
      <c r="E48" s="123"/>
    </row>
    <row r="49" spans="3:5" x14ac:dyDescent="0.3">
      <c r="C49" s="120" t="s">
        <v>138</v>
      </c>
      <c r="D49" s="156" t="s">
        <v>157</v>
      </c>
      <c r="E49" s="157"/>
    </row>
    <row r="50" spans="3:5" x14ac:dyDescent="0.3">
      <c r="C50" s="120"/>
      <c r="D50" s="119"/>
      <c r="E50" s="123"/>
    </row>
    <row r="51" spans="3:5" ht="27" customHeight="1" x14ac:dyDescent="0.3">
      <c r="C51" s="120" t="s">
        <v>139</v>
      </c>
      <c r="D51" s="156" t="s">
        <v>140</v>
      </c>
      <c r="E51" s="157"/>
    </row>
    <row r="52" spans="3:5" x14ac:dyDescent="0.3">
      <c r="C52" s="120"/>
      <c r="D52" s="119"/>
      <c r="E52" s="123"/>
    </row>
    <row r="53" spans="3:5" x14ac:dyDescent="0.3">
      <c r="C53" s="121" t="s">
        <v>141</v>
      </c>
      <c r="D53" s="124"/>
      <c r="E53" s="123"/>
    </row>
    <row r="54" spans="3:5" x14ac:dyDescent="0.3">
      <c r="C54" s="121"/>
      <c r="D54" s="124"/>
      <c r="E54" s="123"/>
    </row>
    <row r="55" spans="3:5" ht="15" thickBot="1" x14ac:dyDescent="0.35">
      <c r="C55" s="122" t="s">
        <v>142</v>
      </c>
      <c r="D55" s="158" t="s">
        <v>143</v>
      </c>
      <c r="E55" s="159"/>
    </row>
  </sheetData>
  <mergeCells count="9">
    <mergeCell ref="D51:E51"/>
    <mergeCell ref="D55:E55"/>
    <mergeCell ref="A7:B7"/>
    <mergeCell ref="A6:B6"/>
    <mergeCell ref="B2:AX2"/>
    <mergeCell ref="A4:B4"/>
    <mergeCell ref="A5:B5"/>
    <mergeCell ref="D47:E47"/>
    <mergeCell ref="D49:E49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49:C55">
    <cfRule type="duplicateValues" dxfId="3" priority="1"/>
  </conditionalFormatting>
  <conditionalFormatting sqref="C49:C55">
    <cfRule type="duplicateValues" dxfId="2" priority="2"/>
  </conditionalFormatting>
  <conditionalFormatting sqref="C49:C55">
    <cfRule type="duplicateValues" dxfId="1" priority="3"/>
  </conditionalFormatting>
  <conditionalFormatting sqref="C49:C55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25" workbookViewId="0">
      <selection activeCell="C17" sqref="C17:G17"/>
    </sheetView>
  </sheetViews>
  <sheetFormatPr baseColWidth="10" defaultRowHeight="14.4" x14ac:dyDescent="0.3"/>
  <cols>
    <col min="1" max="1" width="5.5546875" customWidth="1"/>
    <col min="2" max="2" width="15.109375" customWidth="1"/>
    <col min="3" max="3" width="14.109375" customWidth="1"/>
    <col min="4" max="4" width="26" customWidth="1"/>
    <col min="5" max="5" width="8" customWidth="1"/>
    <col min="6" max="6" width="7.88671875" customWidth="1"/>
    <col min="7" max="7" width="42" customWidth="1"/>
    <col min="8" max="8" width="9.33203125" customWidth="1"/>
    <col min="9" max="9" width="15.5546875" customWidth="1"/>
    <col min="10" max="10" width="14.6640625" style="149" customWidth="1"/>
    <col min="11" max="11" width="15.5546875" customWidth="1"/>
    <col min="13" max="13" width="15.5546875" style="150" bestFit="1" customWidth="1"/>
  </cols>
  <sheetData>
    <row r="1" spans="1:13" ht="30.6" thickBot="1" x14ac:dyDescent="0.35">
      <c r="A1" s="169" t="s">
        <v>99</v>
      </c>
      <c r="B1" s="169"/>
      <c r="C1" s="169"/>
      <c r="D1" s="169"/>
      <c r="E1" s="169"/>
      <c r="F1" s="169"/>
      <c r="G1" s="169"/>
      <c r="H1" s="169"/>
      <c r="I1" s="169"/>
      <c r="J1" s="142" t="s">
        <v>100</v>
      </c>
      <c r="K1" s="67" t="s">
        <v>148</v>
      </c>
    </row>
    <row r="2" spans="1:13" ht="16.2" thickBot="1" x14ac:dyDescent="0.35">
      <c r="A2" s="68"/>
      <c r="B2" s="69"/>
      <c r="C2" s="69"/>
      <c r="D2" s="70"/>
      <c r="E2" s="70"/>
      <c r="F2" s="70"/>
      <c r="G2" s="70"/>
      <c r="H2" s="70"/>
      <c r="I2" s="70"/>
      <c r="J2" s="143"/>
      <c r="K2" s="71"/>
    </row>
    <row r="3" spans="1:13" ht="16.2" thickBot="1" x14ac:dyDescent="0.35">
      <c r="A3" s="170" t="s">
        <v>101</v>
      </c>
      <c r="B3" s="170"/>
      <c r="C3" s="170"/>
      <c r="D3" s="168" t="str">
        <f>'SAF 011'!C4</f>
        <v>040 - MINISTERIO DE SALUD</v>
      </c>
      <c r="E3" s="168"/>
      <c r="F3" s="168"/>
      <c r="G3" s="168"/>
      <c r="H3" s="168"/>
      <c r="I3" s="168"/>
      <c r="J3" s="168"/>
      <c r="K3" s="168"/>
    </row>
    <row r="4" spans="1:13" ht="16.2" thickBot="1" x14ac:dyDescent="0.35">
      <c r="A4" s="167" t="s">
        <v>102</v>
      </c>
      <c r="B4" s="167"/>
      <c r="C4" s="167"/>
      <c r="D4" s="168" t="str">
        <f>'SAF 011'!C5</f>
        <v>011 - DIRECCION PROVINCIAL DE ADMINISTRACION - MINISTERIO DE SALUD</v>
      </c>
      <c r="E4" s="168"/>
      <c r="F4" s="168"/>
      <c r="G4" s="168"/>
      <c r="H4" s="168"/>
      <c r="I4" s="168"/>
      <c r="J4" s="168"/>
      <c r="K4" s="168"/>
    </row>
    <row r="5" spans="1:13" ht="16.2" thickBot="1" x14ac:dyDescent="0.35">
      <c r="A5" s="167" t="s">
        <v>103</v>
      </c>
      <c r="B5" s="167"/>
      <c r="C5" s="167"/>
      <c r="D5" s="168" t="s">
        <v>144</v>
      </c>
      <c r="E5" s="168"/>
      <c r="F5" s="168"/>
      <c r="G5" s="168"/>
      <c r="H5" s="168"/>
      <c r="I5" s="168"/>
      <c r="J5" s="168"/>
      <c r="K5" s="168"/>
    </row>
    <row r="6" spans="1:13" ht="16.2" thickBot="1" x14ac:dyDescent="0.35">
      <c r="A6" s="170" t="s">
        <v>104</v>
      </c>
      <c r="B6" s="170"/>
      <c r="C6" s="170"/>
      <c r="D6" s="168" t="s">
        <v>144</v>
      </c>
      <c r="E6" s="168"/>
      <c r="F6" s="168"/>
      <c r="G6" s="168"/>
      <c r="H6" s="168"/>
      <c r="I6" s="168"/>
      <c r="J6" s="168"/>
      <c r="K6" s="168"/>
    </row>
    <row r="7" spans="1:13" ht="16.2" thickBot="1" x14ac:dyDescent="0.35">
      <c r="A7" s="167" t="s">
        <v>105</v>
      </c>
      <c r="B7" s="167"/>
      <c r="C7" s="167"/>
      <c r="D7" s="168" t="s">
        <v>145</v>
      </c>
      <c r="E7" s="168"/>
      <c r="F7" s="168"/>
      <c r="G7" s="168"/>
      <c r="H7" s="168"/>
      <c r="I7" s="168"/>
      <c r="J7" s="168"/>
      <c r="K7" s="168"/>
    </row>
    <row r="8" spans="1:13" ht="40.5" customHeight="1" thickBot="1" x14ac:dyDescent="0.35">
      <c r="A8" s="171" t="s">
        <v>106</v>
      </c>
      <c r="B8" s="171"/>
      <c r="C8" s="171"/>
      <c r="D8" s="172" t="s">
        <v>149</v>
      </c>
      <c r="E8" s="172"/>
      <c r="F8" s="172"/>
      <c r="G8" s="172"/>
      <c r="H8" s="172"/>
      <c r="I8" s="172"/>
      <c r="J8" s="172"/>
      <c r="K8" s="172"/>
    </row>
    <row r="9" spans="1:13" ht="16.2" thickBot="1" x14ac:dyDescent="0.35">
      <c r="A9" s="72"/>
      <c r="B9" s="73"/>
      <c r="C9" s="73"/>
      <c r="D9" s="74"/>
      <c r="E9" s="74"/>
      <c r="F9" s="74"/>
      <c r="G9" s="74"/>
      <c r="H9" s="74"/>
      <c r="I9" s="74"/>
      <c r="J9" s="144"/>
      <c r="K9" s="75"/>
    </row>
    <row r="10" spans="1:13" ht="15" thickBot="1" x14ac:dyDescent="0.35">
      <c r="A10" s="173" t="s">
        <v>107</v>
      </c>
      <c r="B10" s="174" t="s">
        <v>108</v>
      </c>
      <c r="C10" s="174" t="s">
        <v>109</v>
      </c>
      <c r="D10" s="174"/>
      <c r="E10" s="174"/>
      <c r="F10" s="174"/>
      <c r="G10" s="174"/>
      <c r="H10" s="174" t="s">
        <v>110</v>
      </c>
      <c r="I10" s="174" t="s">
        <v>111</v>
      </c>
      <c r="J10" s="177" t="s">
        <v>112</v>
      </c>
      <c r="K10" s="175" t="s">
        <v>113</v>
      </c>
    </row>
    <row r="11" spans="1:13" ht="36.75" customHeight="1" thickBot="1" x14ac:dyDescent="0.35">
      <c r="A11" s="173"/>
      <c r="B11" s="174"/>
      <c r="C11" s="174"/>
      <c r="D11" s="174"/>
      <c r="E11" s="174"/>
      <c r="F11" s="174"/>
      <c r="G11" s="174"/>
      <c r="H11" s="174"/>
      <c r="I11" s="174"/>
      <c r="J11" s="177"/>
      <c r="K11" s="175"/>
    </row>
    <row r="12" spans="1:13" s="128" customFormat="1" x14ac:dyDescent="0.3">
      <c r="A12" s="129">
        <v>1</v>
      </c>
      <c r="B12" s="130"/>
      <c r="C12" s="176" t="str">
        <f>'SAF 011'!E10</f>
        <v>AMIKACINA 500 MG AMPOLLA</v>
      </c>
      <c r="D12" s="176"/>
      <c r="E12" s="176"/>
      <c r="F12" s="176"/>
      <c r="G12" s="176"/>
      <c r="H12" s="134" t="s">
        <v>150</v>
      </c>
      <c r="I12" s="135" t="str">
        <f>'SAF 011'!F10</f>
        <v>AMPOLLA</v>
      </c>
      <c r="J12" s="145">
        <f>'SAF 011'!AX10</f>
        <v>93.17</v>
      </c>
      <c r="K12" s="136">
        <f>'SAF 011'!S10</f>
        <v>2000</v>
      </c>
      <c r="M12" s="150">
        <f>+J12*K12</f>
        <v>186340</v>
      </c>
    </row>
    <row r="13" spans="1:13" s="128" customFormat="1" ht="16.5" customHeight="1" x14ac:dyDescent="0.3">
      <c r="A13" s="131">
        <v>2</v>
      </c>
      <c r="B13" s="132"/>
      <c r="C13" s="164" t="str">
        <f>'SAF 011'!E11</f>
        <v xml:space="preserve">AMOXICILINA  400 MG + ACIDO CLAVULANICO 57 MG  SUSPENSIÓN x 70 ML </v>
      </c>
      <c r="D13" s="165"/>
      <c r="E13" s="165"/>
      <c r="F13" s="165"/>
      <c r="G13" s="166"/>
      <c r="H13" s="137" t="s">
        <v>150</v>
      </c>
      <c r="I13" s="138" t="str">
        <f>'SAF 011'!F11</f>
        <v>FRASCO</v>
      </c>
      <c r="J13" s="146">
        <f>'SAF 011'!AX11</f>
        <v>340</v>
      </c>
      <c r="K13" s="139">
        <f>'SAF 011'!S11</f>
        <v>5000</v>
      </c>
      <c r="M13" s="150">
        <f t="shared" ref="M13:M46" si="0">+J13*K13</f>
        <v>1700000</v>
      </c>
    </row>
    <row r="14" spans="1:13" s="128" customFormat="1" ht="16.5" customHeight="1" x14ac:dyDescent="0.3">
      <c r="A14" s="131">
        <v>3</v>
      </c>
      <c r="B14" s="132"/>
      <c r="C14" s="164" t="str">
        <f>'SAF 011'!E12</f>
        <v>AMOXICILINA + CLAVULANICO 1 G COMPRIMIDO</v>
      </c>
      <c r="D14" s="165"/>
      <c r="E14" s="165"/>
      <c r="F14" s="165"/>
      <c r="G14" s="166"/>
      <c r="H14" s="137" t="s">
        <v>150</v>
      </c>
      <c r="I14" s="138" t="str">
        <f>'SAF 011'!F12</f>
        <v>COMPRIMIDO</v>
      </c>
      <c r="J14" s="146">
        <f>'SAF 011'!AX12</f>
        <v>28</v>
      </c>
      <c r="K14" s="139">
        <f>'SAF 011'!S12</f>
        <v>100000</v>
      </c>
      <c r="M14" s="150">
        <f t="shared" si="0"/>
        <v>2800000</v>
      </c>
    </row>
    <row r="15" spans="1:13" s="128" customFormat="1" ht="16.5" customHeight="1" x14ac:dyDescent="0.3">
      <c r="A15" s="131">
        <v>4</v>
      </c>
      <c r="B15" s="132"/>
      <c r="C15" s="164" t="str">
        <f>'SAF 011'!E13</f>
        <v>AMOXICILINA 500 MG SUSPENSIÓN X 90 ML</v>
      </c>
      <c r="D15" s="165"/>
      <c r="E15" s="165"/>
      <c r="F15" s="165"/>
      <c r="G15" s="166"/>
      <c r="H15" s="137" t="s">
        <v>150</v>
      </c>
      <c r="I15" s="138" t="str">
        <f>'SAF 011'!F13</f>
        <v>FRASCO</v>
      </c>
      <c r="J15" s="146">
        <f>'SAF 011'!AX13</f>
        <v>210</v>
      </c>
      <c r="K15" s="139">
        <f>'SAF 011'!S13</f>
        <v>3100</v>
      </c>
      <c r="M15" s="150">
        <f t="shared" si="0"/>
        <v>651000</v>
      </c>
    </row>
    <row r="16" spans="1:13" s="128" customFormat="1" ht="16.5" customHeight="1" x14ac:dyDescent="0.3">
      <c r="A16" s="131">
        <v>5</v>
      </c>
      <c r="B16" s="132"/>
      <c r="C16" s="164" t="str">
        <f>'SAF 011'!E14</f>
        <v>AMPICILINA 1G FCO AMPOLLA</v>
      </c>
      <c r="D16" s="165"/>
      <c r="E16" s="165"/>
      <c r="F16" s="165"/>
      <c r="G16" s="166"/>
      <c r="H16" s="137" t="s">
        <v>150</v>
      </c>
      <c r="I16" s="138" t="str">
        <f>'SAF 011'!F14</f>
        <v>AMPOLLA</v>
      </c>
      <c r="J16" s="146">
        <f>'SAF 011'!AX14</f>
        <v>130</v>
      </c>
      <c r="K16" s="139">
        <f>'SAF 011'!S14</f>
        <v>4000</v>
      </c>
      <c r="M16" s="150">
        <f t="shared" si="0"/>
        <v>520000</v>
      </c>
    </row>
    <row r="17" spans="1:13" s="128" customFormat="1" ht="16.5" customHeight="1" x14ac:dyDescent="0.3">
      <c r="A17" s="131">
        <v>6</v>
      </c>
      <c r="B17" s="132"/>
      <c r="C17" s="164" t="str">
        <f>'SAF 011'!E15</f>
        <v>AZITROMICINA 200 MG / 5 ML SUSPENSIÓN x 15 ML</v>
      </c>
      <c r="D17" s="165"/>
      <c r="E17" s="165"/>
      <c r="F17" s="165"/>
      <c r="G17" s="166"/>
      <c r="H17" s="137" t="s">
        <v>150</v>
      </c>
      <c r="I17" s="138" t="str">
        <f>'SAF 011'!F15</f>
        <v>FRASCO</v>
      </c>
      <c r="J17" s="146">
        <f>'SAF 011'!AX15</f>
        <v>213</v>
      </c>
      <c r="K17" s="139">
        <f>'SAF 011'!S15</f>
        <v>1000</v>
      </c>
      <c r="M17" s="150">
        <f t="shared" si="0"/>
        <v>213000</v>
      </c>
    </row>
    <row r="18" spans="1:13" s="128" customFormat="1" ht="16.5" customHeight="1" x14ac:dyDescent="0.3">
      <c r="A18" s="131">
        <v>7</v>
      </c>
      <c r="B18" s="132"/>
      <c r="C18" s="164" t="str">
        <f>'SAF 011'!E16</f>
        <v xml:space="preserve">AZITROMICINA 500 MG COMPRIMIDOS </v>
      </c>
      <c r="D18" s="165"/>
      <c r="E18" s="165"/>
      <c r="F18" s="165"/>
      <c r="G18" s="166"/>
      <c r="H18" s="137" t="s">
        <v>150</v>
      </c>
      <c r="I18" s="138" t="str">
        <f>'SAF 011'!F16</f>
        <v>COMPRIMIDO</v>
      </c>
      <c r="J18" s="146">
        <f>'SAF 011'!AX16</f>
        <v>31.25</v>
      </c>
      <c r="K18" s="139">
        <f>'SAF 011'!S16</f>
        <v>15000</v>
      </c>
      <c r="M18" s="150">
        <f t="shared" si="0"/>
        <v>468750</v>
      </c>
    </row>
    <row r="19" spans="1:13" s="128" customFormat="1" ht="16.5" customHeight="1" x14ac:dyDescent="0.3">
      <c r="A19" s="131">
        <v>8</v>
      </c>
      <c r="B19" s="132"/>
      <c r="C19" s="164" t="str">
        <f>'SAF 011'!E17</f>
        <v xml:space="preserve">BUPIVACAINA 5 MG / ML  HIBERBARICA  AMPOLLA DE 4 ML CON AGUJA 27 G X 3 1/2 CON INTRODUCTOR </v>
      </c>
      <c r="D19" s="165"/>
      <c r="E19" s="165"/>
      <c r="F19" s="165"/>
      <c r="G19" s="166"/>
      <c r="H19" s="137" t="s">
        <v>150</v>
      </c>
      <c r="I19" s="138" t="str">
        <f>'SAF 011'!F17</f>
        <v>AMPOLLA</v>
      </c>
      <c r="J19" s="146">
        <f>'SAF 011'!AX17</f>
        <v>1120</v>
      </c>
      <c r="K19" s="139">
        <f>'SAF 011'!S17</f>
        <v>200</v>
      </c>
      <c r="M19" s="150">
        <f t="shared" si="0"/>
        <v>224000</v>
      </c>
    </row>
    <row r="20" spans="1:13" s="128" customFormat="1" ht="16.5" customHeight="1" x14ac:dyDescent="0.3">
      <c r="A20" s="131">
        <v>9</v>
      </c>
      <c r="B20" s="132"/>
      <c r="C20" s="164" t="str">
        <f>'SAF 011'!E18</f>
        <v>CEFALOTINA 1 GR. AMP.</v>
      </c>
      <c r="D20" s="165"/>
      <c r="E20" s="165"/>
      <c r="F20" s="165"/>
      <c r="G20" s="166"/>
      <c r="H20" s="137" t="s">
        <v>150</v>
      </c>
      <c r="I20" s="138" t="str">
        <f>'SAF 011'!F18</f>
        <v>AMPOLLA</v>
      </c>
      <c r="J20" s="146">
        <f>'SAF 011'!AX18</f>
        <v>145</v>
      </c>
      <c r="K20" s="139">
        <f>'SAF 011'!S18</f>
        <v>3000</v>
      </c>
      <c r="M20" s="150">
        <f t="shared" si="0"/>
        <v>435000</v>
      </c>
    </row>
    <row r="21" spans="1:13" s="128" customFormat="1" ht="16.5" customHeight="1" x14ac:dyDescent="0.3">
      <c r="A21" s="131">
        <v>10</v>
      </c>
      <c r="B21" s="132"/>
      <c r="C21" s="164" t="str">
        <f>'SAF 011'!E19</f>
        <v>CIPROFLOXACINA 200 MG AMPOLLA</v>
      </c>
      <c r="D21" s="165"/>
      <c r="E21" s="165"/>
      <c r="F21" s="165"/>
      <c r="G21" s="166"/>
      <c r="H21" s="137" t="s">
        <v>150</v>
      </c>
      <c r="I21" s="138" t="str">
        <f>'SAF 011'!F19</f>
        <v>AMPOLLA</v>
      </c>
      <c r="J21" s="146">
        <f>'SAF 011'!AX19</f>
        <v>115</v>
      </c>
      <c r="K21" s="139">
        <f>'SAF 011'!S19</f>
        <v>4000</v>
      </c>
      <c r="M21" s="150">
        <f t="shared" si="0"/>
        <v>460000</v>
      </c>
    </row>
    <row r="22" spans="1:13" s="128" customFormat="1" ht="16.5" customHeight="1" x14ac:dyDescent="0.3">
      <c r="A22" s="131">
        <v>11</v>
      </c>
      <c r="B22" s="132"/>
      <c r="C22" s="164" t="str">
        <f>'SAF 011'!E20</f>
        <v>CIPROFLOXACINA 500 MG COMP</v>
      </c>
      <c r="D22" s="165"/>
      <c r="E22" s="165"/>
      <c r="F22" s="165"/>
      <c r="G22" s="166"/>
      <c r="H22" s="137" t="s">
        <v>150</v>
      </c>
      <c r="I22" s="138" t="str">
        <f>'SAF 011'!F20</f>
        <v>COMPRIMIDO</v>
      </c>
      <c r="J22" s="146">
        <f>'SAF 011'!AX20</f>
        <v>11</v>
      </c>
      <c r="K22" s="139">
        <f>'SAF 011'!S20</f>
        <v>50000</v>
      </c>
      <c r="M22" s="150">
        <f t="shared" si="0"/>
        <v>550000</v>
      </c>
    </row>
    <row r="23" spans="1:13" s="128" customFormat="1" ht="16.5" customHeight="1" x14ac:dyDescent="0.3">
      <c r="A23" s="131">
        <v>12</v>
      </c>
      <c r="B23" s="132"/>
      <c r="C23" s="164" t="str">
        <f>'SAF 011'!E21</f>
        <v>CLARITROMICINA 500 MG COMPRIMIDO</v>
      </c>
      <c r="D23" s="165"/>
      <c r="E23" s="165"/>
      <c r="F23" s="165"/>
      <c r="G23" s="166"/>
      <c r="H23" s="137" t="s">
        <v>150</v>
      </c>
      <c r="I23" s="138" t="str">
        <f>'SAF 011'!F21</f>
        <v>COMPRIMIDO</v>
      </c>
      <c r="J23" s="146">
        <f>'SAF 011'!AX21</f>
        <v>42</v>
      </c>
      <c r="K23" s="139">
        <f>'SAF 011'!S21</f>
        <v>15000</v>
      </c>
      <c r="M23" s="150">
        <f t="shared" si="0"/>
        <v>630000</v>
      </c>
    </row>
    <row r="24" spans="1:13" s="128" customFormat="1" ht="16.5" customHeight="1" x14ac:dyDescent="0.3">
      <c r="A24" s="131">
        <v>13</v>
      </c>
      <c r="B24" s="132"/>
      <c r="C24" s="164" t="str">
        <f>'SAF 011'!E22</f>
        <v>CLARITROMICINA 500 MG FRASCO AMPOLLA</v>
      </c>
      <c r="D24" s="165"/>
      <c r="E24" s="165"/>
      <c r="F24" s="165"/>
      <c r="G24" s="166"/>
      <c r="H24" s="137" t="s">
        <v>150</v>
      </c>
      <c r="I24" s="138" t="str">
        <f>'SAF 011'!F22</f>
        <v>AMPOLLA</v>
      </c>
      <c r="J24" s="146">
        <f>'SAF 011'!AX22</f>
        <v>825</v>
      </c>
      <c r="K24" s="139">
        <f>'SAF 011'!S22</f>
        <v>300</v>
      </c>
      <c r="M24" s="150">
        <f t="shared" si="0"/>
        <v>247500</v>
      </c>
    </row>
    <row r="25" spans="1:13" s="128" customFormat="1" ht="16.5" customHeight="1" x14ac:dyDescent="0.3">
      <c r="A25" s="131">
        <v>14</v>
      </c>
      <c r="B25" s="132"/>
      <c r="C25" s="164" t="str">
        <f>'SAF 011'!E23</f>
        <v>COLISTINA 100 MG FCO AMPOLLA</v>
      </c>
      <c r="D25" s="165"/>
      <c r="E25" s="165"/>
      <c r="F25" s="165"/>
      <c r="G25" s="166"/>
      <c r="H25" s="137" t="s">
        <v>150</v>
      </c>
      <c r="I25" s="138" t="str">
        <f>'SAF 011'!F23</f>
        <v>AMPOLLA</v>
      </c>
      <c r="J25" s="146">
        <f>'SAF 011'!AX23</f>
        <v>451</v>
      </c>
      <c r="K25" s="139">
        <f>'SAF 011'!S23</f>
        <v>1000</v>
      </c>
      <c r="M25" s="150">
        <f t="shared" si="0"/>
        <v>451000</v>
      </c>
    </row>
    <row r="26" spans="1:13" s="128" customFormat="1" ht="16.5" customHeight="1" x14ac:dyDescent="0.3">
      <c r="A26" s="131">
        <v>15</v>
      </c>
      <c r="B26" s="132"/>
      <c r="C26" s="164" t="str">
        <f>'SAF 011'!E24</f>
        <v>DICLOFENAC 75 MG COMPRIMIDOS</v>
      </c>
      <c r="D26" s="165"/>
      <c r="E26" s="165"/>
      <c r="F26" s="165"/>
      <c r="G26" s="166"/>
      <c r="H26" s="137" t="s">
        <v>150</v>
      </c>
      <c r="I26" s="138" t="str">
        <f>'SAF 011'!F24</f>
        <v>COMPRIMIDO</v>
      </c>
      <c r="J26" s="146">
        <f>'SAF 011'!AX24</f>
        <v>2.5499999999999998</v>
      </c>
      <c r="K26" s="139">
        <f>'SAF 011'!S24</f>
        <v>100000</v>
      </c>
      <c r="M26" s="150">
        <f t="shared" si="0"/>
        <v>254999.99999999997</v>
      </c>
    </row>
    <row r="27" spans="1:13" s="128" customFormat="1" ht="16.5" customHeight="1" x14ac:dyDescent="0.3">
      <c r="A27" s="131">
        <v>16</v>
      </c>
      <c r="B27" s="132"/>
      <c r="C27" s="164" t="str">
        <f>'SAF 011'!E25</f>
        <v xml:space="preserve">DICLOFENAC 75 MG. AMPOLLA </v>
      </c>
      <c r="D27" s="165"/>
      <c r="E27" s="165"/>
      <c r="F27" s="165"/>
      <c r="G27" s="166"/>
      <c r="H27" s="137" t="s">
        <v>150</v>
      </c>
      <c r="I27" s="138" t="str">
        <f>'SAF 011'!F25</f>
        <v>AMPOLLA</v>
      </c>
      <c r="J27" s="146">
        <f>'SAF 011'!AX25</f>
        <v>45</v>
      </c>
      <c r="K27" s="139">
        <f>'SAF 011'!S25</f>
        <v>30000</v>
      </c>
      <c r="M27" s="150">
        <f t="shared" si="0"/>
        <v>1350000</v>
      </c>
    </row>
    <row r="28" spans="1:13" s="128" customFormat="1" ht="16.5" customHeight="1" x14ac:dyDescent="0.3">
      <c r="A28" s="131">
        <v>17</v>
      </c>
      <c r="B28" s="132"/>
      <c r="C28" s="164" t="str">
        <f>'SAF 011'!E26</f>
        <v>DIPIRONA 1GR AMPOLLA</v>
      </c>
      <c r="D28" s="165"/>
      <c r="E28" s="165"/>
      <c r="F28" s="165"/>
      <c r="G28" s="166"/>
      <c r="H28" s="137" t="s">
        <v>150</v>
      </c>
      <c r="I28" s="138" t="str">
        <f>'SAF 011'!F26</f>
        <v>AMPOLLA</v>
      </c>
      <c r="J28" s="146">
        <f>'SAF 011'!AX26</f>
        <v>45</v>
      </c>
      <c r="K28" s="139">
        <f>'SAF 011'!S26</f>
        <v>30000</v>
      </c>
      <c r="M28" s="150">
        <f t="shared" si="0"/>
        <v>1350000</v>
      </c>
    </row>
    <row r="29" spans="1:13" s="128" customFormat="1" ht="16.5" customHeight="1" x14ac:dyDescent="0.3">
      <c r="A29" s="131">
        <v>18</v>
      </c>
      <c r="B29" s="132"/>
      <c r="C29" s="164" t="str">
        <f>'SAF 011'!E27</f>
        <v>DIPIRONA JARABE X 120 ML</v>
      </c>
      <c r="D29" s="165"/>
      <c r="E29" s="165"/>
      <c r="F29" s="165"/>
      <c r="G29" s="166"/>
      <c r="H29" s="137" t="s">
        <v>150</v>
      </c>
      <c r="I29" s="138" t="str">
        <f>'SAF 011'!F27</f>
        <v>FRASCO</v>
      </c>
      <c r="J29" s="146">
        <f>'SAF 011'!AX27</f>
        <v>120</v>
      </c>
      <c r="K29" s="139">
        <f>'SAF 011'!S27</f>
        <v>6000</v>
      </c>
      <c r="M29" s="150">
        <f t="shared" si="0"/>
        <v>720000</v>
      </c>
    </row>
    <row r="30" spans="1:13" s="128" customFormat="1" ht="16.5" customHeight="1" x14ac:dyDescent="0.3">
      <c r="A30" s="131">
        <v>19</v>
      </c>
      <c r="B30" s="132"/>
      <c r="C30" s="164" t="str">
        <f>'SAF 011'!E28</f>
        <v>FENTANILO 250 MCG INYECTABLE</v>
      </c>
      <c r="D30" s="165"/>
      <c r="E30" s="165"/>
      <c r="F30" s="165"/>
      <c r="G30" s="166"/>
      <c r="H30" s="137" t="s">
        <v>150</v>
      </c>
      <c r="I30" s="138" t="str">
        <f>'SAF 011'!F28</f>
        <v>AMPOLLA</v>
      </c>
      <c r="J30" s="146">
        <f>'SAF 011'!AX28</f>
        <v>260</v>
      </c>
      <c r="K30" s="139">
        <f>'SAF 011'!S28</f>
        <v>10000</v>
      </c>
      <c r="M30" s="150">
        <f t="shared" si="0"/>
        <v>2600000</v>
      </c>
    </row>
    <row r="31" spans="1:13" s="128" customFormat="1" ht="16.5" customHeight="1" x14ac:dyDescent="0.3">
      <c r="A31" s="131">
        <v>20</v>
      </c>
      <c r="B31" s="132"/>
      <c r="C31" s="164" t="str">
        <f>'SAF 011'!E29</f>
        <v>FLUCONAZOL 200 MG SACHET 100 ML</v>
      </c>
      <c r="D31" s="165"/>
      <c r="E31" s="165"/>
      <c r="F31" s="165"/>
      <c r="G31" s="166"/>
      <c r="H31" s="137" t="s">
        <v>150</v>
      </c>
      <c r="I31" s="138" t="str">
        <f>'SAF 011'!F29</f>
        <v>ENVASE</v>
      </c>
      <c r="J31" s="146">
        <f>'SAF 011'!AX29</f>
        <v>750</v>
      </c>
      <c r="K31" s="139">
        <f>'SAF 011'!S29</f>
        <v>50</v>
      </c>
      <c r="M31" s="150">
        <f t="shared" si="0"/>
        <v>37500</v>
      </c>
    </row>
    <row r="32" spans="1:13" s="128" customFormat="1" ht="16.5" customHeight="1" x14ac:dyDescent="0.3">
      <c r="A32" s="131">
        <v>21</v>
      </c>
      <c r="B32" s="132"/>
      <c r="C32" s="164" t="str">
        <f>'SAF 011'!E30</f>
        <v>IBUPROFENO 2% SUSPENSIÓN X 90 ML</v>
      </c>
      <c r="D32" s="165"/>
      <c r="E32" s="165"/>
      <c r="F32" s="165"/>
      <c r="G32" s="166"/>
      <c r="H32" s="137" t="s">
        <v>150</v>
      </c>
      <c r="I32" s="138" t="str">
        <f>'SAF 011'!F30</f>
        <v>FRASCO</v>
      </c>
      <c r="J32" s="146">
        <f>'SAF 011'!AX30</f>
        <v>85</v>
      </c>
      <c r="K32" s="139">
        <f>'SAF 011'!S30</f>
        <v>4000</v>
      </c>
      <c r="M32" s="150">
        <f t="shared" si="0"/>
        <v>340000</v>
      </c>
    </row>
    <row r="33" spans="1:13" s="128" customFormat="1" ht="16.5" customHeight="1" x14ac:dyDescent="0.3">
      <c r="A33" s="131">
        <v>22</v>
      </c>
      <c r="B33" s="132"/>
      <c r="C33" s="164" t="str">
        <f>'SAF 011'!E31</f>
        <v>IBUPROFENO 400 MG COMPRIMIDO</v>
      </c>
      <c r="D33" s="165"/>
      <c r="E33" s="165"/>
      <c r="F33" s="165"/>
      <c r="G33" s="166"/>
      <c r="H33" s="137" t="s">
        <v>150</v>
      </c>
      <c r="I33" s="138" t="str">
        <f>'SAF 011'!F31</f>
        <v>COMPRIMIDO</v>
      </c>
      <c r="J33" s="146">
        <f>'SAF 011'!AX31</f>
        <v>4.8</v>
      </c>
      <c r="K33" s="139">
        <f>'SAF 011'!S31</f>
        <v>100000</v>
      </c>
      <c r="M33" s="150">
        <f t="shared" si="0"/>
        <v>480000</v>
      </c>
    </row>
    <row r="34" spans="1:13" s="128" customFormat="1" ht="16.5" customHeight="1" x14ac:dyDescent="0.3">
      <c r="A34" s="131">
        <v>23</v>
      </c>
      <c r="B34" s="132"/>
      <c r="C34" s="164" t="str">
        <f>'SAF 011'!E32</f>
        <v>KETAMINA 50MG/ML FCO AMPOLLA</v>
      </c>
      <c r="D34" s="165"/>
      <c r="E34" s="165"/>
      <c r="F34" s="165"/>
      <c r="G34" s="166"/>
      <c r="H34" s="137" t="s">
        <v>150</v>
      </c>
      <c r="I34" s="138" t="str">
        <f>'SAF 011'!F32</f>
        <v>AMPOLLA</v>
      </c>
      <c r="J34" s="146">
        <f>'SAF 011'!AX32</f>
        <v>1950</v>
      </c>
      <c r="K34" s="139">
        <f>'SAF 011'!S32</f>
        <v>1000</v>
      </c>
      <c r="M34" s="150">
        <f t="shared" si="0"/>
        <v>1950000</v>
      </c>
    </row>
    <row r="35" spans="1:13" s="128" customFormat="1" ht="16.5" customHeight="1" x14ac:dyDescent="0.3">
      <c r="A35" s="131">
        <v>24</v>
      </c>
      <c r="B35" s="132"/>
      <c r="C35" s="164" t="str">
        <f>'SAF 011'!E33</f>
        <v>KETOROLAC 10 MG COMPRIMIDO</v>
      </c>
      <c r="D35" s="165"/>
      <c r="E35" s="165"/>
      <c r="F35" s="165"/>
      <c r="G35" s="166"/>
      <c r="H35" s="137" t="s">
        <v>150</v>
      </c>
      <c r="I35" s="138" t="str">
        <f>'SAF 011'!F33</f>
        <v>COMPRIMIDO</v>
      </c>
      <c r="J35" s="146">
        <f>'SAF 011'!AX33</f>
        <v>3.3</v>
      </c>
      <c r="K35" s="139">
        <f>'SAF 011'!S33</f>
        <v>50000</v>
      </c>
      <c r="M35" s="150">
        <f t="shared" si="0"/>
        <v>165000</v>
      </c>
    </row>
    <row r="36" spans="1:13" s="128" customFormat="1" ht="16.5" customHeight="1" x14ac:dyDescent="0.3">
      <c r="A36" s="131">
        <v>25</v>
      </c>
      <c r="B36" s="132"/>
      <c r="C36" s="164" t="str">
        <f>'SAF 011'!E34</f>
        <v>KETOROLAC 30 MG AMPOLLA</v>
      </c>
      <c r="D36" s="165"/>
      <c r="E36" s="165"/>
      <c r="F36" s="165"/>
      <c r="G36" s="166"/>
      <c r="H36" s="137" t="s">
        <v>150</v>
      </c>
      <c r="I36" s="138" t="str">
        <f>'SAF 011'!F34</f>
        <v>AMPOLLA</v>
      </c>
      <c r="J36" s="146">
        <f>'SAF 011'!AX34</f>
        <v>55</v>
      </c>
      <c r="K36" s="139">
        <f>'SAF 011'!S34</f>
        <v>5000</v>
      </c>
      <c r="M36" s="150">
        <f t="shared" si="0"/>
        <v>275000</v>
      </c>
    </row>
    <row r="37" spans="1:13" s="128" customFormat="1" ht="16.5" customHeight="1" x14ac:dyDescent="0.3">
      <c r="A37" s="131">
        <v>26</v>
      </c>
      <c r="B37" s="132"/>
      <c r="C37" s="164" t="str">
        <f>'SAF 011'!E35</f>
        <v>LIDOCAINA AEROSOL</v>
      </c>
      <c r="D37" s="165"/>
      <c r="E37" s="165"/>
      <c r="F37" s="165"/>
      <c r="G37" s="166"/>
      <c r="H37" s="137" t="s">
        <v>150</v>
      </c>
      <c r="I37" s="138" t="str">
        <f>'SAF 011'!F35</f>
        <v>ENVASE</v>
      </c>
      <c r="J37" s="146">
        <f>'SAF 011'!AX35</f>
        <v>640</v>
      </c>
      <c r="K37" s="139">
        <f>'SAF 011'!S35</f>
        <v>20</v>
      </c>
      <c r="M37" s="150">
        <f t="shared" si="0"/>
        <v>12800</v>
      </c>
    </row>
    <row r="38" spans="1:13" s="128" customFormat="1" ht="16.5" customHeight="1" x14ac:dyDescent="0.3">
      <c r="A38" s="131">
        <v>27</v>
      </c>
      <c r="B38" s="132"/>
      <c r="C38" s="164" t="str">
        <f>'SAF 011'!E36</f>
        <v>METRONIDAZOL 500 MG SACHET</v>
      </c>
      <c r="D38" s="165"/>
      <c r="E38" s="165"/>
      <c r="F38" s="165"/>
      <c r="G38" s="166"/>
      <c r="H38" s="137" t="s">
        <v>150</v>
      </c>
      <c r="I38" s="138" t="str">
        <f>'SAF 011'!F36</f>
        <v>ENVASE</v>
      </c>
      <c r="J38" s="146">
        <f>'SAF 011'!AX36</f>
        <v>110</v>
      </c>
      <c r="K38" s="139">
        <f>'SAF 011'!S36</f>
        <v>1000</v>
      </c>
      <c r="M38" s="150">
        <f t="shared" si="0"/>
        <v>110000</v>
      </c>
    </row>
    <row r="39" spans="1:13" s="128" customFormat="1" ht="16.5" customHeight="1" x14ac:dyDescent="0.3">
      <c r="A39" s="131">
        <v>28</v>
      </c>
      <c r="B39" s="132"/>
      <c r="C39" s="164" t="str">
        <f>'SAF 011'!E37</f>
        <v>PARACETAMOL 1GR ML FRASCO AMPOLLA</v>
      </c>
      <c r="D39" s="165"/>
      <c r="E39" s="165"/>
      <c r="F39" s="165"/>
      <c r="G39" s="166"/>
      <c r="H39" s="137" t="s">
        <v>150</v>
      </c>
      <c r="I39" s="138" t="str">
        <f>'SAF 011'!F37</f>
        <v>AMPOLLA</v>
      </c>
      <c r="J39" s="146">
        <f>'SAF 011'!AX37</f>
        <v>980</v>
      </c>
      <c r="K39" s="139">
        <f>'SAF 011'!S37</f>
        <v>100</v>
      </c>
      <c r="M39" s="150">
        <f t="shared" si="0"/>
        <v>98000</v>
      </c>
    </row>
    <row r="40" spans="1:13" s="128" customFormat="1" ht="16.5" customHeight="1" x14ac:dyDescent="0.3">
      <c r="A40" s="131">
        <v>29</v>
      </c>
      <c r="B40" s="132"/>
      <c r="C40" s="164" t="str">
        <f>'SAF 011'!E38</f>
        <v>PARACETAMOL 2% JARABE X 120 ML</v>
      </c>
      <c r="D40" s="165"/>
      <c r="E40" s="165"/>
      <c r="F40" s="165"/>
      <c r="G40" s="166"/>
      <c r="H40" s="137" t="s">
        <v>150</v>
      </c>
      <c r="I40" s="138" t="str">
        <f>'SAF 011'!F38</f>
        <v>FRASCO</v>
      </c>
      <c r="J40" s="146">
        <f>'SAF 011'!AX38</f>
        <v>165</v>
      </c>
      <c r="K40" s="139">
        <f>'SAF 011'!S38</f>
        <v>5000</v>
      </c>
      <c r="M40" s="150">
        <f t="shared" si="0"/>
        <v>825000</v>
      </c>
    </row>
    <row r="41" spans="1:13" s="128" customFormat="1" ht="16.5" customHeight="1" x14ac:dyDescent="0.3">
      <c r="A41" s="131">
        <v>30</v>
      </c>
      <c r="B41" s="133"/>
      <c r="C41" s="164" t="str">
        <f>'SAF 011'!E39</f>
        <v>PARACETAMOL 500 MG COMPRIMIDO</v>
      </c>
      <c r="D41" s="165"/>
      <c r="E41" s="165"/>
      <c r="F41" s="165"/>
      <c r="G41" s="166"/>
      <c r="H41" s="137" t="s">
        <v>150</v>
      </c>
      <c r="I41" s="140" t="str">
        <f>'SAF 011'!F39</f>
        <v>COMPRIMIDO</v>
      </c>
      <c r="J41" s="147">
        <f>'SAF 011'!AX39</f>
        <v>5.3</v>
      </c>
      <c r="K41" s="141">
        <f>'SAF 011'!S39</f>
        <v>50000</v>
      </c>
      <c r="M41" s="150">
        <f t="shared" si="0"/>
        <v>265000</v>
      </c>
    </row>
    <row r="42" spans="1:13" s="128" customFormat="1" ht="16.5" customHeight="1" x14ac:dyDescent="0.3">
      <c r="A42" s="131">
        <v>31</v>
      </c>
      <c r="B42" s="133"/>
      <c r="C42" s="164" t="str">
        <f>'SAF 011'!E40</f>
        <v>PERMETRINA LOCION</v>
      </c>
      <c r="D42" s="165"/>
      <c r="E42" s="165"/>
      <c r="F42" s="165"/>
      <c r="G42" s="166"/>
      <c r="H42" s="137" t="s">
        <v>150</v>
      </c>
      <c r="I42" s="140" t="str">
        <f>'SAF 011'!F40</f>
        <v>ENVASE</v>
      </c>
      <c r="J42" s="147">
        <f>'SAF 011'!AX40</f>
        <v>330</v>
      </c>
      <c r="K42" s="141">
        <f>'SAF 011'!S40</f>
        <v>3000</v>
      </c>
      <c r="M42" s="150">
        <f t="shared" si="0"/>
        <v>990000</v>
      </c>
    </row>
    <row r="43" spans="1:13" s="128" customFormat="1" ht="16.5" customHeight="1" x14ac:dyDescent="0.3">
      <c r="A43" s="131">
        <v>32</v>
      </c>
      <c r="B43" s="133"/>
      <c r="C43" s="164" t="str">
        <f>'SAF 011'!E41</f>
        <v>PROPOFOL 1% AMPOLLAS X 20 ML</v>
      </c>
      <c r="D43" s="165"/>
      <c r="E43" s="165"/>
      <c r="F43" s="165"/>
      <c r="G43" s="166"/>
      <c r="H43" s="137" t="s">
        <v>150</v>
      </c>
      <c r="I43" s="140" t="str">
        <f>'SAF 011'!F41</f>
        <v>AMPOLLA</v>
      </c>
      <c r="J43" s="147">
        <f>'SAF 011'!AX41</f>
        <v>630</v>
      </c>
      <c r="K43" s="141">
        <f>'SAF 011'!S41</f>
        <v>2000</v>
      </c>
      <c r="M43" s="150">
        <f t="shared" si="0"/>
        <v>1260000</v>
      </c>
    </row>
    <row r="44" spans="1:13" s="128" customFormat="1" ht="16.5" customHeight="1" x14ac:dyDescent="0.3">
      <c r="A44" s="131">
        <v>33</v>
      </c>
      <c r="B44" s="133"/>
      <c r="C44" s="164" t="str">
        <f>'SAF 011'!E42</f>
        <v>SUCCINILCOLINA 500 MG FCO AMP</v>
      </c>
      <c r="D44" s="165"/>
      <c r="E44" s="165"/>
      <c r="F44" s="165"/>
      <c r="G44" s="166"/>
      <c r="H44" s="137" t="s">
        <v>150</v>
      </c>
      <c r="I44" s="140" t="str">
        <f>'SAF 011'!F42</f>
        <v>AMPOLLA</v>
      </c>
      <c r="J44" s="147">
        <f>'SAF 011'!AX42</f>
        <v>279</v>
      </c>
      <c r="K44" s="141">
        <f>'SAF 011'!S42</f>
        <v>500</v>
      </c>
      <c r="M44" s="150">
        <f t="shared" si="0"/>
        <v>139500</v>
      </c>
    </row>
    <row r="45" spans="1:13" s="128" customFormat="1" ht="16.5" customHeight="1" x14ac:dyDescent="0.3">
      <c r="A45" s="131">
        <v>34</v>
      </c>
      <c r="B45" s="133"/>
      <c r="C45" s="164" t="str">
        <f>'SAF 011'!E43</f>
        <v>TRAMADOL 50 MG AMPOLLA</v>
      </c>
      <c r="D45" s="165"/>
      <c r="E45" s="165"/>
      <c r="F45" s="165"/>
      <c r="G45" s="166"/>
      <c r="H45" s="137" t="s">
        <v>150</v>
      </c>
      <c r="I45" s="140" t="str">
        <f>'SAF 011'!F43</f>
        <v>AMPOLLA</v>
      </c>
      <c r="J45" s="147">
        <f>'SAF 011'!AX43</f>
        <v>56</v>
      </c>
      <c r="K45" s="141">
        <f>'SAF 011'!S43</f>
        <v>500</v>
      </c>
      <c r="M45" s="150">
        <f t="shared" si="0"/>
        <v>28000</v>
      </c>
    </row>
    <row r="46" spans="1:13" s="128" customFormat="1" ht="15.75" customHeight="1" x14ac:dyDescent="0.3">
      <c r="A46" s="131">
        <v>35</v>
      </c>
      <c r="B46" s="133"/>
      <c r="C46" s="164" t="str">
        <f>'SAF 011'!E44</f>
        <v>VECURONIO BROMURO 10 MG AMPOLLA</v>
      </c>
      <c r="D46" s="165"/>
      <c r="E46" s="165"/>
      <c r="F46" s="165"/>
      <c r="G46" s="166"/>
      <c r="H46" s="137" t="s">
        <v>150</v>
      </c>
      <c r="I46" s="140" t="str">
        <f>'SAF 011'!F44</f>
        <v>AMPOLLA</v>
      </c>
      <c r="J46" s="147">
        <f>'SAF 011'!AX44</f>
        <v>988</v>
      </c>
      <c r="K46" s="141">
        <f>'SAF 011'!S44</f>
        <v>300</v>
      </c>
      <c r="M46" s="150">
        <f t="shared" si="0"/>
        <v>296400</v>
      </c>
    </row>
    <row r="47" spans="1:13" ht="15.6" x14ac:dyDescent="0.3">
      <c r="A47" s="76"/>
      <c r="B47" s="77"/>
      <c r="C47" s="180"/>
      <c r="D47" s="180"/>
      <c r="E47" s="180"/>
      <c r="F47" s="180"/>
      <c r="G47" s="180"/>
      <c r="H47" s="78"/>
      <c r="I47" s="79"/>
      <c r="J47" s="148"/>
      <c r="K47" s="80"/>
    </row>
    <row r="48" spans="1:13" s="154" customFormat="1" ht="18" thickBot="1" x14ac:dyDescent="0.35">
      <c r="A48" s="178" t="s">
        <v>151</v>
      </c>
      <c r="B48" s="178"/>
      <c r="C48" s="178"/>
      <c r="D48" s="178"/>
      <c r="E48" s="178"/>
      <c r="F48" s="178"/>
      <c r="G48" s="178"/>
      <c r="H48" s="178"/>
      <c r="I48" s="178"/>
      <c r="J48" s="179">
        <f>+M48</f>
        <v>23083790</v>
      </c>
      <c r="K48" s="179"/>
      <c r="M48" s="155">
        <f>SUM(M12:M47)</f>
        <v>23083790</v>
      </c>
    </row>
  </sheetData>
  <mergeCells count="58">
    <mergeCell ref="A48:I48"/>
    <mergeCell ref="J48:K48"/>
    <mergeCell ref="C45:G45"/>
    <mergeCell ref="C46:G46"/>
    <mergeCell ref="C47:G47"/>
    <mergeCell ref="K10:K11"/>
    <mergeCell ref="C12:G12"/>
    <mergeCell ref="C41:G41"/>
    <mergeCell ref="C42:G42"/>
    <mergeCell ref="C43:G43"/>
    <mergeCell ref="I10:I11"/>
    <mergeCell ref="J10:J11"/>
    <mergeCell ref="C24:G24"/>
    <mergeCell ref="C25:G25"/>
    <mergeCell ref="C26:G26"/>
    <mergeCell ref="C27:G27"/>
    <mergeCell ref="C28:G28"/>
    <mergeCell ref="C29:G29"/>
    <mergeCell ref="C40:G40"/>
    <mergeCell ref="C30:G30"/>
    <mergeCell ref="C31:G31"/>
    <mergeCell ref="C44:G44"/>
    <mergeCell ref="A10:A11"/>
    <mergeCell ref="B10:B11"/>
    <mergeCell ref="C10:G11"/>
    <mergeCell ref="H10:H11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  <mergeCell ref="C37:G37"/>
    <mergeCell ref="C38:G38"/>
    <mergeCell ref="C39:G39"/>
    <mergeCell ref="C32:G32"/>
    <mergeCell ref="C33:G33"/>
    <mergeCell ref="C34:G34"/>
    <mergeCell ref="C35:G35"/>
    <mergeCell ref="C36:G3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A41" sqref="A41:Q42"/>
    </sheetView>
  </sheetViews>
  <sheetFormatPr baseColWidth="10" defaultRowHeight="14.4" x14ac:dyDescent="0.3"/>
  <cols>
    <col min="1" max="5" width="4.44140625" customWidth="1"/>
    <col min="6" max="6" width="7.88671875" customWidth="1"/>
    <col min="7" max="14" width="4.44140625" customWidth="1"/>
    <col min="15" max="16" width="14.88671875" customWidth="1"/>
    <col min="17" max="17" width="14.6640625" customWidth="1"/>
  </cols>
  <sheetData>
    <row r="1" spans="1:17" ht="15" thickBot="1" x14ac:dyDescent="0.35">
      <c r="A1" s="182" t="s">
        <v>5</v>
      </c>
      <c r="B1" s="182"/>
      <c r="C1" s="182"/>
      <c r="D1" s="183">
        <v>2022</v>
      </c>
      <c r="E1" s="183"/>
      <c r="F1" s="81"/>
      <c r="G1" s="81"/>
      <c r="H1" s="82"/>
      <c r="I1" s="82"/>
      <c r="J1" s="82"/>
      <c r="K1" s="82"/>
      <c r="L1" s="82"/>
      <c r="M1" s="82"/>
      <c r="N1" s="82"/>
      <c r="O1" s="83"/>
      <c r="P1" s="184" t="s">
        <v>114</v>
      </c>
      <c r="Q1" s="184"/>
    </row>
    <row r="2" spans="1:17" ht="15" thickBot="1" x14ac:dyDescent="0.35">
      <c r="A2" s="84"/>
      <c r="B2" s="85"/>
      <c r="C2" s="85"/>
      <c r="D2" s="85"/>
      <c r="E2" s="85"/>
      <c r="F2" s="85"/>
      <c r="G2" s="86"/>
      <c r="H2" s="87"/>
      <c r="I2" s="87"/>
      <c r="J2" s="87"/>
      <c r="K2" s="87"/>
      <c r="L2" s="87"/>
      <c r="M2" s="87"/>
      <c r="N2" s="87"/>
      <c r="O2" s="85"/>
      <c r="P2" s="184"/>
      <c r="Q2" s="184"/>
    </row>
    <row r="3" spans="1:17" ht="15" thickBot="1" x14ac:dyDescent="0.35">
      <c r="A3" s="84"/>
      <c r="B3" s="85"/>
      <c r="C3" s="85"/>
      <c r="D3" s="85"/>
      <c r="E3" s="85"/>
      <c r="F3" s="85"/>
      <c r="G3" s="86"/>
      <c r="H3" s="85"/>
      <c r="I3" s="85"/>
      <c r="J3" s="85"/>
      <c r="K3" s="85"/>
      <c r="L3" s="85"/>
      <c r="M3" s="85"/>
      <c r="N3" s="85"/>
      <c r="O3" s="85"/>
      <c r="P3" s="85"/>
      <c r="Q3" s="88"/>
    </row>
    <row r="4" spans="1:17" ht="15" thickBot="1" x14ac:dyDescent="0.35">
      <c r="A4" s="185" t="s">
        <v>115</v>
      </c>
      <c r="B4" s="185"/>
      <c r="C4" s="185"/>
      <c r="D4" s="185"/>
      <c r="E4" s="185"/>
      <c r="F4" s="185"/>
      <c r="G4" s="186" t="str">
        <f>NP!D3</f>
        <v>040 - MINISTERIO DE SALUD</v>
      </c>
      <c r="H4" s="186"/>
      <c r="I4" s="186"/>
      <c r="J4" s="186"/>
      <c r="K4" s="186"/>
      <c r="L4" s="186"/>
      <c r="M4" s="186"/>
      <c r="N4" s="186"/>
      <c r="O4" s="186"/>
      <c r="P4" s="186"/>
      <c r="Q4" s="186"/>
    </row>
    <row r="5" spans="1:17" ht="15" thickBot="1" x14ac:dyDescent="0.35">
      <c r="A5" s="187" t="s">
        <v>102</v>
      </c>
      <c r="B5" s="187"/>
      <c r="C5" s="187"/>
      <c r="D5" s="187"/>
      <c r="E5" s="187"/>
      <c r="F5" s="187"/>
      <c r="G5" s="186" t="str">
        <f>NP!D4</f>
        <v>011 - DIRECCION PROVINCIAL DE ADMINISTRACION - MINISTERIO DE SALUD</v>
      </c>
      <c r="H5" s="186"/>
      <c r="I5" s="186"/>
      <c r="J5" s="186"/>
      <c r="K5" s="186"/>
      <c r="L5" s="186"/>
      <c r="M5" s="186"/>
      <c r="N5" s="186"/>
      <c r="O5" s="186"/>
      <c r="P5" s="186"/>
      <c r="Q5" s="186"/>
    </row>
    <row r="6" spans="1:17" ht="15" thickBot="1" x14ac:dyDescent="0.35">
      <c r="A6" s="187" t="s">
        <v>103</v>
      </c>
      <c r="B6" s="187"/>
      <c r="C6" s="187"/>
      <c r="D6" s="187"/>
      <c r="E6" s="187"/>
      <c r="F6" s="187"/>
      <c r="G6" s="186" t="str">
        <f>NP!D5</f>
        <v>DIRECCION PROVINCIAL DE FARMACIA E INSUMOS</v>
      </c>
      <c r="H6" s="186"/>
      <c r="I6" s="186"/>
      <c r="J6" s="186"/>
      <c r="K6" s="186"/>
      <c r="L6" s="186"/>
      <c r="M6" s="186"/>
      <c r="N6" s="186"/>
      <c r="O6" s="186"/>
      <c r="P6" s="186"/>
      <c r="Q6" s="186"/>
    </row>
    <row r="7" spans="1:17" ht="15" thickBot="1" x14ac:dyDescent="0.35">
      <c r="A7" s="187" t="s">
        <v>104</v>
      </c>
      <c r="B7" s="187"/>
      <c r="C7" s="187"/>
      <c r="D7" s="187"/>
      <c r="E7" s="187"/>
      <c r="F7" s="187"/>
      <c r="G7" s="186" t="str">
        <f>NP!D6</f>
        <v>DIRECCION PROVINCIAL DE FARMACIA E INSUMOS</v>
      </c>
      <c r="H7" s="186"/>
      <c r="I7" s="186"/>
      <c r="J7" s="186"/>
      <c r="K7" s="186"/>
      <c r="L7" s="186"/>
      <c r="M7" s="186"/>
      <c r="N7" s="186"/>
      <c r="O7" s="186"/>
      <c r="P7" s="186"/>
      <c r="Q7" s="186"/>
    </row>
    <row r="8" spans="1:17" ht="15" thickBot="1" x14ac:dyDescent="0.35">
      <c r="A8" s="188" t="s">
        <v>116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</row>
    <row r="9" spans="1:17" ht="20.25" customHeight="1" x14ac:dyDescent="0.3">
      <c r="A9" s="181" t="s">
        <v>117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</row>
    <row r="10" spans="1:17" ht="69" customHeight="1" x14ac:dyDescent="0.3">
      <c r="A10" s="190" t="s">
        <v>152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</row>
    <row r="11" spans="1:17" ht="15" thickBot="1" x14ac:dyDescent="0.35">
      <c r="A11" s="89"/>
      <c r="B11" s="90"/>
      <c r="C11" s="90"/>
      <c r="D11" s="90"/>
      <c r="E11" s="90"/>
      <c r="F11" s="90"/>
      <c r="G11" s="91"/>
      <c r="H11" s="90"/>
      <c r="I11" s="90"/>
      <c r="J11" s="90"/>
      <c r="K11" s="90"/>
      <c r="L11" s="90"/>
      <c r="M11" s="90"/>
      <c r="N11" s="90"/>
      <c r="O11" s="90"/>
      <c r="P11" s="90"/>
      <c r="Q11" s="92"/>
    </row>
    <row r="12" spans="1:17" ht="15" thickBot="1" x14ac:dyDescent="0.35">
      <c r="A12" s="191" t="s">
        <v>118</v>
      </c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</row>
    <row r="13" spans="1:17" ht="15" thickBot="1" x14ac:dyDescent="0.35">
      <c r="A13" s="192" t="s">
        <v>119</v>
      </c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3" t="s">
        <v>120</v>
      </c>
      <c r="P13" s="193"/>
      <c r="Q13" s="194" t="s">
        <v>121</v>
      </c>
    </row>
    <row r="14" spans="1:17" ht="15" thickBot="1" x14ac:dyDescent="0.35">
      <c r="A14" s="93" t="s">
        <v>122</v>
      </c>
      <c r="B14" s="94" t="s">
        <v>123</v>
      </c>
      <c r="C14" s="94" t="s">
        <v>124</v>
      </c>
      <c r="D14" s="94" t="s">
        <v>125</v>
      </c>
      <c r="E14" s="94" t="s">
        <v>126</v>
      </c>
      <c r="F14" s="94" t="s">
        <v>127</v>
      </c>
      <c r="G14" s="95" t="s">
        <v>128</v>
      </c>
      <c r="H14" s="94" t="s">
        <v>129</v>
      </c>
      <c r="I14" s="94" t="s">
        <v>130</v>
      </c>
      <c r="J14" s="94" t="s">
        <v>131</v>
      </c>
      <c r="K14" s="94" t="s">
        <v>131</v>
      </c>
      <c r="L14" s="94" t="s">
        <v>132</v>
      </c>
      <c r="M14" s="96" t="s">
        <v>133</v>
      </c>
      <c r="N14" s="97" t="s">
        <v>134</v>
      </c>
      <c r="O14" s="193"/>
      <c r="P14" s="193"/>
      <c r="Q14" s="194"/>
    </row>
    <row r="15" spans="1:17" ht="33.75" customHeight="1" x14ac:dyDescent="0.3">
      <c r="A15" s="98">
        <v>30</v>
      </c>
      <c r="B15" s="99"/>
      <c r="C15" s="99"/>
      <c r="D15" s="99">
        <v>1</v>
      </c>
      <c r="E15" s="99"/>
      <c r="F15" s="99">
        <v>4901</v>
      </c>
      <c r="G15" s="99">
        <v>3</v>
      </c>
      <c r="H15" s="99">
        <v>1</v>
      </c>
      <c r="I15" s="99">
        <v>2</v>
      </c>
      <c r="J15" s="99">
        <v>5</v>
      </c>
      <c r="K15" s="99">
        <v>2</v>
      </c>
      <c r="L15" s="99"/>
      <c r="M15" s="100">
        <v>1</v>
      </c>
      <c r="N15" s="99" t="s">
        <v>146</v>
      </c>
      <c r="O15" s="195" t="s">
        <v>147</v>
      </c>
      <c r="P15" s="195"/>
      <c r="Q15" s="101">
        <f>NP!M48</f>
        <v>23083790</v>
      </c>
    </row>
    <row r="16" spans="1:17" x14ac:dyDescent="0.3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4"/>
      <c r="N16" s="105"/>
      <c r="O16" s="196"/>
      <c r="P16" s="196"/>
      <c r="Q16" s="106"/>
    </row>
    <row r="17" spans="1:17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4"/>
      <c r="N17" s="105"/>
      <c r="O17" s="197"/>
      <c r="P17" s="197"/>
      <c r="Q17" s="106"/>
    </row>
    <row r="18" spans="1:17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4"/>
      <c r="N18" s="105"/>
      <c r="O18" s="189"/>
      <c r="P18" s="189"/>
      <c r="Q18" s="106"/>
    </row>
    <row r="19" spans="1:17" x14ac:dyDescent="0.3">
      <c r="A19" s="10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4"/>
      <c r="N19" s="105"/>
      <c r="O19" s="189"/>
      <c r="P19" s="189"/>
      <c r="Q19" s="106"/>
    </row>
    <row r="20" spans="1:17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4"/>
      <c r="N20" s="105"/>
      <c r="O20" s="189"/>
      <c r="P20" s="189"/>
      <c r="Q20" s="106"/>
    </row>
    <row r="21" spans="1:17" x14ac:dyDescent="0.3">
      <c r="A21" s="102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4"/>
      <c r="N21" s="105"/>
      <c r="O21" s="189"/>
      <c r="P21" s="189"/>
      <c r="Q21" s="106"/>
    </row>
    <row r="22" spans="1:17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4"/>
      <c r="N22" s="105"/>
      <c r="O22" s="189"/>
      <c r="P22" s="189"/>
      <c r="Q22" s="106"/>
    </row>
    <row r="23" spans="1:17" x14ac:dyDescent="0.3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4"/>
      <c r="N23" s="105"/>
      <c r="O23" s="189"/>
      <c r="P23" s="189"/>
      <c r="Q23" s="106"/>
    </row>
    <row r="24" spans="1:17" x14ac:dyDescent="0.3">
      <c r="A24" s="102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4"/>
      <c r="N24" s="105"/>
      <c r="O24" s="189"/>
      <c r="P24" s="189"/>
      <c r="Q24" s="106"/>
    </row>
    <row r="25" spans="1:17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4"/>
      <c r="N25" s="105"/>
      <c r="O25" s="189"/>
      <c r="P25" s="189"/>
      <c r="Q25" s="106"/>
    </row>
    <row r="26" spans="1:17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4"/>
      <c r="N26" s="105"/>
      <c r="O26" s="189"/>
      <c r="P26" s="189"/>
      <c r="Q26" s="106"/>
    </row>
    <row r="27" spans="1:17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4"/>
      <c r="N27" s="105"/>
      <c r="O27" s="189"/>
      <c r="P27" s="189"/>
      <c r="Q27" s="106"/>
    </row>
    <row r="28" spans="1:17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4"/>
      <c r="N28" s="105"/>
      <c r="O28" s="189"/>
      <c r="P28" s="189"/>
      <c r="Q28" s="106"/>
    </row>
    <row r="29" spans="1:17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4"/>
      <c r="N29" s="105"/>
      <c r="O29" s="189"/>
      <c r="P29" s="189"/>
      <c r="Q29" s="106"/>
    </row>
    <row r="30" spans="1:17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4"/>
      <c r="N30" s="105"/>
      <c r="O30" s="189"/>
      <c r="P30" s="189"/>
      <c r="Q30" s="106"/>
    </row>
    <row r="31" spans="1:17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4"/>
      <c r="N31" s="105"/>
      <c r="O31" s="189"/>
      <c r="P31" s="189"/>
      <c r="Q31" s="106"/>
    </row>
    <row r="32" spans="1:17" x14ac:dyDescent="0.3">
      <c r="A32" s="102"/>
      <c r="B32" s="103"/>
      <c r="C32" s="103"/>
      <c r="D32" s="103"/>
      <c r="E32" s="103"/>
      <c r="F32" s="105"/>
      <c r="G32" s="103"/>
      <c r="H32" s="103"/>
      <c r="I32" s="103"/>
      <c r="J32" s="103"/>
      <c r="K32" s="103"/>
      <c r="L32" s="103"/>
      <c r="M32" s="104"/>
      <c r="N32" s="105"/>
      <c r="O32" s="196"/>
      <c r="P32" s="196"/>
      <c r="Q32" s="106"/>
    </row>
    <row r="33" spans="1:17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4"/>
      <c r="N33" s="105"/>
      <c r="O33" s="196"/>
      <c r="P33" s="196"/>
      <c r="Q33" s="106"/>
    </row>
    <row r="34" spans="1:17" x14ac:dyDescent="0.3">
      <c r="A34" s="102"/>
      <c r="B34" s="103"/>
      <c r="C34" s="103"/>
      <c r="D34" s="103"/>
      <c r="E34" s="103"/>
      <c r="F34" s="105"/>
      <c r="G34" s="103"/>
      <c r="H34" s="103"/>
      <c r="I34" s="103"/>
      <c r="J34" s="103"/>
      <c r="K34" s="103"/>
      <c r="L34" s="103"/>
      <c r="M34" s="104"/>
      <c r="N34" s="105"/>
      <c r="O34" s="196"/>
      <c r="P34" s="196"/>
      <c r="Q34" s="106"/>
    </row>
    <row r="35" spans="1:17" x14ac:dyDescent="0.3">
      <c r="A35" s="102"/>
      <c r="B35" s="103"/>
      <c r="C35" s="103"/>
      <c r="D35" s="103"/>
      <c r="E35" s="103"/>
      <c r="F35" s="105"/>
      <c r="G35" s="103"/>
      <c r="H35" s="103"/>
      <c r="I35" s="103"/>
      <c r="J35" s="103"/>
      <c r="K35" s="103"/>
      <c r="L35" s="103"/>
      <c r="M35" s="104"/>
      <c r="N35" s="105"/>
      <c r="O35" s="196"/>
      <c r="P35" s="196"/>
      <c r="Q35" s="106"/>
    </row>
    <row r="36" spans="1:17" x14ac:dyDescent="0.3">
      <c r="A36" s="107"/>
      <c r="B36" s="108"/>
      <c r="C36" s="108"/>
      <c r="D36" s="108"/>
      <c r="E36" s="108"/>
      <c r="F36" s="109"/>
      <c r="G36" s="108"/>
      <c r="H36" s="108"/>
      <c r="I36" s="108"/>
      <c r="J36" s="108"/>
      <c r="K36" s="108"/>
      <c r="L36" s="108"/>
      <c r="M36" s="110"/>
      <c r="N36" s="111"/>
      <c r="O36" s="201"/>
      <c r="P36" s="201"/>
      <c r="Q36" s="106"/>
    </row>
    <row r="37" spans="1:17" ht="15" thickBot="1" x14ac:dyDescent="0.35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4"/>
      <c r="N37" s="113"/>
      <c r="O37" s="202"/>
      <c r="P37" s="202"/>
      <c r="Q37" s="115"/>
    </row>
    <row r="38" spans="1:17" ht="37.5" customHeight="1" thickBot="1" x14ac:dyDescent="0.35">
      <c r="A38" s="203" t="s">
        <v>153</v>
      </c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116">
        <f>SUM(Q15:Q37)</f>
        <v>23083790</v>
      </c>
    </row>
    <row r="39" spans="1:17" ht="15" thickBot="1" x14ac:dyDescent="0.35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</row>
    <row r="40" spans="1:17" ht="15" thickBot="1" x14ac:dyDescent="0.35">
      <c r="A40" s="198" t="s">
        <v>135</v>
      </c>
      <c r="B40" s="198"/>
      <c r="C40" s="198"/>
      <c r="D40" s="198"/>
      <c r="E40" s="198"/>
      <c r="F40" s="198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</row>
    <row r="41" spans="1:17" ht="15" thickBot="1" x14ac:dyDescent="0.35">
      <c r="A41" s="200" t="str">
        <f>NP!D8</f>
        <v>ADQUISICION DEL RUBRO TERAPIA ANTIINFECCIOSA SISTEMICA/SUEROS INMUNES E INMUNOGLOBULINAS  Y MEDIOS DE CONTRASTES /ANALGESICOS ANTINFLAMATORIOS /MIORRELAJANTES/ANESTESICOS/ANALGESICOS OPIACIOS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</row>
    <row r="42" spans="1:17" ht="36" customHeight="1" thickBot="1" x14ac:dyDescent="0.35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GABY</cp:lastModifiedBy>
  <dcterms:created xsi:type="dcterms:W3CDTF">2021-12-21T17:55:07Z</dcterms:created>
  <dcterms:modified xsi:type="dcterms:W3CDTF">2022-01-18T13:34:34Z</dcterms:modified>
</cp:coreProperties>
</file>