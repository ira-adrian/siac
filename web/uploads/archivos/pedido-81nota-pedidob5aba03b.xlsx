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HSJB\AÑO 2022\Instrumental para VDL\NOTA 2\"/>
    </mc:Choice>
  </mc:AlternateContent>
  <bookViews>
    <workbookView xWindow="-120" yWindow="-120" windowWidth="20730" windowHeight="1176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Trimestrales'!$A$9:$I$26</definedName>
    <definedName name="_xlnm.Print_Area" localSheetId="2">'Autor Gastar'!$A$1:$Q$27</definedName>
    <definedName name="_xlnm.Print_Area" localSheetId="1">NotaPedido!$A$1:$K$29</definedName>
  </definedNames>
  <calcPr calcId="162913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6" i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I14" i="1"/>
  <c r="I11" i="1"/>
  <c r="I12" i="1"/>
  <c r="A26" i="3" l="1"/>
  <c r="A10" i="3"/>
  <c r="K12" i="2"/>
  <c r="J12" i="2"/>
  <c r="I12" i="2"/>
  <c r="C12" i="2"/>
  <c r="B12" i="2"/>
  <c r="I26" i="1"/>
  <c r="I25" i="1"/>
  <c r="I24" i="1"/>
  <c r="I23" i="1"/>
  <c r="I22" i="1"/>
  <c r="I21" i="1"/>
  <c r="I20" i="1"/>
  <c r="I19" i="1"/>
  <c r="I18" i="1"/>
  <c r="I17" i="1"/>
  <c r="I15" i="1"/>
  <c r="I13" i="1"/>
  <c r="I10" i="1"/>
  <c r="J29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<sst xmlns="http://schemas.openxmlformats.org/spreadsheetml/2006/main" count="325" uniqueCount="144">
  <si>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</si>
  <si>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</si>
  <si>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</si>
  <si>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</si>
  <si>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</si>
  <si>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</si>
  <si>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</si>
  <si>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</si>
  <si>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</si>
  <si>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</si>
  <si>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</si>
  <si>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</si>
  <si>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</si>
  <si>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</si>
  <si>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</si>
  <si>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</si>
  <si>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</si>
  <si>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</si>
  <si>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</si>
  <si>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</si>
  <si>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</si>
  <si>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</si>
  <si>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</si>
  <si>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</si>
  <si>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</si>
  <si>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</si>
  <si>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</si>
  <si>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</si>
  <si>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</si>
  <si>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</si>
  <si>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</si>
  <si>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</si>
  <si>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</si>
  <si>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</si>
  <si>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</si>
  <si>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</si>
  <si>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</si>
  <si>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</si>
  <si>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</si>
  <si>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</si>
  <si>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</si>
  <si>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</si>
  <si>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</si>
  <si>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</si>
  <si>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</si>
  <si>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</si>
  <si>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</si>
  <si>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</si>
  <si>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</si>
  <si>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</si>
  <si>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</si>
  <si>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</si>
  <si>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</si>
  <si>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</si>
  <si>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</si>
  <si>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</si>
  <si>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</si>
  <si>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</si>
  <si>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</si>
  <si>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</si>
  <si>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</si>
  <si>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</si>
  <si>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</si>
  <si>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</si>
  <si>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PROD. MEDICO/FARMACEUTICOS/LAB</t>
  </si>
  <si>
    <t>UNIDAD</t>
  </si>
  <si>
    <t>TIJERAS DE METZEMBAUN, CURVA, GIRATORIA, DESMONTABLE, AISLADA CON CONEXIÓN PARA COAGULACION MONO POLAR DE 36 CM DE LONGITUD</t>
  </si>
  <si>
    <t>10 dias - Direccion de Emergentologia del HISJB - Avda. Illia y Mariano Moreno de lunes a viernes de 08:00 a 12:00 horas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</si>
  <si>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</si>
  <si>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</si>
  <si>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</si>
  <si>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</si>
  <si>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</si>
  <si>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</si>
  <si>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TROCAR DE PUNCION; USO: QUIRURGICO, TIPO: P/LAPAROSCOPIA, CAMISA: CON</t>
  </si>
  <si>
    <t>Especificidades Item N° 9:</t>
  </si>
  <si>
    <t>Especificidades Item N° 10:</t>
  </si>
  <si>
    <t>Especificidades Item N° 11:</t>
  </si>
  <si>
    <t>2.9.5-6700.13</t>
  </si>
  <si>
    <t xml:space="preserve">REDUCTORES DE 11/5 MM PARA TROCARES DE VALVULAS AUTOMATICAS </t>
  </si>
  <si>
    <t>Especificidades Item N° 14:</t>
  </si>
  <si>
    <t>Especificidades Item N° 13:</t>
  </si>
  <si>
    <t>Especificidades Item N° 12:</t>
  </si>
  <si>
    <t xml:space="preserve">PINZA CLIPADORA M/L </t>
  </si>
  <si>
    <t>PINZA ATRAUMATICA PARA INTESTINO</t>
  </si>
  <si>
    <t>INSTRUMENTAL MEDICO; DESCARTABLE: NO, MATERIAL: ACERO INOXIDABLE, ELEMENTO: CLIPADORA</t>
  </si>
  <si>
    <t>2.9.5-8874.128</t>
  </si>
  <si>
    <t>INSTRUMENTAL MEDICO; DESCARTABLE: NO, MATERIAL: ACERO INOXIDABLE, ELEMENTO: PINZA</t>
  </si>
  <si>
    <t>2.9.5-8874.24</t>
  </si>
  <si>
    <t xml:space="preserve">PINZAS DE GARRA 2X3 DIENTES TIPO COCODRILO, DESMONTABLE DE 36 CM DE LONGITUD SIN CONEXIÓN PARA MONOPOLAR </t>
  </si>
  <si>
    <t xml:space="preserve">PINZAS DE GRASPIN, MANDIBULAS DENTADAS DE 36 CM GIRATORIAS, DESMONTABLES, CON CONEXIÓN MONOPOLAR </t>
  </si>
  <si>
    <t>CANULA PARA NEUMOPERITONEO DE VERES DE 18 CM DE LONGITUD</t>
  </si>
  <si>
    <t xml:space="preserve">OPTICA DE VISIÓN FOROBLICUA PANORAMICA 30°, 10 MM DE DIAMETRO. LONGITUD 31 CM, ESTERILIZABLE EN AUTOCLAVE, CON CONDUCTOR DE LUZ FIBRA ÓPTICA INSORPORADO - ENDOCAMARA HD </t>
  </si>
  <si>
    <t>2.9.5-459.172</t>
  </si>
  <si>
    <t>TIJERAS P/MEDICINA; TIPO: METZEMBAUNG CURVA , MEDIDA: 36
Cm, USO: LAPAROSCOPIA</t>
  </si>
  <si>
    <t>PINZAS DE CIRUGIA; TIPO: MANDIBULAS COCODRILO, MEDIDA:
36 Cm</t>
  </si>
  <si>
    <t>2.9.5-472.407</t>
  </si>
  <si>
    <t xml:space="preserve">SI </t>
  </si>
  <si>
    <t>PINZAS P/MEDICINA; USO: QUIRURGICO, TIPO: GRASPER,
MEDIDA: 36 Cm</t>
  </si>
  <si>
    <t>PINZAS P/MEDICINA; USO: LAPAROSCOPIA, TIPO: MARYLAND,
MEDIDA: 36 Cm</t>
  </si>
  <si>
    <t>2.9.5-5769.111</t>
  </si>
  <si>
    <t>2.9.5-5769.112</t>
  </si>
  <si>
    <t>CANULAS; TIPO: CANULA DE VERES, MATERIAL: ACERO
INOXIDABLE, DIAMETRO: 2 mm, LONG.DE CUERPO: 15 Cm</t>
  </si>
  <si>
    <t>2.9.5-5567.186</t>
  </si>
  <si>
    <t xml:space="preserve">CANULAS; TIPO: CANULA DE VERES, MATERIAL: ACERO
INOXIDABLE, DIAMETRO: 2 mm, LONG.DE CUERPO: 18 cm </t>
  </si>
  <si>
    <t>2.9.5-5567.187</t>
  </si>
  <si>
    <t>ENDOCAMARAS; TIPO: VISION FOROBLICUA PANORAMICA 30°,
DIGITAL: SI, LONGITUD: 31 Cm CON CONDUCTOR DE LUZ DE
FIBRA OPTICA INCORPORADO, USO: CIRUGIA LAPAROSCOPICA,
RESOLUCION: HIGH DEFINITION</t>
  </si>
  <si>
    <t>4.3.3-6718.4</t>
  </si>
  <si>
    <t>EQUIPOS</t>
  </si>
  <si>
    <t xml:space="preserve">Departamento Quirurgico HSJB </t>
  </si>
  <si>
    <t xml:space="preserve">PINZAS DE AGARRE Y DISECCION TIPO MARYLAND DE 36 CM, DESMONTABLE, AISLADA CON CONEXIÓN MONOPOLAR </t>
  </si>
  <si>
    <t>CANULA PARA NEUMOPERITONEO DE VERES DE 15 CM DE LONGITUD</t>
  </si>
  <si>
    <t xml:space="preserve">TROCAR DE 10 A 11 MM (DEPENDIENDO LA MARCA) </t>
  </si>
  <si>
    <t xml:space="preserve">TROCAR DE 05 A 06 MM (DEPENDIENDO LA MARCA) </t>
  </si>
  <si>
    <t>INSERTO DE TIJERAS PARA TIJERAS DE METZEMBAUN, CURVA, GIRATORIA, DESMONTABLE, AISLADA CON CONEXIÓN PARA COAGULACION MONO POLAR DE 36 CM DE LONGITUD</t>
  </si>
  <si>
    <t xml:space="preserve">INSERTO DE PINZAS PARA PINZAS DE GRASPIN, MANDIBULAS DENTADAS DE 36 CM GIRATORIAS, DESMONTABLES, CON CONEXIÓN MONOPOLAR </t>
  </si>
  <si>
    <t xml:space="preserve">INSERTO DE PINZAS PARA PINZAS DE AGARRE Y DISECCION TIPO MARYLAND DE 36 CM, DESMONTABLE, AISLADA CON CONEXIÓN MONOPOLAR </t>
  </si>
  <si>
    <t>Especificidades Item N° 15:</t>
  </si>
  <si>
    <t>Especificidades Item N° 16:</t>
  </si>
  <si>
    <t>Especificidades Item N° 17:</t>
  </si>
  <si>
    <t>Costo total estimado: cinco millones cuatrocientos noventa y seis mil cincuenta y uno con 98/100.----------</t>
  </si>
  <si>
    <t xml:space="preserve">Adquisición de Instrumental para Videolaparoscopia </t>
  </si>
  <si>
    <t>Utiles Menores Med. Quirurg. Y de Lab.</t>
  </si>
  <si>
    <t>2.9.5</t>
  </si>
  <si>
    <t>2.9.5-8874.145</t>
  </si>
  <si>
    <t xml:space="preserve">INSTRUMENTAL MEDICO; DESCARTABLE: NO, MATERIAL: ACERO INOXIDABLE, ELEMENTO: REDUCTOR DE 11/5 MM PARA TROCAR DE VALVULA AUTOMATICA </t>
  </si>
  <si>
    <t xml:space="preserve">INSTRUMENTAL MEDICO; DESCARTABLE: NO, MATERIAL: ACERO INOXIDABLE, ELEMENTO: INSERTO PARA TIJERA METZEMBAUNG CURVA DE 36 CM </t>
  </si>
  <si>
    <t>2.9.5-8874.146</t>
  </si>
  <si>
    <t>INSTRUMENTAL MEDICO; DESCARTABLE: NO, MATERIAL: ACERO INOXIDABLE, ELEMENTO: INSERTO PARA PINZA GRASPER DE 36 CM</t>
  </si>
  <si>
    <t>2.9.5-8874.147</t>
  </si>
  <si>
    <t>INSTRUMENTAL MEDICO; DESCARTABLE: NO, MATERIAL: ACERO INOXIDABLE, ELEMENTO: INSERTO PARA PINZA MARYLAND DE 36 CM</t>
  </si>
  <si>
    <t>2.9.5-8874.148</t>
  </si>
  <si>
    <t>2.9.5-5567.190</t>
  </si>
  <si>
    <t>CANULAS; TIPO: ASPIRACION DE CAMPO QUIRURGICO, MATERIAL: ACERO INOXIDABLE, DIAMETRO: 5 MM, LONG. DE CUERPO: 36 CM</t>
  </si>
  <si>
    <t>2.9.5-5567.191</t>
  </si>
  <si>
    <t>CANULAS; TIPO: ASPIRACION DE CAMPO QUIRURGICO, MATERIAL: ACERO INOXIDABLE, DIAMETRO: 10 MM, LONG. DE CUERPO: 36 CM</t>
  </si>
  <si>
    <t xml:space="preserve">CANULA/TUBO DE ASPIRACION E IRRIGACION 5 MM - LONGITUD 36 CM </t>
  </si>
  <si>
    <t xml:space="preserve">CANULA/TUBO DE ASPIRACION E IRRIGACION DE 10 MM - LONGITUD 36 CM </t>
  </si>
  <si>
    <t>4.3.3</t>
  </si>
  <si>
    <t xml:space="preserve">Equipo Sanitario y de Laboratorio </t>
  </si>
  <si>
    <t>007 - 2022</t>
  </si>
  <si>
    <t>TOTAL DE PESOS: CINCO MILLONES CUATROCIENTOS NOVENTA Y SEIS MIL CINCUENTA Y UNO CON 98/100.----</t>
  </si>
  <si>
    <t>1.3</t>
  </si>
  <si>
    <t>168 - Direccion Asistencial - 264 - Direccion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</si>
</sst>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4" fillId="5" borderId="14" xfId="0" applyFont="1" applyFill="1" applyBorder="1" applyAlignment="1">
      <alignment vertical="center" wrapText="1"/>
    </xf>
    <xf numFmtId="0" fontId="15" fillId="0" borderId="0" xfId="0" applyFont="1" applyBorder="1" applyAlignment="1">
      <alignment horizontal="left" indent="3"/>
    </xf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0" fillId="5" borderId="0" xfId="0" applyFill="1" applyAlignment="1">
      <alignment vertical="center"/>
    </xf>
    <xf numFmtId="0" fontId="21" fillId="5" borderId="14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5" borderId="44" xfId="0" applyFont="1" applyFill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9"/>
  <sheetViews>
    <sheetView zoomScale="85" zoomScaleNormal="85" workbookViewId="0">
      <selection activeCell="K12" sqref="K12"/>
    </sheetView>
  </sheetViews>
  <sheetFormatPr baseColWidth="10" defaultColWidth="11" defaultRowHeight="13" x14ac:dyDescent="0.3"/>
  <cols>
    <col min="1" max="1" width="4.54296875" style="39" customWidth="1"/>
    <col min="2" max="2" width="12.81640625" style="39" customWidth="1"/>
    <col min="3" max="3" width="32.453125" style="39" customWidth="1"/>
    <col min="4" max="4" width="8.453125" style="39" customWidth="1"/>
    <col min="5" max="5" width="79" style="39" customWidth="1"/>
    <col min="6" max="6" width="11" style="39"/>
    <col min="7" max="7" width="12.7265625" style="39" customWidth="1"/>
    <col min="8" max="8" width="13.81640625" style="39" customWidth="1"/>
    <col min="9" max="9" width="18.54296875" style="39" customWidth="1"/>
    <col min="10" max="16384" width="11" style="39"/>
  </cols>
  <sheetData>
    <row r="2" spans="1:9" ht="27.5" x14ac:dyDescent="0.55000000000000004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3">
      <c r="A4" s="89" t="s">
        <v>1</v>
      </c>
      <c r="B4" s="89"/>
      <c r="C4" s="95" t="s">
        <v>59</v>
      </c>
      <c r="D4" s="95"/>
      <c r="E4" s="95"/>
      <c r="F4" s="40"/>
      <c r="G4" s="41"/>
      <c r="H4" s="40"/>
    </row>
    <row r="5" spans="1:9" ht="18" customHeight="1" x14ac:dyDescent="0.3">
      <c r="A5" s="89" t="s">
        <v>2</v>
      </c>
      <c r="B5" s="89"/>
      <c r="C5" s="95" t="s">
        <v>60</v>
      </c>
      <c r="D5" s="95"/>
      <c r="E5" s="95"/>
      <c r="F5" s="40"/>
      <c r="G5" s="41"/>
      <c r="H5" s="40"/>
    </row>
    <row r="6" spans="1:9" ht="16.5" customHeight="1" x14ac:dyDescent="0.3">
      <c r="A6" s="89" t="s">
        <v>3</v>
      </c>
      <c r="B6" s="89"/>
      <c r="C6" s="59">
        <v>2022</v>
      </c>
      <c r="D6" s="60"/>
      <c r="E6" s="60"/>
      <c r="F6" s="40"/>
      <c r="G6" s="41"/>
      <c r="H6" s="40"/>
    </row>
    <row r="7" spans="1:9" ht="16.5" customHeight="1" x14ac:dyDescent="0.3">
      <c r="A7" s="89" t="s">
        <v>4</v>
      </c>
      <c r="B7" s="89"/>
      <c r="C7" s="59">
        <v>1</v>
      </c>
      <c r="D7" s="60"/>
      <c r="E7" s="60"/>
      <c r="F7" s="40"/>
      <c r="G7" s="41"/>
      <c r="H7" s="40"/>
    </row>
    <row r="8" spans="1:9" ht="13.5" thickBot="1" x14ac:dyDescent="0.35">
      <c r="B8" s="40"/>
      <c r="C8" s="41"/>
      <c r="D8" s="40"/>
      <c r="E8" s="40"/>
      <c r="F8" s="40"/>
      <c r="G8" s="41"/>
      <c r="H8" s="40"/>
    </row>
    <row r="9" spans="1:9" ht="39.5" thickBot="1" x14ac:dyDescent="0.3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6.5" customHeight="1" thickBot="1" x14ac:dyDescent="0.35">
      <c r="A10" s="77">
        <v>1</v>
      </c>
      <c r="B10" s="56" t="s">
        <v>93</v>
      </c>
      <c r="C10" s="78" t="s">
        <v>64</v>
      </c>
      <c r="D10" s="80" t="s">
        <v>138</v>
      </c>
      <c r="E10" s="75" t="s">
        <v>94</v>
      </c>
      <c r="F10" s="56" t="s">
        <v>65</v>
      </c>
      <c r="G10" s="56">
        <v>3</v>
      </c>
      <c r="H10" s="57">
        <v>121199.17</v>
      </c>
      <c r="I10" s="58">
        <f t="shared" ref="I10:I26" si="0">G10*H10</f>
        <v>363597.51</v>
      </c>
    </row>
    <row r="11" spans="1:9" ht="46.5" customHeight="1" thickBot="1" x14ac:dyDescent="0.35">
      <c r="A11" s="77">
        <v>2</v>
      </c>
      <c r="B11" s="56" t="s">
        <v>127</v>
      </c>
      <c r="C11" s="78" t="s">
        <v>64</v>
      </c>
      <c r="D11" s="80" t="s">
        <v>123</v>
      </c>
      <c r="E11" s="75" t="s">
        <v>126</v>
      </c>
      <c r="F11" s="56" t="s">
        <v>65</v>
      </c>
      <c r="G11" s="56">
        <v>2</v>
      </c>
      <c r="H11" s="57">
        <v>41711.89</v>
      </c>
      <c r="I11" s="58">
        <f t="shared" si="0"/>
        <v>83423.78</v>
      </c>
    </row>
    <row r="12" spans="1:9" ht="42" customHeight="1" thickBot="1" x14ac:dyDescent="0.35">
      <c r="A12" s="77">
        <v>3</v>
      </c>
      <c r="B12" s="56" t="s">
        <v>96</v>
      </c>
      <c r="C12" s="78" t="s">
        <v>64</v>
      </c>
      <c r="D12" s="80" t="s">
        <v>138</v>
      </c>
      <c r="E12" s="75" t="s">
        <v>95</v>
      </c>
      <c r="F12" s="56" t="s">
        <v>65</v>
      </c>
      <c r="G12" s="56">
        <v>2</v>
      </c>
      <c r="H12" s="57">
        <v>120955.78</v>
      </c>
      <c r="I12" s="58">
        <f t="shared" si="0"/>
        <v>241911.56</v>
      </c>
    </row>
    <row r="13" spans="1:9" ht="41.25" customHeight="1" thickBot="1" x14ac:dyDescent="0.35">
      <c r="A13" s="77">
        <v>4</v>
      </c>
      <c r="B13" s="56" t="s">
        <v>100</v>
      </c>
      <c r="C13" s="78" t="s">
        <v>64</v>
      </c>
      <c r="D13" s="80" t="s">
        <v>138</v>
      </c>
      <c r="E13" s="75" t="s">
        <v>98</v>
      </c>
      <c r="F13" s="56" t="s">
        <v>65</v>
      </c>
      <c r="G13" s="56">
        <v>6</v>
      </c>
      <c r="H13" s="57">
        <v>114601.46</v>
      </c>
      <c r="I13" s="58">
        <f t="shared" si="0"/>
        <v>687608.76</v>
      </c>
    </row>
    <row r="14" spans="1:9" ht="41.25" customHeight="1" thickBot="1" x14ac:dyDescent="0.35">
      <c r="A14" s="77">
        <v>5</v>
      </c>
      <c r="B14" s="56" t="s">
        <v>129</v>
      </c>
      <c r="C14" s="78" t="s">
        <v>64</v>
      </c>
      <c r="D14" s="80" t="s">
        <v>123</v>
      </c>
      <c r="E14" s="75" t="s">
        <v>128</v>
      </c>
      <c r="F14" s="56" t="s">
        <v>65</v>
      </c>
      <c r="G14" s="56">
        <v>2</v>
      </c>
      <c r="H14" s="57">
        <v>36704.949999999997</v>
      </c>
      <c r="I14" s="58">
        <f t="shared" si="0"/>
        <v>73409.899999999994</v>
      </c>
    </row>
    <row r="15" spans="1:9" ht="45.75" customHeight="1" thickBot="1" x14ac:dyDescent="0.35">
      <c r="A15" s="77">
        <v>6</v>
      </c>
      <c r="B15" s="56" t="s">
        <v>131</v>
      </c>
      <c r="C15" s="78" t="s">
        <v>64</v>
      </c>
      <c r="D15" s="80" t="s">
        <v>123</v>
      </c>
      <c r="E15" s="75" t="s">
        <v>130</v>
      </c>
      <c r="F15" s="56" t="s">
        <v>65</v>
      </c>
      <c r="G15" s="56">
        <v>2</v>
      </c>
      <c r="H15" s="57">
        <v>36704.949999999997</v>
      </c>
      <c r="I15" s="58">
        <f t="shared" si="0"/>
        <v>73409.899999999994</v>
      </c>
    </row>
    <row r="16" spans="1:9" ht="45.75" customHeight="1" thickBot="1" x14ac:dyDescent="0.35">
      <c r="A16" s="77">
        <v>7</v>
      </c>
      <c r="B16" s="56" t="s">
        <v>101</v>
      </c>
      <c r="C16" s="78" t="s">
        <v>64</v>
      </c>
      <c r="D16" s="80" t="s">
        <v>138</v>
      </c>
      <c r="E16" s="75" t="s">
        <v>99</v>
      </c>
      <c r="F16" s="56" t="s">
        <v>65</v>
      </c>
      <c r="G16" s="56">
        <v>4</v>
      </c>
      <c r="H16" s="57">
        <v>114601.46</v>
      </c>
      <c r="I16" s="58">
        <f t="shared" si="0"/>
        <v>458405.84</v>
      </c>
    </row>
    <row r="17" spans="1:9" ht="42" customHeight="1" thickBot="1" x14ac:dyDescent="0.35">
      <c r="A17" s="77">
        <v>8</v>
      </c>
      <c r="B17" s="56" t="s">
        <v>103</v>
      </c>
      <c r="C17" s="78" t="s">
        <v>64</v>
      </c>
      <c r="D17" s="80" t="s">
        <v>123</v>
      </c>
      <c r="E17" s="75" t="s">
        <v>102</v>
      </c>
      <c r="F17" s="56" t="s">
        <v>65</v>
      </c>
      <c r="G17" s="56">
        <v>5</v>
      </c>
      <c r="H17" s="57">
        <v>20314.21</v>
      </c>
      <c r="I17" s="58">
        <f t="shared" si="0"/>
        <v>101571.04999999999</v>
      </c>
    </row>
    <row r="18" spans="1:9" ht="50.25" customHeight="1" thickBot="1" x14ac:dyDescent="0.35">
      <c r="A18" s="77">
        <v>9</v>
      </c>
      <c r="B18" s="56" t="s">
        <v>105</v>
      </c>
      <c r="C18" s="78" t="s">
        <v>64</v>
      </c>
      <c r="D18" s="80" t="s">
        <v>123</v>
      </c>
      <c r="E18" s="75" t="s">
        <v>104</v>
      </c>
      <c r="F18" s="56" t="s">
        <v>65</v>
      </c>
      <c r="G18" s="56">
        <v>5</v>
      </c>
      <c r="H18" s="57">
        <v>25338.85</v>
      </c>
      <c r="I18" s="58">
        <f t="shared" si="0"/>
        <v>126694.25</v>
      </c>
    </row>
    <row r="19" spans="1:9" ht="37.5" customHeight="1" thickBot="1" x14ac:dyDescent="0.35">
      <c r="A19" s="77">
        <v>10</v>
      </c>
      <c r="B19" s="56" t="s">
        <v>78</v>
      </c>
      <c r="C19" s="78" t="s">
        <v>64</v>
      </c>
      <c r="D19" s="80" t="s">
        <v>123</v>
      </c>
      <c r="E19" s="75" t="s">
        <v>74</v>
      </c>
      <c r="F19" s="56" t="s">
        <v>65</v>
      </c>
      <c r="G19" s="56">
        <v>8</v>
      </c>
      <c r="H19" s="57">
        <v>63584.35</v>
      </c>
      <c r="I19" s="58">
        <f t="shared" si="0"/>
        <v>508674.8</v>
      </c>
    </row>
    <row r="20" spans="1:9" ht="37.5" customHeight="1" thickBot="1" x14ac:dyDescent="0.35">
      <c r="A20" s="77">
        <v>11</v>
      </c>
      <c r="B20" s="56" t="s">
        <v>78</v>
      </c>
      <c r="C20" s="78" t="s">
        <v>64</v>
      </c>
      <c r="D20" s="80" t="s">
        <v>123</v>
      </c>
      <c r="E20" s="75" t="s">
        <v>74</v>
      </c>
      <c r="F20" s="56" t="s">
        <v>65</v>
      </c>
      <c r="G20" s="56">
        <v>8</v>
      </c>
      <c r="H20" s="57">
        <v>57747.13</v>
      </c>
      <c r="I20" s="58">
        <f t="shared" si="0"/>
        <v>461977.04</v>
      </c>
    </row>
    <row r="21" spans="1:9" ht="52.5" customHeight="1" thickBot="1" x14ac:dyDescent="0.35">
      <c r="A21" s="77">
        <v>12</v>
      </c>
      <c r="B21" s="56" t="s">
        <v>124</v>
      </c>
      <c r="C21" s="79" t="s">
        <v>64</v>
      </c>
      <c r="D21" s="80" t="s">
        <v>123</v>
      </c>
      <c r="E21" s="75" t="s">
        <v>125</v>
      </c>
      <c r="F21" s="56" t="s">
        <v>65</v>
      </c>
      <c r="G21" s="56">
        <v>5</v>
      </c>
      <c r="H21" s="57">
        <v>12090.63</v>
      </c>
      <c r="I21" s="58">
        <f t="shared" si="0"/>
        <v>60453.149999999994</v>
      </c>
    </row>
    <row r="22" spans="1:9" ht="53.25" customHeight="1" thickBot="1" x14ac:dyDescent="0.35">
      <c r="A22" s="77">
        <v>13</v>
      </c>
      <c r="B22" s="56" t="s">
        <v>132</v>
      </c>
      <c r="C22" s="81" t="s">
        <v>64</v>
      </c>
      <c r="D22" s="80" t="s">
        <v>123</v>
      </c>
      <c r="E22" s="75" t="s">
        <v>133</v>
      </c>
      <c r="F22" s="56" t="s">
        <v>65</v>
      </c>
      <c r="G22" s="56">
        <v>2</v>
      </c>
      <c r="H22" s="57">
        <v>58146.93</v>
      </c>
      <c r="I22" s="58">
        <f t="shared" si="0"/>
        <v>116293.86</v>
      </c>
    </row>
    <row r="23" spans="1:9" ht="58.5" customHeight="1" thickBot="1" x14ac:dyDescent="0.35">
      <c r="A23" s="77">
        <v>14</v>
      </c>
      <c r="B23" s="56" t="s">
        <v>134</v>
      </c>
      <c r="C23" s="78" t="s">
        <v>64</v>
      </c>
      <c r="D23" s="80" t="s">
        <v>123</v>
      </c>
      <c r="E23" s="75" t="s">
        <v>135</v>
      </c>
      <c r="F23" s="56" t="s">
        <v>65</v>
      </c>
      <c r="G23" s="56">
        <v>2</v>
      </c>
      <c r="H23" s="57">
        <v>60644.12</v>
      </c>
      <c r="I23" s="58">
        <f t="shared" si="0"/>
        <v>121288.24</v>
      </c>
    </row>
    <row r="24" spans="1:9" ht="44.25" customHeight="1" thickBot="1" x14ac:dyDescent="0.35">
      <c r="A24" s="77">
        <v>15</v>
      </c>
      <c r="B24" s="56" t="s">
        <v>86</v>
      </c>
      <c r="C24" s="78" t="s">
        <v>64</v>
      </c>
      <c r="D24" s="80" t="s">
        <v>138</v>
      </c>
      <c r="E24" s="75" t="s">
        <v>85</v>
      </c>
      <c r="F24" s="56" t="s">
        <v>65</v>
      </c>
      <c r="G24" s="56">
        <v>4</v>
      </c>
      <c r="H24" s="57">
        <v>169698.5</v>
      </c>
      <c r="I24" s="58">
        <f t="shared" si="0"/>
        <v>678794</v>
      </c>
    </row>
    <row r="25" spans="1:9" ht="47.25" customHeight="1" thickBot="1" x14ac:dyDescent="0.35">
      <c r="A25" s="77">
        <v>16</v>
      </c>
      <c r="B25" s="56" t="s">
        <v>88</v>
      </c>
      <c r="C25" s="78" t="s">
        <v>64</v>
      </c>
      <c r="D25" s="80" t="s">
        <v>138</v>
      </c>
      <c r="E25" s="75" t="s">
        <v>87</v>
      </c>
      <c r="F25" s="56" t="s">
        <v>65</v>
      </c>
      <c r="G25" s="56">
        <v>4</v>
      </c>
      <c r="H25" s="57">
        <v>114601.46</v>
      </c>
      <c r="I25" s="58">
        <f t="shared" si="0"/>
        <v>458405.84</v>
      </c>
    </row>
    <row r="26" spans="1:9" ht="84" customHeight="1" thickBot="1" x14ac:dyDescent="0.35">
      <c r="A26" s="77">
        <v>17</v>
      </c>
      <c r="B26" s="56" t="s">
        <v>107</v>
      </c>
      <c r="C26" s="78" t="s">
        <v>108</v>
      </c>
      <c r="D26" s="80" t="s">
        <v>138</v>
      </c>
      <c r="E26" s="75" t="s">
        <v>106</v>
      </c>
      <c r="F26" s="56" t="s">
        <v>65</v>
      </c>
      <c r="G26" s="56">
        <v>2</v>
      </c>
      <c r="H26" s="57">
        <v>440066.25</v>
      </c>
      <c r="I26" s="58">
        <f t="shared" si="0"/>
        <v>880132.5</v>
      </c>
    </row>
    <row r="29" spans="1:9" x14ac:dyDescent="0.3">
      <c r="B29" s="42" t="s">
        <v>14</v>
      </c>
      <c r="C29" s="43"/>
      <c r="D29" s="43"/>
      <c r="E29" s="44"/>
    </row>
    <row r="30" spans="1:9" ht="5.25" customHeight="1" x14ac:dyDescent="0.3">
      <c r="B30" s="45"/>
      <c r="C30" s="46"/>
      <c r="D30" s="46"/>
      <c r="E30" s="47"/>
    </row>
    <row r="31" spans="1:9" x14ac:dyDescent="0.3">
      <c r="B31" s="48" t="s">
        <v>15</v>
      </c>
      <c r="C31" s="46"/>
      <c r="D31" s="46"/>
      <c r="E31" s="47"/>
    </row>
    <row r="32" spans="1:9" ht="41.25" customHeight="1" x14ac:dyDescent="0.3">
      <c r="B32" s="48"/>
      <c r="C32" s="90" t="s">
        <v>66</v>
      </c>
      <c r="D32" s="90"/>
      <c r="E32" s="91"/>
    </row>
    <row r="33" spans="2:5" x14ac:dyDescent="0.3">
      <c r="B33" s="48" t="s">
        <v>16</v>
      </c>
      <c r="C33" s="46"/>
      <c r="D33" s="46"/>
      <c r="E33" s="47"/>
    </row>
    <row r="34" spans="2:5" x14ac:dyDescent="0.3">
      <c r="B34" s="49"/>
      <c r="C34" s="92" t="s">
        <v>67</v>
      </c>
      <c r="D34" s="92"/>
      <c r="E34" s="92"/>
    </row>
    <row r="35" spans="2:5" x14ac:dyDescent="0.3">
      <c r="B35" s="49"/>
      <c r="C35" s="93"/>
      <c r="D35" s="93"/>
      <c r="E35" s="93"/>
    </row>
    <row r="36" spans="2:5" x14ac:dyDescent="0.3">
      <c r="B36" s="48" t="s">
        <v>17</v>
      </c>
      <c r="C36" s="46"/>
      <c r="D36" s="46"/>
      <c r="E36" s="47"/>
    </row>
    <row r="37" spans="2:5" ht="26.25" customHeight="1" x14ac:dyDescent="0.3">
      <c r="B37" s="49"/>
      <c r="C37" s="83"/>
      <c r="D37" s="83"/>
      <c r="E37" s="83"/>
    </row>
    <row r="38" spans="2:5" x14ac:dyDescent="0.3">
      <c r="B38" s="48" t="s">
        <v>18</v>
      </c>
      <c r="C38" s="50"/>
      <c r="D38" s="50"/>
      <c r="E38" s="51"/>
    </row>
    <row r="39" spans="2:5" ht="26.25" customHeight="1" x14ac:dyDescent="0.3">
      <c r="B39" s="49"/>
      <c r="C39" s="84" t="s">
        <v>61</v>
      </c>
      <c r="D39" s="84"/>
      <c r="E39" s="84"/>
    </row>
    <row r="40" spans="2:5" x14ac:dyDescent="0.3">
      <c r="B40" s="48" t="s">
        <v>19</v>
      </c>
      <c r="C40" s="46"/>
      <c r="D40" s="46"/>
      <c r="E40" s="47"/>
    </row>
    <row r="41" spans="2:5" ht="23.25" customHeight="1" x14ac:dyDescent="0.3">
      <c r="B41" s="48"/>
      <c r="C41" s="82"/>
      <c r="D41" s="82"/>
      <c r="E41" s="82"/>
    </row>
    <row r="42" spans="2:5" ht="13.5" thickBot="1" x14ac:dyDescent="0.35">
      <c r="B42" s="52"/>
      <c r="C42" s="53"/>
      <c r="D42" s="53"/>
      <c r="E42" s="54"/>
    </row>
    <row r="43" spans="2:5" x14ac:dyDescent="0.3">
      <c r="B43" s="76"/>
      <c r="C43" s="46"/>
      <c r="D43" s="46"/>
      <c r="E43" s="46"/>
    </row>
    <row r="44" spans="2:5" ht="13.5" thickBot="1" x14ac:dyDescent="0.35">
      <c r="B44" s="76"/>
      <c r="C44" s="46"/>
      <c r="D44" s="46"/>
      <c r="E44" s="46"/>
    </row>
    <row r="45" spans="2:5" x14ac:dyDescent="0.3">
      <c r="B45" s="42" t="s">
        <v>20</v>
      </c>
      <c r="C45" s="43"/>
      <c r="D45" s="43"/>
      <c r="E45" s="44"/>
    </row>
    <row r="46" spans="2:5" x14ac:dyDescent="0.3">
      <c r="B46" s="45"/>
      <c r="C46" s="46"/>
      <c r="D46" s="46"/>
      <c r="E46" s="47"/>
    </row>
    <row r="47" spans="2:5" x14ac:dyDescent="0.3">
      <c r="B47" s="48" t="s">
        <v>15</v>
      </c>
      <c r="C47" s="46"/>
      <c r="D47" s="46"/>
      <c r="E47" s="47"/>
    </row>
    <row r="48" spans="2:5" ht="51" customHeight="1" x14ac:dyDescent="0.3">
      <c r="B48" s="48"/>
      <c r="C48" s="90" t="s">
        <v>114</v>
      </c>
      <c r="D48" s="90"/>
      <c r="E48" s="91"/>
    </row>
    <row r="49" spans="2:5" x14ac:dyDescent="0.3">
      <c r="B49" s="48" t="s">
        <v>16</v>
      </c>
      <c r="C49" s="46"/>
      <c r="D49" s="46"/>
      <c r="E49" s="47"/>
    </row>
    <row r="50" spans="2:5" ht="23.25" customHeight="1" x14ac:dyDescent="0.3">
      <c r="B50" s="49"/>
      <c r="C50" s="92" t="s">
        <v>67</v>
      </c>
      <c r="D50" s="92"/>
      <c r="E50" s="92"/>
    </row>
    <row r="51" spans="2:5" x14ac:dyDescent="0.3">
      <c r="B51" s="49"/>
      <c r="C51" s="93"/>
      <c r="D51" s="93"/>
      <c r="E51" s="93"/>
    </row>
    <row r="52" spans="2:5" x14ac:dyDescent="0.3">
      <c r="B52" s="48" t="s">
        <v>17</v>
      </c>
      <c r="C52" s="46"/>
      <c r="D52" s="46"/>
      <c r="E52" s="47"/>
    </row>
    <row r="53" spans="2:5" ht="23.25" customHeight="1" x14ac:dyDescent="0.3">
      <c r="B53" s="49"/>
      <c r="C53" s="83"/>
      <c r="D53" s="83"/>
      <c r="E53" s="83"/>
    </row>
    <row r="54" spans="2:5" x14ac:dyDescent="0.3">
      <c r="B54" s="48" t="s">
        <v>18</v>
      </c>
      <c r="C54" s="50"/>
      <c r="D54" s="50"/>
      <c r="E54" s="51"/>
    </row>
    <row r="55" spans="2:5" ht="19.5" customHeight="1" x14ac:dyDescent="0.3">
      <c r="B55" s="49"/>
      <c r="C55" s="84" t="s">
        <v>61</v>
      </c>
      <c r="D55" s="84"/>
      <c r="E55" s="84"/>
    </row>
    <row r="56" spans="2:5" x14ac:dyDescent="0.3">
      <c r="B56" s="48" t="s">
        <v>19</v>
      </c>
      <c r="C56" s="46"/>
      <c r="D56" s="46"/>
      <c r="E56" s="47"/>
    </row>
    <row r="57" spans="2:5" ht="28.5" customHeight="1" x14ac:dyDescent="0.3">
      <c r="B57" s="48"/>
      <c r="C57" s="82"/>
      <c r="D57" s="82"/>
      <c r="E57" s="82"/>
    </row>
    <row r="58" spans="2:5" ht="23.25" customHeight="1" thickBot="1" x14ac:dyDescent="0.35">
      <c r="B58" s="52"/>
      <c r="C58" s="53"/>
      <c r="D58" s="53"/>
      <c r="E58" s="54"/>
    </row>
    <row r="59" spans="2:5" x14ac:dyDescent="0.3">
      <c r="B59" s="76"/>
      <c r="C59" s="46"/>
      <c r="D59" s="46"/>
      <c r="E59" s="46"/>
    </row>
    <row r="60" spans="2:5" x14ac:dyDescent="0.3">
      <c r="B60" s="76"/>
      <c r="C60" s="46"/>
      <c r="D60" s="46"/>
      <c r="E60" s="46"/>
    </row>
    <row r="61" spans="2:5" ht="13.5" thickBot="1" x14ac:dyDescent="0.35"/>
    <row r="62" spans="2:5" x14ac:dyDescent="0.3">
      <c r="B62" s="42" t="s">
        <v>68</v>
      </c>
      <c r="C62" s="43"/>
      <c r="D62" s="43"/>
      <c r="E62" s="44"/>
    </row>
    <row r="63" spans="2:5" ht="7.5" customHeight="1" x14ac:dyDescent="0.3">
      <c r="B63" s="45"/>
      <c r="C63" s="46"/>
      <c r="D63" s="46"/>
      <c r="E63" s="47"/>
    </row>
    <row r="64" spans="2:5" x14ac:dyDescent="0.3">
      <c r="B64" s="48" t="s">
        <v>15</v>
      </c>
      <c r="C64" s="46"/>
      <c r="D64" s="46"/>
      <c r="E64" s="47"/>
    </row>
    <row r="65" spans="2:5" ht="39" customHeight="1" x14ac:dyDescent="0.3">
      <c r="B65" s="48"/>
      <c r="C65" s="85" t="s">
        <v>89</v>
      </c>
      <c r="D65" s="85"/>
      <c r="E65" s="86"/>
    </row>
    <row r="66" spans="2:5" x14ac:dyDescent="0.3">
      <c r="B66" s="48" t="s">
        <v>16</v>
      </c>
      <c r="C66" s="46"/>
      <c r="D66" s="46"/>
      <c r="E66" s="47"/>
    </row>
    <row r="67" spans="2:5" ht="28.5" customHeight="1" x14ac:dyDescent="0.3">
      <c r="B67" s="49"/>
      <c r="C67" s="87" t="s">
        <v>67</v>
      </c>
      <c r="D67" s="87"/>
      <c r="E67" s="88"/>
    </row>
    <row r="68" spans="2:5" x14ac:dyDescent="0.3">
      <c r="B68" s="49"/>
      <c r="C68" s="82"/>
      <c r="D68" s="82"/>
      <c r="E68" s="82"/>
    </row>
    <row r="69" spans="2:5" x14ac:dyDescent="0.3">
      <c r="B69" s="48" t="s">
        <v>17</v>
      </c>
      <c r="C69" s="46"/>
      <c r="D69" s="46"/>
      <c r="E69" s="47"/>
    </row>
    <row r="70" spans="2:5" x14ac:dyDescent="0.3">
      <c r="B70" s="49"/>
      <c r="C70" s="83"/>
      <c r="D70" s="83"/>
      <c r="E70" s="83"/>
    </row>
    <row r="71" spans="2:5" x14ac:dyDescent="0.3">
      <c r="B71" s="48" t="s">
        <v>18</v>
      </c>
      <c r="C71" s="50"/>
      <c r="D71" s="50"/>
      <c r="E71" s="51"/>
    </row>
    <row r="72" spans="2:5" ht="24" customHeight="1" x14ac:dyDescent="0.3">
      <c r="B72" s="49"/>
      <c r="C72" s="84" t="s">
        <v>61</v>
      </c>
      <c r="D72" s="84"/>
      <c r="E72" s="84"/>
    </row>
    <row r="73" spans="2:5" x14ac:dyDescent="0.3">
      <c r="B73" s="48" t="s">
        <v>19</v>
      </c>
      <c r="C73" s="46"/>
      <c r="D73" s="46"/>
      <c r="E73" s="47"/>
    </row>
    <row r="74" spans="2:5" x14ac:dyDescent="0.3">
      <c r="B74" s="48"/>
      <c r="C74" s="82"/>
      <c r="D74" s="82"/>
      <c r="E74" s="82"/>
    </row>
    <row r="75" spans="2:5" x14ac:dyDescent="0.3">
      <c r="B75" s="52"/>
      <c r="C75" s="53"/>
      <c r="D75" s="53"/>
      <c r="E75" s="54"/>
    </row>
    <row r="76" spans="2:5" ht="13.5" thickBot="1" x14ac:dyDescent="0.35"/>
    <row r="77" spans="2:5" x14ac:dyDescent="0.3">
      <c r="B77" s="42" t="s">
        <v>69</v>
      </c>
      <c r="C77" s="43"/>
      <c r="D77" s="43"/>
      <c r="E77" s="44"/>
    </row>
    <row r="78" spans="2:5" x14ac:dyDescent="0.3">
      <c r="B78" s="45"/>
      <c r="C78" s="46"/>
      <c r="D78" s="46"/>
      <c r="E78" s="47"/>
    </row>
    <row r="79" spans="2:5" x14ac:dyDescent="0.3">
      <c r="B79" s="48" t="s">
        <v>15</v>
      </c>
      <c r="C79" s="46"/>
      <c r="D79" s="46"/>
      <c r="E79" s="47"/>
    </row>
    <row r="80" spans="2:5" ht="21" customHeight="1" x14ac:dyDescent="0.3">
      <c r="B80" s="48"/>
      <c r="C80" s="85" t="s">
        <v>90</v>
      </c>
      <c r="D80" s="85"/>
      <c r="E80" s="86"/>
    </row>
    <row r="81" spans="2:5" x14ac:dyDescent="0.3">
      <c r="B81" s="48" t="s">
        <v>16</v>
      </c>
      <c r="C81" s="46"/>
      <c r="D81" s="46"/>
      <c r="E81" s="47"/>
    </row>
    <row r="82" spans="2:5" ht="26.25" customHeight="1" x14ac:dyDescent="0.3">
      <c r="B82" s="49"/>
      <c r="C82" s="87" t="s">
        <v>67</v>
      </c>
      <c r="D82" s="87"/>
      <c r="E82" s="88"/>
    </row>
    <row r="83" spans="2:5" ht="24" customHeight="1" x14ac:dyDescent="0.3">
      <c r="B83" s="49"/>
      <c r="C83" s="82"/>
      <c r="D83" s="82"/>
      <c r="E83" s="82"/>
    </row>
    <row r="84" spans="2:5" x14ac:dyDescent="0.3">
      <c r="B84" s="48" t="s">
        <v>17</v>
      </c>
      <c r="C84" s="46"/>
      <c r="D84" s="46"/>
      <c r="E84" s="47"/>
    </row>
    <row r="85" spans="2:5" x14ac:dyDescent="0.3">
      <c r="B85" s="49"/>
      <c r="C85" s="83"/>
      <c r="D85" s="83"/>
      <c r="E85" s="83"/>
    </row>
    <row r="86" spans="2:5" x14ac:dyDescent="0.3">
      <c r="B86" s="48" t="s">
        <v>18</v>
      </c>
      <c r="C86" s="50"/>
      <c r="D86" s="50"/>
      <c r="E86" s="51"/>
    </row>
    <row r="87" spans="2:5" x14ac:dyDescent="0.3">
      <c r="B87" s="49"/>
      <c r="C87" s="84" t="s">
        <v>61</v>
      </c>
      <c r="D87" s="84"/>
      <c r="E87" s="84"/>
    </row>
    <row r="88" spans="2:5" x14ac:dyDescent="0.3">
      <c r="B88" s="48" t="s">
        <v>19</v>
      </c>
      <c r="C88" s="46"/>
      <c r="D88" s="46"/>
      <c r="E88" s="47"/>
    </row>
    <row r="89" spans="2:5" x14ac:dyDescent="0.3">
      <c r="B89" s="48"/>
      <c r="C89" s="82"/>
      <c r="D89" s="82"/>
      <c r="E89" s="82"/>
    </row>
    <row r="90" spans="2:5" ht="13.5" thickBot="1" x14ac:dyDescent="0.35">
      <c r="B90" s="52"/>
      <c r="C90" s="53"/>
      <c r="D90" s="53"/>
      <c r="E90" s="54"/>
    </row>
    <row r="92" spans="2:5" ht="13.5" thickBot="1" x14ac:dyDescent="0.35"/>
    <row r="93" spans="2:5" x14ac:dyDescent="0.3">
      <c r="B93" s="42" t="s">
        <v>70</v>
      </c>
      <c r="C93" s="43"/>
      <c r="D93" s="43"/>
      <c r="E93" s="44"/>
    </row>
    <row r="94" spans="2:5" x14ac:dyDescent="0.3">
      <c r="B94" s="45"/>
      <c r="C94" s="46"/>
      <c r="D94" s="46"/>
      <c r="E94" s="47"/>
    </row>
    <row r="95" spans="2:5" x14ac:dyDescent="0.3">
      <c r="B95" s="48" t="s">
        <v>15</v>
      </c>
      <c r="C95" s="46"/>
      <c r="D95" s="46"/>
      <c r="E95" s="47"/>
    </row>
    <row r="96" spans="2:5" ht="35.25" customHeight="1" x14ac:dyDescent="0.3">
      <c r="B96" s="48"/>
      <c r="C96" s="85" t="s">
        <v>115</v>
      </c>
      <c r="D96" s="85"/>
      <c r="E96" s="86"/>
    </row>
    <row r="97" spans="2:5" x14ac:dyDescent="0.3">
      <c r="B97" s="48" t="s">
        <v>16</v>
      </c>
      <c r="C97" s="46"/>
      <c r="D97" s="46"/>
      <c r="E97" s="47"/>
    </row>
    <row r="98" spans="2:5" ht="21.75" customHeight="1" x14ac:dyDescent="0.3">
      <c r="B98" s="49"/>
      <c r="C98" s="87" t="s">
        <v>67</v>
      </c>
      <c r="D98" s="87"/>
      <c r="E98" s="88"/>
    </row>
    <row r="99" spans="2:5" x14ac:dyDescent="0.3">
      <c r="B99" s="49"/>
      <c r="C99" s="82"/>
      <c r="D99" s="82"/>
      <c r="E99" s="82"/>
    </row>
    <row r="100" spans="2:5" x14ac:dyDescent="0.3">
      <c r="B100" s="48" t="s">
        <v>17</v>
      </c>
      <c r="C100" s="46"/>
      <c r="D100" s="46"/>
      <c r="E100" s="47"/>
    </row>
    <row r="101" spans="2:5" x14ac:dyDescent="0.3">
      <c r="B101" s="49"/>
      <c r="C101" s="83"/>
      <c r="D101" s="83"/>
      <c r="E101" s="83"/>
    </row>
    <row r="102" spans="2:5" x14ac:dyDescent="0.3">
      <c r="B102" s="48" t="s">
        <v>18</v>
      </c>
      <c r="C102" s="50"/>
      <c r="D102" s="50"/>
      <c r="E102" s="51"/>
    </row>
    <row r="103" spans="2:5" x14ac:dyDescent="0.3">
      <c r="B103" s="49"/>
      <c r="C103" s="84" t="s">
        <v>61</v>
      </c>
      <c r="D103" s="84"/>
      <c r="E103" s="84"/>
    </row>
    <row r="104" spans="2:5" x14ac:dyDescent="0.3">
      <c r="B104" s="48" t="s">
        <v>19</v>
      </c>
      <c r="C104" s="46"/>
      <c r="D104" s="46"/>
      <c r="E104" s="47"/>
    </row>
    <row r="105" spans="2:5" x14ac:dyDescent="0.3">
      <c r="B105" s="48"/>
      <c r="C105" s="82"/>
      <c r="D105" s="82"/>
      <c r="E105" s="82"/>
    </row>
    <row r="106" spans="2:5" ht="13.5" thickBot="1" x14ac:dyDescent="0.35">
      <c r="B106" s="52"/>
      <c r="C106" s="53"/>
      <c r="D106" s="53"/>
      <c r="E106" s="54"/>
    </row>
    <row r="107" spans="2:5" ht="13.5" thickBot="1" x14ac:dyDescent="0.35"/>
    <row r="108" spans="2:5" x14ac:dyDescent="0.3">
      <c r="B108" s="42" t="s">
        <v>71</v>
      </c>
      <c r="C108" s="43"/>
      <c r="D108" s="43"/>
      <c r="E108" s="44"/>
    </row>
    <row r="109" spans="2:5" x14ac:dyDescent="0.3">
      <c r="B109" s="45"/>
      <c r="C109" s="46"/>
      <c r="D109" s="46"/>
      <c r="E109" s="47"/>
    </row>
    <row r="110" spans="2:5" x14ac:dyDescent="0.3">
      <c r="B110" s="48" t="s">
        <v>15</v>
      </c>
      <c r="C110" s="46"/>
      <c r="D110" s="46"/>
      <c r="E110" s="47"/>
    </row>
    <row r="111" spans="2:5" ht="24.75" customHeight="1" x14ac:dyDescent="0.3">
      <c r="B111" s="48"/>
      <c r="C111" s="85" t="s">
        <v>116</v>
      </c>
      <c r="D111" s="85"/>
      <c r="E111" s="86"/>
    </row>
    <row r="112" spans="2:5" ht="19.5" customHeight="1" x14ac:dyDescent="0.3">
      <c r="B112" s="48" t="s">
        <v>16</v>
      </c>
      <c r="C112" s="46"/>
      <c r="D112" s="46"/>
      <c r="E112" s="47"/>
    </row>
    <row r="113" spans="2:5" ht="24.75" customHeight="1" x14ac:dyDescent="0.3">
      <c r="B113" s="49"/>
      <c r="C113" s="87" t="s">
        <v>67</v>
      </c>
      <c r="D113" s="87"/>
      <c r="E113" s="88"/>
    </row>
    <row r="114" spans="2:5" x14ac:dyDescent="0.3">
      <c r="B114" s="49"/>
      <c r="C114" s="82"/>
      <c r="D114" s="82"/>
      <c r="E114" s="82"/>
    </row>
    <row r="115" spans="2:5" ht="12.75" customHeight="1" x14ac:dyDescent="0.3">
      <c r="B115" s="48" t="s">
        <v>17</v>
      </c>
      <c r="C115" s="46"/>
      <c r="D115" s="46"/>
      <c r="E115" s="47"/>
    </row>
    <row r="116" spans="2:5" x14ac:dyDescent="0.3">
      <c r="B116" s="49"/>
      <c r="C116" s="83"/>
      <c r="D116" s="83"/>
      <c r="E116" s="83"/>
    </row>
    <row r="117" spans="2:5" x14ac:dyDescent="0.3">
      <c r="B117" s="48" t="s">
        <v>18</v>
      </c>
      <c r="C117" s="50"/>
      <c r="D117" s="50"/>
      <c r="E117" s="51"/>
    </row>
    <row r="118" spans="2:5" x14ac:dyDescent="0.3">
      <c r="B118" s="49"/>
      <c r="C118" s="84" t="s">
        <v>61</v>
      </c>
      <c r="D118" s="84"/>
      <c r="E118" s="84"/>
    </row>
    <row r="119" spans="2:5" x14ac:dyDescent="0.3">
      <c r="B119" s="48" t="s">
        <v>19</v>
      </c>
      <c r="C119" s="46"/>
      <c r="D119" s="46"/>
      <c r="E119" s="47"/>
    </row>
    <row r="120" spans="2:5" x14ac:dyDescent="0.3">
      <c r="B120" s="48"/>
      <c r="C120" s="82"/>
      <c r="D120" s="82"/>
      <c r="E120" s="82"/>
    </row>
    <row r="121" spans="2:5" ht="13.5" thickBot="1" x14ac:dyDescent="0.35">
      <c r="B121" s="52"/>
      <c r="C121" s="53"/>
      <c r="D121" s="53"/>
      <c r="E121" s="54"/>
    </row>
    <row r="124" spans="2:5" ht="13.5" thickBot="1" x14ac:dyDescent="0.35"/>
    <row r="125" spans="2:5" x14ac:dyDescent="0.3">
      <c r="B125" s="42" t="s">
        <v>72</v>
      </c>
      <c r="C125" s="43"/>
      <c r="D125" s="43"/>
      <c r="E125" s="44"/>
    </row>
    <row r="126" spans="2:5" x14ac:dyDescent="0.3">
      <c r="B126" s="45"/>
      <c r="C126" s="46"/>
      <c r="D126" s="46"/>
      <c r="E126" s="47"/>
    </row>
    <row r="127" spans="2:5" x14ac:dyDescent="0.3">
      <c r="B127" s="48" t="s">
        <v>15</v>
      </c>
      <c r="C127" s="46"/>
      <c r="D127" s="46"/>
      <c r="E127" s="47"/>
    </row>
    <row r="128" spans="2:5" ht="34.5" customHeight="1" x14ac:dyDescent="0.3">
      <c r="B128" s="48"/>
      <c r="C128" s="85" t="s">
        <v>110</v>
      </c>
      <c r="D128" s="85"/>
      <c r="E128" s="86"/>
    </row>
    <row r="129" spans="2:5" x14ac:dyDescent="0.3">
      <c r="B129" s="48" t="s">
        <v>16</v>
      </c>
      <c r="C129" s="46"/>
      <c r="D129" s="46"/>
      <c r="E129" s="47"/>
    </row>
    <row r="130" spans="2:5" x14ac:dyDescent="0.3">
      <c r="B130" s="49"/>
      <c r="C130" s="87" t="s">
        <v>67</v>
      </c>
      <c r="D130" s="87"/>
      <c r="E130" s="88"/>
    </row>
    <row r="131" spans="2:5" x14ac:dyDescent="0.3">
      <c r="B131" s="49"/>
      <c r="C131" s="82"/>
      <c r="D131" s="82"/>
      <c r="E131" s="82"/>
    </row>
    <row r="132" spans="2:5" x14ac:dyDescent="0.3">
      <c r="B132" s="48" t="s">
        <v>17</v>
      </c>
      <c r="C132" s="46"/>
      <c r="D132" s="46"/>
      <c r="E132" s="47"/>
    </row>
    <row r="133" spans="2:5" x14ac:dyDescent="0.3">
      <c r="B133" s="49"/>
      <c r="C133" s="83"/>
      <c r="D133" s="83"/>
      <c r="E133" s="83"/>
    </row>
    <row r="134" spans="2:5" x14ac:dyDescent="0.3">
      <c r="B134" s="48" t="s">
        <v>18</v>
      </c>
      <c r="C134" s="50"/>
      <c r="D134" s="50"/>
      <c r="E134" s="51"/>
    </row>
    <row r="135" spans="2:5" x14ac:dyDescent="0.3">
      <c r="B135" s="49"/>
      <c r="C135" s="84" t="s">
        <v>61</v>
      </c>
      <c r="D135" s="84"/>
      <c r="E135" s="84"/>
    </row>
    <row r="136" spans="2:5" x14ac:dyDescent="0.3">
      <c r="B136" s="48" t="s">
        <v>19</v>
      </c>
      <c r="C136" s="46"/>
      <c r="D136" s="46"/>
      <c r="E136" s="47"/>
    </row>
    <row r="137" spans="2:5" x14ac:dyDescent="0.3">
      <c r="B137" s="48"/>
      <c r="C137" s="82"/>
      <c r="D137" s="82"/>
      <c r="E137" s="82"/>
    </row>
    <row r="138" spans="2:5" ht="13.5" thickBot="1" x14ac:dyDescent="0.35">
      <c r="B138" s="52"/>
      <c r="C138" s="53"/>
      <c r="D138" s="53"/>
      <c r="E138" s="54"/>
    </row>
    <row r="141" spans="2:5" ht="13.5" thickBot="1" x14ac:dyDescent="0.35"/>
    <row r="142" spans="2:5" x14ac:dyDescent="0.3">
      <c r="B142" s="42" t="s">
        <v>73</v>
      </c>
      <c r="C142" s="43"/>
      <c r="D142" s="43"/>
      <c r="E142" s="44"/>
    </row>
    <row r="143" spans="2:5" x14ac:dyDescent="0.3">
      <c r="B143" s="45"/>
      <c r="C143" s="46"/>
      <c r="D143" s="46"/>
      <c r="E143" s="47"/>
    </row>
    <row r="144" spans="2:5" x14ac:dyDescent="0.3">
      <c r="B144" s="48" t="s">
        <v>15</v>
      </c>
      <c r="C144" s="46"/>
      <c r="D144" s="46"/>
      <c r="E144" s="47"/>
    </row>
    <row r="145" spans="2:5" ht="28.5" customHeight="1" x14ac:dyDescent="0.3">
      <c r="B145" s="48"/>
      <c r="C145" s="85" t="s">
        <v>111</v>
      </c>
      <c r="D145" s="85"/>
      <c r="E145" s="86"/>
    </row>
    <row r="146" spans="2:5" x14ac:dyDescent="0.3">
      <c r="B146" s="48" t="s">
        <v>16</v>
      </c>
      <c r="C146" s="46"/>
      <c r="D146" s="46"/>
      <c r="E146" s="47"/>
    </row>
    <row r="147" spans="2:5" x14ac:dyDescent="0.3">
      <c r="B147" s="49"/>
      <c r="C147" s="87" t="s">
        <v>67</v>
      </c>
      <c r="D147" s="87"/>
      <c r="E147" s="88"/>
    </row>
    <row r="148" spans="2:5" x14ac:dyDescent="0.3">
      <c r="B148" s="49"/>
      <c r="C148" s="82"/>
      <c r="D148" s="82"/>
      <c r="E148" s="82"/>
    </row>
    <row r="149" spans="2:5" x14ac:dyDescent="0.3">
      <c r="B149" s="48" t="s">
        <v>17</v>
      </c>
      <c r="C149" s="46"/>
      <c r="D149" s="46"/>
      <c r="E149" s="47"/>
    </row>
    <row r="150" spans="2:5" x14ac:dyDescent="0.3">
      <c r="B150" s="49"/>
      <c r="C150" s="83"/>
      <c r="D150" s="83"/>
      <c r="E150" s="83"/>
    </row>
    <row r="151" spans="2:5" x14ac:dyDescent="0.3">
      <c r="B151" s="48" t="s">
        <v>18</v>
      </c>
      <c r="C151" s="50"/>
      <c r="D151" s="50"/>
      <c r="E151" s="51"/>
    </row>
    <row r="152" spans="2:5" x14ac:dyDescent="0.3">
      <c r="B152" s="49"/>
      <c r="C152" s="84" t="s">
        <v>61</v>
      </c>
      <c r="D152" s="84"/>
      <c r="E152" s="84"/>
    </row>
    <row r="153" spans="2:5" x14ac:dyDescent="0.3">
      <c r="B153" s="48" t="s">
        <v>19</v>
      </c>
      <c r="C153" s="46"/>
      <c r="D153" s="46"/>
      <c r="E153" s="47"/>
    </row>
    <row r="154" spans="2:5" x14ac:dyDescent="0.3">
      <c r="B154" s="48"/>
      <c r="C154" s="82"/>
      <c r="D154" s="82"/>
      <c r="E154" s="82"/>
    </row>
    <row r="155" spans="2:5" ht="13.5" thickBot="1" x14ac:dyDescent="0.35">
      <c r="B155" s="52"/>
      <c r="C155" s="53"/>
      <c r="D155" s="53"/>
      <c r="E155" s="54"/>
    </row>
    <row r="157" spans="2:5" ht="13.5" thickBot="1" x14ac:dyDescent="0.35"/>
    <row r="158" spans="2:5" x14ac:dyDescent="0.3">
      <c r="B158" s="42" t="s">
        <v>75</v>
      </c>
      <c r="C158" s="43"/>
      <c r="D158" s="43"/>
      <c r="E158" s="44"/>
    </row>
    <row r="159" spans="2:5" x14ac:dyDescent="0.3">
      <c r="B159" s="45"/>
      <c r="C159" s="46"/>
      <c r="D159" s="46"/>
      <c r="E159" s="47"/>
    </row>
    <row r="160" spans="2:5" x14ac:dyDescent="0.3">
      <c r="B160" s="48" t="s">
        <v>15</v>
      </c>
      <c r="C160" s="46"/>
      <c r="D160" s="46"/>
      <c r="E160" s="47"/>
    </row>
    <row r="161" spans="2:5" ht="30.75" customHeight="1" x14ac:dyDescent="0.3">
      <c r="B161" s="48"/>
      <c r="C161" s="85" t="s">
        <v>91</v>
      </c>
      <c r="D161" s="85"/>
      <c r="E161" s="86"/>
    </row>
    <row r="162" spans="2:5" x14ac:dyDescent="0.3">
      <c r="B162" s="48" t="s">
        <v>16</v>
      </c>
      <c r="C162" s="46"/>
      <c r="D162" s="46"/>
      <c r="E162" s="47"/>
    </row>
    <row r="163" spans="2:5" x14ac:dyDescent="0.3">
      <c r="B163" s="49"/>
      <c r="C163" s="87" t="s">
        <v>67</v>
      </c>
      <c r="D163" s="87"/>
      <c r="E163" s="88"/>
    </row>
    <row r="164" spans="2:5" x14ac:dyDescent="0.3">
      <c r="B164" s="49"/>
      <c r="C164" s="82"/>
      <c r="D164" s="82"/>
      <c r="E164" s="82"/>
    </row>
    <row r="165" spans="2:5" x14ac:dyDescent="0.3">
      <c r="B165" s="48" t="s">
        <v>17</v>
      </c>
      <c r="C165" s="46"/>
      <c r="D165" s="46"/>
      <c r="E165" s="47"/>
    </row>
    <row r="166" spans="2:5" x14ac:dyDescent="0.3">
      <c r="B166" s="49"/>
      <c r="C166" s="83"/>
      <c r="D166" s="83"/>
      <c r="E166" s="83"/>
    </row>
    <row r="167" spans="2:5" x14ac:dyDescent="0.3">
      <c r="B167" s="48" t="s">
        <v>18</v>
      </c>
      <c r="C167" s="50"/>
      <c r="D167" s="50"/>
      <c r="E167" s="51"/>
    </row>
    <row r="168" spans="2:5" x14ac:dyDescent="0.3">
      <c r="B168" s="49"/>
      <c r="C168" s="84" t="s">
        <v>61</v>
      </c>
      <c r="D168" s="84"/>
      <c r="E168" s="84"/>
    </row>
    <row r="169" spans="2:5" x14ac:dyDescent="0.3">
      <c r="B169" s="48" t="s">
        <v>19</v>
      </c>
      <c r="C169" s="46"/>
      <c r="D169" s="46"/>
      <c r="E169" s="47"/>
    </row>
    <row r="170" spans="2:5" x14ac:dyDescent="0.3">
      <c r="B170" s="48"/>
      <c r="C170" s="82"/>
      <c r="D170" s="82"/>
      <c r="E170" s="82"/>
    </row>
    <row r="171" spans="2:5" ht="13.5" thickBot="1" x14ac:dyDescent="0.35">
      <c r="B171" s="52"/>
      <c r="C171" s="53"/>
      <c r="D171" s="53"/>
      <c r="E171" s="54"/>
    </row>
    <row r="173" spans="2:5" ht="13.5" thickBot="1" x14ac:dyDescent="0.35"/>
    <row r="174" spans="2:5" x14ac:dyDescent="0.3">
      <c r="B174" s="42" t="s">
        <v>76</v>
      </c>
      <c r="C174" s="43"/>
      <c r="D174" s="43"/>
      <c r="E174" s="44"/>
    </row>
    <row r="175" spans="2:5" x14ac:dyDescent="0.3">
      <c r="B175" s="45"/>
      <c r="C175" s="46"/>
      <c r="D175" s="46"/>
      <c r="E175" s="47"/>
    </row>
    <row r="176" spans="2:5" x14ac:dyDescent="0.3">
      <c r="B176" s="48" t="s">
        <v>15</v>
      </c>
      <c r="C176" s="46"/>
      <c r="D176" s="46"/>
      <c r="E176" s="47"/>
    </row>
    <row r="177" spans="2:5" ht="30.75" customHeight="1" x14ac:dyDescent="0.3">
      <c r="B177" s="48"/>
      <c r="C177" s="85" t="s">
        <v>112</v>
      </c>
      <c r="D177" s="85"/>
      <c r="E177" s="86"/>
    </row>
    <row r="178" spans="2:5" x14ac:dyDescent="0.3">
      <c r="B178" s="48" t="s">
        <v>16</v>
      </c>
      <c r="C178" s="46"/>
      <c r="D178" s="46"/>
      <c r="E178" s="47"/>
    </row>
    <row r="179" spans="2:5" x14ac:dyDescent="0.3">
      <c r="B179" s="49"/>
      <c r="C179" s="87" t="s">
        <v>67</v>
      </c>
      <c r="D179" s="87"/>
      <c r="E179" s="88"/>
    </row>
    <row r="180" spans="2:5" x14ac:dyDescent="0.3">
      <c r="B180" s="49"/>
      <c r="C180" s="82"/>
      <c r="D180" s="82"/>
      <c r="E180" s="82"/>
    </row>
    <row r="181" spans="2:5" x14ac:dyDescent="0.3">
      <c r="B181" s="48" t="s">
        <v>17</v>
      </c>
      <c r="C181" s="46"/>
      <c r="D181" s="46"/>
      <c r="E181" s="47"/>
    </row>
    <row r="182" spans="2:5" x14ac:dyDescent="0.3">
      <c r="B182" s="49"/>
      <c r="C182" s="83"/>
      <c r="D182" s="83"/>
      <c r="E182" s="83"/>
    </row>
    <row r="183" spans="2:5" x14ac:dyDescent="0.3">
      <c r="B183" s="48" t="s">
        <v>18</v>
      </c>
      <c r="C183" s="50"/>
      <c r="D183" s="50"/>
      <c r="E183" s="51"/>
    </row>
    <row r="184" spans="2:5" x14ac:dyDescent="0.3">
      <c r="B184" s="49"/>
      <c r="C184" s="84" t="s">
        <v>61</v>
      </c>
      <c r="D184" s="84"/>
      <c r="E184" s="84"/>
    </row>
    <row r="185" spans="2:5" x14ac:dyDescent="0.3">
      <c r="B185" s="48" t="s">
        <v>19</v>
      </c>
      <c r="C185" s="46"/>
      <c r="D185" s="46"/>
      <c r="E185" s="47"/>
    </row>
    <row r="186" spans="2:5" x14ac:dyDescent="0.3">
      <c r="B186" s="48"/>
      <c r="C186" s="82"/>
      <c r="D186" s="82"/>
      <c r="E186" s="82"/>
    </row>
    <row r="187" spans="2:5" ht="13.5" thickBot="1" x14ac:dyDescent="0.35">
      <c r="B187" s="52"/>
      <c r="C187" s="53"/>
      <c r="D187" s="53"/>
      <c r="E187" s="54"/>
    </row>
    <row r="189" spans="2:5" ht="13.5" thickBot="1" x14ac:dyDescent="0.35"/>
    <row r="190" spans="2:5" x14ac:dyDescent="0.3">
      <c r="B190" s="42" t="s">
        <v>77</v>
      </c>
      <c r="C190" s="43"/>
      <c r="D190" s="43"/>
      <c r="E190" s="44"/>
    </row>
    <row r="191" spans="2:5" x14ac:dyDescent="0.3">
      <c r="B191" s="45"/>
      <c r="C191" s="46"/>
      <c r="D191" s="46"/>
      <c r="E191" s="47"/>
    </row>
    <row r="192" spans="2:5" x14ac:dyDescent="0.3">
      <c r="B192" s="48" t="s">
        <v>15</v>
      </c>
      <c r="C192" s="46"/>
      <c r="D192" s="46"/>
      <c r="E192" s="47"/>
    </row>
    <row r="193" spans="2:5" ht="35.25" customHeight="1" x14ac:dyDescent="0.3">
      <c r="B193" s="48"/>
      <c r="C193" s="85" t="s">
        <v>113</v>
      </c>
      <c r="D193" s="85"/>
      <c r="E193" s="86"/>
    </row>
    <row r="194" spans="2:5" x14ac:dyDescent="0.3">
      <c r="B194" s="48" t="s">
        <v>16</v>
      </c>
      <c r="C194" s="46"/>
      <c r="D194" s="46"/>
      <c r="E194" s="47"/>
    </row>
    <row r="195" spans="2:5" x14ac:dyDescent="0.3">
      <c r="B195" s="49"/>
      <c r="C195" s="87" t="s">
        <v>67</v>
      </c>
      <c r="D195" s="87"/>
      <c r="E195" s="88"/>
    </row>
    <row r="196" spans="2:5" x14ac:dyDescent="0.3">
      <c r="B196" s="49"/>
      <c r="C196" s="82"/>
      <c r="D196" s="82"/>
      <c r="E196" s="82"/>
    </row>
    <row r="197" spans="2:5" x14ac:dyDescent="0.3">
      <c r="B197" s="48" t="s">
        <v>17</v>
      </c>
      <c r="C197" s="46"/>
      <c r="D197" s="46"/>
      <c r="E197" s="47"/>
    </row>
    <row r="198" spans="2:5" x14ac:dyDescent="0.3">
      <c r="B198" s="49"/>
      <c r="C198" s="83"/>
      <c r="D198" s="83"/>
      <c r="E198" s="83"/>
    </row>
    <row r="199" spans="2:5" x14ac:dyDescent="0.3">
      <c r="B199" s="48" t="s">
        <v>18</v>
      </c>
      <c r="C199" s="50"/>
      <c r="D199" s="50"/>
      <c r="E199" s="51"/>
    </row>
    <row r="200" spans="2:5" x14ac:dyDescent="0.3">
      <c r="B200" s="49"/>
      <c r="C200" s="84" t="s">
        <v>61</v>
      </c>
      <c r="D200" s="84"/>
      <c r="E200" s="84"/>
    </row>
    <row r="201" spans="2:5" x14ac:dyDescent="0.3">
      <c r="B201" s="48" t="s">
        <v>19</v>
      </c>
      <c r="C201" s="46"/>
      <c r="D201" s="46"/>
      <c r="E201" s="47"/>
    </row>
    <row r="202" spans="2:5" x14ac:dyDescent="0.3">
      <c r="B202" s="48"/>
      <c r="C202" s="82"/>
      <c r="D202" s="82"/>
      <c r="E202" s="82"/>
    </row>
    <row r="203" spans="2:5" ht="13.5" thickBot="1" x14ac:dyDescent="0.35">
      <c r="B203" s="52"/>
      <c r="C203" s="53"/>
      <c r="D203" s="53"/>
      <c r="E203" s="54"/>
    </row>
    <row r="205" spans="2:5" ht="13.5" thickBot="1" x14ac:dyDescent="0.35"/>
    <row r="206" spans="2:5" x14ac:dyDescent="0.3">
      <c r="B206" s="42" t="s">
        <v>82</v>
      </c>
      <c r="C206" s="43"/>
      <c r="D206" s="43"/>
      <c r="E206" s="44"/>
    </row>
    <row r="207" spans="2:5" x14ac:dyDescent="0.3">
      <c r="B207" s="45"/>
      <c r="C207" s="46"/>
      <c r="D207" s="46"/>
      <c r="E207" s="47"/>
    </row>
    <row r="208" spans="2:5" x14ac:dyDescent="0.3">
      <c r="B208" s="48" t="s">
        <v>15</v>
      </c>
      <c r="C208" s="46"/>
      <c r="D208" s="46"/>
      <c r="E208" s="47"/>
    </row>
    <row r="209" spans="2:5" ht="31.5" customHeight="1" x14ac:dyDescent="0.3">
      <c r="B209" s="48"/>
      <c r="C209" s="85" t="s">
        <v>79</v>
      </c>
      <c r="D209" s="85"/>
      <c r="E209" s="86"/>
    </row>
    <row r="210" spans="2:5" x14ac:dyDescent="0.3">
      <c r="B210" s="48" t="s">
        <v>16</v>
      </c>
      <c r="C210" s="46"/>
      <c r="D210" s="46"/>
      <c r="E210" s="47"/>
    </row>
    <row r="211" spans="2:5" x14ac:dyDescent="0.3">
      <c r="B211" s="49"/>
      <c r="C211" s="87" t="s">
        <v>67</v>
      </c>
      <c r="D211" s="87"/>
      <c r="E211" s="88"/>
    </row>
    <row r="212" spans="2:5" x14ac:dyDescent="0.3">
      <c r="B212" s="49"/>
      <c r="C212" s="82"/>
      <c r="D212" s="82"/>
      <c r="E212" s="82"/>
    </row>
    <row r="213" spans="2:5" x14ac:dyDescent="0.3">
      <c r="B213" s="48" t="s">
        <v>17</v>
      </c>
      <c r="C213" s="46"/>
      <c r="D213" s="46"/>
      <c r="E213" s="47"/>
    </row>
    <row r="214" spans="2:5" x14ac:dyDescent="0.3">
      <c r="B214" s="49"/>
      <c r="C214" s="83"/>
      <c r="D214" s="83"/>
      <c r="E214" s="83"/>
    </row>
    <row r="215" spans="2:5" x14ac:dyDescent="0.3">
      <c r="B215" s="48" t="s">
        <v>18</v>
      </c>
      <c r="C215" s="50"/>
      <c r="D215" s="50"/>
      <c r="E215" s="51"/>
    </row>
    <row r="216" spans="2:5" x14ac:dyDescent="0.3">
      <c r="B216" s="49"/>
      <c r="C216" s="84" t="s">
        <v>61</v>
      </c>
      <c r="D216" s="84"/>
      <c r="E216" s="84"/>
    </row>
    <row r="217" spans="2:5" x14ac:dyDescent="0.3">
      <c r="B217" s="48" t="s">
        <v>19</v>
      </c>
      <c r="C217" s="46"/>
      <c r="D217" s="46"/>
      <c r="E217" s="47"/>
    </row>
    <row r="218" spans="2:5" x14ac:dyDescent="0.3">
      <c r="B218" s="48"/>
      <c r="C218" s="82"/>
      <c r="D218" s="82"/>
      <c r="E218" s="82"/>
    </row>
    <row r="219" spans="2:5" ht="13.5" thickBot="1" x14ac:dyDescent="0.35">
      <c r="B219" s="52"/>
      <c r="C219" s="53"/>
      <c r="D219" s="53"/>
      <c r="E219" s="54"/>
    </row>
    <row r="221" spans="2:5" ht="13.5" thickBot="1" x14ac:dyDescent="0.35"/>
    <row r="222" spans="2:5" x14ac:dyDescent="0.3">
      <c r="B222" s="42" t="s">
        <v>81</v>
      </c>
      <c r="C222" s="43"/>
      <c r="D222" s="43"/>
      <c r="E222" s="44"/>
    </row>
    <row r="223" spans="2:5" x14ac:dyDescent="0.3">
      <c r="B223" s="45"/>
      <c r="C223" s="46"/>
      <c r="D223" s="46"/>
      <c r="E223" s="47"/>
    </row>
    <row r="224" spans="2:5" x14ac:dyDescent="0.3">
      <c r="B224" s="48" t="s">
        <v>15</v>
      </c>
      <c r="C224" s="46"/>
      <c r="D224" s="46"/>
      <c r="E224" s="47"/>
    </row>
    <row r="225" spans="2:5" ht="26.25" customHeight="1" x14ac:dyDescent="0.3">
      <c r="B225" s="48"/>
      <c r="C225" s="85" t="s">
        <v>136</v>
      </c>
      <c r="D225" s="85"/>
      <c r="E225" s="86"/>
    </row>
    <row r="226" spans="2:5" x14ac:dyDescent="0.3">
      <c r="B226" s="48" t="s">
        <v>16</v>
      </c>
      <c r="C226" s="46"/>
      <c r="D226" s="46"/>
      <c r="E226" s="47"/>
    </row>
    <row r="227" spans="2:5" x14ac:dyDescent="0.3">
      <c r="B227" s="49"/>
      <c r="C227" s="87" t="s">
        <v>67</v>
      </c>
      <c r="D227" s="87"/>
      <c r="E227" s="88"/>
    </row>
    <row r="228" spans="2:5" x14ac:dyDescent="0.3">
      <c r="B228" s="49"/>
      <c r="C228" s="82"/>
      <c r="D228" s="82"/>
      <c r="E228" s="82"/>
    </row>
    <row r="229" spans="2:5" x14ac:dyDescent="0.3">
      <c r="B229" s="48" t="s">
        <v>17</v>
      </c>
      <c r="C229" s="46"/>
      <c r="D229" s="46"/>
      <c r="E229" s="47"/>
    </row>
    <row r="230" spans="2:5" x14ac:dyDescent="0.3">
      <c r="B230" s="49"/>
      <c r="C230" s="83"/>
      <c r="D230" s="83"/>
      <c r="E230" s="83"/>
    </row>
    <row r="231" spans="2:5" x14ac:dyDescent="0.3">
      <c r="B231" s="48" t="s">
        <v>18</v>
      </c>
      <c r="C231" s="50"/>
      <c r="D231" s="50"/>
      <c r="E231" s="51"/>
    </row>
    <row r="232" spans="2:5" x14ac:dyDescent="0.3">
      <c r="B232" s="49"/>
      <c r="C232" s="84" t="s">
        <v>61</v>
      </c>
      <c r="D232" s="84"/>
      <c r="E232" s="84"/>
    </row>
    <row r="233" spans="2:5" x14ac:dyDescent="0.3">
      <c r="B233" s="48" t="s">
        <v>19</v>
      </c>
      <c r="C233" s="46"/>
      <c r="D233" s="46"/>
      <c r="E233" s="47"/>
    </row>
    <row r="234" spans="2:5" x14ac:dyDescent="0.3">
      <c r="B234" s="48"/>
      <c r="C234" s="82"/>
      <c r="D234" s="82"/>
      <c r="E234" s="82"/>
    </row>
    <row r="235" spans="2:5" ht="13.5" thickBot="1" x14ac:dyDescent="0.35">
      <c r="B235" s="52"/>
      <c r="C235" s="53"/>
      <c r="D235" s="53"/>
      <c r="E235" s="54"/>
    </row>
    <row r="237" spans="2:5" ht="13.5" thickBot="1" x14ac:dyDescent="0.35"/>
    <row r="238" spans="2:5" x14ac:dyDescent="0.3">
      <c r="B238" s="42" t="s">
        <v>80</v>
      </c>
      <c r="C238" s="43"/>
      <c r="D238" s="43"/>
      <c r="E238" s="44"/>
    </row>
    <row r="239" spans="2:5" x14ac:dyDescent="0.3">
      <c r="B239" s="45"/>
      <c r="C239" s="46"/>
      <c r="D239" s="46"/>
      <c r="E239" s="47"/>
    </row>
    <row r="240" spans="2:5" x14ac:dyDescent="0.3">
      <c r="B240" s="48" t="s">
        <v>15</v>
      </c>
      <c r="C240" s="46"/>
      <c r="D240" s="46"/>
      <c r="E240" s="47"/>
    </row>
    <row r="241" spans="2:5" ht="36" customHeight="1" x14ac:dyDescent="0.3">
      <c r="B241" s="48"/>
      <c r="C241" s="85" t="s">
        <v>137</v>
      </c>
      <c r="D241" s="85"/>
      <c r="E241" s="86"/>
    </row>
    <row r="242" spans="2:5" x14ac:dyDescent="0.3">
      <c r="B242" s="48" t="s">
        <v>16</v>
      </c>
      <c r="C242" s="46"/>
      <c r="D242" s="46"/>
      <c r="E242" s="47"/>
    </row>
    <row r="243" spans="2:5" x14ac:dyDescent="0.3">
      <c r="B243" s="49"/>
      <c r="C243" s="87" t="s">
        <v>67</v>
      </c>
      <c r="D243" s="87"/>
      <c r="E243" s="88"/>
    </row>
    <row r="244" spans="2:5" x14ac:dyDescent="0.3">
      <c r="B244" s="49"/>
      <c r="C244" s="82"/>
      <c r="D244" s="82"/>
      <c r="E244" s="82"/>
    </row>
    <row r="245" spans="2:5" x14ac:dyDescent="0.3">
      <c r="B245" s="48" t="s">
        <v>17</v>
      </c>
      <c r="C245" s="46"/>
      <c r="D245" s="46"/>
      <c r="E245" s="47"/>
    </row>
    <row r="246" spans="2:5" x14ac:dyDescent="0.3">
      <c r="B246" s="49"/>
      <c r="C246" s="83"/>
      <c r="D246" s="83"/>
      <c r="E246" s="83"/>
    </row>
    <row r="247" spans="2:5" x14ac:dyDescent="0.3">
      <c r="B247" s="48" t="s">
        <v>18</v>
      </c>
      <c r="C247" s="50"/>
      <c r="D247" s="50"/>
      <c r="E247" s="51"/>
    </row>
    <row r="248" spans="2:5" x14ac:dyDescent="0.3">
      <c r="B248" s="49"/>
      <c r="C248" s="84" t="s">
        <v>61</v>
      </c>
      <c r="D248" s="84"/>
      <c r="E248" s="84"/>
    </row>
    <row r="249" spans="2:5" x14ac:dyDescent="0.3">
      <c r="B249" s="48" t="s">
        <v>19</v>
      </c>
      <c r="C249" s="46"/>
      <c r="D249" s="46"/>
      <c r="E249" s="47"/>
    </row>
    <row r="250" spans="2:5" x14ac:dyDescent="0.3">
      <c r="B250" s="48"/>
      <c r="C250" s="82"/>
      <c r="D250" s="82"/>
      <c r="E250" s="82"/>
    </row>
    <row r="251" spans="2:5" ht="13.5" thickBot="1" x14ac:dyDescent="0.35">
      <c r="B251" s="52"/>
      <c r="C251" s="53"/>
      <c r="D251" s="53"/>
      <c r="E251" s="54"/>
    </row>
    <row r="253" spans="2:5" ht="13.5" thickBot="1" x14ac:dyDescent="0.35"/>
    <row r="254" spans="2:5" x14ac:dyDescent="0.3">
      <c r="B254" s="42" t="s">
        <v>117</v>
      </c>
      <c r="C254" s="43"/>
      <c r="D254" s="43"/>
      <c r="E254" s="44"/>
    </row>
    <row r="255" spans="2:5" x14ac:dyDescent="0.3">
      <c r="B255" s="45"/>
      <c r="C255" s="46"/>
      <c r="D255" s="46"/>
      <c r="E255" s="47"/>
    </row>
    <row r="256" spans="2:5" x14ac:dyDescent="0.3">
      <c r="B256" s="48" t="s">
        <v>15</v>
      </c>
      <c r="C256" s="46"/>
      <c r="D256" s="46"/>
      <c r="E256" s="47"/>
    </row>
    <row r="257" spans="2:5" ht="30.75" customHeight="1" x14ac:dyDescent="0.3">
      <c r="B257" s="48"/>
      <c r="C257" s="85" t="s">
        <v>83</v>
      </c>
      <c r="D257" s="85"/>
      <c r="E257" s="86"/>
    </row>
    <row r="258" spans="2:5" x14ac:dyDescent="0.3">
      <c r="B258" s="48" t="s">
        <v>16</v>
      </c>
      <c r="C258" s="46"/>
      <c r="D258" s="46"/>
      <c r="E258" s="47"/>
    </row>
    <row r="259" spans="2:5" x14ac:dyDescent="0.3">
      <c r="B259" s="49"/>
      <c r="C259" s="87" t="s">
        <v>67</v>
      </c>
      <c r="D259" s="87"/>
      <c r="E259" s="88"/>
    </row>
    <row r="260" spans="2:5" x14ac:dyDescent="0.3">
      <c r="B260" s="49"/>
      <c r="C260" s="82"/>
      <c r="D260" s="82"/>
      <c r="E260" s="82"/>
    </row>
    <row r="261" spans="2:5" x14ac:dyDescent="0.3">
      <c r="B261" s="48" t="s">
        <v>17</v>
      </c>
      <c r="C261" s="46"/>
      <c r="D261" s="46"/>
      <c r="E261" s="47"/>
    </row>
    <row r="262" spans="2:5" x14ac:dyDescent="0.3">
      <c r="B262" s="49"/>
      <c r="C262" s="83"/>
      <c r="D262" s="83"/>
      <c r="E262" s="83"/>
    </row>
    <row r="263" spans="2:5" x14ac:dyDescent="0.3">
      <c r="B263" s="48" t="s">
        <v>18</v>
      </c>
      <c r="C263" s="50"/>
      <c r="D263" s="50"/>
      <c r="E263" s="51"/>
    </row>
    <row r="264" spans="2:5" x14ac:dyDescent="0.3">
      <c r="B264" s="49"/>
      <c r="C264" s="84" t="s">
        <v>61</v>
      </c>
      <c r="D264" s="84"/>
      <c r="E264" s="84"/>
    </row>
    <row r="265" spans="2:5" x14ac:dyDescent="0.3">
      <c r="B265" s="48" t="s">
        <v>19</v>
      </c>
      <c r="C265" s="46"/>
      <c r="D265" s="46"/>
      <c r="E265" s="47"/>
    </row>
    <row r="266" spans="2:5" x14ac:dyDescent="0.3">
      <c r="B266" s="48"/>
      <c r="C266" s="82"/>
      <c r="D266" s="82"/>
      <c r="E266" s="82"/>
    </row>
    <row r="267" spans="2:5" ht="13.5" thickBot="1" x14ac:dyDescent="0.35">
      <c r="B267" s="52"/>
      <c r="C267" s="53"/>
      <c r="D267" s="53"/>
      <c r="E267" s="54"/>
    </row>
    <row r="269" spans="2:5" ht="13.5" thickBot="1" x14ac:dyDescent="0.35"/>
    <row r="270" spans="2:5" x14ac:dyDescent="0.3">
      <c r="B270" s="42" t="s">
        <v>118</v>
      </c>
      <c r="C270" s="43"/>
      <c r="D270" s="43"/>
      <c r="E270" s="44"/>
    </row>
    <row r="271" spans="2:5" x14ac:dyDescent="0.3">
      <c r="B271" s="45"/>
      <c r="C271" s="46"/>
      <c r="D271" s="46"/>
      <c r="E271" s="47"/>
    </row>
    <row r="272" spans="2:5" x14ac:dyDescent="0.3">
      <c r="B272" s="48" t="s">
        <v>15</v>
      </c>
      <c r="C272" s="46"/>
      <c r="D272" s="46"/>
      <c r="E272" s="47"/>
    </row>
    <row r="273" spans="2:5" ht="29.25" customHeight="1" x14ac:dyDescent="0.3">
      <c r="B273" s="48"/>
      <c r="C273" s="85" t="s">
        <v>84</v>
      </c>
      <c r="D273" s="85"/>
      <c r="E273" s="86"/>
    </row>
    <row r="274" spans="2:5" x14ac:dyDescent="0.3">
      <c r="B274" s="48" t="s">
        <v>16</v>
      </c>
      <c r="C274" s="46"/>
      <c r="D274" s="46"/>
      <c r="E274" s="47"/>
    </row>
    <row r="275" spans="2:5" x14ac:dyDescent="0.3">
      <c r="B275" s="49"/>
      <c r="C275" s="87" t="s">
        <v>67</v>
      </c>
      <c r="D275" s="87"/>
      <c r="E275" s="88"/>
    </row>
    <row r="276" spans="2:5" x14ac:dyDescent="0.3">
      <c r="B276" s="49"/>
      <c r="C276" s="82"/>
      <c r="D276" s="82"/>
      <c r="E276" s="82"/>
    </row>
    <row r="277" spans="2:5" x14ac:dyDescent="0.3">
      <c r="B277" s="48" t="s">
        <v>17</v>
      </c>
      <c r="C277" s="46"/>
      <c r="D277" s="46"/>
      <c r="E277" s="47"/>
    </row>
    <row r="278" spans="2:5" x14ac:dyDescent="0.3">
      <c r="B278" s="49"/>
      <c r="C278" s="83"/>
      <c r="D278" s="83"/>
      <c r="E278" s="83"/>
    </row>
    <row r="279" spans="2:5" x14ac:dyDescent="0.3">
      <c r="B279" s="48" t="s">
        <v>18</v>
      </c>
      <c r="C279" s="50"/>
      <c r="D279" s="50"/>
      <c r="E279" s="51"/>
    </row>
    <row r="280" spans="2:5" x14ac:dyDescent="0.3">
      <c r="B280" s="49"/>
      <c r="C280" s="84" t="s">
        <v>61</v>
      </c>
      <c r="D280" s="84"/>
      <c r="E280" s="84"/>
    </row>
    <row r="281" spans="2:5" x14ac:dyDescent="0.3">
      <c r="B281" s="48" t="s">
        <v>19</v>
      </c>
      <c r="C281" s="46"/>
      <c r="D281" s="46"/>
      <c r="E281" s="47"/>
    </row>
    <row r="282" spans="2:5" x14ac:dyDescent="0.3">
      <c r="B282" s="48"/>
      <c r="C282" s="82"/>
      <c r="D282" s="82"/>
      <c r="E282" s="82"/>
    </row>
    <row r="283" spans="2:5" ht="13.5" thickBot="1" x14ac:dyDescent="0.35">
      <c r="B283" s="52"/>
      <c r="C283" s="53"/>
      <c r="D283" s="53"/>
      <c r="E283" s="54"/>
    </row>
    <row r="285" spans="2:5" ht="13.5" thickBot="1" x14ac:dyDescent="0.35"/>
    <row r="286" spans="2:5" x14ac:dyDescent="0.3">
      <c r="B286" s="42" t="s">
        <v>119</v>
      </c>
      <c r="C286" s="43"/>
      <c r="D286" s="43"/>
      <c r="E286" s="44"/>
    </row>
    <row r="287" spans="2:5" x14ac:dyDescent="0.3">
      <c r="B287" s="45"/>
      <c r="C287" s="46"/>
      <c r="D287" s="46"/>
      <c r="E287" s="47"/>
    </row>
    <row r="288" spans="2:5" x14ac:dyDescent="0.3">
      <c r="B288" s="48" t="s">
        <v>15</v>
      </c>
      <c r="C288" s="46"/>
      <c r="D288" s="46"/>
      <c r="E288" s="47"/>
    </row>
    <row r="289" spans="2:5" ht="35.25" customHeight="1" x14ac:dyDescent="0.3">
      <c r="B289" s="48"/>
      <c r="C289" s="85" t="s">
        <v>92</v>
      </c>
      <c r="D289" s="85"/>
      <c r="E289" s="86"/>
    </row>
    <row r="290" spans="2:5" x14ac:dyDescent="0.3">
      <c r="B290" s="48" t="s">
        <v>16</v>
      </c>
      <c r="C290" s="46"/>
      <c r="D290" s="46"/>
      <c r="E290" s="47"/>
    </row>
    <row r="291" spans="2:5" x14ac:dyDescent="0.3">
      <c r="B291" s="49"/>
      <c r="C291" s="87" t="s">
        <v>67</v>
      </c>
      <c r="D291" s="87"/>
      <c r="E291" s="88"/>
    </row>
    <row r="292" spans="2:5" x14ac:dyDescent="0.3">
      <c r="B292" s="49"/>
      <c r="C292" s="82"/>
      <c r="D292" s="82"/>
      <c r="E292" s="82"/>
    </row>
    <row r="293" spans="2:5" x14ac:dyDescent="0.3">
      <c r="B293" s="48" t="s">
        <v>17</v>
      </c>
      <c r="C293" s="46"/>
      <c r="D293" s="46"/>
      <c r="E293" s="47"/>
    </row>
    <row r="294" spans="2:5" x14ac:dyDescent="0.3">
      <c r="B294" s="49"/>
      <c r="C294" s="83"/>
      <c r="D294" s="83"/>
      <c r="E294" s="83"/>
    </row>
    <row r="295" spans="2:5" x14ac:dyDescent="0.3">
      <c r="B295" s="48" t="s">
        <v>18</v>
      </c>
      <c r="C295" s="50"/>
      <c r="D295" s="50"/>
      <c r="E295" s="51"/>
    </row>
    <row r="296" spans="2:5" x14ac:dyDescent="0.3">
      <c r="B296" s="49"/>
      <c r="C296" s="84" t="s">
        <v>61</v>
      </c>
      <c r="D296" s="84"/>
      <c r="E296" s="84"/>
    </row>
    <row r="297" spans="2:5" x14ac:dyDescent="0.3">
      <c r="B297" s="48" t="s">
        <v>19</v>
      </c>
      <c r="C297" s="46"/>
      <c r="D297" s="46"/>
      <c r="E297" s="47"/>
    </row>
    <row r="298" spans="2:5" x14ac:dyDescent="0.3">
      <c r="B298" s="48"/>
      <c r="C298" s="82"/>
      <c r="D298" s="82"/>
      <c r="E298" s="82"/>
    </row>
    <row r="299" spans="2:5" ht="13.5" thickBot="1" x14ac:dyDescent="0.35">
      <c r="B299" s="52"/>
      <c r="C299" s="53"/>
      <c r="D299" s="53"/>
      <c r="E299" s="54"/>
    </row>
  </sheetData>
  <mergeCells count="109">
    <mergeCell ref="C193:E193"/>
    <mergeCell ref="C195:E195"/>
    <mergeCell ref="C196:E196"/>
    <mergeCell ref="C198:E198"/>
    <mergeCell ref="C200:E200"/>
    <mergeCell ref="C230:E230"/>
    <mergeCell ref="C232:E232"/>
    <mergeCell ref="C234:E234"/>
    <mergeCell ref="C214:E214"/>
    <mergeCell ref="C216:E216"/>
    <mergeCell ref="C218:E218"/>
    <mergeCell ref="C225:E225"/>
    <mergeCell ref="C227:E227"/>
    <mergeCell ref="C202:E202"/>
    <mergeCell ref="C209:E209"/>
    <mergeCell ref="C211:E211"/>
    <mergeCell ref="C212:E212"/>
    <mergeCell ref="C228:E228"/>
    <mergeCell ref="C179:E179"/>
    <mergeCell ref="C180:E180"/>
    <mergeCell ref="C182:E182"/>
    <mergeCell ref="C184:E184"/>
    <mergeCell ref="C186:E186"/>
    <mergeCell ref="C164:E164"/>
    <mergeCell ref="C166:E166"/>
    <mergeCell ref="C168:E168"/>
    <mergeCell ref="C170:E170"/>
    <mergeCell ref="C177:E177"/>
    <mergeCell ref="C150:E150"/>
    <mergeCell ref="C152:E152"/>
    <mergeCell ref="C154:E154"/>
    <mergeCell ref="C161:E161"/>
    <mergeCell ref="C163:E163"/>
    <mergeCell ref="C135:E135"/>
    <mergeCell ref="C137:E137"/>
    <mergeCell ref="C145:E145"/>
    <mergeCell ref="C147:E147"/>
    <mergeCell ref="C148:E148"/>
    <mergeCell ref="C105:E105"/>
    <mergeCell ref="C128:E128"/>
    <mergeCell ref="C130:E130"/>
    <mergeCell ref="C131:E131"/>
    <mergeCell ref="C133:E133"/>
    <mergeCell ref="C118:E118"/>
    <mergeCell ref="C120:E120"/>
    <mergeCell ref="C111:E111"/>
    <mergeCell ref="C113:E113"/>
    <mergeCell ref="C114:E114"/>
    <mergeCell ref="C116:E116"/>
    <mergeCell ref="C96:E96"/>
    <mergeCell ref="C98:E98"/>
    <mergeCell ref="C99:E99"/>
    <mergeCell ref="C101:E101"/>
    <mergeCell ref="C103:E103"/>
    <mergeCell ref="C68:E68"/>
    <mergeCell ref="C70:E70"/>
    <mergeCell ref="C72:E72"/>
    <mergeCell ref="C74:E74"/>
    <mergeCell ref="C89:E89"/>
    <mergeCell ref="C80:E80"/>
    <mergeCell ref="C82:E82"/>
    <mergeCell ref="C83:E83"/>
    <mergeCell ref="C85:E85"/>
    <mergeCell ref="C87:E87"/>
    <mergeCell ref="C37:E37"/>
    <mergeCell ref="C39:E39"/>
    <mergeCell ref="C41:E41"/>
    <mergeCell ref="C65:E65"/>
    <mergeCell ref="C67:E67"/>
    <mergeCell ref="C48:E48"/>
    <mergeCell ref="C50:E50"/>
    <mergeCell ref="C51:E51"/>
    <mergeCell ref="C53:E53"/>
    <mergeCell ref="C55:E55"/>
    <mergeCell ref="C57:E57"/>
    <mergeCell ref="A6:B6"/>
    <mergeCell ref="A7:B7"/>
    <mergeCell ref="C32:E32"/>
    <mergeCell ref="C34:E34"/>
    <mergeCell ref="C35:E35"/>
    <mergeCell ref="B2:H2"/>
    <mergeCell ref="A4:B4"/>
    <mergeCell ref="C4:E4"/>
    <mergeCell ref="A5:B5"/>
    <mergeCell ref="C5:E5"/>
    <mergeCell ref="C241:E241"/>
    <mergeCell ref="C243:E243"/>
    <mergeCell ref="C244:E244"/>
    <mergeCell ref="C246:E246"/>
    <mergeCell ref="C248:E248"/>
    <mergeCell ref="C250:E250"/>
    <mergeCell ref="C257:E257"/>
    <mergeCell ref="C259:E259"/>
    <mergeCell ref="C260:E260"/>
    <mergeCell ref="C298:E298"/>
    <mergeCell ref="C278:E278"/>
    <mergeCell ref="C280:E280"/>
    <mergeCell ref="C282:E282"/>
    <mergeCell ref="C289:E289"/>
    <mergeCell ref="C291:E291"/>
    <mergeCell ref="C262:E262"/>
    <mergeCell ref="C264:E264"/>
    <mergeCell ref="C266:E266"/>
    <mergeCell ref="C273:E273"/>
    <mergeCell ref="C275:E275"/>
    <mergeCell ref="C276:E276"/>
    <mergeCell ref="C292:E292"/>
    <mergeCell ref="C294:E294"/>
    <mergeCell ref="C296:E29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topLeftCell="A28" zoomScale="70" zoomScaleNormal="70" workbookViewId="0">
      <selection activeCell="J29" sqref="J29:K29"/>
    </sheetView>
  </sheetViews>
  <sheetFormatPr baseColWidth="10" defaultColWidth="9.1796875" defaultRowHeight="12.5" x14ac:dyDescent="0.25"/>
  <cols>
    <col min="1" max="1" width="5.54296875" style="2" customWidth="1"/>
    <col min="2" max="2" width="15.1796875" style="2" customWidth="1"/>
    <col min="3" max="3" width="14.1796875" style="2" customWidth="1"/>
    <col min="4" max="4" width="26" style="2" customWidth="1"/>
    <col min="5" max="5" width="8" style="2" customWidth="1"/>
    <col min="6" max="6" width="7.81640625" style="2" customWidth="1"/>
    <col min="7" max="7" width="42" style="2" customWidth="1"/>
    <col min="8" max="8" width="9.26953125" style="2" customWidth="1"/>
    <col min="9" max="9" width="15.54296875" style="2" customWidth="1"/>
    <col min="10" max="10" width="14.7265625" style="2" customWidth="1"/>
    <col min="11" max="11" width="15.54296875" style="2" customWidth="1"/>
    <col min="12" max="14" width="5.81640625" style="2" customWidth="1"/>
    <col min="15" max="15" width="12.54296875" style="2" customWidth="1"/>
    <col min="16" max="1024" width="9.1796875" style="2"/>
  </cols>
  <sheetData>
    <row r="1" spans="1:11" ht="18" customHeight="1" x14ac:dyDescent="0.25">
      <c r="A1" s="96" t="s">
        <v>21</v>
      </c>
      <c r="B1" s="96"/>
      <c r="C1" s="96"/>
      <c r="D1" s="96"/>
      <c r="E1" s="96"/>
      <c r="F1" s="96"/>
      <c r="G1" s="96"/>
      <c r="H1" s="96"/>
      <c r="I1" s="96"/>
      <c r="J1" s="3" t="s">
        <v>22</v>
      </c>
      <c r="K1" s="61" t="s">
        <v>140</v>
      </c>
    </row>
    <row r="2" spans="1:11" ht="18.75" customHeight="1" thickBot="1" x14ac:dyDescent="0.3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3">
      <c r="A3" s="97" t="s">
        <v>55</v>
      </c>
      <c r="B3" s="97"/>
      <c r="C3" s="97"/>
      <c r="D3" s="98" t="str">
        <f>'Necesidades Trimestrales'!C4</f>
        <v>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3">
      <c r="A4" s="99" t="s">
        <v>56</v>
      </c>
      <c r="B4" s="99"/>
      <c r="C4" s="99"/>
      <c r="D4" s="98" t="str">
        <f>'Necesidades Trimestrales'!C5</f>
        <v>23 - Hospital Interzonal San Juan Bautista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3">
      <c r="A5" s="99" t="s">
        <v>34</v>
      </c>
      <c r="B5" s="99"/>
      <c r="C5" s="99"/>
      <c r="D5" s="98" t="s">
        <v>143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3">
      <c r="A6" s="97" t="s">
        <v>57</v>
      </c>
      <c r="B6" s="97"/>
      <c r="C6" s="97"/>
      <c r="D6" s="98" t="s">
        <v>109</v>
      </c>
      <c r="E6" s="98"/>
      <c r="F6" s="98"/>
      <c r="G6" s="98"/>
      <c r="H6" s="98"/>
      <c r="I6" s="98"/>
      <c r="J6" s="98"/>
      <c r="K6" s="98"/>
    </row>
    <row r="7" spans="1:11" ht="16.5" customHeight="1" x14ac:dyDescent="0.25">
      <c r="A7" s="99" t="s">
        <v>23</v>
      </c>
      <c r="B7" s="99"/>
      <c r="C7" s="99"/>
      <c r="D7" s="98" t="str">
        <f>'Necesidades Trimestrales'!C7 &amp; "° Trimestre - Año " &amp; 'Necesidades Trimestrales'!C6</f>
        <v>1° Trimestre - Año 2022</v>
      </c>
      <c r="E7" s="98"/>
      <c r="F7" s="98"/>
      <c r="G7" s="98"/>
      <c r="H7" s="98"/>
      <c r="I7" s="98"/>
      <c r="J7" s="98"/>
      <c r="K7" s="98"/>
    </row>
    <row r="8" spans="1:11" ht="19.5" customHeight="1" x14ac:dyDescent="0.25">
      <c r="A8" s="102" t="s">
        <v>24</v>
      </c>
      <c r="B8" s="102"/>
      <c r="C8" s="102"/>
      <c r="D8" s="103" t="s">
        <v>121</v>
      </c>
      <c r="E8" s="103"/>
      <c r="F8" s="103"/>
      <c r="G8" s="103"/>
      <c r="H8" s="103"/>
      <c r="I8" s="103"/>
      <c r="J8" s="103"/>
      <c r="K8" s="103"/>
    </row>
    <row r="9" spans="1:11" ht="15.5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5">
      <c r="A10" s="104" t="s">
        <v>25</v>
      </c>
      <c r="B10" s="105" t="s">
        <v>26</v>
      </c>
      <c r="C10" s="105" t="s">
        <v>27</v>
      </c>
      <c r="D10" s="105"/>
      <c r="E10" s="105"/>
      <c r="F10" s="105"/>
      <c r="G10" s="105"/>
      <c r="H10" s="105" t="s">
        <v>28</v>
      </c>
      <c r="I10" s="105" t="s">
        <v>29</v>
      </c>
      <c r="J10" s="105" t="s">
        <v>30</v>
      </c>
      <c r="K10" s="106" t="s">
        <v>31</v>
      </c>
    </row>
    <row r="11" spans="1:11" ht="24" customHeight="1" thickBot="1" x14ac:dyDescent="0.3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ht="45" customHeight="1" thickBot="1" x14ac:dyDescent="0.3">
      <c r="A12" s="8">
        <v>1</v>
      </c>
      <c r="B12" s="62" t="str">
        <f>'Necesidades Trimestrales'!B10</f>
        <v>2.9.5-459.172</v>
      </c>
      <c r="C12" s="107" t="str">
        <f>'Necesidades Trimestrales'!E10</f>
        <v>TIJERAS P/MEDICINA; TIPO: METZEMBAUNG CURVA , MEDIDA: 36
Cm, USO: LAPAROSCOPIA</v>
      </c>
      <c r="D12" s="107"/>
      <c r="E12" s="107"/>
      <c r="F12" s="107"/>
      <c r="G12" s="107"/>
      <c r="H12" s="63" t="s">
        <v>97</v>
      </c>
      <c r="I12" s="64" t="str">
        <f>'Necesidades Trimestrales'!F10</f>
        <v>UNIDAD</v>
      </c>
      <c r="J12" s="65">
        <f>'Necesidades Trimestrales'!H10</f>
        <v>121199.17</v>
      </c>
      <c r="K12" s="66">
        <f>'Necesidades Trimestrales'!G10</f>
        <v>3</v>
      </c>
    </row>
    <row r="13" spans="1:11" ht="42.75" customHeight="1" thickBot="1" x14ac:dyDescent="0.3">
      <c r="A13" s="8">
        <v>2</v>
      </c>
      <c r="B13" s="62" t="str">
        <f>'Necesidades Trimestrales'!B11</f>
        <v>2.9.5-8874.146</v>
      </c>
      <c r="C13" s="107" t="str">
        <f>'Necesidades Trimestrales'!E11</f>
        <v xml:space="preserve">INSTRUMENTAL MEDICO; DESCARTABLE: NO, MATERIAL: ACERO INOXIDABLE, ELEMENTO: INSERTO PARA TIJERA METZEMBAUNG CURVA DE 36 CM </v>
      </c>
      <c r="D13" s="107"/>
      <c r="E13" s="107"/>
      <c r="F13" s="107"/>
      <c r="G13" s="107"/>
      <c r="H13" s="63" t="s">
        <v>97</v>
      </c>
      <c r="I13" s="64" t="str">
        <f>'Necesidades Trimestrales'!F11</f>
        <v>UNIDAD</v>
      </c>
      <c r="J13" s="65">
        <f>'Necesidades Trimestrales'!H11</f>
        <v>41711.89</v>
      </c>
      <c r="K13" s="66">
        <f>'Necesidades Trimestrales'!G11</f>
        <v>2</v>
      </c>
    </row>
    <row r="14" spans="1:11" ht="50.25" customHeight="1" thickBot="1" x14ac:dyDescent="0.3">
      <c r="A14" s="8">
        <v>3</v>
      </c>
      <c r="B14" s="62" t="str">
        <f>'Necesidades Trimestrales'!B12</f>
        <v>2.9.5-472.407</v>
      </c>
      <c r="C14" s="107" t="str">
        <f>'Necesidades Trimestrales'!E12</f>
        <v>PINZAS DE CIRUGIA; TIPO: MANDIBULAS COCODRILO, MEDIDA:
36 Cm</v>
      </c>
      <c r="D14" s="107"/>
      <c r="E14" s="107"/>
      <c r="F14" s="107"/>
      <c r="G14" s="107"/>
      <c r="H14" s="63" t="s">
        <v>97</v>
      </c>
      <c r="I14" s="64" t="str">
        <f>'Necesidades Trimestrales'!F12</f>
        <v>UNIDAD</v>
      </c>
      <c r="J14" s="65">
        <f>'Necesidades Trimestrales'!H12</f>
        <v>120955.78</v>
      </c>
      <c r="K14" s="66">
        <f>'Necesidades Trimestrales'!G12</f>
        <v>2</v>
      </c>
    </row>
    <row r="15" spans="1:11" ht="47.25" customHeight="1" thickBot="1" x14ac:dyDescent="0.3">
      <c r="A15" s="8">
        <v>4</v>
      </c>
      <c r="B15" s="62" t="str">
        <f>'Necesidades Trimestrales'!B13</f>
        <v>2.9.5-5769.111</v>
      </c>
      <c r="C15" s="107" t="str">
        <f>'Necesidades Trimestrales'!E13</f>
        <v>PINZAS P/MEDICINA; USO: QUIRURGICO, TIPO: GRASPER,
MEDIDA: 36 Cm</v>
      </c>
      <c r="D15" s="107"/>
      <c r="E15" s="107"/>
      <c r="F15" s="107"/>
      <c r="G15" s="107"/>
      <c r="H15" s="63" t="s">
        <v>97</v>
      </c>
      <c r="I15" s="64" t="str">
        <f>'Necesidades Trimestrales'!F13</f>
        <v>UNIDAD</v>
      </c>
      <c r="J15" s="65">
        <f>'Necesidades Trimestrales'!H13</f>
        <v>114601.46</v>
      </c>
      <c r="K15" s="66">
        <f>'Necesidades Trimestrales'!G13</f>
        <v>6</v>
      </c>
    </row>
    <row r="16" spans="1:11" ht="45" customHeight="1" thickBot="1" x14ac:dyDescent="0.3">
      <c r="A16" s="8">
        <v>5</v>
      </c>
      <c r="B16" s="62" t="str">
        <f>'Necesidades Trimestrales'!B14</f>
        <v>2.9.5-8874.147</v>
      </c>
      <c r="C16" s="107" t="str">
        <f>'Necesidades Trimestrales'!E14</f>
        <v>INSTRUMENTAL MEDICO; DESCARTABLE: NO, MATERIAL: ACERO INOXIDABLE, ELEMENTO: INSERTO PARA PINZA GRASPER DE 36 CM</v>
      </c>
      <c r="D16" s="107"/>
      <c r="E16" s="107"/>
      <c r="F16" s="107"/>
      <c r="G16" s="107"/>
      <c r="H16" s="63" t="s">
        <v>97</v>
      </c>
      <c r="I16" s="64" t="str">
        <f>'Necesidades Trimestrales'!F14</f>
        <v>UNIDAD</v>
      </c>
      <c r="J16" s="65">
        <f>'Necesidades Trimestrales'!H14</f>
        <v>36704.949999999997</v>
      </c>
      <c r="K16" s="66">
        <f>'Necesidades Trimestrales'!G14</f>
        <v>2</v>
      </c>
    </row>
    <row r="17" spans="1:1024" ht="52.5" customHeight="1" thickBot="1" x14ac:dyDescent="0.3">
      <c r="A17" s="8">
        <v>6</v>
      </c>
      <c r="B17" s="62" t="str">
        <f>'Necesidades Trimestrales'!B15</f>
        <v>2.9.5-8874.148</v>
      </c>
      <c r="C17" s="107" t="str">
        <f>'Necesidades Trimestrales'!E15</f>
        <v>INSTRUMENTAL MEDICO; DESCARTABLE: NO, MATERIAL: ACERO INOXIDABLE, ELEMENTO: INSERTO PARA PINZA MARYLAND DE 36 CM</v>
      </c>
      <c r="D17" s="107"/>
      <c r="E17" s="107"/>
      <c r="F17" s="107"/>
      <c r="G17" s="107"/>
      <c r="H17" s="63" t="s">
        <v>97</v>
      </c>
      <c r="I17" s="64" t="str">
        <f>'Necesidades Trimestrales'!F15</f>
        <v>UNIDAD</v>
      </c>
      <c r="J17" s="65">
        <f>'Necesidades Trimestrales'!H15</f>
        <v>36704.949999999997</v>
      </c>
      <c r="K17" s="66">
        <f>'Necesidades Trimestrales'!G15</f>
        <v>2</v>
      </c>
    </row>
    <row r="18" spans="1:1024" ht="45.75" customHeight="1" thickBot="1" x14ac:dyDescent="0.3">
      <c r="A18" s="8">
        <v>7</v>
      </c>
      <c r="B18" s="62" t="str">
        <f>'Necesidades Trimestrales'!B16</f>
        <v>2.9.5-5769.112</v>
      </c>
      <c r="C18" s="107" t="str">
        <f>'Necesidades Trimestrales'!E16</f>
        <v>PINZAS P/MEDICINA; USO: LAPAROSCOPIA, TIPO: MARYLAND,
MEDIDA: 36 Cm</v>
      </c>
      <c r="D18" s="107"/>
      <c r="E18" s="107"/>
      <c r="F18" s="107"/>
      <c r="G18" s="107"/>
      <c r="H18" s="63" t="s">
        <v>97</v>
      </c>
      <c r="I18" s="64" t="str">
        <f>'Necesidades Trimestrales'!F16</f>
        <v>UNIDAD</v>
      </c>
      <c r="J18" s="65">
        <f>'Necesidades Trimestrales'!H16</f>
        <v>114601.46</v>
      </c>
      <c r="K18" s="66">
        <f>'Necesidades Trimestrales'!G16</f>
        <v>4</v>
      </c>
    </row>
    <row r="19" spans="1:1024" ht="52.5" customHeight="1" thickBot="1" x14ac:dyDescent="0.3">
      <c r="A19" s="8">
        <v>8</v>
      </c>
      <c r="B19" s="62" t="str">
        <f>'Necesidades Trimestrales'!B17</f>
        <v>2.9.5-5567.186</v>
      </c>
      <c r="C19" s="107" t="str">
        <f>'Necesidades Trimestrales'!E17</f>
        <v>CANULAS; TIPO: CANULA DE VERES, MATERIAL: ACERO
INOXIDABLE, DIAMETRO: 2 mm, LONG.DE CUERPO: 15 Cm</v>
      </c>
      <c r="D19" s="107"/>
      <c r="E19" s="107"/>
      <c r="F19" s="107"/>
      <c r="G19" s="107"/>
      <c r="H19" s="63" t="s">
        <v>97</v>
      </c>
      <c r="I19" s="64" t="str">
        <f>'Necesidades Trimestrales'!F17</f>
        <v>UNIDAD</v>
      </c>
      <c r="J19" s="65">
        <f>'Necesidades Trimestrales'!H17</f>
        <v>20314.21</v>
      </c>
      <c r="K19" s="66">
        <f>'Necesidades Trimestrales'!G17</f>
        <v>5</v>
      </c>
    </row>
    <row r="20" spans="1:1024" ht="53.25" customHeight="1" thickBot="1" x14ac:dyDescent="0.3">
      <c r="A20" s="8">
        <v>9</v>
      </c>
      <c r="B20" s="62" t="str">
        <f>'Necesidades Trimestrales'!B18</f>
        <v>2.9.5-5567.187</v>
      </c>
      <c r="C20" s="107" t="str">
        <f>'Necesidades Trimestrales'!E18</f>
        <v xml:space="preserve">CANULAS; TIPO: CANULA DE VERES, MATERIAL: ACERO
INOXIDABLE, DIAMETRO: 2 mm, LONG.DE CUERPO: 18 cm </v>
      </c>
      <c r="D20" s="107"/>
      <c r="E20" s="107"/>
      <c r="F20" s="107"/>
      <c r="G20" s="107"/>
      <c r="H20" s="63" t="s">
        <v>97</v>
      </c>
      <c r="I20" s="64" t="str">
        <f>'Necesidades Trimestrales'!F18</f>
        <v>UNIDAD</v>
      </c>
      <c r="J20" s="65">
        <f>'Necesidades Trimestrales'!H18</f>
        <v>25338.85</v>
      </c>
      <c r="K20" s="66">
        <f>'Necesidades Trimestrales'!G18</f>
        <v>5</v>
      </c>
    </row>
    <row r="21" spans="1:1024" ht="49.5" customHeight="1" thickBot="1" x14ac:dyDescent="0.3">
      <c r="A21" s="8">
        <v>10</v>
      </c>
      <c r="B21" s="62" t="str">
        <f>'Necesidades Trimestrales'!B19</f>
        <v>2.9.5-6700.13</v>
      </c>
      <c r="C21" s="107" t="str">
        <f>'Necesidades Trimestrales'!E19</f>
        <v>TROCAR DE PUNCION; USO: QUIRURGICO, TIPO: P/LAPAROSCOPIA, CAMISA: CON</v>
      </c>
      <c r="D21" s="107"/>
      <c r="E21" s="107"/>
      <c r="F21" s="107"/>
      <c r="G21" s="107"/>
      <c r="H21" s="63" t="s">
        <v>97</v>
      </c>
      <c r="I21" s="64" t="str">
        <f>'Necesidades Trimestrales'!F19</f>
        <v>UNIDAD</v>
      </c>
      <c r="J21" s="65">
        <f>'Necesidades Trimestrales'!H19</f>
        <v>63584.35</v>
      </c>
      <c r="K21" s="66">
        <f>'Necesidades Trimestrales'!G19</f>
        <v>8</v>
      </c>
    </row>
    <row r="22" spans="1:1024" ht="39.75" customHeight="1" thickBot="1" x14ac:dyDescent="0.3">
      <c r="A22" s="8">
        <v>11</v>
      </c>
      <c r="B22" s="62" t="str">
        <f>'Necesidades Trimestrales'!B20</f>
        <v>2.9.5-6700.13</v>
      </c>
      <c r="C22" s="107" t="str">
        <f>'Necesidades Trimestrales'!E20</f>
        <v>TROCAR DE PUNCION; USO: QUIRURGICO, TIPO: P/LAPAROSCOPIA, CAMISA: CON</v>
      </c>
      <c r="D22" s="107"/>
      <c r="E22" s="107"/>
      <c r="F22" s="107"/>
      <c r="G22" s="107"/>
      <c r="H22" s="63" t="s">
        <v>97</v>
      </c>
      <c r="I22" s="64" t="str">
        <f>'Necesidades Trimestrales'!F20</f>
        <v>UNIDAD</v>
      </c>
      <c r="J22" s="65">
        <f>'Necesidades Trimestrales'!H20</f>
        <v>57747.13</v>
      </c>
      <c r="K22" s="66">
        <f>'Necesidades Trimestrales'!G20</f>
        <v>8</v>
      </c>
    </row>
    <row r="23" spans="1:1024" ht="64.5" customHeight="1" thickBot="1" x14ac:dyDescent="0.3">
      <c r="A23" s="8">
        <v>12</v>
      </c>
      <c r="B23" s="62" t="str">
        <f>'Necesidades Trimestrales'!B21</f>
        <v>2.9.5-8874.145</v>
      </c>
      <c r="C23" s="107" t="str">
        <f>'Necesidades Trimestrales'!E21</f>
        <v xml:space="preserve">INSTRUMENTAL MEDICO; DESCARTABLE: NO, MATERIAL: ACERO INOXIDABLE, ELEMENTO: REDUCTOR DE 11/5 MM PARA TROCAR DE VALVULA AUTOMATICA </v>
      </c>
      <c r="D23" s="107"/>
      <c r="E23" s="107"/>
      <c r="F23" s="107"/>
      <c r="G23" s="107"/>
      <c r="H23" s="63" t="s">
        <v>97</v>
      </c>
      <c r="I23" s="64" t="str">
        <f>'Necesidades Trimestrales'!F21</f>
        <v>UNIDAD</v>
      </c>
      <c r="J23" s="65">
        <f>'Necesidades Trimestrales'!H21</f>
        <v>12090.63</v>
      </c>
      <c r="K23" s="66">
        <f>'Necesidades Trimestrales'!G21</f>
        <v>5</v>
      </c>
    </row>
    <row r="24" spans="1:1024" ht="45.75" customHeight="1" thickBot="1" x14ac:dyDescent="0.3">
      <c r="A24" s="8">
        <v>13</v>
      </c>
      <c r="B24" s="62" t="str">
        <f>'Necesidades Trimestrales'!B22</f>
        <v>2.9.5-5567.190</v>
      </c>
      <c r="C24" s="107" t="str">
        <f>'Necesidades Trimestrales'!E22</f>
        <v>CANULAS; TIPO: ASPIRACION DE CAMPO QUIRURGICO, MATERIAL: ACERO INOXIDABLE, DIAMETRO: 5 MM, LONG. DE CUERPO: 36 CM</v>
      </c>
      <c r="D24" s="107"/>
      <c r="E24" s="107"/>
      <c r="F24" s="107"/>
      <c r="G24" s="107"/>
      <c r="H24" s="63" t="s">
        <v>97</v>
      </c>
      <c r="I24" s="64" t="str">
        <f>'Necesidades Trimestrales'!F22</f>
        <v>UNIDAD</v>
      </c>
      <c r="J24" s="65">
        <f>'Necesidades Trimestrales'!H22</f>
        <v>58146.93</v>
      </c>
      <c r="K24" s="66">
        <f>'Necesidades Trimestrales'!G22</f>
        <v>2</v>
      </c>
    </row>
    <row r="25" spans="1:1024" ht="57" customHeight="1" thickBot="1" x14ac:dyDescent="0.3">
      <c r="A25" s="8">
        <v>14</v>
      </c>
      <c r="B25" s="62" t="str">
        <f>'Necesidades Trimestrales'!B23</f>
        <v>2.9.5-5567.191</v>
      </c>
      <c r="C25" s="107" t="str">
        <f>'Necesidades Trimestrales'!E23</f>
        <v>CANULAS; TIPO: ASPIRACION DE CAMPO QUIRURGICO, MATERIAL: ACERO INOXIDABLE, DIAMETRO: 10 MM, LONG. DE CUERPO: 36 CM</v>
      </c>
      <c r="D25" s="107"/>
      <c r="E25" s="107"/>
      <c r="F25" s="107"/>
      <c r="G25" s="107"/>
      <c r="H25" s="63" t="s">
        <v>97</v>
      </c>
      <c r="I25" s="64" t="str">
        <f>'Necesidades Trimestrales'!F23</f>
        <v>UNIDAD</v>
      </c>
      <c r="J25" s="65">
        <f>'Necesidades Trimestrales'!H23</f>
        <v>60644.12</v>
      </c>
      <c r="K25" s="66">
        <f>'Necesidades Trimestrales'!G23</f>
        <v>2</v>
      </c>
    </row>
    <row r="26" spans="1:1024" ht="72" customHeight="1" thickBot="1" x14ac:dyDescent="0.3">
      <c r="A26" s="8">
        <v>15</v>
      </c>
      <c r="B26" s="62" t="str">
        <f>'Necesidades Trimestrales'!B24</f>
        <v>2.9.5-8874.128</v>
      </c>
      <c r="C26" s="107" t="str">
        <f>'Necesidades Trimestrales'!E24</f>
        <v>INSTRUMENTAL MEDICO; DESCARTABLE: NO, MATERIAL: ACERO INOXIDABLE, ELEMENTO: CLIPADORA</v>
      </c>
      <c r="D26" s="107"/>
      <c r="E26" s="107"/>
      <c r="F26" s="107"/>
      <c r="G26" s="107"/>
      <c r="H26" s="63" t="s">
        <v>97</v>
      </c>
      <c r="I26" s="64" t="str">
        <f>'Necesidades Trimestrales'!F24</f>
        <v>UNIDAD</v>
      </c>
      <c r="J26" s="65">
        <f>'Necesidades Trimestrales'!H24</f>
        <v>169698.5</v>
      </c>
      <c r="K26" s="66">
        <f>'Necesidades Trimestrales'!G24</f>
        <v>4</v>
      </c>
    </row>
    <row r="27" spans="1:1024" ht="45.75" customHeight="1" thickBot="1" x14ac:dyDescent="0.3">
      <c r="A27" s="8">
        <v>16</v>
      </c>
      <c r="B27" s="62" t="str">
        <f>'Necesidades Trimestrales'!B25</f>
        <v>2.9.5-8874.24</v>
      </c>
      <c r="C27" s="107" t="str">
        <f>'Necesidades Trimestrales'!E25</f>
        <v>INSTRUMENTAL MEDICO; DESCARTABLE: NO, MATERIAL: ACERO INOXIDABLE, ELEMENTO: PINZA</v>
      </c>
      <c r="D27" s="107"/>
      <c r="E27" s="107"/>
      <c r="F27" s="107"/>
      <c r="G27" s="107"/>
      <c r="H27" s="63" t="s">
        <v>97</v>
      </c>
      <c r="I27" s="64" t="str">
        <f>'Necesidades Trimestrales'!F25</f>
        <v>UNIDAD</v>
      </c>
      <c r="J27" s="65">
        <f>'Necesidades Trimestrales'!H25</f>
        <v>114601.46</v>
      </c>
      <c r="K27" s="66">
        <f>'Necesidades Trimestrales'!G25</f>
        <v>4</v>
      </c>
    </row>
    <row r="28" spans="1:1024" ht="93" customHeight="1" thickBot="1" x14ac:dyDescent="0.3">
      <c r="A28" s="8">
        <v>17</v>
      </c>
      <c r="B28" s="62" t="str">
        <f>'Necesidades Trimestrales'!B26</f>
        <v>4.3.3-6718.4</v>
      </c>
      <c r="C28" s="107" t="str">
        <f>'Necesidades Trimestrales'!E26</f>
        <v>ENDOCAMARAS; TIPO: VISION FOROBLICUA PANORAMICA 30°,
DIGITAL: SI, LONGITUD: 31 Cm CON CONDUCTOR DE LUZ DE
FIBRA OPTICA INCORPORADO, USO: CIRUGIA LAPAROSCOPICA,
RESOLUCION: HIGH DEFINITION</v>
      </c>
      <c r="D28" s="107"/>
      <c r="E28" s="107"/>
      <c r="F28" s="107"/>
      <c r="G28" s="107"/>
      <c r="H28" s="63" t="s">
        <v>58</v>
      </c>
      <c r="I28" s="64" t="str">
        <f>'Necesidades Trimestrales'!F26</f>
        <v>UNIDAD</v>
      </c>
      <c r="J28" s="65">
        <f>'Necesidades Trimestrales'!H26</f>
        <v>440066.25</v>
      </c>
      <c r="K28" s="66">
        <f>'Necesidades Trimestrales'!G26</f>
        <v>2</v>
      </c>
    </row>
    <row r="29" spans="1:1024" ht="20.25" customHeight="1" thickBot="1" x14ac:dyDescent="0.3">
      <c r="A29" s="100" t="s">
        <v>120</v>
      </c>
      <c r="B29" s="100"/>
      <c r="C29" s="100"/>
      <c r="D29" s="100"/>
      <c r="E29" s="100"/>
      <c r="F29" s="100"/>
      <c r="G29" s="100"/>
      <c r="H29" s="100"/>
      <c r="I29" s="100"/>
      <c r="J29" s="101">
        <f>SUMPRODUCT(J12:J28,K12:K28)</f>
        <v>5496051.9799999995</v>
      </c>
      <c r="K29" s="101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C24:G24"/>
    <mergeCell ref="C25:G25"/>
    <mergeCell ref="C19:G19"/>
    <mergeCell ref="C20:G20"/>
    <mergeCell ref="C21:G21"/>
    <mergeCell ref="C22:G22"/>
    <mergeCell ref="C23:G23"/>
    <mergeCell ref="C14:G14"/>
    <mergeCell ref="C15:G15"/>
    <mergeCell ref="C16:G16"/>
    <mergeCell ref="C17:G17"/>
    <mergeCell ref="C18:G18"/>
    <mergeCell ref="A29:I29"/>
    <mergeCell ref="J29:K2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7" zoomScale="130" zoomScaleNormal="130" workbookViewId="0">
      <selection activeCell="S24" sqref="S24"/>
    </sheetView>
  </sheetViews>
  <sheetFormatPr baseColWidth="10" defaultColWidth="11" defaultRowHeight="12.5" x14ac:dyDescent="0.25"/>
  <cols>
    <col min="1" max="4" width="4.453125" customWidth="1"/>
    <col min="5" max="5" width="4.1796875" customWidth="1"/>
    <col min="6" max="6" width="5.1796875" customWidth="1"/>
    <col min="7" max="7" width="4.453125" style="9" customWidth="1"/>
    <col min="8" max="14" width="4.453125" customWidth="1"/>
    <col min="15" max="16" width="14.81640625" customWidth="1"/>
    <col min="17" max="17" width="14.7265625" customWidth="1"/>
    <col min="19" max="19" width="13.26953125" bestFit="1" customWidth="1"/>
  </cols>
  <sheetData>
    <row r="1" spans="1:17" ht="15.75" customHeight="1" x14ac:dyDescent="0.3">
      <c r="A1" s="108" t="s">
        <v>3</v>
      </c>
      <c r="B1" s="108"/>
      <c r="C1" s="108"/>
      <c r="D1" s="109">
        <f>'Necesidades Trimestrales'!C6</f>
        <v>2022</v>
      </c>
      <c r="E1" s="109"/>
      <c r="F1" s="10"/>
      <c r="G1" s="10"/>
      <c r="H1" s="11"/>
      <c r="I1" s="11"/>
      <c r="J1" s="11"/>
      <c r="K1" s="11"/>
      <c r="L1" s="11"/>
      <c r="M1" s="11"/>
      <c r="N1" s="11"/>
      <c r="P1" s="110" t="s">
        <v>32</v>
      </c>
      <c r="Q1" s="110"/>
    </row>
    <row r="2" spans="1:17" ht="15.75" customHeight="1" x14ac:dyDescent="0.25">
      <c r="H2" s="11"/>
      <c r="I2" s="11"/>
      <c r="J2" s="11"/>
      <c r="K2" s="11"/>
      <c r="L2" s="11"/>
      <c r="M2" s="11"/>
      <c r="N2" s="11"/>
      <c r="P2" s="110"/>
      <c r="Q2" s="110"/>
    </row>
    <row r="4" spans="1:17" s="12" customFormat="1" ht="18" customHeight="1" thickBot="1" x14ac:dyDescent="0.35">
      <c r="A4" s="111" t="s">
        <v>33</v>
      </c>
      <c r="B4" s="111"/>
      <c r="C4" s="111"/>
      <c r="D4" s="111"/>
      <c r="E4" s="111"/>
      <c r="F4" s="111"/>
      <c r="G4" s="112" t="str">
        <f>NotaPedido!D3</f>
        <v>40 - Ministerio de Salud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12" customFormat="1" ht="18" customHeight="1" thickBot="1" x14ac:dyDescent="0.35">
      <c r="A5" s="113" t="s">
        <v>56</v>
      </c>
      <c r="B5" s="114"/>
      <c r="C5" s="114"/>
      <c r="D5" s="114"/>
      <c r="E5" s="114"/>
      <c r="F5" s="115"/>
      <c r="G5" s="112" t="str">
        <f>NotaPedido!D4</f>
        <v>23 - Hospital Interzonal San Juan Bautista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12" customFormat="1" ht="18" customHeight="1" thickBot="1" x14ac:dyDescent="0.35">
      <c r="A6" s="113" t="s">
        <v>34</v>
      </c>
      <c r="B6" s="114"/>
      <c r="C6" s="114"/>
      <c r="D6" s="114"/>
      <c r="E6" s="114"/>
      <c r="F6" s="115"/>
      <c r="G6" s="112" t="str">
        <f>NotaPedido!D5</f>
        <v>168 - Direccion Asistencial - 264 - Direccion General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12" customFormat="1" ht="18" customHeight="1" thickBot="1" x14ac:dyDescent="0.35">
      <c r="A7" s="113" t="s">
        <v>57</v>
      </c>
      <c r="B7" s="114"/>
      <c r="C7" s="114"/>
      <c r="D7" s="114"/>
      <c r="E7" s="114"/>
      <c r="F7" s="115"/>
      <c r="G7" s="112" t="str">
        <f>NotaPedido!D6</f>
        <v xml:space="preserve">Departamento Quirurgico HSJB 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8" customHeight="1" thickBot="1" x14ac:dyDescent="0.35">
      <c r="A8" s="116" t="s">
        <v>35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8" customHeight="1" x14ac:dyDescent="0.3">
      <c r="A9" s="117" t="s">
        <v>36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 x14ac:dyDescent="0.25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007 - 2022,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5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5">
      <c r="A12" s="119" t="s">
        <v>37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5">
      <c r="A13" s="120" t="s">
        <v>38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39</v>
      </c>
      <c r="P13" s="121"/>
      <c r="Q13" s="122" t="s">
        <v>40</v>
      </c>
    </row>
    <row r="14" spans="1:17" ht="15.75" customHeigh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1"/>
      <c r="P14" s="121"/>
      <c r="Q14" s="122"/>
    </row>
    <row r="15" spans="1:17" ht="17.25" customHeight="1" x14ac:dyDescent="0.25">
      <c r="A15" s="69">
        <v>33</v>
      </c>
      <c r="B15" s="70"/>
      <c r="C15" s="70"/>
      <c r="D15" s="70">
        <v>2</v>
      </c>
      <c r="E15" s="70"/>
      <c r="F15" s="70">
        <v>4901</v>
      </c>
      <c r="G15" s="70">
        <v>3</v>
      </c>
      <c r="H15" s="71" t="s">
        <v>62</v>
      </c>
      <c r="I15" s="72">
        <v>2</v>
      </c>
      <c r="J15" s="72">
        <v>9</v>
      </c>
      <c r="K15" s="72">
        <v>5</v>
      </c>
      <c r="L15" s="70"/>
      <c r="M15" s="73">
        <v>1</v>
      </c>
      <c r="N15" s="71" t="s">
        <v>63</v>
      </c>
      <c r="O15" s="123" t="s">
        <v>122</v>
      </c>
      <c r="P15" s="123"/>
      <c r="Q15" s="23">
        <v>1727195.97</v>
      </c>
    </row>
    <row r="16" spans="1:17" ht="17.25" customHeight="1" x14ac:dyDescent="0.25">
      <c r="A16" s="24">
        <v>33</v>
      </c>
      <c r="B16" s="25"/>
      <c r="C16" s="25"/>
      <c r="D16" s="25">
        <v>1</v>
      </c>
      <c r="E16" s="25"/>
      <c r="F16" s="25">
        <v>4901</v>
      </c>
      <c r="G16" s="25">
        <v>3</v>
      </c>
      <c r="H16" s="67" t="s">
        <v>62</v>
      </c>
      <c r="I16" s="25">
        <v>4</v>
      </c>
      <c r="J16" s="25">
        <v>3</v>
      </c>
      <c r="K16" s="25">
        <v>3</v>
      </c>
      <c r="L16" s="25"/>
      <c r="M16" s="26">
        <v>1</v>
      </c>
      <c r="N16" s="68" t="s">
        <v>142</v>
      </c>
      <c r="O16" s="124" t="s">
        <v>139</v>
      </c>
      <c r="P16" s="124"/>
      <c r="Q16" s="28">
        <v>3768856.01</v>
      </c>
    </row>
    <row r="17" spans="1:19" ht="17.25" customHeight="1" x14ac:dyDescent="0.25">
      <c r="A17" s="24"/>
      <c r="B17" s="25"/>
      <c r="C17" s="25"/>
      <c r="D17" s="25"/>
      <c r="E17" s="25"/>
      <c r="F17" s="27"/>
      <c r="G17" s="25"/>
      <c r="H17" s="67"/>
      <c r="I17" s="25"/>
      <c r="J17" s="25"/>
      <c r="K17" s="25"/>
      <c r="L17" s="25"/>
      <c r="M17" s="26"/>
      <c r="N17" s="68"/>
      <c r="O17" s="125"/>
      <c r="P17" s="125"/>
      <c r="Q17" s="28"/>
      <c r="S17" s="74"/>
    </row>
    <row r="18" spans="1:19" ht="17.25" customHeight="1" x14ac:dyDescent="0.25">
      <c r="A18" s="24"/>
      <c r="B18" s="25"/>
      <c r="C18" s="25"/>
      <c r="D18" s="25"/>
      <c r="E18" s="25"/>
      <c r="F18" s="25"/>
      <c r="G18" s="25"/>
      <c r="H18" s="67"/>
      <c r="I18" s="25"/>
      <c r="J18" s="25"/>
      <c r="K18" s="25"/>
      <c r="L18" s="25"/>
      <c r="M18" s="26"/>
      <c r="N18" s="68"/>
      <c r="O18" s="126"/>
      <c r="P18" s="127"/>
      <c r="Q18" s="28"/>
    </row>
    <row r="19" spans="1:19" ht="17.25" customHeight="1" x14ac:dyDescent="0.25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7"/>
      <c r="P19" s="127"/>
      <c r="Q19" s="28"/>
    </row>
    <row r="20" spans="1:19" ht="17.25" customHeight="1" x14ac:dyDescent="0.25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7"/>
      <c r="P20" s="127"/>
      <c r="Q20" s="28"/>
    </row>
    <row r="21" spans="1:19" ht="17.25" customHeight="1" x14ac:dyDescent="0.25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3"/>
      <c r="P21" s="133"/>
      <c r="Q21" s="28"/>
      <c r="R21" s="1"/>
    </row>
    <row r="22" spans="1:19" ht="17.25" customHeigh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4"/>
      <c r="P22" s="134"/>
      <c r="Q22" s="37"/>
    </row>
    <row r="23" spans="1:19" ht="20.25" customHeight="1" x14ac:dyDescent="0.25">
      <c r="A23" s="135" t="s">
        <v>141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38">
        <f>SUM(Q15:Q22)</f>
        <v>5496051.9799999995</v>
      </c>
    </row>
    <row r="24" spans="1:19" ht="18" customHeight="1" thickBot="1" x14ac:dyDescent="0.3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9" ht="17.25" customHeight="1" thickBot="1" x14ac:dyDescent="0.3">
      <c r="A25" s="128" t="s">
        <v>54</v>
      </c>
      <c r="B25" s="129"/>
      <c r="C25" s="129"/>
      <c r="D25" s="129"/>
      <c r="E25" s="129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9" ht="18" customHeight="1" thickBot="1" x14ac:dyDescent="0.3">
      <c r="A26" s="132" t="str">
        <f>"Para la "&amp; NotaPedido!D8 &amp;" para ser destinados al " &amp; NotaPedido!D6 &amp;"  del HISJB del Ministerio de Salud."</f>
        <v>Para la Adquisición de Instrumental para Videolaparoscopia  para ser destinados al Departamento Quirurgico HSJB   del HISJB del Ministerio de Salud.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9" ht="15" customHeight="1" x14ac:dyDescent="0.25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Cesar</cp:lastModifiedBy>
  <cp:revision>2</cp:revision>
  <cp:lastPrinted>2020-07-17T22:18:48Z</cp:lastPrinted>
  <dcterms:created xsi:type="dcterms:W3CDTF">2020-07-17T23:44:49Z</dcterms:created>
  <dcterms:modified xsi:type="dcterms:W3CDTF">2022-01-11T14:15:07Z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