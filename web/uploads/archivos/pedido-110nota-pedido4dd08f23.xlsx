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278-CAT-DPPR#MHP\"/>
    </mc:Choice>
  </mc:AlternateContent>
  <xr:revisionPtr revIDLastSave="0" documentId="8_{9C958A6B-7F97-46A2-BD38-662279496C1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NotaPedido!$A$1:$K$13</definedName>
  </definedNames>
  <calcPr calcId="181029"/>
</workbook>
</file>

<file path=xl/calcChain.xml><?xml version="1.0" encoding="utf-8"?>
<calcChain xmlns="http://schemas.openxmlformats.org/spreadsheetml/2006/main">
  <c r="A26" i="3" l="1"/>
  <c r="D10" i="1" l="1"/>
  <c r="A10" i="3"/>
  <c r="K12" i="2"/>
  <c r="J12" i="2"/>
  <c r="I12" i="2"/>
  <c r="C12" i="2"/>
  <c r="B12" i="2"/>
  <c r="I10" i="1"/>
  <c r="J1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<sst xmlns="http://schemas.openxmlformats.org/spreadsheetml/2006/main" count="81" uniqueCount="76">
  <si>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</si>
  <si>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</si>
  <si>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</si>
  <si>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</si>
  <si>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</si>
  <si>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</si>
  <si>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</si>
  <si>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</si>
  <si>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</si>
  <si>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</si>
  <si>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</si>
  <si>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</si>
  <si>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</si>
  <si>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</si>
  <si>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</si>
  <si>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</si>
  <si>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</si>
  <si>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</si>
  <si>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</si>
  <si>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</si>
  <si>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</si>
  <si>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</si>
  <si>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</si>
  <si>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</si>
  <si>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</si>
  <si>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</si>
  <si>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</si>
  <si>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</si>
  <si>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</si>
  <si>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</si>
  <si>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</si>
  <si>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</si>
  <si>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</si>
  <si>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</si>
  <si>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</si>
  <si>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</si>
  <si>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</si>
  <si>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</si>
  <si>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</si>
  <si>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</si>
  <si>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</si>
  <si>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</si>
  <si>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</si>
  <si>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</si>
  <si>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</si>
  <si>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</si>
  <si>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</si>
  <si>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</si>
  <si>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</si>
  <si>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</si>
  <si>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</si>
  <si>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</si>
  <si>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</si>
  <si>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</si>
  <si>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</si>
  <si>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</si>
  <si>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</si>
  <si>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</si>
  <si>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</si>
  <si>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</si>
  <si>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</si>
  <si>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</si>
  <si>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 xml:space="preserve">Otros NEP </t>
  </si>
  <si>
    <t>3.1</t>
  </si>
  <si>
    <t>1.1</t>
  </si>
  <si>
    <t xml:space="preserve">Dirección Asistencial </t>
  </si>
  <si>
    <t>COLCHONES; DENSIDAD: 30 kg/cm3, ESPESOR: 24 Cm, TERMINACION: MATELASSEADO, CONSTRUCCION: ESPUMA, DIMENSION: 190 X 80 Cm</t>
  </si>
  <si>
    <t>2.2.9-701.63</t>
  </si>
  <si>
    <t>ARTICULOS DEL HOGAR</t>
  </si>
  <si>
    <t xml:space="preserve">UNIDAD </t>
  </si>
  <si>
    <t xml:space="preserve">COLCHON DE ALTA DENSIDAD </t>
  </si>
  <si>
    <t>10 dias - Sección Deposito Central - Avda. Illia y Mariano Moreno- HISJB</t>
  </si>
  <si>
    <t>037 - 2021</t>
  </si>
  <si>
    <t>Costo total estimado: Setecientos setenta y cinco mil con 00/100.------------</t>
  </si>
  <si>
    <t>TOTAL DE PESOS: SETECIENTOS SETENTA Y CINCO MIL CON 00/100.-------------------</t>
  </si>
  <si>
    <t>Adquisición de colchones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</si>
</sst>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14" xfId="0" applyBorder="1"/>
    <xf numFmtId="0" fontId="0" fillId="0" borderId="48" xfId="0" applyBorder="1"/>
    <xf numFmtId="0" fontId="0" fillId="0" borderId="21" xfId="0" applyBorder="1" applyAlignment="1">
      <alignment wrapTex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5" zoomScaleNormal="85" workbookViewId="0">
      <selection activeCell="F39" sqref="F3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3" t="s">
        <v>1</v>
      </c>
      <c r="B4" s="83"/>
      <c r="C4" s="88" t="s">
        <v>58</v>
      </c>
      <c r="D4" s="88"/>
      <c r="E4" s="88"/>
      <c r="F4" s="40"/>
      <c r="G4" s="41"/>
      <c r="H4" s="40"/>
    </row>
    <row r="5" spans="1:9" ht="18" customHeight="1" x14ac:dyDescent="0.25">
      <c r="A5" s="83" t="s">
        <v>2</v>
      </c>
      <c r="B5" s="83"/>
      <c r="C5" s="88" t="s">
        <v>59</v>
      </c>
      <c r="D5" s="88"/>
      <c r="E5" s="88"/>
      <c r="F5" s="40"/>
      <c r="G5" s="41"/>
      <c r="H5" s="40"/>
    </row>
    <row r="6" spans="1:9" ht="16.5" customHeight="1" x14ac:dyDescent="0.25">
      <c r="A6" s="83" t="s">
        <v>3</v>
      </c>
      <c r="B6" s="83"/>
      <c r="C6" s="61">
        <v>2021</v>
      </c>
      <c r="D6" s="62"/>
      <c r="E6" s="62"/>
      <c r="F6" s="40"/>
      <c r="G6" s="41"/>
      <c r="H6" s="40"/>
    </row>
    <row r="7" spans="1:9" ht="16.5" customHeight="1" x14ac:dyDescent="0.25">
      <c r="A7" s="83" t="s">
        <v>4</v>
      </c>
      <c r="B7" s="83"/>
      <c r="C7" s="61">
        <v>2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77" t="s">
        <v>67</v>
      </c>
      <c r="C10" s="78" t="s">
        <v>68</v>
      </c>
      <c r="D10" s="57" t="str">
        <f>LEFT(B10,5)</f>
        <v>2.2.9</v>
      </c>
      <c r="E10" s="79" t="s">
        <v>66</v>
      </c>
      <c r="F10" s="58" t="s">
        <v>69</v>
      </c>
      <c r="G10" s="58">
        <v>50</v>
      </c>
      <c r="H10" s="59">
        <v>15500</v>
      </c>
      <c r="I10" s="60">
        <f t="shared" ref="I10" si="0">G10*H10</f>
        <v>775000</v>
      </c>
    </row>
    <row r="13" spans="1:9" x14ac:dyDescent="0.2">
      <c r="B13" s="42" t="s">
        <v>14</v>
      </c>
      <c r="C13" s="43"/>
      <c r="D13" s="43"/>
      <c r="E13" s="44"/>
    </row>
    <row r="14" spans="1:9" ht="5.25" customHeight="1" x14ac:dyDescent="0.2">
      <c r="B14" s="45"/>
      <c r="C14" s="46"/>
      <c r="D14" s="46"/>
      <c r="E14" s="47"/>
    </row>
    <row r="15" spans="1:9" x14ac:dyDescent="0.2">
      <c r="B15" s="48" t="s">
        <v>15</v>
      </c>
      <c r="C15" s="46"/>
      <c r="D15" s="46"/>
      <c r="E15" s="47"/>
    </row>
    <row r="16" spans="1:9" ht="41.25" customHeight="1" x14ac:dyDescent="0.2">
      <c r="B16" s="48"/>
      <c r="C16" s="84" t="s">
        <v>70</v>
      </c>
      <c r="D16" s="84"/>
      <c r="E16" s="84"/>
    </row>
    <row r="17" spans="2:5" x14ac:dyDescent="0.2">
      <c r="B17" s="48" t="s">
        <v>16</v>
      </c>
      <c r="C17" s="46"/>
      <c r="D17" s="46"/>
      <c r="E17" s="47"/>
    </row>
    <row r="18" spans="2:5" x14ac:dyDescent="0.2">
      <c r="B18" s="49"/>
      <c r="C18" s="85" t="s">
        <v>71</v>
      </c>
      <c r="D18" s="85"/>
      <c r="E18" s="85"/>
    </row>
    <row r="19" spans="2:5" x14ac:dyDescent="0.2">
      <c r="B19" s="49"/>
      <c r="C19" s="86"/>
      <c r="D19" s="86"/>
      <c r="E19" s="86"/>
    </row>
    <row r="20" spans="2:5" x14ac:dyDescent="0.2">
      <c r="B20" s="48" t="s">
        <v>17</v>
      </c>
      <c r="C20" s="46"/>
      <c r="D20" s="46"/>
      <c r="E20" s="47"/>
    </row>
    <row r="21" spans="2:5" ht="26.25" customHeight="1" x14ac:dyDescent="0.2">
      <c r="B21" s="49"/>
      <c r="C21" s="80"/>
      <c r="D21" s="80"/>
      <c r="E21" s="80"/>
    </row>
    <row r="22" spans="2:5" x14ac:dyDescent="0.2">
      <c r="B22" s="48" t="s">
        <v>18</v>
      </c>
      <c r="C22" s="50"/>
      <c r="D22" s="50"/>
      <c r="E22" s="51"/>
    </row>
    <row r="23" spans="2:5" ht="26.25" customHeight="1" x14ac:dyDescent="0.2">
      <c r="B23" s="49"/>
      <c r="C23" s="81" t="s">
        <v>61</v>
      </c>
      <c r="D23" s="81"/>
      <c r="E23" s="81"/>
    </row>
    <row r="24" spans="2:5" x14ac:dyDescent="0.2">
      <c r="B24" s="48" t="s">
        <v>19</v>
      </c>
      <c r="C24" s="46"/>
      <c r="D24" s="46"/>
      <c r="E24" s="47"/>
    </row>
    <row r="25" spans="2:5" ht="23.25" customHeight="1" x14ac:dyDescent="0.2">
      <c r="B25" s="48"/>
      <c r="C25" s="82"/>
      <c r="D25" s="82"/>
      <c r="E25" s="82"/>
    </row>
    <row r="26" spans="2:5" x14ac:dyDescent="0.2">
      <c r="B26" s="52"/>
      <c r="C26" s="53"/>
      <c r="D26" s="53"/>
      <c r="E26" s="54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0" zoomScaleNormal="70" workbookViewId="0">
      <selection activeCell="D16" sqref="D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7" t="s">
        <v>20</v>
      </c>
      <c r="B1" s="97"/>
      <c r="C1" s="97"/>
      <c r="D1" s="97"/>
      <c r="E1" s="97"/>
      <c r="F1" s="97"/>
      <c r="G1" s="97"/>
      <c r="H1" s="97"/>
      <c r="I1" s="97"/>
      <c r="J1" s="3" t="s">
        <v>21</v>
      </c>
      <c r="K1" s="63" t="s">
        <v>72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8" t="s">
        <v>54</v>
      </c>
      <c r="B3" s="98"/>
      <c r="C3" s="98"/>
      <c r="D3" s="99" t="str">
        <f>'Necesidades Trimestrales'!C4</f>
        <v>40 - Ministerio de Salud</v>
      </c>
      <c r="E3" s="99"/>
      <c r="F3" s="99"/>
      <c r="G3" s="99"/>
      <c r="H3" s="99"/>
      <c r="I3" s="99"/>
      <c r="J3" s="99"/>
      <c r="K3" s="99"/>
    </row>
    <row r="4" spans="1:1024" ht="18.75" customHeight="1" thickBot="1" x14ac:dyDescent="0.25">
      <c r="A4" s="100" t="s">
        <v>55</v>
      </c>
      <c r="B4" s="100"/>
      <c r="C4" s="100"/>
      <c r="D4" s="99" t="str">
        <f>'Necesidades Trimestrales'!C5</f>
        <v>23 - Hospital Interzonal San Juan Bautista</v>
      </c>
      <c r="E4" s="99"/>
      <c r="F4" s="99"/>
      <c r="G4" s="99"/>
      <c r="H4" s="99"/>
      <c r="I4" s="99"/>
      <c r="J4" s="99"/>
      <c r="K4" s="99"/>
    </row>
    <row r="5" spans="1:1024" ht="18.75" customHeight="1" thickBot="1" x14ac:dyDescent="0.25">
      <c r="A5" s="100" t="s">
        <v>33</v>
      </c>
      <c r="B5" s="100"/>
      <c r="C5" s="100"/>
      <c r="D5" s="99" t="s">
        <v>60</v>
      </c>
      <c r="E5" s="99"/>
      <c r="F5" s="99"/>
      <c r="G5" s="99"/>
      <c r="H5" s="99"/>
      <c r="I5" s="99"/>
      <c r="J5" s="99"/>
      <c r="K5" s="99"/>
    </row>
    <row r="6" spans="1:1024" ht="16.5" customHeight="1" thickBot="1" x14ac:dyDescent="0.25">
      <c r="A6" s="98" t="s">
        <v>56</v>
      </c>
      <c r="B6" s="98"/>
      <c r="C6" s="98"/>
      <c r="D6" s="99" t="s">
        <v>65</v>
      </c>
      <c r="E6" s="99"/>
      <c r="F6" s="99"/>
      <c r="G6" s="99"/>
      <c r="H6" s="99"/>
      <c r="I6" s="99"/>
      <c r="J6" s="99"/>
      <c r="K6" s="99"/>
    </row>
    <row r="7" spans="1:1024" ht="16.5" customHeight="1" x14ac:dyDescent="0.2">
      <c r="A7" s="100" t="s">
        <v>22</v>
      </c>
      <c r="B7" s="100"/>
      <c r="C7" s="100"/>
      <c r="D7" s="99" t="str">
        <f>'Necesidades Trimestrales'!C7 &amp; "° Trimestre - Año " &amp; 'Necesidades Trimestrales'!C6</f>
        <v>2° Trimestre - Año 2021</v>
      </c>
      <c r="E7" s="99"/>
      <c r="F7" s="99"/>
      <c r="G7" s="99"/>
      <c r="H7" s="99"/>
      <c r="I7" s="99"/>
      <c r="J7" s="99"/>
      <c r="K7" s="99"/>
    </row>
    <row r="8" spans="1:1024" ht="16.5" customHeight="1" x14ac:dyDescent="0.2">
      <c r="A8" s="92" t="s">
        <v>23</v>
      </c>
      <c r="B8" s="92"/>
      <c r="C8" s="92"/>
      <c r="D8" s="93" t="s">
        <v>75</v>
      </c>
      <c r="E8" s="93"/>
      <c r="F8" s="93"/>
      <c r="G8" s="93"/>
      <c r="H8" s="93"/>
      <c r="I8" s="93"/>
      <c r="J8" s="93"/>
      <c r="K8" s="93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4" t="s">
        <v>24</v>
      </c>
      <c r="B10" s="95" t="s">
        <v>25</v>
      </c>
      <c r="C10" s="95" t="s">
        <v>26</v>
      </c>
      <c r="D10" s="95"/>
      <c r="E10" s="95"/>
      <c r="F10" s="95"/>
      <c r="G10" s="95"/>
      <c r="H10" s="95" t="s">
        <v>27</v>
      </c>
      <c r="I10" s="95" t="s">
        <v>28</v>
      </c>
      <c r="J10" s="95" t="s">
        <v>29</v>
      </c>
      <c r="K10" s="96" t="s">
        <v>30</v>
      </c>
    </row>
    <row r="11" spans="1:1024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024" ht="33" customHeight="1" thickBot="1" x14ac:dyDescent="0.25">
      <c r="A12" s="8">
        <v>1</v>
      </c>
      <c r="B12" s="64" t="str">
        <f>'Necesidades Trimestrales'!B10</f>
        <v>2.2.9-701.63</v>
      </c>
      <c r="C12" s="89" t="str">
        <f>'Necesidades Trimestrales'!E10</f>
        <v>COLCHONES; DENSIDAD: 30 kg/cm3, ESPESOR: 24 Cm, TERMINACION: MATELASSEADO, CONSTRUCCION: ESPUMA, DIMENSION: 190 X 80 Cm</v>
      </c>
      <c r="D12" s="89"/>
      <c r="E12" s="89"/>
      <c r="F12" s="89"/>
      <c r="G12" s="89"/>
      <c r="H12" s="65" t="s">
        <v>57</v>
      </c>
      <c r="I12" s="66" t="str">
        <f>'Necesidades Trimestrales'!F10</f>
        <v xml:space="preserve">UNIDAD </v>
      </c>
      <c r="J12" s="67">
        <f>'Necesidades Trimestrales'!H10</f>
        <v>15500</v>
      </c>
      <c r="K12" s="68">
        <f>'Necesidades Trimestrales'!G10</f>
        <v>50</v>
      </c>
    </row>
    <row r="13" spans="1:1024" ht="20.25" customHeight="1" thickBot="1" x14ac:dyDescent="0.25">
      <c r="A13" s="90" t="s">
        <v>73</v>
      </c>
      <c r="B13" s="90"/>
      <c r="C13" s="90"/>
      <c r="D13" s="90"/>
      <c r="E13" s="90"/>
      <c r="F13" s="90"/>
      <c r="G13" s="90"/>
      <c r="H13" s="90"/>
      <c r="I13" s="90"/>
      <c r="J13" s="91">
        <f>SUMPRODUCT(J12:J12,K12:K12)</f>
        <v>775000</v>
      </c>
      <c r="K13" s="91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5" zoomScale="130" zoomScaleNormal="130" workbookViewId="0">
      <selection activeCell="A28" sqref="A2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2021</v>
      </c>
      <c r="E1" s="126"/>
      <c r="F1" s="10"/>
      <c r="G1" s="10"/>
      <c r="H1" s="11"/>
      <c r="I1" s="11"/>
      <c r="J1" s="11"/>
      <c r="K1" s="11"/>
      <c r="L1" s="11"/>
      <c r="M1" s="11"/>
      <c r="N1" s="11"/>
      <c r="P1" s="127" t="s">
        <v>31</v>
      </c>
      <c r="Q1" s="12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7"/>
      <c r="Q2" s="127"/>
    </row>
    <row r="4" spans="1:17" s="12" customFormat="1" ht="18" customHeight="1" thickBot="1" x14ac:dyDescent="0.25">
      <c r="A4" s="128" t="s">
        <v>32</v>
      </c>
      <c r="B4" s="128"/>
      <c r="C4" s="128"/>
      <c r="D4" s="128"/>
      <c r="E4" s="128"/>
      <c r="F4" s="128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0" t="s">
        <v>55</v>
      </c>
      <c r="B5" s="121"/>
      <c r="C5" s="121"/>
      <c r="D5" s="121"/>
      <c r="E5" s="121"/>
      <c r="F5" s="122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0" t="s">
        <v>33</v>
      </c>
      <c r="B6" s="121"/>
      <c r="C6" s="121"/>
      <c r="D6" s="121"/>
      <c r="E6" s="121"/>
      <c r="F6" s="122"/>
      <c r="G6" s="123" t="str">
        <f>NotaPedido!D5</f>
        <v>168 - Direccion Asistencial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0" t="s">
        <v>56</v>
      </c>
      <c r="B7" s="121"/>
      <c r="C7" s="121"/>
      <c r="D7" s="121"/>
      <c r="E7" s="121"/>
      <c r="F7" s="122"/>
      <c r="G7" s="123" t="str">
        <f>NotaPedido!D6</f>
        <v xml:space="preserve">Dirección Asistencial 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4" t="s">
        <v>34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037 - 2021,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6" t="s">
        <v>36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38</v>
      </c>
      <c r="P13" s="118"/>
      <c r="Q13" s="119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8"/>
      <c r="P14" s="118"/>
      <c r="Q14" s="119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63</v>
      </c>
      <c r="I15" s="74">
        <v>2</v>
      </c>
      <c r="J15" s="74">
        <v>2</v>
      </c>
      <c r="K15" s="74">
        <v>9</v>
      </c>
      <c r="L15" s="72"/>
      <c r="M15" s="75">
        <v>1</v>
      </c>
      <c r="N15" s="73" t="s">
        <v>64</v>
      </c>
      <c r="O15" s="111" t="s">
        <v>62</v>
      </c>
      <c r="P15" s="111"/>
      <c r="Q15" s="23">
        <v>775000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12"/>
      <c r="P16" s="112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12"/>
      <c r="P17" s="112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13"/>
      <c r="P18" s="10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6"/>
      <c r="P19" s="10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6"/>
      <c r="P20" s="10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7"/>
      <c r="P21" s="10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8"/>
      <c r="P22" s="108"/>
      <c r="Q22" s="37"/>
    </row>
    <row r="23" spans="1:19" ht="20.25" customHeight="1" x14ac:dyDescent="0.2">
      <c r="A23" s="109" t="s">
        <v>74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38">
        <f>SUM(Q15:Q22)</f>
        <v>775000</v>
      </c>
    </row>
    <row r="24" spans="1:19" ht="18" customHeight="1" thickBot="1" x14ac:dyDescent="0.25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</row>
    <row r="25" spans="1:19" ht="17.25" customHeight="1" thickBot="1" x14ac:dyDescent="0.25">
      <c r="A25" s="101" t="s">
        <v>53</v>
      </c>
      <c r="B25" s="102"/>
      <c r="C25" s="102"/>
      <c r="D25" s="102"/>
      <c r="E25" s="102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9" ht="18" customHeight="1" thickBot="1" x14ac:dyDescent="0.25">
      <c r="A26" s="105" t="str">
        <f>"Para la "&amp; NotaPedido!D8 &amp;" para ser destinados a la " &amp; NotaPedido!D6 &amp;"  del HISJB del Ministerio de Salud."</f>
        <v>Para la Adquisición de colchones para ser destinados a la Dirección Asistencial   del HISJB del Ministerio de Salud.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9" ht="15" customHeight="1" x14ac:dyDescent="0.2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2021-08-11T15:10:46Z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