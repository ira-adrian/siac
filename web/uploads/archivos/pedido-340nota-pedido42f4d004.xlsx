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6" windowHeight="11160"/>
  </bookViews>
  <sheets>
    <sheet name="Necesidades Trimestrales" sheetId="3" r:id="rId1"/>
    <sheet name=" NotaPedido" sheetId="1" r:id="rId2"/>
    <sheet name="Autor Gastar" sheetId="2" r:id="rId3"/>
    <sheet name="Anexo I" sheetId="4" r:id="rId4"/>
  </sheets>
  <definedNames>
    <definedName name="_xlnm._FilterDatabase" localSheetId="0" hidden="1">'Necesidades Trimestrales'!$E$1:$E$58</definedName>
    <definedName name="_xlnm.Print_Area" localSheetId="1">' NotaPedido'!$A$1:$K$14</definedName>
    <definedName name="_xlnm.Print_Area" localSheetId="2">'Autor Gastar'!$A$1:$Q$23</definedName>
  </definedNames>
  <calcPr calcId="144525"/>
</workbook>
</file>

<file path=xl/calcChain.xml><?xml version="1.0" encoding="utf-8"?>
<calcChain xmlns="http://schemas.openxmlformats.org/spreadsheetml/2006/main">
  <c r="J14" i="1" l="1"/>
  <c r="B9" i="3"/>
  <c r="H9" i="3"/>
  <c r="I9" i="3" s="1"/>
  <c r="I10" i="3" s="1"/>
  <c r="Q19" i="2" l="1"/>
</calcChain>
</file>

<file path=xl/sharedStrings.xml><?xml version="1.0" encoding="utf-8"?>
<sst xmlns="http://schemas.openxmlformats.org/spreadsheetml/2006/main" count="98" uniqueCount="86">
  <si>
    <t>NOTA DE PEDIDO</t>
  </si>
  <si>
    <t>N°</t>
  </si>
  <si>
    <t xml:space="preserve">JURISDICCIÓN: </t>
  </si>
  <si>
    <t>40- MINISTERIO DE SALUD</t>
  </si>
  <si>
    <t>SAF:</t>
  </si>
  <si>
    <t>11 - DIRECCIÓN PROVINCIAL DE ADMINISTRACIÓN DEL MINISTERIO DE SALUD</t>
  </si>
  <si>
    <t>UNIDAD EJECUTORA:</t>
  </si>
  <si>
    <t>743- SECRETARÍA DE ASISTENCIA EN SALUD PÚBLICA</t>
  </si>
  <si>
    <t xml:space="preserve">DEPENDENCIA SOLICITANTE: </t>
  </si>
  <si>
    <t>PERIODO UTILIZACIÓN:</t>
  </si>
  <si>
    <t>5 AÑOS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</si>
  <si>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</si>
  <si>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</si>
  <si>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</si>
  <si>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</si>
  <si>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</si>
  <si>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</si>
  <si>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</si>
  <si>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</si>
  <si>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4.3.2-2930.30</t>
  </si>
  <si>
    <t>MOTOCICLETAS; TIPO: ON - OFF ROAD, AÑO: 2008, CILINDRADA: 250 CM3, Nº DE TIEMPOS: 4</t>
  </si>
  <si>
    <t>SI</t>
  </si>
  <si>
    <t>UNIDAD</t>
  </si>
  <si>
    <t>S/ADQUISICIÓN DE MOTOS CON DESTINO A LAS COMUNIDADES DE LA UNIÓN DE PUEBLOS DE LA NACIÓN DIAGUITA DE BELÉN DEPENDIENTE DEL MINISTERIO DE SALUD.</t>
  </si>
  <si>
    <t>JUSTIFICACIÓN:</t>
  </si>
  <si>
    <t>EQUIPO DE TRANSPORTE, TRACCIÓN Y ELEVACIÓN</t>
  </si>
  <si>
    <t>1.1</t>
  </si>
  <si>
    <t>FF</t>
  </si>
  <si>
    <t>M</t>
  </si>
  <si>
    <t>SubP</t>
  </si>
  <si>
    <t>P</t>
  </si>
  <si>
    <t>I</t>
  </si>
  <si>
    <t>FUN</t>
  </si>
  <si>
    <t>FIN</t>
  </si>
  <si>
    <t>UG</t>
  </si>
  <si>
    <t>OB</t>
  </si>
  <si>
    <t>AC</t>
  </si>
  <si>
    <t>PY</t>
  </si>
  <si>
    <t>SB</t>
  </si>
  <si>
    <t>PR</t>
  </si>
  <si>
    <t>IMPORTE</t>
  </si>
  <si>
    <t xml:space="preserve"> DENOMINACIÓN DE LA PARTIDA PRESUPUESTARIA</t>
  </si>
  <si>
    <t>CÓDIGO</t>
  </si>
  <si>
    <t>IMPUTACIÓN PRESUPUESTARIA</t>
  </si>
  <si>
    <t>Señor Director de Administración o Titular del Servicio Administrativo Financiero: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</si>
  <si>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</si>
  <si>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JURISDICCIÓN:</t>
  </si>
  <si>
    <t>AUTORIZACION PARA GASTAR</t>
  </si>
  <si>
    <t>Autorizo la realización de los  trámites correspondientes, a fin de proveer a  este Organismo los bienes que se detallan en Nota  de Pedido N°10/2021, afectando la erogación resultante a los créditos presupuestarios aprobados a favor de esta Unidad Ejecutora, conforme al siguiente detalle:</t>
  </si>
  <si>
    <t>Pedido de Necesidades Trimestrales</t>
  </si>
  <si>
    <t>JURISDICCION:</t>
  </si>
  <si>
    <t>040 - MINISTERIO DE SALUD</t>
  </si>
  <si>
    <t xml:space="preserve">SAF N°: </t>
  </si>
  <si>
    <t>EJERCICIO:</t>
  </si>
  <si>
    <t>TRIMESTRE:</t>
  </si>
  <si>
    <t>SEGUNDO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</si>
  <si>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</si>
  <si>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</si>
  <si>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</si>
  <si>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</si>
  <si>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</si>
  <si>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</si>
  <si>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</si>
  <si>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</si>
  <si>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</si>
  <si>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EQUIPOS</t>
  </si>
  <si>
    <t>TOTAL DEL RUBRO</t>
  </si>
  <si>
    <t>Mantenimiento</t>
  </si>
  <si>
    <t>45 días</t>
  </si>
  <si>
    <t>10/2021</t>
  </si>
  <si>
    <t>ADQUISICIÓN DE MOTOS CON DESTINO A LAS COMUNIDADES DE LA UNIÓN DE PUEBLOS DE LA NACIÓN DIAGUITA DE BELÉN DEPENDIENTE DEL MINISTERIO DE SALUD.-</t>
  </si>
  <si>
    <r>
      <rPr>
        <b/>
        <u/>
        <sz val="14"/>
        <rFont val="Times New Roman"/>
        <family val="1"/>
      </rPr>
      <t>Costo total estimado:</t>
    </r>
    <r>
      <rPr>
        <b/>
        <sz val="14"/>
        <rFont val="Times New Roman"/>
        <family val="1"/>
        <charset val="1"/>
      </rPr>
      <t xml:space="preserve"> Cinco Millones Setecientos Noventa y Seis Mil Doscientos Setenta y Dos con 00/100 centavos.-</t>
    </r>
  </si>
  <si>
    <t>4.3.2.</t>
  </si>
  <si>
    <t>Especificidades Item N° 1:</t>
  </si>
  <si>
    <t>Ver Anexo I</t>
  </si>
  <si>
    <t>Descripción técnica:</t>
  </si>
  <si>
    <t>Plazos y lugares de entrega:</t>
  </si>
  <si>
    <t>Calidad Minima esperada:</t>
  </si>
  <si>
    <t>Que cumpla con todo lo solicitado en forma íntegra.</t>
  </si>
  <si>
    <t>Garantia:</t>
  </si>
  <si>
    <t>como mínimo 3 años o 36.000 Km, lo que ocurra primero.</t>
  </si>
  <si>
    <r>
      <t xml:space="preserve">EJERCICIO: </t>
    </r>
    <r>
      <rPr>
        <b/>
        <sz val="11"/>
        <rFont val="Arial"/>
        <family val="2"/>
      </rPr>
      <t>2021</t>
    </r>
  </si>
  <si>
    <r>
      <rPr>
        <b/>
        <u/>
        <sz val="11"/>
        <rFont val="Arial"/>
        <family val="2"/>
      </rPr>
      <t>TOTAL DE PESOS:</t>
    </r>
    <r>
      <rPr>
        <b/>
        <sz val="11"/>
        <rFont val="Arial"/>
        <family val="2"/>
        <charset val="1"/>
      </rPr>
      <t xml:space="preserve"> CINCO MILLONES SETECIENTOS NOVENTA Y SEIS MIL DOSCIENTOS SETENTA Y DOS CON 00/100 CENTAVOS.-</t>
    </r>
  </si>
  <si>
    <t>Además deberá especificar: 1) SERVICIOS que cubre la concesionaria sin cargo y cuáles no (indicando progresivamente cada service); 2)Manual de información y reseteo del vehículo; 3) PATENTAMIENTO a nombre de “MINISTERIO DE SALUD”; 4) Casco Integral: compuesto de una sola pieza y cubre la cabeza al completo, ofreciendo una protección integral y siendo  los que mejor se adaptan a la cabeza, protegiendo firmemente tanto cara como barbilla. Homologado (color indistinto- talles: 04 talle L y 04 Talle XL); 5) COBERTURA DE SEGURO OBLIGATORIO de responsabilidad civil contra terceros y terceros transportados por 60 (sesenta) días, contados a partir de la recepción definitiva de las mismas y 6) Sin Ploteo.</t>
  </si>
  <si>
    <r>
      <rPr>
        <b/>
        <u/>
        <sz val="12"/>
        <rFont val="Times New Roman"/>
        <family val="1"/>
      </rPr>
      <t>Lugar:</t>
    </r>
    <r>
      <rPr>
        <sz val="12"/>
        <rFont val="Times New Roman"/>
        <family val="1"/>
      </rPr>
      <t xml:space="preserve"> SECRETARIA DE ASISTENCIA EN SALUD PUBLICA, sito en calle Chacabuco N° 169 - S.F.V.de Catamarca.   </t>
    </r>
    <r>
      <rPr>
        <b/>
        <u/>
        <sz val="12"/>
        <rFont val="Times New Roman"/>
        <family val="1"/>
      </rPr>
      <t>Plazo de Entrega:</t>
    </r>
    <r>
      <rPr>
        <sz val="12"/>
        <rFont val="Times New Roman"/>
        <family val="1"/>
      </rPr>
      <t xml:space="preserve"> Dentro de los </t>
    </r>
    <r>
      <rPr>
        <b/>
        <sz val="12"/>
        <rFont val="Times New Roman"/>
        <family val="1"/>
      </rPr>
      <t>noventa (90)</t>
    </r>
    <r>
      <rPr>
        <sz val="12"/>
        <rFont val="Times New Roman"/>
        <family val="1"/>
      </rPr>
      <t xml:space="preserve"> dias de notificada la Orden de Compra.</t>
    </r>
  </si>
  <si>
    <t>Motocicletas de Color Blanco preferentemente (de acuerdo al anexo presentado en nota BAPIN), sin embargo se aceptará el color que haya en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</si>
</sst>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&quot;$&quot;* #,##0.00_-;\-&quot;$&quot;* #,##0.00_-;_-&quot;$&quot;* &quot;-&quot;??_-;_-@_-"/>
    <numFmt numFmtId="164" formatCode="_-&quot;$&quot;\ * #,##0.00_-;\-&quot;$&quot;\ * #,##0.00_-;_-&quot;$&quot;\ * &quot;-&quot;??_-;_-@_-"/>
    <numFmt numFmtId="165" formatCode="[$$-2C0A]\ #,##0.00"/>
    <numFmt numFmtId="166" formatCode="[$$-2C0A]\ #,##0.00;[$$-2C0A]&quot; -&quot;#,##0.00"/>
    <numFmt numFmtId="167" formatCode="_(\$* #,##0.00_);_(\$* \(#,##0.00\);_(\$* \-??_);_(@_)"/>
    <numFmt numFmtId="168" formatCode="dd\-mm\-yy;@"/>
    <numFmt numFmtId="169" formatCode="_-[$$-2C0A]\ * #,##0.00_-;\-[$$-2C0A]\ * #,##0.00_-;_-[$$-2C0A]\ * &quot;-&quot;??_-;_-@_-"/>
    <numFmt numFmtId="170" formatCode="_-* #,##0.00&quot; €&quot;_-;\-* #,##0.00&quot; €&quot;_-;_-* \-??&quot; €&quot;_-;_-@_-"/>
  </numFmts>
  <fonts count="4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b/>
      <sz val="14"/>
      <name val="Times New Roman"/>
      <family val="1"/>
      <charset val="1"/>
    </font>
    <font>
      <b/>
      <sz val="12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b/>
      <sz val="10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</font>
    <font>
      <b/>
      <sz val="12"/>
      <name val="Arial"/>
      <family val="2"/>
      <charset val="1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9"/>
      <name val="Times New Roman"/>
      <family val="1"/>
    </font>
    <font>
      <sz val="10"/>
      <name val="Arial"/>
    </font>
    <font>
      <u/>
      <sz val="12"/>
      <name val="Times New Roman"/>
      <family val="1"/>
    </font>
    <font>
      <sz val="12"/>
      <name val="Times New Roman"/>
      <family val="1"/>
    </font>
    <font>
      <b/>
      <u/>
      <sz val="11"/>
      <name val="Arial"/>
      <family val="2"/>
    </font>
    <font>
      <b/>
      <sz val="11"/>
      <name val="Arial"/>
      <family val="2"/>
    </font>
    <font>
      <sz val="11"/>
      <name val="Times New Roman"/>
      <family val="1"/>
    </font>
    <font>
      <sz val="10"/>
      <color theme="1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1"/>
      <color rgb="FF333333"/>
      <name val="Times New Roman"/>
      <family val="1"/>
    </font>
    <font>
      <u/>
      <sz val="11"/>
      <name val="Times New Roman"/>
      <family val="1"/>
    </font>
    <font>
      <b/>
      <u/>
      <sz val="12"/>
      <name val="Times New Roman"/>
      <family val="1"/>
    </font>
    <font>
      <b/>
      <u/>
      <sz val="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medium">
        <color indexed="64"/>
      </left>
      <right/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/>
      <diagonal/>
    </border>
    <border>
      <left style="medium">
        <color indexed="64"/>
      </left>
      <right style="thin">
        <color rgb="FF3D3D3D"/>
      </right>
      <top style="thin">
        <color rgb="FF3D3D3D"/>
      </top>
      <bottom/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/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rgb="FF3D3D3D"/>
      </right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thin">
        <color rgb="FF3D3D3D"/>
      </top>
      <bottom style="medium">
        <color indexed="64"/>
      </bottom>
      <diagonal/>
    </border>
  </borders>
  <cellStyleXfs count="12">
    <xf numFmtId="0" fontId="0" fillId="0" borderId="0"/>
    <xf numFmtId="44" fontId="10" fillId="0" borderId="0" applyBorder="0" applyAlignment="0" applyProtection="0"/>
    <xf numFmtId="0" fontId="13" fillId="0" borderId="18" applyProtection="0"/>
    <xf numFmtId="0" fontId="14" fillId="2" borderId="0" applyBorder="0" applyProtection="0"/>
    <xf numFmtId="167" fontId="5" fillId="0" borderId="0" applyBorder="0" applyProtection="0"/>
    <xf numFmtId="164" fontId="10" fillId="0" borderId="0" applyBorder="0" applyProtection="0"/>
    <xf numFmtId="0" fontId="10" fillId="0" borderId="0"/>
    <xf numFmtId="0" fontId="1" fillId="0" borderId="0"/>
    <xf numFmtId="0" fontId="28" fillId="0" borderId="0"/>
    <xf numFmtId="0" fontId="10" fillId="0" borderId="0"/>
    <xf numFmtId="0" fontId="10" fillId="0" borderId="0"/>
    <xf numFmtId="0" fontId="10" fillId="0" borderId="0"/>
  </cellStyleXfs>
  <cellXfs count="203">
    <xf numFmtId="0" fontId="0" fillId="0" borderId="0" xfId="0"/>
    <xf numFmtId="0" fontId="5" fillId="0" borderId="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/>
    </xf>
    <xf numFmtId="0" fontId="0" fillId="0" borderId="33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4" xfId="0" applyBorder="1"/>
    <xf numFmtId="0" fontId="5" fillId="0" borderId="0" xfId="0" applyFont="1"/>
    <xf numFmtId="0" fontId="0" fillId="0" borderId="0" xfId="0" applyBorder="1" applyAlignment="1">
      <alignment horizontal="left"/>
    </xf>
    <xf numFmtId="0" fontId="0" fillId="0" borderId="12" xfId="0" applyBorder="1"/>
    <xf numFmtId="168" fontId="0" fillId="0" borderId="0" xfId="0" applyNumberFormat="1" applyBorder="1" applyAlignment="1">
      <alignment horizontal="left"/>
    </xf>
    <xf numFmtId="0" fontId="0" fillId="0" borderId="37" xfId="0" applyBorder="1"/>
    <xf numFmtId="168" fontId="0" fillId="0" borderId="37" xfId="0" applyNumberFormat="1" applyBorder="1" applyAlignment="1">
      <alignment horizontal="left"/>
    </xf>
    <xf numFmtId="3" fontId="16" fillId="0" borderId="37" xfId="0" applyNumberFormat="1" applyFont="1" applyBorder="1" applyAlignment="1"/>
    <xf numFmtId="3" fontId="16" fillId="0" borderId="38" xfId="0" applyNumberFormat="1" applyFont="1" applyBorder="1" applyAlignment="1"/>
    <xf numFmtId="3" fontId="16" fillId="0" borderId="39" xfId="0" applyNumberFormat="1" applyFont="1" applyBorder="1" applyAlignment="1"/>
    <xf numFmtId="0" fontId="0" fillId="0" borderId="39" xfId="0" applyFont="1" applyBorder="1" applyAlignment="1"/>
    <xf numFmtId="0" fontId="10" fillId="0" borderId="40" xfId="0" applyFont="1" applyBorder="1" applyAlignment="1"/>
    <xf numFmtId="0" fontId="0" fillId="0" borderId="23" xfId="0" applyFont="1" applyBorder="1" applyAlignment="1">
      <alignment horizontal="center" vertical="center"/>
    </xf>
    <xf numFmtId="0" fontId="21" fillId="0" borderId="0" xfId="0" applyFont="1"/>
    <xf numFmtId="169" fontId="21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horizontal="center" vertical="center" wrapText="1"/>
    </xf>
    <xf numFmtId="169" fontId="10" fillId="0" borderId="0" xfId="5" applyNumberFormat="1" applyAlignment="1">
      <alignment horizontal="right" vertical="center"/>
    </xf>
    <xf numFmtId="0" fontId="23" fillId="0" borderId="0" xfId="0" applyFont="1" applyFill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1" fillId="0" borderId="0" xfId="0" applyFont="1" applyFill="1"/>
    <xf numFmtId="0" fontId="27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3" fontId="9" fillId="0" borderId="0" xfId="6" applyNumberFormat="1" applyFont="1" applyBorder="1" applyAlignment="1">
      <alignment horizontal="center" vertical="center"/>
    </xf>
    <xf numFmtId="170" fontId="9" fillId="0" borderId="0" xfId="5" applyNumberFormat="1" applyFont="1" applyBorder="1" applyAlignment="1">
      <alignment horizontal="center" vertical="center" wrapText="1"/>
    </xf>
    <xf numFmtId="170" fontId="10" fillId="0" borderId="0" xfId="5" applyNumberFormat="1" applyFont="1" applyBorder="1" applyAlignment="1">
      <alignment horizontal="center" vertical="center"/>
    </xf>
    <xf numFmtId="0" fontId="27" fillId="0" borderId="42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30" fillId="0" borderId="37" xfId="0" applyFont="1" applyBorder="1" applyAlignment="1">
      <alignment horizontal="center"/>
    </xf>
    <xf numFmtId="0" fontId="30" fillId="0" borderId="41" xfId="0" applyFont="1" applyBorder="1" applyAlignment="1">
      <alignment horizontal="left" vertical="center"/>
    </xf>
    <xf numFmtId="0" fontId="30" fillId="0" borderId="12" xfId="0" applyFont="1" applyBorder="1" applyAlignment="1">
      <alignment horizontal="left" vertical="center" wrapText="1"/>
    </xf>
    <xf numFmtId="0" fontId="29" fillId="0" borderId="12" xfId="0" applyFont="1" applyBorder="1" applyAlignment="1">
      <alignment horizontal="left" vertical="center" wrapText="1"/>
    </xf>
    <xf numFmtId="166" fontId="17" fillId="0" borderId="33" xfId="0" applyNumberFormat="1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5" fillId="0" borderId="59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33" fillId="0" borderId="67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 vertical="center" wrapText="1"/>
    </xf>
    <xf numFmtId="0" fontId="8" fillId="0" borderId="73" xfId="0" applyFont="1" applyBorder="1" applyAlignment="1">
      <alignment horizontal="left" vertical="center"/>
    </xf>
    <xf numFmtId="0" fontId="9" fillId="0" borderId="45" xfId="0" applyFont="1" applyBorder="1" applyAlignment="1">
      <alignment horizontal="center" vertical="center" wrapText="1"/>
    </xf>
    <xf numFmtId="3" fontId="9" fillId="0" borderId="73" xfId="0" applyNumberFormat="1" applyFont="1" applyBorder="1" applyAlignment="1">
      <alignment horizontal="center" vertical="center"/>
    </xf>
    <xf numFmtId="0" fontId="9" fillId="0" borderId="75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74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3" fillId="0" borderId="37" xfId="0" applyFont="1" applyBorder="1" applyAlignment="1">
      <alignment horizontal="right" vertical="center"/>
    </xf>
    <xf numFmtId="49" fontId="4" fillId="0" borderId="8" xfId="0" applyNumberFormat="1" applyFont="1" applyBorder="1" applyAlignment="1">
      <alignment horizontal="center" vertical="center"/>
    </xf>
    <xf numFmtId="3" fontId="21" fillId="0" borderId="74" xfId="0" applyNumberFormat="1" applyFont="1" applyBorder="1" applyAlignment="1">
      <alignment horizontal="center" vertical="center"/>
    </xf>
    <xf numFmtId="44" fontId="21" fillId="0" borderId="75" xfId="1" applyFont="1" applyBorder="1" applyAlignment="1">
      <alignment horizontal="center" vertical="center" wrapText="1"/>
    </xf>
    <xf numFmtId="0" fontId="23" fillId="0" borderId="0" xfId="0" applyFont="1" applyFill="1" applyAlignment="1">
      <alignment horizontal="center" wrapText="1"/>
    </xf>
    <xf numFmtId="0" fontId="23" fillId="0" borderId="0" xfId="0" applyFont="1" applyFill="1" applyAlignment="1">
      <alignment horizontal="left" vertical="center"/>
    </xf>
    <xf numFmtId="169" fontId="23" fillId="0" borderId="8" xfId="0" applyNumberFormat="1" applyFont="1" applyBorder="1" applyAlignment="1">
      <alignment horizontal="center" vertical="center" wrapText="1"/>
    </xf>
    <xf numFmtId="169" fontId="33" fillId="0" borderId="8" xfId="5" applyNumberFormat="1" applyFont="1" applyFill="1" applyBorder="1" applyAlignment="1">
      <alignment horizontal="right" vertical="center" wrapText="1"/>
    </xf>
    <xf numFmtId="0" fontId="23" fillId="0" borderId="40" xfId="0" applyFont="1" applyBorder="1" applyAlignment="1">
      <alignment horizontal="center" vertical="center"/>
    </xf>
    <xf numFmtId="0" fontId="33" fillId="0" borderId="40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left" vertical="center"/>
    </xf>
    <xf numFmtId="0" fontId="37" fillId="0" borderId="8" xfId="0" applyFont="1" applyFill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/>
    </xf>
    <xf numFmtId="0" fontId="33" fillId="0" borderId="39" xfId="6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  <xf numFmtId="0" fontId="33" fillId="0" borderId="8" xfId="6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169" fontId="12" fillId="0" borderId="8" xfId="5" applyNumberFormat="1" applyFont="1" applyBorder="1" applyAlignment="1">
      <alignment horizontal="center" vertical="center" wrapText="1"/>
    </xf>
    <xf numFmtId="0" fontId="38" fillId="0" borderId="12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/>
    </xf>
    <xf numFmtId="166" fontId="0" fillId="0" borderId="78" xfId="4" applyNumberFormat="1" applyFont="1" applyBorder="1" applyAlignment="1" applyProtection="1">
      <alignment horizontal="center" vertical="center"/>
    </xf>
    <xf numFmtId="166" fontId="0" fillId="0" borderId="79" xfId="4" applyNumberFormat="1" applyFont="1" applyBorder="1" applyAlignment="1" applyProtection="1">
      <alignment horizontal="center" vertical="center"/>
    </xf>
    <xf numFmtId="166" fontId="0" fillId="0" borderId="80" xfId="4" applyNumberFormat="1" applyFont="1" applyBorder="1" applyAlignment="1" applyProtection="1">
      <alignment horizontal="center" vertical="center"/>
    </xf>
    <xf numFmtId="169" fontId="23" fillId="0" borderId="38" xfId="0" applyNumberFormat="1" applyFont="1" applyBorder="1" applyAlignment="1">
      <alignment horizontal="right" vertical="center" wrapText="1"/>
    </xf>
    <xf numFmtId="0" fontId="33" fillId="0" borderId="71" xfId="6" applyFont="1" applyFill="1" applyBorder="1" applyAlignment="1">
      <alignment horizontal="center" vertical="center" wrapText="1"/>
    </xf>
    <xf numFmtId="3" fontId="33" fillId="0" borderId="37" xfId="7" applyNumberFormat="1" applyFont="1" applyBorder="1" applyAlignment="1">
      <alignment horizontal="center" vertical="center"/>
    </xf>
    <xf numFmtId="164" fontId="33" fillId="0" borderId="71" xfId="7" applyNumberFormat="1" applyFont="1" applyBorder="1" applyAlignment="1">
      <alignment horizontal="center" vertical="center" wrapText="1"/>
    </xf>
    <xf numFmtId="0" fontId="37" fillId="0" borderId="8" xfId="0" applyFont="1" applyFill="1" applyBorder="1" applyAlignment="1">
      <alignment vertical="center" wrapText="1"/>
    </xf>
    <xf numFmtId="0" fontId="23" fillId="0" borderId="40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1" fillId="0" borderId="43" xfId="0" applyFont="1" applyFill="1" applyBorder="1" applyAlignment="1">
      <alignment horizontal="center"/>
    </xf>
    <xf numFmtId="0" fontId="21" fillId="0" borderId="44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left" vertical="center"/>
    </xf>
    <xf numFmtId="0" fontId="30" fillId="0" borderId="6" xfId="0" applyFont="1" applyFill="1" applyBorder="1" applyAlignment="1">
      <alignment horizontal="left" vertical="center"/>
    </xf>
    <xf numFmtId="0" fontId="30" fillId="0" borderId="6" xfId="0" applyFont="1" applyFill="1" applyBorder="1" applyAlignment="1">
      <alignment horizontal="center" wrapText="1"/>
    </xf>
    <xf numFmtId="0" fontId="30" fillId="0" borderId="0" xfId="0" applyFont="1" applyFill="1" applyBorder="1" applyAlignment="1">
      <alignment horizontal="left" vertical="center" wrapText="1"/>
    </xf>
    <xf numFmtId="0" fontId="30" fillId="0" borderId="6" xfId="0" applyFont="1" applyFill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center"/>
    </xf>
    <xf numFmtId="0" fontId="30" fillId="0" borderId="6" xfId="0" applyFont="1" applyBorder="1" applyAlignment="1">
      <alignment horizontal="left" vertical="center"/>
    </xf>
    <xf numFmtId="0" fontId="30" fillId="0" borderId="0" xfId="0" applyFont="1" applyFill="1" applyBorder="1" applyAlignment="1">
      <alignment horizontal="left" wrapText="1"/>
    </xf>
    <xf numFmtId="0" fontId="30" fillId="0" borderId="6" xfId="0" applyFont="1" applyFill="1" applyBorder="1" applyAlignment="1">
      <alignment horizontal="left" wrapText="1"/>
    </xf>
    <xf numFmtId="0" fontId="40" fillId="0" borderId="0" xfId="0" applyFont="1" applyBorder="1" applyAlignment="1">
      <alignment horizontal="center"/>
    </xf>
    <xf numFmtId="0" fontId="40" fillId="0" borderId="0" xfId="0" applyFont="1" applyBorder="1" applyAlignment="1">
      <alignment horizontal="center" vertical="center"/>
    </xf>
    <xf numFmtId="0" fontId="40" fillId="0" borderId="0" xfId="0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wrapText="1" indent="1"/>
    </xf>
    <xf numFmtId="0" fontId="23" fillId="0" borderId="0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0" fontId="39" fillId="0" borderId="37" xfId="0" applyFont="1" applyBorder="1" applyAlignment="1">
      <alignment horizontal="left" vertical="center" wrapText="1"/>
    </xf>
    <xf numFmtId="0" fontId="30" fillId="0" borderId="37" xfId="0" applyFont="1" applyBorder="1" applyAlignment="1">
      <alignment horizontal="left" vertical="center" wrapText="1"/>
    </xf>
    <xf numFmtId="0" fontId="30" fillId="0" borderId="41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0" fillId="0" borderId="0" xfId="0" applyFont="1" applyBorder="1" applyAlignment="1">
      <alignment horizontal="left" vertical="top"/>
    </xf>
    <xf numFmtId="0" fontId="30" fillId="0" borderId="6" xfId="0" applyFont="1" applyBorder="1" applyAlignment="1">
      <alignment horizontal="left" vertical="top"/>
    </xf>
    <xf numFmtId="0" fontId="25" fillId="0" borderId="0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21" fillId="0" borderId="69" xfId="0" applyFont="1" applyBorder="1" applyAlignment="1">
      <alignment horizontal="center" vertical="center" wrapText="1"/>
    </xf>
    <xf numFmtId="0" fontId="21" fillId="0" borderId="62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left" vertical="center" wrapText="1" indent="1"/>
    </xf>
    <xf numFmtId="0" fontId="11" fillId="0" borderId="8" xfId="0" applyFont="1" applyBorder="1" applyAlignment="1">
      <alignment horizontal="left" vertical="center" wrapText="1" indent="1"/>
    </xf>
    <xf numFmtId="165" fontId="12" fillId="0" borderId="40" xfId="0" applyNumberFormat="1" applyFont="1" applyBorder="1" applyAlignment="1">
      <alignment horizontal="center" vertical="center"/>
    </xf>
    <xf numFmtId="165" fontId="12" fillId="0" borderId="38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68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wrapText="1" indent="1"/>
    </xf>
    <xf numFmtId="0" fontId="31" fillId="0" borderId="8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15" fillId="0" borderId="15" xfId="0" applyFont="1" applyBorder="1" applyAlignment="1">
      <alignment horizontal="left" vertical="center" wrapText="1" indent="1"/>
    </xf>
    <xf numFmtId="0" fontId="0" fillId="0" borderId="49" xfId="0" applyFont="1" applyBorder="1" applyAlignment="1">
      <alignment horizontal="left" vertical="center"/>
    </xf>
    <xf numFmtId="0" fontId="0" fillId="0" borderId="46" xfId="0" applyFont="1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32" fillId="0" borderId="10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0" fillId="0" borderId="34" xfId="0" applyBorder="1"/>
    <xf numFmtId="0" fontId="0" fillId="0" borderId="20" xfId="0" applyBorder="1"/>
    <xf numFmtId="0" fontId="17" fillId="0" borderId="32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 wrapText="1"/>
    </xf>
    <xf numFmtId="0" fontId="17" fillId="0" borderId="76" xfId="0" applyFont="1" applyBorder="1" applyAlignment="1">
      <alignment horizontal="center" vertical="center" wrapText="1"/>
    </xf>
    <xf numFmtId="0" fontId="17" fillId="0" borderId="7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0" fillId="0" borderId="47" xfId="0" applyFont="1" applyBorder="1" applyAlignment="1">
      <alignment horizontal="left" vertical="center" wrapText="1"/>
    </xf>
    <xf numFmtId="0" fontId="10" fillId="0" borderId="77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left" vertical="center" wrapText="1"/>
    </xf>
    <xf numFmtId="0" fontId="15" fillId="0" borderId="36" xfId="0" applyFont="1" applyBorder="1" applyAlignment="1">
      <alignment horizontal="left" indent="1"/>
    </xf>
    <xf numFmtId="0" fontId="20" fillId="0" borderId="6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5" fillId="0" borderId="32" xfId="0" applyFont="1" applyBorder="1"/>
    <xf numFmtId="0" fontId="5" fillId="0" borderId="7" xfId="0" applyFont="1" applyBorder="1"/>
    <xf numFmtId="0" fontId="15" fillId="0" borderId="8" xfId="0" applyFont="1" applyBorder="1" applyAlignment="1">
      <alignment horizontal="left" indent="1"/>
    </xf>
    <xf numFmtId="0" fontId="15" fillId="0" borderId="11" xfId="0" applyFont="1" applyBorder="1" applyAlignment="1">
      <alignment horizontal="left" indent="1"/>
    </xf>
    <xf numFmtId="0" fontId="15" fillId="0" borderId="21" xfId="0" applyFont="1" applyBorder="1" applyAlignment="1">
      <alignment wrapText="1"/>
    </xf>
    <xf numFmtId="0" fontId="19" fillId="0" borderId="0" xfId="0" applyFont="1" applyBorder="1" applyAlignment="1">
      <alignment horizontal="center"/>
    </xf>
    <xf numFmtId="0" fontId="19" fillId="0" borderId="60" xfId="0" applyFont="1" applyBorder="1" applyAlignment="1">
      <alignment horizontal="center"/>
    </xf>
    <xf numFmtId="0" fontId="18" fillId="0" borderId="35" xfId="0" applyFont="1" applyBorder="1" applyAlignment="1">
      <alignment horizontal="left"/>
    </xf>
    <xf numFmtId="0" fontId="15" fillId="0" borderId="20" xfId="0" applyFont="1" applyBorder="1" applyAlignment="1">
      <alignment horizontal="left"/>
    </xf>
    <xf numFmtId="0" fontId="15" fillId="0" borderId="34" xfId="0" applyNumberFormat="1" applyFont="1" applyBorder="1" applyAlignment="1">
      <alignment horizontal="justify" vertical="center" wrapText="1"/>
    </xf>
  </cellXfs>
  <cellStyles count="12">
    <cellStyle name="Encabezado 1" xfId="2"/>
    <cellStyle name="Moneda" xfId="1" builtinId="4"/>
    <cellStyle name="Moneda 2" xfId="5"/>
    <cellStyle name="Moneda_AUTORIZACION Y NOTA DE PEDIDO" xfId="4"/>
    <cellStyle name="Neutral 1" xfId="3"/>
    <cellStyle name="Normal" xfId="0" builtinId="0"/>
    <cellStyle name="Normal 2" xfId="8"/>
    <cellStyle name="Normal 2 2" xfId="6"/>
    <cellStyle name="Normal 3" xfId="9"/>
    <cellStyle name="Normal 3 2" xfId="10"/>
    <cellStyle name="Normal 4" xfId="11"/>
    <cellStyle name="Normal 5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1280340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1280340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1280340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1280340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254521</xdr:colOff>
      <xdr:row>63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25702EF6-6582-423B-9FA5-0AC76B5AC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925"/>
          <a:ext cx="7112521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zoomScale="90" zoomScaleNormal="90" workbookViewId="0">
      <selection activeCell="C15" sqref="C15:E16"/>
    </sheetView>
  </sheetViews>
  <sheetFormatPr baseColWidth="10" defaultColWidth="11" defaultRowHeight="13.2" x14ac:dyDescent="0.25"/>
  <cols>
    <col min="1" max="1" width="8.44140625" style="32" customWidth="1"/>
    <col min="2" max="2" width="18.44140625" style="41" customWidth="1"/>
    <col min="3" max="3" width="27.5546875" style="42" customWidth="1"/>
    <col min="4" max="4" width="8.44140625" style="43" customWidth="1"/>
    <col min="5" max="5" width="79" style="42" customWidth="1"/>
    <col min="6" max="6" width="11" style="43"/>
    <col min="7" max="7" width="13.44140625" style="44" customWidth="1"/>
    <col min="8" max="8" width="16.44140625" style="36" customWidth="1"/>
    <col min="9" max="9" width="20.44140625" style="33" customWidth="1"/>
    <col min="10" max="10" width="11" style="32"/>
    <col min="11" max="11" width="14.6640625" style="32" customWidth="1"/>
    <col min="12" max="12" width="13.6640625" style="32" customWidth="1"/>
    <col min="13" max="16384" width="11" style="32"/>
  </cols>
  <sheetData>
    <row r="1" spans="1:9" ht="27.6" x14ac:dyDescent="0.45">
      <c r="B1" s="117" t="s">
        <v>49</v>
      </c>
      <c r="C1" s="117"/>
      <c r="D1" s="117"/>
      <c r="E1" s="117"/>
      <c r="F1" s="117"/>
      <c r="G1" s="118"/>
      <c r="H1" s="119"/>
    </row>
    <row r="2" spans="1:9" ht="18" customHeight="1" x14ac:dyDescent="0.3">
      <c r="A2" s="120"/>
      <c r="B2" s="120"/>
      <c r="C2" s="121"/>
      <c r="D2" s="122"/>
      <c r="E2" s="121"/>
      <c r="F2" s="34"/>
      <c r="G2" s="35"/>
    </row>
    <row r="3" spans="1:9" ht="18" customHeight="1" x14ac:dyDescent="0.3">
      <c r="A3" s="123" t="s">
        <v>50</v>
      </c>
      <c r="B3" s="123"/>
      <c r="C3" s="121" t="s">
        <v>51</v>
      </c>
      <c r="D3" s="122"/>
      <c r="E3" s="121"/>
      <c r="F3" s="34"/>
      <c r="G3" s="35"/>
    </row>
    <row r="4" spans="1:9" ht="18" customHeight="1" x14ac:dyDescent="0.3">
      <c r="A4" s="123" t="s">
        <v>52</v>
      </c>
      <c r="B4" s="123"/>
      <c r="C4" s="121" t="s">
        <v>5</v>
      </c>
      <c r="D4" s="122"/>
      <c r="E4" s="121"/>
      <c r="F4" s="34"/>
      <c r="G4" s="35"/>
    </row>
    <row r="5" spans="1:9" ht="16.5" customHeight="1" x14ac:dyDescent="0.3">
      <c r="A5" s="123" t="s">
        <v>53</v>
      </c>
      <c r="B5" s="123"/>
      <c r="C5" s="80">
        <v>2021</v>
      </c>
      <c r="D5" s="79"/>
      <c r="E5" s="37"/>
      <c r="F5" s="34"/>
      <c r="G5" s="35"/>
    </row>
    <row r="6" spans="1:9" ht="15.6" x14ac:dyDescent="0.3">
      <c r="A6" s="123" t="s">
        <v>54</v>
      </c>
      <c r="B6" s="123"/>
      <c r="C6" s="37" t="s">
        <v>55</v>
      </c>
      <c r="D6" s="79"/>
      <c r="E6" s="37"/>
      <c r="F6" s="34"/>
      <c r="G6" s="35"/>
    </row>
    <row r="7" spans="1:9" ht="13.8" thickBot="1" x14ac:dyDescent="0.3">
      <c r="B7" s="38"/>
      <c r="C7" s="39"/>
      <c r="D7" s="34"/>
      <c r="E7" s="39"/>
      <c r="F7" s="34"/>
      <c r="G7" s="35"/>
    </row>
    <row r="8" spans="1:9" ht="51" customHeight="1" thickBot="1" x14ac:dyDescent="0.3">
      <c r="A8" s="83" t="s">
        <v>56</v>
      </c>
      <c r="B8" s="85" t="s">
        <v>57</v>
      </c>
      <c r="C8" s="87" t="s">
        <v>58</v>
      </c>
      <c r="D8" s="89" t="s">
        <v>59</v>
      </c>
      <c r="E8" s="87" t="s">
        <v>60</v>
      </c>
      <c r="F8" s="91" t="s">
        <v>61</v>
      </c>
      <c r="G8" s="87" t="s">
        <v>62</v>
      </c>
      <c r="H8" s="92" t="s">
        <v>63</v>
      </c>
      <c r="I8" s="81" t="s">
        <v>64</v>
      </c>
    </row>
    <row r="9" spans="1:9" s="40" customFormat="1" ht="59.25" customHeight="1" thickBot="1" x14ac:dyDescent="0.3">
      <c r="A9" s="84">
        <v>1</v>
      </c>
      <c r="B9" s="86" t="str">
        <f>+' NotaPedido'!B12</f>
        <v>4.3.2-2930.30</v>
      </c>
      <c r="C9" s="88" t="s">
        <v>65</v>
      </c>
      <c r="D9" s="90" t="s">
        <v>72</v>
      </c>
      <c r="E9" s="102" t="s">
        <v>20</v>
      </c>
      <c r="F9" s="99" t="s">
        <v>22</v>
      </c>
      <c r="G9" s="100">
        <v>8</v>
      </c>
      <c r="H9" s="101">
        <f>+' NotaPedido'!J12</f>
        <v>724534</v>
      </c>
      <c r="I9" s="82">
        <f>G9*H9</f>
        <v>5796272</v>
      </c>
    </row>
    <row r="10" spans="1:9" ht="43.5" customHeight="1" thickBot="1" x14ac:dyDescent="0.3">
      <c r="A10" s="133"/>
      <c r="B10" s="133"/>
      <c r="C10" s="133"/>
      <c r="D10" s="133"/>
      <c r="F10" s="103" t="s">
        <v>66</v>
      </c>
      <c r="G10" s="104"/>
      <c r="H10" s="105"/>
      <c r="I10" s="98">
        <f>SUM(I9:I9)</f>
        <v>5796272</v>
      </c>
    </row>
    <row r="11" spans="1:9" ht="27" customHeight="1" thickBot="1" x14ac:dyDescent="0.3"/>
    <row r="12" spans="1:9" ht="31.5" customHeight="1" x14ac:dyDescent="0.3">
      <c r="B12" s="124" t="s">
        <v>73</v>
      </c>
      <c r="C12" s="125"/>
      <c r="D12" s="50"/>
      <c r="E12" s="51"/>
    </row>
    <row r="13" spans="1:9" ht="20.25" customHeight="1" x14ac:dyDescent="0.3">
      <c r="B13" s="93" t="s">
        <v>75</v>
      </c>
      <c r="C13" s="134"/>
      <c r="D13" s="134"/>
      <c r="E13" s="135"/>
    </row>
    <row r="14" spans="1:9" ht="34.799999999999997" customHeight="1" x14ac:dyDescent="0.3">
      <c r="B14" s="53"/>
      <c r="C14" s="94" t="s">
        <v>74</v>
      </c>
      <c r="D14" s="115" t="s">
        <v>85</v>
      </c>
      <c r="E14" s="116"/>
    </row>
    <row r="15" spans="1:9" ht="51.75" customHeight="1" x14ac:dyDescent="0.25">
      <c r="B15" s="53"/>
      <c r="C15" s="130" t="s">
        <v>83</v>
      </c>
      <c r="D15" s="131"/>
      <c r="E15" s="132"/>
    </row>
    <row r="16" spans="1:9" ht="71.400000000000006" customHeight="1" thickBot="1" x14ac:dyDescent="0.3">
      <c r="B16" s="53"/>
      <c r="C16" s="131"/>
      <c r="D16" s="131"/>
      <c r="E16" s="132"/>
    </row>
    <row r="17" spans="2:12" ht="45" customHeight="1" x14ac:dyDescent="0.25">
      <c r="B17" s="49" t="s">
        <v>76</v>
      </c>
      <c r="C17" s="126" t="s">
        <v>84</v>
      </c>
      <c r="D17" s="126"/>
      <c r="E17" s="127"/>
    </row>
    <row r="18" spans="2:12" ht="13.5" customHeight="1" x14ac:dyDescent="0.25">
      <c r="B18" s="53"/>
      <c r="C18" s="128"/>
      <c r="D18" s="128"/>
      <c r="E18" s="129"/>
    </row>
    <row r="19" spans="2:12" ht="33.75" customHeight="1" x14ac:dyDescent="0.25">
      <c r="B19" s="53" t="s">
        <v>77</v>
      </c>
      <c r="C19" s="108" t="s">
        <v>78</v>
      </c>
      <c r="D19" s="108"/>
      <c r="E19" s="109"/>
      <c r="J19" s="45"/>
      <c r="K19" s="46"/>
      <c r="L19" s="47"/>
    </row>
    <row r="20" spans="2:12" ht="16.5" customHeight="1" x14ac:dyDescent="0.3">
      <c r="B20" s="52"/>
      <c r="C20" s="110"/>
      <c r="D20" s="110"/>
      <c r="E20" s="110"/>
      <c r="J20" s="45"/>
      <c r="K20" s="46"/>
      <c r="L20" s="47"/>
    </row>
    <row r="21" spans="2:12" ht="24.75" customHeight="1" x14ac:dyDescent="0.25">
      <c r="B21" s="53" t="s">
        <v>67</v>
      </c>
      <c r="C21" s="111" t="s">
        <v>68</v>
      </c>
      <c r="D21" s="111"/>
      <c r="E21" s="112"/>
      <c r="J21" s="45"/>
      <c r="K21" s="46"/>
      <c r="L21" s="47"/>
    </row>
    <row r="22" spans="2:12" ht="13.5" customHeight="1" x14ac:dyDescent="0.3">
      <c r="B22" s="52"/>
      <c r="C22" s="110"/>
      <c r="D22" s="110"/>
      <c r="E22" s="110"/>
    </row>
    <row r="23" spans="2:12" ht="24.75" customHeight="1" x14ac:dyDescent="0.25">
      <c r="B23" s="53" t="s">
        <v>79</v>
      </c>
      <c r="C23" s="113" t="s">
        <v>80</v>
      </c>
      <c r="D23" s="113"/>
      <c r="E23" s="114"/>
    </row>
    <row r="24" spans="2:12" ht="24.75" customHeight="1" thickBot="1" x14ac:dyDescent="0.3">
      <c r="B24" s="48"/>
      <c r="C24" s="106"/>
      <c r="D24" s="106"/>
      <c r="E24" s="107"/>
    </row>
    <row r="25" spans="2:12" x14ac:dyDescent="0.25">
      <c r="J25" s="45"/>
      <c r="K25" s="46"/>
      <c r="L25" s="47"/>
    </row>
  </sheetData>
  <mergeCells count="22">
    <mergeCell ref="A4:B4"/>
    <mergeCell ref="C4:E4"/>
    <mergeCell ref="B12:C12"/>
    <mergeCell ref="C17:E18"/>
    <mergeCell ref="C15:E16"/>
    <mergeCell ref="A5:B5"/>
    <mergeCell ref="A6:B6"/>
    <mergeCell ref="A10:D10"/>
    <mergeCell ref="C13:E13"/>
    <mergeCell ref="B1:H1"/>
    <mergeCell ref="A2:B2"/>
    <mergeCell ref="C2:E2"/>
    <mergeCell ref="A3:B3"/>
    <mergeCell ref="C3:E3"/>
    <mergeCell ref="F10:H10"/>
    <mergeCell ref="C24:E24"/>
    <mergeCell ref="C19:E19"/>
    <mergeCell ref="C20:E20"/>
    <mergeCell ref="C21:E21"/>
    <mergeCell ref="C22:E22"/>
    <mergeCell ref="C23:E23"/>
    <mergeCell ref="D14:E14"/>
  </mergeCells>
  <pageMargins left="0.70866141732283472" right="0.70866141732283472" top="0.74803149606299213" bottom="0.74803149606299213" header="0.51181102362204722" footer="0.51181102362204722"/>
  <pageSetup paperSize="5" scale="7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zoomScale="110" zoomScaleNormal="110" workbookViewId="0">
      <selection activeCell="A2" sqref="A2"/>
    </sheetView>
  </sheetViews>
  <sheetFormatPr baseColWidth="10" defaultColWidth="9.109375" defaultRowHeight="13.2" x14ac:dyDescent="0.25"/>
  <cols>
    <col min="1" max="1" width="5.5546875" style="1" customWidth="1"/>
    <col min="2" max="2" width="15.109375" style="1" customWidth="1"/>
    <col min="3" max="3" width="14.109375" style="1" customWidth="1"/>
    <col min="4" max="4" width="26" style="1" customWidth="1"/>
    <col min="5" max="5" width="8" style="1" customWidth="1"/>
    <col min="6" max="6" width="7.88671875" style="1" customWidth="1"/>
    <col min="7" max="7" width="28.5546875" style="1" customWidth="1"/>
    <col min="8" max="8" width="9.33203125" style="1" customWidth="1"/>
    <col min="9" max="9" width="12" style="1" customWidth="1"/>
    <col min="10" max="10" width="13.5546875" style="1" customWidth="1"/>
    <col min="11" max="11" width="15.5546875" style="1" customWidth="1"/>
    <col min="12" max="14" width="5.88671875" style="1" customWidth="1"/>
    <col min="15" max="15" width="12.5546875" style="1" customWidth="1"/>
    <col min="16" max="1024" width="9.109375" style="1"/>
  </cols>
  <sheetData>
    <row r="1" spans="1:11" ht="27" customHeight="1" thickBot="1" x14ac:dyDescent="0.3">
      <c r="A1" s="163" t="s">
        <v>0</v>
      </c>
      <c r="B1" s="163"/>
      <c r="C1" s="163"/>
      <c r="D1" s="163"/>
      <c r="E1" s="163"/>
      <c r="F1" s="163"/>
      <c r="G1" s="163"/>
      <c r="H1" s="163"/>
      <c r="I1" s="163"/>
      <c r="J1" s="75" t="s">
        <v>1</v>
      </c>
      <c r="K1" s="76" t="s">
        <v>69</v>
      </c>
    </row>
    <row r="2" spans="1:11" ht="18.75" customHeight="1" thickBot="1" x14ac:dyDescent="0.3">
      <c r="A2" s="2"/>
      <c r="B2" s="3"/>
      <c r="C2" s="3"/>
      <c r="D2" s="4"/>
      <c r="E2" s="4"/>
      <c r="F2" s="4"/>
      <c r="G2" s="4"/>
      <c r="H2" s="4"/>
      <c r="I2" s="4"/>
      <c r="J2" s="4"/>
      <c r="K2" s="5"/>
    </row>
    <row r="3" spans="1:11" ht="18.75" customHeight="1" thickBot="1" x14ac:dyDescent="0.3">
      <c r="A3" s="164" t="s">
        <v>2</v>
      </c>
      <c r="B3" s="164"/>
      <c r="C3" s="164"/>
      <c r="D3" s="162" t="s">
        <v>3</v>
      </c>
      <c r="E3" s="162"/>
      <c r="F3" s="162"/>
      <c r="G3" s="162"/>
      <c r="H3" s="162"/>
      <c r="I3" s="162"/>
      <c r="J3" s="162"/>
      <c r="K3" s="162"/>
    </row>
    <row r="4" spans="1:11" ht="18.75" customHeight="1" thickBot="1" x14ac:dyDescent="0.3">
      <c r="A4" s="161" t="s">
        <v>4</v>
      </c>
      <c r="B4" s="161"/>
      <c r="C4" s="161"/>
      <c r="D4" s="162" t="s">
        <v>5</v>
      </c>
      <c r="E4" s="162"/>
      <c r="F4" s="162"/>
      <c r="G4" s="162"/>
      <c r="H4" s="162"/>
      <c r="I4" s="162"/>
      <c r="J4" s="162"/>
      <c r="K4" s="162"/>
    </row>
    <row r="5" spans="1:11" ht="18.75" customHeight="1" thickBot="1" x14ac:dyDescent="0.3">
      <c r="A5" s="161" t="s">
        <v>6</v>
      </c>
      <c r="B5" s="161"/>
      <c r="C5" s="161"/>
      <c r="D5" s="162" t="s">
        <v>7</v>
      </c>
      <c r="E5" s="162"/>
      <c r="F5" s="162"/>
      <c r="G5" s="162"/>
      <c r="H5" s="162"/>
      <c r="I5" s="162"/>
      <c r="J5" s="162"/>
      <c r="K5" s="162"/>
    </row>
    <row r="6" spans="1:11" ht="16.5" customHeight="1" thickBot="1" x14ac:dyDescent="0.3">
      <c r="A6" s="164" t="s">
        <v>8</v>
      </c>
      <c r="B6" s="164"/>
      <c r="C6" s="164"/>
      <c r="D6" s="162" t="s">
        <v>7</v>
      </c>
      <c r="E6" s="162"/>
      <c r="F6" s="162"/>
      <c r="G6" s="162"/>
      <c r="H6" s="162"/>
      <c r="I6" s="162"/>
      <c r="J6" s="162"/>
      <c r="K6" s="162"/>
    </row>
    <row r="7" spans="1:11" ht="16.5" customHeight="1" thickBot="1" x14ac:dyDescent="0.3">
      <c r="A7" s="161" t="s">
        <v>9</v>
      </c>
      <c r="B7" s="161"/>
      <c r="C7" s="161"/>
      <c r="D7" s="162" t="s">
        <v>10</v>
      </c>
      <c r="E7" s="162"/>
      <c r="F7" s="162"/>
      <c r="G7" s="162"/>
      <c r="H7" s="162"/>
      <c r="I7" s="162"/>
      <c r="J7" s="162"/>
      <c r="K7" s="162"/>
    </row>
    <row r="8" spans="1:11" ht="32.25" customHeight="1" thickBot="1" x14ac:dyDescent="0.3">
      <c r="A8" s="165" t="s">
        <v>11</v>
      </c>
      <c r="B8" s="165"/>
      <c r="C8" s="165"/>
      <c r="D8" s="166" t="s">
        <v>70</v>
      </c>
      <c r="E8" s="166"/>
      <c r="F8" s="166"/>
      <c r="G8" s="166"/>
      <c r="H8" s="166"/>
      <c r="I8" s="166"/>
      <c r="J8" s="166"/>
      <c r="K8" s="166"/>
    </row>
    <row r="9" spans="1:11" ht="16.2" thickBot="1" x14ac:dyDescent="0.3">
      <c r="A9" s="158"/>
      <c r="B9" s="159"/>
      <c r="C9" s="159"/>
      <c r="D9" s="159"/>
      <c r="E9" s="159"/>
      <c r="F9" s="159"/>
      <c r="G9" s="159"/>
      <c r="H9" s="159"/>
      <c r="I9" s="159"/>
      <c r="J9" s="159"/>
      <c r="K9" s="160"/>
    </row>
    <row r="10" spans="1:11" ht="18.75" customHeight="1" thickBot="1" x14ac:dyDescent="0.3">
      <c r="A10" s="148" t="s">
        <v>12</v>
      </c>
      <c r="B10" s="150" t="s">
        <v>13</v>
      </c>
      <c r="C10" s="152" t="s">
        <v>14</v>
      </c>
      <c r="D10" s="153"/>
      <c r="E10" s="153"/>
      <c r="F10" s="153"/>
      <c r="G10" s="154"/>
      <c r="H10" s="150" t="s">
        <v>15</v>
      </c>
      <c r="I10" s="142" t="s">
        <v>16</v>
      </c>
      <c r="J10" s="143" t="s">
        <v>17</v>
      </c>
      <c r="K10" s="150" t="s">
        <v>18</v>
      </c>
    </row>
    <row r="11" spans="1:11" ht="24" customHeight="1" thickBot="1" x14ac:dyDescent="0.3">
      <c r="A11" s="149"/>
      <c r="B11" s="151"/>
      <c r="C11" s="155"/>
      <c r="D11" s="156"/>
      <c r="E11" s="156"/>
      <c r="F11" s="156"/>
      <c r="G11" s="157"/>
      <c r="H11" s="150"/>
      <c r="I11" s="142"/>
      <c r="J11" s="143"/>
      <c r="K11" s="150"/>
    </row>
    <row r="12" spans="1:11" ht="24.6" customHeight="1" x14ac:dyDescent="0.25">
      <c r="A12" s="65">
        <v>1</v>
      </c>
      <c r="B12" s="67" t="s">
        <v>19</v>
      </c>
      <c r="C12" s="136" t="s">
        <v>20</v>
      </c>
      <c r="D12" s="137"/>
      <c r="E12" s="137"/>
      <c r="F12" s="137"/>
      <c r="G12" s="138"/>
      <c r="H12" s="73" t="s">
        <v>21</v>
      </c>
      <c r="I12" s="71" t="s">
        <v>22</v>
      </c>
      <c r="J12" s="78">
        <v>724534</v>
      </c>
      <c r="K12" s="77">
        <v>8</v>
      </c>
    </row>
    <row r="13" spans="1:11" ht="24" customHeight="1" thickBot="1" x14ac:dyDescent="0.3">
      <c r="A13" s="66"/>
      <c r="B13" s="68"/>
      <c r="C13" s="139"/>
      <c r="D13" s="140"/>
      <c r="E13" s="140"/>
      <c r="F13" s="140"/>
      <c r="G13" s="141"/>
      <c r="H13" s="74"/>
      <c r="I13" s="72"/>
      <c r="J13" s="69"/>
      <c r="K13" s="70"/>
    </row>
    <row r="14" spans="1:11" ht="33" customHeight="1" thickBot="1" x14ac:dyDescent="0.3">
      <c r="A14" s="144" t="s">
        <v>71</v>
      </c>
      <c r="B14" s="145"/>
      <c r="C14" s="145"/>
      <c r="D14" s="145"/>
      <c r="E14" s="145"/>
      <c r="F14" s="145"/>
      <c r="G14" s="145"/>
      <c r="H14" s="145"/>
      <c r="I14" s="145"/>
      <c r="J14" s="146">
        <f>J12*K12</f>
        <v>5796272</v>
      </c>
      <c r="K14" s="147"/>
    </row>
  </sheetData>
  <mergeCells count="25">
    <mergeCell ref="A9:K9"/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2:G12"/>
    <mergeCell ref="C13:G13"/>
    <mergeCell ref="I10:I11"/>
    <mergeCell ref="J10:J11"/>
    <mergeCell ref="A14:I14"/>
    <mergeCell ref="J14:K14"/>
    <mergeCell ref="A10:A11"/>
    <mergeCell ref="B10:B11"/>
    <mergeCell ref="C10:G11"/>
    <mergeCell ref="H10:H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opLeftCell="A25" zoomScale="130" zoomScaleNormal="130" workbookViewId="0">
      <selection activeCell="A2" sqref="A2"/>
    </sheetView>
  </sheetViews>
  <sheetFormatPr baseColWidth="10" defaultColWidth="11" defaultRowHeight="13.2" x14ac:dyDescent="0.25"/>
  <cols>
    <col min="1" max="5" width="4.44140625" customWidth="1"/>
    <col min="6" max="6" width="5.33203125" customWidth="1"/>
    <col min="7" max="7" width="4.44140625" style="6" customWidth="1"/>
    <col min="8" max="14" width="4.44140625" customWidth="1"/>
    <col min="15" max="16" width="14.88671875" customWidth="1"/>
    <col min="17" max="17" width="14.6640625" customWidth="1"/>
  </cols>
  <sheetData>
    <row r="1" spans="1:17" ht="15.75" customHeight="1" thickBot="1" x14ac:dyDescent="0.3">
      <c r="A1" s="30" t="s">
        <v>81</v>
      </c>
      <c r="B1" s="29"/>
      <c r="C1" s="29"/>
      <c r="D1" s="28"/>
      <c r="E1" s="27"/>
      <c r="F1" s="26"/>
      <c r="G1" s="26"/>
      <c r="H1" s="25"/>
      <c r="I1" s="25"/>
      <c r="J1" s="25"/>
      <c r="K1" s="25"/>
      <c r="L1" s="25"/>
      <c r="M1" s="25"/>
      <c r="N1" s="25"/>
      <c r="O1" s="24"/>
      <c r="P1" s="189" t="s">
        <v>47</v>
      </c>
      <c r="Q1" s="190"/>
    </row>
    <row r="2" spans="1:17" ht="15.75" customHeight="1" thickBot="1" x14ac:dyDescent="0.3">
      <c r="A2" s="22"/>
      <c r="B2" s="7"/>
      <c r="C2" s="7"/>
      <c r="D2" s="7"/>
      <c r="E2" s="7"/>
      <c r="F2" s="7"/>
      <c r="G2" s="21"/>
      <c r="H2" s="23"/>
      <c r="I2" s="23"/>
      <c r="J2" s="23"/>
      <c r="K2" s="23"/>
      <c r="L2" s="23"/>
      <c r="M2" s="23"/>
      <c r="N2" s="23"/>
      <c r="O2" s="7"/>
      <c r="P2" s="191"/>
      <c r="Q2" s="192"/>
    </row>
    <row r="3" spans="1:17" ht="13.8" thickBot="1" x14ac:dyDescent="0.3">
      <c r="A3" s="22"/>
      <c r="B3" s="7"/>
      <c r="C3" s="7"/>
      <c r="D3" s="7"/>
      <c r="E3" s="7"/>
      <c r="F3" s="7"/>
      <c r="G3" s="21"/>
      <c r="H3" s="7"/>
      <c r="I3" s="7"/>
      <c r="J3" s="7"/>
      <c r="K3" s="7"/>
      <c r="L3" s="7"/>
      <c r="M3" s="7"/>
      <c r="N3" s="7"/>
      <c r="O3" s="7"/>
      <c r="P3" s="198"/>
      <c r="Q3" s="199"/>
    </row>
    <row r="4" spans="1:17" s="20" customFormat="1" ht="18" customHeight="1" thickBot="1" x14ac:dyDescent="0.3">
      <c r="A4" s="193" t="s">
        <v>46</v>
      </c>
      <c r="B4" s="193"/>
      <c r="C4" s="193"/>
      <c r="D4" s="193"/>
      <c r="E4" s="193"/>
      <c r="F4" s="194"/>
      <c r="G4" s="195" t="s">
        <v>3</v>
      </c>
      <c r="H4" s="196"/>
      <c r="I4" s="196"/>
      <c r="J4" s="196"/>
      <c r="K4" s="196"/>
      <c r="L4" s="196"/>
      <c r="M4" s="196"/>
      <c r="N4" s="196"/>
      <c r="O4" s="196"/>
      <c r="P4" s="196"/>
      <c r="Q4" s="196"/>
    </row>
    <row r="5" spans="1:17" s="20" customFormat="1" ht="35.25" customHeight="1" thickBot="1" x14ac:dyDescent="0.3">
      <c r="A5" s="187" t="s">
        <v>4</v>
      </c>
      <c r="B5" s="187"/>
      <c r="C5" s="187"/>
      <c r="D5" s="187"/>
      <c r="E5" s="187"/>
      <c r="F5" s="187"/>
      <c r="G5" s="197" t="s">
        <v>5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</row>
    <row r="6" spans="1:17" s="20" customFormat="1" ht="18" customHeight="1" thickBot="1" x14ac:dyDescent="0.3">
      <c r="A6" s="187" t="s">
        <v>6</v>
      </c>
      <c r="B6" s="187"/>
      <c r="C6" s="187"/>
      <c r="D6" s="187"/>
      <c r="E6" s="187"/>
      <c r="F6" s="187"/>
      <c r="G6" s="188" t="s">
        <v>7</v>
      </c>
      <c r="H6" s="188"/>
      <c r="I6" s="188"/>
      <c r="J6" s="188"/>
      <c r="K6" s="188"/>
      <c r="L6" s="188"/>
      <c r="M6" s="188"/>
      <c r="N6" s="188"/>
      <c r="O6" s="188"/>
      <c r="P6" s="188"/>
      <c r="Q6" s="188"/>
    </row>
    <row r="7" spans="1:17" s="20" customFormat="1" ht="18" customHeight="1" thickBot="1" x14ac:dyDescent="0.3">
      <c r="A7" s="187" t="s">
        <v>8</v>
      </c>
      <c r="B7" s="187"/>
      <c r="C7" s="187"/>
      <c r="D7" s="187"/>
      <c r="E7" s="187"/>
      <c r="F7" s="187"/>
      <c r="G7" s="188" t="s">
        <v>7</v>
      </c>
      <c r="H7" s="188"/>
      <c r="I7" s="188"/>
      <c r="J7" s="188"/>
      <c r="K7" s="188"/>
      <c r="L7" s="188"/>
      <c r="M7" s="188"/>
      <c r="N7" s="188"/>
      <c r="O7" s="188"/>
      <c r="P7" s="188"/>
      <c r="Q7" s="188"/>
    </row>
    <row r="8" spans="1:17" ht="18" customHeight="1" thickBot="1" x14ac:dyDescent="0.3">
      <c r="A8" s="200" t="s">
        <v>45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17" ht="18" customHeight="1" x14ac:dyDescent="0.25">
      <c r="A9" s="201" t="s">
        <v>44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</row>
    <row r="10" spans="1:17" ht="66" customHeight="1" x14ac:dyDescent="0.25">
      <c r="A10" s="202" t="s">
        <v>48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1" spans="1:17" ht="9" customHeight="1" thickBot="1" x14ac:dyDescent="0.3">
      <c r="A11" s="19"/>
      <c r="B11" s="17"/>
      <c r="C11" s="17"/>
      <c r="D11" s="17"/>
      <c r="E11" s="17"/>
      <c r="F11" s="17"/>
      <c r="G11" s="18"/>
      <c r="H11" s="17"/>
      <c r="I11" s="17"/>
      <c r="J11" s="17"/>
      <c r="K11" s="17"/>
      <c r="L11" s="17"/>
      <c r="M11" s="17"/>
      <c r="N11" s="17"/>
      <c r="O11" s="17"/>
      <c r="P11" s="17"/>
      <c r="Q11" s="16"/>
    </row>
    <row r="12" spans="1:17" ht="15.75" customHeight="1" thickBot="1" x14ac:dyDescent="0.3">
      <c r="A12" s="184" t="s">
        <v>43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</row>
    <row r="13" spans="1:17" ht="15.75" customHeight="1" thickBot="1" x14ac:dyDescent="0.3">
      <c r="A13" s="180" t="s">
        <v>42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1" t="s">
        <v>41</v>
      </c>
      <c r="P13" s="182"/>
      <c r="Q13" s="183" t="s">
        <v>40</v>
      </c>
    </row>
    <row r="14" spans="1:17" ht="15.75" customHeight="1" thickBot="1" x14ac:dyDescent="0.3">
      <c r="A14" s="15" t="s">
        <v>39</v>
      </c>
      <c r="B14" s="13" t="s">
        <v>38</v>
      </c>
      <c r="C14" s="13" t="s">
        <v>37</v>
      </c>
      <c r="D14" s="13" t="s">
        <v>36</v>
      </c>
      <c r="E14" s="13" t="s">
        <v>35</v>
      </c>
      <c r="F14" s="13" t="s">
        <v>34</v>
      </c>
      <c r="G14" s="14" t="s">
        <v>33</v>
      </c>
      <c r="H14" s="13" t="s">
        <v>32</v>
      </c>
      <c r="I14" s="13" t="s">
        <v>31</v>
      </c>
      <c r="J14" s="13" t="s">
        <v>30</v>
      </c>
      <c r="K14" s="13" t="s">
        <v>30</v>
      </c>
      <c r="L14" s="13" t="s">
        <v>29</v>
      </c>
      <c r="M14" s="12" t="s">
        <v>28</v>
      </c>
      <c r="N14" s="11" t="s">
        <v>27</v>
      </c>
      <c r="O14" s="181"/>
      <c r="P14" s="182"/>
      <c r="Q14" s="184"/>
    </row>
    <row r="15" spans="1:17" ht="31.95" customHeight="1" x14ac:dyDescent="0.25">
      <c r="A15" s="55">
        <v>3</v>
      </c>
      <c r="B15" s="56">
        <v>0</v>
      </c>
      <c r="C15" s="56">
        <v>0</v>
      </c>
      <c r="D15" s="56">
        <v>1</v>
      </c>
      <c r="E15" s="56">
        <v>0</v>
      </c>
      <c r="F15" s="56">
        <v>4901</v>
      </c>
      <c r="G15" s="56">
        <v>1</v>
      </c>
      <c r="H15" s="56">
        <v>3</v>
      </c>
      <c r="I15" s="56">
        <v>4</v>
      </c>
      <c r="J15" s="56">
        <v>3</v>
      </c>
      <c r="K15" s="56">
        <v>2</v>
      </c>
      <c r="L15" s="56">
        <v>0</v>
      </c>
      <c r="M15" s="57">
        <v>1</v>
      </c>
      <c r="N15" s="58" t="s">
        <v>26</v>
      </c>
      <c r="O15" s="185" t="s">
        <v>25</v>
      </c>
      <c r="P15" s="186"/>
      <c r="Q15" s="95">
        <v>5796272</v>
      </c>
    </row>
    <row r="16" spans="1:17" ht="17.25" customHeight="1" x14ac:dyDescent="0.25">
      <c r="A16" s="10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8"/>
      <c r="N16" s="59"/>
      <c r="O16" s="171"/>
      <c r="P16" s="172"/>
      <c r="Q16" s="96"/>
    </row>
    <row r="17" spans="1:18" ht="17.25" customHeight="1" x14ac:dyDescent="0.25">
      <c r="A17" s="10"/>
      <c r="B17" s="9"/>
      <c r="C17" s="9"/>
      <c r="D17" s="9"/>
      <c r="E17" s="9"/>
      <c r="F17" s="31"/>
      <c r="G17" s="9"/>
      <c r="H17" s="9"/>
      <c r="I17" s="9"/>
      <c r="J17" s="9"/>
      <c r="K17" s="9"/>
      <c r="L17" s="9"/>
      <c r="M17" s="8"/>
      <c r="N17" s="59"/>
      <c r="O17" s="171"/>
      <c r="P17" s="172"/>
      <c r="Q17" s="96"/>
    </row>
    <row r="18" spans="1:18" ht="17.25" customHeight="1" thickBot="1" x14ac:dyDescent="0.3">
      <c r="A18" s="60"/>
      <c r="B18" s="61"/>
      <c r="C18" s="61"/>
      <c r="D18" s="61"/>
      <c r="E18" s="61"/>
      <c r="F18" s="62"/>
      <c r="G18" s="61"/>
      <c r="H18" s="61"/>
      <c r="I18" s="61"/>
      <c r="J18" s="61"/>
      <c r="K18" s="61"/>
      <c r="L18" s="61"/>
      <c r="M18" s="63"/>
      <c r="N18" s="64"/>
      <c r="O18" s="173"/>
      <c r="P18" s="174"/>
      <c r="Q18" s="97"/>
      <c r="R18" s="7"/>
    </row>
    <row r="19" spans="1:18" ht="32.25" customHeight="1" thickBot="1" x14ac:dyDescent="0.3">
      <c r="A19" s="175" t="s">
        <v>82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7"/>
      <c r="Q19" s="54">
        <f>SUM(Q15:Q18)</f>
        <v>5796272</v>
      </c>
    </row>
    <row r="20" spans="1:18" ht="18" customHeight="1" thickBot="1" x14ac:dyDescent="0.3">
      <c r="A20" s="178"/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9"/>
    </row>
    <row r="21" spans="1:18" ht="17.25" customHeight="1" thickBot="1" x14ac:dyDescent="0.3">
      <c r="A21" s="167" t="s">
        <v>24</v>
      </c>
      <c r="B21" s="168"/>
      <c r="C21" s="168"/>
      <c r="D21" s="168"/>
      <c r="E21" s="168"/>
      <c r="F21" s="168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</row>
    <row r="22" spans="1:18" ht="18" customHeight="1" thickBot="1" x14ac:dyDescent="0.3">
      <c r="A22" s="170" t="s">
        <v>23</v>
      </c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</row>
    <row r="23" spans="1:18" ht="34.5" customHeight="1" thickBot="1" x14ac:dyDescent="0.3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</row>
  </sheetData>
  <mergeCells count="26">
    <mergeCell ref="A12:Q12"/>
    <mergeCell ref="A6:F6"/>
    <mergeCell ref="G6:Q6"/>
    <mergeCell ref="P1:Q2"/>
    <mergeCell ref="A4:F4"/>
    <mergeCell ref="G4:Q4"/>
    <mergeCell ref="A5:F5"/>
    <mergeCell ref="G5:Q5"/>
    <mergeCell ref="P3:Q3"/>
    <mergeCell ref="A7:F7"/>
    <mergeCell ref="G7:Q7"/>
    <mergeCell ref="A8:Q8"/>
    <mergeCell ref="A9:Q9"/>
    <mergeCell ref="A10:Q10"/>
    <mergeCell ref="A13:N13"/>
    <mergeCell ref="O13:P14"/>
    <mergeCell ref="Q13:Q14"/>
    <mergeCell ref="O15:P15"/>
    <mergeCell ref="O16:P16"/>
    <mergeCell ref="A21:F21"/>
    <mergeCell ref="G21:Q21"/>
    <mergeCell ref="A22:Q23"/>
    <mergeCell ref="O17:P17"/>
    <mergeCell ref="O18:P18"/>
    <mergeCell ref="A19:P19"/>
    <mergeCell ref="A20:Q20"/>
  </mergeCells>
  <printOptions horizontalCentered="1"/>
  <pageMargins left="0.25" right="0.25" top="0.75" bottom="0.75" header="0.51180555555555496" footer="0.51180555555555496"/>
  <pageSetup paperSize="9" scale="90"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baseColWidth="10"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</vt:lpstr>
      <vt:lpstr> NotaPedido</vt:lpstr>
      <vt:lpstr>Autor Gastar</vt:lpstr>
      <vt:lpstr>Anexo I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2021-03-25T14:25:09Z</cp:lastPrinted>
  <dcterms:created xsi:type="dcterms:W3CDTF">2021-03-19T14:01:53Z</dcterms:created>
  <dcterms:modified xsi:type="dcterms:W3CDTF">2021-03-25T14:29:07Z</dcterms:modified>
</cp:coreProperties>
</file>