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45" windowWidth="16605" windowHeight="9375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NotaPedido'!$A$1:$K$24</definedName>
    <definedName name="_xlnm.Print_Area" localSheetId="2">'Autor Gastar'!$A$1:$Q$24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0" i="1" l="1"/>
  <c r="G13" i="1"/>
  <c r="G11" i="1"/>
  <c r="B20" i="2"/>
  <c r="C20" i="2"/>
  <c r="I20" i="2"/>
  <c r="J20" i="2"/>
  <c r="B15" i="2"/>
  <c r="C15" i="2"/>
  <c r="I15" i="2"/>
  <c r="J15" i="2"/>
  <c r="B16" i="2"/>
  <c r="C16" i="2"/>
  <c r="I16" i="2"/>
  <c r="J16" i="2"/>
  <c r="K16" i="2"/>
  <c r="B17" i="2"/>
  <c r="C17" i="2"/>
  <c r="I17" i="2"/>
  <c r="J17" i="2"/>
  <c r="B18" i="2"/>
  <c r="C18" i="2"/>
  <c r="I18" i="2"/>
  <c r="J18" i="2"/>
  <c r="B19" i="2"/>
  <c r="C19" i="2"/>
  <c r="I19" i="2"/>
  <c r="J19" i="2"/>
  <c r="G10" i="1"/>
  <c r="I13" i="1"/>
  <c r="G17" i="1"/>
  <c r="I17" i="1" s="1"/>
  <c r="G15" i="1"/>
  <c r="I15" i="1" s="1"/>
  <c r="D11" i="1"/>
  <c r="D12" i="1"/>
  <c r="D13" i="1"/>
  <c r="D14" i="1"/>
  <c r="D15" i="1"/>
  <c r="D16" i="1"/>
  <c r="D17" i="1"/>
  <c r="D18" i="1"/>
  <c r="D19" i="1"/>
  <c r="D20" i="1"/>
  <c r="G16" i="1"/>
  <c r="K19" i="2" s="1"/>
  <c r="G14" i="1"/>
  <c r="I14" i="1" s="1"/>
  <c r="G12" i="1"/>
  <c r="K15" i="2" s="1"/>
  <c r="I16" i="1" l="1"/>
  <c r="I12" i="1"/>
  <c r="K18" i="2"/>
  <c r="K20" i="2"/>
  <c r="K17" i="2"/>
  <c r="J23" i="2"/>
  <c r="J22" i="2"/>
  <c r="J21" i="2"/>
  <c r="J14" i="2"/>
  <c r="J13" i="2"/>
  <c r="K23" i="2"/>
  <c r="K22" i="2"/>
  <c r="K21" i="2"/>
  <c r="K14" i="2"/>
  <c r="K13" i="2"/>
  <c r="I23" i="2"/>
  <c r="I22" i="2"/>
  <c r="I21" i="2"/>
  <c r="I14" i="2"/>
  <c r="I13" i="2"/>
  <c r="C23" i="2"/>
  <c r="C22" i="2"/>
  <c r="C21" i="2"/>
  <c r="C14" i="2"/>
  <c r="C13" i="2"/>
  <c r="B23" i="2"/>
  <c r="B22" i="2"/>
  <c r="B21" i="2"/>
  <c r="B14" i="2"/>
  <c r="B13" i="2"/>
  <c r="I10" i="1" l="1"/>
  <c r="I11" i="1"/>
  <c r="I32" i="1"/>
  <c r="I31" i="1"/>
  <c r="N33" i="1"/>
  <c r="P33" i="1" s="1"/>
  <c r="I34" i="1"/>
  <c r="I33" i="1"/>
  <c r="I41" i="1"/>
  <c r="I40" i="1"/>
  <c r="I39" i="1"/>
  <c r="I38" i="1"/>
  <c r="I36" i="1"/>
  <c r="K36" i="1" s="1"/>
  <c r="Q17" i="3" s="1"/>
  <c r="I37" i="1"/>
  <c r="K31" i="1" l="1"/>
  <c r="Q16" i="3" s="1"/>
  <c r="K33" i="1"/>
  <c r="P34" i="1"/>
  <c r="Q34" i="1" s="1"/>
  <c r="Q33" i="1"/>
  <c r="K40" i="1"/>
  <c r="Q19" i="3" s="1"/>
  <c r="K38" i="1"/>
  <c r="Q18" i="3" s="1"/>
  <c r="R33" i="1" l="1"/>
  <c r="I19" i="1" l="1"/>
  <c r="I18" i="1"/>
  <c r="K11" i="1"/>
  <c r="D10" i="1"/>
  <c r="Q15" i="3" l="1"/>
  <c r="Q20" i="3" s="1"/>
  <c r="I21" i="1"/>
  <c r="J24" i="2" s="1"/>
  <c r="A10" i="3"/>
  <c r="G6" i="3"/>
  <c r="G7" i="3"/>
  <c r="D7" i="2"/>
  <c r="G4" i="3"/>
  <c r="G5" i="3"/>
  <c r="D1" i="3" l="1"/>
</calcChain>
</file>

<file path=xl/sharedStrings.xml><?xml version="1.0" encoding="utf-8"?>
<sst xmlns="http://schemas.openxmlformats.org/spreadsheetml/2006/main" count="147" uniqueCount="105">
  <si>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</si>
  <si>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</si>
  <si>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</si>
  <si>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</si>
  <si>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</si>
  <si>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</si>
  <si>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</si>
  <si>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</si>
  <si>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</si>
  <si>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</si>
  <si>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</si>
  <si>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</si>
  <si>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</si>
  <si>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</si>
  <si>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</si>
  <si>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</si>
  <si>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</si>
  <si>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</si>
  <si>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</si>
  <si>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</si>
  <si>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</si>
  <si>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</si>
  <si>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</si>
  <si>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</si>
  <si>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</si>
  <si>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</si>
  <si>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</si>
  <si>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</si>
  <si>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</si>
  <si>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</si>
  <si>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</si>
  <si>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</si>
  <si>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</si>
  <si>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</si>
  <si>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</si>
  <si>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</si>
  <si>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</si>
  <si>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</si>
  <si>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</si>
  <si>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</si>
  <si>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</si>
  <si>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</si>
  <si>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</si>
  <si>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</si>
  <si>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</si>
  <si>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</si>
  <si>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</si>
  <si>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</si>
  <si>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</si>
  <si>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</si>
  <si>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</si>
  <si>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</si>
  <si>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</si>
  <si>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</si>
  <si>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</si>
  <si>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</si>
  <si>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</si>
  <si>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Ministerio de Seguridad</t>
  </si>
  <si>
    <t>7 - Policía de la Provincia de Catamarca</t>
  </si>
  <si>
    <t>Secretaría de Compras y Abastecimiento</t>
  </si>
  <si>
    <t>Policía de la Provincia de Catamarca</t>
  </si>
  <si>
    <t>COMBUSTIBLES Y LUBRICANTES</t>
  </si>
  <si>
    <t>Combustibles y Lubricantes</t>
  </si>
  <si>
    <t>90 - Ministerio de Seguridad</t>
  </si>
  <si>
    <t>7 - Direccion Provincial de Administracion de la Policia de Catamarca</t>
  </si>
  <si>
    <t>2.5.6-7104.19</t>
  </si>
  <si>
    <t>ACEITES LUBRICANTES; DENOMINACION: SAE 15 W 40, USO: AUTOMOTOR, PRESENTACION: TAMBOR X 205 L, NORMA: SAE 15 W 40</t>
  </si>
  <si>
    <t>UNIDAD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</si>
  <si>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</si>
  <si>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>30 (treinta) días</t>
  </si>
  <si>
    <t>91/2020</t>
  </si>
  <si>
    <t>interior</t>
  </si>
  <si>
    <t>capital</t>
  </si>
  <si>
    <t>Para la adquisición de combustibles y lubricantes destinados a las Unidades Móviles de la Policía de Catamarca.</t>
  </si>
  <si>
    <t>Adquisición de Combustibles destinados a Moviles de la Policia de la Provincia de Catamarca</t>
  </si>
  <si>
    <t>1.1.</t>
  </si>
  <si>
    <t>NAFTA SUPER; TIPO: PREMIUN, OCTANO: 97, PRESENTACION: POR LITRO, DESTINO: DPTO. POMAN, COMERCIALIZACION: SIN VALOR</t>
  </si>
  <si>
    <t>NAFTA SUPER; TIPO: PREMIUN, OCTANO: 97, PRESENTACION: POR LITRO, DESTINO: DPTO. ANDALGALA, COMERCIALIZACION: SIN VALOR</t>
  </si>
  <si>
    <t>2.5.6-797.29</t>
  </si>
  <si>
    <t>2.5.6-797.26</t>
  </si>
  <si>
    <t>NAFTA SUPER; TIPO: PREMIUN, OCTANO: 97, PRESENTACION: POR LITRO, DESTINO: DPTO. STA. MARIA, COMERCIALIZACION: SIN VALOR</t>
  </si>
  <si>
    <t>2.5.6-797.32</t>
  </si>
  <si>
    <t>POMAN</t>
  </si>
  <si>
    <t>SANTA MARIA</t>
  </si>
  <si>
    <t>ANDALGALA</t>
  </si>
  <si>
    <t>2.5.6-793.31</t>
  </si>
  <si>
    <t>GAS OIL; PRESENTACION: POR LITRO, USO: MOTORES DIESEL, COMERCIALIZACION: GRADO 3, DESTINO: DPTO. POMAN</t>
  </si>
  <si>
    <t>2.5.6-793.33</t>
  </si>
  <si>
    <t>GAS OIL; PRESENTACION: POR LITRO, USO: MOTORES DIESEL, COMERCIALIZACION: GRADO 3, DESTINO: DPTO. STA. MARIA</t>
  </si>
  <si>
    <t>2.5.6-793.38</t>
  </si>
  <si>
    <t>2.5.6-797.24</t>
  </si>
  <si>
    <t>Especificidades:</t>
  </si>
  <si>
    <t>2.5.6-793.45</t>
  </si>
  <si>
    <t>ACEITES LUBRICANTES; DENOMINACION: SAE 20 W 50, USO: AUTOMOTOR, PRESENTACION: TAMBOR X 205 L, NORMA: SAE 20 W 50</t>
  </si>
  <si>
    <t>2.5.6-7104.31</t>
  </si>
  <si>
    <t>2.5.6-7104.503</t>
  </si>
  <si>
    <t>ACEITES LUBRICANTES; USO: AUTOMOTOR, PRESENTACION: ENVASE X 20 L, NORMA: 5W-30, COMERCIALIZACION: POR UNIDAD</t>
  </si>
  <si>
    <t>LITROS EN VALES</t>
  </si>
  <si>
    <t>NAFTA SUPER; TIPO: PREMIUN, OCTANO: 97, PRESENTACION: POR LITRO, DESTINO: DPTO. S.F.V. DE CATAMARCA, COMERCIALIZACION: SIN VALOR</t>
  </si>
  <si>
    <t>GAS OIL; PRESENTACION: POR LITRO, USO: MOTORES DIESEL, COMERCIALIZACION: GRADO 3, DESTINO: DPTO. S.F.V. DE CATAMARCA</t>
  </si>
  <si>
    <t>GAS OIL; PRESENTACION: POR LITRO, USO: MOTORES DIESEL, COMERCIALIZACION: GRADO 3, DESTINO: DPTO. ANDALGALA</t>
  </si>
  <si>
    <t>NAFTA SUPER; TIPO: SUPER, OCTANO: 97, PRESENTACION: X LITRO, DESTINO: 
SIN VALOR - GAS OIL; PRESENTACION: POR LITRO, USO: MOTORES DIESEL, COMERCIALIZACION: 
GRADO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Caracteristicas:   Aceite  Sintético 15W40 con normas  ACEA  A3/B3, A3/B4. API SN, S, SL, SJ. Para Camioneta  Tambor x 205 lts.                                                                                                                                                             Caracteristicas:  Aceite Semi sintético 5W30  con normas  ACEA  A3/B3, A3/B4. API SN, S, SL, SJ. Para Camionetas .  Envase x 20 lts                                                                                                                                                                  Caracteristicas: Aceite Semi sintético 20W50 con normas API SL/SJ, SH, SG, JASO MA para motos  Tambor x 205 lts</t>
  </si>
  <si>
    <t xml:space="preserve">Costo total estimado: Quince Millones, Novecientos Dos mil Docientos Veinte Pesos con 84/100 </t>
  </si>
  <si>
    <t xml:space="preserve">TOTAL DE PESOS: Quince Millones, Novecientos Dos mil Docientos Veinte con 84/100 </t>
  </si>
  <si>
    <r>
      <rPr>
        <b/>
        <u/>
        <sz val="10"/>
        <rFont val="Times New Roman"/>
        <family val="1"/>
      </rPr>
      <t>Plazo de entrega</t>
    </r>
    <r>
      <rPr>
        <b/>
        <sz val="10"/>
        <rFont val="Times New Roman"/>
        <family val="1"/>
      </rPr>
      <t xml:space="preserve"> tres 3 días hábiles</t>
    </r>
    <r>
      <rPr>
        <sz val="10"/>
        <rFont val="Times New Roman"/>
        <family val="1"/>
      </rPr>
      <t xml:space="preserve">. Periodo de utilización tres meses. </t>
    </r>
    <r>
      <rPr>
        <b/>
        <u/>
        <sz val="10"/>
        <rFont val="Times New Roman"/>
        <family val="1"/>
      </rPr>
      <t>ENTREGA en VALES</t>
    </r>
    <r>
      <rPr>
        <sz val="10"/>
        <rFont val="Times New Roman"/>
        <family val="1"/>
      </rPr>
      <t xml:space="preserve">, según pliego, en la DIRECCIÓN DE ADMINISTRACIÓN sito en Chacabuco N* 809 , San Fernando del Valle de Catamarca, en horario de 8 a 12 horas. </t>
    </r>
    <r>
      <rPr>
        <b/>
        <u/>
        <sz val="10"/>
        <rFont val="Times New Roman"/>
        <family val="1"/>
      </rPr>
      <t>El COMBUSTIBLE</t>
    </r>
    <r>
      <rPr>
        <sz val="10"/>
        <rFont val="Times New Roman"/>
        <family val="1"/>
      </rPr>
      <t xml:space="preserve"> en la boca de expendio de las cabeceras departamentales. </t>
    </r>
    <r>
      <rPr>
        <b/>
        <u/>
        <sz val="10"/>
        <rFont val="Times New Roman"/>
        <family val="1"/>
      </rPr>
      <t>LOS LUBRICANTES</t>
    </r>
    <r>
      <rPr>
        <sz val="10"/>
        <rFont val="Times New Roman"/>
        <family val="1"/>
      </rPr>
      <t xml:space="preserve"> , en Dpto. Logística, sito en Av. Felix Avellaneda Km2  RP N 33, Sumalao Valle Viejo</t>
    </r>
    <r>
      <rPr>
        <b/>
        <u/>
        <sz val="10"/>
        <rFont val="Times New Roman"/>
        <family val="1"/>
      </rPr>
      <t>,</t>
    </r>
    <r>
      <rPr>
        <sz val="10"/>
        <rFont val="Times New Roman"/>
        <family val="1"/>
      </rPr>
      <t xml:space="preserve">
</t>
    </r>
    <r>
      <rPr>
        <b/>
        <u/>
        <sz val="10"/>
        <rFont val="Times New Roman"/>
        <family val="1"/>
      </rPr>
      <t>Actividad 1 – U.R. I (Dpto. CAPITAL)  COMBUSTIBLE ( $ 8.800.000)</t>
    </r>
    <r>
      <rPr>
        <sz val="10"/>
        <rFont val="Times New Roman"/>
        <family val="1"/>
      </rPr>
      <t xml:space="preserve">
</t>
    </r>
    <r>
      <rPr>
        <b/>
        <sz val="10"/>
        <rFont val="Times New Roman"/>
        <family val="1"/>
      </rPr>
      <t>50.343</t>
    </r>
    <r>
      <rPr>
        <sz val="10"/>
        <rFont val="Times New Roman"/>
        <family val="1"/>
      </rPr>
      <t xml:space="preserve"> litros Nafta Súper.- 
</t>
    </r>
    <r>
      <rPr>
        <b/>
        <sz val="10"/>
        <rFont val="Times New Roman"/>
        <family val="1"/>
      </rPr>
      <t>92.560</t>
    </r>
    <r>
      <rPr>
        <sz val="10"/>
        <rFont val="Times New Roman"/>
        <family val="1"/>
      </rPr>
      <t xml:space="preserve"> litros Gasoil Grado 3.- 
                                                                                                                                                                                                                                                                                                                                                                                                                                                                        Actividad 1 – U.R. I (CAPITAL)  LUBRICANTES ( $ 2.000.000) 
</t>
    </r>
    <r>
      <rPr>
        <b/>
        <u/>
        <sz val="10"/>
        <rFont val="Times New Roman"/>
        <family val="1"/>
      </rPr>
      <t xml:space="preserve">Actividad 7 – INTERIOR PROVINCIAL  (Dpto. VALLE VIEJO- Dpto. FME- Dpto.AMBATO - Dpto. PACLIN) COMBUSTIBLE ( $ 3.000.000) 
</t>
    </r>
    <r>
      <rPr>
        <sz val="10"/>
        <rFont val="Times New Roman"/>
        <family val="1"/>
      </rPr>
      <t xml:space="preserve">
</t>
    </r>
    <r>
      <rPr>
        <b/>
        <sz val="10"/>
        <rFont val="Times New Roman"/>
        <family val="1"/>
      </rPr>
      <t>14.230</t>
    </r>
    <r>
      <rPr>
        <sz val="10"/>
        <rFont val="Times New Roman"/>
        <family val="1"/>
      </rPr>
      <t xml:space="preserve"> litros Nafta Súper.- 
</t>
    </r>
    <r>
      <rPr>
        <b/>
        <sz val="10"/>
        <rFont val="Times New Roman"/>
        <family val="1"/>
      </rPr>
      <t>34.600</t>
    </r>
    <r>
      <rPr>
        <sz val="10"/>
        <rFont val="Times New Roman"/>
        <family val="1"/>
      </rPr>
      <t xml:space="preserve"> litros Gasoil Grado 3.-
</t>
    </r>
    <r>
      <rPr>
        <b/>
        <u/>
        <sz val="10"/>
        <rFont val="Times New Roman"/>
        <family val="1"/>
      </rPr>
      <t>Actividad 11 – U.R. 4 (Dpto. Andalgala) ($ 400.000)</t>
    </r>
    <r>
      <rPr>
        <sz val="10"/>
        <rFont val="Times New Roman"/>
        <family val="1"/>
      </rPr>
      <t xml:space="preserve">
</t>
    </r>
    <r>
      <rPr>
        <b/>
        <sz val="10"/>
        <rFont val="Times New Roman"/>
        <family val="1"/>
      </rPr>
      <t>1.998</t>
    </r>
    <r>
      <rPr>
        <sz val="10"/>
        <rFont val="Times New Roman"/>
        <family val="1"/>
      </rPr>
      <t xml:space="preserve"> litros Nafta Súper.- 
</t>
    </r>
    <r>
      <rPr>
        <b/>
        <sz val="10"/>
        <rFont val="Times New Roman"/>
        <family val="1"/>
      </rPr>
      <t>4.520</t>
    </r>
    <r>
      <rPr>
        <sz val="10"/>
        <rFont val="Times New Roman"/>
        <family val="1"/>
      </rPr>
      <t xml:space="preserve"> litros Gasoil Grado 3.-
</t>
    </r>
    <r>
      <rPr>
        <b/>
        <u/>
        <sz val="10"/>
        <rFont val="Times New Roman"/>
        <family val="1"/>
      </rPr>
      <t>Actividad 14 – Jefatura de Zona “D” (Dpto. Santa María) ($ 600.000)</t>
    </r>
    <r>
      <rPr>
        <sz val="10"/>
        <rFont val="Times New Roman"/>
        <family val="1"/>
      </rPr>
      <t xml:space="preserve">
 </t>
    </r>
    <r>
      <rPr>
        <b/>
        <sz val="10"/>
        <rFont val="Times New Roman"/>
        <family val="1"/>
      </rPr>
      <t>2.730</t>
    </r>
    <r>
      <rPr>
        <sz val="10"/>
        <rFont val="Times New Roman"/>
        <family val="1"/>
      </rPr>
      <t xml:space="preserve"> litros Nafta Súper.- 
 </t>
    </r>
    <r>
      <rPr>
        <b/>
        <sz val="10"/>
        <rFont val="Times New Roman"/>
        <family val="1"/>
      </rPr>
      <t>7.070</t>
    </r>
    <r>
      <rPr>
        <sz val="10"/>
        <rFont val="Times New Roman"/>
        <family val="1"/>
      </rPr>
      <t xml:space="preserve"> litros Gasoil Grado 3.- 
</t>
    </r>
    <r>
      <rPr>
        <b/>
        <u/>
        <sz val="10"/>
        <rFont val="Times New Roman"/>
        <family val="1"/>
      </rPr>
      <t>Actividad 15 – Jefatura de Zona “F” (Dpto. Poman) ($ 1.200.000)</t>
    </r>
    <r>
      <rPr>
        <sz val="10"/>
        <rFont val="Times New Roman"/>
        <family val="1"/>
      </rPr>
      <t xml:space="preserve">
 </t>
    </r>
    <r>
      <rPr>
        <b/>
        <sz val="10"/>
        <rFont val="Times New Roman"/>
        <family val="1"/>
      </rPr>
      <t xml:space="preserve">6.978 </t>
    </r>
    <r>
      <rPr>
        <sz val="10"/>
        <rFont val="Times New Roman"/>
        <family val="1"/>
      </rPr>
      <t xml:space="preserve">litros Nafta Súper.- 
 </t>
    </r>
    <r>
      <rPr>
        <b/>
        <sz val="10"/>
        <rFont val="Times New Roman"/>
        <family val="1"/>
      </rPr>
      <t>12.498</t>
    </r>
    <r>
      <rPr>
        <sz val="10"/>
        <rFont val="Times New Roman"/>
        <family val="1"/>
      </rPr>
      <t xml:space="preserve"> litros Gasoil Grado 3.- 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</si>
</sst>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64" formatCode="_-* #,##0.00&quot; €&quot;_-;\-* #,##0.00&quot; €&quot;_-;_-* \-??&quot; €&quot;_-;_-@_-"/>
    <numFmt numFmtId="165" formatCode="[$$-2C0A]\ #,##0.00"/>
    <numFmt numFmtId="166" formatCode="dd\-mm\-yy;@"/>
    <numFmt numFmtId="167" formatCode="_ [$$-2C0A]\ * #,##0.00_ ;_ [$$-2C0A]\ * \-#,##0.00_ ;_ [$$-2C0A]\ * &quot;-&quot;??_ ;_ @_ "/>
    <numFmt numFmtId="168" formatCode="&quot;$&quot;\ #,##0.00"/>
  </numFmts>
  <fonts count="33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u/>
      <sz val="10"/>
      <name val="Times New Roman"/>
      <family val="1"/>
    </font>
    <font>
      <sz val="10"/>
      <color theme="0"/>
      <name val="Times New Roman"/>
      <family val="1"/>
    </font>
    <font>
      <sz val="10"/>
      <color rgb="FF333333"/>
      <name val="Times New Roman"/>
      <family val="1"/>
    </font>
    <font>
      <sz val="10"/>
      <color rgb="FFFF0000"/>
      <name val="Times New Roman"/>
      <family val="1"/>
    </font>
    <font>
      <sz val="11"/>
      <color rgb="FF333333"/>
      <name val="Arial"/>
      <family val="2"/>
    </font>
    <font>
      <b/>
      <sz val="12"/>
      <name val="Times New Roman"/>
      <family val="1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FF"/>
        <bgColor indexed="64"/>
      </patternFill>
    </fill>
    <fill>
      <patternFill patternType="solid">
        <fgColor rgb="FFF0F9FE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/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rgb="FFE5E5E5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5">
    <xf numFmtId="0" fontId="0" fillId="0" borderId="0"/>
    <xf numFmtId="164" fontId="14" fillId="0" borderId="0" applyBorder="0" applyProtection="0"/>
    <xf numFmtId="0" fontId="1" fillId="0" borderId="1" applyProtection="0"/>
    <xf numFmtId="0" fontId="3" fillId="2" borderId="0" applyBorder="0" applyProtection="0"/>
    <xf numFmtId="43" fontId="14" fillId="0" borderId="0" applyFont="0" applyFill="0" applyBorder="0" applyAlignment="0" applyProtection="0"/>
  </cellStyleXfs>
  <cellXfs count="190">
    <xf numFmtId="0" fontId="0" fillId="0" borderId="0" xfId="0"/>
    <xf numFmtId="0" fontId="2" fillId="0" borderId="0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0" fontId="5" fillId="0" borderId="13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6" fontId="0" fillId="0" borderId="0" xfId="0" applyNumberFormat="1" applyAlignment="1">
      <alignment horizontal="left"/>
    </xf>
    <xf numFmtId="0" fontId="2" fillId="0" borderId="0" xfId="0" applyFont="1"/>
    <xf numFmtId="0" fontId="0" fillId="0" borderId="25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8" fillId="0" borderId="2" xfId="0" applyFont="1" applyBorder="1" applyAlignment="1">
      <alignment horizontal="center" wrapText="1"/>
    </xf>
    <xf numFmtId="0" fontId="15" fillId="0" borderId="4" xfId="0" applyFont="1" applyBorder="1"/>
    <xf numFmtId="0" fontId="15" fillId="0" borderId="5" xfId="0" applyFont="1" applyBorder="1"/>
    <xf numFmtId="0" fontId="15" fillId="0" borderId="6" xfId="0" applyFont="1" applyBorder="1"/>
    <xf numFmtId="0" fontId="15" fillId="0" borderId="0" xfId="0" applyFont="1" applyBorder="1"/>
    <xf numFmtId="0" fontId="15" fillId="0" borderId="7" xfId="0" applyFont="1" applyBorder="1"/>
    <xf numFmtId="0" fontId="22" fillId="0" borderId="6" xfId="0" applyFont="1" applyBorder="1" applyAlignment="1">
      <alignment horizontal="left" indent="3"/>
    </xf>
    <xf numFmtId="0" fontId="15" fillId="0" borderId="6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7" xfId="0" applyFont="1" applyBorder="1" applyAlignment="1">
      <alignment horizontal="center" wrapText="1"/>
    </xf>
    <xf numFmtId="0" fontId="15" fillId="0" borderId="8" xfId="0" applyFont="1" applyBorder="1" applyAlignment="1">
      <alignment horizontal="left" indent="3"/>
    </xf>
    <xf numFmtId="0" fontId="15" fillId="0" borderId="9" xfId="0" applyFont="1" applyBorder="1"/>
    <xf numFmtId="0" fontId="15" fillId="0" borderId="10" xfId="0" applyFont="1" applyBorder="1"/>
    <xf numFmtId="0" fontId="23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0" fillId="0" borderId="2" xfId="0" applyBorder="1"/>
    <xf numFmtId="2" fontId="15" fillId="0" borderId="0" xfId="0" applyNumberFormat="1" applyFont="1"/>
    <xf numFmtId="0" fontId="19" fillId="0" borderId="33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/>
    </xf>
    <xf numFmtId="0" fontId="15" fillId="0" borderId="37" xfId="0" applyFont="1" applyBorder="1"/>
    <xf numFmtId="0" fontId="21" fillId="0" borderId="37" xfId="0" applyFont="1" applyBorder="1" applyAlignment="1">
      <alignment horizontal="center" vertical="center" wrapText="1"/>
    </xf>
    <xf numFmtId="0" fontId="15" fillId="0" borderId="37" xfId="0" applyFont="1" applyBorder="1" applyAlignment="1">
      <alignment wrapText="1"/>
    </xf>
    <xf numFmtId="1" fontId="20" fillId="0" borderId="37" xfId="0" applyNumberFormat="1" applyFont="1" applyFill="1" applyBorder="1" applyAlignment="1">
      <alignment horizontal="center" vertical="center" wrapText="1"/>
    </xf>
    <xf numFmtId="167" fontId="20" fillId="0" borderId="37" xfId="1" applyNumberFormat="1" applyFont="1" applyFill="1" applyBorder="1" applyAlignment="1" applyProtection="1">
      <alignment horizontal="right" vertical="center" wrapText="1"/>
    </xf>
    <xf numFmtId="167" fontId="20" fillId="0" borderId="38" xfId="1" applyNumberFormat="1" applyFont="1" applyFill="1" applyBorder="1" applyAlignment="1" applyProtection="1">
      <alignment horizontal="right" vertical="center" wrapText="1"/>
    </xf>
    <xf numFmtId="0" fontId="20" fillId="0" borderId="39" xfId="0" applyFont="1" applyBorder="1" applyAlignment="1">
      <alignment horizontal="center" vertical="center"/>
    </xf>
    <xf numFmtId="0" fontId="15" fillId="0" borderId="40" xfId="0" applyFont="1" applyBorder="1"/>
    <xf numFmtId="0" fontId="18" fillId="0" borderId="40" xfId="0" applyFont="1" applyBorder="1" applyAlignment="1">
      <alignment horizontal="center" wrapText="1"/>
    </xf>
    <xf numFmtId="0" fontId="21" fillId="0" borderId="2" xfId="0" applyFont="1" applyBorder="1" applyAlignment="1">
      <alignment horizontal="center" vertical="center" wrapText="1"/>
    </xf>
    <xf numFmtId="0" fontId="15" fillId="0" borderId="2" xfId="0" applyFont="1" applyFill="1" applyBorder="1" applyAlignment="1">
      <alignment wrapText="1"/>
    </xf>
    <xf numFmtId="1" fontId="18" fillId="0" borderId="2" xfId="0" applyNumberFormat="1" applyFont="1" applyBorder="1" applyAlignment="1">
      <alignment horizontal="center" wrapText="1"/>
    </xf>
    <xf numFmtId="167" fontId="18" fillId="0" borderId="2" xfId="0" applyNumberFormat="1" applyFont="1" applyBorder="1" applyAlignment="1">
      <alignment horizontal="center" wrapText="1"/>
    </xf>
    <xf numFmtId="167" fontId="18" fillId="0" borderId="2" xfId="0" applyNumberFormat="1" applyFont="1" applyBorder="1" applyAlignment="1">
      <alignment horizontal="right" wrapText="1"/>
    </xf>
    <xf numFmtId="167" fontId="18" fillId="0" borderId="40" xfId="0" applyNumberFormat="1" applyFont="1" applyBorder="1" applyAlignment="1">
      <alignment horizontal="right" wrapText="1"/>
    </xf>
    <xf numFmtId="0" fontId="15" fillId="0" borderId="2" xfId="0" applyFont="1" applyBorder="1" applyAlignment="1">
      <alignment vertical="center"/>
    </xf>
    <xf numFmtId="0" fontId="26" fillId="0" borderId="3" xfId="0" applyFont="1" applyBorder="1"/>
    <xf numFmtId="0" fontId="15" fillId="0" borderId="2" xfId="0" applyFont="1" applyBorder="1"/>
    <xf numFmtId="0" fontId="6" fillId="0" borderId="12" xfId="0" applyFont="1" applyFill="1" applyBorder="1" applyAlignment="1">
      <alignment horizontal="center" vertical="center"/>
    </xf>
    <xf numFmtId="0" fontId="27" fillId="0" borderId="0" xfId="0" applyFont="1"/>
    <xf numFmtId="167" fontId="27" fillId="0" borderId="0" xfId="0" applyNumberFormat="1" applyFont="1"/>
    <xf numFmtId="43" fontId="27" fillId="0" borderId="0" xfId="4" applyFont="1"/>
    <xf numFmtId="43" fontId="27" fillId="0" borderId="0" xfId="0" applyNumberFormat="1" applyFont="1"/>
    <xf numFmtId="168" fontId="27" fillId="0" borderId="0" xfId="0" applyNumberFormat="1" applyFont="1"/>
    <xf numFmtId="2" fontId="27" fillId="0" borderId="0" xfId="0" applyNumberFormat="1" applyFont="1"/>
    <xf numFmtId="0" fontId="0" fillId="0" borderId="40" xfId="0" applyFill="1" applyBorder="1" applyAlignment="1">
      <alignment vertical="center"/>
    </xf>
    <xf numFmtId="0" fontId="8" fillId="0" borderId="3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167" fontId="15" fillId="0" borderId="0" xfId="0" applyNumberFormat="1" applyFont="1"/>
    <xf numFmtId="168" fontId="15" fillId="0" borderId="0" xfId="0" applyNumberFormat="1" applyFont="1"/>
    <xf numFmtId="0" fontId="0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14" fillId="0" borderId="42" xfId="0" applyFont="1" applyFill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48" xfId="0" applyFont="1" applyBorder="1" applyAlignment="1">
      <alignment horizontal="left" vertical="center"/>
    </xf>
    <xf numFmtId="0" fontId="13" fillId="0" borderId="49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right"/>
    </xf>
    <xf numFmtId="0" fontId="0" fillId="0" borderId="26" xfId="0" applyBorder="1" applyAlignment="1">
      <alignment horizontal="right"/>
    </xf>
    <xf numFmtId="0" fontId="0" fillId="0" borderId="0" xfId="0" applyAlignment="1">
      <alignment horizontal="right"/>
    </xf>
    <xf numFmtId="167" fontId="14" fillId="0" borderId="42" xfId="1" applyNumberFormat="1" applyBorder="1"/>
    <xf numFmtId="167" fontId="14" fillId="0" borderId="2" xfId="1" applyNumberFormat="1" applyBorder="1" applyProtection="1"/>
    <xf numFmtId="0" fontId="27" fillId="0" borderId="0" xfId="0" applyFont="1" applyBorder="1"/>
    <xf numFmtId="0" fontId="15" fillId="0" borderId="2" xfId="0" applyFont="1" applyBorder="1" applyAlignment="1">
      <alignment wrapText="1"/>
    </xf>
    <xf numFmtId="167" fontId="20" fillId="0" borderId="2" xfId="1" applyNumberFormat="1" applyFont="1" applyFill="1" applyBorder="1" applyAlignment="1" applyProtection="1">
      <alignment horizontal="right" vertical="center" wrapText="1"/>
    </xf>
    <xf numFmtId="0" fontId="19" fillId="0" borderId="53" xfId="0" applyFont="1" applyBorder="1" applyAlignment="1">
      <alignment horizontal="center" vertical="center" wrapText="1"/>
    </xf>
    <xf numFmtId="0" fontId="20" fillId="0" borderId="55" xfId="0" applyFont="1" applyBorder="1" applyAlignment="1">
      <alignment horizontal="center" vertical="center"/>
    </xf>
    <xf numFmtId="167" fontId="18" fillId="0" borderId="56" xfId="0" applyNumberFormat="1" applyFont="1" applyBorder="1" applyAlignment="1">
      <alignment horizontal="right" wrapText="1"/>
    </xf>
    <xf numFmtId="0" fontId="20" fillId="0" borderId="57" xfId="0" applyFont="1" applyBorder="1" applyAlignment="1">
      <alignment horizontal="center" vertical="center"/>
    </xf>
    <xf numFmtId="0" fontId="15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 wrapText="1"/>
    </xf>
    <xf numFmtId="0" fontId="15" fillId="0" borderId="43" xfId="0" applyFont="1" applyFill="1" applyBorder="1" applyAlignment="1">
      <alignment vertical="center"/>
    </xf>
    <xf numFmtId="0" fontId="18" fillId="0" borderId="43" xfId="0" applyFont="1" applyBorder="1" applyAlignment="1">
      <alignment horizontal="center" wrapText="1"/>
    </xf>
    <xf numFmtId="1" fontId="18" fillId="0" borderId="43" xfId="0" applyNumberFormat="1" applyFont="1" applyBorder="1" applyAlignment="1">
      <alignment horizontal="center" wrapText="1"/>
    </xf>
    <xf numFmtId="167" fontId="18" fillId="0" borderId="43" xfId="0" applyNumberFormat="1" applyFont="1" applyBorder="1" applyAlignment="1">
      <alignment horizontal="center" wrapText="1"/>
    </xf>
    <xf numFmtId="167" fontId="18" fillId="0" borderId="58" xfId="0" applyNumberFormat="1" applyFont="1" applyBorder="1" applyAlignment="1">
      <alignment horizontal="right" wrapText="1"/>
    </xf>
    <xf numFmtId="0" fontId="18" fillId="0" borderId="37" xfId="0" applyFont="1" applyFill="1" applyBorder="1" applyAlignment="1">
      <alignment horizontal="center" vertical="center" wrapText="1"/>
    </xf>
    <xf numFmtId="167" fontId="15" fillId="0" borderId="37" xfId="1" applyNumberFormat="1" applyFont="1" applyFill="1" applyBorder="1" applyAlignment="1" applyProtection="1">
      <alignment horizontal="right" wrapText="1"/>
    </xf>
    <xf numFmtId="1" fontId="15" fillId="0" borderId="37" xfId="0" applyNumberFormat="1" applyFont="1" applyFill="1" applyBorder="1" applyAlignment="1">
      <alignment horizontal="right" wrapText="1"/>
    </xf>
    <xf numFmtId="1" fontId="15" fillId="0" borderId="2" xfId="0" applyNumberFormat="1" applyFont="1" applyFill="1" applyBorder="1" applyAlignment="1">
      <alignment horizontal="right" wrapText="1"/>
    </xf>
    <xf numFmtId="1" fontId="15" fillId="0" borderId="43" xfId="0" applyNumberFormat="1" applyFont="1" applyFill="1" applyBorder="1" applyAlignment="1">
      <alignment horizontal="right" wrapText="1"/>
    </xf>
    <xf numFmtId="0" fontId="28" fillId="0" borderId="2" xfId="0" applyFont="1" applyBorder="1" applyAlignment="1">
      <alignment wrapText="1"/>
    </xf>
    <xf numFmtId="0" fontId="28" fillId="0" borderId="2" xfId="0" applyFont="1" applyBorder="1"/>
    <xf numFmtId="167" fontId="27" fillId="0" borderId="0" xfId="0" applyNumberFormat="1" applyFont="1" applyBorder="1"/>
    <xf numFmtId="0" fontId="29" fillId="0" borderId="0" xfId="0" applyFont="1"/>
    <xf numFmtId="167" fontId="29" fillId="0" borderId="0" xfId="0" applyNumberFormat="1" applyFont="1"/>
    <xf numFmtId="0" fontId="15" fillId="0" borderId="43" xfId="0" applyFont="1" applyFill="1" applyBorder="1" applyAlignment="1">
      <alignment vertical="center" wrapText="1"/>
    </xf>
    <xf numFmtId="0" fontId="0" fillId="3" borderId="0" xfId="0" applyFill="1"/>
    <xf numFmtId="0" fontId="30" fillId="4" borderId="59" xfId="0" applyFont="1" applyFill="1" applyBorder="1" applyAlignment="1">
      <alignment vertical="top" wrapText="1"/>
    </xf>
    <xf numFmtId="0" fontId="30" fillId="3" borderId="59" xfId="0" applyFont="1" applyFill="1" applyBorder="1" applyAlignment="1">
      <alignment vertical="top" wrapText="1"/>
    </xf>
    <xf numFmtId="0" fontId="18" fillId="0" borderId="2" xfId="0" applyFont="1" applyFill="1" applyBorder="1" applyAlignment="1">
      <alignment horizontal="center" vertical="center" wrapText="1"/>
    </xf>
    <xf numFmtId="167" fontId="24" fillId="0" borderId="54" xfId="0" applyNumberFormat="1" applyFont="1" applyBorder="1"/>
    <xf numFmtId="167" fontId="32" fillId="0" borderId="28" xfId="1" applyNumberFormat="1" applyFont="1" applyBorder="1"/>
    <xf numFmtId="0" fontId="27" fillId="0" borderId="0" xfId="0" applyFont="1" applyBorder="1" applyAlignment="1">
      <alignment horizontal="center"/>
    </xf>
    <xf numFmtId="0" fontId="30" fillId="4" borderId="0" xfId="0" applyFont="1" applyFill="1" applyBorder="1" applyAlignment="1">
      <alignment horizontal="center" vertical="top" wrapText="1"/>
    </xf>
    <xf numFmtId="0" fontId="17" fillId="0" borderId="0" xfId="0" applyFont="1" applyBorder="1" applyAlignment="1">
      <alignment horizontal="left" vertical="center" wrapText="1"/>
    </xf>
    <xf numFmtId="0" fontId="15" fillId="0" borderId="0" xfId="0" applyFont="1" applyFill="1" applyBorder="1" applyAlignment="1">
      <alignment horizontal="left" vertical="center" wrapText="1"/>
    </xf>
    <xf numFmtId="0" fontId="15" fillId="0" borderId="7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left" wrapText="1"/>
    </xf>
    <xf numFmtId="0" fontId="15" fillId="0" borderId="7" xfId="0" applyFont="1" applyFill="1" applyBorder="1" applyAlignment="1">
      <alignment horizontal="left" wrapText="1"/>
    </xf>
    <xf numFmtId="0" fontId="15" fillId="0" borderId="0" xfId="0" applyFont="1" applyFill="1" applyBorder="1" applyAlignment="1">
      <alignment horizontal="center"/>
    </xf>
    <xf numFmtId="0" fontId="15" fillId="0" borderId="7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3" fillId="0" borderId="0" xfId="0" applyFont="1" applyFill="1" applyBorder="1" applyAlignment="1">
      <alignment horizontal="left" wrapText="1" indent="1"/>
    </xf>
    <xf numFmtId="0" fontId="15" fillId="0" borderId="2" xfId="0" applyFont="1" applyBorder="1" applyAlignment="1">
      <alignment horizontal="left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 indent="1"/>
    </xf>
    <xf numFmtId="0" fontId="7" fillId="0" borderId="16" xfId="0" applyFont="1" applyBorder="1" applyAlignment="1">
      <alignment horizontal="left" vertical="center" wrapText="1"/>
    </xf>
    <xf numFmtId="0" fontId="6" fillId="0" borderId="32" xfId="0" applyFont="1" applyFill="1" applyBorder="1" applyAlignment="1">
      <alignment horizontal="left" vertical="center" wrapText="1" indent="1"/>
    </xf>
    <xf numFmtId="0" fontId="6" fillId="0" borderId="15" xfId="0" applyFont="1" applyBorder="1" applyAlignment="1">
      <alignment horizontal="left" vertical="center" wrapText="1" indent="1"/>
    </xf>
    <xf numFmtId="165" fontId="31" fillId="0" borderId="21" xfId="0" applyNumberFormat="1" applyFont="1" applyBorder="1" applyAlignment="1">
      <alignment horizontal="center" vertical="center"/>
    </xf>
    <xf numFmtId="165" fontId="31" fillId="0" borderId="15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15" fillId="0" borderId="60" xfId="0" applyFont="1" applyFill="1" applyBorder="1" applyAlignment="1">
      <alignment horizontal="left" vertical="center" wrapText="1"/>
    </xf>
    <xf numFmtId="0" fontId="15" fillId="0" borderId="61" xfId="0" applyFont="1" applyFill="1" applyBorder="1" applyAlignment="1">
      <alignment horizontal="left" vertical="center" wrapText="1"/>
    </xf>
    <xf numFmtId="0" fontId="15" fillId="0" borderId="62" xfId="0" applyFont="1" applyFill="1" applyBorder="1" applyAlignment="1">
      <alignment horizontal="left" vertical="center" wrapText="1"/>
    </xf>
    <xf numFmtId="0" fontId="15" fillId="0" borderId="2" xfId="0" applyFont="1" applyFill="1" applyBorder="1" applyAlignment="1">
      <alignment horizontal="left" wrapText="1"/>
    </xf>
    <xf numFmtId="0" fontId="15" fillId="0" borderId="42" xfId="0" applyFont="1" applyBorder="1" applyAlignment="1">
      <alignment horizontal="left" wrapText="1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31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indent="1"/>
    </xf>
    <xf numFmtId="0" fontId="12" fillId="0" borderId="12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 vertical="center" wrapText="1"/>
    </xf>
    <xf numFmtId="0" fontId="2" fillId="0" borderId="12" xfId="0" applyFont="1" applyBorder="1"/>
    <xf numFmtId="0" fontId="13" fillId="0" borderId="44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 wrapText="1"/>
    </xf>
    <xf numFmtId="0" fontId="13" fillId="0" borderId="51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right" vertical="center"/>
    </xf>
    <xf numFmtId="0" fontId="13" fillId="0" borderId="52" xfId="0" applyFont="1" applyBorder="1" applyAlignment="1">
      <alignment horizontal="right" vertical="center"/>
    </xf>
    <xf numFmtId="0" fontId="25" fillId="0" borderId="42" xfId="0" applyFont="1" applyBorder="1" applyAlignment="1">
      <alignment horizontal="center" vertical="center" wrapText="1"/>
    </xf>
    <xf numFmtId="0" fontId="0" fillId="0" borderId="4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left" vertical="center" wrapText="1" indent="1"/>
    </xf>
    <xf numFmtId="0" fontId="9" fillId="0" borderId="28" xfId="0" applyFont="1" applyBorder="1" applyAlignment="1">
      <alignment horizontal="left" vertical="center" wrapText="1"/>
    </xf>
    <xf numFmtId="0" fontId="0" fillId="0" borderId="22" xfId="0" applyBorder="1"/>
    <xf numFmtId="0" fontId="9" fillId="0" borderId="20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</cellXfs>
  <cellStyles count="5">
    <cellStyle name="Encabezado 1" xfId="2"/>
    <cellStyle name="Millares" xfId="4" builtinId="3"/>
    <cellStyle name="Moneda" xfId="1" builtinId="4"/>
    <cellStyle name="Neutral 1" xf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63"/>
  <sheetViews>
    <sheetView tabSelected="1" view="pageBreakPreview" topLeftCell="A11" zoomScale="90" zoomScaleSheetLayoutView="90" zoomScalePageLayoutView="55" workbookViewId="0">
      <selection activeCell="I21" sqref="I21"/>
    </sheetView>
  </sheetViews>
  <sheetFormatPr baseColWidth="10" defaultColWidth="11" defaultRowHeight="12.75" x14ac:dyDescent="0.2"/>
  <cols>
    <col min="1" max="1" width="4.5703125" style="14" customWidth="1"/>
    <col min="2" max="2" width="14.5703125" style="14" customWidth="1"/>
    <col min="3" max="3" width="32.42578125" style="14" customWidth="1"/>
    <col min="4" max="4" width="8.42578125" style="14" customWidth="1"/>
    <col min="5" max="5" width="82.28515625" style="14" customWidth="1"/>
    <col min="6" max="6" width="11" style="14"/>
    <col min="7" max="7" width="12.7109375" style="14" customWidth="1"/>
    <col min="8" max="8" width="13.85546875" style="14" customWidth="1"/>
    <col min="9" max="9" width="18.5703125" style="14" customWidth="1"/>
    <col min="10" max="10" width="11" style="14"/>
    <col min="11" max="11" width="20.140625" style="14" customWidth="1"/>
    <col min="12" max="13" width="11" style="14"/>
    <col min="14" max="14" width="12.7109375" style="14" bestFit="1" customWidth="1"/>
    <col min="15" max="16" width="11" style="14"/>
    <col min="17" max="17" width="13.28515625" style="14" bestFit="1" customWidth="1"/>
    <col min="18" max="16384" width="11" style="14"/>
  </cols>
  <sheetData>
    <row r="2" spans="1:13" ht="27" x14ac:dyDescent="0.35">
      <c r="B2" s="127" t="s">
        <v>0</v>
      </c>
      <c r="C2" s="127"/>
      <c r="D2" s="127"/>
      <c r="E2" s="127"/>
      <c r="F2" s="127"/>
      <c r="G2" s="127"/>
      <c r="H2" s="127"/>
    </row>
    <row r="4" spans="1:13" ht="18" customHeight="1" x14ac:dyDescent="0.25">
      <c r="A4" s="120" t="s">
        <v>1</v>
      </c>
      <c r="B4" s="120"/>
      <c r="C4" s="128" t="s">
        <v>63</v>
      </c>
      <c r="D4" s="128"/>
      <c r="E4" s="128"/>
      <c r="F4" s="15"/>
      <c r="G4" s="16"/>
      <c r="H4" s="15"/>
    </row>
    <row r="5" spans="1:13" ht="18" customHeight="1" x14ac:dyDescent="0.25">
      <c r="A5" s="120" t="s">
        <v>2</v>
      </c>
      <c r="B5" s="120"/>
      <c r="C5" s="128" t="s">
        <v>64</v>
      </c>
      <c r="D5" s="128"/>
      <c r="E5" s="128"/>
      <c r="F5" s="15"/>
      <c r="G5" s="16"/>
      <c r="H5" s="15"/>
      <c r="K5" s="33"/>
    </row>
    <row r="6" spans="1:13" ht="16.5" customHeight="1" x14ac:dyDescent="0.25">
      <c r="A6" s="120" t="s">
        <v>3</v>
      </c>
      <c r="B6" s="120"/>
      <c r="C6" s="30">
        <v>2020</v>
      </c>
      <c r="D6" s="31"/>
      <c r="E6" s="31"/>
      <c r="F6" s="15"/>
      <c r="G6" s="16"/>
      <c r="H6" s="15"/>
      <c r="K6" s="33"/>
    </row>
    <row r="7" spans="1:13" ht="16.5" customHeight="1" x14ac:dyDescent="0.25">
      <c r="A7" s="120" t="s">
        <v>4</v>
      </c>
      <c r="B7" s="120"/>
      <c r="C7" s="30">
        <v>4</v>
      </c>
      <c r="D7" s="31"/>
      <c r="E7" s="31"/>
      <c r="F7" s="15"/>
      <c r="G7" s="16"/>
      <c r="H7" s="15"/>
      <c r="K7" s="33"/>
    </row>
    <row r="8" spans="1:13" ht="13.5" thickBot="1" x14ac:dyDescent="0.25">
      <c r="B8" s="15"/>
      <c r="C8" s="16"/>
      <c r="D8" s="15"/>
      <c r="E8" s="15"/>
      <c r="F8" s="15"/>
      <c r="G8" s="16"/>
      <c r="H8" s="15"/>
      <c r="K8" s="33"/>
    </row>
    <row r="9" spans="1:13" ht="39" thickBot="1" x14ac:dyDescent="0.25">
      <c r="A9" s="34" t="s">
        <v>5</v>
      </c>
      <c r="B9" s="35" t="s">
        <v>6</v>
      </c>
      <c r="C9" s="35" t="s">
        <v>7</v>
      </c>
      <c r="D9" s="35" t="s">
        <v>8</v>
      </c>
      <c r="E9" s="36" t="s">
        <v>9</v>
      </c>
      <c r="F9" s="90" t="s">
        <v>10</v>
      </c>
      <c r="G9" s="35" t="s">
        <v>11</v>
      </c>
      <c r="H9" s="35" t="s">
        <v>12</v>
      </c>
      <c r="I9" s="36" t="s">
        <v>13</v>
      </c>
      <c r="K9" s="33"/>
    </row>
    <row r="10" spans="1:13" ht="25.5" x14ac:dyDescent="0.2">
      <c r="A10" s="37">
        <v>1</v>
      </c>
      <c r="B10" s="38" t="s">
        <v>90</v>
      </c>
      <c r="C10" s="38" t="s">
        <v>61</v>
      </c>
      <c r="D10" s="39" t="str">
        <f>LEFT(B10,5)</f>
        <v>2.5.6</v>
      </c>
      <c r="E10" s="40" t="s">
        <v>98</v>
      </c>
      <c r="F10" s="101" t="s">
        <v>97</v>
      </c>
      <c r="G10" s="41">
        <f>SUM(H31+H33)</f>
        <v>64573</v>
      </c>
      <c r="H10" s="42">
        <v>64.760000000000005</v>
      </c>
      <c r="I10" s="43">
        <f>G10*H10</f>
        <v>4181747.4800000004</v>
      </c>
      <c r="K10" s="62"/>
    </row>
    <row r="11" spans="1:13" ht="25.5" x14ac:dyDescent="0.2">
      <c r="A11" s="91">
        <v>2</v>
      </c>
      <c r="B11" s="55" t="s">
        <v>85</v>
      </c>
      <c r="C11" s="55" t="s">
        <v>61</v>
      </c>
      <c r="D11" s="47" t="str">
        <f t="shared" ref="D11:D17" si="0">LEFT(B11,5)</f>
        <v>2.5.6</v>
      </c>
      <c r="E11" s="88" t="s">
        <v>99</v>
      </c>
      <c r="F11" s="115" t="s">
        <v>97</v>
      </c>
      <c r="G11" s="49">
        <f>SUM(H32+H34)</f>
        <v>127160</v>
      </c>
      <c r="H11" s="50">
        <v>59.85</v>
      </c>
      <c r="I11" s="92">
        <f>G11*H11</f>
        <v>7610526</v>
      </c>
      <c r="K11" s="58">
        <f>I10+I11</f>
        <v>11792273.48</v>
      </c>
    </row>
    <row r="12" spans="1:13" ht="25.5" x14ac:dyDescent="0.2">
      <c r="A12" s="91">
        <v>3</v>
      </c>
      <c r="B12" s="55" t="s">
        <v>78</v>
      </c>
      <c r="C12" s="55" t="s">
        <v>61</v>
      </c>
      <c r="D12" s="47" t="str">
        <f t="shared" si="0"/>
        <v>2.5.6</v>
      </c>
      <c r="E12" s="106" t="s">
        <v>77</v>
      </c>
      <c r="F12" s="115" t="s">
        <v>97</v>
      </c>
      <c r="G12" s="49">
        <f t="shared" ref="G12:G17" si="1">H36</f>
        <v>1998</v>
      </c>
      <c r="H12" s="89">
        <v>64.760000000000005</v>
      </c>
      <c r="I12" s="92">
        <f t="shared" ref="I12:I16" si="2">G12*H12</f>
        <v>129390.48000000001</v>
      </c>
      <c r="K12" s="58"/>
    </row>
    <row r="13" spans="1:13" ht="25.5" x14ac:dyDescent="0.2">
      <c r="A13" s="91">
        <v>4</v>
      </c>
      <c r="B13" s="55" t="s">
        <v>92</v>
      </c>
      <c r="C13" s="55" t="s">
        <v>61</v>
      </c>
      <c r="D13" s="47" t="str">
        <f t="shared" si="0"/>
        <v>2.5.6</v>
      </c>
      <c r="E13" s="106" t="s">
        <v>100</v>
      </c>
      <c r="F13" s="115" t="s">
        <v>97</v>
      </c>
      <c r="G13" s="49">
        <f t="shared" si="1"/>
        <v>4520</v>
      </c>
      <c r="H13" s="50">
        <v>59.85</v>
      </c>
      <c r="I13" s="92">
        <f t="shared" si="2"/>
        <v>270522</v>
      </c>
      <c r="K13" s="110"/>
    </row>
    <row r="14" spans="1:13" ht="25.5" x14ac:dyDescent="0.2">
      <c r="A14" s="91">
        <v>5</v>
      </c>
      <c r="B14" s="55" t="s">
        <v>81</v>
      </c>
      <c r="C14" s="55" t="s">
        <v>61</v>
      </c>
      <c r="D14" s="47" t="str">
        <f t="shared" si="0"/>
        <v>2.5.6</v>
      </c>
      <c r="E14" s="106" t="s">
        <v>80</v>
      </c>
      <c r="F14" s="115" t="s">
        <v>97</v>
      </c>
      <c r="G14" s="49">
        <f t="shared" si="1"/>
        <v>2730</v>
      </c>
      <c r="H14" s="89">
        <v>64.760000000000005</v>
      </c>
      <c r="I14" s="92">
        <f t="shared" si="2"/>
        <v>176794.80000000002</v>
      </c>
      <c r="K14" s="110"/>
    </row>
    <row r="15" spans="1:13" ht="25.5" x14ac:dyDescent="0.2">
      <c r="A15" s="91">
        <v>6</v>
      </c>
      <c r="B15" s="107" t="s">
        <v>89</v>
      </c>
      <c r="C15" s="55" t="s">
        <v>61</v>
      </c>
      <c r="D15" s="47" t="str">
        <f t="shared" si="0"/>
        <v>2.5.6</v>
      </c>
      <c r="E15" s="106" t="s">
        <v>88</v>
      </c>
      <c r="F15" s="115" t="s">
        <v>97</v>
      </c>
      <c r="G15" s="49">
        <f t="shared" si="1"/>
        <v>7070</v>
      </c>
      <c r="H15" s="50">
        <v>59.85</v>
      </c>
      <c r="I15" s="92">
        <f t="shared" si="2"/>
        <v>423139.5</v>
      </c>
      <c r="K15" s="110"/>
      <c r="M15" s="109"/>
    </row>
    <row r="16" spans="1:13" ht="24.75" customHeight="1" x14ac:dyDescent="0.2">
      <c r="A16" s="91">
        <v>7</v>
      </c>
      <c r="B16" s="55" t="s">
        <v>79</v>
      </c>
      <c r="C16" s="55" t="s">
        <v>61</v>
      </c>
      <c r="D16" s="47" t="str">
        <f t="shared" si="0"/>
        <v>2.5.6</v>
      </c>
      <c r="E16" s="106" t="s">
        <v>76</v>
      </c>
      <c r="F16" s="115" t="s">
        <v>97</v>
      </c>
      <c r="G16" s="49">
        <f t="shared" si="1"/>
        <v>6978</v>
      </c>
      <c r="H16" s="89">
        <v>64.760000000000005</v>
      </c>
      <c r="I16" s="92">
        <f t="shared" si="2"/>
        <v>451895.28</v>
      </c>
      <c r="K16" s="110"/>
      <c r="M16" s="109"/>
    </row>
    <row r="17" spans="1:21" ht="24.75" customHeight="1" x14ac:dyDescent="0.2">
      <c r="A17" s="91">
        <v>8</v>
      </c>
      <c r="B17" s="107" t="s">
        <v>87</v>
      </c>
      <c r="C17" s="55" t="s">
        <v>61</v>
      </c>
      <c r="D17" s="47" t="str">
        <f t="shared" si="0"/>
        <v>2.5.6</v>
      </c>
      <c r="E17" s="106" t="s">
        <v>86</v>
      </c>
      <c r="F17" s="115" t="s">
        <v>97</v>
      </c>
      <c r="G17" s="49">
        <f t="shared" si="1"/>
        <v>12498</v>
      </c>
      <c r="H17" s="50">
        <v>59.85</v>
      </c>
      <c r="I17" s="92">
        <f>G17*H17</f>
        <v>748005.3</v>
      </c>
      <c r="K17" s="110"/>
      <c r="M17" s="109"/>
    </row>
    <row r="18" spans="1:21" ht="27.75" customHeight="1" x14ac:dyDescent="0.2">
      <c r="A18" s="91">
        <v>9</v>
      </c>
      <c r="B18" s="55" t="s">
        <v>65</v>
      </c>
      <c r="C18" s="55" t="s">
        <v>61</v>
      </c>
      <c r="D18" s="47" t="str">
        <f>LEFT(B18,5)</f>
        <v>2.5.6</v>
      </c>
      <c r="E18" s="48" t="s">
        <v>66</v>
      </c>
      <c r="F18" s="17" t="s">
        <v>67</v>
      </c>
      <c r="G18" s="49">
        <v>9</v>
      </c>
      <c r="H18" s="50">
        <v>120000</v>
      </c>
      <c r="I18" s="92">
        <f>G18*H18</f>
        <v>1080000</v>
      </c>
      <c r="K18" s="109"/>
      <c r="M18" s="109"/>
    </row>
    <row r="19" spans="1:21" ht="25.5" customHeight="1" x14ac:dyDescent="0.2">
      <c r="A19" s="91">
        <v>10</v>
      </c>
      <c r="B19" s="55" t="s">
        <v>95</v>
      </c>
      <c r="C19" s="53" t="s">
        <v>61</v>
      </c>
      <c r="D19" s="47" t="str">
        <f t="shared" ref="D19:D20" si="3">LEFT(B19,5)</f>
        <v>2.5.6</v>
      </c>
      <c r="E19" s="48" t="s">
        <v>96</v>
      </c>
      <c r="F19" s="46" t="s">
        <v>67</v>
      </c>
      <c r="G19" s="49">
        <v>57</v>
      </c>
      <c r="H19" s="50">
        <v>13800</v>
      </c>
      <c r="I19" s="92">
        <f>G19*H19</f>
        <v>786600</v>
      </c>
      <c r="K19" s="110"/>
      <c r="M19" s="109"/>
    </row>
    <row r="20" spans="1:21" ht="28.5" customHeight="1" thickBot="1" x14ac:dyDescent="0.25">
      <c r="A20" s="93">
        <v>11</v>
      </c>
      <c r="B20" s="96" t="s">
        <v>94</v>
      </c>
      <c r="C20" s="94" t="s">
        <v>61</v>
      </c>
      <c r="D20" s="95" t="str">
        <f t="shared" si="3"/>
        <v>2.5.6</v>
      </c>
      <c r="E20" s="111" t="s">
        <v>93</v>
      </c>
      <c r="F20" s="97" t="s">
        <v>67</v>
      </c>
      <c r="G20" s="98">
        <v>1</v>
      </c>
      <c r="H20" s="99">
        <v>42500</v>
      </c>
      <c r="I20" s="100">
        <f>G20*H20</f>
        <v>42500</v>
      </c>
      <c r="K20" s="58"/>
      <c r="M20" s="109"/>
    </row>
    <row r="21" spans="1:21" ht="23.25" customHeight="1" thickBot="1" x14ac:dyDescent="0.25">
      <c r="I21" s="116">
        <f>SUM(I10:I20)</f>
        <v>15901120.840000002</v>
      </c>
      <c r="K21" s="57"/>
      <c r="M21" s="109"/>
    </row>
    <row r="22" spans="1:21" ht="15" customHeight="1" thickBot="1" x14ac:dyDescent="0.25"/>
    <row r="23" spans="1:21" ht="26.25" customHeight="1" x14ac:dyDescent="0.2">
      <c r="B23" s="54" t="s">
        <v>91</v>
      </c>
      <c r="C23" s="18"/>
      <c r="D23" s="18"/>
      <c r="E23" s="19"/>
    </row>
    <row r="24" spans="1:21" x14ac:dyDescent="0.2">
      <c r="B24" s="20"/>
      <c r="C24" s="21"/>
      <c r="D24" s="21"/>
      <c r="E24" s="22"/>
    </row>
    <row r="25" spans="1:21" x14ac:dyDescent="0.2">
      <c r="B25" s="23" t="s">
        <v>14</v>
      </c>
      <c r="C25" s="21"/>
      <c r="D25" s="21"/>
      <c r="E25" s="22"/>
    </row>
    <row r="26" spans="1:21" ht="95.25" customHeight="1" x14ac:dyDescent="0.2">
      <c r="B26" s="23"/>
      <c r="C26" s="121" t="s">
        <v>101</v>
      </c>
      <c r="D26" s="121"/>
      <c r="E26" s="122"/>
    </row>
    <row r="27" spans="1:21" x14ac:dyDescent="0.2">
      <c r="B27" s="23" t="s">
        <v>15</v>
      </c>
      <c r="C27" s="21"/>
      <c r="D27" s="21"/>
      <c r="E27" s="22"/>
    </row>
    <row r="28" spans="1:21" ht="37.5" customHeight="1" x14ac:dyDescent="0.2">
      <c r="B28" s="24"/>
      <c r="C28" s="123" t="s">
        <v>104</v>
      </c>
      <c r="D28" s="123"/>
      <c r="E28" s="124"/>
      <c r="G28" s="57"/>
      <c r="N28" s="57"/>
      <c r="O28" s="57"/>
      <c r="P28" s="57"/>
      <c r="Q28" s="57"/>
      <c r="R28" s="57"/>
      <c r="S28" s="57"/>
      <c r="T28" s="57"/>
      <c r="U28" s="57"/>
    </row>
    <row r="29" spans="1:21" ht="37.5" customHeight="1" x14ac:dyDescent="0.2">
      <c r="B29" s="24"/>
      <c r="C29" s="123"/>
      <c r="D29" s="123"/>
      <c r="E29" s="124"/>
      <c r="G29" s="57"/>
      <c r="H29" s="57"/>
      <c r="I29" s="57"/>
      <c r="J29" s="57"/>
      <c r="K29" s="57"/>
      <c r="L29" s="57"/>
      <c r="N29" s="57"/>
      <c r="O29" s="57"/>
      <c r="P29" s="57"/>
      <c r="Q29" s="57"/>
      <c r="R29" s="57"/>
      <c r="S29" s="57"/>
      <c r="T29" s="57"/>
      <c r="U29" s="57"/>
    </row>
    <row r="30" spans="1:21" ht="26.25" customHeight="1" x14ac:dyDescent="0.2">
      <c r="B30" s="24"/>
      <c r="C30" s="123"/>
      <c r="D30" s="123"/>
      <c r="E30" s="124"/>
      <c r="G30" s="87"/>
      <c r="H30" s="87"/>
      <c r="I30" s="87"/>
      <c r="J30" s="87"/>
      <c r="K30" s="87"/>
      <c r="L30" s="57"/>
      <c r="N30" s="57"/>
      <c r="O30" s="57"/>
      <c r="P30" s="57"/>
      <c r="Q30" s="57"/>
      <c r="R30" s="57"/>
      <c r="S30" s="57"/>
      <c r="T30" s="57"/>
      <c r="U30" s="57"/>
    </row>
    <row r="31" spans="1:21" ht="26.25" customHeight="1" x14ac:dyDescent="0.2">
      <c r="B31" s="24"/>
      <c r="C31" s="123"/>
      <c r="D31" s="123"/>
      <c r="E31" s="124"/>
      <c r="G31" s="118" t="s">
        <v>71</v>
      </c>
      <c r="H31" s="87">
        <v>14230</v>
      </c>
      <c r="I31" s="108">
        <f>H31*H10</f>
        <v>921534.8</v>
      </c>
      <c r="J31" s="87"/>
      <c r="K31" s="108">
        <f>SUM(I31:I32)</f>
        <v>2992344.8</v>
      </c>
      <c r="L31" s="57"/>
      <c r="N31" s="57"/>
      <c r="O31" s="57"/>
      <c r="P31" s="57"/>
      <c r="Q31" s="57"/>
      <c r="R31" s="57"/>
      <c r="S31" s="57"/>
      <c r="T31" s="57"/>
      <c r="U31" s="57"/>
    </row>
    <row r="32" spans="1:21" ht="26.25" customHeight="1" x14ac:dyDescent="0.2">
      <c r="B32" s="24"/>
      <c r="C32" s="123"/>
      <c r="D32" s="123"/>
      <c r="E32" s="124"/>
      <c r="G32" s="118"/>
      <c r="H32" s="87">
        <v>34600</v>
      </c>
      <c r="I32" s="108">
        <f>H32*H11</f>
        <v>2070810</v>
      </c>
      <c r="J32" s="87"/>
      <c r="K32" s="87"/>
      <c r="L32" s="57"/>
      <c r="N32" s="57"/>
      <c r="O32" s="57"/>
      <c r="P32" s="57"/>
      <c r="Q32" s="57"/>
      <c r="R32" s="57"/>
      <c r="S32" s="57"/>
      <c r="T32" s="57"/>
      <c r="U32" s="57"/>
    </row>
    <row r="33" spans="2:21" ht="26.25" customHeight="1" x14ac:dyDescent="0.2">
      <c r="B33" s="24"/>
      <c r="C33" s="123"/>
      <c r="D33" s="123"/>
      <c r="E33" s="124"/>
      <c r="G33" s="118" t="s">
        <v>72</v>
      </c>
      <c r="H33" s="87">
        <v>50343</v>
      </c>
      <c r="I33" s="108">
        <f>H33*H10</f>
        <v>3260212.68</v>
      </c>
      <c r="J33" s="87"/>
      <c r="K33" s="108">
        <f>SUM(I33:I34)</f>
        <v>8799928.6799999997</v>
      </c>
      <c r="L33" s="57"/>
      <c r="N33" s="59">
        <f>8800000/H10</f>
        <v>135886.34959851758</v>
      </c>
      <c r="O33" s="57"/>
      <c r="P33" s="60">
        <f>N33*70/100</f>
        <v>95120.444718962317</v>
      </c>
      <c r="Q33" s="57">
        <f>P33*H11</f>
        <v>5692958.6164298952</v>
      </c>
      <c r="R33" s="57">
        <f>SUM(Q33:Q34)</f>
        <v>8132798.0234712772</v>
      </c>
      <c r="S33" s="57"/>
      <c r="T33" s="57"/>
      <c r="U33" s="57"/>
    </row>
    <row r="34" spans="2:21" ht="26.25" customHeight="1" x14ac:dyDescent="0.2">
      <c r="B34" s="24"/>
      <c r="C34" s="123"/>
      <c r="D34" s="123"/>
      <c r="E34" s="124"/>
      <c r="G34" s="118"/>
      <c r="H34" s="87">
        <v>92560</v>
      </c>
      <c r="I34" s="108">
        <f>H34*H11</f>
        <v>5539716</v>
      </c>
      <c r="J34" s="87"/>
      <c r="K34" s="87"/>
      <c r="L34" s="57"/>
      <c r="N34" s="57"/>
      <c r="O34" s="57"/>
      <c r="P34" s="60">
        <f>N33-P33</f>
        <v>40765.904879555266</v>
      </c>
      <c r="Q34" s="61">
        <f>P34*H11</f>
        <v>2439839.4070413825</v>
      </c>
      <c r="R34" s="57"/>
      <c r="S34" s="57"/>
      <c r="T34" s="57"/>
      <c r="U34" s="57"/>
    </row>
    <row r="35" spans="2:21" ht="26.25" customHeight="1" x14ac:dyDescent="0.2">
      <c r="B35" s="24"/>
      <c r="C35" s="123"/>
      <c r="D35" s="123"/>
      <c r="E35" s="124"/>
      <c r="G35" s="87"/>
      <c r="H35" s="87"/>
      <c r="I35" s="87"/>
      <c r="J35" s="87"/>
      <c r="K35" s="87"/>
      <c r="L35" s="57"/>
      <c r="N35" s="57"/>
      <c r="O35" s="57"/>
      <c r="P35" s="57"/>
      <c r="Q35" s="57"/>
      <c r="R35" s="57"/>
      <c r="S35" s="57"/>
      <c r="T35" s="57"/>
      <c r="U35" s="57"/>
    </row>
    <row r="36" spans="2:21" ht="26.25" customHeight="1" x14ac:dyDescent="0.2">
      <c r="B36" s="24"/>
      <c r="C36" s="123"/>
      <c r="D36" s="123"/>
      <c r="E36" s="124"/>
      <c r="G36" s="118" t="s">
        <v>84</v>
      </c>
      <c r="H36" s="87">
        <v>1998</v>
      </c>
      <c r="I36" s="108">
        <f>H36*H10</f>
        <v>129390.48000000001</v>
      </c>
      <c r="J36" s="87"/>
      <c r="K36" s="108">
        <f>SUM(I36:I37)</f>
        <v>399912.48</v>
      </c>
      <c r="L36" s="57"/>
      <c r="N36" s="57"/>
      <c r="O36" s="57"/>
      <c r="P36" s="57"/>
      <c r="Q36" s="57"/>
      <c r="R36" s="57"/>
      <c r="S36" s="57"/>
      <c r="T36" s="57"/>
      <c r="U36" s="57"/>
    </row>
    <row r="37" spans="2:21" ht="26.25" customHeight="1" x14ac:dyDescent="0.2">
      <c r="B37" s="24"/>
      <c r="C37" s="123"/>
      <c r="D37" s="123"/>
      <c r="E37" s="124"/>
      <c r="G37" s="118"/>
      <c r="H37" s="87">
        <v>4520</v>
      </c>
      <c r="I37" s="108">
        <f>H37*H11</f>
        <v>270522</v>
      </c>
      <c r="J37" s="87"/>
      <c r="K37" s="87"/>
      <c r="L37" s="57"/>
      <c r="N37" s="57"/>
      <c r="O37" s="57"/>
      <c r="P37" s="57"/>
      <c r="Q37" s="57"/>
      <c r="R37" s="57"/>
      <c r="S37" s="57"/>
      <c r="T37" s="57"/>
      <c r="U37" s="57"/>
    </row>
    <row r="38" spans="2:21" ht="26.25" customHeight="1" x14ac:dyDescent="0.2">
      <c r="B38" s="24"/>
      <c r="C38" s="123"/>
      <c r="D38" s="123"/>
      <c r="E38" s="124"/>
      <c r="G38" s="118" t="s">
        <v>83</v>
      </c>
      <c r="H38" s="87">
        <v>2730</v>
      </c>
      <c r="I38" s="108">
        <f>H38*H10</f>
        <v>176794.80000000002</v>
      </c>
      <c r="J38" s="87"/>
      <c r="K38" s="108">
        <f>SUM(I38:I39)</f>
        <v>599934.30000000005</v>
      </c>
      <c r="L38" s="57"/>
      <c r="N38" s="57"/>
      <c r="O38" s="57"/>
      <c r="P38" s="57"/>
      <c r="Q38" s="57"/>
      <c r="R38" s="57"/>
      <c r="S38" s="57"/>
      <c r="T38" s="57"/>
      <c r="U38" s="57"/>
    </row>
    <row r="39" spans="2:21" ht="26.25" customHeight="1" x14ac:dyDescent="0.2">
      <c r="B39" s="24"/>
      <c r="C39" s="123"/>
      <c r="D39" s="123"/>
      <c r="E39" s="124"/>
      <c r="G39" s="118"/>
      <c r="H39" s="87">
        <v>7070</v>
      </c>
      <c r="I39" s="108">
        <f>H39*H11</f>
        <v>423139.5</v>
      </c>
      <c r="J39" s="87"/>
      <c r="K39" s="87"/>
      <c r="L39" s="57"/>
      <c r="N39" s="57"/>
      <c r="O39" s="57"/>
      <c r="P39" s="57"/>
      <c r="Q39" s="57"/>
      <c r="R39" s="57"/>
      <c r="S39" s="57"/>
      <c r="T39" s="57"/>
      <c r="U39" s="57"/>
    </row>
    <row r="40" spans="2:21" ht="21.75" customHeight="1" x14ac:dyDescent="0.2">
      <c r="B40" s="24"/>
      <c r="C40" s="123"/>
      <c r="D40" s="123"/>
      <c r="E40" s="124"/>
      <c r="G40" s="118" t="s">
        <v>82</v>
      </c>
      <c r="H40" s="87">
        <v>6978</v>
      </c>
      <c r="I40" s="108">
        <f>H40*H10</f>
        <v>451895.28</v>
      </c>
      <c r="J40" s="87"/>
      <c r="K40" s="108">
        <f>SUM(I40:I41)</f>
        <v>1199900.58</v>
      </c>
      <c r="L40" s="57"/>
      <c r="N40" s="57"/>
      <c r="O40" s="57"/>
      <c r="P40" s="57"/>
      <c r="Q40" s="57"/>
      <c r="R40" s="57"/>
      <c r="S40" s="57"/>
      <c r="T40" s="57"/>
      <c r="U40" s="57"/>
    </row>
    <row r="41" spans="2:21" ht="54.75" customHeight="1" x14ac:dyDescent="0.2">
      <c r="B41" s="24"/>
      <c r="C41" s="123"/>
      <c r="D41" s="123"/>
      <c r="E41" s="124"/>
      <c r="G41" s="118"/>
      <c r="H41" s="87">
        <v>12498</v>
      </c>
      <c r="I41" s="108">
        <f>H41*H11</f>
        <v>748005.3</v>
      </c>
      <c r="J41" s="87"/>
      <c r="K41" s="87"/>
      <c r="L41" s="57"/>
      <c r="N41" s="57"/>
      <c r="O41" s="57"/>
      <c r="P41" s="57"/>
      <c r="Q41" s="57"/>
      <c r="R41" s="57"/>
      <c r="S41" s="57"/>
      <c r="T41" s="57"/>
      <c r="U41" s="57"/>
    </row>
    <row r="42" spans="2:21" ht="21.75" customHeight="1" x14ac:dyDescent="0.2">
      <c r="B42" s="23" t="s">
        <v>16</v>
      </c>
      <c r="C42" s="21"/>
      <c r="D42" s="21"/>
      <c r="E42" s="22"/>
      <c r="G42" s="87"/>
      <c r="H42" s="87"/>
      <c r="I42" s="87"/>
      <c r="J42" s="87"/>
      <c r="K42" s="87"/>
      <c r="L42" s="57"/>
      <c r="N42" s="57"/>
      <c r="O42" s="57"/>
      <c r="P42" s="57"/>
      <c r="Q42" s="57"/>
      <c r="R42" s="57"/>
      <c r="S42" s="57"/>
      <c r="T42" s="57"/>
      <c r="U42" s="57"/>
    </row>
    <row r="43" spans="2:21" ht="21" customHeight="1" x14ac:dyDescent="0.2">
      <c r="B43" s="24"/>
      <c r="C43" s="121" t="s">
        <v>68</v>
      </c>
      <c r="D43" s="121"/>
      <c r="E43" s="122"/>
      <c r="I43" s="67"/>
      <c r="K43" s="68"/>
      <c r="N43" s="57"/>
      <c r="O43" s="57"/>
      <c r="P43" s="57"/>
      <c r="Q43" s="57"/>
      <c r="R43" s="57"/>
      <c r="S43" s="57"/>
      <c r="T43" s="57"/>
      <c r="U43" s="57"/>
    </row>
    <row r="44" spans="2:21" ht="23.25" customHeight="1" x14ac:dyDescent="0.2">
      <c r="B44" s="23" t="s">
        <v>17</v>
      </c>
      <c r="C44" s="25"/>
      <c r="D44" s="25"/>
      <c r="E44" s="26"/>
      <c r="N44" s="57"/>
      <c r="O44" s="57"/>
      <c r="P44" s="57"/>
      <c r="Q44" s="57"/>
      <c r="R44" s="57"/>
      <c r="S44" s="57"/>
      <c r="T44" s="57"/>
      <c r="U44" s="57"/>
    </row>
    <row r="45" spans="2:21" x14ac:dyDescent="0.2">
      <c r="B45" s="24"/>
      <c r="C45" s="123" t="s">
        <v>69</v>
      </c>
      <c r="D45" s="123"/>
      <c r="E45" s="124"/>
      <c r="N45" s="57"/>
      <c r="O45" s="57"/>
      <c r="P45" s="57"/>
      <c r="Q45" s="57"/>
      <c r="R45" s="57"/>
      <c r="S45" s="57"/>
      <c r="T45" s="57"/>
      <c r="U45" s="57"/>
    </row>
    <row r="46" spans="2:21" x14ac:dyDescent="0.2">
      <c r="B46" s="23" t="s">
        <v>18</v>
      </c>
      <c r="C46" s="21"/>
      <c r="D46" s="21"/>
      <c r="E46" s="22"/>
      <c r="L46" s="57"/>
      <c r="M46" s="57"/>
      <c r="N46" s="57"/>
      <c r="O46" s="57"/>
      <c r="P46" s="57"/>
      <c r="Q46" s="57"/>
      <c r="R46" s="57"/>
      <c r="S46" s="57"/>
      <c r="T46" s="57"/>
      <c r="U46" s="57"/>
    </row>
    <row r="47" spans="2:21" x14ac:dyDescent="0.2">
      <c r="B47" s="23"/>
      <c r="C47" s="125"/>
      <c r="D47" s="125"/>
      <c r="E47" s="126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</row>
    <row r="48" spans="2:21" ht="7.5" customHeight="1" thickBot="1" x14ac:dyDescent="0.25">
      <c r="B48" s="27"/>
      <c r="C48" s="28"/>
      <c r="D48" s="28"/>
      <c r="E48" s="29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</row>
    <row r="49" spans="1:21" x14ac:dyDescent="0.2"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</row>
    <row r="50" spans="1:21" ht="39" customHeight="1" x14ac:dyDescent="0.2"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</row>
    <row r="51" spans="1:21" x14ac:dyDescent="0.2"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</row>
    <row r="56" spans="1:21" ht="13.5" thickBot="1" x14ac:dyDescent="0.25"/>
    <row r="57" spans="1:21" ht="79.5" customHeight="1" x14ac:dyDescent="0.2">
      <c r="A57" s="113"/>
      <c r="B57" s="113"/>
      <c r="C57" s="113"/>
      <c r="D57" s="119"/>
      <c r="E57" s="119"/>
    </row>
    <row r="58" spans="1:21" ht="13.5" thickBot="1" x14ac:dyDescent="0.25"/>
    <row r="59" spans="1:21" ht="15" thickBot="1" x14ac:dyDescent="0.25">
      <c r="B59" s="114"/>
      <c r="C59" s="114"/>
      <c r="D59" s="114"/>
      <c r="E59" s="114"/>
    </row>
    <row r="60" spans="1:21" ht="15" thickBot="1" x14ac:dyDescent="0.25">
      <c r="B60" s="113"/>
      <c r="C60" s="113"/>
      <c r="D60" s="113"/>
      <c r="E60" s="113"/>
      <c r="F60" s="113"/>
    </row>
    <row r="61" spans="1:21" ht="15" thickBot="1" x14ac:dyDescent="0.25">
      <c r="B61" s="114"/>
      <c r="C61" s="114"/>
      <c r="D61" s="114"/>
      <c r="E61" s="114"/>
      <c r="F61" s="112"/>
    </row>
    <row r="62" spans="1:21" ht="15" thickBot="1" x14ac:dyDescent="0.25">
      <c r="B62" s="114"/>
      <c r="C62" s="114"/>
      <c r="D62" s="114"/>
      <c r="E62" s="114"/>
    </row>
    <row r="63" spans="1:21" ht="14.25" x14ac:dyDescent="0.2">
      <c r="B63" s="113"/>
      <c r="C63" s="113"/>
      <c r="D63" s="113"/>
      <c r="E63" s="113"/>
    </row>
  </sheetData>
  <mergeCells count="18">
    <mergeCell ref="B2:H2"/>
    <mergeCell ref="A4:B4"/>
    <mergeCell ref="C4:E4"/>
    <mergeCell ref="A5:B5"/>
    <mergeCell ref="C5:E5"/>
    <mergeCell ref="G38:G39"/>
    <mergeCell ref="G40:G41"/>
    <mergeCell ref="D57:E57"/>
    <mergeCell ref="A6:B6"/>
    <mergeCell ref="A7:B7"/>
    <mergeCell ref="C26:E26"/>
    <mergeCell ref="C28:E41"/>
    <mergeCell ref="C43:E43"/>
    <mergeCell ref="C45:E45"/>
    <mergeCell ref="C47:E47"/>
    <mergeCell ref="G31:G32"/>
    <mergeCell ref="G33:G34"/>
    <mergeCell ref="G36:G37"/>
  </mergeCells>
  <pageMargins left="0.7" right="0.7" top="0.75" bottom="0.75" header="0.51180555555555496" footer="0.51180555555555496"/>
  <pageSetup paperSize="190" scale="79" firstPageNumber="0" orientation="landscape" horizontalDpi="300" verticalDpi="300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4"/>
  <sheetViews>
    <sheetView topLeftCell="A13" zoomScale="80" zoomScaleNormal="80" workbookViewId="0">
      <selection activeCell="A24" sqref="A24:I24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21.85546875" style="1" customWidth="1"/>
    <col min="7" max="7" width="26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3" style="1" customWidth="1"/>
    <col min="12" max="14" width="5.85546875" style="1" customWidth="1"/>
    <col min="15" max="15" width="12.5703125" style="1" customWidth="1"/>
    <col min="16" max="1024" width="9.140625" style="1"/>
  </cols>
  <sheetData>
    <row r="1" spans="1:11" ht="18" customHeight="1" x14ac:dyDescent="0.2">
      <c r="A1" s="142" t="s">
        <v>19</v>
      </c>
      <c r="B1" s="142"/>
      <c r="C1" s="142"/>
      <c r="D1" s="142"/>
      <c r="E1" s="142"/>
      <c r="F1" s="142"/>
      <c r="G1" s="142"/>
      <c r="H1" s="142"/>
      <c r="I1" s="142"/>
      <c r="J1" s="2" t="s">
        <v>20</v>
      </c>
      <c r="K1" s="56" t="s">
        <v>70</v>
      </c>
    </row>
    <row r="2" spans="1:11" ht="18.75" customHeight="1" thickBot="1" x14ac:dyDescent="0.25">
      <c r="A2" s="3"/>
      <c r="B2" s="3"/>
      <c r="C2" s="3"/>
      <c r="D2" s="4"/>
      <c r="E2" s="4"/>
      <c r="F2" s="4"/>
      <c r="G2" s="4"/>
      <c r="H2" s="4"/>
      <c r="I2" s="4"/>
      <c r="J2" s="4"/>
      <c r="K2" s="4"/>
    </row>
    <row r="3" spans="1:11" ht="18.75" customHeight="1" thickBot="1" x14ac:dyDescent="0.25">
      <c r="A3" s="143" t="s">
        <v>54</v>
      </c>
      <c r="B3" s="143"/>
      <c r="C3" s="143"/>
      <c r="D3" s="144" t="s">
        <v>57</v>
      </c>
      <c r="E3" s="144"/>
      <c r="F3" s="144"/>
      <c r="G3" s="144"/>
      <c r="H3" s="144"/>
      <c r="I3" s="144"/>
      <c r="J3" s="144"/>
      <c r="K3" s="144"/>
    </row>
    <row r="4" spans="1:11" ht="18.75" customHeight="1" thickBot="1" x14ac:dyDescent="0.25">
      <c r="A4" s="145" t="s">
        <v>55</v>
      </c>
      <c r="B4" s="145"/>
      <c r="C4" s="145"/>
      <c r="D4" s="144" t="s">
        <v>58</v>
      </c>
      <c r="E4" s="144"/>
      <c r="F4" s="144"/>
      <c r="G4" s="144"/>
      <c r="H4" s="144"/>
      <c r="I4" s="144"/>
      <c r="J4" s="144"/>
      <c r="K4" s="144"/>
    </row>
    <row r="5" spans="1:11" ht="18.75" customHeight="1" thickBot="1" x14ac:dyDescent="0.25">
      <c r="A5" s="145" t="s">
        <v>33</v>
      </c>
      <c r="B5" s="145"/>
      <c r="C5" s="145"/>
      <c r="D5" s="144" t="s">
        <v>59</v>
      </c>
      <c r="E5" s="144"/>
      <c r="F5" s="144"/>
      <c r="G5" s="144"/>
      <c r="H5" s="144"/>
      <c r="I5" s="144"/>
      <c r="J5" s="144"/>
      <c r="K5" s="144"/>
    </row>
    <row r="6" spans="1:11" ht="16.5" customHeight="1" thickBot="1" x14ac:dyDescent="0.25">
      <c r="A6" s="143" t="s">
        <v>56</v>
      </c>
      <c r="B6" s="143"/>
      <c r="C6" s="143"/>
      <c r="D6" s="144" t="s">
        <v>60</v>
      </c>
      <c r="E6" s="144"/>
      <c r="F6" s="144"/>
      <c r="G6" s="144"/>
      <c r="H6" s="144"/>
      <c r="I6" s="144"/>
      <c r="J6" s="144"/>
      <c r="K6" s="144"/>
    </row>
    <row r="7" spans="1:11" ht="16.5" customHeight="1" thickBot="1" x14ac:dyDescent="0.25">
      <c r="A7" s="145" t="s">
        <v>21</v>
      </c>
      <c r="B7" s="145"/>
      <c r="C7" s="145"/>
      <c r="D7" s="146" t="str">
        <f>'Necesidades Trimestrales'!C7 &amp; "° Trimestre - Año " &amp; 'Necesidades Trimestrales'!C6</f>
        <v>4° Trimestre - Año 2020</v>
      </c>
      <c r="E7" s="146"/>
      <c r="F7" s="146"/>
      <c r="G7" s="146"/>
      <c r="H7" s="146"/>
      <c r="I7" s="146"/>
      <c r="J7" s="146"/>
      <c r="K7" s="146"/>
    </row>
    <row r="8" spans="1:11" ht="16.5" customHeight="1" x14ac:dyDescent="0.2">
      <c r="A8" s="136" t="s">
        <v>22</v>
      </c>
      <c r="B8" s="137"/>
      <c r="C8" s="138"/>
      <c r="D8" s="130" t="s">
        <v>74</v>
      </c>
      <c r="E8" s="131"/>
      <c r="F8" s="131"/>
      <c r="G8" s="131"/>
      <c r="H8" s="131"/>
      <c r="I8" s="131"/>
      <c r="J8" s="131"/>
      <c r="K8" s="132"/>
    </row>
    <row r="9" spans="1:11" ht="16.5" customHeight="1" thickBot="1" x14ac:dyDescent="0.25">
      <c r="A9" s="139"/>
      <c r="B9" s="140"/>
      <c r="C9" s="141"/>
      <c r="D9" s="133"/>
      <c r="E9" s="134"/>
      <c r="F9" s="134"/>
      <c r="G9" s="134"/>
      <c r="H9" s="134"/>
      <c r="I9" s="134"/>
      <c r="J9" s="134"/>
      <c r="K9" s="135"/>
    </row>
    <row r="10" spans="1:11" ht="16.5" thickBot="1" x14ac:dyDescent="0.25">
      <c r="A10" s="5"/>
      <c r="B10" s="5"/>
      <c r="C10" s="5"/>
      <c r="D10" s="6"/>
      <c r="E10" s="6"/>
      <c r="F10" s="6"/>
      <c r="G10" s="6"/>
      <c r="H10" s="6"/>
      <c r="I10" s="6"/>
      <c r="J10" s="6"/>
      <c r="K10" s="6"/>
    </row>
    <row r="11" spans="1:11" ht="18.75" customHeight="1" thickBot="1" x14ac:dyDescent="0.25">
      <c r="A11" s="150" t="s">
        <v>23</v>
      </c>
      <c r="B11" s="151" t="s">
        <v>24</v>
      </c>
      <c r="C11" s="152" t="s">
        <v>25</v>
      </c>
      <c r="D11" s="153"/>
      <c r="E11" s="153"/>
      <c r="F11" s="153"/>
      <c r="G11" s="154"/>
      <c r="H11" s="155" t="s">
        <v>26</v>
      </c>
      <c r="I11" s="153" t="s">
        <v>27</v>
      </c>
      <c r="J11" s="153" t="s">
        <v>28</v>
      </c>
      <c r="K11" s="154" t="s">
        <v>29</v>
      </c>
    </row>
    <row r="12" spans="1:11" ht="24" customHeight="1" thickBot="1" x14ac:dyDescent="0.25">
      <c r="A12" s="150"/>
      <c r="B12" s="151"/>
      <c r="C12" s="152"/>
      <c r="D12" s="153"/>
      <c r="E12" s="153"/>
      <c r="F12" s="153"/>
      <c r="G12" s="154"/>
      <c r="H12" s="155"/>
      <c r="I12" s="153"/>
      <c r="J12" s="153"/>
      <c r="K12" s="154"/>
    </row>
    <row r="13" spans="1:11" ht="32.25" customHeight="1" x14ac:dyDescent="0.2">
      <c r="A13" s="37">
        <v>1</v>
      </c>
      <c r="B13" s="38" t="str">
        <f>+'Necesidades Trimestrales'!B10</f>
        <v>2.5.6-797.24</v>
      </c>
      <c r="C13" s="160" t="str">
        <f>+'Necesidades Trimestrales'!E10</f>
        <v>NAFTA SUPER; TIPO: PREMIUN, OCTANO: 97, PRESENTACION: POR LITRO, DESTINO: DPTO. S.F.V. DE CATAMARCA, COMERCIALIZACION: SIN VALOR</v>
      </c>
      <c r="D13" s="160"/>
      <c r="E13" s="160"/>
      <c r="F13" s="160"/>
      <c r="G13" s="160"/>
      <c r="H13" s="64" t="s">
        <v>30</v>
      </c>
      <c r="I13" s="101" t="str">
        <f>+'Necesidades Trimestrales'!F10</f>
        <v>LITROS EN VALES</v>
      </c>
      <c r="J13" s="102">
        <f>+'Necesidades Trimestrales'!H10</f>
        <v>64.760000000000005</v>
      </c>
      <c r="K13" s="103">
        <f>+'Necesidades Trimestrales'!G10</f>
        <v>64573</v>
      </c>
    </row>
    <row r="14" spans="1:11" ht="32.25" customHeight="1" x14ac:dyDescent="0.2">
      <c r="A14" s="44">
        <v>2</v>
      </c>
      <c r="B14" s="45" t="str">
        <f>+'Necesidades Trimestrales'!B11</f>
        <v>2.5.6-793.31</v>
      </c>
      <c r="C14" s="129" t="str">
        <f>+'Necesidades Trimestrales'!E11</f>
        <v>GAS OIL; PRESENTACION: POR LITRO, USO: MOTORES DIESEL, COMERCIALIZACION: GRADO 3, DESTINO: DPTO. S.F.V. DE CATAMARCA</v>
      </c>
      <c r="D14" s="129"/>
      <c r="E14" s="129"/>
      <c r="F14" s="129"/>
      <c r="G14" s="129"/>
      <c r="H14" s="65" t="s">
        <v>30</v>
      </c>
      <c r="I14" s="46" t="str">
        <f>+'Necesidades Trimestrales'!F11</f>
        <v>LITROS EN VALES</v>
      </c>
      <c r="J14" s="52">
        <f>+'Necesidades Trimestrales'!H11</f>
        <v>59.85</v>
      </c>
      <c r="K14" s="104">
        <f>+'Necesidades Trimestrales'!G11</f>
        <v>127160</v>
      </c>
    </row>
    <row r="15" spans="1:11" ht="32.25" customHeight="1" x14ac:dyDescent="0.2">
      <c r="A15" s="44">
        <v>3</v>
      </c>
      <c r="B15" s="45" t="str">
        <f>+'Necesidades Trimestrales'!B12</f>
        <v>2.5.6-797.29</v>
      </c>
      <c r="C15" s="129" t="str">
        <f>+'Necesidades Trimestrales'!E12</f>
        <v>NAFTA SUPER; TIPO: PREMIUN, OCTANO: 97, PRESENTACION: POR LITRO, DESTINO: DPTO. ANDALGALA, COMERCIALIZACION: SIN VALOR</v>
      </c>
      <c r="D15" s="129"/>
      <c r="E15" s="129"/>
      <c r="F15" s="129"/>
      <c r="G15" s="129"/>
      <c r="H15" s="65" t="s">
        <v>30</v>
      </c>
      <c r="I15" s="46" t="str">
        <f>+'Necesidades Trimestrales'!F12</f>
        <v>LITROS EN VALES</v>
      </c>
      <c r="J15" s="52">
        <f>+'Necesidades Trimestrales'!H12</f>
        <v>64.760000000000005</v>
      </c>
      <c r="K15" s="104">
        <f>+'Necesidades Trimestrales'!G12</f>
        <v>1998</v>
      </c>
    </row>
    <row r="16" spans="1:11" ht="32.25" customHeight="1" x14ac:dyDescent="0.2">
      <c r="A16" s="44">
        <v>4</v>
      </c>
      <c r="B16" s="45" t="str">
        <f>+'Necesidades Trimestrales'!B13</f>
        <v>2.5.6-793.45</v>
      </c>
      <c r="C16" s="129" t="str">
        <f>+'Necesidades Trimestrales'!E13</f>
        <v>GAS OIL; PRESENTACION: POR LITRO, USO: MOTORES DIESEL, COMERCIALIZACION: GRADO 3, DESTINO: DPTO. ANDALGALA</v>
      </c>
      <c r="D16" s="129"/>
      <c r="E16" s="129"/>
      <c r="F16" s="129"/>
      <c r="G16" s="129"/>
      <c r="H16" s="65" t="s">
        <v>30</v>
      </c>
      <c r="I16" s="46" t="str">
        <f>+'Necesidades Trimestrales'!F13</f>
        <v>LITROS EN VALES</v>
      </c>
      <c r="J16" s="52">
        <f>+'Necesidades Trimestrales'!H13</f>
        <v>59.85</v>
      </c>
      <c r="K16" s="104">
        <f>+'Necesidades Trimestrales'!G13</f>
        <v>4520</v>
      </c>
    </row>
    <row r="17" spans="1:11" ht="32.25" customHeight="1" x14ac:dyDescent="0.2">
      <c r="A17" s="44">
        <v>5</v>
      </c>
      <c r="B17" s="45" t="str">
        <f>+'Necesidades Trimestrales'!B14</f>
        <v>2.5.6-797.32</v>
      </c>
      <c r="C17" s="129" t="str">
        <f>+'Necesidades Trimestrales'!E14</f>
        <v>NAFTA SUPER; TIPO: PREMIUN, OCTANO: 97, PRESENTACION: POR LITRO, DESTINO: DPTO. STA. MARIA, COMERCIALIZACION: SIN VALOR</v>
      </c>
      <c r="D17" s="129"/>
      <c r="E17" s="129"/>
      <c r="F17" s="129"/>
      <c r="G17" s="129"/>
      <c r="H17" s="65" t="s">
        <v>30</v>
      </c>
      <c r="I17" s="46" t="str">
        <f>+'Necesidades Trimestrales'!F14</f>
        <v>LITROS EN VALES</v>
      </c>
      <c r="J17" s="52">
        <f>+'Necesidades Trimestrales'!H14</f>
        <v>64.760000000000005</v>
      </c>
      <c r="K17" s="104">
        <f>+'Necesidades Trimestrales'!G14</f>
        <v>2730</v>
      </c>
    </row>
    <row r="18" spans="1:11" ht="32.25" customHeight="1" x14ac:dyDescent="0.2">
      <c r="A18" s="44">
        <v>6</v>
      </c>
      <c r="B18" s="45" t="str">
        <f>+'Necesidades Trimestrales'!B15</f>
        <v>2.5.6-793.38</v>
      </c>
      <c r="C18" s="129" t="str">
        <f>+'Necesidades Trimestrales'!E15</f>
        <v>GAS OIL; PRESENTACION: POR LITRO, USO: MOTORES DIESEL, COMERCIALIZACION: GRADO 3, DESTINO: DPTO. STA. MARIA</v>
      </c>
      <c r="D18" s="129"/>
      <c r="E18" s="129"/>
      <c r="F18" s="129"/>
      <c r="G18" s="129"/>
      <c r="H18" s="65" t="s">
        <v>30</v>
      </c>
      <c r="I18" s="46" t="str">
        <f>+'Necesidades Trimestrales'!F15</f>
        <v>LITROS EN VALES</v>
      </c>
      <c r="J18" s="52">
        <f>+'Necesidades Trimestrales'!H15</f>
        <v>59.85</v>
      </c>
      <c r="K18" s="104">
        <f>+'Necesidades Trimestrales'!G15</f>
        <v>7070</v>
      </c>
    </row>
    <row r="19" spans="1:11" ht="32.25" customHeight="1" x14ac:dyDescent="0.2">
      <c r="A19" s="44">
        <v>7</v>
      </c>
      <c r="B19" s="45" t="str">
        <f>+'Necesidades Trimestrales'!B16</f>
        <v>2.5.6-797.26</v>
      </c>
      <c r="C19" s="129" t="str">
        <f>+'Necesidades Trimestrales'!E16</f>
        <v>NAFTA SUPER; TIPO: PREMIUN, OCTANO: 97, PRESENTACION: POR LITRO, DESTINO: DPTO. POMAN, COMERCIALIZACION: SIN VALOR</v>
      </c>
      <c r="D19" s="129"/>
      <c r="E19" s="129"/>
      <c r="F19" s="129"/>
      <c r="G19" s="129"/>
      <c r="H19" s="65" t="s">
        <v>30</v>
      </c>
      <c r="I19" s="46" t="str">
        <f>+'Necesidades Trimestrales'!F16</f>
        <v>LITROS EN VALES</v>
      </c>
      <c r="J19" s="52">
        <f>+'Necesidades Trimestrales'!H16</f>
        <v>64.760000000000005</v>
      </c>
      <c r="K19" s="104">
        <f>+'Necesidades Trimestrales'!G16</f>
        <v>6978</v>
      </c>
    </row>
    <row r="20" spans="1:11" ht="32.25" customHeight="1" x14ac:dyDescent="0.2">
      <c r="A20" s="44">
        <v>8</v>
      </c>
      <c r="B20" s="45" t="str">
        <f>+'Necesidades Trimestrales'!B17</f>
        <v>2.5.6-793.33</v>
      </c>
      <c r="C20" s="129" t="str">
        <f>+'Necesidades Trimestrales'!E17</f>
        <v>GAS OIL; PRESENTACION: POR LITRO, USO: MOTORES DIESEL, COMERCIALIZACION: GRADO 3, DESTINO: DPTO. POMAN</v>
      </c>
      <c r="D20" s="129"/>
      <c r="E20" s="129"/>
      <c r="F20" s="129"/>
      <c r="G20" s="129"/>
      <c r="H20" s="65" t="s">
        <v>30</v>
      </c>
      <c r="I20" s="46" t="str">
        <f>+'Necesidades Trimestrales'!F17</f>
        <v>LITROS EN VALES</v>
      </c>
      <c r="J20" s="52">
        <f>+'Necesidades Trimestrales'!H17</f>
        <v>59.85</v>
      </c>
      <c r="K20" s="104">
        <f>+'Necesidades Trimestrales'!G17</f>
        <v>12498</v>
      </c>
    </row>
    <row r="21" spans="1:11" ht="32.25" customHeight="1" x14ac:dyDescent="0.2">
      <c r="A21" s="44">
        <v>9</v>
      </c>
      <c r="B21" s="32" t="str">
        <f>+'Necesidades Trimestrales'!B18</f>
        <v>2.5.6-7104.19</v>
      </c>
      <c r="C21" s="159" t="str">
        <f>+'Necesidades Trimestrales'!E18</f>
        <v>ACEITES LUBRICANTES; DENOMINACION: SAE 15 W 40, USO: AUTOMOTOR, PRESENTACION: TAMBOR X 205 L, NORMA: SAE 15 W 40</v>
      </c>
      <c r="D21" s="159"/>
      <c r="E21" s="159"/>
      <c r="F21" s="159"/>
      <c r="G21" s="159"/>
      <c r="H21" s="65" t="s">
        <v>30</v>
      </c>
      <c r="I21" s="17" t="str">
        <f>+'Necesidades Trimestrales'!F18</f>
        <v>UNIDAD</v>
      </c>
      <c r="J21" s="51">
        <f>+'Necesidades Trimestrales'!H18</f>
        <v>120000</v>
      </c>
      <c r="K21" s="104">
        <f>+'Necesidades Trimestrales'!G18</f>
        <v>9</v>
      </c>
    </row>
    <row r="22" spans="1:11" ht="32.25" customHeight="1" x14ac:dyDescent="0.2">
      <c r="A22" s="44">
        <v>10</v>
      </c>
      <c r="B22" s="32" t="str">
        <f>+'Necesidades Trimestrales'!B19</f>
        <v>2.5.6-7104.503</v>
      </c>
      <c r="C22" s="159" t="str">
        <f>+'Necesidades Trimestrales'!E19</f>
        <v>ACEITES LUBRICANTES; USO: AUTOMOTOR, PRESENTACION: ENVASE X 20 L, NORMA: 5W-30, COMERCIALIZACION: POR UNIDAD</v>
      </c>
      <c r="D22" s="159"/>
      <c r="E22" s="159"/>
      <c r="F22" s="159"/>
      <c r="G22" s="159"/>
      <c r="H22" s="65" t="s">
        <v>30</v>
      </c>
      <c r="I22" s="46" t="str">
        <f>+'Necesidades Trimestrales'!F19</f>
        <v>UNIDAD</v>
      </c>
      <c r="J22" s="52">
        <f>+'Necesidades Trimestrales'!H19</f>
        <v>13800</v>
      </c>
      <c r="K22" s="104">
        <f>+'Necesidades Trimestrales'!G19</f>
        <v>57</v>
      </c>
    </row>
    <row r="23" spans="1:11" ht="37.5" customHeight="1" thickBot="1" x14ac:dyDescent="0.25">
      <c r="A23" s="44">
        <v>11</v>
      </c>
      <c r="B23" s="63" t="str">
        <f>+'Necesidades Trimestrales'!B20</f>
        <v>2.5.6-7104.31</v>
      </c>
      <c r="C23" s="156" t="str">
        <f>+'Necesidades Trimestrales'!E20</f>
        <v>ACEITES LUBRICANTES; DENOMINACION: SAE 20 W 50, USO: AUTOMOTOR, PRESENTACION: TAMBOR X 205 L, NORMA: SAE 20 W 50</v>
      </c>
      <c r="D23" s="157"/>
      <c r="E23" s="157"/>
      <c r="F23" s="157"/>
      <c r="G23" s="158"/>
      <c r="H23" s="66" t="s">
        <v>30</v>
      </c>
      <c r="I23" s="46" t="str">
        <f>+'Necesidades Trimestrales'!F20</f>
        <v>UNIDAD</v>
      </c>
      <c r="J23" s="51">
        <f>+'Necesidades Trimestrales'!H20</f>
        <v>42500</v>
      </c>
      <c r="K23" s="105">
        <f>+'Necesidades Trimestrales'!G20</f>
        <v>1</v>
      </c>
    </row>
    <row r="24" spans="1:11" ht="20.25" customHeight="1" thickBot="1" x14ac:dyDescent="0.25">
      <c r="A24" s="147" t="s">
        <v>102</v>
      </c>
      <c r="B24" s="147"/>
      <c r="C24" s="147"/>
      <c r="D24" s="147"/>
      <c r="E24" s="147"/>
      <c r="F24" s="147"/>
      <c r="G24" s="147"/>
      <c r="H24" s="147"/>
      <c r="I24" s="147"/>
      <c r="J24" s="148">
        <f>'Necesidades Trimestrales'!I21</f>
        <v>15901120.840000002</v>
      </c>
      <c r="K24" s="149"/>
    </row>
  </sheetData>
  <mergeCells count="33">
    <mergeCell ref="A24:I24"/>
    <mergeCell ref="J24:K24"/>
    <mergeCell ref="A11:A12"/>
    <mergeCell ref="B11:B12"/>
    <mergeCell ref="C11:G12"/>
    <mergeCell ref="H11:H12"/>
    <mergeCell ref="I11:I12"/>
    <mergeCell ref="J11:J12"/>
    <mergeCell ref="K11:K12"/>
    <mergeCell ref="C23:G23"/>
    <mergeCell ref="C22:G22"/>
    <mergeCell ref="C21:G21"/>
    <mergeCell ref="C14:G14"/>
    <mergeCell ref="C13:G13"/>
    <mergeCell ref="C15:G15"/>
    <mergeCell ref="C16:G16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17:G17"/>
    <mergeCell ref="C18:G18"/>
    <mergeCell ref="C19:G19"/>
    <mergeCell ref="C20:G20"/>
    <mergeCell ref="D8:K9"/>
    <mergeCell ref="A8:C9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topLeftCell="A7" workbookViewId="0">
      <selection activeCell="O31" sqref="O31"/>
    </sheetView>
  </sheetViews>
  <sheetFormatPr baseColWidth="10" defaultColWidth="11" defaultRowHeight="12.75" x14ac:dyDescent="0.2"/>
  <cols>
    <col min="1" max="5" width="4.42578125" customWidth="1"/>
    <col min="6" max="6" width="6.140625" customWidth="1"/>
    <col min="7" max="7" width="4.42578125" style="7" customWidth="1"/>
    <col min="8" max="14" width="4.42578125" customWidth="1"/>
    <col min="15" max="15" width="13.140625" style="79" customWidth="1"/>
    <col min="16" max="16" width="13" style="79" customWidth="1"/>
    <col min="17" max="17" width="16.28515625" style="84" customWidth="1"/>
  </cols>
  <sheetData>
    <row r="1" spans="1:17" ht="15.75" customHeight="1" x14ac:dyDescent="0.25">
      <c r="A1" s="169" t="s">
        <v>3</v>
      </c>
      <c r="B1" s="169"/>
      <c r="C1" s="169"/>
      <c r="D1" s="170">
        <f>'Necesidades Trimestrales'!C6</f>
        <v>2020</v>
      </c>
      <c r="E1" s="170"/>
      <c r="F1" s="8"/>
      <c r="G1" s="8"/>
      <c r="H1" s="9"/>
      <c r="I1" s="9"/>
      <c r="J1" s="9"/>
      <c r="K1" s="9"/>
      <c r="L1" s="9"/>
      <c r="M1" s="9"/>
      <c r="N1" s="9"/>
      <c r="P1" s="171" t="s">
        <v>31</v>
      </c>
      <c r="Q1" s="171"/>
    </row>
    <row r="2" spans="1:17" ht="15.75" customHeight="1" x14ac:dyDescent="0.2">
      <c r="H2" s="9"/>
      <c r="I2" s="9"/>
      <c r="J2" s="9"/>
      <c r="K2" s="9"/>
      <c r="L2" s="9"/>
      <c r="M2" s="9"/>
      <c r="N2" s="9"/>
      <c r="P2" s="171"/>
      <c r="Q2" s="171"/>
    </row>
    <row r="4" spans="1:17" s="10" customFormat="1" ht="18" customHeight="1" thickBot="1" x14ac:dyDescent="0.25">
      <c r="A4" s="172" t="s">
        <v>32</v>
      </c>
      <c r="B4" s="172"/>
      <c r="C4" s="172"/>
      <c r="D4" s="172"/>
      <c r="E4" s="172"/>
      <c r="F4" s="172"/>
      <c r="G4" s="167" t="str">
        <f>' NotaPedido'!D3</f>
        <v>Ministerio de Seguridad</v>
      </c>
      <c r="H4" s="167"/>
      <c r="I4" s="167"/>
      <c r="J4" s="167"/>
      <c r="K4" s="167"/>
      <c r="L4" s="167"/>
      <c r="M4" s="167"/>
      <c r="N4" s="167"/>
      <c r="O4" s="167"/>
      <c r="P4" s="167"/>
      <c r="Q4" s="167"/>
    </row>
    <row r="5" spans="1:17" s="10" customFormat="1" ht="18" customHeight="1" thickBot="1" x14ac:dyDescent="0.25">
      <c r="A5" s="164" t="s">
        <v>55</v>
      </c>
      <c r="B5" s="165"/>
      <c r="C5" s="165"/>
      <c r="D5" s="165"/>
      <c r="E5" s="165"/>
      <c r="F5" s="166"/>
      <c r="G5" s="167" t="str">
        <f>' NotaPedido'!D4</f>
        <v>7 - Policía de la Provincia de Catamarca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s="10" customFormat="1" ht="18" customHeight="1" thickBot="1" x14ac:dyDescent="0.25">
      <c r="A6" s="164" t="s">
        <v>33</v>
      </c>
      <c r="B6" s="165"/>
      <c r="C6" s="165"/>
      <c r="D6" s="165"/>
      <c r="E6" s="165"/>
      <c r="F6" s="166"/>
      <c r="G6" s="167" t="str">
        <f>' NotaPedido'!D5</f>
        <v>Secretaría de Compras y Abastecimiento</v>
      </c>
      <c r="H6" s="167"/>
      <c r="I6" s="167"/>
      <c r="J6" s="167"/>
      <c r="K6" s="167"/>
      <c r="L6" s="167"/>
      <c r="M6" s="167"/>
      <c r="N6" s="167"/>
      <c r="O6" s="167"/>
      <c r="P6" s="167"/>
      <c r="Q6" s="167"/>
    </row>
    <row r="7" spans="1:17" s="10" customFormat="1" ht="18" customHeight="1" thickBot="1" x14ac:dyDescent="0.25">
      <c r="A7" s="164" t="s">
        <v>56</v>
      </c>
      <c r="B7" s="165"/>
      <c r="C7" s="165"/>
      <c r="D7" s="165"/>
      <c r="E7" s="165"/>
      <c r="F7" s="166"/>
      <c r="G7" s="167" t="str">
        <f>' NotaPedido'!D6</f>
        <v>Policía de la Provincia de Catamarca</v>
      </c>
      <c r="H7" s="167"/>
      <c r="I7" s="167"/>
      <c r="J7" s="167"/>
      <c r="K7" s="167"/>
      <c r="L7" s="167"/>
      <c r="M7" s="167"/>
      <c r="N7" s="167"/>
      <c r="O7" s="167"/>
      <c r="P7" s="167"/>
      <c r="Q7" s="167"/>
    </row>
    <row r="8" spans="1:17" ht="18" customHeight="1" thickBot="1" x14ac:dyDescent="0.25">
      <c r="A8" s="168" t="s">
        <v>34</v>
      </c>
      <c r="B8" s="168"/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</row>
    <row r="9" spans="1:17" ht="18" customHeight="1" x14ac:dyDescent="0.2">
      <c r="A9" s="161" t="s">
        <v>35</v>
      </c>
      <c r="B9" s="161"/>
      <c r="C9" s="161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80"/>
      <c r="P9" s="80"/>
      <c r="Q9" s="82"/>
    </row>
    <row r="10" spans="1:17" ht="54.75" customHeight="1" x14ac:dyDescent="0.2">
      <c r="A10" s="162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91/2020,  afectando la erogación resultante a los créditos presupuestarios aprobados a favor de esta Unidad Ejecutora, conforme al siguiente detalle:</v>
      </c>
      <c r="B10" s="162"/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</row>
    <row r="11" spans="1:17" ht="9" customHeight="1" thickBot="1" x14ac:dyDescent="0.25">
      <c r="A11" s="11"/>
      <c r="B11" s="12"/>
      <c r="C11" s="12"/>
      <c r="D11" s="12"/>
      <c r="E11" s="12"/>
      <c r="F11" s="12"/>
      <c r="G11" s="13"/>
      <c r="H11" s="12"/>
      <c r="I11" s="12"/>
      <c r="J11" s="12"/>
      <c r="K11" s="12"/>
      <c r="L11" s="12"/>
      <c r="M11" s="12"/>
      <c r="N11" s="12"/>
      <c r="O11" s="81"/>
      <c r="P11" s="81"/>
      <c r="Q11" s="83"/>
    </row>
    <row r="12" spans="1:17" ht="15.75" customHeight="1" thickBot="1" x14ac:dyDescent="0.25">
      <c r="A12" s="163" t="s">
        <v>36</v>
      </c>
      <c r="B12" s="163"/>
      <c r="C12" s="163"/>
      <c r="D12" s="163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</row>
    <row r="13" spans="1:17" ht="15.75" customHeight="1" thickBot="1" x14ac:dyDescent="0.25">
      <c r="A13" s="173" t="s">
        <v>37</v>
      </c>
      <c r="B13" s="174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5" t="s">
        <v>38</v>
      </c>
      <c r="P13" s="175"/>
      <c r="Q13" s="177" t="s">
        <v>39</v>
      </c>
    </row>
    <row r="14" spans="1:17" ht="15.75" customHeight="1" thickBot="1" x14ac:dyDescent="0.25">
      <c r="A14" s="74" t="s">
        <v>40</v>
      </c>
      <c r="B14" s="75" t="s">
        <v>41</v>
      </c>
      <c r="C14" s="75" t="s">
        <v>42</v>
      </c>
      <c r="D14" s="75" t="s">
        <v>43</v>
      </c>
      <c r="E14" s="75" t="s">
        <v>44</v>
      </c>
      <c r="F14" s="75" t="s">
        <v>45</v>
      </c>
      <c r="G14" s="76" t="s">
        <v>46</v>
      </c>
      <c r="H14" s="75" t="s">
        <v>47</v>
      </c>
      <c r="I14" s="75" t="s">
        <v>48</v>
      </c>
      <c r="J14" s="75" t="s">
        <v>49</v>
      </c>
      <c r="K14" s="75" t="s">
        <v>49</v>
      </c>
      <c r="L14" s="75" t="s">
        <v>50</v>
      </c>
      <c r="M14" s="77" t="s">
        <v>51</v>
      </c>
      <c r="N14" s="78" t="s">
        <v>52</v>
      </c>
      <c r="O14" s="176"/>
      <c r="P14" s="176"/>
      <c r="Q14" s="178"/>
    </row>
    <row r="15" spans="1:17" ht="17.25" customHeight="1" x14ac:dyDescent="0.2">
      <c r="A15" s="72">
        <v>16</v>
      </c>
      <c r="B15" s="72">
        <v>0</v>
      </c>
      <c r="C15" s="72">
        <v>0</v>
      </c>
      <c r="D15" s="72">
        <v>1</v>
      </c>
      <c r="E15" s="72">
        <v>0</v>
      </c>
      <c r="F15" s="72">
        <v>10</v>
      </c>
      <c r="G15" s="72">
        <v>2</v>
      </c>
      <c r="H15" s="72">
        <v>210</v>
      </c>
      <c r="I15" s="72">
        <v>2</v>
      </c>
      <c r="J15" s="72">
        <v>5</v>
      </c>
      <c r="K15" s="72">
        <v>6</v>
      </c>
      <c r="L15" s="72">
        <v>0</v>
      </c>
      <c r="M15" s="72">
        <v>1</v>
      </c>
      <c r="N15" s="73" t="s">
        <v>75</v>
      </c>
      <c r="O15" s="179" t="s">
        <v>62</v>
      </c>
      <c r="P15" s="180"/>
      <c r="Q15" s="85">
        <f>('Necesidades Trimestrales'!K33+'Necesidades Trimestrales'!I18+'Necesidades Trimestrales'!I19+'Necesidades Trimestrales'!I20)</f>
        <v>10709028.68</v>
      </c>
    </row>
    <row r="16" spans="1:17" ht="17.25" customHeight="1" x14ac:dyDescent="0.2">
      <c r="A16" s="69">
        <v>16</v>
      </c>
      <c r="B16" s="69">
        <v>0</v>
      </c>
      <c r="C16" s="69">
        <v>0</v>
      </c>
      <c r="D16" s="71">
        <v>7</v>
      </c>
      <c r="E16" s="69">
        <v>0</v>
      </c>
      <c r="F16" s="71">
        <v>10</v>
      </c>
      <c r="G16" s="71">
        <v>2</v>
      </c>
      <c r="H16" s="71">
        <v>210</v>
      </c>
      <c r="I16" s="71">
        <v>2</v>
      </c>
      <c r="J16" s="71">
        <v>5</v>
      </c>
      <c r="K16" s="71">
        <v>6</v>
      </c>
      <c r="L16" s="71">
        <v>0</v>
      </c>
      <c r="M16" s="71">
        <v>1</v>
      </c>
      <c r="N16" s="70" t="s">
        <v>75</v>
      </c>
      <c r="O16" s="181" t="s">
        <v>62</v>
      </c>
      <c r="P16" s="182"/>
      <c r="Q16" s="86">
        <f>'Necesidades Trimestrales'!K31</f>
        <v>2992344.8</v>
      </c>
    </row>
    <row r="17" spans="1:17" ht="17.25" customHeight="1" x14ac:dyDescent="0.2">
      <c r="A17" s="69">
        <v>16</v>
      </c>
      <c r="B17" s="69">
        <v>0</v>
      </c>
      <c r="C17" s="69">
        <v>0</v>
      </c>
      <c r="D17" s="71">
        <v>11</v>
      </c>
      <c r="E17" s="69">
        <v>0</v>
      </c>
      <c r="F17" s="71">
        <v>2101</v>
      </c>
      <c r="G17" s="71">
        <v>2</v>
      </c>
      <c r="H17" s="71">
        <v>210</v>
      </c>
      <c r="I17" s="71">
        <v>2</v>
      </c>
      <c r="J17" s="71">
        <v>5</v>
      </c>
      <c r="K17" s="71">
        <v>6</v>
      </c>
      <c r="L17" s="71">
        <v>0</v>
      </c>
      <c r="M17" s="71">
        <v>1</v>
      </c>
      <c r="N17" s="70" t="s">
        <v>75</v>
      </c>
      <c r="O17" s="181" t="s">
        <v>62</v>
      </c>
      <c r="P17" s="182"/>
      <c r="Q17" s="86">
        <f>'Necesidades Trimestrales'!K36</f>
        <v>399912.48</v>
      </c>
    </row>
    <row r="18" spans="1:17" ht="17.25" customHeight="1" x14ac:dyDescent="0.2">
      <c r="A18" s="69">
        <v>16</v>
      </c>
      <c r="B18" s="69">
        <v>0</v>
      </c>
      <c r="C18" s="69">
        <v>0</v>
      </c>
      <c r="D18" s="71">
        <v>14</v>
      </c>
      <c r="E18" s="69">
        <v>0</v>
      </c>
      <c r="F18" s="71">
        <v>9101</v>
      </c>
      <c r="G18" s="71">
        <v>2</v>
      </c>
      <c r="H18" s="71">
        <v>210</v>
      </c>
      <c r="I18" s="71">
        <v>2</v>
      </c>
      <c r="J18" s="71">
        <v>5</v>
      </c>
      <c r="K18" s="71">
        <v>6</v>
      </c>
      <c r="L18" s="71">
        <v>0</v>
      </c>
      <c r="M18" s="71">
        <v>1</v>
      </c>
      <c r="N18" s="70" t="s">
        <v>75</v>
      </c>
      <c r="O18" s="181" t="s">
        <v>62</v>
      </c>
      <c r="P18" s="182"/>
      <c r="Q18" s="86">
        <f>'Necesidades Trimestrales'!K38</f>
        <v>599934.30000000005</v>
      </c>
    </row>
    <row r="19" spans="1:17" ht="17.25" customHeight="1" x14ac:dyDescent="0.2">
      <c r="A19" s="69">
        <v>16</v>
      </c>
      <c r="B19" s="69">
        <v>0</v>
      </c>
      <c r="C19" s="69">
        <v>0</v>
      </c>
      <c r="D19" s="71">
        <v>15</v>
      </c>
      <c r="E19" s="69">
        <v>0</v>
      </c>
      <c r="F19" s="71">
        <v>8401</v>
      </c>
      <c r="G19" s="71">
        <v>2</v>
      </c>
      <c r="H19" s="71">
        <v>210</v>
      </c>
      <c r="I19" s="71">
        <v>2</v>
      </c>
      <c r="J19" s="71">
        <v>5</v>
      </c>
      <c r="K19" s="71">
        <v>6</v>
      </c>
      <c r="L19" s="71">
        <v>0</v>
      </c>
      <c r="M19" s="71">
        <v>1</v>
      </c>
      <c r="N19" s="70" t="s">
        <v>75</v>
      </c>
      <c r="O19" s="181" t="s">
        <v>62</v>
      </c>
      <c r="P19" s="182"/>
      <c r="Q19" s="86">
        <f>'Necesidades Trimestrales'!K40</f>
        <v>1199900.58</v>
      </c>
    </row>
    <row r="20" spans="1:17" ht="33.75" customHeight="1" thickBot="1" x14ac:dyDescent="0.25">
      <c r="A20" s="184" t="s">
        <v>103</v>
      </c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17">
        <f>SUM(Q15:Q19)</f>
        <v>15901120.840000002</v>
      </c>
    </row>
    <row r="21" spans="1:17" ht="18" customHeight="1" thickBot="1" x14ac:dyDescent="0.25">
      <c r="A21" s="185"/>
      <c r="B21" s="185"/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85"/>
      <c r="Q21" s="185"/>
    </row>
    <row r="22" spans="1:17" ht="17.25" customHeight="1" thickBot="1" x14ac:dyDescent="0.25">
      <c r="A22" s="186" t="s">
        <v>53</v>
      </c>
      <c r="B22" s="187"/>
      <c r="C22" s="187"/>
      <c r="D22" s="187"/>
      <c r="E22" s="187"/>
      <c r="F22" s="188"/>
      <c r="G22" s="189"/>
      <c r="H22" s="189"/>
      <c r="I22" s="189"/>
      <c r="J22" s="189"/>
      <c r="K22" s="189"/>
      <c r="L22" s="189"/>
      <c r="M22" s="189"/>
      <c r="N22" s="189"/>
      <c r="O22" s="189"/>
      <c r="P22" s="189"/>
      <c r="Q22" s="189"/>
    </row>
    <row r="23" spans="1:17" ht="18" customHeight="1" thickBot="1" x14ac:dyDescent="0.25">
      <c r="A23" s="183" t="s">
        <v>73</v>
      </c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</row>
    <row r="24" spans="1:17" ht="15" customHeight="1" x14ac:dyDescent="0.2">
      <c r="A24" s="183"/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</row>
  </sheetData>
  <mergeCells count="28">
    <mergeCell ref="A23:Q24"/>
    <mergeCell ref="A20:P20"/>
    <mergeCell ref="A21:Q21"/>
    <mergeCell ref="O17:P17"/>
    <mergeCell ref="O18:P18"/>
    <mergeCell ref="O19:P19"/>
    <mergeCell ref="A22:F22"/>
    <mergeCell ref="G22:Q22"/>
    <mergeCell ref="A13:N13"/>
    <mergeCell ref="O13:P14"/>
    <mergeCell ref="Q13:Q14"/>
    <mergeCell ref="O15:P15"/>
    <mergeCell ref="O16:P16"/>
    <mergeCell ref="A1:C1"/>
    <mergeCell ref="D1:E1"/>
    <mergeCell ref="P1:Q2"/>
    <mergeCell ref="A4:F4"/>
    <mergeCell ref="G4:Q4"/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AlyVero</dc:creator>
  <cp:lastModifiedBy>Policia</cp:lastModifiedBy>
  <cp:revision>2</cp:revision>
  <cp:lastPrinted>2020-10-21T14:31:05Z</cp:lastPrinted>
  <dcterms:created xsi:type="dcterms:W3CDTF">2020-07-17T23:44:49Z</dcterms:created>
  <dcterms:modified xsi:type="dcterms:W3CDTF">2020-10-22T14:35:15Z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