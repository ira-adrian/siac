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197C50F0-FFB9-4CAB-B1E9-6BBEF6B8C18D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NotaPedido'!$A$1:$K$24</definedName>
    <definedName name="_xlnm.Print_Area" localSheetId="2">'Autor Gastar'!$A$1:$Q$27</definedName>
    <definedName name="_xlnm.Print_Area" localSheetId="0">'Necesidades Trimestrales'!$E$9:$E$21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3" l="1"/>
  <c r="A10" i="3" l="1"/>
  <c r="B12" i="2" l="1"/>
  <c r="B13" i="2"/>
  <c r="B14" i="2"/>
  <c r="B15" i="2"/>
  <c r="B16" i="2"/>
  <c r="B17" i="2"/>
  <c r="B18" i="2"/>
  <c r="B19" i="2"/>
  <c r="B20" i="2"/>
  <c r="B21" i="2"/>
  <c r="B22" i="2"/>
  <c r="B23" i="2"/>
  <c r="C21" i="2"/>
  <c r="C22" i="2"/>
  <c r="C23" i="2"/>
  <c r="C20" i="2"/>
  <c r="C17" i="2"/>
  <c r="C18" i="2"/>
  <c r="C19" i="2"/>
  <c r="C15" i="2"/>
  <c r="C16" i="2"/>
  <c r="C12" i="2"/>
  <c r="C13" i="2"/>
  <c r="C14" i="2"/>
  <c r="I12" i="2"/>
  <c r="I13" i="2"/>
  <c r="I14" i="2"/>
  <c r="I15" i="2"/>
  <c r="I16" i="2"/>
  <c r="I17" i="2"/>
  <c r="I18" i="2"/>
  <c r="I19" i="2"/>
  <c r="I20" i="2"/>
  <c r="I21" i="2"/>
  <c r="I22" i="2"/>
  <c r="I23" i="2"/>
  <c r="J12" i="2"/>
  <c r="J13" i="2"/>
  <c r="J14" i="2"/>
  <c r="J15" i="2"/>
  <c r="J16" i="2"/>
  <c r="J17" i="2"/>
  <c r="J18" i="2"/>
  <c r="J19" i="2"/>
  <c r="J20" i="2"/>
  <c r="J21" i="2"/>
  <c r="J22" i="2"/>
  <c r="J23" i="2"/>
  <c r="K12" i="2"/>
  <c r="K13" i="2"/>
  <c r="K14" i="2"/>
  <c r="K15" i="2"/>
  <c r="K16" i="2"/>
  <c r="K17" i="2"/>
  <c r="K18" i="2"/>
  <c r="K19" i="2"/>
  <c r="K20" i="2"/>
  <c r="K21" i="2"/>
  <c r="K22" i="2"/>
  <c r="K23" i="2"/>
  <c r="I10" i="1" l="1"/>
  <c r="I11" i="1"/>
  <c r="I12" i="1"/>
  <c r="I13" i="1"/>
  <c r="I14" i="1"/>
  <c r="I15" i="1"/>
  <c r="I16" i="1"/>
  <c r="I17" i="1"/>
  <c r="I18" i="1"/>
  <c r="I19" i="1"/>
  <c r="I20" i="1"/>
  <c r="I21" i="1"/>
  <c r="G6" i="3" l="1"/>
  <c r="G7" i="3"/>
  <c r="D7" i="2"/>
  <c r="D3" i="2"/>
  <c r="G4" i="3" s="1"/>
  <c r="D4" i="2"/>
  <c r="G5" i="3" s="1"/>
  <c r="D1" i="3" l="1"/>
  <c r="J24" i="2" l="1"/>
</calcChain>
</file>

<file path=xl/sharedStrings.xml><?xml version="1.0" encoding="utf-8"?>
<sst xmlns="http://schemas.openxmlformats.org/spreadsheetml/2006/main" count="149" uniqueCount="101">
  <si>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</si>
  <si>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</si>
  <si>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</si>
  <si>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</si>
  <si>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</si>
  <si>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</si>
  <si>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</si>
  <si>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</si>
  <si>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</si>
  <si>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</si>
  <si>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</si>
  <si>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</si>
  <si>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</si>
  <si>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</si>
  <si>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</si>
  <si>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</si>
  <si>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</si>
  <si>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</si>
  <si>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</si>
  <si>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</si>
  <si>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</si>
  <si>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</si>
  <si>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</si>
  <si>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</si>
  <si>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</si>
  <si>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</si>
  <si>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</si>
  <si>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</si>
  <si>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</si>
  <si>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</si>
  <si>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</si>
  <si>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</si>
  <si>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</si>
  <si>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</si>
  <si>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</si>
  <si>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</si>
  <si>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</si>
  <si>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</si>
  <si>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</si>
  <si>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</si>
  <si>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</si>
  <si>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</si>
  <si>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</si>
  <si>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</si>
  <si>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</si>
  <si>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</si>
  <si>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</si>
  <si>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</si>
  <si>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</si>
  <si>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</si>
  <si>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</si>
  <si>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</si>
  <si>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</si>
  <si>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</si>
  <si>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KG.</t>
  </si>
  <si>
    <t>VERDURAS Y HORTALIZAS; VARIEDAD: CEBOLLA, ESTADO: NATURAL, PRESENTACION: BOLSA, PESO: 20 Kg</t>
  </si>
  <si>
    <t>2.1.1-6546.236</t>
  </si>
  <si>
    <t>CAJON</t>
  </si>
  <si>
    <t>HUEVO DE GALLINA; TAMAÑO: GRANDE, COLOR: COLOR, PRESENTACION: 30 UN</t>
  </si>
  <si>
    <t>2.1.1-483.37</t>
  </si>
  <si>
    <t>FRUTAS; ESTADO: NATURAL, VARIEDAD: NARANJA PARA JUGO, PRESENTACION: A GRANEL, PESO: SIN VALOR</t>
  </si>
  <si>
    <t>2.1.1-6539.7</t>
  </si>
  <si>
    <t>VERDURAS Y HORTALIZAS; ESTADO: NATURAL, PRESENTACION: GRANEL, PESO: SIN VALOR, VARIEDAD: ZAPALLO CRIOLLO</t>
  </si>
  <si>
    <t>2.1.1-6546.188</t>
  </si>
  <si>
    <t>024 - Hospital Interzonal de Niños</t>
  </si>
  <si>
    <t>040 - Ministerio de Salud</t>
  </si>
  <si>
    <t>Servicio de Alimentacion y Dietoterapia</t>
  </si>
  <si>
    <t>1.1</t>
  </si>
  <si>
    <t>Alimentos para Personas</t>
  </si>
  <si>
    <t>NO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</si>
  <si>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</si>
  <si>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Adquisición de Alimentos Perecederos</t>
  </si>
  <si>
    <t>FRUTAS; VARIEDAD: BANANA, ESTADO: NATURAL, PRESENTACION: ENVASE X 15 Kg, ELEM. TRANSPORTE: CAJON, MATERIAL ELEM. TRANSPORTE: CARTON</t>
  </si>
  <si>
    <t>2.1.1-6539.171</t>
  </si>
  <si>
    <t>VERDURAS Y HORTALIZAS; VARIEDAD: ZAPALLITO REDONDO, ESTADO: NATURAL, PRESENTACION: SIN VALOR, PESO: 20 Kg</t>
  </si>
  <si>
    <t>2.1.1-6546.240</t>
  </si>
  <si>
    <t xml:space="preserve"> </t>
  </si>
  <si>
    <t>Para la adquisición de Alimentos Perecederos destinados al servico de Alimentacion y Dietoterapia del Hospital Interzonal de Niños Eva Peron, para el normal funcionamiento del organismo.</t>
  </si>
  <si>
    <t>KG</t>
  </si>
  <si>
    <t>2.1.1-6539.19</t>
  </si>
  <si>
    <t>FRUTAS: ESTADO: NATURAL VARIEDAD: MANZANA RED ELEGIDA, PRESENTACION: CAJON PESO: SIN VALOR</t>
  </si>
  <si>
    <t>2.1.1-6539.32</t>
  </si>
  <si>
    <t>FRUTAS; VARIEDAD: PERA AMARILLA, ESTADO: NATURAL, PRESENTACION: CAJON, PESO: SIN VALOR</t>
  </si>
  <si>
    <t>2.1.1-6546.100</t>
  </si>
  <si>
    <t>VERDURAS Y HORTALIZAS; ESTADO: NATURAL, PRESENTACION: GRANEL, VARIEDAD: PAPA BLANCA, PESO: SIN VALOR</t>
  </si>
  <si>
    <t>2.1.1-6546.158</t>
  </si>
  <si>
    <t>VERDURAS Y HORTALIZAS; ESTADO: NATURAL, VARIEDAD: ZAPALLO ANCO, PRESENTACION: GRANEL, PESO: SIN VALOR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</si>
  <si>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</si>
  <si>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</si>
  <si>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</si>
  <si>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t>2.1.1-6546.167</t>
  </si>
  <si>
    <t>VERDURAS Y HORTALIZAS; VARIEDAD: ZANAHORIA, PRESENTACION: BOLSA, ESTADO: NATURAL, PESO: 20 Kg</t>
  </si>
  <si>
    <t>136/2021</t>
  </si>
  <si>
    <t xml:space="preserve">ITEM 1:  PRESENTACION EN CAJON DE 20 KG. </t>
  </si>
  <si>
    <t>ITEM 4:  PRESENTACION  EN CAJON DE 15 KG.</t>
  </si>
  <si>
    <t>ITEM 5: UNIDAD = 30 HUEVOS</t>
  </si>
  <si>
    <t>ITEM 10:  PRESENTACION EN CAJON DE 20 KG.</t>
  </si>
  <si>
    <r>
      <rPr>
        <b/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habiles de notificada la Orden de Compra.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</si>
  <si>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30 Días habiles.</t>
    </r>
  </si>
  <si>
    <t>TOTAL DE PESOS: QUINIENTOS NOVENTA Y UN MIL CON 00/100.</t>
  </si>
  <si>
    <t>Costo total estimado: Quinientos Noventa y Un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</si>
</sst>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9"/>
      <name val="Century Gothic"/>
      <family val="2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2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8" xfId="0" applyBorder="1"/>
    <xf numFmtId="0" fontId="0" fillId="0" borderId="23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24" xfId="0" applyBorder="1"/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8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166" fontId="4" fillId="3" borderId="17" xfId="1" applyNumberFormat="1" applyFont="1" applyFill="1" applyBorder="1" applyAlignment="1" applyProtection="1">
      <alignment horizontal="right" vertical="center" wrapText="1"/>
    </xf>
    <xf numFmtId="3" fontId="4" fillId="3" borderId="17" xfId="0" applyNumberFormat="1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9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47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0" fontId="19" fillId="0" borderId="50" xfId="0" applyFont="1" applyBorder="1" applyAlignment="1">
      <alignment horizontal="center" vertical="center" wrapText="1"/>
    </xf>
    <xf numFmtId="0" fontId="0" fillId="0" borderId="49" xfId="0" applyFont="1" applyBorder="1" applyAlignment="1">
      <alignment horizontal="center" vertical="center" wrapText="1"/>
    </xf>
    <xf numFmtId="0" fontId="0" fillId="0" borderId="49" xfId="0" applyFont="1" applyBorder="1" applyAlignment="1">
      <alignment horizontal="center" vertical="center"/>
    </xf>
    <xf numFmtId="0" fontId="0" fillId="0" borderId="49" xfId="0" applyFont="1" applyBorder="1" applyAlignment="1">
      <alignment horizontal="left" vertical="center" wrapText="1"/>
    </xf>
    <xf numFmtId="0" fontId="0" fillId="0" borderId="49" xfId="0" applyFont="1" applyBorder="1" applyAlignment="1">
      <alignment vertical="center" wrapText="1"/>
    </xf>
    <xf numFmtId="169" fontId="0" fillId="0" borderId="49" xfId="0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0" fontId="15" fillId="4" borderId="4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vertical="center" wrapText="1"/>
    </xf>
    <xf numFmtId="0" fontId="15" fillId="4" borderId="0" xfId="5" applyFont="1" applyFill="1" applyBorder="1" applyAlignment="1">
      <alignment vertical="center" wrapText="1"/>
    </xf>
    <xf numFmtId="0" fontId="15" fillId="4" borderId="7" xfId="5" applyFont="1" applyFill="1" applyBorder="1" applyAlignment="1">
      <alignment vertical="center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26" fillId="3" borderId="0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left" vertical="center" wrapText="1" indent="1"/>
    </xf>
    <xf numFmtId="167" fontId="7" fillId="3" borderId="12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 wrapText="1" indent="1"/>
    </xf>
    <xf numFmtId="0" fontId="9" fillId="0" borderId="18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Border="1" applyAlignment="1">
      <alignment horizontal="left" vertical="center" wrapText="1"/>
    </xf>
    <xf numFmtId="0" fontId="0" fillId="0" borderId="20" xfId="0" applyBorder="1"/>
    <xf numFmtId="0" fontId="14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11" fillId="0" borderId="21" xfId="0" applyFont="1" applyBorder="1"/>
    <xf numFmtId="0" fontId="11" fillId="0" borderId="22" xfId="0" applyFont="1" applyBorder="1" applyAlignment="1">
      <alignment horizontal="left" vertical="center" wrapText="1" indent="1"/>
    </xf>
    <xf numFmtId="0" fontId="13" fillId="0" borderId="2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indent="1"/>
    </xf>
    <xf numFmtId="0" fontId="12" fillId="0" borderId="9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9" fillId="0" borderId="1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2" fillId="0" borderId="9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3"/>
  <sheetViews>
    <sheetView zoomScale="86" zoomScaleNormal="86" workbookViewId="0">
      <selection activeCell="H13" sqref="H13"/>
    </sheetView>
  </sheetViews>
  <sheetFormatPr baseColWidth="10" defaultColWidth="11" defaultRowHeight="12.75" x14ac:dyDescent="0.2"/>
  <cols>
    <col min="1" max="1" width="4.5703125" style="32" customWidth="1"/>
    <col min="2" max="2" width="15.7109375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0" width="11" style="32"/>
    <col min="11" max="11" width="13.7109375" style="32" customWidth="1"/>
    <col min="12" max="16384" width="11" style="32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3" spans="1:9" ht="12" customHeight="1" x14ac:dyDescent="0.2"/>
    <row r="4" spans="1:9" ht="18" customHeight="1" x14ac:dyDescent="0.25">
      <c r="A4" s="71" t="s">
        <v>1</v>
      </c>
      <c r="B4" s="71"/>
      <c r="C4" s="84" t="s">
        <v>65</v>
      </c>
      <c r="D4" s="84"/>
      <c r="E4" s="84"/>
      <c r="F4" s="33"/>
      <c r="G4" s="34"/>
      <c r="H4" s="33"/>
    </row>
    <row r="5" spans="1:9" ht="18" customHeight="1" x14ac:dyDescent="0.25">
      <c r="A5" s="71" t="s">
        <v>2</v>
      </c>
      <c r="B5" s="71"/>
      <c r="C5" s="84" t="s">
        <v>64</v>
      </c>
      <c r="D5" s="84"/>
      <c r="E5" s="84"/>
      <c r="F5" s="33"/>
      <c r="G5" s="34"/>
      <c r="H5" s="33"/>
    </row>
    <row r="6" spans="1:9" ht="16.5" customHeight="1" x14ac:dyDescent="0.25">
      <c r="A6" s="71" t="s">
        <v>3</v>
      </c>
      <c r="B6" s="71"/>
      <c r="C6" s="52">
        <v>2021</v>
      </c>
      <c r="D6" s="53"/>
      <c r="E6" s="53"/>
      <c r="F6" s="33"/>
      <c r="G6" s="34"/>
      <c r="H6" s="33"/>
    </row>
    <row r="7" spans="1:9" ht="16.5" customHeight="1" x14ac:dyDescent="0.25">
      <c r="A7" s="71" t="s">
        <v>4</v>
      </c>
      <c r="B7" s="71"/>
      <c r="C7" s="52">
        <v>4</v>
      </c>
      <c r="D7" s="53"/>
      <c r="E7" s="53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35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5" t="s">
        <v>12</v>
      </c>
      <c r="I9" s="65" t="s">
        <v>13</v>
      </c>
    </row>
    <row r="10" spans="1:9" ht="26.25" thickTop="1" x14ac:dyDescent="0.2">
      <c r="A10" s="62">
        <v>1</v>
      </c>
      <c r="B10" s="67" t="s">
        <v>79</v>
      </c>
      <c r="C10" s="67" t="s">
        <v>52</v>
      </c>
      <c r="D10" s="67" t="s">
        <v>53</v>
      </c>
      <c r="E10" s="69" t="s">
        <v>80</v>
      </c>
      <c r="F10" s="67" t="s">
        <v>57</v>
      </c>
      <c r="G10" s="67">
        <v>50</v>
      </c>
      <c r="H10" s="70">
        <v>2600</v>
      </c>
      <c r="I10" s="60">
        <f t="shared" ref="I10:I16" si="0">G10*H10</f>
        <v>130000</v>
      </c>
    </row>
    <row r="11" spans="1:9" ht="25.5" x14ac:dyDescent="0.2">
      <c r="A11" s="62">
        <v>2</v>
      </c>
      <c r="B11" s="66" t="s">
        <v>61</v>
      </c>
      <c r="C11" s="67" t="s">
        <v>52</v>
      </c>
      <c r="D11" s="67" t="s">
        <v>53</v>
      </c>
      <c r="E11" s="68" t="s">
        <v>60</v>
      </c>
      <c r="F11" s="67" t="s">
        <v>54</v>
      </c>
      <c r="G11" s="67">
        <v>80</v>
      </c>
      <c r="H11" s="70">
        <v>110</v>
      </c>
      <c r="I11" s="60">
        <f t="shared" si="0"/>
        <v>8800</v>
      </c>
    </row>
    <row r="12" spans="1:9" ht="25.5" x14ac:dyDescent="0.2">
      <c r="A12" s="62">
        <v>3</v>
      </c>
      <c r="B12" s="66" t="s">
        <v>73</v>
      </c>
      <c r="C12" s="67" t="s">
        <v>52</v>
      </c>
      <c r="D12" s="67" t="s">
        <v>53</v>
      </c>
      <c r="E12" s="68" t="s">
        <v>72</v>
      </c>
      <c r="F12" s="67" t="s">
        <v>57</v>
      </c>
      <c r="G12" s="67">
        <v>40</v>
      </c>
      <c r="H12" s="70">
        <v>2000</v>
      </c>
      <c r="I12" s="60">
        <f t="shared" si="0"/>
        <v>80000</v>
      </c>
    </row>
    <row r="13" spans="1:9" ht="25.5" x14ac:dyDescent="0.2">
      <c r="A13" s="62">
        <v>4</v>
      </c>
      <c r="B13" s="66" t="s">
        <v>81</v>
      </c>
      <c r="C13" s="67" t="s">
        <v>52</v>
      </c>
      <c r="D13" s="67" t="s">
        <v>53</v>
      </c>
      <c r="E13" s="68" t="s">
        <v>82</v>
      </c>
      <c r="F13" s="67" t="s">
        <v>57</v>
      </c>
      <c r="G13" s="67">
        <v>20</v>
      </c>
      <c r="H13" s="70">
        <v>2560</v>
      </c>
      <c r="I13" s="60">
        <f t="shared" si="0"/>
        <v>51200</v>
      </c>
    </row>
    <row r="14" spans="1:9" x14ac:dyDescent="0.2">
      <c r="A14" s="62">
        <v>5</v>
      </c>
      <c r="B14" s="66" t="s">
        <v>59</v>
      </c>
      <c r="C14" s="67" t="s">
        <v>52</v>
      </c>
      <c r="D14" s="67" t="s">
        <v>53</v>
      </c>
      <c r="E14" s="68" t="s">
        <v>58</v>
      </c>
      <c r="F14" s="67" t="s">
        <v>14</v>
      </c>
      <c r="G14" s="67">
        <v>80</v>
      </c>
      <c r="H14" s="70">
        <v>250</v>
      </c>
      <c r="I14" s="60">
        <f t="shared" si="0"/>
        <v>20000</v>
      </c>
    </row>
    <row r="15" spans="1:9" ht="25.5" x14ac:dyDescent="0.2">
      <c r="A15" s="62">
        <v>6</v>
      </c>
      <c r="B15" s="66" t="s">
        <v>63</v>
      </c>
      <c r="C15" s="67" t="s">
        <v>52</v>
      </c>
      <c r="D15" s="67" t="s">
        <v>53</v>
      </c>
      <c r="E15" s="68" t="s">
        <v>62</v>
      </c>
      <c r="F15" s="67" t="s">
        <v>54</v>
      </c>
      <c r="G15" s="67">
        <v>500</v>
      </c>
      <c r="H15" s="70">
        <v>40</v>
      </c>
      <c r="I15" s="60">
        <f t="shared" si="0"/>
        <v>20000</v>
      </c>
    </row>
    <row r="16" spans="1:9" ht="25.5" x14ac:dyDescent="0.2">
      <c r="A16" s="62">
        <v>7</v>
      </c>
      <c r="B16" s="66" t="s">
        <v>83</v>
      </c>
      <c r="C16" s="67" t="s">
        <v>52</v>
      </c>
      <c r="D16" s="67" t="s">
        <v>53</v>
      </c>
      <c r="E16" s="68" t="s">
        <v>84</v>
      </c>
      <c r="F16" s="67" t="s">
        <v>78</v>
      </c>
      <c r="G16" s="67">
        <v>600</v>
      </c>
      <c r="H16" s="70">
        <v>40</v>
      </c>
      <c r="I16" s="60">
        <f t="shared" si="0"/>
        <v>24000</v>
      </c>
    </row>
    <row r="17" spans="1:11" ht="25.5" x14ac:dyDescent="0.2">
      <c r="A17" s="62">
        <v>8</v>
      </c>
      <c r="B17" s="67" t="s">
        <v>85</v>
      </c>
      <c r="C17" s="67" t="s">
        <v>52</v>
      </c>
      <c r="D17" s="67" t="s">
        <v>53</v>
      </c>
      <c r="E17" s="69" t="s">
        <v>86</v>
      </c>
      <c r="F17" s="67" t="s">
        <v>54</v>
      </c>
      <c r="G17" s="67">
        <v>500</v>
      </c>
      <c r="H17" s="70">
        <v>70</v>
      </c>
      <c r="I17" s="60">
        <f t="shared" ref="I17:I21" si="1">G17*H17</f>
        <v>35000</v>
      </c>
    </row>
    <row r="18" spans="1:11" ht="25.5" x14ac:dyDescent="0.2">
      <c r="A18" s="62">
        <v>9</v>
      </c>
      <c r="B18" s="66" t="s">
        <v>56</v>
      </c>
      <c r="C18" s="67" t="s">
        <v>52</v>
      </c>
      <c r="D18" s="67" t="s">
        <v>53</v>
      </c>
      <c r="E18" s="68" t="s">
        <v>55</v>
      </c>
      <c r="F18" s="67" t="s">
        <v>14</v>
      </c>
      <c r="G18" s="67">
        <v>50</v>
      </c>
      <c r="H18" s="70">
        <v>950</v>
      </c>
      <c r="I18" s="60">
        <f t="shared" si="1"/>
        <v>47500</v>
      </c>
    </row>
    <row r="19" spans="1:11" ht="38.25" x14ac:dyDescent="0.2">
      <c r="A19" s="62">
        <v>10</v>
      </c>
      <c r="B19" s="67" t="s">
        <v>87</v>
      </c>
      <c r="C19" s="67" t="s">
        <v>52</v>
      </c>
      <c r="D19" s="67" t="s">
        <v>53</v>
      </c>
      <c r="E19" s="69" t="s">
        <v>88</v>
      </c>
      <c r="F19" s="67" t="s">
        <v>57</v>
      </c>
      <c r="G19" s="67">
        <v>50</v>
      </c>
      <c r="H19" s="70">
        <v>850</v>
      </c>
      <c r="I19" s="60">
        <f t="shared" si="1"/>
        <v>42500</v>
      </c>
    </row>
    <row r="20" spans="1:11" ht="25.5" x14ac:dyDescent="0.2">
      <c r="A20" s="62">
        <v>11</v>
      </c>
      <c r="B20" s="66" t="s">
        <v>90</v>
      </c>
      <c r="C20" s="67" t="s">
        <v>52</v>
      </c>
      <c r="D20" s="67" t="s">
        <v>53</v>
      </c>
      <c r="E20" s="68" t="s">
        <v>91</v>
      </c>
      <c r="F20" s="67" t="s">
        <v>14</v>
      </c>
      <c r="G20" s="67">
        <v>40</v>
      </c>
      <c r="H20" s="70">
        <v>800</v>
      </c>
      <c r="I20" s="60">
        <f t="shared" si="1"/>
        <v>32000</v>
      </c>
    </row>
    <row r="21" spans="1:11" ht="25.5" x14ac:dyDescent="0.2">
      <c r="A21" s="62">
        <v>12</v>
      </c>
      <c r="B21" s="66" t="s">
        <v>75</v>
      </c>
      <c r="C21" s="67" t="s">
        <v>52</v>
      </c>
      <c r="D21" s="67" t="s">
        <v>53</v>
      </c>
      <c r="E21" s="68" t="s">
        <v>74</v>
      </c>
      <c r="F21" s="67" t="s">
        <v>57</v>
      </c>
      <c r="G21" s="67">
        <v>40</v>
      </c>
      <c r="H21" s="70">
        <v>2500</v>
      </c>
      <c r="I21" s="60">
        <f t="shared" si="1"/>
        <v>100000</v>
      </c>
      <c r="K21" s="36"/>
    </row>
    <row r="22" spans="1:11" x14ac:dyDescent="0.2">
      <c r="E22" s="32" t="s">
        <v>76</v>
      </c>
      <c r="I22" s="36"/>
    </row>
    <row r="23" spans="1:11" ht="13.5" thickBot="1" x14ac:dyDescent="0.25">
      <c r="F23" s="32" t="s">
        <v>76</v>
      </c>
    </row>
    <row r="24" spans="1:11" ht="12.75" customHeight="1" x14ac:dyDescent="0.2">
      <c r="B24" s="76" t="s">
        <v>70</v>
      </c>
      <c r="C24" s="77"/>
      <c r="D24" s="77"/>
      <c r="E24" s="77"/>
      <c r="F24" s="77"/>
      <c r="G24" s="77"/>
      <c r="H24" s="77"/>
      <c r="I24" s="78"/>
    </row>
    <row r="25" spans="1:11" ht="14.25" x14ac:dyDescent="0.2">
      <c r="B25" s="61"/>
      <c r="C25" s="82" t="s">
        <v>93</v>
      </c>
      <c r="D25" s="82"/>
      <c r="E25" s="82"/>
      <c r="F25" s="63"/>
      <c r="G25" s="63"/>
      <c r="H25" s="63"/>
      <c r="I25" s="64"/>
    </row>
    <row r="26" spans="1:11" ht="14.25" x14ac:dyDescent="0.2">
      <c r="B26" s="59"/>
      <c r="C26" s="82" t="s">
        <v>94</v>
      </c>
      <c r="D26" s="82"/>
      <c r="E26" s="82"/>
      <c r="F26" s="63"/>
      <c r="G26" s="63"/>
      <c r="H26" s="63"/>
      <c r="I26" s="64"/>
    </row>
    <row r="27" spans="1:11" ht="14.25" x14ac:dyDescent="0.2">
      <c r="B27" s="59"/>
      <c r="C27" s="82" t="s">
        <v>95</v>
      </c>
      <c r="D27" s="82"/>
      <c r="E27" s="82"/>
      <c r="F27" s="63"/>
      <c r="G27" s="63"/>
      <c r="H27" s="63"/>
      <c r="I27" s="64"/>
    </row>
    <row r="28" spans="1:11" ht="14.25" x14ac:dyDescent="0.2">
      <c r="B28" s="59"/>
      <c r="C28" s="82" t="s">
        <v>96</v>
      </c>
      <c r="D28" s="82"/>
      <c r="E28" s="82"/>
      <c r="F28" s="63"/>
      <c r="G28" s="63"/>
      <c r="H28" s="63"/>
      <c r="I28" s="64"/>
    </row>
    <row r="29" spans="1:11" ht="12.75" customHeight="1" x14ac:dyDescent="0.2">
      <c r="B29" s="79" t="s">
        <v>89</v>
      </c>
      <c r="C29" s="80"/>
      <c r="D29" s="80"/>
      <c r="E29" s="80"/>
      <c r="F29" s="80"/>
      <c r="G29" s="80"/>
      <c r="H29" s="80"/>
      <c r="I29" s="81"/>
    </row>
    <row r="30" spans="1:11" x14ac:dyDescent="0.2">
      <c r="B30" s="79"/>
      <c r="C30" s="80"/>
      <c r="D30" s="80"/>
      <c r="E30" s="80"/>
      <c r="F30" s="80"/>
      <c r="G30" s="80"/>
      <c r="H30" s="80"/>
      <c r="I30" s="81"/>
    </row>
    <row r="31" spans="1:11" x14ac:dyDescent="0.2">
      <c r="B31" s="79" t="s">
        <v>98</v>
      </c>
      <c r="C31" s="80"/>
      <c r="D31" s="80"/>
      <c r="E31" s="80"/>
      <c r="F31" s="63"/>
      <c r="G31" s="63"/>
      <c r="H31" s="63"/>
      <c r="I31" s="64"/>
    </row>
    <row r="32" spans="1:11" ht="21.75" customHeight="1" thickBot="1" x14ac:dyDescent="0.25">
      <c r="B32" s="73" t="s">
        <v>97</v>
      </c>
      <c r="C32" s="74"/>
      <c r="D32" s="74"/>
      <c r="E32" s="74"/>
      <c r="F32" s="74"/>
      <c r="G32" s="74"/>
      <c r="H32" s="74"/>
      <c r="I32" s="75"/>
    </row>
    <row r="33" spans="2:9" ht="26.25" customHeight="1" x14ac:dyDescent="0.2">
      <c r="B33" s="72"/>
      <c r="C33" s="72"/>
      <c r="D33" s="72"/>
      <c r="E33" s="72"/>
      <c r="F33" s="72"/>
      <c r="G33" s="72"/>
      <c r="H33" s="72"/>
      <c r="I33" s="72"/>
    </row>
  </sheetData>
  <mergeCells count="16">
    <mergeCell ref="B2:H2"/>
    <mergeCell ref="A4:B4"/>
    <mergeCell ref="C4:E4"/>
    <mergeCell ref="A5:B5"/>
    <mergeCell ref="C5:E5"/>
    <mergeCell ref="A6:B6"/>
    <mergeCell ref="A7:B7"/>
    <mergeCell ref="B33:I33"/>
    <mergeCell ref="B32:I32"/>
    <mergeCell ref="B24:I24"/>
    <mergeCell ref="B31:E31"/>
    <mergeCell ref="B29:I30"/>
    <mergeCell ref="C28:E28"/>
    <mergeCell ref="C26:E26"/>
    <mergeCell ref="C25:E25"/>
    <mergeCell ref="C27:E2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4"/>
  <sheetViews>
    <sheetView tabSelected="1" zoomScale="87" zoomScaleNormal="87" workbookViewId="0">
      <selection activeCell="C22" sqref="C22:G22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91" t="s">
        <v>15</v>
      </c>
      <c r="B1" s="91"/>
      <c r="C1" s="91"/>
      <c r="D1" s="91"/>
      <c r="E1" s="91"/>
      <c r="F1" s="91"/>
      <c r="G1" s="91"/>
      <c r="H1" s="91"/>
      <c r="I1" s="91"/>
      <c r="J1" s="37" t="s">
        <v>16</v>
      </c>
      <c r="K1" s="38" t="s">
        <v>92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92" t="s">
        <v>49</v>
      </c>
      <c r="B3" s="92"/>
      <c r="C3" s="92"/>
      <c r="D3" s="87" t="str">
        <f>'Necesidades Trimestrales'!C4</f>
        <v>040 - Ministerio de Salud</v>
      </c>
      <c r="E3" s="87"/>
      <c r="F3" s="87"/>
      <c r="G3" s="87"/>
      <c r="H3" s="87"/>
      <c r="I3" s="87"/>
      <c r="J3" s="87"/>
      <c r="K3" s="87"/>
    </row>
    <row r="4" spans="1:11" ht="18.75" customHeight="1" thickBot="1" x14ac:dyDescent="0.25">
      <c r="A4" s="93" t="s">
        <v>50</v>
      </c>
      <c r="B4" s="93"/>
      <c r="C4" s="93"/>
      <c r="D4" s="87" t="str">
        <f>'Necesidades Trimestrales'!C5</f>
        <v>024 - Hospital Interzonal de Niños</v>
      </c>
      <c r="E4" s="87"/>
      <c r="F4" s="87"/>
      <c r="G4" s="87"/>
      <c r="H4" s="87"/>
      <c r="I4" s="87"/>
      <c r="J4" s="87"/>
      <c r="K4" s="87"/>
    </row>
    <row r="5" spans="1:11" ht="18.75" customHeight="1" thickBot="1" x14ac:dyDescent="0.25">
      <c r="A5" s="93" t="s">
        <v>28</v>
      </c>
      <c r="B5" s="93"/>
      <c r="C5" s="93"/>
      <c r="D5" s="87" t="s">
        <v>64</v>
      </c>
      <c r="E5" s="87"/>
      <c r="F5" s="87"/>
      <c r="G5" s="87"/>
      <c r="H5" s="87"/>
      <c r="I5" s="87"/>
      <c r="J5" s="87"/>
      <c r="K5" s="87"/>
    </row>
    <row r="6" spans="1:11" ht="16.5" customHeight="1" thickBot="1" x14ac:dyDescent="0.25">
      <c r="A6" s="92" t="s">
        <v>51</v>
      </c>
      <c r="B6" s="92"/>
      <c r="C6" s="92"/>
      <c r="D6" s="87" t="s">
        <v>66</v>
      </c>
      <c r="E6" s="87"/>
      <c r="F6" s="87"/>
      <c r="G6" s="87"/>
      <c r="H6" s="87"/>
      <c r="I6" s="87"/>
      <c r="J6" s="87"/>
      <c r="K6" s="87"/>
    </row>
    <row r="7" spans="1:11" ht="16.5" customHeight="1" x14ac:dyDescent="0.2">
      <c r="A7" s="93" t="s">
        <v>17</v>
      </c>
      <c r="B7" s="93"/>
      <c r="C7" s="93"/>
      <c r="D7" s="87" t="str">
        <f>'Necesidades Trimestrales'!C7 &amp; "° Trimestre - Año " &amp; 'Necesidades Trimestrales'!C6</f>
        <v>4° Trimestre - Año 2021</v>
      </c>
      <c r="E7" s="87"/>
      <c r="F7" s="87"/>
      <c r="G7" s="87"/>
      <c r="H7" s="87"/>
      <c r="I7" s="87"/>
      <c r="J7" s="87"/>
      <c r="K7" s="87"/>
    </row>
    <row r="8" spans="1:11" ht="16.5" customHeight="1" x14ac:dyDescent="0.2">
      <c r="A8" s="94" t="s">
        <v>18</v>
      </c>
      <c r="B8" s="94"/>
      <c r="C8" s="94"/>
      <c r="D8" s="95" t="s">
        <v>71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90" t="s">
        <v>19</v>
      </c>
      <c r="B10" s="85" t="s">
        <v>20</v>
      </c>
      <c r="C10" s="85" t="s">
        <v>21</v>
      </c>
      <c r="D10" s="85"/>
      <c r="E10" s="85"/>
      <c r="F10" s="85"/>
      <c r="G10" s="85"/>
      <c r="H10" s="85" t="s">
        <v>22</v>
      </c>
      <c r="I10" s="85" t="s">
        <v>23</v>
      </c>
      <c r="J10" s="85" t="s">
        <v>24</v>
      </c>
      <c r="K10" s="86" t="s">
        <v>25</v>
      </c>
    </row>
    <row r="11" spans="1:11" ht="24" customHeight="1" thickBot="1" x14ac:dyDescent="0.25">
      <c r="A11" s="90"/>
      <c r="B11" s="85"/>
      <c r="C11" s="85"/>
      <c r="D11" s="85"/>
      <c r="E11" s="85"/>
      <c r="F11" s="85"/>
      <c r="G11" s="85"/>
      <c r="H11" s="85"/>
      <c r="I11" s="85"/>
      <c r="J11" s="85"/>
      <c r="K11" s="86"/>
    </row>
    <row r="12" spans="1:11" ht="20.25" customHeight="1" x14ac:dyDescent="0.2">
      <c r="A12" s="51">
        <v>1</v>
      </c>
      <c r="B12" s="46" t="str">
        <f>'Necesidades Trimestrales'!B10</f>
        <v>2.1.1-6539.19</v>
      </c>
      <c r="C12" s="89" t="str">
        <f>'Necesidades Trimestrales'!E10</f>
        <v>FRUTAS: ESTADO: NATURAL VARIEDAD: MANZANA RED ELEGIDA, PRESENTACION: CAJON PESO: SIN VALOR</v>
      </c>
      <c r="D12" s="89"/>
      <c r="E12" s="89"/>
      <c r="F12" s="89"/>
      <c r="G12" s="89"/>
      <c r="H12" s="47" t="s">
        <v>69</v>
      </c>
      <c r="I12" s="48" t="str">
        <f>'Necesidades Trimestrales'!F10</f>
        <v>CAJON</v>
      </c>
      <c r="J12" s="49">
        <f>'Necesidades Trimestrales'!H10</f>
        <v>2600</v>
      </c>
      <c r="K12" s="50">
        <f>'Necesidades Trimestrales'!G10</f>
        <v>50</v>
      </c>
    </row>
    <row r="13" spans="1:11" ht="30" customHeight="1" x14ac:dyDescent="0.2">
      <c r="A13" s="45">
        <v>2</v>
      </c>
      <c r="B13" s="46" t="str">
        <f>'Necesidades Trimestrales'!B11</f>
        <v>2.1.1-6539.7</v>
      </c>
      <c r="C13" s="89" t="str">
        <f>'Necesidades Trimestrales'!E11</f>
        <v>FRUTAS; ESTADO: NATURAL, VARIEDAD: NARANJA PARA JUGO, PRESENTACION: A GRANEL, PESO: SIN VALOR</v>
      </c>
      <c r="D13" s="89"/>
      <c r="E13" s="89"/>
      <c r="F13" s="89"/>
      <c r="G13" s="89"/>
      <c r="H13" s="47" t="s">
        <v>69</v>
      </c>
      <c r="I13" s="48" t="str">
        <f>'Necesidades Trimestrales'!F11</f>
        <v>KG.</v>
      </c>
      <c r="J13" s="49">
        <f>'Necesidades Trimestrales'!H11</f>
        <v>110</v>
      </c>
      <c r="K13" s="50">
        <f>'Necesidades Trimestrales'!G11</f>
        <v>80</v>
      </c>
    </row>
    <row r="14" spans="1:11" ht="30.75" customHeight="1" x14ac:dyDescent="0.2">
      <c r="A14" s="51">
        <v>3</v>
      </c>
      <c r="B14" s="46" t="str">
        <f>'Necesidades Trimestrales'!B12</f>
        <v>2.1.1-6539.171</v>
      </c>
      <c r="C14" s="89" t="str">
        <f>'Necesidades Trimestrales'!E12</f>
        <v>FRUTAS; VARIEDAD: BANANA, ESTADO: NATURAL, PRESENTACION: ENVASE X 15 Kg, ELEM. TRANSPORTE: CAJON, MATERIAL ELEM. TRANSPORTE: CARTON</v>
      </c>
      <c r="D14" s="89"/>
      <c r="E14" s="89"/>
      <c r="F14" s="89"/>
      <c r="G14" s="89"/>
      <c r="H14" s="47" t="s">
        <v>69</v>
      </c>
      <c r="I14" s="48" t="str">
        <f>'Necesidades Trimestrales'!F12</f>
        <v>CAJON</v>
      </c>
      <c r="J14" s="49">
        <f>'Necesidades Trimestrales'!H12</f>
        <v>2000</v>
      </c>
      <c r="K14" s="50">
        <f>'Necesidades Trimestrales'!G12</f>
        <v>40</v>
      </c>
    </row>
    <row r="15" spans="1:11" ht="20.25" customHeight="1" x14ac:dyDescent="0.2">
      <c r="A15" s="51">
        <v>4</v>
      </c>
      <c r="B15" s="46" t="str">
        <f>'Necesidades Trimestrales'!B13</f>
        <v>2.1.1-6539.32</v>
      </c>
      <c r="C15" s="89" t="str">
        <f>'Necesidades Trimestrales'!E13</f>
        <v>FRUTAS; VARIEDAD: PERA AMARILLA, ESTADO: NATURAL, PRESENTACION: CAJON, PESO: SIN VALOR</v>
      </c>
      <c r="D15" s="89"/>
      <c r="E15" s="89"/>
      <c r="F15" s="89"/>
      <c r="G15" s="89"/>
      <c r="H15" s="47" t="s">
        <v>69</v>
      </c>
      <c r="I15" s="48" t="str">
        <f>'Necesidades Trimestrales'!F13</f>
        <v>CAJON</v>
      </c>
      <c r="J15" s="49">
        <f>'Necesidades Trimestrales'!H13</f>
        <v>2560</v>
      </c>
      <c r="K15" s="50">
        <f>'Necesidades Trimestrales'!G13</f>
        <v>20</v>
      </c>
    </row>
    <row r="16" spans="1:11" ht="20.25" customHeight="1" x14ac:dyDescent="0.2">
      <c r="A16" s="45">
        <v>5</v>
      </c>
      <c r="B16" s="46" t="str">
        <f>'Necesidades Trimestrales'!B14</f>
        <v>2.1.1-483.37</v>
      </c>
      <c r="C16" s="89" t="str">
        <f>'Necesidades Trimestrales'!E14</f>
        <v>HUEVO DE GALLINA; TAMAÑO: GRANDE, COLOR: COLOR, PRESENTACION: 30 UN</v>
      </c>
      <c r="D16" s="89"/>
      <c r="E16" s="89"/>
      <c r="F16" s="89"/>
      <c r="G16" s="89"/>
      <c r="H16" s="47" t="s">
        <v>69</v>
      </c>
      <c r="I16" s="48" t="str">
        <f>'Necesidades Trimestrales'!F14</f>
        <v>UNIDAD</v>
      </c>
      <c r="J16" s="49">
        <f>'Necesidades Trimestrales'!H14</f>
        <v>250</v>
      </c>
      <c r="K16" s="50">
        <f>'Necesidades Trimestrales'!G14</f>
        <v>80</v>
      </c>
    </row>
    <row r="17" spans="1:11" ht="31.5" customHeight="1" x14ac:dyDescent="0.2">
      <c r="A17" s="51">
        <v>6</v>
      </c>
      <c r="B17" s="46" t="str">
        <f>'Necesidades Trimestrales'!B15</f>
        <v>2.1.1-6546.188</v>
      </c>
      <c r="C17" s="89" t="str">
        <f>'Necesidades Trimestrales'!E15</f>
        <v>VERDURAS Y HORTALIZAS; ESTADO: NATURAL, PRESENTACION: GRANEL, PESO: SIN VALOR, VARIEDAD: ZAPALLO CRIOLLO</v>
      </c>
      <c r="D17" s="89"/>
      <c r="E17" s="89"/>
      <c r="F17" s="89"/>
      <c r="G17" s="89"/>
      <c r="H17" s="47" t="s">
        <v>69</v>
      </c>
      <c r="I17" s="48" t="str">
        <f>'Necesidades Trimestrales'!F15</f>
        <v>KG.</v>
      </c>
      <c r="J17" s="49">
        <f>'Necesidades Trimestrales'!H15</f>
        <v>40</v>
      </c>
      <c r="K17" s="50">
        <f>'Necesidades Trimestrales'!G15</f>
        <v>500</v>
      </c>
    </row>
    <row r="18" spans="1:11" ht="30.75" customHeight="1" x14ac:dyDescent="0.2">
      <c r="A18" s="45">
        <v>7</v>
      </c>
      <c r="B18" s="46" t="str">
        <f>'Necesidades Trimestrales'!B16</f>
        <v>2.1.1-6546.100</v>
      </c>
      <c r="C18" s="89" t="str">
        <f>'Necesidades Trimestrales'!E16</f>
        <v>VERDURAS Y HORTALIZAS; ESTADO: NATURAL, PRESENTACION: GRANEL, VARIEDAD: PAPA BLANCA, PESO: SIN VALOR</v>
      </c>
      <c r="D18" s="89"/>
      <c r="E18" s="89"/>
      <c r="F18" s="89"/>
      <c r="G18" s="89"/>
      <c r="H18" s="47" t="s">
        <v>69</v>
      </c>
      <c r="I18" s="48" t="str">
        <f>'Necesidades Trimestrales'!F16</f>
        <v>KG</v>
      </c>
      <c r="J18" s="49">
        <f>'Necesidades Trimestrales'!H16</f>
        <v>40</v>
      </c>
      <c r="K18" s="50">
        <f>'Necesidades Trimestrales'!G16</f>
        <v>600</v>
      </c>
    </row>
    <row r="19" spans="1:11" ht="27.75" customHeight="1" x14ac:dyDescent="0.2">
      <c r="A19" s="51">
        <v>8</v>
      </c>
      <c r="B19" s="46" t="str">
        <f>'Necesidades Trimestrales'!B17</f>
        <v>2.1.1-6546.158</v>
      </c>
      <c r="C19" s="89" t="str">
        <f>'Necesidades Trimestrales'!E17</f>
        <v>VERDURAS Y HORTALIZAS; ESTADO: NATURAL, VARIEDAD: ZAPALLO ANCO, PRESENTACION: GRANEL, PESO: SIN VALOR</v>
      </c>
      <c r="D19" s="89"/>
      <c r="E19" s="89"/>
      <c r="F19" s="89"/>
      <c r="G19" s="89"/>
      <c r="H19" s="47" t="s">
        <v>69</v>
      </c>
      <c r="I19" s="48" t="str">
        <f>'Necesidades Trimestrales'!F17</f>
        <v>KG.</v>
      </c>
      <c r="J19" s="49">
        <f>'Necesidades Trimestrales'!H17</f>
        <v>70</v>
      </c>
      <c r="K19" s="50">
        <f>'Necesidades Trimestrales'!G17</f>
        <v>500</v>
      </c>
    </row>
    <row r="20" spans="1:11" ht="29.25" customHeight="1" x14ac:dyDescent="0.2">
      <c r="A20" s="51">
        <v>9</v>
      </c>
      <c r="B20" s="46" t="str">
        <f>'Necesidades Trimestrales'!B18</f>
        <v>2.1.1-6546.236</v>
      </c>
      <c r="C20" s="89" t="str">
        <f>'Necesidades Trimestrales'!E18</f>
        <v>VERDURAS Y HORTALIZAS; VARIEDAD: CEBOLLA, ESTADO: NATURAL, PRESENTACION: BOLSA, PESO: 20 Kg</v>
      </c>
      <c r="D20" s="89"/>
      <c r="E20" s="89"/>
      <c r="F20" s="89"/>
      <c r="G20" s="89"/>
      <c r="H20" s="47" t="s">
        <v>69</v>
      </c>
      <c r="I20" s="48" t="str">
        <f>'Necesidades Trimestrales'!F18</f>
        <v>UNIDAD</v>
      </c>
      <c r="J20" s="49">
        <f>'Necesidades Trimestrales'!H18</f>
        <v>950</v>
      </c>
      <c r="K20" s="50">
        <f>'Necesidades Trimestrales'!G18</f>
        <v>50</v>
      </c>
    </row>
    <row r="21" spans="1:11" ht="42" customHeight="1" x14ac:dyDescent="0.2">
      <c r="A21" s="51">
        <v>10</v>
      </c>
      <c r="B21" s="46" t="str">
        <f>'Necesidades Trimestrales'!B19</f>
        <v>2.1.1-6546.390</v>
      </c>
      <c r="C21" s="89" t="str">
        <f>'Necesidades Trimestrales'!E19</f>
        <v>VERDURAS Y HORTALIZAS; VARIEDAD: TOMATE REDONDO, ESTADO: NATURAL, PRESENTACION: CAJON, PESO: 17 A 22 Kg, ELEM. TRANSPORTE: SIN, MATERIAL ELEM. TRANSPORTE: SIN, LIBRE DE GLUTEN: SI, ORGANICO: NO</v>
      </c>
      <c r="D21" s="89"/>
      <c r="E21" s="89"/>
      <c r="F21" s="89"/>
      <c r="G21" s="89"/>
      <c r="H21" s="47" t="s">
        <v>69</v>
      </c>
      <c r="I21" s="48" t="str">
        <f>'Necesidades Trimestrales'!F19</f>
        <v>CAJON</v>
      </c>
      <c r="J21" s="49">
        <f>'Necesidades Trimestrales'!H19</f>
        <v>850</v>
      </c>
      <c r="K21" s="50">
        <f>'Necesidades Trimestrales'!G19</f>
        <v>50</v>
      </c>
    </row>
    <row r="22" spans="1:11" ht="27.75" customHeight="1" x14ac:dyDescent="0.2">
      <c r="A22" s="45">
        <v>11</v>
      </c>
      <c r="B22" s="46" t="str">
        <f>'Necesidades Trimestrales'!B20</f>
        <v>2.1.1-6546.167</v>
      </c>
      <c r="C22" s="89" t="str">
        <f>'Necesidades Trimestrales'!E20</f>
        <v>VERDURAS Y HORTALIZAS; VARIEDAD: ZANAHORIA, PRESENTACION: BOLSA, ESTADO: NATURAL, PESO: 20 Kg</v>
      </c>
      <c r="D22" s="89"/>
      <c r="E22" s="89"/>
      <c r="F22" s="89"/>
      <c r="G22" s="89"/>
      <c r="H22" s="47" t="s">
        <v>69</v>
      </c>
      <c r="I22" s="48" t="str">
        <f>'Necesidades Trimestrales'!F20</f>
        <v>UNIDAD</v>
      </c>
      <c r="J22" s="49">
        <f>'Necesidades Trimestrales'!H20</f>
        <v>800</v>
      </c>
      <c r="K22" s="50">
        <f>'Necesidades Trimestrales'!G20</f>
        <v>40</v>
      </c>
    </row>
    <row r="23" spans="1:11" ht="27" customHeight="1" thickBot="1" x14ac:dyDescent="0.25">
      <c r="A23" s="51">
        <v>12</v>
      </c>
      <c r="B23" s="46" t="str">
        <f>'Necesidades Trimestrales'!B21</f>
        <v>2.1.1-6546.240</v>
      </c>
      <c r="C23" s="89" t="str">
        <f>'Necesidades Trimestrales'!E21</f>
        <v>VERDURAS Y HORTALIZAS; VARIEDAD: ZAPALLITO REDONDO, ESTADO: NATURAL, PRESENTACION: SIN VALOR, PESO: 20 Kg</v>
      </c>
      <c r="D23" s="89"/>
      <c r="E23" s="89"/>
      <c r="F23" s="89"/>
      <c r="G23" s="89"/>
      <c r="H23" s="47" t="s">
        <v>69</v>
      </c>
      <c r="I23" s="48" t="str">
        <f>'Necesidades Trimestrales'!F21</f>
        <v>CAJON</v>
      </c>
      <c r="J23" s="49">
        <f>'Necesidades Trimestrales'!H21</f>
        <v>2500</v>
      </c>
      <c r="K23" s="50">
        <f>'Necesidades Trimestrales'!G21</f>
        <v>40</v>
      </c>
    </row>
    <row r="24" spans="1:11" ht="20.25" customHeight="1" thickBot="1" x14ac:dyDescent="0.25">
      <c r="A24" s="87" t="s">
        <v>100</v>
      </c>
      <c r="B24" s="87"/>
      <c r="C24" s="87"/>
      <c r="D24" s="87"/>
      <c r="E24" s="87"/>
      <c r="F24" s="87"/>
      <c r="G24" s="87"/>
      <c r="H24" s="87"/>
      <c r="I24" s="87"/>
      <c r="J24" s="88">
        <f>SUMPRODUCT(J12:J23,K12:K23)</f>
        <v>591000</v>
      </c>
      <c r="K24" s="88"/>
    </row>
  </sheetData>
  <mergeCells count="34">
    <mergeCell ref="A8:C8"/>
    <mergeCell ref="D8:K8"/>
    <mergeCell ref="C21:G21"/>
    <mergeCell ref="C22:G22"/>
    <mergeCell ref="C23:G23"/>
    <mergeCell ref="C20:G20"/>
    <mergeCell ref="C18:G18"/>
    <mergeCell ref="C19:G1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0:J11"/>
    <mergeCell ref="K10:K11"/>
    <mergeCell ref="A24:I24"/>
    <mergeCell ref="J24:K24"/>
    <mergeCell ref="C12:G12"/>
    <mergeCell ref="C13:G13"/>
    <mergeCell ref="C14:G14"/>
    <mergeCell ref="A10:A11"/>
    <mergeCell ref="B10:B11"/>
    <mergeCell ref="C10:G11"/>
    <mergeCell ref="H10:H11"/>
    <mergeCell ref="I10:I11"/>
    <mergeCell ref="C17:G17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0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2021</v>
      </c>
      <c r="E1" s="120"/>
      <c r="F1" s="3"/>
      <c r="G1" s="3"/>
      <c r="H1" s="4"/>
      <c r="I1" s="4"/>
      <c r="J1" s="4"/>
      <c r="K1" s="4"/>
      <c r="L1" s="4"/>
      <c r="M1" s="4"/>
      <c r="N1" s="4"/>
      <c r="P1" s="121" t="s">
        <v>26</v>
      </c>
      <c r="Q1" s="12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1"/>
      <c r="Q2" s="121"/>
    </row>
    <row r="4" spans="1:17" s="5" customFormat="1" ht="18" customHeight="1" thickBot="1" x14ac:dyDescent="0.25">
      <c r="A4" s="122" t="s">
        <v>27</v>
      </c>
      <c r="B4" s="122"/>
      <c r="C4" s="122"/>
      <c r="D4" s="122"/>
      <c r="E4" s="122"/>
      <c r="F4" s="122"/>
      <c r="G4" s="117" t="str">
        <f>' NotaPedido'!D3</f>
        <v>040 - Ministerio de Salud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5" customFormat="1" ht="18" customHeight="1" thickBot="1" x14ac:dyDescent="0.25">
      <c r="A5" s="114" t="s">
        <v>50</v>
      </c>
      <c r="B5" s="115"/>
      <c r="C5" s="115"/>
      <c r="D5" s="115"/>
      <c r="E5" s="115"/>
      <c r="F5" s="116"/>
      <c r="G5" s="117" t="str">
        <f>' NotaPedido'!D4</f>
        <v>024 - Hospital Interzonal de Niños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5" customFormat="1" ht="18" customHeight="1" thickBot="1" x14ac:dyDescent="0.25">
      <c r="A6" s="114" t="s">
        <v>28</v>
      </c>
      <c r="B6" s="115"/>
      <c r="C6" s="115"/>
      <c r="D6" s="115"/>
      <c r="E6" s="115"/>
      <c r="F6" s="116"/>
      <c r="G6" s="117" t="str">
        <f>' NotaPedido'!D5</f>
        <v>024 - Hospital Interzonal de Niños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5" customFormat="1" ht="18" customHeight="1" thickBot="1" x14ac:dyDescent="0.25">
      <c r="A7" s="114" t="s">
        <v>51</v>
      </c>
      <c r="B7" s="115"/>
      <c r="C7" s="115"/>
      <c r="D7" s="115"/>
      <c r="E7" s="115"/>
      <c r="F7" s="116"/>
      <c r="G7" s="117" t="str">
        <f>' NotaPedido'!D6</f>
        <v>Servicio de Alimentacion y Dietoterapia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18" t="s">
        <v>29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08" t="s">
        <v>30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6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136/2021,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0" t="s">
        <v>31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32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33</v>
      </c>
      <c r="P13" s="112"/>
      <c r="Q13" s="113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12"/>
      <c r="P14" s="112"/>
      <c r="Q14" s="113"/>
    </row>
    <row r="15" spans="1:17" ht="17.25" customHeight="1" x14ac:dyDescent="0.2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6">
        <v>2</v>
      </c>
      <c r="J15" s="56">
        <v>1</v>
      </c>
      <c r="K15" s="56">
        <v>1</v>
      </c>
      <c r="L15" s="55"/>
      <c r="M15" s="57">
        <v>1</v>
      </c>
      <c r="N15" s="58" t="s">
        <v>67</v>
      </c>
      <c r="O15" s="106" t="s">
        <v>68</v>
      </c>
      <c r="P15" s="107"/>
      <c r="Q15" s="16">
        <v>591000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01"/>
      <c r="P16" s="101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01"/>
      <c r="P17" s="101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01"/>
      <c r="P18" s="101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01"/>
      <c r="P19" s="101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01"/>
      <c r="P20" s="101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02"/>
      <c r="P21" s="102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03"/>
      <c r="P22" s="103"/>
      <c r="Q22" s="30"/>
    </row>
    <row r="23" spans="1:18" ht="29.25" customHeight="1" x14ac:dyDescent="0.2">
      <c r="A23" s="104" t="s">
        <v>99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31">
        <f>SUM(Q15:Q22)</f>
        <v>591000</v>
      </c>
    </row>
    <row r="24" spans="1:18" ht="18" customHeight="1" thickBot="1" x14ac:dyDescent="0.25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8" ht="17.25" customHeight="1" thickBot="1" x14ac:dyDescent="0.25">
      <c r="A25" s="96" t="s">
        <v>48</v>
      </c>
      <c r="B25" s="97"/>
      <c r="C25" s="97"/>
      <c r="D25" s="97"/>
      <c r="E25" s="97"/>
      <c r="F25" s="98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</row>
    <row r="26" spans="1:18" ht="18" customHeight="1" thickBot="1" x14ac:dyDescent="0.25">
      <c r="A26" s="100" t="s">
        <v>77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</row>
    <row r="27" spans="1:18" ht="15" customHeight="1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SILVINA ATENCIO</cp:lastModifiedBy>
  <cp:revision>2</cp:revision>
  <cp:lastPrinted>2021-11-16T14:26:51Z</cp:lastPrinted>
  <dcterms:created xsi:type="dcterms:W3CDTF">2020-07-17T23:44:49Z</dcterms:created>
  <dcterms:modified xsi:type="dcterms:W3CDTF">2021-11-17T12:48:35Z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