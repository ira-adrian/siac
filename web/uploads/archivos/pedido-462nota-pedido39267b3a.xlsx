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PARO\Documents\Amparo Clientes\HOSPITAL\SECRETARIA DE COMPRAS\ARCO EN C\"/>
    </mc:Choice>
  </mc:AlternateContent>
  <bookViews>
    <workbookView xWindow="0" yWindow="0" windowWidth="20490" windowHeight="765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NotaPedido'!$A$1:$K$16</definedName>
    <definedName name="_xlnm.Print_Area" localSheetId="2">'Autor Gastar'!$A$1:$Q$27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3" l="1"/>
  <c r="D7" i="2"/>
  <c r="D3" i="2"/>
  <c r="G4" i="3" s="1"/>
  <c r="D4" i="2"/>
  <c r="G5" i="3" s="1"/>
  <c r="A10" i="3" l="1"/>
  <c r="D1" i="3"/>
  <c r="I10" i="1"/>
  <c r="Q23" i="3" s="1"/>
  <c r="J16" i="2" l="1"/>
</calcChain>
</file>

<file path=xl/sharedStrings.xml><?xml version="1.0" encoding="utf-8"?>
<sst xmlns="http://schemas.openxmlformats.org/spreadsheetml/2006/main" count="93" uniqueCount="80">
  <si>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</si>
  <si>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</si>
  <si>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</si>
  <si>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</si>
  <si>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</si>
  <si>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</si>
  <si>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</si>
  <si>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</si>
  <si>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</si>
  <si>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</si>
  <si>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</si>
  <si>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</si>
  <si>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</si>
  <si>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</si>
  <si>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</si>
  <si>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</si>
  <si>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</si>
  <si>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</si>
  <si>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</si>
  <si>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</si>
  <si>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</si>
  <si>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</si>
  <si>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</si>
  <si>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</si>
  <si>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</si>
  <si>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</si>
  <si>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</si>
  <si>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</si>
  <si>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</si>
  <si>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</si>
  <si>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</si>
  <si>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</si>
  <si>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</si>
  <si>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</si>
  <si>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</si>
  <si>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</si>
  <si>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</si>
  <si>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</si>
  <si>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</si>
  <si>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</si>
  <si>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</si>
  <si>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</si>
  <si>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</si>
  <si>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</si>
  <si>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</si>
  <si>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</si>
  <si>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</si>
  <si>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</si>
  <si>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</si>
  <si>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</si>
  <si>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</si>
  <si>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</si>
  <si>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</si>
  <si>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</si>
  <si>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</si>
  <si>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</si>
  <si>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</si>
  <si>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</si>
  <si>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</si>
  <si>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</si>
  <si>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</si>
  <si>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Plazo de Mnatenimiento de Oferta: 30 dias</t>
  </si>
  <si>
    <t>1.1</t>
  </si>
  <si>
    <t>SISTEMA DE RAYOS CON BRAZO EN C- Generador de rayos X, 40Hz de alta frecuencia; generador de 2.5kw, hasta 110kvp; alto nivel de fluoruro continuo (HLF) hasta 12 mA, hasta 20 mA de exposicion a pelicula radiografica (10 mA para 100-120 V), Fluororscopia pulsada de hasta 25 Ma).</t>
  </si>
  <si>
    <t>SI</t>
  </si>
  <si>
    <t>UNIDAD</t>
  </si>
  <si>
    <t>Adquisición de Equipo: Sistema de Rayos con Brazo en C</t>
  </si>
  <si>
    <t>264 - Dirección General</t>
  </si>
  <si>
    <t>347/2020</t>
  </si>
  <si>
    <t>Costo total estimado: Diez millones doscientos veintinueve mil cuatroscientos veintisiete con 00/100.-</t>
  </si>
  <si>
    <t>Equipo Sanitario y de Laboratorio</t>
  </si>
  <si>
    <t>Adquisición de Sistema de Rayos con brazo en C destinado al quirofano de emergencias del Hospital Interzonal San Juan Bautista.</t>
  </si>
  <si>
    <t>Direccion General</t>
  </si>
  <si>
    <t>EQUIPOS DE RAYOS X; USO: DIAG. E INTERVENCION. X IMAGEN, FRECUENCIA: ALTA, REGULACION: AUTOMATICA, COMANDOS: ELECTRICO, AMPLIACION DE APLIQUE: ARCO EN C, COMANDO: ELECTRICO</t>
  </si>
  <si>
    <t>4.3.3-4084.6</t>
  </si>
  <si>
    <t>4.3.3</t>
  </si>
  <si>
    <t>EQUIPOS</t>
  </si>
  <si>
    <t>TOTAL DE PESOS: DIEZ MILLONES DOSCIENTOS VEINTINUEVE MIL CUATROCIENTOS VEINTISIETE CON 00/100.----</t>
  </si>
  <si>
    <t>Plazo de entrega: 5 días
Lugar de entrega: Deposito Central, Hospital Interzonal San Juan Bautista</t>
  </si>
  <si>
    <t xml:space="preserve">Servicio de Quirofano Central y Emergencias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</si>
</sst>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333333"/>
      <name val="Arial"/>
      <family val="2"/>
    </font>
    <font>
      <b/>
      <sz val="9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6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9" xfId="0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3" fontId="4" fillId="0" borderId="29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3" fontId="4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9" xfId="0" applyBorder="1"/>
    <xf numFmtId="0" fontId="0" fillId="0" borderId="36" xfId="0" applyBorder="1"/>
    <xf numFmtId="0" fontId="0" fillId="0" borderId="21" xfId="0" applyBorder="1"/>
    <xf numFmtId="0" fontId="0" fillId="0" borderId="21" xfId="0" applyBorder="1" applyAlignment="1">
      <alignment horizontal="left"/>
    </xf>
    <xf numFmtId="0" fontId="0" fillId="0" borderId="37" xfId="0" applyBorder="1"/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66" fontId="0" fillId="0" borderId="50" xfId="3" applyNumberFormat="1" applyFont="1" applyBorder="1" applyAlignment="1" applyProtection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6" fontId="0" fillId="0" borderId="54" xfId="3" applyNumberFormat="1" applyFont="1" applyBorder="1" applyAlignment="1" applyProtection="1">
      <alignment horizontal="center" vertical="center"/>
    </xf>
    <xf numFmtId="166" fontId="14" fillId="0" borderId="55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center" wrapText="1"/>
    </xf>
    <xf numFmtId="0" fontId="19" fillId="0" borderId="7" xfId="0" applyFont="1" applyBorder="1" applyAlignment="1">
      <alignment horizontal="right" wrapText="1"/>
    </xf>
    <xf numFmtId="0" fontId="21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center" wrapText="1"/>
    </xf>
    <xf numFmtId="0" fontId="19" fillId="0" borderId="10" xfId="0" applyFont="1" applyBorder="1" applyAlignment="1">
      <alignment horizontal="right" wrapText="1"/>
    </xf>
    <xf numFmtId="0" fontId="23" fillId="0" borderId="11" xfId="0" applyFont="1" applyBorder="1"/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/>
    <xf numFmtId="0" fontId="16" fillId="0" borderId="0" xfId="0" applyFont="1" applyBorder="1"/>
    <xf numFmtId="0" fontId="16" fillId="0" borderId="15" xfId="0" applyFont="1" applyBorder="1"/>
    <xf numFmtId="0" fontId="23" fillId="0" borderId="14" xfId="0" applyFont="1" applyBorder="1" applyAlignment="1">
      <alignment horizontal="left" indent="3"/>
    </xf>
    <xf numFmtId="0" fontId="16" fillId="0" borderId="14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0" fontId="16" fillId="0" borderId="16" xfId="0" applyFont="1" applyBorder="1" applyAlignment="1">
      <alignment horizontal="left" indent="3"/>
    </xf>
    <xf numFmtId="0" fontId="16" fillId="0" borderId="17" xfId="0" applyFont="1" applyBorder="1"/>
    <xf numFmtId="0" fontId="16" fillId="0" borderId="18" xfId="0" applyFont="1" applyBorder="1"/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5" fillId="0" borderId="43" xfId="0" applyFont="1" applyFill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166" fontId="4" fillId="0" borderId="28" xfId="1" applyNumberFormat="1" applyFont="1" applyFill="1" applyBorder="1" applyAlignment="1" applyProtection="1">
      <alignment horizontal="right" vertical="center" wrapText="1"/>
    </xf>
    <xf numFmtId="3" fontId="4" fillId="0" borderId="28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2" fillId="0" borderId="4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/>
    </xf>
    <xf numFmtId="166" fontId="21" fillId="0" borderId="4" xfId="1" applyNumberFormat="1" applyFont="1" applyFill="1" applyBorder="1" applyAlignment="1" applyProtection="1">
      <alignment horizontal="center" vertical="center" wrapText="1"/>
    </xf>
    <xf numFmtId="166" fontId="21" fillId="0" borderId="59" xfId="1" applyNumberFormat="1" applyFont="1" applyFill="1" applyBorder="1" applyAlignment="1" applyProtection="1">
      <alignment horizontal="right" vertical="center" wrapText="1"/>
    </xf>
    <xf numFmtId="0" fontId="26" fillId="0" borderId="6" xfId="0" applyFont="1" applyBorder="1"/>
    <xf numFmtId="0" fontId="4" fillId="0" borderId="60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wrapText="1"/>
    </xf>
    <xf numFmtId="0" fontId="16" fillId="3" borderId="15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left" wrapText="1"/>
    </xf>
    <xf numFmtId="0" fontId="16" fillId="4" borderId="0" xfId="0" applyFont="1" applyFill="1" applyBorder="1" applyAlignment="1">
      <alignment horizontal="left"/>
    </xf>
    <xf numFmtId="0" fontId="16" fillId="4" borderId="15" xfId="0" applyFont="1" applyFill="1" applyBorder="1" applyAlignment="1">
      <alignment horizontal="left"/>
    </xf>
    <xf numFmtId="0" fontId="18" fillId="0" borderId="0" xfId="0" applyFont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23" xfId="0" applyFont="1" applyBorder="1" applyAlignment="1">
      <alignment horizontal="left" vertical="center" wrapText="1" indent="1"/>
    </xf>
    <xf numFmtId="167" fontId="7" fillId="0" borderId="23" xfId="0" applyNumberFormat="1" applyFont="1" applyBorder="1" applyAlignment="1">
      <alignment horizontal="center" vertical="center"/>
    </xf>
    <xf numFmtId="0" fontId="4" fillId="0" borderId="61" xfId="0" applyFont="1" applyFill="1" applyBorder="1" applyAlignment="1">
      <alignment horizontal="left" vertical="center" wrapText="1"/>
    </xf>
    <xf numFmtId="0" fontId="4" fillId="0" borderId="62" xfId="0" applyFont="1" applyFill="1" applyBorder="1" applyAlignment="1">
      <alignment horizontal="left" vertical="center" wrapText="1"/>
    </xf>
    <xf numFmtId="0" fontId="4" fillId="0" borderId="63" xfId="0" applyFont="1" applyFill="1" applyBorder="1" applyAlignment="1">
      <alignment horizontal="left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/>
    </xf>
    <xf numFmtId="0" fontId="6" fillId="0" borderId="26" xfId="0" applyFont="1" applyFill="1" applyBorder="1" applyAlignment="1">
      <alignment horizontal="left" vertical="center" wrapText="1" indent="1"/>
    </xf>
    <xf numFmtId="0" fontId="8" fillId="0" borderId="2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6" fillId="0" borderId="23" xfId="0" applyFont="1" applyFill="1" applyBorder="1" applyAlignment="1">
      <alignment horizontal="left" vertical="center" wrapText="1" indent="1"/>
    </xf>
    <xf numFmtId="0" fontId="7" fillId="0" borderId="24" xfId="0" applyFont="1" applyBorder="1" applyAlignment="1">
      <alignment horizontal="left" vertical="center" wrapText="1"/>
    </xf>
    <xf numFmtId="0" fontId="10" fillId="0" borderId="31" xfId="0" applyFont="1" applyBorder="1" applyAlignment="1">
      <alignment vertical="center" wrapText="1"/>
    </xf>
    <xf numFmtId="0" fontId="10" fillId="0" borderId="56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5" xfId="0" applyFont="1" applyFill="1" applyBorder="1" applyAlignment="1">
      <alignment horizontal="left" vertical="center" wrapText="1" indent="1"/>
    </xf>
    <xf numFmtId="0" fontId="0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27" fillId="0" borderId="55" xfId="0" applyFont="1" applyBorder="1" applyAlignment="1">
      <alignment horizontal="left" vertical="center" wrapText="1"/>
    </xf>
    <xf numFmtId="0" fontId="0" fillId="0" borderId="33" xfId="0" applyBorder="1"/>
    <xf numFmtId="0" fontId="15" fillId="0" borderId="43" xfId="0" applyFont="1" applyBorder="1" applyAlignment="1">
      <alignment horizontal="left" vertical="center" wrapText="1"/>
    </xf>
    <xf numFmtId="0" fontId="0" fillId="0" borderId="43" xfId="0" applyFont="1" applyBorder="1" applyAlignment="1">
      <alignment horizontal="left" vertical="center" wrapText="1"/>
    </xf>
    <xf numFmtId="0" fontId="12" fillId="0" borderId="34" xfId="0" applyFont="1" applyBorder="1"/>
    <xf numFmtId="0" fontId="12" fillId="0" borderId="35" xfId="0" applyFont="1" applyBorder="1" applyAlignment="1">
      <alignment horizontal="left" vertical="center" wrapText="1" indent="1"/>
    </xf>
    <xf numFmtId="0" fontId="14" fillId="0" borderId="33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indent="1"/>
    </xf>
    <xf numFmtId="0" fontId="13" fillId="0" borderId="20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1" fontId="10" fillId="0" borderId="32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 vertical="center" wrapText="1"/>
    </xf>
    <xf numFmtId="0" fontId="2" fillId="0" borderId="20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workbookViewId="0">
      <selection activeCell="B12" sqref="B12"/>
    </sheetView>
  </sheetViews>
  <sheetFormatPr baseColWidth="10" defaultColWidth="11" defaultRowHeight="12.75" x14ac:dyDescent="0.2"/>
  <cols>
    <col min="1" max="1" width="4.5703125" style="49" customWidth="1"/>
    <col min="2" max="2" width="12.7109375" style="49" customWidth="1"/>
    <col min="3" max="3" width="32.42578125" style="49" customWidth="1"/>
    <col min="4" max="4" width="8.42578125" style="49" customWidth="1"/>
    <col min="5" max="5" width="77.85546875" style="49" customWidth="1"/>
    <col min="6" max="6" width="12.42578125" style="49" customWidth="1"/>
    <col min="7" max="7" width="12.7109375" style="49" customWidth="1"/>
    <col min="8" max="8" width="13.85546875" style="49" customWidth="1"/>
    <col min="9" max="9" width="18.5703125" style="49" customWidth="1"/>
    <col min="10" max="16384" width="11" style="49"/>
  </cols>
  <sheetData>
    <row r="2" spans="1:9" ht="27" x14ac:dyDescent="0.35">
      <c r="B2" s="104" t="s">
        <v>0</v>
      </c>
      <c r="C2" s="104"/>
      <c r="D2" s="104"/>
      <c r="E2" s="104"/>
      <c r="F2" s="104"/>
      <c r="G2" s="104"/>
      <c r="H2" s="104"/>
    </row>
    <row r="4" spans="1:9" ht="18" customHeight="1" x14ac:dyDescent="0.25">
      <c r="A4" s="101" t="s">
        <v>1</v>
      </c>
      <c r="B4" s="101"/>
      <c r="C4" s="105" t="s">
        <v>58</v>
      </c>
      <c r="D4" s="105"/>
      <c r="E4" s="105"/>
      <c r="F4" s="50"/>
      <c r="G4" s="51"/>
      <c r="H4" s="50"/>
    </row>
    <row r="5" spans="1:9" ht="18" customHeight="1" x14ac:dyDescent="0.25">
      <c r="A5" s="101" t="s">
        <v>2</v>
      </c>
      <c r="B5" s="101"/>
      <c r="C5" s="105" t="s">
        <v>59</v>
      </c>
      <c r="D5" s="105"/>
      <c r="E5" s="105"/>
      <c r="F5" s="50"/>
      <c r="G5" s="51"/>
      <c r="H5" s="50"/>
    </row>
    <row r="6" spans="1:9" ht="16.5" customHeight="1" x14ac:dyDescent="0.25">
      <c r="A6" s="101" t="s">
        <v>3</v>
      </c>
      <c r="B6" s="101"/>
      <c r="C6" s="86">
        <v>2020</v>
      </c>
      <c r="D6" s="87"/>
      <c r="E6" s="87"/>
      <c r="F6" s="50"/>
      <c r="G6" s="51"/>
      <c r="H6" s="50"/>
    </row>
    <row r="7" spans="1:9" ht="16.5" customHeight="1" x14ac:dyDescent="0.25">
      <c r="A7" s="101" t="s">
        <v>4</v>
      </c>
      <c r="B7" s="101"/>
      <c r="C7" s="86">
        <v>4</v>
      </c>
      <c r="D7" s="87"/>
      <c r="E7" s="87"/>
      <c r="F7" s="50"/>
      <c r="G7" s="51"/>
      <c r="H7" s="50"/>
    </row>
    <row r="8" spans="1:9" x14ac:dyDescent="0.2">
      <c r="B8" s="50"/>
      <c r="C8" s="51"/>
      <c r="D8" s="50"/>
      <c r="E8" s="50"/>
      <c r="F8" s="50"/>
      <c r="G8" s="51"/>
      <c r="H8" s="50"/>
    </row>
    <row r="9" spans="1:9" ht="39.75" thickTop="1" thickBot="1" x14ac:dyDescent="0.25">
      <c r="A9" s="52" t="s">
        <v>5</v>
      </c>
      <c r="B9" s="52" t="s">
        <v>6</v>
      </c>
      <c r="C9" s="52" t="s">
        <v>7</v>
      </c>
      <c r="D9" s="52" t="s">
        <v>8</v>
      </c>
      <c r="E9" s="52" t="s">
        <v>9</v>
      </c>
      <c r="F9" s="52" t="s">
        <v>10</v>
      </c>
      <c r="G9" s="52" t="s">
        <v>11</v>
      </c>
      <c r="H9" s="52" t="s">
        <v>12</v>
      </c>
      <c r="I9" s="52" t="s">
        <v>13</v>
      </c>
    </row>
    <row r="10" spans="1:9" ht="49.5" customHeight="1" x14ac:dyDescent="0.2">
      <c r="A10" s="53">
        <v>1</v>
      </c>
      <c r="B10" s="94" t="s">
        <v>74</v>
      </c>
      <c r="C10" s="94" t="s">
        <v>76</v>
      </c>
      <c r="D10" s="54" t="s">
        <v>75</v>
      </c>
      <c r="E10" s="95" t="s">
        <v>73</v>
      </c>
      <c r="F10" s="89" t="s">
        <v>65</v>
      </c>
      <c r="G10" s="88">
        <v>1</v>
      </c>
      <c r="H10" s="90">
        <v>10229427</v>
      </c>
      <c r="I10" s="91">
        <f>H10*G10</f>
        <v>10229427</v>
      </c>
    </row>
    <row r="11" spans="1:9" x14ac:dyDescent="0.2">
      <c r="A11" s="55">
        <v>3</v>
      </c>
      <c r="B11" s="56"/>
      <c r="C11" s="57"/>
      <c r="D11" s="56"/>
      <c r="E11" s="57"/>
      <c r="F11" s="58"/>
      <c r="G11" s="58"/>
      <c r="H11" s="58"/>
      <c r="I11" s="59"/>
    </row>
    <row r="12" spans="1:9" x14ac:dyDescent="0.2">
      <c r="A12" s="55">
        <v>4</v>
      </c>
      <c r="B12" s="56"/>
      <c r="C12" s="57"/>
      <c r="D12" s="56"/>
      <c r="E12" s="57"/>
      <c r="F12" s="58"/>
      <c r="G12" s="58"/>
      <c r="H12" s="58"/>
      <c r="I12" s="59"/>
    </row>
    <row r="13" spans="1:9" x14ac:dyDescent="0.2">
      <c r="A13" s="60">
        <v>5</v>
      </c>
      <c r="B13" s="61"/>
      <c r="C13" s="62"/>
      <c r="D13" s="61"/>
      <c r="E13" s="62"/>
      <c r="F13" s="63"/>
      <c r="G13" s="63"/>
      <c r="H13" s="63"/>
      <c r="I13" s="64"/>
    </row>
    <row r="16" spans="1:9" x14ac:dyDescent="0.2">
      <c r="B16" s="65" t="s">
        <v>14</v>
      </c>
      <c r="C16" s="66"/>
      <c r="D16" s="66"/>
      <c r="E16" s="67"/>
    </row>
    <row r="17" spans="2:5" ht="5.25" customHeight="1" x14ac:dyDescent="0.2">
      <c r="B17" s="68"/>
      <c r="C17" s="69"/>
      <c r="D17" s="69"/>
      <c r="E17" s="70"/>
    </row>
    <row r="18" spans="2:5" x14ac:dyDescent="0.2">
      <c r="B18" s="71" t="s">
        <v>15</v>
      </c>
      <c r="C18" s="69"/>
      <c r="D18" s="69"/>
      <c r="E18" s="70"/>
    </row>
    <row r="19" spans="2:5" ht="97.5" customHeight="1" x14ac:dyDescent="0.2">
      <c r="B19" s="71"/>
      <c r="C19" s="102" t="s">
        <v>63</v>
      </c>
      <c r="D19" s="102"/>
      <c r="E19" s="103"/>
    </row>
    <row r="20" spans="2:5" x14ac:dyDescent="0.2">
      <c r="B20" s="71" t="s">
        <v>16</v>
      </c>
      <c r="C20" s="69"/>
      <c r="D20" s="69"/>
      <c r="E20" s="70"/>
    </row>
    <row r="21" spans="2:5" ht="12.75" customHeight="1" x14ac:dyDescent="0.2">
      <c r="B21" s="72"/>
      <c r="C21" s="102" t="s">
        <v>78</v>
      </c>
      <c r="D21" s="102"/>
      <c r="E21" s="103"/>
    </row>
    <row r="22" spans="2:5" x14ac:dyDescent="0.2">
      <c r="B22" s="72"/>
      <c r="C22" s="102"/>
      <c r="D22" s="102"/>
      <c r="E22" s="103"/>
    </row>
    <row r="23" spans="2:5" x14ac:dyDescent="0.2">
      <c r="B23" s="71" t="s">
        <v>17</v>
      </c>
      <c r="C23" s="69"/>
      <c r="D23" s="69"/>
      <c r="E23" s="70"/>
    </row>
    <row r="24" spans="2:5" ht="26.25" customHeight="1" x14ac:dyDescent="0.2">
      <c r="B24" s="72"/>
      <c r="C24" s="97"/>
      <c r="D24" s="97"/>
      <c r="E24" s="97"/>
    </row>
    <row r="25" spans="2:5" x14ac:dyDescent="0.2">
      <c r="B25" s="71" t="s">
        <v>18</v>
      </c>
      <c r="C25" s="73"/>
      <c r="D25" s="73"/>
      <c r="E25" s="74"/>
    </row>
    <row r="26" spans="2:5" ht="14.25" customHeight="1" x14ac:dyDescent="0.2">
      <c r="B26" s="72"/>
      <c r="C26" s="98" t="s">
        <v>61</v>
      </c>
      <c r="D26" s="98"/>
      <c r="E26" s="98"/>
    </row>
    <row r="27" spans="2:5" x14ac:dyDescent="0.2">
      <c r="B27" s="71" t="s">
        <v>19</v>
      </c>
      <c r="C27" s="69"/>
      <c r="D27" s="69"/>
      <c r="E27" s="70"/>
    </row>
    <row r="28" spans="2:5" ht="23.25" customHeight="1" x14ac:dyDescent="0.2">
      <c r="B28" s="71"/>
      <c r="C28" s="99"/>
      <c r="D28" s="99"/>
      <c r="E28" s="100"/>
    </row>
    <row r="29" spans="2:5" x14ac:dyDescent="0.2">
      <c r="B29" s="75"/>
      <c r="C29" s="76"/>
      <c r="D29" s="76"/>
      <c r="E29" s="77"/>
    </row>
    <row r="31" spans="2:5" x14ac:dyDescent="0.2">
      <c r="B31" s="65" t="s">
        <v>20</v>
      </c>
      <c r="C31" s="66"/>
      <c r="D31" s="66"/>
      <c r="E31" s="67"/>
    </row>
    <row r="32" spans="2:5" ht="7.5" customHeight="1" x14ac:dyDescent="0.2">
      <c r="B32" s="68"/>
      <c r="C32" s="69"/>
      <c r="D32" s="69"/>
      <c r="E32" s="70"/>
    </row>
    <row r="33" spans="2:5" x14ac:dyDescent="0.2">
      <c r="B33" s="71" t="s">
        <v>15</v>
      </c>
      <c r="C33" s="69"/>
      <c r="D33" s="69"/>
      <c r="E33" s="70"/>
    </row>
    <row r="34" spans="2:5" ht="39" customHeight="1" x14ac:dyDescent="0.2">
      <c r="B34" s="71"/>
      <c r="C34" s="97"/>
      <c r="D34" s="97"/>
      <c r="E34" s="97"/>
    </row>
    <row r="35" spans="2:5" x14ac:dyDescent="0.2">
      <c r="B35" s="71" t="s">
        <v>16</v>
      </c>
      <c r="C35" s="69"/>
      <c r="D35" s="69"/>
      <c r="E35" s="70"/>
    </row>
    <row r="36" spans="2:5" x14ac:dyDescent="0.2">
      <c r="B36" s="72"/>
      <c r="C36" s="96"/>
      <c r="D36" s="96"/>
      <c r="E36" s="96"/>
    </row>
    <row r="37" spans="2:5" x14ac:dyDescent="0.2">
      <c r="B37" s="72"/>
      <c r="C37" s="96"/>
      <c r="D37" s="96"/>
      <c r="E37" s="96"/>
    </row>
    <row r="38" spans="2:5" x14ac:dyDescent="0.2">
      <c r="B38" s="71" t="s">
        <v>17</v>
      </c>
      <c r="C38" s="69"/>
      <c r="D38" s="69"/>
      <c r="E38" s="70"/>
    </row>
    <row r="39" spans="2:5" x14ac:dyDescent="0.2">
      <c r="B39" s="72"/>
      <c r="C39" s="97"/>
      <c r="D39" s="97"/>
      <c r="E39" s="97"/>
    </row>
    <row r="40" spans="2:5" x14ac:dyDescent="0.2">
      <c r="B40" s="71" t="s">
        <v>18</v>
      </c>
      <c r="C40" s="73"/>
      <c r="D40" s="73"/>
      <c r="E40" s="74"/>
    </row>
    <row r="41" spans="2:5" x14ac:dyDescent="0.2">
      <c r="B41" s="72"/>
      <c r="C41" s="97"/>
      <c r="D41" s="97"/>
      <c r="E41" s="97"/>
    </row>
    <row r="42" spans="2:5" x14ac:dyDescent="0.2">
      <c r="B42" s="71" t="s">
        <v>19</v>
      </c>
      <c r="C42" s="69"/>
      <c r="D42" s="69"/>
      <c r="E42" s="70"/>
    </row>
    <row r="43" spans="2:5" x14ac:dyDescent="0.2">
      <c r="B43" s="71"/>
      <c r="C43" s="96"/>
      <c r="D43" s="96"/>
      <c r="E43" s="96"/>
    </row>
    <row r="44" spans="2:5" x14ac:dyDescent="0.2">
      <c r="B44" s="75"/>
      <c r="C44" s="76"/>
      <c r="D44" s="76"/>
      <c r="E44" s="77"/>
    </row>
  </sheetData>
  <mergeCells count="18">
    <mergeCell ref="A6:B6"/>
    <mergeCell ref="A7:B7"/>
    <mergeCell ref="C19:E19"/>
    <mergeCell ref="C21:E22"/>
    <mergeCell ref="B2:H2"/>
    <mergeCell ref="A4:B4"/>
    <mergeCell ref="C4:E4"/>
    <mergeCell ref="A5:B5"/>
    <mergeCell ref="C5:E5"/>
    <mergeCell ref="C37:E37"/>
    <mergeCell ref="C39:E39"/>
    <mergeCell ref="C41:E41"/>
    <mergeCell ref="C43:E43"/>
    <mergeCell ref="C24:E24"/>
    <mergeCell ref="C26:E26"/>
    <mergeCell ref="C28:E28"/>
    <mergeCell ref="C34:E34"/>
    <mergeCell ref="C36:E3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16"/>
  <sheetViews>
    <sheetView workbookViewId="0">
      <selection activeCell="D7" sqref="D7:K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1" t="s">
        <v>21</v>
      </c>
      <c r="B1" s="121"/>
      <c r="C1" s="121"/>
      <c r="D1" s="121"/>
      <c r="E1" s="121"/>
      <c r="F1" s="121"/>
      <c r="G1" s="121"/>
      <c r="H1" s="121"/>
      <c r="I1" s="121"/>
      <c r="J1" s="3" t="s">
        <v>22</v>
      </c>
      <c r="K1" s="82" t="s">
        <v>68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2" t="s">
        <v>55</v>
      </c>
      <c r="B3" s="122"/>
      <c r="C3" s="122"/>
      <c r="D3" s="123" t="str">
        <f>'Necesidades Trimestrales'!C4</f>
        <v>40 - Ministerio de Salud</v>
      </c>
      <c r="E3" s="123"/>
      <c r="F3" s="123"/>
      <c r="G3" s="123"/>
      <c r="H3" s="123"/>
      <c r="I3" s="123"/>
      <c r="J3" s="123"/>
      <c r="K3" s="123"/>
    </row>
    <row r="4" spans="1:11" ht="18.75" customHeight="1" thickBot="1" x14ac:dyDescent="0.25">
      <c r="A4" s="124" t="s">
        <v>56</v>
      </c>
      <c r="B4" s="124"/>
      <c r="C4" s="124"/>
      <c r="D4" s="123" t="str">
        <f>'Necesidades Trimestrales'!C5</f>
        <v>23 - Hospital Interzonal San Juan Bautista</v>
      </c>
      <c r="E4" s="123"/>
      <c r="F4" s="123"/>
      <c r="G4" s="123"/>
      <c r="H4" s="123"/>
      <c r="I4" s="123"/>
      <c r="J4" s="123"/>
      <c r="K4" s="123"/>
    </row>
    <row r="5" spans="1:11" ht="18.75" customHeight="1" thickBot="1" x14ac:dyDescent="0.25">
      <c r="A5" s="124" t="s">
        <v>34</v>
      </c>
      <c r="B5" s="124"/>
      <c r="C5" s="124"/>
      <c r="D5" s="123" t="s">
        <v>67</v>
      </c>
      <c r="E5" s="123"/>
      <c r="F5" s="123"/>
      <c r="G5" s="123"/>
      <c r="H5" s="123"/>
      <c r="I5" s="123"/>
      <c r="J5" s="123"/>
      <c r="K5" s="123"/>
    </row>
    <row r="6" spans="1:11" ht="16.5" customHeight="1" thickBot="1" x14ac:dyDescent="0.25">
      <c r="A6" s="122" t="s">
        <v>57</v>
      </c>
      <c r="B6" s="122"/>
      <c r="C6" s="122"/>
      <c r="D6" s="123" t="s">
        <v>79</v>
      </c>
      <c r="E6" s="123"/>
      <c r="F6" s="123"/>
      <c r="G6" s="123"/>
      <c r="H6" s="123"/>
      <c r="I6" s="123"/>
      <c r="J6" s="123"/>
      <c r="K6" s="123"/>
    </row>
    <row r="7" spans="1:11" ht="16.5" customHeight="1" x14ac:dyDescent="0.2">
      <c r="A7" s="124" t="s">
        <v>23</v>
      </c>
      <c r="B7" s="124"/>
      <c r="C7" s="124"/>
      <c r="D7" s="123" t="str">
        <f>'Necesidades Trimestrales'!C7 &amp; "° Trimestre - Año " &amp; 'Necesidades Trimestrales'!C6</f>
        <v>4° Trimestre - Año 2020</v>
      </c>
      <c r="E7" s="123"/>
      <c r="F7" s="123"/>
      <c r="G7" s="123"/>
      <c r="H7" s="123"/>
      <c r="I7" s="123"/>
      <c r="J7" s="123"/>
      <c r="K7" s="123"/>
    </row>
    <row r="8" spans="1:11" ht="16.5" customHeight="1" x14ac:dyDescent="0.2">
      <c r="A8" s="116" t="s">
        <v>24</v>
      </c>
      <c r="B8" s="116"/>
      <c r="C8" s="116"/>
      <c r="D8" s="117" t="s">
        <v>66</v>
      </c>
      <c r="E8" s="117"/>
      <c r="F8" s="117"/>
      <c r="G8" s="117"/>
      <c r="H8" s="117"/>
      <c r="I8" s="117"/>
      <c r="J8" s="117"/>
      <c r="K8" s="11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8" t="s">
        <v>25</v>
      </c>
      <c r="B10" s="119" t="s">
        <v>26</v>
      </c>
      <c r="C10" s="119" t="s">
        <v>27</v>
      </c>
      <c r="D10" s="119"/>
      <c r="E10" s="119"/>
      <c r="F10" s="119"/>
      <c r="G10" s="119"/>
      <c r="H10" s="119" t="s">
        <v>28</v>
      </c>
      <c r="I10" s="119" t="s">
        <v>29</v>
      </c>
      <c r="J10" s="119" t="s">
        <v>30</v>
      </c>
      <c r="K10" s="120" t="s">
        <v>31</v>
      </c>
    </row>
    <row r="11" spans="1:11" ht="24" customHeight="1" thickBot="1" x14ac:dyDescent="0.25">
      <c r="A11" s="118"/>
      <c r="B11" s="119"/>
      <c r="C11" s="119"/>
      <c r="D11" s="119"/>
      <c r="E11" s="119"/>
      <c r="F11" s="119"/>
      <c r="G11" s="119"/>
      <c r="H11" s="119"/>
      <c r="I11" s="119"/>
      <c r="J11" s="119"/>
      <c r="K11" s="120"/>
    </row>
    <row r="12" spans="1:11" ht="43.5" customHeight="1" x14ac:dyDescent="0.2">
      <c r="A12" s="8">
        <v>1</v>
      </c>
      <c r="B12" s="94" t="s">
        <v>74</v>
      </c>
      <c r="C12" s="108" t="s">
        <v>73</v>
      </c>
      <c r="D12" s="109"/>
      <c r="E12" s="109"/>
      <c r="F12" s="109"/>
      <c r="G12" s="110"/>
      <c r="H12" s="83" t="s">
        <v>64</v>
      </c>
      <c r="I12" s="93" t="s">
        <v>65</v>
      </c>
      <c r="J12" s="84">
        <v>10229427</v>
      </c>
      <c r="K12" s="85">
        <v>1</v>
      </c>
    </row>
    <row r="13" spans="1:11" ht="20.25" customHeight="1" x14ac:dyDescent="0.2">
      <c r="A13" s="9">
        <v>3</v>
      </c>
      <c r="B13" s="92"/>
      <c r="C13" s="111"/>
      <c r="D13" s="112"/>
      <c r="E13" s="112"/>
      <c r="F13" s="112"/>
      <c r="G13" s="113"/>
      <c r="H13" s="11"/>
      <c r="I13" s="12"/>
      <c r="J13" s="12"/>
      <c r="K13" s="13"/>
    </row>
    <row r="14" spans="1:11" ht="20.25" customHeight="1" x14ac:dyDescent="0.2">
      <c r="A14" s="9">
        <v>4</v>
      </c>
      <c r="B14" s="10"/>
      <c r="C14" s="114"/>
      <c r="D14" s="114"/>
      <c r="E14" s="114"/>
      <c r="F14" s="114"/>
      <c r="G14" s="114"/>
      <c r="H14" s="11"/>
      <c r="I14" s="12"/>
      <c r="J14" s="12"/>
      <c r="K14" s="13"/>
    </row>
    <row r="15" spans="1:11" ht="20.25" customHeight="1" x14ac:dyDescent="0.2">
      <c r="A15" s="14">
        <v>5</v>
      </c>
      <c r="B15" s="15"/>
      <c r="C15" s="115"/>
      <c r="D15" s="115"/>
      <c r="E15" s="115"/>
      <c r="F15" s="115"/>
      <c r="G15" s="115"/>
      <c r="H15" s="16"/>
      <c r="I15" s="17"/>
      <c r="J15" s="17"/>
      <c r="K15" s="18"/>
    </row>
    <row r="16" spans="1:11" ht="20.25" customHeight="1" x14ac:dyDescent="0.2">
      <c r="A16" s="106" t="s">
        <v>69</v>
      </c>
      <c r="B16" s="106"/>
      <c r="C16" s="106"/>
      <c r="D16" s="106"/>
      <c r="E16" s="106"/>
      <c r="F16" s="106"/>
      <c r="G16" s="106"/>
      <c r="H16" s="106"/>
      <c r="I16" s="106"/>
      <c r="J16" s="107">
        <f>SUMPRODUCT(J12:J15,K12:K15)</f>
        <v>10229427</v>
      </c>
      <c r="K16" s="107"/>
    </row>
  </sheetData>
  <mergeCells count="2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6:I16"/>
    <mergeCell ref="J16:K16"/>
    <mergeCell ref="C12:G12"/>
    <mergeCell ref="C13:G13"/>
    <mergeCell ref="C14:G14"/>
    <mergeCell ref="C15:G15"/>
  </mergeCells>
  <printOptions horizontalCentered="1"/>
  <pageMargins left="0.19685039370078741" right="0.19685039370078741" top="0.98425196850393704" bottom="0.98425196850393704" header="0.51181102362204722" footer="0.51181102362204722"/>
  <pageSetup paperSize="5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7"/>
  <sheetViews>
    <sheetView tabSelected="1" topLeftCell="A7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9" customWidth="1"/>
    <col min="8" max="14" width="4.42578125" customWidth="1"/>
    <col min="15" max="15" width="14.85546875" customWidth="1"/>
    <col min="16" max="16" width="15" customWidth="1"/>
    <col min="17" max="17" width="14.7109375" customWidth="1"/>
  </cols>
  <sheetData>
    <row r="1" spans="1:17" ht="15.75" customHeight="1" x14ac:dyDescent="0.25">
      <c r="A1" s="148" t="s">
        <v>3</v>
      </c>
      <c r="B1" s="148"/>
      <c r="C1" s="148"/>
      <c r="D1" s="149">
        <f>'Necesidades Trimestrales'!C6</f>
        <v>2020</v>
      </c>
      <c r="E1" s="149"/>
      <c r="F1" s="20"/>
      <c r="G1" s="20"/>
      <c r="H1" s="21"/>
      <c r="I1" s="21"/>
      <c r="J1" s="21"/>
      <c r="K1" s="21"/>
      <c r="L1" s="21"/>
      <c r="M1" s="21"/>
      <c r="N1" s="21"/>
      <c r="P1" s="150" t="s">
        <v>32</v>
      </c>
      <c r="Q1" s="150"/>
    </row>
    <row r="2" spans="1:17" ht="15.75" customHeight="1" x14ac:dyDescent="0.2">
      <c r="H2" s="21"/>
      <c r="I2" s="21"/>
      <c r="J2" s="21"/>
      <c r="K2" s="21"/>
      <c r="L2" s="21"/>
      <c r="M2" s="21"/>
      <c r="N2" s="21"/>
      <c r="P2" s="150"/>
      <c r="Q2" s="150"/>
    </row>
    <row r="4" spans="1:17" s="22" customFormat="1" ht="18" customHeight="1" thickBot="1" x14ac:dyDescent="0.25">
      <c r="A4" s="151" t="s">
        <v>33</v>
      </c>
      <c r="B4" s="151"/>
      <c r="C4" s="151"/>
      <c r="D4" s="151"/>
      <c r="E4" s="151"/>
      <c r="F4" s="151"/>
      <c r="G4" s="146" t="str">
        <f>' NotaPedido'!D3</f>
        <v>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22" customFormat="1" ht="18" customHeight="1" thickBot="1" x14ac:dyDescent="0.25">
      <c r="A5" s="143" t="s">
        <v>56</v>
      </c>
      <c r="B5" s="144"/>
      <c r="C5" s="144"/>
      <c r="D5" s="144"/>
      <c r="E5" s="144"/>
      <c r="F5" s="145"/>
      <c r="G5" s="146" t="str">
        <f>' NotaPedido'!D4</f>
        <v>23 - Hospital Interzonal San Juan Bautista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22" customFormat="1" ht="18" customHeight="1" thickBot="1" x14ac:dyDescent="0.25">
      <c r="A6" s="143" t="s">
        <v>34</v>
      </c>
      <c r="B6" s="144"/>
      <c r="C6" s="144"/>
      <c r="D6" s="144"/>
      <c r="E6" s="144"/>
      <c r="F6" s="145"/>
      <c r="G6" s="146" t="str">
        <f>' NotaPedido'!D5</f>
        <v>264 - Dirección General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22" customFormat="1" ht="18" customHeight="1" thickBot="1" x14ac:dyDescent="0.25">
      <c r="A7" s="143" t="s">
        <v>57</v>
      </c>
      <c r="B7" s="144"/>
      <c r="C7" s="144"/>
      <c r="D7" s="144"/>
      <c r="E7" s="144"/>
      <c r="F7" s="145"/>
      <c r="G7" s="146" t="s">
        <v>72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 x14ac:dyDescent="0.25">
      <c r="A8" s="147" t="s">
        <v>35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</row>
    <row r="9" spans="1:17" ht="18" customHeight="1" x14ac:dyDescent="0.2">
      <c r="A9" s="137" t="s">
        <v>36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"/>
      <c r="P9" s="1"/>
      <c r="Q9" s="23"/>
    </row>
    <row r="10" spans="1:17" ht="54.75" customHeight="1" x14ac:dyDescent="0.2">
      <c r="A10" s="13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347/2020,  afectando la erogación resultante a los créditos presupuestarios aprobados a favor de esta Unidad Ejecutora, conforme al siguiente detalle: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9" customHeight="1" x14ac:dyDescent="0.2">
      <c r="A11" s="24"/>
      <c r="B11" s="25"/>
      <c r="C11" s="25"/>
      <c r="D11" s="25"/>
      <c r="E11" s="25"/>
      <c r="F11" s="25"/>
      <c r="G11" s="26"/>
      <c r="H11" s="25"/>
      <c r="I11" s="25"/>
      <c r="J11" s="25"/>
      <c r="K11" s="25"/>
      <c r="L11" s="25"/>
      <c r="M11" s="25"/>
      <c r="N11" s="25"/>
      <c r="O11" s="25"/>
      <c r="P11" s="25"/>
      <c r="Q11" s="27"/>
    </row>
    <row r="12" spans="1:17" ht="15.75" customHeight="1" x14ac:dyDescent="0.2">
      <c r="A12" s="139" t="s">
        <v>37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</row>
    <row r="13" spans="1:17" ht="15.75" customHeight="1" x14ac:dyDescent="0.2">
      <c r="A13" s="140" t="s">
        <v>38</v>
      </c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1" t="s">
        <v>39</v>
      </c>
      <c r="P13" s="141"/>
      <c r="Q13" s="142" t="s">
        <v>40</v>
      </c>
    </row>
    <row r="14" spans="1:17" ht="15.75" customHeight="1" x14ac:dyDescent="0.2">
      <c r="A14" s="28" t="s">
        <v>41</v>
      </c>
      <c r="B14" s="29" t="s">
        <v>42</v>
      </c>
      <c r="C14" s="29" t="s">
        <v>43</v>
      </c>
      <c r="D14" s="29" t="s">
        <v>44</v>
      </c>
      <c r="E14" s="29" t="s">
        <v>45</v>
      </c>
      <c r="F14" s="29" t="s">
        <v>46</v>
      </c>
      <c r="G14" s="30" t="s">
        <v>47</v>
      </c>
      <c r="H14" s="29" t="s">
        <v>48</v>
      </c>
      <c r="I14" s="29" t="s">
        <v>49</v>
      </c>
      <c r="J14" s="29" t="s">
        <v>50</v>
      </c>
      <c r="K14" s="29" t="s">
        <v>50</v>
      </c>
      <c r="L14" s="29" t="s">
        <v>51</v>
      </c>
      <c r="M14" s="31" t="s">
        <v>52</v>
      </c>
      <c r="N14" s="32" t="s">
        <v>53</v>
      </c>
      <c r="O14" s="141"/>
      <c r="P14" s="141"/>
      <c r="Q14" s="142"/>
    </row>
    <row r="15" spans="1:17" ht="17.25" customHeight="1" x14ac:dyDescent="0.2">
      <c r="A15" s="78">
        <v>33</v>
      </c>
      <c r="B15" s="79"/>
      <c r="C15" s="79"/>
      <c r="D15" s="79">
        <v>1</v>
      </c>
      <c r="E15" s="79"/>
      <c r="F15" s="79">
        <v>4901</v>
      </c>
      <c r="G15" s="79">
        <v>3</v>
      </c>
      <c r="H15" s="80" t="s">
        <v>60</v>
      </c>
      <c r="I15" s="79">
        <v>4</v>
      </c>
      <c r="J15" s="79">
        <v>3</v>
      </c>
      <c r="K15" s="79">
        <v>3</v>
      </c>
      <c r="L15" s="79">
        <v>0</v>
      </c>
      <c r="M15" s="81">
        <v>1</v>
      </c>
      <c r="N15" s="80" t="s">
        <v>62</v>
      </c>
      <c r="O15" s="135" t="s">
        <v>70</v>
      </c>
      <c r="P15" s="136"/>
      <c r="Q15" s="33">
        <v>10229427</v>
      </c>
    </row>
    <row r="16" spans="1:17" ht="17.25" customHeight="1" x14ac:dyDescent="0.2">
      <c r="A16" s="34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7"/>
      <c r="O16" s="130"/>
      <c r="P16" s="130"/>
      <c r="Q16" s="38"/>
    </row>
    <row r="17" spans="1:18" ht="17.25" customHeight="1" x14ac:dyDescent="0.2">
      <c r="A17" s="34"/>
      <c r="B17" s="35"/>
      <c r="C17" s="35"/>
      <c r="D17" s="35"/>
      <c r="E17" s="35"/>
      <c r="F17" s="37"/>
      <c r="G17" s="35"/>
      <c r="H17" s="35"/>
      <c r="I17" s="35"/>
      <c r="J17" s="35"/>
      <c r="K17" s="35"/>
      <c r="L17" s="35"/>
      <c r="M17" s="36"/>
      <c r="N17" s="37"/>
      <c r="O17" s="130"/>
      <c r="P17" s="130"/>
      <c r="Q17" s="38"/>
    </row>
    <row r="18" spans="1:18" ht="17.25" customHeight="1" x14ac:dyDescent="0.2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6"/>
      <c r="N18" s="37"/>
      <c r="O18" s="130"/>
      <c r="P18" s="130"/>
      <c r="Q18" s="38"/>
    </row>
    <row r="19" spans="1:18" ht="17.25" customHeight="1" x14ac:dyDescent="0.2">
      <c r="A19" s="34"/>
      <c r="B19" s="35"/>
      <c r="C19" s="35"/>
      <c r="D19" s="35"/>
      <c r="E19" s="35"/>
      <c r="F19" s="37"/>
      <c r="G19" s="35"/>
      <c r="H19" s="35"/>
      <c r="I19" s="35"/>
      <c r="J19" s="35"/>
      <c r="K19" s="35"/>
      <c r="L19" s="35"/>
      <c r="M19" s="36"/>
      <c r="N19" s="37"/>
      <c r="O19" s="130"/>
      <c r="P19" s="130"/>
      <c r="Q19" s="38"/>
    </row>
    <row r="20" spans="1:18" ht="17.25" customHeight="1" x14ac:dyDescent="0.2">
      <c r="A20" s="34"/>
      <c r="B20" s="35"/>
      <c r="C20" s="35"/>
      <c r="D20" s="35"/>
      <c r="E20" s="35"/>
      <c r="F20" s="37"/>
      <c r="G20" s="35"/>
      <c r="H20" s="35"/>
      <c r="I20" s="35"/>
      <c r="J20" s="35"/>
      <c r="K20" s="35"/>
      <c r="L20" s="35"/>
      <c r="M20" s="36"/>
      <c r="N20" s="37"/>
      <c r="O20" s="130"/>
      <c r="P20" s="130"/>
      <c r="Q20" s="38"/>
    </row>
    <row r="21" spans="1:18" ht="17.25" customHeight="1" x14ac:dyDescent="0.2">
      <c r="A21" s="39"/>
      <c r="B21" s="40"/>
      <c r="C21" s="40"/>
      <c r="D21" s="40"/>
      <c r="E21" s="40"/>
      <c r="F21" s="41"/>
      <c r="G21" s="40"/>
      <c r="H21" s="40"/>
      <c r="I21" s="40"/>
      <c r="J21" s="40"/>
      <c r="K21" s="40"/>
      <c r="L21" s="40"/>
      <c r="M21" s="42"/>
      <c r="N21" s="43"/>
      <c r="O21" s="131"/>
      <c r="P21" s="131"/>
      <c r="Q21" s="38"/>
      <c r="R21" s="1"/>
    </row>
    <row r="22" spans="1:18" ht="17.25" customHeight="1" x14ac:dyDescent="0.2">
      <c r="A22" s="44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6"/>
      <c r="N22" s="45"/>
      <c r="O22" s="132"/>
      <c r="P22" s="132"/>
      <c r="Q22" s="47"/>
    </row>
    <row r="23" spans="1:18" ht="32.25" customHeight="1" x14ac:dyDescent="0.2">
      <c r="A23" s="133" t="s">
        <v>77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48">
        <f>SUM(Q15:Q22)</f>
        <v>10229427</v>
      </c>
    </row>
    <row r="24" spans="1:18" ht="18" customHeight="1" thickBot="1" x14ac:dyDescent="0.25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</row>
    <row r="25" spans="1:18" ht="17.25" customHeight="1" thickBot="1" x14ac:dyDescent="0.25">
      <c r="A25" s="125" t="s">
        <v>54</v>
      </c>
      <c r="B25" s="126"/>
      <c r="C25" s="126"/>
      <c r="D25" s="126"/>
      <c r="E25" s="126"/>
      <c r="F25" s="127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spans="1:18" ht="18" customHeight="1" thickBot="1" x14ac:dyDescent="0.25">
      <c r="A26" s="129" t="s">
        <v>71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</row>
    <row r="27" spans="1:18" ht="15" customHeight="1" x14ac:dyDescent="0.2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3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Dir-Admi</dc:creator>
  <cp:lastModifiedBy>AMPARO</cp:lastModifiedBy>
  <cp:revision>2</cp:revision>
  <cp:lastPrinted>2020-07-22T14:48:56Z</cp:lastPrinted>
  <dcterms:created xsi:type="dcterms:W3CDTF">2020-07-17T23:44:49Z</dcterms:created>
  <dcterms:modified xsi:type="dcterms:W3CDTF">2020-11-10T23:39:36Z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