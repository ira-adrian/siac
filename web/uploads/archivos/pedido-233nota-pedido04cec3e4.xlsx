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861715D3-DC2C-4F8E-ACAC-90A66DE09F8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bustible" sheetId="1" r:id="rId1"/>
    <sheet name="NPyE" sheetId="2" r:id="rId2"/>
    <sheet name="APG" sheetId="3" r:id="rId3"/>
  </sheets>
  <externalReferences>
    <externalReference r:id="rId4"/>
    <externalReference r:id="rId5"/>
  </externalReferenc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3" i="3" l="1"/>
  <c r="G7" i="3"/>
  <c r="G6" i="3"/>
  <c r="G5" i="3"/>
  <c r="G4" i="3"/>
  <c r="J27" i="2"/>
  <c r="D4" i="2"/>
  <c r="D3" i="2"/>
  <c r="I11" i="1"/>
  <c r="I10" i="1"/>
  <c r="I12" i="1" s="1"/>
</calcChain>
</file>

<file path=xl/sharedStrings.xml><?xml version="1.0" encoding="utf-8"?>
<sst xmlns="http://schemas.openxmlformats.org/spreadsheetml/2006/main" count="108" uniqueCount="85">
  <si>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</si>
  <si>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</si>
  <si>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</si>
  <si>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</si>
  <si>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</si>
  <si>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</si>
  <si>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</si>
  <si>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</si>
  <si>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</si>
  <si>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</si>
  <si>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</si>
  <si>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</si>
  <si>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</si>
  <si>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</si>
  <si>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</si>
  <si>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</si>
  <si>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2.5.6-797.21</t>
  </si>
  <si>
    <t>COMBUSTIBLES Y LUBRICANTES</t>
  </si>
  <si>
    <t>NAFTA SUPER</t>
  </si>
  <si>
    <t>NAFTA SUPER; TIPO: ULTRA GRADO 3, OCTANO: 98, PRESENTACION: POR LITRO, DESTINO: SIN VALOR</t>
  </si>
  <si>
    <t>LITROS</t>
  </si>
  <si>
    <t>2.5.6-793.16</t>
  </si>
  <si>
    <t>GAS OIL</t>
  </si>
  <si>
    <t>GAS OIL; PRESENTACION: POR LITRO, DESTINO: SIN VALOR, USO: SIN VALOR</t>
  </si>
  <si>
    <t>Especificidades Item N° 1:</t>
  </si>
  <si>
    <t>Descripción técnica</t>
  </si>
  <si>
    <t>Plazos y lugares de entrega</t>
  </si>
  <si>
    <t xml:space="preserve">10 DIAS </t>
  </si>
  <si>
    <t>RUTA 38 MIRAFLORES DPTO CAPAYAN</t>
  </si>
  <si>
    <t xml:space="preserve">BOCA DE EXPENDIO:   </t>
  </si>
  <si>
    <t>DPTO CAPITAL SAN FERNANDO DEL VALLE DE CATAMARCA</t>
  </si>
  <si>
    <t>Calidad Minima esperada</t>
  </si>
  <si>
    <t>Mantenimiento</t>
  </si>
  <si>
    <t xml:space="preserve">45 DIAS </t>
  </si>
  <si>
    <t>Garantia</t>
  </si>
  <si>
    <t>Especificidades Item N° 2:</t>
  </si>
  <si>
    <t>NOTA DE PEDIDO</t>
  </si>
  <si>
    <t>N°</t>
  </si>
  <si>
    <t>1/2021</t>
  </si>
  <si>
    <t xml:space="preserve">JURISDICCIÓN: </t>
  </si>
  <si>
    <t>SAF:</t>
  </si>
  <si>
    <t>UNIDAD EJECUTORA:</t>
  </si>
  <si>
    <t>Direccion General Servicio Penitenciario Provincial</t>
  </si>
  <si>
    <t xml:space="preserve">DEPENDENCIA SOLICITANTE: </t>
  </si>
  <si>
    <t>Logistica</t>
  </si>
  <si>
    <t>PERIODO UTILIZACIÓN:</t>
  </si>
  <si>
    <t>1° Trimestre -2021</t>
  </si>
  <si>
    <t>OBJETO:</t>
  </si>
  <si>
    <t>Adq de combustible con destino al normal funcionamiento del parque automotor de la institución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</si>
  <si>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</si>
  <si>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</si>
  <si>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</si>
  <si>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</si>
  <si>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</si>
  <si>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</si>
  <si>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</si>
  <si>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</si>
  <si>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</si>
  <si>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</si>
  <si>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</si>
  <si>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</si>
  <si>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</si>
  <si>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Nota  de Pedido N° 01/2021, 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</si>
  <si>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</si>
  <si>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</si>
  <si>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</si>
  <si>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</si>
  <si>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</si>
  <si>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</si>
  <si>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</si>
  <si>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</si>
  <si>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</si>
  <si>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</si>
  <si>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</si>
  <si>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</si>
  <si>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</si>
  <si>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</si>
  <si>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</si>
  <si>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</si>
  <si>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</si>
  <si>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</si>
  <si>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Combustibles y Lubricantes</t>
  </si>
  <si>
    <t>TOTAL DE PESOS: Dos Millones Setecientos Ochocientos Ochenta y Ocho Mil Doscientos con 00/100</t>
  </si>
  <si>
    <t>JUSTIFICACIÓN:</t>
  </si>
  <si>
    <t>Adquisicion de combustibles con destino al normal funcionamiento del parque automotor del la Institucion.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</si>
</sst>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&quot;$ &quot;* #,##0.00_-;&quot;-$ &quot;* #,##0.00_-;_-&quot;$ &quot;* \-??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/>
      <sz val="22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u/>
      <sz val="10"/>
      <name val="Times New Roman"/>
      <family val="1"/>
      <charset val="1"/>
    </font>
    <font>
      <sz val="1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3D3D3D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</borders>
  <cellStyleXfs count="3">
    <xf numFmtId="0" fontId="0" fillId="0" borderId="0"/>
    <xf numFmtId="165" fontId="22" fillId="0" borderId="0" applyBorder="0" applyProtection="0"/>
    <xf numFmtId="164" fontId="1" fillId="0" borderId="0" applyBorder="0" applyProtection="0"/>
  </cellStyleXfs>
  <cellXfs count="129">
    <xf numFmtId="0" fontId="0" fillId="0" borderId="0" xfId="0"/>
    <xf numFmtId="0" fontId="15" fillId="0" borderId="19" xfId="0" applyFont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 wrapText="1" indent="1"/>
    </xf>
    <xf numFmtId="0" fontId="14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 indent="1"/>
    </xf>
    <xf numFmtId="0" fontId="14" fillId="0" borderId="1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2" borderId="9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left" wrapText="1" inden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166" fontId="8" fillId="0" borderId="4" xfId="1" applyNumberFormat="1" applyFont="1" applyBorder="1" applyAlignment="1" applyProtection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6" fontId="8" fillId="0" borderId="3" xfId="1" applyNumberFormat="1" applyFont="1" applyBorder="1" applyAlignment="1" applyProtection="1">
      <alignment horizontal="right" vertical="center" wrapText="1"/>
    </xf>
    <xf numFmtId="0" fontId="10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0" fillId="0" borderId="8" xfId="0" applyFont="1" applyBorder="1" applyAlignment="1">
      <alignment horizontal="left" indent="4"/>
    </xf>
    <xf numFmtId="0" fontId="2" fillId="0" borderId="8" xfId="0" applyFont="1" applyBorder="1" applyAlignment="1">
      <alignment horizontal="left" indent="4"/>
    </xf>
    <xf numFmtId="0" fontId="11" fillId="0" borderId="0" xfId="0" applyFont="1"/>
    <xf numFmtId="0" fontId="2" fillId="0" borderId="0" xfId="0" applyFont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left" indent="4"/>
    </xf>
    <xf numFmtId="0" fontId="2" fillId="0" borderId="11" xfId="0" applyFont="1" applyBorder="1"/>
    <xf numFmtId="0" fontId="2" fillId="0" borderId="12" xfId="0" applyFont="1" applyBorder="1"/>
    <xf numFmtId="0" fontId="1" fillId="0" borderId="0" xfId="0" applyFont="1" applyAlignment="1">
      <alignment vertical="center"/>
    </xf>
    <xf numFmtId="0" fontId="12" fillId="0" borderId="13" xfId="0" applyFont="1" applyBorder="1" applyAlignment="1">
      <alignment horizontal="right" vertical="center"/>
    </xf>
    <xf numFmtId="49" fontId="13" fillId="2" borderId="14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2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166" fontId="2" fillId="2" borderId="22" xfId="1" applyNumberFormat="1" applyFont="1" applyFill="1" applyBorder="1" applyAlignment="1" applyProtection="1">
      <alignment horizontal="right" vertical="center" wrapText="1"/>
    </xf>
    <xf numFmtId="3" fontId="2" fillId="2" borderId="22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3" fontId="17" fillId="0" borderId="0" xfId="0" applyNumberFormat="1" applyFont="1"/>
    <xf numFmtId="168" fontId="0" fillId="0" borderId="0" xfId="0" applyNumberFormat="1" applyAlignment="1">
      <alignment horizontal="left"/>
    </xf>
    <xf numFmtId="0" fontId="1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left" vertical="center"/>
    </xf>
    <xf numFmtId="0" fontId="21" fillId="0" borderId="35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1" xfId="2" applyNumberFormat="1" applyFont="1" applyBorder="1" applyAlignment="1" applyProtection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23" xfId="2" applyNumberFormat="1" applyFont="1" applyBorder="1" applyAlignment="1" applyProtection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2" applyNumberFormat="1" applyFont="1" applyBorder="1" applyAlignment="1" applyProtection="1">
      <alignment horizontal="center" vertical="center"/>
    </xf>
    <xf numFmtId="166" fontId="0" fillId="0" borderId="52" xfId="2" applyNumberFormat="1" applyFont="1" applyBorder="1" applyAlignment="1" applyProtection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6" fontId="0" fillId="0" borderId="56" xfId="2" applyNumberFormat="1" applyFont="1" applyBorder="1" applyAlignment="1" applyProtection="1">
      <alignment horizontal="center" vertical="center"/>
    </xf>
    <xf numFmtId="166" fontId="21" fillId="0" borderId="57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0" fillId="0" borderId="58" xfId="0" applyBorder="1"/>
    <xf numFmtId="0" fontId="15" fillId="0" borderId="21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 indent="1"/>
    </xf>
    <xf numFmtId="167" fontId="14" fillId="0" borderId="17" xfId="0" applyNumberFormat="1" applyFont="1" applyBorder="1" applyAlignment="1">
      <alignment horizontal="center" vertical="center"/>
    </xf>
    <xf numFmtId="0" fontId="0" fillId="0" borderId="24" xfId="0" applyFont="1" applyBorder="1" applyAlignment="1">
      <alignment horizontal="center"/>
    </xf>
    <xf numFmtId="3" fontId="17" fillId="0" borderId="25" xfId="0" applyNumberFormat="1" applyFont="1" applyBorder="1" applyAlignment="1">
      <alignment horizontal="center"/>
    </xf>
    <xf numFmtId="0" fontId="18" fillId="0" borderId="14" xfId="0" applyFont="1" applyBorder="1" applyAlignment="1">
      <alignment horizontal="center" vertical="center" wrapText="1"/>
    </xf>
    <xf numFmtId="0" fontId="1" fillId="0" borderId="14" xfId="0" applyFont="1" applyBorder="1"/>
    <xf numFmtId="0" fontId="19" fillId="0" borderId="14" xfId="0" applyFont="1" applyBorder="1" applyAlignment="1">
      <alignment horizontal="left" indent="1"/>
    </xf>
    <xf numFmtId="0" fontId="2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/>
    </xf>
    <xf numFmtId="0" fontId="19" fillId="0" borderId="26" xfId="0" applyFont="1" applyBorder="1"/>
    <xf numFmtId="0" fontId="19" fillId="0" borderId="27" xfId="0" applyFont="1" applyBorder="1" applyAlignment="1">
      <alignment horizontal="left" vertical="center" wrapText="1" indent="1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0" fillId="0" borderId="40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21" fillId="0" borderId="27" xfId="0" applyFont="1" applyBorder="1" applyAlignment="1">
      <alignment horizontal="left" vertical="center" wrapText="1"/>
    </xf>
    <xf numFmtId="0" fontId="17" fillId="0" borderId="17" xfId="0" applyFont="1" applyBorder="1" applyAlignment="1">
      <alignment vertical="center" wrapText="1"/>
    </xf>
    <xf numFmtId="0" fontId="19" fillId="0" borderId="58" xfId="0" applyFont="1" applyBorder="1" applyAlignment="1">
      <alignment vertical="center" wrapText="1"/>
    </xf>
    <xf numFmtId="0" fontId="19" fillId="0" borderId="57" xfId="0" applyFont="1" applyBorder="1" applyAlignment="1">
      <alignment horizontal="left" vertical="center" wrapText="1"/>
    </xf>
  </cellXfs>
  <cellStyles count="3">
    <cellStyle name="Moneda" xfId="1" builtinId="4"/>
    <cellStyle name="Moneda_AUTORIZACION Y NOTA DE PEDIDO" xfId="2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AS%20QUINTAR/AppData/Local/Temp/$frd_/F9R23C3.tmp/CARLOS/Desktop/APUNTES%20LEGALES%20SPP/PEDIDOS%20SECRETARIA%20DE%20COMPRA/NOTA%20DE%20PEDIDO%20Y%20AUTORIZACION%20PARA%20GASTAR%20FRUT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curos%20y%20Compras%20Directas\CONCURSOS\CP&#168;COMPRAR\ALIMENTOS\Pedido%20Nota%20de%20Pedido%20y%20APG%20Ali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4">
          <cell r="C4" t="str">
            <v>90 - MINISTERIO DE SEGURIDAD</v>
          </cell>
        </row>
        <row r="5">
          <cell r="C5" t="str">
            <v>8 - DIRECCION GENERAL SERVICIO PENITENCIARIO PROVINCIAL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/>
      <sheetData sheetId="1">
        <row r="3">
          <cell r="D3" t="str">
            <v>90 - MINISTERIO DE SEGURIDAD</v>
          </cell>
        </row>
        <row r="4">
          <cell r="D4" t="str">
            <v>8 - DIRECCION GENERAL SERVICIO PENITENCIARIO PROVINCIAL</v>
          </cell>
        </row>
        <row r="5">
          <cell r="D5" t="str">
            <v>Servicio Penitenciario Provincial</v>
          </cell>
        </row>
        <row r="6">
          <cell r="D6" t="str">
            <v>Logistica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zoomScaleNormal="100" workbookViewId="0">
      <selection activeCell="G20" sqref="G20"/>
    </sheetView>
  </sheetViews>
  <sheetFormatPr baseColWidth="10" defaultColWidth="9.140625" defaultRowHeight="15" x14ac:dyDescent="0.25"/>
  <cols>
    <col min="1" max="4" width="10.7109375" customWidth="1"/>
    <col min="5" max="5" width="36.5703125" customWidth="1"/>
    <col min="6" max="8" width="10.7109375" customWidth="1"/>
    <col min="9" max="9" width="17.85546875" customWidth="1"/>
    <col min="10" max="1025" width="10.7109375" customWidth="1"/>
  </cols>
  <sheetData>
    <row r="1" spans="1:9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9" ht="27" x14ac:dyDescent="0.35">
      <c r="A2" s="15"/>
      <c r="B2" s="14" t="s">
        <v>0</v>
      </c>
      <c r="C2" s="14"/>
      <c r="D2" s="14"/>
      <c r="E2" s="14"/>
      <c r="F2" s="14"/>
      <c r="G2" s="14"/>
      <c r="H2" s="14"/>
      <c r="I2" s="15"/>
    </row>
    <row r="3" spans="1:9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9" ht="15.75" customHeight="1" x14ac:dyDescent="0.25">
      <c r="A4" s="13" t="s">
        <v>1</v>
      </c>
      <c r="B4" s="13"/>
      <c r="C4" s="12" t="s">
        <v>2</v>
      </c>
      <c r="D4" s="12"/>
      <c r="E4" s="12"/>
      <c r="F4" s="16"/>
      <c r="G4" s="17"/>
      <c r="H4" s="16"/>
      <c r="I4" s="15"/>
    </row>
    <row r="5" spans="1:9" ht="15.75" customHeight="1" x14ac:dyDescent="0.25">
      <c r="A5" s="13" t="s">
        <v>3</v>
      </c>
      <c r="B5" s="13"/>
      <c r="C5" s="12" t="s">
        <v>4</v>
      </c>
      <c r="D5" s="12"/>
      <c r="E5" s="12"/>
      <c r="F5" s="16"/>
      <c r="G5" s="17"/>
      <c r="H5" s="16"/>
      <c r="I5" s="15"/>
    </row>
    <row r="6" spans="1:9" ht="15.75" customHeight="1" x14ac:dyDescent="0.25">
      <c r="A6" s="13" t="s">
        <v>5</v>
      </c>
      <c r="B6" s="13"/>
      <c r="C6" s="18">
        <v>2021</v>
      </c>
      <c r="D6" s="19"/>
      <c r="E6" s="19"/>
      <c r="F6" s="16"/>
      <c r="G6" s="17"/>
      <c r="H6" s="16"/>
      <c r="I6" s="15"/>
    </row>
    <row r="7" spans="1:9" ht="15.75" customHeight="1" x14ac:dyDescent="0.25">
      <c r="A7" s="13" t="s">
        <v>6</v>
      </c>
      <c r="B7" s="13"/>
      <c r="C7" s="18">
        <v>1</v>
      </c>
      <c r="D7" s="19"/>
      <c r="E7" s="19"/>
      <c r="F7" s="16"/>
      <c r="G7" s="17"/>
      <c r="H7" s="16"/>
      <c r="I7" s="15"/>
    </row>
    <row r="8" spans="1:9" x14ac:dyDescent="0.25">
      <c r="A8" s="15"/>
      <c r="B8" s="16"/>
      <c r="C8" s="17"/>
      <c r="D8" s="16"/>
      <c r="E8" s="16"/>
      <c r="F8" s="16"/>
      <c r="G8" s="17"/>
      <c r="H8" s="16"/>
      <c r="I8" s="15"/>
    </row>
    <row r="9" spans="1:9" ht="38.25" x14ac:dyDescent="0.25">
      <c r="A9" s="20" t="s">
        <v>7</v>
      </c>
      <c r="B9" s="20" t="s">
        <v>8</v>
      </c>
      <c r="C9" s="20" t="s">
        <v>9</v>
      </c>
      <c r="D9" s="20" t="s">
        <v>10</v>
      </c>
      <c r="E9" s="20" t="s">
        <v>11</v>
      </c>
      <c r="F9" s="20" t="s">
        <v>12</v>
      </c>
      <c r="G9" s="20" t="s">
        <v>13</v>
      </c>
      <c r="H9" s="20" t="s">
        <v>14</v>
      </c>
      <c r="I9" s="20" t="s">
        <v>15</v>
      </c>
    </row>
    <row r="10" spans="1:9" ht="74.25" customHeight="1" x14ac:dyDescent="0.25">
      <c r="A10" s="21">
        <v>1</v>
      </c>
      <c r="B10" s="22" t="s">
        <v>16</v>
      </c>
      <c r="C10" s="23" t="s">
        <v>17</v>
      </c>
      <c r="D10" s="22" t="s">
        <v>18</v>
      </c>
      <c r="E10" s="23" t="s">
        <v>19</v>
      </c>
      <c r="F10" s="22" t="s">
        <v>20</v>
      </c>
      <c r="G10" s="22">
        <v>2000</v>
      </c>
      <c r="H10" s="24">
        <v>90.6</v>
      </c>
      <c r="I10" s="24">
        <f>+G10*H10</f>
        <v>181200</v>
      </c>
    </row>
    <row r="11" spans="1:9" ht="44.25" customHeight="1" x14ac:dyDescent="0.25">
      <c r="A11" s="21">
        <v>2</v>
      </c>
      <c r="B11" s="25" t="s">
        <v>21</v>
      </c>
      <c r="C11" s="26" t="s">
        <v>17</v>
      </c>
      <c r="D11" s="25" t="s">
        <v>22</v>
      </c>
      <c r="E11" s="26" t="s">
        <v>23</v>
      </c>
      <c r="F11" s="25" t="s">
        <v>20</v>
      </c>
      <c r="G11" s="25">
        <v>30000</v>
      </c>
      <c r="H11" s="24">
        <v>86.9</v>
      </c>
      <c r="I11" s="24">
        <f>+G11*H11</f>
        <v>2607000</v>
      </c>
    </row>
    <row r="12" spans="1:9" x14ac:dyDescent="0.25">
      <c r="A12" s="21"/>
      <c r="B12" s="25"/>
      <c r="C12" s="26"/>
      <c r="D12" s="25"/>
      <c r="E12" s="26"/>
      <c r="F12" s="25"/>
      <c r="G12" s="25"/>
      <c r="H12" s="27"/>
      <c r="I12" s="24">
        <f>SUM(I10:I11)</f>
        <v>2788200</v>
      </c>
    </row>
    <row r="13" spans="1:9" x14ac:dyDescent="0.25">
      <c r="A13" s="15"/>
      <c r="B13" s="15"/>
      <c r="C13" s="15"/>
      <c r="D13" s="15"/>
      <c r="E13" s="15"/>
      <c r="F13" s="15"/>
      <c r="G13" s="15"/>
      <c r="H13" s="15"/>
      <c r="I13" s="15"/>
    </row>
    <row r="14" spans="1:9" x14ac:dyDescent="0.25">
      <c r="A14" s="15"/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15"/>
      <c r="B15" s="28" t="s">
        <v>24</v>
      </c>
      <c r="C15" s="29"/>
      <c r="D15" s="29"/>
      <c r="E15" s="30"/>
      <c r="F15" s="15"/>
      <c r="G15" s="15"/>
      <c r="H15" s="15"/>
      <c r="I15" s="15"/>
    </row>
    <row r="16" spans="1:9" x14ac:dyDescent="0.25">
      <c r="A16" s="15"/>
      <c r="B16" s="31"/>
      <c r="C16" s="15"/>
      <c r="D16" s="15"/>
      <c r="E16" s="32"/>
      <c r="F16" s="15"/>
      <c r="G16" s="15"/>
      <c r="H16" s="15"/>
      <c r="I16" s="15"/>
    </row>
    <row r="17" spans="1:9" x14ac:dyDescent="0.25">
      <c r="A17" s="15"/>
      <c r="B17" s="33" t="s">
        <v>25</v>
      </c>
      <c r="C17" s="15"/>
      <c r="D17" s="15"/>
      <c r="E17" s="32"/>
      <c r="F17" s="15"/>
      <c r="G17" s="15"/>
      <c r="H17" s="15"/>
      <c r="I17" s="15"/>
    </row>
    <row r="18" spans="1:9" x14ac:dyDescent="0.25">
      <c r="A18" s="15"/>
      <c r="B18" s="33"/>
      <c r="C18" s="11"/>
      <c r="D18" s="11"/>
      <c r="E18" s="11"/>
      <c r="F18" s="15"/>
      <c r="G18" s="15"/>
      <c r="H18" s="15"/>
      <c r="I18" s="15"/>
    </row>
    <row r="19" spans="1:9" x14ac:dyDescent="0.25">
      <c r="A19" s="15"/>
      <c r="B19" s="33" t="s">
        <v>26</v>
      </c>
      <c r="C19" s="15"/>
      <c r="D19" s="15"/>
      <c r="E19" s="32"/>
      <c r="F19" s="15"/>
      <c r="G19" s="15"/>
      <c r="H19" s="15"/>
      <c r="I19" s="15"/>
    </row>
    <row r="20" spans="1:9" x14ac:dyDescent="0.25">
      <c r="A20" s="15"/>
      <c r="B20" s="34"/>
      <c r="C20" s="10" t="s">
        <v>27</v>
      </c>
      <c r="D20" s="10"/>
      <c r="E20" s="10"/>
      <c r="F20" s="15"/>
      <c r="G20" s="15"/>
      <c r="H20" s="15"/>
      <c r="I20" s="15"/>
    </row>
    <row r="21" spans="1:9" x14ac:dyDescent="0.25">
      <c r="A21" s="15"/>
      <c r="B21" s="34"/>
      <c r="C21" s="10" t="s">
        <v>28</v>
      </c>
      <c r="D21" s="10"/>
      <c r="E21" s="10"/>
      <c r="F21" s="15"/>
      <c r="G21" s="15"/>
      <c r="H21" s="15"/>
      <c r="I21" s="15"/>
    </row>
    <row r="22" spans="1:9" x14ac:dyDescent="0.25">
      <c r="A22" s="15"/>
      <c r="B22" s="33" t="s">
        <v>29</v>
      </c>
      <c r="C22" s="15"/>
      <c r="D22" s="15"/>
      <c r="E22" s="32"/>
      <c r="F22" s="15"/>
      <c r="G22" s="15"/>
      <c r="H22" s="15"/>
      <c r="I22" s="15"/>
    </row>
    <row r="23" spans="1:9" x14ac:dyDescent="0.25">
      <c r="A23" s="15"/>
      <c r="B23" s="33"/>
      <c r="C23" s="35" t="s">
        <v>30</v>
      </c>
      <c r="D23" s="15"/>
      <c r="E23" s="32"/>
      <c r="F23" s="15"/>
      <c r="G23" s="15"/>
      <c r="H23" s="15"/>
      <c r="I23" s="15"/>
    </row>
    <row r="24" spans="1:9" x14ac:dyDescent="0.25">
      <c r="A24" s="15"/>
      <c r="B24" s="33" t="s">
        <v>31</v>
      </c>
      <c r="C24" s="15"/>
      <c r="D24" s="15"/>
      <c r="E24" s="32"/>
      <c r="F24" s="15"/>
      <c r="G24" s="15"/>
      <c r="H24" s="15"/>
      <c r="I24" s="15"/>
    </row>
    <row r="25" spans="1:9" x14ac:dyDescent="0.25">
      <c r="A25" s="15"/>
      <c r="B25" s="34"/>
      <c r="C25" s="11"/>
      <c r="D25" s="11"/>
      <c r="E25" s="11"/>
      <c r="F25" s="15"/>
      <c r="G25" s="15"/>
      <c r="H25" s="15"/>
      <c r="I25" s="15"/>
    </row>
    <row r="26" spans="1:9" x14ac:dyDescent="0.25">
      <c r="A26" s="15"/>
      <c r="B26" s="33" t="s">
        <v>32</v>
      </c>
      <c r="C26" s="36"/>
      <c r="D26" s="36"/>
      <c r="E26" s="37"/>
      <c r="F26" s="15"/>
      <c r="G26" s="15"/>
      <c r="H26" s="15"/>
      <c r="I26" s="15"/>
    </row>
    <row r="27" spans="1:9" ht="13.9" customHeight="1" x14ac:dyDescent="0.25">
      <c r="A27" s="15"/>
      <c r="B27" s="34"/>
      <c r="C27" s="9" t="s">
        <v>33</v>
      </c>
      <c r="D27" s="9"/>
      <c r="E27" s="9"/>
      <c r="F27" s="15"/>
      <c r="G27" s="15"/>
      <c r="H27" s="15"/>
      <c r="I27" s="15"/>
    </row>
    <row r="28" spans="1:9" x14ac:dyDescent="0.25">
      <c r="A28" s="15"/>
      <c r="B28" s="33" t="s">
        <v>34</v>
      </c>
      <c r="C28" s="15"/>
      <c r="D28" s="15"/>
      <c r="E28" s="32"/>
      <c r="F28" s="15"/>
      <c r="G28" s="15"/>
      <c r="H28" s="15"/>
      <c r="I28" s="15"/>
    </row>
    <row r="29" spans="1:9" x14ac:dyDescent="0.25">
      <c r="A29" s="15"/>
      <c r="B29" s="33"/>
      <c r="C29" s="8"/>
      <c r="D29" s="8"/>
      <c r="E29" s="8"/>
      <c r="F29" s="15"/>
      <c r="G29" s="15"/>
      <c r="H29" s="15"/>
      <c r="I29" s="15"/>
    </row>
    <row r="30" spans="1:9" x14ac:dyDescent="0.25">
      <c r="A30" s="15"/>
      <c r="B30" s="38"/>
      <c r="C30" s="39"/>
      <c r="D30" s="39"/>
      <c r="E30" s="40"/>
      <c r="F30" s="15"/>
      <c r="G30" s="15"/>
      <c r="H30" s="15"/>
      <c r="I30" s="15"/>
    </row>
    <row r="31" spans="1:9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9" x14ac:dyDescent="0.25">
      <c r="A32" s="15"/>
      <c r="B32" s="28" t="s">
        <v>35</v>
      </c>
      <c r="C32" s="29"/>
      <c r="D32" s="29"/>
      <c r="E32" s="30"/>
      <c r="F32" s="15"/>
      <c r="G32" s="15"/>
      <c r="H32" s="15"/>
      <c r="I32" s="15"/>
    </row>
    <row r="33" spans="1:9" x14ac:dyDescent="0.25">
      <c r="A33" s="15"/>
      <c r="B33" s="31"/>
      <c r="C33" s="15"/>
      <c r="D33" s="15"/>
      <c r="E33" s="32"/>
      <c r="F33" s="15"/>
      <c r="G33" s="15"/>
      <c r="H33" s="15"/>
      <c r="I33" s="15"/>
    </row>
    <row r="34" spans="1:9" x14ac:dyDescent="0.25">
      <c r="A34" s="15"/>
      <c r="B34" s="33" t="s">
        <v>25</v>
      </c>
      <c r="C34" s="15"/>
      <c r="D34" s="15"/>
      <c r="E34" s="32"/>
      <c r="F34" s="15"/>
      <c r="G34" s="15"/>
      <c r="H34" s="15"/>
      <c r="I34" s="15"/>
    </row>
    <row r="35" spans="1:9" x14ac:dyDescent="0.25">
      <c r="A35" s="15"/>
      <c r="B35" s="33"/>
      <c r="C35" s="11"/>
      <c r="D35" s="11"/>
      <c r="E35" s="11"/>
      <c r="F35" s="15"/>
      <c r="G35" s="15"/>
      <c r="H35" s="15"/>
      <c r="I35" s="15"/>
    </row>
    <row r="36" spans="1:9" x14ac:dyDescent="0.25">
      <c r="A36" s="15"/>
      <c r="B36" s="33" t="s">
        <v>26</v>
      </c>
      <c r="C36" s="15"/>
      <c r="D36" s="15"/>
      <c r="E36" s="32"/>
      <c r="F36" s="15"/>
      <c r="G36" s="15"/>
      <c r="H36" s="15"/>
      <c r="I36" s="15"/>
    </row>
    <row r="37" spans="1:9" x14ac:dyDescent="0.25">
      <c r="A37" s="15"/>
      <c r="B37" s="34"/>
      <c r="C37" s="8"/>
      <c r="D37" s="8"/>
      <c r="E37" s="8"/>
      <c r="F37" s="15"/>
      <c r="G37" s="15"/>
      <c r="H37" s="15"/>
      <c r="I37" s="15"/>
    </row>
    <row r="38" spans="1:9" x14ac:dyDescent="0.25">
      <c r="A38" s="15"/>
      <c r="B38" s="34"/>
      <c r="C38" s="8"/>
      <c r="D38" s="8"/>
      <c r="E38" s="8"/>
      <c r="F38" s="15"/>
      <c r="G38" s="15"/>
      <c r="H38" s="15"/>
      <c r="I38" s="15"/>
    </row>
    <row r="39" spans="1:9" x14ac:dyDescent="0.25">
      <c r="A39" s="15"/>
      <c r="B39" s="33" t="s">
        <v>31</v>
      </c>
      <c r="C39" s="15"/>
      <c r="D39" s="15"/>
      <c r="E39" s="32"/>
      <c r="F39" s="15"/>
      <c r="G39" s="15"/>
      <c r="H39" s="15"/>
      <c r="I39" s="15"/>
    </row>
    <row r="40" spans="1:9" x14ac:dyDescent="0.25">
      <c r="A40" s="15"/>
      <c r="B40" s="34"/>
      <c r="C40" s="11"/>
      <c r="D40" s="11"/>
      <c r="E40" s="11"/>
      <c r="F40" s="15"/>
      <c r="G40" s="15"/>
      <c r="H40" s="15"/>
      <c r="I40" s="15"/>
    </row>
    <row r="41" spans="1:9" x14ac:dyDescent="0.25">
      <c r="A41" s="15"/>
      <c r="B41" s="33" t="s">
        <v>32</v>
      </c>
      <c r="C41" s="36"/>
      <c r="D41" s="36"/>
      <c r="E41" s="37"/>
      <c r="F41" s="15"/>
      <c r="G41" s="15"/>
      <c r="H41" s="15"/>
      <c r="I41" s="15"/>
    </row>
    <row r="42" spans="1:9" x14ac:dyDescent="0.25">
      <c r="A42" s="15"/>
      <c r="B42" s="34"/>
      <c r="C42" s="11"/>
      <c r="D42" s="11"/>
      <c r="E42" s="11"/>
      <c r="F42" s="15"/>
      <c r="G42" s="15"/>
      <c r="H42" s="15"/>
      <c r="I42" s="15"/>
    </row>
    <row r="43" spans="1:9" x14ac:dyDescent="0.25">
      <c r="A43" s="15"/>
      <c r="B43" s="33" t="s">
        <v>34</v>
      </c>
      <c r="C43" s="15"/>
      <c r="D43" s="15"/>
      <c r="E43" s="32"/>
      <c r="F43" s="15"/>
      <c r="G43" s="15"/>
      <c r="H43" s="15"/>
      <c r="I43" s="15"/>
    </row>
    <row r="44" spans="1:9" x14ac:dyDescent="0.25">
      <c r="A44" s="15"/>
      <c r="B44" s="33"/>
      <c r="C44" s="8"/>
      <c r="D44" s="8"/>
      <c r="E44" s="8"/>
      <c r="F44" s="15"/>
      <c r="G44" s="15"/>
      <c r="H44" s="15"/>
      <c r="I44" s="15"/>
    </row>
    <row r="45" spans="1:9" x14ac:dyDescent="0.25">
      <c r="A45" s="15"/>
      <c r="B45" s="38"/>
      <c r="C45" s="39"/>
      <c r="D45" s="39"/>
      <c r="E45" s="40"/>
      <c r="F45" s="15"/>
      <c r="G45" s="15"/>
      <c r="H45" s="15"/>
      <c r="I45" s="15"/>
    </row>
  </sheetData>
  <mergeCells count="19">
    <mergeCell ref="C38:E38"/>
    <mergeCell ref="C40:E40"/>
    <mergeCell ref="C42:E42"/>
    <mergeCell ref="C44:E44"/>
    <mergeCell ref="C25:E25"/>
    <mergeCell ref="C27:E27"/>
    <mergeCell ref="C29:E29"/>
    <mergeCell ref="C35:E35"/>
    <mergeCell ref="C37:E3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27"/>
  <sheetViews>
    <sheetView topLeftCell="A7" zoomScaleNormal="100" workbookViewId="0">
      <selection activeCell="J27" sqref="J27"/>
    </sheetView>
  </sheetViews>
  <sheetFormatPr baseColWidth="10" defaultColWidth="9.140625" defaultRowHeight="15" x14ac:dyDescent="0.25"/>
  <cols>
    <col min="1" max="1" width="5.5703125" style="41" customWidth="1"/>
    <col min="2" max="2" width="15.140625" style="41" customWidth="1"/>
    <col min="3" max="3" width="14.140625" style="41" customWidth="1"/>
    <col min="4" max="4" width="26" style="41" customWidth="1"/>
    <col min="5" max="5" width="8" style="41" customWidth="1"/>
    <col min="6" max="6" width="7.85546875" style="41" customWidth="1"/>
    <col min="7" max="7" width="42" style="41" customWidth="1"/>
    <col min="8" max="8" width="9.28515625" style="41" customWidth="1"/>
    <col min="9" max="9" width="15.5703125" style="41" customWidth="1"/>
    <col min="10" max="10" width="14.7109375" style="41" customWidth="1"/>
    <col min="11" max="11" width="15.5703125" style="41" customWidth="1"/>
    <col min="12" max="14" width="5.85546875" style="41" customWidth="1"/>
    <col min="15" max="15" width="12.5703125" style="41" customWidth="1"/>
    <col min="16" max="1025" width="9.140625" style="41" customWidth="1"/>
  </cols>
  <sheetData>
    <row r="1" spans="1:11" ht="15.75" x14ac:dyDescent="0.25">
      <c r="A1" s="7" t="s">
        <v>36</v>
      </c>
      <c r="B1" s="7"/>
      <c r="C1" s="7"/>
      <c r="D1" s="7"/>
      <c r="E1" s="7"/>
      <c r="F1" s="7"/>
      <c r="G1" s="7"/>
      <c r="H1" s="7"/>
      <c r="I1" s="7"/>
      <c r="J1" s="42" t="s">
        <v>37</v>
      </c>
      <c r="K1" s="43" t="s">
        <v>38</v>
      </c>
    </row>
    <row r="2" spans="1:11" ht="15.75" x14ac:dyDescent="0.2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</row>
    <row r="3" spans="1:11" ht="16.5" customHeight="1" x14ac:dyDescent="0.25">
      <c r="A3" s="6" t="s">
        <v>39</v>
      </c>
      <c r="B3" s="6"/>
      <c r="C3" s="6"/>
      <c r="D3" s="5" t="str">
        <f>'[1]Necesidades Trimestrales'!C4</f>
        <v>90 - MINISTERIO DE SEGURIDAD</v>
      </c>
      <c r="E3" s="5"/>
      <c r="F3" s="5"/>
      <c r="G3" s="5"/>
      <c r="H3" s="5"/>
      <c r="I3" s="5"/>
      <c r="J3" s="5"/>
      <c r="K3" s="5"/>
    </row>
    <row r="4" spans="1:11" ht="16.5" customHeight="1" x14ac:dyDescent="0.25">
      <c r="A4" s="4" t="s">
        <v>40</v>
      </c>
      <c r="B4" s="4"/>
      <c r="C4" s="4"/>
      <c r="D4" s="5" t="str">
        <f>'[1]Necesidades Trimestrales'!C5</f>
        <v>8 - DIRECCION GENERAL SERVICIO PENITENCIARIO PROVINCIAL</v>
      </c>
      <c r="E4" s="5"/>
      <c r="F4" s="5"/>
      <c r="G4" s="5"/>
      <c r="H4" s="5"/>
      <c r="I4" s="5"/>
      <c r="J4" s="5"/>
      <c r="K4" s="5"/>
    </row>
    <row r="5" spans="1:11" ht="16.5" customHeight="1" x14ac:dyDescent="0.25">
      <c r="A5" s="4" t="s">
        <v>41</v>
      </c>
      <c r="B5" s="4"/>
      <c r="C5" s="4"/>
      <c r="D5" s="5" t="s">
        <v>42</v>
      </c>
      <c r="E5" s="5"/>
      <c r="F5" s="5"/>
      <c r="G5" s="5"/>
      <c r="H5" s="5"/>
      <c r="I5" s="5"/>
      <c r="J5" s="5"/>
      <c r="K5" s="5"/>
    </row>
    <row r="6" spans="1:11" ht="16.5" customHeight="1" x14ac:dyDescent="0.25">
      <c r="A6" s="6" t="s">
        <v>43</v>
      </c>
      <c r="B6" s="6"/>
      <c r="C6" s="6"/>
      <c r="D6" s="5" t="s">
        <v>44</v>
      </c>
      <c r="E6" s="5"/>
      <c r="F6" s="5"/>
      <c r="G6" s="5"/>
      <c r="H6" s="5"/>
      <c r="I6" s="5"/>
      <c r="J6" s="5"/>
      <c r="K6" s="5"/>
    </row>
    <row r="7" spans="1:11" ht="16.5" customHeight="1" x14ac:dyDescent="0.25">
      <c r="A7" s="4" t="s">
        <v>45</v>
      </c>
      <c r="B7" s="4"/>
      <c r="C7" s="4"/>
      <c r="D7" s="5" t="s">
        <v>46</v>
      </c>
      <c r="E7" s="5"/>
      <c r="F7" s="5"/>
      <c r="G7" s="5"/>
      <c r="H7" s="5"/>
      <c r="I7" s="5"/>
      <c r="J7" s="5"/>
      <c r="K7" s="5"/>
    </row>
    <row r="8" spans="1:11" ht="16.5" customHeight="1" x14ac:dyDescent="0.25">
      <c r="A8" s="3" t="s">
        <v>47</v>
      </c>
      <c r="B8" s="3"/>
      <c r="C8" s="3"/>
      <c r="D8" s="2" t="s">
        <v>48</v>
      </c>
      <c r="E8" s="2"/>
      <c r="F8" s="2"/>
      <c r="G8" s="2"/>
      <c r="H8" s="2"/>
      <c r="I8" s="2"/>
      <c r="J8" s="2"/>
      <c r="K8" s="2"/>
    </row>
    <row r="9" spans="1:11" ht="15.75" x14ac:dyDescent="0.25">
      <c r="A9" s="46"/>
      <c r="B9" s="46"/>
      <c r="C9" s="46"/>
      <c r="D9" s="47"/>
      <c r="E9" s="47"/>
      <c r="F9" s="47"/>
      <c r="G9" s="47"/>
      <c r="H9" s="47"/>
      <c r="I9" s="47"/>
      <c r="J9" s="47"/>
      <c r="K9" s="47"/>
    </row>
    <row r="10" spans="1:11" ht="18.75" customHeight="1" x14ac:dyDescent="0.25">
      <c r="A10" s="1" t="s">
        <v>49</v>
      </c>
      <c r="B10" s="99" t="s">
        <v>50</v>
      </c>
      <c r="C10" s="99" t="s">
        <v>51</v>
      </c>
      <c r="D10" s="99"/>
      <c r="E10" s="99"/>
      <c r="F10" s="99"/>
      <c r="G10" s="99"/>
      <c r="H10" s="99" t="s">
        <v>52</v>
      </c>
      <c r="I10" s="99" t="s">
        <v>53</v>
      </c>
      <c r="J10" s="99" t="s">
        <v>54</v>
      </c>
      <c r="K10" s="100" t="s">
        <v>55</v>
      </c>
    </row>
    <row r="11" spans="1:11" ht="24" customHeight="1" x14ac:dyDescent="0.25">
      <c r="A11" s="1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33" customHeight="1" x14ac:dyDescent="0.25">
      <c r="A12" s="48">
        <v>1</v>
      </c>
      <c r="B12" s="49" t="s">
        <v>16</v>
      </c>
      <c r="C12" s="101" t="s">
        <v>19</v>
      </c>
      <c r="D12" s="101"/>
      <c r="E12" s="101"/>
      <c r="F12" s="101"/>
      <c r="G12" s="101"/>
      <c r="H12" s="50" t="s">
        <v>56</v>
      </c>
      <c r="I12" s="22" t="s">
        <v>20</v>
      </c>
      <c r="J12" s="24">
        <v>90.6</v>
      </c>
      <c r="K12" s="22">
        <v>2000</v>
      </c>
    </row>
    <row r="13" spans="1:11" ht="24" customHeight="1" x14ac:dyDescent="0.25">
      <c r="A13" s="51">
        <v>2</v>
      </c>
      <c r="B13" s="49" t="s">
        <v>21</v>
      </c>
      <c r="C13" s="101" t="s">
        <v>23</v>
      </c>
      <c r="D13" s="101" t="s">
        <v>23</v>
      </c>
      <c r="E13" s="101" t="s">
        <v>23</v>
      </c>
      <c r="F13" s="101" t="s">
        <v>23</v>
      </c>
      <c r="G13" s="101" t="s">
        <v>23</v>
      </c>
      <c r="H13" s="50" t="s">
        <v>56</v>
      </c>
      <c r="I13" s="22" t="s">
        <v>20</v>
      </c>
      <c r="J13" s="24">
        <v>86.9</v>
      </c>
      <c r="K13" s="25">
        <v>30000</v>
      </c>
    </row>
    <row r="14" spans="1:11" ht="26.25" customHeight="1" x14ac:dyDescent="0.25">
      <c r="A14" s="51"/>
      <c r="B14" s="49"/>
      <c r="C14" s="102"/>
      <c r="D14" s="102"/>
      <c r="E14" s="102"/>
      <c r="F14" s="102"/>
      <c r="G14" s="102"/>
      <c r="H14" s="50"/>
      <c r="I14" s="22"/>
      <c r="J14" s="24"/>
      <c r="K14" s="25"/>
    </row>
    <row r="15" spans="1:11" ht="22.5" customHeight="1" x14ac:dyDescent="0.25">
      <c r="A15" s="48"/>
      <c r="B15" s="49"/>
      <c r="C15" s="102"/>
      <c r="D15" s="102"/>
      <c r="E15" s="102"/>
      <c r="F15" s="102"/>
      <c r="G15" s="102"/>
      <c r="H15" s="50"/>
      <c r="I15" s="22"/>
      <c r="J15" s="24"/>
      <c r="K15" s="25"/>
    </row>
    <row r="16" spans="1:11" ht="19.5" customHeight="1" x14ac:dyDescent="0.25">
      <c r="A16" s="51"/>
      <c r="B16" s="49"/>
      <c r="C16" s="102"/>
      <c r="D16" s="102"/>
      <c r="E16" s="102"/>
      <c r="F16" s="102"/>
      <c r="G16" s="102"/>
      <c r="H16" s="50"/>
      <c r="I16" s="22"/>
      <c r="J16" s="24"/>
      <c r="K16" s="25"/>
    </row>
    <row r="17" spans="1:11" ht="21" customHeight="1" x14ac:dyDescent="0.25">
      <c r="A17" s="51"/>
      <c r="B17" s="49"/>
      <c r="C17" s="102"/>
      <c r="D17" s="102"/>
      <c r="E17" s="102"/>
      <c r="F17" s="102"/>
      <c r="G17" s="102"/>
      <c r="H17" s="50"/>
      <c r="I17" s="22"/>
      <c r="J17" s="24"/>
      <c r="K17" s="25"/>
    </row>
    <row r="18" spans="1:11" ht="13.5" customHeight="1" x14ac:dyDescent="0.25">
      <c r="A18" s="48"/>
      <c r="B18" s="49"/>
      <c r="C18" s="102"/>
      <c r="D18" s="102"/>
      <c r="E18" s="102"/>
      <c r="F18" s="102"/>
      <c r="G18" s="102"/>
      <c r="H18" s="50"/>
      <c r="I18" s="22"/>
      <c r="J18" s="24"/>
      <c r="K18" s="25"/>
    </row>
    <row r="19" spans="1:11" ht="15.75" customHeight="1" x14ac:dyDescent="0.25">
      <c r="A19" s="51"/>
      <c r="B19" s="49"/>
      <c r="C19" s="102"/>
      <c r="D19" s="102"/>
      <c r="E19" s="102"/>
      <c r="F19" s="102"/>
      <c r="G19" s="102"/>
      <c r="H19" s="50"/>
      <c r="I19" s="22"/>
      <c r="J19" s="24"/>
      <c r="K19" s="25"/>
    </row>
    <row r="20" spans="1:11" ht="15.75" customHeight="1" x14ac:dyDescent="0.25">
      <c r="A20" s="51"/>
      <c r="B20" s="49"/>
      <c r="C20" s="102"/>
      <c r="D20" s="102"/>
      <c r="E20" s="102"/>
      <c r="F20" s="102"/>
      <c r="G20" s="102"/>
      <c r="H20" s="50"/>
      <c r="I20" s="22"/>
      <c r="J20" s="24"/>
      <c r="K20" s="25"/>
    </row>
    <row r="21" spans="1:11" ht="13.5" customHeight="1" x14ac:dyDescent="0.25">
      <c r="A21" s="48"/>
      <c r="B21" s="49"/>
      <c r="C21" s="102"/>
      <c r="D21" s="102"/>
      <c r="E21" s="102"/>
      <c r="F21" s="102"/>
      <c r="G21" s="102"/>
      <c r="H21" s="50"/>
      <c r="I21" s="22"/>
      <c r="J21" s="24"/>
      <c r="K21" s="25"/>
    </row>
    <row r="22" spans="1:11" ht="15.75" customHeight="1" x14ac:dyDescent="0.25">
      <c r="A22" s="51"/>
      <c r="B22" s="49"/>
      <c r="C22" s="103"/>
      <c r="D22" s="103"/>
      <c r="E22" s="103"/>
      <c r="F22" s="103"/>
      <c r="G22" s="103"/>
      <c r="H22" s="50"/>
      <c r="I22" s="52"/>
      <c r="J22" s="53"/>
      <c r="K22" s="54"/>
    </row>
    <row r="23" spans="1:11" ht="15.75" customHeight="1" x14ac:dyDescent="0.25">
      <c r="A23" s="51"/>
      <c r="B23" s="49"/>
      <c r="C23" s="103"/>
      <c r="D23" s="103"/>
      <c r="E23" s="103"/>
      <c r="F23" s="103"/>
      <c r="G23" s="103"/>
      <c r="H23" s="50"/>
      <c r="I23" s="52"/>
      <c r="J23" s="53"/>
      <c r="K23" s="54"/>
    </row>
    <row r="24" spans="1:11" ht="13.5" customHeight="1" x14ac:dyDescent="0.25">
      <c r="A24" s="48"/>
      <c r="B24" s="49"/>
      <c r="C24" s="103"/>
      <c r="D24" s="103"/>
      <c r="E24" s="103"/>
      <c r="F24" s="103"/>
      <c r="G24" s="103"/>
      <c r="H24" s="50"/>
      <c r="I24" s="52"/>
      <c r="J24" s="53"/>
      <c r="K24" s="54"/>
    </row>
    <row r="25" spans="1:11" x14ac:dyDescent="0.25">
      <c r="A25" s="51"/>
      <c r="B25" s="48"/>
      <c r="C25" s="55"/>
      <c r="D25" s="56"/>
      <c r="E25" s="56"/>
      <c r="F25" s="56"/>
      <c r="G25" s="57"/>
      <c r="H25" s="50"/>
      <c r="I25" s="52"/>
      <c r="J25" s="53"/>
      <c r="K25" s="54"/>
    </row>
    <row r="26" spans="1:11" x14ac:dyDescent="0.25">
      <c r="A26" s="48"/>
      <c r="B26" s="48"/>
      <c r="C26" s="104"/>
      <c r="D26" s="104"/>
      <c r="E26" s="104"/>
      <c r="F26" s="104"/>
      <c r="G26" s="104"/>
      <c r="H26" s="50"/>
      <c r="I26" s="52"/>
      <c r="J26" s="53"/>
      <c r="K26" s="54"/>
    </row>
    <row r="27" spans="1:11" ht="16.5" customHeight="1" x14ac:dyDescent="0.25">
      <c r="A27" s="105" t="s">
        <v>57</v>
      </c>
      <c r="B27" s="105"/>
      <c r="C27" s="105"/>
      <c r="D27" s="105"/>
      <c r="E27" s="105"/>
      <c r="F27" s="105"/>
      <c r="G27" s="105"/>
      <c r="H27" s="105"/>
      <c r="I27" s="105"/>
      <c r="J27" s="106">
        <f>SUMPRODUCT(J12:J26,K12:K26)</f>
        <v>2788200</v>
      </c>
      <c r="K27" s="106"/>
    </row>
  </sheetData>
  <mergeCells count="36">
    <mergeCell ref="J27:K27"/>
    <mergeCell ref="C22:G22"/>
    <mergeCell ref="C23:G23"/>
    <mergeCell ref="C24:G24"/>
    <mergeCell ref="C26:G26"/>
    <mergeCell ref="A27:I27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4" zoomScaleNormal="100" workbookViewId="0">
      <selection activeCell="T17" sqref="T17"/>
    </sheetView>
  </sheetViews>
  <sheetFormatPr baseColWidth="10" defaultColWidth="9.140625" defaultRowHeight="15" x14ac:dyDescent="0.25"/>
  <cols>
    <col min="1" max="5" width="4.42578125" customWidth="1"/>
    <col min="6" max="6" width="5" customWidth="1"/>
    <col min="7" max="7" width="4.42578125" style="58" customWidth="1"/>
    <col min="8" max="14" width="4.42578125" customWidth="1"/>
    <col min="15" max="16" width="14.85546875" customWidth="1"/>
    <col min="17" max="17" width="14.7109375" customWidth="1"/>
    <col min="18" max="1025" width="11" customWidth="1"/>
  </cols>
  <sheetData>
    <row r="1" spans="1:17" ht="15.75" customHeight="1" x14ac:dyDescent="0.25">
      <c r="A1" s="107" t="s">
        <v>5</v>
      </c>
      <c r="B1" s="107"/>
      <c r="C1" s="107"/>
      <c r="D1" s="108">
        <v>2021</v>
      </c>
      <c r="E1" s="108"/>
      <c r="F1" s="59"/>
      <c r="G1" s="59"/>
      <c r="H1" s="60"/>
      <c r="I1" s="60"/>
      <c r="J1" s="60"/>
      <c r="K1" s="60"/>
      <c r="L1" s="60"/>
      <c r="M1" s="60"/>
      <c r="N1" s="60"/>
      <c r="P1" s="109" t="s">
        <v>58</v>
      </c>
      <c r="Q1" s="109"/>
    </row>
    <row r="2" spans="1:17" ht="15.75" customHeight="1" x14ac:dyDescent="0.25">
      <c r="H2" s="60"/>
      <c r="I2" s="60"/>
      <c r="J2" s="60"/>
      <c r="K2" s="60"/>
      <c r="L2" s="60"/>
      <c r="M2" s="60"/>
      <c r="N2" s="60"/>
      <c r="P2" s="109"/>
      <c r="Q2" s="109"/>
    </row>
    <row r="4" spans="1:17" s="61" customFormat="1" ht="14.25" x14ac:dyDescent="0.2">
      <c r="A4" s="110" t="s">
        <v>59</v>
      </c>
      <c r="B4" s="110"/>
      <c r="C4" s="110"/>
      <c r="D4" s="110"/>
      <c r="E4" s="110"/>
      <c r="F4" s="110"/>
      <c r="G4" s="111" t="str">
        <f>'[2] NotaPedido'!D3</f>
        <v>90 - MINISTERIO DE SEGURIDAD</v>
      </c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spans="1:17" s="61" customFormat="1" ht="15" customHeight="1" x14ac:dyDescent="0.2">
      <c r="A5" s="112" t="s">
        <v>40</v>
      </c>
      <c r="B5" s="112"/>
      <c r="C5" s="112"/>
      <c r="D5" s="112"/>
      <c r="E5" s="112"/>
      <c r="F5" s="112"/>
      <c r="G5" s="111" t="str">
        <f>'[2] NotaPedido'!D4</f>
        <v>8 - DIRECCION GENERAL SERVICIO PENITENCIARIO PROVINCIAL</v>
      </c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spans="1:17" s="61" customFormat="1" ht="15" customHeight="1" x14ac:dyDescent="0.2">
      <c r="A6" s="112" t="s">
        <v>41</v>
      </c>
      <c r="B6" s="112"/>
      <c r="C6" s="112"/>
      <c r="D6" s="112"/>
      <c r="E6" s="112"/>
      <c r="F6" s="112"/>
      <c r="G6" s="111" t="str">
        <f>'[2] NotaPedido'!D5</f>
        <v>Servicio Penitenciario Provincial</v>
      </c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spans="1:17" s="61" customFormat="1" ht="15" customHeight="1" x14ac:dyDescent="0.2">
      <c r="A7" s="112" t="s">
        <v>43</v>
      </c>
      <c r="B7" s="112"/>
      <c r="C7" s="112"/>
      <c r="D7" s="112"/>
      <c r="E7" s="112"/>
      <c r="F7" s="112"/>
      <c r="G7" s="111" t="str">
        <f>'[2] NotaPedido'!D6</f>
        <v>Logistica</v>
      </c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x14ac:dyDescent="0.25">
      <c r="A8" s="113" t="s">
        <v>60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</row>
    <row r="9" spans="1:17" x14ac:dyDescent="0.25">
      <c r="A9" s="114" t="s">
        <v>61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Q9" s="62"/>
    </row>
    <row r="10" spans="1:17" ht="79.5" customHeight="1" x14ac:dyDescent="0.25">
      <c r="A10" s="115" t="s">
        <v>62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</row>
    <row r="11" spans="1:17" x14ac:dyDescent="0.25">
      <c r="A11" s="63"/>
      <c r="B11" s="64"/>
      <c r="C11" s="64"/>
      <c r="D11" s="64"/>
      <c r="E11" s="64"/>
      <c r="F11" s="64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6"/>
    </row>
    <row r="12" spans="1:17" ht="15.75" customHeight="1" x14ac:dyDescent="0.25">
      <c r="A12" s="116" t="s">
        <v>63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 spans="1:17" ht="15.75" customHeight="1" x14ac:dyDescent="0.25">
      <c r="A13" s="117" t="s">
        <v>64</v>
      </c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8" t="s">
        <v>65</v>
      </c>
      <c r="P13" s="118"/>
      <c r="Q13" s="119" t="s">
        <v>66</v>
      </c>
    </row>
    <row r="14" spans="1:17" ht="15.75" customHeight="1" x14ac:dyDescent="0.25">
      <c r="A14" s="67" t="s">
        <v>67</v>
      </c>
      <c r="B14" s="68" t="s">
        <v>68</v>
      </c>
      <c r="C14" s="68" t="s">
        <v>69</v>
      </c>
      <c r="D14" s="68" t="s">
        <v>70</v>
      </c>
      <c r="E14" s="68" t="s">
        <v>71</v>
      </c>
      <c r="F14" s="68" t="s">
        <v>72</v>
      </c>
      <c r="G14" s="69" t="s">
        <v>73</v>
      </c>
      <c r="H14" s="68" t="s">
        <v>74</v>
      </c>
      <c r="I14" s="68" t="s">
        <v>75</v>
      </c>
      <c r="J14" s="68" t="s">
        <v>76</v>
      </c>
      <c r="K14" s="68" t="s">
        <v>76</v>
      </c>
      <c r="L14" s="68" t="s">
        <v>77</v>
      </c>
      <c r="M14" s="70" t="s">
        <v>78</v>
      </c>
      <c r="N14" s="71" t="s">
        <v>79</v>
      </c>
      <c r="O14" s="118"/>
      <c r="P14" s="118"/>
      <c r="Q14" s="119"/>
    </row>
    <row r="15" spans="1:17" ht="15" customHeight="1" x14ac:dyDescent="0.25">
      <c r="A15" s="72">
        <v>21</v>
      </c>
      <c r="B15" s="73"/>
      <c r="C15" s="73"/>
      <c r="D15" s="73">
        <v>1</v>
      </c>
      <c r="E15" s="73"/>
      <c r="F15" s="73">
        <v>4201</v>
      </c>
      <c r="G15" s="73">
        <v>2</v>
      </c>
      <c r="H15" s="73">
        <v>220</v>
      </c>
      <c r="I15" s="74">
        <v>2</v>
      </c>
      <c r="J15" s="74">
        <v>5</v>
      </c>
      <c r="K15" s="74">
        <v>6</v>
      </c>
      <c r="L15" s="73"/>
      <c r="M15" s="75">
        <v>1</v>
      </c>
      <c r="N15" s="73" t="s">
        <v>80</v>
      </c>
      <c r="O15" s="120" t="s">
        <v>81</v>
      </c>
      <c r="P15" s="120"/>
      <c r="Q15" s="76">
        <v>2788200</v>
      </c>
    </row>
    <row r="16" spans="1:17" x14ac:dyDescent="0.25">
      <c r="A16" s="77"/>
      <c r="B16" s="78"/>
      <c r="C16" s="78"/>
      <c r="D16" s="78"/>
      <c r="E16" s="78"/>
      <c r="F16" s="78"/>
      <c r="G16" s="78"/>
      <c r="H16" s="79"/>
      <c r="I16" s="80"/>
      <c r="J16" s="80"/>
      <c r="K16" s="80"/>
      <c r="L16" s="81"/>
      <c r="M16" s="79"/>
      <c r="N16" s="82"/>
      <c r="O16" s="121"/>
      <c r="P16" s="121"/>
      <c r="Q16" s="83"/>
    </row>
    <row r="17" spans="1:17" x14ac:dyDescent="0.25">
      <c r="A17" s="77"/>
      <c r="B17" s="78"/>
      <c r="C17" s="78"/>
      <c r="D17" s="78"/>
      <c r="E17" s="78"/>
      <c r="F17" s="84"/>
      <c r="G17" s="78"/>
      <c r="H17" s="79"/>
      <c r="I17" s="80"/>
      <c r="J17" s="80"/>
      <c r="K17" s="80"/>
      <c r="L17" s="81"/>
      <c r="M17" s="79"/>
      <c r="N17" s="80"/>
      <c r="O17" s="121"/>
      <c r="P17" s="121"/>
      <c r="Q17" s="83"/>
    </row>
    <row r="18" spans="1:17" x14ac:dyDescent="0.25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9"/>
      <c r="N18" s="78"/>
      <c r="O18" s="122"/>
      <c r="P18" s="122"/>
      <c r="Q18" s="85"/>
    </row>
    <row r="19" spans="1:17" x14ac:dyDescent="0.25">
      <c r="A19" s="77"/>
      <c r="B19" s="78"/>
      <c r="C19" s="78"/>
      <c r="D19" s="78"/>
      <c r="E19" s="78"/>
      <c r="F19" s="84"/>
      <c r="G19" s="78"/>
      <c r="H19" s="78"/>
      <c r="I19" s="78"/>
      <c r="J19" s="78"/>
      <c r="K19" s="78"/>
      <c r="L19" s="78"/>
      <c r="M19" s="79"/>
      <c r="N19" s="84"/>
      <c r="O19" s="123"/>
      <c r="P19" s="123"/>
      <c r="Q19" s="86"/>
    </row>
    <row r="20" spans="1:17" x14ac:dyDescent="0.25">
      <c r="A20" s="77"/>
      <c r="B20" s="78"/>
      <c r="C20" s="78"/>
      <c r="D20" s="78"/>
      <c r="E20" s="78"/>
      <c r="F20" s="84"/>
      <c r="G20" s="78"/>
      <c r="H20" s="78"/>
      <c r="I20" s="78"/>
      <c r="J20" s="78"/>
      <c r="K20" s="78"/>
      <c r="L20" s="78"/>
      <c r="M20" s="79"/>
      <c r="N20" s="84"/>
      <c r="O20" s="123"/>
      <c r="P20" s="123"/>
      <c r="Q20" s="86"/>
    </row>
    <row r="21" spans="1:17" x14ac:dyDescent="0.25">
      <c r="A21" s="87"/>
      <c r="B21" s="88"/>
      <c r="C21" s="88"/>
      <c r="D21" s="88"/>
      <c r="E21" s="88"/>
      <c r="F21" s="84"/>
      <c r="G21" s="88"/>
      <c r="H21" s="88"/>
      <c r="I21" s="88"/>
      <c r="J21" s="88"/>
      <c r="K21" s="88"/>
      <c r="L21" s="88"/>
      <c r="M21" s="89"/>
      <c r="N21" s="90"/>
      <c r="O21" s="123"/>
      <c r="P21" s="123"/>
      <c r="Q21" s="86"/>
    </row>
    <row r="22" spans="1:17" x14ac:dyDescent="0.25">
      <c r="A22" s="9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3"/>
      <c r="N22" s="92"/>
      <c r="O22" s="124"/>
      <c r="P22" s="124"/>
      <c r="Q22" s="94"/>
    </row>
    <row r="23" spans="1:17" ht="15.75" customHeight="1" x14ac:dyDescent="0.25">
      <c r="A23" s="125" t="s">
        <v>82</v>
      </c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95">
        <f>SUM(Q15:Q22)</f>
        <v>2788200</v>
      </c>
    </row>
    <row r="24" spans="1:17" x14ac:dyDescent="0.25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8"/>
    </row>
    <row r="25" spans="1:17" ht="15.75" customHeight="1" x14ac:dyDescent="0.25">
      <c r="A25" s="126" t="s">
        <v>83</v>
      </c>
      <c r="B25" s="126"/>
      <c r="C25" s="126"/>
      <c r="D25" s="126"/>
      <c r="E25" s="126"/>
      <c r="F25" s="126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7" ht="15.75" customHeight="1" x14ac:dyDescent="0.25">
      <c r="A26" s="128" t="s">
        <v>84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spans="1:17" ht="15" customHeight="1" x14ac:dyDescent="0.25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</sheetData>
  <mergeCells count="30">
    <mergeCell ref="A26:Q27"/>
    <mergeCell ref="O20:P20"/>
    <mergeCell ref="O21:P21"/>
    <mergeCell ref="O22:P22"/>
    <mergeCell ref="A23:P23"/>
    <mergeCell ref="A25:F25"/>
    <mergeCell ref="G25:Q25"/>
    <mergeCell ref="O15:P15"/>
    <mergeCell ref="O16:P16"/>
    <mergeCell ref="O17:P17"/>
    <mergeCell ref="O18:P18"/>
    <mergeCell ref="O19:P19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Combustible</vt:lpstr>
      <vt:lpstr>NPyE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dc:description/>
  <cp:lastModifiedBy>ELIAS QUINTAR</cp:lastModifiedBy>
  <cp:revision>1</cp:revision>
  <dcterms:created xsi:type="dcterms:W3CDTF">2021-02-01T15:08:20Z</dcterms:created>
  <dcterms:modified xsi:type="dcterms:W3CDTF">2021-08-13T11:35:35Z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