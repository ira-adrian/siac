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0" windowWidth="20730" windowHeight="1176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Trimestrales'!$D$9:$I$133</definedName>
    <definedName name="A">'Necesidades Trimestrales'!$C$73</definedName>
    <definedName name="_xlnm.Print_Area" localSheetId="1">' NotaPedido'!$A$1:$I$136</definedName>
    <definedName name="_xlnm.Print_Area" localSheetId="2">'Autor Gastar'!$A$1:$Q$23</definedName>
  </definedNames>
  <calcPr calcId="144525"/>
</workbook>
</file>

<file path=xl/calcChain.xml><?xml version="1.0" encoding="utf-8"?>
<calcChain xmlns="http://schemas.openxmlformats.org/spreadsheetml/2006/main">
  <c r="D133" i="1" l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G135" i="2" l="1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Q19" i="3" l="1"/>
  <c r="I26" i="1" l="1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0" i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2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82" i="2"/>
  <c r="H83" i="2"/>
  <c r="H84" i="2"/>
  <c r="H85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12" i="2"/>
  <c r="C114" i="2"/>
  <c r="I136" i="2" l="1" a="1"/>
  <c r="I88" i="2"/>
  <c r="I86" i="1"/>
  <c r="I136" i="2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<sst xmlns="http://schemas.openxmlformats.org/spreadsheetml/2006/main" count="742" uniqueCount="341">
  <si>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</si>
  <si>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</si>
  <si>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</si>
  <si>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</si>
  <si>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</si>
  <si>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</si>
  <si>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</si>
  <si>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</si>
  <si>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</si>
  <si>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</si>
  <si>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</si>
  <si>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</si>
  <si>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</si>
  <si>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</si>
  <si>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</si>
  <si>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</si>
  <si>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</si>
  <si>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</si>
  <si>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</si>
  <si>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</si>
  <si>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</si>
  <si>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</si>
  <si>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</si>
  <si>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</si>
  <si>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</si>
  <si>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</si>
  <si>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</si>
  <si>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</si>
  <si>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</si>
  <si>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</si>
  <si>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</si>
  <si>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</si>
  <si>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</si>
  <si>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</si>
  <si>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</si>
  <si>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</si>
  <si>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</si>
  <si>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</si>
  <si>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</si>
  <si>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</si>
  <si>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</si>
  <si>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</si>
  <si>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</si>
  <si>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</si>
  <si>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</si>
  <si>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</si>
  <si>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</si>
  <si>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</si>
  <si>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</si>
  <si>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</si>
  <si>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</si>
  <si>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</si>
  <si>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40 - Ministerio de Salud</t>
  </si>
  <si>
    <t>CAJA</t>
  </si>
  <si>
    <t>UNIDAD</t>
  </si>
  <si>
    <t>NO</t>
  </si>
  <si>
    <t>FRASCO</t>
  </si>
  <si>
    <t xml:space="preserve">28 - MATERNIDAD </t>
  </si>
  <si>
    <t>QUIMICOS</t>
  </si>
  <si>
    <t>2.5.1-9043.2</t>
  </si>
  <si>
    <t>2.5.1-9016.200</t>
  </si>
  <si>
    <t>2.5.1-9016.279</t>
  </si>
  <si>
    <t>2.5.1-9016.214</t>
  </si>
  <si>
    <t>2.5.1-9016.383</t>
  </si>
  <si>
    <t>2.5.1-9016.227</t>
  </si>
  <si>
    <t>2.5.1-9016.181</t>
  </si>
  <si>
    <t>2.5.1-9016.222</t>
  </si>
  <si>
    <t>2.5.1-9016.191</t>
  </si>
  <si>
    <t>2.5.1-9016.236</t>
  </si>
  <si>
    <t>2.5.1-9016.106</t>
  </si>
  <si>
    <t>2.5.1-9016.497</t>
  </si>
  <si>
    <t>2.5.1-9016.183</t>
  </si>
  <si>
    <t>2.5.1-9016.262</t>
  </si>
  <si>
    <t>2.5.1-9016.496</t>
  </si>
  <si>
    <t>2.5.1-9016.320</t>
  </si>
  <si>
    <t>2.5.1-9016.713</t>
  </si>
  <si>
    <t>2.5.1-9016.261</t>
  </si>
  <si>
    <t>2.5.1-9052.1513</t>
  </si>
  <si>
    <t>2.5.1-9038.129</t>
  </si>
  <si>
    <t>2.5.1-9038.131</t>
  </si>
  <si>
    <t>2.5.1-9038.342</t>
  </si>
  <si>
    <t>2.5.1-9022.122</t>
  </si>
  <si>
    <t>2.5.1-9052.1321</t>
  </si>
  <si>
    <t>2.5.1.-9052.1348</t>
  </si>
  <si>
    <t>2.5.1-9022.245</t>
  </si>
  <si>
    <t>2.5.1-9052.1334</t>
  </si>
  <si>
    <t>2.5.1-9022.55</t>
  </si>
  <si>
    <t>2.5.1-9022.205</t>
  </si>
  <si>
    <t>2.5.1-9022.78</t>
  </si>
  <si>
    <t>2.5.1-9022.77</t>
  </si>
  <si>
    <t>2.5.1-9022.107</t>
  </si>
  <si>
    <t>2.5.1-9022.121</t>
  </si>
  <si>
    <t>2.5.1-9022.61</t>
  </si>
  <si>
    <t>2.5.1-9016.704</t>
  </si>
  <si>
    <t>2.5.1-9022.99</t>
  </si>
  <si>
    <t>2.5.1-9022.94</t>
  </si>
  <si>
    <t>2.5.1-9022.120</t>
  </si>
  <si>
    <t>2.5.1-9022.83</t>
  </si>
  <si>
    <t>2.5.1-9022.48</t>
  </si>
  <si>
    <t>2.5.1-9022.47</t>
  </si>
  <si>
    <t>2.5.1-9022.86</t>
  </si>
  <si>
    <t>2.5.1-9022.57</t>
  </si>
  <si>
    <t>2.5.1.-9022.76</t>
  </si>
  <si>
    <t>2.5.1-9022.114</t>
  </si>
  <si>
    <t>2.5.1-9022.111</t>
  </si>
  <si>
    <t>2.5.1-9022.68</t>
  </si>
  <si>
    <t>2.5.1-9022.109</t>
  </si>
  <si>
    <t>2.5.1-9022.95</t>
  </si>
  <si>
    <t>2.5.1-9022.139</t>
  </si>
  <si>
    <t>2.5.1-9022.128</t>
  </si>
  <si>
    <t>2.5.1-9052.1612</t>
  </si>
  <si>
    <t>2.5.1-9022.80</t>
  </si>
  <si>
    <t>2.5.1-9022.56</t>
  </si>
  <si>
    <t>2.5.1-9022.59</t>
  </si>
  <si>
    <t>2.5.1-9022.66</t>
  </si>
  <si>
    <t>2.5.1-9022.142</t>
  </si>
  <si>
    <t>2.5.1-9022.71</t>
  </si>
  <si>
    <t>2.5.1-9022.60</t>
  </si>
  <si>
    <t>2.5.1-9022.64</t>
  </si>
  <si>
    <t>2.5.1-9022.45</t>
  </si>
  <si>
    <t>2.5.1-9022.67</t>
  </si>
  <si>
    <t>2.5.1-9022.79</t>
  </si>
  <si>
    <t>2.5.1-9022.43</t>
  </si>
  <si>
    <t>2.5.1-9022.72</t>
  </si>
  <si>
    <t>2.5.1-9022.74</t>
  </si>
  <si>
    <t>2.5.1-9022.113</t>
  </si>
  <si>
    <t>2.5.1-9052.40</t>
  </si>
  <si>
    <t>2.5.1.9052.41</t>
  </si>
  <si>
    <t>2.5.1-9016.621</t>
  </si>
  <si>
    <t>2.5.1-9016.619</t>
  </si>
  <si>
    <t>2.5.1-9016.429</t>
  </si>
  <si>
    <t>2.5.1-8988.1624</t>
  </si>
  <si>
    <t>2.5.1-8988.1623</t>
  </si>
  <si>
    <t>2.5.1-9016.180</t>
  </si>
  <si>
    <t>2.5.6-6035.7</t>
  </si>
  <si>
    <t>ACEITE P/TURBINA; PRESENTACION: ENVASE X 250 CM3</t>
  </si>
  <si>
    <t>Servicio de Laboratorio(Bacteriología)-Serv. De Odontología-Direc.de Mantenimiento</t>
  </si>
  <si>
    <t>Para la adquisición de Compuestos Químicos, para ser destinados al Servicio de Laboratorio-Sector Bacteriología, Serv. De Odontología y Direc. De Mantenimiento de la Maternidad Provincial 25 de Mayo.-</t>
  </si>
  <si>
    <t>2.5.1-8988.1912</t>
  </si>
  <si>
    <t xml:space="preserve">REACTIVOS P/EQUIPO; EQUIPO: SEMIAUTOMATIZADO, MARCA EQUIPO: A DEFINIR, NOMBRE DEL PRODUCTO: PANEL GLOBULAR DETECTOR, PRESENTACION: ENVASE X 3 UN </t>
  </si>
  <si>
    <t>2.5.1-8988.1910</t>
  </si>
  <si>
    <t xml:space="preserve">REACTIVOS P/EQUIPO; EQUIPO: SEMIAUTOMATIZADO, MARCA EQUIPO: A DEFINIR, NOMBRE DEL PRODUCTO: PANEL GLOBULAR IDENTIFICACION, PRESENTACION: ENVASE X 12 UN </t>
  </si>
  <si>
    <t>2.5.1-8988.1905</t>
  </si>
  <si>
    <t xml:space="preserve">REACTIVOS P/EQUIPO; EQUIPO: SEMIAUTOMATIZADO, MARCA EQUIPO: A DEFINIR, NOMBRE DEL PRODUCTO: TARJETA NEONATALES, PRESENTACION: ENVASE X 48 UN </t>
  </si>
  <si>
    <t>2.5.1-8988.1904</t>
  </si>
  <si>
    <t xml:space="preserve">REACTIVOS P/EQUIPO; EQUIPO: SEMIAUTOMATIZADO, MARCA EQUIPO: A DEFINIR, NOMBRE DEL PRODUCTO: TARJETA LISS COOMBS, PRESENTACION: ENVASE X 48 UN </t>
  </si>
  <si>
    <t>2.5.1-9052.247</t>
  </si>
  <si>
    <t>REACTIVOS P/LAB. TEC. MANUAL ; NOMBRE: SUERO HEMOTIPIFICADOR ANTI-AB, USO: HEMOTERAPIA, PRESENTACION: ENVASE X 10 Ml</t>
  </si>
  <si>
    <t>2.5.1-9052.249</t>
  </si>
  <si>
    <t>REACTIVOS P/LAB. TEC. MANUAL ; NOMBRE: SUERO HEMOTIPIFICADOR ANTI-C, USO: HEMOTERAPIA, PRESENTACION: ENVASE X 5 mL</t>
  </si>
  <si>
    <t>2.5.1-9052.250</t>
  </si>
  <si>
    <t xml:space="preserve">REACTIVOS P/LAB. TEC. MANUAL ; NOMBRE: SUERO HEMOT. ANTI-C (MIN.), USO: HEMOTERAPIA, PRESENTACION: ENVASE X 5 mL </t>
  </si>
  <si>
    <t>2.5.1-9052.251</t>
  </si>
  <si>
    <t xml:space="preserve">REACTIVOS P/LAB. TEC. MANUAL ; NOMBRE: SUERO HEMOTIPIFICADOR ANTI-E, USO: HEMOTERAPIA, PRESENTACION: ENVASE X 5 mL </t>
  </si>
  <si>
    <t>2.5.1-9052.252</t>
  </si>
  <si>
    <t xml:space="preserve">REACTIVOS P/LAB. TEC. MANUAL ; NOMBRE: SUERO HEMOT. ANTI-E (MIN.), USO: HEMOTERAPIA, PRESENTACION: ENVASE X 5 mL </t>
  </si>
  <si>
    <t>2.5.1-9052.263</t>
  </si>
  <si>
    <t>REACTIVOS P/LAB. TEC. MANUAL ; NOMBRE: SUERO HEMOTIPIFICADOR ANTI-CDE, USO: HEMOTERAPIA, PRESENTACION: ENVASE X 5 mL</t>
  </si>
  <si>
    <t>2.5.1-9017.136</t>
  </si>
  <si>
    <t xml:space="preserve">ANTICUERPOS P/LABORATORIO; NOMBRE: ANTI-B, ESTADO: SOLUCION, MARCADO CON: SIN MARCAR, ORIGEN: HUMANO, PRESENTACION: ENVASE X 10 mL, TIPO: MONOCLONAL </t>
  </si>
  <si>
    <t>2.5.1-9017.138</t>
  </si>
  <si>
    <t xml:space="preserve">ANTICUERPOS P/LABORATORIO; NOMBRE: ANTI-A, ESTADO: SOLUCION, MARCADO CON: SIN MARCAR, ORIGEN: HUMANO, PRESENTACION: ENVASE X 10 GR, TIPO: MONOCLONAL </t>
  </si>
  <si>
    <t>2.5.1-8988.1007</t>
  </si>
  <si>
    <t>REACTIVOS P/EQUIPO; EQUIPO: ANALIZADOR DE GASES EN SANGRE, MARCA EQUIPO: RADIOMETER, NOMBRE DEL PRODUCTO: SOLUCION DE LAVADO, PRESENTACION: ENVASE X 600 mL</t>
  </si>
  <si>
    <t>2.5.1-8988.1103</t>
  </si>
  <si>
    <t>REACTIVOS P/EQUIPO; EQUIPO: ELECTROQUIMIOLUMINISCENCIA, MARCA EQUIPO: ELECSYS ROCHE, NOMBRE DEL PRODUCTO: ANTI TOXOPLASMA IG G, PRESENTACION: ENVASE X 100 DETERM.</t>
  </si>
  <si>
    <t>2.5.1-8988.1104</t>
  </si>
  <si>
    <t>REACTIVOS P/EQUIPO; EQUIPO: ELECTROQUIMIOLUMINISCENCIA, MARCA EQUIPO: ELECSYS ROCHE, NOMBRE DEL PRODUCTO: ANTI TOXOPLASMA IG M, PRESENTACION: ENVASE X 100 DETERM.</t>
  </si>
  <si>
    <t>2.5.1-8988.1331</t>
  </si>
  <si>
    <t>REACTIVOS P/EQUIPO; EQUIPO: ANALIZADOR MULTIPARAMETRICO, MARCA EQUIPO: COBAS ROCHE, NOMBRE DEL PRODUCTO: DET. DE ACIDO URICO, PRESENTACION: UNIDAD</t>
  </si>
  <si>
    <t>2.5.1-8988.1342</t>
  </si>
  <si>
    <t>REACTIVOS P/EQUIPO; EQUIPO: ANALIZADOR MULTIPARAMETRICO, MARCA EQUIPO: COBAS ROCHE, NOMBRE DEL PRODUCTO: DET. DE CREATININA, PRESENTACION: UNIDAD</t>
  </si>
  <si>
    <t>2.5.1-8988.1343</t>
  </si>
  <si>
    <t>REACTIVOS P/EQUIPO; EQUIPO: ANALIZADOR MULTIPARAMETRICO, MARCA EQUIPO: COBAS ROCHE, NOMBRE DEL PRODUCTO: DET. DE FOSFATASA ALCALINA, PRESENTACION: UNIDAD</t>
  </si>
  <si>
    <t>2.5.1-8988.1347</t>
  </si>
  <si>
    <t>REACTIVOS P/EQUIPO; EQUIPO: ANALIZADOR MULTIPARAMETRICO, MARCA EQUIPO: COBAS ROCHE, NOMBRE DEL PRODUCTO: DET. DE GLUCOSA, PRESENTACION: UNIDAD</t>
  </si>
  <si>
    <t>2.5.1-8988.1350</t>
  </si>
  <si>
    <t>REACTIVOS P/EQUIPO; EQUIPO: ANALIZADOR MULTIPARAMETRICO, MARCA EQUIPO: COBAS ROCHE, NOMBRE DEL PRODUCTO: DET. DE LDH, PRESENTACION: UNIDAD</t>
  </si>
  <si>
    <t>2.5.1-8988.1353</t>
  </si>
  <si>
    <t>REACTIVOS P/EQUIPO; EQUIPO: ANALIZADOR MULTIPARAMETRICO, MARCA EQUIPO: COBAS ROCHE, NOMBRE DEL PRODUCTO: DET. DE CRP, PRESENTACION: UNIDAD</t>
  </si>
  <si>
    <t>2.5.1-8988.1354</t>
  </si>
  <si>
    <t>REACTIVOS P/EQUIPO; EQUIPO: ANALIZADOR MULTIPARAMETRICO, MARCA EQUIPO: COBAS ROCHE, NOMBRE DEL PRODUCTO: DET. DE PROTEINAS EN ORINA, PRESENTACION: UNIDAD</t>
  </si>
  <si>
    <t>2.5.1-8988.1356</t>
  </si>
  <si>
    <t>REACTIVOS P/EQUIPO; EQUIPO: ANALIZADOR MULTIPARAMETRICO, MARCA EQUIPO: COBAS ROCHE, NOMBRE DEL PRODUCTO: DET. DE AST/TGO, PRESENTACION: UNIDAD</t>
  </si>
  <si>
    <t>2.5.1-8988.1357</t>
  </si>
  <si>
    <t>REACTIVOS P/EQUIPO; EQUIPO: ANALIZADOR MULTIPARAMETRICO, MARCA EQUIPO: COBAS ROCHE, NOMBRE DEL PRODUCTO: DET. DE ALT/TGP, PRESENTACION: UNIDAD</t>
  </si>
  <si>
    <t>2.5.1-8988.1360</t>
  </si>
  <si>
    <t>REACTIVOS P/EQUIPO; EQUIPO: ANALIZADOR MULTIPARAMETRICO, MARCA EQUIPO: COBAS ROCHE, NOMBRE DEL PRODUCTO: DET. DE UREA/BUN, PRESENTACION: UNIDAD</t>
  </si>
  <si>
    <t>2.5.1-8988.1399</t>
  </si>
  <si>
    <t>2.5.1-8988.1608</t>
  </si>
  <si>
    <t>REACTIVOS P/EQUIPO; EQUIPO: AUTOANALIZADOR, MARCA EQUIPO: COBAS ROCHE, NOMBRE DEL PRODUCTO: BETA HCG, PRESENTACION: ENVASE X 100 DETERM.</t>
  </si>
  <si>
    <t>2.5.1-9052.308</t>
  </si>
  <si>
    <t>REACTIVOS P/LAB. TEC. MANUAL ; NOMBRE: TEST EMBARAZO, USO: DIAGNOSTICO, PRESENTACION: ENVASE X 25 UN</t>
  </si>
  <si>
    <t>2.5.1-9052.355</t>
  </si>
  <si>
    <t>REACTIVOS P/LAB. TEC. MANUAL ; NOMBRE: HBSAG ELISA, USO: DIAGNOSTICO, PRESENTACION: ENVASE X 96 DETERM.</t>
  </si>
  <si>
    <t>2.5.1-9052.652</t>
  </si>
  <si>
    <t>REACTIVOS P/LAB. TEC. MANUAL ; NOMBRE: TIRAS REACTIVAS ANALISIS ORINA, USO: LABORATORIO, PRESENTACION: ENVASE X 100 DETERM.</t>
  </si>
  <si>
    <t>2.5.1-8937.260</t>
  </si>
  <si>
    <t>PATRON/ESTANDAR P/CALIBRACION; EQUIPO: AUTOANAL. X QUIMIOLUMINISCECIA, MARCA EQUIPO: ACCESS, NOMBRE DEL PRODUCTO: CALIBRADOR DHEASULFATO, PRESENTACION: 6 X ENVASE X 2,5 mL</t>
  </si>
  <si>
    <t>2.5.1-8988.2212</t>
  </si>
  <si>
    <t>REACTIVOS P/EQUIPO; EQUIPO: AUTOMATIZADO, MARCA EQUIPO: A DEFINIR, NOMBRE DEL PRODUCTO: HORMONA ANTI MULERIANA, PRESENTACION: DETERMINACION</t>
  </si>
  <si>
    <t>2.5.1-8937.219</t>
  </si>
  <si>
    <t>PATRON/ESTANDAR P/CALIBRACION; EQUIPO: AUTOANA. X QUIMIOLUMINISCENCIA, MARCA EQUIPO: ROCHE, NOMBRE DEL PRODUCTO: CALIBRADOR HORMONA CORTISOL, PRESENTACION: ENVASE X 10 DETERM.</t>
  </si>
  <si>
    <t>2.5.1-8937.220</t>
  </si>
  <si>
    <t>PATRON/ESTANDAR P/CALIBRACION; EQUIPO: AUTOANA. X QUIMIOLUMINISCENCIA, MARCA EQUIPO: ROCHE, NOMBRE DEL PRODUCTO: CALIBRADOR HORMONA ESTRADIOL, PRESENTACION: ENVASE X 10 DETERM.</t>
  </si>
  <si>
    <t>2.5.1-8937.221</t>
  </si>
  <si>
    <t>PATRON/ESTANDAR P/CALIBRACION; EQUIPO: AUTOANA. X QUIMIOLUMINISCENCIA, MARCA EQUIPO: ROCHE, NOMBRE DEL PRODUCTO: CALIBRADOR HORMONA FSH, PRESENTACION: ENVASE X 10 DETERM.</t>
  </si>
  <si>
    <t>2.5.1-8937.222</t>
  </si>
  <si>
    <t>PATRON/ESTANDAR P/CALIBRACION; EQUIPO: AUTOANA. X QUIMIOLUMINISCENCIA, MARCA EQUIPO: ROCHE, NOMBRE DEL PRODUCTO: CALIBRADOR HORMONA LH, PRESENTACION: ENVASE X 10 DETERM.</t>
  </si>
  <si>
    <t>2.5.1-8937.223</t>
  </si>
  <si>
    <t>PATRON/ESTANDAR P/CALIBRACION; EQUIPO: AUTOANA. X QUIMIOLUMINISCENCIA, MARCA EQUIPO: ROCHE, NOMBRE DEL PRODUCTO: CALIBRADOR HORMONA INSULINA, PRESENTACION: ENVASE X 10 DETERM.</t>
  </si>
  <si>
    <t>2.5.1-8937.224</t>
  </si>
  <si>
    <t>PATRON/ESTANDAR P/CALIBRACION; EQUIPO: AUTOANA. X QUIMIOLUMINISCENCIA, MARCA EQUIPO: ROCHE, NOMBRE DEL PRODUCTO: CAL. HORMONA PROGESTERONA, PRESENTACION: ENVASE X 10 DETERM.</t>
  </si>
  <si>
    <t>2.5.1-8937.225</t>
  </si>
  <si>
    <t>PATRON/ESTANDAR P/CALIBRACION; EQUIPO: AUTOANA. X QUIMIOLUMINISCENCIA, MARCA EQUIPO: ROCHE, NOMBRE DEL PRODUCTO: CALIBRADOR HORMONA PROLACTINA, PRESENTACION: ENVASE X 10 DETERM.</t>
  </si>
  <si>
    <t>2.5.1-8937.227</t>
  </si>
  <si>
    <t>PATRON/ESTANDAR P/CALIBRACION; EQUIPO: AUTOANA. X QUIMIOLUMINISCENCIA, MARCA EQUIPO: ROCHE, NOMBRE DEL PRODUCTO: CAL. HORMONA TESTOSTERONA, PRESENTACION: ENVASE X 10 DETERM.</t>
  </si>
  <si>
    <t>2.5.1-8937.228</t>
  </si>
  <si>
    <t>PATRON/ESTANDAR P/CALIBRACION; EQUIPO: AUTOANA. X QUIMIOLUMINISCENCIA, MARCA EQUIPO: ROCHE, NOMBRE DEL PRODUCTO: CALIBRADOR HORMONA TSH, PRESENTACION: ENVASE X 10 DETERM.</t>
  </si>
  <si>
    <t>2.5.1-8937.229</t>
  </si>
  <si>
    <t>PATRON/ESTANDAR P/CALIBRACION; EQUIPO: AUTOANA. X QUIMIOLUMINISCENCIA, MARCA EQUIPO: ROCHE, NOMBRE DEL PRODUCTO: CALIBRADOR HORMONA TIROIDE T4, PRESENTACION: ENVASE X 10 DETERM.</t>
  </si>
  <si>
    <t>2.5.1-8937.230</t>
  </si>
  <si>
    <t>PATRON/ESTANDAR P/CALIBRACION; EQUIPO: AUTOANA. X QUIMIOLUMINISCENCIA, MARCA EQUIPO: ROCHE, NOMBRE DEL PRODUCTO: CALIBRADOR HORMONA TIROIDE T3, PRESENTACION: ENVASE X 10 DETERM.</t>
  </si>
  <si>
    <t>2.5.1-8937.249</t>
  </si>
  <si>
    <t>PATRON/ESTANDAR P/CALIBRACION; EQUIPO: AUTOANAL. X QUIMIOLUMINISCECIA, MARCA EQUIPO: ROCHE, NOMBRE DEL PRODUCTO: CAL GONADOTROFINA CORIONICA HU, PRESENTACION: ENVASE X 10 DETERM.</t>
  </si>
  <si>
    <t>2.5.1-8988.20</t>
  </si>
  <si>
    <t>REACTIVOS P/EQUIPO; EQUIPO: AUTOANA. X QUIMIOLUMINISCENCIA, MARCA EQUIPO: ROCHE, NOMBRE DEL PRODUCTO: CONTROL UNIVERSAL, PRESENTACION: 4 X ENVASE X 3 mL</t>
  </si>
  <si>
    <t>2.5.1-8988.431</t>
  </si>
  <si>
    <t>REACTIVOS P/EQUIPO; EQUIPO: AUTOANA. X QUIMIOLUMINISCENCIA, MARCA EQUIPO: ROCHE, NOMBRE DEL PRODUCTO: DILUYENTE MULTIANALITICO, PRESENTACION: ENVASE X 20 L</t>
  </si>
  <si>
    <t>2.5.1-8988.229</t>
  </si>
  <si>
    <t>REACTIVOS P/EQUIPO; EQUIPO: AUTOANA. X QUIMIOLUMINISCENCIA, MARCA EQUIPO: ROCHE, NOMBRE DEL PRODUCTO: KIT P/CUANT. HORMONA CORTISOL, PRESENTACION: ENVASE X 100 DETERM.</t>
  </si>
  <si>
    <t>28- Maternidad Provincial</t>
  </si>
  <si>
    <t>Servicio de Laboratorio-(Bacteriología-Hemoterapia)-Serv. De Odontología-Direc.de Mantenimiento-</t>
  </si>
  <si>
    <t>ADQUISICION DE COMPUESTOS QUIMICOS</t>
  </si>
  <si>
    <t>1 ° Trimestre -Año 2021</t>
  </si>
  <si>
    <t>1° Trimestre -Año 2021</t>
  </si>
  <si>
    <t xml:space="preserve">Combustibles y lubricantes </t>
  </si>
  <si>
    <t>2.5.1-9052.1667</t>
  </si>
  <si>
    <t>Compuestos Quimicos</t>
  </si>
  <si>
    <t>ACEITES Y GRASAS; COMPUESTO QUIMICO: ACEITE DE INMERSION, ESTADO: LIQUIDO, CALIDAD: PRO ANALISIS, CONCENTRACION/PUREZA: 99,9 %, PRESENTACION: ENVASE X 100 mL</t>
  </si>
  <si>
    <t>MEDIOS DE CULTIVO Y SUPLEMENTO; NOMBRE DEL PRODUCTO: AGAR BASE SANGRE, ESTADO: SOLIDO, PRESENTACION: ENVASE X 500 mL</t>
  </si>
  <si>
    <t>MEDIOS DE CULTIVO Y SUPLEMENTO; NOMBRE DEL PRODUCTO: AGAR BILIS ESCULINA, ESTADO: SOLIDO, PRESENTACION: ENVASE X 100 GR</t>
  </si>
  <si>
    <t>MEDIOS DE CULTIVO Y SUPLEMENTO; NOMBRE DEL PRODUCTO: AGAR CITRATO DE SIMMONS, ESTADO: SOLIDO, PRESENTACION: ENVASE X 100 GR</t>
  </si>
  <si>
    <t>MEDIOS DE CULTIVO Y SUPLEMENTO; NOMBRE DEL PRODUCTO: AGAR C.L.D.E, ESTADO: SOLIDO, PRESENTACION: ENVASE X 500 GR</t>
  </si>
  <si>
    <t>MEDIOS DE CULTIVO Y SUPLEMENTO; NOMBRE DEL PRODUCTO: AGAR EOSINA-AZUL METILENO-LACT, ESTADO: SOLIDO, PRESENTACION: ENVASE X 500 GR</t>
  </si>
  <si>
    <t>MEDIOS DE CULTIVO Y SUPLEMENTO; NOMBRE DEL PRODUCTO: AGAR MANITOL SALADO, ESTADO: SOLIDO, PRESENTACION: ENVASE X 100 GR</t>
  </si>
  <si>
    <t>MEDIOS DE CULTIVO Y SUPLEMENTO; NOMBRE DEL PRODUCTO: AGAR MULLER HILTON, ESTADO: SOLIDO, PRESENTACION: ENVASE X 500 GR</t>
  </si>
  <si>
    <t>REACTIVOS P/LAB. TEC. MANUAL ; NOMBRE: BAM CON UREA MEDIO, USO: BACTERIOLOGIA, PRESENTACION: ENVASE X 500 GR</t>
  </si>
  <si>
    <t>MEDIOS DE CULTIVO Y SUPLEMENTO; NOMBRE DEL PRODUCTO: AGAR LISINA HIERRO, ESTADO: SOLIDO, PRESENTACION: ENVASE X 100 GR</t>
  </si>
  <si>
    <t>MEDIOS DE CULTIVO Y SUPLEMENTO; NOMBRE DEL PRODUCTO: AGAR DNASA, ESTADO: SOLIDO, PRESENTACION: ENVASE X 100 GR</t>
  </si>
  <si>
    <t>MEDIOS DE CULTIVO Y SUPLEMENTO; NOMBRE DEL PRODUCTO: AGAR SALMONELLA- SHIGELLA, ESTADO: SOLIDO, PRESENTACION: ENVASE X 100 GR</t>
  </si>
  <si>
    <t>MEDIOS DE CULTIVO Y SUPLEMENTO; NOMBRE DEL PRODUCTO: CALDO TODD HEWITT C/CONA, ESTADO: LIQUIDO, PRESENTACION: 6 X ENVASE X 1 mL</t>
  </si>
  <si>
    <t>MEDIOS DE CULTIVO Y SUPLEMENTO; NOMBRE DEL PRODUCTO: MEDIO DE TRANSPORTE STUART, ESTADO: SOLIDO, PRESENTACION: ENVASE X 100 GR</t>
  </si>
  <si>
    <t>MEDIOS DE CULTIVO Y SUPLEMENTO; NOMBRE DEL PRODUCTO: AGAR LEVINE, ESTADO: SOLIDO, PRESENTACION: ENVASE X 500 GR</t>
  </si>
  <si>
    <t>MEDIOS DE CULTIVO Y SUPLEMENTO; NOMBRE DEL PRODUCTO: AGAR SABOURAUD GLUCOSA, ESTADO: SOLIDO, PRESENTACION: ENVASE X 100 GR</t>
  </si>
  <si>
    <t>REACTIVOS P/LAB. TEC. MANUAL ; NOMBRE: DET. SANGRE EN MAT FECAL, USO: DIAGNOSTICO, PRESENTACION: ENVASE X 25 DETERM.</t>
  </si>
  <si>
    <t>REACTIVO INDICADOR-COLORANTE; COMPUESTO QUIMICO: VIOLETA DE GENCIANA, ESTADO: LIQUIDO, CALIDAD: PRO ANALISIS, PRESENTACION: ENVASE X 500 mL</t>
  </si>
  <si>
    <t>REACTIVO INDICADOR-COLORANTE; COMPUESTO QUIMICO: LUGOL, ESTADO: LIQUIDO, CALIDAD: PRO ANALISIS, PRESENTACION: ENVASE X 500 mL</t>
  </si>
  <si>
    <t>REACTIVO INDICADOR-COLORANTE; COMPUESTO QUIMICO: DECOLORANTE GRAM, ESTADO: SOLUCION, CALIDAD: PRO ANALISIS, PRESENTACION: ENVASE X 500 mL</t>
  </si>
  <si>
    <t>ANTIBIOTICOS; COMPUESTO QUIMICO: BACITRACINA, ESTADO: DISCO, CALIDAD: PRO ANALISIS, PRESENTACION: ENVASE X 50 UN</t>
  </si>
  <si>
    <t>REACTIVOS P/LAB. TEC. MANUAL ; NOMBRE: OXIDASA, USO: BACTERIOLOGIA, PRESENTACION: ENVASE X 50 DETERM.</t>
  </si>
  <si>
    <t>REACTIVOS P/LAB. TEC. MANUAL ; NOMBRE: ONPG, USO: BACTERIOLOGIA, PRESENTACION: ENVASE X 50 DETERM.</t>
  </si>
  <si>
    <t>ANTIBIOTICOS; COMPUESTO QUIMICO: OPTOQUINA, ESTADO: DISCO, CALIDAD: PRO ANALISIS, PRESENTACION: ENVASE X 50 UN</t>
  </si>
  <si>
    <t>REACTIVOS P/LAB. TEC. MANUAL ; NOMBRE: NOVOBIOCINA, USO: BACTERIOLOGIA, PRESENTACION: ENVASE X 50 DETERM.</t>
  </si>
  <si>
    <t>ANTIBIOTICOS; COMPUESTO QUIMICO: AMPICILINA 10 µGr, ESTADO: DISCO, CALIDAD: PRO ANALISIS, PRESENTACION: ENVASE X 50 UN</t>
  </si>
  <si>
    <t>ANTIBIOTICOS; COMPUESTO QUIMICO: GENTAMICINA 10 µGr, ESTADO: DISCO, CALIDAD: PRO ANALISIS, PRESENTACION: ENVASE X 50 UN</t>
  </si>
  <si>
    <t>ANTIBIOTICOS; COMPUESTO QUIMICO: TRIMETOPRIMA + SULFAMETOXAZOL, ESTADO: DISCO, CALIDAD: PRO ANALISIS, PRESENTACION: ENVASE X 50 UN</t>
  </si>
  <si>
    <t>ANTIBIOTICOS; COMPUESTO QUIMICO: NITROFURANTOINA 300 µGr, ESTADO: DISCO, CALIDAD: PRO ANALISIS, PRESENTACION: ENVASE X 50 UN</t>
  </si>
  <si>
    <t>ANTIBIOTICOS; COMPUESTO QUIMICO: CEFUROXIMA 30 µGr, ESTADO: DISCO, CALIDAD: PRO ANALISIS, PRESENTACION: ENVASE X 50 UN</t>
  </si>
  <si>
    <t>ANTIBIOTICOS; COMPUESTO QUIMICO: CEFAZOLINA, ESTADO: DISCO, CALIDAD: PRO ANALISIS, PRESENTACION: 50 X ENVASE X 30 µGr</t>
  </si>
  <si>
    <t>ANTIBIOTICOS; COMPUESTO QUIMICO: AMPICILINA + SULBACTAM 10/10 µGr, ESTADO: DISCO, CALIDAD: PRO ANALISIS, PRESENTACION: ENVASE X 50 UN</t>
  </si>
  <si>
    <t>ANTIBIOTICOS; COMPUESTO QUIMICO: CEFOTAXIMA CLAVULANICO 30/10 µGr, ESTADO: DISCO, CALIDAD: PRO ANALISIS, PRESENTACION: ENVASE X 50</t>
  </si>
  <si>
    <t>ANTIBIOTICOS; COMPUESTO QUIMICO: CEFTAZIDIMA AC.CLAVULAN.30/10 µGr, ESTADO: DISCO, CALIDAD: PRO ANALISIS, PRESENTACION: ENVASE X 50 UN</t>
  </si>
  <si>
    <t>ANTIBIOTICOS; COMPUESTO QUIMICO: AMICACINA 30 µGr, ESTADO: DISCO, CALIDAD: PRO ANALISIS, PRESENTACION: ENVASE X 50 UN</t>
  </si>
  <si>
    <t>ANTIBIOTICOS; COMPUESTO QUIMICO: CEFEPIME 30 µGr, ESTADO: DISCO, CALIDAD: PRO ANALISIS, PRESENTACION: ENVASE X 50 UN</t>
  </si>
  <si>
    <t>ANTIBIOTICOS; COMPUESTO QUIMICO: CEFOXITINA 30 µGr, ESTADO: DISCO, CALIDAD: PRO ANALISIS, PRESENTACION: ENVASE X 50 UN</t>
  </si>
  <si>
    <t>ANTIBIOTICOS; COMPUESTO QUIMICO: CEFOTAXINA 30 µGr, ESTADO: DISCO, CALIDAD: PRO ANALISIS, PRESENTACION: ENVASE X 50 UN</t>
  </si>
  <si>
    <t>ANTIBIOTICOS; COMPUESTO QUIMICO: CEFTAZIDIMA 30 µGr, ESTADO: DISCO, CALIDAD: PRO ANALISIS, PRESENTACION: ENVASE X 50 UN</t>
  </si>
  <si>
    <t>ANTIBIOTICOS; COMPUESTO QUIMICO: CIFOPROFLOXACINA 5 µGr, ESTADO: DISCO, CALIDAD: PRO ANALISIS, PRESENTACION: ENVASE X 50 UN</t>
  </si>
  <si>
    <t>ANTIBIOTICOS; COMPUESTO QUIMICO: AMOXICIL+AC.CLAVULANICO 20/10 µGr, ESTADO: DISCO, CALIDAD: PRO ANALISIS, PRESENTACION: ENVASE X 50 UN</t>
  </si>
  <si>
    <t>ANTIBIOTICOS; COMPUESTO QUIMICO: MEROPENEM 10 µGr, ESTADO: DISCO, CALIDAD: PRO ANALISIS, PRESENTACION: ENVASE X 50 UN</t>
  </si>
  <si>
    <t>ANTIBIOTICOS; COMPUESTO QUIMICO: IMIPENEM 10 µGr, ESTADO: DISCO, CALIDAD: PRO ANALISIS, PRESENTACION: ENVASE X 50 UN</t>
  </si>
  <si>
    <t>ANTIBIOTICOS; COMPUESTO QUIMICO: PIPERACILINA TAZOBACTAM 100/10 µGr, ESTADO: DISCO, CALIDAD: PRO ANALISIS, PRESENTACION: ENVASE X 50 UN</t>
  </si>
  <si>
    <t>ANTIBIOTICOS; COMPUESTO QUIMICO: COLISTINA 10 µGr, ESTADO: DISCO, CALIDAD: PRO ANALISIS, PRESENTACION: ENVASE X 50 UN</t>
  </si>
  <si>
    <t>ANTIBIOTICOS; COMPUESTO QUIMICO: ETILENDIAMINOTETRAACETICO, ESTADO: DISCO, CALIDAD: PRO ANALISIS, PRESENTACION: ENVASE X 50 UN</t>
  </si>
  <si>
    <t>ANTIBIOTICOS; COMPUESTO QUIMICO: ERTAPENEM 10 UG, ESTADO: DISCOS, CALIDAD: PRO ANALISIS, PRESENTACION: ENVASE X 50 UN</t>
  </si>
  <si>
    <t>ANTIBIOTICOS; COMPUESTO QUIMICO: ACIDO FUSIDICO 10 µGr, ESTADO: DISCO, CALIDAD: PRO ANALISIS, PRESENTACION: ENVASE X 50 UN</t>
  </si>
  <si>
    <t>REACTIVOS P/LAB. TEC. MANUAL ; NOMBRE: AC. BORONICO 300 UG, USO: ANTIBIOGRAMA, PRESENTACION: ENVASE X 50 DISCO</t>
  </si>
  <si>
    <t>ANTIBIOTICOS; COMPUESTO QUIMICO: AZTREONAM 30 µGr, ESTADO: DISCO, CALIDAD: PRO ANALISIS, PRESENTACION: ENVASE X 50 UN</t>
  </si>
  <si>
    <t>ANTIBIOTICOS; COMPUESTO QUIMICO: MINOCICLINA 30 µGr, ESTADO: DISCO, CALIDAD: PRO ANALISIS, PRESENTACION: ENVASE X 50 UN</t>
  </si>
  <si>
    <t>ANTIBIOTICOS; COMPUESTO QUIMICO: CLINDAMICINA 2 µGr, ESTADO: DISCO, CALIDAD: PRO ANALISIS, PRESENTACION: ENVASE X 50 UN</t>
  </si>
  <si>
    <t>ANTIBIOTICOS; COMPUESTO QUIMICO: OXACILINA 1 µGr, ESTADO: DISCO, CALIDAD: PRO ANALISIS, PRESENTACION: ENVASE X 50 UN</t>
  </si>
  <si>
    <t>ANTIBIOTICOS; COMPUESTO QUIMICO: RIFAMPICINA, ESTADO: DISCO, CALIDAD: PRO ANALISIS, PRESENTACION: ENVASE X 50 UN</t>
  </si>
  <si>
    <t>ANTIBIOTICOS; COMPUESTO QUIMICO: TEICOPLANINA 30 µGr, ESTADO: DISCO, CALIDAD: PRO ANALISIS, PRESENTACION: ENVASE X 50 UN</t>
  </si>
  <si>
    <t>ANTIBIOTICOS; COMPUESTO QUIMICO: ERITROMICINA 15 µGr, ESTADO: DISCO, CALIDAD: PRO ANALISIS, PRESENTACION: ENVASE X 50 UN</t>
  </si>
  <si>
    <t>ANTIBIOTICOS; COMPUESTO QUIMICO: ESTREPTOMICINA 300 µGr, ESTADO: DISCO, CALIDAD: PRO ANALISIS, PRESENTACION: ENVASE X 50 UN</t>
  </si>
  <si>
    <t>ANTIBIOTICOS; COMPUESTO QUIMICO: GENTAMICINA 120 UGR, ESTADO: DISCO, CALIDAD: PRO ANALISIS, PRESENTACION: ENVASE X 50 UN</t>
  </si>
  <si>
    <t>ANTIBIOTICOS; COMPUESTO QUIMICO: PENICILINA 10 µGr, ESTADO: DISCO, CALIDAD: PRO ANALISIS, PRESENTACION: ENVASE X 50 UN</t>
  </si>
  <si>
    <t>ANTIBIOTICOS; COMPUESTO QUIMICO: AZITROMICINA 15 µGr, ESTADO: DISCO, CALIDAD: PRO ANALISIS, PRESENTACION: ENVASE X 50 UN</t>
  </si>
  <si>
    <t>ANTIBIOTICOS; COMPUESTO QUIMICO: FOSFOMICINA TROMETAMOL 200 UGR, ESTADO: DISCO, CALIDAD: PRO ANALISIS, PRESENTACION: ENVASE X 50 UN</t>
  </si>
  <si>
    <t>ANTIBIOTICOS; COMPUESTO QUIMICO: TETRACICLINA 30 µGr, ESTADO: DISCO, CALIDAD: PRO ANALISIS, PRESENTACION: ENVASE X 50 UN</t>
  </si>
  <si>
    <t>ANTIBIOTICOS; COMPUESTO QUIMICO: VANCOMICINA 30 µGr, ESTADO: DISCO, CALIDAD: PRO ANALISIS, PRESENTACION: ENVASE X 50 UN</t>
  </si>
  <si>
    <t>ANTIBIOTICOS; COMPUESTO QUIMICO: LEVOFLOXACINA 5 µGr, ESTADO: DISCO, CALIDAD: PRO ANALISIS, PRESENTACION: ENVASE X 50 UN</t>
  </si>
  <si>
    <t>REACTIVOS P/LAB. TEC. MANUAL ; NOMBRE: LINEZOLID 30 UG, USO: ANTIBIOGRAMA, PRESENTACION: ENVASE X 50 DISCO</t>
  </si>
  <si>
    <t>REACTIVOS P/LAB. TEC. MANUAL ; NOMBRE: TIGECICLINA 15 UG, USO: ANTIBIOGRAMA, PRESENTACION: ENVASE X 50 DISCO</t>
  </si>
  <si>
    <t>MEDIOS DE CULTIVO Y SUPLEMENTO; NOMBRE DEL PRODUCTO: PYR-A-ENTEROCOCOS C/REVELADOR, ESTADO: DISCO, PRESENTACION: ENVASE X 25 UN</t>
  </si>
  <si>
    <t>MEDIOS DE CULTIVO Y SUPLEMENTO; NOMBRE DEL PRODUCTO: LEUCINA AMINOPEPTIDASA, ESTADO: COMPRIMIDO, PRESENTACION: ENVASE X 25 UN</t>
  </si>
  <si>
    <t>MEDIOS DE CULTIVO Y SUPLEMENTO; NOMBRE DEL PRODUCTO: CIM VANCOMICINA, ESTADO: TIRA, PRESENTACION: ENVASE X 10 UN</t>
  </si>
  <si>
    <t>MEDIOS DE CULTIVO Y SUPLEMENTO; NOMBRE DEL PRODUCTO: CROMAGAR ESTREPTO B, ESTADO: SOLIDO EN PLACA, PRESENTACION: ENVASE X 20 UN</t>
  </si>
  <si>
    <t>REACTIVOS P/EQUIPO; EQUIPO: SISTEMA AUTOMATIZADO HEMOCULTI, MARCA EQUIPO: BACT ALERT, NOMBRE DEL PRODUCTO: HEMOCULTIVO PEDIATRICO, PRESENTACION: ENVASE X 100 UN</t>
  </si>
  <si>
    <t>REACTIVOS P/EQUIPO; EQUIPO: SISTEMA AUTOMATIZADO HEMOCULTI, MARCA EQUIPO: BACT ALERT, NOMBRE DEL PRODUCTO: HEMOCULTIVO ADULTO, PRESENTACION: ENVASE X 100 UN</t>
  </si>
  <si>
    <t>MEDIOS DE CULTIVO Y SUPLEMENTO; NOMBRE DEL PRODUCTO: AGAR HIERRO TRIPLE AZUCAR, ESTADO: SOLIDO, PRESENTACION: ENVASE X 100 GR</t>
  </si>
  <si>
    <t>MEDIOS DE CULTIVO Y SUPLEMENTO; NOMBRE DEL PRODUCTO: AGAR SIM, ESTADO: SOLIDO, PRESENTACION: ENVASE X 100 GR</t>
  </si>
  <si>
    <t>MEDIOS DE CULTIVO Y SUPLEMENTO; NOMBRE DEL PRODUCTO: MEDIO MIO, ESTADO: SOLIDO, PRESENTACION: ENVASE X 100 GR</t>
  </si>
  <si>
    <t>MEDIOS DE CULTIVO Y SUPLEMENTO; NOMBRE DEL PRODUCTO: AGAR FENILALANINA, ESTADO: SOLIDO, PRESENTACION: ENVASE X 100 GR</t>
  </si>
  <si>
    <t>Descripción técnica</t>
  </si>
  <si>
    <t>Plazos y lugares de entrega</t>
  </si>
  <si>
    <t>LABORATORIO DE LA MATERNIDAD PROVINCIAL 25 DE MAYO - H DE PEDRAZA 1500</t>
  </si>
  <si>
    <t>Calidad Minima esperada</t>
  </si>
  <si>
    <t>ROCHE</t>
  </si>
  <si>
    <t>Mantenimiento</t>
  </si>
  <si>
    <t>Garantia</t>
  </si>
  <si>
    <t>Especificidades Item N° 102:</t>
  </si>
  <si>
    <t>REACTIVOS P/EQUIPO; EQUIPO: ANALIZADOR MULTIPARAMETRICO, MARCA EQUIPO: COBAS ROCHE, NOMBRE DEL PRODUCTO: DET. DE ACIDO URICO, PRESENTACION: 400 determinasiones</t>
  </si>
  <si>
    <t>Especificidades Item N° 103:</t>
  </si>
  <si>
    <t>Especificidades Item N° 104:</t>
  </si>
  <si>
    <t>REACTIVOS P/EQUIPO; EQUIPO: ANALIZADOR MULTIPARAMETRICO, MARCA EQUIPO: COBAS ROCHE, NOMBRE DEL PRODUCTO: DET. DE FOSFATASA ALCALINA, PRESENTACION: 400 DETERMINASIONES</t>
  </si>
  <si>
    <t>40- Ministerio de Salud</t>
  </si>
  <si>
    <t>29/2021</t>
  </si>
  <si>
    <t>Autorizo la realización de los  trámites correspondientes, a fin de proveer a  este Organismo los bienes y/o servicios que se detallan en Nota  de Pedido N° 29/2021 ,  afectando la erogación resultante a los créditos presupuestarios aprobados a favor de esta Unidad Ejecutora, conforme al siguiente detalle:"</t>
  </si>
  <si>
    <t xml:space="preserve"> REACTIVOS P/EQUIPO; EQUIPO: ANALIZADOR MULTIPARAMETRICO, MARCA EQUIPO: COBAS ROCHE, NOMBRE DEL PRODUCTO: DET. DE CREATININA, PRESENTACION: 700 DETERMIASIONES</t>
  </si>
  <si>
    <t>Especificidades Item N° 58:</t>
  </si>
  <si>
    <t>ANTIBIOTICOS; COMPUESTO QUIMICO: RIFAMPICINA, ESTADO: DISCO, CALIDAD: PRO ANALISIS, PRESENTACION: ENVASE X 50 UN 5 UG</t>
  </si>
  <si>
    <t>LIOFILCHEM</t>
  </si>
  <si>
    <t>SI</t>
  </si>
  <si>
    <t>Costo total: DOS MILLONES NOVECIENTOS CINCUENTA Y UN MIL TRESCIENTOS TREINTA Y DOS CON 66/100 CENTAVOS.</t>
  </si>
  <si>
    <t>TOTAL DE PESOS:  DOS MILLONES NOVECIENTOS CINCUENTA Y UN MIL TRESCIENTOS TREINTA Y DOS CON 66/100 CENTAVOS.</t>
  </si>
  <si>
    <t xml:space="preserve">30 DIAS HABILES </t>
  </si>
  <si>
    <t xml:space="preserve">10 DIAS DESDE LA RECEPCIONDE LA ORDEN DE COMPRA </t>
  </si>
  <si>
    <t>10 DIAS DESDE LA RECEPCIONDE LA ORDEN DE COMPRA</t>
  </si>
  <si>
    <t>REACTIVOS P/EQUIPO; EQUIPO: CONTADOR HEMATOLOGICO, MARCA EQUIPO: DIRUI, NOMBRE DEL PRODUCTO: WL19 CON AA 3 NIVELES, PRESENTACION: ENVASE X 3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</si>
</sst>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(\$* #,##0.00_);_(\$* \(#,##0.00\);_(\$* \-??_);_(@_)"/>
    <numFmt numFmtId="167" formatCode="[$$-2C0A]\ #,##0.00;[$$-2C0A]&quot; -&quot;#,##0.00"/>
    <numFmt numFmtId="168" formatCode="dd\-mm\-yy;@"/>
    <numFmt numFmtId="169" formatCode="[$$-2C0A]\ #,##0.00;[Red][$$-2C0A]\ \-#,##0.00"/>
    <numFmt numFmtId="170" formatCode="&quot;$&quot;\ #,##0.00"/>
  </numFmts>
  <fonts count="4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name val="Times New Roman"/>
      <family val="1"/>
    </font>
    <font>
      <sz val="9"/>
      <name val="Times New Roman"/>
      <family val="1"/>
      <charset val="1"/>
    </font>
    <font>
      <sz val="9"/>
      <color rgb="FF000000"/>
      <name val="Arial"/>
      <family val="2"/>
    </font>
    <font>
      <b/>
      <sz val="10"/>
      <name val="Arial"/>
      <family val="2"/>
    </font>
    <font>
      <b/>
      <sz val="18"/>
      <name val="Times New Roman"/>
      <family val="1"/>
    </font>
    <font>
      <b/>
      <sz val="12"/>
      <name val="Arial"/>
      <family val="2"/>
    </font>
    <font>
      <b/>
      <sz val="14"/>
      <name val="Times New Roman"/>
      <family val="1"/>
    </font>
    <font>
      <b/>
      <sz val="9"/>
      <name val="Times New Roman"/>
      <family val="1"/>
      <charset val="1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u/>
      <sz val="10"/>
      <name val="Times New Roman"/>
      <family val="1"/>
    </font>
    <font>
      <sz val="9"/>
      <color theme="1"/>
      <name val="Times New Roman"/>
      <family val="1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5" tint="0.59999389629810485"/>
        <bgColor indexed="65"/>
      </patternFill>
    </fill>
  </fills>
  <borders count="6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/>
      <bottom style="medium">
        <color rgb="FF3D3D3D"/>
      </bottom>
      <diagonal/>
    </border>
    <border>
      <left style="thin">
        <color rgb="FF3D3D3D"/>
      </left>
      <right/>
      <top/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thin">
        <color auto="1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auto="1"/>
      </right>
      <top style="thin">
        <color rgb="FF3D3D3D"/>
      </top>
      <bottom style="thin">
        <color rgb="FF3D3D3D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</borders>
  <cellStyleXfs count="11">
    <xf numFmtId="0" fontId="0" fillId="0" borderId="0"/>
    <xf numFmtId="0" fontId="6" fillId="0" borderId="1" applyProtection="0"/>
    <xf numFmtId="166" fontId="7" fillId="0" borderId="0" applyBorder="0" applyProtection="0"/>
    <xf numFmtId="0" fontId="8" fillId="2" borderId="0" applyBorder="0" applyProtection="0"/>
    <xf numFmtId="0" fontId="19" fillId="0" borderId="0"/>
    <xf numFmtId="165" fontId="28" fillId="0" borderId="0" applyFont="0" applyFill="0" applyBorder="0" applyAlignment="0" applyProtection="0"/>
    <xf numFmtId="0" fontId="19" fillId="0" borderId="0"/>
    <xf numFmtId="0" fontId="19" fillId="0" borderId="0"/>
    <xf numFmtId="0" fontId="41" fillId="5" borderId="0" applyNumberFormat="0" applyBorder="0" applyAlignment="0" applyProtection="0"/>
    <xf numFmtId="0" fontId="5" fillId="6" borderId="0" applyNumberFormat="0" applyBorder="0" applyAlignment="0" applyProtection="0"/>
    <xf numFmtId="0" fontId="4" fillId="7" borderId="0" applyNumberFormat="0" applyBorder="0" applyAlignment="0" applyProtection="0"/>
  </cellStyleXfs>
  <cellXfs count="190">
    <xf numFmtId="0" fontId="0" fillId="0" borderId="0" xfId="0"/>
    <xf numFmtId="0" fontId="0" fillId="0" borderId="0" xfId="0" applyBorder="1"/>
    <xf numFmtId="0" fontId="7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4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7" fillId="0" borderId="0" xfId="0" applyFont="1"/>
    <xf numFmtId="0" fontId="20" fillId="0" borderId="0" xfId="0" applyFont="1"/>
    <xf numFmtId="0" fontId="0" fillId="0" borderId="0" xfId="0" applyFill="1" applyBorder="1"/>
    <xf numFmtId="0" fontId="0" fillId="0" borderId="6" xfId="0" applyFill="1" applyBorder="1"/>
    <xf numFmtId="0" fontId="0" fillId="0" borderId="20" xfId="0" applyFill="1" applyBorder="1"/>
    <xf numFmtId="0" fontId="0" fillId="0" borderId="8" xfId="0" applyFill="1" applyBorder="1"/>
    <xf numFmtId="0" fontId="0" fillId="0" borderId="8" xfId="0" applyFill="1" applyBorder="1" applyAlignment="1">
      <alignment horizontal="left"/>
    </xf>
    <xf numFmtId="0" fontId="0" fillId="0" borderId="21" xfId="0" applyFill="1" applyBorder="1"/>
    <xf numFmtId="0" fontId="18" fillId="0" borderId="23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center" vertical="center"/>
    </xf>
    <xf numFmtId="0" fontId="18" fillId="0" borderId="19" xfId="0" applyFont="1" applyFill="1" applyBorder="1" applyAlignment="1">
      <alignment horizontal="center" vertical="center"/>
    </xf>
    <xf numFmtId="0" fontId="0" fillId="0" borderId="26" xfId="0" applyFont="1" applyFill="1" applyBorder="1" applyAlignment="1">
      <alignment horizontal="center" vertical="center"/>
    </xf>
    <xf numFmtId="0" fontId="0" fillId="0" borderId="27" xfId="0" applyFont="1" applyFill="1" applyBorder="1" applyAlignment="1">
      <alignment horizontal="center" vertical="center"/>
    </xf>
    <xf numFmtId="0" fontId="19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9" fillId="0" borderId="32" xfId="0" applyFont="1" applyFill="1" applyBorder="1" applyAlignment="1">
      <alignment horizontal="center" vertical="center"/>
    </xf>
    <xf numFmtId="167" fontId="18" fillId="0" borderId="34" xfId="0" applyNumberFormat="1" applyFont="1" applyFill="1" applyBorder="1" applyAlignment="1">
      <alignment horizontal="center" vertical="center"/>
    </xf>
    <xf numFmtId="165" fontId="19" fillId="0" borderId="0" xfId="0" applyNumberFormat="1" applyFont="1" applyAlignment="1"/>
    <xf numFmtId="0" fontId="19" fillId="0" borderId="32" xfId="0" applyFont="1" applyFill="1" applyBorder="1" applyAlignment="1">
      <alignment horizontal="left" vertical="center"/>
    </xf>
    <xf numFmtId="0" fontId="0" fillId="0" borderId="32" xfId="0" applyFont="1" applyFill="1" applyBorder="1" applyAlignment="1">
      <alignment horizontal="left" vertical="center"/>
    </xf>
    <xf numFmtId="0" fontId="0" fillId="0" borderId="49" xfId="0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left"/>
    </xf>
    <xf numFmtId="167" fontId="0" fillId="0" borderId="52" xfId="2" applyNumberFormat="1" applyFont="1" applyFill="1" applyBorder="1" applyAlignment="1" applyProtection="1">
      <alignment horizontal="center" vertical="center"/>
    </xf>
    <xf numFmtId="0" fontId="10" fillId="4" borderId="6" xfId="0" applyFont="1" applyFill="1" applyBorder="1" applyAlignment="1">
      <alignment horizontal="right" vertical="center"/>
    </xf>
    <xf numFmtId="0" fontId="11" fillId="4" borderId="7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vertical="center"/>
    </xf>
    <xf numFmtId="0" fontId="10" fillId="4" borderId="0" xfId="0" applyFont="1" applyFill="1" applyBorder="1" applyAlignment="1">
      <alignment vertical="center"/>
    </xf>
    <xf numFmtId="0" fontId="12" fillId="4" borderId="0" xfId="0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left" vertical="center" wrapText="1" indent="1"/>
    </xf>
    <xf numFmtId="0" fontId="32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0" fontId="29" fillId="4" borderId="5" xfId="0" applyFont="1" applyFill="1" applyBorder="1" applyAlignment="1">
      <alignment horizontal="center" vertical="center" wrapText="1"/>
    </xf>
    <xf numFmtId="165" fontId="0" fillId="4" borderId="5" xfId="5" applyFont="1" applyFill="1" applyBorder="1"/>
    <xf numFmtId="0" fontId="0" fillId="4" borderId="5" xfId="0" applyFill="1" applyBorder="1" applyAlignment="1">
      <alignment horizontal="center"/>
    </xf>
    <xf numFmtId="0" fontId="29" fillId="4" borderId="5" xfId="0" applyFont="1" applyFill="1" applyBorder="1" applyAlignment="1">
      <alignment horizontal="center" vertical="center"/>
    </xf>
    <xf numFmtId="0" fontId="29" fillId="4" borderId="43" xfId="0" applyFont="1" applyFill="1" applyBorder="1" applyAlignment="1">
      <alignment horizontal="center" vertical="center"/>
    </xf>
    <xf numFmtId="165" fontId="37" fillId="4" borderId="46" xfId="0" applyNumberFormat="1" applyFont="1" applyFill="1" applyBorder="1" applyAlignment="1">
      <alignment vertical="center"/>
    </xf>
    <xf numFmtId="0" fontId="7" fillId="4" borderId="0" xfId="0" applyFont="1" applyFill="1" applyBorder="1" applyAlignment="1">
      <alignment vertical="center"/>
    </xf>
    <xf numFmtId="0" fontId="35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 wrapText="1"/>
    </xf>
    <xf numFmtId="0" fontId="29" fillId="4" borderId="0" xfId="0" applyFont="1" applyFill="1" applyBorder="1" applyAlignment="1">
      <alignment horizontal="center" vertical="center"/>
    </xf>
    <xf numFmtId="164" fontId="7" fillId="4" borderId="0" xfId="0" applyNumberFormat="1" applyFont="1" applyFill="1" applyBorder="1" applyAlignment="1">
      <alignment vertical="center"/>
    </xf>
    <xf numFmtId="0" fontId="20" fillId="4" borderId="0" xfId="0" applyFont="1" applyFill="1"/>
    <xf numFmtId="0" fontId="24" fillId="4" borderId="2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/>
    </xf>
    <xf numFmtId="0" fontId="30" fillId="4" borderId="5" xfId="0" applyFont="1" applyFill="1" applyBorder="1" applyAlignment="1">
      <alignment horizontal="center" vertical="center"/>
    </xf>
    <xf numFmtId="0" fontId="3" fillId="4" borderId="5" xfId="8" applyFont="1" applyFill="1" applyBorder="1" applyAlignment="1">
      <alignment horizontal="center" vertical="center"/>
    </xf>
    <xf numFmtId="165" fontId="31" fillId="0" borderId="5" xfId="5" applyFont="1" applyFill="1" applyBorder="1" applyAlignment="1">
      <alignment vertical="center" wrapText="1"/>
    </xf>
    <xf numFmtId="165" fontId="44" fillId="0" borderId="5" xfId="5" applyFont="1" applyFill="1" applyBorder="1" applyAlignment="1">
      <alignment vertical="center" wrapText="1"/>
    </xf>
    <xf numFmtId="0" fontId="25" fillId="4" borderId="64" xfId="0" applyFont="1" applyFill="1" applyBorder="1" applyAlignment="1">
      <alignment horizontal="center" vertical="center"/>
    </xf>
    <xf numFmtId="0" fontId="43" fillId="4" borderId="5" xfId="0" applyFont="1" applyFill="1" applyBorder="1" applyAlignment="1">
      <alignment horizontal="center" vertical="center"/>
    </xf>
    <xf numFmtId="0" fontId="41" fillId="4" borderId="0" xfId="8" applyFill="1"/>
    <xf numFmtId="167" fontId="0" fillId="0" borderId="66" xfId="2" applyNumberFormat="1" applyFont="1" applyFill="1" applyBorder="1" applyAlignment="1" applyProtection="1">
      <alignment horizontal="right" vertical="center"/>
    </xf>
    <xf numFmtId="169" fontId="19" fillId="0" borderId="5" xfId="0" applyNumberFormat="1" applyFont="1" applyBorder="1" applyAlignment="1">
      <alignment horizontal="right"/>
    </xf>
    <xf numFmtId="0" fontId="31" fillId="4" borderId="0" xfId="0" applyFont="1" applyFill="1" applyBorder="1" applyAlignment="1">
      <alignment horizontal="left" vertical="center"/>
    </xf>
    <xf numFmtId="165" fontId="7" fillId="0" borderId="0" xfId="0" applyNumberFormat="1" applyFont="1" applyBorder="1" applyAlignment="1">
      <alignment vertical="center"/>
    </xf>
    <xf numFmtId="0" fontId="2" fillId="0" borderId="5" xfId="8" applyFont="1" applyFill="1" applyBorder="1" applyAlignment="1">
      <alignment horizontal="center" vertical="center" wrapText="1"/>
    </xf>
    <xf numFmtId="0" fontId="2" fillId="0" borderId="5" xfId="8" applyFont="1" applyFill="1" applyBorder="1" applyAlignment="1">
      <alignment wrapText="1"/>
    </xf>
    <xf numFmtId="165" fontId="20" fillId="0" borderId="0" xfId="0" applyNumberFormat="1" applyFont="1"/>
    <xf numFmtId="170" fontId="0" fillId="0" borderId="0" xfId="0" applyNumberFormat="1"/>
    <xf numFmtId="0" fontId="20" fillId="0" borderId="0" xfId="0" applyFont="1" applyFill="1"/>
    <xf numFmtId="0" fontId="23" fillId="0" borderId="0" xfId="0" applyFont="1" applyFill="1" applyAlignment="1">
      <alignment horizontal="left" wrapText="1"/>
    </xf>
    <xf numFmtId="0" fontId="23" fillId="0" borderId="0" xfId="0" applyFont="1" applyFill="1" applyAlignment="1">
      <alignment horizontal="center" wrapText="1"/>
    </xf>
    <xf numFmtId="0" fontId="27" fillId="0" borderId="0" xfId="0" applyFont="1" applyFill="1" applyAlignment="1">
      <alignment horizontal="left" wrapText="1" indent="1"/>
    </xf>
    <xf numFmtId="0" fontId="24" fillId="0" borderId="0" xfId="0" applyFont="1" applyFill="1" applyAlignment="1">
      <alignment horizontal="left" wrapText="1"/>
    </xf>
    <xf numFmtId="0" fontId="24" fillId="0" borderId="2" xfId="0" applyFont="1" applyFill="1" applyBorder="1" applyAlignment="1">
      <alignment horizontal="center" vertical="center" wrapText="1"/>
    </xf>
    <xf numFmtId="0" fontId="24" fillId="0" borderId="38" xfId="0" applyFont="1" applyFill="1" applyBorder="1" applyAlignment="1">
      <alignment horizontal="center" vertical="center" wrapText="1"/>
    </xf>
    <xf numFmtId="0" fontId="24" fillId="0" borderId="39" xfId="0" applyFont="1" applyFill="1" applyBorder="1" applyAlignment="1">
      <alignment horizontal="center" vertical="center" wrapText="1"/>
    </xf>
    <xf numFmtId="0" fontId="33" fillId="0" borderId="5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left" vertical="center" wrapText="1"/>
    </xf>
    <xf numFmtId="0" fontId="26" fillId="0" borderId="47" xfId="0" applyFont="1" applyFill="1" applyBorder="1" applyAlignment="1">
      <alignment horizontal="center" vertical="center" wrapText="1"/>
    </xf>
    <xf numFmtId="0" fontId="34" fillId="0" borderId="5" xfId="0" applyFont="1" applyFill="1" applyBorder="1" applyAlignment="1">
      <alignment wrapText="1"/>
    </xf>
    <xf numFmtId="0" fontId="34" fillId="0" borderId="44" xfId="0" applyFont="1" applyFill="1" applyBorder="1" applyAlignment="1">
      <alignment horizontal="center" wrapText="1"/>
    </xf>
    <xf numFmtId="0" fontId="34" fillId="0" borderId="55" xfId="0" applyFont="1" applyFill="1" applyBorder="1" applyAlignment="1">
      <alignment wrapText="1"/>
    </xf>
    <xf numFmtId="0" fontId="34" fillId="0" borderId="55" xfId="0" applyFont="1" applyFill="1" applyBorder="1" applyAlignment="1">
      <alignment horizontal="center" wrapText="1"/>
    </xf>
    <xf numFmtId="0" fontId="39" fillId="0" borderId="5" xfId="0" applyFont="1" applyFill="1" applyBorder="1" applyAlignment="1">
      <alignment horizontal="center" vertical="center"/>
    </xf>
    <xf numFmtId="0" fontId="33" fillId="0" borderId="43" xfId="0" applyFont="1" applyFill="1" applyBorder="1" applyAlignment="1">
      <alignment horizontal="center" vertical="center"/>
    </xf>
    <xf numFmtId="0" fontId="31" fillId="0" borderId="5" xfId="0" applyFont="1" applyFill="1" applyBorder="1" applyAlignment="1">
      <alignment horizontal="left" vertical="center"/>
    </xf>
    <xf numFmtId="0" fontId="26" fillId="0" borderId="65" xfId="0" applyFont="1" applyFill="1" applyBorder="1" applyAlignment="1">
      <alignment horizontal="left" vertical="center" wrapText="1"/>
    </xf>
    <xf numFmtId="0" fontId="34" fillId="0" borderId="48" xfId="0" applyFont="1" applyFill="1" applyBorder="1" applyAlignment="1">
      <alignment wrapText="1"/>
    </xf>
    <xf numFmtId="0" fontId="34" fillId="0" borderId="48" xfId="0" applyFont="1" applyFill="1" applyBorder="1" applyAlignment="1">
      <alignment horizontal="center" wrapText="1"/>
    </xf>
    <xf numFmtId="165" fontId="31" fillId="0" borderId="43" xfId="5" applyFont="1" applyFill="1" applyBorder="1" applyAlignment="1">
      <alignment vertical="center" wrapText="1"/>
    </xf>
    <xf numFmtId="0" fontId="2" fillId="0" borderId="5" xfId="8" applyFont="1" applyFill="1" applyBorder="1" applyAlignment="1">
      <alignment horizontal="center" vertical="center"/>
    </xf>
    <xf numFmtId="0" fontId="2" fillId="0" borderId="5" xfId="8" applyFont="1" applyFill="1" applyBorder="1" applyAlignment="1">
      <alignment horizontal="left" vertical="center" wrapText="1"/>
    </xf>
    <xf numFmtId="0" fontId="2" fillId="0" borderId="5" xfId="8" applyFont="1" applyFill="1" applyBorder="1" applyAlignment="1"/>
    <xf numFmtId="0" fontId="2" fillId="0" borderId="5" xfId="8" applyFont="1" applyFill="1" applyBorder="1"/>
    <xf numFmtId="0" fontId="2" fillId="0" borderId="5" xfId="8" applyFont="1" applyFill="1" applyBorder="1" applyAlignment="1">
      <alignment horizontal="center"/>
    </xf>
    <xf numFmtId="0" fontId="2" fillId="0" borderId="5" xfId="8" applyFont="1" applyFill="1" applyBorder="1" applyAlignment="1">
      <alignment horizontal="left" wrapText="1"/>
    </xf>
    <xf numFmtId="0" fontId="2" fillId="0" borderId="5" xfId="8" applyFont="1" applyFill="1" applyBorder="1" applyAlignment="1">
      <alignment horizontal="left"/>
    </xf>
    <xf numFmtId="0" fontId="2" fillId="0" borderId="5" xfId="9" applyFont="1" applyFill="1" applyBorder="1" applyAlignment="1"/>
    <xf numFmtId="0" fontId="2" fillId="0" borderId="5" xfId="9" applyFont="1" applyFill="1" applyBorder="1"/>
    <xf numFmtId="0" fontId="2" fillId="0" borderId="5" xfId="9" applyFont="1" applyFill="1" applyBorder="1" applyAlignment="1">
      <alignment wrapText="1"/>
    </xf>
    <xf numFmtId="0" fontId="2" fillId="0" borderId="5" xfId="9" applyFont="1" applyFill="1" applyBorder="1" applyAlignment="1">
      <alignment horizontal="center"/>
    </xf>
    <xf numFmtId="169" fontId="2" fillId="0" borderId="5" xfId="10" applyNumberFormat="1" applyFont="1" applyFill="1" applyBorder="1"/>
    <xf numFmtId="169" fontId="2" fillId="0" borderId="5" xfId="9" applyNumberFormat="1" applyFont="1" applyFill="1" applyBorder="1"/>
    <xf numFmtId="0" fontId="2" fillId="0" borderId="5" xfId="9" applyFont="1" applyFill="1" applyBorder="1" applyAlignment="1">
      <alignment horizontal="left"/>
    </xf>
    <xf numFmtId="0" fontId="2" fillId="0" borderId="5" xfId="10" applyFont="1" applyFill="1" applyBorder="1" applyAlignment="1">
      <alignment horizontal="left"/>
    </xf>
    <xf numFmtId="0" fontId="2" fillId="0" borderId="5" xfId="10" applyFont="1" applyFill="1" applyBorder="1" applyAlignment="1">
      <alignment wrapText="1"/>
    </xf>
    <xf numFmtId="0" fontId="2" fillId="0" borderId="5" xfId="10" applyFont="1" applyFill="1" applyBorder="1"/>
    <xf numFmtId="0" fontId="2" fillId="0" borderId="5" xfId="10" applyFont="1" applyFill="1" applyBorder="1" applyAlignment="1">
      <alignment horizontal="center"/>
    </xf>
    <xf numFmtId="0" fontId="2" fillId="0" borderId="5" xfId="10" applyFont="1" applyFill="1" applyBorder="1" applyAlignment="1"/>
    <xf numFmtId="0" fontId="2" fillId="0" borderId="5" xfId="9" applyFont="1" applyFill="1" applyBorder="1" applyAlignment="1">
      <alignment horizontal="center" wrapText="1"/>
    </xf>
    <xf numFmtId="0" fontId="2" fillId="0" borderId="5" xfId="9" applyFont="1" applyFill="1" applyBorder="1" applyAlignment="1">
      <alignment horizontal="left" wrapText="1"/>
    </xf>
    <xf numFmtId="0" fontId="20" fillId="0" borderId="0" xfId="0" applyFont="1" applyFill="1" applyAlignment="1">
      <alignment horizontal="center"/>
    </xf>
    <xf numFmtId="165" fontId="20" fillId="0" borderId="0" xfId="0" applyNumberFormat="1" applyFont="1" applyFill="1"/>
    <xf numFmtId="0" fontId="42" fillId="0" borderId="56" xfId="0" applyFont="1" applyFill="1" applyBorder="1"/>
    <xf numFmtId="0" fontId="20" fillId="0" borderId="57" xfId="0" applyFont="1" applyFill="1" applyBorder="1"/>
    <xf numFmtId="0" fontId="20" fillId="0" borderId="58" xfId="0" applyFont="1" applyFill="1" applyBorder="1"/>
    <xf numFmtId="0" fontId="20" fillId="0" borderId="59" xfId="0" applyFont="1" applyFill="1" applyBorder="1"/>
    <xf numFmtId="0" fontId="20" fillId="0" borderId="60" xfId="0" applyFont="1" applyFill="1" applyBorder="1"/>
    <xf numFmtId="0" fontId="42" fillId="0" borderId="59" xfId="0" applyFont="1" applyFill="1" applyBorder="1" applyAlignment="1">
      <alignment horizontal="left" indent="3"/>
    </xf>
    <xf numFmtId="0" fontId="20" fillId="0" borderId="59" xfId="0" applyFont="1" applyFill="1" applyBorder="1" applyAlignment="1">
      <alignment horizontal="left" indent="3"/>
    </xf>
    <xf numFmtId="0" fontId="20" fillId="0" borderId="0" xfId="0" applyFont="1" applyFill="1" applyAlignment="1">
      <alignment horizontal="center" wrapText="1"/>
    </xf>
    <xf numFmtId="0" fontId="20" fillId="0" borderId="60" xfId="0" applyFont="1" applyFill="1" applyBorder="1" applyAlignment="1">
      <alignment horizontal="center" wrapText="1"/>
    </xf>
    <xf numFmtId="0" fontId="20" fillId="0" borderId="61" xfId="0" applyFont="1" applyFill="1" applyBorder="1" applyAlignment="1">
      <alignment horizontal="left" indent="3"/>
    </xf>
    <xf numFmtId="0" fontId="20" fillId="0" borderId="62" xfId="0" applyFont="1" applyFill="1" applyBorder="1"/>
    <xf numFmtId="0" fontId="20" fillId="0" borderId="63" xfId="0" applyFont="1" applyFill="1" applyBorder="1"/>
    <xf numFmtId="165" fontId="31" fillId="0" borderId="60" xfId="5" applyFont="1" applyFill="1" applyBorder="1" applyAlignment="1">
      <alignment vertical="center" wrapText="1"/>
    </xf>
    <xf numFmtId="0" fontId="20" fillId="0" borderId="60" xfId="0" applyFont="1" applyFill="1" applyBorder="1" applyAlignment="1">
      <alignment horizontal="center"/>
    </xf>
    <xf numFmtId="0" fontId="20" fillId="0" borderId="60" xfId="0" applyFont="1" applyFill="1" applyBorder="1" applyAlignment="1">
      <alignment horizontal="center" wrapText="1"/>
    </xf>
    <xf numFmtId="0" fontId="22" fillId="4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left" wrapText="1" indent="1"/>
    </xf>
    <xf numFmtId="0" fontId="40" fillId="4" borderId="5" xfId="0" applyFont="1" applyFill="1" applyBorder="1" applyAlignment="1">
      <alignment horizontal="center" wrapText="1"/>
    </xf>
    <xf numFmtId="0" fontId="13" fillId="4" borderId="12" xfId="0" applyFont="1" applyFill="1" applyBorder="1" applyAlignment="1">
      <alignment horizontal="center" vertical="center"/>
    </xf>
    <xf numFmtId="0" fontId="13" fillId="4" borderId="40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left" vertical="center" wrapText="1"/>
    </xf>
    <xf numFmtId="0" fontId="12" fillId="4" borderId="11" xfId="0" applyFont="1" applyFill="1" applyBorder="1" applyAlignment="1">
      <alignment horizontal="left" vertical="center" wrapText="1"/>
    </xf>
    <xf numFmtId="0" fontId="11" fillId="4" borderId="10" xfId="0" applyFont="1" applyFill="1" applyBorder="1" applyAlignment="1">
      <alignment horizontal="left" vertical="center" wrapText="1" indent="1"/>
    </xf>
    <xf numFmtId="0" fontId="12" fillId="4" borderId="12" xfId="0" applyFont="1" applyFill="1" applyBorder="1" applyAlignment="1">
      <alignment horizontal="left" vertical="center"/>
    </xf>
    <xf numFmtId="0" fontId="11" fillId="3" borderId="13" xfId="0" applyFont="1" applyFill="1" applyBorder="1" applyAlignment="1">
      <alignment horizontal="left" vertical="center" wrapText="1" indent="1"/>
    </xf>
    <xf numFmtId="0" fontId="16" fillId="0" borderId="9" xfId="0" applyFont="1" applyBorder="1" applyAlignment="1">
      <alignment horizontal="left"/>
    </xf>
    <xf numFmtId="0" fontId="16" fillId="0" borderId="36" xfId="0" applyFont="1" applyBorder="1" applyAlignment="1">
      <alignment horizontal="left"/>
    </xf>
    <xf numFmtId="0" fontId="16" fillId="0" borderId="37" xfId="0" applyFont="1" applyBorder="1" applyAlignment="1">
      <alignment horizontal="left"/>
    </xf>
    <xf numFmtId="0" fontId="38" fillId="4" borderId="44" xfId="0" applyFont="1" applyFill="1" applyBorder="1" applyAlignment="1">
      <alignment horizontal="left" vertical="center"/>
    </xf>
    <xf numFmtId="0" fontId="36" fillId="4" borderId="45" xfId="0" applyFont="1" applyFill="1" applyBorder="1" applyAlignment="1">
      <alignment horizontal="left" vertical="center"/>
    </xf>
    <xf numFmtId="0" fontId="36" fillId="4" borderId="46" xfId="0" applyFont="1" applyFill="1" applyBorder="1" applyAlignment="1">
      <alignment horizontal="left" vertical="center"/>
    </xf>
    <xf numFmtId="0" fontId="13" fillId="4" borderId="13" xfId="0" applyFont="1" applyFill="1" applyBorder="1" applyAlignment="1">
      <alignment horizontal="center" vertical="center" wrapText="1"/>
    </xf>
    <xf numFmtId="0" fontId="13" fillId="4" borderId="42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/>
    </xf>
    <xf numFmtId="3" fontId="14" fillId="0" borderId="16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 vertical="center" wrapText="1"/>
    </xf>
    <xf numFmtId="0" fontId="7" fillId="0" borderId="7" xfId="0" applyFont="1" applyBorder="1"/>
    <xf numFmtId="0" fontId="16" fillId="0" borderId="7" xfId="0" applyFont="1" applyBorder="1" applyAlignment="1">
      <alignment horizontal="left" indent="1"/>
    </xf>
    <xf numFmtId="0" fontId="9" fillId="0" borderId="9" xfId="0" applyFont="1" applyFill="1" applyBorder="1" applyAlignment="1">
      <alignment horizontal="left" vertical="center" wrapText="1"/>
    </xf>
    <xf numFmtId="0" fontId="9" fillId="0" borderId="36" xfId="0" applyFont="1" applyFill="1" applyBorder="1" applyAlignment="1">
      <alignment horizontal="left" vertical="center" wrapText="1"/>
    </xf>
    <xf numFmtId="0" fontId="9" fillId="0" borderId="37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left" indent="1"/>
    </xf>
    <xf numFmtId="0" fontId="17" fillId="0" borderId="7" xfId="0" applyFont="1" applyFill="1" applyBorder="1" applyAlignment="1">
      <alignment horizontal="left"/>
    </xf>
    <xf numFmtId="0" fontId="16" fillId="0" borderId="9" xfId="0" applyFont="1" applyFill="1" applyBorder="1" applyAlignment="1">
      <alignment horizontal="left" wrapText="1" indent="1"/>
    </xf>
    <xf numFmtId="0" fontId="16" fillId="0" borderId="36" xfId="0" applyFont="1" applyFill="1" applyBorder="1" applyAlignment="1">
      <alignment horizontal="left" wrapText="1" indent="1"/>
    </xf>
    <xf numFmtId="0" fontId="16" fillId="0" borderId="37" xfId="0" applyFont="1" applyFill="1" applyBorder="1" applyAlignment="1">
      <alignment horizontal="left" wrapText="1" indent="1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0" borderId="27" xfId="0" applyFont="1" applyFill="1" applyBorder="1" applyAlignment="1">
      <alignment horizontal="left" vertical="center" wrapText="1"/>
    </xf>
    <xf numFmtId="0" fontId="31" fillId="0" borderId="28" xfId="0" applyFont="1" applyFill="1" applyBorder="1" applyAlignment="1">
      <alignment horizontal="left" vertical="center" wrapText="1"/>
    </xf>
    <xf numFmtId="0" fontId="16" fillId="0" borderId="18" xfId="0" applyFont="1" applyFill="1" applyBorder="1"/>
    <xf numFmtId="0" fontId="16" fillId="0" borderId="19" xfId="0" applyFont="1" applyFill="1" applyBorder="1" applyAlignment="1">
      <alignment horizontal="left" vertical="center" wrapText="1" indent="1"/>
    </xf>
    <xf numFmtId="0" fontId="18" fillId="0" borderId="17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 wrapText="1"/>
    </xf>
    <xf numFmtId="0" fontId="18" fillId="0" borderId="22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13" xfId="0" applyFont="1" applyFill="1" applyBorder="1" applyAlignment="1">
      <alignment vertical="center" wrapText="1"/>
    </xf>
    <xf numFmtId="0" fontId="16" fillId="0" borderId="22" xfId="0" applyFont="1" applyFill="1" applyBorder="1" applyAlignment="1">
      <alignment vertical="center" wrapText="1"/>
    </xf>
    <xf numFmtId="0" fontId="16" fillId="0" borderId="34" xfId="0" applyFont="1" applyFill="1" applyBorder="1" applyAlignment="1">
      <alignment horizontal="left" vertical="center" wrapText="1" indent="1"/>
    </xf>
    <xf numFmtId="0" fontId="0" fillId="0" borderId="33" xfId="0" applyFill="1" applyBorder="1" applyAlignment="1">
      <alignment horizontal="left" vertical="center"/>
    </xf>
    <xf numFmtId="0" fontId="18" fillId="0" borderId="34" xfId="0" applyFont="1" applyFill="1" applyBorder="1" applyAlignment="1">
      <alignment horizontal="left" vertical="center" wrapText="1"/>
    </xf>
    <xf numFmtId="0" fontId="0" fillId="0" borderId="17" xfId="0" applyFill="1" applyBorder="1"/>
    <xf numFmtId="0" fontId="1" fillId="0" borderId="5" xfId="9" applyFont="1" applyFill="1" applyBorder="1" applyAlignment="1">
      <alignment horizontal="left"/>
    </xf>
    <xf numFmtId="49" fontId="0" fillId="0" borderId="0" xfId="0" applyNumberFormat="1" applyAlignment="1">
      <alignment vertical="center" wrapText="1"/>
    </xf>
  </cellXfs>
  <cellStyles count="11">
    <cellStyle name="40% - Énfasis2" xfId="10" builtinId="35"/>
    <cellStyle name="40% - Énfasis4" xfId="9" builtinId="43"/>
    <cellStyle name="Buena" xfId="8" builtinId="26"/>
    <cellStyle name="Encabezado 1" xfId="1"/>
    <cellStyle name="Moneda" xfId="5" builtinId="4"/>
    <cellStyle name="Moneda_AUTORIZACION Y NOTA DE PEDIDO" xfId="2"/>
    <cellStyle name="Neutral 1" xfId="3"/>
    <cellStyle name="Normal" xfId="0" builtinId="0"/>
    <cellStyle name="Normal 2" xfId="4"/>
    <cellStyle name="Normal 3" xfId="6"/>
    <cellStyle name="Normal 4" xfId="7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06"/>
  <sheetViews>
    <sheetView topLeftCell="A109" zoomScale="90" zoomScaleNormal="90" workbookViewId="0">
      <selection activeCell="E112" sqref="E112"/>
    </sheetView>
  </sheetViews>
  <sheetFormatPr baseColWidth="10" defaultColWidth="11" defaultRowHeight="12.75" x14ac:dyDescent="0.2"/>
  <cols>
    <col min="1" max="1" width="4.5703125" style="57" customWidth="1"/>
    <col min="2" max="2" width="27.28515625" style="75" bestFit="1" customWidth="1"/>
    <col min="3" max="3" width="29.5703125" style="75" customWidth="1"/>
    <col min="4" max="4" width="8.42578125" style="75" customWidth="1"/>
    <col min="5" max="5" width="76.5703125" style="75" customWidth="1"/>
    <col min="6" max="6" width="11" style="75"/>
    <col min="7" max="7" width="12.7109375" style="118" customWidth="1"/>
    <col min="8" max="8" width="15.42578125" style="75" customWidth="1"/>
    <col min="9" max="9" width="18.5703125" style="75" customWidth="1"/>
    <col min="10" max="10" width="13.140625" style="7" customWidth="1"/>
    <col min="11" max="16384" width="11" style="7"/>
  </cols>
  <sheetData>
    <row r="2" spans="1:9" ht="27" x14ac:dyDescent="0.35">
      <c r="B2" s="136" t="s">
        <v>0</v>
      </c>
      <c r="C2" s="136"/>
      <c r="D2" s="136"/>
      <c r="E2" s="136"/>
      <c r="F2" s="136"/>
      <c r="G2" s="136"/>
      <c r="H2" s="136"/>
    </row>
    <row r="4" spans="1:9" ht="18" customHeight="1" x14ac:dyDescent="0.25">
      <c r="A4" s="135" t="s">
        <v>1</v>
      </c>
      <c r="B4" s="135"/>
      <c r="C4" s="137" t="s">
        <v>52</v>
      </c>
      <c r="D4" s="137"/>
      <c r="E4" s="137"/>
      <c r="F4" s="76"/>
      <c r="G4" s="77"/>
      <c r="H4" s="76"/>
    </row>
    <row r="5" spans="1:9" ht="18" customHeight="1" x14ac:dyDescent="0.25">
      <c r="A5" s="135" t="s">
        <v>2</v>
      </c>
      <c r="B5" s="135"/>
      <c r="C5" s="137" t="s">
        <v>57</v>
      </c>
      <c r="D5" s="137"/>
      <c r="E5" s="137"/>
      <c r="F5" s="76"/>
      <c r="G5" s="77"/>
      <c r="H5" s="76"/>
    </row>
    <row r="6" spans="1:9" ht="16.5" customHeight="1" x14ac:dyDescent="0.25">
      <c r="A6" s="135" t="s">
        <v>3</v>
      </c>
      <c r="B6" s="135"/>
      <c r="C6" s="78" t="s">
        <v>235</v>
      </c>
      <c r="D6" s="79"/>
      <c r="E6" s="79"/>
      <c r="F6" s="76"/>
      <c r="G6" s="77"/>
      <c r="H6" s="76"/>
    </row>
    <row r="7" spans="1:9" ht="16.5" customHeight="1" x14ac:dyDescent="0.25">
      <c r="A7" s="135" t="s">
        <v>4</v>
      </c>
      <c r="B7" s="135"/>
      <c r="C7" s="78">
        <v>1</v>
      </c>
      <c r="D7" s="79"/>
      <c r="E7" s="79"/>
      <c r="F7" s="76"/>
      <c r="G7" s="77"/>
      <c r="H7" s="76"/>
    </row>
    <row r="8" spans="1:9" ht="13.5" thickBot="1" x14ac:dyDescent="0.25">
      <c r="B8" s="76"/>
      <c r="C8" s="77"/>
      <c r="D8" s="76"/>
      <c r="E8" s="76"/>
      <c r="F8" s="76"/>
      <c r="G8" s="77"/>
      <c r="H8" s="76"/>
    </row>
    <row r="9" spans="1:9" ht="39.75" thickTop="1" thickBot="1" x14ac:dyDescent="0.25">
      <c r="A9" s="58" t="s">
        <v>5</v>
      </c>
      <c r="B9" s="80" t="s">
        <v>6</v>
      </c>
      <c r="C9" s="80" t="s">
        <v>7</v>
      </c>
      <c r="D9" s="80" t="s">
        <v>8</v>
      </c>
      <c r="E9" s="80" t="s">
        <v>9</v>
      </c>
      <c r="F9" s="80" t="s">
        <v>10</v>
      </c>
      <c r="G9" s="80" t="s">
        <v>11</v>
      </c>
      <c r="H9" s="81" t="s">
        <v>12</v>
      </c>
      <c r="I9" s="82" t="s">
        <v>13</v>
      </c>
    </row>
    <row r="10" spans="1:9" ht="50.25" customHeight="1" thickBot="1" x14ac:dyDescent="0.25">
      <c r="A10" s="59">
        <v>1</v>
      </c>
      <c r="B10" s="83" t="s">
        <v>59</v>
      </c>
      <c r="C10" s="84" t="s">
        <v>58</v>
      </c>
      <c r="D10" s="85" t="str">
        <f>LEFT(B10,5)</f>
        <v>2.5.1</v>
      </c>
      <c r="E10" s="86" t="s">
        <v>239</v>
      </c>
      <c r="F10" s="86" t="s">
        <v>56</v>
      </c>
      <c r="G10" s="87">
        <v>1</v>
      </c>
      <c r="H10" s="62">
        <v>1505.9</v>
      </c>
      <c r="I10" s="62">
        <f>H10*G10</f>
        <v>1505.9</v>
      </c>
    </row>
    <row r="11" spans="1:9" ht="50.25" customHeight="1" thickBot="1" x14ac:dyDescent="0.25">
      <c r="A11" s="59">
        <v>2</v>
      </c>
      <c r="B11" s="83" t="s">
        <v>60</v>
      </c>
      <c r="C11" s="84" t="s">
        <v>58</v>
      </c>
      <c r="D11" s="85" t="str">
        <f t="shared" ref="D11:D74" si="0">LEFT(B11,5)</f>
        <v>2.5.1</v>
      </c>
      <c r="E11" s="88" t="s">
        <v>240</v>
      </c>
      <c r="F11" s="88" t="s">
        <v>56</v>
      </c>
      <c r="G11" s="89">
        <v>1</v>
      </c>
      <c r="H11" s="62">
        <v>11963.599999999999</v>
      </c>
      <c r="I11" s="62">
        <f t="shared" ref="I11:I74" si="1">H11*G11</f>
        <v>11963.599999999999</v>
      </c>
    </row>
    <row r="12" spans="1:9" ht="50.25" customHeight="1" thickBot="1" x14ac:dyDescent="0.25">
      <c r="A12" s="59">
        <v>3</v>
      </c>
      <c r="B12" s="83" t="s">
        <v>61</v>
      </c>
      <c r="C12" s="84" t="s">
        <v>58</v>
      </c>
      <c r="D12" s="85" t="str">
        <f t="shared" si="0"/>
        <v>2.5.1</v>
      </c>
      <c r="E12" s="88" t="s">
        <v>241</v>
      </c>
      <c r="F12" s="88" t="s">
        <v>56</v>
      </c>
      <c r="G12" s="89">
        <v>1</v>
      </c>
      <c r="H12" s="62">
        <v>14326.400000000001</v>
      </c>
      <c r="I12" s="62">
        <f t="shared" si="1"/>
        <v>14326.400000000001</v>
      </c>
    </row>
    <row r="13" spans="1:9" ht="50.25" customHeight="1" thickBot="1" x14ac:dyDescent="0.25">
      <c r="A13" s="59">
        <v>4</v>
      </c>
      <c r="B13" s="83" t="s">
        <v>62</v>
      </c>
      <c r="C13" s="84" t="s">
        <v>58</v>
      </c>
      <c r="D13" s="85" t="str">
        <f t="shared" si="0"/>
        <v>2.5.1</v>
      </c>
      <c r="E13" s="88" t="s">
        <v>242</v>
      </c>
      <c r="F13" s="88" t="s">
        <v>56</v>
      </c>
      <c r="G13" s="89">
        <v>1</v>
      </c>
      <c r="H13" s="62">
        <v>4181.1000000000004</v>
      </c>
      <c r="I13" s="62">
        <f t="shared" si="1"/>
        <v>4181.1000000000004</v>
      </c>
    </row>
    <row r="14" spans="1:9" ht="50.25" customHeight="1" thickBot="1" x14ac:dyDescent="0.25">
      <c r="A14" s="59">
        <v>5</v>
      </c>
      <c r="B14" s="83" t="s">
        <v>63</v>
      </c>
      <c r="C14" s="84" t="s">
        <v>58</v>
      </c>
      <c r="D14" s="85" t="str">
        <f t="shared" si="0"/>
        <v>2.5.1</v>
      </c>
      <c r="E14" s="88" t="s">
        <v>243</v>
      </c>
      <c r="F14" s="88" t="s">
        <v>56</v>
      </c>
      <c r="G14" s="89">
        <v>1</v>
      </c>
      <c r="H14" s="62">
        <v>10201.400000000001</v>
      </c>
      <c r="I14" s="62">
        <f t="shared" si="1"/>
        <v>10201.400000000001</v>
      </c>
    </row>
    <row r="15" spans="1:9" ht="50.25" customHeight="1" thickBot="1" x14ac:dyDescent="0.25">
      <c r="A15" s="59">
        <v>6</v>
      </c>
      <c r="B15" s="83" t="s">
        <v>64</v>
      </c>
      <c r="C15" s="84" t="s">
        <v>58</v>
      </c>
      <c r="D15" s="85" t="str">
        <f t="shared" si="0"/>
        <v>2.5.1</v>
      </c>
      <c r="E15" s="88" t="s">
        <v>244</v>
      </c>
      <c r="F15" s="88" t="s">
        <v>56</v>
      </c>
      <c r="G15" s="89">
        <v>1</v>
      </c>
      <c r="H15" s="62">
        <v>10297.099999999999</v>
      </c>
      <c r="I15" s="62">
        <f t="shared" si="1"/>
        <v>10297.099999999999</v>
      </c>
    </row>
    <row r="16" spans="1:9" ht="50.25" customHeight="1" thickBot="1" x14ac:dyDescent="0.25">
      <c r="A16" s="59">
        <v>7</v>
      </c>
      <c r="B16" s="83" t="s">
        <v>65</v>
      </c>
      <c r="C16" s="84" t="s">
        <v>58</v>
      </c>
      <c r="D16" s="85" t="str">
        <f t="shared" si="0"/>
        <v>2.5.1</v>
      </c>
      <c r="E16" s="88" t="s">
        <v>245</v>
      </c>
      <c r="F16" s="88" t="s">
        <v>56</v>
      </c>
      <c r="G16" s="89">
        <v>1</v>
      </c>
      <c r="H16" s="62">
        <v>2101</v>
      </c>
      <c r="I16" s="62">
        <f t="shared" si="1"/>
        <v>2101</v>
      </c>
    </row>
    <row r="17" spans="1:9" ht="50.25" customHeight="1" thickBot="1" x14ac:dyDescent="0.25">
      <c r="A17" s="59">
        <v>8</v>
      </c>
      <c r="B17" s="83" t="s">
        <v>66</v>
      </c>
      <c r="C17" s="84" t="s">
        <v>58</v>
      </c>
      <c r="D17" s="85" t="str">
        <f t="shared" si="0"/>
        <v>2.5.1</v>
      </c>
      <c r="E17" s="88" t="s">
        <v>246</v>
      </c>
      <c r="F17" s="88" t="s">
        <v>56</v>
      </c>
      <c r="G17" s="89">
        <v>1</v>
      </c>
      <c r="H17" s="62">
        <v>13578.400000000001</v>
      </c>
      <c r="I17" s="62">
        <f t="shared" si="1"/>
        <v>13578.400000000001</v>
      </c>
    </row>
    <row r="18" spans="1:9" ht="50.25" customHeight="1" thickBot="1" x14ac:dyDescent="0.25">
      <c r="A18" s="59">
        <v>9</v>
      </c>
      <c r="B18" s="90" t="s">
        <v>237</v>
      </c>
      <c r="C18" s="84" t="s">
        <v>58</v>
      </c>
      <c r="D18" s="85" t="str">
        <f t="shared" si="0"/>
        <v>2.5.1</v>
      </c>
      <c r="E18" s="88" t="s">
        <v>247</v>
      </c>
      <c r="F18" s="88" t="s">
        <v>56</v>
      </c>
      <c r="G18" s="89">
        <v>1</v>
      </c>
      <c r="H18" s="62">
        <v>5365.7999999999993</v>
      </c>
      <c r="I18" s="62">
        <f t="shared" si="1"/>
        <v>5365.7999999999993</v>
      </c>
    </row>
    <row r="19" spans="1:9" ht="50.25" customHeight="1" thickBot="1" x14ac:dyDescent="0.25">
      <c r="A19" s="59">
        <v>10</v>
      </c>
      <c r="B19" s="83" t="s">
        <v>67</v>
      </c>
      <c r="C19" s="84" t="s">
        <v>58</v>
      </c>
      <c r="D19" s="85" t="str">
        <f t="shared" si="0"/>
        <v>2.5.1</v>
      </c>
      <c r="E19" s="88" t="s">
        <v>248</v>
      </c>
      <c r="F19" s="88" t="s">
        <v>56</v>
      </c>
      <c r="G19" s="89">
        <v>1</v>
      </c>
      <c r="H19" s="62">
        <v>5869.6</v>
      </c>
      <c r="I19" s="62">
        <f t="shared" si="1"/>
        <v>5869.6</v>
      </c>
    </row>
    <row r="20" spans="1:9" ht="50.25" customHeight="1" thickBot="1" x14ac:dyDescent="0.25">
      <c r="A20" s="59">
        <v>11</v>
      </c>
      <c r="B20" s="83" t="s">
        <v>68</v>
      </c>
      <c r="C20" s="84" t="s">
        <v>58</v>
      </c>
      <c r="D20" s="85" t="str">
        <f t="shared" si="0"/>
        <v>2.5.1</v>
      </c>
      <c r="E20" s="88" t="s">
        <v>311</v>
      </c>
      <c r="F20" s="88" t="s">
        <v>56</v>
      </c>
      <c r="G20" s="89">
        <v>1</v>
      </c>
      <c r="H20" s="62">
        <v>3144.8999999999996</v>
      </c>
      <c r="I20" s="62">
        <f t="shared" si="1"/>
        <v>3144.8999999999996</v>
      </c>
    </row>
    <row r="21" spans="1:9" ht="50.25" customHeight="1" thickBot="1" x14ac:dyDescent="0.25">
      <c r="A21" s="59">
        <v>12</v>
      </c>
      <c r="B21" s="83" t="s">
        <v>69</v>
      </c>
      <c r="C21" s="84" t="s">
        <v>58</v>
      </c>
      <c r="D21" s="85" t="str">
        <f t="shared" si="0"/>
        <v>2.5.1</v>
      </c>
      <c r="E21" s="88" t="s">
        <v>312</v>
      </c>
      <c r="F21" s="88" t="s">
        <v>56</v>
      </c>
      <c r="G21" s="89">
        <v>1</v>
      </c>
      <c r="H21" s="62">
        <v>6322.7999999999993</v>
      </c>
      <c r="I21" s="62">
        <f t="shared" si="1"/>
        <v>6322.7999999999993</v>
      </c>
    </row>
    <row r="22" spans="1:9" ht="50.25" customHeight="1" thickBot="1" x14ac:dyDescent="0.25">
      <c r="A22" s="59">
        <v>13</v>
      </c>
      <c r="B22" s="83" t="s">
        <v>70</v>
      </c>
      <c r="C22" s="84" t="s">
        <v>58</v>
      </c>
      <c r="D22" s="85" t="str">
        <f t="shared" si="0"/>
        <v>2.5.1</v>
      </c>
      <c r="E22" s="88" t="s">
        <v>313</v>
      </c>
      <c r="F22" s="88" t="s">
        <v>56</v>
      </c>
      <c r="G22" s="89">
        <v>1</v>
      </c>
      <c r="H22" s="62">
        <v>9368.7000000000007</v>
      </c>
      <c r="I22" s="62">
        <f t="shared" si="1"/>
        <v>9368.7000000000007</v>
      </c>
    </row>
    <row r="23" spans="1:9" ht="50.25" customHeight="1" thickBot="1" x14ac:dyDescent="0.25">
      <c r="A23" s="59">
        <v>14</v>
      </c>
      <c r="B23" s="83" t="s">
        <v>133</v>
      </c>
      <c r="C23" s="84" t="s">
        <v>58</v>
      </c>
      <c r="D23" s="85" t="str">
        <f t="shared" si="0"/>
        <v>2.5.1</v>
      </c>
      <c r="E23" s="88" t="s">
        <v>314</v>
      </c>
      <c r="F23" s="88" t="s">
        <v>56</v>
      </c>
      <c r="G23" s="89">
        <v>1</v>
      </c>
      <c r="H23" s="62">
        <v>11599.500000000002</v>
      </c>
      <c r="I23" s="62">
        <f t="shared" si="1"/>
        <v>11599.500000000002</v>
      </c>
    </row>
    <row r="24" spans="1:9" ht="50.25" customHeight="1" thickBot="1" x14ac:dyDescent="0.25">
      <c r="A24" s="59">
        <v>15</v>
      </c>
      <c r="B24" s="83" t="s">
        <v>71</v>
      </c>
      <c r="C24" s="84" t="s">
        <v>58</v>
      </c>
      <c r="D24" s="85" t="str">
        <f t="shared" si="0"/>
        <v>2.5.1</v>
      </c>
      <c r="E24" s="88" t="s">
        <v>249</v>
      </c>
      <c r="F24" s="88" t="s">
        <v>56</v>
      </c>
      <c r="G24" s="89">
        <v>1</v>
      </c>
      <c r="H24" s="62">
        <v>9804.3000000000011</v>
      </c>
      <c r="I24" s="62">
        <f t="shared" si="1"/>
        <v>9804.3000000000011</v>
      </c>
    </row>
    <row r="25" spans="1:9" ht="50.25" customHeight="1" thickBot="1" x14ac:dyDescent="0.25">
      <c r="A25" s="59">
        <v>16</v>
      </c>
      <c r="B25" s="83" t="s">
        <v>72</v>
      </c>
      <c r="C25" s="84" t="s">
        <v>58</v>
      </c>
      <c r="D25" s="85" t="str">
        <f t="shared" si="0"/>
        <v>2.5.1</v>
      </c>
      <c r="E25" s="88" t="s">
        <v>250</v>
      </c>
      <c r="F25" s="88" t="s">
        <v>56</v>
      </c>
      <c r="G25" s="89">
        <v>1</v>
      </c>
      <c r="H25" s="62">
        <v>3947.8999999999996</v>
      </c>
      <c r="I25" s="62">
        <f t="shared" si="1"/>
        <v>3947.8999999999996</v>
      </c>
    </row>
    <row r="26" spans="1:9" ht="50.25" customHeight="1" thickBot="1" x14ac:dyDescent="0.25">
      <c r="A26" s="59">
        <v>17</v>
      </c>
      <c r="B26" s="83" t="s">
        <v>73</v>
      </c>
      <c r="C26" s="84" t="s">
        <v>58</v>
      </c>
      <c r="D26" s="85" t="str">
        <f t="shared" si="0"/>
        <v>2.5.1</v>
      </c>
      <c r="E26" s="88" t="s">
        <v>251</v>
      </c>
      <c r="F26" s="88" t="s">
        <v>56</v>
      </c>
      <c r="G26" s="89">
        <v>50</v>
      </c>
      <c r="H26" s="62">
        <v>268.39999999999998</v>
      </c>
      <c r="I26" s="62">
        <f t="shared" si="1"/>
        <v>13419.999999999998</v>
      </c>
    </row>
    <row r="27" spans="1:9" ht="50.25" customHeight="1" thickBot="1" x14ac:dyDescent="0.25">
      <c r="A27" s="59">
        <v>18</v>
      </c>
      <c r="B27" s="83" t="s">
        <v>74</v>
      </c>
      <c r="C27" s="84" t="s">
        <v>58</v>
      </c>
      <c r="D27" s="85" t="str">
        <f t="shared" si="0"/>
        <v>2.5.1</v>
      </c>
      <c r="E27" s="88" t="s">
        <v>252</v>
      </c>
      <c r="F27" s="88" t="s">
        <v>56</v>
      </c>
      <c r="G27" s="89">
        <v>1</v>
      </c>
      <c r="H27" s="62">
        <v>4136</v>
      </c>
      <c r="I27" s="62">
        <f t="shared" si="1"/>
        <v>4136</v>
      </c>
    </row>
    <row r="28" spans="1:9" ht="50.25" customHeight="1" thickBot="1" x14ac:dyDescent="0.25">
      <c r="A28" s="59">
        <v>19</v>
      </c>
      <c r="B28" s="83" t="s">
        <v>75</v>
      </c>
      <c r="C28" s="84" t="s">
        <v>58</v>
      </c>
      <c r="D28" s="85" t="str">
        <f t="shared" si="0"/>
        <v>2.5.1</v>
      </c>
      <c r="E28" s="88" t="s">
        <v>253</v>
      </c>
      <c r="F28" s="88" t="s">
        <v>56</v>
      </c>
      <c r="G28" s="89">
        <v>1</v>
      </c>
      <c r="H28" s="62">
        <v>9829.0499999999993</v>
      </c>
      <c r="I28" s="62">
        <f t="shared" si="1"/>
        <v>9829.0499999999993</v>
      </c>
    </row>
    <row r="29" spans="1:9" ht="50.25" customHeight="1" thickBot="1" x14ac:dyDescent="0.25">
      <c r="A29" s="59">
        <v>20</v>
      </c>
      <c r="B29" s="83" t="s">
        <v>76</v>
      </c>
      <c r="C29" s="84" t="s">
        <v>58</v>
      </c>
      <c r="D29" s="85" t="str">
        <f t="shared" si="0"/>
        <v>2.5.1</v>
      </c>
      <c r="E29" s="88" t="s">
        <v>254</v>
      </c>
      <c r="F29" s="88" t="s">
        <v>56</v>
      </c>
      <c r="G29" s="89">
        <v>1</v>
      </c>
      <c r="H29" s="62">
        <v>2487.1000000000004</v>
      </c>
      <c r="I29" s="62">
        <f t="shared" si="1"/>
        <v>2487.1000000000004</v>
      </c>
    </row>
    <row r="30" spans="1:9" ht="50.25" customHeight="1" thickBot="1" x14ac:dyDescent="0.25">
      <c r="A30" s="59">
        <v>21</v>
      </c>
      <c r="B30" s="83" t="s">
        <v>77</v>
      </c>
      <c r="C30" s="84" t="s">
        <v>58</v>
      </c>
      <c r="D30" s="85" t="str">
        <f t="shared" si="0"/>
        <v>2.5.1</v>
      </c>
      <c r="E30" s="88" t="s">
        <v>255</v>
      </c>
      <c r="F30" s="88" t="s">
        <v>54</v>
      </c>
      <c r="G30" s="89">
        <v>1</v>
      </c>
      <c r="H30" s="62">
        <v>2709.3</v>
      </c>
      <c r="I30" s="62">
        <f t="shared" si="1"/>
        <v>2709.3</v>
      </c>
    </row>
    <row r="31" spans="1:9" ht="50.25" customHeight="1" thickBot="1" x14ac:dyDescent="0.25">
      <c r="A31" s="59">
        <v>22</v>
      </c>
      <c r="B31" s="83" t="s">
        <v>78</v>
      </c>
      <c r="C31" s="84" t="s">
        <v>58</v>
      </c>
      <c r="D31" s="85" t="str">
        <f t="shared" si="0"/>
        <v>2.5.1</v>
      </c>
      <c r="E31" s="88" t="s">
        <v>256</v>
      </c>
      <c r="F31" s="88" t="s">
        <v>56</v>
      </c>
      <c r="G31" s="89">
        <v>1</v>
      </c>
      <c r="H31" s="62">
        <v>18010.300000000003</v>
      </c>
      <c r="I31" s="62">
        <f t="shared" si="1"/>
        <v>18010.300000000003</v>
      </c>
    </row>
    <row r="32" spans="1:9" ht="50.25" customHeight="1" thickBot="1" x14ac:dyDescent="0.25">
      <c r="A32" s="59">
        <v>23</v>
      </c>
      <c r="B32" s="83" t="s">
        <v>79</v>
      </c>
      <c r="C32" s="84" t="s">
        <v>58</v>
      </c>
      <c r="D32" s="85" t="str">
        <f t="shared" si="0"/>
        <v>2.5.1</v>
      </c>
      <c r="E32" s="88" t="s">
        <v>257</v>
      </c>
      <c r="F32" s="88" t="s">
        <v>56</v>
      </c>
      <c r="G32" s="89">
        <v>1</v>
      </c>
      <c r="H32" s="62">
        <v>18010.300000000003</v>
      </c>
      <c r="I32" s="62">
        <f t="shared" si="1"/>
        <v>18010.300000000003</v>
      </c>
    </row>
    <row r="33" spans="1:9" ht="50.25" customHeight="1" thickBot="1" x14ac:dyDescent="0.25">
      <c r="A33" s="59">
        <v>24</v>
      </c>
      <c r="B33" s="83" t="s">
        <v>80</v>
      </c>
      <c r="C33" s="84" t="s">
        <v>58</v>
      </c>
      <c r="D33" s="85" t="str">
        <f t="shared" si="0"/>
        <v>2.5.1</v>
      </c>
      <c r="E33" s="88" t="s">
        <v>258</v>
      </c>
      <c r="F33" s="88" t="s">
        <v>56</v>
      </c>
      <c r="G33" s="89">
        <v>3</v>
      </c>
      <c r="H33" s="62">
        <v>2519</v>
      </c>
      <c r="I33" s="62">
        <f t="shared" si="1"/>
        <v>7557</v>
      </c>
    </row>
    <row r="34" spans="1:9" ht="50.25" customHeight="1" thickBot="1" x14ac:dyDescent="0.25">
      <c r="A34" s="59">
        <v>25</v>
      </c>
      <c r="B34" s="83" t="s">
        <v>81</v>
      </c>
      <c r="C34" s="84" t="s">
        <v>58</v>
      </c>
      <c r="D34" s="85" t="str">
        <f t="shared" si="0"/>
        <v>2.5.1</v>
      </c>
      <c r="E34" s="88" t="s">
        <v>259</v>
      </c>
      <c r="F34" s="88" t="s">
        <v>56</v>
      </c>
      <c r="G34" s="89">
        <v>1</v>
      </c>
      <c r="H34" s="62">
        <v>1267.1999999999998</v>
      </c>
      <c r="I34" s="62">
        <f t="shared" si="1"/>
        <v>1267.1999999999998</v>
      </c>
    </row>
    <row r="35" spans="1:9" ht="50.25" customHeight="1" thickBot="1" x14ac:dyDescent="0.25">
      <c r="A35" s="59">
        <v>26</v>
      </c>
      <c r="B35" s="83" t="s">
        <v>82</v>
      </c>
      <c r="C35" s="84" t="s">
        <v>58</v>
      </c>
      <c r="D35" s="85" t="str">
        <f t="shared" si="0"/>
        <v>2.5.1</v>
      </c>
      <c r="E35" s="88" t="s">
        <v>260</v>
      </c>
      <c r="F35" s="88" t="s">
        <v>56</v>
      </c>
      <c r="G35" s="89">
        <v>1</v>
      </c>
      <c r="H35" s="62">
        <v>2675.2000000000003</v>
      </c>
      <c r="I35" s="62">
        <f t="shared" si="1"/>
        <v>2675.2000000000003</v>
      </c>
    </row>
    <row r="36" spans="1:9" ht="50.25" customHeight="1" thickBot="1" x14ac:dyDescent="0.25">
      <c r="A36" s="59">
        <v>27</v>
      </c>
      <c r="B36" s="83" t="s">
        <v>83</v>
      </c>
      <c r="C36" s="84" t="s">
        <v>58</v>
      </c>
      <c r="D36" s="85" t="str">
        <f t="shared" si="0"/>
        <v>2.5.1</v>
      </c>
      <c r="E36" s="88" t="s">
        <v>261</v>
      </c>
      <c r="F36" s="88" t="s">
        <v>56</v>
      </c>
      <c r="G36" s="89">
        <v>1</v>
      </c>
      <c r="H36" s="62">
        <v>1790.8000000000002</v>
      </c>
      <c r="I36" s="62">
        <f t="shared" si="1"/>
        <v>1790.8000000000002</v>
      </c>
    </row>
    <row r="37" spans="1:9" ht="50.25" customHeight="1" thickBot="1" x14ac:dyDescent="0.25">
      <c r="A37" s="59">
        <v>28</v>
      </c>
      <c r="B37" s="83" t="s">
        <v>84</v>
      </c>
      <c r="C37" s="84" t="s">
        <v>58</v>
      </c>
      <c r="D37" s="85" t="str">
        <f t="shared" si="0"/>
        <v>2.5.1</v>
      </c>
      <c r="E37" s="88" t="s">
        <v>262</v>
      </c>
      <c r="F37" s="88" t="s">
        <v>56</v>
      </c>
      <c r="G37" s="89">
        <v>1</v>
      </c>
      <c r="H37" s="62">
        <v>1267.1999999999998</v>
      </c>
      <c r="I37" s="62">
        <f t="shared" si="1"/>
        <v>1267.1999999999998</v>
      </c>
    </row>
    <row r="38" spans="1:9" ht="50.25" customHeight="1" thickBot="1" x14ac:dyDescent="0.25">
      <c r="A38" s="59">
        <v>29</v>
      </c>
      <c r="B38" s="83" t="s">
        <v>85</v>
      </c>
      <c r="C38" s="84" t="s">
        <v>58</v>
      </c>
      <c r="D38" s="85" t="str">
        <f t="shared" si="0"/>
        <v>2.5.1</v>
      </c>
      <c r="E38" s="88" t="s">
        <v>263</v>
      </c>
      <c r="F38" s="88" t="s">
        <v>56</v>
      </c>
      <c r="G38" s="89">
        <v>1</v>
      </c>
      <c r="H38" s="62">
        <v>752.40000000000009</v>
      </c>
      <c r="I38" s="62">
        <f t="shared" si="1"/>
        <v>752.40000000000009</v>
      </c>
    </row>
    <row r="39" spans="1:9" ht="50.25" customHeight="1" thickBot="1" x14ac:dyDescent="0.25">
      <c r="A39" s="59">
        <v>30</v>
      </c>
      <c r="B39" s="83" t="s">
        <v>89</v>
      </c>
      <c r="C39" s="84" t="s">
        <v>58</v>
      </c>
      <c r="D39" s="85" t="str">
        <f t="shared" si="0"/>
        <v>2.5.1</v>
      </c>
      <c r="E39" s="88" t="s">
        <v>264</v>
      </c>
      <c r="F39" s="88" t="s">
        <v>56</v>
      </c>
      <c r="G39" s="89">
        <v>10</v>
      </c>
      <c r="H39" s="62">
        <v>752.40000000000009</v>
      </c>
      <c r="I39" s="62">
        <f t="shared" si="1"/>
        <v>7524.0000000000009</v>
      </c>
    </row>
    <row r="40" spans="1:9" ht="50.25" customHeight="1" thickBot="1" x14ac:dyDescent="0.25">
      <c r="A40" s="59">
        <v>31</v>
      </c>
      <c r="B40" s="83" t="s">
        <v>90</v>
      </c>
      <c r="C40" s="84" t="s">
        <v>58</v>
      </c>
      <c r="D40" s="85" t="str">
        <f t="shared" si="0"/>
        <v>2.5.1</v>
      </c>
      <c r="E40" s="88" t="s">
        <v>265</v>
      </c>
      <c r="F40" s="88" t="s">
        <v>56</v>
      </c>
      <c r="G40" s="89">
        <v>10</v>
      </c>
      <c r="H40" s="62">
        <v>752.40000000000009</v>
      </c>
      <c r="I40" s="62">
        <f t="shared" si="1"/>
        <v>7524.0000000000009</v>
      </c>
    </row>
    <row r="41" spans="1:9" ht="50.25" customHeight="1" thickBot="1" x14ac:dyDescent="0.25">
      <c r="A41" s="59">
        <v>32</v>
      </c>
      <c r="B41" s="83" t="s">
        <v>91</v>
      </c>
      <c r="C41" s="84" t="s">
        <v>58</v>
      </c>
      <c r="D41" s="85" t="str">
        <f t="shared" si="0"/>
        <v>2.5.1</v>
      </c>
      <c r="E41" s="88" t="s">
        <v>266</v>
      </c>
      <c r="F41" s="88" t="s">
        <v>56</v>
      </c>
      <c r="G41" s="89">
        <v>10</v>
      </c>
      <c r="H41" s="62">
        <v>752.40000000000009</v>
      </c>
      <c r="I41" s="62">
        <f t="shared" si="1"/>
        <v>7524.0000000000009</v>
      </c>
    </row>
    <row r="42" spans="1:9" ht="50.25" customHeight="1" thickBot="1" x14ac:dyDescent="0.25">
      <c r="A42" s="59">
        <v>33</v>
      </c>
      <c r="B42" s="83" t="s">
        <v>92</v>
      </c>
      <c r="C42" s="84" t="s">
        <v>58</v>
      </c>
      <c r="D42" s="85" t="str">
        <f t="shared" si="0"/>
        <v>2.5.1</v>
      </c>
      <c r="E42" s="88" t="s">
        <v>267</v>
      </c>
      <c r="F42" s="88" t="s">
        <v>56</v>
      </c>
      <c r="G42" s="89">
        <v>10</v>
      </c>
      <c r="H42" s="62">
        <v>752.40000000000009</v>
      </c>
      <c r="I42" s="62">
        <f t="shared" si="1"/>
        <v>7524.0000000000009</v>
      </c>
    </row>
    <row r="43" spans="1:9" ht="50.25" customHeight="1" thickBot="1" x14ac:dyDescent="0.25">
      <c r="A43" s="59">
        <v>34</v>
      </c>
      <c r="B43" s="83" t="s">
        <v>86</v>
      </c>
      <c r="C43" s="84" t="s">
        <v>58</v>
      </c>
      <c r="D43" s="85" t="str">
        <f t="shared" si="0"/>
        <v>2.5.1</v>
      </c>
      <c r="E43" s="88" t="s">
        <v>268</v>
      </c>
      <c r="F43" s="88" t="s">
        <v>56</v>
      </c>
      <c r="G43" s="89">
        <v>10</v>
      </c>
      <c r="H43" s="62">
        <v>752.40000000000009</v>
      </c>
      <c r="I43" s="62">
        <f t="shared" si="1"/>
        <v>7524.0000000000009</v>
      </c>
    </row>
    <row r="44" spans="1:9" ht="50.25" customHeight="1" thickBot="1" x14ac:dyDescent="0.25">
      <c r="A44" s="59">
        <v>35</v>
      </c>
      <c r="B44" s="83" t="s">
        <v>87</v>
      </c>
      <c r="C44" s="84" t="s">
        <v>58</v>
      </c>
      <c r="D44" s="85" t="str">
        <f t="shared" si="0"/>
        <v>2.5.1</v>
      </c>
      <c r="E44" s="88" t="s">
        <v>269</v>
      </c>
      <c r="F44" s="88" t="s">
        <v>56</v>
      </c>
      <c r="G44" s="89">
        <v>10</v>
      </c>
      <c r="H44" s="62">
        <v>752.40000000000009</v>
      </c>
      <c r="I44" s="62">
        <f t="shared" si="1"/>
        <v>7524.0000000000009</v>
      </c>
    </row>
    <row r="45" spans="1:9" ht="50.25" customHeight="1" thickBot="1" x14ac:dyDescent="0.25">
      <c r="A45" s="59">
        <v>36</v>
      </c>
      <c r="B45" s="83" t="s">
        <v>88</v>
      </c>
      <c r="C45" s="84" t="s">
        <v>58</v>
      </c>
      <c r="D45" s="85" t="str">
        <f t="shared" si="0"/>
        <v>2.5.1</v>
      </c>
      <c r="E45" s="88" t="s">
        <v>270</v>
      </c>
      <c r="F45" s="88" t="s">
        <v>56</v>
      </c>
      <c r="G45" s="89">
        <v>10</v>
      </c>
      <c r="H45" s="62">
        <v>752.40000000000009</v>
      </c>
      <c r="I45" s="62">
        <f t="shared" si="1"/>
        <v>7524.0000000000009</v>
      </c>
    </row>
    <row r="46" spans="1:9" ht="50.25" customHeight="1" thickBot="1" x14ac:dyDescent="0.25">
      <c r="A46" s="59">
        <v>37</v>
      </c>
      <c r="B46" s="83" t="s">
        <v>94</v>
      </c>
      <c r="C46" s="84" t="s">
        <v>58</v>
      </c>
      <c r="D46" s="85" t="str">
        <f t="shared" si="0"/>
        <v>2.5.1</v>
      </c>
      <c r="E46" s="88" t="s">
        <v>271</v>
      </c>
      <c r="F46" s="88" t="s">
        <v>56</v>
      </c>
      <c r="G46" s="89">
        <v>2</v>
      </c>
      <c r="H46" s="62">
        <v>752.40000000000009</v>
      </c>
      <c r="I46" s="62">
        <f t="shared" si="1"/>
        <v>1504.8000000000002</v>
      </c>
    </row>
    <row r="47" spans="1:9" ht="50.25" customHeight="1" thickBot="1" x14ac:dyDescent="0.25">
      <c r="A47" s="59">
        <v>38</v>
      </c>
      <c r="B47" s="83" t="s">
        <v>95</v>
      </c>
      <c r="C47" s="84" t="s">
        <v>58</v>
      </c>
      <c r="D47" s="85" t="str">
        <f t="shared" si="0"/>
        <v>2.5.1</v>
      </c>
      <c r="E47" s="88" t="s">
        <v>272</v>
      </c>
      <c r="F47" s="88" t="s">
        <v>56</v>
      </c>
      <c r="G47" s="89">
        <v>2</v>
      </c>
      <c r="H47" s="62">
        <v>752.40000000000009</v>
      </c>
      <c r="I47" s="62">
        <f t="shared" si="1"/>
        <v>1504.8000000000002</v>
      </c>
    </row>
    <row r="48" spans="1:9" ht="50.25" customHeight="1" thickBot="1" x14ac:dyDescent="0.25">
      <c r="A48" s="59">
        <v>39</v>
      </c>
      <c r="B48" s="83" t="s">
        <v>96</v>
      </c>
      <c r="C48" s="84" t="s">
        <v>58</v>
      </c>
      <c r="D48" s="85" t="str">
        <f t="shared" si="0"/>
        <v>2.5.1</v>
      </c>
      <c r="E48" s="88" t="s">
        <v>273</v>
      </c>
      <c r="F48" s="88" t="s">
        <v>56</v>
      </c>
      <c r="G48" s="89">
        <v>10</v>
      </c>
      <c r="H48" s="62">
        <v>752.40000000000009</v>
      </c>
      <c r="I48" s="62">
        <f t="shared" si="1"/>
        <v>7524.0000000000009</v>
      </c>
    </row>
    <row r="49" spans="1:9" ht="50.25" customHeight="1" thickBot="1" x14ac:dyDescent="0.25">
      <c r="A49" s="59">
        <v>40</v>
      </c>
      <c r="B49" s="83" t="s">
        <v>97</v>
      </c>
      <c r="C49" s="84" t="s">
        <v>58</v>
      </c>
      <c r="D49" s="85" t="str">
        <f t="shared" si="0"/>
        <v>2.5.1</v>
      </c>
      <c r="E49" s="88" t="s">
        <v>274</v>
      </c>
      <c r="F49" s="88" t="s">
        <v>56</v>
      </c>
      <c r="G49" s="89">
        <v>2</v>
      </c>
      <c r="H49" s="62">
        <v>752.40000000000009</v>
      </c>
      <c r="I49" s="62">
        <f t="shared" si="1"/>
        <v>1504.8000000000002</v>
      </c>
    </row>
    <row r="50" spans="1:9" ht="50.25" customHeight="1" thickBot="1" x14ac:dyDescent="0.25">
      <c r="A50" s="59">
        <v>41</v>
      </c>
      <c r="B50" s="91" t="s">
        <v>98</v>
      </c>
      <c r="C50" s="84" t="s">
        <v>58</v>
      </c>
      <c r="D50" s="85" t="str">
        <f t="shared" si="0"/>
        <v>2.5.1</v>
      </c>
      <c r="E50" s="88" t="s">
        <v>275</v>
      </c>
      <c r="F50" s="88" t="s">
        <v>56</v>
      </c>
      <c r="G50" s="89">
        <v>10</v>
      </c>
      <c r="H50" s="62">
        <v>752.40000000000009</v>
      </c>
      <c r="I50" s="62">
        <f t="shared" si="1"/>
        <v>7524.0000000000009</v>
      </c>
    </row>
    <row r="51" spans="1:9" ht="50.25" customHeight="1" thickBot="1" x14ac:dyDescent="0.25">
      <c r="A51" s="59">
        <v>42</v>
      </c>
      <c r="B51" s="91" t="s">
        <v>99</v>
      </c>
      <c r="C51" s="84" t="s">
        <v>58</v>
      </c>
      <c r="D51" s="85" t="str">
        <f t="shared" si="0"/>
        <v>2.5.1</v>
      </c>
      <c r="E51" s="88" t="s">
        <v>276</v>
      </c>
      <c r="F51" s="88" t="s">
        <v>56</v>
      </c>
      <c r="G51" s="89">
        <v>10</v>
      </c>
      <c r="H51" s="62">
        <v>752.40000000000009</v>
      </c>
      <c r="I51" s="62">
        <f t="shared" si="1"/>
        <v>7524.0000000000009</v>
      </c>
    </row>
    <row r="52" spans="1:9" ht="50.25" customHeight="1" thickBot="1" x14ac:dyDescent="0.25">
      <c r="A52" s="59">
        <v>43</v>
      </c>
      <c r="B52" s="92" t="s">
        <v>100</v>
      </c>
      <c r="C52" s="84" t="s">
        <v>58</v>
      </c>
      <c r="D52" s="85" t="str">
        <f t="shared" si="0"/>
        <v>2.5.1</v>
      </c>
      <c r="E52" s="88" t="s">
        <v>277</v>
      </c>
      <c r="F52" s="88" t="s">
        <v>56</v>
      </c>
      <c r="G52" s="89">
        <v>10</v>
      </c>
      <c r="H52" s="62">
        <v>752.40000000000009</v>
      </c>
      <c r="I52" s="62">
        <f t="shared" si="1"/>
        <v>7524.0000000000009</v>
      </c>
    </row>
    <row r="53" spans="1:9" ht="50.25" customHeight="1" thickBot="1" x14ac:dyDescent="0.25">
      <c r="A53" s="59">
        <v>44</v>
      </c>
      <c r="B53" s="92" t="s">
        <v>101</v>
      </c>
      <c r="C53" s="84" t="s">
        <v>58</v>
      </c>
      <c r="D53" s="85" t="str">
        <f t="shared" si="0"/>
        <v>2.5.1</v>
      </c>
      <c r="E53" s="88" t="s">
        <v>278</v>
      </c>
      <c r="F53" s="88" t="s">
        <v>56</v>
      </c>
      <c r="G53" s="89">
        <v>2</v>
      </c>
      <c r="H53" s="62">
        <v>752.40000000000009</v>
      </c>
      <c r="I53" s="62">
        <f t="shared" si="1"/>
        <v>1504.8000000000002</v>
      </c>
    </row>
    <row r="54" spans="1:9" ht="50.25" customHeight="1" thickBot="1" x14ac:dyDescent="0.25">
      <c r="A54" s="59">
        <v>45</v>
      </c>
      <c r="B54" s="92" t="s">
        <v>102</v>
      </c>
      <c r="C54" s="84" t="s">
        <v>58</v>
      </c>
      <c r="D54" s="85" t="str">
        <f t="shared" si="0"/>
        <v>2.5.1</v>
      </c>
      <c r="E54" s="88" t="s">
        <v>279</v>
      </c>
      <c r="F54" s="88" t="s">
        <v>56</v>
      </c>
      <c r="G54" s="89">
        <v>10</v>
      </c>
      <c r="H54" s="62">
        <v>752.40000000000009</v>
      </c>
      <c r="I54" s="62">
        <f t="shared" si="1"/>
        <v>7524.0000000000009</v>
      </c>
    </row>
    <row r="55" spans="1:9" ht="50.25" customHeight="1" thickBot="1" x14ac:dyDescent="0.25">
      <c r="A55" s="59">
        <v>46</v>
      </c>
      <c r="B55" s="92" t="s">
        <v>103</v>
      </c>
      <c r="C55" s="84" t="s">
        <v>58</v>
      </c>
      <c r="D55" s="85" t="str">
        <f t="shared" si="0"/>
        <v>2.5.1</v>
      </c>
      <c r="E55" s="88" t="s">
        <v>280</v>
      </c>
      <c r="F55" s="88" t="s">
        <v>56</v>
      </c>
      <c r="G55" s="89">
        <v>10</v>
      </c>
      <c r="H55" s="62">
        <v>752.40000000000009</v>
      </c>
      <c r="I55" s="62">
        <f t="shared" si="1"/>
        <v>7524.0000000000009</v>
      </c>
    </row>
    <row r="56" spans="1:9" ht="50.25" customHeight="1" thickBot="1" x14ac:dyDescent="0.25">
      <c r="A56" s="59">
        <v>47</v>
      </c>
      <c r="B56" s="92" t="s">
        <v>104</v>
      </c>
      <c r="C56" s="84" t="s">
        <v>58</v>
      </c>
      <c r="D56" s="85" t="str">
        <f t="shared" si="0"/>
        <v>2.5.1</v>
      </c>
      <c r="E56" s="88" t="s">
        <v>281</v>
      </c>
      <c r="F56" s="88" t="s">
        <v>56</v>
      </c>
      <c r="G56" s="89">
        <v>10</v>
      </c>
      <c r="H56" s="62">
        <v>752.40000000000009</v>
      </c>
      <c r="I56" s="62">
        <f t="shared" si="1"/>
        <v>7524.0000000000009</v>
      </c>
    </row>
    <row r="57" spans="1:9" ht="50.25" customHeight="1" thickBot="1" x14ac:dyDescent="0.25">
      <c r="A57" s="59">
        <v>48</v>
      </c>
      <c r="B57" s="92" t="s">
        <v>105</v>
      </c>
      <c r="C57" s="84" t="s">
        <v>58</v>
      </c>
      <c r="D57" s="85" t="str">
        <f t="shared" si="0"/>
        <v>2.5.1</v>
      </c>
      <c r="E57" s="88" t="s">
        <v>282</v>
      </c>
      <c r="F57" s="88" t="s">
        <v>56</v>
      </c>
      <c r="G57" s="89">
        <v>10</v>
      </c>
      <c r="H57" s="62">
        <v>752.40000000000009</v>
      </c>
      <c r="I57" s="62">
        <f t="shared" si="1"/>
        <v>7524.0000000000009</v>
      </c>
    </row>
    <row r="58" spans="1:9" ht="50.25" customHeight="1" thickBot="1" x14ac:dyDescent="0.25">
      <c r="A58" s="59">
        <v>49</v>
      </c>
      <c r="B58" s="92" t="s">
        <v>106</v>
      </c>
      <c r="C58" s="84" t="s">
        <v>58</v>
      </c>
      <c r="D58" s="85" t="str">
        <f t="shared" si="0"/>
        <v>2.5.1</v>
      </c>
      <c r="E58" s="88" t="s">
        <v>283</v>
      </c>
      <c r="F58" s="88" t="s">
        <v>56</v>
      </c>
      <c r="G58" s="89">
        <v>10</v>
      </c>
      <c r="H58" s="62">
        <v>643.5</v>
      </c>
      <c r="I58" s="62">
        <f t="shared" si="1"/>
        <v>6435</v>
      </c>
    </row>
    <row r="59" spans="1:9" ht="50.25" customHeight="1" thickBot="1" x14ac:dyDescent="0.25">
      <c r="A59" s="59">
        <v>50</v>
      </c>
      <c r="B59" s="92" t="s">
        <v>107</v>
      </c>
      <c r="C59" s="84" t="s">
        <v>58</v>
      </c>
      <c r="D59" s="85" t="str">
        <f t="shared" si="0"/>
        <v>2.5.1</v>
      </c>
      <c r="E59" s="88" t="s">
        <v>284</v>
      </c>
      <c r="F59" s="88" t="s">
        <v>56</v>
      </c>
      <c r="G59" s="89">
        <v>3</v>
      </c>
      <c r="H59" s="62">
        <v>2341.8999999999996</v>
      </c>
      <c r="I59" s="62">
        <f t="shared" si="1"/>
        <v>7025.6999999999989</v>
      </c>
    </row>
    <row r="60" spans="1:9" ht="50.25" customHeight="1" thickBot="1" x14ac:dyDescent="0.25">
      <c r="A60" s="59">
        <v>51</v>
      </c>
      <c r="B60" s="92" t="s">
        <v>108</v>
      </c>
      <c r="C60" s="84" t="s">
        <v>58</v>
      </c>
      <c r="D60" s="85" t="str">
        <f t="shared" si="0"/>
        <v>2.5.1</v>
      </c>
      <c r="E60" s="88" t="s">
        <v>285</v>
      </c>
      <c r="F60" s="88" t="s">
        <v>56</v>
      </c>
      <c r="G60" s="89">
        <v>2</v>
      </c>
      <c r="H60" s="62">
        <v>752.40000000000009</v>
      </c>
      <c r="I60" s="62">
        <f t="shared" si="1"/>
        <v>1504.8000000000002</v>
      </c>
    </row>
    <row r="61" spans="1:9" ht="50.25" customHeight="1" thickBot="1" x14ac:dyDescent="0.25">
      <c r="A61" s="59">
        <v>52</v>
      </c>
      <c r="B61" s="92" t="s">
        <v>109</v>
      </c>
      <c r="C61" s="84" t="s">
        <v>58</v>
      </c>
      <c r="D61" s="85" t="str">
        <f t="shared" si="0"/>
        <v>2.5.1</v>
      </c>
      <c r="E61" s="88" t="s">
        <v>286</v>
      </c>
      <c r="F61" s="88" t="s">
        <v>56</v>
      </c>
      <c r="G61" s="89">
        <v>5</v>
      </c>
      <c r="H61" s="62">
        <v>752.40000000000009</v>
      </c>
      <c r="I61" s="62">
        <f t="shared" si="1"/>
        <v>3762.0000000000005</v>
      </c>
    </row>
    <row r="62" spans="1:9" ht="50.25" customHeight="1" thickBot="1" x14ac:dyDescent="0.25">
      <c r="A62" s="59">
        <v>53</v>
      </c>
      <c r="B62" s="92" t="s">
        <v>110</v>
      </c>
      <c r="C62" s="84" t="s">
        <v>58</v>
      </c>
      <c r="D62" s="85" t="str">
        <f t="shared" si="0"/>
        <v>2.5.1</v>
      </c>
      <c r="E62" s="88" t="s">
        <v>287</v>
      </c>
      <c r="F62" s="88" t="s">
        <v>56</v>
      </c>
      <c r="G62" s="89">
        <v>5</v>
      </c>
      <c r="H62" s="62">
        <v>3113.0000000000005</v>
      </c>
      <c r="I62" s="62">
        <f t="shared" si="1"/>
        <v>15565.000000000002</v>
      </c>
    </row>
    <row r="63" spans="1:9" ht="50.25" customHeight="1" thickBot="1" x14ac:dyDescent="0.25">
      <c r="A63" s="59">
        <v>54</v>
      </c>
      <c r="B63" s="92" t="s">
        <v>111</v>
      </c>
      <c r="C63" s="84" t="s">
        <v>58</v>
      </c>
      <c r="D63" s="85" t="str">
        <f t="shared" si="0"/>
        <v>2.5.1</v>
      </c>
      <c r="E63" s="88" t="s">
        <v>288</v>
      </c>
      <c r="F63" s="88" t="s">
        <v>56</v>
      </c>
      <c r="G63" s="89">
        <v>2</v>
      </c>
      <c r="H63" s="62">
        <v>752.40000000000009</v>
      </c>
      <c r="I63" s="62">
        <f t="shared" si="1"/>
        <v>1504.8000000000002</v>
      </c>
    </row>
    <row r="64" spans="1:9" ht="50.25" customHeight="1" thickBot="1" x14ac:dyDescent="0.25">
      <c r="A64" s="59">
        <v>55</v>
      </c>
      <c r="B64" s="92" t="s">
        <v>112</v>
      </c>
      <c r="C64" s="84" t="s">
        <v>58</v>
      </c>
      <c r="D64" s="85" t="str">
        <f t="shared" si="0"/>
        <v>2.5.1</v>
      </c>
      <c r="E64" s="88" t="s">
        <v>289</v>
      </c>
      <c r="F64" s="88" t="s">
        <v>56</v>
      </c>
      <c r="G64" s="89">
        <v>10</v>
      </c>
      <c r="H64" s="62">
        <v>752.40000000000009</v>
      </c>
      <c r="I64" s="62">
        <f t="shared" si="1"/>
        <v>7524.0000000000009</v>
      </c>
    </row>
    <row r="65" spans="1:9" ht="50.25" customHeight="1" thickBot="1" x14ac:dyDescent="0.25">
      <c r="A65" s="59">
        <v>56</v>
      </c>
      <c r="B65" s="92" t="s">
        <v>113</v>
      </c>
      <c r="C65" s="84" t="s">
        <v>58</v>
      </c>
      <c r="D65" s="85" t="str">
        <f t="shared" si="0"/>
        <v>2.5.1</v>
      </c>
      <c r="E65" s="88" t="s">
        <v>290</v>
      </c>
      <c r="F65" s="88" t="s">
        <v>56</v>
      </c>
      <c r="G65" s="89">
        <v>10</v>
      </c>
      <c r="H65" s="62">
        <v>752.40000000000009</v>
      </c>
      <c r="I65" s="62">
        <f t="shared" si="1"/>
        <v>7524.0000000000009</v>
      </c>
    </row>
    <row r="66" spans="1:9" ht="50.25" customHeight="1" thickBot="1" x14ac:dyDescent="0.25">
      <c r="A66" s="59">
        <v>57</v>
      </c>
      <c r="B66" s="92" t="s">
        <v>114</v>
      </c>
      <c r="C66" s="84" t="s">
        <v>58</v>
      </c>
      <c r="D66" s="85" t="str">
        <f t="shared" si="0"/>
        <v>2.5.1</v>
      </c>
      <c r="E66" s="88" t="s">
        <v>291</v>
      </c>
      <c r="F66" s="88" t="s">
        <v>56</v>
      </c>
      <c r="G66" s="89">
        <v>5</v>
      </c>
      <c r="H66" s="62">
        <v>752.40000000000009</v>
      </c>
      <c r="I66" s="62">
        <f t="shared" si="1"/>
        <v>3762.0000000000005</v>
      </c>
    </row>
    <row r="67" spans="1:9" ht="50.25" customHeight="1" thickBot="1" x14ac:dyDescent="0.25">
      <c r="A67" s="59">
        <v>58</v>
      </c>
      <c r="B67" s="92" t="s">
        <v>115</v>
      </c>
      <c r="C67" s="84" t="s">
        <v>58</v>
      </c>
      <c r="D67" s="85" t="str">
        <f t="shared" si="0"/>
        <v>2.5.1</v>
      </c>
      <c r="E67" s="88" t="s">
        <v>292</v>
      </c>
      <c r="F67" s="88" t="s">
        <v>56</v>
      </c>
      <c r="G67" s="89">
        <v>10</v>
      </c>
      <c r="H67" s="62">
        <v>752.40000000000009</v>
      </c>
      <c r="I67" s="62">
        <f t="shared" si="1"/>
        <v>7524.0000000000009</v>
      </c>
    </row>
    <row r="68" spans="1:9" ht="50.25" customHeight="1" thickBot="1" x14ac:dyDescent="0.25">
      <c r="A68" s="59">
        <v>59</v>
      </c>
      <c r="B68" s="83" t="s">
        <v>116</v>
      </c>
      <c r="C68" s="84" t="s">
        <v>58</v>
      </c>
      <c r="D68" s="85" t="str">
        <f t="shared" si="0"/>
        <v>2.5.1</v>
      </c>
      <c r="E68" s="88" t="s">
        <v>293</v>
      </c>
      <c r="F68" s="88" t="s">
        <v>56</v>
      </c>
      <c r="G68" s="89">
        <v>10</v>
      </c>
      <c r="H68" s="62">
        <v>752.40000000000009</v>
      </c>
      <c r="I68" s="62">
        <f t="shared" si="1"/>
        <v>7524.0000000000009</v>
      </c>
    </row>
    <row r="69" spans="1:9" ht="50.25" customHeight="1" thickBot="1" x14ac:dyDescent="0.25">
      <c r="A69" s="59">
        <v>60</v>
      </c>
      <c r="B69" s="83" t="s">
        <v>117</v>
      </c>
      <c r="C69" s="84" t="s">
        <v>58</v>
      </c>
      <c r="D69" s="85" t="str">
        <f t="shared" si="0"/>
        <v>2.5.1</v>
      </c>
      <c r="E69" s="88" t="s">
        <v>294</v>
      </c>
      <c r="F69" s="88" t="s">
        <v>56</v>
      </c>
      <c r="G69" s="89">
        <v>10</v>
      </c>
      <c r="H69" s="62">
        <v>752.40000000000009</v>
      </c>
      <c r="I69" s="62">
        <f t="shared" si="1"/>
        <v>7524.0000000000009</v>
      </c>
    </row>
    <row r="70" spans="1:9" ht="50.25" customHeight="1" thickBot="1" x14ac:dyDescent="0.25">
      <c r="A70" s="59">
        <v>61</v>
      </c>
      <c r="B70" s="92" t="s">
        <v>118</v>
      </c>
      <c r="C70" s="84" t="s">
        <v>58</v>
      </c>
      <c r="D70" s="85" t="str">
        <f t="shared" si="0"/>
        <v>2.5.1</v>
      </c>
      <c r="E70" s="88" t="s">
        <v>295</v>
      </c>
      <c r="F70" s="88" t="s">
        <v>56</v>
      </c>
      <c r="G70" s="89">
        <v>1</v>
      </c>
      <c r="H70" s="62">
        <v>752.40000000000009</v>
      </c>
      <c r="I70" s="62">
        <f t="shared" si="1"/>
        <v>752.40000000000009</v>
      </c>
    </row>
    <row r="71" spans="1:9" ht="50.25" customHeight="1" thickBot="1" x14ac:dyDescent="0.25">
      <c r="A71" s="59">
        <v>62</v>
      </c>
      <c r="B71" s="92" t="s">
        <v>119</v>
      </c>
      <c r="C71" s="84" t="s">
        <v>58</v>
      </c>
      <c r="D71" s="85" t="str">
        <f t="shared" si="0"/>
        <v>2.5.1</v>
      </c>
      <c r="E71" s="88" t="s">
        <v>296</v>
      </c>
      <c r="F71" s="88" t="s">
        <v>56</v>
      </c>
      <c r="G71" s="89">
        <v>1</v>
      </c>
      <c r="H71" s="62">
        <v>752.40000000000009</v>
      </c>
      <c r="I71" s="62">
        <f t="shared" si="1"/>
        <v>752.40000000000009</v>
      </c>
    </row>
    <row r="72" spans="1:9" ht="50.25" customHeight="1" thickBot="1" x14ac:dyDescent="0.25">
      <c r="A72" s="59">
        <v>63</v>
      </c>
      <c r="B72" s="92" t="s">
        <v>120</v>
      </c>
      <c r="C72" s="84" t="s">
        <v>58</v>
      </c>
      <c r="D72" s="85" t="str">
        <f t="shared" si="0"/>
        <v>2.5.1</v>
      </c>
      <c r="E72" s="88" t="s">
        <v>297</v>
      </c>
      <c r="F72" s="88" t="s">
        <v>56</v>
      </c>
      <c r="G72" s="89">
        <v>10</v>
      </c>
      <c r="H72" s="62">
        <v>752.40000000000009</v>
      </c>
      <c r="I72" s="62">
        <f t="shared" si="1"/>
        <v>7524.0000000000009</v>
      </c>
    </row>
    <row r="73" spans="1:9" ht="50.25" customHeight="1" thickBot="1" x14ac:dyDescent="0.25">
      <c r="A73" s="59">
        <v>64</v>
      </c>
      <c r="B73" s="91" t="s">
        <v>121</v>
      </c>
      <c r="C73" s="84" t="s">
        <v>58</v>
      </c>
      <c r="D73" s="85" t="str">
        <f t="shared" si="0"/>
        <v>2.5.1</v>
      </c>
      <c r="E73" s="88" t="s">
        <v>298</v>
      </c>
      <c r="F73" s="88" t="s">
        <v>56</v>
      </c>
      <c r="G73" s="89">
        <v>2</v>
      </c>
      <c r="H73" s="62">
        <v>752.40000000000009</v>
      </c>
      <c r="I73" s="62">
        <f t="shared" si="1"/>
        <v>1504.8000000000002</v>
      </c>
    </row>
    <row r="74" spans="1:9" ht="50.25" customHeight="1" thickBot="1" x14ac:dyDescent="0.25">
      <c r="A74" s="59">
        <v>65</v>
      </c>
      <c r="B74" s="92" t="s">
        <v>122</v>
      </c>
      <c r="C74" s="84" t="s">
        <v>58</v>
      </c>
      <c r="D74" s="85" t="str">
        <f t="shared" si="0"/>
        <v>2.5.1</v>
      </c>
      <c r="E74" s="88" t="s">
        <v>299</v>
      </c>
      <c r="F74" s="88" t="s">
        <v>56</v>
      </c>
      <c r="G74" s="89">
        <v>2</v>
      </c>
      <c r="H74" s="62">
        <v>752.40000000000009</v>
      </c>
      <c r="I74" s="62">
        <f t="shared" si="1"/>
        <v>1504.8000000000002</v>
      </c>
    </row>
    <row r="75" spans="1:9" ht="50.25" customHeight="1" thickBot="1" x14ac:dyDescent="0.25">
      <c r="A75" s="59">
        <v>66</v>
      </c>
      <c r="B75" s="83" t="s">
        <v>123</v>
      </c>
      <c r="C75" s="84" t="s">
        <v>58</v>
      </c>
      <c r="D75" s="85" t="str">
        <f t="shared" ref="D75:D133" si="2">LEFT(B75,5)</f>
        <v>2.5.1</v>
      </c>
      <c r="E75" s="88" t="s">
        <v>300</v>
      </c>
      <c r="F75" s="88" t="s">
        <v>56</v>
      </c>
      <c r="G75" s="89">
        <v>2</v>
      </c>
      <c r="H75" s="62">
        <v>752.40000000000009</v>
      </c>
      <c r="I75" s="62">
        <f t="shared" ref="I75:I133" si="3">H75*G75</f>
        <v>1504.8000000000002</v>
      </c>
    </row>
    <row r="76" spans="1:9" ht="50.25" customHeight="1" thickBot="1" x14ac:dyDescent="0.25">
      <c r="A76" s="59">
        <v>67</v>
      </c>
      <c r="B76" s="83" t="s">
        <v>124</v>
      </c>
      <c r="C76" s="84" t="s">
        <v>58</v>
      </c>
      <c r="D76" s="85" t="str">
        <f t="shared" si="2"/>
        <v>2.5.1</v>
      </c>
      <c r="E76" s="88" t="s">
        <v>301</v>
      </c>
      <c r="F76" s="88" t="s">
        <v>56</v>
      </c>
      <c r="G76" s="89">
        <v>2</v>
      </c>
      <c r="H76" s="62">
        <v>752.40000000000009</v>
      </c>
      <c r="I76" s="62">
        <f t="shared" si="3"/>
        <v>1504.8000000000002</v>
      </c>
    </row>
    <row r="77" spans="1:9" ht="50.25" customHeight="1" thickBot="1" x14ac:dyDescent="0.25">
      <c r="A77" s="59">
        <v>68</v>
      </c>
      <c r="B77" s="92" t="s">
        <v>125</v>
      </c>
      <c r="C77" s="84" t="s">
        <v>58</v>
      </c>
      <c r="D77" s="85" t="str">
        <f t="shared" si="2"/>
        <v>2.5.1</v>
      </c>
      <c r="E77" s="88" t="s">
        <v>302</v>
      </c>
      <c r="F77" s="88" t="s">
        <v>56</v>
      </c>
      <c r="G77" s="89">
        <v>2</v>
      </c>
      <c r="H77" s="62">
        <v>752.40000000000009</v>
      </c>
      <c r="I77" s="62">
        <f t="shared" si="3"/>
        <v>1504.8000000000002</v>
      </c>
    </row>
    <row r="78" spans="1:9" ht="50.25" customHeight="1" thickBot="1" x14ac:dyDescent="0.25">
      <c r="A78" s="59">
        <v>69</v>
      </c>
      <c r="B78" s="92" t="s">
        <v>126</v>
      </c>
      <c r="C78" s="84" t="s">
        <v>58</v>
      </c>
      <c r="D78" s="85" t="str">
        <f t="shared" si="2"/>
        <v>2.5.1</v>
      </c>
      <c r="E78" s="88" t="s">
        <v>303</v>
      </c>
      <c r="F78" s="88" t="s">
        <v>56</v>
      </c>
      <c r="G78" s="89">
        <v>1</v>
      </c>
      <c r="H78" s="62">
        <v>752.40000000000009</v>
      </c>
      <c r="I78" s="62">
        <f t="shared" si="3"/>
        <v>752.40000000000009</v>
      </c>
    </row>
    <row r="79" spans="1:9" ht="50.25" customHeight="1" thickBot="1" x14ac:dyDescent="0.25">
      <c r="A79" s="59">
        <v>70</v>
      </c>
      <c r="B79" s="92" t="s">
        <v>127</v>
      </c>
      <c r="C79" s="84" t="s">
        <v>58</v>
      </c>
      <c r="D79" s="85" t="str">
        <f t="shared" si="2"/>
        <v>2.5.1</v>
      </c>
      <c r="E79" s="88" t="s">
        <v>304</v>
      </c>
      <c r="F79" s="88" t="s">
        <v>56</v>
      </c>
      <c r="G79" s="89">
        <v>1</v>
      </c>
      <c r="H79" s="62">
        <v>752.40000000000009</v>
      </c>
      <c r="I79" s="62">
        <f t="shared" si="3"/>
        <v>752.40000000000009</v>
      </c>
    </row>
    <row r="80" spans="1:9" ht="50.25" customHeight="1" thickBot="1" x14ac:dyDescent="0.25">
      <c r="A80" s="59">
        <v>71</v>
      </c>
      <c r="B80" s="83" t="s">
        <v>128</v>
      </c>
      <c r="C80" s="84" t="s">
        <v>58</v>
      </c>
      <c r="D80" s="85" t="str">
        <f t="shared" si="2"/>
        <v>2.5.1</v>
      </c>
      <c r="E80" s="88" t="s">
        <v>305</v>
      </c>
      <c r="F80" s="88" t="s">
        <v>53</v>
      </c>
      <c r="G80" s="89">
        <v>1</v>
      </c>
      <c r="H80" s="62">
        <v>1256.1999999999998</v>
      </c>
      <c r="I80" s="62">
        <f t="shared" si="3"/>
        <v>1256.1999999999998</v>
      </c>
    </row>
    <row r="81" spans="1:9" ht="50.25" customHeight="1" thickBot="1" x14ac:dyDescent="0.25">
      <c r="A81" s="59">
        <v>72</v>
      </c>
      <c r="B81" s="83" t="s">
        <v>129</v>
      </c>
      <c r="C81" s="84" t="s">
        <v>58</v>
      </c>
      <c r="D81" s="85" t="str">
        <f t="shared" si="2"/>
        <v>2.5.1</v>
      </c>
      <c r="E81" s="88" t="s">
        <v>306</v>
      </c>
      <c r="F81" s="88" t="s">
        <v>53</v>
      </c>
      <c r="G81" s="89">
        <v>1</v>
      </c>
      <c r="H81" s="62">
        <v>1376.1000000000001</v>
      </c>
      <c r="I81" s="62">
        <f t="shared" si="3"/>
        <v>1376.1000000000001</v>
      </c>
    </row>
    <row r="82" spans="1:9" ht="50.25" customHeight="1" thickBot="1" x14ac:dyDescent="0.25">
      <c r="A82" s="59">
        <v>73</v>
      </c>
      <c r="B82" s="83" t="s">
        <v>93</v>
      </c>
      <c r="C82" s="84" t="s">
        <v>58</v>
      </c>
      <c r="D82" s="85" t="str">
        <f t="shared" si="2"/>
        <v>2.5.1</v>
      </c>
      <c r="E82" s="88" t="s">
        <v>307</v>
      </c>
      <c r="F82" s="88" t="s">
        <v>53</v>
      </c>
      <c r="G82" s="89">
        <v>3</v>
      </c>
      <c r="H82" s="62">
        <v>10830.966666666665</v>
      </c>
      <c r="I82" s="62">
        <f t="shared" si="3"/>
        <v>32492.899999999994</v>
      </c>
    </row>
    <row r="83" spans="1:9" ht="50.25" customHeight="1" thickBot="1" x14ac:dyDescent="0.25">
      <c r="A83" s="59">
        <v>74</v>
      </c>
      <c r="B83" s="83" t="s">
        <v>130</v>
      </c>
      <c r="C83" s="84" t="s">
        <v>58</v>
      </c>
      <c r="D83" s="85" t="str">
        <f t="shared" si="2"/>
        <v>2.5.1</v>
      </c>
      <c r="E83" s="88" t="s">
        <v>308</v>
      </c>
      <c r="F83" s="88" t="s">
        <v>53</v>
      </c>
      <c r="G83" s="89">
        <v>10</v>
      </c>
      <c r="H83" s="62">
        <v>41244.5</v>
      </c>
      <c r="I83" s="62">
        <f t="shared" si="3"/>
        <v>412445</v>
      </c>
    </row>
    <row r="84" spans="1:9" ht="50.25" customHeight="1" thickBot="1" x14ac:dyDescent="0.25">
      <c r="A84" s="59">
        <v>75</v>
      </c>
      <c r="B84" s="83" t="s">
        <v>131</v>
      </c>
      <c r="C84" s="84" t="s">
        <v>58</v>
      </c>
      <c r="D84" s="85" t="str">
        <f t="shared" si="2"/>
        <v>2.5.1</v>
      </c>
      <c r="E84" s="88" t="s">
        <v>309</v>
      </c>
      <c r="F84" s="88" t="s">
        <v>56</v>
      </c>
      <c r="G84" s="89">
        <v>100</v>
      </c>
      <c r="H84" s="62">
        <v>1009.8</v>
      </c>
      <c r="I84" s="62">
        <f t="shared" si="3"/>
        <v>100980</v>
      </c>
    </row>
    <row r="85" spans="1:9" ht="36.75" thickBot="1" x14ac:dyDescent="0.25">
      <c r="A85" s="64">
        <v>76</v>
      </c>
      <c r="B85" s="91" t="s">
        <v>132</v>
      </c>
      <c r="C85" s="93" t="s">
        <v>58</v>
      </c>
      <c r="D85" s="85" t="str">
        <f t="shared" si="2"/>
        <v>2.5.1</v>
      </c>
      <c r="E85" s="86" t="s">
        <v>310</v>
      </c>
      <c r="F85" s="94" t="s">
        <v>56</v>
      </c>
      <c r="G85" s="95">
        <v>100</v>
      </c>
      <c r="H85" s="96">
        <v>1009.8</v>
      </c>
      <c r="I85" s="62">
        <f t="shared" si="3"/>
        <v>100980</v>
      </c>
    </row>
    <row r="86" spans="1:9" s="66" customFormat="1" ht="36.75" customHeight="1" thickBot="1" x14ac:dyDescent="0.3">
      <c r="A86" s="65">
        <v>77</v>
      </c>
      <c r="B86" s="97" t="s">
        <v>134</v>
      </c>
      <c r="C86" s="98" t="s">
        <v>58</v>
      </c>
      <c r="D86" s="85" t="str">
        <f t="shared" si="2"/>
        <v>2.5.6</v>
      </c>
      <c r="E86" s="72" t="s">
        <v>135</v>
      </c>
      <c r="F86" s="71" t="s">
        <v>54</v>
      </c>
      <c r="G86" s="71">
        <v>2</v>
      </c>
      <c r="H86" s="63">
        <v>603.75</v>
      </c>
      <c r="I86" s="132">
        <f t="shared" si="3"/>
        <v>1207.5</v>
      </c>
    </row>
    <row r="87" spans="1:9" ht="64.5" customHeight="1" thickBot="1" x14ac:dyDescent="0.3">
      <c r="A87" s="65">
        <v>78</v>
      </c>
      <c r="B87" s="99" t="s">
        <v>138</v>
      </c>
      <c r="C87" s="100" t="s">
        <v>58</v>
      </c>
      <c r="D87" s="85" t="str">
        <f t="shared" si="2"/>
        <v>2.5.1</v>
      </c>
      <c r="E87" s="72" t="s">
        <v>139</v>
      </c>
      <c r="F87" s="100" t="s">
        <v>53</v>
      </c>
      <c r="G87" s="101">
        <v>3</v>
      </c>
      <c r="H87" s="63">
        <v>4935</v>
      </c>
      <c r="I87" s="62">
        <f t="shared" si="3"/>
        <v>14805</v>
      </c>
    </row>
    <row r="88" spans="1:9" ht="45.75" customHeight="1" thickBot="1" x14ac:dyDescent="0.3">
      <c r="A88" s="65">
        <v>79</v>
      </c>
      <c r="B88" s="99" t="s">
        <v>140</v>
      </c>
      <c r="C88" s="100" t="s">
        <v>58</v>
      </c>
      <c r="D88" s="85" t="str">
        <f t="shared" si="2"/>
        <v>2.5.1</v>
      </c>
      <c r="E88" s="72" t="s">
        <v>141</v>
      </c>
      <c r="F88" s="100" t="s">
        <v>53</v>
      </c>
      <c r="G88" s="101">
        <v>1</v>
      </c>
      <c r="H88" s="63">
        <v>14883.75</v>
      </c>
      <c r="I88" s="62">
        <f t="shared" si="3"/>
        <v>14883.75</v>
      </c>
    </row>
    <row r="89" spans="1:9" ht="54" customHeight="1" thickBot="1" x14ac:dyDescent="0.3">
      <c r="A89" s="65">
        <v>80</v>
      </c>
      <c r="B89" s="99" t="s">
        <v>142</v>
      </c>
      <c r="C89" s="100" t="s">
        <v>58</v>
      </c>
      <c r="D89" s="85" t="str">
        <f t="shared" si="2"/>
        <v>2.5.1</v>
      </c>
      <c r="E89" s="72" t="s">
        <v>143</v>
      </c>
      <c r="F89" s="100" t="s">
        <v>53</v>
      </c>
      <c r="G89" s="101">
        <v>2</v>
      </c>
      <c r="H89" s="63">
        <v>15015</v>
      </c>
      <c r="I89" s="62">
        <f t="shared" si="3"/>
        <v>30030</v>
      </c>
    </row>
    <row r="90" spans="1:9" ht="41.25" customHeight="1" thickBot="1" x14ac:dyDescent="0.3">
      <c r="A90" s="65">
        <v>81</v>
      </c>
      <c r="B90" s="99" t="s">
        <v>144</v>
      </c>
      <c r="C90" s="100" t="s">
        <v>58</v>
      </c>
      <c r="D90" s="85" t="str">
        <f t="shared" si="2"/>
        <v>2.5.1</v>
      </c>
      <c r="E90" s="72" t="s">
        <v>145</v>
      </c>
      <c r="F90" s="100" t="s">
        <v>53</v>
      </c>
      <c r="G90" s="101">
        <v>5</v>
      </c>
      <c r="H90" s="63">
        <v>15015</v>
      </c>
      <c r="I90" s="62">
        <f t="shared" si="3"/>
        <v>75075</v>
      </c>
    </row>
    <row r="91" spans="1:9" ht="51" customHeight="1" thickBot="1" x14ac:dyDescent="0.3">
      <c r="A91" s="65">
        <v>82</v>
      </c>
      <c r="B91" s="99" t="s">
        <v>146</v>
      </c>
      <c r="C91" s="100" t="s">
        <v>58</v>
      </c>
      <c r="D91" s="85" t="str">
        <f t="shared" si="2"/>
        <v>2.5.1</v>
      </c>
      <c r="E91" s="102" t="s">
        <v>147</v>
      </c>
      <c r="F91" s="100" t="s">
        <v>54</v>
      </c>
      <c r="G91" s="101">
        <v>5</v>
      </c>
      <c r="H91" s="63">
        <v>677.25</v>
      </c>
      <c r="I91" s="62">
        <f t="shared" si="3"/>
        <v>3386.25</v>
      </c>
    </row>
    <row r="92" spans="1:9" ht="30.75" thickBot="1" x14ac:dyDescent="0.3">
      <c r="A92" s="65">
        <v>83</v>
      </c>
      <c r="B92" s="99" t="s">
        <v>148</v>
      </c>
      <c r="C92" s="100" t="s">
        <v>58</v>
      </c>
      <c r="D92" s="85" t="str">
        <f t="shared" si="2"/>
        <v>2.5.1</v>
      </c>
      <c r="E92" s="72" t="s">
        <v>149</v>
      </c>
      <c r="F92" s="100" t="s">
        <v>54</v>
      </c>
      <c r="G92" s="101">
        <v>1</v>
      </c>
      <c r="H92" s="63">
        <v>12390</v>
      </c>
      <c r="I92" s="62">
        <f t="shared" si="3"/>
        <v>12390</v>
      </c>
    </row>
    <row r="93" spans="1:9" ht="30.75" thickBot="1" x14ac:dyDescent="0.3">
      <c r="A93" s="65">
        <v>84</v>
      </c>
      <c r="B93" s="99" t="s">
        <v>150</v>
      </c>
      <c r="C93" s="100" t="s">
        <v>58</v>
      </c>
      <c r="D93" s="85" t="str">
        <f t="shared" si="2"/>
        <v>2.5.1</v>
      </c>
      <c r="E93" s="72" t="s">
        <v>151</v>
      </c>
      <c r="F93" s="100" t="s">
        <v>54</v>
      </c>
      <c r="G93" s="101">
        <v>1</v>
      </c>
      <c r="H93" s="63">
        <v>9345</v>
      </c>
      <c r="I93" s="62">
        <f t="shared" si="3"/>
        <v>9345</v>
      </c>
    </row>
    <row r="94" spans="1:9" ht="30.75" thickBot="1" x14ac:dyDescent="0.3">
      <c r="A94" s="65">
        <v>85</v>
      </c>
      <c r="B94" s="99" t="s">
        <v>152</v>
      </c>
      <c r="C94" s="100" t="s">
        <v>58</v>
      </c>
      <c r="D94" s="85" t="str">
        <f t="shared" si="2"/>
        <v>2.5.1</v>
      </c>
      <c r="E94" s="72" t="s">
        <v>153</v>
      </c>
      <c r="F94" s="100" t="s">
        <v>54</v>
      </c>
      <c r="G94" s="101">
        <v>1</v>
      </c>
      <c r="H94" s="63">
        <v>12285</v>
      </c>
      <c r="I94" s="62">
        <f t="shared" si="3"/>
        <v>12285</v>
      </c>
    </row>
    <row r="95" spans="1:9" ht="44.25" customHeight="1" thickBot="1" x14ac:dyDescent="0.3">
      <c r="A95" s="65">
        <v>86</v>
      </c>
      <c r="B95" s="99" t="s">
        <v>154</v>
      </c>
      <c r="C95" s="100" t="s">
        <v>58</v>
      </c>
      <c r="D95" s="85" t="str">
        <f t="shared" si="2"/>
        <v>2.5.1</v>
      </c>
      <c r="E95" s="72" t="s">
        <v>155</v>
      </c>
      <c r="F95" s="100" t="s">
        <v>54</v>
      </c>
      <c r="G95" s="101">
        <v>1</v>
      </c>
      <c r="H95" s="63">
        <v>11340</v>
      </c>
      <c r="I95" s="62">
        <f t="shared" si="3"/>
        <v>11340</v>
      </c>
    </row>
    <row r="96" spans="1:9" ht="30.75" thickBot="1" x14ac:dyDescent="0.3">
      <c r="A96" s="65">
        <v>87</v>
      </c>
      <c r="B96" s="99" t="s">
        <v>156</v>
      </c>
      <c r="C96" s="100" t="s">
        <v>58</v>
      </c>
      <c r="D96" s="85" t="str">
        <f t="shared" si="2"/>
        <v>2.5.1</v>
      </c>
      <c r="E96" s="72" t="s">
        <v>157</v>
      </c>
      <c r="F96" s="100" t="s">
        <v>54</v>
      </c>
      <c r="G96" s="101">
        <v>1</v>
      </c>
      <c r="H96" s="63">
        <v>29610</v>
      </c>
      <c r="I96" s="62">
        <f t="shared" si="3"/>
        <v>29610</v>
      </c>
    </row>
    <row r="97" spans="1:9" ht="45.75" thickBot="1" x14ac:dyDescent="0.3">
      <c r="A97" s="65">
        <v>88</v>
      </c>
      <c r="B97" s="99" t="s">
        <v>158</v>
      </c>
      <c r="C97" s="100" t="s">
        <v>58</v>
      </c>
      <c r="D97" s="85" t="str">
        <f t="shared" si="2"/>
        <v>2.5.1</v>
      </c>
      <c r="E97" s="72" t="s">
        <v>159</v>
      </c>
      <c r="F97" s="100" t="s">
        <v>54</v>
      </c>
      <c r="G97" s="101">
        <v>8</v>
      </c>
      <c r="H97" s="63">
        <v>667.8</v>
      </c>
      <c r="I97" s="62">
        <f t="shared" si="3"/>
        <v>5342.4</v>
      </c>
    </row>
    <row r="98" spans="1:9" ht="45.75" thickBot="1" x14ac:dyDescent="0.3">
      <c r="A98" s="65">
        <v>89</v>
      </c>
      <c r="B98" s="103" t="s">
        <v>160</v>
      </c>
      <c r="C98" s="100" t="s">
        <v>58</v>
      </c>
      <c r="D98" s="85" t="str">
        <f t="shared" si="2"/>
        <v>2.5.1</v>
      </c>
      <c r="E98" s="72" t="s">
        <v>161</v>
      </c>
      <c r="F98" s="100" t="s">
        <v>54</v>
      </c>
      <c r="G98" s="101">
        <v>8</v>
      </c>
      <c r="H98" s="63">
        <v>667.8</v>
      </c>
      <c r="I98" s="62">
        <f t="shared" si="3"/>
        <v>5342.4</v>
      </c>
    </row>
    <row r="99" spans="1:9" ht="72.75" customHeight="1" thickBot="1" x14ac:dyDescent="0.3">
      <c r="A99" s="65">
        <v>90</v>
      </c>
      <c r="B99" s="104" t="s">
        <v>162</v>
      </c>
      <c r="C99" s="105" t="s">
        <v>58</v>
      </c>
      <c r="D99" s="85" t="str">
        <f t="shared" si="2"/>
        <v>2.5.1</v>
      </c>
      <c r="E99" s="106" t="s">
        <v>163</v>
      </c>
      <c r="F99" s="105" t="s">
        <v>54</v>
      </c>
      <c r="G99" s="107">
        <v>20</v>
      </c>
      <c r="H99" s="108">
        <v>22961</v>
      </c>
      <c r="I99" s="62">
        <f t="shared" si="3"/>
        <v>459220</v>
      </c>
    </row>
    <row r="100" spans="1:9" ht="45.75" thickBot="1" x14ac:dyDescent="0.3">
      <c r="A100" s="65">
        <v>91</v>
      </c>
      <c r="B100" s="104" t="s">
        <v>164</v>
      </c>
      <c r="C100" s="105" t="s">
        <v>58</v>
      </c>
      <c r="D100" s="85" t="str">
        <f t="shared" si="2"/>
        <v>2.5.1</v>
      </c>
      <c r="E100" s="106" t="s">
        <v>165</v>
      </c>
      <c r="F100" s="105" t="s">
        <v>54</v>
      </c>
      <c r="G100" s="107">
        <v>8</v>
      </c>
      <c r="H100" s="109">
        <v>32422</v>
      </c>
      <c r="I100" s="62">
        <f t="shared" si="3"/>
        <v>259376</v>
      </c>
    </row>
    <row r="101" spans="1:9" ht="45.75" thickBot="1" x14ac:dyDescent="0.3">
      <c r="A101" s="65">
        <v>92</v>
      </c>
      <c r="B101" s="104" t="s">
        <v>166</v>
      </c>
      <c r="C101" s="105" t="s">
        <v>58</v>
      </c>
      <c r="D101" s="85" t="str">
        <f t="shared" si="2"/>
        <v>2.5.1</v>
      </c>
      <c r="E101" s="106" t="s">
        <v>167</v>
      </c>
      <c r="F101" s="105" t="s">
        <v>54</v>
      </c>
      <c r="G101" s="107">
        <v>1</v>
      </c>
      <c r="H101" s="109">
        <v>32422</v>
      </c>
      <c r="I101" s="62">
        <f t="shared" si="3"/>
        <v>32422</v>
      </c>
    </row>
    <row r="102" spans="1:9" ht="45.75" thickBot="1" x14ac:dyDescent="0.3">
      <c r="A102" s="65">
        <v>93</v>
      </c>
      <c r="B102" s="110" t="s">
        <v>168</v>
      </c>
      <c r="C102" s="105" t="s">
        <v>58</v>
      </c>
      <c r="D102" s="85" t="str">
        <f t="shared" si="2"/>
        <v>2.5.1</v>
      </c>
      <c r="E102" s="106" t="s">
        <v>169</v>
      </c>
      <c r="F102" s="105" t="s">
        <v>54</v>
      </c>
      <c r="G102" s="107">
        <v>1</v>
      </c>
      <c r="H102" s="109">
        <v>4661</v>
      </c>
      <c r="I102" s="62">
        <f t="shared" si="3"/>
        <v>4661</v>
      </c>
    </row>
    <row r="103" spans="1:9" ht="57.75" customHeight="1" thickBot="1" x14ac:dyDescent="0.3">
      <c r="A103" s="65">
        <v>94</v>
      </c>
      <c r="B103" s="111" t="s">
        <v>170</v>
      </c>
      <c r="C103" s="112" t="s">
        <v>58</v>
      </c>
      <c r="D103" s="85" t="str">
        <f t="shared" si="2"/>
        <v>2.5.1</v>
      </c>
      <c r="E103" s="112" t="s">
        <v>171</v>
      </c>
      <c r="F103" s="113" t="s">
        <v>54</v>
      </c>
      <c r="G103" s="114">
        <v>1</v>
      </c>
      <c r="H103" s="108">
        <v>3854</v>
      </c>
      <c r="I103" s="62">
        <f t="shared" si="3"/>
        <v>3854</v>
      </c>
    </row>
    <row r="104" spans="1:9" ht="45.75" thickBot="1" x14ac:dyDescent="0.3">
      <c r="A104" s="65">
        <v>95</v>
      </c>
      <c r="B104" s="111" t="s">
        <v>172</v>
      </c>
      <c r="C104" s="113" t="s">
        <v>58</v>
      </c>
      <c r="D104" s="85" t="str">
        <f t="shared" si="2"/>
        <v>2.5.1</v>
      </c>
      <c r="E104" s="112" t="s">
        <v>173</v>
      </c>
      <c r="F104" s="113" t="s">
        <v>54</v>
      </c>
      <c r="G104" s="114">
        <v>1</v>
      </c>
      <c r="H104" s="108">
        <v>7391</v>
      </c>
      <c r="I104" s="62">
        <f t="shared" si="3"/>
        <v>7391</v>
      </c>
    </row>
    <row r="105" spans="1:9" ht="45.75" thickBot="1" x14ac:dyDescent="0.3">
      <c r="A105" s="65">
        <v>96</v>
      </c>
      <c r="B105" s="111" t="s">
        <v>174</v>
      </c>
      <c r="C105" s="115" t="s">
        <v>58</v>
      </c>
      <c r="D105" s="85" t="str">
        <f t="shared" si="2"/>
        <v>2.5.1</v>
      </c>
      <c r="E105" s="112" t="s">
        <v>175</v>
      </c>
      <c r="F105" s="113" t="s">
        <v>54</v>
      </c>
      <c r="G105" s="114">
        <v>1</v>
      </c>
      <c r="H105" s="108">
        <v>7701</v>
      </c>
      <c r="I105" s="62">
        <f t="shared" si="3"/>
        <v>7701</v>
      </c>
    </row>
    <row r="106" spans="1:9" ht="30.75" thickBot="1" x14ac:dyDescent="0.3">
      <c r="A106" s="65">
        <v>97</v>
      </c>
      <c r="B106" s="110" t="s">
        <v>176</v>
      </c>
      <c r="C106" s="104" t="s">
        <v>58</v>
      </c>
      <c r="D106" s="85" t="str">
        <f t="shared" si="2"/>
        <v>2.5.1</v>
      </c>
      <c r="E106" s="106" t="s">
        <v>177</v>
      </c>
      <c r="F106" s="105" t="s">
        <v>54</v>
      </c>
      <c r="G106" s="107">
        <v>2</v>
      </c>
      <c r="H106" s="109">
        <v>2925</v>
      </c>
      <c r="I106" s="62">
        <f t="shared" si="3"/>
        <v>5850</v>
      </c>
    </row>
    <row r="107" spans="1:9" ht="30.75" thickBot="1" x14ac:dyDescent="0.3">
      <c r="A107" s="65">
        <v>98</v>
      </c>
      <c r="B107" s="110" t="s">
        <v>178</v>
      </c>
      <c r="C107" s="105" t="s">
        <v>58</v>
      </c>
      <c r="D107" s="85" t="str">
        <f t="shared" si="2"/>
        <v>2.5.1</v>
      </c>
      <c r="E107" s="106" t="s">
        <v>179</v>
      </c>
      <c r="F107" s="105" t="s">
        <v>54</v>
      </c>
      <c r="G107" s="107">
        <v>3</v>
      </c>
      <c r="H107" s="109">
        <v>31767</v>
      </c>
      <c r="I107" s="62">
        <f t="shared" si="3"/>
        <v>95301</v>
      </c>
    </row>
    <row r="108" spans="1:9" ht="59.25" customHeight="1" thickBot="1" x14ac:dyDescent="0.3">
      <c r="A108" s="65">
        <v>99</v>
      </c>
      <c r="B108" s="110" t="s">
        <v>180</v>
      </c>
      <c r="C108" s="106" t="s">
        <v>58</v>
      </c>
      <c r="D108" s="85" t="str">
        <f t="shared" si="2"/>
        <v>2.5.1</v>
      </c>
      <c r="E108" s="116" t="s">
        <v>181</v>
      </c>
      <c r="F108" s="105" t="s">
        <v>54</v>
      </c>
      <c r="G108" s="107">
        <v>3</v>
      </c>
      <c r="H108" s="109">
        <v>5025</v>
      </c>
      <c r="I108" s="62">
        <f t="shared" si="3"/>
        <v>15075</v>
      </c>
    </row>
    <row r="109" spans="1:9" ht="30.75" thickBot="1" x14ac:dyDescent="0.3">
      <c r="A109" s="65">
        <v>100</v>
      </c>
      <c r="B109" s="110" t="s">
        <v>182</v>
      </c>
      <c r="C109" s="117" t="s">
        <v>58</v>
      </c>
      <c r="D109" s="85" t="str">
        <f t="shared" si="2"/>
        <v>2.5.1</v>
      </c>
      <c r="E109" s="116" t="s">
        <v>183</v>
      </c>
      <c r="F109" s="105" t="s">
        <v>54</v>
      </c>
      <c r="G109" s="107">
        <v>1</v>
      </c>
      <c r="H109" s="109">
        <v>7391</v>
      </c>
      <c r="I109" s="62">
        <f t="shared" si="3"/>
        <v>7391</v>
      </c>
    </row>
    <row r="110" spans="1:9" ht="65.25" customHeight="1" thickBot="1" x14ac:dyDescent="0.3">
      <c r="A110" s="65">
        <v>101</v>
      </c>
      <c r="B110" s="110" t="s">
        <v>184</v>
      </c>
      <c r="C110" s="106" t="s">
        <v>58</v>
      </c>
      <c r="D110" s="85" t="str">
        <f t="shared" si="2"/>
        <v>2.5.1</v>
      </c>
      <c r="E110" s="106" t="s">
        <v>185</v>
      </c>
      <c r="F110" s="105" t="s">
        <v>54</v>
      </c>
      <c r="G110" s="107">
        <v>1</v>
      </c>
      <c r="H110" s="109">
        <v>7391</v>
      </c>
      <c r="I110" s="62">
        <f t="shared" si="3"/>
        <v>7391</v>
      </c>
    </row>
    <row r="111" spans="1:9" ht="45.75" thickBot="1" x14ac:dyDescent="0.3">
      <c r="A111" s="65">
        <v>102</v>
      </c>
      <c r="B111" s="110" t="s">
        <v>186</v>
      </c>
      <c r="C111" s="105" t="s">
        <v>58</v>
      </c>
      <c r="D111" s="85" t="str">
        <f t="shared" si="2"/>
        <v>2.5.1</v>
      </c>
      <c r="E111" s="106" t="s">
        <v>187</v>
      </c>
      <c r="F111" s="105" t="s">
        <v>54</v>
      </c>
      <c r="G111" s="107">
        <v>2</v>
      </c>
      <c r="H111" s="109">
        <v>5249</v>
      </c>
      <c r="I111" s="62">
        <f t="shared" si="3"/>
        <v>10498</v>
      </c>
    </row>
    <row r="112" spans="1:9" ht="48" customHeight="1" thickBot="1" x14ac:dyDescent="0.3">
      <c r="A112" s="65">
        <v>103</v>
      </c>
      <c r="B112" s="188" t="s">
        <v>188</v>
      </c>
      <c r="C112" s="104" t="s">
        <v>58</v>
      </c>
      <c r="D112" s="85" t="str">
        <f t="shared" si="2"/>
        <v>2.5.1</v>
      </c>
      <c r="E112" s="189" t="s">
        <v>340</v>
      </c>
      <c r="F112" s="105" t="s">
        <v>54</v>
      </c>
      <c r="G112" s="107">
        <v>1</v>
      </c>
      <c r="H112" s="108">
        <v>7562.7619047619046</v>
      </c>
      <c r="I112" s="62">
        <f t="shared" si="3"/>
        <v>7562.7619047619046</v>
      </c>
    </row>
    <row r="113" spans="1:9" ht="30.75" thickBot="1" x14ac:dyDescent="0.3">
      <c r="A113" s="65">
        <v>104</v>
      </c>
      <c r="B113" s="105" t="s">
        <v>189</v>
      </c>
      <c r="C113" s="105" t="s">
        <v>58</v>
      </c>
      <c r="D113" s="85" t="str">
        <f t="shared" si="2"/>
        <v>2.5.1</v>
      </c>
      <c r="E113" s="106" t="s">
        <v>190</v>
      </c>
      <c r="F113" s="105" t="s">
        <v>54</v>
      </c>
      <c r="G113" s="107">
        <v>1</v>
      </c>
      <c r="H113" s="109">
        <v>15456</v>
      </c>
      <c r="I113" s="62">
        <f t="shared" si="3"/>
        <v>15456</v>
      </c>
    </row>
    <row r="114" spans="1:9" ht="30.75" thickBot="1" x14ac:dyDescent="0.3">
      <c r="A114" s="65">
        <v>105</v>
      </c>
      <c r="B114" s="105" t="s">
        <v>191</v>
      </c>
      <c r="C114" s="105" t="s">
        <v>58</v>
      </c>
      <c r="D114" s="85" t="str">
        <f t="shared" si="2"/>
        <v>2.5.1</v>
      </c>
      <c r="E114" s="106" t="s">
        <v>192</v>
      </c>
      <c r="F114" s="105" t="s">
        <v>54</v>
      </c>
      <c r="G114" s="107">
        <v>10</v>
      </c>
      <c r="H114" s="108">
        <v>1427.9047619047619</v>
      </c>
      <c r="I114" s="62">
        <f t="shared" si="3"/>
        <v>14279.047619047618</v>
      </c>
    </row>
    <row r="115" spans="1:9" ht="30.75" thickBot="1" x14ac:dyDescent="0.3">
      <c r="A115" s="65">
        <v>106</v>
      </c>
      <c r="B115" s="105" t="s">
        <v>193</v>
      </c>
      <c r="C115" s="104" t="s">
        <v>58</v>
      </c>
      <c r="D115" s="85" t="str">
        <f t="shared" si="2"/>
        <v>2.5.1</v>
      </c>
      <c r="E115" s="106" t="s">
        <v>194</v>
      </c>
      <c r="F115" s="105" t="s">
        <v>54</v>
      </c>
      <c r="G115" s="107">
        <v>15</v>
      </c>
      <c r="H115" s="109">
        <v>15456</v>
      </c>
      <c r="I115" s="62">
        <f t="shared" si="3"/>
        <v>231840</v>
      </c>
    </row>
    <row r="116" spans="1:9" ht="30.75" thickBot="1" x14ac:dyDescent="0.3">
      <c r="A116" s="65">
        <v>107</v>
      </c>
      <c r="B116" s="105" t="s">
        <v>195</v>
      </c>
      <c r="C116" s="104" t="s">
        <v>58</v>
      </c>
      <c r="D116" s="85" t="str">
        <f t="shared" si="2"/>
        <v>2.5.1</v>
      </c>
      <c r="E116" s="106" t="s">
        <v>196</v>
      </c>
      <c r="F116" s="105" t="s">
        <v>54</v>
      </c>
      <c r="G116" s="107">
        <v>10</v>
      </c>
      <c r="H116" s="63">
        <v>1392.6000000000001</v>
      </c>
      <c r="I116" s="62">
        <f t="shared" si="3"/>
        <v>13926.000000000002</v>
      </c>
    </row>
    <row r="117" spans="1:9" ht="45.75" thickBot="1" x14ac:dyDescent="0.3">
      <c r="A117" s="65">
        <v>108</v>
      </c>
      <c r="B117" s="113" t="s">
        <v>197</v>
      </c>
      <c r="C117" s="115" t="s">
        <v>58</v>
      </c>
      <c r="D117" s="85" t="str">
        <f t="shared" si="2"/>
        <v>2.5.1</v>
      </c>
      <c r="E117" s="112" t="s">
        <v>198</v>
      </c>
      <c r="F117" s="113" t="s">
        <v>54</v>
      </c>
      <c r="G117" s="114">
        <v>1</v>
      </c>
      <c r="H117" s="108">
        <v>14114</v>
      </c>
      <c r="I117" s="62">
        <f t="shared" si="3"/>
        <v>14114</v>
      </c>
    </row>
    <row r="118" spans="1:9" ht="45.75" thickBot="1" x14ac:dyDescent="0.3">
      <c r="A118" s="65">
        <v>109</v>
      </c>
      <c r="B118" s="105" t="s">
        <v>199</v>
      </c>
      <c r="C118" s="105" t="s">
        <v>58</v>
      </c>
      <c r="D118" s="85" t="str">
        <f t="shared" si="2"/>
        <v>2.5.1</v>
      </c>
      <c r="E118" s="106" t="s">
        <v>200</v>
      </c>
      <c r="F118" s="105" t="s">
        <v>54</v>
      </c>
      <c r="G118" s="107">
        <v>1</v>
      </c>
      <c r="H118" s="108">
        <v>272185</v>
      </c>
      <c r="I118" s="62">
        <f t="shared" si="3"/>
        <v>272185</v>
      </c>
    </row>
    <row r="119" spans="1:9" ht="45.75" thickBot="1" x14ac:dyDescent="0.3">
      <c r="A119" s="65">
        <v>110</v>
      </c>
      <c r="B119" s="105" t="s">
        <v>201</v>
      </c>
      <c r="C119" s="105" t="s">
        <v>58</v>
      </c>
      <c r="D119" s="85" t="str">
        <f t="shared" si="2"/>
        <v>2.5.1</v>
      </c>
      <c r="E119" s="106" t="s">
        <v>202</v>
      </c>
      <c r="F119" s="105" t="s">
        <v>54</v>
      </c>
      <c r="G119" s="107">
        <v>1</v>
      </c>
      <c r="H119" s="108">
        <v>14901</v>
      </c>
      <c r="I119" s="62">
        <f t="shared" si="3"/>
        <v>14901</v>
      </c>
    </row>
    <row r="120" spans="1:9" ht="45.75" thickBot="1" x14ac:dyDescent="0.3">
      <c r="A120" s="65">
        <v>111</v>
      </c>
      <c r="B120" s="105" t="s">
        <v>203</v>
      </c>
      <c r="C120" s="105" t="s">
        <v>58</v>
      </c>
      <c r="D120" s="85" t="str">
        <f t="shared" si="2"/>
        <v>2.5.1</v>
      </c>
      <c r="E120" s="106" t="s">
        <v>204</v>
      </c>
      <c r="F120" s="105" t="s">
        <v>54</v>
      </c>
      <c r="G120" s="107">
        <v>1</v>
      </c>
      <c r="H120" s="108">
        <v>14114</v>
      </c>
      <c r="I120" s="62">
        <f t="shared" si="3"/>
        <v>14114</v>
      </c>
    </row>
    <row r="121" spans="1:9" ht="45.75" thickBot="1" x14ac:dyDescent="0.3">
      <c r="A121" s="65">
        <v>112</v>
      </c>
      <c r="B121" s="105" t="s">
        <v>205</v>
      </c>
      <c r="C121" s="105" t="s">
        <v>58</v>
      </c>
      <c r="D121" s="85" t="str">
        <f t="shared" si="2"/>
        <v>2.5.1</v>
      </c>
      <c r="E121" s="106" t="s">
        <v>206</v>
      </c>
      <c r="F121" s="105" t="s">
        <v>54</v>
      </c>
      <c r="G121" s="107">
        <v>1</v>
      </c>
      <c r="H121" s="109">
        <v>10863</v>
      </c>
      <c r="I121" s="62">
        <f t="shared" si="3"/>
        <v>10863</v>
      </c>
    </row>
    <row r="122" spans="1:9" ht="45.75" thickBot="1" x14ac:dyDescent="0.3">
      <c r="A122" s="65">
        <v>113</v>
      </c>
      <c r="B122" s="105" t="s">
        <v>207</v>
      </c>
      <c r="C122" s="105" t="s">
        <v>58</v>
      </c>
      <c r="D122" s="85" t="str">
        <f t="shared" si="2"/>
        <v>2.5.1</v>
      </c>
      <c r="E122" s="106" t="s">
        <v>208</v>
      </c>
      <c r="F122" s="105" t="s">
        <v>54</v>
      </c>
      <c r="G122" s="107">
        <v>1</v>
      </c>
      <c r="H122" s="109">
        <v>10863</v>
      </c>
      <c r="I122" s="62">
        <f t="shared" si="3"/>
        <v>10863</v>
      </c>
    </row>
    <row r="123" spans="1:9" ht="45.75" thickBot="1" x14ac:dyDescent="0.3">
      <c r="A123" s="65">
        <v>114</v>
      </c>
      <c r="B123" s="105" t="s">
        <v>209</v>
      </c>
      <c r="C123" s="105" t="s">
        <v>58</v>
      </c>
      <c r="D123" s="85" t="str">
        <f t="shared" si="2"/>
        <v>2.5.1</v>
      </c>
      <c r="E123" s="106" t="s">
        <v>210</v>
      </c>
      <c r="F123" s="105" t="s">
        <v>54</v>
      </c>
      <c r="G123" s="107">
        <v>1</v>
      </c>
      <c r="H123" s="109">
        <v>9986</v>
      </c>
      <c r="I123" s="62">
        <f t="shared" si="3"/>
        <v>9986</v>
      </c>
    </row>
    <row r="124" spans="1:9" ht="45.75" thickBot="1" x14ac:dyDescent="0.3">
      <c r="A124" s="65">
        <v>115</v>
      </c>
      <c r="B124" s="105" t="s">
        <v>211</v>
      </c>
      <c r="C124" s="105" t="s">
        <v>58</v>
      </c>
      <c r="D124" s="85" t="str">
        <f t="shared" si="2"/>
        <v>2.5.1</v>
      </c>
      <c r="E124" s="106" t="s">
        <v>212</v>
      </c>
      <c r="F124" s="105" t="s">
        <v>54</v>
      </c>
      <c r="G124" s="107">
        <v>1</v>
      </c>
      <c r="H124" s="109">
        <v>10863</v>
      </c>
      <c r="I124" s="62">
        <f t="shared" si="3"/>
        <v>10863</v>
      </c>
    </row>
    <row r="125" spans="1:9" ht="45.75" thickBot="1" x14ac:dyDescent="0.3">
      <c r="A125" s="65">
        <v>116</v>
      </c>
      <c r="B125" s="105" t="s">
        <v>213</v>
      </c>
      <c r="C125" s="105" t="s">
        <v>58</v>
      </c>
      <c r="D125" s="85" t="str">
        <f t="shared" si="2"/>
        <v>2.5.1</v>
      </c>
      <c r="E125" s="106" t="s">
        <v>214</v>
      </c>
      <c r="F125" s="105" t="s">
        <v>54</v>
      </c>
      <c r="G125" s="107">
        <v>1</v>
      </c>
      <c r="H125" s="109">
        <v>10863</v>
      </c>
      <c r="I125" s="62">
        <f t="shared" si="3"/>
        <v>10863</v>
      </c>
    </row>
    <row r="126" spans="1:9" ht="45.75" thickBot="1" x14ac:dyDescent="0.3">
      <c r="A126" s="65">
        <v>117</v>
      </c>
      <c r="B126" s="105" t="s">
        <v>215</v>
      </c>
      <c r="C126" s="105" t="s">
        <v>58</v>
      </c>
      <c r="D126" s="85" t="str">
        <f t="shared" si="2"/>
        <v>2.5.1</v>
      </c>
      <c r="E126" s="106" t="s">
        <v>216</v>
      </c>
      <c r="F126" s="105" t="s">
        <v>54</v>
      </c>
      <c r="G126" s="107">
        <v>1</v>
      </c>
      <c r="H126" s="109">
        <v>10863</v>
      </c>
      <c r="I126" s="62">
        <f t="shared" si="3"/>
        <v>10863</v>
      </c>
    </row>
    <row r="127" spans="1:9" ht="45.75" thickBot="1" x14ac:dyDescent="0.3">
      <c r="A127" s="65">
        <v>118</v>
      </c>
      <c r="B127" s="105" t="s">
        <v>217</v>
      </c>
      <c r="C127" s="105" t="s">
        <v>58</v>
      </c>
      <c r="D127" s="85" t="str">
        <f t="shared" si="2"/>
        <v>2.5.1</v>
      </c>
      <c r="E127" s="106" t="s">
        <v>218</v>
      </c>
      <c r="F127" s="105" t="s">
        <v>54</v>
      </c>
      <c r="G127" s="107">
        <v>1</v>
      </c>
      <c r="H127" s="109">
        <v>9928</v>
      </c>
      <c r="I127" s="62">
        <f t="shared" si="3"/>
        <v>9928</v>
      </c>
    </row>
    <row r="128" spans="1:9" ht="45.75" thickBot="1" x14ac:dyDescent="0.3">
      <c r="A128" s="65">
        <v>119</v>
      </c>
      <c r="B128" s="105" t="s">
        <v>219</v>
      </c>
      <c r="C128" s="105" t="s">
        <v>58</v>
      </c>
      <c r="D128" s="85" t="str">
        <f t="shared" si="2"/>
        <v>2.5.1</v>
      </c>
      <c r="E128" s="106" t="s">
        <v>220</v>
      </c>
      <c r="F128" s="105" t="s">
        <v>54</v>
      </c>
      <c r="G128" s="107">
        <v>1</v>
      </c>
      <c r="H128" s="109">
        <v>10435</v>
      </c>
      <c r="I128" s="62">
        <f t="shared" si="3"/>
        <v>10435</v>
      </c>
    </row>
    <row r="129" spans="1:9" ht="45.75" thickBot="1" x14ac:dyDescent="0.3">
      <c r="A129" s="65">
        <v>120</v>
      </c>
      <c r="B129" s="105" t="s">
        <v>221</v>
      </c>
      <c r="C129" s="105" t="s">
        <v>58</v>
      </c>
      <c r="D129" s="85" t="str">
        <f t="shared" si="2"/>
        <v>2.5.1</v>
      </c>
      <c r="E129" s="106" t="s">
        <v>222</v>
      </c>
      <c r="F129" s="105" t="s">
        <v>54</v>
      </c>
      <c r="G129" s="107">
        <v>1</v>
      </c>
      <c r="H129" s="109">
        <v>10435</v>
      </c>
      <c r="I129" s="62">
        <f t="shared" si="3"/>
        <v>10435</v>
      </c>
    </row>
    <row r="130" spans="1:9" ht="45.75" thickBot="1" x14ac:dyDescent="0.3">
      <c r="A130" s="65">
        <v>121</v>
      </c>
      <c r="B130" s="105" t="s">
        <v>223</v>
      </c>
      <c r="C130" s="105" t="s">
        <v>58</v>
      </c>
      <c r="D130" s="85" t="str">
        <f t="shared" si="2"/>
        <v>2.5.1</v>
      </c>
      <c r="E130" s="106" t="s">
        <v>224</v>
      </c>
      <c r="F130" s="105" t="s">
        <v>54</v>
      </c>
      <c r="G130" s="107">
        <v>1</v>
      </c>
      <c r="H130" s="108">
        <v>15456</v>
      </c>
      <c r="I130" s="62">
        <f t="shared" si="3"/>
        <v>15456</v>
      </c>
    </row>
    <row r="131" spans="1:9" ht="45.75" thickBot="1" x14ac:dyDescent="0.3">
      <c r="A131" s="65">
        <v>122</v>
      </c>
      <c r="B131" s="105" t="s">
        <v>225</v>
      </c>
      <c r="C131" s="105" t="s">
        <v>58</v>
      </c>
      <c r="D131" s="85" t="str">
        <f t="shared" si="2"/>
        <v>2.5.1</v>
      </c>
      <c r="E131" s="106" t="s">
        <v>226</v>
      </c>
      <c r="F131" s="105" t="s">
        <v>54</v>
      </c>
      <c r="G131" s="107">
        <v>1</v>
      </c>
      <c r="H131" s="108">
        <v>9769</v>
      </c>
      <c r="I131" s="62">
        <f t="shared" si="3"/>
        <v>9769</v>
      </c>
    </row>
    <row r="132" spans="1:9" ht="45.75" thickBot="1" x14ac:dyDescent="0.3">
      <c r="A132" s="65">
        <v>123</v>
      </c>
      <c r="B132" s="105" t="s">
        <v>227</v>
      </c>
      <c r="C132" s="105" t="s">
        <v>58</v>
      </c>
      <c r="D132" s="85" t="str">
        <f t="shared" si="2"/>
        <v>2.5.1</v>
      </c>
      <c r="E132" s="106" t="s">
        <v>228</v>
      </c>
      <c r="F132" s="105" t="s">
        <v>54</v>
      </c>
      <c r="G132" s="107">
        <v>1</v>
      </c>
      <c r="H132" s="109">
        <v>7358</v>
      </c>
      <c r="I132" s="62">
        <f t="shared" si="3"/>
        <v>7358</v>
      </c>
    </row>
    <row r="133" spans="1:9" ht="61.5" customHeight="1" x14ac:dyDescent="0.25">
      <c r="A133" s="65">
        <v>124</v>
      </c>
      <c r="B133" s="105" t="s">
        <v>229</v>
      </c>
      <c r="C133" s="105" t="s">
        <v>58</v>
      </c>
      <c r="D133" s="85" t="str">
        <f t="shared" si="2"/>
        <v>2.5.1</v>
      </c>
      <c r="E133" s="106" t="s">
        <v>230</v>
      </c>
      <c r="F133" s="105" t="s">
        <v>54</v>
      </c>
      <c r="G133" s="107">
        <v>1</v>
      </c>
      <c r="H133" s="109">
        <v>12963</v>
      </c>
      <c r="I133" s="62">
        <f t="shared" si="3"/>
        <v>12963</v>
      </c>
    </row>
    <row r="134" spans="1:9" x14ac:dyDescent="0.2">
      <c r="I134" s="119"/>
    </row>
    <row r="135" spans="1:9" x14ac:dyDescent="0.2">
      <c r="I135" s="119"/>
    </row>
    <row r="136" spans="1:9" x14ac:dyDescent="0.2">
      <c r="I136" s="119"/>
    </row>
    <row r="137" spans="1:9" x14ac:dyDescent="0.2">
      <c r="I137" s="119"/>
    </row>
    <row r="138" spans="1:9" x14ac:dyDescent="0.2">
      <c r="I138" s="119"/>
    </row>
    <row r="139" spans="1:9" x14ac:dyDescent="0.2">
      <c r="I139" s="119"/>
    </row>
    <row r="140" spans="1:9" x14ac:dyDescent="0.2">
      <c r="I140" s="119"/>
    </row>
    <row r="141" spans="1:9" ht="13.5" thickBot="1" x14ac:dyDescent="0.25">
      <c r="I141" s="119"/>
    </row>
    <row r="142" spans="1:9" x14ac:dyDescent="0.2">
      <c r="B142" s="120" t="s">
        <v>331</v>
      </c>
      <c r="C142" s="121"/>
      <c r="D142" s="121"/>
      <c r="E142" s="122"/>
      <c r="I142" s="119"/>
    </row>
    <row r="143" spans="1:9" x14ac:dyDescent="0.2">
      <c r="B143" s="123"/>
      <c r="E143" s="124"/>
      <c r="I143" s="119"/>
    </row>
    <row r="144" spans="1:9" x14ac:dyDescent="0.2">
      <c r="B144" s="125" t="s">
        <v>315</v>
      </c>
      <c r="C144" s="75" t="s">
        <v>332</v>
      </c>
      <c r="E144" s="124"/>
      <c r="I144" s="119"/>
    </row>
    <row r="145" spans="1:10" x14ac:dyDescent="0.2">
      <c r="B145" s="125"/>
      <c r="C145" s="134"/>
      <c r="D145" s="134"/>
      <c r="E145" s="134"/>
      <c r="I145" s="119"/>
    </row>
    <row r="146" spans="1:10" x14ac:dyDescent="0.2">
      <c r="B146" s="125" t="s">
        <v>316</v>
      </c>
      <c r="E146" s="124"/>
      <c r="I146" s="119"/>
    </row>
    <row r="147" spans="1:10" x14ac:dyDescent="0.2">
      <c r="B147" s="126"/>
      <c r="C147" s="133" t="s">
        <v>338</v>
      </c>
      <c r="D147" s="133"/>
      <c r="E147" s="133"/>
      <c r="I147" s="119"/>
    </row>
    <row r="148" spans="1:10" x14ac:dyDescent="0.2">
      <c r="B148" s="126"/>
      <c r="C148" s="133" t="s">
        <v>317</v>
      </c>
      <c r="D148" s="133"/>
      <c r="E148" s="133"/>
      <c r="I148" s="119"/>
    </row>
    <row r="149" spans="1:10" x14ac:dyDescent="0.2">
      <c r="B149" s="125" t="s">
        <v>318</v>
      </c>
      <c r="E149" s="124"/>
      <c r="I149" s="119"/>
    </row>
    <row r="150" spans="1:10" x14ac:dyDescent="0.2">
      <c r="B150" s="126"/>
      <c r="C150" s="134" t="s">
        <v>333</v>
      </c>
      <c r="D150" s="134"/>
      <c r="E150" s="134"/>
      <c r="I150" s="119"/>
    </row>
    <row r="151" spans="1:10" x14ac:dyDescent="0.2">
      <c r="B151" s="125" t="s">
        <v>320</v>
      </c>
      <c r="C151" s="127"/>
      <c r="D151" s="127"/>
      <c r="E151" s="128"/>
      <c r="I151" s="119"/>
    </row>
    <row r="152" spans="1:10" x14ac:dyDescent="0.2">
      <c r="B152" s="126"/>
      <c r="C152" s="134" t="s">
        <v>337</v>
      </c>
      <c r="D152" s="134"/>
      <c r="E152" s="134"/>
      <c r="I152" s="119"/>
    </row>
    <row r="153" spans="1:10" ht="15.75" customHeight="1" x14ac:dyDescent="0.2">
      <c r="B153" s="125" t="s">
        <v>321</v>
      </c>
      <c r="E153" s="124"/>
      <c r="I153" s="119"/>
    </row>
    <row r="154" spans="1:10" ht="15.75" customHeight="1" x14ac:dyDescent="0.2">
      <c r="B154" s="125"/>
      <c r="C154" s="133"/>
      <c r="D154" s="133"/>
      <c r="E154" s="133"/>
      <c r="I154" s="119"/>
    </row>
    <row r="155" spans="1:10" ht="15.75" customHeight="1" thickBot="1" x14ac:dyDescent="0.25">
      <c r="B155" s="129"/>
      <c r="C155" s="130"/>
      <c r="D155" s="130"/>
      <c r="E155" s="131"/>
      <c r="I155" s="119"/>
    </row>
    <row r="156" spans="1:10" x14ac:dyDescent="0.2">
      <c r="I156" s="119"/>
    </row>
    <row r="157" spans="1:10" ht="13.5" thickBot="1" x14ac:dyDescent="0.25">
      <c r="A157" s="7"/>
    </row>
    <row r="158" spans="1:10" x14ac:dyDescent="0.2">
      <c r="A158" s="7"/>
      <c r="B158" s="120" t="s">
        <v>322</v>
      </c>
      <c r="C158" s="121"/>
      <c r="D158" s="121"/>
      <c r="E158" s="122"/>
    </row>
    <row r="159" spans="1:10" x14ac:dyDescent="0.2">
      <c r="A159" s="7"/>
      <c r="B159" s="123"/>
      <c r="E159" s="124"/>
      <c r="J159" s="73"/>
    </row>
    <row r="160" spans="1:10" x14ac:dyDescent="0.2">
      <c r="A160" s="7"/>
      <c r="B160" s="125" t="s">
        <v>315</v>
      </c>
      <c r="E160" s="124"/>
    </row>
    <row r="161" spans="1:5" ht="48" customHeight="1" x14ac:dyDescent="0.2">
      <c r="A161" s="7"/>
      <c r="B161" s="125"/>
      <c r="C161" s="134" t="s">
        <v>323</v>
      </c>
      <c r="D161" s="134"/>
      <c r="E161" s="134"/>
    </row>
    <row r="162" spans="1:5" x14ac:dyDescent="0.2">
      <c r="A162" s="7"/>
      <c r="B162" s="125" t="s">
        <v>316</v>
      </c>
      <c r="E162" s="124"/>
    </row>
    <row r="163" spans="1:5" x14ac:dyDescent="0.2">
      <c r="A163" s="7"/>
      <c r="B163" s="126"/>
      <c r="C163" s="133" t="s">
        <v>339</v>
      </c>
      <c r="D163" s="133"/>
      <c r="E163" s="133"/>
    </row>
    <row r="164" spans="1:5" x14ac:dyDescent="0.2">
      <c r="A164" s="7"/>
      <c r="B164" s="126"/>
      <c r="C164" s="133" t="s">
        <v>317</v>
      </c>
      <c r="D164" s="133"/>
      <c r="E164" s="133"/>
    </row>
    <row r="165" spans="1:5" x14ac:dyDescent="0.2">
      <c r="A165" s="7"/>
      <c r="B165" s="125" t="s">
        <v>318</v>
      </c>
      <c r="E165" s="124"/>
    </row>
    <row r="166" spans="1:5" x14ac:dyDescent="0.2">
      <c r="A166" s="7"/>
      <c r="B166" s="126"/>
      <c r="C166" s="134" t="s">
        <v>319</v>
      </c>
      <c r="D166" s="134"/>
      <c r="E166" s="134"/>
    </row>
    <row r="167" spans="1:5" x14ac:dyDescent="0.2">
      <c r="A167" s="7"/>
      <c r="B167" s="125" t="s">
        <v>320</v>
      </c>
      <c r="C167" s="127"/>
      <c r="D167" s="127"/>
      <c r="E167" s="128"/>
    </row>
    <row r="168" spans="1:5" x14ac:dyDescent="0.2">
      <c r="A168" s="7"/>
      <c r="B168" s="126"/>
      <c r="C168" s="134" t="s">
        <v>337</v>
      </c>
      <c r="D168" s="134"/>
      <c r="E168" s="134"/>
    </row>
    <row r="169" spans="1:5" x14ac:dyDescent="0.2">
      <c r="A169" s="7"/>
      <c r="B169" s="125" t="s">
        <v>321</v>
      </c>
      <c r="E169" s="124"/>
    </row>
    <row r="170" spans="1:5" x14ac:dyDescent="0.2">
      <c r="A170" s="7"/>
      <c r="B170" s="125"/>
      <c r="C170" s="133"/>
      <c r="D170" s="133"/>
      <c r="E170" s="133"/>
    </row>
    <row r="171" spans="1:5" ht="13.5" thickBot="1" x14ac:dyDescent="0.25">
      <c r="A171" s="7"/>
      <c r="B171" s="129"/>
      <c r="C171" s="130"/>
      <c r="D171" s="130"/>
      <c r="E171" s="131"/>
    </row>
    <row r="172" spans="1:5" x14ac:dyDescent="0.2">
      <c r="A172" s="7"/>
    </row>
    <row r="175" spans="1:5" ht="13.5" thickBot="1" x14ac:dyDescent="0.25"/>
    <row r="176" spans="1:5" x14ac:dyDescent="0.2">
      <c r="B176" s="120" t="s">
        <v>324</v>
      </c>
      <c r="C176" s="121"/>
      <c r="D176" s="121"/>
      <c r="E176" s="122"/>
    </row>
    <row r="177" spans="2:5" x14ac:dyDescent="0.2">
      <c r="B177" s="123"/>
      <c r="E177" s="124"/>
    </row>
    <row r="178" spans="2:5" x14ac:dyDescent="0.2">
      <c r="B178" s="125" t="s">
        <v>315</v>
      </c>
      <c r="E178" s="124"/>
    </row>
    <row r="179" spans="2:5" ht="39.75" customHeight="1" x14ac:dyDescent="0.2">
      <c r="B179" s="125"/>
      <c r="C179" s="134" t="s">
        <v>330</v>
      </c>
      <c r="D179" s="134"/>
      <c r="E179" s="134"/>
    </row>
    <row r="180" spans="2:5" x14ac:dyDescent="0.2">
      <c r="B180" s="125" t="s">
        <v>316</v>
      </c>
      <c r="E180" s="124"/>
    </row>
    <row r="181" spans="2:5" x14ac:dyDescent="0.2">
      <c r="B181" s="126"/>
      <c r="C181" s="133" t="s">
        <v>339</v>
      </c>
      <c r="D181" s="133"/>
      <c r="E181" s="133"/>
    </row>
    <row r="182" spans="2:5" x14ac:dyDescent="0.2">
      <c r="B182" s="126"/>
      <c r="C182" s="133" t="s">
        <v>317</v>
      </c>
      <c r="D182" s="133"/>
      <c r="E182" s="133"/>
    </row>
    <row r="183" spans="2:5" x14ac:dyDescent="0.2">
      <c r="B183" s="125" t="s">
        <v>318</v>
      </c>
      <c r="E183" s="124"/>
    </row>
    <row r="184" spans="2:5" x14ac:dyDescent="0.2">
      <c r="B184" s="126"/>
      <c r="C184" s="134" t="s">
        <v>319</v>
      </c>
      <c r="D184" s="134"/>
      <c r="E184" s="134"/>
    </row>
    <row r="185" spans="2:5" x14ac:dyDescent="0.2">
      <c r="B185" s="125" t="s">
        <v>320</v>
      </c>
      <c r="C185" s="127"/>
      <c r="D185" s="127"/>
      <c r="E185" s="128"/>
    </row>
    <row r="186" spans="2:5" x14ac:dyDescent="0.2">
      <c r="B186" s="126"/>
      <c r="C186" s="134" t="s">
        <v>337</v>
      </c>
      <c r="D186" s="134"/>
      <c r="E186" s="134"/>
    </row>
    <row r="187" spans="2:5" x14ac:dyDescent="0.2">
      <c r="B187" s="125" t="s">
        <v>321</v>
      </c>
      <c r="E187" s="124"/>
    </row>
    <row r="188" spans="2:5" x14ac:dyDescent="0.2">
      <c r="B188" s="125"/>
      <c r="C188" s="133"/>
      <c r="D188" s="133"/>
      <c r="E188" s="133"/>
    </row>
    <row r="189" spans="2:5" ht="13.5" thickBot="1" x14ac:dyDescent="0.25">
      <c r="B189" s="129"/>
      <c r="C189" s="130"/>
      <c r="D189" s="130"/>
      <c r="E189" s="131"/>
    </row>
    <row r="192" spans="2:5" ht="13.5" thickBot="1" x14ac:dyDescent="0.25"/>
    <row r="193" spans="2:5" x14ac:dyDescent="0.2">
      <c r="B193" s="120" t="s">
        <v>325</v>
      </c>
      <c r="C193" s="121"/>
      <c r="D193" s="121"/>
      <c r="E193" s="122"/>
    </row>
    <row r="194" spans="2:5" x14ac:dyDescent="0.2">
      <c r="B194" s="123"/>
      <c r="E194" s="124"/>
    </row>
    <row r="195" spans="2:5" x14ac:dyDescent="0.2">
      <c r="B195" s="125" t="s">
        <v>315</v>
      </c>
      <c r="E195" s="124"/>
    </row>
    <row r="196" spans="2:5" ht="50.25" customHeight="1" x14ac:dyDescent="0.2">
      <c r="B196" s="125"/>
      <c r="C196" s="134" t="s">
        <v>326</v>
      </c>
      <c r="D196" s="134"/>
      <c r="E196" s="134"/>
    </row>
    <row r="197" spans="2:5" x14ac:dyDescent="0.2">
      <c r="B197" s="125" t="s">
        <v>316</v>
      </c>
      <c r="E197" s="124"/>
    </row>
    <row r="198" spans="2:5" x14ac:dyDescent="0.2">
      <c r="B198" s="126"/>
      <c r="C198" s="133" t="s">
        <v>339</v>
      </c>
      <c r="D198" s="133"/>
      <c r="E198" s="133"/>
    </row>
    <row r="199" spans="2:5" x14ac:dyDescent="0.2">
      <c r="B199" s="126"/>
      <c r="C199" s="133" t="s">
        <v>317</v>
      </c>
      <c r="D199" s="133"/>
      <c r="E199" s="133"/>
    </row>
    <row r="200" spans="2:5" x14ac:dyDescent="0.2">
      <c r="B200" s="125" t="s">
        <v>318</v>
      </c>
      <c r="E200" s="124"/>
    </row>
    <row r="201" spans="2:5" x14ac:dyDescent="0.2">
      <c r="B201" s="126"/>
      <c r="C201" s="134" t="s">
        <v>319</v>
      </c>
      <c r="D201" s="134"/>
      <c r="E201" s="134"/>
    </row>
    <row r="202" spans="2:5" x14ac:dyDescent="0.2">
      <c r="B202" s="125" t="s">
        <v>320</v>
      </c>
      <c r="C202" s="127"/>
      <c r="D202" s="127"/>
      <c r="E202" s="128"/>
    </row>
    <row r="203" spans="2:5" x14ac:dyDescent="0.2">
      <c r="B203" s="126"/>
      <c r="C203" s="134" t="s">
        <v>337</v>
      </c>
      <c r="D203" s="134"/>
      <c r="E203" s="134"/>
    </row>
    <row r="204" spans="2:5" x14ac:dyDescent="0.2">
      <c r="B204" s="125" t="s">
        <v>321</v>
      </c>
      <c r="E204" s="124"/>
    </row>
    <row r="205" spans="2:5" x14ac:dyDescent="0.2">
      <c r="B205" s="125"/>
      <c r="C205" s="133"/>
      <c r="D205" s="133"/>
      <c r="E205" s="133"/>
    </row>
    <row r="206" spans="2:5" ht="13.5" thickBot="1" x14ac:dyDescent="0.25">
      <c r="B206" s="129"/>
      <c r="C206" s="130"/>
      <c r="D206" s="130"/>
      <c r="E206" s="131"/>
    </row>
  </sheetData>
  <mergeCells count="31">
    <mergeCell ref="B2:H2"/>
    <mergeCell ref="A4:B4"/>
    <mergeCell ref="C4:E4"/>
    <mergeCell ref="A5:B5"/>
    <mergeCell ref="C5:E5"/>
    <mergeCell ref="C164:E164"/>
    <mergeCell ref="C166:E166"/>
    <mergeCell ref="C168:E168"/>
    <mergeCell ref="A6:B6"/>
    <mergeCell ref="A7:B7"/>
    <mergeCell ref="C154:E154"/>
    <mergeCell ref="C161:E161"/>
    <mergeCell ref="C163:E163"/>
    <mergeCell ref="C145:E145"/>
    <mergeCell ref="C147:E147"/>
    <mergeCell ref="C148:E148"/>
    <mergeCell ref="C150:E150"/>
    <mergeCell ref="C152:E152"/>
    <mergeCell ref="C201:E201"/>
    <mergeCell ref="C203:E203"/>
    <mergeCell ref="C205:E205"/>
    <mergeCell ref="C186:E186"/>
    <mergeCell ref="C188:E188"/>
    <mergeCell ref="C196:E196"/>
    <mergeCell ref="C198:E198"/>
    <mergeCell ref="C199:E199"/>
    <mergeCell ref="C170:E170"/>
    <mergeCell ref="C179:E179"/>
    <mergeCell ref="C181:E181"/>
    <mergeCell ref="C182:E182"/>
    <mergeCell ref="C184:E184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M140"/>
  <sheetViews>
    <sheetView topLeftCell="A113" zoomScale="70" zoomScaleNormal="70" workbookViewId="0">
      <selection activeCell="C114" sqref="C114:E114"/>
    </sheetView>
  </sheetViews>
  <sheetFormatPr baseColWidth="10" defaultColWidth="9.140625" defaultRowHeight="12.75" x14ac:dyDescent="0.2"/>
  <cols>
    <col min="1" max="1" width="5" style="52" customWidth="1"/>
    <col min="2" max="2" width="21.140625" style="52" customWidth="1"/>
    <col min="3" max="3" width="14.140625" style="52" customWidth="1"/>
    <col min="4" max="4" width="48.140625" style="52" customWidth="1"/>
    <col min="5" max="5" width="42" style="52" customWidth="1"/>
    <col min="6" max="6" width="12.42578125" style="52" customWidth="1"/>
    <col min="7" max="7" width="15.5703125" style="52" customWidth="1"/>
    <col min="8" max="8" width="14.7109375" style="52" customWidth="1"/>
    <col min="9" max="9" width="18.28515625" style="52" customWidth="1"/>
    <col min="10" max="10" width="28.7109375" style="2" customWidth="1"/>
    <col min="11" max="1001" width="9.140625" style="2"/>
  </cols>
  <sheetData>
    <row r="1" spans="1:10" ht="18" customHeight="1" thickBot="1" x14ac:dyDescent="0.25">
      <c r="A1" s="143" t="s">
        <v>14</v>
      </c>
      <c r="B1" s="143"/>
      <c r="C1" s="143"/>
      <c r="D1" s="143"/>
      <c r="E1" s="143"/>
      <c r="F1" s="143"/>
      <c r="G1" s="143"/>
      <c r="H1" s="38" t="s">
        <v>15</v>
      </c>
      <c r="I1" s="39" t="s">
        <v>328</v>
      </c>
    </row>
    <row r="2" spans="1:10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</row>
    <row r="3" spans="1:10" ht="18.75" customHeight="1" thickBot="1" x14ac:dyDescent="0.25">
      <c r="A3" s="144" t="s">
        <v>48</v>
      </c>
      <c r="B3" s="144"/>
      <c r="C3" s="144"/>
      <c r="D3" s="149" t="s">
        <v>327</v>
      </c>
      <c r="E3" s="150"/>
      <c r="F3" s="150"/>
      <c r="G3" s="150"/>
      <c r="H3" s="150"/>
      <c r="I3" s="151"/>
    </row>
    <row r="4" spans="1:10" ht="18.75" customHeight="1" thickBot="1" x14ac:dyDescent="0.25">
      <c r="A4" s="145" t="s">
        <v>49</v>
      </c>
      <c r="B4" s="145"/>
      <c r="C4" s="145"/>
      <c r="D4" s="149" t="s">
        <v>231</v>
      </c>
      <c r="E4" s="150"/>
      <c r="F4" s="150"/>
      <c r="G4" s="150"/>
      <c r="H4" s="150"/>
      <c r="I4" s="151"/>
    </row>
    <row r="5" spans="1:10" ht="21.75" customHeight="1" thickBot="1" x14ac:dyDescent="0.25">
      <c r="A5" s="145" t="s">
        <v>27</v>
      </c>
      <c r="B5" s="145"/>
      <c r="C5" s="145"/>
      <c r="D5" s="149" t="s">
        <v>232</v>
      </c>
      <c r="E5" s="150"/>
      <c r="F5" s="150"/>
      <c r="G5" s="150"/>
      <c r="H5" s="150"/>
      <c r="I5" s="151"/>
    </row>
    <row r="6" spans="1:10" ht="16.5" customHeight="1" thickBot="1" x14ac:dyDescent="0.25">
      <c r="A6" s="144" t="s">
        <v>50</v>
      </c>
      <c r="B6" s="144"/>
      <c r="C6" s="144"/>
      <c r="D6" s="149" t="s">
        <v>232</v>
      </c>
      <c r="E6" s="150"/>
      <c r="F6" s="150"/>
      <c r="G6" s="150"/>
      <c r="H6" s="150"/>
      <c r="I6" s="151"/>
    </row>
    <row r="7" spans="1:10" ht="16.5" customHeight="1" thickBot="1" x14ac:dyDescent="0.25">
      <c r="A7" s="145" t="s">
        <v>16</v>
      </c>
      <c r="B7" s="145"/>
      <c r="C7" s="145"/>
      <c r="D7" s="146" t="s">
        <v>234</v>
      </c>
      <c r="E7" s="146"/>
      <c r="F7" s="146"/>
      <c r="G7" s="146"/>
      <c r="H7" s="146"/>
      <c r="I7" s="146"/>
    </row>
    <row r="8" spans="1:10" ht="16.5" customHeight="1" thickBot="1" x14ac:dyDescent="0.25">
      <c r="A8" s="147" t="s">
        <v>17</v>
      </c>
      <c r="B8" s="147"/>
      <c r="C8" s="147"/>
      <c r="D8" s="148" t="s">
        <v>233</v>
      </c>
      <c r="E8" s="148"/>
      <c r="F8" s="148"/>
      <c r="G8" s="148"/>
      <c r="H8" s="148"/>
      <c r="I8" s="148"/>
    </row>
    <row r="9" spans="1:10" ht="16.5" thickBot="1" x14ac:dyDescent="0.25">
      <c r="A9" s="42"/>
      <c r="B9" s="42"/>
      <c r="C9" s="42"/>
      <c r="D9" s="43"/>
      <c r="E9" s="43"/>
      <c r="F9" s="43"/>
      <c r="G9" s="43"/>
      <c r="H9" s="43"/>
      <c r="I9" s="43"/>
    </row>
    <row r="10" spans="1:10" ht="18.75" customHeight="1" thickBot="1" x14ac:dyDescent="0.25">
      <c r="A10" s="139" t="s">
        <v>18</v>
      </c>
      <c r="B10" s="141" t="s">
        <v>19</v>
      </c>
      <c r="C10" s="141" t="s">
        <v>20</v>
      </c>
      <c r="D10" s="141"/>
      <c r="E10" s="141"/>
      <c r="F10" s="141" t="s">
        <v>21</v>
      </c>
      <c r="G10" s="141" t="s">
        <v>22</v>
      </c>
      <c r="H10" s="141" t="s">
        <v>23</v>
      </c>
      <c r="I10" s="155" t="s">
        <v>24</v>
      </c>
    </row>
    <row r="11" spans="1:10" ht="24" customHeight="1" thickBot="1" x14ac:dyDescent="0.25">
      <c r="A11" s="140"/>
      <c r="B11" s="142"/>
      <c r="C11" s="142"/>
      <c r="D11" s="142"/>
      <c r="E11" s="142"/>
      <c r="F11" s="142"/>
      <c r="G11" s="142"/>
      <c r="H11" s="142"/>
      <c r="I11" s="156"/>
    </row>
    <row r="12" spans="1:10" ht="43.5" customHeight="1" thickBot="1" x14ac:dyDescent="0.3">
      <c r="A12" s="44">
        <v>1</v>
      </c>
      <c r="B12" s="45" t="str">
        <f>'Necesidades Trimestrales'!B10</f>
        <v>2.5.1-9043.2</v>
      </c>
      <c r="C12" s="138" t="str">
        <f>'Necesidades Trimestrales'!E10</f>
        <v>ACEITES Y GRASAS; COMPUESTO QUIMICO: ACEITE DE INMERSION, ESTADO: LIQUIDO, CALIDAD: PRO ANALISIS, CONCENTRACION/PUREZA: 99,9 %, PRESENTACION: ENVASE X 100 mL</v>
      </c>
      <c r="D12" s="138"/>
      <c r="E12" s="138"/>
      <c r="F12" s="46" t="s">
        <v>55</v>
      </c>
      <c r="G12" s="46" t="str">
        <f>'Necesidades Trimestrales'!F10</f>
        <v>FRASCO</v>
      </c>
      <c r="H12" s="47">
        <f>'Necesidades Trimestrales'!H10</f>
        <v>1505.9</v>
      </c>
      <c r="I12" s="48">
        <f>'Necesidades Trimestrales'!G10</f>
        <v>1</v>
      </c>
      <c r="J12" s="70"/>
    </row>
    <row r="13" spans="1:10" ht="45" customHeight="1" thickBot="1" x14ac:dyDescent="0.3">
      <c r="A13" s="44">
        <v>2</v>
      </c>
      <c r="B13" s="45" t="str">
        <f>'Necesidades Trimestrales'!B11</f>
        <v>2.5.1-9016.200</v>
      </c>
      <c r="C13" s="138" t="str">
        <f>'Necesidades Trimestrales'!E11</f>
        <v>MEDIOS DE CULTIVO Y SUPLEMENTO; NOMBRE DEL PRODUCTO: AGAR BASE SANGRE, ESTADO: SOLIDO, PRESENTACION: ENVASE X 500 mL</v>
      </c>
      <c r="D13" s="138"/>
      <c r="E13" s="138"/>
      <c r="F13" s="46" t="s">
        <v>55</v>
      </c>
      <c r="G13" s="46" t="str">
        <f>'Necesidades Trimestrales'!F11</f>
        <v>FRASCO</v>
      </c>
      <c r="H13" s="47">
        <f>'Necesidades Trimestrales'!H11</f>
        <v>11963.599999999999</v>
      </c>
      <c r="I13" s="48">
        <f>'Necesidades Trimestrales'!G11</f>
        <v>1</v>
      </c>
      <c r="J13" s="70"/>
    </row>
    <row r="14" spans="1:10" ht="45" customHeight="1" thickBot="1" x14ac:dyDescent="0.3">
      <c r="A14" s="44">
        <v>3</v>
      </c>
      <c r="B14" s="45" t="str">
        <f>'Necesidades Trimestrales'!B12</f>
        <v>2.5.1-9016.279</v>
      </c>
      <c r="C14" s="138" t="str">
        <f>'Necesidades Trimestrales'!E12</f>
        <v>MEDIOS DE CULTIVO Y SUPLEMENTO; NOMBRE DEL PRODUCTO: AGAR BILIS ESCULINA, ESTADO: SOLIDO, PRESENTACION: ENVASE X 100 GR</v>
      </c>
      <c r="D14" s="138"/>
      <c r="E14" s="138"/>
      <c r="F14" s="46" t="s">
        <v>55</v>
      </c>
      <c r="G14" s="46" t="str">
        <f>'Necesidades Trimestrales'!F12</f>
        <v>FRASCO</v>
      </c>
      <c r="H14" s="47">
        <f>'Necesidades Trimestrales'!H12</f>
        <v>14326.400000000001</v>
      </c>
      <c r="I14" s="48">
        <f>'Necesidades Trimestrales'!G12</f>
        <v>1</v>
      </c>
      <c r="J14" s="70"/>
    </row>
    <row r="15" spans="1:10" ht="37.5" customHeight="1" thickBot="1" x14ac:dyDescent="0.3">
      <c r="A15" s="44">
        <v>4</v>
      </c>
      <c r="B15" s="45" t="str">
        <f>'Necesidades Trimestrales'!B13</f>
        <v>2.5.1-9016.214</v>
      </c>
      <c r="C15" s="138" t="str">
        <f>'Necesidades Trimestrales'!E13</f>
        <v>MEDIOS DE CULTIVO Y SUPLEMENTO; NOMBRE DEL PRODUCTO: AGAR CITRATO DE SIMMONS, ESTADO: SOLIDO, PRESENTACION: ENVASE X 100 GR</v>
      </c>
      <c r="D15" s="138"/>
      <c r="E15" s="138"/>
      <c r="F15" s="46" t="s">
        <v>55</v>
      </c>
      <c r="G15" s="46" t="str">
        <f>'Necesidades Trimestrales'!F13</f>
        <v>FRASCO</v>
      </c>
      <c r="H15" s="47">
        <f>'Necesidades Trimestrales'!H13</f>
        <v>4181.1000000000004</v>
      </c>
      <c r="I15" s="48">
        <f>'Necesidades Trimestrales'!G13</f>
        <v>1</v>
      </c>
      <c r="J15" s="70"/>
    </row>
    <row r="16" spans="1:10" ht="41.25" customHeight="1" thickBot="1" x14ac:dyDescent="0.3">
      <c r="A16" s="44">
        <v>5</v>
      </c>
      <c r="B16" s="45" t="str">
        <f>'Necesidades Trimestrales'!B14</f>
        <v>2.5.1-9016.383</v>
      </c>
      <c r="C16" s="138" t="str">
        <f>'Necesidades Trimestrales'!E14</f>
        <v>MEDIOS DE CULTIVO Y SUPLEMENTO; NOMBRE DEL PRODUCTO: AGAR C.L.D.E, ESTADO: SOLIDO, PRESENTACION: ENVASE X 500 GR</v>
      </c>
      <c r="D16" s="138"/>
      <c r="E16" s="138"/>
      <c r="F16" s="46" t="s">
        <v>55</v>
      </c>
      <c r="G16" s="46" t="str">
        <f>'Necesidades Trimestrales'!F14</f>
        <v>FRASCO</v>
      </c>
      <c r="H16" s="47">
        <f>'Necesidades Trimestrales'!H14</f>
        <v>10201.400000000001</v>
      </c>
      <c r="I16" s="48">
        <f>'Necesidades Trimestrales'!G14</f>
        <v>1</v>
      </c>
      <c r="J16" s="70"/>
    </row>
    <row r="17" spans="1:10" ht="48.75" customHeight="1" thickBot="1" x14ac:dyDescent="0.3">
      <c r="A17" s="44">
        <v>6</v>
      </c>
      <c r="B17" s="45" t="str">
        <f>'Necesidades Trimestrales'!B15</f>
        <v>2.5.1-9016.227</v>
      </c>
      <c r="C17" s="138" t="str">
        <f>'Necesidades Trimestrales'!E15</f>
        <v>MEDIOS DE CULTIVO Y SUPLEMENTO; NOMBRE DEL PRODUCTO: AGAR EOSINA-AZUL METILENO-LACT, ESTADO: SOLIDO, PRESENTACION: ENVASE X 500 GR</v>
      </c>
      <c r="D17" s="138"/>
      <c r="E17" s="138"/>
      <c r="F17" s="46" t="s">
        <v>55</v>
      </c>
      <c r="G17" s="46" t="str">
        <f>'Necesidades Trimestrales'!F15</f>
        <v>FRASCO</v>
      </c>
      <c r="H17" s="47">
        <f>'Necesidades Trimestrales'!H15</f>
        <v>10297.099999999999</v>
      </c>
      <c r="I17" s="48">
        <f>'Necesidades Trimestrales'!G15</f>
        <v>1</v>
      </c>
      <c r="J17" s="70"/>
    </row>
    <row r="18" spans="1:10" ht="48.75" customHeight="1" thickBot="1" x14ac:dyDescent="0.3">
      <c r="A18" s="44">
        <v>7</v>
      </c>
      <c r="B18" s="45" t="str">
        <f>'Necesidades Trimestrales'!B16</f>
        <v>2.5.1-9016.181</v>
      </c>
      <c r="C18" s="138" t="str">
        <f>'Necesidades Trimestrales'!E16</f>
        <v>MEDIOS DE CULTIVO Y SUPLEMENTO; NOMBRE DEL PRODUCTO: AGAR MANITOL SALADO, ESTADO: SOLIDO, PRESENTACION: ENVASE X 100 GR</v>
      </c>
      <c r="D18" s="138"/>
      <c r="E18" s="138"/>
      <c r="F18" s="46" t="s">
        <v>55</v>
      </c>
      <c r="G18" s="46" t="str">
        <f>'Necesidades Trimestrales'!F16</f>
        <v>FRASCO</v>
      </c>
      <c r="H18" s="47">
        <f>'Necesidades Trimestrales'!H16</f>
        <v>2101</v>
      </c>
      <c r="I18" s="48">
        <f>'Necesidades Trimestrales'!G16</f>
        <v>1</v>
      </c>
      <c r="J18" s="70"/>
    </row>
    <row r="19" spans="1:10" ht="37.5" customHeight="1" thickBot="1" x14ac:dyDescent="0.3">
      <c r="A19" s="44">
        <v>8</v>
      </c>
      <c r="B19" s="45" t="str">
        <f>'Necesidades Trimestrales'!B17</f>
        <v>2.5.1-9016.222</v>
      </c>
      <c r="C19" s="138" t="str">
        <f>'Necesidades Trimestrales'!E17</f>
        <v>MEDIOS DE CULTIVO Y SUPLEMENTO; NOMBRE DEL PRODUCTO: AGAR MULLER HILTON, ESTADO: SOLIDO, PRESENTACION: ENVASE X 500 GR</v>
      </c>
      <c r="D19" s="138"/>
      <c r="E19" s="138"/>
      <c r="F19" s="46" t="s">
        <v>55</v>
      </c>
      <c r="G19" s="46" t="str">
        <f>'Necesidades Trimestrales'!F17</f>
        <v>FRASCO</v>
      </c>
      <c r="H19" s="47">
        <f>'Necesidades Trimestrales'!H17</f>
        <v>13578.400000000001</v>
      </c>
      <c r="I19" s="48">
        <f>'Necesidades Trimestrales'!G17</f>
        <v>1</v>
      </c>
      <c r="J19" s="70"/>
    </row>
    <row r="20" spans="1:10" ht="39.75" customHeight="1" thickBot="1" x14ac:dyDescent="0.3">
      <c r="A20" s="44">
        <v>9</v>
      </c>
      <c r="B20" s="45" t="str">
        <f>'Necesidades Trimestrales'!B18</f>
        <v>2.5.1-9052.1667</v>
      </c>
      <c r="C20" s="138" t="str">
        <f>'Necesidades Trimestrales'!E18</f>
        <v>REACTIVOS P/LAB. TEC. MANUAL ; NOMBRE: BAM CON UREA MEDIO, USO: BACTERIOLOGIA, PRESENTACION: ENVASE X 500 GR</v>
      </c>
      <c r="D20" s="138"/>
      <c r="E20" s="138"/>
      <c r="F20" s="46" t="s">
        <v>55</v>
      </c>
      <c r="G20" s="46" t="str">
        <f>'Necesidades Trimestrales'!F18</f>
        <v>FRASCO</v>
      </c>
      <c r="H20" s="47">
        <f>'Necesidades Trimestrales'!H18</f>
        <v>5365.7999999999993</v>
      </c>
      <c r="I20" s="48">
        <f>'Necesidades Trimestrales'!G18</f>
        <v>1</v>
      </c>
      <c r="J20" s="70"/>
    </row>
    <row r="21" spans="1:10" ht="39.75" customHeight="1" thickBot="1" x14ac:dyDescent="0.3">
      <c r="A21" s="44">
        <v>10</v>
      </c>
      <c r="B21" s="45" t="str">
        <f>'Necesidades Trimestrales'!B19</f>
        <v>2.5.1-9016.191</v>
      </c>
      <c r="C21" s="138" t="str">
        <f>'Necesidades Trimestrales'!E19</f>
        <v>MEDIOS DE CULTIVO Y SUPLEMENTO; NOMBRE DEL PRODUCTO: AGAR LISINA HIERRO, ESTADO: SOLIDO, PRESENTACION: ENVASE X 100 GR</v>
      </c>
      <c r="D21" s="138"/>
      <c r="E21" s="138"/>
      <c r="F21" s="46" t="s">
        <v>55</v>
      </c>
      <c r="G21" s="46" t="str">
        <f>'Necesidades Trimestrales'!F19</f>
        <v>FRASCO</v>
      </c>
      <c r="H21" s="47">
        <f>'Necesidades Trimestrales'!H19</f>
        <v>5869.6</v>
      </c>
      <c r="I21" s="48">
        <f>'Necesidades Trimestrales'!G19</f>
        <v>1</v>
      </c>
      <c r="J21" s="70"/>
    </row>
    <row r="22" spans="1:10" ht="39" customHeight="1" thickBot="1" x14ac:dyDescent="0.3">
      <c r="A22" s="44">
        <v>11</v>
      </c>
      <c r="B22" s="45" t="str">
        <f>'Necesidades Trimestrales'!B20</f>
        <v>2.5.1-9016.236</v>
      </c>
      <c r="C22" s="138" t="str">
        <f>'Necesidades Trimestrales'!E20</f>
        <v>MEDIOS DE CULTIVO Y SUPLEMENTO; NOMBRE DEL PRODUCTO: AGAR HIERRO TRIPLE AZUCAR, ESTADO: SOLIDO, PRESENTACION: ENVASE X 100 GR</v>
      </c>
      <c r="D22" s="138"/>
      <c r="E22" s="138"/>
      <c r="F22" s="46" t="s">
        <v>55</v>
      </c>
      <c r="G22" s="46" t="str">
        <f>'Necesidades Trimestrales'!F20</f>
        <v>FRASCO</v>
      </c>
      <c r="H22" s="47">
        <f>'Necesidades Trimestrales'!H20</f>
        <v>3144.8999999999996</v>
      </c>
      <c r="I22" s="48">
        <f>'Necesidades Trimestrales'!G20</f>
        <v>1</v>
      </c>
      <c r="J22" s="70"/>
    </row>
    <row r="23" spans="1:10" ht="39" customHeight="1" thickBot="1" x14ac:dyDescent="0.3">
      <c r="A23" s="44">
        <v>12</v>
      </c>
      <c r="B23" s="45" t="str">
        <f>'Necesidades Trimestrales'!B21</f>
        <v>2.5.1-9016.106</v>
      </c>
      <c r="C23" s="138" t="str">
        <f>'Necesidades Trimestrales'!E21</f>
        <v>MEDIOS DE CULTIVO Y SUPLEMENTO; NOMBRE DEL PRODUCTO: AGAR SIM, ESTADO: SOLIDO, PRESENTACION: ENVASE X 100 GR</v>
      </c>
      <c r="D23" s="138"/>
      <c r="E23" s="138"/>
      <c r="F23" s="46" t="s">
        <v>55</v>
      </c>
      <c r="G23" s="46" t="str">
        <f>'Necesidades Trimestrales'!F21</f>
        <v>FRASCO</v>
      </c>
      <c r="H23" s="47">
        <f>'Necesidades Trimestrales'!H21</f>
        <v>6322.7999999999993</v>
      </c>
      <c r="I23" s="48">
        <f>'Necesidades Trimestrales'!G21</f>
        <v>1</v>
      </c>
      <c r="J23" s="70"/>
    </row>
    <row r="24" spans="1:10" ht="36" customHeight="1" thickBot="1" x14ac:dyDescent="0.3">
      <c r="A24" s="44">
        <v>13</v>
      </c>
      <c r="B24" s="45" t="str">
        <f>'Necesidades Trimestrales'!B22</f>
        <v>2.5.1-9016.497</v>
      </c>
      <c r="C24" s="138" t="str">
        <f>'Necesidades Trimestrales'!E22</f>
        <v>MEDIOS DE CULTIVO Y SUPLEMENTO; NOMBRE DEL PRODUCTO: MEDIO MIO, ESTADO: SOLIDO, PRESENTACION: ENVASE X 100 GR</v>
      </c>
      <c r="D24" s="138"/>
      <c r="E24" s="138"/>
      <c r="F24" s="46" t="s">
        <v>55</v>
      </c>
      <c r="G24" s="46" t="str">
        <f>'Necesidades Trimestrales'!F22</f>
        <v>FRASCO</v>
      </c>
      <c r="H24" s="47">
        <f>'Necesidades Trimestrales'!H22</f>
        <v>9368.7000000000007</v>
      </c>
      <c r="I24" s="48">
        <f>'Necesidades Trimestrales'!G22</f>
        <v>1</v>
      </c>
      <c r="J24" s="70"/>
    </row>
    <row r="25" spans="1:10" ht="35.25" customHeight="1" thickBot="1" x14ac:dyDescent="0.3">
      <c r="A25" s="44">
        <v>14</v>
      </c>
      <c r="B25" s="45" t="str">
        <f>'Necesidades Trimestrales'!B23</f>
        <v>2.5.1-9016.180</v>
      </c>
      <c r="C25" s="138" t="str">
        <f>'Necesidades Trimestrales'!E23</f>
        <v>MEDIOS DE CULTIVO Y SUPLEMENTO; NOMBRE DEL PRODUCTO: AGAR FENILALANINA, ESTADO: SOLIDO, PRESENTACION: ENVASE X 100 GR</v>
      </c>
      <c r="D25" s="138"/>
      <c r="E25" s="138"/>
      <c r="F25" s="46" t="s">
        <v>55</v>
      </c>
      <c r="G25" s="46" t="str">
        <f>'Necesidades Trimestrales'!F23</f>
        <v>FRASCO</v>
      </c>
      <c r="H25" s="47">
        <f>'Necesidades Trimestrales'!H23</f>
        <v>11599.500000000002</v>
      </c>
      <c r="I25" s="48">
        <f>'Necesidades Trimestrales'!G23</f>
        <v>1</v>
      </c>
      <c r="J25" s="70"/>
    </row>
    <row r="26" spans="1:10" ht="40.5" customHeight="1" thickBot="1" x14ac:dyDescent="0.3">
      <c r="A26" s="44">
        <v>15</v>
      </c>
      <c r="B26" s="45" t="str">
        <f>'Necesidades Trimestrales'!B24</f>
        <v>2.5.1-9016.183</v>
      </c>
      <c r="C26" s="138" t="str">
        <f>'Necesidades Trimestrales'!E24</f>
        <v>MEDIOS DE CULTIVO Y SUPLEMENTO; NOMBRE DEL PRODUCTO: AGAR DNASA, ESTADO: SOLIDO, PRESENTACION: ENVASE X 100 GR</v>
      </c>
      <c r="D26" s="138"/>
      <c r="E26" s="138"/>
      <c r="F26" s="46" t="s">
        <v>55</v>
      </c>
      <c r="G26" s="46" t="str">
        <f>'Necesidades Trimestrales'!F24</f>
        <v>FRASCO</v>
      </c>
      <c r="H26" s="47">
        <f>'Necesidades Trimestrales'!H24</f>
        <v>9804.3000000000011</v>
      </c>
      <c r="I26" s="48">
        <f>'Necesidades Trimestrales'!G24</f>
        <v>1</v>
      </c>
      <c r="J26" s="70"/>
    </row>
    <row r="27" spans="1:10" ht="47.25" customHeight="1" thickBot="1" x14ac:dyDescent="0.3">
      <c r="A27" s="44">
        <v>16</v>
      </c>
      <c r="B27" s="45" t="str">
        <f>'Necesidades Trimestrales'!B25</f>
        <v>2.5.1-9016.262</v>
      </c>
      <c r="C27" s="138" t="str">
        <f>'Necesidades Trimestrales'!E25</f>
        <v>MEDIOS DE CULTIVO Y SUPLEMENTO; NOMBRE DEL PRODUCTO: AGAR SALMONELLA- SHIGELLA, ESTADO: SOLIDO, PRESENTACION: ENVASE X 100 GR</v>
      </c>
      <c r="D27" s="138"/>
      <c r="E27" s="138"/>
      <c r="F27" s="46" t="s">
        <v>55</v>
      </c>
      <c r="G27" s="46" t="str">
        <f>'Necesidades Trimestrales'!F25</f>
        <v>FRASCO</v>
      </c>
      <c r="H27" s="47">
        <f>'Necesidades Trimestrales'!H25</f>
        <v>3947.8999999999996</v>
      </c>
      <c r="I27" s="48">
        <f>'Necesidades Trimestrales'!G25</f>
        <v>1</v>
      </c>
      <c r="J27" s="70"/>
    </row>
    <row r="28" spans="1:10" ht="48" customHeight="1" thickBot="1" x14ac:dyDescent="0.3">
      <c r="A28" s="44">
        <v>17</v>
      </c>
      <c r="B28" s="45" t="str">
        <f>'Necesidades Trimestrales'!B26</f>
        <v>2.5.1-9016.496</v>
      </c>
      <c r="C28" s="138" t="str">
        <f>'Necesidades Trimestrales'!E26</f>
        <v>MEDIOS DE CULTIVO Y SUPLEMENTO; NOMBRE DEL PRODUCTO: CALDO TODD HEWITT C/CONA, ESTADO: LIQUIDO, PRESENTACION: 6 X ENVASE X 1 mL</v>
      </c>
      <c r="D28" s="138"/>
      <c r="E28" s="138"/>
      <c r="F28" s="46" t="s">
        <v>55</v>
      </c>
      <c r="G28" s="46" t="str">
        <f>'Necesidades Trimestrales'!F26</f>
        <v>FRASCO</v>
      </c>
      <c r="H28" s="47">
        <f>'Necesidades Trimestrales'!H26</f>
        <v>268.39999999999998</v>
      </c>
      <c r="I28" s="48">
        <f>'Necesidades Trimestrales'!G26</f>
        <v>50</v>
      </c>
      <c r="J28" s="70"/>
    </row>
    <row r="29" spans="1:10" ht="39" customHeight="1" thickBot="1" x14ac:dyDescent="0.3">
      <c r="A29" s="44">
        <v>18</v>
      </c>
      <c r="B29" s="45" t="str">
        <f>'Necesidades Trimestrales'!B27</f>
        <v>2.5.1-9016.320</v>
      </c>
      <c r="C29" s="138" t="str">
        <f>'Necesidades Trimestrales'!E27</f>
        <v>MEDIOS DE CULTIVO Y SUPLEMENTO; NOMBRE DEL PRODUCTO: MEDIO DE TRANSPORTE STUART, ESTADO: SOLIDO, PRESENTACION: ENVASE X 100 GR</v>
      </c>
      <c r="D29" s="138"/>
      <c r="E29" s="138"/>
      <c r="F29" s="46" t="s">
        <v>55</v>
      </c>
      <c r="G29" s="46" t="str">
        <f>'Necesidades Trimestrales'!F27</f>
        <v>FRASCO</v>
      </c>
      <c r="H29" s="47">
        <f>'Necesidades Trimestrales'!H27</f>
        <v>4136</v>
      </c>
      <c r="I29" s="48">
        <f>'Necesidades Trimestrales'!G27</f>
        <v>1</v>
      </c>
      <c r="J29" s="70"/>
    </row>
    <row r="30" spans="1:10" ht="39" customHeight="1" thickBot="1" x14ac:dyDescent="0.3">
      <c r="A30" s="44">
        <v>19</v>
      </c>
      <c r="B30" s="45" t="str">
        <f>'Necesidades Trimestrales'!B28</f>
        <v>2.5.1-9016.713</v>
      </c>
      <c r="C30" s="138" t="str">
        <f>'Necesidades Trimestrales'!E28</f>
        <v>MEDIOS DE CULTIVO Y SUPLEMENTO; NOMBRE DEL PRODUCTO: AGAR LEVINE, ESTADO: SOLIDO, PRESENTACION: ENVASE X 500 GR</v>
      </c>
      <c r="D30" s="138"/>
      <c r="E30" s="138"/>
      <c r="F30" s="46" t="s">
        <v>55</v>
      </c>
      <c r="G30" s="46" t="str">
        <f>'Necesidades Trimestrales'!F28</f>
        <v>FRASCO</v>
      </c>
      <c r="H30" s="47">
        <f>'Necesidades Trimestrales'!H28</f>
        <v>9829.0499999999993</v>
      </c>
      <c r="I30" s="48">
        <f>'Necesidades Trimestrales'!G28</f>
        <v>1</v>
      </c>
      <c r="J30" s="70"/>
    </row>
    <row r="31" spans="1:10" ht="47.25" customHeight="1" thickBot="1" x14ac:dyDescent="0.3">
      <c r="A31" s="44">
        <v>20</v>
      </c>
      <c r="B31" s="45" t="str">
        <f>'Necesidades Trimestrales'!B29</f>
        <v>2.5.1-9016.261</v>
      </c>
      <c r="C31" s="138" t="str">
        <f>'Necesidades Trimestrales'!E29</f>
        <v>MEDIOS DE CULTIVO Y SUPLEMENTO; NOMBRE DEL PRODUCTO: AGAR SABOURAUD GLUCOSA, ESTADO: SOLIDO, PRESENTACION: ENVASE X 100 GR</v>
      </c>
      <c r="D31" s="138"/>
      <c r="E31" s="138"/>
      <c r="F31" s="46" t="s">
        <v>55</v>
      </c>
      <c r="G31" s="46" t="str">
        <f>'Necesidades Trimestrales'!F29</f>
        <v>FRASCO</v>
      </c>
      <c r="H31" s="47">
        <f>'Necesidades Trimestrales'!H29</f>
        <v>2487.1000000000004</v>
      </c>
      <c r="I31" s="48">
        <f>'Necesidades Trimestrales'!G29</f>
        <v>1</v>
      </c>
      <c r="J31" s="70"/>
    </row>
    <row r="32" spans="1:10" ht="42.75" customHeight="1" thickBot="1" x14ac:dyDescent="0.3">
      <c r="A32" s="44">
        <v>21</v>
      </c>
      <c r="B32" s="45" t="str">
        <f>'Necesidades Trimestrales'!B30</f>
        <v>2.5.1-9052.1513</v>
      </c>
      <c r="C32" s="138" t="str">
        <f>'Necesidades Trimestrales'!E30</f>
        <v>REACTIVOS P/LAB. TEC. MANUAL ; NOMBRE: DET. SANGRE EN MAT FECAL, USO: DIAGNOSTICO, PRESENTACION: ENVASE X 25 DETERM.</v>
      </c>
      <c r="D32" s="138"/>
      <c r="E32" s="138"/>
      <c r="F32" s="46" t="s">
        <v>55</v>
      </c>
      <c r="G32" s="46" t="str">
        <f>'Necesidades Trimestrales'!F30</f>
        <v>UNIDAD</v>
      </c>
      <c r="H32" s="47">
        <f>'Necesidades Trimestrales'!H30</f>
        <v>2709.3</v>
      </c>
      <c r="I32" s="48">
        <f>'Necesidades Trimestrales'!G30</f>
        <v>1</v>
      </c>
      <c r="J32" s="70"/>
    </row>
    <row r="33" spans="1:10" ht="45.75" customHeight="1" thickBot="1" x14ac:dyDescent="0.3">
      <c r="A33" s="44">
        <v>22</v>
      </c>
      <c r="B33" s="45" t="str">
        <f>'Necesidades Trimestrales'!B31</f>
        <v>2.5.1-9038.129</v>
      </c>
      <c r="C33" s="138" t="str">
        <f>'Necesidades Trimestrales'!E31</f>
        <v>REACTIVO INDICADOR-COLORANTE; COMPUESTO QUIMICO: VIOLETA DE GENCIANA, ESTADO: LIQUIDO, CALIDAD: PRO ANALISIS, PRESENTACION: ENVASE X 500 mL</v>
      </c>
      <c r="D33" s="138"/>
      <c r="E33" s="138"/>
      <c r="F33" s="46" t="s">
        <v>55</v>
      </c>
      <c r="G33" s="46" t="str">
        <f>'Necesidades Trimestrales'!F31</f>
        <v>FRASCO</v>
      </c>
      <c r="H33" s="47">
        <f>'Necesidades Trimestrales'!H31</f>
        <v>18010.300000000003</v>
      </c>
      <c r="I33" s="48">
        <f>'Necesidades Trimestrales'!G31</f>
        <v>1</v>
      </c>
      <c r="J33" s="70"/>
    </row>
    <row r="34" spans="1:10" ht="42" customHeight="1" thickBot="1" x14ac:dyDescent="0.3">
      <c r="A34" s="44">
        <v>23</v>
      </c>
      <c r="B34" s="45" t="str">
        <f>'Necesidades Trimestrales'!B32</f>
        <v>2.5.1-9038.131</v>
      </c>
      <c r="C34" s="138" t="str">
        <f>'Necesidades Trimestrales'!E32</f>
        <v>REACTIVO INDICADOR-COLORANTE; COMPUESTO QUIMICO: LUGOL, ESTADO: LIQUIDO, CALIDAD: PRO ANALISIS, PRESENTACION: ENVASE X 500 mL</v>
      </c>
      <c r="D34" s="138"/>
      <c r="E34" s="138"/>
      <c r="F34" s="46" t="s">
        <v>55</v>
      </c>
      <c r="G34" s="46" t="str">
        <f>'Necesidades Trimestrales'!F32</f>
        <v>FRASCO</v>
      </c>
      <c r="H34" s="47">
        <f>'Necesidades Trimestrales'!H32</f>
        <v>18010.300000000003</v>
      </c>
      <c r="I34" s="48">
        <f>'Necesidades Trimestrales'!G32</f>
        <v>1</v>
      </c>
      <c r="J34" s="70"/>
    </row>
    <row r="35" spans="1:10" ht="41.25" customHeight="1" thickBot="1" x14ac:dyDescent="0.3">
      <c r="A35" s="44">
        <v>24</v>
      </c>
      <c r="B35" s="45" t="str">
        <f>'Necesidades Trimestrales'!B33</f>
        <v>2.5.1-9038.342</v>
      </c>
      <c r="C35" s="138" t="str">
        <f>'Necesidades Trimestrales'!E33</f>
        <v>REACTIVO INDICADOR-COLORANTE; COMPUESTO QUIMICO: DECOLORANTE GRAM, ESTADO: SOLUCION, CALIDAD: PRO ANALISIS, PRESENTACION: ENVASE X 500 mL</v>
      </c>
      <c r="D35" s="138"/>
      <c r="E35" s="138"/>
      <c r="F35" s="46" t="s">
        <v>55</v>
      </c>
      <c r="G35" s="46" t="str">
        <f>'Necesidades Trimestrales'!F33</f>
        <v>FRASCO</v>
      </c>
      <c r="H35" s="47">
        <f>'Necesidades Trimestrales'!H33</f>
        <v>2519</v>
      </c>
      <c r="I35" s="48">
        <f>'Necesidades Trimestrales'!G33</f>
        <v>3</v>
      </c>
      <c r="J35" s="70"/>
    </row>
    <row r="36" spans="1:10" ht="45.75" customHeight="1" thickBot="1" x14ac:dyDescent="0.3">
      <c r="A36" s="44">
        <v>25</v>
      </c>
      <c r="B36" s="45" t="str">
        <f>'Necesidades Trimestrales'!B34</f>
        <v>2.5.1-9022.122</v>
      </c>
      <c r="C36" s="138" t="str">
        <f>'Necesidades Trimestrales'!E34</f>
        <v>ANTIBIOTICOS; COMPUESTO QUIMICO: BACITRACINA, ESTADO: DISCO, CALIDAD: PRO ANALISIS, PRESENTACION: ENVASE X 50 UN</v>
      </c>
      <c r="D36" s="138"/>
      <c r="E36" s="138"/>
      <c r="F36" s="46" t="s">
        <v>55</v>
      </c>
      <c r="G36" s="46" t="str">
        <f>'Necesidades Trimestrales'!F34</f>
        <v>FRASCO</v>
      </c>
      <c r="H36" s="47">
        <f>'Necesidades Trimestrales'!H34</f>
        <v>1267.1999999999998</v>
      </c>
      <c r="I36" s="48">
        <f>'Necesidades Trimestrales'!G34</f>
        <v>1</v>
      </c>
      <c r="J36" s="70"/>
    </row>
    <row r="37" spans="1:10" ht="27" customHeight="1" thickBot="1" x14ac:dyDescent="0.3">
      <c r="A37" s="44">
        <v>26</v>
      </c>
      <c r="B37" s="45" t="str">
        <f>'Necesidades Trimestrales'!B35</f>
        <v>2.5.1-9052.1321</v>
      </c>
      <c r="C37" s="138" t="str">
        <f>'Necesidades Trimestrales'!E35</f>
        <v>REACTIVOS P/LAB. TEC. MANUAL ; NOMBRE: OXIDASA, USO: BACTERIOLOGIA, PRESENTACION: ENVASE X 50 DETERM.</v>
      </c>
      <c r="D37" s="138"/>
      <c r="E37" s="138"/>
      <c r="F37" s="46" t="s">
        <v>55</v>
      </c>
      <c r="G37" s="46" t="str">
        <f>'Necesidades Trimestrales'!F35</f>
        <v>FRASCO</v>
      </c>
      <c r="H37" s="47">
        <f>'Necesidades Trimestrales'!H35</f>
        <v>2675.2000000000003</v>
      </c>
      <c r="I37" s="48">
        <f>'Necesidades Trimestrales'!G35</f>
        <v>1</v>
      </c>
      <c r="J37" s="70"/>
    </row>
    <row r="38" spans="1:10" ht="30" customHeight="1" thickBot="1" x14ac:dyDescent="0.3">
      <c r="A38" s="44">
        <v>27</v>
      </c>
      <c r="B38" s="45" t="str">
        <f>'Necesidades Trimestrales'!B36</f>
        <v>2.5.1.-9052.1348</v>
      </c>
      <c r="C38" s="138" t="str">
        <f>'Necesidades Trimestrales'!E36</f>
        <v>REACTIVOS P/LAB. TEC. MANUAL ; NOMBRE: ONPG, USO: BACTERIOLOGIA, PRESENTACION: ENVASE X 50 DETERM.</v>
      </c>
      <c r="D38" s="138"/>
      <c r="E38" s="138"/>
      <c r="F38" s="46" t="s">
        <v>55</v>
      </c>
      <c r="G38" s="46" t="str">
        <f>'Necesidades Trimestrales'!F36</f>
        <v>FRASCO</v>
      </c>
      <c r="H38" s="47">
        <f>'Necesidades Trimestrales'!H36</f>
        <v>1790.8000000000002</v>
      </c>
      <c r="I38" s="48">
        <f>'Necesidades Trimestrales'!G36</f>
        <v>1</v>
      </c>
      <c r="J38" s="70"/>
    </row>
    <row r="39" spans="1:10" ht="36.75" customHeight="1" thickBot="1" x14ac:dyDescent="0.3">
      <c r="A39" s="44">
        <v>28</v>
      </c>
      <c r="B39" s="45" t="str">
        <f>'Necesidades Trimestrales'!B37</f>
        <v>2.5.1-9022.245</v>
      </c>
      <c r="C39" s="138" t="str">
        <f>'Necesidades Trimestrales'!E37</f>
        <v>ANTIBIOTICOS; COMPUESTO QUIMICO: OPTOQUINA, ESTADO: DISCO, CALIDAD: PRO ANALISIS, PRESENTACION: ENVASE X 50 UN</v>
      </c>
      <c r="D39" s="138"/>
      <c r="E39" s="138"/>
      <c r="F39" s="46" t="s">
        <v>55</v>
      </c>
      <c r="G39" s="46" t="str">
        <f>'Necesidades Trimestrales'!F37</f>
        <v>FRASCO</v>
      </c>
      <c r="H39" s="47">
        <f>'Necesidades Trimestrales'!H37</f>
        <v>1267.1999999999998</v>
      </c>
      <c r="I39" s="48">
        <f>'Necesidades Trimestrales'!G37</f>
        <v>1</v>
      </c>
      <c r="J39" s="70"/>
    </row>
    <row r="40" spans="1:10" ht="33.75" customHeight="1" thickBot="1" x14ac:dyDescent="0.3">
      <c r="A40" s="44">
        <v>29</v>
      </c>
      <c r="B40" s="45" t="str">
        <f>'Necesidades Trimestrales'!B38</f>
        <v>2.5.1-9052.1334</v>
      </c>
      <c r="C40" s="138" t="str">
        <f>'Necesidades Trimestrales'!E38</f>
        <v>REACTIVOS P/LAB. TEC. MANUAL ; NOMBRE: NOVOBIOCINA, USO: BACTERIOLOGIA, PRESENTACION: ENVASE X 50 DETERM.</v>
      </c>
      <c r="D40" s="138"/>
      <c r="E40" s="138"/>
      <c r="F40" s="46" t="s">
        <v>55</v>
      </c>
      <c r="G40" s="46" t="str">
        <f>'Necesidades Trimestrales'!F38</f>
        <v>FRASCO</v>
      </c>
      <c r="H40" s="47">
        <f>'Necesidades Trimestrales'!H38</f>
        <v>752.40000000000009</v>
      </c>
      <c r="I40" s="48">
        <f>'Necesidades Trimestrales'!G38</f>
        <v>1</v>
      </c>
      <c r="J40" s="70"/>
    </row>
    <row r="41" spans="1:10" ht="40.5" customHeight="1" thickBot="1" x14ac:dyDescent="0.3">
      <c r="A41" s="44">
        <v>30</v>
      </c>
      <c r="B41" s="45" t="str">
        <f>'Necesidades Trimestrales'!B39</f>
        <v>2.5.1-9022.77</v>
      </c>
      <c r="C41" s="138" t="str">
        <f>'Necesidades Trimestrales'!E39</f>
        <v>ANTIBIOTICOS; COMPUESTO QUIMICO: AMPICILINA 10 µGr, ESTADO: DISCO, CALIDAD: PRO ANALISIS, PRESENTACION: ENVASE X 50 UN</v>
      </c>
      <c r="D41" s="138"/>
      <c r="E41" s="138"/>
      <c r="F41" s="46" t="s">
        <v>55</v>
      </c>
      <c r="G41" s="46" t="str">
        <f>'Necesidades Trimestrales'!F39</f>
        <v>FRASCO</v>
      </c>
      <c r="H41" s="47">
        <f>'Necesidades Trimestrales'!H39</f>
        <v>752.40000000000009</v>
      </c>
      <c r="I41" s="48">
        <f>'Necesidades Trimestrales'!G39</f>
        <v>10</v>
      </c>
      <c r="J41" s="70"/>
    </row>
    <row r="42" spans="1:10" ht="36.75" customHeight="1" thickBot="1" x14ac:dyDescent="0.3">
      <c r="A42" s="44">
        <v>31</v>
      </c>
      <c r="B42" s="45" t="str">
        <f>'Necesidades Trimestrales'!B40</f>
        <v>2.5.1-9022.107</v>
      </c>
      <c r="C42" s="138" t="str">
        <f>'Necesidades Trimestrales'!E40</f>
        <v>ANTIBIOTICOS; COMPUESTO QUIMICO: GENTAMICINA 10 µGr, ESTADO: DISCO, CALIDAD: PRO ANALISIS, PRESENTACION: ENVASE X 50 UN</v>
      </c>
      <c r="D42" s="138"/>
      <c r="E42" s="138"/>
      <c r="F42" s="46" t="s">
        <v>55</v>
      </c>
      <c r="G42" s="46" t="str">
        <f>'Necesidades Trimestrales'!F40</f>
        <v>FRASCO</v>
      </c>
      <c r="H42" s="47">
        <f>'Necesidades Trimestrales'!H40</f>
        <v>752.40000000000009</v>
      </c>
      <c r="I42" s="48">
        <f>'Necesidades Trimestrales'!G40</f>
        <v>10</v>
      </c>
      <c r="J42" s="70"/>
    </row>
    <row r="43" spans="1:10" ht="40.5" customHeight="1" thickBot="1" x14ac:dyDescent="0.3">
      <c r="A43" s="44">
        <v>32</v>
      </c>
      <c r="B43" s="45" t="str">
        <f>'Necesidades Trimestrales'!B41</f>
        <v>2.5.1-9022.121</v>
      </c>
      <c r="C43" s="138" t="str">
        <f>'Necesidades Trimestrales'!E41</f>
        <v>ANTIBIOTICOS; COMPUESTO QUIMICO: TRIMETOPRIMA + SULFAMETOXAZOL, ESTADO: DISCO, CALIDAD: PRO ANALISIS, PRESENTACION: ENVASE X 50 UN</v>
      </c>
      <c r="D43" s="138"/>
      <c r="E43" s="138"/>
      <c r="F43" s="46" t="s">
        <v>55</v>
      </c>
      <c r="G43" s="46" t="str">
        <f>'Necesidades Trimestrales'!F41</f>
        <v>FRASCO</v>
      </c>
      <c r="H43" s="47">
        <f>'Necesidades Trimestrales'!H41</f>
        <v>752.40000000000009</v>
      </c>
      <c r="I43" s="48">
        <f>'Necesidades Trimestrales'!G41</f>
        <v>10</v>
      </c>
      <c r="J43" s="70"/>
    </row>
    <row r="44" spans="1:10" ht="40.5" customHeight="1" thickBot="1" x14ac:dyDescent="0.3">
      <c r="A44" s="44">
        <v>33</v>
      </c>
      <c r="B44" s="45" t="str">
        <f>'Necesidades Trimestrales'!B42</f>
        <v>2.5.1-9022.61</v>
      </c>
      <c r="C44" s="138" t="str">
        <f>'Necesidades Trimestrales'!E42</f>
        <v>ANTIBIOTICOS; COMPUESTO QUIMICO: NITROFURANTOINA 300 µGr, ESTADO: DISCO, CALIDAD: PRO ANALISIS, PRESENTACION: ENVASE X 50 UN</v>
      </c>
      <c r="D44" s="138"/>
      <c r="E44" s="138"/>
      <c r="F44" s="46" t="s">
        <v>55</v>
      </c>
      <c r="G44" s="46" t="str">
        <f>'Necesidades Trimestrales'!F42</f>
        <v>FRASCO</v>
      </c>
      <c r="H44" s="47">
        <f>'Necesidades Trimestrales'!H42</f>
        <v>752.40000000000009</v>
      </c>
      <c r="I44" s="48">
        <f>'Necesidades Trimestrales'!G42</f>
        <v>10</v>
      </c>
      <c r="J44" s="70"/>
    </row>
    <row r="45" spans="1:10" ht="40.5" customHeight="1" thickBot="1" x14ac:dyDescent="0.3">
      <c r="A45" s="44">
        <v>34</v>
      </c>
      <c r="B45" s="45" t="str">
        <f>'Necesidades Trimestrales'!B43</f>
        <v>2.5.1-9022.55</v>
      </c>
      <c r="C45" s="138" t="str">
        <f>'Necesidades Trimestrales'!E43</f>
        <v>ANTIBIOTICOS; COMPUESTO QUIMICO: CEFUROXIMA 30 µGr, ESTADO: DISCO, CALIDAD: PRO ANALISIS, PRESENTACION: ENVASE X 50 UN</v>
      </c>
      <c r="D45" s="138"/>
      <c r="E45" s="138"/>
      <c r="F45" s="46" t="s">
        <v>55</v>
      </c>
      <c r="G45" s="46" t="str">
        <f>'Necesidades Trimestrales'!F43</f>
        <v>FRASCO</v>
      </c>
      <c r="H45" s="47">
        <f>'Necesidades Trimestrales'!H43</f>
        <v>752.40000000000009</v>
      </c>
      <c r="I45" s="48">
        <f>'Necesidades Trimestrales'!G43</f>
        <v>10</v>
      </c>
      <c r="J45" s="70"/>
    </row>
    <row r="46" spans="1:10" ht="48" customHeight="1" thickBot="1" x14ac:dyDescent="0.3">
      <c r="A46" s="44">
        <v>35</v>
      </c>
      <c r="B46" s="45" t="str">
        <f>'Necesidades Trimestrales'!B44</f>
        <v>2.5.1-9022.205</v>
      </c>
      <c r="C46" s="138" t="str">
        <f>'Necesidades Trimestrales'!E44</f>
        <v>ANTIBIOTICOS; COMPUESTO QUIMICO: CEFAZOLINA, ESTADO: DISCO, CALIDAD: PRO ANALISIS, PRESENTACION: 50 X ENVASE X 30 µGr</v>
      </c>
      <c r="D46" s="138"/>
      <c r="E46" s="138"/>
      <c r="F46" s="46" t="s">
        <v>55</v>
      </c>
      <c r="G46" s="46" t="str">
        <f>'Necesidades Trimestrales'!F44</f>
        <v>FRASCO</v>
      </c>
      <c r="H46" s="47">
        <f>'Necesidades Trimestrales'!H44</f>
        <v>752.40000000000009</v>
      </c>
      <c r="I46" s="48">
        <f>'Necesidades Trimestrales'!G44</f>
        <v>10</v>
      </c>
      <c r="J46" s="70"/>
    </row>
    <row r="47" spans="1:10" ht="42" customHeight="1" thickBot="1" x14ac:dyDescent="0.3">
      <c r="A47" s="44">
        <v>36</v>
      </c>
      <c r="B47" s="45" t="str">
        <f>'Necesidades Trimestrales'!B45</f>
        <v>2.5.1-9022.78</v>
      </c>
      <c r="C47" s="138" t="str">
        <f>'Necesidades Trimestrales'!E45</f>
        <v>ANTIBIOTICOS; COMPUESTO QUIMICO: AMPICILINA + SULBACTAM 10/10 µGr, ESTADO: DISCO, CALIDAD: PRO ANALISIS, PRESENTACION: ENVASE X 50 UN</v>
      </c>
      <c r="D47" s="138"/>
      <c r="E47" s="138"/>
      <c r="F47" s="46" t="s">
        <v>55</v>
      </c>
      <c r="G47" s="46" t="str">
        <f>'Necesidades Trimestrales'!F45</f>
        <v>FRASCO</v>
      </c>
      <c r="H47" s="47">
        <f>'Necesidades Trimestrales'!H45</f>
        <v>752.40000000000009</v>
      </c>
      <c r="I47" s="48">
        <f>'Necesidades Trimestrales'!G45</f>
        <v>10</v>
      </c>
      <c r="J47" s="70"/>
    </row>
    <row r="48" spans="1:10" ht="39" customHeight="1" thickBot="1" x14ac:dyDescent="0.3">
      <c r="A48" s="44">
        <v>37</v>
      </c>
      <c r="B48" s="45" t="str">
        <f>'Necesidades Trimestrales'!B46</f>
        <v>2.5.1-9022.99</v>
      </c>
      <c r="C48" s="138" t="str">
        <f>'Necesidades Trimestrales'!E46</f>
        <v>ANTIBIOTICOS; COMPUESTO QUIMICO: CEFOTAXIMA CLAVULANICO 30/10 µGr, ESTADO: DISCO, CALIDAD: PRO ANALISIS, PRESENTACION: ENVASE X 50</v>
      </c>
      <c r="D48" s="138"/>
      <c r="E48" s="138"/>
      <c r="F48" s="46" t="s">
        <v>55</v>
      </c>
      <c r="G48" s="46" t="str">
        <f>'Necesidades Trimestrales'!F46</f>
        <v>FRASCO</v>
      </c>
      <c r="H48" s="47">
        <f>'Necesidades Trimestrales'!H46</f>
        <v>752.40000000000009</v>
      </c>
      <c r="I48" s="48">
        <f>'Necesidades Trimestrales'!G46</f>
        <v>2</v>
      </c>
      <c r="J48" s="70"/>
    </row>
    <row r="49" spans="1:10" ht="49.5" customHeight="1" thickBot="1" x14ac:dyDescent="0.3">
      <c r="A49" s="44">
        <v>38</v>
      </c>
      <c r="B49" s="45" t="str">
        <f>'Necesidades Trimestrales'!B47</f>
        <v>2.5.1-9022.94</v>
      </c>
      <c r="C49" s="138" t="str">
        <f>'Necesidades Trimestrales'!E47</f>
        <v>ANTIBIOTICOS; COMPUESTO QUIMICO: CEFTAZIDIMA AC.CLAVULAN.30/10 µGr, ESTADO: DISCO, CALIDAD: PRO ANALISIS, PRESENTACION: ENVASE X 50 UN</v>
      </c>
      <c r="D49" s="138"/>
      <c r="E49" s="138"/>
      <c r="F49" s="46" t="s">
        <v>55</v>
      </c>
      <c r="G49" s="46" t="str">
        <f>'Necesidades Trimestrales'!F47</f>
        <v>FRASCO</v>
      </c>
      <c r="H49" s="47">
        <f>'Necesidades Trimestrales'!H47</f>
        <v>752.40000000000009</v>
      </c>
      <c r="I49" s="48">
        <f>'Necesidades Trimestrales'!G47</f>
        <v>2</v>
      </c>
      <c r="J49" s="70"/>
    </row>
    <row r="50" spans="1:10" ht="48" customHeight="1" thickBot="1" x14ac:dyDescent="0.3">
      <c r="A50" s="44">
        <v>39</v>
      </c>
      <c r="B50" s="45" t="str">
        <f>'Necesidades Trimestrales'!B48</f>
        <v>2.5.1-9022.120</v>
      </c>
      <c r="C50" s="138" t="str">
        <f>'Necesidades Trimestrales'!E48</f>
        <v>ANTIBIOTICOS; COMPUESTO QUIMICO: AMICACINA 30 µGr, ESTADO: DISCO, CALIDAD: PRO ANALISIS, PRESENTACION: ENVASE X 50 UN</v>
      </c>
      <c r="D50" s="138"/>
      <c r="E50" s="138"/>
      <c r="F50" s="46" t="s">
        <v>55</v>
      </c>
      <c r="G50" s="46" t="str">
        <f>'Necesidades Trimestrales'!F48</f>
        <v>FRASCO</v>
      </c>
      <c r="H50" s="47">
        <f>'Necesidades Trimestrales'!H48</f>
        <v>752.40000000000009</v>
      </c>
      <c r="I50" s="48">
        <f>'Necesidades Trimestrales'!G48</f>
        <v>10</v>
      </c>
      <c r="J50" s="70"/>
    </row>
    <row r="51" spans="1:10" ht="46.5" customHeight="1" thickBot="1" x14ac:dyDescent="0.3">
      <c r="A51" s="44">
        <v>40</v>
      </c>
      <c r="B51" s="45" t="str">
        <f>'Necesidades Trimestrales'!B49</f>
        <v>2.5.1-9022.83</v>
      </c>
      <c r="C51" s="138" t="str">
        <f>'Necesidades Trimestrales'!E49</f>
        <v>ANTIBIOTICOS; COMPUESTO QUIMICO: CEFEPIME 30 µGr, ESTADO: DISCO, CALIDAD: PRO ANALISIS, PRESENTACION: ENVASE X 50 UN</v>
      </c>
      <c r="D51" s="138"/>
      <c r="E51" s="138"/>
      <c r="F51" s="46" t="s">
        <v>55</v>
      </c>
      <c r="G51" s="46" t="str">
        <f>'Necesidades Trimestrales'!F49</f>
        <v>FRASCO</v>
      </c>
      <c r="H51" s="47">
        <f>'Necesidades Trimestrales'!H49</f>
        <v>752.40000000000009</v>
      </c>
      <c r="I51" s="48">
        <f>'Necesidades Trimestrales'!G49</f>
        <v>2</v>
      </c>
      <c r="J51" s="70"/>
    </row>
    <row r="52" spans="1:10" ht="45" customHeight="1" thickBot="1" x14ac:dyDescent="0.3">
      <c r="A52" s="44">
        <v>41</v>
      </c>
      <c r="B52" s="45" t="str">
        <f>'Necesidades Trimestrales'!B50</f>
        <v>2.5.1-9022.48</v>
      </c>
      <c r="C52" s="138" t="str">
        <f>'Necesidades Trimestrales'!E50</f>
        <v>ANTIBIOTICOS; COMPUESTO QUIMICO: CEFOXITINA 30 µGr, ESTADO: DISCO, CALIDAD: PRO ANALISIS, PRESENTACION: ENVASE X 50 UN</v>
      </c>
      <c r="D52" s="138"/>
      <c r="E52" s="138"/>
      <c r="F52" s="46" t="s">
        <v>55</v>
      </c>
      <c r="G52" s="46" t="str">
        <f>'Necesidades Trimestrales'!F50</f>
        <v>FRASCO</v>
      </c>
      <c r="H52" s="47">
        <f>'Necesidades Trimestrales'!H50</f>
        <v>752.40000000000009</v>
      </c>
      <c r="I52" s="48">
        <f>'Necesidades Trimestrales'!G50</f>
        <v>10</v>
      </c>
      <c r="J52" s="70"/>
    </row>
    <row r="53" spans="1:10" ht="39.75" customHeight="1" thickBot="1" x14ac:dyDescent="0.3">
      <c r="A53" s="44">
        <v>42</v>
      </c>
      <c r="B53" s="45" t="str">
        <f>'Necesidades Trimestrales'!B51</f>
        <v>2.5.1-9022.47</v>
      </c>
      <c r="C53" s="138" t="str">
        <f>'Necesidades Trimestrales'!E51</f>
        <v>ANTIBIOTICOS; COMPUESTO QUIMICO: CEFOTAXINA 30 µGr, ESTADO: DISCO, CALIDAD: PRO ANALISIS, PRESENTACION: ENVASE X 50 UN</v>
      </c>
      <c r="D53" s="138"/>
      <c r="E53" s="138"/>
      <c r="F53" s="46" t="s">
        <v>55</v>
      </c>
      <c r="G53" s="46" t="str">
        <f>'Necesidades Trimestrales'!F51</f>
        <v>FRASCO</v>
      </c>
      <c r="H53" s="47">
        <f>'Necesidades Trimestrales'!H51</f>
        <v>752.40000000000009</v>
      </c>
      <c r="I53" s="48">
        <f>'Necesidades Trimestrales'!G51</f>
        <v>10</v>
      </c>
      <c r="J53" s="70"/>
    </row>
    <row r="54" spans="1:10" ht="42" customHeight="1" thickBot="1" x14ac:dyDescent="0.3">
      <c r="A54" s="44">
        <v>43</v>
      </c>
      <c r="B54" s="45" t="str">
        <f>'Necesidades Trimestrales'!B52</f>
        <v>2.5.1-9022.86</v>
      </c>
      <c r="C54" s="138" t="str">
        <f>'Necesidades Trimestrales'!E52</f>
        <v>ANTIBIOTICOS; COMPUESTO QUIMICO: CEFTAZIDIMA 30 µGr, ESTADO: DISCO, CALIDAD: PRO ANALISIS, PRESENTACION: ENVASE X 50 UN</v>
      </c>
      <c r="D54" s="138"/>
      <c r="E54" s="138"/>
      <c r="F54" s="46" t="s">
        <v>55</v>
      </c>
      <c r="G54" s="46" t="str">
        <f>'Necesidades Trimestrales'!F52</f>
        <v>FRASCO</v>
      </c>
      <c r="H54" s="47">
        <f>'Necesidades Trimestrales'!H52</f>
        <v>752.40000000000009</v>
      </c>
      <c r="I54" s="48">
        <f>'Necesidades Trimestrales'!G52</f>
        <v>10</v>
      </c>
      <c r="J54" s="70"/>
    </row>
    <row r="55" spans="1:10" ht="41.25" customHeight="1" thickBot="1" x14ac:dyDescent="0.3">
      <c r="A55" s="44">
        <v>44</v>
      </c>
      <c r="B55" s="45" t="str">
        <f>'Necesidades Trimestrales'!B53</f>
        <v>2.5.1-9022.57</v>
      </c>
      <c r="C55" s="138" t="str">
        <f>'Necesidades Trimestrales'!E53</f>
        <v>ANTIBIOTICOS; COMPUESTO QUIMICO: CIFOPROFLOXACINA 5 µGr, ESTADO: DISCO, CALIDAD: PRO ANALISIS, PRESENTACION: ENVASE X 50 UN</v>
      </c>
      <c r="D55" s="138"/>
      <c r="E55" s="138"/>
      <c r="F55" s="46" t="s">
        <v>55</v>
      </c>
      <c r="G55" s="46" t="str">
        <f>'Necesidades Trimestrales'!F53</f>
        <v>FRASCO</v>
      </c>
      <c r="H55" s="47">
        <f>'Necesidades Trimestrales'!H53</f>
        <v>752.40000000000009</v>
      </c>
      <c r="I55" s="48">
        <f>'Necesidades Trimestrales'!G53</f>
        <v>2</v>
      </c>
      <c r="J55" s="70"/>
    </row>
    <row r="56" spans="1:10" ht="38.25" customHeight="1" thickBot="1" x14ac:dyDescent="0.3">
      <c r="A56" s="44">
        <v>45</v>
      </c>
      <c r="B56" s="45" t="str">
        <f>'Necesidades Trimestrales'!B54</f>
        <v>2.5.1.-9022.76</v>
      </c>
      <c r="C56" s="138" t="str">
        <f>'Necesidades Trimestrales'!E54</f>
        <v>ANTIBIOTICOS; COMPUESTO QUIMICO: AMOXICIL+AC.CLAVULANICO 20/10 µGr, ESTADO: DISCO, CALIDAD: PRO ANALISIS, PRESENTACION: ENVASE X 50 UN</v>
      </c>
      <c r="D56" s="138"/>
      <c r="E56" s="138"/>
      <c r="F56" s="46" t="s">
        <v>55</v>
      </c>
      <c r="G56" s="46" t="str">
        <f>'Necesidades Trimestrales'!F54</f>
        <v>FRASCO</v>
      </c>
      <c r="H56" s="47">
        <f>'Necesidades Trimestrales'!H54</f>
        <v>752.40000000000009</v>
      </c>
      <c r="I56" s="48">
        <f>'Necesidades Trimestrales'!G54</f>
        <v>10</v>
      </c>
      <c r="J56" s="70"/>
    </row>
    <row r="57" spans="1:10" ht="37.5" customHeight="1" thickBot="1" x14ac:dyDescent="0.3">
      <c r="A57" s="44">
        <v>46</v>
      </c>
      <c r="B57" s="45" t="str">
        <f>'Necesidades Trimestrales'!B55</f>
        <v>2.5.1-9022.114</v>
      </c>
      <c r="C57" s="138" t="str">
        <f>'Necesidades Trimestrales'!E55</f>
        <v>ANTIBIOTICOS; COMPUESTO QUIMICO: MEROPENEM 10 µGr, ESTADO: DISCO, CALIDAD: PRO ANALISIS, PRESENTACION: ENVASE X 50 UN</v>
      </c>
      <c r="D57" s="138"/>
      <c r="E57" s="138"/>
      <c r="F57" s="46" t="s">
        <v>55</v>
      </c>
      <c r="G57" s="46" t="str">
        <f>'Necesidades Trimestrales'!F55</f>
        <v>FRASCO</v>
      </c>
      <c r="H57" s="47">
        <f>'Necesidades Trimestrales'!H55</f>
        <v>752.40000000000009</v>
      </c>
      <c r="I57" s="48">
        <f>'Necesidades Trimestrales'!G55</f>
        <v>10</v>
      </c>
      <c r="J57" s="70"/>
    </row>
    <row r="58" spans="1:10" ht="40.5" customHeight="1" thickBot="1" x14ac:dyDescent="0.3">
      <c r="A58" s="44">
        <v>47</v>
      </c>
      <c r="B58" s="45" t="str">
        <f>'Necesidades Trimestrales'!B56</f>
        <v>2.5.1-9022.111</v>
      </c>
      <c r="C58" s="138" t="str">
        <f>'Necesidades Trimestrales'!E56</f>
        <v>ANTIBIOTICOS; COMPUESTO QUIMICO: IMIPENEM 10 µGr, ESTADO: DISCO, CALIDAD: PRO ANALISIS, PRESENTACION: ENVASE X 50 UN</v>
      </c>
      <c r="D58" s="138"/>
      <c r="E58" s="138"/>
      <c r="F58" s="46" t="s">
        <v>55</v>
      </c>
      <c r="G58" s="46" t="str">
        <f>'Necesidades Trimestrales'!F56</f>
        <v>FRASCO</v>
      </c>
      <c r="H58" s="47">
        <f>'Necesidades Trimestrales'!H56</f>
        <v>752.40000000000009</v>
      </c>
      <c r="I58" s="48">
        <f>'Necesidades Trimestrales'!G56</f>
        <v>10</v>
      </c>
      <c r="J58" s="70"/>
    </row>
    <row r="59" spans="1:10" ht="30.75" customHeight="1" thickBot="1" x14ac:dyDescent="0.3">
      <c r="A59" s="44">
        <v>48</v>
      </c>
      <c r="B59" s="45" t="str">
        <f>'Necesidades Trimestrales'!B57</f>
        <v>2.5.1-9022.68</v>
      </c>
      <c r="C59" s="138" t="str">
        <f>'Necesidades Trimestrales'!E57</f>
        <v>ANTIBIOTICOS; COMPUESTO QUIMICO: PIPERACILINA TAZOBACTAM 100/10 µGr, ESTADO: DISCO, CALIDAD: PRO ANALISIS, PRESENTACION: ENVASE X 50 UN</v>
      </c>
      <c r="D59" s="138"/>
      <c r="E59" s="138"/>
      <c r="F59" s="46" t="s">
        <v>55</v>
      </c>
      <c r="G59" s="46" t="str">
        <f>'Necesidades Trimestrales'!F57</f>
        <v>FRASCO</v>
      </c>
      <c r="H59" s="47">
        <f>'Necesidades Trimestrales'!H57</f>
        <v>752.40000000000009</v>
      </c>
      <c r="I59" s="48">
        <f>'Necesidades Trimestrales'!G57</f>
        <v>10</v>
      </c>
      <c r="J59" s="70"/>
    </row>
    <row r="60" spans="1:10" ht="42.75" customHeight="1" thickBot="1" x14ac:dyDescent="0.3">
      <c r="A60" s="44">
        <v>49</v>
      </c>
      <c r="B60" s="45" t="str">
        <f>'Necesidades Trimestrales'!B58</f>
        <v>2.5.1-9022.109</v>
      </c>
      <c r="C60" s="138" t="str">
        <f>'Necesidades Trimestrales'!E58</f>
        <v>ANTIBIOTICOS; COMPUESTO QUIMICO: COLISTINA 10 µGr, ESTADO: DISCO, CALIDAD: PRO ANALISIS, PRESENTACION: ENVASE X 50 UN</v>
      </c>
      <c r="D60" s="138"/>
      <c r="E60" s="138"/>
      <c r="F60" s="46" t="s">
        <v>55</v>
      </c>
      <c r="G60" s="46" t="str">
        <f>'Necesidades Trimestrales'!F58</f>
        <v>FRASCO</v>
      </c>
      <c r="H60" s="47">
        <f>'Necesidades Trimestrales'!H58</f>
        <v>643.5</v>
      </c>
      <c r="I60" s="48">
        <f>'Necesidades Trimestrales'!G58</f>
        <v>10</v>
      </c>
      <c r="J60" s="70"/>
    </row>
    <row r="61" spans="1:10" ht="35.25" customHeight="1" thickBot="1" x14ac:dyDescent="0.3">
      <c r="A61" s="44">
        <v>50</v>
      </c>
      <c r="B61" s="45" t="str">
        <f>'Necesidades Trimestrales'!B59</f>
        <v>2.5.1-9022.95</v>
      </c>
      <c r="C61" s="138" t="str">
        <f>'Necesidades Trimestrales'!E59</f>
        <v>ANTIBIOTICOS; COMPUESTO QUIMICO: ETILENDIAMINOTETRAACETICO, ESTADO: DISCO, CALIDAD: PRO ANALISIS, PRESENTACION: ENVASE X 50 UN</v>
      </c>
      <c r="D61" s="138"/>
      <c r="E61" s="138"/>
      <c r="F61" s="46" t="s">
        <v>55</v>
      </c>
      <c r="G61" s="46" t="str">
        <f>'Necesidades Trimestrales'!F59</f>
        <v>FRASCO</v>
      </c>
      <c r="H61" s="47">
        <f>'Necesidades Trimestrales'!H59</f>
        <v>2341.8999999999996</v>
      </c>
      <c r="I61" s="48">
        <f>'Necesidades Trimestrales'!G59</f>
        <v>3</v>
      </c>
      <c r="J61" s="70"/>
    </row>
    <row r="62" spans="1:10" ht="34.5" customHeight="1" thickBot="1" x14ac:dyDescent="0.3">
      <c r="A62" s="44">
        <v>51</v>
      </c>
      <c r="B62" s="45" t="str">
        <f>'Necesidades Trimestrales'!B60</f>
        <v>2.5.1-9022.139</v>
      </c>
      <c r="C62" s="138" t="str">
        <f>'Necesidades Trimestrales'!E60</f>
        <v>ANTIBIOTICOS; COMPUESTO QUIMICO: ERTAPENEM 10 UG, ESTADO: DISCOS, CALIDAD: PRO ANALISIS, PRESENTACION: ENVASE X 50 UN</v>
      </c>
      <c r="D62" s="138"/>
      <c r="E62" s="138"/>
      <c r="F62" s="46" t="s">
        <v>55</v>
      </c>
      <c r="G62" s="46" t="str">
        <f>'Necesidades Trimestrales'!F60</f>
        <v>FRASCO</v>
      </c>
      <c r="H62" s="47">
        <f>'Necesidades Trimestrales'!H60</f>
        <v>752.40000000000009</v>
      </c>
      <c r="I62" s="48">
        <f>'Necesidades Trimestrales'!G60</f>
        <v>2</v>
      </c>
      <c r="J62" s="70"/>
    </row>
    <row r="63" spans="1:10" ht="38.25" customHeight="1" thickBot="1" x14ac:dyDescent="0.3">
      <c r="A63" s="44">
        <v>52</v>
      </c>
      <c r="B63" s="45" t="str">
        <f>'Necesidades Trimestrales'!B61</f>
        <v>2.5.1-9022.128</v>
      </c>
      <c r="C63" s="138" t="str">
        <f>'Necesidades Trimestrales'!E61</f>
        <v>ANTIBIOTICOS; COMPUESTO QUIMICO: ACIDO FUSIDICO 10 µGr, ESTADO: DISCO, CALIDAD: PRO ANALISIS, PRESENTACION: ENVASE X 50 UN</v>
      </c>
      <c r="D63" s="138"/>
      <c r="E63" s="138"/>
      <c r="F63" s="46" t="s">
        <v>55</v>
      </c>
      <c r="G63" s="46" t="str">
        <f>'Necesidades Trimestrales'!F61</f>
        <v>FRASCO</v>
      </c>
      <c r="H63" s="47">
        <f>'Necesidades Trimestrales'!H61</f>
        <v>752.40000000000009</v>
      </c>
      <c r="I63" s="48">
        <f>'Necesidades Trimestrales'!G61</f>
        <v>5</v>
      </c>
      <c r="J63" s="70"/>
    </row>
    <row r="64" spans="1:10" ht="33" customHeight="1" thickBot="1" x14ac:dyDescent="0.3">
      <c r="A64" s="44">
        <v>53</v>
      </c>
      <c r="B64" s="45" t="str">
        <f>'Necesidades Trimestrales'!B62</f>
        <v>2.5.1-9052.1612</v>
      </c>
      <c r="C64" s="138" t="str">
        <f>'Necesidades Trimestrales'!E62</f>
        <v>REACTIVOS P/LAB. TEC. MANUAL ; NOMBRE: AC. BORONICO 300 UG, USO: ANTIBIOGRAMA, PRESENTACION: ENVASE X 50 DISCO</v>
      </c>
      <c r="D64" s="138"/>
      <c r="E64" s="138"/>
      <c r="F64" s="46" t="s">
        <v>55</v>
      </c>
      <c r="G64" s="46" t="str">
        <f>'Necesidades Trimestrales'!F62</f>
        <v>FRASCO</v>
      </c>
      <c r="H64" s="47">
        <f>'Necesidades Trimestrales'!H62</f>
        <v>3113.0000000000005</v>
      </c>
      <c r="I64" s="48">
        <f>'Necesidades Trimestrales'!G62</f>
        <v>5</v>
      </c>
      <c r="J64" s="70"/>
    </row>
    <row r="65" spans="1:10" ht="37.5" customHeight="1" thickBot="1" x14ac:dyDescent="0.3">
      <c r="A65" s="44">
        <v>54</v>
      </c>
      <c r="B65" s="45" t="str">
        <f>'Necesidades Trimestrales'!B63</f>
        <v>2.5.1-9022.80</v>
      </c>
      <c r="C65" s="138" t="str">
        <f>'Necesidades Trimestrales'!E63</f>
        <v>ANTIBIOTICOS; COMPUESTO QUIMICO: AZTREONAM 30 µGr, ESTADO: DISCO, CALIDAD: PRO ANALISIS, PRESENTACION: ENVASE X 50 UN</v>
      </c>
      <c r="D65" s="138"/>
      <c r="E65" s="138"/>
      <c r="F65" s="46" t="s">
        <v>55</v>
      </c>
      <c r="G65" s="46" t="str">
        <f>'Necesidades Trimestrales'!F63</f>
        <v>FRASCO</v>
      </c>
      <c r="H65" s="47">
        <f>'Necesidades Trimestrales'!H63</f>
        <v>752.40000000000009</v>
      </c>
      <c r="I65" s="48">
        <f>'Necesidades Trimestrales'!G63</f>
        <v>2</v>
      </c>
      <c r="J65" s="70"/>
    </row>
    <row r="66" spans="1:10" ht="32.25" customHeight="1" thickBot="1" x14ac:dyDescent="0.3">
      <c r="A66" s="44">
        <v>55</v>
      </c>
      <c r="B66" s="45" t="str">
        <f>'Necesidades Trimestrales'!B64</f>
        <v>2.5.1-9022.56</v>
      </c>
      <c r="C66" s="138" t="str">
        <f>'Necesidades Trimestrales'!E64</f>
        <v>ANTIBIOTICOS; COMPUESTO QUIMICO: MINOCICLINA 30 µGr, ESTADO: DISCO, CALIDAD: PRO ANALISIS, PRESENTACION: ENVASE X 50 UN</v>
      </c>
      <c r="D66" s="138"/>
      <c r="E66" s="138"/>
      <c r="F66" s="46" t="s">
        <v>55</v>
      </c>
      <c r="G66" s="46" t="str">
        <f>'Necesidades Trimestrales'!F64</f>
        <v>FRASCO</v>
      </c>
      <c r="H66" s="47">
        <f>'Necesidades Trimestrales'!H64</f>
        <v>752.40000000000009</v>
      </c>
      <c r="I66" s="48">
        <f>'Necesidades Trimestrales'!G64</f>
        <v>10</v>
      </c>
      <c r="J66" s="70"/>
    </row>
    <row r="67" spans="1:10" ht="27.75" customHeight="1" thickBot="1" x14ac:dyDescent="0.3">
      <c r="A67" s="44">
        <v>56</v>
      </c>
      <c r="B67" s="45" t="str">
        <f>'Necesidades Trimestrales'!B65</f>
        <v>2.5.1-9022.59</v>
      </c>
      <c r="C67" s="138" t="str">
        <f>'Necesidades Trimestrales'!E65</f>
        <v>ANTIBIOTICOS; COMPUESTO QUIMICO: CLINDAMICINA 2 µGr, ESTADO: DISCO, CALIDAD: PRO ANALISIS, PRESENTACION: ENVASE X 50 UN</v>
      </c>
      <c r="D67" s="138"/>
      <c r="E67" s="138"/>
      <c r="F67" s="46" t="s">
        <v>55</v>
      </c>
      <c r="G67" s="46" t="str">
        <f>'Necesidades Trimestrales'!F65</f>
        <v>FRASCO</v>
      </c>
      <c r="H67" s="47">
        <f>'Necesidades Trimestrales'!H65</f>
        <v>752.40000000000009</v>
      </c>
      <c r="I67" s="48">
        <f>'Necesidades Trimestrales'!G65</f>
        <v>10</v>
      </c>
      <c r="J67" s="70"/>
    </row>
    <row r="68" spans="1:10" ht="39.75" customHeight="1" thickBot="1" x14ac:dyDescent="0.3">
      <c r="A68" s="44">
        <v>57</v>
      </c>
      <c r="B68" s="45" t="str">
        <f>'Necesidades Trimestrales'!B66</f>
        <v>2.5.1-9022.66</v>
      </c>
      <c r="C68" s="138" t="str">
        <f>'Necesidades Trimestrales'!E66</f>
        <v>ANTIBIOTICOS; COMPUESTO QUIMICO: OXACILINA 1 µGr, ESTADO: DISCO, CALIDAD: PRO ANALISIS, PRESENTACION: ENVASE X 50 UN</v>
      </c>
      <c r="D68" s="138"/>
      <c r="E68" s="138"/>
      <c r="F68" s="46" t="s">
        <v>55</v>
      </c>
      <c r="G68" s="46" t="str">
        <f>'Necesidades Trimestrales'!F66</f>
        <v>FRASCO</v>
      </c>
      <c r="H68" s="47">
        <f>'Necesidades Trimestrales'!H66</f>
        <v>752.40000000000009</v>
      </c>
      <c r="I68" s="48">
        <f>'Necesidades Trimestrales'!G66</f>
        <v>5</v>
      </c>
      <c r="J68" s="70"/>
    </row>
    <row r="69" spans="1:10" ht="30" customHeight="1" thickBot="1" x14ac:dyDescent="0.3">
      <c r="A69" s="44">
        <v>58</v>
      </c>
      <c r="B69" s="45" t="str">
        <f>'Necesidades Trimestrales'!B67</f>
        <v>2.5.1-9022.142</v>
      </c>
      <c r="C69" s="138" t="str">
        <f>'Necesidades Trimestrales'!E67</f>
        <v>ANTIBIOTICOS; COMPUESTO QUIMICO: RIFAMPICINA, ESTADO: DISCO, CALIDAD: PRO ANALISIS, PRESENTACION: ENVASE X 50 UN</v>
      </c>
      <c r="D69" s="138"/>
      <c r="E69" s="138"/>
      <c r="F69" s="46" t="s">
        <v>334</v>
      </c>
      <c r="G69" s="46" t="str">
        <f>'Necesidades Trimestrales'!F67</f>
        <v>FRASCO</v>
      </c>
      <c r="H69" s="47">
        <f>'Necesidades Trimestrales'!H67</f>
        <v>752.40000000000009</v>
      </c>
      <c r="I69" s="48">
        <f>'Necesidades Trimestrales'!G67</f>
        <v>10</v>
      </c>
      <c r="J69" s="70"/>
    </row>
    <row r="70" spans="1:10" ht="30" customHeight="1" thickBot="1" x14ac:dyDescent="0.3">
      <c r="A70" s="44">
        <v>59</v>
      </c>
      <c r="B70" s="45" t="str">
        <f>'Necesidades Trimestrales'!B68</f>
        <v>2.5.1-9022.71</v>
      </c>
      <c r="C70" s="138" t="str">
        <f>'Necesidades Trimestrales'!E68</f>
        <v>ANTIBIOTICOS; COMPUESTO QUIMICO: TEICOPLANINA 30 µGr, ESTADO: DISCO, CALIDAD: PRO ANALISIS, PRESENTACION: ENVASE X 50 UN</v>
      </c>
      <c r="D70" s="138"/>
      <c r="E70" s="138"/>
      <c r="F70" s="46" t="s">
        <v>55</v>
      </c>
      <c r="G70" s="46" t="str">
        <f>'Necesidades Trimestrales'!F68</f>
        <v>FRASCO</v>
      </c>
      <c r="H70" s="47">
        <f>'Necesidades Trimestrales'!H68</f>
        <v>752.40000000000009</v>
      </c>
      <c r="I70" s="48">
        <f>'Necesidades Trimestrales'!G68</f>
        <v>10</v>
      </c>
      <c r="J70" s="70"/>
    </row>
    <row r="71" spans="1:10" ht="33.75" customHeight="1" thickBot="1" x14ac:dyDescent="0.3">
      <c r="A71" s="44">
        <v>60</v>
      </c>
      <c r="B71" s="45" t="str">
        <f>'Necesidades Trimestrales'!B69</f>
        <v>2.5.1-9022.60</v>
      </c>
      <c r="C71" s="138" t="str">
        <f>'Necesidades Trimestrales'!E69</f>
        <v>ANTIBIOTICOS; COMPUESTO QUIMICO: ERITROMICINA 15 µGr, ESTADO: DISCO, CALIDAD: PRO ANALISIS, PRESENTACION: ENVASE X 50 UN</v>
      </c>
      <c r="D71" s="138"/>
      <c r="E71" s="138"/>
      <c r="F71" s="46" t="s">
        <v>55</v>
      </c>
      <c r="G71" s="46" t="str">
        <f>'Necesidades Trimestrales'!F69</f>
        <v>FRASCO</v>
      </c>
      <c r="H71" s="47">
        <f>'Necesidades Trimestrales'!H69</f>
        <v>752.40000000000009</v>
      </c>
      <c r="I71" s="48">
        <f>'Necesidades Trimestrales'!G69</f>
        <v>10</v>
      </c>
      <c r="J71" s="70"/>
    </row>
    <row r="72" spans="1:10" ht="47.25" customHeight="1" thickBot="1" x14ac:dyDescent="0.3">
      <c r="A72" s="44">
        <v>61</v>
      </c>
      <c r="B72" s="45" t="str">
        <f>'Necesidades Trimestrales'!B70</f>
        <v>2.5.1-9022.64</v>
      </c>
      <c r="C72" s="138" t="str">
        <f>'Necesidades Trimestrales'!E70</f>
        <v>ANTIBIOTICOS; COMPUESTO QUIMICO: ESTREPTOMICINA 300 µGr, ESTADO: DISCO, CALIDAD: PRO ANALISIS, PRESENTACION: ENVASE X 50 UN</v>
      </c>
      <c r="D72" s="138"/>
      <c r="E72" s="138"/>
      <c r="F72" s="46" t="s">
        <v>55</v>
      </c>
      <c r="G72" s="46" t="str">
        <f>'Necesidades Trimestrales'!F70</f>
        <v>FRASCO</v>
      </c>
      <c r="H72" s="47">
        <f>'Necesidades Trimestrales'!H70</f>
        <v>752.40000000000009</v>
      </c>
      <c r="I72" s="48">
        <f>'Necesidades Trimestrales'!G70</f>
        <v>1</v>
      </c>
      <c r="J72" s="70"/>
    </row>
    <row r="73" spans="1:10" ht="33" customHeight="1" thickBot="1" x14ac:dyDescent="0.3">
      <c r="A73" s="44">
        <v>62</v>
      </c>
      <c r="B73" s="45" t="str">
        <f>'Necesidades Trimestrales'!B71</f>
        <v>2.5.1-9022.45</v>
      </c>
      <c r="C73" s="138" t="str">
        <f>'Necesidades Trimestrales'!E71</f>
        <v>ANTIBIOTICOS; COMPUESTO QUIMICO: GENTAMICINA 120 UGR, ESTADO: DISCO, CALIDAD: PRO ANALISIS, PRESENTACION: ENVASE X 50 UN</v>
      </c>
      <c r="D73" s="138"/>
      <c r="E73" s="138"/>
      <c r="F73" s="46" t="s">
        <v>55</v>
      </c>
      <c r="G73" s="46" t="str">
        <f>'Necesidades Trimestrales'!F71</f>
        <v>FRASCO</v>
      </c>
      <c r="H73" s="47">
        <f>'Necesidades Trimestrales'!H71</f>
        <v>752.40000000000009</v>
      </c>
      <c r="I73" s="48">
        <f>'Necesidades Trimestrales'!G71</f>
        <v>1</v>
      </c>
      <c r="J73" s="70"/>
    </row>
    <row r="74" spans="1:10" ht="38.25" customHeight="1" thickBot="1" x14ac:dyDescent="0.3">
      <c r="A74" s="44">
        <v>63</v>
      </c>
      <c r="B74" s="45" t="str">
        <f>'Necesidades Trimestrales'!B72</f>
        <v>2.5.1-9022.67</v>
      </c>
      <c r="C74" s="138" t="str">
        <f>'Necesidades Trimestrales'!E72</f>
        <v>ANTIBIOTICOS; COMPUESTO QUIMICO: PENICILINA 10 µGr, ESTADO: DISCO, CALIDAD: PRO ANALISIS, PRESENTACION: ENVASE X 50 UN</v>
      </c>
      <c r="D74" s="138"/>
      <c r="E74" s="138"/>
      <c r="F74" s="46" t="s">
        <v>55</v>
      </c>
      <c r="G74" s="46" t="str">
        <f>'Necesidades Trimestrales'!F72</f>
        <v>FRASCO</v>
      </c>
      <c r="H74" s="47">
        <f>'Necesidades Trimestrales'!H72</f>
        <v>752.40000000000009</v>
      </c>
      <c r="I74" s="48">
        <f>'Necesidades Trimestrales'!G72</f>
        <v>10</v>
      </c>
      <c r="J74" s="70"/>
    </row>
    <row r="75" spans="1:10" ht="34.5" customHeight="1" thickBot="1" x14ac:dyDescent="0.3">
      <c r="A75" s="44">
        <v>64</v>
      </c>
      <c r="B75" s="45" t="str">
        <f>'Necesidades Trimestrales'!B73</f>
        <v>2.5.1-9022.79</v>
      </c>
      <c r="C75" s="138" t="str">
        <f>'Necesidades Trimestrales'!E73</f>
        <v>ANTIBIOTICOS; COMPUESTO QUIMICO: AZITROMICINA 15 µGr, ESTADO: DISCO, CALIDAD: PRO ANALISIS, PRESENTACION: ENVASE X 50 UN</v>
      </c>
      <c r="D75" s="138"/>
      <c r="E75" s="138"/>
      <c r="F75" s="46" t="s">
        <v>55</v>
      </c>
      <c r="G75" s="46" t="str">
        <f>'Necesidades Trimestrales'!F73</f>
        <v>FRASCO</v>
      </c>
      <c r="H75" s="47">
        <f>'Necesidades Trimestrales'!H73</f>
        <v>752.40000000000009</v>
      </c>
      <c r="I75" s="48">
        <f>'Necesidades Trimestrales'!G73</f>
        <v>2</v>
      </c>
      <c r="J75" s="70"/>
    </row>
    <row r="76" spans="1:10" ht="33" customHeight="1" thickBot="1" x14ac:dyDescent="0.3">
      <c r="A76" s="44">
        <v>65</v>
      </c>
      <c r="B76" s="45" t="str">
        <f>'Necesidades Trimestrales'!B74</f>
        <v>2.5.1-9022.43</v>
      </c>
      <c r="C76" s="138" t="str">
        <f>'Necesidades Trimestrales'!E74</f>
        <v>ANTIBIOTICOS; COMPUESTO QUIMICO: FOSFOMICINA TROMETAMOL 200 UGR, ESTADO: DISCO, CALIDAD: PRO ANALISIS, PRESENTACION: ENVASE X 50 UN</v>
      </c>
      <c r="D76" s="138"/>
      <c r="E76" s="138"/>
      <c r="F76" s="46" t="s">
        <v>55</v>
      </c>
      <c r="G76" s="46" t="str">
        <f>'Necesidades Trimestrales'!F74</f>
        <v>FRASCO</v>
      </c>
      <c r="H76" s="47">
        <f>'Necesidades Trimestrales'!H74</f>
        <v>752.40000000000009</v>
      </c>
      <c r="I76" s="48">
        <f>'Necesidades Trimestrales'!G74</f>
        <v>2</v>
      </c>
      <c r="J76" s="70"/>
    </row>
    <row r="77" spans="1:10" ht="32.25" customHeight="1" thickBot="1" x14ac:dyDescent="0.3">
      <c r="A77" s="44">
        <v>66</v>
      </c>
      <c r="B77" s="45" t="str">
        <f>'Necesidades Trimestrales'!B75</f>
        <v>2.5.1-9022.72</v>
      </c>
      <c r="C77" s="138" t="str">
        <f>'Necesidades Trimestrales'!E75</f>
        <v>ANTIBIOTICOS; COMPUESTO QUIMICO: TETRACICLINA 30 µGr, ESTADO: DISCO, CALIDAD: PRO ANALISIS, PRESENTACION: ENVASE X 50 UN</v>
      </c>
      <c r="D77" s="138"/>
      <c r="E77" s="138"/>
      <c r="F77" s="46" t="s">
        <v>55</v>
      </c>
      <c r="G77" s="46" t="str">
        <f>'Necesidades Trimestrales'!F75</f>
        <v>FRASCO</v>
      </c>
      <c r="H77" s="47">
        <f>'Necesidades Trimestrales'!H75</f>
        <v>752.40000000000009</v>
      </c>
      <c r="I77" s="48">
        <f>'Necesidades Trimestrales'!G75</f>
        <v>2</v>
      </c>
      <c r="J77" s="70"/>
    </row>
    <row r="78" spans="1:10" ht="33" customHeight="1" thickBot="1" x14ac:dyDescent="0.3">
      <c r="A78" s="44">
        <v>67</v>
      </c>
      <c r="B78" s="45" t="str">
        <f>'Necesidades Trimestrales'!B76</f>
        <v>2.5.1-9022.74</v>
      </c>
      <c r="C78" s="138" t="str">
        <f>'Necesidades Trimestrales'!E76</f>
        <v>ANTIBIOTICOS; COMPUESTO QUIMICO: VANCOMICINA 30 µGr, ESTADO: DISCO, CALIDAD: PRO ANALISIS, PRESENTACION: ENVASE X 50 UN</v>
      </c>
      <c r="D78" s="138"/>
      <c r="E78" s="138"/>
      <c r="F78" s="46" t="s">
        <v>55</v>
      </c>
      <c r="G78" s="46" t="str">
        <f>'Necesidades Trimestrales'!F76</f>
        <v>FRASCO</v>
      </c>
      <c r="H78" s="47">
        <f>'Necesidades Trimestrales'!H76</f>
        <v>752.40000000000009</v>
      </c>
      <c r="I78" s="48">
        <f>'Necesidades Trimestrales'!G76</f>
        <v>2</v>
      </c>
      <c r="J78" s="70"/>
    </row>
    <row r="79" spans="1:10" ht="36" customHeight="1" thickBot="1" x14ac:dyDescent="0.3">
      <c r="A79" s="44">
        <v>68</v>
      </c>
      <c r="B79" s="45" t="str">
        <f>'Necesidades Trimestrales'!B77</f>
        <v>2.5.1-9022.113</v>
      </c>
      <c r="C79" s="138" t="str">
        <f>'Necesidades Trimestrales'!E77</f>
        <v>ANTIBIOTICOS; COMPUESTO QUIMICO: LEVOFLOXACINA 5 µGr, ESTADO: DISCO, CALIDAD: PRO ANALISIS, PRESENTACION: ENVASE X 50 UN</v>
      </c>
      <c r="D79" s="138"/>
      <c r="E79" s="138"/>
      <c r="F79" s="46" t="s">
        <v>55</v>
      </c>
      <c r="G79" s="46" t="str">
        <f>'Necesidades Trimestrales'!F77</f>
        <v>FRASCO</v>
      </c>
      <c r="H79" s="47">
        <f>'Necesidades Trimestrales'!H77</f>
        <v>752.40000000000009</v>
      </c>
      <c r="I79" s="48">
        <f>'Necesidades Trimestrales'!G77</f>
        <v>2</v>
      </c>
      <c r="J79" s="70"/>
    </row>
    <row r="80" spans="1:10" ht="36" customHeight="1" thickBot="1" x14ac:dyDescent="0.3">
      <c r="A80" s="44">
        <v>69</v>
      </c>
      <c r="B80" s="45" t="str">
        <f>'Necesidades Trimestrales'!B78</f>
        <v>2.5.1-9052.40</v>
      </c>
      <c r="C80" s="138" t="str">
        <f>'Necesidades Trimestrales'!E78</f>
        <v>REACTIVOS P/LAB. TEC. MANUAL ; NOMBRE: LINEZOLID 30 UG, USO: ANTIBIOGRAMA, PRESENTACION: ENVASE X 50 DISCO</v>
      </c>
      <c r="D80" s="138"/>
      <c r="E80" s="138"/>
      <c r="F80" s="46" t="s">
        <v>55</v>
      </c>
      <c r="G80" s="46" t="str">
        <f>'Necesidades Trimestrales'!F78</f>
        <v>FRASCO</v>
      </c>
      <c r="H80" s="47">
        <f>'Necesidades Trimestrales'!H78</f>
        <v>752.40000000000009</v>
      </c>
      <c r="I80" s="48">
        <f>'Necesidades Trimestrales'!G78</f>
        <v>1</v>
      </c>
      <c r="J80" s="70"/>
    </row>
    <row r="81" spans="1:10" ht="34.5" customHeight="1" thickBot="1" x14ac:dyDescent="0.3">
      <c r="A81" s="44">
        <v>70</v>
      </c>
      <c r="B81" s="45" t="str">
        <f>'Necesidades Trimestrales'!B79</f>
        <v>2.5.1.9052.41</v>
      </c>
      <c r="C81" s="138" t="str">
        <f>'Necesidades Trimestrales'!E79</f>
        <v>REACTIVOS P/LAB. TEC. MANUAL ; NOMBRE: TIGECICLINA 15 UG, USO: ANTIBIOGRAMA, PRESENTACION: ENVASE X 50 DISCO</v>
      </c>
      <c r="D81" s="138"/>
      <c r="E81" s="138"/>
      <c r="F81" s="46" t="s">
        <v>55</v>
      </c>
      <c r="G81" s="46" t="str">
        <f>'Necesidades Trimestrales'!F79</f>
        <v>FRASCO</v>
      </c>
      <c r="H81" s="47">
        <f>'Necesidades Trimestrales'!H79</f>
        <v>752.40000000000009</v>
      </c>
      <c r="I81" s="48">
        <f>'Necesidades Trimestrales'!G79</f>
        <v>1</v>
      </c>
      <c r="J81" s="70"/>
    </row>
    <row r="82" spans="1:10" ht="36.75" customHeight="1" thickBot="1" x14ac:dyDescent="0.3">
      <c r="A82" s="44">
        <v>71</v>
      </c>
      <c r="B82" s="45" t="str">
        <f>'Necesidades Trimestrales'!B80</f>
        <v>2.5.1-9016.621</v>
      </c>
      <c r="C82" s="138" t="str">
        <f>'Necesidades Trimestrales'!E80</f>
        <v>MEDIOS DE CULTIVO Y SUPLEMENTO; NOMBRE DEL PRODUCTO: PYR-A-ENTEROCOCOS C/REVELADOR, ESTADO: DISCO, PRESENTACION: ENVASE X 25 UN</v>
      </c>
      <c r="D82" s="138"/>
      <c r="E82" s="138"/>
      <c r="F82" s="46" t="s">
        <v>55</v>
      </c>
      <c r="G82" s="46" t="str">
        <f>'Necesidades Trimestrales'!F80</f>
        <v>CAJA</v>
      </c>
      <c r="H82" s="47">
        <f>'Necesidades Trimestrales'!H80</f>
        <v>1256.1999999999998</v>
      </c>
      <c r="I82" s="48">
        <f>'Necesidades Trimestrales'!G80</f>
        <v>1</v>
      </c>
      <c r="J82" s="70"/>
    </row>
    <row r="83" spans="1:10" ht="36.75" customHeight="1" thickBot="1" x14ac:dyDescent="0.3">
      <c r="A83" s="44">
        <v>72</v>
      </c>
      <c r="B83" s="45" t="str">
        <f>'Necesidades Trimestrales'!B81</f>
        <v>2.5.1-9016.619</v>
      </c>
      <c r="C83" s="138" t="str">
        <f>'Necesidades Trimestrales'!E81</f>
        <v>MEDIOS DE CULTIVO Y SUPLEMENTO; NOMBRE DEL PRODUCTO: LEUCINA AMINOPEPTIDASA, ESTADO: COMPRIMIDO, PRESENTACION: ENVASE X 25 UN</v>
      </c>
      <c r="D83" s="138"/>
      <c r="E83" s="138"/>
      <c r="F83" s="46" t="s">
        <v>55</v>
      </c>
      <c r="G83" s="46" t="str">
        <f>'Necesidades Trimestrales'!F81</f>
        <v>CAJA</v>
      </c>
      <c r="H83" s="47">
        <f>'Necesidades Trimestrales'!H81</f>
        <v>1376.1000000000001</v>
      </c>
      <c r="I83" s="48">
        <f>'Necesidades Trimestrales'!G81</f>
        <v>1</v>
      </c>
      <c r="J83" s="70"/>
    </row>
    <row r="84" spans="1:10" ht="37.5" customHeight="1" thickBot="1" x14ac:dyDescent="0.3">
      <c r="A84" s="44">
        <v>73</v>
      </c>
      <c r="B84" s="45" t="str">
        <f>'Necesidades Trimestrales'!B82</f>
        <v>2.5.1-9016.704</v>
      </c>
      <c r="C84" s="138" t="str">
        <f>'Necesidades Trimestrales'!E82</f>
        <v>MEDIOS DE CULTIVO Y SUPLEMENTO; NOMBRE DEL PRODUCTO: CIM VANCOMICINA, ESTADO: TIRA, PRESENTACION: ENVASE X 10 UN</v>
      </c>
      <c r="D84" s="138"/>
      <c r="E84" s="138"/>
      <c r="F84" s="46" t="s">
        <v>55</v>
      </c>
      <c r="G84" s="46" t="str">
        <f>'Necesidades Trimestrales'!F82</f>
        <v>CAJA</v>
      </c>
      <c r="H84" s="47">
        <f>'Necesidades Trimestrales'!H82</f>
        <v>10830.966666666665</v>
      </c>
      <c r="I84" s="48">
        <f>'Necesidades Trimestrales'!G82</f>
        <v>3</v>
      </c>
      <c r="J84" s="70"/>
    </row>
    <row r="85" spans="1:10" ht="38.25" customHeight="1" thickBot="1" x14ac:dyDescent="0.3">
      <c r="A85" s="44">
        <v>74</v>
      </c>
      <c r="B85" s="45" t="str">
        <f>'Necesidades Trimestrales'!B83</f>
        <v>2.5.1-9016.429</v>
      </c>
      <c r="C85" s="138" t="str">
        <f>'Necesidades Trimestrales'!E83</f>
        <v>MEDIOS DE CULTIVO Y SUPLEMENTO; NOMBRE DEL PRODUCTO: CROMAGAR ESTREPTO B, ESTADO: SOLIDO EN PLACA, PRESENTACION: ENVASE X 20 UN</v>
      </c>
      <c r="D85" s="138"/>
      <c r="E85" s="138"/>
      <c r="F85" s="46" t="s">
        <v>55</v>
      </c>
      <c r="G85" s="46" t="str">
        <f>'Necesidades Trimestrales'!F83</f>
        <v>CAJA</v>
      </c>
      <c r="H85" s="47">
        <f>'Necesidades Trimestrales'!H83</f>
        <v>41244.5</v>
      </c>
      <c r="I85" s="48">
        <f>'Necesidades Trimestrales'!G83</f>
        <v>10</v>
      </c>
      <c r="J85" s="70"/>
    </row>
    <row r="86" spans="1:10" ht="31.5" customHeight="1" thickBot="1" x14ac:dyDescent="0.3">
      <c r="A86" s="44">
        <v>75</v>
      </c>
      <c r="B86" s="45" t="str">
        <f>'Necesidades Trimestrales'!B84</f>
        <v>2.5.1-8988.1624</v>
      </c>
      <c r="C86" s="138" t="str">
        <f>'Necesidades Trimestrales'!E84</f>
        <v>REACTIVOS P/EQUIPO; EQUIPO: SISTEMA AUTOMATIZADO HEMOCULTI, MARCA EQUIPO: BACT ALERT, NOMBRE DEL PRODUCTO: HEMOCULTIVO PEDIATRICO, PRESENTACION: ENVASE X 100 UN</v>
      </c>
      <c r="D86" s="138"/>
      <c r="E86" s="138"/>
      <c r="F86" s="46" t="s">
        <v>55</v>
      </c>
      <c r="G86" s="46" t="str">
        <f>'Necesidades Trimestrales'!F84</f>
        <v>FRASCO</v>
      </c>
      <c r="H86" s="47">
        <f>'Necesidades Trimestrales'!H84</f>
        <v>1009.8</v>
      </c>
      <c r="I86" s="48">
        <f>'Necesidades Trimestrales'!G84</f>
        <v>100</v>
      </c>
      <c r="J86" s="70"/>
    </row>
    <row r="87" spans="1:10" ht="36" customHeight="1" thickBot="1" x14ac:dyDescent="0.3">
      <c r="A87" s="44">
        <v>76</v>
      </c>
      <c r="B87" s="45" t="str">
        <f>'Necesidades Trimestrales'!B85</f>
        <v>2.5.1-8988.1623</v>
      </c>
      <c r="C87" s="138" t="str">
        <f>'Necesidades Trimestrales'!E85</f>
        <v>REACTIVOS P/EQUIPO; EQUIPO: SISTEMA AUTOMATIZADO HEMOCULTI, MARCA EQUIPO: BACT ALERT, NOMBRE DEL PRODUCTO: HEMOCULTIVO ADULTO, PRESENTACION: ENVASE X 100 UN</v>
      </c>
      <c r="D87" s="138"/>
      <c r="E87" s="138"/>
      <c r="F87" s="46" t="s">
        <v>55</v>
      </c>
      <c r="G87" s="46" t="str">
        <f>'Necesidades Trimestrales'!F85</f>
        <v>FRASCO</v>
      </c>
      <c r="H87" s="47">
        <f>'Necesidades Trimestrales'!H85</f>
        <v>1009.8</v>
      </c>
      <c r="I87" s="48">
        <f>'Necesidades Trimestrales'!G85</f>
        <v>100</v>
      </c>
      <c r="J87" s="70"/>
    </row>
    <row r="88" spans="1:10" ht="36" customHeight="1" thickBot="1" x14ac:dyDescent="0.3">
      <c r="A88" s="44">
        <v>77</v>
      </c>
      <c r="B88" s="45" t="str">
        <f>'Necesidades Trimestrales'!B86</f>
        <v>2.5.6-6035.7</v>
      </c>
      <c r="C88" s="138" t="str">
        <f>'Necesidades Trimestrales'!E86</f>
        <v>ACEITE P/TURBINA; PRESENTACION: ENVASE X 250 CM3</v>
      </c>
      <c r="D88" s="138"/>
      <c r="E88" s="138"/>
      <c r="F88" s="49" t="s">
        <v>55</v>
      </c>
      <c r="G88" s="46" t="str">
        <f>'Necesidades Trimestrales'!F86</f>
        <v>UNIDAD</v>
      </c>
      <c r="H88" s="47">
        <f>'Necesidades Trimestrales'!H86</f>
        <v>603.75</v>
      </c>
      <c r="I88" s="48">
        <f>'Necesidades Trimestrales'!G86</f>
        <v>2</v>
      </c>
      <c r="J88" s="70"/>
    </row>
    <row r="89" spans="1:10" ht="38.25" customHeight="1" thickBot="1" x14ac:dyDescent="0.3">
      <c r="A89" s="44">
        <v>78</v>
      </c>
      <c r="B89" s="45" t="str">
        <f>'Necesidades Trimestrales'!B87</f>
        <v>2.5.1-8988.1912</v>
      </c>
      <c r="C89" s="138" t="str">
        <f>'Necesidades Trimestrales'!E87</f>
        <v xml:space="preserve">REACTIVOS P/EQUIPO; EQUIPO: SEMIAUTOMATIZADO, MARCA EQUIPO: A DEFINIR, NOMBRE DEL PRODUCTO: PANEL GLOBULAR DETECTOR, PRESENTACION: ENVASE X 3 UN </v>
      </c>
      <c r="D89" s="138"/>
      <c r="E89" s="138"/>
      <c r="F89" s="49" t="s">
        <v>55</v>
      </c>
      <c r="G89" s="46" t="str">
        <f>'Necesidades Trimestrales'!F87</f>
        <v>CAJA</v>
      </c>
      <c r="H89" s="47">
        <f>'Necesidades Trimestrales'!H87</f>
        <v>4935</v>
      </c>
      <c r="I89" s="48">
        <f>'Necesidades Trimestrales'!G87</f>
        <v>3</v>
      </c>
      <c r="J89" s="70"/>
    </row>
    <row r="90" spans="1:10" ht="42.75" customHeight="1" thickBot="1" x14ac:dyDescent="0.3">
      <c r="A90" s="44">
        <v>79</v>
      </c>
      <c r="B90" s="45" t="str">
        <f>'Necesidades Trimestrales'!B88</f>
        <v>2.5.1-8988.1910</v>
      </c>
      <c r="C90" s="138" t="str">
        <f>'Necesidades Trimestrales'!E88</f>
        <v xml:space="preserve">REACTIVOS P/EQUIPO; EQUIPO: SEMIAUTOMATIZADO, MARCA EQUIPO: A DEFINIR, NOMBRE DEL PRODUCTO: PANEL GLOBULAR IDENTIFICACION, PRESENTACION: ENVASE X 12 UN </v>
      </c>
      <c r="D90" s="138"/>
      <c r="E90" s="138"/>
      <c r="F90" s="49" t="s">
        <v>55</v>
      </c>
      <c r="G90" s="46" t="str">
        <f>'Necesidades Trimestrales'!F88</f>
        <v>CAJA</v>
      </c>
      <c r="H90" s="47">
        <f>'Necesidades Trimestrales'!H88</f>
        <v>14883.75</v>
      </c>
      <c r="I90" s="48">
        <f>'Necesidades Trimestrales'!G88</f>
        <v>1</v>
      </c>
      <c r="J90" s="70"/>
    </row>
    <row r="91" spans="1:10" ht="36" customHeight="1" thickBot="1" x14ac:dyDescent="0.3">
      <c r="A91" s="44">
        <v>80</v>
      </c>
      <c r="B91" s="45" t="str">
        <f>'Necesidades Trimestrales'!B89</f>
        <v>2.5.1-8988.1905</v>
      </c>
      <c r="C91" s="138" t="str">
        <f>'Necesidades Trimestrales'!E89</f>
        <v xml:space="preserve">REACTIVOS P/EQUIPO; EQUIPO: SEMIAUTOMATIZADO, MARCA EQUIPO: A DEFINIR, NOMBRE DEL PRODUCTO: TARJETA NEONATALES, PRESENTACION: ENVASE X 48 UN </v>
      </c>
      <c r="D91" s="138"/>
      <c r="E91" s="138"/>
      <c r="F91" s="50" t="s">
        <v>55</v>
      </c>
      <c r="G91" s="46" t="str">
        <f>'Necesidades Trimestrales'!F89</f>
        <v>CAJA</v>
      </c>
      <c r="H91" s="47">
        <f>'Necesidades Trimestrales'!H89</f>
        <v>15015</v>
      </c>
      <c r="I91" s="48">
        <f>'Necesidades Trimestrales'!G89</f>
        <v>2</v>
      </c>
      <c r="J91" s="70"/>
    </row>
    <row r="92" spans="1:10" ht="37.5" customHeight="1" thickBot="1" x14ac:dyDescent="0.3">
      <c r="A92" s="44">
        <v>81</v>
      </c>
      <c r="B92" s="45" t="str">
        <f>'Necesidades Trimestrales'!B90</f>
        <v>2.5.1-8988.1904</v>
      </c>
      <c r="C92" s="138" t="str">
        <f>'Necesidades Trimestrales'!E90</f>
        <v xml:space="preserve">REACTIVOS P/EQUIPO; EQUIPO: SEMIAUTOMATIZADO, MARCA EQUIPO: A DEFINIR, NOMBRE DEL PRODUCTO: TARJETA LISS COOMBS, PRESENTACION: ENVASE X 48 UN </v>
      </c>
      <c r="D92" s="138"/>
      <c r="E92" s="138"/>
      <c r="F92" s="49" t="s">
        <v>55</v>
      </c>
      <c r="G92" s="46" t="str">
        <f>'Necesidades Trimestrales'!F90</f>
        <v>CAJA</v>
      </c>
      <c r="H92" s="47">
        <f>'Necesidades Trimestrales'!H90</f>
        <v>15015</v>
      </c>
      <c r="I92" s="48">
        <f>'Necesidades Trimestrales'!G90</f>
        <v>5</v>
      </c>
      <c r="J92" s="70"/>
    </row>
    <row r="93" spans="1:10" ht="50.25" customHeight="1" thickBot="1" x14ac:dyDescent="0.3">
      <c r="A93" s="44">
        <v>82</v>
      </c>
      <c r="B93" s="45" t="str">
        <f>'Necesidades Trimestrales'!B91</f>
        <v>2.5.1-9052.247</v>
      </c>
      <c r="C93" s="138" t="str">
        <f>'Necesidades Trimestrales'!E91</f>
        <v>REACTIVOS P/LAB. TEC. MANUAL ; NOMBRE: SUERO HEMOTIPIFICADOR ANTI-AB, USO: HEMOTERAPIA, PRESENTACION: ENVASE X 10 Ml</v>
      </c>
      <c r="D93" s="138"/>
      <c r="E93" s="138"/>
      <c r="F93" s="49" t="s">
        <v>55</v>
      </c>
      <c r="G93" s="46" t="str">
        <f>'Necesidades Trimestrales'!F91</f>
        <v>UNIDAD</v>
      </c>
      <c r="H93" s="47">
        <f>'Necesidades Trimestrales'!H91</f>
        <v>677.25</v>
      </c>
      <c r="I93" s="48">
        <f>'Necesidades Trimestrales'!G91</f>
        <v>5</v>
      </c>
      <c r="J93" s="70"/>
    </row>
    <row r="94" spans="1:10" ht="40.5" customHeight="1" thickBot="1" x14ac:dyDescent="0.3">
      <c r="A94" s="44">
        <v>83</v>
      </c>
      <c r="B94" s="45" t="str">
        <f>'Necesidades Trimestrales'!B92</f>
        <v>2.5.1-9052.249</v>
      </c>
      <c r="C94" s="138" t="str">
        <f>'Necesidades Trimestrales'!E92</f>
        <v>REACTIVOS P/LAB. TEC. MANUAL ; NOMBRE: SUERO HEMOTIPIFICADOR ANTI-C, USO: HEMOTERAPIA, PRESENTACION: ENVASE X 5 mL</v>
      </c>
      <c r="D94" s="138"/>
      <c r="E94" s="138"/>
      <c r="F94" s="49" t="s">
        <v>55</v>
      </c>
      <c r="G94" s="46" t="str">
        <f>'Necesidades Trimestrales'!F92</f>
        <v>UNIDAD</v>
      </c>
      <c r="H94" s="47">
        <f>'Necesidades Trimestrales'!H92</f>
        <v>12390</v>
      </c>
      <c r="I94" s="48">
        <f>'Necesidades Trimestrales'!G92</f>
        <v>1</v>
      </c>
      <c r="J94" s="70"/>
    </row>
    <row r="95" spans="1:10" ht="30.75" customHeight="1" thickBot="1" x14ac:dyDescent="0.3">
      <c r="A95" s="44">
        <v>84</v>
      </c>
      <c r="B95" s="45" t="str">
        <f>'Necesidades Trimestrales'!B93</f>
        <v>2.5.1-9052.250</v>
      </c>
      <c r="C95" s="138" t="str">
        <f>'Necesidades Trimestrales'!E93</f>
        <v xml:space="preserve">REACTIVOS P/LAB. TEC. MANUAL ; NOMBRE: SUERO HEMOT. ANTI-C (MIN.), USO: HEMOTERAPIA, PRESENTACION: ENVASE X 5 mL </v>
      </c>
      <c r="D95" s="138"/>
      <c r="E95" s="138"/>
      <c r="F95" s="49" t="s">
        <v>55</v>
      </c>
      <c r="G95" s="46" t="str">
        <f>'Necesidades Trimestrales'!F93</f>
        <v>UNIDAD</v>
      </c>
      <c r="H95" s="47">
        <f>'Necesidades Trimestrales'!H93</f>
        <v>9345</v>
      </c>
      <c r="I95" s="48">
        <f>'Necesidades Trimestrales'!G93</f>
        <v>1</v>
      </c>
      <c r="J95" s="70"/>
    </row>
    <row r="96" spans="1:10" ht="36.75" customHeight="1" thickBot="1" x14ac:dyDescent="0.3">
      <c r="A96" s="44">
        <v>85</v>
      </c>
      <c r="B96" s="45" t="str">
        <f>'Necesidades Trimestrales'!B94</f>
        <v>2.5.1-9052.251</v>
      </c>
      <c r="C96" s="138" t="str">
        <f>'Necesidades Trimestrales'!E94</f>
        <v xml:space="preserve">REACTIVOS P/LAB. TEC. MANUAL ; NOMBRE: SUERO HEMOTIPIFICADOR ANTI-E, USO: HEMOTERAPIA, PRESENTACION: ENVASE X 5 mL </v>
      </c>
      <c r="D96" s="138"/>
      <c r="E96" s="138"/>
      <c r="F96" s="49" t="s">
        <v>55</v>
      </c>
      <c r="G96" s="46" t="str">
        <f>'Necesidades Trimestrales'!F94</f>
        <v>UNIDAD</v>
      </c>
      <c r="H96" s="47">
        <f>'Necesidades Trimestrales'!H94</f>
        <v>12285</v>
      </c>
      <c r="I96" s="48">
        <f>'Necesidades Trimestrales'!G94</f>
        <v>1</v>
      </c>
      <c r="J96" s="70"/>
    </row>
    <row r="97" spans="1:10" ht="27.75" customHeight="1" thickBot="1" x14ac:dyDescent="0.3">
      <c r="A97" s="44">
        <v>86</v>
      </c>
      <c r="B97" s="45" t="str">
        <f>'Necesidades Trimestrales'!B95</f>
        <v>2.5.1-9052.252</v>
      </c>
      <c r="C97" s="138" t="str">
        <f>'Necesidades Trimestrales'!E95</f>
        <v xml:space="preserve">REACTIVOS P/LAB. TEC. MANUAL ; NOMBRE: SUERO HEMOT. ANTI-E (MIN.), USO: HEMOTERAPIA, PRESENTACION: ENVASE X 5 mL </v>
      </c>
      <c r="D97" s="138"/>
      <c r="E97" s="138"/>
      <c r="F97" s="49" t="s">
        <v>55</v>
      </c>
      <c r="G97" s="46" t="str">
        <f>'Necesidades Trimestrales'!F95</f>
        <v>UNIDAD</v>
      </c>
      <c r="H97" s="47">
        <f>'Necesidades Trimestrales'!H95</f>
        <v>11340</v>
      </c>
      <c r="I97" s="48">
        <f>'Necesidades Trimestrales'!G95</f>
        <v>1</v>
      </c>
      <c r="J97" s="70"/>
    </row>
    <row r="98" spans="1:10" ht="40.5" customHeight="1" thickBot="1" x14ac:dyDescent="0.3">
      <c r="A98" s="44">
        <v>87</v>
      </c>
      <c r="B98" s="45" t="str">
        <f>'Necesidades Trimestrales'!B96</f>
        <v>2.5.1-9052.263</v>
      </c>
      <c r="C98" s="138" t="str">
        <f>'Necesidades Trimestrales'!E96</f>
        <v>REACTIVOS P/LAB. TEC. MANUAL ; NOMBRE: SUERO HEMOTIPIFICADOR ANTI-CDE, USO: HEMOTERAPIA, PRESENTACION: ENVASE X 5 mL</v>
      </c>
      <c r="D98" s="138"/>
      <c r="E98" s="138"/>
      <c r="F98" s="49" t="s">
        <v>55</v>
      </c>
      <c r="G98" s="46" t="str">
        <f>'Necesidades Trimestrales'!F96</f>
        <v>UNIDAD</v>
      </c>
      <c r="H98" s="47">
        <f>'Necesidades Trimestrales'!H96</f>
        <v>29610</v>
      </c>
      <c r="I98" s="48">
        <f>'Necesidades Trimestrales'!G96</f>
        <v>1</v>
      </c>
      <c r="J98" s="70"/>
    </row>
    <row r="99" spans="1:10" ht="33" customHeight="1" thickBot="1" x14ac:dyDescent="0.3">
      <c r="A99" s="44">
        <v>88</v>
      </c>
      <c r="B99" s="45" t="str">
        <f>'Necesidades Trimestrales'!B97</f>
        <v>2.5.1-9017.136</v>
      </c>
      <c r="C99" s="138" t="str">
        <f>'Necesidades Trimestrales'!E97</f>
        <v xml:space="preserve">ANTICUERPOS P/LABORATORIO; NOMBRE: ANTI-B, ESTADO: SOLUCION, MARCADO CON: SIN MARCAR, ORIGEN: HUMANO, PRESENTACION: ENVASE X 10 mL, TIPO: MONOCLONAL </v>
      </c>
      <c r="D99" s="138"/>
      <c r="E99" s="138"/>
      <c r="F99" s="49" t="s">
        <v>55</v>
      </c>
      <c r="G99" s="46" t="str">
        <f>'Necesidades Trimestrales'!F97</f>
        <v>UNIDAD</v>
      </c>
      <c r="H99" s="47">
        <f>'Necesidades Trimestrales'!H97</f>
        <v>667.8</v>
      </c>
      <c r="I99" s="48">
        <f>'Necesidades Trimestrales'!G97</f>
        <v>8</v>
      </c>
      <c r="J99" s="70"/>
    </row>
    <row r="100" spans="1:10" ht="48.75" customHeight="1" thickBot="1" x14ac:dyDescent="0.3">
      <c r="A100" s="44">
        <v>89</v>
      </c>
      <c r="B100" s="45" t="str">
        <f>'Necesidades Trimestrales'!B98</f>
        <v>2.5.1-9017.138</v>
      </c>
      <c r="C100" s="138" t="str">
        <f>'Necesidades Trimestrales'!E98</f>
        <v xml:space="preserve">ANTICUERPOS P/LABORATORIO; NOMBRE: ANTI-A, ESTADO: SOLUCION, MARCADO CON: SIN MARCAR, ORIGEN: HUMANO, PRESENTACION: ENVASE X 10 GR, TIPO: MONOCLONAL </v>
      </c>
      <c r="D100" s="138"/>
      <c r="E100" s="138"/>
      <c r="F100" s="49" t="s">
        <v>55</v>
      </c>
      <c r="G100" s="46" t="str">
        <f>'Necesidades Trimestrales'!F98</f>
        <v>UNIDAD</v>
      </c>
      <c r="H100" s="47">
        <f>'Necesidades Trimestrales'!H98</f>
        <v>667.8</v>
      </c>
      <c r="I100" s="48">
        <f>'Necesidades Trimestrales'!G98</f>
        <v>8</v>
      </c>
      <c r="J100" s="70"/>
    </row>
    <row r="101" spans="1:10" ht="36.75" customHeight="1" thickBot="1" x14ac:dyDescent="0.3">
      <c r="A101" s="44">
        <v>90</v>
      </c>
      <c r="B101" s="45" t="str">
        <f>'Necesidades Trimestrales'!B99</f>
        <v>2.5.1-8988.1007</v>
      </c>
      <c r="C101" s="138" t="str">
        <f>'Necesidades Trimestrales'!E99</f>
        <v>REACTIVOS P/EQUIPO; EQUIPO: ANALIZADOR DE GASES EN SANGRE, MARCA EQUIPO: RADIOMETER, NOMBRE DEL PRODUCTO: SOLUCION DE LAVADO, PRESENTACION: ENVASE X 600 mL</v>
      </c>
      <c r="D101" s="138"/>
      <c r="E101" s="138"/>
      <c r="F101" s="60" t="s">
        <v>55</v>
      </c>
      <c r="G101" s="46" t="str">
        <f>'Necesidades Trimestrales'!F99</f>
        <v>UNIDAD</v>
      </c>
      <c r="H101" s="47">
        <f>'Necesidades Trimestrales'!H99</f>
        <v>22961</v>
      </c>
      <c r="I101" s="48">
        <f>'Necesidades Trimestrales'!G99</f>
        <v>20</v>
      </c>
      <c r="J101" s="70"/>
    </row>
    <row r="102" spans="1:10" ht="35.25" customHeight="1" thickBot="1" x14ac:dyDescent="0.3">
      <c r="A102" s="44">
        <v>91</v>
      </c>
      <c r="B102" s="45" t="str">
        <f>'Necesidades Trimestrales'!B100</f>
        <v>2.5.1-8988.1103</v>
      </c>
      <c r="C102" s="138" t="str">
        <f>'Necesidades Trimestrales'!E100</f>
        <v>REACTIVOS P/EQUIPO; EQUIPO: ELECTROQUIMIOLUMINISCENCIA, MARCA EQUIPO: ELECSYS ROCHE, NOMBRE DEL PRODUCTO: ANTI TOXOPLASMA IG G, PRESENTACION: ENVASE X 100 DETERM.</v>
      </c>
      <c r="D102" s="138"/>
      <c r="E102" s="138"/>
      <c r="F102" s="60" t="s">
        <v>55</v>
      </c>
      <c r="G102" s="46" t="str">
        <f>'Necesidades Trimestrales'!F100</f>
        <v>UNIDAD</v>
      </c>
      <c r="H102" s="47">
        <f>'Necesidades Trimestrales'!H100</f>
        <v>32422</v>
      </c>
      <c r="I102" s="48">
        <f>'Necesidades Trimestrales'!G100</f>
        <v>8</v>
      </c>
      <c r="J102" s="70"/>
    </row>
    <row r="103" spans="1:10" ht="31.5" customHeight="1" thickBot="1" x14ac:dyDescent="0.3">
      <c r="A103" s="44">
        <v>92</v>
      </c>
      <c r="B103" s="45" t="str">
        <f>'Necesidades Trimestrales'!B101</f>
        <v>2.5.1-8988.1104</v>
      </c>
      <c r="C103" s="138" t="str">
        <f>'Necesidades Trimestrales'!E101</f>
        <v>REACTIVOS P/EQUIPO; EQUIPO: ELECTROQUIMIOLUMINISCENCIA, MARCA EQUIPO: ELECSYS ROCHE, NOMBRE DEL PRODUCTO: ANTI TOXOPLASMA IG M, PRESENTACION: ENVASE X 100 DETERM.</v>
      </c>
      <c r="D103" s="138"/>
      <c r="E103" s="138"/>
      <c r="F103" s="60" t="s">
        <v>55</v>
      </c>
      <c r="G103" s="46" t="str">
        <f>'Necesidades Trimestrales'!F101</f>
        <v>UNIDAD</v>
      </c>
      <c r="H103" s="47">
        <f>'Necesidades Trimestrales'!H101</f>
        <v>32422</v>
      </c>
      <c r="I103" s="48">
        <f>'Necesidades Trimestrales'!G101</f>
        <v>1</v>
      </c>
      <c r="J103" s="70"/>
    </row>
    <row r="104" spans="1:10" ht="35.25" customHeight="1" thickBot="1" x14ac:dyDescent="0.3">
      <c r="A104" s="44">
        <v>93</v>
      </c>
      <c r="B104" s="45" t="str">
        <f>'Necesidades Trimestrales'!B102</f>
        <v>2.5.1-8988.1331</v>
      </c>
      <c r="C104" s="138" t="str">
        <f>'Necesidades Trimestrales'!E102</f>
        <v>REACTIVOS P/EQUIPO; EQUIPO: ANALIZADOR MULTIPARAMETRICO, MARCA EQUIPO: COBAS ROCHE, NOMBRE DEL PRODUCTO: DET. DE ACIDO URICO, PRESENTACION: UNIDAD</v>
      </c>
      <c r="D104" s="138"/>
      <c r="E104" s="138"/>
      <c r="F104" s="60" t="s">
        <v>55</v>
      </c>
      <c r="G104" s="46" t="str">
        <f>'Necesidades Trimestrales'!F102</f>
        <v>UNIDAD</v>
      </c>
      <c r="H104" s="47">
        <f>'Necesidades Trimestrales'!H102</f>
        <v>4661</v>
      </c>
      <c r="I104" s="48">
        <f>'Necesidades Trimestrales'!G102</f>
        <v>1</v>
      </c>
      <c r="J104" s="70"/>
    </row>
    <row r="105" spans="1:10" ht="25.5" customHeight="1" thickBot="1" x14ac:dyDescent="0.3">
      <c r="A105" s="44">
        <v>94</v>
      </c>
      <c r="B105" s="45" t="str">
        <f>'Necesidades Trimestrales'!B103</f>
        <v>2.5.1-8988.1342</v>
      </c>
      <c r="C105" s="138" t="str">
        <f>'Necesidades Trimestrales'!E103</f>
        <v>REACTIVOS P/EQUIPO; EQUIPO: ANALIZADOR MULTIPARAMETRICO, MARCA EQUIPO: COBAS ROCHE, NOMBRE DEL PRODUCTO: DET. DE CREATININA, PRESENTACION: UNIDAD</v>
      </c>
      <c r="D105" s="138"/>
      <c r="E105" s="138"/>
      <c r="F105" s="60" t="s">
        <v>55</v>
      </c>
      <c r="G105" s="46" t="str">
        <f>'Necesidades Trimestrales'!F103</f>
        <v>UNIDAD</v>
      </c>
      <c r="H105" s="47">
        <f>'Necesidades Trimestrales'!H103</f>
        <v>3854</v>
      </c>
      <c r="I105" s="48">
        <f>'Necesidades Trimestrales'!G103</f>
        <v>1</v>
      </c>
      <c r="J105" s="70"/>
    </row>
    <row r="106" spans="1:10" ht="31.5" customHeight="1" thickBot="1" x14ac:dyDescent="0.3">
      <c r="A106" s="44">
        <v>95</v>
      </c>
      <c r="B106" s="45" t="str">
        <f>'Necesidades Trimestrales'!B104</f>
        <v>2.5.1-8988.1343</v>
      </c>
      <c r="C106" s="138" t="str">
        <f>'Necesidades Trimestrales'!E104</f>
        <v>REACTIVOS P/EQUIPO; EQUIPO: ANALIZADOR MULTIPARAMETRICO, MARCA EQUIPO: COBAS ROCHE, NOMBRE DEL PRODUCTO: DET. DE FOSFATASA ALCALINA, PRESENTACION: UNIDAD</v>
      </c>
      <c r="D106" s="138"/>
      <c r="E106" s="138"/>
      <c r="F106" s="60" t="s">
        <v>55</v>
      </c>
      <c r="G106" s="46" t="str">
        <f>'Necesidades Trimestrales'!F104</f>
        <v>UNIDAD</v>
      </c>
      <c r="H106" s="47">
        <f>'Necesidades Trimestrales'!H104</f>
        <v>7391</v>
      </c>
      <c r="I106" s="48">
        <f>'Necesidades Trimestrales'!G104</f>
        <v>1</v>
      </c>
      <c r="J106" s="70"/>
    </row>
    <row r="107" spans="1:10" ht="32.25" customHeight="1" thickBot="1" x14ac:dyDescent="0.3">
      <c r="A107" s="44">
        <v>96</v>
      </c>
      <c r="B107" s="45" t="str">
        <f>'Necesidades Trimestrales'!B105</f>
        <v>2.5.1-8988.1347</v>
      </c>
      <c r="C107" s="138" t="str">
        <f>'Necesidades Trimestrales'!E105</f>
        <v>REACTIVOS P/EQUIPO; EQUIPO: ANALIZADOR MULTIPARAMETRICO, MARCA EQUIPO: COBAS ROCHE, NOMBRE DEL PRODUCTO: DET. DE GLUCOSA, PRESENTACION: UNIDAD</v>
      </c>
      <c r="D107" s="138"/>
      <c r="E107" s="138"/>
      <c r="F107" s="60" t="s">
        <v>55</v>
      </c>
      <c r="G107" s="46" t="str">
        <f>'Necesidades Trimestrales'!F105</f>
        <v>UNIDAD</v>
      </c>
      <c r="H107" s="47">
        <f>'Necesidades Trimestrales'!H105</f>
        <v>7701</v>
      </c>
      <c r="I107" s="48">
        <f>'Necesidades Trimestrales'!G105</f>
        <v>1</v>
      </c>
      <c r="J107" s="70"/>
    </row>
    <row r="108" spans="1:10" ht="33" customHeight="1" thickBot="1" x14ac:dyDescent="0.3">
      <c r="A108" s="44">
        <v>97</v>
      </c>
      <c r="B108" s="45" t="str">
        <f>'Necesidades Trimestrales'!B106</f>
        <v>2.5.1-8988.1350</v>
      </c>
      <c r="C108" s="138" t="str">
        <f>'Necesidades Trimestrales'!E106</f>
        <v>REACTIVOS P/EQUIPO; EQUIPO: ANALIZADOR MULTIPARAMETRICO, MARCA EQUIPO: COBAS ROCHE, NOMBRE DEL PRODUCTO: DET. DE LDH, PRESENTACION: UNIDAD</v>
      </c>
      <c r="D108" s="138"/>
      <c r="E108" s="138"/>
      <c r="F108" s="60" t="s">
        <v>55</v>
      </c>
      <c r="G108" s="46" t="str">
        <f>'Necesidades Trimestrales'!F106</f>
        <v>UNIDAD</v>
      </c>
      <c r="H108" s="47">
        <f>'Necesidades Trimestrales'!H106</f>
        <v>2925</v>
      </c>
      <c r="I108" s="48">
        <f>'Necesidades Trimestrales'!G106</f>
        <v>2</v>
      </c>
      <c r="J108" s="70"/>
    </row>
    <row r="109" spans="1:10" ht="36.75" customHeight="1" thickBot="1" x14ac:dyDescent="0.3">
      <c r="A109" s="44">
        <v>98</v>
      </c>
      <c r="B109" s="45" t="str">
        <f>'Necesidades Trimestrales'!B107</f>
        <v>2.5.1-8988.1353</v>
      </c>
      <c r="C109" s="138" t="str">
        <f>'Necesidades Trimestrales'!E107</f>
        <v>REACTIVOS P/EQUIPO; EQUIPO: ANALIZADOR MULTIPARAMETRICO, MARCA EQUIPO: COBAS ROCHE, NOMBRE DEL PRODUCTO: DET. DE CRP, PRESENTACION: UNIDAD</v>
      </c>
      <c r="D109" s="138"/>
      <c r="E109" s="138"/>
      <c r="F109" s="60" t="s">
        <v>55</v>
      </c>
      <c r="G109" s="46" t="str">
        <f>'Necesidades Trimestrales'!F107</f>
        <v>UNIDAD</v>
      </c>
      <c r="H109" s="47">
        <f>'Necesidades Trimestrales'!H107</f>
        <v>31767</v>
      </c>
      <c r="I109" s="48">
        <f>'Necesidades Trimestrales'!G107</f>
        <v>3</v>
      </c>
      <c r="J109" s="70"/>
    </row>
    <row r="110" spans="1:10" ht="31.5" customHeight="1" thickBot="1" x14ac:dyDescent="0.3">
      <c r="A110" s="44">
        <v>99</v>
      </c>
      <c r="B110" s="45" t="str">
        <f>'Necesidades Trimestrales'!B108</f>
        <v>2.5.1-8988.1354</v>
      </c>
      <c r="C110" s="138" t="str">
        <f>'Necesidades Trimestrales'!E108</f>
        <v>REACTIVOS P/EQUIPO; EQUIPO: ANALIZADOR MULTIPARAMETRICO, MARCA EQUIPO: COBAS ROCHE, NOMBRE DEL PRODUCTO: DET. DE PROTEINAS EN ORINA, PRESENTACION: UNIDAD</v>
      </c>
      <c r="D110" s="138"/>
      <c r="E110" s="138"/>
      <c r="F110" s="60" t="s">
        <v>55</v>
      </c>
      <c r="G110" s="46" t="str">
        <f>'Necesidades Trimestrales'!F108</f>
        <v>UNIDAD</v>
      </c>
      <c r="H110" s="47">
        <f>'Necesidades Trimestrales'!H108</f>
        <v>5025</v>
      </c>
      <c r="I110" s="48">
        <f>'Necesidades Trimestrales'!G108</f>
        <v>3</v>
      </c>
      <c r="J110" s="70"/>
    </row>
    <row r="111" spans="1:10" ht="36" customHeight="1" thickBot="1" x14ac:dyDescent="0.3">
      <c r="A111" s="44">
        <v>100</v>
      </c>
      <c r="B111" s="45" t="str">
        <f>'Necesidades Trimestrales'!B109</f>
        <v>2.5.1-8988.1356</v>
      </c>
      <c r="C111" s="138" t="str">
        <f>'Necesidades Trimestrales'!E109</f>
        <v>REACTIVOS P/EQUIPO; EQUIPO: ANALIZADOR MULTIPARAMETRICO, MARCA EQUIPO: COBAS ROCHE, NOMBRE DEL PRODUCTO: DET. DE AST/TGO, PRESENTACION: UNIDAD</v>
      </c>
      <c r="D111" s="138"/>
      <c r="E111" s="138"/>
      <c r="F111" s="60" t="s">
        <v>55</v>
      </c>
      <c r="G111" s="46" t="str">
        <f>'Necesidades Trimestrales'!F109</f>
        <v>UNIDAD</v>
      </c>
      <c r="H111" s="47">
        <f>'Necesidades Trimestrales'!H109</f>
        <v>7391</v>
      </c>
      <c r="I111" s="48">
        <f>'Necesidades Trimestrales'!G109</f>
        <v>1</v>
      </c>
      <c r="J111" s="70"/>
    </row>
    <row r="112" spans="1:10" ht="34.5" customHeight="1" thickBot="1" x14ac:dyDescent="0.3">
      <c r="A112" s="44">
        <v>101</v>
      </c>
      <c r="B112" s="45" t="str">
        <f>'Necesidades Trimestrales'!B110</f>
        <v>2.5.1-8988.1357</v>
      </c>
      <c r="C112" s="138" t="str">
        <f>'Necesidades Trimestrales'!E110</f>
        <v>REACTIVOS P/EQUIPO; EQUIPO: ANALIZADOR MULTIPARAMETRICO, MARCA EQUIPO: COBAS ROCHE, NOMBRE DEL PRODUCTO: DET. DE ALT/TGP, PRESENTACION: UNIDAD</v>
      </c>
      <c r="D112" s="138"/>
      <c r="E112" s="138"/>
      <c r="F112" s="60" t="s">
        <v>55</v>
      </c>
      <c r="G112" s="46" t="str">
        <f>'Necesidades Trimestrales'!F110</f>
        <v>UNIDAD</v>
      </c>
      <c r="H112" s="47">
        <f>'Necesidades Trimestrales'!H110</f>
        <v>7391</v>
      </c>
      <c r="I112" s="48">
        <f>'Necesidades Trimestrales'!G110</f>
        <v>1</v>
      </c>
      <c r="J112" s="70"/>
    </row>
    <row r="113" spans="1:10" ht="44.25" customHeight="1" thickBot="1" x14ac:dyDescent="0.3">
      <c r="A113" s="44">
        <v>102</v>
      </c>
      <c r="B113" s="45" t="str">
        <f>'Necesidades Trimestrales'!B111</f>
        <v>2.5.1-8988.1360</v>
      </c>
      <c r="C113" s="138" t="str">
        <f>'Necesidades Trimestrales'!E111</f>
        <v>REACTIVOS P/EQUIPO; EQUIPO: ANALIZADOR MULTIPARAMETRICO, MARCA EQUIPO: COBAS ROCHE, NOMBRE DEL PRODUCTO: DET. DE UREA/BUN, PRESENTACION: UNIDAD</v>
      </c>
      <c r="D113" s="138"/>
      <c r="E113" s="138"/>
      <c r="F113" s="60" t="s">
        <v>334</v>
      </c>
      <c r="G113" s="46" t="str">
        <f>'Necesidades Trimestrales'!F111</f>
        <v>UNIDAD</v>
      </c>
      <c r="H113" s="47">
        <f>'Necesidades Trimestrales'!H111</f>
        <v>5249</v>
      </c>
      <c r="I113" s="48">
        <f>'Necesidades Trimestrales'!G111</f>
        <v>2</v>
      </c>
      <c r="J113" s="70"/>
    </row>
    <row r="114" spans="1:10" ht="39" customHeight="1" thickBot="1" x14ac:dyDescent="0.3">
      <c r="A114" s="44">
        <v>103</v>
      </c>
      <c r="B114" s="45" t="str">
        <f>'Necesidades Trimestrales'!B112</f>
        <v>2.5.1-8988.1399</v>
      </c>
      <c r="C114" s="138" t="str">
        <f>'Necesidades Trimestrales'!E112</f>
        <v>REACTIVOS P/EQUIPO; EQUIPO: CONTADOR HEMATOLOGICO, MARCA EQUIPO: DIRUI, NOMBRE DEL PRODUCTO: WL19 CON AA 3 NIVELES, PRESENTACION: ENVASE X 3 mL</v>
      </c>
      <c r="D114" s="138"/>
      <c r="E114" s="138"/>
      <c r="F114" s="60" t="s">
        <v>334</v>
      </c>
      <c r="G114" s="46" t="str">
        <f>'Necesidades Trimestrales'!F112</f>
        <v>UNIDAD</v>
      </c>
      <c r="H114" s="47">
        <f>'Necesidades Trimestrales'!H112</f>
        <v>7562.7619047619046</v>
      </c>
      <c r="I114" s="48">
        <f>'Necesidades Trimestrales'!G112</f>
        <v>1</v>
      </c>
      <c r="J114" s="70"/>
    </row>
    <row r="115" spans="1:10" ht="33.75" customHeight="1" thickBot="1" x14ac:dyDescent="0.3">
      <c r="A115" s="44">
        <v>104</v>
      </c>
      <c r="B115" s="45" t="str">
        <f>'Necesidades Trimestrales'!B113</f>
        <v>2.5.1-8988.1608</v>
      </c>
      <c r="C115" s="138" t="str">
        <f>'Necesidades Trimestrales'!E113</f>
        <v>REACTIVOS P/EQUIPO; EQUIPO: AUTOANALIZADOR, MARCA EQUIPO: COBAS ROCHE, NOMBRE DEL PRODUCTO: BETA HCG, PRESENTACION: ENVASE X 100 DETERM.</v>
      </c>
      <c r="D115" s="138"/>
      <c r="E115" s="138"/>
      <c r="F115" s="60" t="s">
        <v>334</v>
      </c>
      <c r="G115" s="46" t="str">
        <f>'Necesidades Trimestrales'!F113</f>
        <v>UNIDAD</v>
      </c>
      <c r="H115" s="47">
        <f>'Necesidades Trimestrales'!H113</f>
        <v>15456</v>
      </c>
      <c r="I115" s="48">
        <f>'Necesidades Trimestrales'!G113</f>
        <v>1</v>
      </c>
      <c r="J115" s="70"/>
    </row>
    <row r="116" spans="1:10" ht="38.25" customHeight="1" thickBot="1" x14ac:dyDescent="0.3">
      <c r="A116" s="44">
        <v>105</v>
      </c>
      <c r="B116" s="45" t="str">
        <f>'Necesidades Trimestrales'!B114</f>
        <v>2.5.1-9052.308</v>
      </c>
      <c r="C116" s="138" t="str">
        <f>'Necesidades Trimestrales'!E114</f>
        <v>REACTIVOS P/LAB. TEC. MANUAL ; NOMBRE: TEST EMBARAZO, USO: DIAGNOSTICO, PRESENTACION: ENVASE X 25 UN</v>
      </c>
      <c r="D116" s="138"/>
      <c r="E116" s="138"/>
      <c r="F116" s="60" t="s">
        <v>55</v>
      </c>
      <c r="G116" s="46" t="str">
        <f>'Necesidades Trimestrales'!F114</f>
        <v>UNIDAD</v>
      </c>
      <c r="H116" s="47">
        <f>'Necesidades Trimestrales'!H114</f>
        <v>1427.9047619047619</v>
      </c>
      <c r="I116" s="48">
        <f>'Necesidades Trimestrales'!G114</f>
        <v>10</v>
      </c>
      <c r="J116" s="70"/>
    </row>
    <row r="117" spans="1:10" ht="33.75" customHeight="1" thickBot="1" x14ac:dyDescent="0.3">
      <c r="A117" s="44">
        <v>106</v>
      </c>
      <c r="B117" s="45" t="str">
        <f>'Necesidades Trimestrales'!B115</f>
        <v>2.5.1-9052.355</v>
      </c>
      <c r="C117" s="138" t="str">
        <f>'Necesidades Trimestrales'!E115</f>
        <v>REACTIVOS P/LAB. TEC. MANUAL ; NOMBRE: HBSAG ELISA, USO: DIAGNOSTICO, PRESENTACION: ENVASE X 96 DETERM.</v>
      </c>
      <c r="D117" s="138"/>
      <c r="E117" s="138"/>
      <c r="F117" s="60" t="s">
        <v>55</v>
      </c>
      <c r="G117" s="46" t="str">
        <f>'Necesidades Trimestrales'!F115</f>
        <v>UNIDAD</v>
      </c>
      <c r="H117" s="47">
        <f>'Necesidades Trimestrales'!H115</f>
        <v>15456</v>
      </c>
      <c r="I117" s="48">
        <f>'Necesidades Trimestrales'!G115</f>
        <v>15</v>
      </c>
      <c r="J117" s="70"/>
    </row>
    <row r="118" spans="1:10" ht="41.25" customHeight="1" thickBot="1" x14ac:dyDescent="0.3">
      <c r="A118" s="44">
        <v>107</v>
      </c>
      <c r="B118" s="45" t="str">
        <f>'Necesidades Trimestrales'!B116</f>
        <v>2.5.1-9052.652</v>
      </c>
      <c r="C118" s="138" t="str">
        <f>'Necesidades Trimestrales'!E116</f>
        <v>REACTIVOS P/LAB. TEC. MANUAL ; NOMBRE: TIRAS REACTIVAS ANALISIS ORINA, USO: LABORATORIO, PRESENTACION: ENVASE X 100 DETERM.</v>
      </c>
      <c r="D118" s="138"/>
      <c r="E118" s="138"/>
      <c r="F118" s="61" t="s">
        <v>55</v>
      </c>
      <c r="G118" s="46" t="str">
        <f>'Necesidades Trimestrales'!F116</f>
        <v>UNIDAD</v>
      </c>
      <c r="H118" s="47">
        <f>'Necesidades Trimestrales'!H116</f>
        <v>1392.6000000000001</v>
      </c>
      <c r="I118" s="48">
        <f>'Necesidades Trimestrales'!G116</f>
        <v>10</v>
      </c>
      <c r="J118" s="70"/>
    </row>
    <row r="119" spans="1:10" ht="33" customHeight="1" thickBot="1" x14ac:dyDescent="0.3">
      <c r="A119" s="44">
        <v>108</v>
      </c>
      <c r="B119" s="45" t="str">
        <f>'Necesidades Trimestrales'!B117</f>
        <v>2.5.1-8937.260</v>
      </c>
      <c r="C119" s="138" t="str">
        <f>'Necesidades Trimestrales'!E117</f>
        <v>PATRON/ESTANDAR P/CALIBRACION; EQUIPO: AUTOANAL. X QUIMIOLUMINISCECIA, MARCA EQUIPO: ACCESS, NOMBRE DEL PRODUCTO: CALIBRADOR DHEASULFATO, PRESENTACION: 6 X ENVASE X 2,5 mL</v>
      </c>
      <c r="D119" s="138"/>
      <c r="E119" s="138"/>
      <c r="F119" s="60" t="s">
        <v>55</v>
      </c>
      <c r="G119" s="46" t="str">
        <f>'Necesidades Trimestrales'!F117</f>
        <v>UNIDAD</v>
      </c>
      <c r="H119" s="47">
        <f>'Necesidades Trimestrales'!H117</f>
        <v>14114</v>
      </c>
      <c r="I119" s="48">
        <f>'Necesidades Trimestrales'!G117</f>
        <v>1</v>
      </c>
      <c r="J119" s="70"/>
    </row>
    <row r="120" spans="1:10" ht="27.75" customHeight="1" thickBot="1" x14ac:dyDescent="0.3">
      <c r="A120" s="44">
        <v>109</v>
      </c>
      <c r="B120" s="45" t="str">
        <f>'Necesidades Trimestrales'!B118</f>
        <v>2.5.1-8988.2212</v>
      </c>
      <c r="C120" s="138" t="str">
        <f>'Necesidades Trimestrales'!E118</f>
        <v>REACTIVOS P/EQUIPO; EQUIPO: AUTOMATIZADO, MARCA EQUIPO: A DEFINIR, NOMBRE DEL PRODUCTO: HORMONA ANTI MULERIANA, PRESENTACION: DETERMINACION</v>
      </c>
      <c r="D120" s="138"/>
      <c r="E120" s="138"/>
      <c r="F120" s="60" t="s">
        <v>55</v>
      </c>
      <c r="G120" s="46" t="str">
        <f>'Necesidades Trimestrales'!F118</f>
        <v>UNIDAD</v>
      </c>
      <c r="H120" s="47">
        <f>'Necesidades Trimestrales'!H118</f>
        <v>272185</v>
      </c>
      <c r="I120" s="48">
        <f>'Necesidades Trimestrales'!G118</f>
        <v>1</v>
      </c>
      <c r="J120" s="70"/>
    </row>
    <row r="121" spans="1:10" ht="33" customHeight="1" thickBot="1" x14ac:dyDescent="0.3">
      <c r="A121" s="44">
        <v>110</v>
      </c>
      <c r="B121" s="45" t="str">
        <f>'Necesidades Trimestrales'!B119</f>
        <v>2.5.1-8937.219</v>
      </c>
      <c r="C121" s="138" t="str">
        <f>'Necesidades Trimestrales'!E119</f>
        <v>PATRON/ESTANDAR P/CALIBRACION; EQUIPO: AUTOANA. X QUIMIOLUMINISCENCIA, MARCA EQUIPO: ROCHE, NOMBRE DEL PRODUCTO: CALIBRADOR HORMONA CORTISOL, PRESENTACION: ENVASE X 10 DETERM.</v>
      </c>
      <c r="D121" s="138"/>
      <c r="E121" s="138"/>
      <c r="F121" s="60" t="s">
        <v>55</v>
      </c>
      <c r="G121" s="46" t="str">
        <f>'Necesidades Trimestrales'!F119</f>
        <v>UNIDAD</v>
      </c>
      <c r="H121" s="47">
        <f>'Necesidades Trimestrales'!H119</f>
        <v>14901</v>
      </c>
      <c r="I121" s="48">
        <f>'Necesidades Trimestrales'!G119</f>
        <v>1</v>
      </c>
      <c r="J121" s="70"/>
    </row>
    <row r="122" spans="1:10" ht="27.75" customHeight="1" thickBot="1" x14ac:dyDescent="0.3">
      <c r="A122" s="44">
        <v>111</v>
      </c>
      <c r="B122" s="45" t="str">
        <f>'Necesidades Trimestrales'!B120</f>
        <v>2.5.1-8937.220</v>
      </c>
      <c r="C122" s="138" t="str">
        <f>'Necesidades Trimestrales'!E120</f>
        <v>PATRON/ESTANDAR P/CALIBRACION; EQUIPO: AUTOANA. X QUIMIOLUMINISCENCIA, MARCA EQUIPO: ROCHE, NOMBRE DEL PRODUCTO: CALIBRADOR HORMONA ESTRADIOL, PRESENTACION: ENVASE X 10 DETERM.</v>
      </c>
      <c r="D122" s="138"/>
      <c r="E122" s="138"/>
      <c r="F122" s="60" t="s">
        <v>55</v>
      </c>
      <c r="G122" s="46" t="str">
        <f>'Necesidades Trimestrales'!F120</f>
        <v>UNIDAD</v>
      </c>
      <c r="H122" s="47">
        <f>'Necesidades Trimestrales'!H120</f>
        <v>14114</v>
      </c>
      <c r="I122" s="48">
        <f>'Necesidades Trimestrales'!G120</f>
        <v>1</v>
      </c>
      <c r="J122" s="70"/>
    </row>
    <row r="123" spans="1:10" ht="36.75" customHeight="1" thickBot="1" x14ac:dyDescent="0.3">
      <c r="A123" s="44">
        <v>112</v>
      </c>
      <c r="B123" s="45" t="str">
        <f>'Necesidades Trimestrales'!B121</f>
        <v>2.5.1-8937.221</v>
      </c>
      <c r="C123" s="138" t="str">
        <f>'Necesidades Trimestrales'!E121</f>
        <v>PATRON/ESTANDAR P/CALIBRACION; EQUIPO: AUTOANA. X QUIMIOLUMINISCENCIA, MARCA EQUIPO: ROCHE, NOMBRE DEL PRODUCTO: CALIBRADOR HORMONA FSH, PRESENTACION: ENVASE X 10 DETERM.</v>
      </c>
      <c r="D123" s="138"/>
      <c r="E123" s="138"/>
      <c r="F123" s="60" t="s">
        <v>55</v>
      </c>
      <c r="G123" s="46" t="str">
        <f>'Necesidades Trimestrales'!F121</f>
        <v>UNIDAD</v>
      </c>
      <c r="H123" s="47">
        <f>'Necesidades Trimestrales'!H121</f>
        <v>10863</v>
      </c>
      <c r="I123" s="48">
        <f>'Necesidades Trimestrales'!G121</f>
        <v>1</v>
      </c>
      <c r="J123" s="70"/>
    </row>
    <row r="124" spans="1:10" ht="33.75" customHeight="1" thickBot="1" x14ac:dyDescent="0.3">
      <c r="A124" s="44">
        <v>113</v>
      </c>
      <c r="B124" s="45" t="str">
        <f>'Necesidades Trimestrales'!B122</f>
        <v>2.5.1-8937.222</v>
      </c>
      <c r="C124" s="138" t="str">
        <f>'Necesidades Trimestrales'!E122</f>
        <v>PATRON/ESTANDAR P/CALIBRACION; EQUIPO: AUTOANA. X QUIMIOLUMINISCENCIA, MARCA EQUIPO: ROCHE, NOMBRE DEL PRODUCTO: CALIBRADOR HORMONA LH, PRESENTACION: ENVASE X 10 DETERM.</v>
      </c>
      <c r="D124" s="138"/>
      <c r="E124" s="138"/>
      <c r="F124" s="60" t="s">
        <v>55</v>
      </c>
      <c r="G124" s="46" t="str">
        <f>'Necesidades Trimestrales'!F122</f>
        <v>UNIDAD</v>
      </c>
      <c r="H124" s="47">
        <f>'Necesidades Trimestrales'!H122</f>
        <v>10863</v>
      </c>
      <c r="I124" s="48">
        <f>'Necesidades Trimestrales'!G122</f>
        <v>1</v>
      </c>
      <c r="J124" s="70"/>
    </row>
    <row r="125" spans="1:10" ht="33" customHeight="1" thickBot="1" x14ac:dyDescent="0.3">
      <c r="A125" s="44">
        <v>114</v>
      </c>
      <c r="B125" s="45" t="str">
        <f>'Necesidades Trimestrales'!B123</f>
        <v>2.5.1-8937.223</v>
      </c>
      <c r="C125" s="138" t="str">
        <f>'Necesidades Trimestrales'!E123</f>
        <v>PATRON/ESTANDAR P/CALIBRACION; EQUIPO: AUTOANA. X QUIMIOLUMINISCENCIA, MARCA EQUIPO: ROCHE, NOMBRE DEL PRODUCTO: CALIBRADOR HORMONA INSULINA, PRESENTACION: ENVASE X 10 DETERM.</v>
      </c>
      <c r="D125" s="138"/>
      <c r="E125" s="138"/>
      <c r="F125" s="60" t="s">
        <v>55</v>
      </c>
      <c r="G125" s="46" t="str">
        <f>'Necesidades Trimestrales'!F123</f>
        <v>UNIDAD</v>
      </c>
      <c r="H125" s="47">
        <f>'Necesidades Trimestrales'!H123</f>
        <v>9986</v>
      </c>
      <c r="I125" s="48">
        <f>'Necesidades Trimestrales'!G123</f>
        <v>1</v>
      </c>
      <c r="J125" s="70"/>
    </row>
    <row r="126" spans="1:10" ht="33" customHeight="1" thickBot="1" x14ac:dyDescent="0.3">
      <c r="A126" s="44">
        <v>115</v>
      </c>
      <c r="B126" s="45" t="str">
        <f>'Necesidades Trimestrales'!B124</f>
        <v>2.5.1-8937.224</v>
      </c>
      <c r="C126" s="138" t="str">
        <f>'Necesidades Trimestrales'!E124</f>
        <v>PATRON/ESTANDAR P/CALIBRACION; EQUIPO: AUTOANA. X QUIMIOLUMINISCENCIA, MARCA EQUIPO: ROCHE, NOMBRE DEL PRODUCTO: CAL. HORMONA PROGESTERONA, PRESENTACION: ENVASE X 10 DETERM.</v>
      </c>
      <c r="D126" s="138"/>
      <c r="E126" s="138"/>
      <c r="F126" s="60" t="s">
        <v>55</v>
      </c>
      <c r="G126" s="46" t="str">
        <f>'Necesidades Trimestrales'!F124</f>
        <v>UNIDAD</v>
      </c>
      <c r="H126" s="47">
        <f>'Necesidades Trimestrales'!H124</f>
        <v>10863</v>
      </c>
      <c r="I126" s="48">
        <f>'Necesidades Trimestrales'!G124</f>
        <v>1</v>
      </c>
      <c r="J126" s="70"/>
    </row>
    <row r="127" spans="1:10" ht="32.25" customHeight="1" thickBot="1" x14ac:dyDescent="0.3">
      <c r="A127" s="44">
        <v>116</v>
      </c>
      <c r="B127" s="45" t="str">
        <f>'Necesidades Trimestrales'!B125</f>
        <v>2.5.1-8937.225</v>
      </c>
      <c r="C127" s="138" t="str">
        <f>'Necesidades Trimestrales'!E125</f>
        <v>PATRON/ESTANDAR P/CALIBRACION; EQUIPO: AUTOANA. X QUIMIOLUMINISCENCIA, MARCA EQUIPO: ROCHE, NOMBRE DEL PRODUCTO: CALIBRADOR HORMONA PROLACTINA, PRESENTACION: ENVASE X 10 DETERM.</v>
      </c>
      <c r="D127" s="138"/>
      <c r="E127" s="138"/>
      <c r="F127" s="60" t="s">
        <v>55</v>
      </c>
      <c r="G127" s="46" t="str">
        <f>'Necesidades Trimestrales'!F125</f>
        <v>UNIDAD</v>
      </c>
      <c r="H127" s="47">
        <f>'Necesidades Trimestrales'!H125</f>
        <v>10863</v>
      </c>
      <c r="I127" s="48">
        <f>'Necesidades Trimestrales'!G125</f>
        <v>1</v>
      </c>
      <c r="J127" s="70"/>
    </row>
    <row r="128" spans="1:10" ht="39" customHeight="1" thickBot="1" x14ac:dyDescent="0.3">
      <c r="A128" s="44">
        <v>117</v>
      </c>
      <c r="B128" s="45" t="str">
        <f>'Necesidades Trimestrales'!B126</f>
        <v>2.5.1-8937.227</v>
      </c>
      <c r="C128" s="138" t="str">
        <f>'Necesidades Trimestrales'!E126</f>
        <v>PATRON/ESTANDAR P/CALIBRACION; EQUIPO: AUTOANA. X QUIMIOLUMINISCENCIA, MARCA EQUIPO: ROCHE, NOMBRE DEL PRODUCTO: CAL. HORMONA TESTOSTERONA, PRESENTACION: ENVASE X 10 DETERM.</v>
      </c>
      <c r="D128" s="138"/>
      <c r="E128" s="138"/>
      <c r="F128" s="60" t="s">
        <v>55</v>
      </c>
      <c r="G128" s="46" t="str">
        <f>'Necesidades Trimestrales'!F126</f>
        <v>UNIDAD</v>
      </c>
      <c r="H128" s="47">
        <f>'Necesidades Trimestrales'!H126</f>
        <v>10863</v>
      </c>
      <c r="I128" s="48">
        <f>'Necesidades Trimestrales'!G126</f>
        <v>1</v>
      </c>
      <c r="J128" s="70"/>
    </row>
    <row r="129" spans="1:10" ht="37.5" customHeight="1" thickBot="1" x14ac:dyDescent="0.3">
      <c r="A129" s="44">
        <v>118</v>
      </c>
      <c r="B129" s="45" t="str">
        <f>'Necesidades Trimestrales'!B127</f>
        <v>2.5.1-8937.228</v>
      </c>
      <c r="C129" s="138" t="str">
        <f>'Necesidades Trimestrales'!E127</f>
        <v>PATRON/ESTANDAR P/CALIBRACION; EQUIPO: AUTOANA. X QUIMIOLUMINISCENCIA, MARCA EQUIPO: ROCHE, NOMBRE DEL PRODUCTO: CALIBRADOR HORMONA TSH, PRESENTACION: ENVASE X 10 DETERM.</v>
      </c>
      <c r="D129" s="138"/>
      <c r="E129" s="138"/>
      <c r="F129" s="60" t="s">
        <v>55</v>
      </c>
      <c r="G129" s="46" t="str">
        <f>'Necesidades Trimestrales'!F127</f>
        <v>UNIDAD</v>
      </c>
      <c r="H129" s="47">
        <f>'Necesidades Trimestrales'!H127</f>
        <v>9928</v>
      </c>
      <c r="I129" s="48">
        <f>'Necesidades Trimestrales'!G127</f>
        <v>1</v>
      </c>
      <c r="J129" s="70"/>
    </row>
    <row r="130" spans="1:10" ht="35.25" customHeight="1" thickBot="1" x14ac:dyDescent="0.3">
      <c r="A130" s="44">
        <v>119</v>
      </c>
      <c r="B130" s="45" t="str">
        <f>'Necesidades Trimestrales'!B128</f>
        <v>2.5.1-8937.229</v>
      </c>
      <c r="C130" s="138" t="str">
        <f>'Necesidades Trimestrales'!E128</f>
        <v>PATRON/ESTANDAR P/CALIBRACION; EQUIPO: AUTOANA. X QUIMIOLUMINISCENCIA, MARCA EQUIPO: ROCHE, NOMBRE DEL PRODUCTO: CALIBRADOR HORMONA TIROIDE T4, PRESENTACION: ENVASE X 10 DETERM.</v>
      </c>
      <c r="D130" s="138"/>
      <c r="E130" s="138"/>
      <c r="F130" s="60" t="s">
        <v>55</v>
      </c>
      <c r="G130" s="46" t="str">
        <f>'Necesidades Trimestrales'!F128</f>
        <v>UNIDAD</v>
      </c>
      <c r="H130" s="47">
        <f>'Necesidades Trimestrales'!H128</f>
        <v>10435</v>
      </c>
      <c r="I130" s="48">
        <f>'Necesidades Trimestrales'!G128</f>
        <v>1</v>
      </c>
      <c r="J130" s="70"/>
    </row>
    <row r="131" spans="1:10" ht="45.75" customHeight="1" thickBot="1" x14ac:dyDescent="0.3">
      <c r="A131" s="44">
        <v>120</v>
      </c>
      <c r="B131" s="45" t="str">
        <f>'Necesidades Trimestrales'!B129</f>
        <v>2.5.1-8937.230</v>
      </c>
      <c r="C131" s="138" t="str">
        <f>'Necesidades Trimestrales'!E129</f>
        <v>PATRON/ESTANDAR P/CALIBRACION; EQUIPO: AUTOANA. X QUIMIOLUMINISCENCIA, MARCA EQUIPO: ROCHE, NOMBRE DEL PRODUCTO: CALIBRADOR HORMONA TIROIDE T3, PRESENTACION: ENVASE X 10 DETERM.</v>
      </c>
      <c r="D131" s="138"/>
      <c r="E131" s="138"/>
      <c r="F131" s="60" t="s">
        <v>55</v>
      </c>
      <c r="G131" s="46" t="str">
        <f>'Necesidades Trimestrales'!F129</f>
        <v>UNIDAD</v>
      </c>
      <c r="H131" s="47">
        <f>'Necesidades Trimestrales'!H129</f>
        <v>10435</v>
      </c>
      <c r="I131" s="48">
        <f>'Necesidades Trimestrales'!G129</f>
        <v>1</v>
      </c>
      <c r="J131" s="70"/>
    </row>
    <row r="132" spans="1:10" ht="42.75" customHeight="1" thickBot="1" x14ac:dyDescent="0.3">
      <c r="A132" s="44">
        <v>121</v>
      </c>
      <c r="B132" s="45" t="str">
        <f>'Necesidades Trimestrales'!B130</f>
        <v>2.5.1-8937.249</v>
      </c>
      <c r="C132" s="138" t="str">
        <f>'Necesidades Trimestrales'!E130</f>
        <v>PATRON/ESTANDAR P/CALIBRACION; EQUIPO: AUTOANAL. X QUIMIOLUMINISCECIA, MARCA EQUIPO: ROCHE, NOMBRE DEL PRODUCTO: CAL GONADOTROFINA CORIONICA HU, PRESENTACION: ENVASE X 10 DETERM.</v>
      </c>
      <c r="D132" s="138"/>
      <c r="E132" s="138"/>
      <c r="F132" s="60" t="s">
        <v>55</v>
      </c>
      <c r="G132" s="46" t="str">
        <f>'Necesidades Trimestrales'!F130</f>
        <v>UNIDAD</v>
      </c>
      <c r="H132" s="47">
        <f>'Necesidades Trimestrales'!H130</f>
        <v>15456</v>
      </c>
      <c r="I132" s="48">
        <f>'Necesidades Trimestrales'!G130</f>
        <v>1</v>
      </c>
      <c r="J132" s="70"/>
    </row>
    <row r="133" spans="1:10" ht="47.25" customHeight="1" thickBot="1" x14ac:dyDescent="0.3">
      <c r="A133" s="44">
        <v>122</v>
      </c>
      <c r="B133" s="45" t="str">
        <f>'Necesidades Trimestrales'!B131</f>
        <v>2.5.1-8988.20</v>
      </c>
      <c r="C133" s="138" t="str">
        <f>'Necesidades Trimestrales'!E131</f>
        <v>REACTIVOS P/EQUIPO; EQUIPO: AUTOANA. X QUIMIOLUMINISCENCIA, MARCA EQUIPO: ROCHE, NOMBRE DEL PRODUCTO: CONTROL UNIVERSAL, PRESENTACION: 4 X ENVASE X 3 mL</v>
      </c>
      <c r="D133" s="138"/>
      <c r="E133" s="138"/>
      <c r="F133" s="60" t="s">
        <v>55</v>
      </c>
      <c r="G133" s="46" t="str">
        <f>'Necesidades Trimestrales'!F131</f>
        <v>UNIDAD</v>
      </c>
      <c r="H133" s="47">
        <f>'Necesidades Trimestrales'!H131</f>
        <v>9769</v>
      </c>
      <c r="I133" s="48">
        <f>'Necesidades Trimestrales'!G131</f>
        <v>1</v>
      </c>
      <c r="J133" s="70"/>
    </row>
    <row r="134" spans="1:10" ht="47.25" customHeight="1" thickBot="1" x14ac:dyDescent="0.3">
      <c r="A134" s="44">
        <v>123</v>
      </c>
      <c r="B134" s="45" t="str">
        <f>'Necesidades Trimestrales'!B132</f>
        <v>2.5.1-8988.431</v>
      </c>
      <c r="C134" s="138" t="str">
        <f>'Necesidades Trimestrales'!E132</f>
        <v>REACTIVOS P/EQUIPO; EQUIPO: AUTOANA. X QUIMIOLUMINISCENCIA, MARCA EQUIPO: ROCHE, NOMBRE DEL PRODUCTO: DILUYENTE MULTIANALITICO, PRESENTACION: ENVASE X 20 L</v>
      </c>
      <c r="D134" s="138"/>
      <c r="E134" s="138"/>
      <c r="F134" s="60" t="s">
        <v>55</v>
      </c>
      <c r="G134" s="46" t="str">
        <f>'Necesidades Trimestrales'!F132</f>
        <v>UNIDAD</v>
      </c>
      <c r="H134" s="47">
        <f>'Necesidades Trimestrales'!H132</f>
        <v>7358</v>
      </c>
      <c r="I134" s="48">
        <f>'Necesidades Trimestrales'!G132</f>
        <v>1</v>
      </c>
      <c r="J134" s="70"/>
    </row>
    <row r="135" spans="1:10" ht="35.25" customHeight="1" x14ac:dyDescent="0.25">
      <c r="A135" s="44">
        <v>124</v>
      </c>
      <c r="B135" s="45" t="str">
        <f>'Necesidades Trimestrales'!B133</f>
        <v>2.5.1-8988.229</v>
      </c>
      <c r="C135" s="138" t="str">
        <f>'Necesidades Trimestrales'!E133</f>
        <v>REACTIVOS P/EQUIPO; EQUIPO: AUTOANA. X QUIMIOLUMINISCENCIA, MARCA EQUIPO: ROCHE, NOMBRE DEL PRODUCTO: KIT P/CUANT. HORMONA CORTISOL, PRESENTACION: ENVASE X 100 DETERM.</v>
      </c>
      <c r="D135" s="138"/>
      <c r="E135" s="138"/>
      <c r="F135" s="60" t="s">
        <v>55</v>
      </c>
      <c r="G135" s="46" t="str">
        <f>'Necesidades Trimestrales'!F133</f>
        <v>UNIDAD</v>
      </c>
      <c r="H135" s="47">
        <f>'Necesidades Trimestrales'!H133</f>
        <v>12963</v>
      </c>
      <c r="I135" s="48">
        <f>'Necesidades Trimestrales'!G133</f>
        <v>1</v>
      </c>
      <c r="J135" s="70"/>
    </row>
    <row r="136" spans="1:10" ht="37.5" customHeight="1" x14ac:dyDescent="0.2">
      <c r="A136" s="152" t="s">
        <v>335</v>
      </c>
      <c r="B136" s="153"/>
      <c r="C136" s="153"/>
      <c r="D136" s="153"/>
      <c r="E136" s="153"/>
      <c r="F136" s="153"/>
      <c r="G136" s="153"/>
      <c r="H136" s="154"/>
      <c r="I136" s="51" cm="1">
        <f t="array" ref="I136">SUMPRODUCT(H12:H135*I12:I135)</f>
        <v>2951332.6595238093</v>
      </c>
      <c r="J136" s="70"/>
    </row>
    <row r="137" spans="1:10" ht="61.5" customHeight="1" x14ac:dyDescent="0.2">
      <c r="B137" s="53"/>
      <c r="C137" s="54"/>
      <c r="D137" s="54"/>
      <c r="E137" s="54"/>
      <c r="F137" s="55"/>
      <c r="H137" s="56"/>
    </row>
    <row r="138" spans="1:10" x14ac:dyDescent="0.2">
      <c r="D138" s="69"/>
      <c r="E138" s="69"/>
      <c r="F138" s="69"/>
    </row>
    <row r="139" spans="1:10" x14ac:dyDescent="0.2">
      <c r="D139" s="69"/>
      <c r="E139" s="69"/>
      <c r="F139" s="69"/>
    </row>
    <row r="140" spans="1:10" x14ac:dyDescent="0.2">
      <c r="D140" s="69"/>
      <c r="E140" s="69"/>
      <c r="F140" s="69"/>
    </row>
  </sheetData>
  <mergeCells count="145">
    <mergeCell ref="A136:H136"/>
    <mergeCell ref="I10:I11"/>
    <mergeCell ref="C45:E45"/>
    <mergeCell ref="C46:E46"/>
    <mergeCell ref="C47:E47"/>
    <mergeCell ref="C26:E26"/>
    <mergeCell ref="C18:E18"/>
    <mergeCell ref="C19:E19"/>
    <mergeCell ref="C20:E20"/>
    <mergeCell ref="H10:H11"/>
    <mergeCell ref="C21:E21"/>
    <mergeCell ref="C22:E22"/>
    <mergeCell ref="C32:E32"/>
    <mergeCell ref="C25:E25"/>
    <mergeCell ref="C29:E29"/>
    <mergeCell ref="C30:E30"/>
    <mergeCell ref="B10:B11"/>
    <mergeCell ref="C73:E73"/>
    <mergeCell ref="C60:E60"/>
    <mergeCell ref="C65:E65"/>
    <mergeCell ref="C84:E84"/>
    <mergeCell ref="C66:E66"/>
    <mergeCell ref="C41:E41"/>
    <mergeCell ref="C42:E42"/>
    <mergeCell ref="C43:E43"/>
    <mergeCell ref="C67:E67"/>
    <mergeCell ref="C86:E86"/>
    <mergeCell ref="C77:E77"/>
    <mergeCell ref="C78:E78"/>
    <mergeCell ref="C79:E79"/>
    <mergeCell ref="C80:E80"/>
    <mergeCell ref="C81:E81"/>
    <mergeCell ref="C82:E82"/>
    <mergeCell ref="C54:E54"/>
    <mergeCell ref="C48:E48"/>
    <mergeCell ref="C63:E63"/>
    <mergeCell ref="C62:E62"/>
    <mergeCell ref="C69:E69"/>
    <mergeCell ref="C74:E74"/>
    <mergeCell ref="C76:E76"/>
    <mergeCell ref="C61:E61"/>
    <mergeCell ref="C64:E64"/>
    <mergeCell ref="C71:E71"/>
    <mergeCell ref="C59:E59"/>
    <mergeCell ref="C57:E57"/>
    <mergeCell ref="C56:E56"/>
    <mergeCell ref="C58:E58"/>
    <mergeCell ref="C91:E91"/>
    <mergeCell ref="C92:E92"/>
    <mergeCell ref="C93:E93"/>
    <mergeCell ref="C94:E94"/>
    <mergeCell ref="A1:G1"/>
    <mergeCell ref="A6:C6"/>
    <mergeCell ref="A7:C7"/>
    <mergeCell ref="D7:I7"/>
    <mergeCell ref="A3:C3"/>
    <mergeCell ref="A4:C4"/>
    <mergeCell ref="A5:C5"/>
    <mergeCell ref="A8:C8"/>
    <mergeCell ref="D8:I8"/>
    <mergeCell ref="D5:I5"/>
    <mergeCell ref="D6:I6"/>
    <mergeCell ref="D3:I3"/>
    <mergeCell ref="D4:I4"/>
    <mergeCell ref="C15:E15"/>
    <mergeCell ref="C16:E16"/>
    <mergeCell ref="C27:E27"/>
    <mergeCell ref="C28:E28"/>
    <mergeCell ref="C44:E44"/>
    <mergeCell ref="C31:E31"/>
    <mergeCell ref="C33:E33"/>
    <mergeCell ref="G10:G11"/>
    <mergeCell ref="C17:E17"/>
    <mergeCell ref="C12:E12"/>
    <mergeCell ref="C13:E13"/>
    <mergeCell ref="C14:E14"/>
    <mergeCell ref="C35:E35"/>
    <mergeCell ref="C36:E36"/>
    <mergeCell ref="C37:E37"/>
    <mergeCell ref="C38:E38"/>
    <mergeCell ref="C10:E11"/>
    <mergeCell ref="C34:E34"/>
    <mergeCell ref="C134:E134"/>
    <mergeCell ref="C135:E135"/>
    <mergeCell ref="C131:E131"/>
    <mergeCell ref="C132:E132"/>
    <mergeCell ref="C75:E75"/>
    <mergeCell ref="C85:E85"/>
    <mergeCell ref="A10:A11"/>
    <mergeCell ref="C83:E83"/>
    <mergeCell ref="F10:F11"/>
    <mergeCell ref="C39:E39"/>
    <mergeCell ref="C40:E40"/>
    <mergeCell ref="C49:E49"/>
    <mergeCell ref="C50:E50"/>
    <mergeCell ref="C51:E51"/>
    <mergeCell ref="C52:E52"/>
    <mergeCell ref="C55:E55"/>
    <mergeCell ref="C53:E53"/>
    <mergeCell ref="C99:E99"/>
    <mergeCell ref="C97:E97"/>
    <mergeCell ref="C98:E98"/>
    <mergeCell ref="C88:E88"/>
    <mergeCell ref="C89:E89"/>
    <mergeCell ref="C90:E90"/>
    <mergeCell ref="C133:E133"/>
    <mergeCell ref="C129:E129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30:E130"/>
    <mergeCell ref="C23:E23"/>
    <mergeCell ref="C24:E24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00:E100"/>
    <mergeCell ref="C95:E95"/>
    <mergeCell ref="C96:E96"/>
    <mergeCell ref="C70:E70"/>
    <mergeCell ref="C72:E72"/>
    <mergeCell ref="C68:E68"/>
    <mergeCell ref="C87:E87"/>
  </mergeCells>
  <printOptions horizontalCentered="1"/>
  <pageMargins left="0.196527777777778" right="0.196527777777778" top="0.98402777777777795" bottom="0.98402777777777795" header="0.51180555555555496" footer="0.51180555555555496"/>
  <pageSetup paperSize="9" scale="78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tabSelected="1" topLeftCell="A7" zoomScale="130" zoomScaleNormal="130" workbookViewId="0">
      <selection activeCell="L14" sqref="L14"/>
    </sheetView>
  </sheetViews>
  <sheetFormatPr baseColWidth="10" defaultColWidth="11" defaultRowHeight="12.75" x14ac:dyDescent="0.2"/>
  <cols>
    <col min="1" max="4" width="4.42578125" customWidth="1"/>
    <col min="5" max="5" width="3.85546875" customWidth="1"/>
    <col min="6" max="6" width="5" customWidth="1"/>
    <col min="7" max="7" width="4.42578125" style="3" customWidth="1"/>
    <col min="8" max="14" width="4.42578125" customWidth="1"/>
    <col min="15" max="16" width="14.85546875" customWidth="1"/>
    <col min="17" max="17" width="19" customWidth="1"/>
    <col min="18" max="18" width="13.28515625" bestFit="1" customWidth="1"/>
    <col min="19" max="19" width="14.28515625" customWidth="1"/>
  </cols>
  <sheetData>
    <row r="1" spans="1:19" ht="15.75" customHeight="1" x14ac:dyDescent="0.25">
      <c r="A1" s="157" t="s">
        <v>3</v>
      </c>
      <c r="B1" s="157"/>
      <c r="C1" s="157"/>
      <c r="D1" s="158">
        <v>2021</v>
      </c>
      <c r="E1" s="158"/>
      <c r="F1" s="4"/>
      <c r="G1" s="4"/>
      <c r="H1" s="5"/>
      <c r="I1" s="5"/>
      <c r="J1" s="5"/>
      <c r="K1" s="5"/>
      <c r="L1" s="5"/>
      <c r="M1" s="5"/>
      <c r="N1" s="5"/>
      <c r="P1" s="159" t="s">
        <v>25</v>
      </c>
      <c r="Q1" s="159"/>
    </row>
    <row r="2" spans="1:19" ht="15.75" customHeight="1" x14ac:dyDescent="0.2">
      <c r="H2" s="5"/>
      <c r="I2" s="5"/>
      <c r="J2" s="5"/>
      <c r="K2" s="5"/>
      <c r="L2" s="5"/>
      <c r="M2" s="5"/>
      <c r="N2" s="5"/>
      <c r="P2" s="159"/>
      <c r="Q2" s="159"/>
    </row>
    <row r="4" spans="1:19" s="6" customFormat="1" ht="18" customHeight="1" thickBot="1" x14ac:dyDescent="0.25">
      <c r="A4" s="160" t="s">
        <v>26</v>
      </c>
      <c r="B4" s="160"/>
      <c r="C4" s="160"/>
      <c r="D4" s="160"/>
      <c r="E4" s="160"/>
      <c r="F4" s="160"/>
      <c r="G4" s="161" t="s">
        <v>327</v>
      </c>
      <c r="H4" s="161"/>
      <c r="I4" s="161"/>
      <c r="J4" s="161"/>
      <c r="K4" s="161"/>
      <c r="L4" s="161"/>
      <c r="M4" s="161"/>
      <c r="N4" s="161"/>
      <c r="O4" s="161"/>
      <c r="P4" s="161"/>
      <c r="Q4" s="161"/>
    </row>
    <row r="5" spans="1:19" s="6" customFormat="1" ht="18" customHeight="1" thickBot="1" x14ac:dyDescent="0.25">
      <c r="A5" s="162" t="s">
        <v>49</v>
      </c>
      <c r="B5" s="163"/>
      <c r="C5" s="163"/>
      <c r="D5" s="163"/>
      <c r="E5" s="163"/>
      <c r="F5" s="164"/>
      <c r="G5" s="165" t="s">
        <v>231</v>
      </c>
      <c r="H5" s="165"/>
      <c r="I5" s="165"/>
      <c r="J5" s="165"/>
      <c r="K5" s="165"/>
      <c r="L5" s="165"/>
      <c r="M5" s="165"/>
      <c r="N5" s="165"/>
      <c r="O5" s="165"/>
      <c r="P5" s="165"/>
      <c r="Q5" s="165"/>
    </row>
    <row r="6" spans="1:19" s="6" customFormat="1" ht="30.75" customHeight="1" thickBot="1" x14ac:dyDescent="0.25">
      <c r="A6" s="162" t="s">
        <v>27</v>
      </c>
      <c r="B6" s="163"/>
      <c r="C6" s="163"/>
      <c r="D6" s="163"/>
      <c r="E6" s="163"/>
      <c r="F6" s="164"/>
      <c r="G6" s="167" t="s">
        <v>232</v>
      </c>
      <c r="H6" s="168"/>
      <c r="I6" s="168"/>
      <c r="J6" s="168"/>
      <c r="K6" s="168"/>
      <c r="L6" s="168"/>
      <c r="M6" s="168"/>
      <c r="N6" s="168"/>
      <c r="O6" s="168"/>
      <c r="P6" s="168"/>
      <c r="Q6" s="169"/>
    </row>
    <row r="7" spans="1:19" s="6" customFormat="1" ht="18" customHeight="1" thickBot="1" x14ac:dyDescent="0.25">
      <c r="A7" s="162" t="s">
        <v>50</v>
      </c>
      <c r="B7" s="163"/>
      <c r="C7" s="163"/>
      <c r="D7" s="163"/>
      <c r="E7" s="163"/>
      <c r="F7" s="164"/>
      <c r="G7" s="165" t="s">
        <v>136</v>
      </c>
      <c r="H7" s="165"/>
      <c r="I7" s="165"/>
      <c r="J7" s="165"/>
      <c r="K7" s="165"/>
      <c r="L7" s="165"/>
      <c r="M7" s="165"/>
      <c r="N7" s="165"/>
      <c r="O7" s="165"/>
      <c r="P7" s="165"/>
      <c r="Q7" s="165"/>
    </row>
    <row r="8" spans="1:19" ht="18" customHeight="1" thickBot="1" x14ac:dyDescent="0.25">
      <c r="A8" s="166" t="s">
        <v>28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</row>
    <row r="9" spans="1:19" ht="18" customHeight="1" x14ac:dyDescent="0.2">
      <c r="A9" s="174" t="s">
        <v>29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8"/>
      <c r="P9" s="8"/>
      <c r="Q9" s="9"/>
    </row>
    <row r="10" spans="1:19" ht="54.75" customHeight="1" x14ac:dyDescent="0.2">
      <c r="A10" s="175" t="s">
        <v>329</v>
      </c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</row>
    <row r="11" spans="1:19" ht="9" customHeight="1" x14ac:dyDescent="0.2">
      <c r="A11" s="10"/>
      <c r="B11" s="11"/>
      <c r="C11" s="11"/>
      <c r="D11" s="11"/>
      <c r="E11" s="11"/>
      <c r="F11" s="11"/>
      <c r="G11" s="12"/>
      <c r="H11" s="11"/>
      <c r="I11" s="11"/>
      <c r="J11" s="11"/>
      <c r="K11" s="11"/>
      <c r="L11" s="11"/>
      <c r="M11" s="11"/>
      <c r="N11" s="11"/>
      <c r="O11" s="11"/>
      <c r="P11" s="11"/>
      <c r="Q11" s="13"/>
    </row>
    <row r="12" spans="1:19" ht="15.75" customHeight="1" x14ac:dyDescent="0.2">
      <c r="A12" s="176" t="s">
        <v>30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9" ht="15.75" customHeight="1" x14ac:dyDescent="0.2">
      <c r="A13" s="177" t="s">
        <v>31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8" t="s">
        <v>32</v>
      </c>
      <c r="P13" s="178"/>
      <c r="Q13" s="179" t="s">
        <v>33</v>
      </c>
    </row>
    <row r="14" spans="1:19" ht="15.75" customHeight="1" thickBot="1" x14ac:dyDescent="0.25">
      <c r="A14" s="14" t="s">
        <v>34</v>
      </c>
      <c r="B14" s="15" t="s">
        <v>35</v>
      </c>
      <c r="C14" s="15" t="s">
        <v>36</v>
      </c>
      <c r="D14" s="15" t="s">
        <v>37</v>
      </c>
      <c r="E14" s="15" t="s">
        <v>38</v>
      </c>
      <c r="F14" s="15" t="s">
        <v>39</v>
      </c>
      <c r="G14" s="16" t="s">
        <v>40</v>
      </c>
      <c r="H14" s="15" t="s">
        <v>41</v>
      </c>
      <c r="I14" s="15" t="s">
        <v>42</v>
      </c>
      <c r="J14" s="15" t="s">
        <v>43</v>
      </c>
      <c r="K14" s="15" t="s">
        <v>43</v>
      </c>
      <c r="L14" s="15" t="s">
        <v>44</v>
      </c>
      <c r="M14" s="17" t="s">
        <v>45</v>
      </c>
      <c r="N14" s="18" t="s">
        <v>46</v>
      </c>
      <c r="O14" s="178"/>
      <c r="P14" s="178"/>
      <c r="Q14" s="179"/>
    </row>
    <row r="15" spans="1:19" ht="17.25" customHeight="1" x14ac:dyDescent="0.2">
      <c r="A15" s="19">
        <v>42</v>
      </c>
      <c r="B15" s="20"/>
      <c r="C15" s="20"/>
      <c r="D15" s="20">
        <v>2</v>
      </c>
      <c r="E15" s="20"/>
      <c r="F15" s="20">
        <v>4901</v>
      </c>
      <c r="G15" s="20">
        <v>3</v>
      </c>
      <c r="H15" s="21">
        <v>1</v>
      </c>
      <c r="I15" s="20">
        <v>2</v>
      </c>
      <c r="J15" s="20">
        <v>5</v>
      </c>
      <c r="K15" s="20">
        <v>1</v>
      </c>
      <c r="L15" s="20"/>
      <c r="M15" s="22">
        <v>1</v>
      </c>
      <c r="N15" s="21" t="s">
        <v>51</v>
      </c>
      <c r="O15" s="172" t="s">
        <v>238</v>
      </c>
      <c r="P15" s="173"/>
      <c r="Q15" s="68">
        <v>2950125.16</v>
      </c>
      <c r="R15" s="74"/>
      <c r="S15" s="29"/>
    </row>
    <row r="16" spans="1:19" ht="26.25" customHeight="1" x14ac:dyDescent="0.2">
      <c r="A16" s="23">
        <v>42</v>
      </c>
      <c r="B16" s="24"/>
      <c r="C16" s="24"/>
      <c r="D16" s="24">
        <v>2</v>
      </c>
      <c r="E16" s="24"/>
      <c r="F16" s="25">
        <v>4901</v>
      </c>
      <c r="G16" s="24">
        <v>3</v>
      </c>
      <c r="H16" s="24">
        <v>1</v>
      </c>
      <c r="I16" s="24">
        <v>2</v>
      </c>
      <c r="J16" s="24">
        <v>5</v>
      </c>
      <c r="K16" s="24">
        <v>6</v>
      </c>
      <c r="L16" s="24"/>
      <c r="M16" s="26">
        <v>1</v>
      </c>
      <c r="N16" s="27" t="s">
        <v>51</v>
      </c>
      <c r="O16" s="30" t="s">
        <v>236</v>
      </c>
      <c r="P16" s="31"/>
      <c r="Q16" s="67">
        <v>1207.5</v>
      </c>
      <c r="R16" s="74"/>
    </row>
    <row r="17" spans="1:18" ht="17.25" customHeight="1" x14ac:dyDescent="0.2">
      <c r="A17" s="35"/>
      <c r="B17" s="35"/>
      <c r="C17" s="35"/>
      <c r="D17" s="35"/>
      <c r="E17" s="35"/>
      <c r="F17" s="35"/>
      <c r="G17" s="36"/>
      <c r="H17" s="35"/>
      <c r="I17" s="35"/>
      <c r="J17" s="35"/>
      <c r="K17" s="35"/>
      <c r="L17" s="35"/>
      <c r="M17" s="35"/>
      <c r="N17" s="35"/>
      <c r="O17" s="170"/>
      <c r="P17" s="171"/>
      <c r="Q17" s="35"/>
      <c r="R17" s="1"/>
    </row>
    <row r="18" spans="1:18" ht="17.25" customHeight="1" thickBot="1" x14ac:dyDescent="0.25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4"/>
      <c r="N18" s="33"/>
      <c r="O18" s="185"/>
      <c r="P18" s="185"/>
      <c r="Q18" s="37"/>
    </row>
    <row r="19" spans="1:18" ht="24.75" customHeight="1" x14ac:dyDescent="0.2">
      <c r="A19" s="186" t="s">
        <v>336</v>
      </c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28">
        <f>SUM(Q15:Q18)</f>
        <v>2951332.66</v>
      </c>
    </row>
    <row r="20" spans="1:18" ht="18" customHeight="1" thickBot="1" x14ac:dyDescent="0.25">
      <c r="A20" s="187"/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</row>
    <row r="21" spans="1:18" ht="17.25" customHeight="1" thickBot="1" x14ac:dyDescent="0.25">
      <c r="A21" s="180" t="s">
        <v>47</v>
      </c>
      <c r="B21" s="181"/>
      <c r="C21" s="181"/>
      <c r="D21" s="181"/>
      <c r="E21" s="181"/>
      <c r="F21" s="182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</row>
    <row r="22" spans="1:18" ht="18" customHeight="1" thickBot="1" x14ac:dyDescent="0.25">
      <c r="A22" s="184" t="s">
        <v>137</v>
      </c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</row>
    <row r="23" spans="1:18" ht="15" customHeight="1" x14ac:dyDescent="0.2">
      <c r="A23" s="184"/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</row>
  </sheetData>
  <mergeCells count="26">
    <mergeCell ref="A21:F21"/>
    <mergeCell ref="G21:Q21"/>
    <mergeCell ref="A22:Q23"/>
    <mergeCell ref="O18:P18"/>
    <mergeCell ref="A19:P19"/>
    <mergeCell ref="A20:Q20"/>
    <mergeCell ref="O17:P17"/>
    <mergeCell ref="O15:P15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87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A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 de Windows</cp:lastModifiedBy>
  <cp:revision>2</cp:revision>
  <cp:lastPrinted>2021-02-11T14:30:19Z</cp:lastPrinted>
  <dcterms:created xsi:type="dcterms:W3CDTF">2020-07-17T23:44:49Z</dcterms:created>
  <dcterms:modified xsi:type="dcterms:W3CDTF">2021-02-12T16:41:59Z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