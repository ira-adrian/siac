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D6F2BAC-B4DA-440B-9489-559B1719234D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I10" i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<sst xmlns="http://schemas.openxmlformats.org/spreadsheetml/2006/main" count="84" uniqueCount="74">
  <si>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</si>
  <si>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</si>
  <si>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</si>
  <si>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</si>
  <si>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</si>
  <si>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</si>
  <si>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</si>
  <si>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</si>
  <si>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</si>
  <si>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</si>
  <si>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</si>
  <si>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</si>
  <si>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</si>
  <si>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</si>
  <si>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</si>
  <si>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</si>
  <si>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</si>
  <si>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</si>
  <si>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</si>
  <si>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</si>
  <si>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</si>
  <si>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</si>
  <si>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</si>
  <si>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</si>
  <si>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</si>
  <si>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</si>
  <si>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</si>
  <si>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</si>
  <si>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</si>
  <si>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</si>
  <si>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</si>
  <si>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</si>
  <si>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</si>
  <si>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</si>
  <si>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</si>
  <si>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</si>
  <si>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</si>
  <si>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</si>
  <si>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</si>
  <si>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</si>
  <si>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</si>
  <si>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</si>
  <si>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</si>
  <si>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</si>
  <si>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</si>
  <si>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</si>
  <si>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</si>
  <si>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</si>
  <si>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</si>
  <si>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</si>
  <si>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</si>
  <si>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</si>
  <si>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</si>
  <si>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</si>
  <si>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</si>
  <si>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</si>
  <si>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</si>
  <si>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</si>
  <si>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</si>
  <si>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</si>
  <si>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</si>
  <si>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</si>
  <si>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</si>
  <si>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</si>
  <si>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</si>
  <si>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</si>
  <si>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</si>
  <si>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DENTRO DE LOS 15 DIAS HABILES, A PARTIR DEL PERFECCIONAMIENTO DEL DOCUMENTO CONTRACTUAL.</t>
  </si>
  <si>
    <t>30 DIAS.</t>
  </si>
  <si>
    <t>SE SUGIERE LA ENTREGA DE VALES DE 10 LITROS. CUANDO LA CANTIDAD ADJUDICADA NO PERMITA LA CONFECCIONDE DICHO VALE SE PODRA CONFECCIONAR UN VALE POR UNA CANTIDAD MENOR.</t>
  </si>
  <si>
    <t>SI</t>
  </si>
  <si>
    <t>001/2022</t>
  </si>
  <si>
    <t>Costo total estimado: Dos Millones Doscientos Sesenta y Un Mil Setecientos con 00/100</t>
  </si>
  <si>
    <r>
      <t xml:space="preserve">TOTAL DE PESOS: </t>
    </r>
    <r>
      <rPr>
        <b/>
        <sz val="8"/>
        <rFont val="Arial"/>
        <family val="2"/>
      </rPr>
      <t>Dos Millones Doscientos Sesenta y Un Mil Setecientos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</si>
</sst>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0" fillId="0" borderId="31" xfId="0" applyBorder="1"/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opLeftCell="D1" zoomScaleNormal="100" workbookViewId="0">
      <selection activeCell="G11" sqref="G11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7" t="s">
        <v>0</v>
      </c>
      <c r="C2" s="97"/>
      <c r="D2" s="97"/>
      <c r="E2" s="97"/>
      <c r="F2" s="97"/>
      <c r="G2" s="97"/>
      <c r="H2" s="97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8" t="s">
        <v>59</v>
      </c>
      <c r="D4" s="98"/>
      <c r="E4" s="98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8" t="s">
        <v>61</v>
      </c>
      <c r="D5" s="98"/>
      <c r="E5" s="98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1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62</v>
      </c>
      <c r="D10" s="68" t="str">
        <f>LEFT(B10,5)</f>
        <v>2.5.6</v>
      </c>
      <c r="E10" s="69" t="s">
        <v>65</v>
      </c>
      <c r="F10" s="68" t="s">
        <v>63</v>
      </c>
      <c r="G10" s="68">
        <v>21000</v>
      </c>
      <c r="H10" s="90">
        <v>107.7</v>
      </c>
      <c r="I10" s="76">
        <f>G10*H10</f>
        <v>2261700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2261700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69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67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57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2"/>
      <c r="D23" s="92"/>
      <c r="E23" s="92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2" t="s">
        <v>68</v>
      </c>
      <c r="D25" s="92"/>
      <c r="E25" s="92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3"/>
      <c r="D27" s="93"/>
      <c r="E27" s="93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B2:H2"/>
    <mergeCell ref="A4:B4"/>
    <mergeCell ref="C4:E4"/>
    <mergeCell ref="A5:B5"/>
    <mergeCell ref="C5:E5"/>
    <mergeCell ref="C23:E23"/>
    <mergeCell ref="C25:E25"/>
    <mergeCell ref="C27:E27"/>
    <mergeCell ref="A6:B6"/>
    <mergeCell ref="A7:B7"/>
    <mergeCell ref="C18:E18"/>
    <mergeCell ref="C20:E20"/>
    <mergeCell ref="C21:E2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tabSelected="1" zoomScale="87" zoomScaleNormal="87" workbookViewId="0">
      <selection activeCell="A15" sqref="A15: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8" t="s">
        <v>20</v>
      </c>
      <c r="B1" s="108"/>
      <c r="C1" s="108"/>
      <c r="D1" s="108"/>
      <c r="E1" s="108"/>
      <c r="F1" s="108"/>
      <c r="G1" s="108"/>
      <c r="H1" s="108"/>
      <c r="I1" s="108"/>
      <c r="J1" s="77" t="s">
        <v>21</v>
      </c>
      <c r="K1" s="78" t="s">
        <v>71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9" t="s">
        <v>54</v>
      </c>
      <c r="B3" s="109"/>
      <c r="C3" s="109"/>
      <c r="D3" s="110" t="str">
        <f>'Necesidades Trimestrales'!C4</f>
        <v>35 - Ministerio de Vivienda y Urbanizacion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25">
      <c r="A4" s="111" t="s">
        <v>55</v>
      </c>
      <c r="B4" s="111"/>
      <c r="C4" s="111"/>
      <c r="D4" s="110" t="str">
        <f>'Necesidades Trimestrales'!C5</f>
        <v>48 - Direccion Provincial de Gestion de Administracion y Recursos Humanos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25">
      <c r="A5" s="111" t="s">
        <v>33</v>
      </c>
      <c r="B5" s="111"/>
      <c r="C5" s="111"/>
      <c r="D5" s="110" t="s">
        <v>60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25">
      <c r="A6" s="109" t="s">
        <v>56</v>
      </c>
      <c r="B6" s="109"/>
      <c r="C6" s="109"/>
      <c r="D6" s="110" t="s">
        <v>60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">
      <c r="A7" s="111" t="s">
        <v>22</v>
      </c>
      <c r="B7" s="111"/>
      <c r="C7" s="111"/>
      <c r="D7" s="110" t="str">
        <f>'Necesidades Trimestrales'!C7 &amp; "° Trimestre - Año " &amp; 'Necesidades Trimestrales'!C6</f>
        <v>1° Trimestre - Año 2022</v>
      </c>
      <c r="E7" s="110"/>
      <c r="F7" s="110"/>
      <c r="G7" s="110"/>
      <c r="H7" s="110"/>
      <c r="I7" s="110"/>
      <c r="J7" s="110"/>
      <c r="K7" s="110"/>
    </row>
    <row r="8" spans="1:11" ht="33" customHeight="1" x14ac:dyDescent="0.2">
      <c r="A8" s="103" t="s">
        <v>23</v>
      </c>
      <c r="B8" s="103"/>
      <c r="C8" s="103"/>
      <c r="D8" s="104" t="s">
        <v>66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01" t="str">
        <f>'Necesidades Trimestrales'!E10</f>
        <v>GAS OIL; PRESENTACION: POR LITRO, USO: MOTORES DIESEL, COMERCIALIZACION: GRADO 3, DESTINO: DPTO. S.F.V. DE CATAMARCA</v>
      </c>
      <c r="D12" s="101"/>
      <c r="E12" s="101"/>
      <c r="F12" s="101"/>
      <c r="G12" s="101"/>
      <c r="H12" s="83" t="s">
        <v>70</v>
      </c>
      <c r="I12" s="85" t="str">
        <f>'Necesidades Trimestrales'!F10</f>
        <v>LITROS</v>
      </c>
      <c r="J12" s="91">
        <f>'Necesidades Trimestrales'!H10</f>
        <v>107.7</v>
      </c>
      <c r="K12" s="87">
        <f>'Necesidades Trimestrales'!G10</f>
        <v>21000</v>
      </c>
    </row>
    <row r="13" spans="1:11" ht="27.75" customHeight="1" x14ac:dyDescent="0.2">
      <c r="A13" s="88"/>
      <c r="B13" s="84"/>
      <c r="C13" s="101"/>
      <c r="D13" s="101"/>
      <c r="E13" s="101"/>
      <c r="F13" s="101"/>
      <c r="G13" s="101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2"/>
      <c r="D14" s="102"/>
      <c r="E14" s="102"/>
      <c r="F14" s="102"/>
      <c r="G14" s="102"/>
      <c r="H14" s="5"/>
      <c r="I14" s="6"/>
      <c r="J14" s="6"/>
      <c r="K14" s="7"/>
    </row>
    <row r="15" spans="1:11" ht="20.25" customHeight="1" x14ac:dyDescent="0.2">
      <c r="A15" s="99" t="s">
        <v>72</v>
      </c>
      <c r="B15" s="99"/>
      <c r="C15" s="99"/>
      <c r="D15" s="99"/>
      <c r="E15" s="99"/>
      <c r="F15" s="99"/>
      <c r="G15" s="99"/>
      <c r="H15" s="99"/>
      <c r="I15" s="99"/>
      <c r="J15" s="100">
        <f>SUMPRODUCT(J12:J14,K12:K14)</f>
        <v>2261700</v>
      </c>
      <c r="K15" s="100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G25" sqref="G25:Q2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5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2022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31</v>
      </c>
      <c r="Q1" s="13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7"/>
      <c r="Q2" s="137"/>
    </row>
    <row r="4" spans="1:17" s="11" customFormat="1" ht="18" customHeight="1" thickBot="1" x14ac:dyDescent="0.25">
      <c r="A4" s="138" t="s">
        <v>32</v>
      </c>
      <c r="B4" s="138"/>
      <c r="C4" s="138"/>
      <c r="D4" s="138"/>
      <c r="E4" s="138"/>
      <c r="F4" s="138"/>
      <c r="G4" s="133" t="str">
        <f>' NotaPedido'!D3</f>
        <v>35 - Ministerio de Vivienda y Urbanizacion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1" customFormat="1" ht="18" customHeight="1" thickBot="1" x14ac:dyDescent="0.25">
      <c r="A5" s="130" t="s">
        <v>55</v>
      </c>
      <c r="B5" s="131"/>
      <c r="C5" s="131"/>
      <c r="D5" s="131"/>
      <c r="E5" s="131"/>
      <c r="F5" s="132"/>
      <c r="G5" s="133" t="str">
        <f>' NotaPedido'!D4</f>
        <v>48 - Direccion Provincial de Gestion de Administracion y Recursos Humanos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1" customFormat="1" ht="18" customHeight="1" thickBot="1" x14ac:dyDescent="0.25">
      <c r="A6" s="130" t="s">
        <v>33</v>
      </c>
      <c r="B6" s="131"/>
      <c r="C6" s="131"/>
      <c r="D6" s="131"/>
      <c r="E6" s="131"/>
      <c r="F6" s="132"/>
      <c r="G6" s="133" t="str">
        <f>' NotaPedido'!D5</f>
        <v>Ministerio de Vivienda y Urbanizacion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1" customFormat="1" ht="18" customHeight="1" thickBot="1" x14ac:dyDescent="0.25">
      <c r="A7" s="130" t="s">
        <v>56</v>
      </c>
      <c r="B7" s="131"/>
      <c r="C7" s="131"/>
      <c r="D7" s="131"/>
      <c r="E7" s="131"/>
      <c r="F7" s="132"/>
      <c r="G7" s="133" t="str">
        <f>' NotaPedido'!D6</f>
        <v>Ministerio de Vivienda y Urbanizacion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4" t="s">
        <v>34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001/2022,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thickBot="1" x14ac:dyDescent="0.25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2" t="s">
        <v>62</v>
      </c>
      <c r="P15" s="123"/>
      <c r="Q15" s="22">
        <v>1100000</v>
      </c>
    </row>
    <row r="16" spans="1:17" ht="17.25" customHeight="1" x14ac:dyDescent="0.2">
      <c r="A16" s="23">
        <v>19</v>
      </c>
      <c r="B16" s="24">
        <v>0</v>
      </c>
      <c r="C16" s="24">
        <v>0</v>
      </c>
      <c r="D16" s="24">
        <v>1</v>
      </c>
      <c r="E16" s="24">
        <v>0</v>
      </c>
      <c r="F16" s="24">
        <v>4901</v>
      </c>
      <c r="G16" s="24">
        <v>3</v>
      </c>
      <c r="H16" s="24">
        <v>370</v>
      </c>
      <c r="I16" s="24">
        <v>2</v>
      </c>
      <c r="J16" s="24">
        <v>5</v>
      </c>
      <c r="K16" s="24">
        <v>6</v>
      </c>
      <c r="L16" s="24">
        <v>0</v>
      </c>
      <c r="M16" s="25">
        <v>1</v>
      </c>
      <c r="N16" s="26" t="s">
        <v>58</v>
      </c>
      <c r="O16" s="122" t="s">
        <v>62</v>
      </c>
      <c r="P16" s="123"/>
      <c r="Q16" s="27">
        <v>1161700</v>
      </c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7"/>
      <c r="P17" s="117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7"/>
      <c r="P18" s="117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7"/>
      <c r="P19" s="117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7"/>
      <c r="P20" s="117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8"/>
      <c r="P21" s="118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19"/>
      <c r="P22" s="119"/>
      <c r="Q22" s="36"/>
    </row>
    <row r="23" spans="1:18" ht="20.25" customHeight="1" x14ac:dyDescent="0.2">
      <c r="A23" s="120" t="s">
        <v>73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37">
        <f>SUM(Q15:Q22)</f>
        <v>2261700</v>
      </c>
    </row>
    <row r="24" spans="1:18" ht="18" customHeight="1" thickBot="1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8" ht="17.25" customHeight="1" thickBot="1" x14ac:dyDescent="0.25">
      <c r="A25" s="112" t="s">
        <v>53</v>
      </c>
      <c r="B25" s="113"/>
      <c r="C25" s="113"/>
      <c r="D25" s="113"/>
      <c r="E25" s="113"/>
      <c r="F25" s="114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  <row r="26" spans="1:18" ht="23.25" customHeight="1" thickBot="1" x14ac:dyDescent="0.25">
      <c r="A26" s="116" t="s">
        <v>66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8" ht="20.25" customHeight="1" x14ac:dyDescent="0.2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2022-01-07T13:48:49Z</cp:lastPrinted>
  <dcterms:created xsi:type="dcterms:W3CDTF">2020-07-17T23:44:49Z</dcterms:created>
  <dcterms:modified xsi:type="dcterms:W3CDTF">2022-02-01T13:35:46Z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