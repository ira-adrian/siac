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checkCompatibility="1"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0AB550A-B06C-4AE6-A787-8E7DE2DB4566}" xr6:coauthVersionLast="47" xr6:coauthVersionMax="47" xr10:uidLastSave="{00000000-0000-0000-0000-000000000000}"/>
  <bookViews>
    <workbookView xWindow="-120" yWindow="-120" windowWidth="29040" windowHeight="15840" tabRatio="500" activeTab="2" xr2:uid="{00000000-000D-0000-FFFF-FFFF00000000}"/>
  </bookViews>
  <sheets>
    <sheet name="Necesidades Trimestrales" sheetId="1" r:id="rId1"/>
    <sheet name=" NotaPedido" sheetId="2" r:id="rId2"/>
    <sheet name="Autor Gastar" sheetId="3" r:id="rId3"/>
  </sheets>
  <definedNames>
    <definedName name="_xlnm.Print_Area" localSheetId="1">' NotaPedido'!$A$1:$K$46</definedName>
    <definedName name="_xlnm.Print_Area" localSheetId="2">'Autor Gastar'!$A$1:$Q$27</definedName>
    <definedName name="_xlnm.Print_Area" localSheetId="0">'Necesidades Trimestrales'!$E$9:$E$43</definedName>
  </definedNames>
  <calcPr calcId="181029"/>
</workbook>
</file>

<file path=xl/calcChain.xml><?xml version="1.0" encoding="utf-8"?>
<calcChain xmlns="http://schemas.openxmlformats.org/spreadsheetml/2006/main">
  <c r="Q23" i="3" l="1"/>
  <c r="A10" i="3" l="1"/>
  <c r="B13" i="2" l="1"/>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C43" i="2"/>
  <c r="C44" i="2"/>
  <c r="C45" i="2"/>
  <c r="C40" i="2"/>
  <c r="C41" i="2"/>
  <c r="C42" i="2"/>
  <c r="C37" i="2"/>
  <c r="C38" i="2"/>
  <c r="C39" i="2"/>
  <c r="C34" i="2"/>
  <c r="C35" i="2"/>
  <c r="C36" i="2"/>
  <c r="C28" i="2"/>
  <c r="C29" i="2"/>
  <c r="C30" i="2"/>
  <c r="C31" i="2"/>
  <c r="C32" i="2"/>
  <c r="C33" i="2"/>
  <c r="C26" i="2"/>
  <c r="C27" i="2"/>
  <c r="C21" i="2"/>
  <c r="C22" i="2"/>
  <c r="C23" i="2"/>
  <c r="C24" i="2"/>
  <c r="C25" i="2"/>
  <c r="C18" i="2"/>
  <c r="C19" i="2"/>
  <c r="C20" i="2"/>
  <c r="C14" i="2"/>
  <c r="C15" i="2"/>
  <c r="C16" i="2"/>
  <c r="C17" i="2"/>
  <c r="C13"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I11" i="1" l="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G6" i="3" l="1"/>
  <c r="G7" i="3"/>
  <c r="D7" i="2"/>
  <c r="D3" i="2"/>
  <c r="G4" i="3" s="1"/>
  <c r="D4" i="2"/>
  <c r="G5" i="3" s="1"/>
  <c r="D1" i="3" l="1"/>
  <c r="K12" i="2"/>
  <c r="J12" i="2"/>
  <c r="I12" i="2"/>
  <c r="C12" i="2"/>
  <c r="B12" i="2"/>
  <c r="I10" i="1"/>
  <c r="D10" i="1"/>
  <c r="I15" i="3" s="1"/>
  <c r="J46" i="2" l="1"/>
  <c r="K15" i="3"/>
  <c r="J15" i="3"/>
</calcChain>
</file>

<file path=xl/sharedStrings.xml><?xml version="1.0" encoding="utf-8"?>
<sst xmlns="http://schemas.openxmlformats.org/spreadsheetml/2006/main" count="276" uniqueCount="144">
  <si>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</si>
  <si>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</si>
  <si>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</si>
  <si>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</si>
  <si>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</si>
  <si>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</si>
  <si>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</si>
  <si>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</si>
  <si>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</si>
  <si>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</si>
  <si>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</si>
  <si>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</si>
  <si>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</si>
  <si>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</si>
  <si>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</si>
  <si>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</si>
  <si>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</si>
  <si>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</si>
  <si>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</si>
  <si>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</si>
  <si>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</si>
  <si>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</si>
  <si>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</si>
  <si>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</si>
  <si>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</si>
  <si>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</si>
  <si>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</si>
  <si>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</si>
  <si>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</si>
  <si>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</si>
  <si>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</si>
  <si>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</si>
  <si>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</si>
  <si>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</si>
  <si>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</si>
  <si>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</si>
  <si>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</si>
  <si>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</si>
  <si>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</si>
  <si>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</si>
  <si>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</si>
  <si>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</si>
  <si>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</si>
  <si>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</si>
  <si>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</si>
  <si>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</si>
  <si>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</si>
  <si>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</si>
  <si>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</si>
  <si>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</si>
  <si>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</si>
  <si>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</si>
  <si>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2.1.1-439.67</t>
  </si>
  <si>
    <t>ALIMENTOS</t>
  </si>
  <si>
    <t>ACEITES COMESTIBLES; TIPO: GIRASOL, PRESENTACION: ENVASE X 900 CM3, MATERIAL ENVASE: PLASTICO 1 (PET), ELEM. TRANSPORTE: SIN, MATERIAL ELEM. TRANSPORTE : SIN, LIBRE DE GLUTEN: NO</t>
  </si>
  <si>
    <t>2.1.1</t>
  </si>
  <si>
    <t>PAQUETE</t>
  </si>
  <si>
    <t>LATA</t>
  </si>
  <si>
    <t>2.1.1-708.43</t>
  </si>
  <si>
    <t>CONSERVAS PESCADO Y FRUTOS MAR; TIPO: ATUN, ESTADO: AL NATURAL, PESO: 170 GR, ENVASE: LATA, ELEM. TRANSPORTE: SIN, MATERIAL ELEM. TRANSPORTE: SIN</t>
  </si>
  <si>
    <t>CAJA</t>
  </si>
  <si>
    <t>LEGUMBRES; VARIEDAD: ARVEJA, ESTADO: REMOJADO EN CONSERVA, PRESENTACION: LATA, PESO: 350 GR</t>
  </si>
  <si>
    <t>2.1.1-6547.17</t>
  </si>
  <si>
    <t>AZUCARES; TIPO: "A" COMUN, ESTADO: MOLIDA, PESO: 1 Kg, MATERIAL ENVASE: PLASTICO, CERTIFICADO FORESTAL (GFS): SIN, ELEM. TRANSPORTE: SIN, MATERIAL ELEM. TRANSPORTE: SIN</t>
  </si>
  <si>
    <t>2.1.1-481.38</t>
  </si>
  <si>
    <t>VERDURAS Y HORTALIZAS; VARIEDAD: CHOCLO, ESTADO: CREMOSO, PRESENTACION: LATA, PESO: 350 GR, ELEM. TRANSPORTE: SIN, MATERIAL ELEM. TRANSPORTE: SIN, LIBRE DE GLUTEN: NO</t>
  </si>
  <si>
    <t>2.1.1-6546.336</t>
  </si>
  <si>
    <t>VERDURAS Y HORTALIZAS; VARIEDAD: CHOCLO, ESTADO: GRANO, PRESENTACION: LATA, PESO: 350 GR</t>
  </si>
  <si>
    <t>2.1.1-6546.269</t>
  </si>
  <si>
    <t>EDULCORANTES; PRESENTACION: LIQUIDO, ENVASE: BOTELLA PLASTICA, CONTENIDO: 500 CM3</t>
  </si>
  <si>
    <t>2.1.1-595.2</t>
  </si>
  <si>
    <t>BOTELLA</t>
  </si>
  <si>
    <t>FIDEOS SECOS; VARIEDAD: TIRABUZON, RELLENO: SIN, PRESENTACION: ENVASE X 500 GR, MATERIAL ENVASE: PLASTICO 1 (PET), ELEM. TRANSPORTE: SIN, MATERIAL ELEM. TRANSPORTE: SIN, CERTIFICADO FORESTAL (GFS): SIN, LIBRE DE GLUTEN: NO</t>
  </si>
  <si>
    <t>2.1.1-2868.53</t>
  </si>
  <si>
    <t>2.1.1-2868.59</t>
  </si>
  <si>
    <t>FIDEOS SECOS; VARIEDAD: MOSTACHOLES, RELLENO: SIN, PRESENTACION: ENVASE X 500 GR, MATERIAL ENVASE: PVC, ELEM. TRANSPORTE: CAJA, MATERIAL ELEM. TRANSPORTE: CARTON, CERTIFICADO FORESTAL (GFS): SIN, LIBRE DE GLUTEN: NO</t>
  </si>
  <si>
    <t>FIDEOS SECOS; VARIEDAD: TALLARIN, RELLENO: SIN, PRESENTACION: ENVASE X 500 GR, MATERIAL ENVASE: PLASTICO 1 (PET), ELEM. TRANSPORTE: SIN, MATERIAL ELEM. TRANSPORTE: SIN, CERTIFICADO FORESTAL (GFS): SIN, LIBRE DE GLUTEN: NO</t>
  </si>
  <si>
    <t>2.1.1-2868.55</t>
  </si>
  <si>
    <t>ARROZ; TIPO GRANO: DOBLE, TIPO: BLANCO, PROCESO: PARBOLIZADO, PRESENTACION: ENVASE X 1 Kg, MATERIAL ENVASE: CARTON, CERTIFICADO FORESTAL (GFS): SIN, ELEM. TRANSPORTE: SIN, MATERIAL ELEM. TRANSPORTE: SIN</t>
  </si>
  <si>
    <t>2.1.1-435.38</t>
  </si>
  <si>
    <t>AVENAS; TIPO: ARROLLADA, ESTADO: NATURAL, PRESENTACION: BOLSA, PESO: 1 Kg</t>
  </si>
  <si>
    <t>2.1.1-2124.3</t>
  </si>
  <si>
    <t>HARINAS; TIPO: MAIZ, PRESENTACION: ENVASE X 1 Kg, MATERIAL ENVASE: PAPEL, CERTICADO FORESTAL (GFS): SIN, ELEM. TRANSPORTE: SIN, MATERIAL ELEM. TRANSPORTE: SIN, LIBRE DE GLUTEN: NO</t>
  </si>
  <si>
    <t>2.1.1-482.69</t>
  </si>
  <si>
    <t>HARINAS; TIPO: LEUDANTE, PRESENTACION: ENVASE X 1 Kg, MATERIAL ENVASE: PAPEL, CERTICADO FORESTAL (GFS): SIN, ELEM. TRANSPORTE: SIN, MATERIAL ELEM. TRANSPORTE: SIN, LIBRE DE GLUTEN: NO</t>
  </si>
  <si>
    <t>2.1.1-482.81</t>
  </si>
  <si>
    <t>ESPECIAS; TIPO: LAUREL, PRESENTACION: PAQUETE X 50 GR</t>
  </si>
  <si>
    <t>2.1.1-489.96</t>
  </si>
  <si>
    <t>LECHE; ESTADO: POLVO, TIPO: ENTERA, PROCESO: PASTEURIZADA, AGREGADO: VITAMINAS A Y D, PRESENTACION: ENVASE X 800 GR, MATERIAL ENVASE: CARTON, ELEM. TRANSPORTE: SIN, MATERIAL ELEM. TRANSPORTE: SIN, CERTIFICADO FORESTAL (GFS): SIN, LIBRE DE GLUTEN: SI</t>
  </si>
  <si>
    <t>2.1.1-705.93</t>
  </si>
  <si>
    <t>ESPECIAS; TIPO: OREGANO, PRESENTACION: BOLSA DE 1 Kg</t>
  </si>
  <si>
    <t>2.1.1-489.66</t>
  </si>
  <si>
    <t>ESPECIAS; TIPO: PIMENTON DULCE, PRESENTACION: PAQUETE X 50 GR</t>
  </si>
  <si>
    <t>2.1.1-489.97</t>
  </si>
  <si>
    <t>PURE; TIPO: DE TOMATE, ENVASE: CAJA DE CARTON, PESO: 530 GR</t>
  </si>
  <si>
    <t>2.1.1-509.10</t>
  </si>
  <si>
    <t>SAL DE MESA; CONSISTENCIA: FINA, PESO: 500 GR, TIPO: SIN VALOR, ENVASE: PAQUETE</t>
  </si>
  <si>
    <t>2.1.1-514.2</t>
  </si>
  <si>
    <t>BOLSA</t>
  </si>
  <si>
    <t>VINAGRES; TIPO: MANZANA, PRESENTACION: ENVASE X 1 L, MATERIAL ENVASE: PLASTICO 1 (PET)</t>
  </si>
  <si>
    <t>2.1.1-519.23</t>
  </si>
  <si>
    <t>YERBAS; PALO: SIN, PESO: 1 Kg, MATERIAL ENVASE : PAPEL, CERTIFICADO FORESTAL (GFS): CON, ELEM. TRANSPORTE: SIN, MATERIAL ELEM. TRANSPORTE: SIN, LIBRE DE GLUTEN: SI</t>
  </si>
  <si>
    <t>2.1.1-454.28</t>
  </si>
  <si>
    <t>GALLETITAS; VARIEDAD: SIN SAL, RELLENO: SIN, PRESENTACION: ENVASE X 180 GR, ELEM. TRANSPORTE: SIN, MATERIAL ELEM. TRANSPORTE: SIN, LIBRE DE GLUTEN: SI</t>
  </si>
  <si>
    <t>2.1.1-788.186</t>
  </si>
  <si>
    <t>024 - Hospital Interzonal de Niños</t>
  </si>
  <si>
    <t>040 - Ministerio de Salud</t>
  </si>
  <si>
    <t>SOBRE</t>
  </si>
  <si>
    <t>Servicio de Alimentacion y Dietoterapia</t>
  </si>
  <si>
    <t>1.1</t>
  </si>
  <si>
    <t>Alimentos para Personas</t>
  </si>
  <si>
    <t>NO</t>
  </si>
  <si>
    <r>
      <rPr>
        <b/>
        <u/>
        <sz val="10"/>
        <rFont val="Times New Roman"/>
        <family val="1"/>
      </rPr>
      <t>Lugar de Entrega</t>
    </r>
    <r>
      <rPr>
        <u/>
        <sz val="10"/>
        <rFont val="Times New Roman"/>
        <family val="1"/>
      </rPr>
      <t xml:space="preserve">: </t>
    </r>
    <r>
      <rPr>
        <sz val="10"/>
        <rFont val="Times New Roman"/>
        <family val="1"/>
      </rPr>
      <t>SERVICIO DE NUTRICION Y DIETOTERAPIA -HOSPITAL INT. DE NIÑOS EVA PERON – AV. VIRGEN DEL VALLE N° 1050-CATAMARCA DE 8:00 A 12:00HS., DEBIENDO CORRER LOS GASTOS DE FLETES, ACARREO, CARGA, DESCARGA Y SEGURO A CARGO DEL ADJUDICATARIO.</t>
    </r>
  </si>
  <si>
    <r>
      <rPr>
        <b/>
        <u/>
        <sz val="10"/>
        <rFont val="Times New Roman"/>
        <family val="1"/>
      </rPr>
      <t>Plazo de mantenimiento de Oferta</t>
    </r>
    <r>
      <rPr>
        <u/>
        <sz val="10"/>
        <rFont val="Times New Roman"/>
        <family val="1"/>
      </rPr>
      <t>:</t>
    </r>
    <r>
      <rPr>
        <sz val="10"/>
        <rFont val="Times New Roman"/>
        <family val="1"/>
      </rPr>
      <t xml:space="preserve"> 30 Días</t>
    </r>
  </si>
  <si>
    <t>CONSERVAS DE FRUTAS; VARIEDAD: COCTEL, ENVASE: LATA, PESO: 820 GR, ELEM. TRANSPORTE: SIN, MATERIAL ELEM. TRANSPORTE: SIN, LIBRE DE GLUTEN: SI</t>
  </si>
  <si>
    <t>2.1.1-597.43</t>
  </si>
  <si>
    <t>DULCES; TIPO: DE BATATA, PRESENTACION: LATA, PESO: 5</t>
  </si>
  <si>
    <t>DULCES; TIPO: DE MEMBRILLO, PRESENTACION: LATA, PESO: 5 Kg</t>
  </si>
  <si>
    <t>2.1.1-2113.1</t>
  </si>
  <si>
    <t>2.1.1-2113.2</t>
  </si>
  <si>
    <t>FRUTAS; VARIEDAD: DURAZNO, PRESENTACION: ENVASE X 820 GR, ESTADO: NATURAL, PESO: 820 GR</t>
  </si>
  <si>
    <t>2.1.1-6539.54</t>
  </si>
  <si>
    <t>GELATINAS; TIPO: BAJAS CALORIAS, ENVASE: CAJA DE CARTON, PESO: 30 GR, SABOR: CEREZA</t>
  </si>
  <si>
    <t>2.1.1-510.3</t>
  </si>
  <si>
    <t>HARINAS; TIPO: DE TRIGO 000, PRESENTACION: ENVASE X 1 Kg, MATERIAL ENVASE: PAPEL, CERTICADO FORESTAL (GFS): SIN, ELEM. TRANSPORTE: SIN, MATERIAL ELEM. TRANSPORTE: SIN, LIBRE DE GLUTEN: NO</t>
  </si>
  <si>
    <t>2.1.1-482.80</t>
  </si>
  <si>
    <t>LEVADURAS; TIPO: SECA INSTANTANEA, PRESENTACION: SOBRE, PESO: 20 GR</t>
  </si>
  <si>
    <t>2.1.1-2116.10</t>
  </si>
  <si>
    <t>POSTRES; ESTADO PREPARACION: CON COCCION, TIPO: POLVO, ENVASE: CAJA DE CARTON, PESO: 80 GR, SABOR: VAINILLA, LIBRE DE GLUTEN: SI</t>
  </si>
  <si>
    <t>2.1.1-517.86</t>
  </si>
  <si>
    <t>ESPECIAS; TIPO: PROVENZAL, PRESENTACION: PAQUETE X 1 Kg</t>
  </si>
  <si>
    <t>2.1.1-489.109</t>
  </si>
  <si>
    <t>TE; SAQUITOS 2G P/CAJA: 100, PRESENTACION: EN SAQUITOS ENSOBRADOS, PESO: SIN VALOR, TIPO: SIN VALOR</t>
  </si>
  <si>
    <t>2.1.1-511.6</t>
  </si>
  <si>
    <t>VERDURAS Y HORTALIZAS; VARIEDAD: TOMATE PERITA, ESTADO: TRITURADO, PRESENTACION: BOTELLA, PESO: 950 GR</t>
  </si>
  <si>
    <t>2.1.1-6546.4</t>
  </si>
  <si>
    <t>Adquisición de Alimentos No Perecederos</t>
  </si>
  <si>
    <t>Para la adquisición de Alimentos No Perecederos destinados al servico de Alimentacion y Dietoterapia del Hospital Interzonal de Niños Eva Peron, para el normal funcionamiento del organismo.</t>
  </si>
  <si>
    <t>095/2021</t>
  </si>
  <si>
    <t>TOTAL DE PESOS: UN MILLON CIENTO TREINTA Y DOS MIL QUINIENTOS OCHENTA Y NUEVE CON 00/100.</t>
  </si>
  <si>
    <t>Costo total estimado: Un Millon Cientos Treinta y Dos Mil Quinientos Ochenta y Nueve con 00/100.</t>
  </si>
  <si>
    <r>
      <t xml:space="preserve">Condicion de Calidad:  </t>
    </r>
    <r>
      <rPr>
        <sz val="10"/>
        <rFont val="Times New Roman"/>
        <family val="1"/>
      </rPr>
      <t>El producto ofertado deberá ser provisto en su envase o unidad comercial original, cerrados en fábrica y embalados en cajas que prevean humedad, golpes u otro deterioro que pueda dañar al producto ofertado. Se controlara el origen del producto alimenticio (ROTULADO), la presencia de la numeración correspondiente, RNE (Registro Nacional del Establecimiento), RNPA (Registro Nacional del Producto Alimenticio) y numero de SENASA (para productos derivados de origen animal).</t>
    </r>
  </si>
  <si>
    <t>DE CORRESPONDER PRESENTAR LA SIGUIENTE DOCUMENTACION:
• Registro de habilitación bromatológica del establecimiento.
• Habilitación bromatológica del vehículo que transporta los alimentos.
• Certificado de desinfección.</t>
  </si>
  <si>
    <r>
      <rPr>
        <b/>
        <u/>
        <sz val="10"/>
        <rFont val="Times New Roman"/>
        <family val="1"/>
      </rPr>
      <t>Plazo de entrega</t>
    </r>
    <r>
      <rPr>
        <u/>
        <sz val="10"/>
        <rFont val="Times New Roman"/>
        <family val="1"/>
      </rPr>
      <t>:</t>
    </r>
    <r>
      <rPr>
        <sz val="10"/>
        <rFont val="Times New Roman"/>
        <family val="1"/>
      </rPr>
      <t xml:space="preserve"> Dentro de los cinco (5) días de notificada la Orden de Compra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</si>
</sst>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0"/>
      <name val="Times New Roman"/>
      <family val="1"/>
    </font>
    <font>
      <sz val="11"/>
      <name val="Calibri"/>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1">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diagonal/>
    </border>
    <border>
      <left style="thick">
        <color auto="1"/>
      </left>
      <right/>
      <top style="thick">
        <color auto="1"/>
      </top>
      <bottom/>
      <diagonal/>
    </border>
    <border>
      <left style="thin">
        <color auto="1"/>
      </left>
      <right style="thin">
        <color auto="1"/>
      </right>
      <top style="thick">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0" fontId="14" fillId="0" borderId="0"/>
  </cellStyleXfs>
  <cellXfs count="144">
    <xf numFmtId="0" fontId="0" fillId="0" borderId="0" xfId="0"/>
    <xf numFmtId="0" fontId="0" fillId="0" borderId="0" xfId="0" applyBorder="1"/>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3" xfId="0" applyBorder="1"/>
    <xf numFmtId="0" fontId="0" fillId="0" borderId="28" xfId="0" applyBorder="1"/>
    <xf numFmtId="0" fontId="0" fillId="0" borderId="15" xfId="0" applyBorder="1"/>
    <xf numFmtId="0" fontId="0" fillId="0" borderId="15" xfId="0" applyBorder="1" applyAlignment="1">
      <alignment horizontal="left"/>
    </xf>
    <xf numFmtId="0" fontId="0" fillId="0" borderId="29" xfId="0" applyBorder="1"/>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32" xfId="0" applyFont="1" applyBorder="1" applyAlignment="1">
      <alignment horizontal="left" vertical="center"/>
    </xf>
    <xf numFmtId="0" fontId="13" fillId="0" borderId="33" xfId="0" applyFont="1" applyBorder="1" applyAlignment="1">
      <alignment horizontal="center" vertical="center"/>
    </xf>
    <xf numFmtId="0" fontId="13" fillId="0" borderId="27" xfId="0" applyFont="1" applyBorder="1" applyAlignment="1">
      <alignment horizontal="center" vertical="center"/>
    </xf>
    <xf numFmtId="166" fontId="0" fillId="0" borderId="37" xfId="3" applyNumberFormat="1" applyFont="1" applyBorder="1" applyAlignment="1" applyProtection="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166" fontId="0" fillId="0" borderId="42" xfId="3" applyNumberFormat="1" applyFont="1" applyBorder="1" applyAlignment="1" applyProtection="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0" fillId="0" borderId="41" xfId="0"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166" fontId="0" fillId="0" borderId="46" xfId="3" applyNumberFormat="1" applyFont="1" applyBorder="1" applyAlignment="1" applyProtection="1">
      <alignment horizontal="center" vertical="center"/>
    </xf>
    <xf numFmtId="166" fontId="13" fillId="0" borderId="47"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19" fillId="0" borderId="2" xfId="0" applyFont="1" applyBorder="1" applyAlignment="1">
      <alignment horizontal="center" vertical="center" wrapText="1"/>
    </xf>
    <xf numFmtId="0" fontId="15" fillId="0" borderId="6" xfId="0" applyFont="1" applyBorder="1"/>
    <xf numFmtId="0" fontId="15" fillId="0" borderId="7" xfId="0" applyFont="1" applyBorder="1"/>
    <xf numFmtId="166" fontId="15" fillId="0" borderId="0" xfId="0" applyNumberFormat="1" applyFont="1"/>
    <xf numFmtId="0" fontId="19" fillId="0" borderId="51" xfId="0" applyFont="1" applyBorder="1" applyAlignment="1">
      <alignment horizontal="center" vertical="center" wrapText="1"/>
    </xf>
    <xf numFmtId="0" fontId="5" fillId="3" borderId="13" xfId="0" applyFont="1" applyFill="1" applyBorder="1" applyAlignment="1">
      <alignment horizontal="right" vertical="center"/>
    </xf>
    <xf numFmtId="0" fontId="6" fillId="4" borderId="14" xfId="0" applyFont="1" applyFill="1" applyBorder="1" applyAlignment="1">
      <alignment horizontal="center" vertical="center"/>
    </xf>
    <xf numFmtId="0" fontId="2" fillId="3" borderId="0" xfId="0" applyFont="1" applyFill="1" applyBorder="1" applyAlignment="1">
      <alignment vertical="center"/>
    </xf>
    <xf numFmtId="0" fontId="0" fillId="3" borderId="0" xfId="0" applyFill="1"/>
    <xf numFmtId="0" fontId="5" fillId="3" borderId="15" xfId="0" applyFont="1" applyFill="1" applyBorder="1" applyAlignment="1">
      <alignment vertical="center"/>
    </xf>
    <xf numFmtId="0" fontId="5" fillId="3" borderId="0" xfId="0" applyFont="1" applyFill="1" applyBorder="1" applyAlignment="1">
      <alignment vertical="center"/>
    </xf>
    <xf numFmtId="0" fontId="7" fillId="3" borderId="0" xfId="0" applyFont="1" applyFill="1" applyBorder="1" applyAlignment="1">
      <alignment horizontal="left" vertical="center"/>
    </xf>
    <xf numFmtId="0" fontId="6" fillId="3" borderId="0" xfId="0" applyFont="1" applyFill="1" applyBorder="1" applyAlignment="1">
      <alignment horizontal="left" vertical="center" wrapText="1" indent="1"/>
    </xf>
    <xf numFmtId="0" fontId="4" fillId="3" borderId="54" xfId="0" applyFont="1" applyFill="1" applyBorder="1" applyAlignment="1">
      <alignment horizontal="center" vertical="center"/>
    </xf>
    <xf numFmtId="0" fontId="4" fillId="3" borderId="54" xfId="0" applyFont="1" applyFill="1" applyBorder="1" applyAlignment="1">
      <alignment horizontal="left" vertical="center"/>
    </xf>
    <xf numFmtId="0" fontId="4" fillId="4" borderId="54" xfId="0" applyFont="1" applyFill="1" applyBorder="1" applyAlignment="1">
      <alignment horizontal="center" vertical="center"/>
    </xf>
    <xf numFmtId="0" fontId="4" fillId="3" borderId="54" xfId="0" applyFont="1" applyFill="1" applyBorder="1" applyAlignment="1">
      <alignment horizontal="center" vertical="center" wrapText="1"/>
    </xf>
    <xf numFmtId="166" fontId="4" fillId="3" borderId="54" xfId="1" applyNumberFormat="1" applyFont="1" applyFill="1" applyBorder="1" applyAlignment="1" applyProtection="1">
      <alignment horizontal="right" vertical="center" wrapText="1"/>
    </xf>
    <xf numFmtId="3" fontId="4" fillId="3" borderId="54" xfId="0" applyNumberFormat="1" applyFont="1" applyFill="1" applyBorder="1" applyAlignment="1">
      <alignment horizontal="center" vertical="center"/>
    </xf>
    <xf numFmtId="0" fontId="4" fillId="3" borderId="22" xfId="0" applyFont="1" applyFill="1" applyBorder="1" applyAlignment="1">
      <alignment horizontal="center" vertical="center"/>
    </xf>
    <xf numFmtId="0" fontId="4" fillId="3" borderId="22" xfId="0" applyFont="1" applyFill="1" applyBorder="1" applyAlignment="1">
      <alignment horizontal="left" vertical="center"/>
    </xf>
    <xf numFmtId="0" fontId="4" fillId="4" borderId="22" xfId="0" applyFont="1" applyFill="1" applyBorder="1" applyAlignment="1">
      <alignment horizontal="center" vertical="center"/>
    </xf>
    <xf numFmtId="0" fontId="4" fillId="3" borderId="22" xfId="0" applyFont="1" applyFill="1" applyBorder="1" applyAlignment="1">
      <alignment horizontal="center" vertical="center" wrapText="1"/>
    </xf>
    <xf numFmtId="166" fontId="4" fillId="3" borderId="22" xfId="1" applyNumberFormat="1" applyFont="1" applyFill="1" applyBorder="1" applyAlignment="1" applyProtection="1">
      <alignment horizontal="right" vertical="center" wrapText="1"/>
    </xf>
    <xf numFmtId="3" fontId="4" fillId="3" borderId="22" xfId="0" applyNumberFormat="1" applyFont="1" applyFill="1" applyBorder="1" applyAlignment="1">
      <alignment horizontal="center" vertical="center"/>
    </xf>
    <xf numFmtId="0" fontId="4" fillId="3" borderId="53" xfId="0" applyFont="1" applyFill="1" applyBorder="1" applyAlignment="1">
      <alignment horizontal="center" vertical="center"/>
    </xf>
    <xf numFmtId="0" fontId="23" fillId="4" borderId="0" xfId="0" applyFont="1" applyFill="1" applyAlignment="1">
      <alignment horizontal="left" wrapText="1" indent="1"/>
    </xf>
    <xf numFmtId="0" fontId="19" fillId="3" borderId="0" xfId="0" applyFont="1" applyFill="1" applyAlignment="1">
      <alignment horizontal="left" wrapText="1"/>
    </xf>
    <xf numFmtId="0" fontId="21" fillId="4" borderId="3" xfId="0" applyFont="1" applyFill="1" applyBorder="1" applyAlignment="1">
      <alignment horizontal="center" vertical="center" wrapText="1"/>
    </xf>
    <xf numFmtId="166" fontId="20" fillId="4" borderId="3" xfId="1" applyNumberFormat="1" applyFont="1" applyFill="1" applyBorder="1" applyAlignment="1" applyProtection="1">
      <alignment horizontal="right" vertical="center" wrapText="1"/>
    </xf>
    <xf numFmtId="166" fontId="20" fillId="4" borderId="4" xfId="1" applyNumberFormat="1" applyFont="1" applyFill="1" applyBorder="1" applyAlignment="1" applyProtection="1">
      <alignment horizontal="right" vertical="center" wrapText="1"/>
    </xf>
    <xf numFmtId="0" fontId="0" fillId="4" borderId="34" xfId="0" applyFont="1" applyFill="1" applyBorder="1" applyAlignment="1">
      <alignment horizontal="center" vertical="center"/>
    </xf>
    <xf numFmtId="0" fontId="0" fillId="4" borderId="35" xfId="0" applyFont="1" applyFill="1" applyBorder="1" applyAlignment="1">
      <alignment horizontal="center" vertical="center"/>
    </xf>
    <xf numFmtId="0" fontId="0" fillId="3" borderId="35" xfId="0" applyFont="1" applyFill="1" applyBorder="1" applyAlignment="1">
      <alignment horizontal="center" vertical="center"/>
    </xf>
    <xf numFmtId="0" fontId="0" fillId="4" borderId="36" xfId="0" applyFont="1" applyFill="1" applyBorder="1" applyAlignment="1">
      <alignment horizontal="center" vertical="center"/>
    </xf>
    <xf numFmtId="0" fontId="14" fillId="4" borderId="35" xfId="0" applyFont="1" applyFill="1" applyBorder="1" applyAlignment="1">
      <alignment horizontal="center" vertical="center"/>
    </xf>
    <xf numFmtId="0" fontId="22" fillId="0" borderId="5" xfId="0" applyFont="1" applyBorder="1" applyAlignment="1">
      <alignment horizontal="left" indent="3"/>
    </xf>
    <xf numFmtId="0" fontId="19" fillId="0" borderId="55" xfId="0" applyFont="1" applyBorder="1" applyAlignment="1">
      <alignment horizontal="center" vertical="center" wrapText="1"/>
    </xf>
    <xf numFmtId="0" fontId="19" fillId="0" borderId="56" xfId="0" applyFont="1" applyBorder="1" applyAlignment="1">
      <alignment horizontal="center" vertical="center" wrapText="1"/>
    </xf>
    <xf numFmtId="0" fontId="20" fillId="0" borderId="57" xfId="0" applyFont="1" applyBorder="1" applyAlignment="1">
      <alignment horizontal="center" vertical="center"/>
    </xf>
    <xf numFmtId="0" fontId="21" fillId="0" borderId="3" xfId="0" applyFont="1" applyBorder="1" applyAlignment="1">
      <alignment horizontal="center" vertical="center" wrapText="1"/>
    </xf>
    <xf numFmtId="0" fontId="20" fillId="0" borderId="58" xfId="0" applyFont="1" applyBorder="1" applyAlignment="1">
      <alignment horizontal="center" vertical="center"/>
    </xf>
    <xf numFmtId="0" fontId="21" fillId="0" borderId="52" xfId="0" applyFont="1" applyBorder="1" applyAlignment="1">
      <alignment horizontal="center" vertical="center" wrapText="1"/>
    </xf>
    <xf numFmtId="0" fontId="21" fillId="4" borderId="52" xfId="0" applyFont="1" applyFill="1" applyBorder="1" applyAlignment="1">
      <alignment horizontal="center" vertical="center" wrapText="1"/>
    </xf>
    <xf numFmtId="166" fontId="20" fillId="4" borderId="52" xfId="1" applyNumberFormat="1" applyFont="1" applyFill="1" applyBorder="1" applyAlignment="1" applyProtection="1">
      <alignment horizontal="right" vertical="center" wrapText="1"/>
    </xf>
    <xf numFmtId="166" fontId="20" fillId="4" borderId="59" xfId="1" applyNumberFormat="1" applyFont="1" applyFill="1" applyBorder="1" applyAlignment="1" applyProtection="1">
      <alignment horizontal="right" vertical="center" wrapText="1"/>
    </xf>
    <xf numFmtId="0" fontId="0" fillId="0" borderId="60" xfId="0" applyFont="1" applyBorder="1" applyAlignment="1">
      <alignment horizontal="left" vertical="center" wrapText="1"/>
    </xf>
    <xf numFmtId="0" fontId="0" fillId="0" borderId="60" xfId="0" applyFont="1" applyBorder="1" applyAlignment="1">
      <alignment horizontal="center" vertical="center" wrapText="1"/>
    </xf>
    <xf numFmtId="0" fontId="25" fillId="0" borderId="60" xfId="0" applyFont="1" applyBorder="1" applyAlignment="1">
      <alignment horizontal="left" vertical="center" wrapText="1"/>
    </xf>
    <xf numFmtId="0" fontId="0" fillId="0" borderId="3" xfId="0" applyBorder="1" applyAlignment="1">
      <alignment wrapText="1"/>
    </xf>
    <xf numFmtId="0" fontId="0" fillId="0" borderId="52" xfId="0" applyBorder="1" applyAlignment="1">
      <alignment wrapText="1"/>
    </xf>
    <xf numFmtId="0" fontId="0" fillId="0" borderId="3" xfId="0" applyBorder="1" applyAlignment="1">
      <alignment horizontal="center" vertical="center"/>
    </xf>
    <xf numFmtId="0" fontId="0" fillId="0" borderId="52" xfId="0" applyBorder="1" applyAlignment="1">
      <alignment horizontal="center" vertical="center"/>
    </xf>
    <xf numFmtId="0" fontId="0" fillId="3" borderId="52" xfId="0" applyFill="1" applyBorder="1" applyAlignment="1">
      <alignment horizontal="center" vertical="center"/>
    </xf>
    <xf numFmtId="0" fontId="21" fillId="3" borderId="52" xfId="0" applyFont="1" applyFill="1" applyBorder="1" applyAlignment="1">
      <alignment horizontal="center" vertical="center" wrapText="1"/>
    </xf>
    <xf numFmtId="0" fontId="0" fillId="3" borderId="52" xfId="0" applyFill="1" applyBorder="1" applyAlignment="1">
      <alignment wrapText="1"/>
    </xf>
    <xf numFmtId="0" fontId="0" fillId="3" borderId="60" xfId="0" applyFont="1" applyFill="1" applyBorder="1" applyAlignment="1">
      <alignment horizontal="center" vertical="center" wrapText="1"/>
    </xf>
    <xf numFmtId="0" fontId="0" fillId="3" borderId="60" xfId="0" applyFont="1" applyFill="1" applyBorder="1" applyAlignment="1">
      <alignment horizontal="left" vertical="center" wrapText="1"/>
    </xf>
    <xf numFmtId="0" fontId="17" fillId="0" borderId="0" xfId="0" applyFont="1" applyBorder="1" applyAlignment="1">
      <alignment horizontal="left" vertical="center" wrapText="1"/>
    </xf>
    <xf numFmtId="0" fontId="16" fillId="0" borderId="0" xfId="0" applyFont="1" applyBorder="1" applyAlignment="1">
      <alignment horizontal="center"/>
    </xf>
    <xf numFmtId="0" fontId="23" fillId="4" borderId="0" xfId="0" applyFont="1" applyFill="1" applyBorder="1" applyAlignment="1">
      <alignment horizontal="left" wrapText="1" indent="1"/>
    </xf>
    <xf numFmtId="0" fontId="15" fillId="4" borderId="10" xfId="5" applyFont="1" applyFill="1" applyBorder="1" applyAlignment="1">
      <alignment horizontal="left" wrapText="1"/>
    </xf>
    <xf numFmtId="0" fontId="15" fillId="4" borderId="11" xfId="5" applyFont="1" applyFill="1" applyBorder="1" applyAlignment="1">
      <alignment horizontal="left" wrapText="1"/>
    </xf>
    <xf numFmtId="0" fontId="15" fillId="4" borderId="12" xfId="5" applyFont="1" applyFill="1" applyBorder="1" applyAlignment="1">
      <alignment horizontal="left" wrapText="1"/>
    </xf>
    <xf numFmtId="0" fontId="24" fillId="4" borderId="8" xfId="5" applyFont="1" applyFill="1" applyBorder="1" applyAlignment="1">
      <alignment horizontal="left" wrapText="1"/>
    </xf>
    <xf numFmtId="0" fontId="24" fillId="4" borderId="0" xfId="5" applyFont="1" applyFill="1" applyBorder="1" applyAlignment="1">
      <alignment horizontal="left" wrapText="1"/>
    </xf>
    <xf numFmtId="0" fontId="24" fillId="4" borderId="9" xfId="5" applyFont="1" applyFill="1" applyBorder="1" applyAlignment="1">
      <alignment horizontal="left" wrapText="1"/>
    </xf>
    <xf numFmtId="0" fontId="15" fillId="4" borderId="8" xfId="5" applyFont="1" applyFill="1" applyBorder="1" applyAlignment="1">
      <alignment horizontal="left" wrapText="1"/>
    </xf>
    <xf numFmtId="0" fontId="15" fillId="4" borderId="0" xfId="5" applyFont="1" applyFill="1" applyBorder="1" applyAlignment="1">
      <alignment horizontal="left" wrapText="1"/>
    </xf>
    <xf numFmtId="0" fontId="15" fillId="4" borderId="9" xfId="5" applyFont="1" applyFill="1" applyBorder="1" applyAlignment="1">
      <alignment horizontal="left" wrapText="1"/>
    </xf>
    <xf numFmtId="0" fontId="4" fillId="3" borderId="22" xfId="0" applyFont="1" applyFill="1" applyBorder="1" applyAlignment="1">
      <alignment horizontal="left" vertical="center" wrapText="1"/>
    </xf>
    <xf numFmtId="0" fontId="5" fillId="3" borderId="0" xfId="0" applyFont="1" applyFill="1" applyBorder="1" applyAlignment="1">
      <alignment horizontal="center" vertical="center"/>
    </xf>
    <xf numFmtId="0" fontId="7" fillId="3" borderId="16" xfId="0" applyFont="1" applyFill="1" applyBorder="1" applyAlignment="1">
      <alignment horizontal="left" vertical="center" wrapText="1"/>
    </xf>
    <xf numFmtId="0" fontId="6" fillId="3" borderId="17" xfId="0" applyFont="1" applyFill="1" applyBorder="1" applyAlignment="1">
      <alignment horizontal="left" vertical="center" wrapText="1" indent="1"/>
    </xf>
    <xf numFmtId="0" fontId="7" fillId="3" borderId="18" xfId="0" applyFont="1" applyFill="1" applyBorder="1" applyAlignment="1">
      <alignment horizontal="left" vertical="center" wrapText="1"/>
    </xf>
    <xf numFmtId="0" fontId="7" fillId="3" borderId="19" xfId="0" applyFont="1" applyFill="1" applyBorder="1" applyAlignment="1">
      <alignment horizontal="left" vertical="center"/>
    </xf>
    <xf numFmtId="0" fontId="6" fillId="4" borderId="20" xfId="0" applyFont="1" applyFill="1" applyBorder="1" applyAlignment="1">
      <alignment horizontal="left" vertical="center" wrapText="1" indent="1"/>
    </xf>
    <xf numFmtId="0" fontId="8" fillId="3" borderId="19" xfId="0" applyFont="1" applyFill="1" applyBorder="1" applyAlignment="1">
      <alignment horizontal="center" vertical="center"/>
    </xf>
    <xf numFmtId="0" fontId="8" fillId="3" borderId="21" xfId="0" applyFont="1" applyFill="1" applyBorder="1" applyAlignment="1">
      <alignment horizontal="center" vertical="center" wrapText="1"/>
    </xf>
    <xf numFmtId="0" fontId="8" fillId="3" borderId="20" xfId="0" applyFont="1" applyFill="1" applyBorder="1" applyAlignment="1">
      <alignment horizontal="center" vertical="center" wrapText="1"/>
    </xf>
    <xf numFmtId="167" fontId="7" fillId="3" borderId="17" xfId="0" applyNumberFormat="1" applyFont="1" applyFill="1" applyBorder="1" applyAlignment="1">
      <alignment horizontal="center" vertical="center"/>
    </xf>
    <xf numFmtId="0" fontId="4" fillId="3" borderId="54" xfId="0" applyFont="1" applyFill="1" applyBorder="1" applyAlignment="1">
      <alignment horizontal="left" vertical="center" wrapText="1"/>
    </xf>
    <xf numFmtId="0" fontId="0" fillId="0" borderId="23" xfId="0" applyFont="1" applyBorder="1" applyAlignment="1">
      <alignment horizontal="center"/>
    </xf>
    <xf numFmtId="3" fontId="9" fillId="0" borderId="24" xfId="0" applyNumberFormat="1" applyFont="1" applyBorder="1" applyAlignment="1">
      <alignment horizontal="center"/>
    </xf>
    <xf numFmtId="0" fontId="10" fillId="0" borderId="14" xfId="0" applyFont="1" applyBorder="1" applyAlignment="1">
      <alignment horizontal="center" vertical="center" wrapText="1"/>
    </xf>
    <xf numFmtId="0" fontId="2" fillId="0" borderId="14" xfId="0" applyFont="1" applyBorder="1"/>
    <xf numFmtId="0" fontId="11" fillId="0" borderId="14" xfId="0" applyFont="1" applyBorder="1" applyAlignment="1">
      <alignment horizontal="left" indent="1"/>
    </xf>
    <xf numFmtId="0" fontId="4" fillId="0" borderId="16" xfId="0" applyFont="1" applyBorder="1" applyAlignment="1">
      <alignment horizontal="left" vertical="center" wrapTex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12" fillId="0" borderId="14" xfId="0" applyFont="1" applyBorder="1" applyAlignment="1">
      <alignment horizontal="left"/>
    </xf>
    <xf numFmtId="0" fontId="11" fillId="0" borderId="26" xfId="0" applyFont="1" applyBorder="1"/>
    <xf numFmtId="0" fontId="11" fillId="0" borderId="27" xfId="0" applyFont="1" applyBorder="1" applyAlignment="1">
      <alignment horizontal="left" vertical="center" wrapText="1" indent="1"/>
    </xf>
    <xf numFmtId="0" fontId="13" fillId="0" borderId="25" xfId="0" applyFont="1" applyBorder="1" applyAlignment="1">
      <alignment horizontal="center" vertical="center"/>
    </xf>
    <xf numFmtId="0" fontId="13" fillId="0" borderId="14" xfId="0" applyFont="1" applyBorder="1" applyAlignment="1">
      <alignment horizontal="center" vertical="center"/>
    </xf>
    <xf numFmtId="0" fontId="13" fillId="0" borderId="25" xfId="0" applyFont="1" applyBorder="1" applyAlignment="1">
      <alignment horizontal="center" vertical="center" wrapText="1"/>
    </xf>
    <xf numFmtId="0" fontId="13" fillId="0" borderId="30" xfId="0" applyFont="1" applyBorder="1" applyAlignment="1">
      <alignment horizontal="center" vertical="center"/>
    </xf>
    <xf numFmtId="0" fontId="14" fillId="0" borderId="35" xfId="0" applyFont="1" applyBorder="1" applyAlignment="1">
      <alignment horizontal="left" vertical="center" wrapText="1"/>
    </xf>
    <xf numFmtId="0" fontId="0" fillId="0" borderId="35" xfId="0" applyFont="1" applyBorder="1" applyAlignment="1">
      <alignment horizontal="left" vertical="center" wrapText="1"/>
    </xf>
    <xf numFmtId="0" fontId="0" fillId="0" borderId="41" xfId="0" applyFont="1" applyBorder="1" applyAlignment="1">
      <alignment horizontal="left" vertical="center"/>
    </xf>
    <xf numFmtId="0" fontId="9" fillId="0" borderId="23" xfId="0" applyFont="1" applyBorder="1" applyAlignment="1">
      <alignment vertical="center" wrapText="1"/>
    </xf>
    <xf numFmtId="0" fontId="9" fillId="0" borderId="48" xfId="0" applyFont="1" applyBorder="1" applyAlignment="1">
      <alignment vertical="center" wrapText="1"/>
    </xf>
    <xf numFmtId="0" fontId="9" fillId="0" borderId="20" xfId="0" applyFont="1" applyBorder="1" applyAlignment="1">
      <alignment vertical="center" wrapText="1"/>
    </xf>
    <xf numFmtId="0" fontId="11" fillId="0" borderId="30" xfId="0" applyFont="1" applyBorder="1" applyAlignment="1">
      <alignment vertical="center" wrapText="1"/>
    </xf>
    <xf numFmtId="0" fontId="11" fillId="4" borderId="47" xfId="0" applyFont="1" applyFill="1" applyBorder="1" applyAlignment="1">
      <alignment horizontal="left" vertical="center" wrapText="1" indent="1"/>
    </xf>
    <xf numFmtId="0" fontId="0" fillId="0" borderId="41" xfId="0" applyBorder="1" applyAlignment="1">
      <alignment horizontal="left" vertical="center"/>
    </xf>
    <xf numFmtId="0" fontId="0" fillId="0" borderId="44" xfId="0" applyBorder="1" applyAlignment="1">
      <alignment horizontal="left" vertical="center"/>
    </xf>
    <xf numFmtId="0" fontId="9" fillId="0" borderId="47" xfId="0" applyFont="1" applyBorder="1" applyAlignment="1">
      <alignment horizontal="left" vertical="center" wrapText="1"/>
    </xf>
    <xf numFmtId="0" fontId="0" fillId="0" borderId="25" xfId="0" applyBorder="1"/>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52"/>
  <sheetViews>
    <sheetView topLeftCell="A37" zoomScale="106" zoomScaleNormal="106" workbookViewId="0">
      <selection activeCell="D56" sqref="D56"/>
    </sheetView>
  </sheetViews>
  <sheetFormatPr baseColWidth="10" defaultColWidth="11" defaultRowHeight="12.75" x14ac:dyDescent="0.2"/>
  <cols>
    <col min="1" max="1" width="4.5703125" style="32" customWidth="1"/>
    <col min="2" max="2" width="14" style="32" customWidth="1"/>
    <col min="3" max="3" width="13.28515625" style="32" customWidth="1"/>
    <col min="4" max="4" width="8.42578125" style="32" customWidth="1"/>
    <col min="5" max="5" width="92.7109375" style="32" customWidth="1"/>
    <col min="6" max="6" width="11" style="32"/>
    <col min="7" max="7" width="10.42578125" style="32" bestFit="1" customWidth="1"/>
    <col min="8" max="8" width="13.85546875" style="32" customWidth="1"/>
    <col min="9" max="9" width="18.5703125" style="32" customWidth="1"/>
    <col min="10" max="16384" width="11" style="32"/>
  </cols>
  <sheetData>
    <row r="2" spans="1:9" ht="27" x14ac:dyDescent="0.35">
      <c r="B2" s="94" t="s">
        <v>0</v>
      </c>
      <c r="C2" s="94"/>
      <c r="D2" s="94"/>
      <c r="E2" s="94"/>
      <c r="F2" s="94"/>
      <c r="G2" s="94"/>
      <c r="H2" s="94"/>
    </row>
    <row r="3" spans="1:9" ht="12" customHeight="1" x14ac:dyDescent="0.2"/>
    <row r="4" spans="1:9" ht="18" customHeight="1" x14ac:dyDescent="0.25">
      <c r="A4" s="93" t="s">
        <v>1</v>
      </c>
      <c r="B4" s="93"/>
      <c r="C4" s="95" t="s">
        <v>106</v>
      </c>
      <c r="D4" s="95"/>
      <c r="E4" s="95"/>
      <c r="F4" s="33"/>
      <c r="G4" s="34"/>
      <c r="H4" s="33"/>
    </row>
    <row r="5" spans="1:9" ht="18" customHeight="1" x14ac:dyDescent="0.25">
      <c r="A5" s="93" t="s">
        <v>2</v>
      </c>
      <c r="B5" s="93"/>
      <c r="C5" s="95" t="s">
        <v>105</v>
      </c>
      <c r="D5" s="95"/>
      <c r="E5" s="95"/>
      <c r="F5" s="33"/>
      <c r="G5" s="34"/>
      <c r="H5" s="33"/>
    </row>
    <row r="6" spans="1:9" ht="16.5" customHeight="1" x14ac:dyDescent="0.25">
      <c r="A6" s="93" t="s">
        <v>3</v>
      </c>
      <c r="B6" s="93"/>
      <c r="C6" s="61">
        <v>2021</v>
      </c>
      <c r="D6" s="62"/>
      <c r="E6" s="62"/>
      <c r="F6" s="33"/>
      <c r="G6" s="34"/>
      <c r="H6" s="33"/>
    </row>
    <row r="7" spans="1:9" ht="16.5" customHeight="1" x14ac:dyDescent="0.25">
      <c r="A7" s="93" t="s">
        <v>4</v>
      </c>
      <c r="B7" s="93"/>
      <c r="C7" s="61">
        <v>3</v>
      </c>
      <c r="D7" s="62"/>
      <c r="E7" s="62"/>
      <c r="F7" s="33"/>
      <c r="G7" s="34"/>
      <c r="H7" s="33"/>
    </row>
    <row r="8" spans="1:9" ht="13.5" thickBot="1" x14ac:dyDescent="0.25">
      <c r="B8" s="33"/>
      <c r="C8" s="34"/>
      <c r="D8" s="33"/>
      <c r="E8" s="33"/>
      <c r="F8" s="33"/>
      <c r="G8" s="34"/>
      <c r="H8" s="33"/>
    </row>
    <row r="9" spans="1:9" ht="39.75" thickTop="1" thickBot="1" x14ac:dyDescent="0.25">
      <c r="A9" s="35" t="s">
        <v>5</v>
      </c>
      <c r="B9" s="35" t="s">
        <v>6</v>
      </c>
      <c r="C9" s="35" t="s">
        <v>7</v>
      </c>
      <c r="D9" s="72" t="s">
        <v>8</v>
      </c>
      <c r="E9" s="73" t="s">
        <v>9</v>
      </c>
      <c r="F9" s="39" t="s">
        <v>10</v>
      </c>
      <c r="G9" s="35" t="s">
        <v>11</v>
      </c>
      <c r="H9" s="35" t="s">
        <v>12</v>
      </c>
      <c r="I9" s="35" t="s">
        <v>13</v>
      </c>
    </row>
    <row r="10" spans="1:9" ht="38.25" x14ac:dyDescent="0.2">
      <c r="A10" s="74">
        <v>1</v>
      </c>
      <c r="B10" s="86" t="s">
        <v>52</v>
      </c>
      <c r="C10" s="86" t="s">
        <v>53</v>
      </c>
      <c r="D10" s="75" t="str">
        <f>LEFT(B10,5)</f>
        <v>2.1.1</v>
      </c>
      <c r="E10" s="84" t="s">
        <v>54</v>
      </c>
      <c r="F10" s="63" t="s">
        <v>71</v>
      </c>
      <c r="G10" s="63">
        <v>550</v>
      </c>
      <c r="H10" s="64">
        <v>210</v>
      </c>
      <c r="I10" s="65">
        <f>H10*G10</f>
        <v>115500</v>
      </c>
    </row>
    <row r="11" spans="1:9" ht="38.25" x14ac:dyDescent="0.2">
      <c r="A11" s="76">
        <v>2</v>
      </c>
      <c r="B11" s="87" t="s">
        <v>79</v>
      </c>
      <c r="C11" s="77" t="s">
        <v>53</v>
      </c>
      <c r="D11" s="77" t="s">
        <v>55</v>
      </c>
      <c r="E11" s="85" t="s">
        <v>78</v>
      </c>
      <c r="F11" s="78" t="s">
        <v>56</v>
      </c>
      <c r="G11" s="78">
        <v>400</v>
      </c>
      <c r="H11" s="79">
        <v>300</v>
      </c>
      <c r="I11" s="80">
        <f t="shared" ref="I11:I34" si="0">G11*H11</f>
        <v>120000</v>
      </c>
    </row>
    <row r="12" spans="1:9" ht="25.5" x14ac:dyDescent="0.2">
      <c r="A12" s="76">
        <v>3</v>
      </c>
      <c r="B12" s="87" t="s">
        <v>58</v>
      </c>
      <c r="C12" s="77" t="s">
        <v>53</v>
      </c>
      <c r="D12" s="77" t="s">
        <v>55</v>
      </c>
      <c r="E12" s="85" t="s">
        <v>59</v>
      </c>
      <c r="F12" s="78" t="s">
        <v>57</v>
      </c>
      <c r="G12" s="78">
        <v>200</v>
      </c>
      <c r="H12" s="79">
        <v>210</v>
      </c>
      <c r="I12" s="80">
        <f t="shared" si="0"/>
        <v>42000</v>
      </c>
    </row>
    <row r="13" spans="1:9" x14ac:dyDescent="0.2">
      <c r="A13" s="76">
        <v>4</v>
      </c>
      <c r="B13" s="87" t="s">
        <v>81</v>
      </c>
      <c r="C13" s="77" t="s">
        <v>53</v>
      </c>
      <c r="D13" s="77" t="s">
        <v>55</v>
      </c>
      <c r="E13" s="85" t="s">
        <v>80</v>
      </c>
      <c r="F13" s="78" t="s">
        <v>60</v>
      </c>
      <c r="G13" s="78">
        <v>60</v>
      </c>
      <c r="H13" s="79">
        <v>310</v>
      </c>
      <c r="I13" s="80">
        <f t="shared" si="0"/>
        <v>18600</v>
      </c>
    </row>
    <row r="14" spans="1:9" ht="25.5" x14ac:dyDescent="0.2">
      <c r="A14" s="76">
        <v>5</v>
      </c>
      <c r="B14" s="87" t="s">
        <v>62</v>
      </c>
      <c r="C14" s="77" t="s">
        <v>53</v>
      </c>
      <c r="D14" s="77" t="s">
        <v>55</v>
      </c>
      <c r="E14" s="85" t="s">
        <v>61</v>
      </c>
      <c r="F14" s="78" t="s">
        <v>57</v>
      </c>
      <c r="G14" s="78">
        <v>200</v>
      </c>
      <c r="H14" s="79">
        <v>49</v>
      </c>
      <c r="I14" s="80">
        <f t="shared" si="0"/>
        <v>9800</v>
      </c>
    </row>
    <row r="15" spans="1:9" ht="38.25" x14ac:dyDescent="0.2">
      <c r="A15" s="76">
        <v>6</v>
      </c>
      <c r="B15" s="87" t="s">
        <v>64</v>
      </c>
      <c r="C15" s="77" t="s">
        <v>53</v>
      </c>
      <c r="D15" s="77" t="s">
        <v>55</v>
      </c>
      <c r="E15" s="85" t="s">
        <v>63</v>
      </c>
      <c r="F15" s="78" t="s">
        <v>56</v>
      </c>
      <c r="G15" s="78">
        <v>800</v>
      </c>
      <c r="H15" s="79">
        <v>71.599999999999994</v>
      </c>
      <c r="I15" s="80">
        <f t="shared" si="0"/>
        <v>57279.999999999993</v>
      </c>
    </row>
    <row r="16" spans="1:9" ht="38.25" x14ac:dyDescent="0.2">
      <c r="A16" s="76">
        <v>7</v>
      </c>
      <c r="B16" s="87" t="s">
        <v>66</v>
      </c>
      <c r="C16" s="77" t="s">
        <v>53</v>
      </c>
      <c r="D16" s="77" t="s">
        <v>55</v>
      </c>
      <c r="E16" s="85" t="s">
        <v>65</v>
      </c>
      <c r="F16" s="78" t="s">
        <v>57</v>
      </c>
      <c r="G16" s="78">
        <v>160</v>
      </c>
      <c r="H16" s="79">
        <v>92</v>
      </c>
      <c r="I16" s="80">
        <f t="shared" si="0"/>
        <v>14720</v>
      </c>
    </row>
    <row r="17" spans="1:9" ht="25.5" x14ac:dyDescent="0.2">
      <c r="A17" s="76">
        <v>8</v>
      </c>
      <c r="B17" s="87" t="s">
        <v>68</v>
      </c>
      <c r="C17" s="77" t="s">
        <v>53</v>
      </c>
      <c r="D17" s="77" t="s">
        <v>55</v>
      </c>
      <c r="E17" s="85" t="s">
        <v>67</v>
      </c>
      <c r="F17" s="78" t="s">
        <v>57</v>
      </c>
      <c r="G17" s="78">
        <v>200</v>
      </c>
      <c r="H17" s="79">
        <v>94.5</v>
      </c>
      <c r="I17" s="80">
        <f t="shared" si="0"/>
        <v>18900</v>
      </c>
    </row>
    <row r="18" spans="1:9" ht="25.5" x14ac:dyDescent="0.2">
      <c r="A18" s="76">
        <v>9</v>
      </c>
      <c r="B18" s="82" t="s">
        <v>115</v>
      </c>
      <c r="C18" s="77" t="s">
        <v>53</v>
      </c>
      <c r="D18" s="77" t="s">
        <v>55</v>
      </c>
      <c r="E18" s="81" t="s">
        <v>114</v>
      </c>
      <c r="F18" s="78" t="s">
        <v>57</v>
      </c>
      <c r="G18" s="78">
        <v>150</v>
      </c>
      <c r="H18" s="79">
        <v>380</v>
      </c>
      <c r="I18" s="80">
        <f t="shared" si="0"/>
        <v>57000</v>
      </c>
    </row>
    <row r="19" spans="1:9" x14ac:dyDescent="0.2">
      <c r="A19" s="76">
        <v>10</v>
      </c>
      <c r="B19" s="82" t="s">
        <v>118</v>
      </c>
      <c r="C19" s="77" t="s">
        <v>53</v>
      </c>
      <c r="D19" s="77" t="s">
        <v>55</v>
      </c>
      <c r="E19" s="81" t="s">
        <v>116</v>
      </c>
      <c r="F19" s="78" t="s">
        <v>57</v>
      </c>
      <c r="G19" s="78">
        <v>2</v>
      </c>
      <c r="H19" s="79">
        <v>721</v>
      </c>
      <c r="I19" s="80">
        <f t="shared" si="0"/>
        <v>1442</v>
      </c>
    </row>
    <row r="20" spans="1:9" x14ac:dyDescent="0.2">
      <c r="A20" s="76">
        <v>11</v>
      </c>
      <c r="B20" s="82" t="s">
        <v>119</v>
      </c>
      <c r="C20" s="77" t="s">
        <v>53</v>
      </c>
      <c r="D20" s="77" t="s">
        <v>55</v>
      </c>
      <c r="E20" s="81" t="s">
        <v>117</v>
      </c>
      <c r="F20" s="78" t="s">
        <v>57</v>
      </c>
      <c r="G20" s="78">
        <v>2</v>
      </c>
      <c r="H20" s="79">
        <v>1750</v>
      </c>
      <c r="I20" s="80">
        <f t="shared" si="0"/>
        <v>3500</v>
      </c>
    </row>
    <row r="21" spans="1:9" ht="25.5" x14ac:dyDescent="0.2">
      <c r="A21" s="76">
        <v>12</v>
      </c>
      <c r="B21" s="82" t="s">
        <v>121</v>
      </c>
      <c r="C21" s="77" t="s">
        <v>53</v>
      </c>
      <c r="D21" s="77" t="s">
        <v>55</v>
      </c>
      <c r="E21" s="81" t="s">
        <v>120</v>
      </c>
      <c r="F21" s="78" t="s">
        <v>57</v>
      </c>
      <c r="G21" s="78">
        <v>200</v>
      </c>
      <c r="H21" s="79">
        <v>380</v>
      </c>
      <c r="I21" s="80">
        <f t="shared" si="0"/>
        <v>76000</v>
      </c>
    </row>
    <row r="22" spans="1:9" x14ac:dyDescent="0.2">
      <c r="A22" s="76">
        <v>13</v>
      </c>
      <c r="B22" s="87" t="s">
        <v>70</v>
      </c>
      <c r="C22" s="77" t="s">
        <v>53</v>
      </c>
      <c r="D22" s="77" t="s">
        <v>55</v>
      </c>
      <c r="E22" s="85" t="s">
        <v>69</v>
      </c>
      <c r="F22" s="78" t="s">
        <v>71</v>
      </c>
      <c r="G22" s="78">
        <v>24</v>
      </c>
      <c r="H22" s="79">
        <v>264</v>
      </c>
      <c r="I22" s="80">
        <f t="shared" si="0"/>
        <v>6336</v>
      </c>
    </row>
    <row r="23" spans="1:9" ht="38.25" x14ac:dyDescent="0.2">
      <c r="A23" s="76">
        <v>14</v>
      </c>
      <c r="B23" s="87" t="s">
        <v>74</v>
      </c>
      <c r="C23" s="77" t="s">
        <v>53</v>
      </c>
      <c r="D23" s="77" t="s">
        <v>55</v>
      </c>
      <c r="E23" s="85" t="s">
        <v>75</v>
      </c>
      <c r="F23" s="78" t="s">
        <v>56</v>
      </c>
      <c r="G23" s="78">
        <v>400</v>
      </c>
      <c r="H23" s="79">
        <v>61.5</v>
      </c>
      <c r="I23" s="80">
        <f t="shared" si="0"/>
        <v>24600</v>
      </c>
    </row>
    <row r="24" spans="1:9" ht="38.25" x14ac:dyDescent="0.2">
      <c r="A24" s="76">
        <v>15</v>
      </c>
      <c r="B24" s="87" t="s">
        <v>73</v>
      </c>
      <c r="C24" s="77" t="s">
        <v>53</v>
      </c>
      <c r="D24" s="77" t="s">
        <v>55</v>
      </c>
      <c r="E24" s="85" t="s">
        <v>72</v>
      </c>
      <c r="F24" s="78" t="s">
        <v>56</v>
      </c>
      <c r="G24" s="78">
        <v>400</v>
      </c>
      <c r="H24" s="79">
        <v>61.5</v>
      </c>
      <c r="I24" s="80">
        <f t="shared" si="0"/>
        <v>24600</v>
      </c>
    </row>
    <row r="25" spans="1:9" ht="38.25" x14ac:dyDescent="0.2">
      <c r="A25" s="76">
        <v>16</v>
      </c>
      <c r="B25" s="88" t="s">
        <v>77</v>
      </c>
      <c r="C25" s="89" t="s">
        <v>53</v>
      </c>
      <c r="D25" s="89" t="s">
        <v>55</v>
      </c>
      <c r="E25" s="90" t="s">
        <v>76</v>
      </c>
      <c r="F25" s="78" t="s">
        <v>56</v>
      </c>
      <c r="G25" s="78">
        <v>400</v>
      </c>
      <c r="H25" s="79">
        <v>61.5</v>
      </c>
      <c r="I25" s="80">
        <f t="shared" si="0"/>
        <v>24600</v>
      </c>
    </row>
    <row r="26" spans="1:9" ht="25.5" x14ac:dyDescent="0.2">
      <c r="A26" s="76">
        <v>17</v>
      </c>
      <c r="B26" s="88" t="s">
        <v>104</v>
      </c>
      <c r="C26" s="89" t="s">
        <v>53</v>
      </c>
      <c r="D26" s="89" t="s">
        <v>55</v>
      </c>
      <c r="E26" s="90" t="s">
        <v>103</v>
      </c>
      <c r="F26" s="78" t="s">
        <v>56</v>
      </c>
      <c r="G26" s="78">
        <v>3</v>
      </c>
      <c r="H26" s="79">
        <v>92</v>
      </c>
      <c r="I26" s="80">
        <f t="shared" si="0"/>
        <v>276</v>
      </c>
    </row>
    <row r="27" spans="1:9" x14ac:dyDescent="0.2">
      <c r="A27" s="76">
        <v>18</v>
      </c>
      <c r="B27" s="91" t="s">
        <v>123</v>
      </c>
      <c r="C27" s="89" t="s">
        <v>53</v>
      </c>
      <c r="D27" s="89" t="s">
        <v>55</v>
      </c>
      <c r="E27" s="92" t="s">
        <v>122</v>
      </c>
      <c r="F27" s="78" t="s">
        <v>56</v>
      </c>
      <c r="G27" s="78">
        <v>180</v>
      </c>
      <c r="H27" s="79">
        <v>65</v>
      </c>
      <c r="I27" s="80">
        <f t="shared" si="0"/>
        <v>11700</v>
      </c>
    </row>
    <row r="28" spans="1:9" ht="38.25" x14ac:dyDescent="0.2">
      <c r="A28" s="76">
        <v>19</v>
      </c>
      <c r="B28" s="88" t="s">
        <v>83</v>
      </c>
      <c r="C28" s="89" t="s">
        <v>53</v>
      </c>
      <c r="D28" s="89" t="s">
        <v>55</v>
      </c>
      <c r="E28" s="90" t="s">
        <v>82</v>
      </c>
      <c r="F28" s="78" t="s">
        <v>56</v>
      </c>
      <c r="G28" s="78">
        <v>100</v>
      </c>
      <c r="H28" s="79">
        <v>128</v>
      </c>
      <c r="I28" s="80">
        <f t="shared" si="0"/>
        <v>12800</v>
      </c>
    </row>
    <row r="29" spans="1:9" ht="38.25" x14ac:dyDescent="0.2">
      <c r="A29" s="76">
        <v>20</v>
      </c>
      <c r="B29" s="82" t="s">
        <v>125</v>
      </c>
      <c r="C29" s="77" t="s">
        <v>53</v>
      </c>
      <c r="D29" s="77" t="s">
        <v>55</v>
      </c>
      <c r="E29" s="81" t="s">
        <v>124</v>
      </c>
      <c r="F29" s="78" t="s">
        <v>56</v>
      </c>
      <c r="G29" s="78">
        <v>100</v>
      </c>
      <c r="H29" s="79">
        <v>80</v>
      </c>
      <c r="I29" s="80">
        <f t="shared" si="0"/>
        <v>8000</v>
      </c>
    </row>
    <row r="30" spans="1:9" ht="38.25" x14ac:dyDescent="0.2">
      <c r="A30" s="76">
        <v>21</v>
      </c>
      <c r="B30" s="87" t="s">
        <v>85</v>
      </c>
      <c r="C30" s="77" t="s">
        <v>53</v>
      </c>
      <c r="D30" s="77" t="s">
        <v>55</v>
      </c>
      <c r="E30" s="85" t="s">
        <v>84</v>
      </c>
      <c r="F30" s="78" t="s">
        <v>56</v>
      </c>
      <c r="G30" s="78">
        <v>100</v>
      </c>
      <c r="H30" s="79">
        <v>68</v>
      </c>
      <c r="I30" s="80">
        <f t="shared" si="0"/>
        <v>6800</v>
      </c>
    </row>
    <row r="31" spans="1:9" x14ac:dyDescent="0.2">
      <c r="A31" s="76">
        <v>22</v>
      </c>
      <c r="B31" s="88" t="s">
        <v>87</v>
      </c>
      <c r="C31" s="89" t="s">
        <v>53</v>
      </c>
      <c r="D31" s="89" t="s">
        <v>55</v>
      </c>
      <c r="E31" s="90" t="s">
        <v>86</v>
      </c>
      <c r="F31" s="78" t="s">
        <v>56</v>
      </c>
      <c r="G31" s="78">
        <v>70</v>
      </c>
      <c r="H31" s="79">
        <v>96</v>
      </c>
      <c r="I31" s="80">
        <f t="shared" si="0"/>
        <v>6720</v>
      </c>
    </row>
    <row r="32" spans="1:9" ht="38.25" x14ac:dyDescent="0.2">
      <c r="A32" s="76">
        <v>23</v>
      </c>
      <c r="B32" s="87" t="s">
        <v>89</v>
      </c>
      <c r="C32" s="77" t="s">
        <v>53</v>
      </c>
      <c r="D32" s="77" t="s">
        <v>55</v>
      </c>
      <c r="E32" s="85" t="s">
        <v>88</v>
      </c>
      <c r="F32" s="78" t="s">
        <v>60</v>
      </c>
      <c r="G32" s="78">
        <v>380</v>
      </c>
      <c r="H32" s="79">
        <v>543</v>
      </c>
      <c r="I32" s="80">
        <f t="shared" si="0"/>
        <v>206340</v>
      </c>
    </row>
    <row r="33" spans="1:9" ht="15" x14ac:dyDescent="0.2">
      <c r="A33" s="76">
        <v>24</v>
      </c>
      <c r="B33" s="82" t="s">
        <v>127</v>
      </c>
      <c r="C33" s="77" t="s">
        <v>53</v>
      </c>
      <c r="D33" s="77" t="s">
        <v>55</v>
      </c>
      <c r="E33" s="83" t="s">
        <v>126</v>
      </c>
      <c r="F33" s="78" t="s">
        <v>107</v>
      </c>
      <c r="G33" s="78">
        <v>150</v>
      </c>
      <c r="H33" s="79">
        <v>73</v>
      </c>
      <c r="I33" s="80">
        <f t="shared" si="0"/>
        <v>10950</v>
      </c>
    </row>
    <row r="34" spans="1:9" x14ac:dyDescent="0.2">
      <c r="A34" s="76">
        <v>25</v>
      </c>
      <c r="B34" s="87" t="s">
        <v>91</v>
      </c>
      <c r="C34" s="77" t="s">
        <v>53</v>
      </c>
      <c r="D34" s="77" t="s">
        <v>55</v>
      </c>
      <c r="E34" s="85" t="s">
        <v>90</v>
      </c>
      <c r="F34" s="78" t="s">
        <v>98</v>
      </c>
      <c r="G34" s="78">
        <v>12</v>
      </c>
      <c r="H34" s="79">
        <v>2200</v>
      </c>
      <c r="I34" s="80">
        <f t="shared" si="0"/>
        <v>26400</v>
      </c>
    </row>
    <row r="35" spans="1:9" x14ac:dyDescent="0.2">
      <c r="A35" s="76">
        <v>26</v>
      </c>
      <c r="B35" s="87" t="s">
        <v>93</v>
      </c>
      <c r="C35" s="77" t="s">
        <v>53</v>
      </c>
      <c r="D35" s="77" t="s">
        <v>55</v>
      </c>
      <c r="E35" s="85" t="s">
        <v>92</v>
      </c>
      <c r="F35" s="78" t="s">
        <v>107</v>
      </c>
      <c r="G35" s="78">
        <v>150</v>
      </c>
      <c r="H35" s="79">
        <v>95</v>
      </c>
      <c r="I35" s="80">
        <f t="shared" ref="I35:I43" si="1">G35*H35</f>
        <v>14250</v>
      </c>
    </row>
    <row r="36" spans="1:9" ht="25.5" x14ac:dyDescent="0.2">
      <c r="A36" s="76">
        <v>27</v>
      </c>
      <c r="B36" s="82" t="s">
        <v>129</v>
      </c>
      <c r="C36" s="77" t="s">
        <v>53</v>
      </c>
      <c r="D36" s="77" t="s">
        <v>55</v>
      </c>
      <c r="E36" s="81" t="s">
        <v>128</v>
      </c>
      <c r="F36" s="78" t="s">
        <v>60</v>
      </c>
      <c r="G36" s="78">
        <v>180</v>
      </c>
      <c r="H36" s="79">
        <v>31</v>
      </c>
      <c r="I36" s="80">
        <f t="shared" si="1"/>
        <v>5580</v>
      </c>
    </row>
    <row r="37" spans="1:9" x14ac:dyDescent="0.2">
      <c r="A37" s="76">
        <v>28</v>
      </c>
      <c r="B37" s="82" t="s">
        <v>131</v>
      </c>
      <c r="C37" s="77" t="s">
        <v>53</v>
      </c>
      <c r="D37" s="77" t="s">
        <v>55</v>
      </c>
      <c r="E37" s="81" t="s">
        <v>130</v>
      </c>
      <c r="F37" s="78" t="s">
        <v>56</v>
      </c>
      <c r="G37" s="78">
        <v>9</v>
      </c>
      <c r="H37" s="79">
        <v>1830</v>
      </c>
      <c r="I37" s="80">
        <f t="shared" si="1"/>
        <v>16470</v>
      </c>
    </row>
    <row r="38" spans="1:9" x14ac:dyDescent="0.2">
      <c r="A38" s="76">
        <v>29</v>
      </c>
      <c r="B38" s="87" t="s">
        <v>95</v>
      </c>
      <c r="C38" s="77" t="s">
        <v>53</v>
      </c>
      <c r="D38" s="77" t="s">
        <v>55</v>
      </c>
      <c r="E38" s="85" t="s">
        <v>94</v>
      </c>
      <c r="F38" s="78" t="s">
        <v>60</v>
      </c>
      <c r="G38" s="78">
        <v>350</v>
      </c>
      <c r="H38" s="79">
        <v>58</v>
      </c>
      <c r="I38" s="80">
        <f t="shared" si="1"/>
        <v>20300</v>
      </c>
    </row>
    <row r="39" spans="1:9" x14ac:dyDescent="0.2">
      <c r="A39" s="76">
        <v>30</v>
      </c>
      <c r="B39" s="87" t="s">
        <v>97</v>
      </c>
      <c r="C39" s="77" t="s">
        <v>53</v>
      </c>
      <c r="D39" s="77" t="s">
        <v>55</v>
      </c>
      <c r="E39" s="85" t="s">
        <v>96</v>
      </c>
      <c r="F39" s="78" t="s">
        <v>56</v>
      </c>
      <c r="G39" s="78">
        <v>350</v>
      </c>
      <c r="H39" s="79">
        <v>80</v>
      </c>
      <c r="I39" s="80">
        <f t="shared" si="1"/>
        <v>28000</v>
      </c>
    </row>
    <row r="40" spans="1:9" ht="25.5" x14ac:dyDescent="0.2">
      <c r="A40" s="76">
        <v>31</v>
      </c>
      <c r="B40" s="82" t="s">
        <v>133</v>
      </c>
      <c r="C40" s="77" t="s">
        <v>53</v>
      </c>
      <c r="D40" s="77" t="s">
        <v>55</v>
      </c>
      <c r="E40" s="81" t="s">
        <v>132</v>
      </c>
      <c r="F40" s="78" t="s">
        <v>60</v>
      </c>
      <c r="G40" s="78">
        <v>100</v>
      </c>
      <c r="H40" s="79">
        <v>180</v>
      </c>
      <c r="I40" s="80">
        <f t="shared" si="1"/>
        <v>18000</v>
      </c>
    </row>
    <row r="41" spans="1:9" ht="25.5" x14ac:dyDescent="0.2">
      <c r="A41" s="76">
        <v>32</v>
      </c>
      <c r="B41" s="82" t="s">
        <v>135</v>
      </c>
      <c r="C41" s="77" t="s">
        <v>53</v>
      </c>
      <c r="D41" s="77" t="s">
        <v>55</v>
      </c>
      <c r="E41" s="81" t="s">
        <v>134</v>
      </c>
      <c r="F41" s="78" t="s">
        <v>71</v>
      </c>
      <c r="G41" s="78">
        <v>250</v>
      </c>
      <c r="H41" s="79">
        <v>180</v>
      </c>
      <c r="I41" s="80">
        <f t="shared" si="1"/>
        <v>45000</v>
      </c>
    </row>
    <row r="42" spans="1:9" ht="25.5" x14ac:dyDescent="0.2">
      <c r="A42" s="76">
        <v>33</v>
      </c>
      <c r="B42" s="87" t="s">
        <v>100</v>
      </c>
      <c r="C42" s="77" t="s">
        <v>53</v>
      </c>
      <c r="D42" s="77" t="s">
        <v>55</v>
      </c>
      <c r="E42" s="85" t="s">
        <v>99</v>
      </c>
      <c r="F42" s="78" t="s">
        <v>71</v>
      </c>
      <c r="G42" s="78">
        <v>25</v>
      </c>
      <c r="H42" s="79">
        <v>85</v>
      </c>
      <c r="I42" s="80">
        <f t="shared" si="1"/>
        <v>2125</v>
      </c>
    </row>
    <row r="43" spans="1:9" ht="27.75" customHeight="1" x14ac:dyDescent="0.2">
      <c r="A43" s="76">
        <v>34</v>
      </c>
      <c r="B43" s="87" t="s">
        <v>102</v>
      </c>
      <c r="C43" s="77" t="s">
        <v>53</v>
      </c>
      <c r="D43" s="77" t="s">
        <v>55</v>
      </c>
      <c r="E43" s="85" t="s">
        <v>101</v>
      </c>
      <c r="F43" s="78" t="s">
        <v>56</v>
      </c>
      <c r="G43" s="78">
        <v>150</v>
      </c>
      <c r="H43" s="79">
        <v>520</v>
      </c>
      <c r="I43" s="80">
        <f t="shared" si="1"/>
        <v>78000</v>
      </c>
    </row>
    <row r="44" spans="1:9" x14ac:dyDescent="0.2">
      <c r="I44" s="38"/>
    </row>
    <row r="45" spans="1:9" ht="13.5" thickBot="1" x14ac:dyDescent="0.25"/>
    <row r="46" spans="1:9" x14ac:dyDescent="0.2">
      <c r="B46" s="71" t="s">
        <v>14</v>
      </c>
      <c r="C46" s="36"/>
      <c r="D46" s="36"/>
      <c r="E46" s="37"/>
    </row>
    <row r="47" spans="1:9" x14ac:dyDescent="0.2">
      <c r="B47" s="102" t="s">
        <v>112</v>
      </c>
      <c r="C47" s="103"/>
      <c r="D47" s="103"/>
      <c r="E47" s="104"/>
    </row>
    <row r="48" spans="1:9" ht="26.25" customHeight="1" x14ac:dyDescent="0.2">
      <c r="B48" s="102"/>
      <c r="C48" s="103"/>
      <c r="D48" s="103"/>
      <c r="E48" s="104"/>
    </row>
    <row r="49" spans="2:5" x14ac:dyDescent="0.2">
      <c r="B49" s="102" t="s">
        <v>113</v>
      </c>
      <c r="C49" s="103"/>
      <c r="D49" s="103"/>
      <c r="E49" s="104"/>
    </row>
    <row r="50" spans="2:5" ht="15" customHeight="1" x14ac:dyDescent="0.2">
      <c r="B50" s="102" t="s">
        <v>143</v>
      </c>
      <c r="C50" s="103"/>
      <c r="D50" s="103"/>
      <c r="E50" s="104"/>
    </row>
    <row r="51" spans="2:5" ht="54.75" customHeight="1" x14ac:dyDescent="0.2">
      <c r="B51" s="99" t="s">
        <v>141</v>
      </c>
      <c r="C51" s="100"/>
      <c r="D51" s="100"/>
      <c r="E51" s="101"/>
    </row>
    <row r="52" spans="2:5" ht="53.25" customHeight="1" thickBot="1" x14ac:dyDescent="0.25">
      <c r="B52" s="96" t="s">
        <v>142</v>
      </c>
      <c r="C52" s="97"/>
      <c r="D52" s="97"/>
      <c r="E52" s="98"/>
    </row>
  </sheetData>
  <mergeCells count="12">
    <mergeCell ref="B52:E52"/>
    <mergeCell ref="B51:E51"/>
    <mergeCell ref="B47:E48"/>
    <mergeCell ref="B49:E49"/>
    <mergeCell ref="B50:E50"/>
    <mergeCell ref="A6:B6"/>
    <mergeCell ref="A7:B7"/>
    <mergeCell ref="B2:H2"/>
    <mergeCell ref="A4:B4"/>
    <mergeCell ref="C4:E4"/>
    <mergeCell ref="A5:B5"/>
    <mergeCell ref="C5:E5"/>
  </mergeCells>
  <printOptions horizontalCentered="1"/>
  <pageMargins left="0.11811023622047245" right="0.11811023622047245" top="0.74803149606299213" bottom="0.35433070866141736" header="0.11811023622047245" footer="0"/>
  <pageSetup paperSize="5" firstPageNumber="0" fitToWidth="2" fitToHeight="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topLeftCell="A26" zoomScale="110" zoomScaleNormal="110" workbookViewId="0">
      <selection activeCell="D8" sqref="D8:K8"/>
    </sheetView>
  </sheetViews>
  <sheetFormatPr baseColWidth="10" defaultColWidth="9.140625" defaultRowHeight="12.75" x14ac:dyDescent="0.2"/>
  <cols>
    <col min="1" max="1" width="5.5703125" style="42" customWidth="1"/>
    <col min="2" max="2" width="15.140625" style="42" customWidth="1"/>
    <col min="3" max="3" width="14.140625" style="42" customWidth="1"/>
    <col min="4" max="4" width="26" style="42" customWidth="1"/>
    <col min="5" max="5" width="8" style="42" customWidth="1"/>
    <col min="6" max="6" width="7.85546875" style="42" customWidth="1"/>
    <col min="7" max="7" width="48.5703125" style="42" customWidth="1"/>
    <col min="8" max="8" width="9.28515625" style="42" customWidth="1"/>
    <col min="9" max="9" width="15.5703125" style="42" customWidth="1"/>
    <col min="10" max="10" width="14.7109375" style="42" customWidth="1"/>
    <col min="11" max="11" width="15.5703125" style="42" customWidth="1"/>
    <col min="12" max="14" width="5.85546875" style="42" customWidth="1"/>
    <col min="15" max="15" width="12.5703125" style="42" customWidth="1"/>
    <col min="16" max="1024" width="9.140625" style="42"/>
    <col min="1025" max="16384" width="9.140625" style="43"/>
  </cols>
  <sheetData>
    <row r="1" spans="1:11" ht="18" customHeight="1" x14ac:dyDescent="0.2">
      <c r="A1" s="106" t="s">
        <v>15</v>
      </c>
      <c r="B1" s="106"/>
      <c r="C1" s="106"/>
      <c r="D1" s="106"/>
      <c r="E1" s="106"/>
      <c r="F1" s="106"/>
      <c r="G1" s="106"/>
      <c r="H1" s="106"/>
      <c r="I1" s="106"/>
      <c r="J1" s="40" t="s">
        <v>16</v>
      </c>
      <c r="K1" s="41" t="s">
        <v>138</v>
      </c>
    </row>
    <row r="2" spans="1:11" ht="18.75" customHeight="1" thickBot="1" x14ac:dyDescent="0.25">
      <c r="A2" s="44"/>
      <c r="B2" s="44"/>
      <c r="C2" s="44"/>
      <c r="D2" s="45"/>
      <c r="E2" s="45"/>
      <c r="F2" s="45"/>
      <c r="G2" s="45"/>
      <c r="H2" s="45"/>
      <c r="I2" s="45"/>
      <c r="J2" s="45"/>
      <c r="K2" s="45"/>
    </row>
    <row r="3" spans="1:11" ht="18.75" customHeight="1" thickBot="1" x14ac:dyDescent="0.25">
      <c r="A3" s="107" t="s">
        <v>49</v>
      </c>
      <c r="B3" s="107"/>
      <c r="C3" s="107"/>
      <c r="D3" s="108" t="str">
        <f>'Necesidades Trimestrales'!C4</f>
        <v>040 - Ministerio de Salud</v>
      </c>
      <c r="E3" s="108"/>
      <c r="F3" s="108"/>
      <c r="G3" s="108"/>
      <c r="H3" s="108"/>
      <c r="I3" s="108"/>
      <c r="J3" s="108"/>
      <c r="K3" s="108"/>
    </row>
    <row r="4" spans="1:11" ht="18.75" customHeight="1" thickBot="1" x14ac:dyDescent="0.25">
      <c r="A4" s="109" t="s">
        <v>50</v>
      </c>
      <c r="B4" s="109"/>
      <c r="C4" s="109"/>
      <c r="D4" s="108" t="str">
        <f>'Necesidades Trimestrales'!C5</f>
        <v>024 - Hospital Interzonal de Niños</v>
      </c>
      <c r="E4" s="108"/>
      <c r="F4" s="108"/>
      <c r="G4" s="108"/>
      <c r="H4" s="108"/>
      <c r="I4" s="108"/>
      <c r="J4" s="108"/>
      <c r="K4" s="108"/>
    </row>
    <row r="5" spans="1:11" ht="18.75" customHeight="1" thickBot="1" x14ac:dyDescent="0.25">
      <c r="A5" s="109" t="s">
        <v>28</v>
      </c>
      <c r="B5" s="109"/>
      <c r="C5" s="109"/>
      <c r="D5" s="108" t="s">
        <v>105</v>
      </c>
      <c r="E5" s="108"/>
      <c r="F5" s="108"/>
      <c r="G5" s="108"/>
      <c r="H5" s="108"/>
      <c r="I5" s="108"/>
      <c r="J5" s="108"/>
      <c r="K5" s="108"/>
    </row>
    <row r="6" spans="1:11" ht="16.5" customHeight="1" thickBot="1" x14ac:dyDescent="0.25">
      <c r="A6" s="107" t="s">
        <v>51</v>
      </c>
      <c r="B6" s="107"/>
      <c r="C6" s="107"/>
      <c r="D6" s="108" t="s">
        <v>108</v>
      </c>
      <c r="E6" s="108"/>
      <c r="F6" s="108"/>
      <c r="G6" s="108"/>
      <c r="H6" s="108"/>
      <c r="I6" s="108"/>
      <c r="J6" s="108"/>
      <c r="K6" s="108"/>
    </row>
    <row r="7" spans="1:11" ht="16.5" customHeight="1" x14ac:dyDescent="0.2">
      <c r="A7" s="109" t="s">
        <v>17</v>
      </c>
      <c r="B7" s="109"/>
      <c r="C7" s="109"/>
      <c r="D7" s="108" t="str">
        <f>'Necesidades Trimestrales'!C7 &amp; "° Trimestre - Año " &amp; 'Necesidades Trimestrales'!C6</f>
        <v>3° Trimestre - Año 2021</v>
      </c>
      <c r="E7" s="108"/>
      <c r="F7" s="108"/>
      <c r="G7" s="108"/>
      <c r="H7" s="108"/>
      <c r="I7" s="108"/>
      <c r="J7" s="108"/>
      <c r="K7" s="108"/>
    </row>
    <row r="8" spans="1:11" ht="16.5" customHeight="1" x14ac:dyDescent="0.2">
      <c r="A8" s="110" t="s">
        <v>18</v>
      </c>
      <c r="B8" s="110"/>
      <c r="C8" s="110"/>
      <c r="D8" s="111" t="s">
        <v>136</v>
      </c>
      <c r="E8" s="111"/>
      <c r="F8" s="111"/>
      <c r="G8" s="111"/>
      <c r="H8" s="111"/>
      <c r="I8" s="111"/>
      <c r="J8" s="111"/>
      <c r="K8" s="111"/>
    </row>
    <row r="9" spans="1:11" ht="15.75" x14ac:dyDescent="0.2">
      <c r="A9" s="46"/>
      <c r="B9" s="46"/>
      <c r="C9" s="46"/>
      <c r="D9" s="47"/>
      <c r="E9" s="47"/>
      <c r="F9" s="47"/>
      <c r="G9" s="47"/>
      <c r="H9" s="47"/>
      <c r="I9" s="47"/>
      <c r="J9" s="47"/>
      <c r="K9" s="47"/>
    </row>
    <row r="10" spans="1:11" ht="18.75" customHeight="1" x14ac:dyDescent="0.2">
      <c r="A10" s="112" t="s">
        <v>19</v>
      </c>
      <c r="B10" s="113" t="s">
        <v>20</v>
      </c>
      <c r="C10" s="113" t="s">
        <v>21</v>
      </c>
      <c r="D10" s="113"/>
      <c r="E10" s="113"/>
      <c r="F10" s="113"/>
      <c r="G10" s="113"/>
      <c r="H10" s="113" t="s">
        <v>22</v>
      </c>
      <c r="I10" s="113" t="s">
        <v>23</v>
      </c>
      <c r="J10" s="113" t="s">
        <v>24</v>
      </c>
      <c r="K10" s="114" t="s">
        <v>25</v>
      </c>
    </row>
    <row r="11" spans="1:11" ht="24" customHeight="1" x14ac:dyDescent="0.2">
      <c r="A11" s="112"/>
      <c r="B11" s="113"/>
      <c r="C11" s="113"/>
      <c r="D11" s="113"/>
      <c r="E11" s="113"/>
      <c r="F11" s="113"/>
      <c r="G11" s="113"/>
      <c r="H11" s="113"/>
      <c r="I11" s="113"/>
      <c r="J11" s="113"/>
      <c r="K11" s="114"/>
    </row>
    <row r="12" spans="1:11" ht="34.5" customHeight="1" x14ac:dyDescent="0.2">
      <c r="A12" s="48">
        <v>1</v>
      </c>
      <c r="B12" s="49" t="str">
        <f>'Necesidades Trimestrales'!B10</f>
        <v>2.1.1-439.67</v>
      </c>
      <c r="C12" s="116" t="str">
        <f>'Necesidades Trimestrales'!E10</f>
        <v>ACEITES COMESTIBLES; TIPO: GIRASOL, PRESENTACION: ENVASE X 900 CM3, MATERIAL ENVASE: PLASTICO 1 (PET), ELEM. TRANSPORTE: SIN, MATERIAL ELEM. TRANSPORTE : SIN, LIBRE DE GLUTEN: NO</v>
      </c>
      <c r="D12" s="116"/>
      <c r="E12" s="116"/>
      <c r="F12" s="116"/>
      <c r="G12" s="116"/>
      <c r="H12" s="50" t="s">
        <v>111</v>
      </c>
      <c r="I12" s="51" t="str">
        <f>'Necesidades Trimestrales'!F10</f>
        <v>BOTELLA</v>
      </c>
      <c r="J12" s="52">
        <f>'Necesidades Trimestrales'!H10</f>
        <v>210</v>
      </c>
      <c r="K12" s="53">
        <f>'Necesidades Trimestrales'!G10</f>
        <v>550</v>
      </c>
    </row>
    <row r="13" spans="1:11" ht="39.75" customHeight="1" x14ac:dyDescent="0.2">
      <c r="A13" s="60">
        <v>2</v>
      </c>
      <c r="B13" s="55" t="str">
        <f>'Necesidades Trimestrales'!B11</f>
        <v>2.1.1-435.38</v>
      </c>
      <c r="C13" s="105" t="str">
        <f>'Necesidades Trimestrales'!E11</f>
        <v>ARROZ; TIPO GRANO: DOBLE, TIPO: BLANCO, PROCESO: PARBOLIZADO, PRESENTACION: ENVASE X 1 Kg, MATERIAL ENVASE: CARTON, CERTIFICADO FORESTAL (GFS): SIN, ELEM. TRANSPORTE: SIN, MATERIAL ELEM. TRANSPORTE: SIN</v>
      </c>
      <c r="D13" s="105"/>
      <c r="E13" s="105"/>
      <c r="F13" s="105"/>
      <c r="G13" s="105"/>
      <c r="H13" s="56" t="s">
        <v>111</v>
      </c>
      <c r="I13" s="57" t="str">
        <f>'Necesidades Trimestrales'!F11</f>
        <v>PAQUETE</v>
      </c>
      <c r="J13" s="58">
        <f>'Necesidades Trimestrales'!H11</f>
        <v>300</v>
      </c>
      <c r="K13" s="59">
        <f>'Necesidades Trimestrales'!G11</f>
        <v>400</v>
      </c>
    </row>
    <row r="14" spans="1:11" ht="27" customHeight="1" x14ac:dyDescent="0.2">
      <c r="A14" s="54">
        <v>3</v>
      </c>
      <c r="B14" s="55" t="str">
        <f>'Necesidades Trimestrales'!B12</f>
        <v>2.1.1-708.43</v>
      </c>
      <c r="C14" s="105" t="str">
        <f>'Necesidades Trimestrales'!E12</f>
        <v>CONSERVAS PESCADO Y FRUTOS MAR; TIPO: ATUN, ESTADO: AL NATURAL, PESO: 170 GR, ENVASE: LATA, ELEM. TRANSPORTE: SIN, MATERIAL ELEM. TRANSPORTE: SIN</v>
      </c>
      <c r="D14" s="105"/>
      <c r="E14" s="105"/>
      <c r="F14" s="105"/>
      <c r="G14" s="105"/>
      <c r="H14" s="56" t="s">
        <v>111</v>
      </c>
      <c r="I14" s="57" t="str">
        <f>'Necesidades Trimestrales'!F12</f>
        <v>LATA</v>
      </c>
      <c r="J14" s="58">
        <f>'Necesidades Trimestrales'!H12</f>
        <v>210</v>
      </c>
      <c r="K14" s="59">
        <f>'Necesidades Trimestrales'!G12</f>
        <v>200</v>
      </c>
    </row>
    <row r="15" spans="1:11" ht="20.25" customHeight="1" x14ac:dyDescent="0.2">
      <c r="A15" s="60">
        <v>4</v>
      </c>
      <c r="B15" s="55" t="str">
        <f>'Necesidades Trimestrales'!B13</f>
        <v>2.1.1-2124.3</v>
      </c>
      <c r="C15" s="105" t="str">
        <f>'Necesidades Trimestrales'!E13</f>
        <v>AVENAS; TIPO: ARROLLADA, ESTADO: NATURAL, PRESENTACION: BOLSA, PESO: 1 Kg</v>
      </c>
      <c r="D15" s="105"/>
      <c r="E15" s="105"/>
      <c r="F15" s="105"/>
      <c r="G15" s="105"/>
      <c r="H15" s="56" t="s">
        <v>111</v>
      </c>
      <c r="I15" s="57" t="str">
        <f>'Necesidades Trimestrales'!F13</f>
        <v>CAJA</v>
      </c>
      <c r="J15" s="58">
        <f>'Necesidades Trimestrales'!H13</f>
        <v>310</v>
      </c>
      <c r="K15" s="59">
        <f>'Necesidades Trimestrales'!G13</f>
        <v>60</v>
      </c>
    </row>
    <row r="16" spans="1:11" ht="20.25" customHeight="1" x14ac:dyDescent="0.2">
      <c r="A16" s="54">
        <v>5</v>
      </c>
      <c r="B16" s="55" t="str">
        <f>'Necesidades Trimestrales'!B14</f>
        <v>2.1.1-6547.17</v>
      </c>
      <c r="C16" s="105" t="str">
        <f>'Necesidades Trimestrales'!E14</f>
        <v>LEGUMBRES; VARIEDAD: ARVEJA, ESTADO: REMOJADO EN CONSERVA, PRESENTACION: LATA, PESO: 350 GR</v>
      </c>
      <c r="D16" s="105"/>
      <c r="E16" s="105"/>
      <c r="F16" s="105"/>
      <c r="G16" s="105"/>
      <c r="H16" s="56" t="s">
        <v>111</v>
      </c>
      <c r="I16" s="57" t="str">
        <f>'Necesidades Trimestrales'!F14</f>
        <v>LATA</v>
      </c>
      <c r="J16" s="58">
        <f>'Necesidades Trimestrales'!H14</f>
        <v>49</v>
      </c>
      <c r="K16" s="59">
        <f>'Necesidades Trimestrales'!G14</f>
        <v>200</v>
      </c>
    </row>
    <row r="17" spans="1:11" ht="27.75" customHeight="1" x14ac:dyDescent="0.2">
      <c r="A17" s="60">
        <v>6</v>
      </c>
      <c r="B17" s="55" t="str">
        <f>'Necesidades Trimestrales'!B15</f>
        <v>2.1.1-481.38</v>
      </c>
      <c r="C17" s="105" t="str">
        <f>'Necesidades Trimestrales'!E15</f>
        <v>AZUCARES; TIPO: "A" COMUN, ESTADO: MOLIDA, PESO: 1 Kg, MATERIAL ENVASE: PLASTICO, CERTIFICADO FORESTAL (GFS): SIN, ELEM. TRANSPORTE: SIN, MATERIAL ELEM. TRANSPORTE: SIN</v>
      </c>
      <c r="D17" s="105"/>
      <c r="E17" s="105"/>
      <c r="F17" s="105"/>
      <c r="G17" s="105"/>
      <c r="H17" s="56" t="s">
        <v>111</v>
      </c>
      <c r="I17" s="57" t="str">
        <f>'Necesidades Trimestrales'!F15</f>
        <v>PAQUETE</v>
      </c>
      <c r="J17" s="58">
        <f>'Necesidades Trimestrales'!H15</f>
        <v>71.599999999999994</v>
      </c>
      <c r="K17" s="59">
        <f>'Necesidades Trimestrales'!G15</f>
        <v>800</v>
      </c>
    </row>
    <row r="18" spans="1:11" ht="29.25" customHeight="1" x14ac:dyDescent="0.2">
      <c r="A18" s="54">
        <v>7</v>
      </c>
      <c r="B18" s="55" t="str">
        <f>'Necesidades Trimestrales'!B16</f>
        <v>2.1.1-6546.336</v>
      </c>
      <c r="C18" s="105" t="str">
        <f>'Necesidades Trimestrales'!E16</f>
        <v>VERDURAS Y HORTALIZAS; VARIEDAD: CHOCLO, ESTADO: CREMOSO, PRESENTACION: LATA, PESO: 350 GR, ELEM. TRANSPORTE: SIN, MATERIAL ELEM. TRANSPORTE: SIN, LIBRE DE GLUTEN: NO</v>
      </c>
      <c r="D18" s="105"/>
      <c r="E18" s="105"/>
      <c r="F18" s="105"/>
      <c r="G18" s="105"/>
      <c r="H18" s="56" t="s">
        <v>111</v>
      </c>
      <c r="I18" s="57" t="str">
        <f>'Necesidades Trimestrales'!F16</f>
        <v>LATA</v>
      </c>
      <c r="J18" s="58">
        <f>'Necesidades Trimestrales'!H16</f>
        <v>92</v>
      </c>
      <c r="K18" s="59">
        <f>'Necesidades Trimestrales'!G16</f>
        <v>160</v>
      </c>
    </row>
    <row r="19" spans="1:11" ht="20.25" customHeight="1" x14ac:dyDescent="0.2">
      <c r="A19" s="60">
        <v>8</v>
      </c>
      <c r="B19" s="55" t="str">
        <f>'Necesidades Trimestrales'!B17</f>
        <v>2.1.1-6546.269</v>
      </c>
      <c r="C19" s="105" t="str">
        <f>'Necesidades Trimestrales'!E17</f>
        <v>VERDURAS Y HORTALIZAS; VARIEDAD: CHOCLO, ESTADO: GRANO, PRESENTACION: LATA, PESO: 350 GR</v>
      </c>
      <c r="D19" s="105"/>
      <c r="E19" s="105"/>
      <c r="F19" s="105"/>
      <c r="G19" s="105"/>
      <c r="H19" s="56" t="s">
        <v>111</v>
      </c>
      <c r="I19" s="57" t="str">
        <f>'Necesidades Trimestrales'!F17</f>
        <v>LATA</v>
      </c>
      <c r="J19" s="58">
        <f>'Necesidades Trimestrales'!H17</f>
        <v>94.5</v>
      </c>
      <c r="K19" s="59">
        <f>'Necesidades Trimestrales'!G17</f>
        <v>200</v>
      </c>
    </row>
    <row r="20" spans="1:11" ht="24.75" customHeight="1" x14ac:dyDescent="0.2">
      <c r="A20" s="54">
        <v>9</v>
      </c>
      <c r="B20" s="55" t="str">
        <f>'Necesidades Trimestrales'!B18</f>
        <v>2.1.1-597.43</v>
      </c>
      <c r="C20" s="105" t="str">
        <f>'Necesidades Trimestrales'!E18</f>
        <v>CONSERVAS DE FRUTAS; VARIEDAD: COCTEL, ENVASE: LATA, PESO: 820 GR, ELEM. TRANSPORTE: SIN, MATERIAL ELEM. TRANSPORTE: SIN, LIBRE DE GLUTEN: SI</v>
      </c>
      <c r="D20" s="105"/>
      <c r="E20" s="105"/>
      <c r="F20" s="105"/>
      <c r="G20" s="105"/>
      <c r="H20" s="56" t="s">
        <v>111</v>
      </c>
      <c r="I20" s="57" t="str">
        <f>'Necesidades Trimestrales'!F18</f>
        <v>LATA</v>
      </c>
      <c r="J20" s="58">
        <f>'Necesidades Trimestrales'!H18</f>
        <v>380</v>
      </c>
      <c r="K20" s="59">
        <f>'Necesidades Trimestrales'!G18</f>
        <v>150</v>
      </c>
    </row>
    <row r="21" spans="1:11" ht="20.25" customHeight="1" x14ac:dyDescent="0.2">
      <c r="A21" s="60">
        <v>10</v>
      </c>
      <c r="B21" s="55" t="str">
        <f>'Necesidades Trimestrales'!B19</f>
        <v>2.1.1-2113.1</v>
      </c>
      <c r="C21" s="105" t="str">
        <f>'Necesidades Trimestrales'!E19</f>
        <v>DULCES; TIPO: DE BATATA, PRESENTACION: LATA, PESO: 5</v>
      </c>
      <c r="D21" s="105"/>
      <c r="E21" s="105"/>
      <c r="F21" s="105"/>
      <c r="G21" s="105"/>
      <c r="H21" s="56" t="s">
        <v>111</v>
      </c>
      <c r="I21" s="57" t="str">
        <f>'Necesidades Trimestrales'!F19</f>
        <v>LATA</v>
      </c>
      <c r="J21" s="58">
        <f>'Necesidades Trimestrales'!H19</f>
        <v>721</v>
      </c>
      <c r="K21" s="59">
        <f>'Necesidades Trimestrales'!G19</f>
        <v>2</v>
      </c>
    </row>
    <row r="22" spans="1:11" ht="20.25" customHeight="1" x14ac:dyDescent="0.2">
      <c r="A22" s="54">
        <v>11</v>
      </c>
      <c r="B22" s="55" t="str">
        <f>'Necesidades Trimestrales'!B20</f>
        <v>2.1.1-2113.2</v>
      </c>
      <c r="C22" s="105" t="str">
        <f>'Necesidades Trimestrales'!E20</f>
        <v>DULCES; TIPO: DE MEMBRILLO, PRESENTACION: LATA, PESO: 5 Kg</v>
      </c>
      <c r="D22" s="105"/>
      <c r="E22" s="105"/>
      <c r="F22" s="105"/>
      <c r="G22" s="105"/>
      <c r="H22" s="56" t="s">
        <v>111</v>
      </c>
      <c r="I22" s="57" t="str">
        <f>'Necesidades Trimestrales'!F20</f>
        <v>LATA</v>
      </c>
      <c r="J22" s="58">
        <f>'Necesidades Trimestrales'!H20</f>
        <v>1750</v>
      </c>
      <c r="K22" s="59">
        <f>'Necesidades Trimestrales'!G20</f>
        <v>2</v>
      </c>
    </row>
    <row r="23" spans="1:11" ht="20.25" customHeight="1" x14ac:dyDescent="0.2">
      <c r="A23" s="60">
        <v>12</v>
      </c>
      <c r="B23" s="55" t="str">
        <f>'Necesidades Trimestrales'!B21</f>
        <v>2.1.1-6539.54</v>
      </c>
      <c r="C23" s="105" t="str">
        <f>'Necesidades Trimestrales'!E21</f>
        <v>FRUTAS; VARIEDAD: DURAZNO, PRESENTACION: ENVASE X 820 GR, ESTADO: NATURAL, PESO: 820 GR</v>
      </c>
      <c r="D23" s="105"/>
      <c r="E23" s="105"/>
      <c r="F23" s="105"/>
      <c r="G23" s="105"/>
      <c r="H23" s="56" t="s">
        <v>111</v>
      </c>
      <c r="I23" s="57" t="str">
        <f>'Necesidades Trimestrales'!F21</f>
        <v>LATA</v>
      </c>
      <c r="J23" s="58">
        <f>'Necesidades Trimestrales'!H21</f>
        <v>380</v>
      </c>
      <c r="K23" s="59">
        <f>'Necesidades Trimestrales'!G21</f>
        <v>200</v>
      </c>
    </row>
    <row r="24" spans="1:11" ht="20.25" customHeight="1" x14ac:dyDescent="0.2">
      <c r="A24" s="54">
        <v>13</v>
      </c>
      <c r="B24" s="55" t="str">
        <f>'Necesidades Trimestrales'!B22</f>
        <v>2.1.1-595.2</v>
      </c>
      <c r="C24" s="105" t="str">
        <f>'Necesidades Trimestrales'!E22</f>
        <v>EDULCORANTES; PRESENTACION: LIQUIDO, ENVASE: BOTELLA PLASTICA, CONTENIDO: 500 CM3</v>
      </c>
      <c r="D24" s="105"/>
      <c r="E24" s="105"/>
      <c r="F24" s="105"/>
      <c r="G24" s="105"/>
      <c r="H24" s="56" t="s">
        <v>111</v>
      </c>
      <c r="I24" s="57" t="str">
        <f>'Necesidades Trimestrales'!F22</f>
        <v>BOTELLA</v>
      </c>
      <c r="J24" s="58">
        <f>'Necesidades Trimestrales'!H22</f>
        <v>264</v>
      </c>
      <c r="K24" s="59">
        <f>'Necesidades Trimestrales'!G22</f>
        <v>24</v>
      </c>
    </row>
    <row r="25" spans="1:11" ht="40.5" customHeight="1" x14ac:dyDescent="0.2">
      <c r="A25" s="60">
        <v>14</v>
      </c>
      <c r="B25" s="55" t="str">
        <f>'Necesidades Trimestrales'!B23</f>
        <v>2.1.1-2868.59</v>
      </c>
      <c r="C25" s="105" t="str">
        <f>'Necesidades Trimestrales'!E23</f>
        <v>FIDEOS SECOS; VARIEDAD: MOSTACHOLES, RELLENO: SIN, PRESENTACION: ENVASE X 500 GR, MATERIAL ENVASE: PVC, ELEM. TRANSPORTE: CAJA, MATERIAL ELEM. TRANSPORTE: CARTON, CERTIFICADO FORESTAL (GFS): SIN, LIBRE DE GLUTEN: NO</v>
      </c>
      <c r="D25" s="105"/>
      <c r="E25" s="105"/>
      <c r="F25" s="105"/>
      <c r="G25" s="105"/>
      <c r="H25" s="56" t="s">
        <v>111</v>
      </c>
      <c r="I25" s="57" t="str">
        <f>'Necesidades Trimestrales'!F23</f>
        <v>PAQUETE</v>
      </c>
      <c r="J25" s="58">
        <f>'Necesidades Trimestrales'!H23</f>
        <v>61.5</v>
      </c>
      <c r="K25" s="59">
        <f>'Necesidades Trimestrales'!G23</f>
        <v>400</v>
      </c>
    </row>
    <row r="26" spans="1:11" ht="37.5" customHeight="1" x14ac:dyDescent="0.2">
      <c r="A26" s="54">
        <v>15</v>
      </c>
      <c r="B26" s="55" t="str">
        <f>'Necesidades Trimestrales'!B24</f>
        <v>2.1.1-2868.53</v>
      </c>
      <c r="C26" s="105" t="str">
        <f>'Necesidades Trimestrales'!E24</f>
        <v>FIDEOS SECOS; VARIEDAD: TIRABUZON, RELLENO: SIN, PRESENTACION: ENVASE X 500 GR, MATERIAL ENVASE: PLASTICO 1 (PET), ELEM. TRANSPORTE: SIN, MATERIAL ELEM. TRANSPORTE: SIN, CERTIFICADO FORESTAL (GFS): SIN, LIBRE DE GLUTEN: NO</v>
      </c>
      <c r="D26" s="105"/>
      <c r="E26" s="105"/>
      <c r="F26" s="105"/>
      <c r="G26" s="105"/>
      <c r="H26" s="56" t="s">
        <v>111</v>
      </c>
      <c r="I26" s="57" t="str">
        <f>'Necesidades Trimestrales'!F24</f>
        <v>PAQUETE</v>
      </c>
      <c r="J26" s="58">
        <f>'Necesidades Trimestrales'!H24</f>
        <v>61.5</v>
      </c>
      <c r="K26" s="59">
        <f>'Necesidades Trimestrales'!G24</f>
        <v>400</v>
      </c>
    </row>
    <row r="27" spans="1:11" ht="43.5" customHeight="1" x14ac:dyDescent="0.2">
      <c r="A27" s="60">
        <v>16</v>
      </c>
      <c r="B27" s="55" t="str">
        <f>'Necesidades Trimestrales'!B25</f>
        <v>2.1.1-2868.55</v>
      </c>
      <c r="C27" s="105" t="str">
        <f>'Necesidades Trimestrales'!E25</f>
        <v>FIDEOS SECOS; VARIEDAD: TALLARIN, RELLENO: SIN, PRESENTACION: ENVASE X 500 GR, MATERIAL ENVASE: PLASTICO 1 (PET), ELEM. TRANSPORTE: SIN, MATERIAL ELEM. TRANSPORTE: SIN, CERTIFICADO FORESTAL (GFS): SIN, LIBRE DE GLUTEN: NO</v>
      </c>
      <c r="D27" s="105"/>
      <c r="E27" s="105"/>
      <c r="F27" s="105"/>
      <c r="G27" s="105"/>
      <c r="H27" s="56" t="s">
        <v>111</v>
      </c>
      <c r="I27" s="57" t="str">
        <f>'Necesidades Trimestrales'!F25</f>
        <v>PAQUETE</v>
      </c>
      <c r="J27" s="58">
        <f>'Necesidades Trimestrales'!H25</f>
        <v>61.5</v>
      </c>
      <c r="K27" s="59">
        <f>'Necesidades Trimestrales'!G25</f>
        <v>400</v>
      </c>
    </row>
    <row r="28" spans="1:11" ht="20.25" customHeight="1" x14ac:dyDescent="0.2">
      <c r="A28" s="54">
        <v>17</v>
      </c>
      <c r="B28" s="55" t="str">
        <f>'Necesidades Trimestrales'!B26</f>
        <v>2.1.1-788.186</v>
      </c>
      <c r="C28" s="105" t="str">
        <f>'Necesidades Trimestrales'!E26</f>
        <v>GALLETITAS; VARIEDAD: SIN SAL, RELLENO: SIN, PRESENTACION: ENVASE X 180 GR, ELEM. TRANSPORTE: SIN, MATERIAL ELEM. TRANSPORTE: SIN, LIBRE DE GLUTEN: SI</v>
      </c>
      <c r="D28" s="105"/>
      <c r="E28" s="105"/>
      <c r="F28" s="105"/>
      <c r="G28" s="105"/>
      <c r="H28" s="56" t="s">
        <v>111</v>
      </c>
      <c r="I28" s="57" t="str">
        <f>'Necesidades Trimestrales'!F26</f>
        <v>PAQUETE</v>
      </c>
      <c r="J28" s="58">
        <f>'Necesidades Trimestrales'!H26</f>
        <v>92</v>
      </c>
      <c r="K28" s="59">
        <f>'Necesidades Trimestrales'!G26</f>
        <v>3</v>
      </c>
    </row>
    <row r="29" spans="1:11" ht="20.25" customHeight="1" x14ac:dyDescent="0.2">
      <c r="A29" s="60">
        <v>18</v>
      </c>
      <c r="B29" s="55" t="str">
        <f>'Necesidades Trimestrales'!B27</f>
        <v>2.1.1-510.3</v>
      </c>
      <c r="C29" s="105" t="str">
        <f>'Necesidades Trimestrales'!E27</f>
        <v>GELATINAS; TIPO: BAJAS CALORIAS, ENVASE: CAJA DE CARTON, PESO: 30 GR, SABOR: CEREZA</v>
      </c>
      <c r="D29" s="105"/>
      <c r="E29" s="105"/>
      <c r="F29" s="105"/>
      <c r="G29" s="105"/>
      <c r="H29" s="56" t="s">
        <v>111</v>
      </c>
      <c r="I29" s="57" t="str">
        <f>'Necesidades Trimestrales'!F27</f>
        <v>PAQUETE</v>
      </c>
      <c r="J29" s="58">
        <f>'Necesidades Trimestrales'!H27</f>
        <v>65</v>
      </c>
      <c r="K29" s="59">
        <f>'Necesidades Trimestrales'!G27</f>
        <v>180</v>
      </c>
    </row>
    <row r="30" spans="1:11" ht="28.5" customHeight="1" x14ac:dyDescent="0.2">
      <c r="A30" s="54">
        <v>19</v>
      </c>
      <c r="B30" s="55" t="str">
        <f>'Necesidades Trimestrales'!B28</f>
        <v>2.1.1-482.69</v>
      </c>
      <c r="C30" s="105" t="str">
        <f>'Necesidades Trimestrales'!E28</f>
        <v>HARINAS; TIPO: MAIZ, PRESENTACION: ENVASE X 1 Kg, MATERIAL ENVASE: PAPEL, CERTICADO FORESTAL (GFS): SIN, ELEM. TRANSPORTE: SIN, MATERIAL ELEM. TRANSPORTE: SIN, LIBRE DE GLUTEN: NO</v>
      </c>
      <c r="D30" s="105"/>
      <c r="E30" s="105"/>
      <c r="F30" s="105"/>
      <c r="G30" s="105"/>
      <c r="H30" s="56" t="s">
        <v>111</v>
      </c>
      <c r="I30" s="57" t="str">
        <f>'Necesidades Trimestrales'!F28</f>
        <v>PAQUETE</v>
      </c>
      <c r="J30" s="58">
        <f>'Necesidades Trimestrales'!H28</f>
        <v>128</v>
      </c>
      <c r="K30" s="59">
        <f>'Necesidades Trimestrales'!G28</f>
        <v>100</v>
      </c>
    </row>
    <row r="31" spans="1:11" ht="33.75" customHeight="1" x14ac:dyDescent="0.2">
      <c r="A31" s="60">
        <v>20</v>
      </c>
      <c r="B31" s="55" t="str">
        <f>'Necesidades Trimestrales'!B29</f>
        <v>2.1.1-482.80</v>
      </c>
      <c r="C31" s="105" t="str">
        <f>'Necesidades Trimestrales'!E29</f>
        <v>HARINAS; TIPO: DE TRIGO 000, PRESENTACION: ENVASE X 1 Kg, MATERIAL ENVASE: PAPEL, CERTICADO FORESTAL (GFS): SIN, ELEM. TRANSPORTE: SIN, MATERIAL ELEM. TRANSPORTE: SIN, LIBRE DE GLUTEN: NO</v>
      </c>
      <c r="D31" s="105"/>
      <c r="E31" s="105"/>
      <c r="F31" s="105"/>
      <c r="G31" s="105"/>
      <c r="H31" s="56" t="s">
        <v>111</v>
      </c>
      <c r="I31" s="57" t="str">
        <f>'Necesidades Trimestrales'!F29</f>
        <v>PAQUETE</v>
      </c>
      <c r="J31" s="58">
        <f>'Necesidades Trimestrales'!H29</f>
        <v>80</v>
      </c>
      <c r="K31" s="59">
        <f>'Necesidades Trimestrales'!G29</f>
        <v>100</v>
      </c>
    </row>
    <row r="32" spans="1:11" ht="30" customHeight="1" x14ac:dyDescent="0.2">
      <c r="A32" s="54">
        <v>21</v>
      </c>
      <c r="B32" s="55" t="str">
        <f>'Necesidades Trimestrales'!B30</f>
        <v>2.1.1-482.81</v>
      </c>
      <c r="C32" s="105" t="str">
        <f>'Necesidades Trimestrales'!E30</f>
        <v>HARINAS; TIPO: LEUDANTE, PRESENTACION: ENVASE X 1 Kg, MATERIAL ENVASE: PAPEL, CERTICADO FORESTAL (GFS): SIN, ELEM. TRANSPORTE: SIN, MATERIAL ELEM. TRANSPORTE: SIN, LIBRE DE GLUTEN: NO</v>
      </c>
      <c r="D32" s="105"/>
      <c r="E32" s="105"/>
      <c r="F32" s="105"/>
      <c r="G32" s="105"/>
      <c r="H32" s="56" t="s">
        <v>111</v>
      </c>
      <c r="I32" s="57" t="str">
        <f>'Necesidades Trimestrales'!F30</f>
        <v>PAQUETE</v>
      </c>
      <c r="J32" s="58">
        <f>'Necesidades Trimestrales'!H30</f>
        <v>68</v>
      </c>
      <c r="K32" s="59">
        <f>'Necesidades Trimestrales'!G30</f>
        <v>100</v>
      </c>
    </row>
    <row r="33" spans="1:11" ht="20.25" customHeight="1" x14ac:dyDescent="0.2">
      <c r="A33" s="60">
        <v>22</v>
      </c>
      <c r="B33" s="55" t="str">
        <f>'Necesidades Trimestrales'!B31</f>
        <v>2.1.1-489.96</v>
      </c>
      <c r="C33" s="105" t="str">
        <f>'Necesidades Trimestrales'!E31</f>
        <v>ESPECIAS; TIPO: LAUREL, PRESENTACION: PAQUETE X 50 GR</v>
      </c>
      <c r="D33" s="105"/>
      <c r="E33" s="105"/>
      <c r="F33" s="105"/>
      <c r="G33" s="105"/>
      <c r="H33" s="56" t="s">
        <v>111</v>
      </c>
      <c r="I33" s="57" t="str">
        <f>'Necesidades Trimestrales'!F31</f>
        <v>PAQUETE</v>
      </c>
      <c r="J33" s="58">
        <f>'Necesidades Trimestrales'!H31</f>
        <v>96</v>
      </c>
      <c r="K33" s="59">
        <f>'Necesidades Trimestrales'!G31</f>
        <v>70</v>
      </c>
    </row>
    <row r="34" spans="1:11" ht="24.75" customHeight="1" x14ac:dyDescent="0.2">
      <c r="A34" s="54">
        <v>23</v>
      </c>
      <c r="B34" s="55" t="str">
        <f>'Necesidades Trimestrales'!B32</f>
        <v>2.1.1-705.93</v>
      </c>
      <c r="C34" s="105" t="str">
        <f>'Necesidades Trimestrales'!E32</f>
        <v>LECHE; ESTADO: POLVO, TIPO: ENTERA, PROCESO: PASTEURIZADA, AGREGADO: VITAMINAS A Y D, PRESENTACION: ENVASE X 800 GR, MATERIAL ENVASE: CARTON, ELEM. TRANSPORTE: SIN, MATERIAL ELEM. TRANSPORTE: SIN, CERTIFICADO FORESTAL (GFS): SIN, LIBRE DE GLUTEN: SI</v>
      </c>
      <c r="D34" s="105"/>
      <c r="E34" s="105"/>
      <c r="F34" s="105"/>
      <c r="G34" s="105"/>
      <c r="H34" s="56" t="s">
        <v>111</v>
      </c>
      <c r="I34" s="57" t="str">
        <f>'Necesidades Trimestrales'!F32</f>
        <v>CAJA</v>
      </c>
      <c r="J34" s="58">
        <f>'Necesidades Trimestrales'!H32</f>
        <v>543</v>
      </c>
      <c r="K34" s="59">
        <f>'Necesidades Trimestrales'!G32</f>
        <v>380</v>
      </c>
    </row>
    <row r="35" spans="1:11" ht="20.25" customHeight="1" x14ac:dyDescent="0.2">
      <c r="A35" s="60">
        <v>24</v>
      </c>
      <c r="B35" s="55" t="str">
        <f>'Necesidades Trimestrales'!B33</f>
        <v>2.1.1-2116.10</v>
      </c>
      <c r="C35" s="105" t="str">
        <f>'Necesidades Trimestrales'!E33</f>
        <v>LEVADURAS; TIPO: SECA INSTANTANEA, PRESENTACION: SOBRE, PESO: 20 GR</v>
      </c>
      <c r="D35" s="105"/>
      <c r="E35" s="105"/>
      <c r="F35" s="105"/>
      <c r="G35" s="105"/>
      <c r="H35" s="56" t="s">
        <v>111</v>
      </c>
      <c r="I35" s="57" t="str">
        <f>'Necesidades Trimestrales'!F33</f>
        <v>SOBRE</v>
      </c>
      <c r="J35" s="58">
        <f>'Necesidades Trimestrales'!H33</f>
        <v>73</v>
      </c>
      <c r="K35" s="59">
        <f>'Necesidades Trimestrales'!G33</f>
        <v>150</v>
      </c>
    </row>
    <row r="36" spans="1:11" ht="20.25" customHeight="1" x14ac:dyDescent="0.2">
      <c r="A36" s="54">
        <v>25</v>
      </c>
      <c r="B36" s="55" t="str">
        <f>'Necesidades Trimestrales'!B34</f>
        <v>2.1.1-489.66</v>
      </c>
      <c r="C36" s="105" t="str">
        <f>'Necesidades Trimestrales'!E34</f>
        <v>ESPECIAS; TIPO: OREGANO, PRESENTACION: BOLSA DE 1 Kg</v>
      </c>
      <c r="D36" s="105"/>
      <c r="E36" s="105"/>
      <c r="F36" s="105"/>
      <c r="G36" s="105"/>
      <c r="H36" s="56" t="s">
        <v>111</v>
      </c>
      <c r="I36" s="57" t="str">
        <f>'Necesidades Trimestrales'!F34</f>
        <v>BOLSA</v>
      </c>
      <c r="J36" s="58">
        <f>'Necesidades Trimestrales'!H34</f>
        <v>2200</v>
      </c>
      <c r="K36" s="59">
        <f>'Necesidades Trimestrales'!G34</f>
        <v>12</v>
      </c>
    </row>
    <row r="37" spans="1:11" ht="20.25" customHeight="1" x14ac:dyDescent="0.2">
      <c r="A37" s="60">
        <v>26</v>
      </c>
      <c r="B37" s="55" t="str">
        <f>'Necesidades Trimestrales'!B35</f>
        <v>2.1.1-489.97</v>
      </c>
      <c r="C37" s="105" t="str">
        <f>'Necesidades Trimestrales'!E35</f>
        <v>ESPECIAS; TIPO: PIMENTON DULCE, PRESENTACION: PAQUETE X 50 GR</v>
      </c>
      <c r="D37" s="105"/>
      <c r="E37" s="105"/>
      <c r="F37" s="105"/>
      <c r="G37" s="105"/>
      <c r="H37" s="56" t="s">
        <v>111</v>
      </c>
      <c r="I37" s="57" t="str">
        <f>'Necesidades Trimestrales'!F35</f>
        <v>SOBRE</v>
      </c>
      <c r="J37" s="58">
        <f>'Necesidades Trimestrales'!H35</f>
        <v>95</v>
      </c>
      <c r="K37" s="59">
        <f>'Necesidades Trimestrales'!G35</f>
        <v>150</v>
      </c>
    </row>
    <row r="38" spans="1:11" ht="25.5" customHeight="1" x14ac:dyDescent="0.2">
      <c r="A38" s="54">
        <v>27</v>
      </c>
      <c r="B38" s="55" t="str">
        <f>'Necesidades Trimestrales'!B36</f>
        <v>2.1.1-517.86</v>
      </c>
      <c r="C38" s="105" t="str">
        <f>'Necesidades Trimestrales'!E36</f>
        <v>POSTRES; ESTADO PREPARACION: CON COCCION, TIPO: POLVO, ENVASE: CAJA DE CARTON, PESO: 80 GR, SABOR: VAINILLA, LIBRE DE GLUTEN: SI</v>
      </c>
      <c r="D38" s="105"/>
      <c r="E38" s="105"/>
      <c r="F38" s="105"/>
      <c r="G38" s="105"/>
      <c r="H38" s="56" t="s">
        <v>111</v>
      </c>
      <c r="I38" s="57" t="str">
        <f>'Necesidades Trimestrales'!F36</f>
        <v>CAJA</v>
      </c>
      <c r="J38" s="58">
        <f>'Necesidades Trimestrales'!H36</f>
        <v>31</v>
      </c>
      <c r="K38" s="59">
        <f>'Necesidades Trimestrales'!G36</f>
        <v>180</v>
      </c>
    </row>
    <row r="39" spans="1:11" ht="20.25" customHeight="1" x14ac:dyDescent="0.2">
      <c r="A39" s="60">
        <v>28</v>
      </c>
      <c r="B39" s="55" t="str">
        <f>'Necesidades Trimestrales'!B37</f>
        <v>2.1.1-489.109</v>
      </c>
      <c r="C39" s="105" t="str">
        <f>'Necesidades Trimestrales'!E37</f>
        <v>ESPECIAS; TIPO: PROVENZAL, PRESENTACION: PAQUETE X 1 Kg</v>
      </c>
      <c r="D39" s="105"/>
      <c r="E39" s="105"/>
      <c r="F39" s="105"/>
      <c r="G39" s="105"/>
      <c r="H39" s="56" t="s">
        <v>111</v>
      </c>
      <c r="I39" s="57" t="str">
        <f>'Necesidades Trimestrales'!F37</f>
        <v>PAQUETE</v>
      </c>
      <c r="J39" s="58">
        <f>'Necesidades Trimestrales'!H37</f>
        <v>1830</v>
      </c>
      <c r="K39" s="59">
        <f>'Necesidades Trimestrales'!G37</f>
        <v>9</v>
      </c>
    </row>
    <row r="40" spans="1:11" ht="20.25" customHeight="1" x14ac:dyDescent="0.2">
      <c r="A40" s="54">
        <v>29</v>
      </c>
      <c r="B40" s="55" t="str">
        <f>'Necesidades Trimestrales'!B38</f>
        <v>2.1.1-509.10</v>
      </c>
      <c r="C40" s="105" t="str">
        <f>'Necesidades Trimestrales'!E38</f>
        <v>PURE; TIPO: DE TOMATE, ENVASE: CAJA DE CARTON, PESO: 530 GR</v>
      </c>
      <c r="D40" s="105"/>
      <c r="E40" s="105"/>
      <c r="F40" s="105"/>
      <c r="G40" s="105"/>
      <c r="H40" s="56" t="s">
        <v>111</v>
      </c>
      <c r="I40" s="57" t="str">
        <f>'Necesidades Trimestrales'!F38</f>
        <v>CAJA</v>
      </c>
      <c r="J40" s="58">
        <f>'Necesidades Trimestrales'!H38</f>
        <v>58</v>
      </c>
      <c r="K40" s="59">
        <f>'Necesidades Trimestrales'!G38</f>
        <v>350</v>
      </c>
    </row>
    <row r="41" spans="1:11" ht="20.25" customHeight="1" x14ac:dyDescent="0.2">
      <c r="A41" s="60">
        <v>30</v>
      </c>
      <c r="B41" s="55" t="str">
        <f>'Necesidades Trimestrales'!B39</f>
        <v>2.1.1-514.2</v>
      </c>
      <c r="C41" s="105" t="str">
        <f>'Necesidades Trimestrales'!E39</f>
        <v>SAL DE MESA; CONSISTENCIA: FINA, PESO: 500 GR, TIPO: SIN VALOR, ENVASE: PAQUETE</v>
      </c>
      <c r="D41" s="105"/>
      <c r="E41" s="105"/>
      <c r="F41" s="105"/>
      <c r="G41" s="105"/>
      <c r="H41" s="56" t="s">
        <v>111</v>
      </c>
      <c r="I41" s="57" t="str">
        <f>'Necesidades Trimestrales'!F39</f>
        <v>PAQUETE</v>
      </c>
      <c r="J41" s="58">
        <f>'Necesidades Trimestrales'!H39</f>
        <v>80</v>
      </c>
      <c r="K41" s="59">
        <f>'Necesidades Trimestrales'!G39</f>
        <v>350</v>
      </c>
    </row>
    <row r="42" spans="1:11" ht="20.25" customHeight="1" x14ac:dyDescent="0.2">
      <c r="A42" s="54">
        <v>31</v>
      </c>
      <c r="B42" s="55" t="str">
        <f>'Necesidades Trimestrales'!B40</f>
        <v>2.1.1-511.6</v>
      </c>
      <c r="C42" s="105" t="str">
        <f>'Necesidades Trimestrales'!E40</f>
        <v>TE; SAQUITOS 2G P/CAJA: 100, PRESENTACION: EN SAQUITOS ENSOBRADOS, PESO: SIN VALOR, TIPO: SIN VALOR</v>
      </c>
      <c r="D42" s="105"/>
      <c r="E42" s="105"/>
      <c r="F42" s="105"/>
      <c r="G42" s="105"/>
      <c r="H42" s="56" t="s">
        <v>111</v>
      </c>
      <c r="I42" s="57" t="str">
        <f>'Necesidades Trimestrales'!F40</f>
        <v>CAJA</v>
      </c>
      <c r="J42" s="58">
        <f>'Necesidades Trimestrales'!H40</f>
        <v>180</v>
      </c>
      <c r="K42" s="59">
        <f>'Necesidades Trimestrales'!G40</f>
        <v>100</v>
      </c>
    </row>
    <row r="43" spans="1:11" ht="25.5" customHeight="1" x14ac:dyDescent="0.2">
      <c r="A43" s="60">
        <v>32</v>
      </c>
      <c r="B43" s="55" t="str">
        <f>'Necesidades Trimestrales'!B41</f>
        <v>2.1.1-6546.4</v>
      </c>
      <c r="C43" s="105" t="str">
        <f>'Necesidades Trimestrales'!E41</f>
        <v>VERDURAS Y HORTALIZAS; VARIEDAD: TOMATE PERITA, ESTADO: TRITURADO, PRESENTACION: BOTELLA, PESO: 950 GR</v>
      </c>
      <c r="D43" s="105"/>
      <c r="E43" s="105"/>
      <c r="F43" s="105"/>
      <c r="G43" s="105"/>
      <c r="H43" s="56" t="s">
        <v>111</v>
      </c>
      <c r="I43" s="57" t="str">
        <f>'Necesidades Trimestrales'!F41</f>
        <v>BOTELLA</v>
      </c>
      <c r="J43" s="58">
        <f>'Necesidades Trimestrales'!H41</f>
        <v>180</v>
      </c>
      <c r="K43" s="59">
        <f>'Necesidades Trimestrales'!G41</f>
        <v>250</v>
      </c>
    </row>
    <row r="44" spans="1:11" ht="20.25" customHeight="1" x14ac:dyDescent="0.2">
      <c r="A44" s="54">
        <v>33</v>
      </c>
      <c r="B44" s="55" t="str">
        <f>'Necesidades Trimestrales'!B42</f>
        <v>2.1.1-519.23</v>
      </c>
      <c r="C44" s="105" t="str">
        <f>'Necesidades Trimestrales'!E42</f>
        <v>VINAGRES; TIPO: MANZANA, PRESENTACION: ENVASE X 1 L, MATERIAL ENVASE: PLASTICO 1 (PET)</v>
      </c>
      <c r="D44" s="105"/>
      <c r="E44" s="105"/>
      <c r="F44" s="105"/>
      <c r="G44" s="105"/>
      <c r="H44" s="56" t="s">
        <v>111</v>
      </c>
      <c r="I44" s="57" t="str">
        <f>'Necesidades Trimestrales'!F42</f>
        <v>BOTELLA</v>
      </c>
      <c r="J44" s="58">
        <f>'Necesidades Trimestrales'!H42</f>
        <v>85</v>
      </c>
      <c r="K44" s="59">
        <f>'Necesidades Trimestrales'!G42</f>
        <v>25</v>
      </c>
    </row>
    <row r="45" spans="1:11" ht="26.25" customHeight="1" thickBot="1" x14ac:dyDescent="0.25">
      <c r="A45" s="60">
        <v>34</v>
      </c>
      <c r="B45" s="55" t="str">
        <f>'Necesidades Trimestrales'!B43</f>
        <v>2.1.1-454.28</v>
      </c>
      <c r="C45" s="105" t="str">
        <f>'Necesidades Trimestrales'!E43</f>
        <v>YERBAS; PALO: SIN, PESO: 1 Kg, MATERIAL ENVASE : PAPEL, CERTIFICADO FORESTAL (GFS): CON, ELEM. TRANSPORTE: SIN, MATERIAL ELEM. TRANSPORTE: SIN, LIBRE DE GLUTEN: SI</v>
      </c>
      <c r="D45" s="105"/>
      <c r="E45" s="105"/>
      <c r="F45" s="105"/>
      <c r="G45" s="105"/>
      <c r="H45" s="56" t="s">
        <v>111</v>
      </c>
      <c r="I45" s="57" t="str">
        <f>'Necesidades Trimestrales'!F43</f>
        <v>PAQUETE</v>
      </c>
      <c r="J45" s="58">
        <f>'Necesidades Trimestrales'!H43</f>
        <v>520</v>
      </c>
      <c r="K45" s="59">
        <f>'Necesidades Trimestrales'!G43</f>
        <v>150</v>
      </c>
    </row>
    <row r="46" spans="1:11" ht="20.25" customHeight="1" thickBot="1" x14ac:dyDescent="0.25">
      <c r="A46" s="108" t="s">
        <v>140</v>
      </c>
      <c r="B46" s="108"/>
      <c r="C46" s="108"/>
      <c r="D46" s="108"/>
      <c r="E46" s="108"/>
      <c r="F46" s="108"/>
      <c r="G46" s="108"/>
      <c r="H46" s="108"/>
      <c r="I46" s="108"/>
      <c r="J46" s="115">
        <f>SUMPRODUCT(J12:J45,K12:K45)</f>
        <v>1132589</v>
      </c>
      <c r="K46" s="115"/>
    </row>
  </sheetData>
  <mergeCells count="56">
    <mergeCell ref="A46:I46"/>
    <mergeCell ref="J46:K46"/>
    <mergeCell ref="C12:G12"/>
    <mergeCell ref="C13:G13"/>
    <mergeCell ref="C14:G14"/>
    <mergeCell ref="C15:G15"/>
    <mergeCell ref="C16:G16"/>
    <mergeCell ref="C17:G17"/>
    <mergeCell ref="C18:G18"/>
    <mergeCell ref="C19:G19"/>
    <mergeCell ref="C22:G22"/>
    <mergeCell ref="C23:G23"/>
    <mergeCell ref="C24:G24"/>
    <mergeCell ref="C20:G20"/>
    <mergeCell ref="C21:G21"/>
    <mergeCell ref="C25:G25"/>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 ref="C26:G26"/>
    <mergeCell ref="C27:G27"/>
    <mergeCell ref="C31:G31"/>
    <mergeCell ref="C32:G32"/>
    <mergeCell ref="C33:G33"/>
    <mergeCell ref="C28:G28"/>
    <mergeCell ref="C29:G29"/>
    <mergeCell ref="C30:G30"/>
    <mergeCell ref="C38:G38"/>
    <mergeCell ref="C39:G39"/>
    <mergeCell ref="C40:G40"/>
    <mergeCell ref="C36:G36"/>
    <mergeCell ref="C34:G34"/>
    <mergeCell ref="C35:G35"/>
    <mergeCell ref="C37:G37"/>
    <mergeCell ref="C43:G43"/>
    <mergeCell ref="C44:G44"/>
    <mergeCell ref="C45:G45"/>
    <mergeCell ref="C42:G42"/>
    <mergeCell ref="C41:G41"/>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
  <sheetViews>
    <sheetView tabSelected="1" zoomScale="130" zoomScaleNormal="130" workbookViewId="0">
      <selection activeCell="Q15" sqref="Q15"/>
    </sheetView>
  </sheetViews>
  <sheetFormatPr baseColWidth="10" defaultColWidth="11" defaultRowHeight="12.75" x14ac:dyDescent="0.2"/>
  <cols>
    <col min="1" max="5" width="4.42578125" customWidth="1"/>
    <col min="6" max="6" width="5" customWidth="1"/>
    <col min="7" max="7" width="4.42578125" style="2" customWidth="1"/>
    <col min="8" max="14" width="4.42578125" customWidth="1"/>
    <col min="15" max="16" width="14.85546875" customWidth="1"/>
    <col min="17" max="17" width="14.7109375" customWidth="1"/>
  </cols>
  <sheetData>
    <row r="1" spans="1:17" ht="15.75" customHeight="1" x14ac:dyDescent="0.25">
      <c r="A1" s="117" t="s">
        <v>3</v>
      </c>
      <c r="B1" s="117"/>
      <c r="C1" s="117"/>
      <c r="D1" s="118">
        <f>'Necesidades Trimestrales'!C6</f>
        <v>2021</v>
      </c>
      <c r="E1" s="118"/>
      <c r="F1" s="3"/>
      <c r="G1" s="3"/>
      <c r="H1" s="4"/>
      <c r="I1" s="4"/>
      <c r="J1" s="4"/>
      <c r="K1" s="4"/>
      <c r="L1" s="4"/>
      <c r="M1" s="4"/>
      <c r="N1" s="4"/>
      <c r="P1" s="119" t="s">
        <v>26</v>
      </c>
      <c r="Q1" s="119"/>
    </row>
    <row r="2" spans="1:17" ht="15.75" customHeight="1" x14ac:dyDescent="0.2">
      <c r="H2" s="4"/>
      <c r="I2" s="4"/>
      <c r="J2" s="4"/>
      <c r="K2" s="4"/>
      <c r="L2" s="4"/>
      <c r="M2" s="4"/>
      <c r="N2" s="4"/>
      <c r="P2" s="119"/>
      <c r="Q2" s="119"/>
    </row>
    <row r="4" spans="1:17" s="5" customFormat="1" ht="18" customHeight="1" thickBot="1" x14ac:dyDescent="0.25">
      <c r="A4" s="120" t="s">
        <v>27</v>
      </c>
      <c r="B4" s="120"/>
      <c r="C4" s="120"/>
      <c r="D4" s="120"/>
      <c r="E4" s="120"/>
      <c r="F4" s="120"/>
      <c r="G4" s="121" t="str">
        <f>' NotaPedido'!D3</f>
        <v>040 - Ministerio de Salud</v>
      </c>
      <c r="H4" s="121"/>
      <c r="I4" s="121"/>
      <c r="J4" s="121"/>
      <c r="K4" s="121"/>
      <c r="L4" s="121"/>
      <c r="M4" s="121"/>
      <c r="N4" s="121"/>
      <c r="O4" s="121"/>
      <c r="P4" s="121"/>
      <c r="Q4" s="121"/>
    </row>
    <row r="5" spans="1:17" s="5" customFormat="1" ht="18" customHeight="1" thickBot="1" x14ac:dyDescent="0.25">
      <c r="A5" s="122" t="s">
        <v>50</v>
      </c>
      <c r="B5" s="123"/>
      <c r="C5" s="123"/>
      <c r="D5" s="123"/>
      <c r="E5" s="123"/>
      <c r="F5" s="124"/>
      <c r="G5" s="121" t="str">
        <f>' NotaPedido'!D4</f>
        <v>024 - Hospital Interzonal de Niños</v>
      </c>
      <c r="H5" s="121"/>
      <c r="I5" s="121"/>
      <c r="J5" s="121"/>
      <c r="K5" s="121"/>
      <c r="L5" s="121"/>
      <c r="M5" s="121"/>
      <c r="N5" s="121"/>
      <c r="O5" s="121"/>
      <c r="P5" s="121"/>
      <c r="Q5" s="121"/>
    </row>
    <row r="6" spans="1:17" s="5" customFormat="1" ht="18" customHeight="1" thickBot="1" x14ac:dyDescent="0.25">
      <c r="A6" s="122" t="s">
        <v>28</v>
      </c>
      <c r="B6" s="123"/>
      <c r="C6" s="123"/>
      <c r="D6" s="123"/>
      <c r="E6" s="123"/>
      <c r="F6" s="124"/>
      <c r="G6" s="121" t="str">
        <f>' NotaPedido'!D5</f>
        <v>024 - Hospital Interzonal de Niños</v>
      </c>
      <c r="H6" s="121"/>
      <c r="I6" s="121"/>
      <c r="J6" s="121"/>
      <c r="K6" s="121"/>
      <c r="L6" s="121"/>
      <c r="M6" s="121"/>
      <c r="N6" s="121"/>
      <c r="O6" s="121"/>
      <c r="P6" s="121"/>
      <c r="Q6" s="121"/>
    </row>
    <row r="7" spans="1:17" s="5" customFormat="1" ht="18" customHeight="1" thickBot="1" x14ac:dyDescent="0.25">
      <c r="A7" s="122" t="s">
        <v>51</v>
      </c>
      <c r="B7" s="123"/>
      <c r="C7" s="123"/>
      <c r="D7" s="123"/>
      <c r="E7" s="123"/>
      <c r="F7" s="124"/>
      <c r="G7" s="121" t="str">
        <f>' NotaPedido'!D6</f>
        <v>Servicio de Alimentacion y Dietoterapia</v>
      </c>
      <c r="H7" s="121"/>
      <c r="I7" s="121"/>
      <c r="J7" s="121"/>
      <c r="K7" s="121"/>
      <c r="L7" s="121"/>
      <c r="M7" s="121"/>
      <c r="N7" s="121"/>
      <c r="O7" s="121"/>
      <c r="P7" s="121"/>
      <c r="Q7" s="121"/>
    </row>
    <row r="8" spans="1:17" ht="18" customHeight="1" thickBot="1" x14ac:dyDescent="0.25">
      <c r="A8" s="125" t="s">
        <v>29</v>
      </c>
      <c r="B8" s="125"/>
      <c r="C8" s="125"/>
      <c r="D8" s="125"/>
      <c r="E8" s="125"/>
      <c r="F8" s="125"/>
      <c r="G8" s="125"/>
      <c r="H8" s="125"/>
      <c r="I8" s="125"/>
      <c r="J8" s="125"/>
      <c r="K8" s="125"/>
      <c r="L8" s="125"/>
      <c r="M8" s="125"/>
      <c r="N8" s="125"/>
      <c r="O8" s="125"/>
      <c r="P8" s="125"/>
      <c r="Q8" s="125"/>
    </row>
    <row r="9" spans="1:17" ht="18" customHeight="1" x14ac:dyDescent="0.2">
      <c r="A9" s="126" t="s">
        <v>30</v>
      </c>
      <c r="B9" s="126"/>
      <c r="C9" s="126"/>
      <c r="D9" s="126"/>
      <c r="E9" s="126"/>
      <c r="F9" s="126"/>
      <c r="G9" s="126"/>
      <c r="H9" s="126"/>
      <c r="I9" s="126"/>
      <c r="J9" s="126"/>
      <c r="K9" s="126"/>
      <c r="L9" s="126"/>
      <c r="M9" s="126"/>
      <c r="N9" s="126"/>
      <c r="O9" s="1"/>
      <c r="P9" s="1"/>
      <c r="Q9" s="6"/>
    </row>
    <row r="10" spans="1:17" ht="54.75" customHeight="1" x14ac:dyDescent="0.2">
      <c r="A10" s="12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095/2021,  afectando la erogación resultante a los créditos presupuestarios aprobados a favor de esta Unidad Ejecutora, conforme al siguiente detalle:</v>
      </c>
      <c r="B10" s="127"/>
      <c r="C10" s="127"/>
      <c r="D10" s="127"/>
      <c r="E10" s="127"/>
      <c r="F10" s="127"/>
      <c r="G10" s="127"/>
      <c r="H10" s="127"/>
      <c r="I10" s="127"/>
      <c r="J10" s="127"/>
      <c r="K10" s="127"/>
      <c r="L10" s="127"/>
      <c r="M10" s="127"/>
      <c r="N10" s="127"/>
      <c r="O10" s="127"/>
      <c r="P10" s="127"/>
      <c r="Q10" s="127"/>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28" t="s">
        <v>31</v>
      </c>
      <c r="B12" s="128"/>
      <c r="C12" s="128"/>
      <c r="D12" s="128"/>
      <c r="E12" s="128"/>
      <c r="F12" s="128"/>
      <c r="G12" s="128"/>
      <c r="H12" s="128"/>
      <c r="I12" s="128"/>
      <c r="J12" s="128"/>
      <c r="K12" s="128"/>
      <c r="L12" s="128"/>
      <c r="M12" s="128"/>
      <c r="N12" s="128"/>
      <c r="O12" s="128"/>
      <c r="P12" s="128"/>
      <c r="Q12" s="128"/>
    </row>
    <row r="13" spans="1:17" ht="15.75" customHeight="1" x14ac:dyDescent="0.2">
      <c r="A13" s="129" t="s">
        <v>32</v>
      </c>
      <c r="B13" s="129"/>
      <c r="C13" s="129"/>
      <c r="D13" s="129"/>
      <c r="E13" s="129"/>
      <c r="F13" s="129"/>
      <c r="G13" s="129"/>
      <c r="H13" s="129"/>
      <c r="I13" s="129"/>
      <c r="J13" s="129"/>
      <c r="K13" s="129"/>
      <c r="L13" s="129"/>
      <c r="M13" s="129"/>
      <c r="N13" s="129"/>
      <c r="O13" s="130" t="s">
        <v>33</v>
      </c>
      <c r="P13" s="130"/>
      <c r="Q13" s="131" t="s">
        <v>34</v>
      </c>
    </row>
    <row r="14" spans="1:17" ht="15.75" customHeight="1" x14ac:dyDescent="0.2">
      <c r="A14" s="11" t="s">
        <v>35</v>
      </c>
      <c r="B14" s="12" t="s">
        <v>36</v>
      </c>
      <c r="C14" s="12" t="s">
        <v>37</v>
      </c>
      <c r="D14" s="12" t="s">
        <v>38</v>
      </c>
      <c r="E14" s="12" t="s">
        <v>39</v>
      </c>
      <c r="F14" s="12" t="s">
        <v>40</v>
      </c>
      <c r="G14" s="13" t="s">
        <v>41</v>
      </c>
      <c r="H14" s="12" t="s">
        <v>42</v>
      </c>
      <c r="I14" s="12" t="s">
        <v>43</v>
      </c>
      <c r="J14" s="12" t="s">
        <v>44</v>
      </c>
      <c r="K14" s="12" t="s">
        <v>44</v>
      </c>
      <c r="L14" s="12" t="s">
        <v>45</v>
      </c>
      <c r="M14" s="14" t="s">
        <v>46</v>
      </c>
      <c r="N14" s="15" t="s">
        <v>47</v>
      </c>
      <c r="O14" s="130"/>
      <c r="P14" s="130"/>
      <c r="Q14" s="131"/>
    </row>
    <row r="15" spans="1:17" ht="17.25" customHeight="1" x14ac:dyDescent="0.2">
      <c r="A15" s="66">
        <v>36</v>
      </c>
      <c r="B15" s="67"/>
      <c r="C15" s="67"/>
      <c r="D15" s="67">
        <v>1</v>
      </c>
      <c r="E15" s="67"/>
      <c r="F15" s="67">
        <v>4901</v>
      </c>
      <c r="G15" s="67">
        <v>3</v>
      </c>
      <c r="H15" s="67">
        <v>310</v>
      </c>
      <c r="I15" s="68" t="str">
        <f>LEFT('Necesidades Trimestrales'!D10,1)</f>
        <v>2</v>
      </c>
      <c r="J15" s="68" t="str">
        <f>MID('Necesidades Trimestrales'!D10,3,1)</f>
        <v>1</v>
      </c>
      <c r="K15" s="68" t="str">
        <f>RIGHT('Necesidades Trimestrales'!D10,1)</f>
        <v>1</v>
      </c>
      <c r="L15" s="67"/>
      <c r="M15" s="69">
        <v>1</v>
      </c>
      <c r="N15" s="70" t="s">
        <v>109</v>
      </c>
      <c r="O15" s="132" t="s">
        <v>110</v>
      </c>
      <c r="P15" s="133"/>
      <c r="Q15" s="16">
        <v>1132589</v>
      </c>
    </row>
    <row r="16" spans="1:17" ht="17.25" customHeight="1" x14ac:dyDescent="0.2">
      <c r="A16" s="17"/>
      <c r="B16" s="18"/>
      <c r="C16" s="18"/>
      <c r="D16" s="18"/>
      <c r="E16" s="18"/>
      <c r="F16" s="18"/>
      <c r="G16" s="18"/>
      <c r="H16" s="18"/>
      <c r="I16" s="18"/>
      <c r="J16" s="18"/>
      <c r="K16" s="18"/>
      <c r="L16" s="18"/>
      <c r="M16" s="19"/>
      <c r="N16" s="20"/>
      <c r="O16" s="134"/>
      <c r="P16" s="134"/>
      <c r="Q16" s="21"/>
    </row>
    <row r="17" spans="1:18" ht="17.25" customHeight="1" x14ac:dyDescent="0.2">
      <c r="A17" s="17"/>
      <c r="B17" s="18"/>
      <c r="C17" s="18"/>
      <c r="D17" s="18"/>
      <c r="E17" s="18"/>
      <c r="F17" s="20"/>
      <c r="G17" s="18"/>
      <c r="H17" s="18"/>
      <c r="I17" s="18"/>
      <c r="J17" s="18"/>
      <c r="K17" s="18"/>
      <c r="L17" s="18"/>
      <c r="M17" s="19"/>
      <c r="N17" s="20"/>
      <c r="O17" s="134"/>
      <c r="P17" s="134"/>
      <c r="Q17" s="21"/>
    </row>
    <row r="18" spans="1:18" ht="17.25" customHeight="1" x14ac:dyDescent="0.2">
      <c r="A18" s="17"/>
      <c r="B18" s="18"/>
      <c r="C18" s="18"/>
      <c r="D18" s="18"/>
      <c r="E18" s="18"/>
      <c r="F18" s="18"/>
      <c r="G18" s="18"/>
      <c r="H18" s="18"/>
      <c r="I18" s="18"/>
      <c r="J18" s="18"/>
      <c r="K18" s="18"/>
      <c r="L18" s="18"/>
      <c r="M18" s="19"/>
      <c r="N18" s="20"/>
      <c r="O18" s="134"/>
      <c r="P18" s="134"/>
      <c r="Q18" s="21"/>
    </row>
    <row r="19" spans="1:18" ht="17.25" customHeight="1" x14ac:dyDescent="0.2">
      <c r="A19" s="17"/>
      <c r="B19" s="18"/>
      <c r="C19" s="18"/>
      <c r="D19" s="18"/>
      <c r="E19" s="18"/>
      <c r="F19" s="20"/>
      <c r="G19" s="18"/>
      <c r="H19" s="18"/>
      <c r="I19" s="18"/>
      <c r="J19" s="18"/>
      <c r="K19" s="18"/>
      <c r="L19" s="18"/>
      <c r="M19" s="19"/>
      <c r="N19" s="20"/>
      <c r="O19" s="134"/>
      <c r="P19" s="134"/>
      <c r="Q19" s="21"/>
    </row>
    <row r="20" spans="1:18" ht="17.25" customHeight="1" x14ac:dyDescent="0.2">
      <c r="A20" s="17"/>
      <c r="B20" s="18"/>
      <c r="C20" s="18"/>
      <c r="D20" s="18"/>
      <c r="E20" s="18"/>
      <c r="F20" s="20"/>
      <c r="G20" s="18"/>
      <c r="H20" s="18"/>
      <c r="I20" s="18"/>
      <c r="J20" s="18"/>
      <c r="K20" s="18"/>
      <c r="L20" s="18"/>
      <c r="M20" s="19"/>
      <c r="N20" s="20"/>
      <c r="O20" s="134"/>
      <c r="P20" s="134"/>
      <c r="Q20" s="21"/>
    </row>
    <row r="21" spans="1:18" ht="17.25" customHeight="1" x14ac:dyDescent="0.2">
      <c r="A21" s="22"/>
      <c r="B21" s="23"/>
      <c r="C21" s="23"/>
      <c r="D21" s="23"/>
      <c r="E21" s="23"/>
      <c r="F21" s="24"/>
      <c r="G21" s="23"/>
      <c r="H21" s="23"/>
      <c r="I21" s="23"/>
      <c r="J21" s="23"/>
      <c r="K21" s="23"/>
      <c r="L21" s="23"/>
      <c r="M21" s="25"/>
      <c r="N21" s="26"/>
      <c r="O21" s="140"/>
      <c r="P21" s="140"/>
      <c r="Q21" s="21"/>
      <c r="R21" s="1"/>
    </row>
    <row r="22" spans="1:18" ht="17.25" customHeight="1" x14ac:dyDescent="0.2">
      <c r="A22" s="27"/>
      <c r="B22" s="28"/>
      <c r="C22" s="28"/>
      <c r="D22" s="28"/>
      <c r="E22" s="28"/>
      <c r="F22" s="28"/>
      <c r="G22" s="28"/>
      <c r="H22" s="28"/>
      <c r="I22" s="28"/>
      <c r="J22" s="28"/>
      <c r="K22" s="28"/>
      <c r="L22" s="28"/>
      <c r="M22" s="29"/>
      <c r="N22" s="28"/>
      <c r="O22" s="141"/>
      <c r="P22" s="141"/>
      <c r="Q22" s="30"/>
    </row>
    <row r="23" spans="1:18" ht="29.25" customHeight="1" x14ac:dyDescent="0.2">
      <c r="A23" s="142" t="s">
        <v>139</v>
      </c>
      <c r="B23" s="142"/>
      <c r="C23" s="142"/>
      <c r="D23" s="142"/>
      <c r="E23" s="142"/>
      <c r="F23" s="142"/>
      <c r="G23" s="142"/>
      <c r="H23" s="142"/>
      <c r="I23" s="142"/>
      <c r="J23" s="142"/>
      <c r="K23" s="142"/>
      <c r="L23" s="142"/>
      <c r="M23" s="142"/>
      <c r="N23" s="142"/>
      <c r="O23" s="142"/>
      <c r="P23" s="142"/>
      <c r="Q23" s="31">
        <f>SUM(Q15:Q22)</f>
        <v>1132589</v>
      </c>
    </row>
    <row r="24" spans="1:18" ht="18" customHeight="1" thickBot="1" x14ac:dyDescent="0.25">
      <c r="A24" s="143"/>
      <c r="B24" s="143"/>
      <c r="C24" s="143"/>
      <c r="D24" s="143"/>
      <c r="E24" s="143"/>
      <c r="F24" s="143"/>
      <c r="G24" s="143"/>
      <c r="H24" s="143"/>
      <c r="I24" s="143"/>
      <c r="J24" s="143"/>
      <c r="K24" s="143"/>
      <c r="L24" s="143"/>
      <c r="M24" s="143"/>
      <c r="N24" s="143"/>
      <c r="O24" s="143"/>
      <c r="P24" s="143"/>
      <c r="Q24" s="143"/>
    </row>
    <row r="25" spans="1:18" ht="17.25" customHeight="1" thickBot="1" x14ac:dyDescent="0.25">
      <c r="A25" s="135" t="s">
        <v>48</v>
      </c>
      <c r="B25" s="136"/>
      <c r="C25" s="136"/>
      <c r="D25" s="136"/>
      <c r="E25" s="136"/>
      <c r="F25" s="137"/>
      <c r="G25" s="138"/>
      <c r="H25" s="138"/>
      <c r="I25" s="138"/>
      <c r="J25" s="138"/>
      <c r="K25" s="138"/>
      <c r="L25" s="138"/>
      <c r="M25" s="138"/>
      <c r="N25" s="138"/>
      <c r="O25" s="138"/>
      <c r="P25" s="138"/>
      <c r="Q25" s="138"/>
    </row>
    <row r="26" spans="1:18" ht="18" customHeight="1" thickBot="1" x14ac:dyDescent="0.25">
      <c r="A26" s="139" t="s">
        <v>137</v>
      </c>
      <c r="B26" s="139"/>
      <c r="C26" s="139"/>
      <c r="D26" s="139"/>
      <c r="E26" s="139"/>
      <c r="F26" s="139"/>
      <c r="G26" s="139"/>
      <c r="H26" s="139"/>
      <c r="I26" s="139"/>
      <c r="J26" s="139"/>
      <c r="K26" s="139"/>
      <c r="L26" s="139"/>
      <c r="M26" s="139"/>
      <c r="N26" s="139"/>
      <c r="O26" s="139"/>
      <c r="P26" s="139"/>
      <c r="Q26" s="139"/>
    </row>
    <row r="27" spans="1:18" ht="15" customHeight="1" x14ac:dyDescent="0.2">
      <c r="A27" s="139"/>
      <c r="B27" s="139"/>
      <c r="C27" s="139"/>
      <c r="D27" s="139"/>
      <c r="E27" s="139"/>
      <c r="F27" s="139"/>
      <c r="G27" s="139"/>
      <c r="H27" s="139"/>
      <c r="I27" s="139"/>
      <c r="J27" s="139"/>
      <c r="K27" s="139"/>
      <c r="L27" s="139"/>
      <c r="M27" s="139"/>
      <c r="N27" s="139"/>
      <c r="O27" s="139"/>
      <c r="P27" s="139"/>
      <c r="Q27" s="139"/>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ELIAS QUINTAR</cp:lastModifiedBy>
  <cp:revision>2</cp:revision>
  <cp:lastPrinted>2020-07-23T13:47:13Z</cp:lastPrinted>
  <dcterms:created xsi:type="dcterms:W3CDTF">2020-07-17T23:44:49Z</dcterms:created>
  <dcterms:modified xsi:type="dcterms:W3CDTF">2021-08-11T11:39:49Z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