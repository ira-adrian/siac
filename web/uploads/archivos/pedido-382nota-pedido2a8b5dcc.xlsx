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CONSOLIDADOS\LECHES\mp\corregido\"/>
    </mc:Choice>
  </mc:AlternateContent>
  <xr:revisionPtr revIDLastSave="0" documentId="13_ncr:1_{0795D787-2966-41F4-9CB7-83880752A78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GRAMACION TRIMESTRAL" sheetId="1" r:id="rId1"/>
    <sheet name=" NotaPedido" sheetId="2" r:id="rId2"/>
    <sheet name="Autor Gastar" sheetId="3" r:id="rId3"/>
  </sheets>
  <definedNames>
    <definedName name="_xlnm._FilterDatabase" localSheetId="0" hidden="1">'PROGRAMACION TRIMESTRAL'!$A$9:$I$9</definedName>
    <definedName name="_xlnm.Print_Area" localSheetId="1">' NotaPedido'!$A$1:$K$17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2" i="2"/>
  <c r="J13" i="2"/>
  <c r="J14" i="2"/>
  <c r="J15" i="2"/>
  <c r="J16" i="2"/>
  <c r="J12" i="2"/>
  <c r="C16" i="2"/>
  <c r="C14" i="2"/>
  <c r="C13" i="2"/>
  <c r="C12" i="2"/>
  <c r="B13" i="2"/>
  <c r="B14" i="2"/>
  <c r="B15" i="2"/>
  <c r="B16" i="2"/>
  <c r="B12" i="2"/>
  <c r="A13" i="2"/>
  <c r="A14" i="2"/>
  <c r="A15" i="2"/>
  <c r="A16" i="2"/>
  <c r="A12" i="2"/>
  <c r="I13" i="1"/>
  <c r="I12" i="2"/>
  <c r="I13" i="2"/>
  <c r="I14" i="2"/>
  <c r="J17" i="2" l="1"/>
  <c r="Q19" i="3"/>
  <c r="D7" i="2"/>
  <c r="I14" i="1" l="1"/>
  <c r="I12" i="1"/>
  <c r="I10" i="1"/>
  <c r="I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<sst xmlns="http://schemas.openxmlformats.org/spreadsheetml/2006/main" count="158" uniqueCount="97">
  <si>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</si>
  <si>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</si>
  <si>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</si>
  <si>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</si>
  <si>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</si>
  <si>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</si>
  <si>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</si>
  <si>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</si>
  <si>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</si>
  <si>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</si>
  <si>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</si>
  <si>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</si>
  <si>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</si>
  <si>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</si>
  <si>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</si>
  <si>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</si>
  <si>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</si>
  <si>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</si>
  <si>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</si>
  <si>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</si>
  <si>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</si>
  <si>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</si>
  <si>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</si>
  <si>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</si>
  <si>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</si>
  <si>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</si>
  <si>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</si>
  <si>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</si>
  <si>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</si>
  <si>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</si>
  <si>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</si>
  <si>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</si>
  <si>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</si>
  <si>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</si>
  <si>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</si>
  <si>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</si>
  <si>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</si>
  <si>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</si>
  <si>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</si>
  <si>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</si>
  <si>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</si>
  <si>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</si>
  <si>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</si>
  <si>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</si>
  <si>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</si>
  <si>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</si>
  <si>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</si>
  <si>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</si>
  <si>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</si>
  <si>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</si>
  <si>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</si>
  <si>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</si>
  <si>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</si>
  <si>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</si>
  <si>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RUBRO</t>
  </si>
  <si>
    <t>1.1</t>
  </si>
  <si>
    <t xml:space="preserve">Plazo de Entrega : </t>
  </si>
  <si>
    <t>Lugares de entrega:</t>
  </si>
  <si>
    <t xml:space="preserve">Hora de entrega: </t>
  </si>
  <si>
    <t>40-Ministerio de Salud</t>
  </si>
  <si>
    <t xml:space="preserve">169-Direccion Asistencial </t>
  </si>
  <si>
    <t>8 a 10 Hs</t>
  </si>
  <si>
    <t>UNIDAD</t>
  </si>
  <si>
    <t>PROD.MEDICO/FARMACEUTICO/LAB</t>
  </si>
  <si>
    <t>SI</t>
  </si>
  <si>
    <t>SUPLEMENTOS DIETARIOS; ESTADO: POLVO, TIPO: FORMULA LACTEA MEDICAMENTOSA PARA LACTANTE, PROCESO: PASTEURIZADA, AGREGADO: HIDROLIZADO PARCIAL DE PROTEINA - CACEINATO DE SODIO, PRESENTACION: ENVASE X 400 GRS, MATERIAL: ENVASE METAL</t>
  </si>
  <si>
    <t>2.1.1-4227.59</t>
  </si>
  <si>
    <t>SUPLEMENTOS DIETARIOS; ESTADO: POLVO, TIPO: FORMULA LACTEA MEDICAMENTOSA PARA LACTANTE, PROCESO: PASTEURIZADA, AGREGADO: HIDROLIZADO DE PROTEINA SUERO - HIDROLIZADO ENZIMAL - PARCIAL DE PROTEINA DE SUERO GOS/FOS, PRESENTACION: ENVASE POR 400 GRAMOS, MATERIAL DEL ENVASE: METAL</t>
  </si>
  <si>
    <t>2.1.1-4227.57</t>
  </si>
  <si>
    <t>SUPLEMENTOS DIETARIOS; ESTADO: LIQUIDO, TIPO: FORMULA LACTEA DE INICIO DE 0 A 6 MESES, PROCESO: PASTEURIZADA, AGREGADO: VITAMINAS, MINERALES, ARA, DHA, PRESENTACION: ENVASE X 200 GRS, MATERIAL: ENVASE TETRAFILM.</t>
  </si>
  <si>
    <t>2.1.1-4227.61</t>
  </si>
  <si>
    <t>SUPLEMENTOS DIETARIOS; ESTADO: LIQUIDO, TIPO: FORMULA LACTEA PARA PREMATURO O BAJO PESO, PROCESO: PASTEURIZADA, AGREGADO: VITAMINAS, MINERALES, ARA, DHA, PRESENTACION: ENVASE X 70 GRS, MATERIAL: ENVASE PLASTICO.</t>
  </si>
  <si>
    <t>2.1.1-4227.62</t>
  </si>
  <si>
    <t>ALIMENTOS PARA PERSONAS</t>
  </si>
  <si>
    <t>Adquisición de Formulas lácteas para el servicio de Nutrición</t>
  </si>
  <si>
    <t>Código Ítem</t>
  </si>
  <si>
    <t>2.5.2</t>
  </si>
  <si>
    <t>2.1.1-4227.4</t>
  </si>
  <si>
    <t>SUPLEMENTOS DIETARIOS; TIPO: ASOCIACION, DROGA GENERICA: HC-PROT- Y VIT.MINERALES, PRESENTACION: 50 SOBRES X 2 GR</t>
  </si>
  <si>
    <t>CAJA</t>
  </si>
  <si>
    <t>SUPLEMENTO PROTEICO PARA FORTIFICAR-FORMULA LACTEA Y LECHE HUMANA-PRESENTACION: ESTUCHE DE 50 SOBRES X 1GR.</t>
  </si>
  <si>
    <t>Costo total estimado: UN MILLON DOSCIENTOS SESENTA Y OCHO MIL QUINIENTOS SESENTA Y DOS CON 00/100</t>
  </si>
  <si>
    <t>30(treinta) dias habiles</t>
  </si>
  <si>
    <t>TOTAL DE PESOS:  UN MILLON DOSCIENTOS SESENTA Y OCHO MIL QUINIENTOS SESENTA Y DOS CON 00/100</t>
  </si>
  <si>
    <t>/2022</t>
  </si>
  <si>
    <t>Especificidades Item N° 1 :</t>
  </si>
  <si>
    <t>Formula Lactea en polvo con proteina parcialmente hidrolizada. Sin lactosa. Presentacion en lata por 400 gramos</t>
  </si>
  <si>
    <t xml:space="preserve">SECTOR DE NUTRICION-MATERNIDAD PROVINCIAL 25 DE MAYO , HERNADO DE PEDRAZA 1650- </t>
  </si>
  <si>
    <t>10(diez) dias habiles</t>
  </si>
  <si>
    <t>Especificidades Item N° 2:</t>
  </si>
  <si>
    <t>Formula Lactea en polvo con proteina totalmente hidrolizada. Sin lactosa. Presentacion en lata por 400 gramos</t>
  </si>
  <si>
    <t>Especificidades Item N° 3:</t>
  </si>
  <si>
    <t>Formula Lactea liquida de inicio para niños de 0 a 6 meses. Con ARA y DHA sin agregado de azucar. Presentacion tetrapáck de 200 ml</t>
  </si>
  <si>
    <t>Especificidades Item N° 4:</t>
  </si>
  <si>
    <t xml:space="preserve">Formula Lactea liquida para RN prematuro o bajo peso. Con ARA y DHA. </t>
  </si>
  <si>
    <t>Especificidades Item N° 5:</t>
  </si>
  <si>
    <t>Para la Adquisición de Formulas lácteas para ser destinados al Servicio de Nutrición de la Maternidad Provincial 25 de Mayo del Ministerio de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</si>
</sst>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8"/>
      <name val="Arial"/>
      <family val="2"/>
      <charset val="1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b/>
      <sz val="10"/>
      <name val="Arial"/>
      <family val="2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6" fillId="0" borderId="0" applyBorder="0"/>
  </cellStyleXfs>
  <cellXfs count="18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0" fillId="0" borderId="0" xfId="0" applyFill="1" applyBorder="1" applyAlignment="1">
      <alignment horizontal="left" vertical="center" wrapText="1"/>
    </xf>
    <xf numFmtId="0" fontId="27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1" fillId="0" borderId="51" xfId="0" applyFont="1" applyFill="1" applyBorder="1" applyAlignment="1">
      <alignment horizontal="center" vertical="center"/>
    </xf>
    <xf numFmtId="0" fontId="0" fillId="0" borderId="51" xfId="0" applyFill="1" applyBorder="1" applyAlignment="1">
      <alignment vertical="center"/>
    </xf>
    <xf numFmtId="0" fontId="22" fillId="0" borderId="51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 wrapText="1"/>
    </xf>
    <xf numFmtId="169" fontId="19" fillId="0" borderId="51" xfId="0" applyNumberFormat="1" applyFont="1" applyFill="1" applyBorder="1" applyAlignment="1">
      <alignment horizontal="center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0" fontId="27" fillId="0" borderId="52" xfId="0" applyFont="1" applyBorder="1" applyAlignment="1">
      <alignment horizontal="left" vertical="center" wrapText="1"/>
    </xf>
    <xf numFmtId="0" fontId="21" fillId="0" borderId="53" xfId="0" applyFont="1" applyFill="1" applyBorder="1" applyAlignment="1">
      <alignment horizontal="center" vertical="center"/>
    </xf>
    <xf numFmtId="0" fontId="0" fillId="0" borderId="53" xfId="0" applyFill="1" applyBorder="1" applyAlignment="1">
      <alignment vertical="center"/>
    </xf>
    <xf numFmtId="0" fontId="22" fillId="0" borderId="53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vertical="center" wrapText="1"/>
    </xf>
    <xf numFmtId="169" fontId="19" fillId="0" borderId="53" xfId="0" applyNumberFormat="1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vertical="center"/>
    </xf>
    <xf numFmtId="0" fontId="27" fillId="0" borderId="52" xfId="0" applyFont="1" applyBorder="1" applyAlignment="1">
      <alignment wrapText="1"/>
    </xf>
    <xf numFmtId="0" fontId="27" fillId="0" borderId="2" xfId="0" applyFont="1" applyBorder="1" applyAlignment="1">
      <alignment wrapText="1"/>
    </xf>
    <xf numFmtId="167" fontId="3" fillId="0" borderId="0" xfId="0" applyNumberFormat="1" applyFont="1" applyFill="1" applyBorder="1" applyAlignment="1">
      <alignment vertical="center" wrapText="1"/>
    </xf>
    <xf numFmtId="167" fontId="3" fillId="0" borderId="0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166" fontId="21" fillId="0" borderId="53" xfId="1" applyNumberFormat="1" applyFont="1" applyFill="1" applyBorder="1" applyAlignment="1" applyProtection="1">
      <alignment horizontal="right" vertical="center" wrapText="1"/>
    </xf>
    <xf numFmtId="0" fontId="27" fillId="0" borderId="0" xfId="0" applyFont="1" applyAlignment="1">
      <alignment horizontal="left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left" vertical="center" wrapText="1"/>
    </xf>
    <xf numFmtId="0" fontId="0" fillId="0" borderId="39" xfId="0" applyFill="1" applyBorder="1" applyAlignment="1">
      <alignment vertical="center"/>
    </xf>
    <xf numFmtId="0" fontId="0" fillId="0" borderId="4" xfId="0" applyFill="1" applyBorder="1" applyAlignment="1">
      <alignment horizontal="left" vertical="center" wrapText="1"/>
    </xf>
    <xf numFmtId="0" fontId="0" fillId="0" borderId="31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22" fillId="0" borderId="5" xfId="0" applyFont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left" vertical="center" wrapText="1"/>
    </xf>
    <xf numFmtId="0" fontId="0" fillId="0" borderId="39" xfId="0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/>
    </xf>
    <xf numFmtId="0" fontId="29" fillId="0" borderId="0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vertical="center"/>
    </xf>
    <xf numFmtId="0" fontId="28" fillId="0" borderId="3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left" vertical="center" wrapText="1"/>
    </xf>
    <xf numFmtId="0" fontId="5" fillId="0" borderId="52" xfId="0" applyFont="1" applyFill="1" applyBorder="1" applyAlignment="1">
      <alignment horizontal="left" vertical="center" wrapText="1"/>
    </xf>
    <xf numFmtId="0" fontId="5" fillId="0" borderId="55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67" fontId="24" fillId="0" borderId="31" xfId="0" applyNumberFormat="1" applyFont="1" applyFill="1" applyBorder="1" applyAlignment="1">
      <alignment horizontal="center" vertical="center"/>
    </xf>
    <xf numFmtId="167" fontId="24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1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5" fillId="0" borderId="26" xfId="0" applyFont="1" applyBorder="1" applyAlignment="1">
      <alignment horizontal="left" vertical="center" wrapText="1"/>
    </xf>
    <xf numFmtId="0" fontId="0" fillId="0" borderId="17" xfId="0" applyBorder="1"/>
    <xf numFmtId="0" fontId="12" fillId="0" borderId="18" xfId="0" applyFont="1" applyBorder="1"/>
    <xf numFmtId="0" fontId="12" fillId="3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zoomScale="75" zoomScaleNormal="75" workbookViewId="0">
      <selection activeCell="C72" sqref="C72:E72"/>
    </sheetView>
  </sheetViews>
  <sheetFormatPr baseColWidth="10" defaultColWidth="11" defaultRowHeight="12.75" x14ac:dyDescent="0.2"/>
  <cols>
    <col min="1" max="1" width="4.5703125" style="17" customWidth="1"/>
    <col min="2" max="2" width="18.5703125" style="34" customWidth="1"/>
    <col min="3" max="3" width="35.140625" style="33" customWidth="1"/>
    <col min="4" max="4" width="8.42578125" style="17" customWidth="1"/>
    <col min="5" max="5" width="81.5703125" style="35" customWidth="1"/>
    <col min="6" max="6" width="11" style="17"/>
    <col min="7" max="7" width="12.7109375" style="17" customWidth="1"/>
    <col min="8" max="8" width="13.85546875" style="18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4" customFormat="1" x14ac:dyDescent="0.2">
      <c r="C1" s="39"/>
      <c r="E1" s="35"/>
      <c r="H1" s="40"/>
    </row>
    <row r="2" spans="1:9" s="34" customFormat="1" ht="27" x14ac:dyDescent="0.35">
      <c r="B2" s="127" t="s">
        <v>0</v>
      </c>
      <c r="C2" s="127"/>
      <c r="D2" s="127"/>
      <c r="E2" s="127"/>
      <c r="F2" s="127"/>
      <c r="G2" s="127"/>
      <c r="H2" s="127"/>
    </row>
    <row r="3" spans="1:9" s="34" customFormat="1" x14ac:dyDescent="0.2">
      <c r="C3" s="39"/>
      <c r="E3" s="35"/>
      <c r="H3" s="40"/>
    </row>
    <row r="4" spans="1:9" s="34" customFormat="1" ht="18" customHeight="1" x14ac:dyDescent="0.25">
      <c r="A4" s="128" t="s">
        <v>1</v>
      </c>
      <c r="B4" s="128"/>
      <c r="C4" s="129" t="s">
        <v>59</v>
      </c>
      <c r="D4" s="129"/>
      <c r="E4" s="129"/>
      <c r="F4" s="37"/>
      <c r="G4" s="41"/>
      <c r="H4" s="42"/>
    </row>
    <row r="5" spans="1:9" s="34" customFormat="1" ht="18" customHeight="1" x14ac:dyDescent="0.25">
      <c r="A5" s="128" t="s">
        <v>2</v>
      </c>
      <c r="B5" s="128"/>
      <c r="C5" s="129" t="s">
        <v>52</v>
      </c>
      <c r="D5" s="129"/>
      <c r="E5" s="129"/>
      <c r="F5" s="37"/>
      <c r="G5" s="41"/>
      <c r="H5" s="42"/>
    </row>
    <row r="6" spans="1:9" s="34" customFormat="1" ht="16.5" customHeight="1" x14ac:dyDescent="0.2">
      <c r="A6" s="128" t="s">
        <v>3</v>
      </c>
      <c r="B6" s="128"/>
      <c r="C6" s="43">
        <v>2022</v>
      </c>
      <c r="D6" s="44"/>
      <c r="E6" s="36"/>
      <c r="F6" s="37"/>
      <c r="G6" s="41"/>
      <c r="H6" s="42"/>
    </row>
    <row r="7" spans="1:9" s="34" customFormat="1" ht="16.5" customHeight="1" x14ac:dyDescent="0.2">
      <c r="A7" s="128" t="s">
        <v>4</v>
      </c>
      <c r="B7" s="128"/>
      <c r="C7" s="43">
        <v>3</v>
      </c>
      <c r="D7" s="44"/>
      <c r="E7" s="36"/>
      <c r="F7" s="37"/>
      <c r="G7" s="41"/>
      <c r="H7" s="42"/>
    </row>
    <row r="8" spans="1:9" s="34" customFormat="1" ht="13.5" thickBot="1" x14ac:dyDescent="0.25">
      <c r="B8" s="37"/>
      <c r="C8" s="45"/>
      <c r="D8" s="37"/>
      <c r="E8" s="38"/>
      <c r="F8" s="37"/>
      <c r="G8" s="41"/>
      <c r="H8" s="42"/>
    </row>
    <row r="9" spans="1:9" ht="38.25" x14ac:dyDescent="0.2">
      <c r="A9" s="46" t="s">
        <v>5</v>
      </c>
      <c r="B9" s="47" t="s">
        <v>6</v>
      </c>
      <c r="C9" s="48" t="s">
        <v>54</v>
      </c>
      <c r="D9" s="49" t="s">
        <v>7</v>
      </c>
      <c r="E9" s="47" t="s">
        <v>8</v>
      </c>
      <c r="F9" s="48" t="s">
        <v>9</v>
      </c>
      <c r="G9" s="50" t="s">
        <v>10</v>
      </c>
      <c r="H9" s="51" t="s">
        <v>11</v>
      </c>
      <c r="I9" s="52" t="s">
        <v>12</v>
      </c>
    </row>
    <row r="10" spans="1:9" s="29" customFormat="1" ht="75.75" customHeight="1" x14ac:dyDescent="0.2">
      <c r="A10" s="30">
        <v>1</v>
      </c>
      <c r="B10" s="79" t="s">
        <v>66</v>
      </c>
      <c r="C10" s="32" t="s">
        <v>63</v>
      </c>
      <c r="D10" s="31" t="s">
        <v>76</v>
      </c>
      <c r="E10" s="88" t="s">
        <v>65</v>
      </c>
      <c r="F10" s="71" t="s">
        <v>62</v>
      </c>
      <c r="G10" s="71">
        <v>8</v>
      </c>
      <c r="H10" s="72">
        <v>5040</v>
      </c>
      <c r="I10" s="19">
        <f t="shared" ref="I10:I14" si="0">H10*G10</f>
        <v>40320</v>
      </c>
    </row>
    <row r="11" spans="1:9" s="29" customFormat="1" ht="83.25" customHeight="1" x14ac:dyDescent="0.2">
      <c r="A11" s="82">
        <v>2</v>
      </c>
      <c r="B11" s="79" t="s">
        <v>68</v>
      </c>
      <c r="C11" s="83" t="s">
        <v>63</v>
      </c>
      <c r="D11" s="84" t="s">
        <v>76</v>
      </c>
      <c r="E11" s="96" t="s">
        <v>67</v>
      </c>
      <c r="F11" s="85" t="s">
        <v>62</v>
      </c>
      <c r="G11" s="85">
        <v>6</v>
      </c>
      <c r="H11" s="86">
        <v>8469</v>
      </c>
      <c r="I11" s="87">
        <f t="shared" si="0"/>
        <v>50814</v>
      </c>
    </row>
    <row r="12" spans="1:9" s="29" customFormat="1" ht="81.75" customHeight="1" x14ac:dyDescent="0.2">
      <c r="A12" s="89">
        <v>3</v>
      </c>
      <c r="B12" s="80" t="s">
        <v>70</v>
      </c>
      <c r="C12" s="90" t="s">
        <v>63</v>
      </c>
      <c r="D12" s="91" t="s">
        <v>76</v>
      </c>
      <c r="E12" s="102" t="s">
        <v>69</v>
      </c>
      <c r="F12" s="92" t="s">
        <v>62</v>
      </c>
      <c r="G12" s="92">
        <v>1100</v>
      </c>
      <c r="H12" s="93">
        <v>103.5</v>
      </c>
      <c r="I12" s="101">
        <f t="shared" si="0"/>
        <v>113850</v>
      </c>
    </row>
    <row r="13" spans="1:9" s="29" customFormat="1" ht="80.25" customHeight="1" x14ac:dyDescent="0.2">
      <c r="A13" s="30">
        <v>4</v>
      </c>
      <c r="B13" s="94" t="s">
        <v>72</v>
      </c>
      <c r="C13" s="81" t="s">
        <v>63</v>
      </c>
      <c r="D13" s="31" t="s">
        <v>76</v>
      </c>
      <c r="E13" s="95" t="s">
        <v>71</v>
      </c>
      <c r="F13" s="71" t="s">
        <v>62</v>
      </c>
      <c r="G13" s="71">
        <v>2160</v>
      </c>
      <c r="H13" s="72">
        <v>480.7</v>
      </c>
      <c r="I13" s="19">
        <f t="shared" ref="I13" si="1">H13*G13</f>
        <v>1038312</v>
      </c>
    </row>
    <row r="14" spans="1:9" s="29" customFormat="1" ht="76.5" customHeight="1" x14ac:dyDescent="0.2">
      <c r="A14" s="30">
        <v>5</v>
      </c>
      <c r="B14" s="94" t="s">
        <v>77</v>
      </c>
      <c r="C14" s="81" t="s">
        <v>63</v>
      </c>
      <c r="D14" s="31" t="s">
        <v>76</v>
      </c>
      <c r="E14" s="88" t="s">
        <v>78</v>
      </c>
      <c r="F14" s="71" t="s">
        <v>79</v>
      </c>
      <c r="G14" s="71">
        <v>3</v>
      </c>
      <c r="H14" s="72">
        <v>8422</v>
      </c>
      <c r="I14" s="19">
        <f t="shared" si="0"/>
        <v>25266</v>
      </c>
    </row>
    <row r="15" spans="1:9" s="29" customFormat="1" ht="21.75" customHeight="1" x14ac:dyDescent="0.2">
      <c r="A15" s="73"/>
      <c r="B15" s="74"/>
      <c r="C15" s="74"/>
      <c r="D15" s="75"/>
      <c r="E15" s="78"/>
      <c r="F15" s="45"/>
      <c r="G15" s="45"/>
      <c r="H15" s="76"/>
      <c r="I15" s="77"/>
    </row>
    <row r="16" spans="1:9" s="29" customFormat="1" ht="21.75" customHeight="1" thickBot="1" x14ac:dyDescent="0.25">
      <c r="A16" s="73"/>
      <c r="B16" s="74"/>
      <c r="C16" s="74"/>
      <c r="D16" s="75"/>
      <c r="E16" s="78"/>
      <c r="F16" s="45"/>
      <c r="G16" s="45"/>
      <c r="H16" s="76"/>
      <c r="I16" s="77"/>
    </row>
    <row r="17" spans="1:9" s="29" customFormat="1" ht="21.75" customHeight="1" x14ac:dyDescent="0.2">
      <c r="A17" s="73"/>
      <c r="B17" s="117" t="s">
        <v>85</v>
      </c>
      <c r="C17" s="118"/>
      <c r="D17" s="103"/>
      <c r="E17" s="104"/>
      <c r="F17" s="45"/>
      <c r="G17" s="45"/>
      <c r="H17" s="76"/>
      <c r="I17" s="77"/>
    </row>
    <row r="18" spans="1:9" s="29" customFormat="1" ht="21.75" customHeight="1" x14ac:dyDescent="0.2">
      <c r="A18" s="73"/>
      <c r="B18" s="105"/>
      <c r="C18" s="112" t="s">
        <v>86</v>
      </c>
      <c r="D18" s="113"/>
      <c r="E18" s="114"/>
      <c r="F18" s="45"/>
      <c r="G18" s="45"/>
      <c r="H18" s="76"/>
      <c r="I18" s="77"/>
    </row>
    <row r="19" spans="1:9" s="29" customFormat="1" ht="21.75" customHeight="1" x14ac:dyDescent="0.2">
      <c r="A19" s="73"/>
      <c r="B19" s="105" t="s">
        <v>56</v>
      </c>
      <c r="C19" s="74"/>
      <c r="D19" s="123" t="s">
        <v>88</v>
      </c>
      <c r="E19" s="124"/>
      <c r="F19" s="45"/>
      <c r="G19" s="45"/>
      <c r="H19" s="76"/>
      <c r="I19" s="77"/>
    </row>
    <row r="20" spans="1:9" s="29" customFormat="1" ht="21.75" customHeight="1" x14ac:dyDescent="0.2">
      <c r="A20" s="73"/>
      <c r="B20" s="105"/>
      <c r="C20" s="74"/>
      <c r="D20" s="75"/>
      <c r="E20" s="106"/>
      <c r="F20" s="45"/>
      <c r="G20" s="45"/>
      <c r="H20" s="76"/>
      <c r="I20" s="77"/>
    </row>
    <row r="21" spans="1:9" s="29" customFormat="1" ht="21.75" customHeight="1" x14ac:dyDescent="0.2">
      <c r="A21" s="73"/>
      <c r="B21" s="105" t="s">
        <v>57</v>
      </c>
      <c r="C21" s="74" t="s">
        <v>87</v>
      </c>
      <c r="D21" s="75"/>
      <c r="E21" s="106"/>
      <c r="F21" s="45"/>
      <c r="G21" s="45"/>
      <c r="H21" s="76"/>
      <c r="I21" s="77"/>
    </row>
    <row r="22" spans="1:9" s="29" customFormat="1" ht="21.75" customHeight="1" x14ac:dyDescent="0.2">
      <c r="A22" s="73"/>
      <c r="B22" s="105"/>
      <c r="C22" s="74"/>
      <c r="D22" s="75"/>
      <c r="E22" s="106"/>
      <c r="F22" s="45"/>
      <c r="G22" s="45"/>
      <c r="H22" s="76"/>
      <c r="I22" s="77"/>
    </row>
    <row r="23" spans="1:9" s="29" customFormat="1" ht="21.75" customHeight="1" x14ac:dyDescent="0.2">
      <c r="A23" s="73"/>
      <c r="B23" s="105" t="s">
        <v>58</v>
      </c>
      <c r="C23" s="74"/>
      <c r="D23" s="75" t="s">
        <v>61</v>
      </c>
      <c r="E23" s="106"/>
      <c r="F23" s="45"/>
      <c r="G23" s="45"/>
      <c r="H23" s="76"/>
      <c r="I23" s="77"/>
    </row>
    <row r="24" spans="1:9" s="29" customFormat="1" ht="21.75" customHeight="1" x14ac:dyDescent="0.2">
      <c r="A24" s="73"/>
      <c r="B24" s="105"/>
      <c r="C24" s="74"/>
      <c r="D24" s="75"/>
      <c r="E24" s="106"/>
      <c r="F24" s="45"/>
      <c r="G24" s="45"/>
      <c r="H24" s="76"/>
      <c r="I24" s="77"/>
    </row>
    <row r="25" spans="1:9" s="29" customFormat="1" ht="30" customHeight="1" x14ac:dyDescent="0.2">
      <c r="A25" s="73"/>
      <c r="B25" s="111" t="s">
        <v>13</v>
      </c>
      <c r="C25" s="74"/>
      <c r="D25" s="75"/>
      <c r="E25" s="106"/>
      <c r="F25" s="45"/>
      <c r="G25" s="45"/>
      <c r="H25" s="76"/>
      <c r="I25" s="77"/>
    </row>
    <row r="26" spans="1:9" s="29" customFormat="1" ht="21.75" customHeight="1" x14ac:dyDescent="0.2">
      <c r="A26" s="73"/>
      <c r="B26" s="105"/>
      <c r="C26" s="74"/>
      <c r="D26" s="75"/>
      <c r="E26" s="106"/>
      <c r="F26" s="45"/>
      <c r="G26" s="45"/>
      <c r="H26" s="76"/>
      <c r="I26" s="77"/>
    </row>
    <row r="27" spans="1:9" s="29" customFormat="1" ht="21.75" customHeight="1" x14ac:dyDescent="0.2">
      <c r="A27" s="73"/>
      <c r="B27" s="105" t="s">
        <v>14</v>
      </c>
      <c r="C27" s="74"/>
      <c r="D27" s="130" t="s">
        <v>82</v>
      </c>
      <c r="E27" s="131"/>
      <c r="F27" s="45"/>
      <c r="G27" s="45"/>
      <c r="H27" s="76"/>
      <c r="I27" s="77"/>
    </row>
    <row r="28" spans="1:9" s="29" customFormat="1" ht="21.75" customHeight="1" thickBot="1" x14ac:dyDescent="0.25">
      <c r="A28" s="73"/>
      <c r="B28" s="107"/>
      <c r="C28" s="108"/>
      <c r="D28" s="109"/>
      <c r="E28" s="110"/>
      <c r="F28" s="45"/>
      <c r="G28" s="45"/>
      <c r="H28" s="76"/>
      <c r="I28" s="77"/>
    </row>
    <row r="29" spans="1:9" s="29" customFormat="1" ht="21.75" customHeight="1" thickBot="1" x14ac:dyDescent="0.25">
      <c r="A29" s="73"/>
      <c r="B29" s="74"/>
      <c r="C29" s="74"/>
      <c r="D29" s="75"/>
      <c r="E29" s="78"/>
      <c r="F29" s="45"/>
      <c r="G29" s="45"/>
      <c r="H29" s="76"/>
      <c r="I29" s="77"/>
    </row>
    <row r="30" spans="1:9" s="29" customFormat="1" ht="21.75" customHeight="1" x14ac:dyDescent="0.2">
      <c r="A30" s="73"/>
      <c r="B30" s="117" t="s">
        <v>89</v>
      </c>
      <c r="C30" s="118"/>
      <c r="D30" s="103"/>
      <c r="E30" s="104"/>
      <c r="F30" s="45"/>
      <c r="G30" s="45"/>
      <c r="H30" s="76"/>
      <c r="I30" s="77"/>
    </row>
    <row r="31" spans="1:9" s="29" customFormat="1" ht="21.75" customHeight="1" x14ac:dyDescent="0.2">
      <c r="A31" s="73"/>
      <c r="B31" s="105"/>
      <c r="C31" s="112" t="s">
        <v>90</v>
      </c>
      <c r="D31" s="113"/>
      <c r="E31" s="114"/>
      <c r="F31" s="45"/>
      <c r="G31" s="45"/>
      <c r="H31" s="76"/>
      <c r="I31" s="77"/>
    </row>
    <row r="32" spans="1:9" s="29" customFormat="1" ht="21.75" customHeight="1" x14ac:dyDescent="0.2">
      <c r="A32" s="73"/>
      <c r="B32" s="105" t="s">
        <v>56</v>
      </c>
      <c r="C32" s="74"/>
      <c r="D32" s="123" t="s">
        <v>88</v>
      </c>
      <c r="E32" s="124"/>
      <c r="F32" s="45"/>
      <c r="G32" s="45"/>
      <c r="H32" s="76"/>
      <c r="I32" s="77"/>
    </row>
    <row r="33" spans="1:9" s="29" customFormat="1" ht="21.75" customHeight="1" x14ac:dyDescent="0.2">
      <c r="A33" s="73"/>
      <c r="B33" s="105"/>
      <c r="C33" s="74"/>
      <c r="D33" s="115"/>
      <c r="E33" s="106"/>
      <c r="F33" s="45"/>
      <c r="G33" s="45"/>
      <c r="H33" s="76"/>
      <c r="I33" s="77"/>
    </row>
    <row r="34" spans="1:9" s="29" customFormat="1" ht="21.75" customHeight="1" x14ac:dyDescent="0.2">
      <c r="A34" s="73"/>
      <c r="B34" s="105" t="s">
        <v>57</v>
      </c>
      <c r="C34" s="74" t="s">
        <v>87</v>
      </c>
      <c r="D34" s="115"/>
      <c r="E34" s="106"/>
      <c r="F34" s="45"/>
      <c r="G34" s="45"/>
      <c r="H34" s="76"/>
      <c r="I34" s="77"/>
    </row>
    <row r="35" spans="1:9" s="29" customFormat="1" ht="21.75" customHeight="1" x14ac:dyDescent="0.2">
      <c r="A35" s="73"/>
      <c r="B35" s="105"/>
      <c r="C35" s="74"/>
      <c r="D35" s="115"/>
      <c r="E35" s="106"/>
      <c r="F35" s="45"/>
      <c r="G35" s="45"/>
      <c r="H35" s="76"/>
      <c r="I35" s="77"/>
    </row>
    <row r="36" spans="1:9" s="29" customFormat="1" ht="21.75" customHeight="1" x14ac:dyDescent="0.2">
      <c r="A36" s="73"/>
      <c r="B36" s="105" t="s">
        <v>58</v>
      </c>
      <c r="C36" s="74"/>
      <c r="D36" s="115" t="s">
        <v>61</v>
      </c>
      <c r="E36" s="106"/>
      <c r="F36" s="45"/>
      <c r="G36" s="45"/>
      <c r="H36" s="76"/>
      <c r="I36" s="77"/>
    </row>
    <row r="37" spans="1:9" s="29" customFormat="1" ht="21.75" customHeight="1" x14ac:dyDescent="0.2">
      <c r="A37" s="73"/>
      <c r="B37" s="105"/>
      <c r="C37" s="74"/>
      <c r="D37" s="115"/>
      <c r="E37" s="106"/>
      <c r="F37" s="45"/>
      <c r="G37" s="45"/>
      <c r="H37" s="76"/>
      <c r="I37" s="77"/>
    </row>
    <row r="38" spans="1:9" s="29" customFormat="1" ht="30.75" customHeight="1" x14ac:dyDescent="0.2">
      <c r="A38" s="73"/>
      <c r="B38" s="111" t="s">
        <v>13</v>
      </c>
      <c r="C38" s="74"/>
      <c r="D38" s="115"/>
      <c r="E38" s="106"/>
      <c r="F38" s="45"/>
      <c r="G38" s="45"/>
      <c r="H38" s="76"/>
      <c r="I38" s="77"/>
    </row>
    <row r="39" spans="1:9" s="29" customFormat="1" ht="21.75" customHeight="1" x14ac:dyDescent="0.2">
      <c r="A39" s="73"/>
      <c r="B39" s="105"/>
      <c r="C39" s="74"/>
      <c r="D39" s="115"/>
      <c r="E39" s="106"/>
      <c r="F39" s="45"/>
      <c r="G39" s="45"/>
      <c r="H39" s="76"/>
      <c r="I39" s="77"/>
    </row>
    <row r="40" spans="1:9" s="29" customFormat="1" ht="21.75" customHeight="1" x14ac:dyDescent="0.2">
      <c r="A40" s="73"/>
      <c r="B40" s="105" t="s">
        <v>14</v>
      </c>
      <c r="C40" s="74"/>
      <c r="D40" s="123" t="s">
        <v>82</v>
      </c>
      <c r="E40" s="124"/>
      <c r="F40" s="45"/>
      <c r="G40" s="45"/>
      <c r="H40" s="76"/>
      <c r="I40" s="77"/>
    </row>
    <row r="41" spans="1:9" s="29" customFormat="1" ht="21.75" customHeight="1" thickBot="1" x14ac:dyDescent="0.25">
      <c r="A41" s="73"/>
      <c r="B41" s="107"/>
      <c r="C41" s="108"/>
      <c r="D41" s="109"/>
      <c r="E41" s="110"/>
      <c r="F41" s="45"/>
      <c r="G41" s="45"/>
      <c r="H41" s="76"/>
      <c r="I41" s="77"/>
    </row>
    <row r="42" spans="1:9" s="29" customFormat="1" ht="21.75" customHeight="1" thickBot="1" x14ac:dyDescent="0.25">
      <c r="A42" s="73"/>
      <c r="B42" s="74"/>
      <c r="C42" s="74"/>
      <c r="D42" s="75"/>
      <c r="E42" s="78"/>
      <c r="F42" s="45"/>
      <c r="G42" s="45"/>
      <c r="H42" s="76"/>
      <c r="I42" s="77"/>
    </row>
    <row r="43" spans="1:9" s="29" customFormat="1" ht="21.75" customHeight="1" x14ac:dyDescent="0.2">
      <c r="A43" s="73"/>
      <c r="B43" s="117" t="s">
        <v>91</v>
      </c>
      <c r="C43" s="122"/>
      <c r="D43" s="103"/>
      <c r="E43" s="104"/>
      <c r="F43" s="45"/>
      <c r="G43" s="45"/>
      <c r="H43" s="76"/>
      <c r="I43" s="77"/>
    </row>
    <row r="44" spans="1:9" s="29" customFormat="1" ht="42.75" customHeight="1" x14ac:dyDescent="0.2">
      <c r="A44" s="73"/>
      <c r="B44" s="105"/>
      <c r="C44" s="125" t="s">
        <v>92</v>
      </c>
      <c r="D44" s="125"/>
      <c r="E44" s="126"/>
      <c r="F44" s="45"/>
      <c r="G44" s="45"/>
      <c r="H44" s="76"/>
      <c r="I44" s="77"/>
    </row>
    <row r="45" spans="1:9" s="29" customFormat="1" ht="21.75" customHeight="1" x14ac:dyDescent="0.2">
      <c r="A45" s="73"/>
      <c r="B45" s="105" t="s">
        <v>56</v>
      </c>
      <c r="C45" s="74"/>
      <c r="D45" s="123" t="s">
        <v>88</v>
      </c>
      <c r="E45" s="124"/>
      <c r="F45" s="45"/>
      <c r="G45" s="45"/>
      <c r="H45" s="76"/>
      <c r="I45" s="77"/>
    </row>
    <row r="46" spans="1:9" s="29" customFormat="1" ht="21.75" customHeight="1" x14ac:dyDescent="0.2">
      <c r="A46" s="73"/>
      <c r="B46" s="105"/>
      <c r="C46" s="74"/>
      <c r="D46" s="116"/>
      <c r="E46" s="106"/>
      <c r="F46" s="45"/>
      <c r="G46" s="45"/>
      <c r="H46" s="76"/>
      <c r="I46" s="77"/>
    </row>
    <row r="47" spans="1:9" s="29" customFormat="1" ht="21.75" customHeight="1" x14ac:dyDescent="0.2">
      <c r="A47" s="73"/>
      <c r="B47" s="105" t="s">
        <v>57</v>
      </c>
      <c r="C47" s="74" t="s">
        <v>87</v>
      </c>
      <c r="D47" s="116"/>
      <c r="E47" s="106"/>
      <c r="F47" s="45"/>
      <c r="G47" s="45"/>
      <c r="H47" s="76"/>
      <c r="I47" s="77"/>
    </row>
    <row r="48" spans="1:9" s="29" customFormat="1" ht="21.75" customHeight="1" x14ac:dyDescent="0.2">
      <c r="A48" s="73"/>
      <c r="B48" s="105"/>
      <c r="C48" s="74"/>
      <c r="D48" s="116"/>
      <c r="E48" s="106"/>
      <c r="F48" s="45"/>
      <c r="G48" s="45"/>
      <c r="H48" s="76"/>
      <c r="I48" s="77"/>
    </row>
    <row r="49" spans="1:9" s="29" customFormat="1" ht="21.75" customHeight="1" x14ac:dyDescent="0.2">
      <c r="A49" s="73"/>
      <c r="B49" s="105" t="s">
        <v>58</v>
      </c>
      <c r="C49" s="74"/>
      <c r="D49" s="116" t="s">
        <v>61</v>
      </c>
      <c r="E49" s="106"/>
      <c r="F49" s="45"/>
      <c r="G49" s="45"/>
      <c r="H49" s="76"/>
      <c r="I49" s="77"/>
    </row>
    <row r="50" spans="1:9" s="29" customFormat="1" ht="21.75" customHeight="1" x14ac:dyDescent="0.2">
      <c r="A50" s="73"/>
      <c r="B50" s="105"/>
      <c r="C50" s="74"/>
      <c r="D50" s="116"/>
      <c r="E50" s="106"/>
      <c r="F50" s="45"/>
      <c r="G50" s="45"/>
      <c r="H50" s="76"/>
      <c r="I50" s="77"/>
    </row>
    <row r="51" spans="1:9" s="29" customFormat="1" ht="33" customHeight="1" x14ac:dyDescent="0.2">
      <c r="A51" s="73"/>
      <c r="B51" s="111" t="s">
        <v>13</v>
      </c>
      <c r="C51" s="74"/>
      <c r="D51" s="116"/>
      <c r="E51" s="106"/>
      <c r="F51" s="45"/>
      <c r="G51" s="45"/>
      <c r="H51" s="76"/>
      <c r="I51" s="77"/>
    </row>
    <row r="52" spans="1:9" s="29" customFormat="1" ht="21.75" customHeight="1" x14ac:dyDescent="0.2">
      <c r="A52" s="73"/>
      <c r="B52" s="105"/>
      <c r="C52" s="74"/>
      <c r="D52" s="116"/>
      <c r="E52" s="106"/>
      <c r="F52" s="45"/>
      <c r="G52" s="45"/>
      <c r="H52" s="76"/>
      <c r="I52" s="77"/>
    </row>
    <row r="53" spans="1:9" s="29" customFormat="1" ht="21.75" customHeight="1" x14ac:dyDescent="0.2">
      <c r="A53" s="73"/>
      <c r="B53" s="105" t="s">
        <v>14</v>
      </c>
      <c r="C53" s="74"/>
      <c r="D53" s="123" t="s">
        <v>82</v>
      </c>
      <c r="E53" s="124"/>
      <c r="F53" s="45"/>
      <c r="G53" s="45"/>
      <c r="H53" s="76"/>
      <c r="I53" s="77"/>
    </row>
    <row r="54" spans="1:9" s="29" customFormat="1" ht="21.75" customHeight="1" x14ac:dyDescent="0.2">
      <c r="A54" s="73"/>
      <c r="B54" s="105"/>
      <c r="C54" s="74"/>
      <c r="D54" s="116"/>
      <c r="E54" s="106"/>
      <c r="F54" s="45"/>
      <c r="G54" s="45"/>
      <c r="H54" s="76"/>
      <c r="I54" s="77"/>
    </row>
    <row r="55" spans="1:9" s="29" customFormat="1" ht="21.75" customHeight="1" thickBot="1" x14ac:dyDescent="0.25">
      <c r="A55" s="73"/>
      <c r="B55" s="107" t="s">
        <v>15</v>
      </c>
      <c r="C55" s="108"/>
      <c r="D55" s="109"/>
      <c r="E55" s="110"/>
      <c r="F55" s="45"/>
      <c r="G55" s="45"/>
      <c r="H55" s="76"/>
      <c r="I55" s="77"/>
    </row>
    <row r="56" spans="1:9" s="29" customFormat="1" ht="21.75" customHeight="1" thickBot="1" x14ac:dyDescent="0.25">
      <c r="A56" s="73"/>
      <c r="B56" s="74"/>
      <c r="C56" s="74"/>
      <c r="D56" s="116"/>
      <c r="E56" s="78"/>
      <c r="F56" s="45"/>
      <c r="G56" s="45"/>
      <c r="H56" s="76"/>
      <c r="I56" s="77"/>
    </row>
    <row r="57" spans="1:9" s="29" customFormat="1" ht="21.75" customHeight="1" x14ac:dyDescent="0.2">
      <c r="A57" s="73"/>
      <c r="B57" s="117" t="s">
        <v>93</v>
      </c>
      <c r="C57" s="118"/>
      <c r="D57" s="103"/>
      <c r="E57" s="104"/>
      <c r="F57" s="45"/>
      <c r="G57" s="45"/>
      <c r="H57" s="76"/>
      <c r="I57" s="77"/>
    </row>
    <row r="58" spans="1:9" s="29" customFormat="1" ht="39.75" customHeight="1" x14ac:dyDescent="0.2">
      <c r="A58" s="73"/>
      <c r="B58" s="105"/>
      <c r="C58" s="125" t="s">
        <v>94</v>
      </c>
      <c r="D58" s="125"/>
      <c r="E58" s="126"/>
      <c r="F58" s="45"/>
      <c r="G58" s="45"/>
      <c r="H58" s="76"/>
      <c r="I58" s="77"/>
    </row>
    <row r="59" spans="1:9" s="29" customFormat="1" ht="21.75" customHeight="1" x14ac:dyDescent="0.2">
      <c r="A59" s="73"/>
      <c r="B59" s="105" t="s">
        <v>56</v>
      </c>
      <c r="C59" s="74"/>
      <c r="D59" s="123" t="s">
        <v>88</v>
      </c>
      <c r="E59" s="124"/>
      <c r="F59" s="45"/>
      <c r="G59" s="45"/>
      <c r="H59" s="76"/>
      <c r="I59" s="77"/>
    </row>
    <row r="60" spans="1:9" s="29" customFormat="1" ht="21.75" customHeight="1" x14ac:dyDescent="0.2">
      <c r="A60" s="73"/>
      <c r="B60" s="105"/>
      <c r="C60" s="74"/>
      <c r="D60" s="121"/>
      <c r="E60" s="106"/>
      <c r="F60" s="45"/>
      <c r="G60" s="45"/>
      <c r="H60" s="76"/>
      <c r="I60" s="77"/>
    </row>
    <row r="61" spans="1:9" s="29" customFormat="1" ht="21.75" customHeight="1" x14ac:dyDescent="0.2">
      <c r="A61" s="73"/>
      <c r="B61" s="105" t="s">
        <v>57</v>
      </c>
      <c r="C61" s="74" t="s">
        <v>87</v>
      </c>
      <c r="D61" s="121"/>
      <c r="E61" s="106"/>
      <c r="F61" s="45"/>
      <c r="G61" s="45"/>
      <c r="H61" s="76"/>
      <c r="I61" s="77"/>
    </row>
    <row r="62" spans="1:9" s="29" customFormat="1" ht="21.75" customHeight="1" x14ac:dyDescent="0.2">
      <c r="A62" s="73"/>
      <c r="B62" s="105"/>
      <c r="C62" s="74"/>
      <c r="D62" s="121"/>
      <c r="E62" s="106"/>
      <c r="F62" s="45"/>
      <c r="G62" s="45"/>
      <c r="H62" s="76"/>
      <c r="I62" s="77"/>
    </row>
    <row r="63" spans="1:9" s="29" customFormat="1" ht="21.75" customHeight="1" x14ac:dyDescent="0.2">
      <c r="A63" s="73"/>
      <c r="B63" s="105" t="s">
        <v>58</v>
      </c>
      <c r="C63" s="74"/>
      <c r="D63" s="121" t="s">
        <v>61</v>
      </c>
      <c r="E63" s="106"/>
      <c r="F63" s="45"/>
      <c r="G63" s="45"/>
      <c r="H63" s="76"/>
      <c r="I63" s="77"/>
    </row>
    <row r="64" spans="1:9" s="29" customFormat="1" ht="21.75" customHeight="1" x14ac:dyDescent="0.2">
      <c r="A64" s="73"/>
      <c r="B64" s="105"/>
      <c r="C64" s="74"/>
      <c r="D64" s="121"/>
      <c r="E64" s="106"/>
      <c r="F64" s="45"/>
      <c r="G64" s="45"/>
      <c r="H64" s="76"/>
      <c r="I64" s="77"/>
    </row>
    <row r="65" spans="1:9" s="29" customFormat="1" ht="31.5" customHeight="1" x14ac:dyDescent="0.2">
      <c r="A65" s="73"/>
      <c r="B65" s="111" t="s">
        <v>13</v>
      </c>
      <c r="C65" s="74"/>
      <c r="D65" s="121"/>
      <c r="E65" s="106"/>
      <c r="F65" s="45"/>
      <c r="G65" s="45"/>
      <c r="H65" s="76"/>
      <c r="I65" s="77"/>
    </row>
    <row r="66" spans="1:9" s="29" customFormat="1" ht="21.75" customHeight="1" x14ac:dyDescent="0.2">
      <c r="A66" s="73"/>
      <c r="B66" s="105"/>
      <c r="C66" s="74"/>
      <c r="D66" s="121"/>
      <c r="E66" s="106"/>
      <c r="F66" s="45"/>
      <c r="G66" s="45"/>
      <c r="H66" s="76"/>
      <c r="I66" s="77"/>
    </row>
    <row r="67" spans="1:9" s="29" customFormat="1" ht="21.75" customHeight="1" x14ac:dyDescent="0.2">
      <c r="A67" s="73"/>
      <c r="B67" s="105" t="s">
        <v>14</v>
      </c>
      <c r="C67" s="74"/>
      <c r="D67" s="123" t="s">
        <v>82</v>
      </c>
      <c r="E67" s="124"/>
      <c r="F67" s="45"/>
      <c r="G67" s="45"/>
      <c r="H67" s="76"/>
      <c r="I67" s="77"/>
    </row>
    <row r="68" spans="1:9" s="29" customFormat="1" ht="21.75" customHeight="1" x14ac:dyDescent="0.2">
      <c r="A68" s="73"/>
      <c r="B68" s="105"/>
      <c r="C68" s="74"/>
      <c r="D68" s="119"/>
      <c r="E68" s="120"/>
      <c r="F68" s="45"/>
      <c r="G68" s="45"/>
      <c r="H68" s="76"/>
      <c r="I68" s="77"/>
    </row>
    <row r="69" spans="1:9" s="29" customFormat="1" ht="21.75" customHeight="1" thickBot="1" x14ac:dyDescent="0.25">
      <c r="A69" s="73"/>
      <c r="B69" s="107" t="s">
        <v>15</v>
      </c>
      <c r="C69" s="108"/>
      <c r="D69" s="109"/>
      <c r="E69" s="110"/>
      <c r="F69" s="45"/>
      <c r="G69" s="45"/>
      <c r="H69" s="76"/>
      <c r="I69" s="77"/>
    </row>
    <row r="70" spans="1:9" s="29" customFormat="1" ht="21.75" customHeight="1" thickBot="1" x14ac:dyDescent="0.25">
      <c r="A70" s="73"/>
      <c r="B70" s="74"/>
      <c r="C70" s="74"/>
      <c r="D70" s="116"/>
      <c r="E70" s="78"/>
      <c r="F70" s="45"/>
      <c r="G70" s="45"/>
      <c r="H70" s="76"/>
      <c r="I70" s="77"/>
    </row>
    <row r="71" spans="1:9" s="29" customFormat="1" ht="21.75" customHeight="1" x14ac:dyDescent="0.2">
      <c r="A71" s="73"/>
      <c r="B71" s="117" t="s">
        <v>95</v>
      </c>
      <c r="C71" s="118"/>
      <c r="D71" s="103"/>
      <c r="E71" s="104"/>
      <c r="F71" s="45"/>
      <c r="G71" s="45"/>
      <c r="H71" s="76"/>
      <c r="I71" s="77"/>
    </row>
    <row r="72" spans="1:9" s="29" customFormat="1" ht="48.75" customHeight="1" x14ac:dyDescent="0.2">
      <c r="A72" s="73"/>
      <c r="B72" s="105"/>
      <c r="C72" s="125" t="s">
        <v>80</v>
      </c>
      <c r="D72" s="125"/>
      <c r="E72" s="126"/>
      <c r="F72" s="45"/>
      <c r="G72" s="45"/>
      <c r="H72" s="76"/>
      <c r="I72" s="77"/>
    </row>
    <row r="73" spans="1:9" s="29" customFormat="1" ht="21.75" customHeight="1" x14ac:dyDescent="0.2">
      <c r="A73" s="73"/>
      <c r="B73" s="105" t="s">
        <v>56</v>
      </c>
      <c r="C73" s="74"/>
      <c r="D73" s="123" t="s">
        <v>88</v>
      </c>
      <c r="E73" s="124"/>
      <c r="F73" s="45"/>
      <c r="G73" s="45"/>
      <c r="H73" s="76"/>
      <c r="I73" s="77"/>
    </row>
    <row r="74" spans="1:9" s="29" customFormat="1" ht="21.75" customHeight="1" x14ac:dyDescent="0.2">
      <c r="A74" s="73"/>
      <c r="B74" s="105"/>
      <c r="C74" s="74"/>
      <c r="D74" s="121"/>
      <c r="E74" s="106"/>
      <c r="F74" s="45"/>
      <c r="G74" s="45"/>
      <c r="H74" s="76"/>
      <c r="I74" s="77"/>
    </row>
    <row r="75" spans="1:9" s="29" customFormat="1" ht="21.75" customHeight="1" x14ac:dyDescent="0.2">
      <c r="A75" s="73"/>
      <c r="B75" s="105" t="s">
        <v>57</v>
      </c>
      <c r="C75" s="74" t="s">
        <v>87</v>
      </c>
      <c r="D75" s="121"/>
      <c r="E75" s="106"/>
      <c r="F75" s="45"/>
      <c r="G75" s="45"/>
      <c r="H75" s="76"/>
      <c r="I75" s="77"/>
    </row>
    <row r="76" spans="1:9" s="29" customFormat="1" ht="21.75" customHeight="1" x14ac:dyDescent="0.2">
      <c r="A76" s="73"/>
      <c r="B76" s="105"/>
      <c r="C76" s="74"/>
      <c r="D76" s="121"/>
      <c r="E76" s="106"/>
      <c r="F76" s="45"/>
      <c r="G76" s="45"/>
      <c r="H76" s="76"/>
      <c r="I76" s="77"/>
    </row>
    <row r="77" spans="1:9" s="29" customFormat="1" ht="21.75" customHeight="1" x14ac:dyDescent="0.2">
      <c r="A77" s="73"/>
      <c r="B77" s="105" t="s">
        <v>58</v>
      </c>
      <c r="C77" s="74"/>
      <c r="D77" s="121" t="s">
        <v>61</v>
      </c>
      <c r="E77" s="106"/>
      <c r="F77" s="45"/>
      <c r="G77" s="45"/>
      <c r="H77" s="76"/>
      <c r="I77" s="77"/>
    </row>
    <row r="78" spans="1:9" s="29" customFormat="1" ht="21.75" customHeight="1" x14ac:dyDescent="0.2">
      <c r="A78" s="73"/>
      <c r="B78" s="105"/>
      <c r="C78" s="74"/>
      <c r="D78" s="121"/>
      <c r="E78" s="106"/>
      <c r="F78" s="45"/>
      <c r="G78" s="45"/>
      <c r="H78" s="76"/>
      <c r="I78" s="77"/>
    </row>
    <row r="79" spans="1:9" s="29" customFormat="1" ht="21.75" customHeight="1" x14ac:dyDescent="0.2">
      <c r="A79" s="73"/>
      <c r="B79" s="111" t="s">
        <v>13</v>
      </c>
      <c r="C79" s="74"/>
      <c r="D79" s="121"/>
      <c r="E79" s="106"/>
      <c r="F79" s="45"/>
      <c r="G79" s="45"/>
      <c r="H79" s="76"/>
      <c r="I79" s="77"/>
    </row>
    <row r="80" spans="1:9" s="29" customFormat="1" ht="21.75" customHeight="1" x14ac:dyDescent="0.2">
      <c r="A80" s="73"/>
      <c r="B80" s="105"/>
      <c r="C80" s="74"/>
      <c r="D80" s="121"/>
      <c r="E80" s="106"/>
      <c r="F80" s="45"/>
      <c r="G80" s="45"/>
      <c r="H80" s="76"/>
      <c r="I80" s="77"/>
    </row>
    <row r="81" spans="1:9" s="29" customFormat="1" ht="21.75" customHeight="1" x14ac:dyDescent="0.2">
      <c r="A81" s="73"/>
      <c r="B81" s="105" t="s">
        <v>14</v>
      </c>
      <c r="C81" s="74"/>
      <c r="D81" s="123" t="s">
        <v>82</v>
      </c>
      <c r="E81" s="124"/>
      <c r="F81" s="45"/>
      <c r="G81" s="45"/>
      <c r="H81" s="76"/>
      <c r="I81" s="77"/>
    </row>
    <row r="82" spans="1:9" s="29" customFormat="1" ht="21.75" customHeight="1" x14ac:dyDescent="0.2">
      <c r="A82" s="73"/>
      <c r="B82" s="105"/>
      <c r="C82" s="74"/>
      <c r="D82" s="119"/>
      <c r="E82" s="120"/>
      <c r="F82" s="45"/>
      <c r="G82" s="45"/>
      <c r="H82" s="76"/>
      <c r="I82" s="77"/>
    </row>
    <row r="83" spans="1:9" s="29" customFormat="1" ht="21.75" customHeight="1" thickBot="1" x14ac:dyDescent="0.25">
      <c r="A83" s="73"/>
      <c r="B83" s="107" t="s">
        <v>15</v>
      </c>
      <c r="C83" s="108"/>
      <c r="D83" s="109"/>
      <c r="E83" s="110"/>
      <c r="F83" s="45"/>
      <c r="G83" s="45"/>
      <c r="H83" s="76"/>
      <c r="I83" s="77"/>
    </row>
  </sheetData>
  <sortState xmlns:xlrd2="http://schemas.microsoft.com/office/spreadsheetml/2017/richdata2" ref="C11:I15">
    <sortCondition ref="C10"/>
  </sortState>
  <mergeCells count="20">
    <mergeCell ref="D40:E40"/>
    <mergeCell ref="C44:E44"/>
    <mergeCell ref="D45:E45"/>
    <mergeCell ref="D53:E53"/>
    <mergeCell ref="C58:E58"/>
    <mergeCell ref="A6:B6"/>
    <mergeCell ref="A7:B7"/>
    <mergeCell ref="D19:E19"/>
    <mergeCell ref="D27:E27"/>
    <mergeCell ref="D32:E32"/>
    <mergeCell ref="B2:H2"/>
    <mergeCell ref="A4:B4"/>
    <mergeCell ref="C4:E4"/>
    <mergeCell ref="A5:B5"/>
    <mergeCell ref="C5:E5"/>
    <mergeCell ref="D59:E59"/>
    <mergeCell ref="D67:E67"/>
    <mergeCell ref="C72:E72"/>
    <mergeCell ref="D73:E73"/>
    <mergeCell ref="D81:E8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90" zoomScaleNormal="90" workbookViewId="0">
      <selection activeCell="B12" sqref="B12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3" width="5.85546875" style="22" customWidth="1"/>
    <col min="14" max="14" width="14.71093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52" t="s">
        <v>16</v>
      </c>
      <c r="B1" s="152"/>
      <c r="C1" s="152"/>
      <c r="D1" s="152"/>
      <c r="E1" s="152"/>
      <c r="F1" s="152"/>
      <c r="G1" s="152"/>
      <c r="H1" s="152"/>
      <c r="I1" s="152"/>
      <c r="J1" s="21" t="s">
        <v>17</v>
      </c>
      <c r="K1" s="99" t="s">
        <v>84</v>
      </c>
    </row>
    <row r="2" spans="1:1024" ht="12" customHeight="1" thickBot="1" x14ac:dyDescent="0.25">
      <c r="A2" s="23"/>
      <c r="B2" s="23"/>
      <c r="C2" s="25"/>
      <c r="D2" s="26"/>
      <c r="E2" s="26"/>
      <c r="F2" s="26"/>
      <c r="G2" s="26"/>
      <c r="H2" s="24"/>
      <c r="I2" s="24"/>
      <c r="J2" s="24"/>
      <c r="K2" s="24"/>
    </row>
    <row r="3" spans="1:1024" ht="22.5" customHeight="1" thickBot="1" x14ac:dyDescent="0.25">
      <c r="A3" s="153" t="s">
        <v>49</v>
      </c>
      <c r="B3" s="153"/>
      <c r="C3" s="153"/>
      <c r="D3" s="154" t="str">
        <f>'PROGRAMACION TRIMESTRAL'!C4</f>
        <v>40-Ministerio de Salud</v>
      </c>
      <c r="E3" s="154"/>
      <c r="F3" s="154"/>
      <c r="G3" s="154"/>
      <c r="H3" s="154"/>
      <c r="I3" s="154"/>
      <c r="J3" s="154"/>
      <c r="K3" s="154"/>
    </row>
    <row r="4" spans="1:1024" ht="16.5" customHeight="1" thickBot="1" x14ac:dyDescent="0.25">
      <c r="A4" s="155" t="s">
        <v>50</v>
      </c>
      <c r="B4" s="155"/>
      <c r="C4" s="155"/>
      <c r="D4" s="154" t="str">
        <f>'PROGRAMACION TRIMESTRAL'!C5</f>
        <v>28- Maternidad Provincial 25 de Mayo</v>
      </c>
      <c r="E4" s="154"/>
      <c r="F4" s="154"/>
      <c r="G4" s="154"/>
      <c r="H4" s="154"/>
      <c r="I4" s="154"/>
      <c r="J4" s="154"/>
      <c r="K4" s="154"/>
    </row>
    <row r="5" spans="1:1024" ht="17.25" customHeight="1" thickBot="1" x14ac:dyDescent="0.25">
      <c r="A5" s="155" t="s">
        <v>28</v>
      </c>
      <c r="B5" s="155"/>
      <c r="C5" s="155"/>
      <c r="D5" s="154" t="s">
        <v>60</v>
      </c>
      <c r="E5" s="154"/>
      <c r="F5" s="154"/>
      <c r="G5" s="154"/>
      <c r="H5" s="154"/>
      <c r="I5" s="154"/>
      <c r="J5" s="154"/>
      <c r="K5" s="154"/>
    </row>
    <row r="6" spans="1:1024" ht="20.25" customHeight="1" thickBot="1" x14ac:dyDescent="0.25">
      <c r="A6" s="153" t="s">
        <v>51</v>
      </c>
      <c r="B6" s="153"/>
      <c r="C6" s="153"/>
      <c r="D6" s="154" t="s">
        <v>53</v>
      </c>
      <c r="E6" s="154"/>
      <c r="F6" s="154"/>
      <c r="G6" s="154"/>
      <c r="H6" s="154"/>
      <c r="I6" s="154"/>
      <c r="J6" s="154"/>
      <c r="K6" s="154"/>
    </row>
    <row r="7" spans="1:1024" ht="18.75" customHeight="1" x14ac:dyDescent="0.2">
      <c r="A7" s="155" t="s">
        <v>18</v>
      </c>
      <c r="B7" s="155"/>
      <c r="C7" s="155"/>
      <c r="D7" s="154" t="str">
        <f>'PROGRAMACION TRIMESTRAL'!C7 &amp; "° Trimestre - Año " &amp; 'PROGRAMACION TRIMESTRAL'!C6</f>
        <v>3° Trimestre - Año 2022</v>
      </c>
      <c r="E7" s="154"/>
      <c r="F7" s="154"/>
      <c r="G7" s="154"/>
      <c r="H7" s="154"/>
      <c r="I7" s="154"/>
      <c r="J7" s="154"/>
      <c r="K7" s="154"/>
    </row>
    <row r="8" spans="1:1024" ht="16.5" customHeight="1" thickBot="1" x14ac:dyDescent="0.25">
      <c r="A8" s="156" t="s">
        <v>19</v>
      </c>
      <c r="B8" s="156"/>
      <c r="C8" s="156"/>
      <c r="D8" s="140" t="s">
        <v>74</v>
      </c>
      <c r="E8" s="140"/>
      <c r="F8" s="140"/>
      <c r="G8" s="140"/>
      <c r="H8" s="140"/>
      <c r="I8" s="140"/>
      <c r="J8" s="140"/>
      <c r="K8" s="140"/>
    </row>
    <row r="9" spans="1:1024" s="146" customFormat="1" ht="18" customHeight="1" thickBot="1" x14ac:dyDescent="0.25"/>
    <row r="10" spans="1:1024" ht="50.1" customHeight="1" thickBot="1" x14ac:dyDescent="0.25">
      <c r="A10" s="141" t="s">
        <v>20</v>
      </c>
      <c r="B10" s="133" t="s">
        <v>75</v>
      </c>
      <c r="C10" s="133" t="s">
        <v>21</v>
      </c>
      <c r="D10" s="133"/>
      <c r="E10" s="133"/>
      <c r="F10" s="133"/>
      <c r="G10" s="133"/>
      <c r="H10" s="133" t="s">
        <v>22</v>
      </c>
      <c r="I10" s="133" t="s">
        <v>23</v>
      </c>
      <c r="J10" s="133" t="s">
        <v>24</v>
      </c>
      <c r="K10" s="135" t="s">
        <v>25</v>
      </c>
    </row>
    <row r="11" spans="1:1024" ht="50.1" customHeight="1" thickBot="1" x14ac:dyDescent="0.25">
      <c r="A11" s="142"/>
      <c r="B11" s="134"/>
      <c r="C11" s="134"/>
      <c r="D11" s="134"/>
      <c r="E11" s="134"/>
      <c r="F11" s="134"/>
      <c r="G11" s="134"/>
      <c r="H11" s="134"/>
      <c r="I11" s="134"/>
      <c r="J11" s="134"/>
      <c r="K11" s="136"/>
    </row>
    <row r="12" spans="1:1024" s="28" customFormat="1" ht="54" customHeight="1" thickBot="1" x14ac:dyDescent="0.25">
      <c r="A12" s="56">
        <f>+'PROGRAMACION TRIMESTRAL'!A10</f>
        <v>1</v>
      </c>
      <c r="B12" s="54" t="str">
        <f>+'PROGRAMACION TRIMESTRAL'!B10</f>
        <v>2.1.1-4227.59</v>
      </c>
      <c r="C12" s="137" t="str">
        <f>'PROGRAMACION TRIMESTRAL'!$E$10</f>
        <v>SUPLEMENTOS DIETARIOS; ESTADO: POLVO, TIPO: FORMULA LACTEA MEDICAMENTOSA PARA LACTANTE, PROCESO: PASTEURIZADA, AGREGADO: HIDROLIZADO PARCIAL DE PROTEINA - CACEINATO DE SODIO, PRESENTACION: ENVASE X 400 GRS, MATERIAL: ENVASE METAL</v>
      </c>
      <c r="D12" s="138"/>
      <c r="E12" s="138"/>
      <c r="F12" s="138"/>
      <c r="G12" s="139"/>
      <c r="H12" s="53" t="s">
        <v>64</v>
      </c>
      <c r="I12" s="57" t="str">
        <f>'PROGRAMACION TRIMESTRAL'!F10</f>
        <v>UNIDAD</v>
      </c>
      <c r="J12" s="55">
        <f>+'PROGRAMACION TRIMESTRAL'!H10</f>
        <v>5040</v>
      </c>
      <c r="K12" s="58">
        <f>+'PROGRAMACION TRIMESTRAL'!G10</f>
        <v>8</v>
      </c>
      <c r="L12" s="27"/>
      <c r="M12" s="27"/>
      <c r="N12" s="9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s="28" customFormat="1" ht="60" customHeight="1" thickBot="1" x14ac:dyDescent="0.25">
      <c r="A13" s="56">
        <f>+'PROGRAMACION TRIMESTRAL'!A11</f>
        <v>2</v>
      </c>
      <c r="B13" s="100" t="str">
        <f>+'PROGRAMACION TRIMESTRAL'!B11</f>
        <v>2.1.1-4227.57</v>
      </c>
      <c r="C13" s="132" t="str">
        <f>'PROGRAMACION TRIMESTRAL'!$E$11</f>
        <v>SUPLEMENTOS DIETARIOS; ESTADO: POLVO, TIPO: FORMULA LACTEA MEDICAMENTOSA PARA LACTANTE, PROCESO: PASTEURIZADA, AGREGADO: HIDROLIZADO DE PROTEINA SUERO - HIDROLIZADO ENZIMAL - PARCIAL DE PROTEINA DE SUERO GOS/FOS, PRESENTACION: ENVASE POR 400 GRAMOS, MATERIAL DEL ENVASE: METAL</v>
      </c>
      <c r="D13" s="132"/>
      <c r="E13" s="132"/>
      <c r="F13" s="132"/>
      <c r="G13" s="132"/>
      <c r="H13" s="53" t="s">
        <v>64</v>
      </c>
      <c r="I13" s="57" t="str">
        <f>'PROGRAMACION TRIMESTRAL'!F11</f>
        <v>UNIDAD</v>
      </c>
      <c r="J13" s="55">
        <f>+'PROGRAMACION TRIMESTRAL'!H11</f>
        <v>8469</v>
      </c>
      <c r="K13" s="58">
        <f>+'PROGRAMACION TRIMESTRAL'!G11</f>
        <v>6</v>
      </c>
      <c r="L13" s="27"/>
      <c r="M13" s="27"/>
      <c r="N13" s="9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pans="1:1024" s="28" customFormat="1" ht="50.1" customHeight="1" thickBot="1" x14ac:dyDescent="0.25">
      <c r="A14" s="56">
        <f>+'PROGRAMACION TRIMESTRAL'!A12</f>
        <v>3</v>
      </c>
      <c r="B14" s="100" t="str">
        <f>+'PROGRAMACION TRIMESTRAL'!B12</f>
        <v>2.1.1-4227.61</v>
      </c>
      <c r="C14" s="132" t="str">
        <f>'PROGRAMACION TRIMESTRAL'!$E$12</f>
        <v>SUPLEMENTOS DIETARIOS; ESTADO: LIQUIDO, TIPO: FORMULA LACTEA DE INICIO DE 0 A 6 MESES, PROCESO: PASTEURIZADA, AGREGADO: VITAMINAS, MINERALES, ARA, DHA, PRESENTACION: ENVASE X 200 GRS, MATERIAL: ENVASE TETRAFILM.</v>
      </c>
      <c r="D14" s="132"/>
      <c r="E14" s="132"/>
      <c r="F14" s="132"/>
      <c r="G14" s="132"/>
      <c r="H14" s="53" t="s">
        <v>64</v>
      </c>
      <c r="I14" s="57" t="str">
        <f>'PROGRAMACION TRIMESTRAL'!F12</f>
        <v>UNIDAD</v>
      </c>
      <c r="J14" s="55">
        <f>+'PROGRAMACION TRIMESTRAL'!H12</f>
        <v>103.5</v>
      </c>
      <c r="K14" s="58">
        <f>+'PROGRAMACION TRIMESTRAL'!G12</f>
        <v>1100</v>
      </c>
      <c r="L14" s="27"/>
      <c r="M14" s="27"/>
      <c r="N14" s="9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</row>
    <row r="15" spans="1:1024" s="28" customFormat="1" ht="50.1" customHeight="1" thickBot="1" x14ac:dyDescent="0.25">
      <c r="A15" s="56">
        <f>+'PROGRAMACION TRIMESTRAL'!A13</f>
        <v>4</v>
      </c>
      <c r="B15" s="100" t="str">
        <f>+'PROGRAMACION TRIMESTRAL'!B13</f>
        <v>2.1.1-4227.62</v>
      </c>
      <c r="C15" s="132" t="s">
        <v>71</v>
      </c>
      <c r="D15" s="132"/>
      <c r="E15" s="132"/>
      <c r="F15" s="132"/>
      <c r="G15" s="132"/>
      <c r="H15" s="53" t="s">
        <v>64</v>
      </c>
      <c r="I15" s="57" t="s">
        <v>62</v>
      </c>
      <c r="J15" s="55">
        <f>+'PROGRAMACION TRIMESTRAL'!H13</f>
        <v>480.7</v>
      </c>
      <c r="K15" s="58">
        <f>+'PROGRAMACION TRIMESTRAL'!G13</f>
        <v>2160</v>
      </c>
      <c r="L15" s="27"/>
      <c r="M15" s="27"/>
      <c r="N15" s="9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</row>
    <row r="16" spans="1:1024" s="28" customFormat="1" ht="50.1" customHeight="1" x14ac:dyDescent="0.2">
      <c r="A16" s="56">
        <f>+'PROGRAMACION TRIMESTRAL'!A14</f>
        <v>5</v>
      </c>
      <c r="B16" s="100" t="str">
        <f>+'PROGRAMACION TRIMESTRAL'!B14</f>
        <v>2.1.1-4227.4</v>
      </c>
      <c r="C16" s="143" t="str">
        <f>'PROGRAMACION TRIMESTRAL'!$E$14</f>
        <v>SUPLEMENTOS DIETARIOS; TIPO: ASOCIACION, DROGA GENERICA: HC-PROT- Y VIT.MINERALES, PRESENTACION: 50 SOBRES X 2 GR</v>
      </c>
      <c r="D16" s="144"/>
      <c r="E16" s="144"/>
      <c r="F16" s="144"/>
      <c r="G16" s="145"/>
      <c r="H16" s="53" t="s">
        <v>64</v>
      </c>
      <c r="I16" s="53" t="s">
        <v>79</v>
      </c>
      <c r="J16" s="55">
        <f>+'PROGRAMACION TRIMESTRAL'!H14</f>
        <v>8422</v>
      </c>
      <c r="K16" s="58">
        <f>+'PROGRAMACION TRIMESTRAL'!G14</f>
        <v>3</v>
      </c>
      <c r="L16" s="27"/>
      <c r="M16" s="27"/>
      <c r="N16" s="9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7"/>
      <c r="AMG16" s="27"/>
      <c r="AMH16" s="27"/>
      <c r="AMI16" s="27"/>
      <c r="AMJ16" s="27"/>
    </row>
    <row r="17" spans="1:14" ht="50.1" customHeight="1" thickBot="1" x14ac:dyDescent="0.25">
      <c r="A17" s="149" t="s">
        <v>81</v>
      </c>
      <c r="B17" s="150"/>
      <c r="C17" s="150"/>
      <c r="D17" s="150"/>
      <c r="E17" s="150"/>
      <c r="F17" s="150"/>
      <c r="G17" s="150"/>
      <c r="H17" s="150"/>
      <c r="I17" s="151"/>
      <c r="J17" s="147">
        <f>SUMPRODUCT(J12:J16*K12:K16)</f>
        <v>1268562</v>
      </c>
      <c r="K17" s="148"/>
      <c r="N17" s="98"/>
    </row>
  </sheetData>
  <mergeCells count="28">
    <mergeCell ref="C16:G16"/>
    <mergeCell ref="A9:XFD9"/>
    <mergeCell ref="J17:K17"/>
    <mergeCell ref="A17:I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C14:G14"/>
    <mergeCell ref="C15:G15"/>
    <mergeCell ref="J10:J11"/>
    <mergeCell ref="K10:K11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12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80" t="s">
        <v>3</v>
      </c>
      <c r="B1" s="180"/>
      <c r="C1" s="180"/>
      <c r="D1" s="181">
        <f>'PROGRAMACION TRIMESTRAL'!C6</f>
        <v>2022</v>
      </c>
      <c r="E1" s="181"/>
      <c r="F1" s="3"/>
      <c r="G1" s="3"/>
      <c r="H1" s="4"/>
      <c r="I1" s="4"/>
      <c r="J1" s="4"/>
      <c r="K1" s="4"/>
      <c r="L1" s="4"/>
      <c r="M1" s="4"/>
      <c r="N1" s="4"/>
      <c r="P1" s="182" t="s">
        <v>26</v>
      </c>
      <c r="Q1" s="18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82"/>
      <c r="Q2" s="182"/>
    </row>
    <row r="4" spans="1:17" s="5" customFormat="1" ht="18" customHeight="1" thickBot="1" x14ac:dyDescent="0.25">
      <c r="A4" s="183" t="s">
        <v>27</v>
      </c>
      <c r="B4" s="183"/>
      <c r="C4" s="183"/>
      <c r="D4" s="183"/>
      <c r="E4" s="183"/>
      <c r="F4" s="183"/>
      <c r="G4" s="178" t="str">
        <f>' NotaPedido'!D3</f>
        <v>40-Ministerio de Salud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5" customFormat="1" ht="18" customHeight="1" thickBot="1" x14ac:dyDescent="0.25">
      <c r="A5" s="175" t="s">
        <v>50</v>
      </c>
      <c r="B5" s="176"/>
      <c r="C5" s="176"/>
      <c r="D5" s="176"/>
      <c r="E5" s="176"/>
      <c r="F5" s="177"/>
      <c r="G5" s="178" t="str">
        <f>' NotaPedido'!D4</f>
        <v>28- Maternidad Provincial 25 de Mayo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5" customFormat="1" ht="18" customHeight="1" thickBot="1" x14ac:dyDescent="0.25">
      <c r="A6" s="175" t="s">
        <v>28</v>
      </c>
      <c r="B6" s="176"/>
      <c r="C6" s="176"/>
      <c r="D6" s="176"/>
      <c r="E6" s="176"/>
      <c r="F6" s="177"/>
      <c r="G6" s="178" t="str">
        <f>' NotaPedido'!D5</f>
        <v xml:space="preserve">169-Direccion Asistencial 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s="5" customFormat="1" ht="18" customHeight="1" thickBot="1" x14ac:dyDescent="0.25">
      <c r="A7" s="175" t="s">
        <v>51</v>
      </c>
      <c r="B7" s="176"/>
      <c r="C7" s="176"/>
      <c r="D7" s="176"/>
      <c r="E7" s="176"/>
      <c r="F7" s="177"/>
      <c r="G7" s="178" t="str">
        <f>' NotaPedido'!D6</f>
        <v xml:space="preserve">Servicio de Nutricion 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 ht="18" customHeight="1" thickBot="1" x14ac:dyDescent="0.25">
      <c r="A8" s="179" t="s">
        <v>29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18" customHeight="1" x14ac:dyDescent="0.2">
      <c r="A9" s="169" t="s">
        <v>30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"/>
      <c r="P9" s="1"/>
      <c r="Q9" s="6"/>
    </row>
    <row r="10" spans="1:17" ht="54.75" customHeight="1" x14ac:dyDescent="0.2">
      <c r="A10" s="17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1" t="s">
        <v>31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x14ac:dyDescent="0.2">
      <c r="A13" s="172" t="s">
        <v>32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33</v>
      </c>
      <c r="P13" s="173"/>
      <c r="Q13" s="174" t="s">
        <v>34</v>
      </c>
    </row>
    <row r="14" spans="1:17" ht="15.75" customHeight="1" thickBot="1" x14ac:dyDescent="0.25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73"/>
      <c r="P14" s="173"/>
      <c r="Q14" s="174"/>
    </row>
    <row r="15" spans="1:17" ht="24" customHeight="1" x14ac:dyDescent="0.2">
      <c r="A15" s="62">
        <v>42</v>
      </c>
      <c r="B15" s="63"/>
      <c r="C15" s="63"/>
      <c r="D15" s="63">
        <v>2</v>
      </c>
      <c r="E15" s="63"/>
      <c r="F15" s="63">
        <v>4901</v>
      </c>
      <c r="G15" s="63">
        <v>3</v>
      </c>
      <c r="H15" s="63">
        <v>1</v>
      </c>
      <c r="I15" s="63">
        <v>2</v>
      </c>
      <c r="J15" s="63">
        <v>5</v>
      </c>
      <c r="K15" s="63">
        <v>2</v>
      </c>
      <c r="L15" s="63"/>
      <c r="M15" s="63">
        <v>1</v>
      </c>
      <c r="N15" s="63" t="s">
        <v>55</v>
      </c>
      <c r="O15" s="157" t="s">
        <v>73</v>
      </c>
      <c r="P15" s="158"/>
      <c r="Q15" s="64">
        <v>1268562</v>
      </c>
    </row>
    <row r="16" spans="1:17" ht="17.25" customHeight="1" x14ac:dyDescent="0.2">
      <c r="A16" s="66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164"/>
      <c r="P16" s="164"/>
      <c r="Q16" s="65"/>
    </row>
    <row r="17" spans="1:18" ht="17.25" customHeight="1" x14ac:dyDescent="0.2">
      <c r="A17" s="67"/>
      <c r="B17" s="60"/>
      <c r="C17" s="60"/>
      <c r="D17" s="60"/>
      <c r="E17" s="60"/>
      <c r="F17" s="61"/>
      <c r="G17" s="60"/>
      <c r="H17" s="60"/>
      <c r="I17" s="60"/>
      <c r="J17" s="60"/>
      <c r="K17" s="60"/>
      <c r="L17" s="60"/>
      <c r="M17" s="60"/>
      <c r="N17" s="60"/>
      <c r="O17" s="165"/>
      <c r="P17" s="165"/>
      <c r="Q17" s="65"/>
      <c r="R17" s="1"/>
    </row>
    <row r="18" spans="1:18" ht="17.25" customHeight="1" thickBot="1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166"/>
      <c r="P18" s="166"/>
      <c r="Q18" s="70"/>
    </row>
    <row r="19" spans="1:18" ht="25.5" customHeight="1" thickBot="1" x14ac:dyDescent="0.25">
      <c r="A19" s="167" t="s">
        <v>83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">
        <f>SUM(Q15:Q18)</f>
        <v>1268562</v>
      </c>
    </row>
    <row r="20" spans="1:18" ht="18" customHeight="1" thickBot="1" x14ac:dyDescent="0.25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</row>
    <row r="21" spans="1:18" ht="17.25" customHeight="1" thickBot="1" x14ac:dyDescent="0.25">
      <c r="A21" s="159" t="s">
        <v>48</v>
      </c>
      <c r="B21" s="160"/>
      <c r="C21" s="160"/>
      <c r="D21" s="160"/>
      <c r="E21" s="160"/>
      <c r="F21" s="161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</row>
    <row r="22" spans="1:18" ht="18" customHeight="1" thickBot="1" x14ac:dyDescent="0.25">
      <c r="A22" s="163" t="s">
        <v>96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spans="1:18" ht="15" customHeight="1" x14ac:dyDescent="0.2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PROGRAMACION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2021-03-23T13:26:33Z</cp:lastPrinted>
  <dcterms:created xsi:type="dcterms:W3CDTF">2020-07-17T23:44:49Z</dcterms:created>
  <dcterms:modified xsi:type="dcterms:W3CDTF">2022-07-18T16:08:19Z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