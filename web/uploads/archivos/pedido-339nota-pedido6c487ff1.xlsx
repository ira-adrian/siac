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MS\leche fortificada\"/>
    </mc:Choice>
  </mc:AlternateContent>
  <xr:revisionPtr revIDLastSave="0" documentId="8_{46F2B649-4840-4727-ADD2-478B10ED6B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011'!$A$9:$BA$11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K12" i="2"/>
  <c r="J12" i="2"/>
  <c r="J14" i="2" s="1"/>
  <c r="Q15" i="3" s="1"/>
  <c r="I12" i="2"/>
  <c r="C12" i="2"/>
  <c r="B12" i="2"/>
  <c r="D4" i="2"/>
  <c r="G5" i="3" s="1"/>
  <c r="D3" i="2"/>
  <c r="G4" i="3" s="1"/>
  <c r="Q38" i="3" l="1"/>
  <c r="AY10" i="1" l="1"/>
  <c r="X10" i="1" l="1"/>
  <c r="BA10" i="1" l="1"/>
  <c r="BA11" i="1" s="1"/>
  <c r="AB10" i="1"/>
</calcChain>
</file>

<file path=xl/sharedStrings.xml><?xml version="1.0" encoding="utf-8"?>
<sst xmlns="http://schemas.openxmlformats.org/spreadsheetml/2006/main" count="131" uniqueCount="125">
  <si>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</si>
  <si>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</si>
  <si>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</si>
  <si>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</si>
  <si>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</si>
  <si>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</si>
  <si>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</si>
  <si>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</si>
  <si>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</si>
  <si>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</si>
  <si>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</si>
  <si>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</si>
  <si>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</si>
  <si>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</si>
  <si>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</si>
  <si>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</si>
  <si>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</si>
  <si>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</si>
  <si>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</si>
  <si>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</si>
  <si>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</si>
  <si>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</si>
  <si>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</si>
  <si>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</si>
  <si>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</si>
  <si>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</si>
  <si>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</si>
  <si>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</si>
  <si>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</si>
  <si>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</si>
  <si>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</si>
  <si>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</si>
  <si>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</si>
  <si>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</si>
  <si>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</si>
  <si>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</si>
  <si>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</si>
  <si>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</si>
  <si>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</si>
  <si>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</si>
  <si>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</si>
  <si>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</si>
  <si>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</si>
  <si>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</si>
  <si>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</si>
  <si>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</si>
  <si>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</si>
  <si>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</si>
  <si>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</si>
  <si>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</si>
  <si>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</si>
  <si>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</si>
  <si>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</si>
  <si>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</si>
  <si>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</si>
  <si>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</si>
  <si>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</si>
  <si>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TERCERO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</si>
  <si>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</si>
  <si>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</si>
  <si>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</si>
  <si>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</si>
  <si>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</si>
  <si>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</si>
  <si>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</si>
  <si>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</si>
  <si>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RUBRO ALIMENTOS (LECHE FORTIFICADA)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</si>
  <si>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</si>
  <si>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</si>
  <si>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</si>
  <si>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</si>
  <si>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</si>
  <si>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</si>
  <si>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</si>
  <si>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</si>
  <si>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</si>
  <si>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</si>
  <si>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</si>
  <si>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</si>
  <si>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</si>
  <si>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</si>
  <si>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</si>
  <si>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</si>
  <si>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</si>
  <si>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</si>
  <si>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</si>
  <si>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</si>
  <si>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</si>
  <si>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</si>
  <si>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</si>
  <si>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</si>
  <si>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</si>
  <si>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</si>
  <si>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</si>
  <si>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</si>
  <si>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</si>
  <si>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</si>
  <si>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</si>
  <si>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</si>
  <si>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</si>
  <si>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</si>
  <si>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</si>
  <si>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</si>
  <si>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</si>
  <si>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</si>
  <si>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</si>
  <si>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</si>
  <si>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</si>
  <si>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</si>
  <si>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</si>
  <si>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</si>
  <si>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</si>
  <si>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</si>
  <si>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</si>
  <si>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</si>
  <si>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DIRECCION PROVINCIAL DE MATERNIDAD, INFANCIA Y ADOLESCENCIA</t>
  </si>
  <si>
    <t>3° TRIMESTRE 2022</t>
  </si>
  <si>
    <t>ADQ. DEL RUBRO ALIMENTOS PARA PERSONAS (LECHE FORTIFICADA)</t>
  </si>
  <si>
    <t>SI</t>
  </si>
  <si>
    <t xml:space="preserve"> 07/2022</t>
  </si>
  <si>
    <t>Costo total estimado: PESOS DIEZ MILLONES SEISCIENTOS VEINTICINCO MIL CON 00/100.-</t>
  </si>
  <si>
    <t>Autorizo la realización de los  trámites correspondientes, a fin de proveer a  este Organismo los bienes que se detallan en Nota  de Pedido N° 07/2022, afectando la erogación resultante a los créditos presupuestarios aprobados a favor de esta Unidad Ejecutora, conforme al siguiente detalle:</t>
  </si>
  <si>
    <t>1.1</t>
  </si>
  <si>
    <t>ALIMENTOS PARA PERSONAS</t>
  </si>
  <si>
    <t>TOTAL DE PESOS: DIEZ MILLONES SEISCIENTOS VEINTICINCO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</si>
</sst>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20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5" fontId="7" fillId="0" borderId="5" xfId="0" applyNumberFormat="1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10" fillId="0" borderId="4" xfId="0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  <xf numFmtId="0" fontId="0" fillId="0" borderId="0" xfId="0" applyAlignment="1">
      <alignment wrapText="1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tabSelected="1" zoomScale="90" zoomScaleNormal="90" workbookViewId="0">
      <selection activeCell="BE10" sqref="BE10"/>
    </sheetView>
  </sheetViews>
  <sheetFormatPr baseColWidth="10" defaultRowHeight="15" x14ac:dyDescent="0.25"/>
  <cols>
    <col min="1" max="1" width="5.42578125" style="27" bestFit="1" customWidth="1"/>
    <col min="2" max="2" width="13.85546875" style="27" bestFit="1" customWidth="1"/>
    <col min="3" max="3" width="27.5703125" style="27" customWidth="1"/>
    <col min="4" max="4" width="5.5703125" style="27" customWidth="1"/>
    <col min="5" max="5" width="89.85546875" style="28" bestFit="1" customWidth="1"/>
    <col min="6" max="6" width="15.5703125" style="27" bestFit="1" customWidth="1"/>
    <col min="7" max="7" width="17.140625" style="27" hidden="1" customWidth="1"/>
    <col min="8" max="8" width="10.85546875" style="27" hidden="1" customWidth="1"/>
    <col min="9" max="9" width="8" style="27" hidden="1" customWidth="1"/>
    <col min="10" max="10" width="14.5703125" style="55" hidden="1" customWidth="1"/>
    <col min="11" max="11" width="12.42578125" style="27" hidden="1" customWidth="1"/>
    <col min="12" max="12" width="15.85546875" style="27" hidden="1" customWidth="1"/>
    <col min="13" max="13" width="8.28515625" style="27" hidden="1" customWidth="1"/>
    <col min="14" max="14" width="14.140625" style="27" hidden="1" customWidth="1"/>
    <col min="15" max="15" width="5.42578125" style="27" hidden="1" customWidth="1"/>
    <col min="16" max="16" width="12.42578125" style="27" hidden="1" customWidth="1"/>
    <col min="17" max="17" width="14.7109375" style="27" hidden="1" customWidth="1"/>
    <col min="18" max="18" width="14.42578125" style="27" hidden="1" customWidth="1"/>
    <col min="19" max="19" width="10.5703125" style="29" hidden="1" customWidth="1"/>
    <col min="20" max="20" width="13.85546875" style="55" hidden="1" customWidth="1"/>
    <col min="21" max="21" width="14.7109375" style="27" hidden="1" customWidth="1"/>
    <col min="22" max="22" width="13.85546875" style="27" hidden="1" customWidth="1"/>
    <col min="23" max="23" width="6" style="27" hidden="1" customWidth="1"/>
    <col min="24" max="24" width="13.85546875" style="55" hidden="1" customWidth="1"/>
    <col min="25" max="25" width="10.140625" style="27" hidden="1" customWidth="1"/>
    <col min="26" max="26" width="13.85546875" style="27" hidden="1" customWidth="1"/>
    <col min="27" max="27" width="14.42578125" style="27" hidden="1" customWidth="1"/>
    <col min="28" max="28" width="14.42578125" style="55" hidden="1" customWidth="1"/>
    <col min="29" max="29" width="6.42578125" style="27" hidden="1" customWidth="1"/>
    <col min="30" max="30" width="13.85546875" style="27" hidden="1" customWidth="1"/>
    <col min="31" max="31" width="10.140625" style="27" hidden="1" customWidth="1"/>
    <col min="32" max="32" width="13.5703125" style="55" hidden="1" customWidth="1"/>
    <col min="33" max="33" width="12.140625" style="27" hidden="1" customWidth="1"/>
    <col min="34" max="34" width="13" style="27" hidden="1" customWidth="1"/>
    <col min="35" max="35" width="10.5703125" style="27" hidden="1" customWidth="1"/>
    <col min="36" max="36" width="12.42578125" style="55" hidden="1" customWidth="1"/>
    <col min="37" max="37" width="7.7109375" style="27" hidden="1" customWidth="1"/>
    <col min="38" max="38" width="14.85546875" style="27" hidden="1" customWidth="1"/>
    <col min="39" max="39" width="6.5703125" style="27" hidden="1" customWidth="1"/>
    <col min="40" max="40" width="14.85546875" style="55" hidden="1" customWidth="1"/>
    <col min="41" max="41" width="14.85546875" style="27" hidden="1" customWidth="1"/>
    <col min="42" max="42" width="13.5703125" style="27" hidden="1" customWidth="1"/>
    <col min="43" max="43" width="13.85546875" style="27" hidden="1" customWidth="1"/>
    <col min="44" max="44" width="14.85546875" style="55" hidden="1" customWidth="1"/>
    <col min="45" max="45" width="15.28515625" style="42" hidden="1" customWidth="1"/>
    <col min="46" max="46" width="15.28515625" style="55" hidden="1" customWidth="1"/>
    <col min="47" max="47" width="7.28515625" style="42" hidden="1" customWidth="1"/>
    <col min="48" max="48" width="14.85546875" style="55" hidden="1" customWidth="1"/>
    <col min="49" max="49" width="13.85546875" style="42" hidden="1" customWidth="1"/>
    <col min="50" max="50" width="13.85546875" style="47" hidden="1" customWidth="1"/>
    <col min="51" max="51" width="11.28515625" style="29" bestFit="1" customWidth="1"/>
    <col min="52" max="52" width="13.85546875" style="55" customWidth="1"/>
    <col min="53" max="53" width="16.28515625" style="30" bestFit="1" customWidth="1"/>
    <col min="54" max="54" width="62" hidden="1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5"/>
      <c r="AT1" s="9"/>
      <c r="AU1" s="45"/>
      <c r="AV1" s="9"/>
      <c r="AW1" s="45"/>
      <c r="AX1" s="3"/>
      <c r="AY1" s="7"/>
      <c r="AZ1" s="8"/>
      <c r="BA1" s="9"/>
    </row>
    <row r="2" spans="1:55" s="65" customFormat="1" ht="18.75" x14ac:dyDescent="0.3">
      <c r="A2" s="63"/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64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5"/>
      <c r="AT3" s="9"/>
      <c r="AU3" s="45"/>
      <c r="AV3" s="9"/>
      <c r="AW3" s="45"/>
      <c r="AX3" s="3"/>
      <c r="AY3" s="7"/>
      <c r="AZ3" s="8"/>
      <c r="BA3" s="9"/>
    </row>
    <row r="4" spans="1:55" x14ac:dyDescent="0.25">
      <c r="A4" s="164" t="s">
        <v>1</v>
      </c>
      <c r="B4" s="164"/>
      <c r="C4" s="139" t="s">
        <v>2</v>
      </c>
      <c r="D4" s="139"/>
      <c r="E4" s="139"/>
      <c r="F4" s="10"/>
      <c r="G4" s="10"/>
      <c r="H4" s="10"/>
      <c r="I4" s="10"/>
      <c r="J4" s="54"/>
      <c r="K4" s="10"/>
      <c r="L4" s="10"/>
      <c r="M4" s="11"/>
      <c r="N4" s="12"/>
      <c r="O4" s="13"/>
      <c r="P4" s="10"/>
      <c r="Q4" s="11"/>
      <c r="R4" s="10"/>
      <c r="S4" s="13"/>
      <c r="T4" s="54"/>
      <c r="U4" s="11"/>
      <c r="V4" s="10"/>
      <c r="W4" s="13"/>
      <c r="X4" s="54"/>
      <c r="Y4" s="13"/>
      <c r="Z4" s="10"/>
      <c r="AA4" s="13"/>
      <c r="AB4" s="54"/>
      <c r="AC4" s="13"/>
      <c r="AD4" s="10"/>
      <c r="AE4" s="13"/>
      <c r="AF4" s="54"/>
      <c r="AG4" s="13"/>
      <c r="AH4" s="10"/>
      <c r="AI4" s="13"/>
      <c r="AJ4" s="54"/>
      <c r="AK4" s="13"/>
      <c r="AL4" s="10"/>
      <c r="AM4" s="13"/>
      <c r="AN4" s="54"/>
      <c r="AO4" s="13"/>
      <c r="AP4" s="10"/>
      <c r="AQ4" s="13"/>
      <c r="AR4" s="54"/>
      <c r="AS4" s="41"/>
      <c r="AT4" s="54"/>
      <c r="AU4" s="41"/>
      <c r="AV4" s="54"/>
      <c r="AW4" s="41"/>
      <c r="AX4" s="10"/>
      <c r="AY4" s="13"/>
      <c r="AZ4" s="8"/>
      <c r="BA4" s="9"/>
    </row>
    <row r="5" spans="1:55" ht="15" customHeight="1" x14ac:dyDescent="0.25">
      <c r="A5" s="164" t="s">
        <v>3</v>
      </c>
      <c r="B5" s="164"/>
      <c r="C5" s="139" t="s">
        <v>4</v>
      </c>
      <c r="D5" s="139"/>
      <c r="E5" s="139"/>
      <c r="F5" s="10"/>
      <c r="G5" s="10"/>
      <c r="H5" s="10"/>
      <c r="I5" s="10"/>
      <c r="J5" s="54"/>
      <c r="K5" s="10"/>
      <c r="L5" s="10"/>
      <c r="M5" s="11"/>
      <c r="N5" s="12"/>
      <c r="O5" s="13"/>
      <c r="P5" s="10"/>
      <c r="Q5" s="11"/>
      <c r="R5" s="10"/>
      <c r="S5" s="13"/>
      <c r="T5" s="54"/>
      <c r="U5" s="11"/>
      <c r="V5" s="10"/>
      <c r="W5" s="13"/>
      <c r="X5" s="54"/>
      <c r="Y5" s="13"/>
      <c r="Z5" s="10"/>
      <c r="AA5" s="13"/>
      <c r="AB5" s="54"/>
      <c r="AC5" s="13"/>
      <c r="AD5" s="10"/>
      <c r="AE5" s="13"/>
      <c r="AF5" s="54"/>
      <c r="AG5" s="13"/>
      <c r="AH5" s="10"/>
      <c r="AI5" s="13"/>
      <c r="AJ5" s="54"/>
      <c r="AK5" s="13"/>
      <c r="AL5" s="10"/>
      <c r="AM5" s="13"/>
      <c r="AN5" s="54"/>
      <c r="AO5" s="13"/>
      <c r="AP5" s="10"/>
      <c r="AQ5" s="13"/>
      <c r="AR5" s="54"/>
      <c r="AS5" s="41"/>
      <c r="AT5" s="54"/>
      <c r="AU5" s="41"/>
      <c r="AV5" s="54"/>
      <c r="AW5" s="41"/>
      <c r="AX5" s="10"/>
      <c r="AY5" s="13"/>
      <c r="AZ5" s="8"/>
      <c r="BA5" s="9"/>
    </row>
    <row r="6" spans="1:55" x14ac:dyDescent="0.25">
      <c r="A6" s="164" t="s">
        <v>5</v>
      </c>
      <c r="B6" s="164"/>
      <c r="C6" s="140">
        <v>2022</v>
      </c>
      <c r="D6" s="141"/>
      <c r="E6" s="140"/>
      <c r="F6" s="10"/>
      <c r="G6" s="10"/>
      <c r="H6" s="10"/>
      <c r="I6" s="10"/>
      <c r="J6" s="54"/>
      <c r="K6" s="10"/>
      <c r="L6" s="10"/>
      <c r="M6" s="11"/>
      <c r="N6" s="12"/>
      <c r="O6" s="13"/>
      <c r="P6" s="10"/>
      <c r="Q6" s="11"/>
      <c r="R6" s="10"/>
      <c r="S6" s="13"/>
      <c r="T6" s="54"/>
      <c r="U6" s="11"/>
      <c r="V6" s="10"/>
      <c r="W6" s="13"/>
      <c r="X6" s="54"/>
      <c r="Y6" s="13"/>
      <c r="Z6" s="10"/>
      <c r="AA6" s="13"/>
      <c r="AB6" s="54"/>
      <c r="AC6" s="13"/>
      <c r="AD6" s="10"/>
      <c r="AE6" s="13"/>
      <c r="AF6" s="54"/>
      <c r="AG6" s="13"/>
      <c r="AH6" s="10"/>
      <c r="AI6" s="13"/>
      <c r="AJ6" s="54"/>
      <c r="AK6" s="13"/>
      <c r="AL6" s="10"/>
      <c r="AM6" s="13"/>
      <c r="AN6" s="54"/>
      <c r="AO6" s="13"/>
      <c r="AP6" s="10"/>
      <c r="AQ6" s="13"/>
      <c r="AR6" s="54"/>
      <c r="AS6" s="41"/>
      <c r="AT6" s="54"/>
      <c r="AU6" s="41"/>
      <c r="AV6" s="54"/>
      <c r="AW6" s="41"/>
      <c r="AX6" s="10"/>
      <c r="AY6" s="13"/>
      <c r="AZ6" s="8"/>
      <c r="BA6" s="9"/>
    </row>
    <row r="7" spans="1:55" x14ac:dyDescent="0.25">
      <c r="A7" s="164" t="s">
        <v>6</v>
      </c>
      <c r="B7" s="164"/>
      <c r="C7" s="140" t="s">
        <v>57</v>
      </c>
      <c r="D7" s="141"/>
      <c r="E7" s="140"/>
      <c r="F7" s="10"/>
      <c r="G7" s="10"/>
      <c r="H7" s="10"/>
      <c r="I7" s="10"/>
      <c r="J7" s="54"/>
      <c r="K7" s="10"/>
      <c r="L7" s="10"/>
      <c r="M7" s="11"/>
      <c r="N7" s="12"/>
      <c r="O7" s="13"/>
      <c r="P7" s="10"/>
      <c r="Q7" s="11"/>
      <c r="R7" s="10"/>
      <c r="S7" s="13"/>
      <c r="T7" s="54"/>
      <c r="U7" s="11"/>
      <c r="V7" s="10"/>
      <c r="W7" s="13"/>
      <c r="X7" s="54"/>
      <c r="Y7" s="13"/>
      <c r="Z7" s="10"/>
      <c r="AA7" s="13"/>
      <c r="AB7" s="54"/>
      <c r="AC7" s="13"/>
      <c r="AD7" s="10"/>
      <c r="AE7" s="13"/>
      <c r="AF7" s="54"/>
      <c r="AG7" s="13"/>
      <c r="AH7" s="10"/>
      <c r="AI7" s="13"/>
      <c r="AJ7" s="54"/>
      <c r="AK7" s="13"/>
      <c r="AL7" s="10"/>
      <c r="AM7" s="13"/>
      <c r="AN7" s="54"/>
      <c r="AO7" s="13"/>
      <c r="AP7" s="10"/>
      <c r="AQ7" s="13"/>
      <c r="AR7" s="54"/>
      <c r="AS7" s="41"/>
      <c r="AT7" s="54"/>
      <c r="AU7" s="41"/>
      <c r="AV7" s="54"/>
      <c r="AW7" s="41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4"/>
      <c r="K8" s="10"/>
      <c r="L8" s="10"/>
      <c r="M8" s="11"/>
      <c r="N8" s="12"/>
      <c r="O8" s="13"/>
      <c r="P8" s="10"/>
      <c r="Q8" s="11"/>
      <c r="R8" s="10"/>
      <c r="S8" s="13"/>
      <c r="T8" s="54"/>
      <c r="U8" s="11"/>
      <c r="V8" s="10"/>
      <c r="W8" s="13"/>
      <c r="X8" s="54"/>
      <c r="Y8" s="13"/>
      <c r="Z8" s="10"/>
      <c r="AA8" s="13"/>
      <c r="AB8" s="54"/>
      <c r="AC8" s="13"/>
      <c r="AD8" s="10"/>
      <c r="AE8" s="13"/>
      <c r="AF8" s="54"/>
      <c r="AG8" s="13"/>
      <c r="AH8" s="10"/>
      <c r="AI8" s="13"/>
      <c r="AJ8" s="54"/>
      <c r="AK8" s="13"/>
      <c r="AL8" s="10"/>
      <c r="AM8" s="13"/>
      <c r="AN8" s="54"/>
      <c r="AO8" s="13"/>
      <c r="AP8" s="10"/>
      <c r="AQ8" s="13"/>
      <c r="AR8" s="54"/>
      <c r="AS8" s="41"/>
      <c r="AT8" s="54"/>
      <c r="AU8" s="41"/>
      <c r="AV8" s="54"/>
      <c r="AW8" s="4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6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53</v>
      </c>
      <c r="Y9" s="20" t="s">
        <v>67</v>
      </c>
      <c r="Z9" s="16" t="s">
        <v>68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60</v>
      </c>
      <c r="AJ9" s="23" t="s">
        <v>61</v>
      </c>
      <c r="AK9" s="20" t="s">
        <v>64</v>
      </c>
      <c r="AL9" s="16" t="s">
        <v>65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4" t="s">
        <v>54</v>
      </c>
      <c r="AT9" s="23" t="s">
        <v>55</v>
      </c>
      <c r="AU9" s="44" t="s">
        <v>58</v>
      </c>
      <c r="AV9" s="23" t="s">
        <v>59</v>
      </c>
      <c r="AW9" s="44" t="s">
        <v>62</v>
      </c>
      <c r="AX9" s="16" t="s">
        <v>63</v>
      </c>
      <c r="AY9" s="20" t="s">
        <v>44</v>
      </c>
      <c r="AZ9" s="22" t="s">
        <v>45</v>
      </c>
      <c r="BA9" s="23" t="s">
        <v>46</v>
      </c>
      <c r="BB9" s="24" t="s">
        <v>47</v>
      </c>
      <c r="BC9" s="31"/>
    </row>
    <row r="10" spans="1:55" s="50" customFormat="1" ht="308.25" customHeight="1" thickBot="1" x14ac:dyDescent="0.3">
      <c r="A10" s="56">
        <v>1</v>
      </c>
      <c r="B10" s="56" t="s">
        <v>51</v>
      </c>
      <c r="C10" s="57" t="s">
        <v>49</v>
      </c>
      <c r="D10" s="56" t="s">
        <v>50</v>
      </c>
      <c r="E10" s="58" t="s">
        <v>52</v>
      </c>
      <c r="F10" s="56" t="s">
        <v>48</v>
      </c>
      <c r="G10" s="34"/>
      <c r="H10" s="34"/>
      <c r="I10" s="34"/>
      <c r="J10" s="53"/>
      <c r="K10" s="34"/>
      <c r="L10" s="35"/>
      <c r="M10" s="36"/>
      <c r="N10" s="32"/>
      <c r="O10" s="37"/>
      <c r="P10" s="32"/>
      <c r="Q10" s="38"/>
      <c r="R10" s="32"/>
      <c r="S10" s="37"/>
      <c r="T10" s="53"/>
      <c r="U10" s="38"/>
      <c r="V10" s="32"/>
      <c r="W10" s="37"/>
      <c r="X10" s="53">
        <f>+W10*AZ10</f>
        <v>0</v>
      </c>
      <c r="Y10" s="37"/>
      <c r="Z10" s="32"/>
      <c r="AA10" s="37">
        <v>12500</v>
      </c>
      <c r="AB10" s="53">
        <f>+AA10*AZ10</f>
        <v>10625000</v>
      </c>
      <c r="AC10" s="37"/>
      <c r="AD10" s="39"/>
      <c r="AE10" s="37"/>
      <c r="AF10" s="33"/>
      <c r="AG10" s="37"/>
      <c r="AH10" s="32"/>
      <c r="AI10" s="37"/>
      <c r="AJ10" s="53"/>
      <c r="AK10" s="37"/>
      <c r="AL10" s="32"/>
      <c r="AM10" s="37"/>
      <c r="AN10" s="53"/>
      <c r="AO10" s="37"/>
      <c r="AP10" s="32"/>
      <c r="AQ10" s="37"/>
      <c r="AR10" s="53"/>
      <c r="AS10" s="43"/>
      <c r="AT10" s="53"/>
      <c r="AU10" s="43"/>
      <c r="AV10" s="53"/>
      <c r="AW10" s="43"/>
      <c r="AX10" s="32"/>
      <c r="AY10" s="70">
        <f t="shared" ref="AY10" si="0">+AQ10+AO10+AM10+AK10+AI10+AG10+AE10+AC10+AA10+Y10+W10+U10+S10+Q10+O10+M10+K10+I10+AS10+G10+AU10+AW10</f>
        <v>12500</v>
      </c>
      <c r="AZ10" s="40">
        <v>850</v>
      </c>
      <c r="BA10" s="71">
        <f t="shared" ref="BA10" si="1">+AY10*AZ10</f>
        <v>10625000</v>
      </c>
      <c r="BB10" s="62" t="s">
        <v>56</v>
      </c>
      <c r="BC10" s="203"/>
    </row>
    <row r="11" spans="1:55" s="51" customFormat="1" ht="20.25" customHeight="1" thickBot="1" x14ac:dyDescent="0.25">
      <c r="A11" s="48"/>
      <c r="B11" s="26"/>
      <c r="C11" s="60"/>
      <c r="D11" s="26"/>
      <c r="E11" s="25" t="s">
        <v>66</v>
      </c>
      <c r="F11" s="26"/>
      <c r="G11" s="66"/>
      <c r="H11" s="66"/>
      <c r="I11" s="66"/>
      <c r="J11" s="72"/>
      <c r="K11" s="66"/>
      <c r="L11" s="77"/>
      <c r="M11" s="67"/>
      <c r="N11" s="61"/>
      <c r="O11" s="73"/>
      <c r="P11" s="61"/>
      <c r="Q11" s="75"/>
      <c r="R11" s="61"/>
      <c r="S11" s="73"/>
      <c r="T11" s="72"/>
      <c r="U11" s="75"/>
      <c r="V11" s="61"/>
      <c r="W11" s="73"/>
      <c r="X11" s="72"/>
      <c r="Y11" s="73"/>
      <c r="Z11" s="61"/>
      <c r="AA11" s="73"/>
      <c r="AB11" s="72"/>
      <c r="AC11" s="73"/>
      <c r="AD11" s="74"/>
      <c r="AE11" s="73"/>
      <c r="AF11" s="49"/>
      <c r="AG11" s="73"/>
      <c r="AH11" s="61"/>
      <c r="AI11" s="73"/>
      <c r="AJ11" s="72"/>
      <c r="AK11" s="73"/>
      <c r="AL11" s="61"/>
      <c r="AM11" s="73"/>
      <c r="AN11" s="72"/>
      <c r="AO11" s="73"/>
      <c r="AP11" s="61"/>
      <c r="AQ11" s="73"/>
      <c r="AR11" s="72"/>
      <c r="AS11" s="76"/>
      <c r="AT11" s="72"/>
      <c r="AU11" s="76"/>
      <c r="AV11" s="72"/>
      <c r="AW11" s="76"/>
      <c r="AX11" s="61"/>
      <c r="AY11" s="52"/>
      <c r="AZ11" s="68"/>
      <c r="BA11" s="59">
        <f>SUM(BA10)</f>
        <v>10625000</v>
      </c>
      <c r="BB11" s="69"/>
    </row>
    <row r="14" spans="1:55" ht="15.75" thickBot="1" x14ac:dyDescent="0.3"/>
    <row r="15" spans="1:55" ht="45" x14ac:dyDescent="0.25">
      <c r="C15" s="127" t="s">
        <v>106</v>
      </c>
      <c r="D15" s="158" t="s">
        <v>107</v>
      </c>
      <c r="E15" s="159"/>
    </row>
    <row r="16" spans="1:55" x14ac:dyDescent="0.25">
      <c r="C16" s="128"/>
      <c r="D16" s="129"/>
      <c r="E16" s="130"/>
    </row>
    <row r="17" spans="3:5" x14ac:dyDescent="0.25">
      <c r="C17" s="128" t="s">
        <v>108</v>
      </c>
      <c r="D17" s="160" t="s">
        <v>109</v>
      </c>
      <c r="E17" s="161"/>
    </row>
    <row r="18" spans="3:5" x14ac:dyDescent="0.25">
      <c r="C18" s="128"/>
      <c r="D18" s="131"/>
      <c r="E18" s="130"/>
    </row>
    <row r="19" spans="3:5" ht="42" customHeight="1" x14ac:dyDescent="0.25">
      <c r="C19" s="128" t="s">
        <v>110</v>
      </c>
      <c r="D19" s="162" t="s">
        <v>111</v>
      </c>
      <c r="E19" s="163"/>
    </row>
    <row r="20" spans="3:5" x14ac:dyDescent="0.25">
      <c r="C20" s="128"/>
      <c r="D20" s="132"/>
      <c r="E20" s="130"/>
    </row>
    <row r="21" spans="3:5" x14ac:dyDescent="0.25">
      <c r="C21" s="133" t="s">
        <v>112</v>
      </c>
      <c r="D21" s="134"/>
      <c r="E21" s="130"/>
    </row>
    <row r="22" spans="3:5" x14ac:dyDescent="0.25">
      <c r="C22" s="133"/>
      <c r="D22" s="134"/>
      <c r="E22" s="130"/>
    </row>
    <row r="23" spans="3:5" x14ac:dyDescent="0.25">
      <c r="C23" s="133" t="s">
        <v>113</v>
      </c>
      <c r="D23" s="135" t="s">
        <v>114</v>
      </c>
      <c r="E23" s="130"/>
    </row>
    <row r="24" spans="3:5" ht="15.75" thickBot="1" x14ac:dyDescent="0.3">
      <c r="C24" s="136"/>
      <c r="D24" s="137"/>
      <c r="E24" s="138"/>
    </row>
  </sheetData>
  <mergeCells count="8">
    <mergeCell ref="D15:E15"/>
    <mergeCell ref="D17:E17"/>
    <mergeCell ref="D19:E19"/>
    <mergeCell ref="A7:B7"/>
    <mergeCell ref="B2:AZ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C12" sqref="C12:G12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3.5703125" customWidth="1"/>
    <col min="8" max="8" width="9.28515625" customWidth="1"/>
    <col min="9" max="9" width="15.5703125" customWidth="1"/>
    <col min="10" max="10" width="14.7109375" style="153" customWidth="1"/>
    <col min="11" max="11" width="15.5703125" customWidth="1"/>
  </cols>
  <sheetData>
    <row r="1" spans="1:11" ht="30.75" thickBot="1" x14ac:dyDescent="0.3">
      <c r="A1" s="167" t="s">
        <v>69</v>
      </c>
      <c r="B1" s="167"/>
      <c r="C1" s="167"/>
      <c r="D1" s="167"/>
      <c r="E1" s="167"/>
      <c r="F1" s="167"/>
      <c r="G1" s="167"/>
      <c r="H1" s="167"/>
      <c r="I1" s="167"/>
      <c r="J1" s="148" t="s">
        <v>70</v>
      </c>
      <c r="K1" s="78" t="s">
        <v>119</v>
      </c>
    </row>
    <row r="2" spans="1:11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149"/>
      <c r="K2" s="82"/>
    </row>
    <row r="3" spans="1:11" ht="16.5" customHeight="1" thickBot="1" x14ac:dyDescent="0.3">
      <c r="A3" s="168" t="s">
        <v>71</v>
      </c>
      <c r="B3" s="168"/>
      <c r="C3" s="168"/>
      <c r="D3" s="154" t="str">
        <f>'SAF 011'!C4</f>
        <v>040 - MINISTERIO DE SALUD</v>
      </c>
      <c r="E3" s="155"/>
      <c r="F3" s="155"/>
      <c r="G3" s="155"/>
      <c r="H3" s="155"/>
      <c r="I3" s="155"/>
      <c r="J3" s="155"/>
      <c r="K3" s="156"/>
    </row>
    <row r="4" spans="1:11" ht="16.5" customHeight="1" thickBot="1" x14ac:dyDescent="0.3">
      <c r="A4" s="166" t="s">
        <v>72</v>
      </c>
      <c r="B4" s="166"/>
      <c r="C4" s="166"/>
      <c r="D4" s="154" t="str">
        <f>'SAF 011'!C5</f>
        <v>011 - DIRECCION PROVINCIAL DE ADMINISTRACION - MINISTERIO DE SALUD</v>
      </c>
      <c r="E4" s="155"/>
      <c r="F4" s="155"/>
      <c r="G4" s="155"/>
      <c r="H4" s="155"/>
      <c r="I4" s="155"/>
      <c r="J4" s="155"/>
      <c r="K4" s="156"/>
    </row>
    <row r="5" spans="1:11" ht="16.5" customHeight="1" thickBot="1" x14ac:dyDescent="0.3">
      <c r="A5" s="166" t="s">
        <v>73</v>
      </c>
      <c r="B5" s="166"/>
      <c r="C5" s="166"/>
      <c r="D5" s="154" t="s">
        <v>115</v>
      </c>
      <c r="E5" s="155"/>
      <c r="F5" s="155"/>
      <c r="G5" s="155"/>
      <c r="H5" s="155"/>
      <c r="I5" s="155"/>
      <c r="J5" s="155"/>
      <c r="K5" s="156"/>
    </row>
    <row r="6" spans="1:11" ht="16.5" customHeight="1" thickBot="1" x14ac:dyDescent="0.3">
      <c r="A6" s="168" t="s">
        <v>74</v>
      </c>
      <c r="B6" s="168"/>
      <c r="C6" s="168"/>
      <c r="D6" s="154" t="s">
        <v>115</v>
      </c>
      <c r="E6" s="155"/>
      <c r="F6" s="155"/>
      <c r="G6" s="155"/>
      <c r="H6" s="155"/>
      <c r="I6" s="155"/>
      <c r="J6" s="155"/>
      <c r="K6" s="156"/>
    </row>
    <row r="7" spans="1:11" ht="16.5" thickBot="1" x14ac:dyDescent="0.3">
      <c r="A7" s="166" t="s">
        <v>75</v>
      </c>
      <c r="B7" s="166"/>
      <c r="C7" s="166"/>
      <c r="D7" s="154" t="s">
        <v>116</v>
      </c>
      <c r="E7" s="155"/>
      <c r="F7" s="155"/>
      <c r="G7" s="155"/>
      <c r="H7" s="155"/>
      <c r="I7" s="155"/>
      <c r="J7" s="155"/>
      <c r="K7" s="156"/>
    </row>
    <row r="8" spans="1:11" ht="16.5" customHeight="1" thickBot="1" x14ac:dyDescent="0.3">
      <c r="A8" s="169" t="s">
        <v>76</v>
      </c>
      <c r="B8" s="169"/>
      <c r="C8" s="169"/>
      <c r="D8" s="157" t="s">
        <v>117</v>
      </c>
      <c r="E8" s="155"/>
      <c r="F8" s="155"/>
      <c r="G8" s="155"/>
      <c r="H8" s="155"/>
      <c r="I8" s="155"/>
      <c r="J8" s="155"/>
      <c r="K8" s="156"/>
    </row>
    <row r="9" spans="1:11" ht="16.5" thickBot="1" x14ac:dyDescent="0.3">
      <c r="A9" s="83"/>
      <c r="B9" s="84"/>
      <c r="C9" s="84"/>
      <c r="D9" s="85"/>
      <c r="E9" s="85"/>
      <c r="F9" s="85"/>
      <c r="G9" s="85"/>
      <c r="H9" s="85"/>
      <c r="I9" s="85"/>
      <c r="J9" s="150"/>
      <c r="K9" s="86"/>
    </row>
    <row r="10" spans="1:11" ht="15.75" thickBot="1" x14ac:dyDescent="0.3">
      <c r="A10" s="170" t="s">
        <v>77</v>
      </c>
      <c r="B10" s="171" t="s">
        <v>78</v>
      </c>
      <c r="C10" s="171" t="s">
        <v>79</v>
      </c>
      <c r="D10" s="171"/>
      <c r="E10" s="171"/>
      <c r="F10" s="171"/>
      <c r="G10" s="171"/>
      <c r="H10" s="171" t="s">
        <v>80</v>
      </c>
      <c r="I10" s="171" t="s">
        <v>81</v>
      </c>
      <c r="J10" s="174" t="s">
        <v>82</v>
      </c>
      <c r="K10" s="172" t="s">
        <v>83</v>
      </c>
    </row>
    <row r="11" spans="1:11" ht="28.5" customHeight="1" thickBot="1" x14ac:dyDescent="0.3">
      <c r="A11" s="170"/>
      <c r="B11" s="171"/>
      <c r="C11" s="171"/>
      <c r="D11" s="171"/>
      <c r="E11" s="171"/>
      <c r="F11" s="171"/>
      <c r="G11" s="171"/>
      <c r="H11" s="171"/>
      <c r="I11" s="171"/>
      <c r="J11" s="174"/>
      <c r="K11" s="172"/>
    </row>
    <row r="12" spans="1:11" ht="52.5" customHeight="1" x14ac:dyDescent="0.25">
      <c r="A12" s="87">
        <v>1</v>
      </c>
      <c r="B12" s="147" t="str">
        <f>'SAF 011'!B10</f>
        <v>2.1.1-705.137</v>
      </c>
      <c r="C12" s="173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3"/>
      <c r="E12" s="173"/>
      <c r="F12" s="173"/>
      <c r="G12" s="173"/>
      <c r="H12" s="88" t="s">
        <v>118</v>
      </c>
      <c r="I12" s="89" t="str">
        <f>'SAF 011'!F10</f>
        <v>UNIDAD</v>
      </c>
      <c r="J12" s="151">
        <f>'SAF 011'!AZ10</f>
        <v>850</v>
      </c>
      <c r="K12" s="90">
        <f>'SAF 011'!AA10</f>
        <v>12500</v>
      </c>
    </row>
    <row r="13" spans="1:11" ht="16.5" thickBot="1" x14ac:dyDescent="0.3">
      <c r="A13" s="142"/>
      <c r="B13" s="143"/>
      <c r="C13" s="178"/>
      <c r="D13" s="178"/>
      <c r="E13" s="178"/>
      <c r="F13" s="178"/>
      <c r="G13" s="178"/>
      <c r="H13" s="144"/>
      <c r="I13" s="145"/>
      <c r="J13" s="152"/>
      <c r="K13" s="146"/>
    </row>
    <row r="14" spans="1:11" ht="19.5" thickBot="1" x14ac:dyDescent="0.3">
      <c r="A14" s="175" t="s">
        <v>120</v>
      </c>
      <c r="B14" s="175"/>
      <c r="C14" s="175"/>
      <c r="D14" s="175"/>
      <c r="E14" s="175"/>
      <c r="F14" s="175"/>
      <c r="G14" s="175"/>
      <c r="H14" s="175"/>
      <c r="I14" s="175"/>
      <c r="J14" s="176">
        <f>+J12*K12</f>
        <v>10625000</v>
      </c>
      <c r="K14" s="177"/>
    </row>
  </sheetData>
  <mergeCells count="18">
    <mergeCell ref="A14:I14"/>
    <mergeCell ref="J14:K14"/>
    <mergeCell ref="C13:G13"/>
    <mergeCell ref="H10:H11"/>
    <mergeCell ref="K10:K11"/>
    <mergeCell ref="C12:G12"/>
    <mergeCell ref="I10:I11"/>
    <mergeCell ref="J10:J11"/>
    <mergeCell ref="A7:C7"/>
    <mergeCell ref="A8:C8"/>
    <mergeCell ref="A10:A11"/>
    <mergeCell ref="B10:B11"/>
    <mergeCell ref="C10:G11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A43" sqref="A43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0" t="s">
        <v>5</v>
      </c>
      <c r="B1" s="180"/>
      <c r="C1" s="180"/>
      <c r="D1" s="181">
        <v>2022</v>
      </c>
      <c r="E1" s="181"/>
      <c r="F1" s="91"/>
      <c r="G1" s="91"/>
      <c r="H1" s="92"/>
      <c r="I1" s="92"/>
      <c r="J1" s="92"/>
      <c r="K1" s="92"/>
      <c r="L1" s="92"/>
      <c r="M1" s="92"/>
      <c r="N1" s="92"/>
      <c r="O1" s="93"/>
      <c r="P1" s="182" t="s">
        <v>84</v>
      </c>
      <c r="Q1" s="182"/>
    </row>
    <row r="2" spans="1:17" ht="15.75" thickBot="1" x14ac:dyDescent="0.3">
      <c r="A2" s="94"/>
      <c r="B2" s="95"/>
      <c r="C2" s="95"/>
      <c r="D2" s="95"/>
      <c r="E2" s="95"/>
      <c r="F2" s="95"/>
      <c r="G2" s="96"/>
      <c r="H2" s="97"/>
      <c r="I2" s="97"/>
      <c r="J2" s="97"/>
      <c r="K2" s="97"/>
      <c r="L2" s="97"/>
      <c r="M2" s="97"/>
      <c r="N2" s="97"/>
      <c r="O2" s="95"/>
      <c r="P2" s="182"/>
      <c r="Q2" s="182"/>
    </row>
    <row r="3" spans="1:17" ht="15.75" thickBot="1" x14ac:dyDescent="0.3">
      <c r="A3" s="94"/>
      <c r="B3" s="95"/>
      <c r="C3" s="95"/>
      <c r="D3" s="95"/>
      <c r="E3" s="95"/>
      <c r="F3" s="95"/>
      <c r="G3" s="96"/>
      <c r="H3" s="95"/>
      <c r="I3" s="95"/>
      <c r="J3" s="95"/>
      <c r="K3" s="95"/>
      <c r="L3" s="95"/>
      <c r="M3" s="95"/>
      <c r="N3" s="95"/>
      <c r="O3" s="95"/>
      <c r="P3" s="95"/>
      <c r="Q3" s="98"/>
    </row>
    <row r="4" spans="1:17" ht="15.75" thickBot="1" x14ac:dyDescent="0.3">
      <c r="A4" s="183" t="s">
        <v>85</v>
      </c>
      <c r="B4" s="183"/>
      <c r="C4" s="183"/>
      <c r="D4" s="183"/>
      <c r="E4" s="183"/>
      <c r="F4" s="183"/>
      <c r="G4" s="184" t="str">
        <f>NP!D3</f>
        <v>040 - MINISTERIO DE SALUD</v>
      </c>
      <c r="H4" s="184"/>
      <c r="I4" s="184"/>
      <c r="J4" s="184"/>
      <c r="K4" s="184"/>
      <c r="L4" s="184"/>
      <c r="M4" s="184"/>
      <c r="N4" s="184"/>
      <c r="O4" s="184"/>
      <c r="P4" s="184"/>
      <c r="Q4" s="184"/>
    </row>
    <row r="5" spans="1:17" ht="15.75" thickBot="1" x14ac:dyDescent="0.3">
      <c r="A5" s="185" t="s">
        <v>72</v>
      </c>
      <c r="B5" s="185"/>
      <c r="C5" s="185"/>
      <c r="D5" s="185"/>
      <c r="E5" s="185"/>
      <c r="F5" s="185"/>
      <c r="G5" s="184" t="str">
        <f>NP!D4</f>
        <v>011 - DIRECCION PROVINCIAL DE ADMINISTRACION - MINISTERIO DE SALUD</v>
      </c>
      <c r="H5" s="184"/>
      <c r="I5" s="184"/>
      <c r="J5" s="184"/>
      <c r="K5" s="184"/>
      <c r="L5" s="184"/>
      <c r="M5" s="184"/>
      <c r="N5" s="184"/>
      <c r="O5" s="184"/>
      <c r="P5" s="184"/>
      <c r="Q5" s="184"/>
    </row>
    <row r="6" spans="1:17" ht="15.75" thickBot="1" x14ac:dyDescent="0.3">
      <c r="A6" s="185" t="s">
        <v>73</v>
      </c>
      <c r="B6" s="185"/>
      <c r="C6" s="185"/>
      <c r="D6" s="185"/>
      <c r="E6" s="185"/>
      <c r="F6" s="185"/>
      <c r="G6" s="184" t="str">
        <f>NP!D5</f>
        <v>DIRECCION PROVINCIAL DE MATERNIDAD, INFANCIA Y ADOLESCENCIA</v>
      </c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5.75" thickBot="1" x14ac:dyDescent="0.3">
      <c r="A7" s="185" t="s">
        <v>74</v>
      </c>
      <c r="B7" s="185"/>
      <c r="C7" s="185"/>
      <c r="D7" s="185"/>
      <c r="E7" s="185"/>
      <c r="F7" s="185"/>
      <c r="G7" s="184" t="str">
        <f>NP!D6</f>
        <v>DIRECCION PROVINCIAL DE MATERNIDAD, INFANCIA Y ADOLESCENCIA</v>
      </c>
      <c r="H7" s="184"/>
      <c r="I7" s="184"/>
      <c r="J7" s="184"/>
      <c r="K7" s="184"/>
      <c r="L7" s="184"/>
      <c r="M7" s="184"/>
      <c r="N7" s="184"/>
      <c r="O7" s="184"/>
      <c r="P7" s="184"/>
      <c r="Q7" s="184"/>
    </row>
    <row r="8" spans="1:17" ht="15.75" thickBot="1" x14ac:dyDescent="0.3">
      <c r="A8" s="186" t="s">
        <v>86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</row>
    <row r="9" spans="1:17" ht="27.75" customHeight="1" x14ac:dyDescent="0.25">
      <c r="A9" s="179" t="s">
        <v>87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ht="57" customHeight="1" x14ac:dyDescent="0.25">
      <c r="A10" s="188" t="s">
        <v>121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thickBot="1" x14ac:dyDescent="0.3">
      <c r="A12" s="189" t="s">
        <v>88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89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90</v>
      </c>
      <c r="P13" s="191"/>
      <c r="Q13" s="192" t="s">
        <v>91</v>
      </c>
    </row>
    <row r="14" spans="1:17" ht="15.75" thickBot="1" x14ac:dyDescent="0.3">
      <c r="A14" s="103" t="s">
        <v>92</v>
      </c>
      <c r="B14" s="104" t="s">
        <v>93</v>
      </c>
      <c r="C14" s="104" t="s">
        <v>94</v>
      </c>
      <c r="D14" s="104" t="s">
        <v>95</v>
      </c>
      <c r="E14" s="104" t="s">
        <v>96</v>
      </c>
      <c r="F14" s="104" t="s">
        <v>97</v>
      </c>
      <c r="G14" s="105" t="s">
        <v>98</v>
      </c>
      <c r="H14" s="104" t="s">
        <v>99</v>
      </c>
      <c r="I14" s="104" t="s">
        <v>100</v>
      </c>
      <c r="J14" s="104" t="s">
        <v>101</v>
      </c>
      <c r="K14" s="104" t="s">
        <v>101</v>
      </c>
      <c r="L14" s="104" t="s">
        <v>102</v>
      </c>
      <c r="M14" s="106" t="s">
        <v>103</v>
      </c>
      <c r="N14" s="107" t="s">
        <v>104</v>
      </c>
      <c r="O14" s="191"/>
      <c r="P14" s="191"/>
      <c r="Q14" s="192"/>
    </row>
    <row r="15" spans="1:17" x14ac:dyDescent="0.25">
      <c r="A15" s="108">
        <v>20</v>
      </c>
      <c r="B15" s="109"/>
      <c r="C15" s="109"/>
      <c r="D15" s="109">
        <v>3</v>
      </c>
      <c r="E15" s="109"/>
      <c r="F15" s="109">
        <v>4901</v>
      </c>
      <c r="G15" s="109">
        <v>3</v>
      </c>
      <c r="H15" s="109">
        <v>1</v>
      </c>
      <c r="I15" s="109">
        <v>2</v>
      </c>
      <c r="J15" s="109">
        <v>1</v>
      </c>
      <c r="K15" s="109">
        <v>1</v>
      </c>
      <c r="L15" s="109"/>
      <c r="M15" s="110">
        <v>1</v>
      </c>
      <c r="N15" s="109" t="s">
        <v>122</v>
      </c>
      <c r="O15" s="193" t="s">
        <v>123</v>
      </c>
      <c r="P15" s="193"/>
      <c r="Q15" s="111">
        <f>NP!J14</f>
        <v>10625000</v>
      </c>
    </row>
    <row r="16" spans="1:17" x14ac:dyDescent="0.25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15"/>
      <c r="O16" s="194"/>
      <c r="P16" s="194"/>
      <c r="Q16" s="116"/>
    </row>
    <row r="17" spans="1:17" x14ac:dyDescent="0.25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5"/>
      <c r="O17" s="195"/>
      <c r="P17" s="195"/>
      <c r="Q17" s="116"/>
    </row>
    <row r="18" spans="1:17" x14ac:dyDescent="0.25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5"/>
      <c r="O18" s="187"/>
      <c r="P18" s="187"/>
      <c r="Q18" s="116"/>
    </row>
    <row r="19" spans="1:17" x14ac:dyDescent="0.25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5"/>
      <c r="O19" s="187"/>
      <c r="P19" s="187"/>
      <c r="Q19" s="116"/>
    </row>
    <row r="20" spans="1:17" x14ac:dyDescent="0.25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115"/>
      <c r="O20" s="187"/>
      <c r="P20" s="187"/>
      <c r="Q20" s="116"/>
    </row>
    <row r="21" spans="1:17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5"/>
      <c r="O21" s="187"/>
      <c r="P21" s="187"/>
      <c r="Q21" s="116"/>
    </row>
    <row r="22" spans="1:17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5"/>
      <c r="O22" s="187"/>
      <c r="P22" s="187"/>
      <c r="Q22" s="116"/>
    </row>
    <row r="23" spans="1:17" x14ac:dyDescent="0.25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115"/>
      <c r="O23" s="187"/>
      <c r="P23" s="187"/>
      <c r="Q23" s="116"/>
    </row>
    <row r="24" spans="1:17" x14ac:dyDescent="0.2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15"/>
      <c r="O24" s="187"/>
      <c r="P24" s="187"/>
      <c r="Q24" s="116"/>
    </row>
    <row r="25" spans="1:17" x14ac:dyDescent="0.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15"/>
      <c r="O25" s="187"/>
      <c r="P25" s="187"/>
      <c r="Q25" s="116"/>
    </row>
    <row r="26" spans="1:17" x14ac:dyDescent="0.2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5"/>
      <c r="O26" s="187"/>
      <c r="P26" s="187"/>
      <c r="Q26" s="116"/>
    </row>
    <row r="27" spans="1:17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5"/>
      <c r="O27" s="187"/>
      <c r="P27" s="187"/>
      <c r="Q27" s="116"/>
    </row>
    <row r="28" spans="1:17" x14ac:dyDescent="0.25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15"/>
      <c r="O28" s="187"/>
      <c r="P28" s="187"/>
      <c r="Q28" s="116"/>
    </row>
    <row r="29" spans="1:17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15"/>
      <c r="O29" s="187"/>
      <c r="P29" s="187"/>
      <c r="Q29" s="116"/>
    </row>
    <row r="30" spans="1:17" x14ac:dyDescent="0.25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15"/>
      <c r="O30" s="187"/>
      <c r="P30" s="187"/>
      <c r="Q30" s="116"/>
    </row>
    <row r="31" spans="1:17" x14ac:dyDescent="0.25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15"/>
      <c r="O31" s="187"/>
      <c r="P31" s="187"/>
      <c r="Q31" s="116"/>
    </row>
    <row r="32" spans="1:17" x14ac:dyDescent="0.25">
      <c r="A32" s="112"/>
      <c r="B32" s="113"/>
      <c r="C32" s="113"/>
      <c r="D32" s="113"/>
      <c r="E32" s="113"/>
      <c r="F32" s="115"/>
      <c r="G32" s="113"/>
      <c r="H32" s="113"/>
      <c r="I32" s="113"/>
      <c r="J32" s="113"/>
      <c r="K32" s="113"/>
      <c r="L32" s="113"/>
      <c r="M32" s="114"/>
      <c r="N32" s="115"/>
      <c r="O32" s="194"/>
      <c r="P32" s="194"/>
      <c r="Q32" s="116"/>
    </row>
    <row r="33" spans="1:17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15"/>
      <c r="O33" s="194"/>
      <c r="P33" s="194"/>
      <c r="Q33" s="116"/>
    </row>
    <row r="34" spans="1:17" x14ac:dyDescent="0.25">
      <c r="A34" s="112"/>
      <c r="B34" s="113"/>
      <c r="C34" s="113"/>
      <c r="D34" s="113"/>
      <c r="E34" s="113"/>
      <c r="F34" s="115"/>
      <c r="G34" s="113"/>
      <c r="H34" s="113"/>
      <c r="I34" s="113"/>
      <c r="J34" s="113"/>
      <c r="K34" s="113"/>
      <c r="L34" s="113"/>
      <c r="M34" s="114"/>
      <c r="N34" s="115"/>
      <c r="O34" s="194"/>
      <c r="P34" s="194"/>
      <c r="Q34" s="116"/>
    </row>
    <row r="35" spans="1:17" x14ac:dyDescent="0.25">
      <c r="A35" s="112"/>
      <c r="B35" s="113"/>
      <c r="C35" s="113"/>
      <c r="D35" s="113"/>
      <c r="E35" s="113"/>
      <c r="F35" s="115"/>
      <c r="G35" s="113"/>
      <c r="H35" s="113"/>
      <c r="I35" s="113"/>
      <c r="J35" s="113"/>
      <c r="K35" s="113"/>
      <c r="L35" s="113"/>
      <c r="M35" s="114"/>
      <c r="N35" s="115"/>
      <c r="O35" s="194"/>
      <c r="P35" s="194"/>
      <c r="Q35" s="116"/>
    </row>
    <row r="36" spans="1:17" x14ac:dyDescent="0.25">
      <c r="A36" s="117"/>
      <c r="B36" s="118"/>
      <c r="C36" s="118"/>
      <c r="D36" s="118"/>
      <c r="E36" s="118"/>
      <c r="F36" s="119"/>
      <c r="G36" s="118"/>
      <c r="H36" s="118"/>
      <c r="I36" s="118"/>
      <c r="J36" s="118"/>
      <c r="K36" s="118"/>
      <c r="L36" s="118"/>
      <c r="M36" s="120"/>
      <c r="N36" s="121"/>
      <c r="O36" s="199"/>
      <c r="P36" s="199"/>
      <c r="Q36" s="116"/>
    </row>
    <row r="37" spans="1:17" ht="15.75" thickBo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123"/>
      <c r="O37" s="200"/>
      <c r="P37" s="200"/>
      <c r="Q37" s="125"/>
    </row>
    <row r="38" spans="1:17" ht="15.75" thickBot="1" x14ac:dyDescent="0.3">
      <c r="A38" s="201" t="s">
        <v>124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126">
        <f>SUM(Q15:Q37)</f>
        <v>10625000</v>
      </c>
    </row>
    <row r="39" spans="1:17" ht="15.75" thickBot="1" x14ac:dyDescent="0.3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</row>
    <row r="40" spans="1:17" ht="15.75" thickBot="1" x14ac:dyDescent="0.3">
      <c r="A40" s="196" t="s">
        <v>105</v>
      </c>
      <c r="B40" s="196"/>
      <c r="C40" s="196"/>
      <c r="D40" s="196"/>
      <c r="E40" s="196"/>
      <c r="F40" s="196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</row>
    <row r="41" spans="1:17" ht="15.75" thickBot="1" x14ac:dyDescent="0.3">
      <c r="A41" s="198" t="str">
        <f>NP!D8</f>
        <v>ADQ. DEL RUBRO ALIMENTOS PARA PERSONAS (LECHE FORTIFICADA)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</row>
    <row r="42" spans="1:17" ht="15.75" thickBot="1" x14ac:dyDescent="0.3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2022-07-04T15:16:55Z</dcterms:modified>
</cp:coreProperties>
</file>