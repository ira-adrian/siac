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mc:AlternateContent xmlns:mc="http://schemas.openxmlformats.org/markup-compatibility/2006">
    <mc:Choice Requires="x15">
      <x15ac:absPath xmlns:x15ac="http://schemas.microsoft.com/office/spreadsheetml/2010/11/ac" url="C:\Users\COMPRAS\Downloads\"/>
    </mc:Choice>
  </mc:AlternateContent>
  <xr:revisionPtr revIDLastSave="0" documentId="8_{21C1A764-3D66-47BD-A80F-ED3F992A87F3}" xr6:coauthVersionLast="47" xr6:coauthVersionMax="47" xr10:uidLastSave="{00000000-0000-0000-0000-000000000000}"/>
  <bookViews>
    <workbookView xWindow="-120" yWindow="-120" windowWidth="29040" windowHeight="15840" activeTab="2" xr2:uid="{00000000-000D-0000-FFFF-FFFF00000000}"/>
  </bookViews>
  <sheets>
    <sheet name="Necesidades Trimestrales" sheetId="1" r:id="rId1"/>
    <sheet name="Nota de Pedido" sheetId="2" r:id="rId2"/>
    <sheet name="Auto Gastar" sheetId="3" r:id="rId3"/>
  </sheets>
  <externalReferences>
    <externalReference r:id="rId4"/>
  </externalReferences>
  <definedNames>
    <definedName name="_xlnm.Print_Area" localSheetId="0">'Necesidades Trimestrales'!$A$1:$I$404</definedName>
  </definedNames>
  <calcPr calcId="181029"/>
</workbook>
</file>

<file path=xl/calcChain.xml><?xml version="1.0" encoding="utf-8"?>
<calcChain xmlns="http://schemas.openxmlformats.org/spreadsheetml/2006/main">
  <c r="K13" i="2" l="1"/>
  <c r="K14" i="2"/>
  <c r="K15" i="2"/>
  <c r="K16" i="2"/>
  <c r="K17" i="2"/>
  <c r="K18" i="2"/>
  <c r="K19" i="2"/>
  <c r="K20" i="2"/>
  <c r="K21" i="2"/>
  <c r="K22" i="2"/>
  <c r="K23" i="2"/>
  <c r="K24" i="2"/>
  <c r="K25" i="2"/>
  <c r="K26" i="2"/>
  <c r="K27" i="2"/>
  <c r="K12" i="2"/>
  <c r="J13" i="2"/>
  <c r="J14" i="2"/>
  <c r="J15" i="2"/>
  <c r="J16" i="2"/>
  <c r="J17" i="2"/>
  <c r="J18" i="2"/>
  <c r="J19" i="2"/>
  <c r="J20" i="2"/>
  <c r="J21" i="2"/>
  <c r="J22" i="2"/>
  <c r="J23" i="2"/>
  <c r="J24" i="2"/>
  <c r="J25" i="2"/>
  <c r="J26" i="2"/>
  <c r="J27" i="2"/>
  <c r="J12" i="2"/>
  <c r="C13" i="2"/>
  <c r="C14" i="2"/>
  <c r="C15" i="2"/>
  <c r="C16" i="2"/>
  <c r="C17" i="2"/>
  <c r="C18" i="2"/>
  <c r="C19" i="2"/>
  <c r="C20" i="2"/>
  <c r="C21" i="2"/>
  <c r="C22" i="2"/>
  <c r="C23" i="2"/>
  <c r="C24" i="2"/>
  <c r="C25" i="2"/>
  <c r="C26" i="2"/>
  <c r="C27" i="2"/>
  <c r="C12" i="2"/>
  <c r="B13" i="2"/>
  <c r="B14" i="2"/>
  <c r="B15" i="2"/>
  <c r="B16" i="2"/>
  <c r="B17" i="2"/>
  <c r="B18" i="2"/>
  <c r="B19" i="2"/>
  <c r="B20" i="2"/>
  <c r="B21" i="2"/>
  <c r="B22" i="2"/>
  <c r="B23" i="2"/>
  <c r="B24" i="2"/>
  <c r="B25" i="2"/>
  <c r="B26" i="2"/>
  <c r="B27" i="2"/>
  <c r="B12" i="2"/>
  <c r="Q23" i="3"/>
  <c r="G7" i="3"/>
  <c r="G5" i="3"/>
  <c r="G4" i="3"/>
  <c r="D1" i="3"/>
  <c r="J28" i="2" l="1"/>
  <c r="D179" i="1"/>
  <c r="I179" i="1"/>
  <c r="I174" i="1" l="1"/>
  <c r="I175" i="1"/>
  <c r="I176" i="1"/>
  <c r="I177" i="1"/>
  <c r="I178" i="1"/>
  <c r="I180" i="1"/>
  <c r="I181" i="1"/>
  <c r="I182" i="1"/>
  <c r="I183" i="1"/>
  <c r="I184" i="1"/>
  <c r="I185" i="1"/>
  <c r="I186" i="1"/>
  <c r="I187" i="1"/>
  <c r="I188" i="1"/>
  <c r="I189" i="1"/>
  <c r="D174" i="1"/>
  <c r="D175" i="1"/>
  <c r="D176" i="1"/>
  <c r="D177" i="1"/>
  <c r="D178" i="1"/>
  <c r="D180" i="1"/>
  <c r="D181" i="1"/>
  <c r="D182" i="1"/>
  <c r="D183" i="1"/>
  <c r="D184" i="1"/>
  <c r="D185" i="1"/>
  <c r="D186" i="1"/>
  <c r="D187" i="1"/>
  <c r="D188" i="1"/>
  <c r="D189" i="1"/>
  <c r="L176" i="1" l="1"/>
  <c r="L174" i="1"/>
  <c r="L175" i="1"/>
  <c r="I190" i="1"/>
  <c r="L177" i="1" l="1"/>
</calcChain>
</file>

<file path=xl/sharedStrings.xml><?xml version="1.0" encoding="utf-8"?>
<sst xmlns="http://schemas.openxmlformats.org/spreadsheetml/2006/main" count="324" uniqueCount="129">
  <si>
    <t>Pedido de Necesidades Trimestrales</t>
  </si>
  <si>
    <t>JURISDICCION:</t>
  </si>
  <si>
    <t xml:space="preserve">SAF N°: </t>
  </si>
  <si>
    <t>EJERCICIO:</t>
  </si>
  <si>
    <t>TRIMESTRE:</t>
  </si>
  <si>
    <t>UNIDAD</t>
  </si>
  <si>
    <t>INFORMATICA</t>
  </si>
  <si>
    <t>EQUIPO DE OFICINA Y MUEBLES</t>
  </si>
  <si>
    <t>EQUIPOS</t>
  </si>
  <si>
    <t>Descripción técnica</t>
  </si>
  <si>
    <t>Plazos y lugares de entrega</t>
  </si>
  <si>
    <t>Calidad Minima esperada</t>
  </si>
  <si>
    <t>Mantenimiento</t>
  </si>
  <si>
    <t>Garantia</t>
  </si>
  <si>
    <t>70 - MINISTERIO DE CIENCIA E INNOVACION TECNOLOGICA</t>
  </si>
  <si>
    <t>20 - MINISTERIO DE CIENCIA E INNOVACION TECNOLOGICA</t>
  </si>
  <si>
    <t>4.3.5-8922.8</t>
  </si>
  <si>
    <t>ARTICULOS DEL HOGAR</t>
  </si>
  <si>
    <t>JUEGOS DE SALON; TIPO: CONSOLA DE VIDEOJUEGOS</t>
  </si>
  <si>
    <t>Especificidades Item N° 1</t>
  </si>
  <si>
    <t>mínima de Un (1) año</t>
  </si>
  <si>
    <t>Especificidades Item N° 2</t>
  </si>
  <si>
    <t>Especificidades Item N° 3</t>
  </si>
  <si>
    <t>Especificidades Item N° 4</t>
  </si>
  <si>
    <t>Especificidades Item N° 5</t>
  </si>
  <si>
    <t>Especificidades Item N° 6</t>
  </si>
  <si>
    <t>Especificidades Item N° 7</t>
  </si>
  <si>
    <t>Especificidades Item N° 8</t>
  </si>
  <si>
    <t>Especificidades Item N° 9</t>
  </si>
  <si>
    <t>Especificidades Item N° 10</t>
  </si>
  <si>
    <t>Especificidades Item N° 11</t>
  </si>
  <si>
    <t>Especificidades Item N° 12</t>
  </si>
  <si>
    <t>Especificidades Item N° 13</t>
  </si>
  <si>
    <t>Especificidades Item N° 14</t>
  </si>
  <si>
    <t>Especificidades Item N° 15</t>
  </si>
  <si>
    <t>Especificidades Item N° 16</t>
  </si>
  <si>
    <t>4.3.5-9163.64</t>
  </si>
  <si>
    <t>4.3.7-46.128</t>
  </si>
  <si>
    <t>4.3.6-9707.20</t>
  </si>
  <si>
    <t>4.3.7-45.517</t>
  </si>
  <si>
    <t>4.3.7-1362.52</t>
  </si>
  <si>
    <t>4.3.5-241.105</t>
  </si>
  <si>
    <t>4.3.7-56.26</t>
  </si>
  <si>
    <t>4.3.5-9163.90</t>
  </si>
  <si>
    <t>4.3.6-6160.222</t>
  </si>
  <si>
    <t>4.3.5-9163.76</t>
  </si>
  <si>
    <t>Costo total estimado: PROYECTO LABORATORIO DE ROBOTICA</t>
  </si>
  <si>
    <t>EQUIPOS DIDACTICOS TECNICOS; NOMBRE: SISTEMA DE SONIDO, TIPO: ESTEREO</t>
  </si>
  <si>
    <t>SILLONES EJECUTIVOS; TAPIZADO: ECOCUERO, ALTURA: REGULABLE, GIRATORIO: SI, MATERIAL: ACERO Y PLASTICO</t>
  </si>
  <si>
    <t>IMPRESORA 3D; TIPO: FDM, DIMENSION: 220 X 220 X 260 MM, RESOLUCION: SEGÚN PLIEGO, PRECISION: SEGÚN PLIEGO, ESPESOR CAPA: SEGÚN PLIEGO</t>
  </si>
  <si>
    <t>SILLAS; MATERIAL ESTRUCTURA: METAL, TAPIZADO: SIN, ALTURA: 77 Cm, GIRATORIA: NO</t>
  </si>
  <si>
    <t>MESAS CURVAS; CURVA: CIRCULAR, DIMENSION: DIAMETRO 120 Cm, MATERIAL: METAL, TERMINACION: FIBRA DE VIDRIO</t>
  </si>
  <si>
    <t>TELEVISORES; PANTALLA: SMART LED FULL HD 60 pulg, NORMA: MULTINORMA, CANTIDAD DE CANALES: INDEFINIDO, APAGADO: CON, VISION MULTICANAL: CON</t>
  </si>
  <si>
    <t>MESAS P/TELEVISORES; MATERIAL: AGLOMERADO, TAMAÑO: 110 X 110 X 60 Cm, PATAS: CON RUEDAS, ESTANTE: 2</t>
  </si>
  <si>
    <t>EQUIPOS DIDACTICOS TECNICOS; NOMBRE: KIT EXPERIMENTAL , TIPO: SEGÚN PLIEGO</t>
  </si>
  <si>
    <t>COMPUTADORAS; TIPO: NOTEBOOK, CODIGO ETAP: PC-007, VERSION ETAP: 23.0</t>
  </si>
  <si>
    <t>EQUIPOS DIDACTICOS TECNICOS; NOMBRE: ROBOT DIDACTICO, TIPO: 4 EJES</t>
  </si>
  <si>
    <t>EQUIPOS DIDACTICOS TECNICOS; NOMBRE: KIT EXPERIMENTAL , EQUIPOS DIDACTICOS TECNICOS; NOMBRE: KIT EXPERIMENTAL , TIPO: SEGÚN PLIEGO SEGÚN PLIEGO</t>
  </si>
  <si>
    <t xml:space="preserve">Treinta (30) Días hábiles. </t>
  </si>
  <si>
    <t>Consola de video juego Tipo Sony Playstation 5 825GB standart</t>
  </si>
  <si>
    <t>Sillon de escritorio Tipo  Ideon Extreme Hunter Pro gamer ergonómica negra y azul con tapizado de cuero sintético</t>
  </si>
  <si>
    <t>Mesa  redonda 1,2m  de diamentro Tipo Eamer Decototale</t>
  </si>
  <si>
    <t>Mesa Con Ruedas Auxiliar Armada para Objetos  como Smart Tv Led Audio</t>
  </si>
  <si>
    <t xml:space="preserve">El Kit incluye: Arduino UNO SMD con chipset CH340
 20 Cables de Conexion para Protoboard MACHO-HEMBRA 10cm de longitud
 Protoboard de 400 puntos
 18 Diodo LEDS de 5MM DIFUSO ( 6 AMARILLOS, 6 VERDES y 6 ROJOS )
 30 Resistencias de 1/4 WATT ( 10 de 1k, 10 de 10k y 10 de 220 )
 2 Fotorresistores LDR
 6 Pulsadores SWITCH Arduino con protectores
 Adaptador para Bateria de 9v 
</t>
  </si>
  <si>
    <t xml:space="preserve">1)- Arduino Uno SMD compatible Chipset de comunicación usb CH340 o FT232R . 2)- Integrado 74HC595N. 3)- Buzzer. 4)- Sensor infrarrojo. 5)- Receptor Sensor Infrarrojo 1838B.
6)- Ball switch. 7)- Juegos de cables macho-macho. 8)- Sensor de temperatura LM35. 9)- Protectores para pulsadores. 10)- Pulsadores. 11)- Modulo Joystick. 12)- Fotoresistores. 13)- Protoboard de 830 puntos. 14)- Control remoto de 21 botones. 15)- Modulo RTC. 16).Motor paso a paso 28BYJ-48. 17)- Cables de protoboard macho-hembra (paquete de 20 unidades, 20cm de longitud por cable). 18)- Modulo Relay rele de 1 canal con entrada TTL. 19)-Cable USB A/B. 20)- Display de 1 digito, 8 segmentos. 21)- Display de 4 digitos, 8 segmentos. 22)- Modulo controlador de motores paso a paso SBT0811. 23)- Matriz led 8x8. 24)- Matriz de pulsadores 4x4. 25)- Juego de resistencias 1K / 10K / 220R. 26)- kit con lector RFID-RC522, llavero, tarjeta y juego de pines. 27)- Adaptador de bateria de 9V a pin de carga. 28)- Modulo sensor microfono KY-037. 29)- Modulo RGB KY-016. 30)- Servo sg90. 31)- Sensor de Nivel de agua. 32)- Display LCD 16*2 fondo azul. 33)- Juego de Leds. 34)- Modulo dht11 de temperatura y humedad.
35)- Potenciometro B10k
</t>
  </si>
  <si>
    <t>Sillas metalica  con apoya brazos Tipo Master Decototale</t>
  </si>
  <si>
    <t xml:space="preserve"># 1 x 4DOF Robot Kit de brazo
# 4 x Mg90s Servo
# 1 x Joystick botón controlador
# 1x Arduino UNO SMD
# 1x Cable Arduino USB A/B
# 1 x adaptador de corriente USB Cable Plug
# 1 x Fuente alimentacion USB 5v 2a
</t>
  </si>
  <si>
    <t># 1 Núcleo Rasti basado en Arduino Nano: Pantalla incorporada al núcleo. # 8 puertos de entrada / salida con conectores RJ11. # Conexión vía: USB / Bluetooth / Infrarrojo. # 17 sensores, actuadores y motores: • 2 motoreductores. • 1 motor Rasti. • 1 LED bicolor. • 1 Sensor pulsador. • 1 Servomotor. • 1 Sensor ultrasónico. • 2 Sensores de velocidad encoder. • 1 Sensor de gas. • 1 Sensor de luz. • 1 Sensor de humedad del suelo. • 1 Sensor barrera infrarroja. • 1 Sensor de temperatura y humedad. • 1 Sensor de sonido. • 2 Sensores siguelíneas. #  485 Bloques, engranajes y accesorios Rasti. # 2 Pilas recargables tipo 18650 incluidas. # Carga por puerto microUSB estándar. # Cargador 220v. incluido. #  Software de Programación RastiBlock: Open Source (código abierto), gratuito y libre. Basado en Scratch para programar en bloques.. # APP para celulares y tablets con sistema Android para controlar por ejemplo un vehículo. Mas Valija.</t>
  </si>
  <si>
    <t>4.3.7-40.1320</t>
  </si>
  <si>
    <t>ESCRITORIOS; MATERIAL ESTRUCTURA: AGLOMERADO, TERMINACION: ENCHAPADO EN MELAMINA, DIM. DEL PLANO DE APOYO: 1,20 X 0,60 X 0,75 M, CANTIDAD DE CAJONES: 2</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</si>
  <si>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Republica de Venezuela S/N° - CAPE- Pabellón N° 26 San Fernando del Valle de Catamarca.  Se presentará Remito que deberá cumplimentar lo dispuesto por la R.G. AFIP  1415/03, sin excepción.</t>
  </si>
  <si>
    <t>Impresora 3 d  tipo Creality Ender 3 V2. Tecnología de Impresión 3D: FDM. Cantidad de extrusores: 2. Apta para filamentos ABS, PLA y Nylon. Largo de la zona de impresión: 220mm. Ancho de la zona de impresión: 220mm. Altura de la zona de impresión: 260mm. Resolución mínima y máxima de la capa: 390um – 100um. Temperatura máxima de la cama caliente: 110°C</t>
  </si>
  <si>
    <t>Escritorio de 1,20 X 0,60 X 0,75 M con 2 cajones.</t>
  </si>
  <si>
    <t>Smart Tv 60". Resolucion FHD 1920x1080. Entradas HDMI y puertos USB disponibles. Sintonizador digital incorporado con funcion PVR y Timeshift para grabar tus programas favoritos. Wi-fi. Netflix, Youtube y Vewd (ex Opera store).</t>
  </si>
  <si>
    <t>NOTEBOOK – Pantalla HD 15.6” Resolución 1366px x 768px mínimo.  Procesador Tipo Intel Core i3 1005G1 hasta 3.4GHz. Memoria del Sistema 4GB DDR4 2666mhz. Conectividad Lector de Tarjeta 4 en 1. HDMI. USB 4 (2X 3.29), (2X3.2 Type C). Almacenamiento HDD 1TB 5400rpm. Sistema Operativo WINDOWS 10/ 11 Pro. Batería li-ion 3 celdas 36wh mínimo. Wifi.</t>
  </si>
  <si>
    <t>Kit didactico Tipo LEGO® Education SPIKE ™ Prime.  Dispositivo con forma de ladrillo, con 6 puertos de entrada / salida, matriz de luz 5x5, conectividad Bluetooth, un altavoz, un giroscopio de 6 ejes y una batería recargable. Motores y sensores de alta precisión que permiten a los estudiantes diseñar y construir divertidos robots, dispositivos dinámicos y otros modelos interactivos.  Incluye sensores y motores de gran precisión que, junto con una amplia variedad de elementos de construcción LEGO de colores</t>
  </si>
  <si>
    <t xml:space="preserve"> kit Auto Robot Inteligente 4wd Bluetooth:
# Arduino uno con cable (no original) # Sensor Shield Para Arduino Uno # SR04 sensor ultrasónico # Servomotor SG90 #  Bluetooth HC05 Maestro-Esclavo #  Puente H L298 #  Control Remoto #  Modulo IR #  3 Modulos seguidor de lineas TCRT5000 #  Kit cables Macho-Macho x 20 unidades #  Kit cables para soldar(4 pares de cables negros-rojos) # Chasis acrilico transparente # 4 motores con motoreductor # 4 Ruedas de plastico con goma # 4 Ruedas para encoder # Porta Pilas # Armazon Plastico para montaje de sensor SR04 con servo #kit de tornillos, separadores y tuercas para armado.
</t>
  </si>
  <si>
    <t>NOTA DE PEDIDO</t>
  </si>
  <si>
    <t>N°</t>
  </si>
  <si>
    <t xml:space="preserve">JURISDICCIÓN: </t>
  </si>
  <si>
    <t>SAF:</t>
  </si>
  <si>
    <t>UNIDAD EJECUTORA:</t>
  </si>
  <si>
    <t xml:space="preserve">DEPENDENCIA SOLICITANTE: </t>
  </si>
  <si>
    <t>DIRECCION PROVINCIAL DE GESTION ADMINISTRATIVA RECURSOS HUMANOS</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</si>
  <si>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</si>
  <si>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</si>
  <si>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</si>
  <si>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</si>
  <si>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</si>
  <si>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</si>
  <si>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</si>
  <si>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</si>
  <si>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</si>
  <si>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</si>
  <si>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</si>
  <si>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</si>
  <si>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</si>
  <si>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</si>
  <si>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</si>
  <si>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</si>
  <si>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</si>
  <si>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</si>
  <si>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</si>
  <si>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</si>
  <si>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</si>
  <si>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</si>
  <si>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</si>
  <si>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</si>
  <si>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</si>
  <si>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</si>
  <si>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</si>
  <si>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</si>
  <si>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</si>
  <si>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</si>
  <si>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</si>
  <si>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</si>
  <si>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Equipos para Computación</t>
  </si>
  <si>
    <t>Equipo Educacional y Recreativo</t>
  </si>
  <si>
    <t>JUSTIFICACIÓN:</t>
  </si>
  <si>
    <t>4° TRIMESTRE 2021</t>
  </si>
  <si>
    <t>Equipos de Oficina y Muebles</t>
  </si>
  <si>
    <t>Autorizo la realización de los  trámites correspondientes, a fin de proveer a  este Organismo los bienes y/o servicios que se detallan en Nota  de Pedido N° 038/2021,  afectando la erogación resultante a los créditos presupuestarios aprobados a favor de esta Unidad Ejecutora, conforme al siguiente detalle:</t>
  </si>
  <si>
    <t>038/2021</t>
  </si>
  <si>
    <t xml:space="preserve"> SECRETARIA DE CIENCIA Y TECNOLOGIA - SECRETARIA DE INNOVACION TECNOLOGICA</t>
  </si>
  <si>
    <t>SECRETARIA DE CIENCIA Y TECNOLOGIA - SECRETARIA DE INNOVACION TECNOLOGICA</t>
  </si>
  <si>
    <t xml:space="preserve">ADQUISICIÓN DE  EQUIPOS PARA LOS LABORATORIO DE ROBOTICA DE LAS  SECRETARIA DE CIENCIA Y TECNOLOGIA  Y  SECRETARIA DE INNOVACION TECNOLOGICA DEL MCIT.- </t>
  </si>
  <si>
    <t>Asistente virtual tipo alexa pantalla Parlante  inteligente integrada de 2,5" black</t>
  </si>
  <si>
    <t>PESOS: PESOS OCHO MILLONES DOSCIENTOS SESETENTA Y UN MIL SEISCIENTOS DIECISEIS CON 00/100.-</t>
  </si>
  <si>
    <t>Costo total estimado:  PESOS OCHO MILLONES DOSCIENTOS SESETENTA Y UN MIL SEISCIENTOS DIECISEIS CON 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</si>
</sst>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 #,##0.00"/>
    <numFmt numFmtId="165" formatCode="_-[$$-2C0A]\ * #,##0.00_-;\-[$$-2C0A]\ * #,##0.00_-;_-[$$-2C0A]\ * &quot;-&quot;??_-;_-@"/>
    <numFmt numFmtId="166" formatCode="[$$-2C0A]\ #,##0.00"/>
    <numFmt numFmtId="167" formatCode="_(\$* #,##0.00_);_(\$* \(#,##0.00\);_(\$* \-??_);_(@_)"/>
    <numFmt numFmtId="168" formatCode="_-* #,##0.00&quot; €&quot;_-;\-* #,##0.00&quot; €&quot;_-;_-* \-??&quot; €&quot;_-;_-@_-"/>
    <numFmt numFmtId="169" formatCode="[$$-2C0A]\ #,##0.00;[$$-2C0A]&quot; -&quot;#,##0.00"/>
    <numFmt numFmtId="170" formatCode="dd\-mm\-yy;@"/>
    <numFmt numFmtId="171" formatCode="_-[$$-2C0A]\ * #,##0.00_-;\-[$$-2C0A]\ * #,##0.00_-;_-[$$-2C0A]\ * &quot;-&quot;??_-;_-@_-"/>
  </numFmts>
  <fonts count="50" x14ac:knownFonts="1">
    <font>
      <sz val="10"/>
      <color rgb="FF000000"/>
      <name val="Arial"/>
    </font>
    <font>
      <sz val="11"/>
      <color theme="1"/>
      <name val="Calibri"/>
      <family val="2"/>
      <scheme val="minor"/>
    </font>
    <font>
      <sz val="10"/>
      <name val="Times New Roman"/>
      <family val="1"/>
    </font>
    <font>
      <sz val="11"/>
      <name val="Times New Roman"/>
      <family val="1"/>
    </font>
    <font>
      <b/>
      <sz val="22"/>
      <name val="Times New Roman"/>
      <family val="1"/>
    </font>
    <font>
      <b/>
      <sz val="11"/>
      <color rgb="FF333333"/>
      <name val="Arial"/>
      <family val="2"/>
    </font>
    <font>
      <sz val="10"/>
      <name val="Arial"/>
      <family val="2"/>
    </font>
    <font>
      <sz val="11"/>
      <color rgb="FF333333"/>
      <name val="Arial"/>
      <family val="2"/>
    </font>
    <font>
      <sz val="11"/>
      <name val="Arial"/>
      <family val="2"/>
    </font>
    <font>
      <b/>
      <sz val="11"/>
      <name val="Arial"/>
      <family val="2"/>
    </font>
    <font>
      <b/>
      <sz val="11"/>
      <name val="Times New Roman"/>
      <family val="1"/>
    </font>
    <font>
      <sz val="10"/>
      <name val="Arial"/>
      <family val="2"/>
    </font>
    <font>
      <b/>
      <sz val="10"/>
      <name val="Times New Roman"/>
      <family val="1"/>
    </font>
    <font>
      <u/>
      <sz val="11"/>
      <name val="Arial"/>
      <family val="2"/>
    </font>
    <font>
      <sz val="11"/>
      <name val="Arial"/>
      <family val="2"/>
    </font>
    <font>
      <sz val="10"/>
      <name val="Arial"/>
      <family val="2"/>
    </font>
    <font>
      <sz val="11"/>
      <color indexed="8"/>
      <name val="Calibri"/>
      <family val="2"/>
    </font>
    <font>
      <sz val="11"/>
      <color indexed="9"/>
      <name val="Calibri"/>
      <family val="2"/>
    </font>
    <font>
      <sz val="11"/>
      <color indexed="17"/>
      <name val="Calibri"/>
      <family val="2"/>
    </font>
    <font>
      <b/>
      <sz val="11"/>
      <color indexed="9"/>
      <name val="Calibri"/>
      <family val="2"/>
    </font>
    <font>
      <sz val="11"/>
      <color indexed="52"/>
      <name val="Calibri"/>
      <family val="2"/>
    </font>
    <font>
      <b/>
      <sz val="11"/>
      <color indexed="52"/>
      <name val="Calibri"/>
      <family val="2"/>
    </font>
    <font>
      <b/>
      <sz val="15"/>
      <color indexed="54"/>
      <name val="Calibri"/>
      <family val="2"/>
    </font>
    <font>
      <b/>
      <sz val="11"/>
      <color indexed="54"/>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1"/>
      <color indexed="8"/>
      <name val="Calibri"/>
      <family val="2"/>
    </font>
    <font>
      <sz val="18"/>
      <color indexed="54"/>
      <name val="Calibri Light"/>
      <family val="2"/>
    </font>
    <font>
      <b/>
      <sz val="13"/>
      <color indexed="54"/>
      <name val="Calibri"/>
      <family val="2"/>
    </font>
    <font>
      <sz val="11"/>
      <color theme="1"/>
      <name val="Arial"/>
      <family val="2"/>
    </font>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9"/>
      <name val="Arial"/>
      <family val="2"/>
      <charset val="1"/>
    </font>
  </fonts>
  <fills count="24">
    <fill>
      <patternFill patternType="none"/>
    </fill>
    <fill>
      <patternFill patternType="gray125"/>
    </fill>
    <fill>
      <patternFill patternType="solid">
        <fgColor rgb="FFC0C0C0"/>
        <bgColor rgb="FFC0C0C0"/>
      </patternFill>
    </fill>
    <fill>
      <patternFill patternType="solid">
        <fgColor rgb="FFCCFFFF"/>
        <bgColor rgb="FFCCFFFF"/>
      </patternFill>
    </fill>
    <fill>
      <patternFill patternType="solid">
        <fgColor theme="0"/>
        <bgColor rgb="FFFFFF00"/>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6"/>
        <bgColor indexed="9"/>
      </patternFill>
    </fill>
    <fill>
      <patternFill patternType="solid">
        <fgColor indexed="31"/>
        <bgColor indexed="22"/>
      </patternFill>
    </fill>
    <fill>
      <patternFill patternType="solid">
        <fgColor indexed="42"/>
        <bgColor indexed="27"/>
      </patternFill>
    </fill>
    <fill>
      <patternFill patternType="solid">
        <fgColor indexed="44"/>
        <bgColor indexed="31"/>
      </patternFill>
    </fill>
    <fill>
      <patternFill patternType="solid">
        <fgColor indexed="22"/>
        <bgColor indexed="31"/>
      </patternFill>
    </fill>
    <fill>
      <patternFill patternType="solid">
        <fgColor indexed="43"/>
        <bgColor indexed="26"/>
      </patternFill>
    </fill>
    <fill>
      <patternFill patternType="solid">
        <fgColor indexed="49"/>
        <bgColor indexed="40"/>
      </patternFill>
    </fill>
    <fill>
      <patternFill patternType="solid">
        <fgColor indexed="57"/>
        <bgColor indexed="21"/>
      </patternFill>
    </fill>
    <fill>
      <patternFill patternType="solid">
        <fgColor indexed="55"/>
        <bgColor indexed="23"/>
      </patternFill>
    </fill>
    <fill>
      <patternFill patternType="solid">
        <fgColor indexed="53"/>
        <bgColor indexed="52"/>
      </patternFill>
    </fill>
    <fill>
      <patternFill patternType="solid">
        <fgColor indexed="51"/>
        <bgColor indexed="13"/>
      </patternFill>
    </fill>
    <fill>
      <patternFill patternType="solid">
        <fgColor indexed="62"/>
        <bgColor indexed="59"/>
      </patternFill>
    </fill>
    <fill>
      <patternFill patternType="solid">
        <fgColor indexed="45"/>
        <bgColor indexed="29"/>
      </patternFill>
    </fill>
    <fill>
      <patternFill patternType="solid">
        <fgColor theme="0" tint="-0.249977111117893"/>
        <bgColor indexed="64"/>
      </patternFill>
    </fill>
    <fill>
      <patternFill patternType="solid">
        <fgColor rgb="FFFFFF99"/>
        <bgColor rgb="FFFFFFCC"/>
      </patternFill>
    </fill>
    <fill>
      <patternFill patternType="solid">
        <fgColor theme="0"/>
        <bgColor indexed="64"/>
      </patternFill>
    </fill>
  </fills>
  <borders count="58">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4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44"/>
      </bottom>
      <diagonal/>
    </border>
    <border>
      <left/>
      <right/>
      <top/>
      <bottom style="medium">
        <color indexed="44"/>
      </bottom>
      <diagonal/>
    </border>
    <border>
      <left/>
      <right/>
      <top style="thin">
        <color indexed="49"/>
      </top>
      <bottom style="double">
        <color indexed="49"/>
      </bottom>
      <diagonal/>
    </border>
    <border>
      <left/>
      <right/>
      <top/>
      <bottom style="thick">
        <color rgb="FF33CCCC"/>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thin">
        <color rgb="FF3D3D3D"/>
      </right>
      <top style="medium">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s>
  <cellStyleXfs count="50">
    <xf numFmtId="0" fontId="0" fillId="0" borderId="0"/>
    <xf numFmtId="0" fontId="1" fillId="0" borderId="3"/>
    <xf numFmtId="0" fontId="15" fillId="0" borderId="3"/>
    <xf numFmtId="0" fontId="16" fillId="5" borderId="3" applyNumberFormat="0" applyBorder="0" applyAlignment="0" applyProtection="0"/>
    <xf numFmtId="0" fontId="16" fillId="6" borderId="3" applyNumberFormat="0" applyBorder="0" applyAlignment="0" applyProtection="0"/>
    <xf numFmtId="0" fontId="16" fillId="7" borderId="3" applyNumberFormat="0" applyBorder="0" applyAlignment="0" applyProtection="0"/>
    <xf numFmtId="0" fontId="16" fillId="8" borderId="3" applyNumberFormat="0" applyBorder="0" applyAlignment="0" applyProtection="0"/>
    <xf numFmtId="0" fontId="16" fillId="9" borderId="3" applyNumberFormat="0" applyBorder="0" applyAlignment="0" applyProtection="0"/>
    <xf numFmtId="0" fontId="16" fillId="10" borderId="3" applyNumberFormat="0" applyBorder="0" applyAlignment="0" applyProtection="0"/>
    <xf numFmtId="0" fontId="16" fillId="11" borderId="3" applyNumberFormat="0" applyBorder="0" applyAlignment="0" applyProtection="0"/>
    <xf numFmtId="0" fontId="16" fillId="6" borderId="3" applyNumberFormat="0" applyBorder="0" applyAlignment="0" applyProtection="0"/>
    <xf numFmtId="0" fontId="16" fillId="12" borderId="3" applyNumberFormat="0" applyBorder="0" applyAlignment="0" applyProtection="0"/>
    <xf numFmtId="0" fontId="16" fillId="13" borderId="3" applyNumberFormat="0" applyBorder="0" applyAlignment="0" applyProtection="0"/>
    <xf numFmtId="0" fontId="16" fillId="11" borderId="3" applyNumberFormat="0" applyBorder="0" applyAlignment="0" applyProtection="0"/>
    <xf numFmtId="0" fontId="16" fillId="13" borderId="3" applyNumberFormat="0" applyBorder="0" applyAlignment="0" applyProtection="0"/>
    <xf numFmtId="0" fontId="17" fillId="11" borderId="3" applyNumberFormat="0" applyBorder="0" applyAlignment="0" applyProtection="0"/>
    <xf numFmtId="0" fontId="17" fillId="6" borderId="3" applyNumberFormat="0" applyBorder="0" applyAlignment="0" applyProtection="0"/>
    <xf numFmtId="0" fontId="17" fillId="12" borderId="3" applyNumberFormat="0" applyBorder="0" applyAlignment="0" applyProtection="0"/>
    <xf numFmtId="0" fontId="17" fillId="13" borderId="3" applyNumberFormat="0" applyBorder="0" applyAlignment="0" applyProtection="0"/>
    <xf numFmtId="0" fontId="17" fillId="14" borderId="3" applyNumberFormat="0" applyBorder="0" applyAlignment="0" applyProtection="0"/>
    <xf numFmtId="0" fontId="17" fillId="15" borderId="3" applyNumberFormat="0" applyBorder="0" applyAlignment="0" applyProtection="0"/>
    <xf numFmtId="0" fontId="18" fillId="10" borderId="3" applyNumberFormat="0" applyBorder="0" applyAlignment="0" applyProtection="0"/>
    <xf numFmtId="0" fontId="21" fillId="12" borderId="22" applyNumberFormat="0" applyAlignment="0" applyProtection="0"/>
    <xf numFmtId="0" fontId="19" fillId="16" borderId="23" applyNumberFormat="0" applyAlignment="0" applyProtection="0"/>
    <xf numFmtId="0" fontId="20" fillId="0" borderId="24" applyNumberFormat="0" applyFill="0" applyAlignment="0" applyProtection="0"/>
    <xf numFmtId="0" fontId="22" fillId="0" borderId="25" applyNumberFormat="0" applyFill="0" applyAlignment="0" applyProtection="0"/>
    <xf numFmtId="0" fontId="23" fillId="0" borderId="3" applyNumberFormat="0" applyFill="0" applyBorder="0" applyAlignment="0" applyProtection="0"/>
    <xf numFmtId="0" fontId="17" fillId="14" borderId="3" applyNumberFormat="0" applyBorder="0" applyAlignment="0" applyProtection="0"/>
    <xf numFmtId="0" fontId="17" fillId="17" borderId="3" applyNumberFormat="0" applyBorder="0" applyAlignment="0" applyProtection="0"/>
    <xf numFmtId="0" fontId="17" fillId="16" borderId="3" applyNumberFormat="0" applyBorder="0" applyAlignment="0" applyProtection="0"/>
    <xf numFmtId="0" fontId="17" fillId="18" borderId="3" applyNumberFormat="0" applyBorder="0" applyAlignment="0" applyProtection="0"/>
    <xf numFmtId="0" fontId="17" fillId="19" borderId="3" applyNumberFormat="0" applyBorder="0" applyAlignment="0" applyProtection="0"/>
    <xf numFmtId="0" fontId="17" fillId="15" borderId="3" applyNumberFormat="0" applyBorder="0" applyAlignment="0" applyProtection="0"/>
    <xf numFmtId="0" fontId="24" fillId="6" borderId="22" applyNumberFormat="0" applyAlignment="0" applyProtection="0"/>
    <xf numFmtId="0" fontId="25" fillId="20" borderId="3" applyNumberFormat="0" applyBorder="0" applyAlignment="0" applyProtection="0"/>
    <xf numFmtId="0" fontId="26" fillId="13" borderId="3" applyNumberFormat="0" applyBorder="0" applyAlignment="0" applyProtection="0"/>
    <xf numFmtId="0" fontId="6" fillId="8" borderId="26" applyNumberFormat="0" applyAlignment="0" applyProtection="0"/>
    <xf numFmtId="0" fontId="27" fillId="12" borderId="27" applyNumberFormat="0" applyAlignment="0" applyProtection="0"/>
    <xf numFmtId="0" fontId="28" fillId="0" borderId="3" applyNumberFormat="0" applyFill="0" applyBorder="0" applyAlignment="0" applyProtection="0"/>
    <xf numFmtId="0" fontId="29" fillId="0" borderId="3" applyNumberFormat="0" applyFill="0" applyBorder="0" applyAlignment="0" applyProtection="0"/>
    <xf numFmtId="0" fontId="31" fillId="0" borderId="3" applyNumberFormat="0" applyFill="0" applyBorder="0" applyAlignment="0" applyProtection="0"/>
    <xf numFmtId="0" fontId="32" fillId="0" borderId="28" applyNumberFormat="0" applyFill="0" applyAlignment="0" applyProtection="0"/>
    <xf numFmtId="0" fontId="23" fillId="0" borderId="29" applyNumberFormat="0" applyFill="0" applyAlignment="0" applyProtection="0"/>
    <xf numFmtId="0" fontId="30" fillId="0" borderId="30" applyNumberFormat="0" applyFill="0" applyAlignment="0" applyProtection="0"/>
    <xf numFmtId="0" fontId="33" fillId="0" borderId="3"/>
    <xf numFmtId="0" fontId="34" fillId="0" borderId="3"/>
    <xf numFmtId="168" fontId="6" fillId="0" borderId="3" applyBorder="0" applyProtection="0"/>
    <xf numFmtId="0" fontId="35" fillId="0" borderId="31" applyProtection="0"/>
    <xf numFmtId="167" fontId="36" fillId="0" borderId="3" applyBorder="0" applyProtection="0"/>
    <xf numFmtId="0" fontId="37" fillId="22" borderId="3" applyBorder="0" applyProtection="0"/>
  </cellStyleXfs>
  <cellXfs count="169">
    <xf numFmtId="0" fontId="0" fillId="0" borderId="0" xfId="0" applyFont="1" applyAlignment="1"/>
    <xf numFmtId="0" fontId="2" fillId="0" borderId="0" xfId="0" applyFont="1"/>
    <xf numFmtId="0" fontId="2" fillId="0" borderId="0" xfId="0" applyFont="1" applyAlignment="1">
      <alignment horizontal="center" vertical="center"/>
    </xf>
    <xf numFmtId="0" fontId="2" fillId="0" borderId="0" xfId="0" applyFont="1" applyAlignment="1">
      <alignment horizontal="center"/>
    </xf>
    <xf numFmtId="0" fontId="3" fillId="0" borderId="0" xfId="0" applyFont="1" applyAlignment="1">
      <alignment horizontal="left" vertical="top"/>
    </xf>
    <xf numFmtId="164" fontId="2" fillId="0" borderId="0" xfId="0" applyNumberFormat="1" applyFont="1" applyAlignment="1">
      <alignment horizontal="center"/>
    </xf>
    <xf numFmtId="0" fontId="7" fillId="0" borderId="0" xfId="0" applyFont="1" applyAlignment="1">
      <alignment horizontal="left" wrapText="1"/>
    </xf>
    <xf numFmtId="0" fontId="7" fillId="0" borderId="0" xfId="0" applyFont="1" applyAlignment="1">
      <alignment horizontal="center" wrapText="1"/>
    </xf>
    <xf numFmtId="164" fontId="7" fillId="0" borderId="0" xfId="0" applyNumberFormat="1" applyFont="1" applyAlignment="1">
      <alignment horizontal="center" wrapText="1"/>
    </xf>
    <xf numFmtId="0" fontId="8" fillId="0" borderId="0" xfId="0" applyFont="1"/>
    <xf numFmtId="0" fontId="5" fillId="2" borderId="3" xfId="0" applyFont="1" applyFill="1" applyBorder="1" applyAlignment="1">
      <alignment horizontal="left" wrapText="1"/>
    </xf>
    <xf numFmtId="0" fontId="5" fillId="2" borderId="3" xfId="0" applyFont="1" applyFill="1" applyBorder="1" applyAlignment="1">
      <alignment horizontal="left" vertical="top" wrapText="1"/>
    </xf>
    <xf numFmtId="0" fontId="7" fillId="0" borderId="0" xfId="0" applyFont="1" applyAlignment="1">
      <alignment horizontal="center" vertical="center" wrapText="1"/>
    </xf>
    <xf numFmtId="0" fontId="7" fillId="0" borderId="0" xfId="0" applyFont="1" applyAlignment="1">
      <alignment horizontal="left" vertical="top" wrapText="1"/>
    </xf>
    <xf numFmtId="0" fontId="2" fillId="2" borderId="3" xfId="0" applyFont="1" applyFill="1" applyBorder="1"/>
    <xf numFmtId="0" fontId="2" fillId="0" borderId="0" xfId="0" applyFont="1" applyAlignment="1">
      <alignment vertical="center"/>
    </xf>
    <xf numFmtId="0" fontId="2" fillId="2" borderId="3" xfId="0" applyFont="1" applyFill="1" applyBorder="1" applyAlignment="1">
      <alignment vertical="center"/>
    </xf>
    <xf numFmtId="166" fontId="2" fillId="0" borderId="0" xfId="0" applyNumberFormat="1" applyFont="1" applyAlignment="1">
      <alignment horizontal="center" vertical="center"/>
    </xf>
    <xf numFmtId="0" fontId="2" fillId="2" borderId="3" xfId="0" applyFont="1" applyFill="1" applyBorder="1" applyAlignment="1">
      <alignment wrapText="1"/>
    </xf>
    <xf numFmtId="166" fontId="2" fillId="0" borderId="6" xfId="0" applyNumberFormat="1" applyFont="1" applyBorder="1" applyAlignment="1">
      <alignment horizontal="center" vertical="center"/>
    </xf>
    <xf numFmtId="0" fontId="2" fillId="0" borderId="6" xfId="0" applyFont="1" applyBorder="1"/>
    <xf numFmtId="0" fontId="11" fillId="2" borderId="3" xfId="0" applyFont="1" applyFill="1" applyBorder="1"/>
    <xf numFmtId="0" fontId="3" fillId="0" borderId="0" xfId="0" applyFont="1"/>
    <xf numFmtId="0" fontId="3" fillId="2" borderId="4" xfId="0" applyFont="1" applyFill="1" applyBorder="1" applyAlignment="1">
      <alignment horizontal="center" vertical="center"/>
    </xf>
    <xf numFmtId="0" fontId="3" fillId="0" borderId="4" xfId="0" applyFont="1" applyBorder="1" applyAlignment="1">
      <alignment horizontal="center" vertical="center"/>
    </xf>
    <xf numFmtId="0" fontId="3" fillId="0" borderId="10" xfId="0" applyFont="1" applyBorder="1"/>
    <xf numFmtId="0" fontId="3" fillId="0" borderId="10" xfId="0" applyFont="1" applyBorder="1" applyAlignment="1">
      <alignment horizontal="center" vertical="center"/>
    </xf>
    <xf numFmtId="0" fontId="3" fillId="0" borderId="10" xfId="0" applyFont="1" applyBorder="1" applyAlignment="1">
      <alignment horizontal="center"/>
    </xf>
    <xf numFmtId="0" fontId="3" fillId="0" borderId="10" xfId="0" applyFont="1" applyBorder="1" applyAlignment="1">
      <alignment horizontal="left" vertical="top"/>
    </xf>
    <xf numFmtId="164" fontId="3" fillId="0" borderId="10" xfId="0" applyNumberFormat="1" applyFont="1" applyBorder="1" applyAlignment="1">
      <alignment horizontal="center"/>
    </xf>
    <xf numFmtId="165" fontId="3" fillId="0" borderId="10" xfId="0" applyNumberFormat="1" applyFont="1" applyBorder="1"/>
    <xf numFmtId="165" fontId="3" fillId="0" borderId="4" xfId="0" applyNumberFormat="1" applyFont="1" applyBorder="1" applyAlignment="1">
      <alignment vertical="center"/>
    </xf>
    <xf numFmtId="0" fontId="3" fillId="2" borderId="4" xfId="0" applyFont="1" applyFill="1" applyBorder="1" applyAlignment="1">
      <alignment horizontal="left" vertical="center" wrapText="1"/>
    </xf>
    <xf numFmtId="0" fontId="12" fillId="0" borderId="0" xfId="0" applyFont="1" applyAlignment="1">
      <alignment vertical="center"/>
    </xf>
    <xf numFmtId="0" fontId="3" fillId="0" borderId="0" xfId="0" applyFont="1" applyAlignment="1">
      <alignment vertical="center"/>
    </xf>
    <xf numFmtId="165" fontId="10" fillId="3" borderId="5" xfId="0" applyNumberFormat="1" applyFont="1" applyFill="1" applyBorder="1" applyAlignment="1">
      <alignment vertical="center"/>
    </xf>
    <xf numFmtId="0" fontId="13" fillId="0" borderId="15" xfId="0" applyFont="1" applyBorder="1" applyAlignment="1">
      <alignment horizontal="left"/>
    </xf>
    <xf numFmtId="0" fontId="8" fillId="0" borderId="16" xfId="0" applyFont="1" applyBorder="1"/>
    <xf numFmtId="0" fontId="8" fillId="0" borderId="15" xfId="0" applyFont="1" applyBorder="1" applyAlignment="1">
      <alignment horizontal="left"/>
    </xf>
    <xf numFmtId="0" fontId="8" fillId="2" borderId="3" xfId="0" applyFont="1" applyFill="1" applyBorder="1"/>
    <xf numFmtId="0" fontId="8" fillId="2" borderId="18" xfId="0" applyFont="1" applyFill="1" applyBorder="1"/>
    <xf numFmtId="0" fontId="8" fillId="2" borderId="3" xfId="0" applyFont="1" applyFill="1" applyBorder="1" applyAlignment="1">
      <alignment horizontal="center" wrapText="1"/>
    </xf>
    <xf numFmtId="0" fontId="8" fillId="2" borderId="18" xfId="0" applyFont="1" applyFill="1" applyBorder="1" applyAlignment="1">
      <alignment horizontal="center" wrapText="1"/>
    </xf>
    <xf numFmtId="0" fontId="8" fillId="0" borderId="19" xfId="0" applyFont="1" applyBorder="1" applyAlignment="1">
      <alignment horizontal="left"/>
    </xf>
    <xf numFmtId="0" fontId="8" fillId="0" borderId="11" xfId="0" applyFont="1" applyBorder="1"/>
    <xf numFmtId="0" fontId="8" fillId="0" borderId="20" xfId="0" applyFont="1" applyBorder="1"/>
    <xf numFmtId="0" fontId="0" fillId="0" borderId="0" xfId="0" applyFont="1" applyAlignment="1"/>
    <xf numFmtId="0" fontId="3" fillId="4" borderId="4" xfId="0" applyFont="1" applyFill="1" applyBorder="1" applyAlignment="1">
      <alignment horizontal="center" vertical="center"/>
    </xf>
    <xf numFmtId="0" fontId="2" fillId="4" borderId="3" xfId="0" applyFont="1" applyFill="1" applyBorder="1" applyAlignment="1">
      <alignment vertical="center"/>
    </xf>
    <xf numFmtId="0" fontId="8" fillId="0" borderId="3" xfId="0" applyFont="1" applyBorder="1"/>
    <xf numFmtId="0" fontId="8" fillId="0" borderId="3" xfId="0" applyFont="1" applyBorder="1" applyAlignment="1">
      <alignment horizontal="left"/>
    </xf>
    <xf numFmtId="0" fontId="0" fillId="0" borderId="0" xfId="0" applyFont="1" applyAlignment="1"/>
    <xf numFmtId="0" fontId="3" fillId="0" borderId="3" xfId="0" applyFont="1" applyBorder="1"/>
    <xf numFmtId="0" fontId="3" fillId="0" borderId="3" xfId="0" applyFont="1" applyBorder="1" applyAlignment="1">
      <alignment horizontal="center" vertical="center"/>
    </xf>
    <xf numFmtId="0" fontId="3" fillId="0" borderId="3" xfId="0" applyFont="1" applyBorder="1" applyAlignment="1">
      <alignment horizontal="center"/>
    </xf>
    <xf numFmtId="0" fontId="3" fillId="0" borderId="3" xfId="0" applyFont="1" applyBorder="1" applyAlignment="1">
      <alignment horizontal="left" vertical="top"/>
    </xf>
    <xf numFmtId="164" fontId="3" fillId="0" borderId="3" xfId="0" applyNumberFormat="1" applyFont="1" applyBorder="1" applyAlignment="1">
      <alignment horizontal="center"/>
    </xf>
    <xf numFmtId="165" fontId="3" fillId="0" borderId="3" xfId="0" applyNumberFormat="1" applyFont="1" applyBorder="1"/>
    <xf numFmtId="0" fontId="0" fillId="0" borderId="21" xfId="0" applyBorder="1" applyAlignment="1">
      <alignment horizontal="center" vertical="center"/>
    </xf>
    <xf numFmtId="164" fontId="0" fillId="0" borderId="21" xfId="0" applyNumberFormat="1" applyBorder="1" applyAlignment="1">
      <alignment horizontal="center" vertical="center"/>
    </xf>
    <xf numFmtId="0" fontId="0" fillId="0" borderId="0" xfId="0" applyFont="1" applyAlignment="1"/>
    <xf numFmtId="170" fontId="0" fillId="0" borderId="0" xfId="0" applyNumberFormat="1" applyAlignment="1">
      <alignment horizontal="left"/>
    </xf>
    <xf numFmtId="0" fontId="0" fillId="0" borderId="0" xfId="0"/>
    <xf numFmtId="3" fontId="44" fillId="0" borderId="3" xfId="0" applyNumberFormat="1" applyFont="1" applyBorder="1"/>
    <xf numFmtId="0" fontId="39" fillId="0" borderId="32" xfId="45" applyFont="1" applyBorder="1" applyAlignment="1">
      <alignment horizontal="right" vertical="center"/>
    </xf>
    <xf numFmtId="0" fontId="39" fillId="0" borderId="34" xfId="45" applyFont="1" applyBorder="1" applyAlignment="1">
      <alignment vertical="center"/>
    </xf>
    <xf numFmtId="0" fontId="39" fillId="0" borderId="3" xfId="45" applyFont="1" applyBorder="1" applyAlignment="1">
      <alignment vertical="center"/>
    </xf>
    <xf numFmtId="0" fontId="41" fillId="0" borderId="3" xfId="45" applyFont="1" applyBorder="1" applyAlignment="1">
      <alignment horizontal="left" vertical="center"/>
    </xf>
    <xf numFmtId="0" fontId="40" fillId="0" borderId="3" xfId="45" applyFont="1" applyBorder="1" applyAlignment="1">
      <alignment horizontal="left" vertical="center" wrapText="1" indent="1"/>
    </xf>
    <xf numFmtId="0" fontId="40" fillId="4" borderId="33" xfId="45" applyFont="1" applyFill="1" applyBorder="1" applyAlignment="1">
      <alignment horizontal="center" vertical="center"/>
    </xf>
    <xf numFmtId="0" fontId="43" fillId="0" borderId="36" xfId="45" applyFont="1" applyBorder="1" applyAlignment="1">
      <alignment horizontal="center" vertical="center"/>
    </xf>
    <xf numFmtId="0" fontId="43" fillId="0" borderId="36" xfId="45" applyFont="1" applyBorder="1" applyAlignment="1">
      <alignment horizontal="left" vertical="center"/>
    </xf>
    <xf numFmtId="0" fontId="38" fillId="4" borderId="36" xfId="45" applyFont="1" applyFill="1" applyBorder="1" applyAlignment="1">
      <alignment horizontal="center" vertical="center"/>
    </xf>
    <xf numFmtId="0" fontId="38" fillId="23" borderId="36" xfId="45" applyFont="1" applyFill="1" applyBorder="1" applyAlignment="1">
      <alignment horizontal="center" vertical="center" wrapText="1"/>
    </xf>
    <xf numFmtId="169" fontId="38" fillId="23" borderId="36" xfId="46" applyNumberFormat="1" applyFont="1" applyFill="1" applyBorder="1" applyAlignment="1" applyProtection="1">
      <alignment horizontal="right" vertical="center" wrapText="1"/>
    </xf>
    <xf numFmtId="3" fontId="38" fillId="23" borderId="36" xfId="45" applyNumberFormat="1" applyFont="1" applyFill="1" applyBorder="1" applyAlignment="1">
      <alignment horizontal="center" vertical="center"/>
    </xf>
    <xf numFmtId="0" fontId="0" fillId="0" borderId="0" xfId="0" applyAlignment="1">
      <alignment horizontal="left"/>
    </xf>
    <xf numFmtId="0" fontId="0" fillId="0" borderId="3" xfId="0" applyBorder="1"/>
    <xf numFmtId="0" fontId="0" fillId="0" borderId="32" xfId="0" applyBorder="1"/>
    <xf numFmtId="0" fontId="0" fillId="0" borderId="46" xfId="0" applyBorder="1"/>
    <xf numFmtId="0" fontId="0" fillId="0" borderId="34" xfId="0" applyBorder="1"/>
    <xf numFmtId="0" fontId="0" fillId="0" borderId="34" xfId="0" applyBorder="1" applyAlignment="1">
      <alignment horizontal="left"/>
    </xf>
    <xf numFmtId="0" fontId="0" fillId="0" borderId="47" xfId="0" applyBorder="1"/>
    <xf numFmtId="0" fontId="48" fillId="0" borderId="49" xfId="0" applyFont="1" applyBorder="1" applyAlignment="1">
      <alignment horizontal="center" vertical="center"/>
    </xf>
    <xf numFmtId="0" fontId="48" fillId="0" borderId="50" xfId="0" applyFont="1" applyBorder="1" applyAlignment="1">
      <alignment horizontal="center" vertical="center"/>
    </xf>
    <xf numFmtId="0" fontId="48" fillId="0" borderId="50" xfId="0" applyFont="1" applyBorder="1" applyAlignment="1">
      <alignment horizontal="left" vertical="center"/>
    </xf>
    <xf numFmtId="0" fontId="48" fillId="0" borderId="51" xfId="0" applyFont="1" applyBorder="1" applyAlignment="1">
      <alignment horizontal="center" vertical="center"/>
    </xf>
    <xf numFmtId="0" fontId="48" fillId="0" borderId="45" xfId="0" applyFont="1" applyBorder="1" applyAlignment="1">
      <alignment horizontal="center" vertical="center"/>
    </xf>
    <xf numFmtId="0" fontId="0" fillId="4" borderId="52" xfId="0" applyFill="1" applyBorder="1" applyAlignment="1">
      <alignment horizontal="center" vertical="center"/>
    </xf>
    <xf numFmtId="0" fontId="0" fillId="0" borderId="52" xfId="0" applyBorder="1" applyAlignment="1">
      <alignment horizontal="center" vertical="center"/>
    </xf>
    <xf numFmtId="171" fontId="0" fillId="23" borderId="52" xfId="48" applyNumberFormat="1" applyFont="1" applyFill="1" applyBorder="1" applyAlignment="1" applyProtection="1">
      <alignment horizontal="center" vertical="center"/>
    </xf>
    <xf numFmtId="0" fontId="0" fillId="4" borderId="53" xfId="0" applyFill="1" applyBorder="1" applyAlignment="1">
      <alignment horizontal="center" vertical="center"/>
    </xf>
    <xf numFmtId="0" fontId="0" fillId="0" borderId="53" xfId="0" applyBorder="1" applyAlignment="1">
      <alignment horizontal="center" vertical="center"/>
    </xf>
    <xf numFmtId="171" fontId="0" fillId="0" borderId="53" xfId="48" applyNumberFormat="1" applyFont="1" applyBorder="1" applyAlignment="1" applyProtection="1">
      <alignment horizontal="center" vertical="center"/>
    </xf>
    <xf numFmtId="169" fontId="0" fillId="0" borderId="53" xfId="48" applyNumberFormat="1" applyFont="1" applyBorder="1" applyAlignment="1" applyProtection="1">
      <alignment horizontal="center" vertical="center"/>
    </xf>
    <xf numFmtId="0" fontId="46" fillId="0" borderId="53" xfId="0" applyFont="1" applyBorder="1" applyAlignment="1">
      <alignment horizontal="center" vertical="center"/>
    </xf>
    <xf numFmtId="169" fontId="48" fillId="23" borderId="54" xfId="0" applyNumberFormat="1" applyFont="1" applyFill="1" applyBorder="1" applyAlignment="1">
      <alignment horizontal="center" vertical="center"/>
    </xf>
    <xf numFmtId="171" fontId="2" fillId="0" borderId="0" xfId="0" applyNumberFormat="1" applyFont="1"/>
    <xf numFmtId="0" fontId="9" fillId="21" borderId="12" xfId="0" applyFont="1" applyFill="1" applyBorder="1" applyAlignment="1">
      <alignment horizontal="left" vertical="center" wrapText="1"/>
    </xf>
    <xf numFmtId="0" fontId="6" fillId="21" borderId="13" xfId="0" applyFont="1" applyFill="1" applyBorder="1"/>
    <xf numFmtId="0" fontId="6" fillId="21" borderId="14" xfId="0" applyFont="1" applyFill="1" applyBorder="1"/>
    <xf numFmtId="0" fontId="8" fillId="2" borderId="3" xfId="0" applyFont="1" applyFill="1" applyBorder="1" applyAlignment="1">
      <alignment horizontal="left" vertical="center" wrapText="1"/>
    </xf>
    <xf numFmtId="0" fontId="6" fillId="0" borderId="3" xfId="0" applyFont="1" applyBorder="1" applyAlignment="1">
      <alignment vertical="center"/>
    </xf>
    <xf numFmtId="0" fontId="6" fillId="0" borderId="18" xfId="0" applyFont="1" applyBorder="1" applyAlignment="1">
      <alignment vertical="center"/>
    </xf>
    <xf numFmtId="0" fontId="10" fillId="3" borderId="7" xfId="0" applyFont="1" applyFill="1" applyBorder="1" applyAlignment="1">
      <alignment horizontal="center" vertical="center" wrapText="1"/>
    </xf>
    <xf numFmtId="0" fontId="6" fillId="0" borderId="8" xfId="0" applyFont="1" applyBorder="1"/>
    <xf numFmtId="0" fontId="6" fillId="0" borderId="9" xfId="0" applyFont="1" applyBorder="1"/>
    <xf numFmtId="0" fontId="5" fillId="0" borderId="0" xfId="0" applyFont="1" applyAlignment="1">
      <alignment horizontal="left" vertical="center" wrapText="1"/>
    </xf>
    <xf numFmtId="0" fontId="0" fillId="0" borderId="0" xfId="0" applyFont="1" applyAlignment="1"/>
    <xf numFmtId="0" fontId="4" fillId="0" borderId="0" xfId="0" applyFont="1" applyAlignment="1">
      <alignment horizontal="center"/>
    </xf>
    <xf numFmtId="0" fontId="5" fillId="2" borderId="1" xfId="0" applyFont="1" applyFill="1" applyBorder="1" applyAlignment="1">
      <alignment horizontal="left" wrapText="1"/>
    </xf>
    <xf numFmtId="0" fontId="6" fillId="0" borderId="2" xfId="0" applyFont="1" applyBorder="1"/>
    <xf numFmtId="0" fontId="8" fillId="2" borderId="1" xfId="0" applyFont="1" applyFill="1" applyBorder="1" applyAlignment="1">
      <alignment horizontal="center" wrapText="1"/>
    </xf>
    <xf numFmtId="0" fontId="6" fillId="0" borderId="17" xfId="0" applyFont="1" applyBorder="1"/>
    <xf numFmtId="0" fontId="6" fillId="0" borderId="3" xfId="0" applyFont="1" applyBorder="1" applyAlignment="1">
      <alignment horizontal="left" vertical="center"/>
    </xf>
    <xf numFmtId="0" fontId="6" fillId="0" borderId="18" xfId="0" applyFont="1" applyBorder="1" applyAlignment="1">
      <alignment horizontal="left" vertical="center"/>
    </xf>
    <xf numFmtId="0" fontId="14" fillId="2" borderId="3" xfId="0" applyFont="1" applyFill="1" applyBorder="1" applyAlignment="1">
      <alignment horizontal="left" vertical="center"/>
    </xf>
    <xf numFmtId="0" fontId="9" fillId="21" borderId="13" xfId="0" applyFont="1" applyFill="1" applyBorder="1" applyAlignment="1">
      <alignment horizontal="left" vertical="center" wrapText="1"/>
    </xf>
    <xf numFmtId="0" fontId="9" fillId="21" borderId="14"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8" fillId="2" borderId="3" xfId="0" applyFont="1" applyFill="1" applyBorder="1" applyAlignment="1">
      <alignment horizontal="center" wrapText="1"/>
    </xf>
    <xf numFmtId="0" fontId="8" fillId="2" borderId="18" xfId="0" applyFont="1" applyFill="1" applyBorder="1" applyAlignment="1">
      <alignment horizontal="center" wrapText="1"/>
    </xf>
    <xf numFmtId="0" fontId="14" fillId="2" borderId="18" xfId="0" applyFont="1" applyFill="1" applyBorder="1" applyAlignment="1">
      <alignment horizontal="left" vertical="center"/>
    </xf>
    <xf numFmtId="0" fontId="8" fillId="2" borderId="3" xfId="0" applyFont="1" applyFill="1" applyBorder="1" applyAlignment="1">
      <alignment horizontal="left" wrapText="1"/>
    </xf>
    <xf numFmtId="0" fontId="6" fillId="0" borderId="3" xfId="0" applyFont="1" applyBorder="1" applyAlignment="1"/>
    <xf numFmtId="0" fontId="6" fillId="0" borderId="18" xfId="0" applyFont="1" applyBorder="1" applyAlignment="1"/>
    <xf numFmtId="0" fontId="38" fillId="0" borderId="36" xfId="45" applyFont="1" applyBorder="1" applyAlignment="1">
      <alignment horizontal="left" vertical="center" wrapText="1"/>
    </xf>
    <xf numFmtId="0" fontId="41" fillId="0" borderId="35" xfId="45" applyFont="1" applyBorder="1" applyAlignment="1">
      <alignment horizontal="left" vertical="center" wrapText="1"/>
    </xf>
    <xf numFmtId="0" fontId="40" fillId="23" borderId="36" xfId="45" applyFont="1" applyFill="1" applyBorder="1" applyAlignment="1">
      <alignment horizontal="left" vertical="center" wrapText="1" indent="1"/>
    </xf>
    <xf numFmtId="0" fontId="41" fillId="0" borderId="37" xfId="45" applyFont="1" applyBorder="1" applyAlignment="1">
      <alignment horizontal="left" vertical="center" wrapText="1"/>
    </xf>
    <xf numFmtId="0" fontId="42" fillId="23" borderId="36" xfId="45" applyFont="1" applyFill="1" applyBorder="1" applyAlignment="1">
      <alignment horizontal="left" vertical="center" wrapText="1" indent="1"/>
    </xf>
    <xf numFmtId="166" fontId="41" fillId="23" borderId="36" xfId="45" applyNumberFormat="1" applyFont="1" applyFill="1" applyBorder="1" applyAlignment="1">
      <alignment horizontal="center" vertical="center"/>
    </xf>
    <xf numFmtId="0" fontId="41" fillId="0" borderId="38" xfId="45" applyFont="1" applyBorder="1" applyAlignment="1">
      <alignment horizontal="left" vertical="center"/>
    </xf>
    <xf numFmtId="0" fontId="2" fillId="4" borderId="39" xfId="45" applyFont="1" applyFill="1" applyBorder="1" applyAlignment="1">
      <alignment horizontal="left" vertical="center" wrapText="1" indent="1"/>
    </xf>
    <xf numFmtId="0" fontId="42" fillId="0" borderId="38" xfId="45" applyFont="1" applyBorder="1" applyAlignment="1">
      <alignment horizontal="center" vertical="center"/>
    </xf>
    <xf numFmtId="0" fontId="42" fillId="0" borderId="40" xfId="45" applyFont="1" applyBorder="1" applyAlignment="1">
      <alignment horizontal="center" vertical="center" wrapText="1"/>
    </xf>
    <xf numFmtId="0" fontId="42" fillId="0" borderId="39" xfId="45" applyFont="1" applyBorder="1" applyAlignment="1">
      <alignment horizontal="center" vertical="center" wrapText="1"/>
    </xf>
    <xf numFmtId="0" fontId="39" fillId="0" borderId="3" xfId="45" applyFont="1" applyBorder="1" applyAlignment="1">
      <alignment horizontal="center" vertical="center"/>
    </xf>
    <xf numFmtId="0" fontId="6" fillId="4" borderId="54" xfId="0" applyFont="1" applyFill="1" applyBorder="1" applyAlignment="1">
      <alignment horizontal="left" vertical="center" wrapText="1" indent="1"/>
    </xf>
    <xf numFmtId="0" fontId="36" fillId="4" borderId="54" xfId="0" applyFont="1" applyFill="1" applyBorder="1" applyAlignment="1">
      <alignment horizontal="left" vertical="center" wrapText="1" indent="1"/>
    </xf>
    <xf numFmtId="0" fontId="6" fillId="0" borderId="53" xfId="0" applyFont="1" applyBorder="1" applyAlignment="1">
      <alignment horizontal="left" vertical="center" wrapText="1"/>
    </xf>
    <xf numFmtId="0" fontId="0" fillId="0" borderId="53" xfId="0" applyBorder="1" applyAlignment="1">
      <alignment horizontal="left" vertical="center" wrapText="1"/>
    </xf>
    <xf numFmtId="0" fontId="6" fillId="0" borderId="53" xfId="0" applyFont="1" applyBorder="1" applyAlignment="1">
      <alignment horizontal="left" vertical="center"/>
    </xf>
    <xf numFmtId="0" fontId="0" fillId="0" borderId="53" xfId="0" applyBorder="1" applyAlignment="1">
      <alignment horizontal="left" vertical="center"/>
    </xf>
    <xf numFmtId="0" fontId="44" fillId="23" borderId="54" xfId="0" applyFont="1" applyFill="1" applyBorder="1" applyAlignment="1">
      <alignment horizontal="left" vertical="center" wrapText="1"/>
    </xf>
    <xf numFmtId="0" fontId="0" fillId="0" borderId="43" xfId="0" applyBorder="1"/>
    <xf numFmtId="0" fontId="44" fillId="0" borderId="41" xfId="0" applyFont="1" applyBorder="1" applyAlignment="1">
      <alignment vertical="center" wrapText="1"/>
    </xf>
    <xf numFmtId="0" fontId="44" fillId="0" borderId="55" xfId="0" applyFont="1" applyBorder="1" applyAlignment="1">
      <alignment vertical="center" wrapText="1"/>
    </xf>
    <xf numFmtId="0" fontId="44" fillId="0" borderId="39" xfId="0" applyFont="1" applyBorder="1" applyAlignment="1">
      <alignment vertical="center" wrapText="1"/>
    </xf>
    <xf numFmtId="0" fontId="46" fillId="0" borderId="48" xfId="0" applyFont="1" applyBorder="1" applyAlignment="1">
      <alignment vertical="center" wrapText="1"/>
    </xf>
    <xf numFmtId="0" fontId="6" fillId="0" borderId="52" xfId="0" applyFont="1" applyBorder="1" applyAlignment="1">
      <alignment horizontal="left" vertical="center" wrapText="1"/>
    </xf>
    <xf numFmtId="0" fontId="0" fillId="0" borderId="52" xfId="0" applyBorder="1" applyAlignment="1">
      <alignment horizontal="left" vertical="center" wrapText="1"/>
    </xf>
    <xf numFmtId="0" fontId="38" fillId="0" borderId="35" xfId="0" applyFont="1" applyBorder="1" applyAlignment="1">
      <alignment horizontal="left" vertical="center" wrapText="1"/>
    </xf>
    <xf numFmtId="0" fontId="38" fillId="0" borderId="56" xfId="0" applyFont="1" applyBorder="1" applyAlignment="1">
      <alignment horizontal="left" vertical="center" wrapText="1"/>
    </xf>
    <xf numFmtId="0" fontId="38" fillId="0" borderId="57" xfId="0" applyFont="1" applyBorder="1" applyAlignment="1">
      <alignment horizontal="left" vertical="center" wrapText="1"/>
    </xf>
    <xf numFmtId="0" fontId="49" fillId="0" borderId="33" xfId="0" applyFont="1" applyBorder="1" applyAlignment="1">
      <alignment horizontal="left" indent="1"/>
    </xf>
    <xf numFmtId="0" fontId="36" fillId="0" borderId="33" xfId="0" applyFont="1" applyBorder="1" applyAlignment="1">
      <alignment horizontal="left" indent="1"/>
    </xf>
    <xf numFmtId="0" fontId="47" fillId="0" borderId="33" xfId="0" applyFont="1" applyBorder="1" applyAlignment="1">
      <alignment horizontal="left"/>
    </xf>
    <xf numFmtId="0" fontId="46" fillId="0" borderId="44" xfId="0" applyFont="1" applyBorder="1"/>
    <xf numFmtId="0" fontId="46" fillId="0" borderId="45" xfId="0" applyFont="1" applyBorder="1" applyAlignment="1">
      <alignment horizontal="left" vertical="center" wrapText="1" indent="1"/>
    </xf>
    <xf numFmtId="0" fontId="48" fillId="0" borderId="43" xfId="0" applyFont="1" applyBorder="1" applyAlignment="1">
      <alignment horizontal="center" vertical="center"/>
    </xf>
    <xf numFmtId="0" fontId="48" fillId="0" borderId="33" xfId="0" applyFont="1" applyBorder="1" applyAlignment="1">
      <alignment horizontal="center" vertical="center"/>
    </xf>
    <xf numFmtId="0" fontId="48" fillId="0" borderId="43" xfId="0" applyFont="1" applyBorder="1" applyAlignment="1">
      <alignment horizontal="center" vertical="center" wrapText="1"/>
    </xf>
    <xf numFmtId="0" fontId="48" fillId="0" borderId="48" xfId="0" applyFont="1" applyBorder="1" applyAlignment="1">
      <alignment horizontal="center" vertical="center"/>
    </xf>
    <xf numFmtId="0" fontId="46" fillId="0" borderId="33" xfId="0" applyFont="1" applyBorder="1" applyAlignment="1">
      <alignment horizontal="left" indent="1"/>
    </xf>
    <xf numFmtId="0" fontId="0" fillId="0" borderId="41" xfId="0" applyBorder="1" applyAlignment="1">
      <alignment horizontal="center"/>
    </xf>
    <xf numFmtId="3" fontId="44" fillId="0" borderId="42" xfId="0" applyNumberFormat="1" applyFont="1" applyBorder="1" applyAlignment="1">
      <alignment horizontal="center"/>
    </xf>
    <xf numFmtId="0" fontId="45" fillId="0" borderId="33" xfId="0" applyFont="1" applyBorder="1" applyAlignment="1">
      <alignment horizontal="center" vertical="center" wrapText="1"/>
    </xf>
    <xf numFmtId="0" fontId="36" fillId="0" borderId="33" xfId="0" applyFont="1" applyBorder="1"/>
  </cellXfs>
  <cellStyles count="50">
    <cellStyle name="20% - Énfasis1 2" xfId="3" xr:uid="{00000000-0005-0000-0000-000000000000}"/>
    <cellStyle name="20% - Énfasis2 2" xfId="4" xr:uid="{00000000-0005-0000-0000-000001000000}"/>
    <cellStyle name="20% - Énfasis3 2" xfId="5" xr:uid="{00000000-0005-0000-0000-000002000000}"/>
    <cellStyle name="20% - Énfasis4 2" xfId="6" xr:uid="{00000000-0005-0000-0000-000003000000}"/>
    <cellStyle name="20% - Énfasis5 2" xfId="7" xr:uid="{00000000-0005-0000-0000-000004000000}"/>
    <cellStyle name="20% - Énfasis6 2" xfId="8" xr:uid="{00000000-0005-0000-0000-000005000000}"/>
    <cellStyle name="40% - Énfasis1 2" xfId="9" xr:uid="{00000000-0005-0000-0000-000006000000}"/>
    <cellStyle name="40% - Énfasis2 2" xfId="10" xr:uid="{00000000-0005-0000-0000-000007000000}"/>
    <cellStyle name="40% - Énfasis3 2" xfId="11" xr:uid="{00000000-0005-0000-0000-000008000000}"/>
    <cellStyle name="40% - Énfasis4 2" xfId="12" xr:uid="{00000000-0005-0000-0000-000009000000}"/>
    <cellStyle name="40% - Énfasis5 2" xfId="13" xr:uid="{00000000-0005-0000-0000-00000A000000}"/>
    <cellStyle name="40% - Énfasis6 2" xfId="14" xr:uid="{00000000-0005-0000-0000-00000B000000}"/>
    <cellStyle name="60% - Énfasis1 2" xfId="15" xr:uid="{00000000-0005-0000-0000-00000C000000}"/>
    <cellStyle name="60% - Énfasis2 2" xfId="16" xr:uid="{00000000-0005-0000-0000-00000D000000}"/>
    <cellStyle name="60% - Énfasis3 2" xfId="17" xr:uid="{00000000-0005-0000-0000-00000E000000}"/>
    <cellStyle name="60% - Énfasis4 2" xfId="18" xr:uid="{00000000-0005-0000-0000-00000F000000}"/>
    <cellStyle name="60% - Énfasis5 2" xfId="19" xr:uid="{00000000-0005-0000-0000-000010000000}"/>
    <cellStyle name="60% - Énfasis6 2" xfId="20" xr:uid="{00000000-0005-0000-0000-000011000000}"/>
    <cellStyle name="Buena 2" xfId="21" xr:uid="{00000000-0005-0000-0000-000012000000}"/>
    <cellStyle name="Cálculo 2" xfId="22" xr:uid="{00000000-0005-0000-0000-000013000000}"/>
    <cellStyle name="Celda de comprobación 2" xfId="23" xr:uid="{00000000-0005-0000-0000-000014000000}"/>
    <cellStyle name="Celda vinculada 2" xfId="24" xr:uid="{00000000-0005-0000-0000-000015000000}"/>
    <cellStyle name="Encabezado 1" xfId="25" xr:uid="{00000000-0005-0000-0000-000016000000}"/>
    <cellStyle name="Encabezado 1 2" xfId="47" xr:uid="{00000000-0005-0000-0000-000017000000}"/>
    <cellStyle name="Encabezado 4 2" xfId="26" xr:uid="{00000000-0005-0000-0000-000018000000}"/>
    <cellStyle name="Énfasis1 2" xfId="27" xr:uid="{00000000-0005-0000-0000-000019000000}"/>
    <cellStyle name="Énfasis2 2" xfId="28" xr:uid="{00000000-0005-0000-0000-00001A000000}"/>
    <cellStyle name="Énfasis3 2" xfId="29" xr:uid="{00000000-0005-0000-0000-00001B000000}"/>
    <cellStyle name="Énfasis4 2" xfId="30" xr:uid="{00000000-0005-0000-0000-00001C000000}"/>
    <cellStyle name="Énfasis5 2" xfId="31" xr:uid="{00000000-0005-0000-0000-00001D000000}"/>
    <cellStyle name="Énfasis6 2" xfId="32" xr:uid="{00000000-0005-0000-0000-00001E000000}"/>
    <cellStyle name="Entrada 2" xfId="33" xr:uid="{00000000-0005-0000-0000-00001F000000}"/>
    <cellStyle name="Incorrecto 2" xfId="34" xr:uid="{00000000-0005-0000-0000-000020000000}"/>
    <cellStyle name="Moneda 2" xfId="46" xr:uid="{00000000-0005-0000-0000-000021000000}"/>
    <cellStyle name="Moneda_AUTORIZACION Y NOTA DE PEDIDO" xfId="48" xr:uid="{00000000-0005-0000-0000-000022000000}"/>
    <cellStyle name="Neutral 1" xfId="35" xr:uid="{00000000-0005-0000-0000-000023000000}"/>
    <cellStyle name="Neutral 1 2" xfId="49" xr:uid="{00000000-0005-0000-0000-000024000000}"/>
    <cellStyle name="Normal" xfId="0" builtinId="0"/>
    <cellStyle name="Normal 2" xfId="2" xr:uid="{00000000-0005-0000-0000-000026000000}"/>
    <cellStyle name="Normal 3" xfId="44" xr:uid="{00000000-0005-0000-0000-000027000000}"/>
    <cellStyle name="Normal 4" xfId="1" xr:uid="{00000000-0005-0000-0000-000028000000}"/>
    <cellStyle name="Normal 5" xfId="45" xr:uid="{00000000-0005-0000-0000-000029000000}"/>
    <cellStyle name="Notas 2" xfId="36" xr:uid="{00000000-0005-0000-0000-00002A000000}"/>
    <cellStyle name="Salida 2" xfId="37" xr:uid="{00000000-0005-0000-0000-00002B000000}"/>
    <cellStyle name="Texto de advertencia 2" xfId="38" xr:uid="{00000000-0005-0000-0000-00002C000000}"/>
    <cellStyle name="Texto explicativo 2" xfId="39" xr:uid="{00000000-0005-0000-0000-00002D000000}"/>
    <cellStyle name="Título 2 2" xfId="41" xr:uid="{00000000-0005-0000-0000-00002E000000}"/>
    <cellStyle name="Título 3 2" xfId="42" xr:uid="{00000000-0005-0000-0000-00002F000000}"/>
    <cellStyle name="Título 4" xfId="40" xr:uid="{00000000-0005-0000-0000-000030000000}"/>
    <cellStyle name="Total 2" xfId="43"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UIZ%202021/TRAMITES%20COMPRAR/bienes%20de%20capital/BIENES%20DE%20CAPITAL%20DE%20AGUSTIN/NecesidadesTrimestrales-NP-APG%20bienes%20de%20capit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 NotaPedido"/>
      <sheetName val="Autor Gastar"/>
    </sheetNames>
    <sheetDataSet>
      <sheetData sheetId="0">
        <row r="6">
          <cell r="C6">
            <v>2021</v>
          </cell>
        </row>
      </sheetData>
      <sheetData sheetId="1">
        <row r="3">
          <cell r="D3" t="str">
            <v>70 - MINISTERIO DE CIENCIA E INNOVACION TECNOLOGICA</v>
          </cell>
        </row>
        <row r="4">
          <cell r="D4" t="str">
            <v>20 - MINISTERIO DE CIENCIA E INNOVACION TECNOLOGICA</v>
          </cell>
        </row>
        <row r="6">
          <cell r="D6" t="str">
            <v>DIRECCION PROVINCIAL DE GESTION ADMINISTRATIVA RECURSOS HUMANOS</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1525"/>
  <sheetViews>
    <sheetView topLeftCell="A200" zoomScale="62" zoomScaleNormal="62" workbookViewId="0">
      <selection activeCell="E174" sqref="E174"/>
    </sheetView>
  </sheetViews>
  <sheetFormatPr baseColWidth="10" defaultColWidth="12.5703125" defaultRowHeight="15" customHeight="1" x14ac:dyDescent="0.2"/>
  <cols>
    <col min="1" max="1" width="6.42578125" customWidth="1"/>
    <col min="2" max="2" width="16.85546875" customWidth="1"/>
    <col min="3" max="3" width="39.7109375" customWidth="1"/>
    <col min="4" max="4" width="8.42578125" customWidth="1"/>
    <col min="5" max="5" width="139.7109375" customWidth="1"/>
    <col min="6" max="6" width="11" customWidth="1"/>
    <col min="7" max="7" width="15.42578125" customWidth="1"/>
    <col min="8" max="8" width="18.5703125" customWidth="1"/>
    <col min="9" max="9" width="22.85546875" customWidth="1"/>
    <col min="10" max="10" width="11" customWidth="1"/>
    <col min="11" max="11" width="11.42578125" customWidth="1"/>
    <col min="12" max="12" width="15.42578125" customWidth="1"/>
    <col min="13" max="29" width="11" customWidth="1"/>
  </cols>
  <sheetData>
    <row r="1" spans="1:23" x14ac:dyDescent="0.2">
      <c r="A1" s="1"/>
      <c r="B1" s="2"/>
      <c r="C1" s="3"/>
      <c r="D1" s="1"/>
      <c r="E1" s="4"/>
      <c r="F1" s="1"/>
      <c r="G1" s="1"/>
      <c r="H1" s="5"/>
      <c r="I1" s="1"/>
      <c r="J1" s="1"/>
      <c r="K1" s="1"/>
      <c r="L1" s="1"/>
      <c r="M1" s="1"/>
      <c r="N1" s="1"/>
      <c r="O1" s="1"/>
      <c r="P1" s="1"/>
      <c r="Q1" s="1"/>
      <c r="R1" s="1"/>
      <c r="S1" s="1"/>
      <c r="T1" s="1"/>
      <c r="U1" s="1"/>
      <c r="V1" s="1"/>
      <c r="W1" s="1"/>
    </row>
    <row r="2" spans="1:23" ht="27" x14ac:dyDescent="0.35">
      <c r="A2" s="1"/>
      <c r="B2" s="109" t="s">
        <v>0</v>
      </c>
      <c r="C2" s="108"/>
      <c r="D2" s="108"/>
      <c r="E2" s="108"/>
      <c r="F2" s="108"/>
      <c r="G2" s="108"/>
      <c r="H2" s="108"/>
      <c r="I2" s="1"/>
      <c r="J2" s="1"/>
      <c r="K2" s="1"/>
      <c r="L2" s="1"/>
      <c r="M2" s="1"/>
      <c r="N2" s="1"/>
      <c r="O2" s="1"/>
      <c r="P2" s="1"/>
      <c r="Q2" s="1"/>
      <c r="R2" s="1"/>
      <c r="S2" s="1"/>
      <c r="T2" s="1"/>
      <c r="U2" s="1"/>
      <c r="V2" s="1"/>
      <c r="W2" s="1"/>
    </row>
    <row r="3" spans="1:23" x14ac:dyDescent="0.2">
      <c r="A3" s="1"/>
      <c r="B3" s="2"/>
      <c r="C3" s="3"/>
      <c r="D3" s="1"/>
      <c r="E3" s="4"/>
      <c r="F3" s="1"/>
      <c r="G3" s="1"/>
      <c r="H3" s="5"/>
      <c r="I3" s="1"/>
      <c r="J3" s="1"/>
      <c r="K3" s="1"/>
      <c r="L3" s="1"/>
      <c r="M3" s="1"/>
      <c r="N3" s="1"/>
      <c r="O3" s="1"/>
      <c r="P3" s="1"/>
      <c r="Q3" s="1"/>
      <c r="R3" s="1"/>
      <c r="S3" s="1"/>
      <c r="T3" s="1"/>
      <c r="U3" s="1"/>
      <c r="V3" s="1"/>
      <c r="W3" s="1"/>
    </row>
    <row r="4" spans="1:23" ht="18" customHeight="1" x14ac:dyDescent="0.25">
      <c r="A4" s="107" t="s">
        <v>1</v>
      </c>
      <c r="B4" s="108"/>
      <c r="C4" s="110" t="s">
        <v>14</v>
      </c>
      <c r="D4" s="111"/>
      <c r="E4" s="111"/>
      <c r="F4" s="6"/>
      <c r="G4" s="7"/>
      <c r="H4" s="8"/>
      <c r="I4" s="9"/>
      <c r="J4" s="1"/>
      <c r="K4" s="1"/>
      <c r="L4" s="1"/>
      <c r="M4" s="1"/>
      <c r="N4" s="1"/>
      <c r="O4" s="1"/>
      <c r="P4" s="1"/>
      <c r="Q4" s="1"/>
      <c r="R4" s="1"/>
      <c r="S4" s="1"/>
      <c r="T4" s="1"/>
      <c r="U4" s="1"/>
      <c r="V4" s="1"/>
      <c r="W4" s="1"/>
    </row>
    <row r="5" spans="1:23" ht="18" customHeight="1" x14ac:dyDescent="0.25">
      <c r="A5" s="107" t="s">
        <v>2</v>
      </c>
      <c r="B5" s="108"/>
      <c r="C5" s="110" t="s">
        <v>15</v>
      </c>
      <c r="D5" s="111"/>
      <c r="E5" s="111"/>
      <c r="F5" s="6"/>
      <c r="G5" s="7"/>
      <c r="H5" s="8"/>
      <c r="I5" s="9"/>
      <c r="J5" s="1"/>
      <c r="K5" s="1"/>
      <c r="L5" s="1"/>
      <c r="M5" s="1"/>
      <c r="N5" s="1"/>
      <c r="O5" s="1"/>
      <c r="P5" s="1"/>
      <c r="Q5" s="1"/>
      <c r="R5" s="1"/>
      <c r="S5" s="1"/>
      <c r="T5" s="1"/>
      <c r="U5" s="1"/>
      <c r="V5" s="1"/>
      <c r="W5" s="1"/>
    </row>
    <row r="6" spans="1:23" ht="16.5" customHeight="1" x14ac:dyDescent="0.25">
      <c r="A6" s="107" t="s">
        <v>3</v>
      </c>
      <c r="B6" s="108"/>
      <c r="C6" s="10">
        <v>2021</v>
      </c>
      <c r="D6" s="10"/>
      <c r="E6" s="11"/>
      <c r="F6" s="6"/>
      <c r="G6" s="7"/>
      <c r="H6" s="8"/>
      <c r="I6" s="9"/>
      <c r="J6" s="1"/>
      <c r="K6" s="1"/>
      <c r="L6" s="1"/>
      <c r="M6" s="1"/>
      <c r="N6" s="1"/>
      <c r="O6" s="1"/>
      <c r="P6" s="1"/>
      <c r="Q6" s="1"/>
      <c r="R6" s="1"/>
      <c r="S6" s="1"/>
      <c r="T6" s="1"/>
      <c r="U6" s="1"/>
      <c r="V6" s="1"/>
      <c r="W6" s="1"/>
    </row>
    <row r="7" spans="1:23" ht="16.5" customHeight="1" x14ac:dyDescent="0.25">
      <c r="A7" s="107" t="s">
        <v>4</v>
      </c>
      <c r="B7" s="108"/>
      <c r="C7" s="10">
        <v>4</v>
      </c>
      <c r="D7" s="10"/>
      <c r="E7" s="11"/>
      <c r="F7" s="6"/>
      <c r="G7" s="7"/>
      <c r="H7" s="8"/>
      <c r="I7" s="9"/>
      <c r="J7" s="1"/>
      <c r="K7" s="1"/>
      <c r="L7" s="1"/>
      <c r="M7" s="1"/>
      <c r="N7" s="1"/>
      <c r="O7" s="1"/>
      <c r="P7" s="1"/>
      <c r="Q7" s="1"/>
      <c r="R7" s="1"/>
      <c r="S7" s="1"/>
      <c r="T7" s="1"/>
      <c r="U7" s="1"/>
      <c r="V7" s="1"/>
      <c r="W7" s="1"/>
    </row>
    <row r="8" spans="1:23" ht="14.25" x14ac:dyDescent="0.2">
      <c r="A8" s="9"/>
      <c r="B8" s="12"/>
      <c r="C8" s="7"/>
      <c r="D8" s="6"/>
      <c r="E8" s="13"/>
      <c r="F8" s="6"/>
      <c r="G8" s="7"/>
      <c r="H8" s="8"/>
      <c r="I8" s="9"/>
      <c r="J8" s="1"/>
      <c r="K8" s="1"/>
      <c r="L8" s="1"/>
      <c r="M8" s="1"/>
      <c r="N8" s="1"/>
      <c r="O8" s="1"/>
      <c r="P8" s="1"/>
      <c r="Q8" s="1"/>
      <c r="R8" s="1"/>
      <c r="S8" s="1"/>
      <c r="T8" s="1"/>
      <c r="U8" s="1"/>
      <c r="V8" s="1"/>
      <c r="W8" s="1"/>
    </row>
    <row r="9" spans="1:23" ht="12.75" x14ac:dyDescent="0.2">
      <c r="A9" s="1"/>
      <c r="B9" s="48"/>
      <c r="C9" s="1"/>
      <c r="D9" s="1"/>
      <c r="E9" s="1"/>
      <c r="F9" s="1"/>
      <c r="G9" s="1"/>
      <c r="H9" s="1"/>
      <c r="I9" s="1"/>
      <c r="J9" s="1"/>
      <c r="K9" s="1"/>
      <c r="L9" s="1"/>
      <c r="M9" s="1"/>
      <c r="N9" s="1"/>
      <c r="O9" s="1"/>
      <c r="P9" s="1"/>
      <c r="Q9" s="1"/>
      <c r="R9" s="1"/>
      <c r="S9" s="1"/>
      <c r="T9" s="1"/>
    </row>
    <row r="10" spans="1:23" ht="31.5" hidden="1" customHeight="1" x14ac:dyDescent="0.2">
      <c r="A10" s="15"/>
      <c r="B10" s="16"/>
      <c r="C10" s="15"/>
      <c r="D10" s="15"/>
      <c r="E10" s="15"/>
      <c r="F10" s="15"/>
      <c r="G10" s="15"/>
      <c r="H10" s="15"/>
      <c r="I10" s="15"/>
      <c r="J10" s="15"/>
      <c r="K10" s="15"/>
      <c r="L10" s="15"/>
      <c r="M10" s="15"/>
      <c r="N10" s="15"/>
      <c r="O10" s="15"/>
      <c r="P10" s="15"/>
      <c r="Q10" s="15"/>
      <c r="R10" s="15"/>
      <c r="S10" s="15"/>
      <c r="T10" s="15"/>
    </row>
    <row r="11" spans="1:23" ht="31.5" hidden="1" customHeight="1" x14ac:dyDescent="0.2">
      <c r="A11" s="15"/>
      <c r="B11" s="15"/>
      <c r="C11" s="15"/>
      <c r="D11" s="15"/>
      <c r="E11" s="15"/>
      <c r="F11" s="15"/>
      <c r="G11" s="15"/>
      <c r="H11" s="15"/>
      <c r="I11" s="15"/>
      <c r="J11" s="15"/>
      <c r="K11" s="15"/>
      <c r="L11" s="15"/>
      <c r="M11" s="15"/>
      <c r="N11" s="15"/>
      <c r="O11" s="15"/>
      <c r="P11" s="15"/>
      <c r="Q11" s="15"/>
      <c r="R11" s="15"/>
      <c r="S11" s="15"/>
      <c r="T11" s="15"/>
    </row>
    <row r="12" spans="1:23" ht="31.5" hidden="1" customHeight="1" x14ac:dyDescent="0.2">
      <c r="A12" s="15"/>
      <c r="B12" s="15"/>
      <c r="C12" s="15"/>
      <c r="D12" s="15"/>
      <c r="E12" s="15"/>
      <c r="F12" s="15"/>
      <c r="G12" s="15"/>
      <c r="H12" s="15"/>
      <c r="I12" s="15"/>
      <c r="J12" s="15"/>
      <c r="K12" s="15"/>
      <c r="L12" s="15"/>
      <c r="M12" s="15"/>
      <c r="N12" s="15"/>
      <c r="O12" s="15"/>
      <c r="P12" s="15"/>
      <c r="Q12" s="15"/>
      <c r="R12" s="15"/>
      <c r="S12" s="15"/>
      <c r="T12" s="15"/>
    </row>
    <row r="13" spans="1:23" ht="31.5" hidden="1" customHeight="1" x14ac:dyDescent="0.2">
      <c r="A13" s="15"/>
      <c r="B13" s="15"/>
      <c r="C13" s="15"/>
      <c r="D13" s="15"/>
      <c r="E13" s="15"/>
      <c r="F13" s="15"/>
      <c r="G13" s="15"/>
      <c r="H13" s="15"/>
      <c r="I13" s="15"/>
      <c r="J13" s="15"/>
      <c r="K13" s="15"/>
      <c r="L13" s="15"/>
      <c r="M13" s="15"/>
      <c r="N13" s="15"/>
      <c r="O13" s="15"/>
      <c r="P13" s="15"/>
      <c r="Q13" s="15"/>
      <c r="R13" s="15"/>
      <c r="S13" s="15"/>
      <c r="T13" s="15"/>
    </row>
    <row r="14" spans="1:23" ht="31.5" hidden="1" customHeight="1" x14ac:dyDescent="0.2">
      <c r="A14" s="15"/>
      <c r="B14" s="15"/>
      <c r="C14" s="15"/>
      <c r="D14" s="15"/>
      <c r="E14" s="15"/>
      <c r="F14" s="15"/>
      <c r="G14" s="15"/>
      <c r="H14" s="15"/>
      <c r="I14" s="15"/>
      <c r="J14" s="15"/>
      <c r="K14" s="15"/>
      <c r="L14" s="15"/>
      <c r="M14" s="15"/>
      <c r="N14" s="15"/>
      <c r="O14" s="15"/>
      <c r="P14" s="15"/>
      <c r="Q14" s="15"/>
      <c r="R14" s="15"/>
      <c r="S14" s="15"/>
      <c r="T14" s="15"/>
    </row>
    <row r="15" spans="1:23" ht="31.5" hidden="1" customHeight="1" x14ac:dyDescent="0.2">
      <c r="A15" s="15"/>
      <c r="B15" s="15"/>
      <c r="C15" s="15"/>
      <c r="D15" s="15"/>
      <c r="E15" s="15"/>
      <c r="F15" s="15"/>
      <c r="G15" s="15"/>
      <c r="H15" s="15"/>
      <c r="I15" s="15"/>
      <c r="J15" s="15"/>
      <c r="K15" s="15"/>
      <c r="L15" s="15"/>
      <c r="M15" s="15"/>
      <c r="N15" s="15"/>
      <c r="O15" s="15"/>
      <c r="P15" s="15"/>
      <c r="Q15" s="15"/>
      <c r="R15" s="15"/>
      <c r="S15" s="15"/>
      <c r="T15" s="15"/>
    </row>
    <row r="16" spans="1:23" ht="31.5" hidden="1" customHeight="1" x14ac:dyDescent="0.2">
      <c r="A16" s="15"/>
      <c r="B16" s="15"/>
      <c r="C16" s="15"/>
      <c r="D16" s="15"/>
      <c r="E16" s="15"/>
      <c r="F16" s="15"/>
      <c r="G16" s="15"/>
      <c r="H16" s="15"/>
      <c r="I16" s="15"/>
      <c r="J16" s="15"/>
      <c r="K16" s="15"/>
      <c r="L16" s="15"/>
      <c r="M16" s="15"/>
      <c r="N16" s="15"/>
      <c r="O16" s="15"/>
      <c r="P16" s="15"/>
      <c r="Q16" s="15"/>
      <c r="R16" s="15"/>
      <c r="S16" s="15"/>
      <c r="T16" s="15"/>
    </row>
    <row r="17" spans="1:20" ht="31.5" hidden="1" customHeight="1" x14ac:dyDescent="0.2">
      <c r="A17" s="15"/>
      <c r="B17" s="15"/>
      <c r="C17" s="15"/>
      <c r="D17" s="15"/>
      <c r="E17" s="15"/>
      <c r="F17" s="15"/>
      <c r="G17" s="15"/>
      <c r="H17" s="15"/>
      <c r="I17" s="15"/>
      <c r="J17" s="15"/>
      <c r="K17" s="15"/>
      <c r="L17" s="15"/>
      <c r="M17" s="15"/>
      <c r="N17" s="15"/>
      <c r="O17" s="15"/>
      <c r="P17" s="15"/>
      <c r="Q17" s="15"/>
      <c r="R17" s="15"/>
      <c r="S17" s="15"/>
      <c r="T17" s="15"/>
    </row>
    <row r="18" spans="1:20" ht="31.5" hidden="1" customHeight="1" x14ac:dyDescent="0.2">
      <c r="A18" s="15"/>
      <c r="B18" s="15"/>
      <c r="C18" s="15"/>
      <c r="D18" s="15"/>
      <c r="E18" s="15"/>
      <c r="F18" s="15"/>
      <c r="G18" s="15"/>
      <c r="H18" s="15"/>
      <c r="I18" s="15"/>
      <c r="J18" s="15"/>
      <c r="K18" s="15"/>
      <c r="L18" s="15"/>
      <c r="M18" s="15"/>
      <c r="N18" s="15"/>
      <c r="O18" s="15"/>
      <c r="P18" s="15"/>
      <c r="Q18" s="15"/>
      <c r="R18" s="15"/>
      <c r="S18" s="15"/>
      <c r="T18" s="15"/>
    </row>
    <row r="19" spans="1:20" ht="33.75" hidden="1" customHeight="1" x14ac:dyDescent="0.2">
      <c r="A19" s="15"/>
      <c r="B19" s="15"/>
      <c r="C19" s="15"/>
      <c r="D19" s="15"/>
      <c r="E19" s="15"/>
      <c r="F19" s="15"/>
      <c r="G19" s="15"/>
      <c r="H19" s="15"/>
      <c r="I19" s="15"/>
      <c r="J19" s="15"/>
      <c r="K19" s="15"/>
      <c r="L19" s="15"/>
      <c r="M19" s="15"/>
      <c r="N19" s="15"/>
      <c r="O19" s="15"/>
      <c r="P19" s="15"/>
      <c r="Q19" s="15"/>
      <c r="R19" s="15"/>
      <c r="S19" s="15"/>
      <c r="T19" s="15"/>
    </row>
    <row r="20" spans="1:20" ht="32.25" hidden="1" customHeight="1" x14ac:dyDescent="0.2">
      <c r="A20" s="15"/>
      <c r="B20" s="15"/>
      <c r="C20" s="15"/>
      <c r="D20" s="15"/>
      <c r="E20" s="15"/>
      <c r="F20" s="15"/>
      <c r="G20" s="15"/>
      <c r="H20" s="15"/>
      <c r="I20" s="15"/>
      <c r="J20" s="15"/>
      <c r="K20" s="15"/>
      <c r="L20" s="15"/>
      <c r="M20" s="15"/>
      <c r="N20" s="15"/>
      <c r="O20" s="15"/>
      <c r="P20" s="15"/>
      <c r="Q20" s="15"/>
      <c r="R20" s="15"/>
      <c r="S20" s="15"/>
      <c r="T20" s="15"/>
    </row>
    <row r="21" spans="1:20" ht="32.25" hidden="1" customHeight="1" x14ac:dyDescent="0.2">
      <c r="A21" s="15"/>
      <c r="B21" s="15"/>
      <c r="C21" s="15"/>
      <c r="D21" s="15"/>
      <c r="E21" s="15"/>
      <c r="F21" s="15"/>
      <c r="G21" s="15"/>
      <c r="H21" s="15"/>
      <c r="I21" s="15"/>
      <c r="J21" s="15"/>
      <c r="K21" s="15"/>
      <c r="L21" s="15"/>
      <c r="M21" s="15"/>
      <c r="N21" s="15"/>
      <c r="O21" s="15"/>
      <c r="P21" s="15"/>
      <c r="Q21" s="15"/>
      <c r="R21" s="15"/>
      <c r="S21" s="15"/>
      <c r="T21" s="15"/>
    </row>
    <row r="22" spans="1:20" ht="32.25" hidden="1" customHeight="1" x14ac:dyDescent="0.2">
      <c r="A22" s="15"/>
      <c r="B22" s="15"/>
      <c r="C22" s="15"/>
      <c r="D22" s="15"/>
      <c r="E22" s="15"/>
      <c r="F22" s="15"/>
      <c r="G22" s="15"/>
      <c r="H22" s="15"/>
      <c r="I22" s="15"/>
      <c r="J22" s="15"/>
      <c r="K22" s="15"/>
      <c r="L22" s="15"/>
      <c r="M22" s="15"/>
      <c r="N22" s="15"/>
      <c r="O22" s="15"/>
      <c r="P22" s="15"/>
      <c r="Q22" s="15"/>
      <c r="R22" s="15"/>
      <c r="S22" s="15"/>
      <c r="T22" s="15"/>
    </row>
    <row r="23" spans="1:20" ht="32.25" hidden="1" customHeight="1" x14ac:dyDescent="0.2">
      <c r="A23" s="15"/>
      <c r="B23" s="15"/>
      <c r="C23" s="15"/>
      <c r="D23" s="15"/>
      <c r="E23" s="15"/>
      <c r="F23" s="15"/>
      <c r="G23" s="15"/>
      <c r="H23" s="15"/>
      <c r="I23" s="15"/>
      <c r="J23" s="15"/>
      <c r="K23" s="15"/>
      <c r="L23" s="15"/>
      <c r="M23" s="15"/>
      <c r="N23" s="15"/>
      <c r="O23" s="15"/>
      <c r="P23" s="15"/>
      <c r="Q23" s="15"/>
      <c r="R23" s="15"/>
      <c r="S23" s="15"/>
      <c r="T23" s="15"/>
    </row>
    <row r="24" spans="1:20" ht="32.25" hidden="1" customHeight="1" x14ac:dyDescent="0.2">
      <c r="A24" s="15"/>
      <c r="B24" s="15"/>
      <c r="C24" s="15"/>
      <c r="D24" s="15"/>
      <c r="E24" s="15"/>
      <c r="F24" s="15"/>
      <c r="G24" s="15"/>
      <c r="H24" s="15"/>
      <c r="I24" s="15"/>
      <c r="J24" s="15"/>
      <c r="K24" s="15"/>
      <c r="L24" s="15"/>
      <c r="M24" s="15"/>
      <c r="N24" s="15"/>
      <c r="O24" s="15"/>
      <c r="P24" s="15"/>
      <c r="Q24" s="15"/>
      <c r="R24" s="15"/>
      <c r="S24" s="15"/>
      <c r="T24" s="15"/>
    </row>
    <row r="25" spans="1:20" ht="32.25" hidden="1" customHeight="1" x14ac:dyDescent="0.2">
      <c r="A25" s="15"/>
      <c r="B25" s="15"/>
      <c r="C25" s="15"/>
      <c r="D25" s="15"/>
      <c r="E25" s="15"/>
      <c r="F25" s="15"/>
      <c r="G25" s="15"/>
      <c r="H25" s="15"/>
      <c r="I25" s="15"/>
      <c r="J25" s="15"/>
      <c r="K25" s="15"/>
      <c r="L25" s="15"/>
      <c r="M25" s="15"/>
      <c r="N25" s="15"/>
      <c r="O25" s="15"/>
      <c r="P25" s="15"/>
      <c r="Q25" s="15"/>
      <c r="R25" s="15"/>
      <c r="S25" s="15"/>
      <c r="T25" s="15"/>
    </row>
    <row r="26" spans="1:20" ht="32.25" hidden="1" customHeight="1" x14ac:dyDescent="0.2">
      <c r="A26" s="15"/>
      <c r="B26" s="15"/>
      <c r="C26" s="15"/>
      <c r="D26" s="15"/>
      <c r="E26" s="15"/>
      <c r="F26" s="15"/>
      <c r="G26" s="15"/>
      <c r="H26" s="15"/>
      <c r="I26" s="15"/>
      <c r="J26" s="15"/>
      <c r="K26" s="15"/>
      <c r="L26" s="15"/>
      <c r="M26" s="15"/>
      <c r="N26" s="15"/>
      <c r="O26" s="15"/>
      <c r="P26" s="15"/>
      <c r="Q26" s="15"/>
      <c r="R26" s="15"/>
      <c r="S26" s="15"/>
      <c r="T26" s="15"/>
    </row>
    <row r="27" spans="1:20" ht="32.25" hidden="1" customHeight="1" x14ac:dyDescent="0.2">
      <c r="A27" s="15"/>
      <c r="B27" s="15"/>
      <c r="C27" s="15"/>
      <c r="D27" s="15"/>
      <c r="E27" s="15"/>
      <c r="F27" s="15"/>
      <c r="G27" s="15"/>
      <c r="H27" s="15"/>
      <c r="I27" s="15"/>
      <c r="J27" s="15"/>
      <c r="K27" s="15"/>
      <c r="L27" s="15"/>
      <c r="M27" s="15"/>
      <c r="N27" s="15"/>
      <c r="O27" s="15"/>
      <c r="P27" s="15"/>
      <c r="Q27" s="15"/>
      <c r="R27" s="15"/>
      <c r="S27" s="15"/>
      <c r="T27" s="15"/>
    </row>
    <row r="28" spans="1:20" ht="32.25" hidden="1" customHeight="1" x14ac:dyDescent="0.2">
      <c r="A28" s="15"/>
      <c r="B28" s="15"/>
      <c r="C28" s="15"/>
      <c r="D28" s="15"/>
      <c r="E28" s="15"/>
      <c r="F28" s="15"/>
      <c r="G28" s="15"/>
      <c r="H28" s="15"/>
      <c r="I28" s="15"/>
      <c r="J28" s="15"/>
      <c r="K28" s="15"/>
      <c r="L28" s="15"/>
      <c r="M28" s="15"/>
      <c r="N28" s="15"/>
      <c r="O28" s="15"/>
      <c r="P28" s="15"/>
      <c r="Q28" s="15"/>
      <c r="R28" s="15"/>
      <c r="S28" s="15"/>
      <c r="T28" s="15"/>
    </row>
    <row r="29" spans="1:20" ht="32.25" hidden="1" customHeight="1" x14ac:dyDescent="0.2">
      <c r="A29" s="15"/>
      <c r="B29" s="15"/>
      <c r="C29" s="15"/>
      <c r="D29" s="15"/>
      <c r="E29" s="15"/>
      <c r="F29" s="15"/>
      <c r="G29" s="15"/>
      <c r="H29" s="15"/>
      <c r="I29" s="15"/>
      <c r="J29" s="15"/>
      <c r="K29" s="15"/>
      <c r="L29" s="15"/>
      <c r="M29" s="15"/>
      <c r="N29" s="15"/>
      <c r="O29" s="15"/>
      <c r="P29" s="15"/>
      <c r="Q29" s="15"/>
      <c r="R29" s="15"/>
      <c r="S29" s="15"/>
      <c r="T29" s="15"/>
    </row>
    <row r="30" spans="1:20" ht="32.25" hidden="1" customHeight="1" x14ac:dyDescent="0.2">
      <c r="A30" s="15"/>
      <c r="B30" s="15"/>
      <c r="C30" s="15"/>
      <c r="D30" s="15"/>
      <c r="E30" s="15"/>
      <c r="F30" s="15"/>
      <c r="G30" s="15"/>
      <c r="H30" s="15"/>
      <c r="I30" s="15"/>
      <c r="J30" s="15"/>
      <c r="K30" s="15"/>
      <c r="L30" s="15"/>
      <c r="M30" s="15"/>
      <c r="N30" s="15"/>
      <c r="O30" s="15"/>
      <c r="P30" s="15"/>
      <c r="Q30" s="15"/>
      <c r="R30" s="15"/>
      <c r="S30" s="15"/>
      <c r="T30" s="15"/>
    </row>
    <row r="31" spans="1:20" ht="32.25" hidden="1" customHeight="1" x14ac:dyDescent="0.2">
      <c r="A31" s="15"/>
      <c r="B31" s="15"/>
      <c r="C31" s="15"/>
      <c r="D31" s="15"/>
      <c r="E31" s="15"/>
      <c r="F31" s="15"/>
      <c r="G31" s="15"/>
      <c r="H31" s="15"/>
      <c r="I31" s="15"/>
      <c r="J31" s="15"/>
      <c r="K31" s="15"/>
      <c r="L31" s="15"/>
      <c r="M31" s="15"/>
      <c r="N31" s="15"/>
      <c r="O31" s="15"/>
      <c r="P31" s="15"/>
      <c r="Q31" s="15"/>
      <c r="R31" s="15"/>
      <c r="S31" s="15"/>
      <c r="T31" s="15"/>
    </row>
    <row r="32" spans="1:20" ht="32.25" hidden="1" customHeight="1" x14ac:dyDescent="0.2">
      <c r="A32" s="15"/>
      <c r="B32" s="15"/>
      <c r="C32" s="15"/>
      <c r="D32" s="15"/>
      <c r="E32" s="15"/>
      <c r="F32" s="15"/>
      <c r="G32" s="15"/>
      <c r="H32" s="15"/>
      <c r="I32" s="15"/>
      <c r="J32" s="15"/>
      <c r="K32" s="15"/>
      <c r="L32" s="15"/>
      <c r="M32" s="15"/>
      <c r="N32" s="15"/>
      <c r="O32" s="15"/>
      <c r="P32" s="15"/>
      <c r="Q32" s="15"/>
      <c r="R32" s="15"/>
      <c r="S32" s="15"/>
      <c r="T32" s="15"/>
    </row>
    <row r="33" spans="1:20" ht="32.25" hidden="1" customHeight="1" x14ac:dyDescent="0.2">
      <c r="A33" s="15"/>
      <c r="B33" s="15"/>
      <c r="C33" s="15"/>
      <c r="D33" s="15"/>
      <c r="E33" s="15"/>
      <c r="F33" s="15"/>
      <c r="G33" s="15"/>
      <c r="H33" s="15"/>
      <c r="I33" s="15"/>
      <c r="J33" s="15"/>
      <c r="K33" s="15"/>
      <c r="L33" s="15"/>
      <c r="M33" s="15"/>
      <c r="N33" s="15"/>
      <c r="O33" s="15"/>
      <c r="P33" s="15"/>
      <c r="Q33" s="15"/>
      <c r="R33" s="15"/>
      <c r="S33" s="15"/>
      <c r="T33" s="15"/>
    </row>
    <row r="34" spans="1:20" ht="32.25" hidden="1" customHeight="1" x14ac:dyDescent="0.2">
      <c r="A34" s="15"/>
      <c r="B34" s="15"/>
      <c r="C34" s="15"/>
      <c r="D34" s="15"/>
      <c r="E34" s="15"/>
      <c r="F34" s="15"/>
      <c r="G34" s="15"/>
      <c r="H34" s="15"/>
      <c r="I34" s="15"/>
      <c r="J34" s="15"/>
      <c r="K34" s="15"/>
      <c r="L34" s="15"/>
      <c r="M34" s="15"/>
      <c r="N34" s="15"/>
      <c r="O34" s="15"/>
      <c r="P34" s="15"/>
      <c r="Q34" s="15"/>
      <c r="R34" s="15"/>
      <c r="S34" s="15"/>
      <c r="T34" s="15"/>
    </row>
    <row r="35" spans="1:20" ht="32.25" hidden="1" customHeight="1" x14ac:dyDescent="0.2">
      <c r="A35" s="15"/>
      <c r="B35" s="15"/>
      <c r="C35" s="15"/>
      <c r="D35" s="15"/>
      <c r="E35" s="15"/>
      <c r="F35" s="15"/>
      <c r="G35" s="15"/>
      <c r="H35" s="15"/>
      <c r="I35" s="15"/>
      <c r="J35" s="15"/>
      <c r="K35" s="15"/>
      <c r="L35" s="15"/>
      <c r="M35" s="15"/>
      <c r="N35" s="15"/>
      <c r="O35" s="15"/>
      <c r="P35" s="15"/>
      <c r="Q35" s="15"/>
      <c r="R35" s="15"/>
      <c r="S35" s="15"/>
      <c r="T35" s="15"/>
    </row>
    <row r="36" spans="1:20" ht="32.25" hidden="1" customHeight="1" x14ac:dyDescent="0.2">
      <c r="A36" s="15"/>
      <c r="B36" s="15"/>
      <c r="C36" s="15"/>
      <c r="D36" s="15"/>
      <c r="E36" s="15"/>
      <c r="F36" s="15"/>
      <c r="G36" s="15"/>
      <c r="H36" s="15"/>
      <c r="I36" s="15"/>
      <c r="J36" s="15"/>
      <c r="K36" s="15"/>
      <c r="L36" s="15"/>
      <c r="M36" s="15"/>
      <c r="N36" s="15"/>
      <c r="O36" s="15"/>
      <c r="P36" s="15"/>
      <c r="Q36" s="15"/>
      <c r="R36" s="15"/>
      <c r="S36" s="15"/>
      <c r="T36" s="15"/>
    </row>
    <row r="37" spans="1:20" ht="32.25" hidden="1" customHeight="1" x14ac:dyDescent="0.2">
      <c r="A37" s="15"/>
      <c r="B37" s="15"/>
      <c r="C37" s="15"/>
      <c r="D37" s="15"/>
      <c r="E37" s="15"/>
      <c r="F37" s="15"/>
      <c r="G37" s="15"/>
      <c r="H37" s="15"/>
      <c r="I37" s="15"/>
      <c r="J37" s="15"/>
      <c r="K37" s="15"/>
      <c r="L37" s="15"/>
      <c r="M37" s="15"/>
      <c r="N37" s="15"/>
      <c r="O37" s="15"/>
      <c r="P37" s="15"/>
      <c r="Q37" s="15"/>
      <c r="R37" s="15"/>
      <c r="S37" s="15"/>
      <c r="T37" s="15"/>
    </row>
    <row r="38" spans="1:20" ht="32.25" hidden="1" customHeight="1" x14ac:dyDescent="0.2">
      <c r="A38" s="15"/>
      <c r="B38" s="15"/>
      <c r="C38" s="15"/>
      <c r="D38" s="15"/>
      <c r="E38" s="15"/>
      <c r="F38" s="15"/>
      <c r="G38" s="15"/>
      <c r="H38" s="15"/>
      <c r="I38" s="15"/>
      <c r="J38" s="15"/>
      <c r="K38" s="15"/>
      <c r="L38" s="15"/>
      <c r="M38" s="15"/>
      <c r="N38" s="15"/>
      <c r="O38" s="15"/>
      <c r="P38" s="15"/>
      <c r="Q38" s="15"/>
      <c r="R38" s="15"/>
      <c r="S38" s="15"/>
      <c r="T38" s="15"/>
    </row>
    <row r="39" spans="1:20" ht="32.25" hidden="1" customHeight="1" x14ac:dyDescent="0.2">
      <c r="A39" s="15"/>
      <c r="B39" s="15"/>
      <c r="C39" s="15"/>
      <c r="D39" s="15"/>
      <c r="E39" s="15"/>
      <c r="F39" s="15"/>
      <c r="G39" s="15"/>
      <c r="H39" s="15"/>
      <c r="I39" s="15"/>
      <c r="J39" s="15"/>
      <c r="K39" s="15"/>
      <c r="L39" s="15"/>
      <c r="M39" s="15"/>
      <c r="N39" s="15"/>
      <c r="O39" s="15"/>
      <c r="P39" s="15"/>
      <c r="Q39" s="15"/>
      <c r="R39" s="15"/>
      <c r="S39" s="15"/>
      <c r="T39" s="15"/>
    </row>
    <row r="40" spans="1:20" ht="32.25" hidden="1" customHeight="1" x14ac:dyDescent="0.2">
      <c r="A40" s="15"/>
      <c r="B40" s="15"/>
      <c r="C40" s="15"/>
      <c r="D40" s="15"/>
      <c r="E40" s="15"/>
      <c r="F40" s="15"/>
      <c r="G40" s="15"/>
      <c r="H40" s="15"/>
      <c r="I40" s="15"/>
      <c r="J40" s="15"/>
      <c r="K40" s="15"/>
      <c r="L40" s="15"/>
      <c r="M40" s="15"/>
      <c r="N40" s="15"/>
      <c r="O40" s="15"/>
      <c r="P40" s="15"/>
      <c r="Q40" s="15"/>
      <c r="R40" s="15"/>
      <c r="S40" s="15"/>
      <c r="T40" s="15"/>
    </row>
    <row r="41" spans="1:20" ht="32.25" hidden="1" customHeight="1" x14ac:dyDescent="0.2">
      <c r="A41" s="15"/>
      <c r="B41" s="15"/>
      <c r="C41" s="15"/>
      <c r="D41" s="15"/>
      <c r="E41" s="15"/>
      <c r="F41" s="15"/>
      <c r="G41" s="15"/>
      <c r="H41" s="15"/>
      <c r="I41" s="15"/>
      <c r="J41" s="15"/>
      <c r="K41" s="15"/>
      <c r="L41" s="15"/>
      <c r="M41" s="15"/>
      <c r="N41" s="15"/>
      <c r="O41" s="15"/>
      <c r="P41" s="15"/>
      <c r="Q41" s="15"/>
      <c r="R41" s="15"/>
      <c r="S41" s="15"/>
      <c r="T41" s="15"/>
    </row>
    <row r="42" spans="1:20" ht="32.25" hidden="1" customHeight="1" x14ac:dyDescent="0.2">
      <c r="A42" s="15"/>
      <c r="B42" s="15"/>
      <c r="C42" s="15"/>
      <c r="D42" s="15"/>
      <c r="E42" s="15"/>
      <c r="F42" s="15"/>
      <c r="G42" s="15"/>
      <c r="H42" s="15"/>
      <c r="I42" s="15"/>
      <c r="J42" s="15"/>
      <c r="K42" s="15"/>
      <c r="L42" s="15"/>
      <c r="M42" s="15"/>
      <c r="N42" s="15"/>
      <c r="O42" s="15"/>
      <c r="P42" s="15"/>
      <c r="Q42" s="15"/>
      <c r="R42" s="15"/>
      <c r="S42" s="15"/>
      <c r="T42" s="15"/>
    </row>
    <row r="43" spans="1:20" ht="32.25" hidden="1" customHeight="1" x14ac:dyDescent="0.2">
      <c r="A43" s="15"/>
      <c r="B43" s="15"/>
      <c r="C43" s="15"/>
      <c r="D43" s="15"/>
      <c r="E43" s="15"/>
      <c r="F43" s="15"/>
      <c r="G43" s="15"/>
      <c r="H43" s="15"/>
      <c r="I43" s="15"/>
      <c r="J43" s="15"/>
      <c r="K43" s="15"/>
      <c r="L43" s="15"/>
      <c r="M43" s="15"/>
      <c r="N43" s="15"/>
      <c r="O43" s="15"/>
      <c r="P43" s="15"/>
      <c r="Q43" s="15"/>
      <c r="R43" s="15"/>
      <c r="S43" s="15"/>
      <c r="T43" s="15"/>
    </row>
    <row r="44" spans="1:20" ht="32.25" hidden="1" customHeight="1" x14ac:dyDescent="0.2">
      <c r="A44" s="15"/>
      <c r="B44" s="15"/>
      <c r="C44" s="15"/>
      <c r="D44" s="15"/>
      <c r="E44" s="15"/>
      <c r="F44" s="15"/>
      <c r="G44" s="15"/>
      <c r="H44" s="15"/>
      <c r="I44" s="15"/>
      <c r="J44" s="15"/>
      <c r="K44" s="15"/>
      <c r="L44" s="15"/>
      <c r="M44" s="15"/>
      <c r="N44" s="15"/>
      <c r="O44" s="15"/>
      <c r="P44" s="15"/>
      <c r="Q44" s="15"/>
      <c r="R44" s="15"/>
      <c r="S44" s="15"/>
      <c r="T44" s="15"/>
    </row>
    <row r="45" spans="1:20" ht="32.25" hidden="1" customHeight="1" x14ac:dyDescent="0.2">
      <c r="A45" s="15"/>
      <c r="B45" s="15"/>
      <c r="C45" s="15"/>
      <c r="D45" s="15"/>
      <c r="E45" s="15"/>
      <c r="F45" s="15"/>
      <c r="G45" s="15"/>
      <c r="H45" s="15"/>
      <c r="I45" s="15"/>
      <c r="J45" s="15"/>
      <c r="K45" s="15"/>
      <c r="L45" s="15"/>
      <c r="M45" s="15"/>
      <c r="N45" s="15"/>
      <c r="O45" s="15"/>
      <c r="P45" s="15"/>
      <c r="Q45" s="15"/>
      <c r="R45" s="15"/>
      <c r="S45" s="15"/>
      <c r="T45" s="15"/>
    </row>
    <row r="46" spans="1:20" ht="32.25" hidden="1" customHeight="1" x14ac:dyDescent="0.2">
      <c r="A46" s="15"/>
      <c r="B46" s="15"/>
      <c r="C46" s="15"/>
      <c r="D46" s="15"/>
      <c r="E46" s="15"/>
      <c r="F46" s="15"/>
      <c r="G46" s="15"/>
      <c r="H46" s="15"/>
      <c r="I46" s="15"/>
      <c r="J46" s="15"/>
      <c r="K46" s="15"/>
      <c r="L46" s="15"/>
      <c r="M46" s="15"/>
      <c r="N46" s="15"/>
      <c r="O46" s="15"/>
      <c r="P46" s="15"/>
      <c r="Q46" s="15"/>
      <c r="R46" s="15"/>
      <c r="S46" s="15"/>
      <c r="T46" s="15"/>
    </row>
    <row r="47" spans="1:20" ht="32.25" hidden="1" customHeight="1" x14ac:dyDescent="0.2">
      <c r="A47" s="15"/>
      <c r="B47" s="15"/>
      <c r="C47" s="15"/>
      <c r="D47" s="15"/>
      <c r="E47" s="15"/>
      <c r="F47" s="15"/>
      <c r="G47" s="15"/>
      <c r="H47" s="15"/>
      <c r="I47" s="15"/>
      <c r="J47" s="15"/>
      <c r="K47" s="15"/>
      <c r="L47" s="15"/>
      <c r="M47" s="15"/>
      <c r="N47" s="15"/>
      <c r="O47" s="15"/>
      <c r="P47" s="15"/>
      <c r="Q47" s="15"/>
      <c r="R47" s="15"/>
      <c r="S47" s="15"/>
      <c r="T47" s="15"/>
    </row>
    <row r="48" spans="1:20" ht="32.25" hidden="1" customHeight="1" x14ac:dyDescent="0.2">
      <c r="A48" s="15"/>
      <c r="B48" s="15"/>
      <c r="C48" s="15"/>
      <c r="D48" s="15"/>
      <c r="E48" s="15"/>
      <c r="F48" s="15"/>
      <c r="G48" s="15"/>
      <c r="H48" s="15"/>
      <c r="I48" s="15"/>
      <c r="J48" s="15"/>
      <c r="K48" s="15"/>
      <c r="L48" s="15"/>
      <c r="M48" s="15"/>
      <c r="N48" s="15"/>
      <c r="O48" s="15"/>
      <c r="P48" s="15"/>
      <c r="Q48" s="15"/>
      <c r="R48" s="15"/>
      <c r="S48" s="15"/>
      <c r="T48" s="15"/>
    </row>
    <row r="49" spans="1:20" ht="32.25" hidden="1" customHeight="1" x14ac:dyDescent="0.2">
      <c r="A49" s="15"/>
      <c r="B49" s="15"/>
      <c r="C49" s="15"/>
      <c r="D49" s="15"/>
      <c r="E49" s="15"/>
      <c r="F49" s="15"/>
      <c r="G49" s="15"/>
      <c r="H49" s="15"/>
      <c r="I49" s="15"/>
      <c r="J49" s="15"/>
      <c r="K49" s="15"/>
      <c r="L49" s="15"/>
      <c r="M49" s="15"/>
      <c r="N49" s="15"/>
      <c r="O49" s="15"/>
      <c r="P49" s="15"/>
      <c r="Q49" s="15"/>
      <c r="R49" s="15"/>
      <c r="S49" s="15"/>
      <c r="T49" s="15"/>
    </row>
    <row r="50" spans="1:20" ht="32.25" hidden="1" customHeight="1" x14ac:dyDescent="0.2">
      <c r="A50" s="15"/>
      <c r="B50" s="15"/>
      <c r="C50" s="15"/>
      <c r="D50" s="15"/>
      <c r="E50" s="15"/>
      <c r="F50" s="15"/>
      <c r="G50" s="15"/>
      <c r="H50" s="15"/>
      <c r="I50" s="15"/>
      <c r="J50" s="15"/>
      <c r="K50" s="15"/>
      <c r="L50" s="15"/>
      <c r="M50" s="15"/>
      <c r="N50" s="15"/>
      <c r="O50" s="15"/>
      <c r="P50" s="15"/>
      <c r="Q50" s="15"/>
      <c r="R50" s="15"/>
      <c r="S50" s="15"/>
      <c r="T50" s="15"/>
    </row>
    <row r="51" spans="1:20" ht="32.25" hidden="1" customHeight="1" x14ac:dyDescent="0.2">
      <c r="A51" s="15"/>
      <c r="B51" s="15"/>
      <c r="C51" s="15"/>
      <c r="D51" s="15"/>
      <c r="E51" s="15"/>
      <c r="F51" s="15"/>
      <c r="G51" s="15"/>
      <c r="H51" s="15"/>
      <c r="I51" s="15"/>
      <c r="J51" s="15"/>
      <c r="K51" s="15"/>
      <c r="L51" s="15"/>
      <c r="M51" s="15"/>
      <c r="N51" s="15"/>
      <c r="O51" s="15"/>
      <c r="P51" s="15"/>
      <c r="Q51" s="15"/>
      <c r="R51" s="15"/>
      <c r="S51" s="15"/>
      <c r="T51" s="15"/>
    </row>
    <row r="52" spans="1:20" ht="32.25" hidden="1" customHeight="1" x14ac:dyDescent="0.2">
      <c r="A52" s="15"/>
      <c r="B52" s="15"/>
      <c r="C52" s="15"/>
      <c r="D52" s="15"/>
      <c r="E52" s="15"/>
      <c r="F52" s="15"/>
      <c r="G52" s="15"/>
      <c r="H52" s="15"/>
      <c r="I52" s="15"/>
      <c r="J52" s="15"/>
      <c r="K52" s="15"/>
      <c r="L52" s="15"/>
      <c r="M52" s="15"/>
      <c r="N52" s="15"/>
      <c r="O52" s="15"/>
      <c r="P52" s="15"/>
      <c r="Q52" s="15"/>
      <c r="R52" s="15"/>
      <c r="S52" s="15"/>
      <c r="T52" s="15"/>
    </row>
    <row r="53" spans="1:20" ht="32.25" hidden="1" customHeight="1" x14ac:dyDescent="0.2">
      <c r="A53" s="15"/>
      <c r="B53" s="15"/>
      <c r="C53" s="15"/>
      <c r="D53" s="15"/>
      <c r="E53" s="15"/>
      <c r="F53" s="15"/>
      <c r="G53" s="15"/>
      <c r="H53" s="15"/>
      <c r="I53" s="15"/>
      <c r="J53" s="15"/>
      <c r="K53" s="15"/>
      <c r="L53" s="15"/>
      <c r="M53" s="15"/>
      <c r="N53" s="15"/>
      <c r="O53" s="15"/>
      <c r="P53" s="15"/>
      <c r="Q53" s="15"/>
      <c r="R53" s="15"/>
      <c r="S53" s="15"/>
      <c r="T53" s="15"/>
    </row>
    <row r="54" spans="1:20" ht="32.25" hidden="1" customHeight="1" x14ac:dyDescent="0.2">
      <c r="A54" s="15"/>
      <c r="B54" s="15"/>
      <c r="C54" s="15"/>
      <c r="D54" s="15"/>
      <c r="E54" s="15"/>
      <c r="F54" s="15"/>
      <c r="G54" s="15"/>
      <c r="H54" s="15"/>
      <c r="I54" s="15"/>
      <c r="J54" s="15"/>
      <c r="K54" s="15"/>
      <c r="L54" s="15"/>
      <c r="M54" s="15"/>
      <c r="N54" s="15"/>
      <c r="O54" s="15"/>
      <c r="P54" s="15"/>
      <c r="Q54" s="15"/>
      <c r="R54" s="15"/>
      <c r="S54" s="15"/>
      <c r="T54" s="15"/>
    </row>
    <row r="55" spans="1:20" ht="32.25" hidden="1" customHeight="1" x14ac:dyDescent="0.2">
      <c r="A55" s="15"/>
      <c r="B55" s="15"/>
      <c r="C55" s="15"/>
      <c r="D55" s="15"/>
      <c r="E55" s="15"/>
      <c r="F55" s="15"/>
      <c r="G55" s="15"/>
      <c r="H55" s="15"/>
      <c r="I55" s="15"/>
      <c r="J55" s="15"/>
      <c r="K55" s="15"/>
      <c r="L55" s="15"/>
      <c r="M55" s="15"/>
      <c r="N55" s="15"/>
      <c r="O55" s="15"/>
      <c r="P55" s="15"/>
      <c r="Q55" s="15"/>
      <c r="R55" s="15"/>
      <c r="S55" s="15"/>
      <c r="T55" s="15"/>
    </row>
    <row r="56" spans="1:20" ht="32.25" hidden="1" customHeight="1" x14ac:dyDescent="0.2">
      <c r="A56" s="15"/>
      <c r="B56" s="15"/>
      <c r="C56" s="15"/>
      <c r="D56" s="15"/>
      <c r="E56" s="15"/>
      <c r="F56" s="15"/>
      <c r="G56" s="15"/>
      <c r="H56" s="15"/>
      <c r="I56" s="15"/>
      <c r="J56" s="15"/>
      <c r="K56" s="15"/>
      <c r="L56" s="15"/>
      <c r="M56" s="15"/>
      <c r="N56" s="15"/>
      <c r="O56" s="15"/>
      <c r="P56" s="15"/>
      <c r="Q56" s="15"/>
      <c r="R56" s="15"/>
      <c r="S56" s="15"/>
      <c r="T56" s="15"/>
    </row>
    <row r="57" spans="1:20" ht="32.25" hidden="1" customHeight="1" x14ac:dyDescent="0.2">
      <c r="A57" s="15"/>
      <c r="B57" s="15"/>
      <c r="C57" s="15"/>
      <c r="D57" s="15"/>
      <c r="E57" s="15"/>
      <c r="F57" s="15"/>
      <c r="G57" s="15"/>
      <c r="H57" s="15"/>
      <c r="I57" s="15"/>
      <c r="J57" s="15"/>
      <c r="K57" s="15"/>
      <c r="L57" s="15"/>
      <c r="M57" s="15"/>
      <c r="N57" s="15"/>
      <c r="O57" s="15"/>
      <c r="P57" s="15"/>
      <c r="Q57" s="15"/>
      <c r="R57" s="15"/>
      <c r="S57" s="15"/>
      <c r="T57" s="15"/>
    </row>
    <row r="58" spans="1:20" ht="32.25" hidden="1" customHeight="1" x14ac:dyDescent="0.2">
      <c r="A58" s="15"/>
      <c r="B58" s="15"/>
      <c r="C58" s="15"/>
      <c r="D58" s="15"/>
      <c r="E58" s="15"/>
      <c r="F58" s="15"/>
      <c r="G58" s="15"/>
      <c r="H58" s="15"/>
      <c r="I58" s="15"/>
      <c r="J58" s="15"/>
      <c r="K58" s="15"/>
      <c r="L58" s="15"/>
      <c r="M58" s="15"/>
      <c r="N58" s="15"/>
      <c r="O58" s="15"/>
      <c r="P58" s="15"/>
      <c r="Q58" s="15"/>
      <c r="R58" s="15"/>
      <c r="S58" s="15"/>
      <c r="T58" s="15"/>
    </row>
    <row r="59" spans="1:20" ht="32.25" hidden="1" customHeight="1" x14ac:dyDescent="0.2">
      <c r="A59" s="15"/>
      <c r="B59" s="15"/>
      <c r="C59" s="15"/>
      <c r="D59" s="15"/>
      <c r="E59" s="15"/>
      <c r="F59" s="15"/>
      <c r="G59" s="15"/>
      <c r="H59" s="15"/>
      <c r="I59" s="15"/>
      <c r="J59" s="15"/>
      <c r="K59" s="15"/>
      <c r="L59" s="15"/>
      <c r="M59" s="15"/>
      <c r="N59" s="15"/>
      <c r="O59" s="15"/>
      <c r="P59" s="15"/>
      <c r="Q59" s="15"/>
      <c r="R59" s="15"/>
      <c r="S59" s="15"/>
      <c r="T59" s="15"/>
    </row>
    <row r="60" spans="1:20" ht="32.25" hidden="1" customHeight="1" x14ac:dyDescent="0.2">
      <c r="A60" s="15"/>
      <c r="B60" s="15"/>
      <c r="C60" s="15"/>
      <c r="D60" s="15"/>
      <c r="E60" s="15"/>
      <c r="F60" s="15"/>
      <c r="G60" s="15"/>
      <c r="H60" s="15"/>
      <c r="I60" s="15"/>
      <c r="J60" s="15"/>
      <c r="K60" s="15"/>
      <c r="L60" s="15"/>
      <c r="M60" s="15"/>
      <c r="N60" s="15"/>
      <c r="O60" s="15"/>
      <c r="P60" s="15"/>
      <c r="Q60" s="15"/>
      <c r="R60" s="15"/>
      <c r="S60" s="15"/>
      <c r="T60" s="15"/>
    </row>
    <row r="61" spans="1:20" ht="32.25" hidden="1" customHeight="1" x14ac:dyDescent="0.2">
      <c r="A61" s="15"/>
      <c r="B61" s="15"/>
      <c r="C61" s="15"/>
      <c r="D61" s="15"/>
      <c r="E61" s="15"/>
      <c r="F61" s="15"/>
      <c r="G61" s="15"/>
      <c r="H61" s="15"/>
      <c r="I61" s="15"/>
      <c r="J61" s="15"/>
      <c r="K61" s="15"/>
      <c r="L61" s="15"/>
      <c r="M61" s="15"/>
      <c r="N61" s="15"/>
      <c r="O61" s="15"/>
      <c r="P61" s="15"/>
      <c r="Q61" s="15"/>
      <c r="R61" s="15"/>
      <c r="S61" s="15"/>
      <c r="T61" s="15"/>
    </row>
    <row r="62" spans="1:20" ht="32.25" hidden="1" customHeight="1" x14ac:dyDescent="0.2">
      <c r="A62" s="15"/>
      <c r="B62" s="15"/>
      <c r="C62" s="15"/>
      <c r="D62" s="15"/>
      <c r="E62" s="15"/>
      <c r="F62" s="15"/>
      <c r="G62" s="15"/>
      <c r="H62" s="15"/>
      <c r="I62" s="15"/>
      <c r="J62" s="15"/>
      <c r="K62" s="15"/>
      <c r="L62" s="15"/>
      <c r="M62" s="15"/>
      <c r="N62" s="15"/>
      <c r="O62" s="15"/>
      <c r="P62" s="15"/>
      <c r="Q62" s="15"/>
      <c r="R62" s="15"/>
      <c r="S62" s="15"/>
      <c r="T62" s="15"/>
    </row>
    <row r="63" spans="1:20" ht="32.25" hidden="1" customHeight="1" x14ac:dyDescent="0.2">
      <c r="A63" s="15"/>
      <c r="B63" s="15"/>
      <c r="C63" s="15"/>
      <c r="D63" s="15"/>
      <c r="E63" s="15"/>
      <c r="F63" s="15"/>
      <c r="G63" s="15"/>
      <c r="H63" s="15"/>
      <c r="I63" s="15"/>
      <c r="J63" s="15"/>
      <c r="K63" s="15"/>
      <c r="L63" s="15"/>
      <c r="M63" s="15"/>
      <c r="N63" s="15"/>
      <c r="O63" s="15"/>
      <c r="P63" s="15"/>
      <c r="Q63" s="15"/>
      <c r="R63" s="15"/>
      <c r="S63" s="15"/>
      <c r="T63" s="15"/>
    </row>
    <row r="64" spans="1:20" ht="32.25" hidden="1" customHeight="1" x14ac:dyDescent="0.2">
      <c r="A64" s="15"/>
      <c r="B64" s="15"/>
      <c r="C64" s="15"/>
      <c r="D64" s="15"/>
      <c r="E64" s="15"/>
      <c r="F64" s="15"/>
      <c r="G64" s="15"/>
      <c r="H64" s="15"/>
      <c r="I64" s="15"/>
      <c r="J64" s="15"/>
      <c r="K64" s="15"/>
      <c r="L64" s="15"/>
      <c r="M64" s="15"/>
      <c r="N64" s="15"/>
      <c r="O64" s="15"/>
      <c r="P64" s="15"/>
      <c r="Q64" s="15"/>
      <c r="R64" s="15"/>
      <c r="S64" s="15"/>
      <c r="T64" s="15"/>
    </row>
    <row r="65" spans="1:20" ht="32.25" hidden="1" customHeight="1" x14ac:dyDescent="0.2">
      <c r="A65" s="15"/>
      <c r="B65" s="15"/>
      <c r="C65" s="15"/>
      <c r="D65" s="15"/>
      <c r="E65" s="15"/>
      <c r="F65" s="15"/>
      <c r="G65" s="15"/>
      <c r="H65" s="15"/>
      <c r="I65" s="15"/>
      <c r="J65" s="15"/>
      <c r="K65" s="15"/>
      <c r="L65" s="15"/>
      <c r="M65" s="15"/>
      <c r="N65" s="15"/>
      <c r="O65" s="15"/>
      <c r="P65" s="15"/>
      <c r="Q65" s="15"/>
      <c r="R65" s="15"/>
      <c r="S65" s="15"/>
      <c r="T65" s="15"/>
    </row>
    <row r="66" spans="1:20" ht="32.25" hidden="1" customHeight="1" x14ac:dyDescent="0.2">
      <c r="A66" s="15"/>
      <c r="B66" s="15"/>
      <c r="C66" s="15"/>
      <c r="D66" s="15"/>
      <c r="E66" s="15"/>
      <c r="F66" s="15"/>
      <c r="G66" s="15"/>
      <c r="H66" s="15"/>
      <c r="I66" s="15"/>
      <c r="J66" s="15"/>
      <c r="K66" s="15"/>
      <c r="L66" s="15"/>
      <c r="M66" s="15"/>
      <c r="N66" s="15"/>
      <c r="O66" s="15"/>
      <c r="P66" s="15"/>
      <c r="Q66" s="15"/>
      <c r="R66" s="15"/>
      <c r="S66" s="15"/>
      <c r="T66" s="15"/>
    </row>
    <row r="67" spans="1:20" ht="32.25" hidden="1" customHeight="1" x14ac:dyDescent="0.2">
      <c r="A67" s="15"/>
      <c r="B67" s="15"/>
      <c r="C67" s="15"/>
      <c r="D67" s="15"/>
      <c r="E67" s="15"/>
      <c r="F67" s="15"/>
      <c r="G67" s="15"/>
      <c r="H67" s="15"/>
      <c r="I67" s="15"/>
      <c r="J67" s="15"/>
      <c r="K67" s="15"/>
      <c r="L67" s="15"/>
      <c r="M67" s="15"/>
      <c r="N67" s="15"/>
      <c r="O67" s="15"/>
      <c r="P67" s="15"/>
      <c r="Q67" s="15"/>
      <c r="R67" s="15"/>
      <c r="S67" s="15"/>
      <c r="T67" s="15"/>
    </row>
    <row r="68" spans="1:20" ht="32.25" hidden="1" customHeight="1" x14ac:dyDescent="0.2">
      <c r="A68" s="15"/>
      <c r="B68" s="15"/>
      <c r="C68" s="15"/>
      <c r="D68" s="15"/>
      <c r="E68" s="15"/>
      <c r="F68" s="15"/>
      <c r="G68" s="15"/>
      <c r="H68" s="15"/>
      <c r="I68" s="15"/>
      <c r="J68" s="15"/>
      <c r="K68" s="15"/>
      <c r="L68" s="15"/>
      <c r="M68" s="15"/>
      <c r="N68" s="15"/>
      <c r="O68" s="15"/>
      <c r="P68" s="15"/>
      <c r="Q68" s="15"/>
      <c r="R68" s="15"/>
      <c r="S68" s="15"/>
      <c r="T68" s="15"/>
    </row>
    <row r="69" spans="1:20" ht="32.25" hidden="1" customHeight="1" x14ac:dyDescent="0.2">
      <c r="A69" s="15"/>
      <c r="B69" s="15"/>
      <c r="C69" s="15"/>
      <c r="D69" s="15"/>
      <c r="E69" s="15"/>
      <c r="F69" s="15"/>
      <c r="G69" s="15"/>
      <c r="H69" s="15"/>
      <c r="I69" s="15"/>
      <c r="J69" s="15"/>
      <c r="K69" s="15"/>
      <c r="L69" s="15"/>
      <c r="M69" s="15"/>
      <c r="N69" s="15"/>
      <c r="O69" s="15"/>
      <c r="P69" s="15"/>
      <c r="Q69" s="15"/>
      <c r="R69" s="15"/>
      <c r="S69" s="15"/>
      <c r="T69" s="15"/>
    </row>
    <row r="70" spans="1:20" ht="50.25" hidden="1" customHeight="1" x14ac:dyDescent="0.2">
      <c r="A70" s="15"/>
      <c r="B70" s="16"/>
      <c r="C70" s="15"/>
      <c r="D70" s="15"/>
      <c r="E70" s="15"/>
      <c r="F70" s="15"/>
      <c r="G70" s="15"/>
      <c r="H70" s="15"/>
      <c r="I70" s="15"/>
      <c r="J70" s="15"/>
      <c r="K70" s="15"/>
      <c r="L70" s="15"/>
      <c r="M70" s="15"/>
      <c r="N70" s="15"/>
      <c r="O70" s="15"/>
      <c r="P70" s="15"/>
      <c r="Q70" s="15"/>
      <c r="R70" s="15"/>
      <c r="S70" s="15"/>
      <c r="T70" s="15"/>
    </row>
    <row r="71" spans="1:20" ht="32.25" hidden="1" customHeight="1" x14ac:dyDescent="0.2">
      <c r="A71" s="16"/>
      <c r="B71" s="16"/>
      <c r="C71" s="16"/>
      <c r="D71" s="16"/>
      <c r="E71" s="16"/>
      <c r="F71" s="16"/>
      <c r="G71" s="16"/>
      <c r="H71" s="16"/>
      <c r="I71" s="16"/>
      <c r="J71" s="16"/>
      <c r="K71" s="16"/>
      <c r="L71" s="16"/>
      <c r="M71" s="16"/>
      <c r="N71" s="16"/>
      <c r="O71" s="16"/>
      <c r="P71" s="16"/>
      <c r="Q71" s="16"/>
      <c r="R71" s="16"/>
      <c r="S71" s="16"/>
      <c r="T71" s="16"/>
    </row>
    <row r="72" spans="1:20" ht="32.25" hidden="1" customHeight="1" x14ac:dyDescent="0.2">
      <c r="A72" s="16"/>
      <c r="B72" s="15"/>
      <c r="C72" s="16"/>
      <c r="D72" s="16"/>
      <c r="E72" s="16"/>
      <c r="F72" s="16"/>
      <c r="G72" s="16"/>
      <c r="H72" s="16"/>
      <c r="I72" s="16"/>
      <c r="J72" s="16"/>
      <c r="K72" s="16"/>
      <c r="L72" s="16"/>
      <c r="M72" s="16"/>
      <c r="N72" s="16"/>
      <c r="O72" s="16"/>
      <c r="P72" s="16"/>
      <c r="Q72" s="16"/>
      <c r="R72" s="16"/>
      <c r="S72" s="16"/>
      <c r="T72" s="16"/>
    </row>
    <row r="73" spans="1:20" ht="32.25" hidden="1" customHeight="1" x14ac:dyDescent="0.2">
      <c r="A73" s="15"/>
      <c r="B73" s="15"/>
      <c r="C73" s="15"/>
      <c r="D73" s="15"/>
      <c r="E73" s="15"/>
      <c r="F73" s="15"/>
      <c r="G73" s="15"/>
      <c r="H73" s="15"/>
      <c r="I73" s="15"/>
      <c r="J73" s="15"/>
      <c r="K73" s="15"/>
      <c r="L73" s="15"/>
      <c r="M73" s="15"/>
      <c r="N73" s="15"/>
      <c r="O73" s="15"/>
      <c r="P73" s="15"/>
      <c r="Q73" s="15"/>
      <c r="R73" s="15"/>
      <c r="S73" s="15"/>
      <c r="T73" s="15"/>
    </row>
    <row r="74" spans="1:20" ht="32.25" hidden="1" customHeight="1" x14ac:dyDescent="0.2">
      <c r="A74" s="15"/>
      <c r="C74" s="15"/>
      <c r="D74" s="15"/>
      <c r="E74" s="15"/>
      <c r="F74" s="15"/>
      <c r="G74" s="15"/>
      <c r="H74" s="15"/>
      <c r="I74" s="15"/>
      <c r="J74" s="15"/>
      <c r="K74" s="15"/>
      <c r="L74" s="15"/>
      <c r="M74" s="15"/>
      <c r="N74" s="15"/>
      <c r="O74" s="15"/>
      <c r="P74" s="15"/>
      <c r="Q74" s="15"/>
      <c r="R74" s="15"/>
      <c r="S74" s="15"/>
      <c r="T74" s="15"/>
    </row>
    <row r="75" spans="1:20" ht="31.5" hidden="1" customHeight="1" x14ac:dyDescent="0.2">
      <c r="A75" s="17"/>
      <c r="B75" s="17"/>
      <c r="C75" s="1"/>
      <c r="D75" s="1"/>
      <c r="E75" s="1"/>
      <c r="F75" s="1"/>
      <c r="G75" s="1"/>
      <c r="H75" s="1"/>
      <c r="I75" s="1"/>
      <c r="J75" s="1"/>
      <c r="K75" s="1"/>
      <c r="L75" s="1"/>
      <c r="M75" s="1"/>
      <c r="N75" s="1"/>
      <c r="O75" s="1"/>
      <c r="P75" s="1"/>
      <c r="Q75" s="1"/>
      <c r="R75" s="1"/>
      <c r="S75" s="1"/>
      <c r="T75" s="1"/>
    </row>
    <row r="76" spans="1:20" ht="16.5" hidden="1" customHeight="1" x14ac:dyDescent="0.2">
      <c r="A76" s="17"/>
      <c r="B76" s="1"/>
      <c r="C76" s="1"/>
      <c r="D76" s="1"/>
      <c r="E76" s="1"/>
      <c r="F76" s="1"/>
      <c r="G76" s="1"/>
      <c r="H76" s="1"/>
      <c r="I76" s="1"/>
      <c r="J76" s="1"/>
      <c r="K76" s="1"/>
      <c r="L76" s="1"/>
      <c r="M76" s="1"/>
      <c r="N76" s="1"/>
      <c r="O76" s="1"/>
      <c r="P76" s="1"/>
      <c r="Q76" s="1"/>
      <c r="R76" s="1"/>
      <c r="S76" s="1"/>
      <c r="T76" s="1"/>
    </row>
    <row r="77" spans="1:20" ht="26.25" hidden="1" customHeight="1" x14ac:dyDescent="0.2">
      <c r="A77" s="1"/>
      <c r="B77" s="1"/>
      <c r="C77" s="1"/>
      <c r="D77" s="1"/>
      <c r="E77" s="1"/>
      <c r="F77" s="1"/>
      <c r="G77" s="1"/>
      <c r="H77" s="1"/>
      <c r="I77" s="1"/>
      <c r="J77" s="1"/>
      <c r="K77" s="1"/>
      <c r="L77" s="1"/>
      <c r="M77" s="1"/>
      <c r="N77" s="1"/>
      <c r="O77" s="1"/>
      <c r="P77" s="1"/>
      <c r="Q77" s="1"/>
      <c r="R77" s="1"/>
      <c r="S77" s="1"/>
      <c r="T77" s="1"/>
    </row>
    <row r="78" spans="1:20" ht="26.25" hidden="1" customHeight="1" x14ac:dyDescent="0.2">
      <c r="A78" s="1"/>
      <c r="C78" s="1"/>
      <c r="D78" s="1"/>
      <c r="E78" s="1"/>
      <c r="F78" s="1"/>
      <c r="G78" s="1"/>
      <c r="H78" s="1"/>
      <c r="I78" s="1"/>
      <c r="J78" s="1"/>
      <c r="K78" s="1"/>
      <c r="L78" s="1"/>
      <c r="M78" s="1"/>
      <c r="N78" s="1"/>
      <c r="O78" s="1"/>
      <c r="P78" s="1"/>
      <c r="Q78" s="1"/>
      <c r="R78" s="1"/>
      <c r="S78" s="1"/>
      <c r="T78" s="1"/>
    </row>
    <row r="79" spans="1:20" ht="34.5" hidden="1" customHeight="1" x14ac:dyDescent="0.2">
      <c r="A79" s="17"/>
      <c r="B79" s="1"/>
      <c r="C79" s="1"/>
      <c r="D79" s="1"/>
      <c r="E79" s="1"/>
      <c r="F79" s="1"/>
      <c r="G79" s="1"/>
      <c r="H79" s="1"/>
      <c r="I79" s="1"/>
      <c r="J79" s="1"/>
      <c r="K79" s="1"/>
      <c r="L79" s="1"/>
      <c r="M79" s="1"/>
      <c r="N79" s="1"/>
      <c r="O79" s="1"/>
      <c r="P79" s="1"/>
      <c r="Q79" s="1"/>
      <c r="R79" s="1"/>
      <c r="S79" s="1"/>
      <c r="T79" s="1"/>
    </row>
    <row r="80" spans="1:20" ht="15.75" hidden="1" customHeight="1" x14ac:dyDescent="0.2">
      <c r="A80" s="1"/>
      <c r="B80" s="14"/>
      <c r="C80" s="1"/>
      <c r="D80" s="1"/>
      <c r="E80" s="1"/>
      <c r="F80" s="1"/>
      <c r="G80" s="1"/>
      <c r="H80" s="1"/>
      <c r="I80" s="1"/>
      <c r="J80" s="1"/>
      <c r="K80" s="1"/>
      <c r="L80" s="1"/>
      <c r="M80" s="1"/>
      <c r="N80" s="1"/>
      <c r="O80" s="1"/>
      <c r="P80" s="1"/>
      <c r="Q80" s="1"/>
      <c r="R80" s="1"/>
      <c r="S80" s="1"/>
      <c r="T80" s="1"/>
    </row>
    <row r="81" spans="1:20" ht="15.75" hidden="1" customHeight="1" x14ac:dyDescent="0.2">
      <c r="A81" s="14"/>
      <c r="B81" s="1"/>
      <c r="C81" s="14"/>
      <c r="D81" s="14"/>
      <c r="E81" s="14"/>
      <c r="F81" s="14"/>
      <c r="G81" s="14"/>
      <c r="H81" s="14"/>
      <c r="I81" s="14"/>
      <c r="J81" s="14"/>
      <c r="K81" s="14"/>
      <c r="L81" s="14"/>
      <c r="M81" s="14"/>
      <c r="N81" s="14"/>
      <c r="O81" s="14"/>
      <c r="P81" s="14"/>
      <c r="Q81" s="14"/>
      <c r="R81" s="14"/>
      <c r="S81" s="14"/>
      <c r="T81" s="14"/>
    </row>
    <row r="82" spans="1:20" ht="30" hidden="1" customHeight="1" x14ac:dyDescent="0.2">
      <c r="A82" s="1"/>
      <c r="B82" s="1"/>
      <c r="C82" s="1"/>
      <c r="D82" s="1"/>
      <c r="E82" s="1"/>
      <c r="F82" s="1"/>
      <c r="G82" s="1"/>
      <c r="H82" s="1"/>
      <c r="I82" s="1"/>
      <c r="J82" s="1"/>
      <c r="K82" s="1"/>
      <c r="L82" s="1"/>
      <c r="M82" s="1"/>
      <c r="N82" s="1"/>
      <c r="O82" s="1"/>
      <c r="P82" s="1"/>
      <c r="Q82" s="1"/>
      <c r="R82" s="1"/>
      <c r="S82" s="1"/>
      <c r="T82" s="1"/>
    </row>
    <row r="83" spans="1:20" ht="30" hidden="1" customHeight="1" x14ac:dyDescent="0.2">
      <c r="A83" s="1"/>
      <c r="B83" s="1"/>
      <c r="C83" s="1"/>
      <c r="D83" s="1"/>
      <c r="E83" s="1"/>
      <c r="F83" s="1"/>
      <c r="G83" s="1"/>
      <c r="H83" s="1"/>
      <c r="I83" s="1"/>
      <c r="J83" s="1"/>
      <c r="K83" s="1"/>
      <c r="L83" s="1"/>
      <c r="M83" s="1"/>
      <c r="N83" s="1"/>
      <c r="O83" s="1"/>
      <c r="P83" s="1"/>
      <c r="Q83" s="1"/>
      <c r="R83" s="1"/>
      <c r="S83" s="1"/>
      <c r="T83" s="1"/>
    </row>
    <row r="84" spans="1:20" ht="30" hidden="1" customHeight="1" x14ac:dyDescent="0.2">
      <c r="A84" s="1"/>
      <c r="B84" s="1"/>
      <c r="C84" s="1"/>
      <c r="D84" s="1"/>
      <c r="E84" s="1"/>
      <c r="F84" s="1"/>
      <c r="G84" s="1"/>
      <c r="H84" s="1"/>
      <c r="I84" s="1"/>
      <c r="J84" s="1"/>
      <c r="K84" s="1"/>
      <c r="L84" s="1"/>
      <c r="M84" s="1"/>
      <c r="N84" s="1"/>
      <c r="O84" s="1"/>
      <c r="P84" s="1"/>
      <c r="Q84" s="1"/>
      <c r="R84" s="1"/>
      <c r="S84" s="1"/>
      <c r="T84" s="1"/>
    </row>
    <row r="85" spans="1:20" ht="30" hidden="1" customHeight="1" x14ac:dyDescent="0.2">
      <c r="A85" s="1"/>
      <c r="B85" s="1"/>
      <c r="C85" s="1"/>
      <c r="D85" s="1"/>
      <c r="E85" s="1"/>
      <c r="F85" s="1"/>
      <c r="G85" s="1"/>
      <c r="H85" s="1"/>
      <c r="I85" s="1"/>
      <c r="J85" s="1"/>
      <c r="K85" s="1"/>
      <c r="L85" s="1"/>
      <c r="M85" s="1"/>
      <c r="N85" s="1"/>
      <c r="O85" s="1"/>
      <c r="P85" s="1"/>
      <c r="Q85" s="1"/>
      <c r="R85" s="1"/>
      <c r="S85" s="1"/>
      <c r="T85" s="1"/>
    </row>
    <row r="86" spans="1:20" ht="30" hidden="1" customHeight="1" x14ac:dyDescent="0.2">
      <c r="A86" s="1"/>
      <c r="B86" s="1"/>
      <c r="C86" s="1"/>
      <c r="D86" s="1"/>
      <c r="E86" s="1"/>
      <c r="F86" s="1"/>
      <c r="G86" s="1"/>
      <c r="H86" s="1"/>
      <c r="I86" s="1"/>
      <c r="J86" s="1"/>
      <c r="K86" s="1"/>
      <c r="L86" s="1"/>
      <c r="M86" s="1"/>
      <c r="N86" s="1"/>
      <c r="O86" s="1"/>
      <c r="P86" s="1"/>
      <c r="Q86" s="1"/>
      <c r="R86" s="1"/>
      <c r="S86" s="1"/>
      <c r="T86" s="1"/>
    </row>
    <row r="87" spans="1:20" ht="30" hidden="1" customHeight="1" x14ac:dyDescent="0.2">
      <c r="A87" s="1"/>
      <c r="B87" s="1"/>
      <c r="C87" s="1"/>
      <c r="D87" s="1"/>
      <c r="E87" s="1"/>
      <c r="F87" s="1"/>
      <c r="G87" s="1"/>
      <c r="H87" s="1"/>
      <c r="I87" s="1"/>
      <c r="J87" s="1"/>
      <c r="K87" s="1"/>
      <c r="L87" s="1"/>
      <c r="M87" s="1"/>
      <c r="N87" s="1"/>
      <c r="O87" s="1"/>
      <c r="P87" s="1"/>
      <c r="Q87" s="1"/>
      <c r="R87" s="1"/>
      <c r="S87" s="1"/>
      <c r="T87" s="1"/>
    </row>
    <row r="88" spans="1:20" ht="30" hidden="1" customHeight="1" x14ac:dyDescent="0.2">
      <c r="A88" s="1"/>
      <c r="B88" s="1"/>
      <c r="C88" s="1"/>
      <c r="D88" s="1"/>
      <c r="E88" s="1"/>
      <c r="F88" s="1"/>
      <c r="G88" s="1"/>
      <c r="H88" s="1"/>
      <c r="I88" s="1"/>
      <c r="J88" s="1"/>
      <c r="K88" s="1"/>
      <c r="L88" s="1"/>
      <c r="M88" s="1"/>
      <c r="N88" s="1"/>
      <c r="O88" s="1"/>
      <c r="P88" s="1"/>
      <c r="Q88" s="1"/>
      <c r="R88" s="1"/>
      <c r="S88" s="1"/>
      <c r="T88" s="1"/>
    </row>
    <row r="89" spans="1:20" ht="30" hidden="1" customHeight="1" x14ac:dyDescent="0.2">
      <c r="A89" s="1"/>
      <c r="B89" s="1"/>
      <c r="C89" s="1"/>
      <c r="D89" s="1"/>
      <c r="E89" s="1"/>
      <c r="F89" s="1"/>
      <c r="G89" s="1"/>
      <c r="H89" s="1"/>
      <c r="I89" s="1"/>
      <c r="J89" s="1"/>
      <c r="K89" s="1"/>
      <c r="L89" s="1"/>
      <c r="M89" s="1"/>
      <c r="N89" s="1"/>
      <c r="O89" s="1"/>
      <c r="P89" s="1"/>
      <c r="Q89" s="1"/>
      <c r="R89" s="1"/>
      <c r="S89" s="1"/>
      <c r="T89" s="1"/>
    </row>
    <row r="90" spans="1:20" ht="30" hidden="1" customHeight="1" x14ac:dyDescent="0.2">
      <c r="A90" s="1"/>
      <c r="B90" s="1"/>
      <c r="C90" s="1"/>
      <c r="D90" s="1"/>
      <c r="E90" s="1"/>
      <c r="F90" s="1"/>
      <c r="G90" s="1"/>
      <c r="H90" s="1"/>
      <c r="I90" s="1"/>
      <c r="J90" s="1"/>
      <c r="K90" s="1"/>
      <c r="L90" s="1"/>
      <c r="M90" s="1"/>
      <c r="N90" s="1"/>
      <c r="O90" s="1"/>
      <c r="P90" s="1"/>
      <c r="Q90" s="1"/>
      <c r="R90" s="1"/>
      <c r="S90" s="1"/>
      <c r="T90" s="1"/>
    </row>
    <row r="91" spans="1:20" ht="30" hidden="1" customHeight="1" x14ac:dyDescent="0.2">
      <c r="A91" s="1"/>
      <c r="B91" s="1"/>
      <c r="C91" s="1"/>
      <c r="D91" s="1"/>
      <c r="E91" s="1"/>
      <c r="F91" s="1"/>
      <c r="G91" s="1"/>
      <c r="H91" s="1"/>
      <c r="I91" s="1"/>
      <c r="J91" s="1"/>
      <c r="K91" s="1"/>
      <c r="L91" s="1"/>
      <c r="M91" s="1"/>
      <c r="N91" s="1"/>
      <c r="O91" s="1"/>
      <c r="P91" s="1"/>
      <c r="Q91" s="1"/>
      <c r="R91" s="1"/>
      <c r="S91" s="1"/>
      <c r="T91" s="1"/>
    </row>
    <row r="92" spans="1:20" ht="30" hidden="1" customHeight="1" x14ac:dyDescent="0.2">
      <c r="A92" s="1"/>
      <c r="B92" s="1"/>
      <c r="C92" s="1"/>
      <c r="D92" s="1"/>
      <c r="E92" s="1"/>
      <c r="F92" s="1"/>
      <c r="G92" s="1"/>
      <c r="H92" s="1"/>
      <c r="I92" s="1"/>
      <c r="J92" s="1"/>
      <c r="K92" s="1"/>
      <c r="L92" s="1"/>
      <c r="M92" s="1"/>
      <c r="N92" s="1"/>
      <c r="O92" s="1"/>
      <c r="P92" s="1"/>
      <c r="Q92" s="1"/>
      <c r="R92" s="1"/>
      <c r="S92" s="1"/>
      <c r="T92" s="1"/>
    </row>
    <row r="93" spans="1:20" ht="30" hidden="1" customHeight="1" x14ac:dyDescent="0.2">
      <c r="A93" s="1"/>
      <c r="B93" s="1"/>
      <c r="C93" s="1"/>
      <c r="D93" s="1"/>
      <c r="E93" s="1"/>
      <c r="F93" s="1"/>
      <c r="G93" s="1"/>
      <c r="H93" s="1"/>
      <c r="I93" s="1"/>
      <c r="J93" s="1"/>
      <c r="K93" s="1"/>
      <c r="L93" s="1"/>
      <c r="M93" s="1"/>
      <c r="N93" s="1"/>
      <c r="O93" s="1"/>
      <c r="P93" s="1"/>
      <c r="Q93" s="1"/>
      <c r="R93" s="1"/>
      <c r="S93" s="1"/>
      <c r="T93" s="1"/>
    </row>
    <row r="94" spans="1:20" ht="30" hidden="1" customHeight="1" x14ac:dyDescent="0.2">
      <c r="A94" s="1"/>
      <c r="B94" s="1"/>
      <c r="C94" s="1"/>
      <c r="D94" s="1"/>
      <c r="E94" s="1"/>
      <c r="F94" s="1"/>
      <c r="G94" s="1"/>
      <c r="H94" s="1"/>
      <c r="I94" s="1"/>
      <c r="J94" s="1"/>
      <c r="K94" s="1"/>
      <c r="L94" s="1"/>
      <c r="M94" s="1"/>
      <c r="N94" s="1"/>
      <c r="O94" s="1"/>
      <c r="P94" s="1"/>
      <c r="Q94" s="1"/>
      <c r="R94" s="1"/>
      <c r="S94" s="1"/>
      <c r="T94" s="1"/>
    </row>
    <row r="95" spans="1:20" ht="30" hidden="1" customHeight="1" x14ac:dyDescent="0.2">
      <c r="A95" s="1"/>
      <c r="B95" s="1"/>
      <c r="C95" s="1"/>
      <c r="D95" s="1"/>
      <c r="E95" s="1"/>
      <c r="F95" s="1"/>
      <c r="G95" s="1"/>
      <c r="H95" s="1"/>
      <c r="I95" s="1"/>
      <c r="J95" s="1"/>
      <c r="K95" s="1"/>
      <c r="L95" s="1"/>
      <c r="M95" s="1"/>
      <c r="N95" s="1"/>
      <c r="O95" s="1"/>
      <c r="P95" s="1"/>
      <c r="Q95" s="1"/>
      <c r="R95" s="1"/>
      <c r="S95" s="1"/>
      <c r="T95" s="1"/>
    </row>
    <row r="96" spans="1:20" ht="30" hidden="1" customHeight="1" x14ac:dyDescent="0.2">
      <c r="A96" s="1"/>
      <c r="B96" s="1"/>
      <c r="C96" s="1"/>
      <c r="D96" s="1"/>
      <c r="E96" s="1"/>
      <c r="F96" s="1"/>
      <c r="G96" s="1"/>
      <c r="H96" s="1"/>
      <c r="I96" s="1"/>
      <c r="J96" s="1"/>
      <c r="K96" s="1"/>
      <c r="L96" s="1"/>
      <c r="M96" s="1"/>
      <c r="N96" s="1"/>
      <c r="O96" s="1"/>
      <c r="P96" s="1"/>
      <c r="Q96" s="1"/>
      <c r="R96" s="1"/>
      <c r="S96" s="1"/>
      <c r="T96" s="1"/>
    </row>
    <row r="97" spans="1:20" ht="30" hidden="1" customHeight="1" x14ac:dyDescent="0.2">
      <c r="A97" s="1"/>
      <c r="B97" s="1"/>
      <c r="C97" s="1"/>
      <c r="D97" s="1"/>
      <c r="E97" s="1"/>
      <c r="F97" s="1"/>
      <c r="G97" s="1"/>
      <c r="H97" s="1"/>
      <c r="I97" s="1"/>
      <c r="J97" s="1"/>
      <c r="K97" s="1"/>
      <c r="L97" s="1"/>
      <c r="M97" s="1"/>
      <c r="N97" s="1"/>
      <c r="O97" s="1"/>
      <c r="P97" s="1"/>
      <c r="Q97" s="1"/>
      <c r="R97" s="1"/>
      <c r="S97" s="1"/>
      <c r="T97" s="1"/>
    </row>
    <row r="98" spans="1:20" ht="30" hidden="1" customHeight="1" x14ac:dyDescent="0.2">
      <c r="A98" s="1"/>
      <c r="B98" s="1"/>
      <c r="C98" s="1"/>
      <c r="D98" s="1"/>
      <c r="E98" s="1"/>
      <c r="F98" s="1"/>
      <c r="G98" s="1"/>
      <c r="H98" s="1"/>
      <c r="I98" s="1"/>
      <c r="J98" s="1"/>
      <c r="K98" s="1"/>
      <c r="L98" s="1"/>
      <c r="M98" s="1"/>
      <c r="N98" s="1"/>
      <c r="O98" s="1"/>
      <c r="P98" s="1"/>
      <c r="Q98" s="1"/>
      <c r="R98" s="1"/>
      <c r="S98" s="1"/>
      <c r="T98" s="1"/>
    </row>
    <row r="99" spans="1:20" ht="30" hidden="1" customHeight="1" x14ac:dyDescent="0.2">
      <c r="A99" s="1"/>
      <c r="B99" s="1"/>
      <c r="C99" s="1"/>
      <c r="D99" s="1"/>
      <c r="E99" s="1"/>
      <c r="F99" s="1"/>
      <c r="G99" s="1"/>
      <c r="H99" s="1"/>
      <c r="I99" s="1"/>
      <c r="J99" s="1"/>
      <c r="K99" s="1"/>
      <c r="L99" s="1"/>
      <c r="M99" s="1"/>
      <c r="N99" s="1"/>
      <c r="O99" s="1"/>
      <c r="P99" s="1"/>
      <c r="Q99" s="1"/>
      <c r="R99" s="1"/>
      <c r="S99" s="1"/>
      <c r="T99" s="1"/>
    </row>
    <row r="100" spans="1:20" ht="30" hidden="1" customHeight="1" x14ac:dyDescent="0.2">
      <c r="A100" s="1"/>
      <c r="B100" s="1"/>
      <c r="C100" s="1"/>
      <c r="D100" s="1"/>
      <c r="E100" s="1"/>
      <c r="F100" s="1"/>
      <c r="G100" s="1"/>
      <c r="H100" s="1"/>
      <c r="I100" s="1"/>
      <c r="J100" s="1"/>
      <c r="K100" s="1"/>
      <c r="L100" s="1"/>
      <c r="M100" s="1"/>
      <c r="N100" s="1"/>
      <c r="O100" s="1"/>
      <c r="P100" s="1"/>
      <c r="Q100" s="1"/>
      <c r="R100" s="1"/>
      <c r="S100" s="1"/>
      <c r="T100" s="1"/>
    </row>
    <row r="101" spans="1:20" ht="30" hidden="1" customHeight="1" x14ac:dyDescent="0.2">
      <c r="A101" s="1"/>
      <c r="B101" s="1"/>
      <c r="C101" s="1"/>
      <c r="D101" s="1"/>
      <c r="E101" s="1"/>
      <c r="F101" s="1"/>
      <c r="G101" s="1"/>
      <c r="H101" s="1"/>
      <c r="I101" s="1"/>
      <c r="J101" s="1"/>
      <c r="K101" s="1"/>
      <c r="L101" s="1"/>
      <c r="M101" s="1"/>
      <c r="N101" s="1"/>
      <c r="O101" s="1"/>
      <c r="P101" s="1"/>
      <c r="Q101" s="1"/>
      <c r="R101" s="1"/>
      <c r="S101" s="1"/>
      <c r="T101" s="1"/>
    </row>
    <row r="102" spans="1:20" ht="30" hidden="1" customHeight="1" x14ac:dyDescent="0.2">
      <c r="A102" s="1"/>
      <c r="B102" s="1"/>
      <c r="C102" s="1"/>
      <c r="D102" s="1"/>
      <c r="E102" s="1"/>
      <c r="F102" s="1"/>
      <c r="G102" s="1"/>
      <c r="H102" s="1"/>
      <c r="I102" s="1"/>
      <c r="J102" s="1"/>
      <c r="K102" s="1"/>
      <c r="L102" s="1"/>
      <c r="M102" s="1"/>
      <c r="N102" s="1"/>
      <c r="O102" s="1"/>
      <c r="P102" s="1"/>
      <c r="Q102" s="1"/>
      <c r="R102" s="1"/>
      <c r="S102" s="1"/>
      <c r="T102" s="1"/>
    </row>
    <row r="103" spans="1:20" ht="30" hidden="1" customHeight="1" x14ac:dyDescent="0.2">
      <c r="A103" s="1"/>
      <c r="B103" s="1"/>
      <c r="C103" s="1"/>
      <c r="D103" s="1"/>
      <c r="E103" s="1"/>
      <c r="F103" s="1"/>
      <c r="G103" s="1"/>
      <c r="H103" s="1"/>
      <c r="I103" s="1"/>
      <c r="J103" s="1"/>
      <c r="K103" s="1"/>
      <c r="L103" s="1"/>
      <c r="M103" s="1"/>
      <c r="N103" s="1"/>
      <c r="O103" s="1"/>
      <c r="P103" s="1"/>
      <c r="Q103" s="1"/>
      <c r="R103" s="1"/>
      <c r="S103" s="1"/>
      <c r="T103" s="1"/>
    </row>
    <row r="104" spans="1:20" ht="30" hidden="1" customHeight="1" x14ac:dyDescent="0.2">
      <c r="A104" s="1"/>
      <c r="B104" s="1"/>
      <c r="C104" s="1"/>
      <c r="D104" s="1"/>
      <c r="E104" s="1"/>
      <c r="F104" s="1"/>
      <c r="G104" s="1"/>
      <c r="H104" s="1"/>
      <c r="I104" s="1"/>
      <c r="J104" s="1"/>
      <c r="K104" s="1"/>
      <c r="L104" s="1"/>
      <c r="M104" s="1"/>
      <c r="N104" s="1"/>
      <c r="O104" s="1"/>
      <c r="P104" s="1"/>
      <c r="Q104" s="1"/>
      <c r="R104" s="1"/>
      <c r="S104" s="1"/>
      <c r="T104" s="1"/>
    </row>
    <row r="105" spans="1:20" ht="30" hidden="1" customHeight="1" x14ac:dyDescent="0.2">
      <c r="A105" s="1"/>
      <c r="B105" s="1"/>
      <c r="C105" s="1"/>
      <c r="D105" s="1"/>
      <c r="E105" s="1"/>
      <c r="F105" s="1"/>
      <c r="G105" s="1"/>
      <c r="H105" s="1"/>
      <c r="I105" s="1"/>
      <c r="J105" s="1"/>
      <c r="K105" s="1"/>
      <c r="L105" s="1"/>
      <c r="M105" s="1"/>
      <c r="N105" s="1"/>
      <c r="O105" s="1"/>
      <c r="P105" s="1"/>
      <c r="Q105" s="1"/>
      <c r="R105" s="1"/>
      <c r="S105" s="1"/>
      <c r="T105" s="1"/>
    </row>
    <row r="106" spans="1:20" ht="30" hidden="1" customHeight="1" x14ac:dyDescent="0.2">
      <c r="A106" s="1"/>
      <c r="B106" s="1"/>
      <c r="C106" s="1"/>
      <c r="D106" s="1"/>
      <c r="E106" s="1"/>
      <c r="F106" s="1"/>
      <c r="G106" s="1"/>
      <c r="H106" s="1"/>
      <c r="I106" s="1"/>
      <c r="J106" s="1"/>
      <c r="K106" s="1"/>
      <c r="L106" s="1"/>
      <c r="M106" s="1"/>
      <c r="N106" s="1"/>
      <c r="O106" s="1"/>
      <c r="P106" s="1"/>
      <c r="Q106" s="1"/>
      <c r="R106" s="1"/>
      <c r="S106" s="1"/>
      <c r="T106" s="1"/>
    </row>
    <row r="107" spans="1:20" ht="30" hidden="1" customHeight="1" x14ac:dyDescent="0.2">
      <c r="A107" s="1"/>
      <c r="B107" s="1"/>
      <c r="C107" s="1"/>
      <c r="D107" s="1"/>
      <c r="E107" s="1"/>
      <c r="F107" s="1"/>
      <c r="G107" s="1"/>
      <c r="H107" s="1"/>
      <c r="I107" s="1"/>
      <c r="J107" s="1"/>
      <c r="K107" s="1"/>
      <c r="L107" s="1"/>
      <c r="M107" s="1"/>
      <c r="N107" s="1"/>
      <c r="O107" s="1"/>
      <c r="P107" s="1"/>
      <c r="Q107" s="1"/>
      <c r="R107" s="1"/>
      <c r="S107" s="1"/>
      <c r="T107" s="1"/>
    </row>
    <row r="108" spans="1:20" ht="30" hidden="1" customHeight="1" x14ac:dyDescent="0.2">
      <c r="A108" s="1"/>
      <c r="B108" s="1"/>
      <c r="C108" s="1"/>
      <c r="D108" s="1"/>
      <c r="E108" s="1"/>
      <c r="F108" s="1"/>
      <c r="G108" s="1"/>
      <c r="H108" s="1"/>
      <c r="I108" s="1"/>
      <c r="J108" s="1"/>
      <c r="K108" s="1"/>
      <c r="L108" s="1"/>
      <c r="M108" s="1"/>
      <c r="N108" s="1"/>
      <c r="O108" s="1"/>
      <c r="P108" s="1"/>
      <c r="Q108" s="1"/>
      <c r="R108" s="1"/>
      <c r="S108" s="1"/>
      <c r="T108" s="1"/>
    </row>
    <row r="109" spans="1:20" ht="30" hidden="1" customHeight="1" x14ac:dyDescent="0.2">
      <c r="A109" s="1"/>
      <c r="B109" s="1"/>
      <c r="C109" s="1"/>
      <c r="D109" s="1"/>
      <c r="E109" s="1"/>
      <c r="F109" s="1"/>
      <c r="G109" s="1"/>
      <c r="H109" s="1"/>
      <c r="I109" s="1"/>
      <c r="J109" s="1"/>
      <c r="K109" s="1"/>
      <c r="L109" s="1"/>
      <c r="M109" s="1"/>
      <c r="N109" s="1"/>
      <c r="O109" s="1"/>
      <c r="P109" s="1"/>
      <c r="Q109" s="1"/>
      <c r="R109" s="1"/>
      <c r="S109" s="1"/>
      <c r="T109" s="1"/>
    </row>
    <row r="110" spans="1:20" ht="30" hidden="1" customHeight="1" x14ac:dyDescent="0.2">
      <c r="A110" s="1"/>
      <c r="B110" s="1"/>
      <c r="C110" s="1"/>
      <c r="D110" s="1"/>
      <c r="E110" s="1"/>
      <c r="F110" s="1"/>
      <c r="G110" s="1"/>
      <c r="H110" s="1"/>
      <c r="I110" s="1"/>
      <c r="J110" s="1"/>
      <c r="K110" s="1"/>
      <c r="L110" s="1"/>
      <c r="M110" s="1"/>
      <c r="N110" s="1"/>
      <c r="O110" s="1"/>
      <c r="P110" s="1"/>
      <c r="Q110" s="1"/>
      <c r="R110" s="1"/>
      <c r="S110" s="1"/>
      <c r="T110" s="1"/>
    </row>
    <row r="111" spans="1:20" ht="30" hidden="1" customHeight="1" x14ac:dyDescent="0.2">
      <c r="A111" s="1"/>
      <c r="B111" s="1"/>
      <c r="C111" s="1"/>
      <c r="D111" s="1"/>
      <c r="E111" s="1"/>
      <c r="F111" s="1"/>
      <c r="G111" s="1"/>
      <c r="H111" s="1"/>
      <c r="I111" s="1"/>
      <c r="J111" s="1"/>
      <c r="K111" s="1"/>
      <c r="L111" s="1"/>
      <c r="M111" s="1"/>
      <c r="N111" s="1"/>
      <c r="O111" s="1"/>
      <c r="P111" s="1"/>
      <c r="Q111" s="1"/>
      <c r="R111" s="1"/>
      <c r="S111" s="1"/>
      <c r="T111" s="1"/>
    </row>
    <row r="112" spans="1:20" ht="30" hidden="1" customHeight="1" x14ac:dyDescent="0.2">
      <c r="A112" s="1"/>
      <c r="B112" s="1"/>
      <c r="C112" s="1"/>
      <c r="D112" s="1"/>
      <c r="E112" s="1"/>
      <c r="F112" s="1"/>
      <c r="G112" s="1"/>
      <c r="H112" s="1"/>
      <c r="I112" s="1"/>
      <c r="J112" s="1"/>
      <c r="K112" s="1"/>
      <c r="L112" s="1"/>
      <c r="M112" s="1"/>
      <c r="N112" s="1"/>
      <c r="O112" s="1"/>
      <c r="P112" s="1"/>
      <c r="Q112" s="1"/>
      <c r="R112" s="1"/>
      <c r="S112" s="1"/>
      <c r="T112" s="1"/>
    </row>
    <row r="113" spans="1:20" ht="30" hidden="1" customHeight="1" x14ac:dyDescent="0.2">
      <c r="A113" s="1"/>
      <c r="B113" s="1"/>
      <c r="C113" s="1"/>
      <c r="D113" s="1"/>
      <c r="E113" s="1"/>
      <c r="F113" s="1"/>
      <c r="G113" s="1"/>
      <c r="H113" s="1"/>
      <c r="I113" s="1"/>
      <c r="J113" s="1"/>
      <c r="K113" s="1"/>
      <c r="L113" s="1"/>
      <c r="M113" s="1"/>
      <c r="N113" s="1"/>
      <c r="O113" s="1"/>
      <c r="P113" s="1"/>
      <c r="Q113" s="1"/>
      <c r="R113" s="1"/>
      <c r="S113" s="1"/>
      <c r="T113" s="1"/>
    </row>
    <row r="114" spans="1:20" ht="30" hidden="1" customHeight="1" x14ac:dyDescent="0.2">
      <c r="A114" s="1"/>
      <c r="B114" s="1"/>
      <c r="C114" s="1"/>
      <c r="D114" s="1"/>
      <c r="E114" s="1"/>
      <c r="F114" s="1"/>
      <c r="G114" s="1"/>
      <c r="H114" s="1"/>
      <c r="I114" s="1"/>
      <c r="J114" s="1"/>
      <c r="K114" s="1"/>
      <c r="L114" s="1"/>
      <c r="M114" s="1"/>
      <c r="N114" s="1"/>
      <c r="O114" s="1"/>
      <c r="P114" s="1"/>
      <c r="Q114" s="1"/>
      <c r="R114" s="1"/>
      <c r="S114" s="1"/>
      <c r="T114" s="1"/>
    </row>
    <row r="115" spans="1:20" ht="30" hidden="1" customHeight="1" x14ac:dyDescent="0.2">
      <c r="A115" s="1"/>
      <c r="B115" s="18"/>
      <c r="C115" s="1"/>
      <c r="D115" s="1"/>
      <c r="E115" s="1"/>
      <c r="F115" s="1"/>
      <c r="G115" s="1"/>
      <c r="H115" s="1"/>
      <c r="I115" s="1"/>
      <c r="J115" s="1"/>
      <c r="K115" s="1"/>
      <c r="L115" s="1"/>
      <c r="M115" s="1"/>
      <c r="N115" s="1"/>
      <c r="O115" s="1"/>
      <c r="P115" s="1"/>
      <c r="Q115" s="1"/>
      <c r="R115" s="1"/>
      <c r="S115" s="1"/>
      <c r="T115" s="1"/>
    </row>
    <row r="116" spans="1:20" ht="30" hidden="1" customHeight="1" x14ac:dyDescent="0.2">
      <c r="A116" s="18"/>
      <c r="C116" s="18"/>
      <c r="D116" s="18"/>
      <c r="E116" s="18"/>
      <c r="F116" s="18"/>
      <c r="G116" s="18"/>
      <c r="H116" s="18"/>
      <c r="I116" s="18"/>
      <c r="J116" s="18"/>
      <c r="K116" s="18"/>
      <c r="L116" s="18"/>
      <c r="M116" s="18"/>
      <c r="N116" s="18"/>
      <c r="O116" s="18"/>
      <c r="P116" s="18"/>
      <c r="Q116" s="18"/>
      <c r="R116" s="18"/>
      <c r="S116" s="18"/>
      <c r="T116" s="18"/>
    </row>
    <row r="117" spans="1:20" ht="33.75" hidden="1" customHeight="1" x14ac:dyDescent="0.2">
      <c r="A117" s="17"/>
      <c r="B117" s="19"/>
      <c r="C117" s="1"/>
      <c r="D117" s="1"/>
      <c r="E117" s="1"/>
      <c r="F117" s="1"/>
      <c r="G117" s="1"/>
      <c r="H117" s="1"/>
      <c r="I117" s="1"/>
      <c r="J117" s="1"/>
      <c r="K117" s="1"/>
      <c r="L117" s="1"/>
      <c r="M117" s="1"/>
      <c r="N117" s="1"/>
      <c r="O117" s="1"/>
      <c r="P117" s="1"/>
      <c r="Q117" s="1"/>
      <c r="R117" s="1"/>
      <c r="S117" s="1"/>
      <c r="T117" s="1"/>
    </row>
    <row r="118" spans="1:20" ht="16.5" hidden="1" customHeight="1" x14ac:dyDescent="0.2">
      <c r="A118" s="19"/>
      <c r="B118" s="1"/>
      <c r="C118" s="20"/>
      <c r="D118" s="20"/>
      <c r="E118" s="20"/>
      <c r="F118" s="20"/>
      <c r="G118" s="20"/>
      <c r="H118" s="20"/>
      <c r="I118" s="20"/>
      <c r="J118" s="20"/>
      <c r="K118" s="20"/>
      <c r="L118" s="20"/>
      <c r="M118" s="20"/>
      <c r="N118" s="20"/>
      <c r="O118" s="20"/>
      <c r="P118" s="20"/>
      <c r="Q118" s="20"/>
      <c r="R118" s="20"/>
      <c r="S118" s="20"/>
      <c r="T118" s="20"/>
    </row>
    <row r="119" spans="1:20" ht="30" hidden="1" customHeight="1" x14ac:dyDescent="0.2">
      <c r="A119" s="1"/>
      <c r="B119" s="1"/>
      <c r="C119" s="1"/>
      <c r="D119" s="1"/>
      <c r="E119" s="1"/>
      <c r="F119" s="1"/>
      <c r="G119" s="1"/>
      <c r="H119" s="1"/>
      <c r="I119" s="1"/>
      <c r="J119" s="1"/>
      <c r="K119" s="1"/>
      <c r="L119" s="1"/>
      <c r="M119" s="1"/>
      <c r="N119" s="1"/>
      <c r="O119" s="1"/>
      <c r="P119" s="1"/>
      <c r="Q119" s="1"/>
      <c r="R119" s="1"/>
      <c r="S119" s="1"/>
      <c r="T119" s="1"/>
    </row>
    <row r="120" spans="1:20" ht="30" hidden="1" customHeight="1" x14ac:dyDescent="0.2">
      <c r="A120" s="1"/>
      <c r="B120" s="1"/>
      <c r="C120" s="1"/>
      <c r="D120" s="1"/>
      <c r="E120" s="1"/>
      <c r="F120" s="1"/>
      <c r="G120" s="1"/>
      <c r="H120" s="1"/>
      <c r="I120" s="1"/>
      <c r="J120" s="1"/>
      <c r="K120" s="1"/>
      <c r="L120" s="1"/>
      <c r="M120" s="1"/>
      <c r="N120" s="1"/>
      <c r="O120" s="1"/>
      <c r="P120" s="1"/>
      <c r="Q120" s="1"/>
      <c r="R120" s="1"/>
      <c r="S120" s="1"/>
      <c r="T120" s="1"/>
    </row>
    <row r="121" spans="1:20" ht="30" hidden="1" customHeight="1" x14ac:dyDescent="0.2">
      <c r="A121" s="1"/>
      <c r="B121" s="1"/>
      <c r="C121" s="1"/>
      <c r="D121" s="1"/>
      <c r="E121" s="1"/>
      <c r="F121" s="1"/>
      <c r="G121" s="1"/>
      <c r="H121" s="1"/>
      <c r="I121" s="1"/>
      <c r="J121" s="1"/>
      <c r="K121" s="1"/>
      <c r="L121" s="1"/>
      <c r="M121" s="1"/>
      <c r="N121" s="1"/>
      <c r="O121" s="1"/>
      <c r="P121" s="1"/>
      <c r="Q121" s="1"/>
      <c r="R121" s="1"/>
      <c r="S121" s="1"/>
      <c r="T121" s="1"/>
    </row>
    <row r="122" spans="1:20" ht="30" hidden="1" customHeight="1" x14ac:dyDescent="0.2">
      <c r="A122" s="1"/>
      <c r="B122" s="1"/>
      <c r="C122" s="1"/>
      <c r="D122" s="1"/>
      <c r="E122" s="1"/>
      <c r="F122" s="1"/>
      <c r="G122" s="1"/>
      <c r="H122" s="1"/>
      <c r="I122" s="1"/>
      <c r="J122" s="1"/>
      <c r="K122" s="1"/>
      <c r="L122" s="1"/>
      <c r="M122" s="1"/>
      <c r="N122" s="1"/>
      <c r="O122" s="1"/>
      <c r="P122" s="1"/>
      <c r="Q122" s="1"/>
      <c r="R122" s="1"/>
      <c r="S122" s="1"/>
      <c r="T122" s="1"/>
    </row>
    <row r="123" spans="1:20" ht="30" hidden="1" customHeight="1" x14ac:dyDescent="0.2">
      <c r="A123" s="1"/>
      <c r="B123" s="1"/>
      <c r="C123" s="1"/>
      <c r="D123" s="1"/>
      <c r="E123" s="1"/>
      <c r="F123" s="1"/>
      <c r="G123" s="1"/>
      <c r="H123" s="1"/>
      <c r="I123" s="1"/>
      <c r="J123" s="1"/>
      <c r="K123" s="1"/>
      <c r="L123" s="1"/>
      <c r="M123" s="1"/>
      <c r="N123" s="1"/>
      <c r="O123" s="1"/>
      <c r="P123" s="1"/>
      <c r="Q123" s="1"/>
      <c r="R123" s="1"/>
      <c r="S123" s="1"/>
      <c r="T123" s="1"/>
    </row>
    <row r="124" spans="1:20" ht="30" hidden="1" customHeight="1" x14ac:dyDescent="0.2">
      <c r="A124" s="1"/>
      <c r="B124" s="1"/>
      <c r="C124" s="1"/>
      <c r="D124" s="1"/>
      <c r="E124" s="1"/>
      <c r="F124" s="1"/>
      <c r="G124" s="1"/>
      <c r="H124" s="1"/>
      <c r="I124" s="1"/>
      <c r="J124" s="1"/>
      <c r="K124" s="1"/>
      <c r="L124" s="1"/>
      <c r="M124" s="1"/>
      <c r="N124" s="1"/>
      <c r="O124" s="1"/>
      <c r="P124" s="1"/>
      <c r="Q124" s="1"/>
      <c r="R124" s="1"/>
      <c r="S124" s="1"/>
      <c r="T124" s="1"/>
    </row>
    <row r="125" spans="1:20" ht="30" hidden="1" customHeight="1" x14ac:dyDescent="0.2">
      <c r="A125" s="1"/>
      <c r="B125" s="1"/>
      <c r="C125" s="1"/>
      <c r="D125" s="1"/>
      <c r="E125" s="1"/>
      <c r="F125" s="1"/>
      <c r="G125" s="1"/>
      <c r="H125" s="1"/>
      <c r="I125" s="1"/>
      <c r="J125" s="1"/>
      <c r="K125" s="1"/>
      <c r="L125" s="1"/>
      <c r="M125" s="1"/>
      <c r="N125" s="1"/>
      <c r="O125" s="1"/>
      <c r="P125" s="1"/>
      <c r="Q125" s="1"/>
      <c r="R125" s="1"/>
      <c r="S125" s="1"/>
      <c r="T125" s="1"/>
    </row>
    <row r="126" spans="1:20" ht="30" hidden="1" customHeight="1" x14ac:dyDescent="0.2">
      <c r="A126" s="1"/>
      <c r="B126" s="1"/>
      <c r="C126" s="1"/>
      <c r="D126" s="1"/>
      <c r="E126" s="1"/>
      <c r="F126" s="1"/>
      <c r="G126" s="1"/>
      <c r="H126" s="1"/>
      <c r="I126" s="1"/>
      <c r="J126" s="1"/>
      <c r="K126" s="1"/>
      <c r="L126" s="1"/>
      <c r="M126" s="1"/>
      <c r="N126" s="1"/>
      <c r="O126" s="1"/>
      <c r="P126" s="1"/>
      <c r="Q126" s="1"/>
      <c r="R126" s="1"/>
      <c r="S126" s="1"/>
      <c r="T126" s="1"/>
    </row>
    <row r="127" spans="1:20" ht="30" hidden="1" customHeight="1" x14ac:dyDescent="0.2">
      <c r="A127" s="1"/>
      <c r="B127" s="1"/>
      <c r="C127" s="1"/>
      <c r="D127" s="1"/>
      <c r="E127" s="1"/>
      <c r="F127" s="1"/>
      <c r="G127" s="1"/>
      <c r="H127" s="1"/>
      <c r="I127" s="1"/>
      <c r="J127" s="1"/>
      <c r="K127" s="1"/>
      <c r="L127" s="1"/>
      <c r="M127" s="1"/>
      <c r="N127" s="1"/>
      <c r="O127" s="1"/>
      <c r="P127" s="1"/>
      <c r="Q127" s="1"/>
      <c r="R127" s="1"/>
      <c r="S127" s="1"/>
      <c r="T127" s="1"/>
    </row>
    <row r="128" spans="1:20" ht="30" hidden="1" customHeight="1" x14ac:dyDescent="0.2">
      <c r="A128" s="1"/>
      <c r="B128" s="1"/>
      <c r="C128" s="1"/>
      <c r="D128" s="1"/>
      <c r="E128" s="1"/>
      <c r="F128" s="1"/>
      <c r="G128" s="1"/>
      <c r="H128" s="1"/>
      <c r="I128" s="1"/>
      <c r="J128" s="1"/>
      <c r="K128" s="1"/>
      <c r="L128" s="1"/>
      <c r="M128" s="1"/>
      <c r="N128" s="1"/>
      <c r="O128" s="1"/>
      <c r="P128" s="1"/>
      <c r="Q128" s="1"/>
      <c r="R128" s="1"/>
      <c r="S128" s="1"/>
      <c r="T128" s="1"/>
    </row>
    <row r="129" spans="1:20" ht="30" hidden="1" customHeight="1" x14ac:dyDescent="0.2">
      <c r="A129" s="1"/>
      <c r="B129" s="1"/>
      <c r="C129" s="1"/>
      <c r="D129" s="1"/>
      <c r="E129" s="1"/>
      <c r="F129" s="1"/>
      <c r="G129" s="1"/>
      <c r="H129" s="1"/>
      <c r="I129" s="1"/>
      <c r="J129" s="1"/>
      <c r="K129" s="1"/>
      <c r="L129" s="1"/>
      <c r="M129" s="1"/>
      <c r="N129" s="1"/>
      <c r="O129" s="1"/>
      <c r="P129" s="1"/>
      <c r="Q129" s="1"/>
      <c r="R129" s="1"/>
      <c r="S129" s="1"/>
      <c r="T129" s="1"/>
    </row>
    <row r="130" spans="1:20" ht="30" hidden="1" customHeight="1" x14ac:dyDescent="0.2">
      <c r="A130" s="1"/>
      <c r="B130" s="1"/>
      <c r="C130" s="1"/>
      <c r="D130" s="1"/>
      <c r="E130" s="1"/>
      <c r="F130" s="1"/>
      <c r="G130" s="1"/>
      <c r="H130" s="1"/>
      <c r="I130" s="1"/>
      <c r="J130" s="1"/>
      <c r="K130" s="1"/>
      <c r="L130" s="1"/>
      <c r="M130" s="1"/>
      <c r="N130" s="1"/>
      <c r="O130" s="1"/>
      <c r="P130" s="1"/>
      <c r="Q130" s="1"/>
      <c r="R130" s="1"/>
      <c r="S130" s="1"/>
      <c r="T130" s="1"/>
    </row>
    <row r="131" spans="1:20" ht="30" hidden="1" customHeight="1" x14ac:dyDescent="0.2">
      <c r="A131" s="1"/>
      <c r="B131" s="1"/>
      <c r="C131" s="1"/>
      <c r="D131" s="1"/>
      <c r="E131" s="1"/>
      <c r="F131" s="1"/>
      <c r="G131" s="1"/>
      <c r="H131" s="1"/>
      <c r="I131" s="1"/>
      <c r="J131" s="1"/>
      <c r="K131" s="1"/>
      <c r="L131" s="1"/>
      <c r="M131" s="1"/>
      <c r="N131" s="1"/>
      <c r="O131" s="1"/>
      <c r="P131" s="1"/>
      <c r="Q131" s="1"/>
      <c r="R131" s="1"/>
      <c r="S131" s="1"/>
      <c r="T131" s="1"/>
    </row>
    <row r="132" spans="1:20" ht="30" hidden="1" customHeight="1" x14ac:dyDescent="0.2">
      <c r="A132" s="1"/>
      <c r="B132" s="1"/>
      <c r="C132" s="1"/>
      <c r="D132" s="1"/>
      <c r="E132" s="1"/>
      <c r="F132" s="1"/>
      <c r="G132" s="1"/>
      <c r="H132" s="1"/>
      <c r="I132" s="1"/>
      <c r="J132" s="1"/>
      <c r="K132" s="1"/>
      <c r="L132" s="1"/>
      <c r="M132" s="1"/>
      <c r="N132" s="1"/>
      <c r="O132" s="1"/>
      <c r="P132" s="1"/>
      <c r="Q132" s="1"/>
      <c r="R132" s="1"/>
      <c r="S132" s="1"/>
      <c r="T132" s="1"/>
    </row>
    <row r="133" spans="1:20" ht="30" hidden="1" customHeight="1" x14ac:dyDescent="0.2">
      <c r="A133" s="1"/>
      <c r="B133" s="1"/>
      <c r="C133" s="1"/>
      <c r="D133" s="1"/>
      <c r="E133" s="1"/>
      <c r="F133" s="1"/>
      <c r="G133" s="1"/>
      <c r="H133" s="1"/>
      <c r="I133" s="1"/>
      <c r="J133" s="1"/>
      <c r="K133" s="1"/>
      <c r="L133" s="1"/>
      <c r="M133" s="1"/>
      <c r="N133" s="1"/>
      <c r="O133" s="1"/>
      <c r="P133" s="1"/>
      <c r="Q133" s="1"/>
      <c r="R133" s="1"/>
      <c r="S133" s="1"/>
      <c r="T133" s="1"/>
    </row>
    <row r="134" spans="1:20" ht="30" hidden="1" customHeight="1" x14ac:dyDescent="0.2">
      <c r="A134" s="1"/>
      <c r="B134" s="1"/>
      <c r="C134" s="1"/>
      <c r="D134" s="1"/>
      <c r="E134" s="1"/>
      <c r="F134" s="1"/>
      <c r="G134" s="1"/>
      <c r="H134" s="1"/>
      <c r="I134" s="1"/>
      <c r="J134" s="1"/>
      <c r="K134" s="1"/>
      <c r="L134" s="1"/>
      <c r="M134" s="1"/>
      <c r="N134" s="1"/>
      <c r="O134" s="1"/>
      <c r="P134" s="1"/>
      <c r="Q134" s="1"/>
      <c r="R134" s="1"/>
      <c r="S134" s="1"/>
      <c r="T134" s="1"/>
    </row>
    <row r="135" spans="1:20" ht="30" hidden="1" customHeight="1" x14ac:dyDescent="0.2">
      <c r="A135" s="1"/>
      <c r="B135" s="1"/>
      <c r="C135" s="1"/>
      <c r="D135" s="1"/>
      <c r="E135" s="1"/>
      <c r="F135" s="1"/>
      <c r="G135" s="1"/>
      <c r="H135" s="1"/>
      <c r="I135" s="1"/>
      <c r="J135" s="1"/>
      <c r="K135" s="1"/>
      <c r="L135" s="1"/>
      <c r="M135" s="1"/>
      <c r="N135" s="1"/>
      <c r="O135" s="1"/>
      <c r="P135" s="1"/>
      <c r="Q135" s="1"/>
      <c r="R135" s="1"/>
      <c r="S135" s="1"/>
      <c r="T135" s="1"/>
    </row>
    <row r="136" spans="1:20" ht="30" hidden="1" customHeight="1" x14ac:dyDescent="0.2">
      <c r="A136" s="1"/>
      <c r="B136" s="1"/>
      <c r="C136" s="1"/>
      <c r="D136" s="1"/>
      <c r="E136" s="1"/>
      <c r="F136" s="1"/>
      <c r="G136" s="1"/>
      <c r="H136" s="1"/>
      <c r="I136" s="1"/>
      <c r="J136" s="1"/>
      <c r="K136" s="1"/>
      <c r="L136" s="1"/>
      <c r="M136" s="1"/>
      <c r="N136" s="1"/>
      <c r="O136" s="1"/>
      <c r="P136" s="1"/>
      <c r="Q136" s="1"/>
      <c r="R136" s="1"/>
      <c r="S136" s="1"/>
      <c r="T136" s="1"/>
    </row>
    <row r="137" spans="1:20" ht="30" hidden="1" customHeight="1" x14ac:dyDescent="0.2">
      <c r="A137" s="1"/>
      <c r="B137" s="1"/>
      <c r="C137" s="1"/>
      <c r="D137" s="1"/>
      <c r="E137" s="1"/>
      <c r="F137" s="1"/>
      <c r="G137" s="1"/>
      <c r="H137" s="1"/>
      <c r="I137" s="1"/>
      <c r="J137" s="1"/>
      <c r="K137" s="1"/>
      <c r="L137" s="1"/>
      <c r="M137" s="1"/>
      <c r="N137" s="1"/>
      <c r="O137" s="1"/>
      <c r="P137" s="1"/>
      <c r="Q137" s="1"/>
      <c r="R137" s="1"/>
      <c r="S137" s="1"/>
      <c r="T137" s="1"/>
    </row>
    <row r="138" spans="1:20" ht="30" hidden="1" customHeight="1" x14ac:dyDescent="0.2">
      <c r="A138" s="1"/>
      <c r="B138" s="1"/>
      <c r="C138" s="1"/>
      <c r="D138" s="1"/>
      <c r="E138" s="1"/>
      <c r="F138" s="1"/>
      <c r="G138" s="1"/>
      <c r="H138" s="1"/>
      <c r="I138" s="1"/>
      <c r="J138" s="1"/>
      <c r="K138" s="1"/>
      <c r="L138" s="1"/>
      <c r="M138" s="1"/>
      <c r="N138" s="1"/>
      <c r="O138" s="1"/>
      <c r="P138" s="1"/>
      <c r="Q138" s="1"/>
      <c r="R138" s="1"/>
      <c r="S138" s="1"/>
      <c r="T138" s="1"/>
    </row>
    <row r="139" spans="1:20" ht="30" hidden="1" customHeight="1" x14ac:dyDescent="0.2">
      <c r="A139" s="1"/>
      <c r="B139" s="1"/>
      <c r="C139" s="1"/>
      <c r="D139" s="1"/>
      <c r="E139" s="1"/>
      <c r="F139" s="1"/>
      <c r="G139" s="1"/>
      <c r="H139" s="1"/>
      <c r="I139" s="1"/>
      <c r="J139" s="1"/>
      <c r="K139" s="1"/>
      <c r="L139" s="1"/>
      <c r="M139" s="1"/>
      <c r="N139" s="1"/>
      <c r="O139" s="1"/>
      <c r="P139" s="1"/>
      <c r="Q139" s="1"/>
      <c r="R139" s="1"/>
      <c r="S139" s="1"/>
      <c r="T139" s="1"/>
    </row>
    <row r="140" spans="1:20" ht="30" hidden="1" customHeight="1" x14ac:dyDescent="0.2">
      <c r="A140" s="1"/>
      <c r="B140" s="1"/>
      <c r="C140" s="1"/>
      <c r="D140" s="1"/>
      <c r="E140" s="1"/>
      <c r="F140" s="1"/>
      <c r="G140" s="1"/>
      <c r="H140" s="1"/>
      <c r="I140" s="1"/>
      <c r="J140" s="1"/>
      <c r="K140" s="1"/>
      <c r="L140" s="1"/>
      <c r="M140" s="1"/>
      <c r="N140" s="1"/>
      <c r="O140" s="1"/>
      <c r="P140" s="1"/>
      <c r="Q140" s="1"/>
      <c r="R140" s="1"/>
      <c r="S140" s="1"/>
      <c r="T140" s="1"/>
    </row>
    <row r="141" spans="1:20" ht="30" hidden="1" customHeight="1" x14ac:dyDescent="0.2">
      <c r="A141" s="1"/>
      <c r="B141" s="1"/>
      <c r="C141" s="1"/>
      <c r="D141" s="1"/>
      <c r="E141" s="1"/>
      <c r="F141" s="1"/>
      <c r="G141" s="1"/>
      <c r="H141" s="1"/>
      <c r="I141" s="1"/>
      <c r="J141" s="1"/>
      <c r="K141" s="1"/>
      <c r="L141" s="1"/>
      <c r="M141" s="1"/>
      <c r="N141" s="1"/>
      <c r="O141" s="1"/>
      <c r="P141" s="1"/>
      <c r="Q141" s="1"/>
      <c r="R141" s="1"/>
      <c r="S141" s="1"/>
      <c r="T141" s="1"/>
    </row>
    <row r="142" spans="1:20" ht="30" hidden="1" customHeight="1" x14ac:dyDescent="0.2">
      <c r="A142" s="1"/>
      <c r="B142" s="1"/>
      <c r="C142" s="1"/>
      <c r="D142" s="1"/>
      <c r="E142" s="1"/>
      <c r="F142" s="1"/>
      <c r="G142" s="1"/>
      <c r="H142" s="1"/>
      <c r="I142" s="1"/>
      <c r="J142" s="1"/>
      <c r="K142" s="1"/>
      <c r="L142" s="1"/>
      <c r="M142" s="1"/>
      <c r="N142" s="1"/>
      <c r="O142" s="1"/>
      <c r="P142" s="1"/>
      <c r="Q142" s="1"/>
      <c r="R142" s="1"/>
      <c r="S142" s="1"/>
      <c r="T142" s="1"/>
    </row>
    <row r="143" spans="1:20" ht="30" hidden="1" customHeight="1" x14ac:dyDescent="0.2">
      <c r="A143" s="1"/>
      <c r="B143" s="1"/>
      <c r="C143" s="1"/>
      <c r="D143" s="1"/>
      <c r="E143" s="1"/>
      <c r="F143" s="1"/>
      <c r="G143" s="1"/>
      <c r="H143" s="1"/>
      <c r="I143" s="1"/>
      <c r="J143" s="1"/>
      <c r="K143" s="1"/>
      <c r="L143" s="1"/>
      <c r="M143" s="1"/>
      <c r="N143" s="1"/>
      <c r="O143" s="1"/>
      <c r="P143" s="1"/>
      <c r="Q143" s="1"/>
      <c r="R143" s="1"/>
      <c r="S143" s="1"/>
      <c r="T143" s="1"/>
    </row>
    <row r="144" spans="1:20" ht="30" hidden="1" customHeight="1" x14ac:dyDescent="0.2">
      <c r="A144" s="1"/>
      <c r="B144" s="1"/>
      <c r="C144" s="1"/>
      <c r="D144" s="1"/>
      <c r="E144" s="1"/>
      <c r="F144" s="1"/>
      <c r="G144" s="1"/>
      <c r="H144" s="1"/>
      <c r="I144" s="1"/>
      <c r="J144" s="1"/>
      <c r="K144" s="1"/>
      <c r="L144" s="1"/>
      <c r="M144" s="1"/>
      <c r="N144" s="1"/>
      <c r="O144" s="1"/>
      <c r="P144" s="1"/>
      <c r="Q144" s="1"/>
      <c r="R144" s="1"/>
      <c r="S144" s="1"/>
      <c r="T144" s="1"/>
    </row>
    <row r="145" spans="1:20" ht="30" hidden="1" customHeight="1" x14ac:dyDescent="0.2">
      <c r="A145" s="1"/>
      <c r="B145" s="21"/>
      <c r="C145" s="1"/>
      <c r="D145" s="1"/>
      <c r="E145" s="1"/>
      <c r="F145" s="1"/>
      <c r="G145" s="1"/>
      <c r="H145" s="1"/>
      <c r="I145" s="1"/>
      <c r="J145" s="1"/>
      <c r="K145" s="1"/>
      <c r="L145" s="1"/>
      <c r="M145" s="1"/>
      <c r="N145" s="1"/>
      <c r="O145" s="1"/>
      <c r="P145" s="1"/>
      <c r="Q145" s="1"/>
      <c r="R145" s="1"/>
      <c r="S145" s="1"/>
      <c r="T145" s="1"/>
    </row>
    <row r="146" spans="1:20" ht="30" hidden="1" customHeight="1" x14ac:dyDescent="0.2">
      <c r="A146" s="21"/>
      <c r="B146" s="21"/>
      <c r="C146" s="21"/>
      <c r="D146" s="21"/>
      <c r="E146" s="21"/>
      <c r="F146" s="21"/>
      <c r="G146" s="21"/>
      <c r="H146" s="21"/>
      <c r="I146" s="21"/>
      <c r="J146" s="21"/>
      <c r="K146" s="21"/>
      <c r="L146" s="21"/>
      <c r="M146" s="21"/>
      <c r="N146" s="21"/>
      <c r="O146" s="21"/>
      <c r="P146" s="21"/>
      <c r="Q146" s="21"/>
      <c r="R146" s="21"/>
      <c r="S146" s="21"/>
      <c r="T146" s="21"/>
    </row>
    <row r="147" spans="1:20" ht="30" hidden="1" customHeight="1" x14ac:dyDescent="0.2">
      <c r="A147" s="21"/>
      <c r="B147" s="21"/>
      <c r="C147" s="21"/>
      <c r="D147" s="21"/>
      <c r="E147" s="21"/>
      <c r="F147" s="21"/>
      <c r="G147" s="21"/>
      <c r="H147" s="21"/>
      <c r="I147" s="21"/>
      <c r="J147" s="21"/>
      <c r="K147" s="21"/>
      <c r="L147" s="21"/>
      <c r="M147" s="21"/>
      <c r="N147" s="21"/>
      <c r="O147" s="21"/>
      <c r="P147" s="21"/>
      <c r="Q147" s="21"/>
      <c r="R147" s="21"/>
      <c r="S147" s="21"/>
      <c r="T147" s="21"/>
    </row>
    <row r="148" spans="1:20" ht="15.75" hidden="1" customHeight="1" x14ac:dyDescent="0.2">
      <c r="A148" s="21"/>
      <c r="C148" s="21"/>
      <c r="D148" s="21"/>
      <c r="E148" s="21"/>
      <c r="F148" s="21"/>
      <c r="G148" s="21"/>
      <c r="H148" s="21"/>
      <c r="I148" s="21"/>
      <c r="J148" s="21"/>
      <c r="K148" s="21"/>
      <c r="L148" s="21"/>
      <c r="M148" s="21"/>
      <c r="N148" s="21"/>
      <c r="O148" s="21"/>
      <c r="P148" s="21"/>
      <c r="Q148" s="21"/>
      <c r="R148" s="21"/>
      <c r="S148" s="21"/>
      <c r="T148" s="21"/>
    </row>
    <row r="149" spans="1:20" ht="29.25" hidden="1" customHeight="1" x14ac:dyDescent="0.2">
      <c r="A149" s="17"/>
      <c r="B149" s="20"/>
      <c r="C149" s="1"/>
      <c r="D149" s="1"/>
      <c r="E149" s="1"/>
      <c r="F149" s="1"/>
      <c r="G149" s="1"/>
      <c r="H149" s="1"/>
      <c r="I149" s="1"/>
      <c r="J149" s="1"/>
      <c r="K149" s="1"/>
      <c r="L149" s="1"/>
      <c r="M149" s="1"/>
      <c r="N149" s="1"/>
      <c r="O149" s="1"/>
      <c r="P149" s="1"/>
      <c r="Q149" s="1"/>
      <c r="R149" s="1"/>
      <c r="S149" s="1"/>
      <c r="T149" s="1"/>
    </row>
    <row r="150" spans="1:20" ht="15.75" hidden="1" customHeight="1" x14ac:dyDescent="0.2">
      <c r="A150" s="20"/>
      <c r="B150" s="1"/>
      <c r="C150" s="20"/>
      <c r="D150" s="20"/>
      <c r="E150" s="20"/>
      <c r="F150" s="20"/>
      <c r="G150" s="20"/>
      <c r="H150" s="20"/>
      <c r="I150" s="20"/>
      <c r="J150" s="20"/>
      <c r="K150" s="20"/>
      <c r="L150" s="20"/>
      <c r="M150" s="20"/>
      <c r="N150" s="20"/>
      <c r="O150" s="20"/>
      <c r="P150" s="20"/>
      <c r="Q150" s="20"/>
      <c r="R150" s="20"/>
      <c r="S150" s="20"/>
      <c r="T150" s="20"/>
    </row>
    <row r="151" spans="1:20" ht="31.5" hidden="1" customHeight="1" x14ac:dyDescent="0.2">
      <c r="A151" s="1"/>
      <c r="B151" s="1"/>
      <c r="C151" s="1"/>
      <c r="D151" s="1"/>
      <c r="E151" s="1"/>
      <c r="F151" s="1"/>
      <c r="G151" s="1"/>
      <c r="H151" s="1"/>
      <c r="I151" s="1"/>
      <c r="J151" s="1"/>
      <c r="K151" s="1"/>
      <c r="L151" s="1"/>
      <c r="M151" s="1"/>
      <c r="N151" s="1"/>
      <c r="O151" s="1"/>
      <c r="P151" s="1"/>
      <c r="Q151" s="1"/>
      <c r="R151" s="1"/>
      <c r="S151" s="1"/>
      <c r="T151" s="1"/>
    </row>
    <row r="152" spans="1:20" ht="31.5" hidden="1" customHeight="1" x14ac:dyDescent="0.2">
      <c r="A152" s="1"/>
      <c r="B152" s="1"/>
      <c r="C152" s="1"/>
      <c r="D152" s="1"/>
      <c r="E152" s="1"/>
      <c r="F152" s="1"/>
      <c r="G152" s="1"/>
      <c r="H152" s="1"/>
      <c r="I152" s="1"/>
      <c r="J152" s="1"/>
      <c r="K152" s="1"/>
      <c r="L152" s="1"/>
      <c r="M152" s="1"/>
      <c r="N152" s="1"/>
      <c r="O152" s="1"/>
      <c r="P152" s="1"/>
      <c r="Q152" s="1"/>
      <c r="R152" s="1"/>
      <c r="S152" s="1"/>
      <c r="T152" s="1"/>
    </row>
    <row r="153" spans="1:20" ht="31.5" hidden="1" customHeight="1" x14ac:dyDescent="0.2">
      <c r="A153" s="1"/>
      <c r="B153" s="1"/>
      <c r="C153" s="1"/>
      <c r="D153" s="1"/>
      <c r="E153" s="1"/>
      <c r="F153" s="1"/>
      <c r="G153" s="1"/>
      <c r="H153" s="1"/>
      <c r="I153" s="1"/>
      <c r="J153" s="1"/>
      <c r="K153" s="1"/>
      <c r="L153" s="1"/>
      <c r="M153" s="1"/>
      <c r="N153" s="1"/>
      <c r="O153" s="1"/>
      <c r="P153" s="1"/>
      <c r="Q153" s="1"/>
      <c r="R153" s="1"/>
      <c r="S153" s="1"/>
      <c r="T153" s="1"/>
    </row>
    <row r="154" spans="1:20" ht="31.5" hidden="1" customHeight="1" x14ac:dyDescent="0.2">
      <c r="A154" s="1"/>
      <c r="B154" s="1"/>
      <c r="C154" s="1"/>
      <c r="D154" s="1"/>
      <c r="E154" s="1"/>
      <c r="F154" s="1"/>
      <c r="G154" s="1"/>
      <c r="H154" s="1"/>
      <c r="I154" s="1"/>
      <c r="J154" s="1"/>
      <c r="K154" s="1"/>
      <c r="L154" s="1"/>
      <c r="M154" s="1"/>
      <c r="N154" s="1"/>
      <c r="O154" s="1"/>
      <c r="P154" s="1"/>
      <c r="Q154" s="1"/>
      <c r="R154" s="1"/>
      <c r="S154" s="1"/>
      <c r="T154" s="1"/>
    </row>
    <row r="155" spans="1:20" ht="31.5" hidden="1" customHeight="1" x14ac:dyDescent="0.2">
      <c r="A155" s="1"/>
      <c r="B155" s="1"/>
      <c r="C155" s="1"/>
      <c r="D155" s="1"/>
      <c r="E155" s="1"/>
      <c r="F155" s="1"/>
      <c r="G155" s="1"/>
      <c r="H155" s="1"/>
      <c r="I155" s="1"/>
      <c r="J155" s="1"/>
      <c r="K155" s="1"/>
      <c r="L155" s="1"/>
      <c r="M155" s="1"/>
      <c r="N155" s="1"/>
      <c r="O155" s="1"/>
      <c r="P155" s="1"/>
      <c r="Q155" s="1"/>
      <c r="R155" s="1"/>
      <c r="S155" s="1"/>
      <c r="T155" s="1"/>
    </row>
    <row r="156" spans="1:20" ht="31.5" hidden="1" customHeight="1" x14ac:dyDescent="0.2">
      <c r="A156" s="1"/>
      <c r="B156" s="1"/>
      <c r="C156" s="1"/>
      <c r="D156" s="1"/>
      <c r="E156" s="1"/>
      <c r="F156" s="1"/>
      <c r="G156" s="1"/>
      <c r="H156" s="1"/>
      <c r="I156" s="1"/>
      <c r="J156" s="1"/>
      <c r="K156" s="1"/>
      <c r="L156" s="1"/>
      <c r="M156" s="1"/>
      <c r="N156" s="1"/>
      <c r="O156" s="1"/>
      <c r="P156" s="1"/>
      <c r="Q156" s="1"/>
      <c r="R156" s="1"/>
      <c r="S156" s="1"/>
      <c r="T156" s="1"/>
    </row>
    <row r="157" spans="1:20" ht="31.5" hidden="1" customHeight="1" x14ac:dyDescent="0.2">
      <c r="A157" s="1"/>
      <c r="B157" s="1"/>
      <c r="C157" s="1"/>
      <c r="D157" s="1"/>
      <c r="E157" s="1"/>
      <c r="F157" s="1"/>
      <c r="G157" s="1"/>
      <c r="H157" s="1"/>
      <c r="I157" s="1"/>
      <c r="J157" s="1"/>
      <c r="K157" s="1"/>
      <c r="L157" s="1"/>
      <c r="M157" s="1"/>
      <c r="N157" s="1"/>
      <c r="O157" s="1"/>
      <c r="P157" s="1"/>
      <c r="Q157" s="1"/>
      <c r="R157" s="1"/>
      <c r="S157" s="1"/>
      <c r="T157" s="1"/>
    </row>
    <row r="158" spans="1:20" ht="31.5" hidden="1" customHeight="1" x14ac:dyDescent="0.2">
      <c r="A158" s="1"/>
      <c r="C158" s="1"/>
      <c r="D158" s="1"/>
      <c r="E158" s="1"/>
      <c r="F158" s="1"/>
      <c r="G158" s="1"/>
      <c r="H158" s="1"/>
      <c r="I158" s="1"/>
      <c r="J158" s="1"/>
      <c r="K158" s="1"/>
      <c r="L158" s="1"/>
      <c r="M158" s="1"/>
      <c r="N158" s="1"/>
      <c r="O158" s="1"/>
      <c r="P158" s="1"/>
      <c r="Q158" s="1"/>
      <c r="R158" s="1"/>
      <c r="S158" s="1"/>
      <c r="T158" s="1"/>
    </row>
    <row r="159" spans="1:20" ht="31.5" hidden="1" customHeight="1" x14ac:dyDescent="0.2">
      <c r="A159" s="17"/>
      <c r="B159" s="1"/>
      <c r="C159" s="1"/>
      <c r="D159" s="1"/>
      <c r="E159" s="1"/>
      <c r="F159" s="1"/>
      <c r="G159" s="1"/>
      <c r="H159" s="1"/>
      <c r="I159" s="1"/>
      <c r="J159" s="1"/>
      <c r="K159" s="1"/>
      <c r="L159" s="1"/>
      <c r="M159" s="1"/>
      <c r="N159" s="1"/>
      <c r="O159" s="1"/>
      <c r="P159" s="1"/>
      <c r="Q159" s="1"/>
      <c r="R159" s="1"/>
      <c r="S159" s="1"/>
      <c r="T159" s="1"/>
    </row>
    <row r="160" spans="1:20" ht="15.75" hidden="1" customHeight="1" x14ac:dyDescent="0.2">
      <c r="A160" s="1"/>
      <c r="B160" s="1"/>
      <c r="C160" s="1"/>
      <c r="D160" s="1"/>
      <c r="E160" s="1"/>
      <c r="F160" s="1"/>
      <c r="G160" s="1"/>
      <c r="H160" s="1"/>
      <c r="I160" s="1"/>
      <c r="J160" s="1"/>
      <c r="K160" s="1"/>
      <c r="L160" s="1"/>
      <c r="M160" s="1"/>
      <c r="N160" s="1"/>
      <c r="O160" s="1"/>
      <c r="P160" s="1"/>
      <c r="Q160" s="1"/>
      <c r="R160" s="1"/>
      <c r="S160" s="1"/>
      <c r="T160" s="1"/>
    </row>
    <row r="161" spans="1:29" ht="30" hidden="1" customHeight="1" x14ac:dyDescent="0.2">
      <c r="A161" s="1"/>
      <c r="B161" s="1"/>
      <c r="C161" s="1"/>
      <c r="D161" s="1"/>
      <c r="E161" s="1"/>
      <c r="F161" s="1"/>
      <c r="G161" s="1"/>
      <c r="H161" s="1"/>
      <c r="I161" s="1"/>
      <c r="J161" s="1"/>
      <c r="K161" s="1"/>
      <c r="L161" s="1"/>
      <c r="M161" s="1"/>
      <c r="N161" s="1"/>
      <c r="O161" s="1"/>
      <c r="P161" s="1"/>
      <c r="Q161" s="1"/>
      <c r="R161" s="1"/>
      <c r="S161" s="1"/>
      <c r="T161" s="1"/>
    </row>
    <row r="162" spans="1:29" ht="30" hidden="1" customHeight="1" x14ac:dyDescent="0.2">
      <c r="A162" s="1"/>
      <c r="B162" s="1"/>
      <c r="C162" s="1"/>
      <c r="D162" s="1"/>
      <c r="E162" s="1"/>
      <c r="F162" s="1"/>
      <c r="G162" s="1"/>
      <c r="H162" s="1"/>
      <c r="I162" s="1"/>
      <c r="J162" s="1"/>
      <c r="K162" s="1"/>
      <c r="L162" s="1"/>
      <c r="M162" s="1"/>
      <c r="N162" s="1"/>
      <c r="O162" s="1"/>
      <c r="P162" s="1"/>
      <c r="Q162" s="1"/>
      <c r="R162" s="1"/>
      <c r="S162" s="1"/>
      <c r="T162" s="1"/>
    </row>
    <row r="163" spans="1:29" ht="30" hidden="1" customHeight="1" x14ac:dyDescent="0.2">
      <c r="A163" s="1"/>
      <c r="B163" s="1"/>
      <c r="C163" s="1"/>
      <c r="D163" s="1"/>
      <c r="E163" s="1"/>
      <c r="F163" s="1"/>
      <c r="G163" s="1"/>
      <c r="H163" s="1"/>
      <c r="I163" s="1"/>
      <c r="J163" s="1"/>
      <c r="K163" s="1"/>
      <c r="L163" s="1"/>
      <c r="M163" s="1"/>
      <c r="N163" s="1"/>
      <c r="O163" s="1"/>
      <c r="P163" s="1"/>
      <c r="Q163" s="1"/>
      <c r="R163" s="1"/>
      <c r="S163" s="1"/>
      <c r="T163" s="1"/>
    </row>
    <row r="164" spans="1:29" ht="30" hidden="1" customHeight="1" x14ac:dyDescent="0.2">
      <c r="A164" s="1"/>
      <c r="B164" s="1"/>
      <c r="C164" s="1"/>
      <c r="D164" s="1"/>
      <c r="E164" s="1"/>
      <c r="F164" s="1"/>
      <c r="G164" s="1"/>
      <c r="H164" s="1"/>
      <c r="I164" s="1"/>
      <c r="J164" s="1"/>
      <c r="K164" s="1"/>
      <c r="L164" s="1"/>
      <c r="M164" s="1"/>
      <c r="N164" s="1"/>
      <c r="O164" s="1"/>
      <c r="P164" s="1"/>
      <c r="Q164" s="1"/>
      <c r="R164" s="1"/>
      <c r="S164" s="1"/>
      <c r="T164" s="1"/>
    </row>
    <row r="165" spans="1:29" ht="30" hidden="1" customHeight="1" x14ac:dyDescent="0.2">
      <c r="A165" s="1"/>
      <c r="B165" s="1"/>
      <c r="C165" s="1"/>
      <c r="D165" s="1"/>
      <c r="E165" s="1"/>
      <c r="F165" s="1"/>
      <c r="G165" s="1"/>
      <c r="H165" s="1"/>
      <c r="I165" s="1"/>
      <c r="J165" s="1"/>
      <c r="K165" s="1"/>
      <c r="L165" s="1"/>
      <c r="M165" s="1"/>
      <c r="N165" s="1"/>
      <c r="O165" s="1"/>
      <c r="P165" s="1"/>
      <c r="Q165" s="1"/>
      <c r="R165" s="1"/>
      <c r="S165" s="1"/>
      <c r="T165" s="1"/>
    </row>
    <row r="166" spans="1:29" ht="30" hidden="1" customHeight="1" x14ac:dyDescent="0.2">
      <c r="A166" s="1"/>
      <c r="B166" s="1"/>
      <c r="C166" s="1"/>
      <c r="D166" s="1"/>
      <c r="E166" s="1"/>
      <c r="F166" s="1"/>
      <c r="G166" s="1"/>
      <c r="H166" s="1"/>
      <c r="I166" s="1"/>
      <c r="J166" s="1"/>
      <c r="K166" s="1"/>
      <c r="L166" s="1"/>
      <c r="M166" s="1"/>
      <c r="N166" s="1"/>
      <c r="O166" s="1"/>
      <c r="P166" s="1"/>
      <c r="Q166" s="1"/>
      <c r="R166" s="1"/>
      <c r="S166" s="1"/>
      <c r="T166" s="1"/>
    </row>
    <row r="167" spans="1:29" ht="30" hidden="1" customHeight="1" x14ac:dyDescent="0.2">
      <c r="A167" s="1"/>
      <c r="B167" s="1"/>
      <c r="C167" s="1"/>
      <c r="D167" s="1"/>
      <c r="E167" s="1"/>
      <c r="F167" s="1"/>
      <c r="G167" s="1"/>
      <c r="H167" s="1"/>
      <c r="I167" s="1"/>
      <c r="J167" s="1"/>
      <c r="K167" s="1"/>
      <c r="L167" s="1"/>
      <c r="M167" s="1"/>
      <c r="N167" s="1"/>
      <c r="O167" s="1"/>
      <c r="P167" s="1"/>
      <c r="Q167" s="1"/>
      <c r="R167" s="1"/>
      <c r="S167" s="1"/>
      <c r="T167" s="1"/>
    </row>
    <row r="168" spans="1:29" ht="30" hidden="1" customHeight="1" x14ac:dyDescent="0.2">
      <c r="A168" s="1"/>
      <c r="B168" s="1"/>
      <c r="C168" s="1"/>
      <c r="D168" s="1"/>
      <c r="E168" s="1"/>
      <c r="F168" s="1"/>
      <c r="G168" s="1"/>
      <c r="H168" s="1"/>
      <c r="I168" s="1"/>
      <c r="J168" s="1"/>
      <c r="K168" s="1"/>
      <c r="L168" s="1"/>
      <c r="M168" s="1"/>
      <c r="N168" s="1"/>
      <c r="O168" s="1"/>
      <c r="P168" s="1"/>
      <c r="Q168" s="1"/>
      <c r="R168" s="1"/>
      <c r="S168" s="1"/>
      <c r="T168" s="1"/>
    </row>
    <row r="169" spans="1:29" ht="30" hidden="1" customHeight="1" x14ac:dyDescent="0.2">
      <c r="A169" s="1"/>
      <c r="B169" s="1"/>
      <c r="C169" s="1"/>
      <c r="D169" s="1"/>
      <c r="E169" s="1"/>
      <c r="F169" s="1"/>
      <c r="G169" s="1"/>
      <c r="H169" s="1"/>
      <c r="I169" s="1"/>
      <c r="J169" s="1"/>
      <c r="K169" s="1"/>
      <c r="L169" s="1"/>
      <c r="M169" s="1"/>
      <c r="N169" s="1"/>
      <c r="O169" s="1"/>
      <c r="P169" s="1"/>
      <c r="Q169" s="1"/>
      <c r="R169" s="1"/>
      <c r="S169" s="1"/>
      <c r="T169" s="1"/>
    </row>
    <row r="170" spans="1:29" ht="30" hidden="1" customHeight="1" x14ac:dyDescent="0.2">
      <c r="A170" s="1"/>
      <c r="C170" s="1"/>
      <c r="D170" s="1"/>
      <c r="E170" s="1"/>
      <c r="F170" s="1"/>
      <c r="G170" s="1"/>
      <c r="H170" s="1"/>
      <c r="I170" s="1"/>
      <c r="J170" s="1"/>
      <c r="K170" s="1"/>
      <c r="L170" s="1"/>
      <c r="M170" s="1"/>
      <c r="N170" s="1"/>
      <c r="O170" s="1"/>
      <c r="P170" s="1"/>
      <c r="Q170" s="1"/>
      <c r="R170" s="1"/>
      <c r="S170" s="1"/>
      <c r="T170" s="1"/>
    </row>
    <row r="171" spans="1:29" ht="29.25" hidden="1" customHeight="1" x14ac:dyDescent="0.2">
      <c r="A171" s="17"/>
      <c r="B171" s="1"/>
      <c r="C171" s="1"/>
      <c r="D171" s="1"/>
      <c r="E171" s="1"/>
      <c r="F171" s="1"/>
      <c r="G171" s="1"/>
      <c r="H171" s="1"/>
      <c r="I171" s="1"/>
      <c r="J171" s="1"/>
      <c r="K171" s="1"/>
      <c r="L171" s="1"/>
      <c r="M171" s="1"/>
      <c r="N171" s="1"/>
      <c r="O171" s="1"/>
      <c r="P171" s="1"/>
      <c r="Q171" s="1"/>
      <c r="R171" s="1"/>
      <c r="S171" s="1"/>
      <c r="T171" s="1"/>
    </row>
    <row r="172" spans="1:29" ht="15.75" hidden="1" customHeight="1" x14ac:dyDescent="0.2">
      <c r="A172" s="1"/>
      <c r="B172" s="1"/>
      <c r="C172" s="1"/>
      <c r="D172" s="1"/>
      <c r="E172" s="1"/>
      <c r="F172" s="1"/>
      <c r="G172" s="1"/>
      <c r="H172" s="1"/>
      <c r="I172" s="1"/>
      <c r="J172" s="1"/>
      <c r="K172" s="1"/>
      <c r="L172" s="1"/>
      <c r="M172" s="1"/>
      <c r="N172" s="1"/>
      <c r="O172" s="1"/>
      <c r="P172" s="1"/>
      <c r="Q172" s="1"/>
      <c r="R172" s="1"/>
      <c r="S172" s="1"/>
      <c r="T172" s="1"/>
    </row>
    <row r="173" spans="1:29" ht="30.75" customHeight="1" x14ac:dyDescent="0.25">
      <c r="A173" s="25"/>
      <c r="B173" s="26"/>
      <c r="C173" s="27"/>
      <c r="D173" s="25"/>
      <c r="E173" s="28"/>
      <c r="F173" s="25"/>
      <c r="G173" s="25"/>
      <c r="H173" s="29"/>
      <c r="I173" s="30"/>
      <c r="J173" s="1"/>
      <c r="K173" s="1"/>
      <c r="L173" s="1"/>
      <c r="M173" s="1"/>
      <c r="N173" s="1"/>
      <c r="O173" s="1"/>
      <c r="P173" s="1"/>
      <c r="Q173" s="1"/>
      <c r="R173" s="1"/>
      <c r="S173" s="1"/>
      <c r="T173" s="1"/>
      <c r="U173" s="1"/>
      <c r="V173" s="1"/>
      <c r="W173" s="1"/>
      <c r="X173" s="1"/>
      <c r="Y173" s="1"/>
      <c r="Z173" s="1"/>
      <c r="AA173" s="1"/>
      <c r="AB173" s="1"/>
      <c r="AC173" s="1"/>
    </row>
    <row r="174" spans="1:29" s="51" customFormat="1" ht="30.75" customHeight="1" x14ac:dyDescent="0.2">
      <c r="A174" s="47">
        <v>1</v>
      </c>
      <c r="B174" s="47" t="s">
        <v>16</v>
      </c>
      <c r="C174" s="23" t="s">
        <v>17</v>
      </c>
      <c r="D174" s="23" t="str">
        <f t="shared" ref="D174:D189" si="0">LEFT(B174,5)</f>
        <v>4.3.5</v>
      </c>
      <c r="E174" s="32" t="s">
        <v>18</v>
      </c>
      <c r="F174" s="24" t="s">
        <v>5</v>
      </c>
      <c r="G174" s="58">
        <v>3</v>
      </c>
      <c r="H174" s="59">
        <v>185000</v>
      </c>
      <c r="I174" s="31">
        <f t="shared" ref="I174:I189" si="1">G174*H174</f>
        <v>555000</v>
      </c>
      <c r="J174" s="1"/>
      <c r="K174" s="1">
        <v>435</v>
      </c>
      <c r="L174" s="97">
        <f>I174+I175+I181+I183+I184+I186+I187+I188+I189</f>
        <v>3872840</v>
      </c>
      <c r="M174" s="1"/>
      <c r="N174" s="1"/>
      <c r="O174" s="1"/>
      <c r="P174" s="1"/>
      <c r="Q174" s="1"/>
      <c r="R174" s="1"/>
      <c r="S174" s="1"/>
      <c r="T174" s="1"/>
      <c r="U174" s="1"/>
      <c r="V174" s="1"/>
      <c r="W174" s="1"/>
      <c r="X174" s="1"/>
      <c r="Y174" s="1"/>
      <c r="Z174" s="1"/>
      <c r="AA174" s="1"/>
      <c r="AB174" s="1"/>
      <c r="AC174" s="1"/>
    </row>
    <row r="175" spans="1:29" s="51" customFormat="1" ht="30.75" customHeight="1" x14ac:dyDescent="0.2">
      <c r="A175" s="47">
        <v>2</v>
      </c>
      <c r="B175" s="47" t="s">
        <v>36</v>
      </c>
      <c r="C175" s="23" t="s">
        <v>8</v>
      </c>
      <c r="D175" s="23" t="str">
        <f t="shared" si="0"/>
        <v>4.3.5</v>
      </c>
      <c r="E175" s="32" t="s">
        <v>47</v>
      </c>
      <c r="F175" s="24" t="s">
        <v>5</v>
      </c>
      <c r="G175" s="58">
        <v>4</v>
      </c>
      <c r="H175" s="59">
        <v>10000</v>
      </c>
      <c r="I175" s="31">
        <f t="shared" si="1"/>
        <v>40000</v>
      </c>
      <c r="J175" s="1"/>
      <c r="K175" s="1">
        <v>436</v>
      </c>
      <c r="L175" s="97">
        <f>I177+I185</f>
        <v>2851176</v>
      </c>
      <c r="M175" s="1"/>
      <c r="N175" s="1"/>
      <c r="O175" s="1"/>
      <c r="P175" s="1"/>
      <c r="Q175" s="1"/>
      <c r="R175" s="1"/>
      <c r="S175" s="1"/>
      <c r="T175" s="1"/>
      <c r="U175" s="1"/>
      <c r="V175" s="1"/>
      <c r="W175" s="1"/>
      <c r="X175" s="1"/>
      <c r="Y175" s="1"/>
      <c r="Z175" s="1"/>
      <c r="AA175" s="1"/>
      <c r="AB175" s="1"/>
      <c r="AC175" s="1"/>
    </row>
    <row r="176" spans="1:29" s="51" customFormat="1" ht="30.75" customHeight="1" x14ac:dyDescent="0.2">
      <c r="A176" s="47">
        <v>3</v>
      </c>
      <c r="B176" s="47" t="s">
        <v>37</v>
      </c>
      <c r="C176" s="23" t="s">
        <v>7</v>
      </c>
      <c r="D176" s="23" t="str">
        <f t="shared" si="0"/>
        <v>4.3.7</v>
      </c>
      <c r="E176" s="32" t="s">
        <v>48</v>
      </c>
      <c r="F176" s="24" t="s">
        <v>5</v>
      </c>
      <c r="G176" s="58">
        <v>6</v>
      </c>
      <c r="H176" s="59">
        <v>34800</v>
      </c>
      <c r="I176" s="31">
        <f t="shared" si="1"/>
        <v>208800</v>
      </c>
      <c r="J176" s="1"/>
      <c r="K176" s="1">
        <v>437</v>
      </c>
      <c r="L176" s="97">
        <f>I176+I178+I179+I180+I182</f>
        <v>1537600</v>
      </c>
      <c r="M176" s="1"/>
      <c r="N176" s="1"/>
      <c r="O176" s="1"/>
      <c r="P176" s="1"/>
      <c r="Q176" s="1"/>
      <c r="R176" s="1"/>
      <c r="S176" s="1"/>
      <c r="T176" s="1"/>
      <c r="U176" s="1"/>
      <c r="V176" s="1"/>
      <c r="W176" s="1"/>
      <c r="X176" s="1"/>
      <c r="Y176" s="1"/>
      <c r="Z176" s="1"/>
      <c r="AA176" s="1"/>
      <c r="AB176" s="1"/>
      <c r="AC176" s="1"/>
    </row>
    <row r="177" spans="1:29" s="51" customFormat="1" ht="30.75" customHeight="1" x14ac:dyDescent="0.2">
      <c r="A177" s="47">
        <v>4</v>
      </c>
      <c r="B177" s="47" t="s">
        <v>38</v>
      </c>
      <c r="C177" s="23" t="s">
        <v>8</v>
      </c>
      <c r="D177" s="23" t="str">
        <f t="shared" si="0"/>
        <v>4.3.6</v>
      </c>
      <c r="E177" s="32" t="s">
        <v>49</v>
      </c>
      <c r="F177" s="24" t="s">
        <v>5</v>
      </c>
      <c r="G177" s="58">
        <v>16</v>
      </c>
      <c r="H177" s="59">
        <v>43200</v>
      </c>
      <c r="I177" s="31">
        <f t="shared" si="1"/>
        <v>691200</v>
      </c>
      <c r="J177" s="1"/>
      <c r="K177" s="1"/>
      <c r="L177" s="97">
        <f>SUM(L174:L176)</f>
        <v>8261616</v>
      </c>
      <c r="M177" s="1"/>
      <c r="N177" s="1"/>
      <c r="O177" s="1"/>
      <c r="P177" s="1"/>
      <c r="Q177" s="1"/>
      <c r="R177" s="1"/>
      <c r="S177" s="1"/>
      <c r="T177" s="1"/>
      <c r="U177" s="1"/>
      <c r="V177" s="1"/>
      <c r="W177" s="1"/>
      <c r="X177" s="1"/>
      <c r="Y177" s="1"/>
      <c r="Z177" s="1"/>
      <c r="AA177" s="1"/>
      <c r="AB177" s="1"/>
      <c r="AC177" s="1"/>
    </row>
    <row r="178" spans="1:29" s="51" customFormat="1" ht="30.75" customHeight="1" x14ac:dyDescent="0.2">
      <c r="A178" s="47">
        <v>5</v>
      </c>
      <c r="B178" s="47" t="s">
        <v>39</v>
      </c>
      <c r="C178" s="23" t="s">
        <v>7</v>
      </c>
      <c r="D178" s="23" t="str">
        <f t="shared" si="0"/>
        <v>4.3.7</v>
      </c>
      <c r="E178" s="32" t="s">
        <v>50</v>
      </c>
      <c r="F178" s="24" t="s">
        <v>5</v>
      </c>
      <c r="G178" s="58">
        <v>80</v>
      </c>
      <c r="H178" s="59">
        <v>7900</v>
      </c>
      <c r="I178" s="31">
        <f t="shared" si="1"/>
        <v>632000</v>
      </c>
      <c r="J178" s="1"/>
      <c r="K178" s="1"/>
      <c r="L178" s="1"/>
      <c r="M178" s="1"/>
      <c r="N178" s="1"/>
      <c r="O178" s="1"/>
      <c r="P178" s="1"/>
      <c r="Q178" s="1"/>
      <c r="R178" s="1"/>
      <c r="S178" s="1"/>
      <c r="T178" s="1"/>
      <c r="U178" s="1"/>
      <c r="V178" s="1"/>
      <c r="W178" s="1"/>
      <c r="X178" s="1"/>
      <c r="Y178" s="1"/>
      <c r="Z178" s="1"/>
      <c r="AA178" s="1"/>
      <c r="AB178" s="1"/>
      <c r="AC178" s="1"/>
    </row>
    <row r="179" spans="1:29" s="60" customFormat="1" ht="30.75" customHeight="1" x14ac:dyDescent="0.2">
      <c r="A179" s="47">
        <v>6</v>
      </c>
      <c r="B179" s="47" t="s">
        <v>68</v>
      </c>
      <c r="C179" s="23" t="s">
        <v>7</v>
      </c>
      <c r="D179" s="23" t="str">
        <f t="shared" si="0"/>
        <v>4.3.7</v>
      </c>
      <c r="E179" s="32" t="s">
        <v>69</v>
      </c>
      <c r="F179" s="24" t="s">
        <v>5</v>
      </c>
      <c r="G179" s="58">
        <v>8</v>
      </c>
      <c r="H179" s="59">
        <v>15000</v>
      </c>
      <c r="I179" s="31">
        <f t="shared" si="1"/>
        <v>120000</v>
      </c>
      <c r="J179" s="1"/>
      <c r="K179" s="1"/>
      <c r="L179" s="1"/>
      <c r="M179" s="1"/>
      <c r="N179" s="1"/>
      <c r="O179" s="1"/>
      <c r="P179" s="1"/>
      <c r="Q179" s="1"/>
      <c r="R179" s="1"/>
      <c r="S179" s="1"/>
      <c r="T179" s="1"/>
      <c r="U179" s="1"/>
      <c r="V179" s="1"/>
      <c r="W179" s="1"/>
      <c r="X179" s="1"/>
      <c r="Y179" s="1"/>
      <c r="Z179" s="1"/>
      <c r="AA179" s="1"/>
      <c r="AB179" s="1"/>
      <c r="AC179" s="1"/>
    </row>
    <row r="180" spans="1:29" s="51" customFormat="1" ht="30.75" customHeight="1" x14ac:dyDescent="0.2">
      <c r="A180" s="47">
        <v>7</v>
      </c>
      <c r="B180" s="47" t="s">
        <v>40</v>
      </c>
      <c r="C180" s="23" t="s">
        <v>7</v>
      </c>
      <c r="D180" s="23" t="str">
        <f t="shared" si="0"/>
        <v>4.3.7</v>
      </c>
      <c r="E180" s="32" t="s">
        <v>51</v>
      </c>
      <c r="F180" s="24" t="s">
        <v>5</v>
      </c>
      <c r="G180" s="58">
        <v>16</v>
      </c>
      <c r="H180" s="59">
        <v>34500</v>
      </c>
      <c r="I180" s="31">
        <f t="shared" si="1"/>
        <v>552000</v>
      </c>
      <c r="J180" s="1"/>
      <c r="K180" s="1"/>
      <c r="L180" s="1"/>
      <c r="M180" s="1"/>
      <c r="N180" s="1"/>
      <c r="O180" s="1"/>
      <c r="P180" s="1"/>
      <c r="Q180" s="1"/>
      <c r="R180" s="1"/>
      <c r="S180" s="1"/>
      <c r="T180" s="1"/>
      <c r="U180" s="1"/>
      <c r="V180" s="1"/>
      <c r="W180" s="1"/>
      <c r="X180" s="1"/>
      <c r="Y180" s="1"/>
      <c r="Z180" s="1"/>
      <c r="AA180" s="1"/>
      <c r="AB180" s="1"/>
      <c r="AC180" s="1"/>
    </row>
    <row r="181" spans="1:29" s="51" customFormat="1" ht="30.75" customHeight="1" x14ac:dyDescent="0.2">
      <c r="A181" s="47">
        <v>8</v>
      </c>
      <c r="B181" s="47" t="s">
        <v>41</v>
      </c>
      <c r="C181" s="23" t="s">
        <v>17</v>
      </c>
      <c r="D181" s="23" t="str">
        <f t="shared" si="0"/>
        <v>4.3.5</v>
      </c>
      <c r="E181" s="32" t="s">
        <v>52</v>
      </c>
      <c r="F181" s="24" t="s">
        <v>5</v>
      </c>
      <c r="G181" s="58">
        <v>4</v>
      </c>
      <c r="H181" s="59">
        <v>110000</v>
      </c>
      <c r="I181" s="31">
        <f t="shared" si="1"/>
        <v>440000</v>
      </c>
      <c r="J181" s="1"/>
      <c r="K181" s="1"/>
      <c r="L181" s="1"/>
      <c r="M181" s="1"/>
      <c r="N181" s="1"/>
      <c r="O181" s="1"/>
      <c r="P181" s="1"/>
      <c r="Q181" s="1"/>
      <c r="R181" s="1"/>
      <c r="S181" s="1"/>
      <c r="T181" s="1"/>
      <c r="U181" s="1"/>
      <c r="V181" s="1"/>
      <c r="W181" s="1"/>
      <c r="X181" s="1"/>
      <c r="Y181" s="1"/>
      <c r="Z181" s="1"/>
      <c r="AA181" s="1"/>
      <c r="AB181" s="1"/>
      <c r="AC181" s="1"/>
    </row>
    <row r="182" spans="1:29" s="51" customFormat="1" ht="30.75" customHeight="1" x14ac:dyDescent="0.2">
      <c r="A182" s="47">
        <v>9</v>
      </c>
      <c r="B182" s="47" t="s">
        <v>42</v>
      </c>
      <c r="C182" s="23" t="s">
        <v>7</v>
      </c>
      <c r="D182" s="23" t="str">
        <f t="shared" si="0"/>
        <v>4.3.7</v>
      </c>
      <c r="E182" s="32" t="s">
        <v>53</v>
      </c>
      <c r="F182" s="24" t="s">
        <v>5</v>
      </c>
      <c r="G182" s="58">
        <v>4</v>
      </c>
      <c r="H182" s="59">
        <v>6200</v>
      </c>
      <c r="I182" s="31">
        <f t="shared" si="1"/>
        <v>24800</v>
      </c>
      <c r="J182" s="1"/>
      <c r="K182" s="1"/>
      <c r="L182" s="1"/>
      <c r="M182" s="1"/>
      <c r="N182" s="1"/>
      <c r="O182" s="1"/>
      <c r="P182" s="1"/>
      <c r="Q182" s="1"/>
      <c r="R182" s="1"/>
      <c r="S182" s="1"/>
      <c r="T182" s="1"/>
      <c r="U182" s="1"/>
      <c r="V182" s="1"/>
      <c r="W182" s="1"/>
      <c r="X182" s="1"/>
      <c r="Y182" s="1"/>
      <c r="Z182" s="1"/>
      <c r="AA182" s="1"/>
      <c r="AB182" s="1"/>
      <c r="AC182" s="1"/>
    </row>
    <row r="183" spans="1:29" s="51" customFormat="1" ht="30.75" customHeight="1" x14ac:dyDescent="0.2">
      <c r="A183" s="47">
        <v>10</v>
      </c>
      <c r="B183" s="47" t="s">
        <v>43</v>
      </c>
      <c r="C183" s="23" t="s">
        <v>8</v>
      </c>
      <c r="D183" s="23" t="str">
        <f t="shared" si="0"/>
        <v>4.3.5</v>
      </c>
      <c r="E183" s="32" t="s">
        <v>54</v>
      </c>
      <c r="F183" s="24" t="s">
        <v>5</v>
      </c>
      <c r="G183" s="58">
        <v>80</v>
      </c>
      <c r="H183" s="59">
        <v>2200</v>
      </c>
      <c r="I183" s="31">
        <f t="shared" si="1"/>
        <v>176000</v>
      </c>
      <c r="J183" s="1"/>
      <c r="K183" s="1"/>
      <c r="L183" s="1"/>
      <c r="M183" s="1"/>
      <c r="N183" s="1"/>
      <c r="O183" s="1"/>
      <c r="P183" s="1"/>
      <c r="Q183" s="1"/>
      <c r="R183" s="1"/>
      <c r="S183" s="1"/>
      <c r="T183" s="1"/>
      <c r="U183" s="1"/>
      <c r="V183" s="1"/>
      <c r="W183" s="1"/>
      <c r="X183" s="1"/>
      <c r="Y183" s="1"/>
      <c r="Z183" s="1"/>
      <c r="AA183" s="1"/>
      <c r="AB183" s="1"/>
      <c r="AC183" s="1"/>
    </row>
    <row r="184" spans="1:29" s="51" customFormat="1" ht="30.75" customHeight="1" x14ac:dyDescent="0.2">
      <c r="A184" s="47">
        <v>11</v>
      </c>
      <c r="B184" s="47" t="s">
        <v>43</v>
      </c>
      <c r="C184" s="23" t="s">
        <v>8</v>
      </c>
      <c r="D184" s="23" t="str">
        <f t="shared" si="0"/>
        <v>4.3.5</v>
      </c>
      <c r="E184" s="32" t="s">
        <v>54</v>
      </c>
      <c r="F184" s="24" t="s">
        <v>5</v>
      </c>
      <c r="G184" s="58">
        <v>80</v>
      </c>
      <c r="H184" s="59">
        <v>14999</v>
      </c>
      <c r="I184" s="31">
        <f t="shared" si="1"/>
        <v>1199920</v>
      </c>
      <c r="J184" s="1"/>
      <c r="K184" s="1"/>
      <c r="L184" s="1"/>
      <c r="M184" s="1"/>
      <c r="N184" s="1"/>
      <c r="O184" s="1"/>
      <c r="P184" s="1"/>
      <c r="Q184" s="1"/>
      <c r="R184" s="1"/>
      <c r="S184" s="1"/>
      <c r="T184" s="1"/>
      <c r="U184" s="1"/>
      <c r="V184" s="1"/>
      <c r="W184" s="1"/>
      <c r="X184" s="1"/>
      <c r="Y184" s="1"/>
      <c r="Z184" s="1"/>
      <c r="AA184" s="1"/>
      <c r="AB184" s="1"/>
      <c r="AC184" s="1"/>
    </row>
    <row r="185" spans="1:29" s="51" customFormat="1" ht="30.75" customHeight="1" x14ac:dyDescent="0.2">
      <c r="A185" s="47">
        <v>12</v>
      </c>
      <c r="B185" s="47" t="s">
        <v>44</v>
      </c>
      <c r="C185" s="23" t="s">
        <v>6</v>
      </c>
      <c r="D185" s="23" t="str">
        <f t="shared" si="0"/>
        <v>4.3.6</v>
      </c>
      <c r="E185" s="32" t="s">
        <v>55</v>
      </c>
      <c r="F185" s="24" t="s">
        <v>5</v>
      </c>
      <c r="G185" s="58">
        <v>24</v>
      </c>
      <c r="H185" s="59">
        <v>89999</v>
      </c>
      <c r="I185" s="31">
        <f t="shared" si="1"/>
        <v>2159976</v>
      </c>
      <c r="J185" s="1"/>
      <c r="K185" s="1"/>
      <c r="L185" s="1"/>
      <c r="M185" s="1"/>
      <c r="N185" s="1"/>
      <c r="O185" s="1"/>
      <c r="P185" s="1"/>
      <c r="Q185" s="1"/>
      <c r="R185" s="1"/>
      <c r="S185" s="1"/>
      <c r="T185" s="1"/>
      <c r="U185" s="1"/>
      <c r="V185" s="1"/>
      <c r="W185" s="1"/>
      <c r="X185" s="1"/>
      <c r="Y185" s="1"/>
      <c r="Z185" s="1"/>
      <c r="AA185" s="1"/>
      <c r="AB185" s="1"/>
      <c r="AC185" s="1"/>
    </row>
    <row r="186" spans="1:29" s="51" customFormat="1" ht="30.75" customHeight="1" x14ac:dyDescent="0.2">
      <c r="A186" s="47">
        <v>13</v>
      </c>
      <c r="B186" s="47" t="s">
        <v>45</v>
      </c>
      <c r="C186" s="23" t="s">
        <v>8</v>
      </c>
      <c r="D186" s="23" t="str">
        <f t="shared" si="0"/>
        <v>4.3.5</v>
      </c>
      <c r="E186" s="32" t="s">
        <v>56</v>
      </c>
      <c r="F186" s="24" t="s">
        <v>5</v>
      </c>
      <c r="G186" s="58">
        <v>8</v>
      </c>
      <c r="H186" s="59">
        <v>11800</v>
      </c>
      <c r="I186" s="31">
        <f t="shared" si="1"/>
        <v>94400</v>
      </c>
      <c r="J186" s="1"/>
      <c r="K186" s="1"/>
      <c r="L186" s="1"/>
      <c r="M186" s="1"/>
      <c r="N186" s="1"/>
      <c r="O186" s="1"/>
      <c r="P186" s="1"/>
      <c r="Q186" s="1"/>
      <c r="R186" s="1"/>
      <c r="S186" s="1"/>
      <c r="T186" s="1"/>
      <c r="U186" s="1"/>
      <c r="V186" s="1"/>
      <c r="W186" s="1"/>
      <c r="X186" s="1"/>
      <c r="Y186" s="1"/>
      <c r="Z186" s="1"/>
      <c r="AA186" s="1"/>
      <c r="AB186" s="1"/>
      <c r="AC186" s="1"/>
    </row>
    <row r="187" spans="1:29" s="51" customFormat="1" ht="30.75" customHeight="1" x14ac:dyDescent="0.2">
      <c r="A187" s="47">
        <v>14</v>
      </c>
      <c r="B187" s="47" t="s">
        <v>43</v>
      </c>
      <c r="C187" s="23" t="s">
        <v>8</v>
      </c>
      <c r="D187" s="23" t="str">
        <f t="shared" si="0"/>
        <v>4.3.5</v>
      </c>
      <c r="E187" s="32" t="s">
        <v>57</v>
      </c>
      <c r="F187" s="24" t="s">
        <v>5</v>
      </c>
      <c r="G187" s="58">
        <v>8</v>
      </c>
      <c r="H187" s="59">
        <v>99000</v>
      </c>
      <c r="I187" s="31">
        <f t="shared" si="1"/>
        <v>792000</v>
      </c>
      <c r="J187" s="1"/>
      <c r="K187" s="1"/>
      <c r="L187" s="1"/>
      <c r="M187" s="1"/>
      <c r="N187" s="1"/>
      <c r="O187" s="1"/>
      <c r="P187" s="1"/>
      <c r="Q187" s="1"/>
      <c r="R187" s="1"/>
      <c r="S187" s="1"/>
      <c r="T187" s="1"/>
      <c r="U187" s="1"/>
      <c r="V187" s="1"/>
      <c r="W187" s="1"/>
      <c r="X187" s="1"/>
      <c r="Y187" s="1"/>
      <c r="Z187" s="1"/>
      <c r="AA187" s="1"/>
      <c r="AB187" s="1"/>
      <c r="AC187" s="1"/>
    </row>
    <row r="188" spans="1:29" s="51" customFormat="1" ht="30.75" customHeight="1" x14ac:dyDescent="0.2">
      <c r="A188" s="47">
        <v>15</v>
      </c>
      <c r="B188" s="47" t="s">
        <v>43</v>
      </c>
      <c r="C188" s="23" t="s">
        <v>8</v>
      </c>
      <c r="D188" s="23" t="str">
        <f t="shared" si="0"/>
        <v>4.3.5</v>
      </c>
      <c r="E188" s="32" t="s">
        <v>54</v>
      </c>
      <c r="F188" s="24" t="s">
        <v>5</v>
      </c>
      <c r="G188" s="58">
        <v>8</v>
      </c>
      <c r="H188" s="59">
        <v>62140</v>
      </c>
      <c r="I188" s="31">
        <f t="shared" si="1"/>
        <v>497120</v>
      </c>
      <c r="J188" s="1"/>
      <c r="K188" s="1"/>
      <c r="L188" s="1"/>
      <c r="M188" s="1"/>
      <c r="N188" s="1"/>
      <c r="O188" s="1"/>
      <c r="P188" s="1"/>
      <c r="Q188" s="1"/>
      <c r="R188" s="1"/>
      <c r="S188" s="1"/>
      <c r="T188" s="1"/>
      <c r="U188" s="1"/>
      <c r="V188" s="1"/>
      <c r="W188" s="1"/>
      <c r="X188" s="1"/>
      <c r="Y188" s="1"/>
      <c r="Z188" s="1"/>
      <c r="AA188" s="1"/>
      <c r="AB188" s="1"/>
      <c r="AC188" s="1"/>
    </row>
    <row r="189" spans="1:29" s="51" customFormat="1" ht="30.75" customHeight="1" x14ac:dyDescent="0.2">
      <c r="A189" s="47">
        <v>16</v>
      </c>
      <c r="B189" s="47" t="s">
        <v>43</v>
      </c>
      <c r="C189" s="23" t="s">
        <v>8</v>
      </c>
      <c r="D189" s="23" t="str">
        <f t="shared" si="0"/>
        <v>4.3.5</v>
      </c>
      <c r="E189" s="32" t="s">
        <v>54</v>
      </c>
      <c r="F189" s="24" t="s">
        <v>5</v>
      </c>
      <c r="G189" s="58">
        <v>8</v>
      </c>
      <c r="H189" s="59">
        <v>9800</v>
      </c>
      <c r="I189" s="31">
        <f t="shared" si="1"/>
        <v>78400</v>
      </c>
      <c r="J189" s="1"/>
      <c r="K189" s="1"/>
      <c r="L189" s="1"/>
      <c r="M189" s="1"/>
      <c r="N189" s="1"/>
      <c r="O189" s="1"/>
      <c r="P189" s="1"/>
      <c r="Q189" s="1"/>
      <c r="R189" s="1"/>
      <c r="S189" s="1"/>
      <c r="T189" s="1"/>
      <c r="U189" s="1"/>
      <c r="V189" s="1"/>
      <c r="W189" s="1"/>
      <c r="X189" s="1"/>
      <c r="Y189" s="1"/>
      <c r="Z189" s="1"/>
      <c r="AA189" s="1"/>
      <c r="AB189" s="1"/>
      <c r="AC189" s="1"/>
    </row>
    <row r="190" spans="1:29" s="51" customFormat="1" ht="30.75" customHeight="1" x14ac:dyDescent="0.2">
      <c r="A190" s="104" t="s">
        <v>46</v>
      </c>
      <c r="B190" s="105"/>
      <c r="C190" s="105"/>
      <c r="D190" s="105"/>
      <c r="E190" s="105"/>
      <c r="F190" s="105"/>
      <c r="G190" s="105"/>
      <c r="H190" s="106"/>
      <c r="I190" s="35">
        <f>SUM(I174:I189)</f>
        <v>8261616</v>
      </c>
      <c r="J190" s="1"/>
      <c r="K190" s="1"/>
      <c r="L190" s="1"/>
      <c r="M190" s="1"/>
      <c r="N190" s="1"/>
      <c r="O190" s="1"/>
      <c r="P190" s="1"/>
      <c r="Q190" s="1"/>
      <c r="R190" s="1"/>
      <c r="S190" s="1"/>
      <c r="T190" s="1"/>
      <c r="U190" s="1"/>
      <c r="V190" s="1"/>
      <c r="W190" s="1"/>
      <c r="X190" s="1"/>
      <c r="Y190" s="1"/>
      <c r="Z190" s="1"/>
      <c r="AA190" s="1"/>
      <c r="AB190" s="1"/>
      <c r="AC190" s="1"/>
    </row>
    <row r="191" spans="1:29" s="51" customFormat="1" ht="30.75" customHeight="1" x14ac:dyDescent="0.25">
      <c r="A191" s="52"/>
      <c r="B191" s="53"/>
      <c r="C191" s="54"/>
      <c r="D191" s="52"/>
      <c r="E191" s="55"/>
      <c r="F191" s="52"/>
      <c r="G191" s="52"/>
      <c r="H191" s="56"/>
      <c r="I191" s="57"/>
      <c r="J191" s="1"/>
      <c r="K191" s="1"/>
      <c r="L191" s="1"/>
      <c r="M191" s="1"/>
      <c r="N191" s="1"/>
      <c r="O191" s="1"/>
      <c r="P191" s="1"/>
      <c r="Q191" s="1"/>
      <c r="R191" s="1"/>
      <c r="S191" s="1"/>
      <c r="T191" s="1"/>
      <c r="U191" s="1"/>
      <c r="V191" s="1"/>
      <c r="W191" s="1"/>
      <c r="X191" s="1"/>
      <c r="Y191" s="1"/>
      <c r="Z191" s="1"/>
      <c r="AA191" s="1"/>
      <c r="AB191" s="1"/>
      <c r="AC191" s="1"/>
    </row>
    <row r="192" spans="1:29" s="51" customFormat="1" ht="30.75" customHeight="1" x14ac:dyDescent="0.2">
      <c r="A192" s="1"/>
      <c r="B192" s="1"/>
      <c r="C192" s="1"/>
      <c r="D192" s="1"/>
      <c r="E192" s="1"/>
      <c r="F192" s="1"/>
      <c r="G192" s="1"/>
      <c r="H192" s="1"/>
      <c r="I192" s="1"/>
      <c r="J192" s="1"/>
      <c r="K192" s="1"/>
      <c r="L192" s="1"/>
      <c r="M192" s="1"/>
      <c r="N192" s="1"/>
      <c r="O192" s="1"/>
      <c r="P192" s="1"/>
      <c r="Q192" s="1"/>
      <c r="R192" s="1"/>
      <c r="S192" s="1"/>
      <c r="T192" s="1"/>
    </row>
    <row r="193" spans="1:29" ht="30.75" customHeight="1" thickBot="1" x14ac:dyDescent="0.25">
      <c r="K193" s="1"/>
      <c r="L193" s="1"/>
      <c r="M193" s="1"/>
      <c r="N193" s="1"/>
      <c r="O193" s="1"/>
      <c r="P193" s="1"/>
      <c r="Q193" s="1"/>
      <c r="R193" s="1"/>
      <c r="S193" s="1"/>
      <c r="T193" s="1"/>
      <c r="U193" s="1"/>
      <c r="V193" s="1"/>
      <c r="W193" s="1"/>
      <c r="X193" s="1"/>
      <c r="Y193" s="1"/>
      <c r="Z193" s="1"/>
      <c r="AA193" s="1"/>
      <c r="AB193" s="1"/>
    </row>
    <row r="194" spans="1:29" ht="30.75" customHeight="1" thickBot="1" x14ac:dyDescent="0.25">
      <c r="B194" s="98" t="s">
        <v>19</v>
      </c>
      <c r="C194" s="99"/>
      <c r="D194" s="99"/>
      <c r="E194" s="100"/>
      <c r="K194" s="1"/>
      <c r="L194" s="1"/>
      <c r="M194" s="1"/>
      <c r="N194" s="1"/>
      <c r="O194" s="1"/>
      <c r="P194" s="1"/>
      <c r="Q194" s="1"/>
      <c r="R194" s="1"/>
      <c r="S194" s="1"/>
      <c r="T194" s="1"/>
      <c r="U194" s="1"/>
      <c r="V194" s="1"/>
      <c r="W194" s="1"/>
      <c r="X194" s="1"/>
      <c r="Y194" s="1"/>
      <c r="Z194" s="1"/>
      <c r="AA194" s="1"/>
      <c r="AB194" s="1"/>
    </row>
    <row r="195" spans="1:29" ht="42.75" customHeight="1" x14ac:dyDescent="0.2">
      <c r="B195" s="36" t="s">
        <v>9</v>
      </c>
      <c r="C195" s="9"/>
      <c r="D195" s="9"/>
      <c r="E195" s="37"/>
      <c r="K195" s="1"/>
      <c r="L195" s="1"/>
      <c r="M195" s="1"/>
      <c r="N195" s="1"/>
      <c r="O195" s="1"/>
      <c r="P195" s="1"/>
      <c r="Q195" s="1"/>
      <c r="R195" s="1"/>
      <c r="S195" s="1"/>
      <c r="T195" s="1"/>
      <c r="U195" s="1"/>
      <c r="V195" s="1"/>
      <c r="W195" s="1"/>
      <c r="X195" s="1"/>
      <c r="Y195" s="1"/>
      <c r="Z195" s="1"/>
      <c r="AA195" s="1"/>
      <c r="AB195" s="1"/>
    </row>
    <row r="196" spans="1:29" ht="30.75" customHeight="1" x14ac:dyDescent="0.2">
      <c r="B196" s="36"/>
      <c r="C196" s="101" t="s">
        <v>59</v>
      </c>
      <c r="D196" s="102"/>
      <c r="E196" s="103"/>
      <c r="K196" s="1"/>
      <c r="L196" s="1"/>
      <c r="M196" s="1"/>
      <c r="N196" s="1"/>
      <c r="O196" s="1"/>
      <c r="P196" s="1"/>
      <c r="Q196" s="1"/>
      <c r="R196" s="1"/>
      <c r="S196" s="1"/>
      <c r="T196" s="1"/>
      <c r="U196" s="1"/>
      <c r="V196" s="1"/>
      <c r="W196" s="1"/>
      <c r="X196" s="1"/>
      <c r="Y196" s="1"/>
      <c r="Z196" s="1"/>
      <c r="AA196" s="1"/>
      <c r="AB196" s="1"/>
    </row>
    <row r="197" spans="1:29" ht="42" customHeight="1" x14ac:dyDescent="0.2">
      <c r="B197" s="36" t="s">
        <v>10</v>
      </c>
      <c r="C197" s="9"/>
      <c r="D197" s="9"/>
      <c r="E197" s="37"/>
      <c r="K197" s="1"/>
      <c r="L197" s="1"/>
      <c r="M197" s="1"/>
      <c r="N197" s="1"/>
      <c r="O197" s="1"/>
      <c r="P197" s="1"/>
      <c r="Q197" s="1"/>
      <c r="R197" s="1"/>
      <c r="S197" s="1"/>
      <c r="T197" s="1"/>
      <c r="U197" s="1"/>
      <c r="V197" s="1"/>
      <c r="W197" s="1"/>
      <c r="X197" s="1"/>
      <c r="Y197" s="1"/>
      <c r="Z197" s="1"/>
      <c r="AA197" s="1"/>
      <c r="AB197" s="1"/>
    </row>
    <row r="198" spans="1:29" ht="64.5" customHeight="1" x14ac:dyDescent="0.2">
      <c r="B198" s="38"/>
      <c r="C198" s="101" t="s">
        <v>70</v>
      </c>
      <c r="D198" s="102"/>
      <c r="E198" s="103"/>
      <c r="K198" s="1"/>
      <c r="L198" s="1"/>
      <c r="M198" s="1"/>
      <c r="N198" s="1"/>
      <c r="O198" s="1"/>
      <c r="P198" s="1"/>
      <c r="Q198" s="1"/>
      <c r="R198" s="1"/>
      <c r="S198" s="1"/>
      <c r="T198" s="1"/>
      <c r="U198" s="1"/>
      <c r="V198" s="1"/>
      <c r="W198" s="1"/>
      <c r="X198" s="1"/>
      <c r="Y198" s="1"/>
      <c r="Z198" s="1"/>
      <c r="AA198" s="1"/>
      <c r="AB198" s="1"/>
    </row>
    <row r="199" spans="1:29" ht="11.25" customHeight="1" x14ac:dyDescent="0.2">
      <c r="B199" s="36" t="s">
        <v>11</v>
      </c>
      <c r="C199" s="39"/>
      <c r="D199" s="39"/>
      <c r="E199" s="40"/>
      <c r="K199" s="1"/>
      <c r="L199" s="1"/>
      <c r="M199" s="1"/>
      <c r="N199" s="1"/>
      <c r="O199" s="1"/>
      <c r="P199" s="1"/>
      <c r="Q199" s="1"/>
      <c r="R199" s="1"/>
      <c r="S199" s="1"/>
      <c r="T199" s="1"/>
      <c r="U199" s="1"/>
      <c r="V199" s="1"/>
      <c r="W199" s="1"/>
      <c r="X199" s="1"/>
      <c r="Y199" s="1"/>
      <c r="Z199" s="1"/>
      <c r="AA199" s="1"/>
      <c r="AB199" s="1"/>
    </row>
    <row r="200" spans="1:29" ht="21" customHeight="1" x14ac:dyDescent="0.2">
      <c r="B200" s="38"/>
      <c r="C200" s="112"/>
      <c r="D200" s="111"/>
      <c r="E200" s="113"/>
      <c r="K200" s="1"/>
      <c r="L200" s="1"/>
      <c r="M200" s="1"/>
      <c r="N200" s="1"/>
      <c r="O200" s="1"/>
      <c r="P200" s="1"/>
      <c r="Q200" s="1"/>
      <c r="R200" s="1"/>
      <c r="S200" s="1"/>
      <c r="T200" s="1"/>
      <c r="U200" s="1"/>
      <c r="V200" s="1"/>
      <c r="W200" s="1"/>
      <c r="X200" s="1"/>
      <c r="Y200" s="1"/>
      <c r="Z200" s="1"/>
      <c r="AA200" s="1"/>
      <c r="AB200" s="1"/>
    </row>
    <row r="201" spans="1:29" ht="0.75" customHeight="1" x14ac:dyDescent="0.2">
      <c r="B201" s="36" t="s">
        <v>12</v>
      </c>
      <c r="C201" s="41"/>
      <c r="D201" s="41"/>
      <c r="E201" s="42"/>
      <c r="K201" s="1"/>
      <c r="L201" s="1"/>
      <c r="M201" s="1"/>
      <c r="N201" s="1"/>
      <c r="O201" s="1"/>
      <c r="P201" s="1"/>
      <c r="Q201" s="1"/>
      <c r="R201" s="1"/>
      <c r="S201" s="1"/>
      <c r="T201" s="1"/>
      <c r="U201" s="1"/>
      <c r="V201" s="1"/>
      <c r="W201" s="1"/>
      <c r="X201" s="1"/>
      <c r="Y201" s="1"/>
      <c r="Z201" s="1"/>
      <c r="AA201" s="1"/>
      <c r="AB201" s="1"/>
    </row>
    <row r="202" spans="1:29" ht="12" customHeight="1" x14ac:dyDescent="0.2">
      <c r="B202" s="38"/>
      <c r="C202" s="101" t="s">
        <v>58</v>
      </c>
      <c r="D202" s="114"/>
      <c r="E202" s="115"/>
      <c r="K202" s="1"/>
      <c r="L202" s="1"/>
      <c r="M202" s="1"/>
      <c r="N202" s="1"/>
      <c r="O202" s="1"/>
      <c r="P202" s="1"/>
      <c r="Q202" s="1"/>
      <c r="R202" s="1"/>
      <c r="S202" s="1"/>
      <c r="T202" s="1"/>
      <c r="U202" s="1"/>
      <c r="V202" s="1"/>
      <c r="W202" s="1"/>
      <c r="X202" s="1"/>
      <c r="Y202" s="1"/>
      <c r="Z202" s="1"/>
      <c r="AA202" s="1"/>
      <c r="AB202" s="1"/>
    </row>
    <row r="203" spans="1:29" ht="30.75" customHeight="1" x14ac:dyDescent="0.2">
      <c r="B203" s="36" t="s">
        <v>13</v>
      </c>
      <c r="C203" s="39"/>
      <c r="D203" s="39"/>
      <c r="E203" s="40"/>
      <c r="K203" s="1"/>
      <c r="L203" s="1"/>
      <c r="M203" s="1"/>
      <c r="N203" s="1"/>
      <c r="O203" s="1"/>
      <c r="P203" s="1"/>
      <c r="Q203" s="1"/>
      <c r="R203" s="1"/>
      <c r="S203" s="1"/>
      <c r="T203" s="1"/>
      <c r="U203" s="1"/>
      <c r="V203" s="1"/>
      <c r="W203" s="1"/>
      <c r="X203" s="1"/>
      <c r="Y203" s="1"/>
      <c r="Z203" s="1"/>
      <c r="AA203" s="1"/>
    </row>
    <row r="204" spans="1:29" ht="21.75" customHeight="1" x14ac:dyDescent="0.2">
      <c r="B204" s="36"/>
      <c r="C204" s="116" t="s">
        <v>20</v>
      </c>
      <c r="D204" s="114"/>
      <c r="E204" s="115"/>
      <c r="K204" s="1"/>
      <c r="L204" s="1"/>
      <c r="M204" s="1"/>
      <c r="N204" s="1"/>
      <c r="O204" s="1"/>
      <c r="P204" s="1"/>
      <c r="Q204" s="1"/>
      <c r="R204" s="1"/>
      <c r="S204" s="1"/>
      <c r="T204" s="1"/>
      <c r="U204" s="1"/>
      <c r="V204" s="1"/>
      <c r="W204" s="1"/>
      <c r="X204" s="1"/>
      <c r="Y204" s="1"/>
      <c r="Z204" s="1"/>
      <c r="AA204" s="1"/>
      <c r="AB204" s="1"/>
    </row>
    <row r="205" spans="1:29" s="46" customFormat="1" ht="30.75" customHeight="1" thickBot="1" x14ac:dyDescent="0.25">
      <c r="A205"/>
      <c r="B205" s="43"/>
      <c r="C205" s="44"/>
      <c r="D205" s="44"/>
      <c r="E205" s="45"/>
      <c r="F205"/>
      <c r="G205"/>
      <c r="H205"/>
      <c r="I205"/>
      <c r="J205"/>
      <c r="K205" s="1"/>
      <c r="L205" s="1"/>
      <c r="M205" s="1"/>
      <c r="N205" s="1"/>
      <c r="O205" s="1"/>
      <c r="P205" s="1"/>
      <c r="Q205" s="1"/>
      <c r="R205" s="1"/>
      <c r="S205" s="1"/>
      <c r="T205" s="1"/>
      <c r="U205" s="1"/>
      <c r="V205" s="1"/>
      <c r="W205" s="1"/>
      <c r="X205" s="1"/>
      <c r="Y205" s="1"/>
      <c r="Z205" s="1"/>
      <c r="AA205" s="1"/>
      <c r="AB205" s="1"/>
    </row>
    <row r="206" spans="1:29" ht="30.75" customHeight="1" thickBot="1" x14ac:dyDescent="0.25">
      <c r="K206" s="1"/>
      <c r="L206" s="1"/>
      <c r="M206" s="1"/>
      <c r="N206" s="1"/>
      <c r="O206" s="1"/>
      <c r="P206" s="1"/>
      <c r="Q206" s="1"/>
      <c r="R206" s="1"/>
      <c r="S206" s="1"/>
      <c r="T206" s="1"/>
      <c r="U206" s="1"/>
      <c r="V206" s="1"/>
      <c r="W206" s="1"/>
      <c r="X206" s="1"/>
      <c r="Y206" s="1"/>
      <c r="Z206" s="1"/>
      <c r="AA206" s="1"/>
      <c r="AB206" s="1"/>
    </row>
    <row r="207" spans="1:29" ht="30.75" customHeight="1" thickBot="1" x14ac:dyDescent="0.25">
      <c r="B207" s="98" t="s">
        <v>21</v>
      </c>
      <c r="C207" s="99"/>
      <c r="D207" s="99"/>
      <c r="E207" s="100"/>
      <c r="K207" s="1"/>
      <c r="L207" s="1"/>
      <c r="M207" s="1"/>
      <c r="N207" s="1"/>
      <c r="O207" s="1"/>
      <c r="P207" s="1"/>
      <c r="Q207" s="1"/>
      <c r="R207" s="1"/>
      <c r="S207" s="1"/>
      <c r="T207" s="1"/>
      <c r="U207" s="1"/>
      <c r="V207" s="1"/>
      <c r="W207" s="1"/>
      <c r="X207" s="1"/>
      <c r="Y207" s="1"/>
      <c r="Z207" s="1"/>
      <c r="AA207" s="1"/>
      <c r="AB207" s="1"/>
    </row>
    <row r="208" spans="1:29" ht="30.75" customHeight="1" x14ac:dyDescent="0.2">
      <c r="B208" s="36" t="s">
        <v>9</v>
      </c>
      <c r="C208" s="9"/>
      <c r="D208" s="9"/>
      <c r="E208" s="37"/>
      <c r="K208" s="1"/>
      <c r="L208" s="1"/>
      <c r="M208" s="1"/>
      <c r="N208" s="1"/>
      <c r="O208" s="1"/>
      <c r="P208" s="1"/>
      <c r="Q208" s="1"/>
      <c r="R208" s="1"/>
      <c r="S208" s="1"/>
      <c r="T208" s="1"/>
      <c r="U208" s="1"/>
      <c r="V208" s="1"/>
      <c r="W208" s="1"/>
      <c r="X208" s="1"/>
      <c r="Y208" s="1"/>
      <c r="Z208" s="1"/>
      <c r="AA208" s="1"/>
      <c r="AB208" s="1"/>
      <c r="AC208" s="1"/>
    </row>
    <row r="209" spans="2:29" ht="35.25" customHeight="1" x14ac:dyDescent="0.2">
      <c r="B209" s="36"/>
      <c r="C209" s="101" t="s">
        <v>126</v>
      </c>
      <c r="D209" s="102"/>
      <c r="E209" s="103"/>
      <c r="K209" s="1"/>
      <c r="L209" s="1"/>
      <c r="M209" s="1"/>
      <c r="N209" s="1"/>
      <c r="O209" s="1"/>
      <c r="P209" s="1"/>
      <c r="Q209" s="1"/>
      <c r="R209" s="1"/>
      <c r="S209" s="1"/>
      <c r="T209" s="1"/>
      <c r="U209" s="1"/>
      <c r="V209" s="1"/>
      <c r="W209" s="1"/>
      <c r="X209" s="1"/>
      <c r="Y209" s="1"/>
      <c r="Z209" s="1"/>
      <c r="AA209" s="1"/>
      <c r="AB209" s="1"/>
      <c r="AC209" s="1"/>
    </row>
    <row r="210" spans="2:29" ht="12.75" customHeight="1" x14ac:dyDescent="0.2">
      <c r="B210" s="36" t="s">
        <v>10</v>
      </c>
      <c r="C210" s="9"/>
      <c r="D210" s="9"/>
      <c r="E210" s="37"/>
      <c r="K210" s="1"/>
      <c r="L210" s="1"/>
      <c r="M210" s="1"/>
      <c r="N210" s="1"/>
      <c r="O210" s="1"/>
      <c r="P210" s="1"/>
      <c r="Q210" s="1"/>
      <c r="R210" s="1"/>
      <c r="S210" s="1"/>
      <c r="T210" s="1"/>
      <c r="U210" s="1"/>
      <c r="V210" s="1"/>
      <c r="W210" s="1"/>
      <c r="X210" s="1"/>
      <c r="Y210" s="1"/>
      <c r="Z210" s="1"/>
      <c r="AA210" s="1"/>
      <c r="AB210" s="1"/>
      <c r="AC210" s="1"/>
    </row>
    <row r="211" spans="2:29" ht="65.25" customHeight="1" x14ac:dyDescent="0.2">
      <c r="B211" s="38"/>
      <c r="C211" s="101" t="s">
        <v>70</v>
      </c>
      <c r="D211" s="102"/>
      <c r="E211" s="103"/>
      <c r="K211" s="1"/>
      <c r="L211" s="1"/>
      <c r="M211" s="1"/>
      <c r="N211" s="1"/>
      <c r="O211" s="1"/>
      <c r="P211" s="1"/>
      <c r="Q211" s="1"/>
      <c r="R211" s="1"/>
      <c r="S211" s="1"/>
      <c r="T211" s="1"/>
      <c r="U211" s="1"/>
      <c r="V211" s="1"/>
      <c r="W211" s="1"/>
      <c r="X211" s="1"/>
      <c r="Y211" s="1"/>
      <c r="Z211" s="1"/>
      <c r="AA211" s="1"/>
      <c r="AB211" s="1"/>
      <c r="AC211" s="1"/>
    </row>
    <row r="212" spans="2:29" ht="13.5" customHeight="1" x14ac:dyDescent="0.2">
      <c r="B212" s="36" t="s">
        <v>11</v>
      </c>
      <c r="C212" s="39"/>
      <c r="D212" s="39"/>
      <c r="E212" s="40"/>
      <c r="K212" s="1"/>
      <c r="L212" s="1"/>
      <c r="M212" s="1"/>
      <c r="N212" s="1"/>
      <c r="O212" s="1"/>
      <c r="P212" s="1"/>
      <c r="Q212" s="1"/>
      <c r="R212" s="1"/>
      <c r="S212" s="1"/>
      <c r="T212" s="1"/>
      <c r="U212" s="1"/>
      <c r="V212" s="1"/>
      <c r="W212" s="1"/>
      <c r="X212" s="1"/>
      <c r="Y212" s="1"/>
      <c r="Z212" s="1"/>
      <c r="AA212" s="1"/>
      <c r="AB212" s="1"/>
      <c r="AC212" s="1"/>
    </row>
    <row r="213" spans="2:29" ht="3" customHeight="1" x14ac:dyDescent="0.2">
      <c r="B213" s="38"/>
      <c r="C213" s="112"/>
      <c r="D213" s="111"/>
      <c r="E213" s="113"/>
      <c r="K213" s="1"/>
      <c r="L213" s="1"/>
      <c r="M213" s="1"/>
      <c r="N213" s="1"/>
      <c r="O213" s="1"/>
      <c r="P213" s="1"/>
      <c r="Q213" s="1"/>
      <c r="R213" s="1"/>
      <c r="S213" s="1"/>
      <c r="T213" s="1"/>
      <c r="U213" s="1"/>
      <c r="V213" s="1"/>
      <c r="W213" s="1"/>
      <c r="X213" s="1"/>
      <c r="Y213" s="1"/>
      <c r="Z213" s="1"/>
      <c r="AA213" s="1"/>
      <c r="AB213" s="1"/>
      <c r="AC213" s="1"/>
    </row>
    <row r="214" spans="2:29" ht="30.75" customHeight="1" x14ac:dyDescent="0.2">
      <c r="B214" s="36" t="s">
        <v>12</v>
      </c>
      <c r="C214" s="41"/>
      <c r="D214" s="41"/>
      <c r="E214" s="42"/>
      <c r="K214" s="1"/>
      <c r="L214" s="1"/>
      <c r="M214" s="1"/>
      <c r="N214" s="1"/>
      <c r="O214" s="1"/>
      <c r="P214" s="1"/>
      <c r="Q214" s="1"/>
      <c r="R214" s="1"/>
      <c r="S214" s="1"/>
      <c r="T214" s="1"/>
      <c r="U214" s="1"/>
      <c r="V214" s="1"/>
      <c r="W214" s="1"/>
      <c r="X214" s="1"/>
      <c r="Y214" s="1"/>
      <c r="Z214" s="1"/>
      <c r="AA214" s="1"/>
      <c r="AB214" s="1"/>
      <c r="AC214" s="1"/>
    </row>
    <row r="215" spans="2:29" ht="30.75" customHeight="1" x14ac:dyDescent="0.2">
      <c r="B215" s="38"/>
      <c r="C215" s="101" t="s">
        <v>58</v>
      </c>
      <c r="D215" s="114"/>
      <c r="E215" s="115"/>
      <c r="K215" s="1"/>
      <c r="L215" s="1"/>
      <c r="M215" s="1"/>
      <c r="N215" s="1"/>
      <c r="O215" s="1"/>
      <c r="P215" s="1"/>
      <c r="Q215" s="1"/>
      <c r="R215" s="1"/>
      <c r="S215" s="1"/>
      <c r="T215" s="1"/>
      <c r="U215" s="1"/>
      <c r="V215" s="1"/>
      <c r="W215" s="1"/>
      <c r="X215" s="1"/>
      <c r="Y215" s="1"/>
      <c r="Z215" s="1"/>
      <c r="AA215" s="1"/>
      <c r="AB215" s="1"/>
      <c r="AC215" s="1"/>
    </row>
    <row r="216" spans="2:29" ht="30.75" customHeight="1" x14ac:dyDescent="0.2">
      <c r="B216" s="36" t="s">
        <v>13</v>
      </c>
      <c r="C216" s="39"/>
      <c r="D216" s="39"/>
      <c r="E216" s="40"/>
      <c r="K216" s="1"/>
      <c r="L216" s="1"/>
      <c r="M216" s="1"/>
      <c r="N216" s="1"/>
      <c r="O216" s="1"/>
      <c r="P216" s="1"/>
      <c r="Q216" s="1"/>
      <c r="R216" s="1"/>
      <c r="S216" s="1"/>
      <c r="T216" s="1"/>
      <c r="U216" s="1"/>
      <c r="V216" s="1"/>
      <c r="W216" s="1"/>
      <c r="X216" s="1"/>
      <c r="Y216" s="1"/>
      <c r="Z216" s="1"/>
      <c r="AA216" s="1"/>
      <c r="AB216" s="1"/>
      <c r="AC216" s="1"/>
    </row>
    <row r="217" spans="2:29" ht="30.75" customHeight="1" x14ac:dyDescent="0.2">
      <c r="B217" s="36"/>
      <c r="C217" s="116" t="s">
        <v>20</v>
      </c>
      <c r="D217" s="114"/>
      <c r="E217" s="115"/>
      <c r="K217" s="1"/>
      <c r="L217" s="1"/>
      <c r="M217" s="1"/>
      <c r="N217" s="1"/>
      <c r="O217" s="1"/>
      <c r="P217" s="1"/>
      <c r="Q217" s="1"/>
      <c r="R217" s="1"/>
      <c r="S217" s="1"/>
      <c r="T217" s="1"/>
      <c r="U217" s="1"/>
      <c r="V217" s="1"/>
      <c r="W217" s="1"/>
      <c r="X217" s="1"/>
      <c r="Y217" s="1"/>
      <c r="Z217" s="1"/>
      <c r="AA217" s="1"/>
      <c r="AB217" s="1"/>
      <c r="AC217" s="1"/>
    </row>
    <row r="218" spans="2:29" ht="30.75" customHeight="1" thickBot="1" x14ac:dyDescent="0.25">
      <c r="B218" s="43"/>
      <c r="C218" s="44"/>
      <c r="D218" s="44"/>
      <c r="E218" s="45"/>
      <c r="K218" s="14"/>
      <c r="L218" s="1"/>
      <c r="M218" s="1"/>
      <c r="N218" s="1"/>
      <c r="O218" s="1"/>
      <c r="P218" s="1"/>
      <c r="Q218" s="1"/>
      <c r="R218" s="1"/>
      <c r="S218" s="1"/>
      <c r="T218" s="1"/>
      <c r="U218" s="1"/>
      <c r="V218" s="1"/>
      <c r="W218" s="1"/>
      <c r="X218" s="1"/>
      <c r="Y218" s="1"/>
      <c r="Z218" s="1"/>
      <c r="AA218" s="1"/>
      <c r="AB218" s="1"/>
      <c r="AC218" s="1"/>
    </row>
    <row r="219" spans="2:29" ht="30.75" customHeight="1" thickBot="1" x14ac:dyDescent="0.25">
      <c r="K219" s="1"/>
      <c r="L219" s="1"/>
      <c r="M219" s="1"/>
      <c r="N219" s="1"/>
      <c r="O219" s="1"/>
      <c r="P219" s="1"/>
      <c r="Q219" s="1"/>
      <c r="R219" s="1"/>
      <c r="S219" s="1"/>
      <c r="T219" s="1"/>
      <c r="U219" s="1"/>
      <c r="V219" s="1"/>
      <c r="W219" s="1"/>
      <c r="X219" s="1"/>
      <c r="Y219" s="1"/>
      <c r="Z219" s="1"/>
      <c r="AA219" s="1"/>
      <c r="AB219" s="1"/>
      <c r="AC219" s="1"/>
    </row>
    <row r="220" spans="2:29" ht="30.75" customHeight="1" thickBot="1" x14ac:dyDescent="0.25">
      <c r="B220" s="98" t="s">
        <v>22</v>
      </c>
      <c r="C220" s="99"/>
      <c r="D220" s="99"/>
      <c r="E220" s="100"/>
      <c r="K220" s="14"/>
      <c r="L220" s="1"/>
      <c r="M220" s="1"/>
      <c r="N220" s="1"/>
      <c r="O220" s="1"/>
      <c r="P220" s="1"/>
      <c r="Q220" s="1"/>
      <c r="R220" s="1"/>
      <c r="S220" s="1"/>
      <c r="T220" s="1"/>
      <c r="U220" s="1"/>
      <c r="V220" s="1"/>
      <c r="W220" s="1"/>
      <c r="X220" s="1"/>
      <c r="Y220" s="1"/>
      <c r="Z220" s="1"/>
      <c r="AA220" s="1"/>
      <c r="AB220" s="1"/>
      <c r="AC220" s="1"/>
    </row>
    <row r="221" spans="2:29" ht="30.75" customHeight="1" x14ac:dyDescent="0.2">
      <c r="B221" s="36" t="s">
        <v>9</v>
      </c>
      <c r="C221" s="9"/>
      <c r="D221" s="9"/>
      <c r="E221" s="37"/>
      <c r="K221" s="14"/>
      <c r="L221" s="1"/>
      <c r="M221" s="1"/>
      <c r="N221" s="1"/>
      <c r="O221" s="1"/>
      <c r="P221" s="1"/>
      <c r="Q221" s="1"/>
      <c r="R221" s="1"/>
      <c r="S221" s="1"/>
      <c r="T221" s="1"/>
      <c r="U221" s="1"/>
      <c r="V221" s="1"/>
      <c r="W221" s="1"/>
      <c r="X221" s="1"/>
      <c r="Y221" s="1"/>
      <c r="Z221" s="1"/>
      <c r="AA221" s="1"/>
      <c r="AB221" s="1"/>
      <c r="AC221" s="1"/>
    </row>
    <row r="222" spans="2:29" ht="30.75" customHeight="1" x14ac:dyDescent="0.2">
      <c r="B222" s="36"/>
      <c r="C222" s="101" t="s">
        <v>60</v>
      </c>
      <c r="D222" s="102"/>
      <c r="E222" s="103"/>
      <c r="K222" s="1"/>
      <c r="L222" s="1"/>
      <c r="M222" s="1"/>
      <c r="N222" s="1"/>
      <c r="O222" s="1"/>
      <c r="P222" s="1"/>
      <c r="Q222" s="1"/>
      <c r="R222" s="1"/>
      <c r="S222" s="1"/>
      <c r="T222" s="1"/>
      <c r="U222" s="1"/>
      <c r="V222" s="1"/>
      <c r="W222" s="1"/>
      <c r="X222" s="1"/>
      <c r="Y222" s="1"/>
      <c r="Z222" s="1"/>
      <c r="AA222" s="1"/>
      <c r="AB222" s="1"/>
      <c r="AC222" s="1"/>
    </row>
    <row r="223" spans="2:29" ht="30.75" customHeight="1" x14ac:dyDescent="0.2">
      <c r="B223" s="36" t="s">
        <v>10</v>
      </c>
      <c r="C223" s="9"/>
      <c r="D223" s="9"/>
      <c r="E223" s="37"/>
      <c r="K223" s="1"/>
      <c r="L223" s="1"/>
      <c r="M223" s="1"/>
      <c r="N223" s="1"/>
      <c r="O223" s="1"/>
      <c r="P223" s="1"/>
      <c r="Q223" s="1"/>
      <c r="R223" s="1"/>
      <c r="S223" s="1"/>
      <c r="T223" s="1"/>
      <c r="U223" s="1"/>
      <c r="V223" s="1"/>
      <c r="W223" s="1"/>
      <c r="X223" s="1"/>
      <c r="Y223" s="1"/>
      <c r="Z223" s="1"/>
      <c r="AA223" s="1"/>
      <c r="AB223" s="1"/>
      <c r="AC223" s="1"/>
    </row>
    <row r="224" spans="2:29" ht="77.25" customHeight="1" x14ac:dyDescent="0.2">
      <c r="B224" s="38"/>
      <c r="C224" s="101" t="s">
        <v>70</v>
      </c>
      <c r="D224" s="102"/>
      <c r="E224" s="103"/>
      <c r="K224" s="1"/>
      <c r="L224" s="1"/>
      <c r="M224" s="1"/>
      <c r="N224" s="1"/>
      <c r="O224" s="1"/>
      <c r="P224" s="1"/>
      <c r="Q224" s="1"/>
      <c r="R224" s="1"/>
      <c r="S224" s="1"/>
      <c r="T224" s="1"/>
      <c r="U224" s="1"/>
      <c r="V224" s="1"/>
      <c r="W224" s="1"/>
      <c r="X224" s="1"/>
      <c r="Y224" s="1"/>
      <c r="Z224" s="1"/>
      <c r="AA224" s="1"/>
      <c r="AB224" s="1"/>
      <c r="AC224" s="1"/>
    </row>
    <row r="225" spans="2:29" ht="30.75" customHeight="1" x14ac:dyDescent="0.2">
      <c r="B225" s="36" t="s">
        <v>11</v>
      </c>
      <c r="C225" s="39"/>
      <c r="D225" s="39"/>
      <c r="E225" s="40"/>
      <c r="K225" s="1"/>
      <c r="L225" s="14"/>
      <c r="M225" s="14"/>
      <c r="N225" s="1"/>
      <c r="O225" s="1"/>
      <c r="P225" s="1"/>
      <c r="Q225" s="1"/>
      <c r="R225" s="1"/>
      <c r="S225" s="1"/>
      <c r="T225" s="1"/>
      <c r="U225" s="1"/>
      <c r="V225" s="1"/>
      <c r="W225" s="1"/>
      <c r="X225" s="1"/>
      <c r="Y225" s="1"/>
      <c r="Z225" s="1"/>
      <c r="AA225" s="1"/>
      <c r="AB225" s="1"/>
      <c r="AC225" s="1"/>
    </row>
    <row r="226" spans="2:29" ht="8.25" customHeight="1" x14ac:dyDescent="0.2">
      <c r="B226" s="38"/>
      <c r="C226" s="112"/>
      <c r="D226" s="111"/>
      <c r="E226" s="113"/>
      <c r="K226" s="1"/>
      <c r="L226" s="1"/>
      <c r="M226" s="1"/>
      <c r="N226" s="1"/>
      <c r="O226" s="1"/>
      <c r="P226" s="1"/>
      <c r="Q226" s="1"/>
      <c r="R226" s="1"/>
      <c r="S226" s="1"/>
      <c r="T226" s="1"/>
      <c r="U226" s="1"/>
      <c r="V226" s="1"/>
      <c r="W226" s="1"/>
      <c r="X226" s="1"/>
      <c r="Y226" s="1"/>
      <c r="Z226" s="1"/>
      <c r="AA226" s="1"/>
      <c r="AB226" s="1"/>
      <c r="AC226" s="1"/>
    </row>
    <row r="227" spans="2:29" ht="13.5" customHeight="1" x14ac:dyDescent="0.2">
      <c r="B227" s="36" t="s">
        <v>12</v>
      </c>
      <c r="C227" s="41"/>
      <c r="D227" s="41"/>
      <c r="E227" s="42"/>
      <c r="K227" s="1"/>
      <c r="L227" s="14"/>
      <c r="M227" s="14"/>
      <c r="N227" s="1"/>
      <c r="O227" s="1"/>
      <c r="P227" s="1"/>
      <c r="Q227" s="1"/>
      <c r="R227" s="1"/>
      <c r="S227" s="1"/>
      <c r="T227" s="1"/>
      <c r="U227" s="1"/>
      <c r="V227" s="1"/>
      <c r="W227" s="1"/>
      <c r="X227" s="1"/>
      <c r="Y227" s="1"/>
      <c r="Z227" s="1"/>
      <c r="AA227" s="1"/>
      <c r="AB227" s="1"/>
      <c r="AC227" s="1"/>
    </row>
    <row r="228" spans="2:29" ht="30.75" customHeight="1" x14ac:dyDescent="0.2">
      <c r="B228" s="38"/>
      <c r="C228" s="101" t="s">
        <v>58</v>
      </c>
      <c r="D228" s="114"/>
      <c r="E228" s="115"/>
      <c r="K228" s="1"/>
      <c r="L228" s="14"/>
      <c r="M228" s="14"/>
      <c r="N228" s="1"/>
      <c r="O228" s="1"/>
      <c r="P228" s="1"/>
      <c r="Q228" s="1"/>
      <c r="R228" s="1"/>
      <c r="S228" s="1"/>
      <c r="T228" s="1"/>
      <c r="U228" s="1"/>
      <c r="V228" s="1"/>
      <c r="W228" s="1"/>
      <c r="X228" s="1"/>
      <c r="Y228" s="1"/>
      <c r="Z228" s="1"/>
      <c r="AA228" s="1"/>
      <c r="AB228" s="1"/>
      <c r="AC228" s="1"/>
    </row>
    <row r="229" spans="2:29" ht="30.75" customHeight="1" x14ac:dyDescent="0.2">
      <c r="B229" s="36" t="s">
        <v>13</v>
      </c>
      <c r="C229" s="39"/>
      <c r="D229" s="39"/>
      <c r="E229" s="40"/>
      <c r="K229" s="1"/>
      <c r="L229" s="1"/>
      <c r="M229" s="1"/>
      <c r="N229" s="1"/>
      <c r="O229" s="1"/>
      <c r="P229" s="1"/>
      <c r="Q229" s="1"/>
      <c r="R229" s="1"/>
      <c r="S229" s="1"/>
      <c r="T229" s="1"/>
      <c r="U229" s="1"/>
      <c r="V229" s="1"/>
      <c r="W229" s="1"/>
      <c r="X229" s="1"/>
      <c r="Y229" s="1"/>
      <c r="Z229" s="1"/>
      <c r="AA229" s="1"/>
      <c r="AB229" s="1"/>
      <c r="AC229" s="1"/>
    </row>
    <row r="230" spans="2:29" ht="30.75" customHeight="1" x14ac:dyDescent="0.2">
      <c r="B230" s="36"/>
      <c r="C230" s="116" t="s">
        <v>20</v>
      </c>
      <c r="D230" s="114"/>
      <c r="E230" s="115"/>
      <c r="K230" s="1"/>
      <c r="L230" s="1"/>
      <c r="M230" s="1"/>
      <c r="N230" s="1"/>
      <c r="O230" s="1"/>
      <c r="P230" s="1"/>
      <c r="Q230" s="1"/>
      <c r="R230" s="1"/>
      <c r="S230" s="1"/>
      <c r="T230" s="1"/>
      <c r="U230" s="1"/>
      <c r="V230" s="1"/>
      <c r="W230" s="1"/>
      <c r="X230" s="1"/>
      <c r="Y230" s="1"/>
      <c r="Z230" s="1"/>
      <c r="AA230" s="1"/>
      <c r="AB230" s="1"/>
      <c r="AC230" s="1"/>
    </row>
    <row r="231" spans="2:29" ht="28.5" customHeight="1" thickBot="1" x14ac:dyDescent="0.25">
      <c r="B231" s="43"/>
      <c r="C231" s="44"/>
      <c r="D231" s="44"/>
      <c r="E231" s="45"/>
      <c r="K231" s="1"/>
      <c r="L231" s="1"/>
      <c r="M231" s="1"/>
      <c r="N231" s="1"/>
      <c r="O231" s="1"/>
      <c r="P231" s="1"/>
      <c r="Q231" s="1"/>
      <c r="R231" s="1"/>
      <c r="S231" s="1"/>
      <c r="T231" s="1"/>
      <c r="U231" s="1"/>
      <c r="V231" s="1"/>
      <c r="W231" s="1"/>
      <c r="X231" s="1"/>
      <c r="Y231" s="1"/>
      <c r="Z231" s="1"/>
      <c r="AA231" s="1"/>
      <c r="AB231" s="1"/>
      <c r="AC231" s="1"/>
    </row>
    <row r="232" spans="2:29" ht="15.75" customHeight="1" thickBot="1" x14ac:dyDescent="0.25">
      <c r="K232" s="1"/>
      <c r="L232" s="1"/>
      <c r="M232" s="1"/>
      <c r="N232" s="1"/>
      <c r="O232" s="1"/>
      <c r="P232" s="1"/>
      <c r="Q232" s="1"/>
      <c r="R232" s="1"/>
      <c r="S232" s="1"/>
      <c r="T232" s="1"/>
      <c r="U232" s="1"/>
      <c r="V232" s="1"/>
      <c r="W232" s="1"/>
      <c r="X232" s="1"/>
      <c r="Y232" s="1"/>
      <c r="Z232" s="1"/>
      <c r="AA232" s="1"/>
      <c r="AB232" s="1"/>
      <c r="AC232" s="1"/>
    </row>
    <row r="233" spans="2:29" ht="29.25" customHeight="1" thickBot="1" x14ac:dyDescent="0.25">
      <c r="B233" s="98" t="s">
        <v>23</v>
      </c>
      <c r="C233" s="99"/>
      <c r="D233" s="99"/>
      <c r="E233" s="100"/>
      <c r="K233" s="1"/>
      <c r="L233" s="1"/>
      <c r="M233" s="1"/>
      <c r="N233" s="14"/>
      <c r="O233" s="14"/>
      <c r="P233" s="14"/>
      <c r="Q233" s="14"/>
      <c r="R233" s="14"/>
      <c r="S233" s="14"/>
      <c r="T233" s="14"/>
      <c r="U233" s="14"/>
      <c r="V233" s="14"/>
      <c r="W233" s="14"/>
      <c r="X233" s="14"/>
      <c r="Y233" s="14"/>
      <c r="Z233" s="14"/>
      <c r="AA233" s="14"/>
      <c r="AB233" s="14"/>
      <c r="AC233" s="14"/>
    </row>
    <row r="234" spans="2:29" ht="29.25" customHeight="1" x14ac:dyDescent="0.2">
      <c r="B234" s="36" t="s">
        <v>9</v>
      </c>
      <c r="C234" s="9"/>
      <c r="D234" s="9"/>
      <c r="E234" s="37"/>
      <c r="K234" s="1"/>
      <c r="L234" s="1"/>
      <c r="M234" s="1"/>
      <c r="N234" s="1"/>
      <c r="O234" s="1"/>
      <c r="P234" s="1"/>
      <c r="Q234" s="1"/>
      <c r="R234" s="1"/>
      <c r="S234" s="1"/>
      <c r="T234" s="1"/>
      <c r="U234" s="1"/>
      <c r="V234" s="1"/>
      <c r="W234" s="1"/>
      <c r="X234" s="1"/>
      <c r="Y234" s="1"/>
      <c r="Z234" s="1"/>
      <c r="AA234" s="1"/>
      <c r="AB234" s="1"/>
      <c r="AC234" s="1"/>
    </row>
    <row r="235" spans="2:29" ht="53.25" customHeight="1" x14ac:dyDescent="0.2">
      <c r="B235" s="36"/>
      <c r="C235" s="101" t="s">
        <v>71</v>
      </c>
      <c r="D235" s="102"/>
      <c r="E235" s="103"/>
      <c r="K235" s="1"/>
      <c r="L235" s="1"/>
      <c r="M235" s="1"/>
      <c r="N235" s="1"/>
      <c r="O235" s="1"/>
      <c r="P235" s="1"/>
      <c r="Q235" s="1"/>
      <c r="R235" s="1"/>
      <c r="S235" s="1"/>
      <c r="T235" s="1"/>
      <c r="U235" s="1"/>
      <c r="V235" s="1"/>
      <c r="W235" s="1"/>
      <c r="X235" s="1"/>
      <c r="Y235" s="1"/>
      <c r="Z235" s="1"/>
      <c r="AA235" s="1"/>
      <c r="AB235" s="1"/>
      <c r="AC235" s="1"/>
    </row>
    <row r="236" spans="2:29" ht="29.25" customHeight="1" x14ac:dyDescent="0.2">
      <c r="B236" s="36" t="s">
        <v>10</v>
      </c>
      <c r="C236" s="9"/>
      <c r="D236" s="9"/>
      <c r="E236" s="37"/>
      <c r="K236" s="1"/>
      <c r="L236" s="1"/>
      <c r="M236" s="1"/>
      <c r="N236" s="1"/>
      <c r="O236" s="1"/>
      <c r="P236" s="1"/>
      <c r="Q236" s="1"/>
      <c r="R236" s="1"/>
      <c r="S236" s="1"/>
      <c r="T236" s="1"/>
      <c r="U236" s="1"/>
      <c r="V236" s="1"/>
      <c r="W236" s="1"/>
      <c r="X236" s="1"/>
      <c r="Y236" s="1"/>
      <c r="Z236" s="1"/>
      <c r="AA236" s="1"/>
      <c r="AB236" s="1"/>
      <c r="AC236" s="1"/>
    </row>
    <row r="237" spans="2:29" ht="69.75" customHeight="1" x14ac:dyDescent="0.2">
      <c r="B237" s="38"/>
      <c r="C237" s="101" t="s">
        <v>70</v>
      </c>
      <c r="D237" s="102"/>
      <c r="E237" s="103"/>
      <c r="K237" s="1"/>
      <c r="L237" s="1"/>
      <c r="M237" s="1"/>
      <c r="N237" s="1"/>
      <c r="O237" s="1"/>
      <c r="P237" s="1"/>
      <c r="Q237" s="1"/>
      <c r="R237" s="1"/>
      <c r="S237" s="1"/>
      <c r="T237" s="1"/>
      <c r="U237" s="1"/>
      <c r="V237" s="1"/>
      <c r="W237" s="1"/>
      <c r="X237" s="1"/>
      <c r="Y237" s="1"/>
      <c r="Z237" s="1"/>
      <c r="AA237" s="1"/>
      <c r="AB237" s="1"/>
      <c r="AC237" s="1"/>
    </row>
    <row r="238" spans="2:29" ht="29.25" customHeight="1" x14ac:dyDescent="0.2">
      <c r="B238" s="36" t="s">
        <v>11</v>
      </c>
      <c r="C238" s="39"/>
      <c r="D238" s="39"/>
      <c r="E238" s="40"/>
      <c r="K238" s="1"/>
      <c r="L238" s="1"/>
      <c r="M238" s="1"/>
      <c r="N238" s="1"/>
      <c r="O238" s="1"/>
      <c r="P238" s="1"/>
      <c r="Q238" s="1"/>
      <c r="R238" s="1"/>
      <c r="S238" s="1"/>
      <c r="T238" s="1"/>
      <c r="U238" s="1"/>
      <c r="V238" s="1"/>
      <c r="W238" s="1"/>
      <c r="X238" s="1"/>
      <c r="Y238" s="1"/>
      <c r="Z238" s="1"/>
      <c r="AA238" s="1"/>
      <c r="AB238" s="1"/>
      <c r="AC238" s="1"/>
    </row>
    <row r="239" spans="2:29" ht="6" customHeight="1" x14ac:dyDescent="0.2">
      <c r="B239" s="38"/>
      <c r="C239" s="112"/>
      <c r="D239" s="111"/>
      <c r="E239" s="113"/>
      <c r="K239" s="1"/>
      <c r="L239" s="1"/>
      <c r="M239" s="1"/>
      <c r="N239" s="1"/>
      <c r="O239" s="1"/>
      <c r="P239" s="1"/>
      <c r="Q239" s="1"/>
      <c r="R239" s="1"/>
      <c r="S239" s="1"/>
      <c r="T239" s="1"/>
      <c r="U239" s="1"/>
      <c r="V239" s="1"/>
      <c r="W239" s="1"/>
      <c r="X239" s="1"/>
      <c r="Y239" s="1"/>
      <c r="Z239" s="1"/>
      <c r="AA239" s="1"/>
      <c r="AB239" s="1"/>
      <c r="AC239" s="1"/>
    </row>
    <row r="240" spans="2:29" ht="21.75" customHeight="1" x14ac:dyDescent="0.2">
      <c r="B240" s="36" t="s">
        <v>12</v>
      </c>
      <c r="C240" s="41"/>
      <c r="D240" s="41"/>
      <c r="E240" s="42"/>
      <c r="K240" s="1"/>
      <c r="L240" s="1"/>
      <c r="M240" s="1"/>
      <c r="N240" s="1"/>
      <c r="O240" s="1"/>
      <c r="P240" s="1"/>
      <c r="Q240" s="1"/>
      <c r="R240" s="1"/>
      <c r="S240" s="1"/>
      <c r="T240" s="1"/>
      <c r="U240" s="1"/>
      <c r="V240" s="1"/>
      <c r="W240" s="1"/>
      <c r="X240" s="1"/>
      <c r="Y240" s="1"/>
      <c r="Z240" s="1"/>
      <c r="AA240" s="1"/>
      <c r="AB240" s="1"/>
      <c r="AC240" s="1"/>
    </row>
    <row r="241" spans="2:29" ht="29.25" customHeight="1" x14ac:dyDescent="0.2">
      <c r="B241" s="38"/>
      <c r="C241" s="101" t="s">
        <v>58</v>
      </c>
      <c r="D241" s="114"/>
      <c r="E241" s="115"/>
      <c r="K241" s="1"/>
      <c r="L241" s="1"/>
      <c r="M241" s="1"/>
      <c r="N241" s="1"/>
      <c r="O241" s="1"/>
      <c r="P241" s="1"/>
      <c r="Q241" s="1"/>
      <c r="R241" s="1"/>
      <c r="S241" s="1"/>
      <c r="T241" s="1"/>
      <c r="U241" s="1"/>
      <c r="V241" s="1"/>
      <c r="W241" s="1"/>
      <c r="X241" s="1"/>
      <c r="Y241" s="1"/>
      <c r="Z241" s="1"/>
      <c r="AA241" s="1"/>
      <c r="AB241" s="1"/>
      <c r="AC241" s="1"/>
    </row>
    <row r="242" spans="2:29" ht="29.25" customHeight="1" x14ac:dyDescent="0.2">
      <c r="B242" s="36" t="s">
        <v>13</v>
      </c>
      <c r="C242" s="39"/>
      <c r="D242" s="39"/>
      <c r="E242" s="40"/>
      <c r="K242" s="1"/>
      <c r="L242" s="1"/>
      <c r="M242" s="1"/>
      <c r="N242" s="14"/>
      <c r="O242" s="14"/>
      <c r="P242" s="14"/>
      <c r="Q242" s="14"/>
      <c r="R242" s="14"/>
      <c r="S242" s="14"/>
      <c r="T242" s="14"/>
      <c r="U242" s="14"/>
      <c r="V242" s="14"/>
      <c r="W242" s="14"/>
      <c r="X242" s="14"/>
      <c r="Y242" s="14"/>
      <c r="Z242" s="14"/>
      <c r="AA242" s="14"/>
      <c r="AB242" s="14"/>
      <c r="AC242" s="14"/>
    </row>
    <row r="243" spans="2:29" ht="29.25" customHeight="1" x14ac:dyDescent="0.2">
      <c r="B243" s="36"/>
      <c r="C243" s="116" t="s">
        <v>20</v>
      </c>
      <c r="D243" s="114"/>
      <c r="E243" s="115"/>
      <c r="K243" s="1"/>
      <c r="L243" s="1"/>
      <c r="M243" s="1"/>
      <c r="N243" s="1"/>
      <c r="O243" s="1"/>
      <c r="P243" s="1"/>
      <c r="Q243" s="1"/>
      <c r="R243" s="1"/>
      <c r="S243" s="1"/>
      <c r="T243" s="1"/>
      <c r="U243" s="1"/>
      <c r="V243" s="1"/>
      <c r="W243" s="1"/>
      <c r="X243" s="1"/>
      <c r="Y243" s="1"/>
      <c r="Z243" s="1"/>
      <c r="AA243" s="1"/>
      <c r="AB243" s="1"/>
      <c r="AC243" s="1"/>
    </row>
    <row r="244" spans="2:29" ht="29.25" customHeight="1" thickBot="1" x14ac:dyDescent="0.25">
      <c r="B244" s="43"/>
      <c r="C244" s="44"/>
      <c r="D244" s="44"/>
      <c r="E244" s="45"/>
      <c r="K244" s="1"/>
      <c r="L244" s="1"/>
      <c r="M244" s="1"/>
      <c r="N244" s="14"/>
      <c r="O244" s="14"/>
      <c r="P244" s="14"/>
      <c r="Q244" s="14"/>
      <c r="R244" s="14"/>
      <c r="S244" s="14"/>
      <c r="T244" s="14"/>
      <c r="U244" s="14"/>
      <c r="V244" s="14"/>
      <c r="W244" s="14"/>
      <c r="X244" s="14"/>
      <c r="Y244" s="14"/>
      <c r="Z244" s="14"/>
      <c r="AA244" s="14"/>
      <c r="AB244" s="14"/>
      <c r="AC244" s="14"/>
    </row>
    <row r="245" spans="2:29" ht="29.25" customHeight="1" thickBot="1" x14ac:dyDescent="0.25">
      <c r="K245" s="1"/>
      <c r="L245" s="1"/>
      <c r="M245" s="1"/>
      <c r="N245" s="14"/>
      <c r="O245" s="14"/>
      <c r="P245" s="14"/>
      <c r="Q245" s="14"/>
      <c r="R245" s="14"/>
      <c r="S245" s="14"/>
      <c r="T245" s="14"/>
      <c r="U245" s="14"/>
      <c r="V245" s="14"/>
      <c r="W245" s="14"/>
      <c r="X245" s="14"/>
      <c r="Y245" s="14"/>
      <c r="Z245" s="14"/>
      <c r="AA245" s="14"/>
      <c r="AB245" s="14"/>
      <c r="AC245" s="14"/>
    </row>
    <row r="246" spans="2:29" ht="29.25" customHeight="1" thickBot="1" x14ac:dyDescent="0.25">
      <c r="B246" s="98" t="s">
        <v>24</v>
      </c>
      <c r="C246" s="99"/>
      <c r="D246" s="99"/>
      <c r="E246" s="100"/>
      <c r="K246" s="1"/>
      <c r="L246" s="1"/>
      <c r="M246" s="1"/>
      <c r="N246" s="14"/>
      <c r="O246" s="14"/>
      <c r="P246" s="14"/>
      <c r="Q246" s="14"/>
      <c r="R246" s="14"/>
      <c r="S246" s="14"/>
      <c r="T246" s="14"/>
      <c r="U246" s="14"/>
      <c r="V246" s="14"/>
      <c r="W246" s="14"/>
      <c r="X246" s="14"/>
      <c r="Y246" s="14"/>
      <c r="Z246" s="14"/>
      <c r="AA246" s="14"/>
      <c r="AB246" s="14"/>
      <c r="AC246" s="14"/>
    </row>
    <row r="247" spans="2:29" ht="29.25" customHeight="1" x14ac:dyDescent="0.2">
      <c r="B247" s="36" t="s">
        <v>9</v>
      </c>
      <c r="C247" s="9"/>
      <c r="D247" s="9"/>
      <c r="E247" s="37"/>
      <c r="K247" s="1"/>
      <c r="L247" s="1"/>
      <c r="M247" s="1"/>
      <c r="N247" s="14"/>
      <c r="O247" s="14"/>
      <c r="P247" s="14"/>
      <c r="Q247" s="14"/>
      <c r="R247" s="14"/>
      <c r="S247" s="14"/>
      <c r="T247" s="14"/>
      <c r="U247" s="14"/>
      <c r="V247" s="14"/>
      <c r="W247" s="14"/>
      <c r="X247" s="14"/>
      <c r="Y247" s="14"/>
      <c r="Z247" s="14"/>
      <c r="AA247" s="14"/>
      <c r="AB247" s="14"/>
      <c r="AC247" s="14"/>
    </row>
    <row r="248" spans="2:29" ht="29.25" customHeight="1" x14ac:dyDescent="0.2">
      <c r="B248" s="36"/>
      <c r="C248" s="101" t="s">
        <v>65</v>
      </c>
      <c r="D248" s="102"/>
      <c r="E248" s="103"/>
      <c r="K248" s="1"/>
      <c r="L248" s="1"/>
      <c r="M248" s="1"/>
      <c r="N248" s="1"/>
      <c r="O248" s="1"/>
      <c r="P248" s="1"/>
      <c r="Q248" s="1"/>
      <c r="R248" s="1"/>
      <c r="S248" s="1"/>
      <c r="T248" s="1"/>
      <c r="U248" s="1"/>
      <c r="V248" s="1"/>
      <c r="W248" s="1"/>
      <c r="X248" s="1"/>
      <c r="Y248" s="1"/>
      <c r="Z248" s="1"/>
      <c r="AA248" s="1"/>
      <c r="AB248" s="1"/>
      <c r="AC248" s="1"/>
    </row>
    <row r="249" spans="2:29" ht="29.25" customHeight="1" x14ac:dyDescent="0.2">
      <c r="B249" s="36" t="s">
        <v>10</v>
      </c>
      <c r="C249" s="9"/>
      <c r="D249" s="9"/>
      <c r="E249" s="37"/>
      <c r="K249" s="1"/>
      <c r="L249" s="1"/>
      <c r="M249" s="1"/>
      <c r="N249" s="1"/>
      <c r="O249" s="1"/>
      <c r="P249" s="1"/>
      <c r="Q249" s="1"/>
      <c r="R249" s="1"/>
      <c r="S249" s="1"/>
      <c r="T249" s="1"/>
      <c r="U249" s="1"/>
      <c r="V249" s="1"/>
      <c r="W249" s="1"/>
      <c r="X249" s="1"/>
      <c r="Y249" s="1"/>
      <c r="Z249" s="1"/>
      <c r="AA249" s="1"/>
      <c r="AB249" s="1"/>
      <c r="AC249" s="1"/>
    </row>
    <row r="250" spans="2:29" ht="78" customHeight="1" x14ac:dyDescent="0.2">
      <c r="B250" s="38"/>
      <c r="C250" s="101" t="s">
        <v>70</v>
      </c>
      <c r="D250" s="102"/>
      <c r="E250" s="103"/>
      <c r="K250" s="1"/>
      <c r="L250" s="1"/>
      <c r="M250" s="1"/>
      <c r="N250" s="1"/>
      <c r="O250" s="1"/>
      <c r="P250" s="1"/>
      <c r="Q250" s="1"/>
      <c r="R250" s="1"/>
      <c r="S250" s="1"/>
      <c r="T250" s="1"/>
      <c r="U250" s="1"/>
      <c r="V250" s="1"/>
      <c r="W250" s="1"/>
      <c r="X250" s="1"/>
      <c r="Y250" s="1"/>
      <c r="Z250" s="1"/>
      <c r="AA250" s="1"/>
      <c r="AB250" s="1"/>
      <c r="AC250" s="1"/>
    </row>
    <row r="251" spans="2:29" ht="12.75" customHeight="1" x14ac:dyDescent="0.2">
      <c r="B251" s="36" t="s">
        <v>11</v>
      </c>
      <c r="C251" s="39"/>
      <c r="D251" s="39"/>
      <c r="E251" s="40"/>
      <c r="K251" s="1"/>
      <c r="L251" s="1"/>
      <c r="M251" s="1"/>
      <c r="N251" s="1"/>
      <c r="O251" s="1"/>
      <c r="P251" s="1"/>
      <c r="Q251" s="1"/>
      <c r="R251" s="1"/>
      <c r="S251" s="1"/>
      <c r="T251" s="1"/>
      <c r="U251" s="1"/>
      <c r="V251" s="1"/>
      <c r="W251" s="1"/>
      <c r="X251" s="1"/>
      <c r="Y251" s="1"/>
      <c r="Z251" s="1"/>
      <c r="AA251" s="1"/>
      <c r="AB251" s="1"/>
      <c r="AC251" s="1"/>
    </row>
    <row r="252" spans="2:29" ht="17.25" customHeight="1" x14ac:dyDescent="0.2">
      <c r="B252" s="38"/>
      <c r="C252" s="112"/>
      <c r="D252" s="111"/>
      <c r="E252" s="113"/>
      <c r="K252" s="1"/>
      <c r="L252" s="1"/>
      <c r="M252" s="1"/>
      <c r="N252" s="1"/>
      <c r="O252" s="1"/>
      <c r="P252" s="1"/>
      <c r="Q252" s="1"/>
      <c r="R252" s="1"/>
      <c r="S252" s="1"/>
      <c r="T252" s="1"/>
      <c r="U252" s="1"/>
      <c r="V252" s="1"/>
      <c r="W252" s="1"/>
      <c r="X252" s="1"/>
      <c r="Y252" s="1"/>
      <c r="Z252" s="1"/>
      <c r="AA252" s="1"/>
      <c r="AB252" s="1"/>
      <c r="AC252" s="1"/>
    </row>
    <row r="253" spans="2:29" ht="29.25" customHeight="1" x14ac:dyDescent="0.2">
      <c r="B253" s="36" t="s">
        <v>12</v>
      </c>
      <c r="C253" s="41"/>
      <c r="D253" s="41"/>
      <c r="E253" s="42"/>
      <c r="K253" s="1"/>
      <c r="L253" s="1"/>
      <c r="M253" s="1"/>
      <c r="N253" s="1"/>
      <c r="O253" s="1"/>
      <c r="P253" s="1"/>
      <c r="Q253" s="1"/>
      <c r="R253" s="1"/>
      <c r="S253" s="1"/>
      <c r="T253" s="1"/>
      <c r="U253" s="1"/>
      <c r="V253" s="1"/>
      <c r="W253" s="1"/>
      <c r="X253" s="1"/>
      <c r="Y253" s="1"/>
      <c r="Z253" s="1"/>
      <c r="AA253" s="1"/>
      <c r="AB253" s="1"/>
      <c r="AC253" s="1"/>
    </row>
    <row r="254" spans="2:29" ht="29.25" customHeight="1" x14ac:dyDescent="0.2">
      <c r="B254" s="38"/>
      <c r="C254" s="101" t="s">
        <v>58</v>
      </c>
      <c r="D254" s="114"/>
      <c r="E254" s="115"/>
      <c r="K254" s="1"/>
      <c r="L254" s="1"/>
      <c r="M254" s="1"/>
      <c r="N254" s="1"/>
      <c r="O254" s="1"/>
      <c r="P254" s="1"/>
      <c r="Q254" s="1"/>
      <c r="R254" s="1"/>
      <c r="S254" s="1"/>
      <c r="T254" s="1"/>
      <c r="U254" s="1"/>
      <c r="V254" s="1"/>
      <c r="W254" s="1"/>
      <c r="X254" s="1"/>
      <c r="Y254" s="1"/>
      <c r="Z254" s="1"/>
      <c r="AA254" s="1"/>
      <c r="AB254" s="1"/>
      <c r="AC254" s="1"/>
    </row>
    <row r="255" spans="2:29" ht="30" customHeight="1" x14ac:dyDescent="0.2">
      <c r="B255" s="36" t="s">
        <v>13</v>
      </c>
      <c r="C255" s="39"/>
      <c r="D255" s="39"/>
      <c r="E255" s="40"/>
      <c r="K255" s="1"/>
      <c r="L255" s="1"/>
      <c r="M255" s="1"/>
      <c r="N255" s="1"/>
      <c r="O255" s="1"/>
      <c r="P255" s="1"/>
      <c r="Q255" s="1"/>
      <c r="R255" s="1"/>
      <c r="S255" s="1"/>
      <c r="T255" s="1"/>
      <c r="U255" s="1"/>
      <c r="V255" s="1"/>
      <c r="W255" s="1"/>
      <c r="X255" s="1"/>
      <c r="Y255" s="1"/>
      <c r="Z255" s="1"/>
      <c r="AA255" s="1"/>
      <c r="AB255" s="1"/>
      <c r="AC255" s="1"/>
    </row>
    <row r="256" spans="2:29" ht="15.75" customHeight="1" x14ac:dyDescent="0.2">
      <c r="B256" s="36"/>
      <c r="C256" s="116" t="s">
        <v>20</v>
      </c>
      <c r="D256" s="114"/>
      <c r="E256" s="115"/>
      <c r="K256" s="1"/>
      <c r="L256" s="1"/>
      <c r="M256" s="1"/>
      <c r="N256" s="1"/>
      <c r="O256" s="1"/>
      <c r="P256" s="1"/>
      <c r="Q256" s="1"/>
      <c r="R256" s="1"/>
      <c r="S256" s="1"/>
      <c r="T256" s="1"/>
      <c r="U256" s="1"/>
      <c r="V256" s="1"/>
      <c r="W256" s="1"/>
      <c r="X256" s="1"/>
      <c r="Y256" s="1"/>
      <c r="Z256" s="1"/>
      <c r="AA256" s="1"/>
      <c r="AB256" s="1"/>
      <c r="AC256" s="1"/>
    </row>
    <row r="257" spans="2:29" ht="30" customHeight="1" thickBot="1" x14ac:dyDescent="0.25">
      <c r="B257" s="43"/>
      <c r="C257" s="44"/>
      <c r="D257" s="44"/>
      <c r="E257" s="45"/>
      <c r="K257" s="1"/>
      <c r="L257" s="1"/>
      <c r="M257" s="1"/>
      <c r="N257" s="1"/>
      <c r="O257" s="1"/>
      <c r="P257" s="1"/>
      <c r="Q257" s="1"/>
      <c r="R257" s="1"/>
      <c r="S257" s="1"/>
      <c r="T257" s="1"/>
      <c r="U257" s="1"/>
      <c r="V257" s="1"/>
      <c r="W257" s="1"/>
      <c r="X257" s="1"/>
      <c r="Y257" s="1"/>
      <c r="Z257" s="1"/>
      <c r="AA257" s="1"/>
      <c r="AB257" s="1"/>
      <c r="AC257" s="1"/>
    </row>
    <row r="258" spans="2:29" s="60" customFormat="1" ht="30" customHeight="1" thickBot="1" x14ac:dyDescent="0.25">
      <c r="B258" s="50"/>
      <c r="C258" s="49"/>
      <c r="D258" s="49"/>
      <c r="E258" s="49"/>
      <c r="K258" s="1"/>
      <c r="L258" s="1"/>
      <c r="M258" s="1"/>
      <c r="N258" s="1"/>
      <c r="O258" s="1"/>
      <c r="P258" s="1"/>
      <c r="Q258" s="1"/>
      <c r="R258" s="1"/>
      <c r="S258" s="1"/>
      <c r="T258" s="1"/>
      <c r="U258" s="1"/>
      <c r="V258" s="1"/>
      <c r="W258" s="1"/>
      <c r="X258" s="1"/>
      <c r="Y258" s="1"/>
      <c r="Z258" s="1"/>
      <c r="AA258" s="1"/>
      <c r="AB258" s="1"/>
      <c r="AC258" s="1"/>
    </row>
    <row r="259" spans="2:29" s="60" customFormat="1" ht="30" customHeight="1" thickBot="1" x14ac:dyDescent="0.25">
      <c r="B259" s="98" t="s">
        <v>25</v>
      </c>
      <c r="C259" s="99"/>
      <c r="D259" s="99"/>
      <c r="E259" s="100"/>
      <c r="K259" s="1"/>
      <c r="L259" s="1"/>
      <c r="M259" s="1"/>
      <c r="N259" s="1"/>
      <c r="O259" s="1"/>
      <c r="P259" s="1"/>
      <c r="Q259" s="1"/>
      <c r="R259" s="1"/>
      <c r="S259" s="1"/>
      <c r="T259" s="1"/>
      <c r="U259" s="1"/>
      <c r="V259" s="1"/>
      <c r="W259" s="1"/>
      <c r="X259" s="1"/>
      <c r="Y259" s="1"/>
      <c r="Z259" s="1"/>
      <c r="AA259" s="1"/>
      <c r="AB259" s="1"/>
      <c r="AC259" s="1"/>
    </row>
    <row r="260" spans="2:29" s="60" customFormat="1" ht="30" customHeight="1" x14ac:dyDescent="0.2">
      <c r="B260" s="36" t="s">
        <v>9</v>
      </c>
      <c r="C260" s="9"/>
      <c r="D260" s="9"/>
      <c r="E260" s="37"/>
      <c r="K260" s="1"/>
      <c r="L260" s="1"/>
      <c r="M260" s="1"/>
      <c r="N260" s="1"/>
      <c r="O260" s="1"/>
      <c r="P260" s="1"/>
      <c r="Q260" s="1"/>
      <c r="R260" s="1"/>
      <c r="S260" s="1"/>
      <c r="T260" s="1"/>
      <c r="U260" s="1"/>
      <c r="V260" s="1"/>
      <c r="W260" s="1"/>
      <c r="X260" s="1"/>
      <c r="Y260" s="1"/>
      <c r="Z260" s="1"/>
      <c r="AA260" s="1"/>
      <c r="AB260" s="1"/>
      <c r="AC260" s="1"/>
    </row>
    <row r="261" spans="2:29" ht="30" customHeight="1" x14ac:dyDescent="0.2">
      <c r="B261" s="36"/>
      <c r="C261" s="101" t="s">
        <v>72</v>
      </c>
      <c r="D261" s="102"/>
      <c r="E261" s="103"/>
      <c r="K261" s="1"/>
      <c r="L261" s="1"/>
      <c r="M261" s="1"/>
      <c r="N261" s="1"/>
      <c r="O261" s="1"/>
      <c r="P261" s="1"/>
      <c r="Q261" s="1"/>
      <c r="R261" s="1"/>
      <c r="S261" s="1"/>
      <c r="T261" s="1"/>
      <c r="U261" s="1"/>
      <c r="V261" s="1"/>
      <c r="W261" s="1"/>
      <c r="X261" s="1"/>
      <c r="Y261" s="1"/>
      <c r="Z261" s="1"/>
      <c r="AA261" s="1"/>
      <c r="AB261" s="1"/>
      <c r="AC261" s="1"/>
    </row>
    <row r="262" spans="2:29" ht="30" customHeight="1" x14ac:dyDescent="0.2">
      <c r="B262" s="36" t="s">
        <v>10</v>
      </c>
      <c r="C262" s="9"/>
      <c r="D262" s="9"/>
      <c r="E262" s="37"/>
      <c r="K262" s="1"/>
      <c r="L262" s="1"/>
      <c r="M262" s="1"/>
      <c r="N262" s="1"/>
      <c r="O262" s="1"/>
      <c r="P262" s="1"/>
      <c r="Q262" s="1"/>
      <c r="R262" s="1"/>
      <c r="S262" s="1"/>
      <c r="T262" s="1"/>
      <c r="U262" s="1"/>
      <c r="V262" s="1"/>
      <c r="W262" s="1"/>
      <c r="X262" s="1"/>
      <c r="Y262" s="1"/>
      <c r="Z262" s="1"/>
      <c r="AA262" s="1"/>
      <c r="AB262" s="1"/>
      <c r="AC262" s="1"/>
    </row>
    <row r="263" spans="2:29" ht="82.5" customHeight="1" x14ac:dyDescent="0.2">
      <c r="B263" s="38"/>
      <c r="C263" s="101" t="s">
        <v>70</v>
      </c>
      <c r="D263" s="102"/>
      <c r="E263" s="103"/>
      <c r="K263" s="1"/>
      <c r="L263" s="1"/>
      <c r="M263" s="1"/>
      <c r="N263" s="1"/>
      <c r="O263" s="1"/>
      <c r="P263" s="1"/>
      <c r="Q263" s="1"/>
      <c r="R263" s="1"/>
      <c r="S263" s="1"/>
      <c r="T263" s="1"/>
      <c r="U263" s="1"/>
      <c r="V263" s="1"/>
      <c r="W263" s="1"/>
      <c r="X263" s="1"/>
      <c r="Y263" s="1"/>
      <c r="Z263" s="1"/>
      <c r="AA263" s="1"/>
      <c r="AB263" s="1"/>
      <c r="AC263" s="1"/>
    </row>
    <row r="264" spans="2:29" ht="30" customHeight="1" x14ac:dyDescent="0.2">
      <c r="B264" s="36" t="s">
        <v>11</v>
      </c>
      <c r="C264" s="39"/>
      <c r="D264" s="39"/>
      <c r="E264" s="40"/>
      <c r="K264" s="1"/>
      <c r="L264" s="1"/>
      <c r="M264" s="1"/>
      <c r="N264" s="1"/>
      <c r="O264" s="1"/>
      <c r="P264" s="1"/>
      <c r="Q264" s="1"/>
      <c r="R264" s="1"/>
      <c r="S264" s="1"/>
      <c r="T264" s="1"/>
      <c r="U264" s="1"/>
      <c r="V264" s="1"/>
      <c r="W264" s="1"/>
      <c r="X264" s="1"/>
      <c r="Y264" s="1"/>
      <c r="Z264" s="1"/>
      <c r="AA264" s="1"/>
      <c r="AB264" s="1"/>
      <c r="AC264" s="1"/>
    </row>
    <row r="265" spans="2:29" ht="21" customHeight="1" x14ac:dyDescent="0.2">
      <c r="B265" s="38"/>
      <c r="C265" s="112"/>
      <c r="D265" s="111"/>
      <c r="E265" s="113"/>
      <c r="L265" s="1"/>
      <c r="M265" s="1"/>
      <c r="N265" s="1"/>
      <c r="O265" s="1"/>
      <c r="P265" s="1"/>
      <c r="Q265" s="1"/>
      <c r="R265" s="1"/>
      <c r="S265" s="1"/>
      <c r="T265" s="1"/>
      <c r="U265" s="1"/>
      <c r="V265" s="1"/>
      <c r="W265" s="1"/>
      <c r="X265" s="1"/>
      <c r="Y265" s="1"/>
      <c r="Z265" s="1"/>
      <c r="AA265" s="1"/>
      <c r="AB265" s="1"/>
      <c r="AC265" s="1"/>
    </row>
    <row r="266" spans="2:29" ht="35.25" customHeight="1" x14ac:dyDescent="0.2">
      <c r="B266" s="36" t="s">
        <v>12</v>
      </c>
      <c r="C266" s="41"/>
      <c r="D266" s="41"/>
      <c r="E266" s="42"/>
      <c r="K266" s="1"/>
      <c r="L266" s="1"/>
      <c r="M266" s="1"/>
      <c r="N266" s="1"/>
      <c r="O266" s="1"/>
      <c r="P266" s="1"/>
      <c r="Q266" s="1"/>
      <c r="R266" s="1"/>
      <c r="S266" s="1"/>
      <c r="T266" s="1"/>
      <c r="U266" s="1"/>
      <c r="V266" s="1"/>
      <c r="W266" s="1"/>
      <c r="X266" s="1"/>
      <c r="Y266" s="1"/>
      <c r="Z266" s="1"/>
      <c r="AA266" s="1"/>
      <c r="AB266" s="1"/>
      <c r="AC266" s="1"/>
    </row>
    <row r="267" spans="2:29" ht="30" customHeight="1" x14ac:dyDescent="0.2">
      <c r="B267" s="38"/>
      <c r="C267" s="101" t="s">
        <v>58</v>
      </c>
      <c r="D267" s="114"/>
      <c r="E267" s="115"/>
      <c r="K267" s="1"/>
      <c r="L267" s="1"/>
      <c r="M267" s="1"/>
      <c r="N267" s="1"/>
      <c r="O267" s="1"/>
      <c r="P267" s="1"/>
      <c r="Q267" s="1"/>
      <c r="R267" s="1"/>
      <c r="S267" s="1"/>
      <c r="T267" s="1"/>
      <c r="U267" s="1"/>
      <c r="V267" s="1"/>
      <c r="W267" s="1"/>
      <c r="X267" s="1"/>
      <c r="Y267" s="1"/>
      <c r="Z267" s="1"/>
      <c r="AA267" s="1"/>
      <c r="AB267" s="1"/>
      <c r="AC267" s="1"/>
    </row>
    <row r="268" spans="2:29" ht="18" customHeight="1" x14ac:dyDescent="0.2">
      <c r="B268" s="36" t="s">
        <v>13</v>
      </c>
      <c r="C268" s="39"/>
      <c r="D268" s="39"/>
      <c r="E268" s="40"/>
      <c r="K268" s="15"/>
      <c r="L268" s="1"/>
      <c r="M268" s="1"/>
      <c r="N268" s="1"/>
      <c r="O268" s="1"/>
      <c r="P268" s="1"/>
      <c r="Q268" s="1"/>
      <c r="R268" s="1"/>
      <c r="S268" s="1"/>
      <c r="T268" s="1"/>
      <c r="U268" s="1"/>
      <c r="V268" s="1"/>
      <c r="W268" s="1"/>
      <c r="X268" s="1"/>
      <c r="Y268" s="1"/>
      <c r="Z268" s="1"/>
      <c r="AA268" s="1"/>
      <c r="AB268" s="1"/>
      <c r="AC268" s="1"/>
    </row>
    <row r="269" spans="2:29" ht="21" customHeight="1" x14ac:dyDescent="0.2">
      <c r="B269" s="36"/>
      <c r="C269" s="116" t="s">
        <v>20</v>
      </c>
      <c r="D269" s="114"/>
      <c r="E269" s="115"/>
      <c r="K269" s="15"/>
      <c r="L269" s="1"/>
      <c r="M269" s="1"/>
      <c r="N269" s="1"/>
      <c r="O269" s="1"/>
      <c r="P269" s="1"/>
      <c r="Q269" s="1"/>
      <c r="R269" s="1"/>
      <c r="S269" s="1"/>
      <c r="T269" s="1"/>
      <c r="U269" s="1"/>
      <c r="V269" s="1"/>
      <c r="W269" s="1"/>
      <c r="X269" s="1"/>
      <c r="Y269" s="1"/>
      <c r="Z269" s="1"/>
      <c r="AA269" s="1"/>
      <c r="AB269" s="1"/>
      <c r="AC269" s="1"/>
    </row>
    <row r="270" spans="2:29" ht="30" customHeight="1" thickBot="1" x14ac:dyDescent="0.25">
      <c r="B270" s="43"/>
      <c r="C270" s="44"/>
      <c r="D270" s="44"/>
      <c r="E270" s="45"/>
      <c r="L270" s="1"/>
      <c r="M270" s="1"/>
      <c r="N270" s="1"/>
      <c r="O270" s="1"/>
      <c r="P270" s="1"/>
      <c r="Q270" s="1"/>
      <c r="R270" s="1"/>
      <c r="S270" s="1"/>
      <c r="T270" s="1"/>
      <c r="U270" s="1"/>
      <c r="V270" s="1"/>
      <c r="W270" s="1"/>
      <c r="X270" s="1"/>
      <c r="Y270" s="1"/>
      <c r="Z270" s="1"/>
      <c r="AA270" s="1"/>
      <c r="AB270" s="1"/>
      <c r="AC270" s="1"/>
    </row>
    <row r="271" spans="2:29" ht="30" customHeight="1" thickBot="1" x14ac:dyDescent="0.25">
      <c r="B271" s="50"/>
      <c r="C271" s="49"/>
      <c r="D271" s="49"/>
      <c r="E271" s="49"/>
      <c r="K271" s="1"/>
      <c r="L271" s="1"/>
      <c r="M271" s="1"/>
      <c r="N271" s="1"/>
      <c r="O271" s="1"/>
      <c r="P271" s="1"/>
      <c r="Q271" s="1"/>
      <c r="R271" s="1"/>
      <c r="S271" s="1"/>
      <c r="T271" s="1"/>
      <c r="U271" s="1"/>
      <c r="V271" s="1"/>
      <c r="W271" s="1"/>
      <c r="X271" s="1"/>
      <c r="Y271" s="1"/>
      <c r="Z271" s="1"/>
      <c r="AA271" s="1"/>
      <c r="AB271" s="1"/>
      <c r="AC271" s="1"/>
    </row>
    <row r="272" spans="2:29" ht="30" customHeight="1" thickBot="1" x14ac:dyDescent="0.25">
      <c r="B272" s="98" t="s">
        <v>26</v>
      </c>
      <c r="C272" s="99"/>
      <c r="D272" s="99"/>
      <c r="E272" s="100"/>
      <c r="K272" s="15"/>
      <c r="L272" s="1"/>
      <c r="M272" s="1"/>
      <c r="N272" s="1"/>
      <c r="O272" s="1"/>
      <c r="P272" s="1"/>
      <c r="Q272" s="1"/>
      <c r="R272" s="1"/>
      <c r="S272" s="1"/>
      <c r="T272" s="1"/>
      <c r="U272" s="1"/>
      <c r="V272" s="1"/>
      <c r="W272" s="1"/>
      <c r="X272" s="1"/>
      <c r="Y272" s="1"/>
      <c r="Z272" s="1"/>
      <c r="AA272" s="1"/>
      <c r="AB272" s="1"/>
      <c r="AC272" s="1"/>
    </row>
    <row r="273" spans="2:29" ht="30" customHeight="1" x14ac:dyDescent="0.2">
      <c r="B273" s="36" t="s">
        <v>9</v>
      </c>
      <c r="C273" s="9"/>
      <c r="D273" s="9"/>
      <c r="E273" s="37"/>
      <c r="L273" s="1"/>
      <c r="M273" s="1"/>
      <c r="N273" s="1"/>
      <c r="O273" s="1"/>
      <c r="P273" s="1"/>
      <c r="Q273" s="1"/>
      <c r="R273" s="1"/>
      <c r="S273" s="1"/>
      <c r="T273" s="1"/>
      <c r="U273" s="1"/>
      <c r="V273" s="1"/>
      <c r="W273" s="1"/>
      <c r="X273" s="1"/>
      <c r="Y273" s="1"/>
      <c r="Z273" s="1"/>
      <c r="AA273" s="1"/>
      <c r="AB273" s="1"/>
      <c r="AC273" s="1"/>
    </row>
    <row r="274" spans="2:29" s="60" customFormat="1" ht="30" customHeight="1" x14ac:dyDescent="0.2">
      <c r="B274" s="36"/>
      <c r="C274" s="101" t="s">
        <v>61</v>
      </c>
      <c r="D274" s="102"/>
      <c r="E274" s="103"/>
      <c r="L274" s="1"/>
      <c r="M274" s="1"/>
      <c r="N274" s="1"/>
      <c r="O274" s="1"/>
      <c r="P274" s="1"/>
      <c r="Q274" s="1"/>
      <c r="R274" s="1"/>
      <c r="S274" s="1"/>
      <c r="T274" s="1"/>
      <c r="U274" s="1"/>
      <c r="V274" s="1"/>
      <c r="W274" s="1"/>
      <c r="X274" s="1"/>
      <c r="Y274" s="1"/>
      <c r="Z274" s="1"/>
      <c r="AA274" s="1"/>
      <c r="AB274" s="1"/>
      <c r="AC274" s="1"/>
    </row>
    <row r="275" spans="2:29" s="60" customFormat="1" ht="30" customHeight="1" x14ac:dyDescent="0.2">
      <c r="B275" s="36" t="s">
        <v>10</v>
      </c>
      <c r="C275" s="9"/>
      <c r="D275" s="9"/>
      <c r="E275" s="37"/>
      <c r="L275" s="1"/>
      <c r="M275" s="1"/>
      <c r="N275" s="1"/>
      <c r="O275" s="1"/>
      <c r="P275" s="1"/>
      <c r="Q275" s="1"/>
      <c r="R275" s="1"/>
      <c r="S275" s="1"/>
      <c r="T275" s="1"/>
      <c r="U275" s="1"/>
      <c r="V275" s="1"/>
      <c r="W275" s="1"/>
      <c r="X275" s="1"/>
      <c r="Y275" s="1"/>
      <c r="Z275" s="1"/>
      <c r="AA275" s="1"/>
      <c r="AB275" s="1"/>
      <c r="AC275" s="1"/>
    </row>
    <row r="276" spans="2:29" s="60" customFormat="1" ht="53.25" customHeight="1" x14ac:dyDescent="0.2">
      <c r="B276" s="38"/>
      <c r="C276" s="101" t="s">
        <v>70</v>
      </c>
      <c r="D276" s="102"/>
      <c r="E276" s="103"/>
      <c r="L276" s="1"/>
      <c r="M276" s="1"/>
      <c r="N276" s="1"/>
      <c r="O276" s="1"/>
      <c r="P276" s="1"/>
      <c r="Q276" s="1"/>
      <c r="R276" s="1"/>
      <c r="S276" s="1"/>
      <c r="T276" s="1"/>
      <c r="U276" s="1"/>
      <c r="V276" s="1"/>
      <c r="W276" s="1"/>
      <c r="X276" s="1"/>
      <c r="Y276" s="1"/>
      <c r="Z276" s="1"/>
      <c r="AA276" s="1"/>
      <c r="AB276" s="1"/>
      <c r="AC276" s="1"/>
    </row>
    <row r="277" spans="2:29" s="60" customFormat="1" ht="30" customHeight="1" x14ac:dyDescent="0.2">
      <c r="B277" s="36" t="s">
        <v>11</v>
      </c>
      <c r="C277" s="39"/>
      <c r="D277" s="39"/>
      <c r="E277" s="40"/>
      <c r="L277" s="1"/>
      <c r="M277" s="1"/>
      <c r="N277" s="1"/>
      <c r="O277" s="1"/>
      <c r="P277" s="1"/>
      <c r="Q277" s="1"/>
      <c r="R277" s="1"/>
      <c r="S277" s="1"/>
      <c r="T277" s="1"/>
      <c r="U277" s="1"/>
      <c r="V277" s="1"/>
      <c r="W277" s="1"/>
      <c r="X277" s="1"/>
      <c r="Y277" s="1"/>
      <c r="Z277" s="1"/>
      <c r="AA277" s="1"/>
      <c r="AB277" s="1"/>
      <c r="AC277" s="1"/>
    </row>
    <row r="278" spans="2:29" s="60" customFormat="1" ht="22.5" customHeight="1" x14ac:dyDescent="0.2">
      <c r="B278" s="38"/>
      <c r="C278" s="112"/>
      <c r="D278" s="111"/>
      <c r="E278" s="113"/>
      <c r="L278" s="1"/>
      <c r="M278" s="1"/>
      <c r="N278" s="1"/>
      <c r="O278" s="1"/>
      <c r="P278" s="1"/>
      <c r="Q278" s="1"/>
      <c r="R278" s="1"/>
      <c r="S278" s="1"/>
      <c r="T278" s="1"/>
      <c r="U278" s="1"/>
      <c r="V278" s="1"/>
      <c r="W278" s="1"/>
      <c r="X278" s="1"/>
      <c r="Y278" s="1"/>
      <c r="Z278" s="1"/>
      <c r="AA278" s="1"/>
      <c r="AB278" s="1"/>
      <c r="AC278" s="1"/>
    </row>
    <row r="279" spans="2:29" s="60" customFormat="1" ht="31.5" customHeight="1" x14ac:dyDescent="0.2">
      <c r="B279" s="36" t="s">
        <v>12</v>
      </c>
      <c r="C279" s="41"/>
      <c r="D279" s="41"/>
      <c r="E279" s="42"/>
      <c r="L279" s="1"/>
      <c r="M279" s="1"/>
      <c r="N279" s="1"/>
      <c r="O279" s="1"/>
      <c r="P279" s="1"/>
      <c r="Q279" s="1"/>
      <c r="R279" s="1"/>
      <c r="S279" s="1"/>
      <c r="T279" s="1"/>
      <c r="U279" s="1"/>
      <c r="V279" s="1"/>
      <c r="W279" s="1"/>
      <c r="X279" s="1"/>
      <c r="Y279" s="1"/>
      <c r="Z279" s="1"/>
      <c r="AA279" s="1"/>
      <c r="AB279" s="1"/>
      <c r="AC279" s="1"/>
    </row>
    <row r="280" spans="2:29" s="60" customFormat="1" ht="30" customHeight="1" x14ac:dyDescent="0.2">
      <c r="B280" s="38"/>
      <c r="C280" s="101" t="s">
        <v>58</v>
      </c>
      <c r="D280" s="114"/>
      <c r="E280" s="115"/>
      <c r="L280" s="1"/>
      <c r="M280" s="1"/>
      <c r="N280" s="1"/>
      <c r="O280" s="1"/>
      <c r="P280" s="1"/>
      <c r="Q280" s="1"/>
      <c r="R280" s="1"/>
      <c r="S280" s="1"/>
      <c r="T280" s="1"/>
      <c r="U280" s="1"/>
      <c r="V280" s="1"/>
      <c r="W280" s="1"/>
      <c r="X280" s="1"/>
      <c r="Y280" s="1"/>
      <c r="Z280" s="1"/>
      <c r="AA280" s="1"/>
      <c r="AB280" s="1"/>
      <c r="AC280" s="1"/>
    </row>
    <row r="281" spans="2:29" s="60" customFormat="1" ht="12.75" customHeight="1" x14ac:dyDescent="0.2">
      <c r="B281" s="36" t="s">
        <v>13</v>
      </c>
      <c r="C281" s="39"/>
      <c r="D281" s="39"/>
      <c r="E281" s="40"/>
      <c r="L281" s="1"/>
      <c r="M281" s="1"/>
      <c r="N281" s="1"/>
      <c r="O281" s="1"/>
      <c r="P281" s="1"/>
      <c r="Q281" s="1"/>
      <c r="R281" s="1"/>
      <c r="S281" s="1"/>
      <c r="T281" s="1"/>
      <c r="U281" s="1"/>
      <c r="V281" s="1"/>
      <c r="W281" s="1"/>
      <c r="X281" s="1"/>
      <c r="Y281" s="1"/>
      <c r="Z281" s="1"/>
      <c r="AA281" s="1"/>
      <c r="AB281" s="1"/>
      <c r="AC281" s="1"/>
    </row>
    <row r="282" spans="2:29" s="60" customFormat="1" ht="30" customHeight="1" x14ac:dyDescent="0.2">
      <c r="B282" s="36"/>
      <c r="C282" s="116" t="s">
        <v>20</v>
      </c>
      <c r="D282" s="114"/>
      <c r="E282" s="115"/>
      <c r="L282" s="1"/>
      <c r="M282" s="1"/>
      <c r="N282" s="1"/>
      <c r="O282" s="1"/>
      <c r="P282" s="1"/>
      <c r="Q282" s="1"/>
      <c r="R282" s="1"/>
      <c r="S282" s="1"/>
      <c r="T282" s="1"/>
      <c r="U282" s="1"/>
      <c r="V282" s="1"/>
      <c r="W282" s="1"/>
      <c r="X282" s="1"/>
      <c r="Y282" s="1"/>
      <c r="Z282" s="1"/>
      <c r="AA282" s="1"/>
      <c r="AB282" s="1"/>
      <c r="AC282" s="1"/>
    </row>
    <row r="283" spans="2:29" s="60" customFormat="1" ht="30" customHeight="1" thickBot="1" x14ac:dyDescent="0.25">
      <c r="B283" s="43"/>
      <c r="C283" s="44"/>
      <c r="D283" s="44"/>
      <c r="E283" s="45"/>
      <c r="L283" s="1"/>
      <c r="M283" s="1"/>
      <c r="N283" s="1"/>
      <c r="O283" s="1"/>
      <c r="P283" s="1"/>
      <c r="Q283" s="1"/>
      <c r="R283" s="1"/>
      <c r="S283" s="1"/>
      <c r="T283" s="1"/>
      <c r="U283" s="1"/>
      <c r="V283" s="1"/>
      <c r="W283" s="1"/>
      <c r="X283" s="1"/>
      <c r="Y283" s="1"/>
      <c r="Z283" s="1"/>
      <c r="AA283" s="1"/>
      <c r="AB283" s="1"/>
      <c r="AC283" s="1"/>
    </row>
    <row r="284" spans="2:29" s="60" customFormat="1" ht="30" customHeight="1" thickBot="1" x14ac:dyDescent="0.25">
      <c r="L284" s="1"/>
      <c r="M284" s="1"/>
      <c r="N284" s="1"/>
      <c r="O284" s="1"/>
      <c r="P284" s="1"/>
      <c r="Q284" s="1"/>
      <c r="R284" s="1"/>
      <c r="S284" s="1"/>
      <c r="T284" s="1"/>
      <c r="U284" s="1"/>
      <c r="V284" s="1"/>
      <c r="W284" s="1"/>
      <c r="X284" s="1"/>
      <c r="Y284" s="1"/>
      <c r="Z284" s="1"/>
      <c r="AA284" s="1"/>
      <c r="AB284" s="1"/>
      <c r="AC284" s="1"/>
    </row>
    <row r="285" spans="2:29" s="60" customFormat="1" ht="30" customHeight="1" thickBot="1" x14ac:dyDescent="0.25">
      <c r="B285" s="98" t="s">
        <v>27</v>
      </c>
      <c r="C285" s="117"/>
      <c r="D285" s="117"/>
      <c r="E285" s="118"/>
      <c r="L285" s="1"/>
      <c r="M285" s="1"/>
      <c r="N285" s="1"/>
      <c r="O285" s="1"/>
      <c r="P285" s="1"/>
      <c r="Q285" s="1"/>
      <c r="R285" s="1"/>
      <c r="S285" s="1"/>
      <c r="T285" s="1"/>
      <c r="U285" s="1"/>
      <c r="V285" s="1"/>
      <c r="W285" s="1"/>
      <c r="X285" s="1"/>
      <c r="Y285" s="1"/>
      <c r="Z285" s="1"/>
      <c r="AA285" s="1"/>
      <c r="AB285" s="1"/>
      <c r="AC285" s="1"/>
    </row>
    <row r="286" spans="2:29" s="60" customFormat="1" ht="9" customHeight="1" x14ac:dyDescent="0.2">
      <c r="B286" s="36" t="s">
        <v>9</v>
      </c>
      <c r="C286" s="9"/>
      <c r="D286" s="9"/>
      <c r="E286" s="37"/>
      <c r="L286" s="1"/>
      <c r="M286" s="1"/>
      <c r="N286" s="1"/>
      <c r="O286" s="1"/>
      <c r="P286" s="1"/>
      <c r="Q286" s="1"/>
      <c r="R286" s="1"/>
      <c r="S286" s="1"/>
      <c r="T286" s="1"/>
      <c r="U286" s="1"/>
      <c r="V286" s="1"/>
      <c r="W286" s="1"/>
      <c r="X286" s="1"/>
      <c r="Y286" s="1"/>
      <c r="Z286" s="1"/>
      <c r="AA286" s="1"/>
      <c r="AB286" s="1"/>
      <c r="AC286" s="1"/>
    </row>
    <row r="287" spans="2:29" s="60" customFormat="1" ht="30" customHeight="1" x14ac:dyDescent="0.2">
      <c r="B287" s="36"/>
      <c r="C287" s="101" t="s">
        <v>73</v>
      </c>
      <c r="D287" s="101"/>
      <c r="E287" s="119"/>
      <c r="H287" s="1"/>
      <c r="I287" s="1"/>
      <c r="J287" s="1"/>
      <c r="K287" s="1"/>
      <c r="L287" s="1"/>
      <c r="M287" s="1"/>
      <c r="N287" s="1"/>
      <c r="O287" s="1"/>
      <c r="P287" s="1"/>
      <c r="Q287" s="1"/>
      <c r="R287" s="1"/>
      <c r="S287" s="1"/>
      <c r="T287" s="1"/>
      <c r="U287" s="1"/>
      <c r="V287" s="1"/>
      <c r="W287" s="1"/>
      <c r="X287" s="1"/>
      <c r="Y287" s="1"/>
    </row>
    <row r="288" spans="2:29" ht="30" customHeight="1" x14ac:dyDescent="0.2">
      <c r="B288" s="36" t="s">
        <v>10</v>
      </c>
      <c r="C288" s="9"/>
      <c r="D288" s="9"/>
      <c r="E288" s="37"/>
      <c r="K288" s="15"/>
      <c r="L288" s="15"/>
      <c r="M288" s="15"/>
      <c r="N288" s="1"/>
      <c r="O288" s="1"/>
      <c r="P288" s="1"/>
      <c r="Q288" s="1"/>
      <c r="R288" s="1"/>
      <c r="S288" s="1"/>
      <c r="T288" s="1"/>
      <c r="U288" s="1"/>
      <c r="V288" s="1"/>
      <c r="W288" s="1"/>
      <c r="X288" s="1"/>
      <c r="Y288" s="1"/>
      <c r="Z288" s="1"/>
      <c r="AA288" s="1"/>
      <c r="AB288" s="1"/>
      <c r="AC288" s="1"/>
    </row>
    <row r="289" spans="2:29" ht="72" customHeight="1" x14ac:dyDescent="0.2">
      <c r="B289" s="38"/>
      <c r="C289" s="101" t="s">
        <v>70</v>
      </c>
      <c r="D289" s="101"/>
      <c r="E289" s="119"/>
      <c r="L289" s="15"/>
      <c r="M289" s="15"/>
      <c r="N289" s="1"/>
      <c r="O289" s="1"/>
      <c r="P289" s="1"/>
      <c r="Q289" s="1"/>
      <c r="R289" s="1"/>
      <c r="S289" s="1"/>
      <c r="T289" s="1"/>
      <c r="U289" s="1"/>
      <c r="V289" s="1"/>
      <c r="W289" s="1"/>
      <c r="X289" s="1"/>
      <c r="Y289" s="1"/>
      <c r="Z289" s="1"/>
      <c r="AA289" s="1"/>
      <c r="AB289" s="1"/>
      <c r="AC289" s="1"/>
    </row>
    <row r="290" spans="2:29" ht="30" customHeight="1" x14ac:dyDescent="0.2">
      <c r="B290" s="36" t="s">
        <v>11</v>
      </c>
      <c r="C290" s="39"/>
      <c r="D290" s="39"/>
      <c r="E290" s="40"/>
      <c r="K290" s="1"/>
      <c r="L290" s="1"/>
      <c r="M290" s="1"/>
      <c r="N290" s="1"/>
      <c r="O290" s="1"/>
      <c r="P290" s="1"/>
      <c r="Q290" s="1"/>
      <c r="R290" s="1"/>
      <c r="S290" s="1"/>
      <c r="T290" s="1"/>
      <c r="U290" s="1"/>
      <c r="V290" s="1"/>
      <c r="W290" s="1"/>
      <c r="X290" s="1"/>
      <c r="Y290" s="1"/>
      <c r="Z290" s="1"/>
      <c r="AA290" s="1"/>
      <c r="AB290" s="1"/>
      <c r="AC290" s="1"/>
    </row>
    <row r="291" spans="2:29" ht="30" customHeight="1" x14ac:dyDescent="0.2">
      <c r="B291" s="38"/>
      <c r="C291" s="120"/>
      <c r="D291" s="120"/>
      <c r="E291" s="121"/>
      <c r="K291" s="15"/>
      <c r="L291" s="1"/>
      <c r="M291" s="1"/>
      <c r="N291" s="1"/>
      <c r="O291" s="1"/>
      <c r="P291" s="1"/>
      <c r="Q291" s="1"/>
      <c r="R291" s="1"/>
      <c r="S291" s="1"/>
      <c r="T291" s="1"/>
      <c r="U291" s="1"/>
      <c r="V291" s="1"/>
      <c r="W291" s="1"/>
      <c r="X291" s="1"/>
      <c r="Y291" s="1"/>
      <c r="Z291" s="1"/>
      <c r="AA291" s="1"/>
      <c r="AB291" s="1"/>
      <c r="AC291" s="1"/>
    </row>
    <row r="292" spans="2:29" ht="73.5" customHeight="1" x14ac:dyDescent="0.2">
      <c r="B292" s="36" t="s">
        <v>12</v>
      </c>
      <c r="C292" s="41"/>
      <c r="D292" s="41"/>
      <c r="E292" s="42"/>
      <c r="K292" s="15"/>
      <c r="L292" s="15"/>
      <c r="M292" s="15"/>
      <c r="N292" s="1"/>
      <c r="O292" s="1"/>
      <c r="P292" s="1"/>
      <c r="Q292" s="1"/>
      <c r="R292" s="1"/>
      <c r="S292" s="1"/>
      <c r="T292" s="1"/>
      <c r="U292" s="1"/>
      <c r="V292" s="1"/>
      <c r="W292" s="1"/>
      <c r="X292" s="1"/>
      <c r="Y292" s="1"/>
      <c r="Z292" s="1"/>
      <c r="AA292" s="1"/>
      <c r="AB292" s="1"/>
      <c r="AC292" s="1"/>
    </row>
    <row r="293" spans="2:29" ht="30" customHeight="1" x14ac:dyDescent="0.2">
      <c r="B293" s="38"/>
      <c r="C293" s="101" t="s">
        <v>58</v>
      </c>
      <c r="D293" s="101"/>
      <c r="E293" s="119"/>
      <c r="L293" s="1"/>
      <c r="M293" s="1"/>
      <c r="N293" s="1"/>
      <c r="O293" s="1"/>
      <c r="P293" s="1"/>
      <c r="Q293" s="1"/>
      <c r="R293" s="1"/>
      <c r="S293" s="1"/>
      <c r="T293" s="1"/>
      <c r="U293" s="1"/>
      <c r="V293" s="1"/>
      <c r="W293" s="1"/>
      <c r="X293" s="1"/>
      <c r="Y293" s="1"/>
      <c r="Z293" s="1"/>
      <c r="AA293" s="1"/>
      <c r="AB293" s="1"/>
      <c r="AC293" s="1"/>
    </row>
    <row r="294" spans="2:29" ht="15" customHeight="1" x14ac:dyDescent="0.2">
      <c r="B294" s="36" t="s">
        <v>13</v>
      </c>
      <c r="C294" s="39"/>
      <c r="D294" s="39"/>
      <c r="E294" s="40"/>
      <c r="K294" s="1"/>
      <c r="L294" s="1"/>
      <c r="M294" s="1"/>
      <c r="N294" s="1"/>
      <c r="O294" s="1"/>
      <c r="P294" s="1"/>
      <c r="Q294" s="1"/>
      <c r="R294" s="1"/>
      <c r="S294" s="1"/>
      <c r="T294" s="1"/>
      <c r="U294" s="1"/>
      <c r="V294" s="1"/>
      <c r="W294" s="1"/>
      <c r="X294" s="1"/>
      <c r="Y294" s="1"/>
      <c r="Z294" s="1"/>
      <c r="AA294" s="1"/>
      <c r="AB294" s="1"/>
      <c r="AC294" s="1"/>
    </row>
    <row r="295" spans="2:29" ht="28.5" customHeight="1" x14ac:dyDescent="0.2">
      <c r="B295" s="36"/>
      <c r="C295" s="116" t="s">
        <v>20</v>
      </c>
      <c r="D295" s="116"/>
      <c r="E295" s="122"/>
      <c r="K295" s="15"/>
      <c r="L295" s="15"/>
      <c r="M295" s="15"/>
      <c r="N295" s="1"/>
      <c r="O295" s="1"/>
      <c r="P295" s="1"/>
      <c r="Q295" s="1"/>
      <c r="R295" s="1"/>
      <c r="S295" s="1"/>
      <c r="T295" s="1"/>
      <c r="U295" s="1"/>
      <c r="V295" s="1"/>
      <c r="W295" s="1"/>
      <c r="X295" s="1"/>
      <c r="Y295" s="1"/>
      <c r="Z295" s="1"/>
      <c r="AA295" s="1"/>
      <c r="AB295" s="1"/>
      <c r="AC295" s="1"/>
    </row>
    <row r="296" spans="2:29" ht="30" customHeight="1" thickBot="1" x14ac:dyDescent="0.25">
      <c r="B296" s="43"/>
      <c r="C296" s="44"/>
      <c r="D296" s="44"/>
      <c r="E296" s="45"/>
      <c r="K296" s="15"/>
      <c r="L296" s="1"/>
      <c r="M296" s="1"/>
      <c r="N296" s="1"/>
      <c r="O296" s="1"/>
      <c r="P296" s="1"/>
      <c r="Q296" s="1"/>
      <c r="R296" s="1"/>
      <c r="S296" s="1"/>
      <c r="T296" s="1"/>
      <c r="U296" s="1"/>
      <c r="V296" s="1"/>
      <c r="W296" s="1"/>
      <c r="X296" s="1"/>
      <c r="Y296" s="1"/>
      <c r="Z296" s="1"/>
      <c r="AA296" s="1"/>
      <c r="AB296" s="1"/>
      <c r="AC296" s="1"/>
    </row>
    <row r="297" spans="2:29" ht="30" customHeight="1" thickBot="1" x14ac:dyDescent="0.25">
      <c r="B297" s="60"/>
      <c r="C297" s="60"/>
      <c r="D297" s="60"/>
      <c r="E297" s="60"/>
      <c r="K297" s="15"/>
      <c r="L297" s="1"/>
      <c r="M297" s="1"/>
      <c r="N297" s="1"/>
      <c r="O297" s="1"/>
      <c r="P297" s="1"/>
      <c r="Q297" s="1"/>
      <c r="R297" s="1"/>
      <c r="S297" s="1"/>
      <c r="T297" s="1"/>
      <c r="U297" s="1"/>
      <c r="V297" s="1"/>
      <c r="W297" s="1"/>
      <c r="X297" s="1"/>
      <c r="Y297" s="1"/>
      <c r="Z297" s="1"/>
      <c r="AA297" s="1"/>
      <c r="AB297" s="1"/>
      <c r="AC297" s="1"/>
    </row>
    <row r="298" spans="2:29" ht="30" customHeight="1" thickBot="1" x14ac:dyDescent="0.25">
      <c r="B298" s="98" t="s">
        <v>28</v>
      </c>
      <c r="C298" s="99"/>
      <c r="D298" s="99"/>
      <c r="E298" s="100"/>
      <c r="K298" s="15"/>
      <c r="L298" s="15"/>
      <c r="M298" s="15"/>
      <c r="N298" s="1"/>
      <c r="O298" s="1"/>
      <c r="P298" s="1"/>
      <c r="Q298" s="1"/>
      <c r="R298" s="1"/>
      <c r="S298" s="1"/>
      <c r="T298" s="1"/>
      <c r="U298" s="1"/>
      <c r="V298" s="1"/>
      <c r="W298" s="1"/>
      <c r="X298" s="1"/>
      <c r="Y298" s="1"/>
      <c r="Z298" s="1"/>
      <c r="AA298" s="1"/>
      <c r="AB298" s="1"/>
      <c r="AC298" s="1"/>
    </row>
    <row r="299" spans="2:29" ht="30" customHeight="1" x14ac:dyDescent="0.2">
      <c r="B299" s="36" t="s">
        <v>9</v>
      </c>
      <c r="C299" s="9"/>
      <c r="D299" s="9"/>
      <c r="E299" s="37"/>
      <c r="L299" s="15"/>
      <c r="M299" s="15"/>
      <c r="N299" s="1"/>
      <c r="O299" s="1"/>
      <c r="P299" s="1"/>
      <c r="Q299" s="1"/>
      <c r="R299" s="1"/>
      <c r="S299" s="1"/>
      <c r="T299" s="1"/>
      <c r="U299" s="1"/>
      <c r="V299" s="1"/>
      <c r="W299" s="1"/>
      <c r="X299" s="1"/>
      <c r="Y299" s="1"/>
      <c r="Z299" s="1"/>
      <c r="AA299" s="1"/>
      <c r="AB299" s="1"/>
      <c r="AC299" s="1"/>
    </row>
    <row r="300" spans="2:29" ht="30" customHeight="1" x14ac:dyDescent="0.2">
      <c r="B300" s="36"/>
      <c r="C300" s="101" t="s">
        <v>62</v>
      </c>
      <c r="D300" s="102"/>
      <c r="E300" s="103"/>
      <c r="K300" s="1"/>
      <c r="L300" s="1"/>
      <c r="M300" s="1"/>
      <c r="N300" s="1"/>
      <c r="O300" s="1"/>
      <c r="P300" s="1"/>
      <c r="Q300" s="1"/>
      <c r="R300" s="1"/>
      <c r="S300" s="1"/>
      <c r="T300" s="1"/>
      <c r="U300" s="1"/>
      <c r="V300" s="1"/>
      <c r="W300" s="1"/>
      <c r="X300" s="1"/>
      <c r="Y300" s="1"/>
      <c r="Z300" s="1"/>
      <c r="AA300" s="1"/>
      <c r="AB300" s="1"/>
      <c r="AC300" s="1"/>
    </row>
    <row r="301" spans="2:29" ht="30" customHeight="1" x14ac:dyDescent="0.2">
      <c r="B301" s="36" t="s">
        <v>10</v>
      </c>
      <c r="C301" s="9"/>
      <c r="D301" s="9"/>
      <c r="E301" s="37"/>
      <c r="K301" s="15"/>
      <c r="L301" s="1"/>
      <c r="M301" s="1"/>
      <c r="N301" s="1"/>
      <c r="O301" s="1"/>
      <c r="P301" s="1"/>
      <c r="Q301" s="1"/>
      <c r="R301" s="1"/>
      <c r="S301" s="1"/>
      <c r="T301" s="1"/>
      <c r="U301" s="1"/>
      <c r="V301" s="1"/>
      <c r="W301" s="1"/>
      <c r="X301" s="1"/>
      <c r="Y301" s="1"/>
      <c r="Z301" s="1"/>
      <c r="AA301" s="1"/>
      <c r="AB301" s="1"/>
      <c r="AC301" s="1"/>
    </row>
    <row r="302" spans="2:29" ht="30" customHeight="1" x14ac:dyDescent="0.2">
      <c r="B302" s="38"/>
      <c r="C302" s="101" t="s">
        <v>70</v>
      </c>
      <c r="D302" s="102"/>
      <c r="E302" s="103"/>
      <c r="K302" s="15"/>
      <c r="L302" s="15"/>
      <c r="M302" s="15"/>
      <c r="N302" s="1"/>
      <c r="O302" s="1"/>
      <c r="P302" s="1"/>
      <c r="Q302" s="1"/>
      <c r="R302" s="1"/>
      <c r="S302" s="1"/>
      <c r="T302" s="1"/>
      <c r="U302" s="1"/>
      <c r="V302" s="1"/>
      <c r="W302" s="1"/>
      <c r="X302" s="1"/>
      <c r="Y302" s="1"/>
      <c r="Z302" s="1"/>
      <c r="AA302" s="1"/>
      <c r="AB302" s="1"/>
      <c r="AC302" s="1"/>
    </row>
    <row r="303" spans="2:29" ht="30" customHeight="1" x14ac:dyDescent="0.2">
      <c r="B303" s="36" t="s">
        <v>11</v>
      </c>
      <c r="C303" s="39"/>
      <c r="D303" s="39"/>
      <c r="E303" s="40"/>
      <c r="K303" s="15"/>
      <c r="L303" s="15"/>
      <c r="M303" s="15"/>
      <c r="N303" s="1"/>
      <c r="O303" s="1"/>
      <c r="P303" s="1"/>
      <c r="Q303" s="1"/>
      <c r="R303" s="1"/>
      <c r="S303" s="1"/>
      <c r="T303" s="1"/>
      <c r="U303" s="1"/>
      <c r="V303" s="1"/>
      <c r="W303" s="1"/>
      <c r="X303" s="1"/>
      <c r="Y303" s="1"/>
      <c r="Z303" s="1"/>
      <c r="AA303" s="1"/>
      <c r="AB303" s="1"/>
      <c r="AC303" s="1"/>
    </row>
    <row r="304" spans="2:29" ht="30" customHeight="1" x14ac:dyDescent="0.2">
      <c r="B304" s="38"/>
      <c r="C304" s="112"/>
      <c r="D304" s="111"/>
      <c r="E304" s="113"/>
      <c r="L304" s="15"/>
      <c r="M304" s="15"/>
      <c r="N304" s="1"/>
      <c r="O304" s="1"/>
      <c r="P304" s="1"/>
      <c r="Q304" s="1"/>
      <c r="R304" s="1"/>
      <c r="S304" s="1"/>
      <c r="T304" s="1"/>
      <c r="U304" s="1"/>
      <c r="V304" s="1"/>
      <c r="W304" s="1"/>
      <c r="X304" s="1"/>
      <c r="Y304" s="1"/>
      <c r="Z304" s="1"/>
      <c r="AA304" s="1"/>
      <c r="AB304" s="1"/>
      <c r="AC304" s="1"/>
    </row>
    <row r="305" spans="2:29" ht="61.5" customHeight="1" x14ac:dyDescent="0.2">
      <c r="B305" s="36" t="s">
        <v>12</v>
      </c>
      <c r="C305" s="41"/>
      <c r="D305" s="41"/>
      <c r="E305" s="42"/>
      <c r="K305" s="15"/>
      <c r="L305" s="15"/>
      <c r="M305" s="15"/>
      <c r="N305" s="1"/>
      <c r="O305" s="1"/>
      <c r="P305" s="1"/>
      <c r="Q305" s="1"/>
      <c r="R305" s="1"/>
      <c r="S305" s="1"/>
      <c r="T305" s="1"/>
      <c r="U305" s="1"/>
      <c r="V305" s="1"/>
      <c r="W305" s="1"/>
      <c r="X305" s="1"/>
      <c r="Y305" s="1"/>
      <c r="Z305" s="1"/>
      <c r="AA305" s="1"/>
      <c r="AB305" s="1"/>
      <c r="AC305" s="1"/>
    </row>
    <row r="306" spans="2:29" ht="30" customHeight="1" x14ac:dyDescent="0.2">
      <c r="B306" s="38"/>
      <c r="C306" s="101" t="s">
        <v>58</v>
      </c>
      <c r="D306" s="114"/>
      <c r="E306" s="115"/>
      <c r="K306" s="15"/>
      <c r="L306" s="15"/>
      <c r="M306" s="15"/>
      <c r="N306" s="1"/>
      <c r="O306" s="1"/>
      <c r="P306" s="1"/>
      <c r="Q306" s="1"/>
      <c r="R306" s="1"/>
      <c r="S306" s="1"/>
      <c r="T306" s="1"/>
      <c r="U306" s="1"/>
      <c r="V306" s="1"/>
      <c r="W306" s="1"/>
      <c r="X306" s="1"/>
      <c r="Y306" s="1"/>
      <c r="Z306" s="1"/>
      <c r="AA306" s="1"/>
      <c r="AB306" s="1"/>
      <c r="AC306" s="1"/>
    </row>
    <row r="307" spans="2:29" ht="26.25" customHeight="1" x14ac:dyDescent="0.2">
      <c r="B307" s="36" t="s">
        <v>13</v>
      </c>
      <c r="C307" s="39"/>
      <c r="D307" s="39"/>
      <c r="E307" s="40"/>
      <c r="K307" s="15"/>
      <c r="L307" s="1"/>
      <c r="M307" s="1"/>
      <c r="N307" s="1"/>
      <c r="O307" s="1"/>
      <c r="P307" s="1"/>
      <c r="Q307" s="1"/>
      <c r="R307" s="1"/>
      <c r="S307" s="1"/>
      <c r="T307" s="1"/>
      <c r="U307" s="1"/>
      <c r="V307" s="1"/>
      <c r="W307" s="1"/>
      <c r="X307" s="1"/>
      <c r="Y307" s="1"/>
      <c r="Z307" s="1"/>
      <c r="AA307" s="1"/>
      <c r="AB307" s="1"/>
      <c r="AC307" s="1"/>
    </row>
    <row r="308" spans="2:29" ht="30" customHeight="1" x14ac:dyDescent="0.2">
      <c r="B308" s="36"/>
      <c r="C308" s="116" t="s">
        <v>20</v>
      </c>
      <c r="D308" s="114"/>
      <c r="E308" s="115"/>
      <c r="K308" s="15"/>
      <c r="L308" s="15"/>
      <c r="M308" s="15"/>
      <c r="N308" s="1"/>
      <c r="O308" s="1"/>
      <c r="P308" s="1"/>
      <c r="Q308" s="1"/>
      <c r="R308" s="1"/>
      <c r="S308" s="1"/>
      <c r="T308" s="1"/>
      <c r="U308" s="1"/>
      <c r="V308" s="1"/>
      <c r="W308" s="1"/>
      <c r="X308" s="1"/>
      <c r="Y308" s="1"/>
      <c r="Z308" s="1"/>
      <c r="AA308" s="1"/>
      <c r="AB308" s="1"/>
      <c r="AC308" s="1"/>
    </row>
    <row r="309" spans="2:29" ht="41.25" customHeight="1" thickBot="1" x14ac:dyDescent="0.25">
      <c r="B309" s="43"/>
      <c r="C309" s="44"/>
      <c r="D309" s="44"/>
      <c r="E309" s="45"/>
      <c r="K309" s="15"/>
      <c r="L309" s="15"/>
      <c r="M309" s="15"/>
      <c r="N309" s="1"/>
      <c r="O309" s="1"/>
      <c r="P309" s="1"/>
      <c r="Q309" s="1"/>
      <c r="R309" s="1"/>
      <c r="S309" s="1"/>
      <c r="T309" s="1"/>
      <c r="U309" s="1"/>
      <c r="V309" s="1"/>
      <c r="W309" s="1"/>
      <c r="X309" s="1"/>
      <c r="Y309" s="1"/>
      <c r="Z309" s="1"/>
      <c r="AA309" s="1"/>
      <c r="AB309" s="1"/>
      <c r="AC309" s="1"/>
    </row>
    <row r="310" spans="2:29" ht="30" customHeight="1" thickBot="1" x14ac:dyDescent="0.25">
      <c r="L310" s="15"/>
      <c r="M310" s="15"/>
      <c r="N310" s="1"/>
      <c r="O310" s="1"/>
      <c r="P310" s="1"/>
      <c r="Q310" s="1"/>
      <c r="R310" s="1"/>
      <c r="S310" s="1"/>
      <c r="T310" s="1"/>
      <c r="U310" s="1"/>
      <c r="V310" s="1"/>
      <c r="W310" s="1"/>
      <c r="X310" s="1"/>
      <c r="Y310" s="1"/>
      <c r="Z310" s="1"/>
      <c r="AA310" s="1"/>
      <c r="AB310" s="1"/>
      <c r="AC310" s="1"/>
    </row>
    <row r="311" spans="2:29" ht="30" customHeight="1" thickBot="1" x14ac:dyDescent="0.25">
      <c r="B311" s="98" t="s">
        <v>29</v>
      </c>
      <c r="C311" s="99"/>
      <c r="D311" s="99"/>
      <c r="E311" s="100"/>
      <c r="K311" s="15"/>
      <c r="L311" s="33"/>
      <c r="M311" s="33"/>
      <c r="N311" s="1"/>
      <c r="O311" s="1"/>
      <c r="P311" s="1"/>
      <c r="Q311" s="1"/>
      <c r="R311" s="1"/>
      <c r="S311" s="1"/>
      <c r="T311" s="1"/>
      <c r="U311" s="1"/>
      <c r="V311" s="1"/>
      <c r="W311" s="1"/>
      <c r="X311" s="1"/>
      <c r="Y311" s="1"/>
      <c r="Z311" s="1"/>
      <c r="AA311" s="1"/>
      <c r="AB311" s="1"/>
      <c r="AC311" s="1"/>
    </row>
    <row r="312" spans="2:29" ht="30" customHeight="1" x14ac:dyDescent="0.2">
      <c r="B312" s="36" t="s">
        <v>9</v>
      </c>
      <c r="C312" s="9"/>
      <c r="D312" s="9"/>
      <c r="E312" s="37"/>
      <c r="K312" s="15"/>
      <c r="L312" s="15"/>
      <c r="M312" s="15"/>
      <c r="N312" s="1"/>
      <c r="O312" s="1"/>
      <c r="P312" s="1"/>
      <c r="Q312" s="1"/>
      <c r="R312" s="1"/>
      <c r="S312" s="1"/>
      <c r="T312" s="1"/>
      <c r="U312" s="1"/>
      <c r="V312" s="1"/>
      <c r="W312" s="1"/>
      <c r="X312" s="1"/>
      <c r="Y312" s="1"/>
      <c r="Z312" s="1"/>
      <c r="AA312" s="1"/>
      <c r="AB312" s="1"/>
      <c r="AC312" s="1"/>
    </row>
    <row r="313" spans="2:29" ht="30" customHeight="1" x14ac:dyDescent="0.2">
      <c r="B313" s="36"/>
      <c r="C313" s="123" t="s">
        <v>63</v>
      </c>
      <c r="D313" s="124"/>
      <c r="E313" s="125"/>
      <c r="L313" s="15"/>
      <c r="M313" s="15"/>
      <c r="N313" s="1"/>
      <c r="O313" s="1"/>
      <c r="P313" s="1"/>
      <c r="Q313" s="1"/>
      <c r="R313" s="1"/>
      <c r="S313" s="1"/>
      <c r="T313" s="1"/>
      <c r="U313" s="1"/>
      <c r="V313" s="1"/>
      <c r="W313" s="1"/>
      <c r="X313" s="1"/>
      <c r="Y313" s="1"/>
      <c r="Z313" s="1"/>
      <c r="AA313" s="1"/>
      <c r="AB313" s="1"/>
      <c r="AC313" s="1"/>
    </row>
    <row r="314" spans="2:29" ht="30" customHeight="1" x14ac:dyDescent="0.2">
      <c r="B314" s="36" t="s">
        <v>10</v>
      </c>
      <c r="C314" s="9"/>
      <c r="D314" s="9"/>
      <c r="E314" s="37"/>
      <c r="K314" s="15"/>
      <c r="L314" s="15"/>
      <c r="M314" s="15"/>
      <c r="N314" s="1"/>
      <c r="O314" s="1"/>
      <c r="P314" s="1"/>
      <c r="Q314" s="1"/>
      <c r="R314" s="1"/>
      <c r="S314" s="1"/>
      <c r="T314" s="1"/>
      <c r="U314" s="1"/>
      <c r="V314" s="1"/>
      <c r="W314" s="1"/>
      <c r="X314" s="1"/>
      <c r="Y314" s="1"/>
      <c r="Z314" s="1"/>
      <c r="AA314" s="1"/>
      <c r="AB314" s="1"/>
      <c r="AC314" s="1"/>
    </row>
    <row r="315" spans="2:29" ht="30" customHeight="1" x14ac:dyDescent="0.2">
      <c r="B315" s="38"/>
      <c r="C315" s="101" t="s">
        <v>70</v>
      </c>
      <c r="D315" s="102"/>
      <c r="E315" s="103"/>
      <c r="K315" s="15"/>
      <c r="L315" s="15"/>
      <c r="M315" s="15"/>
      <c r="N315" s="1"/>
      <c r="O315" s="1"/>
      <c r="P315" s="1"/>
      <c r="Q315" s="1"/>
      <c r="R315" s="1"/>
      <c r="S315" s="1"/>
      <c r="T315" s="1"/>
      <c r="U315" s="1"/>
      <c r="V315" s="1"/>
      <c r="W315" s="1"/>
      <c r="X315" s="1"/>
      <c r="Y315" s="1"/>
      <c r="Z315" s="1"/>
      <c r="AA315" s="1"/>
      <c r="AB315" s="1"/>
      <c r="AC315" s="1"/>
    </row>
    <row r="316" spans="2:29" ht="22.5" customHeight="1" x14ac:dyDescent="0.2">
      <c r="B316" s="36" t="s">
        <v>11</v>
      </c>
      <c r="C316" s="39"/>
      <c r="D316" s="39"/>
      <c r="E316" s="40"/>
      <c r="K316" s="15"/>
      <c r="L316" s="15"/>
      <c r="M316" s="15"/>
      <c r="N316" s="1"/>
      <c r="O316" s="1"/>
      <c r="P316" s="1"/>
      <c r="Q316" s="1"/>
      <c r="R316" s="1"/>
      <c r="S316" s="1"/>
      <c r="T316" s="1"/>
      <c r="U316" s="1"/>
      <c r="V316" s="1"/>
      <c r="W316" s="1"/>
      <c r="X316" s="1"/>
      <c r="Y316" s="1"/>
      <c r="Z316" s="1"/>
      <c r="AA316" s="1"/>
      <c r="AB316" s="1"/>
      <c r="AC316" s="1"/>
    </row>
    <row r="317" spans="2:29" ht="30" customHeight="1" x14ac:dyDescent="0.2">
      <c r="B317" s="38"/>
      <c r="C317" s="112"/>
      <c r="D317" s="111"/>
      <c r="E317" s="113"/>
      <c r="L317" s="33"/>
      <c r="M317" s="33"/>
      <c r="N317" s="1"/>
      <c r="O317" s="1"/>
      <c r="P317" s="1"/>
      <c r="Q317" s="1"/>
      <c r="R317" s="1"/>
      <c r="S317" s="1"/>
      <c r="T317" s="1"/>
      <c r="U317" s="1"/>
      <c r="V317" s="1"/>
      <c r="W317" s="1"/>
      <c r="X317" s="1"/>
      <c r="Y317" s="1"/>
      <c r="Z317" s="1"/>
      <c r="AA317" s="1"/>
      <c r="AB317" s="1"/>
      <c r="AC317" s="1"/>
    </row>
    <row r="318" spans="2:29" ht="31.5" customHeight="1" x14ac:dyDescent="0.2">
      <c r="B318" s="36" t="s">
        <v>12</v>
      </c>
      <c r="C318" s="41"/>
      <c r="D318" s="41"/>
      <c r="E318" s="42"/>
      <c r="K318" s="15"/>
      <c r="L318" s="15"/>
      <c r="M318" s="15"/>
      <c r="N318" s="1"/>
      <c r="O318" s="1"/>
      <c r="P318" s="1"/>
      <c r="Q318" s="1"/>
      <c r="R318" s="1"/>
      <c r="S318" s="1"/>
      <c r="T318" s="1"/>
      <c r="U318" s="1"/>
      <c r="V318" s="1"/>
      <c r="W318" s="1"/>
      <c r="X318" s="1"/>
      <c r="Y318" s="1"/>
      <c r="Z318" s="1"/>
      <c r="AA318" s="1"/>
      <c r="AB318" s="1"/>
      <c r="AC318" s="1"/>
    </row>
    <row r="319" spans="2:29" ht="30" customHeight="1" x14ac:dyDescent="0.2">
      <c r="B319" s="38"/>
      <c r="C319" s="101" t="s">
        <v>58</v>
      </c>
      <c r="D319" s="114"/>
      <c r="E319" s="115"/>
      <c r="K319" s="15"/>
      <c r="L319" s="15"/>
      <c r="M319" s="15"/>
      <c r="N319" s="1"/>
      <c r="O319" s="1"/>
      <c r="P319" s="1"/>
      <c r="Q319" s="1"/>
      <c r="R319" s="1"/>
      <c r="S319" s="1"/>
      <c r="T319" s="1"/>
      <c r="U319" s="1"/>
      <c r="V319" s="1"/>
      <c r="W319" s="1"/>
      <c r="X319" s="1"/>
      <c r="Y319" s="1"/>
      <c r="Z319" s="1"/>
      <c r="AA319" s="1"/>
      <c r="AB319" s="1"/>
      <c r="AC319" s="1"/>
    </row>
    <row r="320" spans="2:29" ht="18" customHeight="1" x14ac:dyDescent="0.2">
      <c r="B320" s="36" t="s">
        <v>13</v>
      </c>
      <c r="C320" s="39"/>
      <c r="D320" s="39"/>
      <c r="E320" s="40"/>
      <c r="K320" s="34"/>
      <c r="L320" s="15"/>
      <c r="M320" s="15"/>
      <c r="N320" s="1"/>
      <c r="O320" s="1"/>
      <c r="P320" s="1"/>
      <c r="Q320" s="1"/>
      <c r="R320" s="1"/>
      <c r="S320" s="1"/>
      <c r="T320" s="1"/>
      <c r="U320" s="1"/>
      <c r="V320" s="1"/>
      <c r="W320" s="1"/>
      <c r="X320" s="1"/>
      <c r="Y320" s="1"/>
      <c r="Z320" s="1"/>
      <c r="AA320" s="1"/>
      <c r="AB320" s="1"/>
      <c r="AC320" s="1"/>
    </row>
    <row r="321" spans="2:29" ht="38.25" customHeight="1" x14ac:dyDescent="0.2">
      <c r="B321" s="36"/>
      <c r="C321" s="116" t="s">
        <v>20</v>
      </c>
      <c r="D321" s="114"/>
      <c r="E321" s="115"/>
      <c r="K321" s="34"/>
      <c r="L321" s="15"/>
      <c r="M321" s="15"/>
      <c r="N321" s="1"/>
      <c r="O321" s="1"/>
      <c r="P321" s="1"/>
      <c r="Q321" s="1"/>
      <c r="R321" s="1"/>
      <c r="S321" s="1"/>
      <c r="T321" s="1"/>
      <c r="U321" s="1"/>
      <c r="V321" s="1"/>
      <c r="W321" s="1"/>
      <c r="X321" s="1"/>
      <c r="Y321" s="1"/>
      <c r="Z321" s="1"/>
      <c r="AA321" s="1"/>
      <c r="AB321" s="1"/>
      <c r="AC321" s="1"/>
    </row>
    <row r="322" spans="2:29" ht="15.75" customHeight="1" thickBot="1" x14ac:dyDescent="0.25">
      <c r="B322" s="43"/>
      <c r="C322" s="44"/>
      <c r="D322" s="44"/>
      <c r="E322" s="45"/>
      <c r="K322" s="34"/>
      <c r="L322" s="15"/>
      <c r="M322" s="15"/>
      <c r="N322" s="1"/>
      <c r="O322" s="1"/>
      <c r="P322" s="1"/>
      <c r="Q322" s="1"/>
      <c r="R322" s="1"/>
      <c r="S322" s="1"/>
      <c r="T322" s="1"/>
      <c r="U322" s="1"/>
      <c r="V322" s="1"/>
      <c r="W322" s="1"/>
      <c r="X322" s="1"/>
      <c r="Y322" s="1"/>
      <c r="Z322" s="1"/>
      <c r="AA322" s="1"/>
      <c r="AB322" s="1"/>
      <c r="AC322" s="1"/>
    </row>
    <row r="323" spans="2:29" ht="24" customHeight="1" thickBot="1" x14ac:dyDescent="0.25">
      <c r="K323" s="34"/>
      <c r="L323" s="15"/>
      <c r="M323" s="15"/>
      <c r="N323" s="15"/>
      <c r="O323" s="15"/>
      <c r="P323" s="15"/>
      <c r="Q323" s="15"/>
      <c r="R323" s="15"/>
      <c r="S323" s="15"/>
      <c r="T323" s="15"/>
      <c r="U323" s="15"/>
      <c r="V323" s="15"/>
      <c r="W323" s="15"/>
      <c r="X323" s="15"/>
      <c r="Y323" s="15"/>
      <c r="Z323" s="15"/>
      <c r="AA323" s="15"/>
      <c r="AB323" s="15"/>
      <c r="AC323" s="15"/>
    </row>
    <row r="324" spans="2:29" ht="27.75" customHeight="1" thickBot="1" x14ac:dyDescent="0.25">
      <c r="B324" s="98" t="s">
        <v>30</v>
      </c>
      <c r="C324" s="99"/>
      <c r="D324" s="99"/>
      <c r="E324" s="100"/>
      <c r="K324" s="34"/>
      <c r="L324" s="15"/>
      <c r="M324" s="15"/>
      <c r="N324" s="15"/>
      <c r="O324" s="15"/>
      <c r="P324" s="15"/>
      <c r="Q324" s="15"/>
      <c r="R324" s="15"/>
      <c r="S324" s="15"/>
      <c r="T324" s="15"/>
      <c r="U324" s="15"/>
      <c r="V324" s="15"/>
      <c r="W324" s="15"/>
      <c r="X324" s="15"/>
      <c r="Y324" s="15"/>
      <c r="Z324" s="15"/>
      <c r="AA324" s="15"/>
      <c r="AB324" s="15"/>
      <c r="AC324" s="15"/>
    </row>
    <row r="325" spans="2:29" ht="20.25" customHeight="1" x14ac:dyDescent="0.2">
      <c r="B325" s="36" t="s">
        <v>9</v>
      </c>
      <c r="C325" s="9"/>
      <c r="D325" s="9"/>
      <c r="E325" s="37"/>
      <c r="K325" s="34"/>
      <c r="L325" s="15"/>
      <c r="M325" s="15"/>
      <c r="N325" s="1"/>
      <c r="O325" s="1"/>
      <c r="P325" s="1"/>
      <c r="Q325" s="1"/>
      <c r="R325" s="1"/>
      <c r="S325" s="1"/>
      <c r="T325" s="1"/>
      <c r="U325" s="1"/>
      <c r="V325" s="1"/>
      <c r="W325" s="1"/>
      <c r="X325" s="1"/>
      <c r="Y325" s="1"/>
      <c r="Z325" s="1"/>
      <c r="AA325" s="1"/>
      <c r="AB325" s="1"/>
      <c r="AC325" s="1"/>
    </row>
    <row r="326" spans="2:29" ht="201" customHeight="1" x14ac:dyDescent="0.2">
      <c r="B326" s="36"/>
      <c r="C326" s="101" t="s">
        <v>64</v>
      </c>
      <c r="D326" s="102"/>
      <c r="E326" s="103"/>
      <c r="K326" s="34"/>
      <c r="L326" s="15"/>
      <c r="M326" s="15"/>
      <c r="N326" s="1"/>
      <c r="O326" s="1"/>
      <c r="P326" s="1"/>
      <c r="Q326" s="1"/>
      <c r="R326" s="1"/>
      <c r="S326" s="1"/>
      <c r="T326" s="1"/>
      <c r="U326" s="1"/>
      <c r="V326" s="1"/>
      <c r="W326" s="1"/>
      <c r="X326" s="1"/>
      <c r="Y326" s="1"/>
      <c r="Z326" s="1"/>
      <c r="AA326" s="1"/>
      <c r="AB326" s="1"/>
      <c r="AC326" s="1"/>
    </row>
    <row r="327" spans="2:29" ht="34.5" customHeight="1" x14ac:dyDescent="0.2">
      <c r="B327" s="36" t="s">
        <v>10</v>
      </c>
      <c r="C327" s="9"/>
      <c r="D327" s="9"/>
      <c r="E327" s="37"/>
      <c r="K327" s="34"/>
      <c r="L327" s="34"/>
      <c r="M327" s="34"/>
      <c r="N327" s="15"/>
      <c r="O327" s="15"/>
      <c r="P327" s="15"/>
      <c r="Q327" s="15"/>
      <c r="R327" s="15"/>
      <c r="S327" s="15"/>
      <c r="T327" s="15"/>
      <c r="U327" s="15"/>
      <c r="V327" s="15"/>
      <c r="W327" s="15"/>
      <c r="X327" s="15"/>
      <c r="Y327" s="15"/>
      <c r="Z327" s="15"/>
      <c r="AA327" s="15"/>
      <c r="AB327" s="15"/>
      <c r="AC327" s="15"/>
    </row>
    <row r="328" spans="2:29" ht="78" customHeight="1" x14ac:dyDescent="0.2">
      <c r="B328" s="38"/>
      <c r="C328" s="101" t="s">
        <v>70</v>
      </c>
      <c r="D328" s="102"/>
      <c r="E328" s="103"/>
      <c r="K328" s="34"/>
      <c r="L328" s="34"/>
      <c r="M328" s="34"/>
      <c r="N328" s="1"/>
      <c r="O328" s="1"/>
      <c r="P328" s="1"/>
      <c r="Q328" s="1"/>
      <c r="R328" s="1"/>
      <c r="S328" s="1"/>
      <c r="T328" s="1"/>
      <c r="U328" s="1"/>
      <c r="V328" s="1"/>
      <c r="W328" s="1"/>
      <c r="X328" s="1"/>
      <c r="Y328" s="1"/>
      <c r="Z328" s="1"/>
      <c r="AA328" s="1"/>
      <c r="AB328" s="1"/>
      <c r="AC328" s="1"/>
    </row>
    <row r="329" spans="2:29" ht="30" customHeight="1" x14ac:dyDescent="0.2">
      <c r="B329" s="36" t="s">
        <v>11</v>
      </c>
      <c r="C329" s="39"/>
      <c r="D329" s="39"/>
      <c r="E329" s="40"/>
      <c r="K329" s="34"/>
      <c r="L329" s="34"/>
      <c r="M329" s="34"/>
      <c r="N329" s="1"/>
      <c r="O329" s="1"/>
      <c r="P329" s="1"/>
      <c r="Q329" s="1"/>
      <c r="R329" s="1"/>
      <c r="S329" s="1"/>
      <c r="T329" s="1"/>
      <c r="U329" s="1"/>
      <c r="V329" s="1"/>
      <c r="W329" s="1"/>
      <c r="X329" s="1"/>
      <c r="Y329" s="1"/>
      <c r="Z329" s="1"/>
      <c r="AA329" s="1"/>
      <c r="AB329" s="1"/>
      <c r="AC329" s="1"/>
    </row>
    <row r="330" spans="2:29" ht="21.75" customHeight="1" x14ac:dyDescent="0.2">
      <c r="B330" s="38"/>
      <c r="C330" s="112"/>
      <c r="D330" s="111"/>
      <c r="E330" s="113"/>
      <c r="K330" s="34"/>
      <c r="L330" s="34"/>
      <c r="M330" s="34"/>
      <c r="N330" s="15"/>
      <c r="O330" s="15"/>
      <c r="P330" s="15"/>
      <c r="Q330" s="15"/>
      <c r="R330" s="15"/>
      <c r="S330" s="15"/>
      <c r="T330" s="15"/>
      <c r="U330" s="15"/>
      <c r="V330" s="15"/>
      <c r="W330" s="15"/>
      <c r="X330" s="15"/>
      <c r="Y330" s="15"/>
      <c r="Z330" s="15"/>
      <c r="AA330" s="15"/>
      <c r="AB330" s="15"/>
      <c r="AC330" s="15"/>
    </row>
    <row r="331" spans="2:29" ht="33.75" customHeight="1" x14ac:dyDescent="0.2">
      <c r="B331" s="36" t="s">
        <v>12</v>
      </c>
      <c r="C331" s="41"/>
      <c r="D331" s="41"/>
      <c r="E331" s="42"/>
      <c r="K331" s="34"/>
      <c r="L331" s="34"/>
      <c r="M331" s="34"/>
      <c r="N331" s="1"/>
      <c r="O331" s="1"/>
      <c r="P331" s="1"/>
      <c r="Q331" s="1"/>
      <c r="R331" s="1"/>
      <c r="S331" s="1"/>
      <c r="T331" s="1"/>
      <c r="U331" s="1"/>
      <c r="V331" s="1"/>
      <c r="W331" s="1"/>
      <c r="X331" s="1"/>
      <c r="Y331" s="1"/>
      <c r="Z331" s="1"/>
      <c r="AA331" s="1"/>
      <c r="AB331" s="1"/>
      <c r="AC331" s="1"/>
    </row>
    <row r="332" spans="2:29" ht="15.75" customHeight="1" x14ac:dyDescent="0.2">
      <c r="B332" s="38"/>
      <c r="C332" s="101" t="s">
        <v>58</v>
      </c>
      <c r="D332" s="114"/>
      <c r="E332" s="115"/>
      <c r="K332" s="34"/>
      <c r="L332" s="34"/>
      <c r="M332" s="34"/>
      <c r="N332" s="1"/>
      <c r="O332" s="1"/>
      <c r="P332" s="1"/>
      <c r="Q332" s="1"/>
      <c r="R332" s="1"/>
      <c r="S332" s="1"/>
      <c r="T332" s="1"/>
      <c r="U332" s="1"/>
      <c r="V332" s="1"/>
      <c r="W332" s="1"/>
      <c r="X332" s="1"/>
      <c r="Y332" s="1"/>
      <c r="Z332" s="1"/>
      <c r="AA332" s="1"/>
      <c r="AB332" s="1"/>
      <c r="AC332" s="1"/>
    </row>
    <row r="333" spans="2:29" ht="17.25" customHeight="1" x14ac:dyDescent="0.2">
      <c r="B333" s="36" t="s">
        <v>13</v>
      </c>
      <c r="C333" s="39"/>
      <c r="D333" s="39"/>
      <c r="E333" s="40"/>
      <c r="K333" s="34"/>
      <c r="L333" s="34"/>
      <c r="M333" s="34"/>
      <c r="N333" s="15"/>
      <c r="O333" s="15"/>
      <c r="P333" s="15"/>
      <c r="Q333" s="15"/>
      <c r="R333" s="15"/>
      <c r="S333" s="15"/>
      <c r="T333" s="15"/>
      <c r="U333" s="15"/>
      <c r="V333" s="15"/>
      <c r="W333" s="15"/>
      <c r="X333" s="15"/>
      <c r="Y333" s="15"/>
      <c r="Z333" s="15"/>
      <c r="AA333" s="15"/>
      <c r="AB333" s="15"/>
      <c r="AC333" s="15"/>
    </row>
    <row r="334" spans="2:29" ht="33" customHeight="1" x14ac:dyDescent="0.2">
      <c r="B334" s="36"/>
      <c r="C334" s="116" t="s">
        <v>20</v>
      </c>
      <c r="D334" s="114"/>
      <c r="E334" s="115"/>
      <c r="K334" s="34"/>
      <c r="L334" s="34"/>
      <c r="M334" s="34"/>
      <c r="N334" s="15"/>
      <c r="O334" s="15"/>
      <c r="P334" s="15"/>
      <c r="Q334" s="15"/>
      <c r="R334" s="15"/>
      <c r="S334" s="15"/>
      <c r="T334" s="15"/>
      <c r="U334" s="15"/>
      <c r="V334" s="15"/>
      <c r="W334" s="15"/>
      <c r="X334" s="15"/>
      <c r="Y334" s="15"/>
      <c r="Z334" s="15"/>
      <c r="AA334" s="15"/>
      <c r="AB334" s="15"/>
      <c r="AC334" s="15"/>
    </row>
    <row r="335" spans="2:29" ht="30" customHeight="1" thickBot="1" x14ac:dyDescent="0.25">
      <c r="B335" s="43"/>
      <c r="C335" s="44"/>
      <c r="D335" s="44"/>
      <c r="E335" s="45"/>
      <c r="K335" s="34"/>
      <c r="L335" s="34"/>
      <c r="M335" s="34"/>
      <c r="N335" s="1"/>
      <c r="O335" s="1"/>
      <c r="P335" s="1"/>
      <c r="Q335" s="1"/>
      <c r="R335" s="1"/>
      <c r="S335" s="1"/>
      <c r="T335" s="1"/>
      <c r="U335" s="1"/>
      <c r="V335" s="1"/>
      <c r="W335" s="1"/>
      <c r="X335" s="1"/>
      <c r="Y335" s="1"/>
      <c r="Z335" s="1"/>
      <c r="AA335" s="1"/>
      <c r="AB335" s="1"/>
      <c r="AC335" s="1"/>
    </row>
    <row r="336" spans="2:29" ht="15.75" customHeight="1" thickBot="1" x14ac:dyDescent="0.25">
      <c r="K336" s="34"/>
      <c r="L336" s="34"/>
      <c r="M336" s="34"/>
      <c r="N336" s="1"/>
      <c r="O336" s="1"/>
      <c r="P336" s="1"/>
      <c r="Q336" s="1"/>
      <c r="R336" s="1"/>
      <c r="S336" s="1"/>
      <c r="T336" s="1"/>
      <c r="U336" s="1"/>
      <c r="V336" s="1"/>
      <c r="W336" s="1"/>
      <c r="X336" s="1"/>
      <c r="Y336" s="1"/>
      <c r="Z336" s="1"/>
      <c r="AA336" s="1"/>
      <c r="AB336" s="1"/>
      <c r="AC336" s="1"/>
    </row>
    <row r="337" spans="2:29" ht="56.25" customHeight="1" thickBot="1" x14ac:dyDescent="0.25">
      <c r="B337" s="98" t="s">
        <v>31</v>
      </c>
      <c r="C337" s="99"/>
      <c r="D337" s="99"/>
      <c r="E337" s="100"/>
      <c r="K337" s="34"/>
      <c r="L337" s="34"/>
      <c r="M337" s="34"/>
      <c r="N337" s="15"/>
      <c r="O337" s="15"/>
      <c r="P337" s="15"/>
      <c r="Q337" s="15"/>
      <c r="R337" s="15"/>
      <c r="S337" s="15"/>
      <c r="T337" s="15"/>
      <c r="U337" s="15"/>
      <c r="V337" s="15"/>
      <c r="W337" s="15"/>
      <c r="X337" s="15"/>
      <c r="Y337" s="15"/>
      <c r="Z337" s="15"/>
      <c r="AA337" s="15"/>
      <c r="AB337" s="15"/>
      <c r="AC337" s="15"/>
    </row>
    <row r="338" spans="2:29" ht="13.5" customHeight="1" x14ac:dyDescent="0.2">
      <c r="B338" s="36" t="s">
        <v>9</v>
      </c>
      <c r="C338" s="9"/>
      <c r="D338" s="9"/>
      <c r="E338" s="37"/>
      <c r="K338" s="34"/>
      <c r="L338" s="34"/>
      <c r="M338" s="34"/>
      <c r="N338" s="15"/>
      <c r="O338" s="15"/>
      <c r="P338" s="15"/>
      <c r="Q338" s="15"/>
      <c r="R338" s="15"/>
      <c r="S338" s="15"/>
      <c r="T338" s="15"/>
      <c r="U338" s="15"/>
      <c r="V338" s="15"/>
      <c r="W338" s="15"/>
      <c r="X338" s="15"/>
      <c r="Y338" s="15"/>
      <c r="Z338" s="15"/>
      <c r="AA338" s="15"/>
      <c r="AB338" s="15"/>
      <c r="AC338" s="15"/>
    </row>
    <row r="339" spans="2:29" ht="121.5" customHeight="1" x14ac:dyDescent="0.2">
      <c r="B339" s="36"/>
      <c r="C339" s="101" t="s">
        <v>74</v>
      </c>
      <c r="D339" s="102"/>
      <c r="E339" s="103"/>
      <c r="K339" s="34"/>
      <c r="L339" s="34"/>
      <c r="M339" s="34"/>
      <c r="N339" s="15"/>
      <c r="O339" s="15"/>
      <c r="P339" s="15"/>
      <c r="Q339" s="15"/>
      <c r="R339" s="15"/>
      <c r="S339" s="15"/>
      <c r="T339" s="15"/>
      <c r="U339" s="15"/>
      <c r="V339" s="15"/>
      <c r="W339" s="15"/>
      <c r="X339" s="15"/>
      <c r="Y339" s="15"/>
      <c r="Z339" s="15"/>
      <c r="AA339" s="15"/>
      <c r="AB339" s="15"/>
      <c r="AC339" s="15"/>
    </row>
    <row r="340" spans="2:29" ht="32.25" customHeight="1" x14ac:dyDescent="0.2">
      <c r="B340" s="36" t="s">
        <v>10</v>
      </c>
      <c r="C340" s="9"/>
      <c r="D340" s="9"/>
      <c r="E340" s="37"/>
      <c r="K340" s="34"/>
      <c r="L340" s="34"/>
      <c r="M340" s="34"/>
      <c r="N340" s="15"/>
      <c r="O340" s="15"/>
      <c r="P340" s="15"/>
      <c r="Q340" s="15"/>
      <c r="R340" s="15"/>
      <c r="S340" s="15"/>
      <c r="T340" s="15"/>
      <c r="U340" s="15"/>
      <c r="V340" s="15"/>
      <c r="W340" s="15"/>
      <c r="X340" s="15"/>
      <c r="Y340" s="15"/>
      <c r="Z340" s="15"/>
      <c r="AA340" s="15"/>
      <c r="AB340" s="15"/>
      <c r="AC340" s="15"/>
    </row>
    <row r="341" spans="2:29" ht="60" customHeight="1" x14ac:dyDescent="0.2">
      <c r="B341" s="38"/>
      <c r="C341" s="101" t="s">
        <v>70</v>
      </c>
      <c r="D341" s="102"/>
      <c r="E341" s="103"/>
      <c r="K341" s="34"/>
      <c r="L341" s="34"/>
      <c r="M341" s="34"/>
      <c r="N341" s="15"/>
      <c r="O341" s="15"/>
      <c r="P341" s="15"/>
      <c r="Q341" s="15"/>
      <c r="R341" s="15"/>
      <c r="S341" s="15"/>
      <c r="T341" s="15"/>
      <c r="U341" s="15"/>
      <c r="V341" s="15"/>
      <c r="W341" s="15"/>
      <c r="X341" s="15"/>
      <c r="Y341" s="15"/>
      <c r="Z341" s="15"/>
      <c r="AA341" s="15"/>
      <c r="AB341" s="15"/>
      <c r="AC341" s="15"/>
    </row>
    <row r="342" spans="2:29" ht="25.5" customHeight="1" x14ac:dyDescent="0.2">
      <c r="B342" s="36" t="s">
        <v>11</v>
      </c>
      <c r="C342" s="39"/>
      <c r="D342" s="39"/>
      <c r="E342" s="40"/>
      <c r="K342" s="34"/>
      <c r="L342" s="34"/>
      <c r="M342" s="34"/>
      <c r="N342" s="1"/>
      <c r="O342" s="1"/>
      <c r="P342" s="1"/>
      <c r="Q342" s="1"/>
      <c r="R342" s="1"/>
      <c r="S342" s="1"/>
      <c r="T342" s="1"/>
      <c r="U342" s="1"/>
      <c r="V342" s="1"/>
      <c r="W342" s="1"/>
      <c r="X342" s="1"/>
      <c r="Y342" s="1"/>
      <c r="Z342" s="1"/>
      <c r="AA342" s="1"/>
      <c r="AB342" s="1"/>
      <c r="AC342" s="1"/>
    </row>
    <row r="343" spans="2:29" ht="21" customHeight="1" x14ac:dyDescent="0.2">
      <c r="B343" s="38"/>
      <c r="C343" s="112"/>
      <c r="D343" s="111"/>
      <c r="E343" s="113"/>
      <c r="K343" s="34"/>
      <c r="L343" s="34"/>
      <c r="M343" s="34"/>
      <c r="N343" s="15"/>
      <c r="O343" s="15"/>
      <c r="P343" s="15"/>
      <c r="Q343" s="15"/>
      <c r="R343" s="15"/>
      <c r="S343" s="15"/>
      <c r="T343" s="15"/>
      <c r="U343" s="15"/>
      <c r="V343" s="15"/>
      <c r="W343" s="15"/>
      <c r="X343" s="15"/>
      <c r="Y343" s="15"/>
      <c r="Z343" s="15"/>
      <c r="AA343" s="15"/>
      <c r="AB343" s="15"/>
      <c r="AC343" s="15"/>
    </row>
    <row r="344" spans="2:29" ht="22.5" customHeight="1" x14ac:dyDescent="0.2">
      <c r="B344" s="36" t="s">
        <v>12</v>
      </c>
      <c r="C344" s="41"/>
      <c r="D344" s="41"/>
      <c r="E344" s="42"/>
      <c r="K344" s="34"/>
      <c r="L344" s="34"/>
      <c r="M344" s="34"/>
      <c r="N344" s="15"/>
      <c r="O344" s="15"/>
      <c r="P344" s="15"/>
      <c r="Q344" s="15"/>
      <c r="R344" s="15"/>
      <c r="S344" s="15"/>
      <c r="T344" s="15"/>
      <c r="U344" s="15"/>
      <c r="V344" s="15"/>
      <c r="W344" s="15"/>
      <c r="X344" s="15"/>
      <c r="Y344" s="15"/>
      <c r="Z344" s="15"/>
      <c r="AA344" s="15"/>
      <c r="AB344" s="15"/>
      <c r="AC344" s="15"/>
    </row>
    <row r="345" spans="2:29" ht="32.25" customHeight="1" x14ac:dyDescent="0.2">
      <c r="B345" s="38"/>
      <c r="C345" s="101" t="s">
        <v>58</v>
      </c>
      <c r="D345" s="114"/>
      <c r="E345" s="115"/>
      <c r="K345" s="34"/>
      <c r="L345" s="34"/>
      <c r="M345" s="34"/>
      <c r="N345" s="15"/>
      <c r="O345" s="15"/>
      <c r="P345" s="15"/>
      <c r="Q345" s="15"/>
      <c r="R345" s="15"/>
      <c r="S345" s="15"/>
      <c r="T345" s="15"/>
      <c r="U345" s="15"/>
      <c r="V345" s="15"/>
      <c r="W345" s="15"/>
      <c r="X345" s="15"/>
      <c r="Y345" s="15"/>
      <c r="Z345" s="15"/>
      <c r="AA345" s="15"/>
      <c r="AB345" s="15"/>
      <c r="AC345" s="15"/>
    </row>
    <row r="346" spans="2:29" ht="21.75" customHeight="1" x14ac:dyDescent="0.2">
      <c r="B346" s="36" t="s">
        <v>13</v>
      </c>
      <c r="C346" s="39"/>
      <c r="D346" s="39"/>
      <c r="E346" s="40"/>
      <c r="K346" s="34"/>
      <c r="L346" s="34"/>
      <c r="M346" s="34"/>
      <c r="N346" s="33"/>
      <c r="O346" s="33"/>
      <c r="P346" s="33"/>
      <c r="Q346" s="33"/>
      <c r="R346" s="33"/>
      <c r="S346" s="33"/>
      <c r="T346" s="33"/>
      <c r="U346" s="33"/>
      <c r="V346" s="33"/>
      <c r="W346" s="33"/>
      <c r="X346" s="33"/>
      <c r="Y346" s="33"/>
      <c r="Z346" s="33"/>
      <c r="AA346" s="33"/>
      <c r="AB346" s="33"/>
      <c r="AC346" s="33"/>
    </row>
    <row r="347" spans="2:29" ht="32.25" customHeight="1" x14ac:dyDescent="0.2">
      <c r="B347" s="36"/>
      <c r="C347" s="116" t="s">
        <v>20</v>
      </c>
      <c r="D347" s="114"/>
      <c r="E347" s="115"/>
      <c r="K347" s="34"/>
      <c r="L347" s="34"/>
      <c r="M347" s="34"/>
      <c r="N347" s="15"/>
      <c r="O347" s="15"/>
      <c r="P347" s="15"/>
      <c r="Q347" s="15"/>
      <c r="R347" s="15"/>
      <c r="S347" s="15"/>
      <c r="T347" s="15"/>
      <c r="U347" s="15"/>
      <c r="V347" s="15"/>
      <c r="W347" s="15"/>
      <c r="X347" s="15"/>
      <c r="Y347" s="15"/>
      <c r="Z347" s="15"/>
      <c r="AA347" s="15"/>
      <c r="AB347" s="15"/>
      <c r="AC347" s="15"/>
    </row>
    <row r="348" spans="2:29" ht="19.5" customHeight="1" thickBot="1" x14ac:dyDescent="0.25">
      <c r="B348" s="43"/>
      <c r="C348" s="44"/>
      <c r="D348" s="44"/>
      <c r="E348" s="45"/>
      <c r="K348" s="34"/>
      <c r="L348" s="34"/>
      <c r="M348" s="34"/>
      <c r="N348" s="15"/>
      <c r="O348" s="15"/>
      <c r="P348" s="15"/>
      <c r="Q348" s="15"/>
      <c r="R348" s="15"/>
      <c r="S348" s="15"/>
      <c r="T348" s="15"/>
      <c r="U348" s="15"/>
      <c r="V348" s="15"/>
      <c r="W348" s="15"/>
      <c r="X348" s="15"/>
      <c r="Y348" s="15"/>
      <c r="Z348" s="15"/>
      <c r="AA348" s="15"/>
      <c r="AB348" s="15"/>
      <c r="AC348" s="15"/>
    </row>
    <row r="349" spans="2:29" ht="32.25" customHeight="1" thickBot="1" x14ac:dyDescent="0.25">
      <c r="K349" s="34"/>
      <c r="L349" s="34"/>
      <c r="M349" s="34"/>
      <c r="N349" s="15"/>
      <c r="O349" s="15"/>
      <c r="P349" s="15"/>
      <c r="Q349" s="15"/>
      <c r="R349" s="15"/>
      <c r="S349" s="15"/>
      <c r="T349" s="15"/>
      <c r="U349" s="15"/>
      <c r="V349" s="15"/>
      <c r="W349" s="15"/>
      <c r="X349" s="15"/>
      <c r="Y349" s="15"/>
      <c r="Z349" s="15"/>
      <c r="AA349" s="15"/>
      <c r="AB349" s="15"/>
      <c r="AC349" s="15"/>
    </row>
    <row r="350" spans="2:29" ht="32.25" customHeight="1" thickBot="1" x14ac:dyDescent="0.25">
      <c r="B350" s="98" t="s">
        <v>32</v>
      </c>
      <c r="C350" s="99"/>
      <c r="D350" s="99"/>
      <c r="E350" s="100"/>
      <c r="K350" s="34"/>
      <c r="L350" s="34"/>
      <c r="M350" s="34"/>
      <c r="N350" s="15"/>
      <c r="O350" s="15"/>
      <c r="P350" s="15"/>
      <c r="Q350" s="15"/>
      <c r="R350" s="15"/>
      <c r="S350" s="15"/>
      <c r="T350" s="15"/>
      <c r="U350" s="15"/>
      <c r="V350" s="15"/>
      <c r="W350" s="15"/>
      <c r="X350" s="15"/>
      <c r="Y350" s="15"/>
      <c r="Z350" s="15"/>
      <c r="AA350" s="15"/>
      <c r="AB350" s="15"/>
      <c r="AC350" s="15"/>
    </row>
    <row r="351" spans="2:29" ht="15" customHeight="1" x14ac:dyDescent="0.25">
      <c r="B351" s="36" t="s">
        <v>9</v>
      </c>
      <c r="C351" s="9"/>
      <c r="D351" s="9"/>
      <c r="E351" s="37"/>
      <c r="K351" s="22"/>
      <c r="L351" s="34"/>
      <c r="M351" s="34"/>
      <c r="N351" s="15"/>
      <c r="O351" s="15"/>
      <c r="P351" s="15"/>
      <c r="Q351" s="15"/>
      <c r="R351" s="15"/>
      <c r="S351" s="15"/>
      <c r="T351" s="15"/>
      <c r="U351" s="15"/>
      <c r="V351" s="15"/>
      <c r="W351" s="15"/>
      <c r="X351" s="15"/>
      <c r="Y351" s="15"/>
      <c r="Z351" s="15"/>
      <c r="AA351" s="15"/>
      <c r="AB351" s="15"/>
      <c r="AC351" s="15"/>
    </row>
    <row r="352" spans="2:29" ht="138.75" customHeight="1" x14ac:dyDescent="0.25">
      <c r="B352" s="36"/>
      <c r="C352" s="101" t="s">
        <v>66</v>
      </c>
      <c r="D352" s="102"/>
      <c r="E352" s="103"/>
      <c r="K352" s="22"/>
      <c r="L352" s="34"/>
      <c r="M352" s="34"/>
      <c r="N352" s="33"/>
      <c r="O352" s="33"/>
      <c r="P352" s="33"/>
      <c r="Q352" s="33"/>
      <c r="R352" s="33"/>
      <c r="S352" s="33"/>
      <c r="T352" s="33"/>
      <c r="U352" s="33"/>
      <c r="V352" s="33"/>
      <c r="W352" s="33"/>
      <c r="X352" s="33"/>
      <c r="Y352" s="33"/>
      <c r="Z352" s="33"/>
      <c r="AA352" s="33"/>
      <c r="AB352" s="33"/>
      <c r="AC352" s="33"/>
    </row>
    <row r="353" spans="2:29" ht="27.75" customHeight="1" x14ac:dyDescent="0.25">
      <c r="B353" s="36" t="s">
        <v>10</v>
      </c>
      <c r="C353" s="9"/>
      <c r="D353" s="9"/>
      <c r="E353" s="37"/>
      <c r="K353" s="22"/>
      <c r="L353" s="22"/>
      <c r="M353" s="22"/>
      <c r="N353" s="34"/>
      <c r="O353" s="34"/>
      <c r="P353" s="34"/>
      <c r="Q353" s="34"/>
      <c r="R353" s="34"/>
      <c r="S353" s="34"/>
      <c r="T353" s="34"/>
      <c r="U353" s="34"/>
      <c r="V353" s="34"/>
      <c r="W353" s="34"/>
      <c r="X353" s="34"/>
      <c r="Y353" s="34"/>
      <c r="Z353" s="34"/>
      <c r="AA353" s="34"/>
      <c r="AB353" s="34"/>
      <c r="AC353" s="34"/>
    </row>
    <row r="354" spans="2:29" ht="77.25" customHeight="1" x14ac:dyDescent="0.25">
      <c r="B354" s="38"/>
      <c r="C354" s="101" t="s">
        <v>70</v>
      </c>
      <c r="D354" s="102"/>
      <c r="E354" s="103"/>
      <c r="K354" s="22"/>
      <c r="L354" s="22"/>
      <c r="M354" s="22"/>
      <c r="N354" s="34"/>
      <c r="O354" s="34"/>
      <c r="P354" s="34"/>
      <c r="Q354" s="34"/>
      <c r="R354" s="34"/>
      <c r="S354" s="34"/>
      <c r="T354" s="34"/>
      <c r="U354" s="34"/>
      <c r="V354" s="34"/>
      <c r="W354" s="34"/>
      <c r="X354" s="34"/>
      <c r="Y354" s="34"/>
      <c r="Z354" s="34"/>
      <c r="AA354" s="34"/>
      <c r="AB354" s="34"/>
      <c r="AC354" s="34"/>
    </row>
    <row r="355" spans="2:29" ht="28.5" customHeight="1" x14ac:dyDescent="0.25">
      <c r="B355" s="36" t="s">
        <v>11</v>
      </c>
      <c r="C355" s="39"/>
      <c r="D355" s="39"/>
      <c r="E355" s="40"/>
      <c r="K355" s="22"/>
      <c r="L355" s="22"/>
      <c r="M355" s="22"/>
      <c r="N355" s="34"/>
      <c r="O355" s="34"/>
      <c r="P355" s="34"/>
      <c r="Q355" s="34"/>
      <c r="R355" s="34"/>
      <c r="S355" s="34"/>
      <c r="T355" s="34"/>
      <c r="U355" s="34"/>
      <c r="V355" s="34"/>
      <c r="W355" s="34"/>
      <c r="X355" s="34"/>
      <c r="Y355" s="34"/>
      <c r="Z355" s="34"/>
      <c r="AA355" s="34"/>
      <c r="AB355" s="34"/>
      <c r="AC355" s="34"/>
    </row>
    <row r="356" spans="2:29" ht="15" customHeight="1" x14ac:dyDescent="0.25">
      <c r="B356" s="38"/>
      <c r="C356" s="112"/>
      <c r="D356" s="111"/>
      <c r="E356" s="113"/>
      <c r="K356" s="22"/>
      <c r="L356" s="22"/>
      <c r="M356" s="22"/>
      <c r="N356" s="34"/>
      <c r="O356" s="34"/>
      <c r="P356" s="34"/>
      <c r="Q356" s="34"/>
      <c r="R356" s="34"/>
      <c r="S356" s="34"/>
      <c r="T356" s="34"/>
      <c r="U356" s="34"/>
      <c r="V356" s="34"/>
      <c r="W356" s="34"/>
      <c r="X356" s="34"/>
      <c r="Y356" s="34"/>
      <c r="Z356" s="34"/>
      <c r="AA356" s="34"/>
      <c r="AB356" s="34"/>
      <c r="AC356" s="34"/>
    </row>
    <row r="357" spans="2:29" ht="27" customHeight="1" x14ac:dyDescent="0.25">
      <c r="B357" s="36" t="s">
        <v>12</v>
      </c>
      <c r="C357" s="41"/>
      <c r="D357" s="41"/>
      <c r="E357" s="42"/>
      <c r="K357" s="22"/>
      <c r="L357" s="22"/>
      <c r="M357" s="22"/>
      <c r="N357" s="34"/>
      <c r="O357" s="34"/>
      <c r="P357" s="34"/>
      <c r="Q357" s="34"/>
      <c r="R357" s="34"/>
      <c r="S357" s="34"/>
      <c r="T357" s="34"/>
      <c r="U357" s="34"/>
      <c r="V357" s="34"/>
      <c r="W357" s="34"/>
      <c r="X357" s="34"/>
      <c r="Y357" s="34"/>
      <c r="Z357" s="34"/>
      <c r="AA357" s="34"/>
      <c r="AB357" s="34"/>
      <c r="AC357" s="34"/>
    </row>
    <row r="358" spans="2:29" ht="23.25" customHeight="1" x14ac:dyDescent="0.25">
      <c r="B358" s="38"/>
      <c r="C358" s="101" t="s">
        <v>58</v>
      </c>
      <c r="D358" s="114"/>
      <c r="E358" s="115"/>
      <c r="K358" s="22"/>
      <c r="L358" s="22"/>
      <c r="M358" s="22"/>
      <c r="N358" s="34"/>
      <c r="O358" s="34"/>
      <c r="P358" s="34"/>
      <c r="Q358" s="34"/>
      <c r="R358" s="34"/>
      <c r="S358" s="34"/>
      <c r="T358" s="34"/>
      <c r="U358" s="34"/>
      <c r="V358" s="34"/>
      <c r="W358" s="34"/>
      <c r="X358" s="34"/>
      <c r="Y358" s="34"/>
      <c r="Z358" s="34"/>
      <c r="AA358" s="34"/>
      <c r="AB358" s="34"/>
      <c r="AC358" s="34"/>
    </row>
    <row r="359" spans="2:29" ht="15.75" customHeight="1" x14ac:dyDescent="0.25">
      <c r="B359" s="36" t="s">
        <v>13</v>
      </c>
      <c r="C359" s="39"/>
      <c r="D359" s="39"/>
      <c r="E359" s="40"/>
      <c r="K359" s="22"/>
      <c r="L359" s="22"/>
      <c r="M359" s="22"/>
      <c r="N359" s="34"/>
      <c r="O359" s="34"/>
      <c r="P359" s="34"/>
      <c r="Q359" s="34"/>
      <c r="R359" s="34"/>
      <c r="S359" s="34"/>
      <c r="T359" s="34"/>
      <c r="U359" s="34"/>
      <c r="V359" s="34"/>
      <c r="W359" s="34"/>
      <c r="X359" s="34"/>
      <c r="Y359" s="34"/>
      <c r="Z359" s="34"/>
      <c r="AA359" s="34"/>
      <c r="AB359" s="34"/>
      <c r="AC359" s="34"/>
    </row>
    <row r="360" spans="2:29" ht="29.25" customHeight="1" x14ac:dyDescent="0.25">
      <c r="B360" s="36"/>
      <c r="C360" s="116" t="s">
        <v>20</v>
      </c>
      <c r="D360" s="114"/>
      <c r="E360" s="115"/>
      <c r="K360" s="22"/>
      <c r="L360" s="22"/>
      <c r="M360" s="22"/>
      <c r="N360" s="34"/>
      <c r="O360" s="34"/>
      <c r="P360" s="34"/>
      <c r="Q360" s="34"/>
      <c r="R360" s="34"/>
      <c r="S360" s="34"/>
      <c r="T360" s="34"/>
      <c r="U360" s="34"/>
      <c r="V360" s="34"/>
      <c r="W360" s="34"/>
      <c r="X360" s="34"/>
      <c r="Y360" s="34"/>
      <c r="Z360" s="34"/>
      <c r="AA360" s="34"/>
      <c r="AB360" s="34"/>
      <c r="AC360" s="34"/>
    </row>
    <row r="361" spans="2:29" ht="15" customHeight="1" thickBot="1" x14ac:dyDescent="0.3">
      <c r="B361" s="43"/>
      <c r="C361" s="44"/>
      <c r="D361" s="44"/>
      <c r="E361" s="45"/>
      <c r="K361" s="22"/>
      <c r="L361" s="22"/>
      <c r="M361" s="22"/>
      <c r="N361" s="34"/>
      <c r="O361" s="34"/>
      <c r="P361" s="34"/>
      <c r="Q361" s="34"/>
      <c r="R361" s="34"/>
      <c r="S361" s="34"/>
      <c r="T361" s="34"/>
      <c r="U361" s="34"/>
      <c r="V361" s="34"/>
      <c r="W361" s="34"/>
      <c r="X361" s="34"/>
      <c r="Y361" s="34"/>
      <c r="Z361" s="34"/>
      <c r="AA361" s="34"/>
      <c r="AB361" s="34"/>
      <c r="AC361" s="34"/>
    </row>
    <row r="362" spans="2:29" ht="22.5" customHeight="1" thickBot="1" x14ac:dyDescent="0.3">
      <c r="K362" s="22"/>
      <c r="L362" s="22"/>
      <c r="M362" s="22"/>
      <c r="N362" s="34"/>
      <c r="O362" s="34"/>
      <c r="P362" s="34"/>
      <c r="Q362" s="34"/>
      <c r="R362" s="34"/>
      <c r="S362" s="34"/>
      <c r="T362" s="34"/>
      <c r="U362" s="34"/>
      <c r="V362" s="34"/>
      <c r="W362" s="34"/>
      <c r="X362" s="34"/>
      <c r="Y362" s="34"/>
      <c r="Z362" s="34"/>
      <c r="AA362" s="34"/>
      <c r="AB362" s="34"/>
      <c r="AC362" s="34"/>
    </row>
    <row r="363" spans="2:29" ht="26.25" customHeight="1" thickBot="1" x14ac:dyDescent="0.3">
      <c r="B363" s="98" t="s">
        <v>33</v>
      </c>
      <c r="C363" s="99"/>
      <c r="D363" s="99"/>
      <c r="E363" s="100"/>
      <c r="K363" s="22"/>
      <c r="L363" s="22"/>
      <c r="M363" s="22"/>
      <c r="N363" s="34"/>
      <c r="O363" s="34"/>
      <c r="P363" s="34"/>
      <c r="Q363" s="34"/>
      <c r="R363" s="34"/>
      <c r="S363" s="34"/>
      <c r="T363" s="34"/>
      <c r="U363" s="34"/>
      <c r="V363" s="34"/>
      <c r="W363" s="34"/>
      <c r="X363" s="34"/>
      <c r="Y363" s="34"/>
      <c r="Z363" s="34"/>
      <c r="AA363" s="34"/>
      <c r="AB363" s="34"/>
      <c r="AC363" s="34"/>
    </row>
    <row r="364" spans="2:29" ht="27.75" customHeight="1" x14ac:dyDescent="0.25">
      <c r="B364" s="36" t="s">
        <v>9</v>
      </c>
      <c r="C364" s="9"/>
      <c r="D364" s="9"/>
      <c r="E364" s="37"/>
      <c r="K364" s="22"/>
      <c r="L364" s="22"/>
      <c r="M364" s="22"/>
      <c r="N364" s="34"/>
      <c r="O364" s="34"/>
      <c r="P364" s="34"/>
      <c r="Q364" s="34"/>
      <c r="R364" s="34"/>
      <c r="S364" s="34"/>
      <c r="T364" s="34"/>
      <c r="U364" s="34"/>
      <c r="V364" s="34"/>
      <c r="W364" s="34"/>
      <c r="X364" s="34"/>
      <c r="Y364" s="34"/>
      <c r="Z364" s="34"/>
      <c r="AA364" s="34"/>
      <c r="AB364" s="34"/>
      <c r="AC364" s="34"/>
    </row>
    <row r="365" spans="2:29" ht="72.75" customHeight="1" x14ac:dyDescent="0.25">
      <c r="B365" s="36"/>
      <c r="C365" s="101" t="s">
        <v>75</v>
      </c>
      <c r="D365" s="102"/>
      <c r="E365" s="103"/>
      <c r="K365" s="22"/>
      <c r="L365" s="22"/>
      <c r="M365" s="22"/>
      <c r="N365" s="34"/>
      <c r="O365" s="34"/>
      <c r="P365" s="34"/>
      <c r="Q365" s="34"/>
      <c r="R365" s="34"/>
      <c r="S365" s="34"/>
      <c r="T365" s="34"/>
      <c r="U365" s="34"/>
      <c r="V365" s="34"/>
      <c r="W365" s="34"/>
      <c r="X365" s="34"/>
      <c r="Y365" s="34"/>
      <c r="Z365" s="34"/>
      <c r="AA365" s="34"/>
      <c r="AB365" s="34"/>
      <c r="AC365" s="34"/>
    </row>
    <row r="366" spans="2:29" ht="35.25" customHeight="1" x14ac:dyDescent="0.25">
      <c r="B366" s="36" t="s">
        <v>10</v>
      </c>
      <c r="C366" s="9"/>
      <c r="D366" s="9"/>
      <c r="E366" s="37"/>
      <c r="K366" s="22"/>
      <c r="L366" s="22"/>
      <c r="M366" s="22"/>
      <c r="N366" s="34"/>
      <c r="O366" s="34"/>
      <c r="P366" s="34"/>
      <c r="Q366" s="34"/>
      <c r="R366" s="34"/>
      <c r="S366" s="34"/>
      <c r="T366" s="34"/>
      <c r="U366" s="34"/>
      <c r="V366" s="34"/>
      <c r="W366" s="34"/>
      <c r="X366" s="34"/>
      <c r="Y366" s="34"/>
      <c r="Z366" s="34"/>
      <c r="AA366" s="34"/>
      <c r="AB366" s="34"/>
      <c r="AC366" s="34"/>
    </row>
    <row r="367" spans="2:29" ht="57.75" customHeight="1" x14ac:dyDescent="0.25">
      <c r="B367" s="38"/>
      <c r="C367" s="101" t="s">
        <v>70</v>
      </c>
      <c r="D367" s="102"/>
      <c r="E367" s="103"/>
      <c r="K367" s="22"/>
      <c r="L367" s="22"/>
      <c r="M367" s="22"/>
      <c r="N367" s="34"/>
      <c r="O367" s="34"/>
      <c r="P367" s="34"/>
      <c r="Q367" s="34"/>
      <c r="R367" s="34"/>
      <c r="S367" s="34"/>
      <c r="T367" s="34"/>
      <c r="U367" s="34"/>
      <c r="V367" s="34"/>
      <c r="W367" s="34"/>
      <c r="X367" s="34"/>
      <c r="Y367" s="34"/>
      <c r="Z367" s="34"/>
      <c r="AA367" s="34"/>
      <c r="AB367" s="34"/>
      <c r="AC367" s="34"/>
    </row>
    <row r="368" spans="2:29" ht="20.25" customHeight="1" x14ac:dyDescent="0.25">
      <c r="B368" s="36" t="s">
        <v>11</v>
      </c>
      <c r="C368" s="39"/>
      <c r="D368" s="39"/>
      <c r="E368" s="40"/>
      <c r="K368" s="22"/>
      <c r="L368" s="22"/>
      <c r="M368" s="22"/>
      <c r="N368" s="34"/>
      <c r="O368" s="34"/>
      <c r="P368" s="34"/>
      <c r="Q368" s="34"/>
      <c r="R368" s="34"/>
      <c r="S368" s="34"/>
      <c r="T368" s="34"/>
      <c r="U368" s="34"/>
      <c r="V368" s="34"/>
      <c r="W368" s="34"/>
      <c r="X368" s="34"/>
      <c r="Y368" s="34"/>
      <c r="Z368" s="34"/>
      <c r="AA368" s="34"/>
      <c r="AB368" s="34"/>
      <c r="AC368" s="34"/>
    </row>
    <row r="369" spans="2:29" ht="27.75" customHeight="1" x14ac:dyDescent="0.25">
      <c r="B369" s="38"/>
      <c r="C369" s="112"/>
      <c r="D369" s="111"/>
      <c r="E369" s="113"/>
      <c r="K369" s="22"/>
      <c r="L369" s="22"/>
      <c r="M369" s="22"/>
      <c r="N369" s="34"/>
      <c r="O369" s="34"/>
      <c r="P369" s="34"/>
      <c r="Q369" s="34"/>
      <c r="R369" s="34"/>
      <c r="S369" s="34"/>
      <c r="T369" s="34"/>
      <c r="U369" s="34"/>
      <c r="V369" s="34"/>
      <c r="W369" s="34"/>
      <c r="X369" s="34"/>
      <c r="Y369" s="34"/>
      <c r="Z369" s="34"/>
      <c r="AA369" s="34"/>
      <c r="AB369" s="34"/>
      <c r="AC369" s="34"/>
    </row>
    <row r="370" spans="2:29" ht="40.5" customHeight="1" x14ac:dyDescent="0.25">
      <c r="B370" s="36" t="s">
        <v>12</v>
      </c>
      <c r="C370" s="41"/>
      <c r="D370" s="41"/>
      <c r="E370" s="42"/>
      <c r="K370" s="22"/>
      <c r="L370" s="22"/>
      <c r="M370" s="22"/>
      <c r="N370" s="34"/>
      <c r="O370" s="34"/>
      <c r="P370" s="34"/>
      <c r="Q370" s="34"/>
      <c r="R370" s="34"/>
      <c r="S370" s="34"/>
      <c r="T370" s="34"/>
      <c r="U370" s="34"/>
      <c r="V370" s="34"/>
      <c r="W370" s="34"/>
      <c r="X370" s="34"/>
      <c r="Y370" s="34"/>
      <c r="Z370" s="34"/>
      <c r="AA370" s="34"/>
      <c r="AB370" s="34"/>
      <c r="AC370" s="34"/>
    </row>
    <row r="371" spans="2:29" ht="27.75" customHeight="1" x14ac:dyDescent="0.25">
      <c r="B371" s="38"/>
      <c r="C371" s="101" t="s">
        <v>58</v>
      </c>
      <c r="D371" s="114"/>
      <c r="E371" s="115"/>
      <c r="K371" s="22"/>
      <c r="L371" s="22"/>
      <c r="M371" s="22"/>
      <c r="N371" s="34"/>
      <c r="O371" s="34"/>
      <c r="P371" s="34"/>
      <c r="Q371" s="34"/>
      <c r="R371" s="34"/>
      <c r="S371" s="34"/>
      <c r="T371" s="34"/>
      <c r="U371" s="34"/>
      <c r="V371" s="34"/>
      <c r="W371" s="34"/>
      <c r="X371" s="34"/>
      <c r="Y371" s="34"/>
      <c r="Z371" s="34"/>
      <c r="AA371" s="34"/>
      <c r="AB371" s="34"/>
      <c r="AC371" s="34"/>
    </row>
    <row r="372" spans="2:29" ht="27.75" customHeight="1" x14ac:dyDescent="0.25">
      <c r="B372" s="36" t="s">
        <v>13</v>
      </c>
      <c r="C372" s="39"/>
      <c r="D372" s="39"/>
      <c r="E372" s="40"/>
      <c r="K372" s="22"/>
      <c r="L372" s="22"/>
      <c r="M372" s="22"/>
      <c r="N372" s="34"/>
      <c r="O372" s="34"/>
      <c r="P372" s="34"/>
      <c r="Q372" s="34"/>
      <c r="R372" s="34"/>
      <c r="S372" s="34"/>
      <c r="T372" s="34"/>
      <c r="U372" s="34"/>
      <c r="V372" s="34"/>
      <c r="W372" s="34"/>
      <c r="X372" s="34"/>
      <c r="Y372" s="34"/>
      <c r="Z372" s="34"/>
      <c r="AA372" s="34"/>
      <c r="AB372" s="34"/>
      <c r="AC372" s="34"/>
    </row>
    <row r="373" spans="2:29" ht="13.5" customHeight="1" x14ac:dyDescent="0.25">
      <c r="B373" s="36"/>
      <c r="C373" s="116" t="s">
        <v>20</v>
      </c>
      <c r="D373" s="114"/>
      <c r="E373" s="115"/>
      <c r="K373" s="22"/>
      <c r="L373" s="22"/>
      <c r="M373" s="22"/>
      <c r="N373" s="34"/>
      <c r="O373" s="34"/>
      <c r="P373" s="34"/>
      <c r="Q373" s="34"/>
      <c r="R373" s="34"/>
      <c r="S373" s="34"/>
      <c r="T373" s="34"/>
      <c r="U373" s="34"/>
      <c r="V373" s="34"/>
      <c r="W373" s="34"/>
      <c r="X373" s="34"/>
      <c r="Y373" s="34"/>
      <c r="Z373" s="34"/>
      <c r="AA373" s="34"/>
      <c r="AB373" s="34"/>
      <c r="AC373" s="34"/>
    </row>
    <row r="374" spans="2:29" ht="13.5" customHeight="1" thickBot="1" x14ac:dyDescent="0.3">
      <c r="B374" s="43"/>
      <c r="C374" s="44"/>
      <c r="D374" s="44"/>
      <c r="E374" s="45"/>
      <c r="K374" s="22"/>
      <c r="L374" s="22"/>
      <c r="M374" s="22"/>
      <c r="N374" s="34"/>
      <c r="O374" s="34"/>
      <c r="P374" s="34"/>
      <c r="Q374" s="34"/>
      <c r="R374" s="34"/>
      <c r="S374" s="34"/>
      <c r="T374" s="34"/>
      <c r="U374" s="34"/>
      <c r="V374" s="34"/>
      <c r="W374" s="34"/>
      <c r="X374" s="34"/>
      <c r="Y374" s="34"/>
      <c r="Z374" s="34"/>
      <c r="AA374" s="34"/>
      <c r="AB374" s="34"/>
      <c r="AC374" s="34"/>
    </row>
    <row r="375" spans="2:29" ht="13.5" customHeight="1" thickBot="1" x14ac:dyDescent="0.3">
      <c r="K375" s="22"/>
      <c r="L375" s="22"/>
      <c r="M375" s="22"/>
      <c r="N375" s="34"/>
      <c r="O375" s="34"/>
      <c r="P375" s="34"/>
      <c r="Q375" s="34"/>
      <c r="R375" s="34"/>
      <c r="S375" s="34"/>
      <c r="T375" s="34"/>
      <c r="U375" s="34"/>
      <c r="V375" s="34"/>
      <c r="W375" s="34"/>
      <c r="X375" s="34"/>
      <c r="Y375" s="34"/>
      <c r="Z375" s="34"/>
      <c r="AA375" s="34"/>
      <c r="AB375" s="34"/>
      <c r="AC375" s="34"/>
    </row>
    <row r="376" spans="2:29" ht="13.5" customHeight="1" thickBot="1" x14ac:dyDescent="0.3">
      <c r="B376" s="98" t="s">
        <v>34</v>
      </c>
      <c r="C376" s="99"/>
      <c r="D376" s="99"/>
      <c r="E376" s="100"/>
      <c r="K376" s="22"/>
      <c r="L376" s="22"/>
      <c r="M376" s="22"/>
      <c r="N376" s="34"/>
      <c r="O376" s="34"/>
      <c r="P376" s="34"/>
      <c r="Q376" s="34"/>
      <c r="R376" s="34"/>
      <c r="S376" s="34"/>
      <c r="T376" s="34"/>
      <c r="U376" s="34"/>
      <c r="V376" s="34"/>
      <c r="W376" s="34"/>
      <c r="X376" s="34"/>
      <c r="Y376" s="34"/>
      <c r="Z376" s="34"/>
      <c r="AA376" s="34"/>
      <c r="AB376" s="34"/>
      <c r="AC376" s="34"/>
    </row>
    <row r="377" spans="2:29" ht="30.75" customHeight="1" x14ac:dyDescent="0.25">
      <c r="B377" s="36" t="s">
        <v>9</v>
      </c>
      <c r="C377" s="9"/>
      <c r="D377" s="9"/>
      <c r="E377" s="37"/>
      <c r="K377" s="22"/>
      <c r="L377" s="22"/>
      <c r="M377" s="22"/>
      <c r="N377" s="34"/>
      <c r="O377" s="34"/>
      <c r="P377" s="34"/>
      <c r="Q377" s="34"/>
      <c r="R377" s="34"/>
      <c r="S377" s="34"/>
      <c r="T377" s="34"/>
      <c r="U377" s="34"/>
      <c r="V377" s="34"/>
      <c r="W377" s="34"/>
      <c r="X377" s="34"/>
      <c r="Y377" s="34"/>
      <c r="Z377" s="34"/>
      <c r="AA377" s="34"/>
      <c r="AB377" s="34"/>
      <c r="AC377" s="34"/>
    </row>
    <row r="378" spans="2:29" ht="141" customHeight="1" x14ac:dyDescent="0.25">
      <c r="B378" s="36"/>
      <c r="C378" s="101" t="s">
        <v>67</v>
      </c>
      <c r="D378" s="102"/>
      <c r="E378" s="103"/>
      <c r="K378" s="22"/>
      <c r="L378" s="22"/>
      <c r="M378" s="22"/>
      <c r="N378" s="34"/>
      <c r="O378" s="34"/>
      <c r="P378" s="34"/>
      <c r="Q378" s="34"/>
      <c r="R378" s="34"/>
      <c r="S378" s="34"/>
      <c r="T378" s="34"/>
      <c r="U378" s="34"/>
      <c r="V378" s="34"/>
      <c r="W378" s="34"/>
      <c r="X378" s="34"/>
      <c r="Y378" s="34"/>
      <c r="Z378" s="34"/>
      <c r="AA378" s="34"/>
      <c r="AB378" s="34"/>
      <c r="AC378" s="34"/>
    </row>
    <row r="379" spans="2:29" ht="34.5" customHeight="1" x14ac:dyDescent="0.25">
      <c r="B379" s="36" t="s">
        <v>10</v>
      </c>
      <c r="C379" s="9"/>
      <c r="D379" s="9"/>
      <c r="E379" s="37"/>
      <c r="K379" s="22"/>
      <c r="L379" s="22"/>
      <c r="M379" s="22"/>
      <c r="N379" s="34"/>
      <c r="O379" s="34"/>
      <c r="P379" s="34"/>
      <c r="Q379" s="34"/>
      <c r="R379" s="34"/>
      <c r="S379" s="34"/>
      <c r="T379" s="34"/>
      <c r="U379" s="34"/>
      <c r="V379" s="34"/>
      <c r="W379" s="34"/>
      <c r="X379" s="34"/>
      <c r="Y379" s="34"/>
      <c r="Z379" s="34"/>
      <c r="AA379" s="34"/>
      <c r="AB379" s="34"/>
      <c r="AC379" s="34"/>
    </row>
    <row r="380" spans="2:29" ht="81" customHeight="1" x14ac:dyDescent="0.25">
      <c r="B380" s="38"/>
      <c r="C380" s="101" t="s">
        <v>70</v>
      </c>
      <c r="D380" s="102"/>
      <c r="E380" s="103"/>
      <c r="K380" s="22"/>
      <c r="L380" s="22"/>
      <c r="M380" s="22"/>
      <c r="N380" s="22"/>
      <c r="O380" s="22"/>
      <c r="P380" s="22"/>
      <c r="Q380" s="22"/>
      <c r="R380" s="22"/>
      <c r="S380" s="22"/>
      <c r="T380" s="22"/>
      <c r="U380" s="22"/>
      <c r="V380" s="22"/>
      <c r="W380" s="22"/>
      <c r="X380" s="22"/>
      <c r="Y380" s="22"/>
      <c r="Z380" s="22"/>
      <c r="AA380" s="22"/>
      <c r="AB380" s="22"/>
      <c r="AC380" s="22"/>
    </row>
    <row r="381" spans="2:29" ht="24" customHeight="1" x14ac:dyDescent="0.25">
      <c r="B381" s="36" t="s">
        <v>11</v>
      </c>
      <c r="C381" s="39"/>
      <c r="D381" s="39"/>
      <c r="E381" s="40"/>
      <c r="K381" s="22"/>
      <c r="L381" s="22"/>
      <c r="M381" s="22"/>
      <c r="N381" s="22"/>
      <c r="O381" s="22"/>
      <c r="P381" s="22"/>
      <c r="Q381" s="22"/>
      <c r="R381" s="22"/>
      <c r="S381" s="22"/>
      <c r="T381" s="22"/>
      <c r="U381" s="22"/>
      <c r="V381" s="22"/>
      <c r="W381" s="22"/>
      <c r="X381" s="22"/>
      <c r="Y381" s="22"/>
      <c r="Z381" s="22"/>
      <c r="AA381" s="22"/>
      <c r="AB381" s="22"/>
      <c r="AC381" s="22"/>
    </row>
    <row r="382" spans="2:29" ht="14.25" customHeight="1" x14ac:dyDescent="0.25">
      <c r="B382" s="38"/>
      <c r="C382" s="112"/>
      <c r="D382" s="111"/>
      <c r="E382" s="113"/>
      <c r="K382" s="22"/>
      <c r="L382" s="22"/>
      <c r="M382" s="22"/>
      <c r="N382" s="22"/>
      <c r="O382" s="22"/>
      <c r="P382" s="22"/>
      <c r="Q382" s="22"/>
      <c r="R382" s="22"/>
      <c r="S382" s="22"/>
      <c r="T382" s="22"/>
      <c r="U382" s="22"/>
      <c r="V382" s="22"/>
      <c r="W382" s="22"/>
      <c r="X382" s="22"/>
      <c r="Y382" s="22"/>
      <c r="Z382" s="22"/>
      <c r="AA382" s="22"/>
      <c r="AB382" s="22"/>
      <c r="AC382" s="22"/>
    </row>
    <row r="383" spans="2:29" ht="15" customHeight="1" x14ac:dyDescent="0.25">
      <c r="B383" s="36" t="s">
        <v>12</v>
      </c>
      <c r="C383" s="41"/>
      <c r="D383" s="41"/>
      <c r="E383" s="42"/>
      <c r="K383" s="22"/>
      <c r="L383" s="22"/>
      <c r="M383" s="22"/>
      <c r="N383" s="22"/>
      <c r="O383" s="22"/>
      <c r="P383" s="22"/>
      <c r="Q383" s="22"/>
      <c r="R383" s="22"/>
      <c r="S383" s="22"/>
      <c r="T383" s="22"/>
      <c r="U383" s="22"/>
      <c r="V383" s="22"/>
      <c r="W383" s="22"/>
      <c r="X383" s="22"/>
      <c r="Y383" s="22"/>
      <c r="Z383" s="22"/>
      <c r="AA383" s="22"/>
      <c r="AB383" s="22"/>
      <c r="AC383" s="22"/>
    </row>
    <row r="384" spans="2:29" ht="27.75" customHeight="1" x14ac:dyDescent="0.25">
      <c r="B384" s="38"/>
      <c r="C384" s="101" t="s">
        <v>58</v>
      </c>
      <c r="D384" s="114"/>
      <c r="E384" s="115"/>
      <c r="K384" s="22"/>
      <c r="L384" s="22"/>
      <c r="M384" s="22"/>
      <c r="N384" s="22"/>
      <c r="O384" s="22"/>
      <c r="P384" s="22"/>
      <c r="Q384" s="22"/>
      <c r="R384" s="22"/>
      <c r="S384" s="22"/>
      <c r="T384" s="22"/>
      <c r="U384" s="22"/>
      <c r="V384" s="22"/>
      <c r="W384" s="22"/>
      <c r="X384" s="22"/>
      <c r="Y384" s="22"/>
      <c r="Z384" s="22"/>
      <c r="AA384" s="22"/>
      <c r="AB384" s="22"/>
      <c r="AC384" s="22"/>
    </row>
    <row r="385" spans="2:29" ht="14.25" customHeight="1" x14ac:dyDescent="0.25">
      <c r="B385" s="36" t="s">
        <v>13</v>
      </c>
      <c r="C385" s="39"/>
      <c r="D385" s="39"/>
      <c r="E385" s="40"/>
      <c r="K385" s="22"/>
      <c r="L385" s="22"/>
      <c r="M385" s="22"/>
      <c r="N385" s="22"/>
      <c r="O385" s="22"/>
      <c r="P385" s="22"/>
      <c r="Q385" s="22"/>
      <c r="R385" s="22"/>
      <c r="S385" s="22"/>
      <c r="T385" s="22"/>
      <c r="U385" s="22"/>
      <c r="V385" s="22"/>
      <c r="W385" s="22"/>
      <c r="X385" s="22"/>
      <c r="Y385" s="22"/>
      <c r="Z385" s="22"/>
      <c r="AA385" s="22"/>
      <c r="AB385" s="22"/>
      <c r="AC385" s="22"/>
    </row>
    <row r="386" spans="2:29" ht="27.75" customHeight="1" x14ac:dyDescent="0.25">
      <c r="B386" s="36"/>
      <c r="C386" s="116" t="s">
        <v>20</v>
      </c>
      <c r="D386" s="114"/>
      <c r="E386" s="115"/>
      <c r="K386" s="22"/>
      <c r="L386" s="22"/>
      <c r="M386" s="22"/>
      <c r="N386" s="22"/>
      <c r="O386" s="22"/>
      <c r="P386" s="22"/>
      <c r="Q386" s="22"/>
      <c r="R386" s="22"/>
      <c r="S386" s="22"/>
      <c r="T386" s="22"/>
      <c r="U386" s="22"/>
      <c r="V386" s="22"/>
      <c r="W386" s="22"/>
      <c r="X386" s="22"/>
      <c r="Y386" s="22"/>
      <c r="Z386" s="22"/>
      <c r="AA386" s="22"/>
      <c r="AB386" s="22"/>
      <c r="AC386" s="22"/>
    </row>
    <row r="387" spans="2:29" ht="27.75" customHeight="1" thickBot="1" x14ac:dyDescent="0.3">
      <c r="B387" s="43"/>
      <c r="C387" s="44"/>
      <c r="D387" s="44"/>
      <c r="E387" s="45"/>
      <c r="K387" s="22"/>
      <c r="L387" s="22"/>
      <c r="M387" s="22"/>
      <c r="N387" s="22"/>
      <c r="O387" s="22"/>
      <c r="P387" s="22"/>
      <c r="Q387" s="22"/>
      <c r="R387" s="22"/>
      <c r="S387" s="22"/>
      <c r="T387" s="22"/>
      <c r="U387" s="22"/>
      <c r="V387" s="22"/>
      <c r="W387" s="22"/>
      <c r="X387" s="22"/>
      <c r="Y387" s="22"/>
      <c r="Z387" s="22"/>
      <c r="AA387" s="22"/>
      <c r="AB387" s="22"/>
      <c r="AC387" s="22"/>
    </row>
    <row r="388" spans="2:29" ht="27.75" customHeight="1" thickBot="1" x14ac:dyDescent="0.3">
      <c r="K388" s="22"/>
      <c r="L388" s="22"/>
      <c r="M388" s="22"/>
      <c r="N388" s="22"/>
      <c r="O388" s="22"/>
      <c r="P388" s="22"/>
      <c r="Q388" s="22"/>
      <c r="R388" s="22"/>
      <c r="S388" s="22"/>
      <c r="T388" s="22"/>
      <c r="U388" s="22"/>
      <c r="V388" s="22"/>
      <c r="W388" s="22"/>
      <c r="X388" s="22"/>
      <c r="Y388" s="22"/>
      <c r="Z388" s="22"/>
      <c r="AA388" s="22"/>
      <c r="AB388" s="22"/>
      <c r="AC388" s="22"/>
    </row>
    <row r="389" spans="2:29" ht="27.75" customHeight="1" thickBot="1" x14ac:dyDescent="0.3">
      <c r="B389" s="98" t="s">
        <v>35</v>
      </c>
      <c r="C389" s="99"/>
      <c r="D389" s="99"/>
      <c r="E389" s="100"/>
      <c r="K389" s="22"/>
      <c r="L389" s="22"/>
      <c r="M389" s="22"/>
      <c r="N389" s="22"/>
      <c r="O389" s="22"/>
      <c r="P389" s="22"/>
      <c r="Q389" s="22"/>
      <c r="R389" s="22"/>
      <c r="S389" s="22"/>
      <c r="T389" s="22"/>
      <c r="U389" s="22"/>
      <c r="V389" s="22"/>
      <c r="W389" s="22"/>
      <c r="X389" s="22"/>
      <c r="Y389" s="22"/>
      <c r="Z389" s="22"/>
      <c r="AA389" s="22"/>
      <c r="AB389" s="22"/>
      <c r="AC389" s="22"/>
    </row>
    <row r="390" spans="2:29" ht="27.75" customHeight="1" x14ac:dyDescent="0.25">
      <c r="B390" s="36" t="s">
        <v>9</v>
      </c>
      <c r="C390" s="9"/>
      <c r="D390" s="9"/>
      <c r="E390" s="37"/>
      <c r="K390" s="22"/>
      <c r="L390" s="22"/>
      <c r="M390" s="22"/>
      <c r="N390" s="22"/>
      <c r="O390" s="22"/>
      <c r="P390" s="22"/>
      <c r="Q390" s="22"/>
      <c r="R390" s="22"/>
      <c r="S390" s="22"/>
      <c r="T390" s="22"/>
      <c r="U390" s="22"/>
      <c r="V390" s="22"/>
      <c r="W390" s="22"/>
      <c r="X390" s="22"/>
      <c r="Y390" s="22"/>
      <c r="Z390" s="22"/>
      <c r="AA390" s="22"/>
      <c r="AB390" s="22"/>
      <c r="AC390" s="22"/>
    </row>
    <row r="391" spans="2:29" ht="144" customHeight="1" x14ac:dyDescent="0.25">
      <c r="B391" s="36"/>
      <c r="C391" s="101" t="s">
        <v>76</v>
      </c>
      <c r="D391" s="102"/>
      <c r="E391" s="103"/>
      <c r="K391" s="22"/>
      <c r="L391" s="22"/>
      <c r="M391" s="22"/>
      <c r="N391" s="22"/>
      <c r="O391" s="22"/>
      <c r="P391" s="22"/>
      <c r="Q391" s="22"/>
      <c r="R391" s="22"/>
      <c r="S391" s="22"/>
      <c r="T391" s="22"/>
      <c r="U391" s="22"/>
      <c r="V391" s="22"/>
      <c r="W391" s="22"/>
      <c r="X391" s="22"/>
      <c r="Y391" s="22"/>
      <c r="Z391" s="22"/>
      <c r="AA391" s="22"/>
      <c r="AB391" s="22"/>
      <c r="AC391" s="22"/>
    </row>
    <row r="392" spans="2:29" ht="21.75" customHeight="1" x14ac:dyDescent="0.25">
      <c r="B392" s="36" t="s">
        <v>10</v>
      </c>
      <c r="C392" s="9"/>
      <c r="D392" s="9"/>
      <c r="E392" s="37"/>
      <c r="K392" s="22"/>
      <c r="L392" s="22"/>
      <c r="M392" s="22"/>
      <c r="N392" s="22"/>
      <c r="O392" s="22"/>
      <c r="P392" s="22"/>
      <c r="Q392" s="22"/>
      <c r="R392" s="22"/>
      <c r="S392" s="22"/>
      <c r="T392" s="22"/>
      <c r="U392" s="22"/>
      <c r="V392" s="22"/>
      <c r="W392" s="22"/>
      <c r="X392" s="22"/>
      <c r="Y392" s="22"/>
      <c r="Z392" s="22"/>
      <c r="AA392" s="22"/>
      <c r="AB392" s="22"/>
      <c r="AC392" s="22"/>
    </row>
    <row r="393" spans="2:29" ht="105" customHeight="1" x14ac:dyDescent="0.25">
      <c r="B393" s="38"/>
      <c r="C393" s="101" t="s">
        <v>70</v>
      </c>
      <c r="D393" s="102"/>
      <c r="E393" s="103"/>
      <c r="K393" s="22"/>
      <c r="L393" s="22"/>
      <c r="M393" s="22"/>
      <c r="N393" s="22"/>
      <c r="O393" s="22"/>
      <c r="P393" s="22"/>
      <c r="Q393" s="22"/>
      <c r="R393" s="22"/>
      <c r="S393" s="22"/>
      <c r="T393" s="22"/>
      <c r="U393" s="22"/>
      <c r="V393" s="22"/>
      <c r="W393" s="22"/>
      <c r="X393" s="22"/>
      <c r="Y393" s="22"/>
      <c r="Z393" s="22"/>
      <c r="AA393" s="22"/>
      <c r="AB393" s="22"/>
      <c r="AC393" s="22"/>
    </row>
    <row r="394" spans="2:29" ht="15.75" customHeight="1" x14ac:dyDescent="0.25">
      <c r="B394" s="36" t="s">
        <v>11</v>
      </c>
      <c r="C394" s="39"/>
      <c r="D394" s="39"/>
      <c r="E394" s="40"/>
      <c r="K394" s="22"/>
      <c r="L394" s="22"/>
      <c r="M394" s="22"/>
      <c r="N394" s="22"/>
      <c r="O394" s="22"/>
      <c r="P394" s="22"/>
      <c r="Q394" s="22"/>
      <c r="R394" s="22"/>
      <c r="S394" s="22"/>
      <c r="T394" s="22"/>
      <c r="U394" s="22"/>
      <c r="V394" s="22"/>
      <c r="W394" s="22"/>
      <c r="X394" s="22"/>
      <c r="Y394" s="22"/>
      <c r="Z394" s="22"/>
      <c r="AA394" s="22"/>
      <c r="AB394" s="22"/>
      <c r="AC394" s="22"/>
    </row>
    <row r="395" spans="2:29" ht="15" customHeight="1" x14ac:dyDescent="0.25">
      <c r="B395" s="38"/>
      <c r="C395" s="112"/>
      <c r="D395" s="111"/>
      <c r="E395" s="113"/>
      <c r="K395" s="22"/>
      <c r="L395" s="22"/>
      <c r="M395" s="22"/>
      <c r="N395" s="22"/>
      <c r="O395" s="22"/>
      <c r="P395" s="22"/>
      <c r="Q395" s="22"/>
      <c r="R395" s="22"/>
      <c r="S395" s="22"/>
      <c r="T395" s="22"/>
      <c r="U395" s="22"/>
      <c r="V395" s="22"/>
      <c r="W395" s="22"/>
      <c r="X395" s="22"/>
      <c r="Y395" s="22"/>
      <c r="Z395" s="22"/>
      <c r="AA395" s="22"/>
      <c r="AB395" s="22"/>
      <c r="AC395" s="22"/>
    </row>
    <row r="396" spans="2:29" ht="25.5" customHeight="1" x14ac:dyDescent="0.25">
      <c r="B396" s="36" t="s">
        <v>12</v>
      </c>
      <c r="C396" s="41"/>
      <c r="D396" s="41"/>
      <c r="E396" s="42"/>
      <c r="K396" s="22"/>
      <c r="L396" s="22"/>
      <c r="M396" s="22"/>
      <c r="N396" s="22"/>
      <c r="O396" s="22"/>
      <c r="P396" s="22"/>
      <c r="Q396" s="22"/>
      <c r="R396" s="22"/>
      <c r="S396" s="22"/>
      <c r="T396" s="22"/>
      <c r="U396" s="22"/>
      <c r="V396" s="22"/>
      <c r="W396" s="22"/>
      <c r="X396" s="22"/>
      <c r="Y396" s="22"/>
      <c r="Z396" s="22"/>
      <c r="AA396" s="22"/>
      <c r="AB396" s="22"/>
      <c r="AC396" s="22"/>
    </row>
    <row r="397" spans="2:29" ht="15" customHeight="1" x14ac:dyDescent="0.25">
      <c r="B397" s="38"/>
      <c r="C397" s="101" t="s">
        <v>58</v>
      </c>
      <c r="D397" s="114"/>
      <c r="E397" s="115"/>
      <c r="K397" s="22"/>
      <c r="L397" s="22"/>
      <c r="M397" s="22"/>
      <c r="N397" s="22"/>
      <c r="O397" s="22"/>
      <c r="P397" s="22"/>
      <c r="Q397" s="22"/>
      <c r="R397" s="22"/>
      <c r="S397" s="22"/>
      <c r="T397" s="22"/>
      <c r="U397" s="22"/>
      <c r="V397" s="22"/>
      <c r="W397" s="22"/>
      <c r="X397" s="22"/>
      <c r="Y397" s="22"/>
      <c r="Z397" s="22"/>
      <c r="AA397" s="22"/>
      <c r="AB397" s="22"/>
      <c r="AC397" s="22"/>
    </row>
    <row r="398" spans="2:29" ht="15" customHeight="1" x14ac:dyDescent="0.25">
      <c r="B398" s="36" t="s">
        <v>13</v>
      </c>
      <c r="C398" s="39"/>
      <c r="D398" s="39"/>
      <c r="E398" s="40"/>
      <c r="K398" s="22"/>
      <c r="L398" s="22"/>
      <c r="M398" s="22"/>
      <c r="N398" s="22"/>
      <c r="O398" s="22"/>
      <c r="P398" s="22"/>
      <c r="Q398" s="22"/>
      <c r="R398" s="22"/>
      <c r="S398" s="22"/>
      <c r="T398" s="22"/>
      <c r="U398" s="22"/>
      <c r="V398" s="22"/>
      <c r="W398" s="22"/>
      <c r="X398" s="22"/>
      <c r="Y398" s="22"/>
      <c r="Z398" s="22"/>
      <c r="AA398" s="22"/>
      <c r="AB398" s="22"/>
      <c r="AC398" s="22"/>
    </row>
    <row r="399" spans="2:29" ht="15" customHeight="1" x14ac:dyDescent="0.25">
      <c r="B399" s="36"/>
      <c r="C399" s="116" t="s">
        <v>20</v>
      </c>
      <c r="D399" s="114"/>
      <c r="E399" s="115"/>
      <c r="K399" s="22"/>
      <c r="L399" s="22"/>
      <c r="M399" s="22"/>
      <c r="N399" s="22"/>
      <c r="O399" s="22"/>
      <c r="P399" s="22"/>
      <c r="Q399" s="22"/>
      <c r="R399" s="22"/>
      <c r="S399" s="22"/>
      <c r="T399" s="22"/>
      <c r="U399" s="22"/>
      <c r="V399" s="22"/>
      <c r="W399" s="22"/>
      <c r="X399" s="22"/>
      <c r="Y399" s="22"/>
      <c r="Z399" s="22"/>
      <c r="AA399" s="22"/>
      <c r="AB399" s="22"/>
      <c r="AC399" s="22"/>
    </row>
    <row r="400" spans="2:29" ht="15" customHeight="1" thickBot="1" x14ac:dyDescent="0.3">
      <c r="B400" s="43"/>
      <c r="C400" s="44"/>
      <c r="D400" s="44"/>
      <c r="E400" s="45"/>
      <c r="K400" s="22"/>
      <c r="L400" s="22"/>
      <c r="M400" s="22"/>
      <c r="N400" s="22"/>
      <c r="O400" s="22"/>
      <c r="P400" s="22"/>
      <c r="Q400" s="22"/>
      <c r="R400" s="22"/>
      <c r="S400" s="22"/>
      <c r="T400" s="22"/>
      <c r="U400" s="22"/>
      <c r="V400" s="22"/>
      <c r="W400" s="22"/>
      <c r="X400" s="22"/>
      <c r="Y400" s="22"/>
      <c r="Z400" s="22"/>
      <c r="AA400" s="22"/>
      <c r="AB400" s="22"/>
      <c r="AC400" s="22"/>
    </row>
    <row r="401" spans="11:29" ht="27.75" customHeight="1" x14ac:dyDescent="0.25">
      <c r="K401" s="22"/>
      <c r="L401" s="22"/>
      <c r="M401" s="22"/>
      <c r="N401" s="22"/>
      <c r="O401" s="22"/>
      <c r="P401" s="22"/>
      <c r="Q401" s="22"/>
      <c r="R401" s="22"/>
      <c r="S401" s="22"/>
      <c r="T401" s="22"/>
      <c r="U401" s="22"/>
      <c r="V401" s="22"/>
      <c r="W401" s="22"/>
      <c r="X401" s="22"/>
      <c r="Y401" s="22"/>
      <c r="Z401" s="22"/>
      <c r="AA401" s="22"/>
      <c r="AB401" s="22"/>
      <c r="AC401" s="22"/>
    </row>
    <row r="402" spans="11:29" ht="27.75" customHeight="1" x14ac:dyDescent="0.25">
      <c r="K402" s="22"/>
      <c r="L402" s="22"/>
      <c r="M402" s="22"/>
      <c r="N402" s="22"/>
      <c r="O402" s="22"/>
      <c r="P402" s="22"/>
      <c r="Q402" s="22"/>
      <c r="R402" s="22"/>
      <c r="S402" s="22"/>
      <c r="T402" s="22"/>
      <c r="U402" s="22"/>
      <c r="V402" s="22"/>
      <c r="W402" s="22"/>
      <c r="X402" s="22"/>
      <c r="Y402" s="22"/>
      <c r="Z402" s="22"/>
      <c r="AA402" s="22"/>
      <c r="AB402" s="22"/>
      <c r="AC402" s="22"/>
    </row>
    <row r="403" spans="11:29" ht="12.75" customHeight="1" x14ac:dyDescent="0.25">
      <c r="K403" s="22"/>
      <c r="L403" s="22"/>
      <c r="M403" s="22"/>
      <c r="N403" s="22"/>
      <c r="O403" s="22"/>
      <c r="P403" s="22"/>
      <c r="Q403" s="22"/>
      <c r="R403" s="22"/>
      <c r="S403" s="22"/>
      <c r="T403" s="22"/>
      <c r="U403" s="22"/>
      <c r="V403" s="22"/>
      <c r="W403" s="22"/>
      <c r="X403" s="22"/>
      <c r="Y403" s="22"/>
      <c r="Z403" s="22"/>
      <c r="AA403" s="22"/>
      <c r="AB403" s="22"/>
      <c r="AC403" s="22"/>
    </row>
    <row r="404" spans="11:29" ht="27.75" customHeight="1" x14ac:dyDescent="0.25">
      <c r="K404" s="22"/>
      <c r="L404" s="22"/>
      <c r="M404" s="22"/>
      <c r="N404" s="22"/>
      <c r="O404" s="22"/>
      <c r="P404" s="22"/>
      <c r="Q404" s="22"/>
      <c r="R404" s="22"/>
      <c r="S404" s="22"/>
      <c r="T404" s="22"/>
      <c r="U404" s="22"/>
      <c r="V404" s="22"/>
      <c r="W404" s="22"/>
      <c r="X404" s="22"/>
      <c r="Y404" s="22"/>
      <c r="Z404" s="22"/>
      <c r="AA404" s="22"/>
      <c r="AB404" s="22"/>
      <c r="AC404" s="22"/>
    </row>
    <row r="405" spans="11:29" ht="118.5" customHeight="1" x14ac:dyDescent="0.25">
      <c r="K405" s="22"/>
      <c r="L405" s="22"/>
      <c r="M405" s="22"/>
      <c r="N405" s="22"/>
      <c r="O405" s="22"/>
      <c r="P405" s="22"/>
      <c r="Q405" s="22"/>
      <c r="R405" s="22"/>
      <c r="S405" s="22"/>
      <c r="T405" s="22"/>
      <c r="U405" s="22"/>
      <c r="V405" s="22"/>
      <c r="W405" s="22"/>
      <c r="X405" s="22"/>
      <c r="Y405" s="22"/>
      <c r="Z405" s="22"/>
      <c r="AA405" s="22"/>
      <c r="AB405" s="22"/>
      <c r="AC405" s="22"/>
    </row>
    <row r="406" spans="11:29" ht="27.75" customHeight="1" x14ac:dyDescent="0.25">
      <c r="K406" s="22"/>
      <c r="L406" s="22"/>
      <c r="M406" s="22"/>
      <c r="N406" s="22"/>
      <c r="O406" s="22"/>
      <c r="P406" s="22"/>
      <c r="Q406" s="22"/>
      <c r="R406" s="22"/>
      <c r="S406" s="22"/>
      <c r="T406" s="22"/>
      <c r="U406" s="22"/>
      <c r="V406" s="22"/>
      <c r="W406" s="22"/>
      <c r="X406" s="22"/>
      <c r="Y406" s="22"/>
      <c r="Z406" s="22"/>
      <c r="AA406" s="22"/>
      <c r="AB406" s="22"/>
      <c r="AC406" s="22"/>
    </row>
    <row r="407" spans="11:29" ht="27.75" customHeight="1" x14ac:dyDescent="0.25">
      <c r="K407" s="22"/>
      <c r="L407" s="22"/>
      <c r="M407" s="22"/>
      <c r="N407" s="22"/>
      <c r="O407" s="22"/>
      <c r="P407" s="22"/>
      <c r="Q407" s="22"/>
      <c r="R407" s="22"/>
      <c r="S407" s="22"/>
      <c r="T407" s="22"/>
      <c r="U407" s="22"/>
      <c r="V407" s="22"/>
      <c r="W407" s="22"/>
      <c r="X407" s="22"/>
      <c r="Y407" s="22"/>
      <c r="Z407" s="22"/>
      <c r="AA407" s="22"/>
      <c r="AB407" s="22"/>
      <c r="AC407" s="22"/>
    </row>
    <row r="408" spans="11:29" ht="17.25" customHeight="1" x14ac:dyDescent="0.25">
      <c r="K408" s="22"/>
      <c r="L408" s="22"/>
      <c r="M408" s="22"/>
      <c r="N408" s="22"/>
      <c r="O408" s="22"/>
      <c r="P408" s="22"/>
      <c r="Q408" s="22"/>
      <c r="R408" s="22"/>
      <c r="S408" s="22"/>
      <c r="T408" s="22"/>
      <c r="U408" s="22"/>
      <c r="V408" s="22"/>
      <c r="W408" s="22"/>
      <c r="X408" s="22"/>
      <c r="Y408" s="22"/>
      <c r="Z408" s="22"/>
      <c r="AA408" s="22"/>
      <c r="AB408" s="22"/>
      <c r="AC408" s="22"/>
    </row>
    <row r="409" spans="11:29" ht="17.25" customHeight="1" x14ac:dyDescent="0.25">
      <c r="K409" s="22"/>
      <c r="L409" s="22"/>
      <c r="M409" s="22"/>
      <c r="N409" s="22"/>
      <c r="O409" s="22"/>
      <c r="P409" s="22"/>
      <c r="Q409" s="22"/>
      <c r="R409" s="22"/>
      <c r="S409" s="22"/>
      <c r="T409" s="22"/>
      <c r="U409" s="22"/>
      <c r="V409" s="22"/>
      <c r="W409" s="22"/>
      <c r="X409" s="22"/>
      <c r="Y409" s="22"/>
      <c r="Z409" s="22"/>
      <c r="AA409" s="22"/>
      <c r="AB409" s="22"/>
      <c r="AC409" s="22"/>
    </row>
    <row r="410" spans="11:29" ht="17.25" customHeight="1" x14ac:dyDescent="0.25">
      <c r="K410" s="22"/>
      <c r="L410" s="22"/>
      <c r="M410" s="22"/>
      <c r="N410" s="22"/>
      <c r="O410" s="22"/>
      <c r="P410" s="22"/>
      <c r="Q410" s="22"/>
      <c r="R410" s="22"/>
      <c r="S410" s="22"/>
      <c r="T410" s="22"/>
      <c r="U410" s="22"/>
      <c r="V410" s="22"/>
      <c r="W410" s="22"/>
      <c r="X410" s="22"/>
      <c r="Y410" s="22"/>
      <c r="Z410" s="22"/>
      <c r="AA410" s="22"/>
      <c r="AB410" s="22"/>
      <c r="AC410" s="22"/>
    </row>
    <row r="411" spans="11:29" ht="17.25" customHeight="1" x14ac:dyDescent="0.25">
      <c r="K411" s="22"/>
      <c r="L411" s="22"/>
      <c r="M411" s="22"/>
      <c r="N411" s="22"/>
      <c r="O411" s="22"/>
      <c r="P411" s="22"/>
      <c r="Q411" s="22"/>
      <c r="R411" s="22"/>
      <c r="S411" s="22"/>
      <c r="T411" s="22"/>
      <c r="U411" s="22"/>
      <c r="V411" s="22"/>
      <c r="W411" s="22"/>
      <c r="X411" s="22"/>
      <c r="Y411" s="22"/>
      <c r="Z411" s="22"/>
      <c r="AA411" s="22"/>
      <c r="AB411" s="22"/>
      <c r="AC411" s="22"/>
    </row>
    <row r="412" spans="11:29" ht="17.25" customHeight="1" x14ac:dyDescent="0.25">
      <c r="K412" s="22"/>
      <c r="L412" s="22"/>
      <c r="M412" s="22"/>
      <c r="N412" s="22"/>
      <c r="O412" s="22"/>
      <c r="P412" s="22"/>
      <c r="Q412" s="22"/>
      <c r="R412" s="22"/>
      <c r="S412" s="22"/>
      <c r="T412" s="22"/>
      <c r="U412" s="22"/>
      <c r="V412" s="22"/>
      <c r="W412" s="22"/>
      <c r="X412" s="22"/>
      <c r="Y412" s="22"/>
      <c r="Z412" s="22"/>
      <c r="AA412" s="22"/>
      <c r="AB412" s="22"/>
      <c r="AC412" s="22"/>
    </row>
    <row r="413" spans="11:29" ht="17.25" customHeight="1" x14ac:dyDescent="0.25">
      <c r="L413" s="22"/>
      <c r="M413" s="22"/>
      <c r="N413" s="22"/>
      <c r="O413" s="22"/>
      <c r="P413" s="22"/>
      <c r="Q413" s="22"/>
      <c r="R413" s="22"/>
      <c r="S413" s="22"/>
      <c r="T413" s="22"/>
      <c r="U413" s="22"/>
      <c r="V413" s="22"/>
      <c r="W413" s="22"/>
      <c r="X413" s="22"/>
      <c r="Y413" s="22"/>
      <c r="Z413" s="22"/>
      <c r="AA413" s="22"/>
      <c r="AB413" s="22"/>
      <c r="AC413" s="22"/>
    </row>
    <row r="414" spans="11:29" ht="17.25" customHeight="1" x14ac:dyDescent="0.25">
      <c r="L414" s="22"/>
      <c r="M414" s="22"/>
      <c r="N414" s="22"/>
      <c r="O414" s="22"/>
      <c r="P414" s="22"/>
      <c r="Q414" s="22"/>
      <c r="R414" s="22"/>
      <c r="S414" s="22"/>
      <c r="T414" s="22"/>
      <c r="U414" s="22"/>
      <c r="V414" s="22"/>
      <c r="W414" s="22"/>
      <c r="X414" s="22"/>
      <c r="Y414" s="22"/>
      <c r="Z414" s="22"/>
      <c r="AA414" s="22"/>
      <c r="AB414" s="22"/>
      <c r="AC414" s="22"/>
    </row>
    <row r="415" spans="11:29" ht="17.25" customHeight="1" x14ac:dyDescent="0.25">
      <c r="L415" s="22"/>
      <c r="M415" s="22"/>
      <c r="N415" s="22"/>
      <c r="O415" s="22"/>
      <c r="P415" s="22"/>
      <c r="Q415" s="22"/>
      <c r="R415" s="22"/>
      <c r="S415" s="22"/>
      <c r="T415" s="22"/>
      <c r="U415" s="22"/>
      <c r="V415" s="22"/>
      <c r="W415" s="22"/>
      <c r="X415" s="22"/>
      <c r="Y415" s="22"/>
      <c r="Z415" s="22"/>
      <c r="AA415" s="22"/>
      <c r="AB415" s="22"/>
      <c r="AC415" s="22"/>
    </row>
    <row r="416" spans="11:29" ht="27.75" customHeight="1" x14ac:dyDescent="0.25">
      <c r="L416" s="22"/>
      <c r="M416" s="22"/>
      <c r="N416" s="22"/>
      <c r="O416" s="22"/>
      <c r="P416" s="22"/>
      <c r="Q416" s="22"/>
      <c r="R416" s="22"/>
      <c r="S416" s="22"/>
      <c r="T416" s="22"/>
      <c r="U416" s="22"/>
      <c r="V416" s="22"/>
      <c r="W416" s="22"/>
      <c r="X416" s="22"/>
      <c r="Y416" s="22"/>
      <c r="Z416" s="22"/>
      <c r="AA416" s="22"/>
      <c r="AB416" s="22"/>
      <c r="AC416" s="22"/>
    </row>
    <row r="417" spans="12:29" ht="27.75" customHeight="1" x14ac:dyDescent="0.25">
      <c r="L417" s="22"/>
      <c r="M417" s="22"/>
      <c r="N417" s="22"/>
      <c r="O417" s="22"/>
      <c r="P417" s="22"/>
      <c r="Q417" s="22"/>
      <c r="R417" s="22"/>
      <c r="S417" s="22"/>
      <c r="T417" s="22"/>
      <c r="U417" s="22"/>
      <c r="V417" s="22"/>
      <c r="W417" s="22"/>
      <c r="X417" s="22"/>
      <c r="Y417" s="22"/>
      <c r="Z417" s="22"/>
      <c r="AA417" s="22"/>
      <c r="AB417" s="22"/>
      <c r="AC417" s="22"/>
    </row>
    <row r="418" spans="12:29" ht="27.75" customHeight="1" x14ac:dyDescent="0.25">
      <c r="L418" s="22"/>
      <c r="M418" s="22"/>
      <c r="N418" s="22"/>
      <c r="O418" s="22"/>
      <c r="P418" s="22"/>
      <c r="Q418" s="22"/>
      <c r="R418" s="22"/>
      <c r="S418" s="22"/>
      <c r="T418" s="22"/>
      <c r="U418" s="22"/>
      <c r="V418" s="22"/>
      <c r="W418" s="22"/>
      <c r="X418" s="22"/>
      <c r="Y418" s="22"/>
      <c r="Z418" s="22"/>
      <c r="AA418" s="22"/>
      <c r="AB418" s="22"/>
      <c r="AC418" s="22"/>
    </row>
    <row r="419" spans="12:29" ht="27.75" customHeight="1" x14ac:dyDescent="0.25">
      <c r="L419" s="22"/>
      <c r="M419" s="22"/>
      <c r="N419" s="22"/>
      <c r="O419" s="22"/>
      <c r="P419" s="22"/>
      <c r="Q419" s="22"/>
      <c r="R419" s="22"/>
      <c r="S419" s="22"/>
      <c r="T419" s="22"/>
      <c r="U419" s="22"/>
      <c r="V419" s="22"/>
      <c r="W419" s="22"/>
      <c r="X419" s="22"/>
      <c r="Y419" s="22"/>
      <c r="Z419" s="22"/>
      <c r="AA419" s="22"/>
      <c r="AB419" s="22"/>
      <c r="AC419" s="22"/>
    </row>
    <row r="420" spans="12:29" ht="27.75" customHeight="1" x14ac:dyDescent="0.25">
      <c r="N420" s="22"/>
      <c r="O420" s="22"/>
      <c r="P420" s="22"/>
      <c r="Q420" s="22"/>
      <c r="R420" s="22"/>
      <c r="S420" s="22"/>
      <c r="T420" s="22"/>
      <c r="U420" s="22"/>
      <c r="V420" s="22"/>
      <c r="W420" s="22"/>
      <c r="X420" s="22"/>
      <c r="Y420" s="22"/>
      <c r="Z420" s="22"/>
      <c r="AA420" s="22"/>
      <c r="AB420" s="22"/>
      <c r="AC420" s="22"/>
    </row>
    <row r="421" spans="12:29" ht="15" customHeight="1" x14ac:dyDescent="0.25">
      <c r="N421" s="22"/>
      <c r="O421" s="22"/>
      <c r="P421" s="22"/>
      <c r="Q421" s="22"/>
      <c r="R421" s="22"/>
      <c r="S421" s="22"/>
      <c r="T421" s="22"/>
      <c r="U421" s="22"/>
      <c r="V421" s="22"/>
      <c r="W421" s="22"/>
      <c r="X421" s="22"/>
      <c r="Y421" s="22"/>
      <c r="Z421" s="22"/>
      <c r="AA421" s="22"/>
      <c r="AB421" s="22"/>
      <c r="AC421" s="22"/>
    </row>
    <row r="422" spans="12:29" ht="15" customHeight="1" x14ac:dyDescent="0.25">
      <c r="N422" s="22"/>
      <c r="O422" s="22"/>
      <c r="P422" s="22"/>
      <c r="Q422" s="22"/>
      <c r="R422" s="22"/>
      <c r="S422" s="22"/>
      <c r="T422" s="22"/>
      <c r="U422" s="22"/>
      <c r="V422" s="22"/>
      <c r="W422" s="22"/>
      <c r="X422" s="22"/>
      <c r="Y422" s="22"/>
      <c r="Z422" s="22"/>
      <c r="AA422" s="22"/>
      <c r="AB422" s="22"/>
      <c r="AC422" s="22"/>
    </row>
    <row r="423" spans="12:29" ht="15" customHeight="1" x14ac:dyDescent="0.25">
      <c r="N423" s="22"/>
      <c r="O423" s="22"/>
      <c r="P423" s="22"/>
      <c r="Q423" s="22"/>
      <c r="R423" s="22"/>
      <c r="S423" s="22"/>
      <c r="T423" s="22"/>
      <c r="U423" s="22"/>
      <c r="V423" s="22"/>
      <c r="W423" s="22"/>
      <c r="X423" s="22"/>
      <c r="Y423" s="22"/>
      <c r="Z423" s="22"/>
      <c r="AA423" s="22"/>
      <c r="AB423" s="22"/>
      <c r="AC423" s="22"/>
    </row>
    <row r="424" spans="12:29" ht="15" customHeight="1" x14ac:dyDescent="0.25">
      <c r="N424" s="22"/>
      <c r="O424" s="22"/>
      <c r="P424" s="22"/>
      <c r="Q424" s="22"/>
      <c r="R424" s="22"/>
      <c r="S424" s="22"/>
      <c r="T424" s="22"/>
      <c r="U424" s="22"/>
      <c r="V424" s="22"/>
      <c r="W424" s="22"/>
      <c r="X424" s="22"/>
      <c r="Y424" s="22"/>
      <c r="Z424" s="22"/>
      <c r="AA424" s="22"/>
      <c r="AB424" s="22"/>
      <c r="AC424" s="22"/>
    </row>
    <row r="425" spans="12:29" ht="15" customHeight="1" x14ac:dyDescent="0.25">
      <c r="N425" s="22"/>
      <c r="O425" s="22"/>
      <c r="P425" s="22"/>
      <c r="Q425" s="22"/>
      <c r="R425" s="22"/>
      <c r="S425" s="22"/>
      <c r="T425" s="22"/>
      <c r="U425" s="22"/>
      <c r="V425" s="22"/>
      <c r="W425" s="22"/>
      <c r="X425" s="22"/>
      <c r="Y425" s="22"/>
      <c r="Z425" s="22"/>
      <c r="AA425" s="22"/>
      <c r="AB425" s="22"/>
      <c r="AC425" s="22"/>
    </row>
    <row r="426" spans="12:29" ht="15" customHeight="1" x14ac:dyDescent="0.25">
      <c r="N426" s="22"/>
      <c r="O426" s="22"/>
      <c r="P426" s="22"/>
      <c r="Q426" s="22"/>
      <c r="R426" s="22"/>
      <c r="S426" s="22"/>
      <c r="T426" s="22"/>
      <c r="U426" s="22"/>
      <c r="V426" s="22"/>
      <c r="W426" s="22"/>
      <c r="X426" s="22"/>
      <c r="Y426" s="22"/>
      <c r="Z426" s="22"/>
      <c r="AA426" s="22"/>
      <c r="AB426" s="22"/>
      <c r="AC426" s="22"/>
    </row>
    <row r="427" spans="12:29" ht="15" customHeight="1" x14ac:dyDescent="0.25">
      <c r="N427" s="22"/>
      <c r="O427" s="22"/>
      <c r="P427" s="22"/>
      <c r="Q427" s="22"/>
      <c r="R427" s="22"/>
      <c r="S427" s="22"/>
      <c r="T427" s="22"/>
      <c r="U427" s="22"/>
      <c r="V427" s="22"/>
      <c r="W427" s="22"/>
      <c r="X427" s="22"/>
      <c r="Y427" s="22"/>
      <c r="Z427" s="22"/>
      <c r="AA427" s="22"/>
      <c r="AB427" s="22"/>
      <c r="AC427" s="22"/>
    </row>
    <row r="428" spans="12:29" ht="15" customHeight="1" x14ac:dyDescent="0.25">
      <c r="N428" s="22"/>
      <c r="O428" s="22"/>
      <c r="P428" s="22"/>
      <c r="Q428" s="22"/>
      <c r="R428" s="22"/>
      <c r="S428" s="22"/>
      <c r="T428" s="22"/>
      <c r="U428" s="22"/>
      <c r="V428" s="22"/>
      <c r="W428" s="22"/>
      <c r="X428" s="22"/>
      <c r="Y428" s="22"/>
      <c r="Z428" s="22"/>
      <c r="AA428" s="22"/>
      <c r="AB428" s="22"/>
      <c r="AC428" s="22"/>
    </row>
    <row r="429" spans="12:29" ht="15" customHeight="1" x14ac:dyDescent="0.25">
      <c r="N429" s="22"/>
      <c r="O429" s="22"/>
      <c r="P429" s="22"/>
      <c r="Q429" s="22"/>
      <c r="R429" s="22"/>
      <c r="S429" s="22"/>
      <c r="T429" s="22"/>
      <c r="U429" s="22"/>
      <c r="V429" s="22"/>
      <c r="W429" s="22"/>
      <c r="X429" s="22"/>
      <c r="Y429" s="22"/>
      <c r="Z429" s="22"/>
      <c r="AA429" s="22"/>
      <c r="AB429" s="22"/>
      <c r="AC429" s="22"/>
    </row>
    <row r="430" spans="12:29" ht="27.75" customHeight="1" x14ac:dyDescent="0.25">
      <c r="N430" s="22"/>
      <c r="O430" s="22"/>
      <c r="P430" s="22"/>
      <c r="Q430" s="22"/>
      <c r="R430" s="22"/>
      <c r="S430" s="22"/>
      <c r="T430" s="22"/>
      <c r="U430" s="22"/>
      <c r="V430" s="22"/>
      <c r="W430" s="22"/>
      <c r="X430" s="22"/>
      <c r="Y430" s="22"/>
      <c r="Z430" s="22"/>
      <c r="AA430" s="22"/>
      <c r="AB430" s="22"/>
      <c r="AC430" s="22"/>
    </row>
    <row r="431" spans="12:29" ht="27.75" customHeight="1" x14ac:dyDescent="0.25">
      <c r="N431" s="22"/>
      <c r="O431" s="22"/>
      <c r="P431" s="22"/>
      <c r="Q431" s="22"/>
      <c r="R431" s="22"/>
      <c r="S431" s="22"/>
      <c r="T431" s="22"/>
      <c r="U431" s="22"/>
      <c r="V431" s="22"/>
      <c r="W431" s="22"/>
      <c r="X431" s="22"/>
      <c r="Y431" s="22"/>
      <c r="Z431" s="22"/>
      <c r="AA431" s="22"/>
      <c r="AB431" s="22"/>
      <c r="AC431" s="22"/>
    </row>
    <row r="432" spans="12:29" ht="27.75" customHeight="1" x14ac:dyDescent="0.25">
      <c r="N432" s="22"/>
      <c r="O432" s="22"/>
      <c r="P432" s="22"/>
      <c r="Q432" s="22"/>
      <c r="R432" s="22"/>
      <c r="S432" s="22"/>
      <c r="T432" s="22"/>
      <c r="U432" s="22"/>
      <c r="V432" s="22"/>
      <c r="W432" s="22"/>
      <c r="X432" s="22"/>
      <c r="Y432" s="22"/>
      <c r="Z432" s="22"/>
      <c r="AA432" s="22"/>
      <c r="AB432" s="22"/>
      <c r="AC432" s="22"/>
    </row>
    <row r="433" spans="14:29" ht="27.75" customHeight="1" x14ac:dyDescent="0.25">
      <c r="N433" s="22"/>
      <c r="O433" s="22"/>
      <c r="P433" s="22"/>
      <c r="Q433" s="22"/>
      <c r="R433" s="22"/>
      <c r="S433" s="22"/>
      <c r="T433" s="22"/>
      <c r="U433" s="22"/>
      <c r="V433" s="22"/>
      <c r="W433" s="22"/>
      <c r="X433" s="22"/>
      <c r="Y433" s="22"/>
      <c r="Z433" s="22"/>
      <c r="AA433" s="22"/>
      <c r="AB433" s="22"/>
      <c r="AC433" s="22"/>
    </row>
    <row r="434" spans="14:29" ht="27.75" customHeight="1" x14ac:dyDescent="0.25">
      <c r="N434" s="22"/>
      <c r="O434" s="22"/>
      <c r="P434" s="22"/>
      <c r="Q434" s="22"/>
      <c r="R434" s="22"/>
      <c r="S434" s="22"/>
      <c r="T434" s="22"/>
      <c r="U434" s="22"/>
      <c r="V434" s="22"/>
      <c r="W434" s="22"/>
      <c r="X434" s="22"/>
      <c r="Y434" s="22"/>
      <c r="Z434" s="22"/>
      <c r="AA434" s="22"/>
      <c r="AB434" s="22"/>
      <c r="AC434" s="22"/>
    </row>
    <row r="435" spans="14:29" ht="27.75" customHeight="1" x14ac:dyDescent="0.25">
      <c r="N435" s="22"/>
      <c r="O435" s="22"/>
      <c r="P435" s="22"/>
      <c r="Q435" s="22"/>
      <c r="R435" s="22"/>
      <c r="S435" s="22"/>
      <c r="T435" s="22"/>
      <c r="U435" s="22"/>
      <c r="V435" s="22"/>
      <c r="W435" s="22"/>
      <c r="X435" s="22"/>
      <c r="Y435" s="22"/>
      <c r="Z435" s="22"/>
      <c r="AA435" s="22"/>
      <c r="AB435" s="22"/>
      <c r="AC435" s="22"/>
    </row>
    <row r="436" spans="14:29" ht="15" customHeight="1" x14ac:dyDescent="0.25">
      <c r="N436" s="22"/>
      <c r="O436" s="22"/>
      <c r="P436" s="22"/>
      <c r="Q436" s="22"/>
      <c r="R436" s="22"/>
      <c r="S436" s="22"/>
      <c r="T436" s="22"/>
      <c r="U436" s="22"/>
      <c r="V436" s="22"/>
      <c r="W436" s="22"/>
      <c r="X436" s="22"/>
      <c r="Y436" s="22"/>
      <c r="Z436" s="22"/>
      <c r="AA436" s="22"/>
      <c r="AB436" s="22"/>
      <c r="AC436" s="22"/>
    </row>
    <row r="437" spans="14:29" ht="15" customHeight="1" x14ac:dyDescent="0.25">
      <c r="N437" s="22"/>
      <c r="O437" s="22"/>
      <c r="P437" s="22"/>
      <c r="Q437" s="22"/>
      <c r="R437" s="22"/>
      <c r="S437" s="22"/>
      <c r="T437" s="22"/>
      <c r="U437" s="22"/>
      <c r="V437" s="22"/>
      <c r="W437" s="22"/>
      <c r="X437" s="22"/>
      <c r="Y437" s="22"/>
      <c r="Z437" s="22"/>
      <c r="AA437" s="22"/>
      <c r="AB437" s="22"/>
      <c r="AC437" s="22"/>
    </row>
    <row r="438" spans="14:29" ht="15" customHeight="1" x14ac:dyDescent="0.25">
      <c r="N438" s="22"/>
      <c r="O438" s="22"/>
      <c r="P438" s="22"/>
      <c r="Q438" s="22"/>
      <c r="R438" s="22"/>
      <c r="S438" s="22"/>
      <c r="T438" s="22"/>
      <c r="U438" s="22"/>
      <c r="V438" s="22"/>
      <c r="W438" s="22"/>
      <c r="X438" s="22"/>
      <c r="Y438" s="22"/>
      <c r="Z438" s="22"/>
      <c r="AA438" s="22"/>
      <c r="AB438" s="22"/>
      <c r="AC438" s="22"/>
    </row>
    <row r="439" spans="14:29" ht="15" customHeight="1" x14ac:dyDescent="0.25">
      <c r="N439" s="22"/>
      <c r="O439" s="22"/>
      <c r="P439" s="22"/>
      <c r="Q439" s="22"/>
      <c r="R439" s="22"/>
      <c r="S439" s="22"/>
      <c r="T439" s="22"/>
      <c r="U439" s="22"/>
      <c r="V439" s="22"/>
      <c r="W439" s="22"/>
      <c r="X439" s="22"/>
      <c r="Y439" s="22"/>
      <c r="Z439" s="22"/>
      <c r="AA439" s="22"/>
      <c r="AB439" s="22"/>
      <c r="AC439" s="22"/>
    </row>
    <row r="440" spans="14:29" ht="15" customHeight="1" x14ac:dyDescent="0.25">
      <c r="N440" s="22"/>
      <c r="O440" s="22"/>
      <c r="P440" s="22"/>
      <c r="Q440" s="22"/>
      <c r="R440" s="22"/>
      <c r="S440" s="22"/>
      <c r="T440" s="22"/>
      <c r="U440" s="22"/>
      <c r="V440" s="22"/>
      <c r="W440" s="22"/>
      <c r="X440" s="22"/>
      <c r="Y440" s="22"/>
      <c r="Z440" s="22"/>
      <c r="AA440" s="22"/>
      <c r="AB440" s="22"/>
      <c r="AC440" s="22"/>
    </row>
    <row r="441" spans="14:29" ht="15" customHeight="1" x14ac:dyDescent="0.25">
      <c r="N441" s="22"/>
      <c r="O441" s="22"/>
      <c r="P441" s="22"/>
      <c r="Q441" s="22"/>
      <c r="R441" s="22"/>
      <c r="S441" s="22"/>
      <c r="T441" s="22"/>
      <c r="U441" s="22"/>
      <c r="V441" s="22"/>
      <c r="W441" s="22"/>
      <c r="X441" s="22"/>
      <c r="Y441" s="22"/>
      <c r="Z441" s="22"/>
      <c r="AA441" s="22"/>
      <c r="AB441" s="22"/>
      <c r="AC441" s="22"/>
    </row>
    <row r="442" spans="14:29" ht="15" customHeight="1" x14ac:dyDescent="0.25">
      <c r="N442" s="22"/>
      <c r="O442" s="22"/>
      <c r="P442" s="22"/>
      <c r="Q442" s="22"/>
      <c r="R442" s="22"/>
      <c r="S442" s="22"/>
      <c r="T442" s="22"/>
      <c r="U442" s="22"/>
      <c r="V442" s="22"/>
      <c r="W442" s="22"/>
      <c r="X442" s="22"/>
      <c r="Y442" s="22"/>
      <c r="Z442" s="22"/>
      <c r="AA442" s="22"/>
      <c r="AB442" s="22"/>
      <c r="AC442" s="22"/>
    </row>
    <row r="443" spans="14:29" ht="15" customHeight="1" x14ac:dyDescent="0.25">
      <c r="N443" s="22"/>
      <c r="O443" s="22"/>
      <c r="P443" s="22"/>
      <c r="Q443" s="22"/>
      <c r="R443" s="22"/>
      <c r="S443" s="22"/>
      <c r="T443" s="22"/>
      <c r="U443" s="22"/>
      <c r="V443" s="22"/>
      <c r="W443" s="22"/>
      <c r="X443" s="22"/>
      <c r="Y443" s="22"/>
      <c r="Z443" s="22"/>
      <c r="AA443" s="22"/>
      <c r="AB443" s="22"/>
      <c r="AC443" s="22"/>
    </row>
    <row r="444" spans="14:29" ht="27.75" customHeight="1" x14ac:dyDescent="0.25">
      <c r="N444" s="22"/>
      <c r="O444" s="22"/>
      <c r="P444" s="22"/>
      <c r="Q444" s="22"/>
      <c r="R444" s="22"/>
      <c r="S444" s="22"/>
      <c r="T444" s="22"/>
      <c r="U444" s="22"/>
      <c r="V444" s="22"/>
      <c r="W444" s="22"/>
      <c r="X444" s="22"/>
      <c r="Y444" s="22"/>
      <c r="Z444" s="22"/>
      <c r="AA444" s="22"/>
      <c r="AB444" s="22"/>
      <c r="AC444" s="22"/>
    </row>
    <row r="445" spans="14:29" ht="27.75" customHeight="1" x14ac:dyDescent="0.25">
      <c r="N445" s="22"/>
      <c r="O445" s="22"/>
      <c r="P445" s="22"/>
      <c r="Q445" s="22"/>
      <c r="R445" s="22"/>
      <c r="S445" s="22"/>
      <c r="T445" s="22"/>
      <c r="U445" s="22"/>
      <c r="V445" s="22"/>
      <c r="W445" s="22"/>
      <c r="X445" s="22"/>
      <c r="Y445" s="22"/>
      <c r="Z445" s="22"/>
      <c r="AA445" s="22"/>
      <c r="AB445" s="22"/>
      <c r="AC445" s="22"/>
    </row>
    <row r="446" spans="14:29" ht="27.75" customHeight="1" x14ac:dyDescent="0.25">
      <c r="N446" s="22"/>
      <c r="O446" s="22"/>
      <c r="P446" s="22"/>
      <c r="Q446" s="22"/>
      <c r="R446" s="22"/>
      <c r="S446" s="22"/>
      <c r="T446" s="22"/>
      <c r="U446" s="22"/>
      <c r="V446" s="22"/>
      <c r="W446" s="22"/>
      <c r="X446" s="22"/>
      <c r="Y446" s="22"/>
      <c r="Z446" s="22"/>
      <c r="AA446" s="22"/>
      <c r="AB446" s="22"/>
      <c r="AC446" s="22"/>
    </row>
    <row r="447" spans="14:29" ht="27.75" customHeight="1" x14ac:dyDescent="0.25">
      <c r="N447" s="22"/>
      <c r="O447" s="22"/>
      <c r="P447" s="22"/>
      <c r="Q447" s="22"/>
      <c r="R447" s="22"/>
      <c r="S447" s="22"/>
      <c r="T447" s="22"/>
      <c r="U447" s="22"/>
      <c r="V447" s="22"/>
      <c r="W447" s="22"/>
      <c r="X447" s="22"/>
      <c r="Y447" s="22"/>
      <c r="Z447" s="22"/>
      <c r="AA447" s="22"/>
      <c r="AB447" s="22"/>
      <c r="AC447" s="22"/>
    </row>
    <row r="448" spans="14:29" ht="27.75" customHeight="1" x14ac:dyDescent="0.25">
      <c r="N448" s="22"/>
      <c r="O448" s="22"/>
      <c r="P448" s="22"/>
      <c r="Q448" s="22"/>
      <c r="R448" s="22"/>
      <c r="S448" s="22"/>
      <c r="T448" s="22"/>
      <c r="U448" s="22"/>
      <c r="V448" s="22"/>
      <c r="W448" s="22"/>
      <c r="X448" s="22"/>
      <c r="Y448" s="22"/>
      <c r="Z448" s="22"/>
      <c r="AA448" s="22"/>
      <c r="AB448" s="22"/>
      <c r="AC448" s="22"/>
    </row>
    <row r="449" spans="14:29" ht="27.75" customHeight="1" x14ac:dyDescent="0.25">
      <c r="N449" s="22"/>
      <c r="O449" s="22"/>
      <c r="P449" s="22"/>
      <c r="Q449" s="22"/>
      <c r="R449" s="22"/>
      <c r="S449" s="22"/>
      <c r="T449" s="22"/>
      <c r="U449" s="22"/>
      <c r="V449" s="22"/>
      <c r="W449" s="22"/>
      <c r="X449" s="22"/>
      <c r="Y449" s="22"/>
      <c r="Z449" s="22"/>
      <c r="AA449" s="22"/>
      <c r="AB449" s="22"/>
      <c r="AC449" s="22"/>
    </row>
    <row r="450" spans="14:29" ht="27.75" customHeight="1" x14ac:dyDescent="0.25">
      <c r="N450" s="22"/>
      <c r="O450" s="22"/>
      <c r="P450" s="22"/>
      <c r="Q450" s="22"/>
      <c r="R450" s="22"/>
      <c r="S450" s="22"/>
      <c r="T450" s="22"/>
      <c r="U450" s="22"/>
      <c r="V450" s="22"/>
      <c r="W450" s="22"/>
      <c r="X450" s="22"/>
      <c r="Y450" s="22"/>
      <c r="Z450" s="22"/>
      <c r="AA450" s="22"/>
      <c r="AB450" s="22"/>
      <c r="AC450" s="22"/>
    </row>
    <row r="451" spans="14:29" ht="27.75" customHeight="1" x14ac:dyDescent="0.25">
      <c r="N451" s="22"/>
      <c r="O451" s="22"/>
      <c r="P451" s="22"/>
      <c r="Q451" s="22"/>
      <c r="R451" s="22"/>
      <c r="S451" s="22"/>
      <c r="T451" s="22"/>
      <c r="U451" s="22"/>
      <c r="V451" s="22"/>
      <c r="W451" s="22"/>
      <c r="X451" s="22"/>
      <c r="Y451" s="22"/>
      <c r="Z451" s="22"/>
      <c r="AA451" s="22"/>
      <c r="AB451" s="22"/>
      <c r="AC451" s="22"/>
    </row>
    <row r="452" spans="14:29" ht="27.75" customHeight="1" x14ac:dyDescent="0.25">
      <c r="N452" s="22"/>
      <c r="O452" s="22"/>
      <c r="P452" s="22"/>
      <c r="Q452" s="22"/>
      <c r="R452" s="22"/>
      <c r="S452" s="22"/>
      <c r="T452" s="22"/>
      <c r="U452" s="22"/>
      <c r="V452" s="22"/>
      <c r="W452" s="22"/>
      <c r="X452" s="22"/>
      <c r="Y452" s="22"/>
      <c r="Z452" s="22"/>
      <c r="AA452" s="22"/>
      <c r="AB452" s="22"/>
      <c r="AC452" s="22"/>
    </row>
    <row r="453" spans="14:29" ht="27.75" customHeight="1" x14ac:dyDescent="0.25">
      <c r="N453" s="22"/>
      <c r="O453" s="22"/>
      <c r="P453" s="22"/>
      <c r="Q453" s="22"/>
      <c r="R453" s="22"/>
      <c r="S453" s="22"/>
      <c r="T453" s="22"/>
      <c r="U453" s="22"/>
      <c r="V453" s="22"/>
      <c r="W453" s="22"/>
      <c r="X453" s="22"/>
      <c r="Y453" s="22"/>
      <c r="Z453" s="22"/>
      <c r="AA453" s="22"/>
      <c r="AB453" s="22"/>
      <c r="AC453" s="22"/>
    </row>
    <row r="454" spans="14:29" ht="27.75" customHeight="1" x14ac:dyDescent="0.25">
      <c r="N454" s="22"/>
      <c r="O454" s="22"/>
      <c r="P454" s="22"/>
      <c r="Q454" s="22"/>
      <c r="R454" s="22"/>
      <c r="S454" s="22"/>
      <c r="T454" s="22"/>
      <c r="U454" s="22"/>
      <c r="V454" s="22"/>
      <c r="W454" s="22"/>
      <c r="X454" s="22"/>
      <c r="Y454" s="22"/>
      <c r="Z454" s="22"/>
      <c r="AA454" s="22"/>
      <c r="AB454" s="22"/>
      <c r="AC454" s="22"/>
    </row>
    <row r="457" spans="14:29" ht="94.5" customHeight="1" x14ac:dyDescent="0.2"/>
    <row r="459" spans="14:29" ht="42.75" customHeight="1" x14ac:dyDescent="0.2"/>
    <row r="470" ht="70.5" customHeight="1" x14ac:dyDescent="0.2"/>
    <row r="472" ht="58.5" customHeight="1" x14ac:dyDescent="0.2"/>
    <row r="483" ht="57" customHeight="1" x14ac:dyDescent="0.2"/>
    <row r="485" ht="48.75" customHeight="1" x14ac:dyDescent="0.2"/>
    <row r="496" ht="64.5" customHeight="1" x14ac:dyDescent="0.2"/>
    <row r="498" ht="34.5" customHeight="1" x14ac:dyDescent="0.2"/>
    <row r="509" ht="75.75" customHeight="1" x14ac:dyDescent="0.2"/>
    <row r="511" ht="33" customHeight="1" x14ac:dyDescent="0.2"/>
    <row r="522" ht="72" customHeight="1" x14ac:dyDescent="0.2"/>
    <row r="524" ht="45" customHeight="1" x14ac:dyDescent="0.2"/>
    <row r="537" ht="46.5" customHeight="1" x14ac:dyDescent="0.2"/>
    <row r="550" ht="44.25" customHeight="1" x14ac:dyDescent="0.2"/>
    <row r="563" ht="39" customHeight="1" x14ac:dyDescent="0.2"/>
    <row r="576" ht="34.5" customHeight="1" x14ac:dyDescent="0.2"/>
    <row r="589" ht="46.5" customHeight="1" x14ac:dyDescent="0.2"/>
    <row r="602" ht="48.75" customHeight="1" x14ac:dyDescent="0.2"/>
    <row r="615" ht="35.25" customHeight="1" x14ac:dyDescent="0.2"/>
    <row r="626" ht="66" customHeight="1" x14ac:dyDescent="0.2"/>
    <row r="628" ht="27" customHeight="1" x14ac:dyDescent="0.2"/>
    <row r="639" ht="36.75" customHeight="1" x14ac:dyDescent="0.2"/>
    <row r="641" ht="44.25" customHeight="1" x14ac:dyDescent="0.2"/>
    <row r="652" ht="21" customHeight="1" x14ac:dyDescent="0.2"/>
    <row r="654" ht="42.75" customHeight="1" x14ac:dyDescent="0.2"/>
    <row r="665" ht="111.75" customHeight="1" x14ac:dyDescent="0.2"/>
    <row r="667" ht="35.25" customHeight="1" x14ac:dyDescent="0.2"/>
    <row r="678" ht="34.5" customHeight="1" x14ac:dyDescent="0.2"/>
    <row r="680" ht="36.75" customHeight="1" x14ac:dyDescent="0.2"/>
    <row r="693" ht="66" customHeight="1" x14ac:dyDescent="0.2"/>
    <row r="706" ht="36.75" customHeight="1" x14ac:dyDescent="0.2"/>
    <row r="717" ht="64.5" customHeight="1" x14ac:dyDescent="0.2"/>
    <row r="719" ht="38.25" customHeight="1" x14ac:dyDescent="0.2"/>
    <row r="730" ht="22.5" customHeight="1" x14ac:dyDescent="0.2"/>
    <row r="732" ht="50.25" customHeight="1" x14ac:dyDescent="0.2"/>
    <row r="743" ht="28.5" customHeight="1" x14ac:dyDescent="0.2"/>
    <row r="745" ht="54.75" customHeight="1" x14ac:dyDescent="0.2"/>
    <row r="756" ht="54" customHeight="1" x14ac:dyDescent="0.2"/>
    <row r="758" ht="28.5" customHeight="1" x14ac:dyDescent="0.2"/>
    <row r="769" ht="30.75" customHeight="1" x14ac:dyDescent="0.2"/>
    <row r="771" ht="41.25" customHeight="1" x14ac:dyDescent="0.2"/>
    <row r="782" ht="125.25" customHeight="1" x14ac:dyDescent="0.2"/>
    <row r="784" ht="35.25" customHeight="1" x14ac:dyDescent="0.2"/>
    <row r="795" ht="147.75" customHeight="1" x14ac:dyDescent="0.2"/>
    <row r="797" ht="58.5" customHeight="1" x14ac:dyDescent="0.2"/>
    <row r="808" ht="30.75" customHeight="1" x14ac:dyDescent="0.2"/>
    <row r="810" ht="48" customHeight="1" x14ac:dyDescent="0.2"/>
    <row r="821" ht="144" customHeight="1" x14ac:dyDescent="0.2"/>
    <row r="823" ht="48.75" customHeight="1" x14ac:dyDescent="0.2"/>
    <row r="834" ht="126.75" customHeight="1" x14ac:dyDescent="0.2"/>
    <row r="836" ht="50.25" customHeight="1" x14ac:dyDescent="0.2"/>
    <row r="847" ht="54" customHeight="1" x14ac:dyDescent="0.2"/>
    <row r="849" ht="50.25" customHeight="1" x14ac:dyDescent="0.2"/>
    <row r="860" ht="98.25" customHeight="1" x14ac:dyDescent="0.2"/>
    <row r="862" ht="56.25" customHeight="1" x14ac:dyDescent="0.2"/>
    <row r="873" ht="42.75" customHeight="1" x14ac:dyDescent="0.2"/>
    <row r="875" ht="68.25" customHeight="1" x14ac:dyDescent="0.2"/>
    <row r="886" ht="107.25" customHeight="1" x14ac:dyDescent="0.2"/>
    <row r="888" ht="50.25" customHeight="1" x14ac:dyDescent="0.2"/>
    <row r="899" ht="96" customHeight="1" x14ac:dyDescent="0.2"/>
    <row r="901" ht="54" customHeight="1" x14ac:dyDescent="0.2"/>
    <row r="912" ht="102" customHeight="1" x14ac:dyDescent="0.2"/>
    <row r="914" ht="57" customHeight="1" x14ac:dyDescent="0.2"/>
    <row r="925" ht="70.5" customHeight="1" x14ac:dyDescent="0.2"/>
    <row r="927" ht="56.25" customHeight="1" x14ac:dyDescent="0.2"/>
    <row r="938" ht="85.5" customHeight="1" x14ac:dyDescent="0.2"/>
    <row r="940" ht="74.25" customHeight="1" x14ac:dyDescent="0.2"/>
    <row r="951" ht="68.25" customHeight="1" x14ac:dyDescent="0.2"/>
    <row r="953" ht="39" customHeight="1" x14ac:dyDescent="0.2"/>
    <row r="964" ht="78" customHeight="1" x14ac:dyDescent="0.2"/>
    <row r="966" ht="54" customHeight="1" x14ac:dyDescent="0.2"/>
    <row r="977" ht="62.25" customHeight="1" x14ac:dyDescent="0.2"/>
    <row r="979" ht="34.5" customHeight="1" x14ac:dyDescent="0.2"/>
    <row r="990" ht="44.25" customHeight="1" x14ac:dyDescent="0.2"/>
    <row r="992" ht="54.75" customHeight="1" x14ac:dyDescent="0.2"/>
    <row r="1003" ht="56.25" customHeight="1" x14ac:dyDescent="0.2"/>
    <row r="1005" ht="76.5" customHeight="1" x14ac:dyDescent="0.2"/>
    <row r="1009" ht="23.25" customHeight="1" x14ac:dyDescent="0.2"/>
    <row r="1016" ht="46.5" customHeight="1" x14ac:dyDescent="0.2"/>
    <row r="1018" ht="48" customHeight="1" x14ac:dyDescent="0.2"/>
    <row r="1031" ht="48" customHeight="1" x14ac:dyDescent="0.2"/>
    <row r="1042" ht="26.25" customHeight="1" x14ac:dyDescent="0.2"/>
    <row r="1044" ht="46.5" customHeight="1" x14ac:dyDescent="0.2"/>
    <row r="1055" ht="29.25" customHeight="1" x14ac:dyDescent="0.2"/>
    <row r="1057" ht="48" customHeight="1" x14ac:dyDescent="0.2"/>
    <row r="1068" ht="41.25" customHeight="1" x14ac:dyDescent="0.2"/>
    <row r="1070" ht="45" customHeight="1" x14ac:dyDescent="0.2"/>
    <row r="1081" ht="28.5" customHeight="1" x14ac:dyDescent="0.2"/>
    <row r="1094" ht="24.75" customHeight="1" x14ac:dyDescent="0.2"/>
    <row r="1096" ht="46.5" customHeight="1" x14ac:dyDescent="0.2"/>
    <row r="1109" ht="45" customHeight="1" x14ac:dyDescent="0.2"/>
    <row r="1120" ht="26.25" customHeight="1" x14ac:dyDescent="0.2"/>
    <row r="1122" ht="45" customHeight="1" x14ac:dyDescent="0.2"/>
    <row r="1133" ht="18.75" customHeight="1" x14ac:dyDescent="0.2"/>
    <row r="1135" ht="48.75" customHeight="1" x14ac:dyDescent="0.2"/>
    <row r="1148" ht="66" customHeight="1" x14ac:dyDescent="0.2"/>
    <row r="1161" ht="45" customHeight="1" x14ac:dyDescent="0.2"/>
    <row r="1174" ht="40.5" customHeight="1" x14ac:dyDescent="0.2"/>
    <row r="1187" ht="46.5" customHeight="1" x14ac:dyDescent="0.2"/>
    <row r="1200" ht="48.75" customHeight="1" x14ac:dyDescent="0.2"/>
    <row r="1211" ht="19.5" customHeight="1" x14ac:dyDescent="0.2"/>
    <row r="1213" ht="56.25" customHeight="1" x14ac:dyDescent="0.2"/>
    <row r="1224" ht="24.75" customHeight="1" x14ac:dyDescent="0.2"/>
    <row r="1226" ht="47.25" customHeight="1" x14ac:dyDescent="0.2"/>
    <row r="1239" ht="44.25" customHeight="1" x14ac:dyDescent="0.2"/>
    <row r="1252" ht="57" customHeight="1" x14ac:dyDescent="0.2"/>
    <row r="1265" ht="48" customHeight="1" x14ac:dyDescent="0.2"/>
    <row r="1278" ht="54" customHeight="1" x14ac:dyDescent="0.2"/>
    <row r="1291" ht="50.25" customHeight="1" x14ac:dyDescent="0.2"/>
    <row r="1302" ht="19.5" customHeight="1" x14ac:dyDescent="0.2"/>
    <row r="1304" ht="40.5" customHeight="1" x14ac:dyDescent="0.2"/>
    <row r="1315" ht="28.5" customHeight="1" x14ac:dyDescent="0.2"/>
    <row r="1317" ht="48" customHeight="1" x14ac:dyDescent="0.2"/>
    <row r="1330" ht="41.25" customHeight="1" x14ac:dyDescent="0.2"/>
    <row r="1343" ht="44.25" customHeight="1" x14ac:dyDescent="0.2"/>
    <row r="1356" ht="54.75" customHeight="1" x14ac:dyDescent="0.2"/>
    <row r="1369" ht="36" customHeight="1" x14ac:dyDescent="0.2"/>
    <row r="1373" ht="24.75" customHeight="1" x14ac:dyDescent="0.2"/>
    <row r="1380" ht="23.25" customHeight="1" x14ac:dyDescent="0.2"/>
    <row r="1382" ht="40.5" customHeight="1" x14ac:dyDescent="0.2"/>
    <row r="1395" ht="62.25" customHeight="1" x14ac:dyDescent="0.2"/>
    <row r="1406" ht="23.25" customHeight="1" x14ac:dyDescent="0.2"/>
    <row r="1408" ht="52.5" customHeight="1" x14ac:dyDescent="0.2"/>
    <row r="1421" ht="41.25" customHeight="1" x14ac:dyDescent="0.2"/>
    <row r="1458" ht="34.5" customHeight="1" x14ac:dyDescent="0.2"/>
    <row r="1460" ht="57" customHeight="1" x14ac:dyDescent="0.2"/>
    <row r="1471" ht="66.75" customHeight="1" x14ac:dyDescent="0.2"/>
    <row r="1473" ht="46.5" customHeight="1" x14ac:dyDescent="0.2"/>
    <row r="1486" ht="62.25" customHeight="1" x14ac:dyDescent="0.2"/>
    <row r="1497" ht="69.75" customHeight="1" x14ac:dyDescent="0.2"/>
    <row r="1499" ht="48" customHeight="1" x14ac:dyDescent="0.2"/>
    <row r="1510" ht="64.5" customHeight="1" x14ac:dyDescent="0.2"/>
    <row r="1512" ht="52.5" customHeight="1" x14ac:dyDescent="0.2"/>
    <row r="1523" ht="234" customHeight="1" x14ac:dyDescent="0.2"/>
    <row r="1525" ht="68.25" customHeight="1" x14ac:dyDescent="0.2"/>
  </sheetData>
  <mergeCells count="104">
    <mergeCell ref="B311:E311"/>
    <mergeCell ref="C313:E313"/>
    <mergeCell ref="C315:E315"/>
    <mergeCell ref="C373:E373"/>
    <mergeCell ref="B389:E389"/>
    <mergeCell ref="C391:E391"/>
    <mergeCell ref="C393:E393"/>
    <mergeCell ref="C395:E395"/>
    <mergeCell ref="C397:E397"/>
    <mergeCell ref="C330:E330"/>
    <mergeCell ref="C332:E332"/>
    <mergeCell ref="C334:E334"/>
    <mergeCell ref="B337:E337"/>
    <mergeCell ref="C339:E339"/>
    <mergeCell ref="C341:E341"/>
    <mergeCell ref="C343:E343"/>
    <mergeCell ref="C345:E345"/>
    <mergeCell ref="C347:E347"/>
    <mergeCell ref="C356:E356"/>
    <mergeCell ref="C358:E358"/>
    <mergeCell ref="C360:E360"/>
    <mergeCell ref="B363:E363"/>
    <mergeCell ref="C365:E365"/>
    <mergeCell ref="C367:E367"/>
    <mergeCell ref="C399:E399"/>
    <mergeCell ref="B376:E376"/>
    <mergeCell ref="C378:E378"/>
    <mergeCell ref="C380:E380"/>
    <mergeCell ref="C382:E382"/>
    <mergeCell ref="C384:E384"/>
    <mergeCell ref="C386:E386"/>
    <mergeCell ref="C317:E317"/>
    <mergeCell ref="C319:E319"/>
    <mergeCell ref="C321:E321"/>
    <mergeCell ref="B324:E324"/>
    <mergeCell ref="C326:E326"/>
    <mergeCell ref="C328:E328"/>
    <mergeCell ref="C369:E369"/>
    <mergeCell ref="C371:E371"/>
    <mergeCell ref="B350:E350"/>
    <mergeCell ref="C352:E352"/>
    <mergeCell ref="C354:E354"/>
    <mergeCell ref="C291:E291"/>
    <mergeCell ref="C293:E293"/>
    <mergeCell ref="C295:E295"/>
    <mergeCell ref="B298:E298"/>
    <mergeCell ref="C300:E300"/>
    <mergeCell ref="C302:E302"/>
    <mergeCell ref="C304:E304"/>
    <mergeCell ref="C306:E306"/>
    <mergeCell ref="C308:E308"/>
    <mergeCell ref="B285:E285"/>
    <mergeCell ref="C287:E287"/>
    <mergeCell ref="C289:E289"/>
    <mergeCell ref="C239:E239"/>
    <mergeCell ref="C241:E241"/>
    <mergeCell ref="C243:E243"/>
    <mergeCell ref="B246:E246"/>
    <mergeCell ref="C248:E248"/>
    <mergeCell ref="C250:E250"/>
    <mergeCell ref="C252:E252"/>
    <mergeCell ref="C254:E254"/>
    <mergeCell ref="C256:E256"/>
    <mergeCell ref="C278:E278"/>
    <mergeCell ref="C280:E280"/>
    <mergeCell ref="C282:E282"/>
    <mergeCell ref="B259:E259"/>
    <mergeCell ref="C261:E261"/>
    <mergeCell ref="C263:E263"/>
    <mergeCell ref="C265:E265"/>
    <mergeCell ref="C267:E267"/>
    <mergeCell ref="C269:E269"/>
    <mergeCell ref="B272:E272"/>
    <mergeCell ref="C274:E274"/>
    <mergeCell ref="C276:E276"/>
    <mergeCell ref="B220:E220"/>
    <mergeCell ref="C222:E222"/>
    <mergeCell ref="C224:E224"/>
    <mergeCell ref="C226:E226"/>
    <mergeCell ref="C228:E228"/>
    <mergeCell ref="C230:E230"/>
    <mergeCell ref="B233:E233"/>
    <mergeCell ref="C235:E235"/>
    <mergeCell ref="C237:E237"/>
    <mergeCell ref="C200:E200"/>
    <mergeCell ref="C202:E202"/>
    <mergeCell ref="C204:E204"/>
    <mergeCell ref="B207:E207"/>
    <mergeCell ref="C209:E209"/>
    <mergeCell ref="C211:E211"/>
    <mergeCell ref="C213:E213"/>
    <mergeCell ref="C215:E215"/>
    <mergeCell ref="C217:E217"/>
    <mergeCell ref="B194:E194"/>
    <mergeCell ref="C196:E196"/>
    <mergeCell ref="C198:E198"/>
    <mergeCell ref="A190:H190"/>
    <mergeCell ref="A6:B6"/>
    <mergeCell ref="B2:H2"/>
    <mergeCell ref="A7:B7"/>
    <mergeCell ref="A5:B5"/>
    <mergeCell ref="A4:B4"/>
    <mergeCell ref="C4:E4"/>
    <mergeCell ref="C5:E5"/>
  </mergeCells>
  <pageMargins left="0.7" right="0.7" top="0.75" bottom="0.75" header="0" footer="0"/>
  <pageSetup paperSize="190" scale="4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8"/>
  <sheetViews>
    <sheetView topLeftCell="A19" workbookViewId="0">
      <selection activeCell="C26" sqref="C26:G26"/>
    </sheetView>
  </sheetViews>
  <sheetFormatPr baseColWidth="10" defaultRowHeight="12.75" x14ac:dyDescent="0.2"/>
  <cols>
    <col min="1" max="1" width="5.7109375" customWidth="1"/>
    <col min="2" max="2" width="15.5703125" customWidth="1"/>
    <col min="4" max="4" width="26.28515625" customWidth="1"/>
    <col min="7" max="7" width="23.28515625" customWidth="1"/>
    <col min="9" max="9" width="15.7109375" customWidth="1"/>
    <col min="10" max="10" width="14.85546875" customWidth="1"/>
  </cols>
  <sheetData>
    <row r="1" spans="1:11" ht="16.5" thickBot="1" x14ac:dyDescent="0.25">
      <c r="A1" s="137" t="s">
        <v>77</v>
      </c>
      <c r="B1" s="137"/>
      <c r="C1" s="137"/>
      <c r="D1" s="137"/>
      <c r="E1" s="137"/>
      <c r="F1" s="137"/>
      <c r="G1" s="137"/>
      <c r="H1" s="137"/>
      <c r="I1" s="137"/>
      <c r="J1" s="64" t="s">
        <v>78</v>
      </c>
      <c r="K1" s="69" t="s">
        <v>122</v>
      </c>
    </row>
    <row r="2" spans="1:11" ht="16.5" thickBot="1" x14ac:dyDescent="0.25">
      <c r="A2" s="65"/>
      <c r="B2" s="65"/>
      <c r="C2" s="65"/>
      <c r="D2" s="66"/>
      <c r="E2" s="66"/>
      <c r="F2" s="66"/>
      <c r="G2" s="66"/>
      <c r="H2" s="66"/>
      <c r="I2" s="66"/>
      <c r="J2" s="66"/>
      <c r="K2" s="66"/>
    </row>
    <row r="3" spans="1:11" ht="16.5" thickBot="1" x14ac:dyDescent="0.25">
      <c r="A3" s="127" t="s">
        <v>79</v>
      </c>
      <c r="B3" s="127"/>
      <c r="C3" s="127"/>
      <c r="D3" s="128" t="s">
        <v>14</v>
      </c>
      <c r="E3" s="128"/>
      <c r="F3" s="128"/>
      <c r="G3" s="128"/>
      <c r="H3" s="128"/>
      <c r="I3" s="128"/>
      <c r="J3" s="128"/>
      <c r="K3" s="128"/>
    </row>
    <row r="4" spans="1:11" ht="16.5" thickBot="1" x14ac:dyDescent="0.25">
      <c r="A4" s="129" t="s">
        <v>80</v>
      </c>
      <c r="B4" s="129"/>
      <c r="C4" s="129"/>
      <c r="D4" s="128" t="s">
        <v>15</v>
      </c>
      <c r="E4" s="128"/>
      <c r="F4" s="128"/>
      <c r="G4" s="128"/>
      <c r="H4" s="128"/>
      <c r="I4" s="128"/>
      <c r="J4" s="128"/>
      <c r="K4" s="128"/>
    </row>
    <row r="5" spans="1:11" ht="16.5" thickBot="1" x14ac:dyDescent="0.25">
      <c r="A5" s="129" t="s">
        <v>81</v>
      </c>
      <c r="B5" s="129"/>
      <c r="C5" s="129"/>
      <c r="D5" s="128" t="s">
        <v>123</v>
      </c>
      <c r="E5" s="128"/>
      <c r="F5" s="128"/>
      <c r="G5" s="128"/>
      <c r="H5" s="128"/>
      <c r="I5" s="128"/>
      <c r="J5" s="128"/>
      <c r="K5" s="128"/>
    </row>
    <row r="6" spans="1:11" ht="16.5" thickBot="1" x14ac:dyDescent="0.25">
      <c r="A6" s="127" t="s">
        <v>82</v>
      </c>
      <c r="B6" s="127"/>
      <c r="C6" s="127"/>
      <c r="D6" s="128" t="s">
        <v>83</v>
      </c>
      <c r="E6" s="128"/>
      <c r="F6" s="128"/>
      <c r="G6" s="128"/>
      <c r="H6" s="128"/>
      <c r="I6" s="128"/>
      <c r="J6" s="128"/>
      <c r="K6" s="128"/>
    </row>
    <row r="7" spans="1:11" ht="16.5" thickBot="1" x14ac:dyDescent="0.25">
      <c r="A7" s="129" t="s">
        <v>84</v>
      </c>
      <c r="B7" s="129"/>
      <c r="C7" s="129"/>
      <c r="D7" s="128" t="s">
        <v>119</v>
      </c>
      <c r="E7" s="128"/>
      <c r="F7" s="128"/>
      <c r="G7" s="128"/>
      <c r="H7" s="128"/>
      <c r="I7" s="128"/>
      <c r="J7" s="128"/>
      <c r="K7" s="128"/>
    </row>
    <row r="8" spans="1:11" ht="33" customHeight="1" thickBot="1" x14ac:dyDescent="0.25">
      <c r="A8" s="132" t="s">
        <v>85</v>
      </c>
      <c r="B8" s="132"/>
      <c r="C8" s="132"/>
      <c r="D8" s="133" t="s">
        <v>125</v>
      </c>
      <c r="E8" s="133"/>
      <c r="F8" s="133"/>
      <c r="G8" s="133"/>
      <c r="H8" s="133"/>
      <c r="I8" s="133"/>
      <c r="J8" s="133"/>
      <c r="K8" s="133"/>
    </row>
    <row r="9" spans="1:11" ht="16.5" thickBot="1" x14ac:dyDescent="0.25">
      <c r="A9" s="67"/>
      <c r="B9" s="67"/>
      <c r="C9" s="67"/>
      <c r="D9" s="68"/>
      <c r="E9" s="68"/>
      <c r="F9" s="68"/>
      <c r="G9" s="68"/>
      <c r="H9" s="68"/>
      <c r="I9" s="68"/>
      <c r="J9" s="68"/>
      <c r="K9" s="68"/>
    </row>
    <row r="10" spans="1:11" ht="13.5" thickBot="1" x14ac:dyDescent="0.25">
      <c r="A10" s="134" t="s">
        <v>86</v>
      </c>
      <c r="B10" s="135" t="s">
        <v>87</v>
      </c>
      <c r="C10" s="135" t="s">
        <v>88</v>
      </c>
      <c r="D10" s="135"/>
      <c r="E10" s="135"/>
      <c r="F10" s="135"/>
      <c r="G10" s="135"/>
      <c r="H10" s="135" t="s">
        <v>89</v>
      </c>
      <c r="I10" s="135" t="s">
        <v>90</v>
      </c>
      <c r="J10" s="135" t="s">
        <v>91</v>
      </c>
      <c r="K10" s="136" t="s">
        <v>92</v>
      </c>
    </row>
    <row r="11" spans="1:11" ht="13.5" thickBot="1" x14ac:dyDescent="0.25">
      <c r="A11" s="134"/>
      <c r="B11" s="135"/>
      <c r="C11" s="135"/>
      <c r="D11" s="135"/>
      <c r="E11" s="135"/>
      <c r="F11" s="135"/>
      <c r="G11" s="135"/>
      <c r="H11" s="135"/>
      <c r="I11" s="135"/>
      <c r="J11" s="135"/>
      <c r="K11" s="136"/>
    </row>
    <row r="12" spans="1:11" ht="30" customHeight="1" thickBot="1" x14ac:dyDescent="0.25">
      <c r="A12" s="70">
        <v>1</v>
      </c>
      <c r="B12" s="71" t="str">
        <f>'Necesidades Trimestrales'!B174</f>
        <v>4.3.5-8922.8</v>
      </c>
      <c r="C12" s="126" t="str">
        <f>'Necesidades Trimestrales'!E174</f>
        <v>JUEGOS DE SALON; TIPO: CONSOLA DE VIDEOJUEGOS</v>
      </c>
      <c r="D12" s="126"/>
      <c r="E12" s="126"/>
      <c r="F12" s="126"/>
      <c r="G12" s="126"/>
      <c r="H12" s="72" t="s">
        <v>93</v>
      </c>
      <c r="I12" s="73" t="s">
        <v>5</v>
      </c>
      <c r="J12" s="74">
        <f>'Necesidades Trimestrales'!H174</f>
        <v>185000</v>
      </c>
      <c r="K12" s="75">
        <f>'Necesidades Trimestrales'!G174</f>
        <v>3</v>
      </c>
    </row>
    <row r="13" spans="1:11" ht="30" customHeight="1" thickBot="1" x14ac:dyDescent="0.25">
      <c r="A13" s="70">
        <v>2</v>
      </c>
      <c r="B13" s="71" t="str">
        <f>'Necesidades Trimestrales'!B175</f>
        <v>4.3.5-9163.64</v>
      </c>
      <c r="C13" s="126" t="str">
        <f>'Necesidades Trimestrales'!E175</f>
        <v>EQUIPOS DIDACTICOS TECNICOS; NOMBRE: SISTEMA DE SONIDO, TIPO: ESTEREO</v>
      </c>
      <c r="D13" s="126"/>
      <c r="E13" s="126"/>
      <c r="F13" s="126"/>
      <c r="G13" s="126"/>
      <c r="H13" s="72" t="s">
        <v>93</v>
      </c>
      <c r="I13" s="73" t="s">
        <v>5</v>
      </c>
      <c r="J13" s="74">
        <f>'Necesidades Trimestrales'!H175</f>
        <v>10000</v>
      </c>
      <c r="K13" s="75">
        <f>'Necesidades Trimestrales'!G175</f>
        <v>4</v>
      </c>
    </row>
    <row r="14" spans="1:11" ht="30" customHeight="1" thickBot="1" x14ac:dyDescent="0.25">
      <c r="A14" s="70">
        <v>3</v>
      </c>
      <c r="B14" s="71" t="str">
        <f>'Necesidades Trimestrales'!B176</f>
        <v>4.3.7-46.128</v>
      </c>
      <c r="C14" s="126" t="str">
        <f>'Necesidades Trimestrales'!E176</f>
        <v>SILLONES EJECUTIVOS; TAPIZADO: ECOCUERO, ALTURA: REGULABLE, GIRATORIO: SI, MATERIAL: ACERO Y PLASTICO</v>
      </c>
      <c r="D14" s="126"/>
      <c r="E14" s="126"/>
      <c r="F14" s="126"/>
      <c r="G14" s="126"/>
      <c r="H14" s="72" t="s">
        <v>93</v>
      </c>
      <c r="I14" s="73" t="s">
        <v>5</v>
      </c>
      <c r="J14" s="74">
        <f>'Necesidades Trimestrales'!H176</f>
        <v>34800</v>
      </c>
      <c r="K14" s="75">
        <f>'Necesidades Trimestrales'!G176</f>
        <v>6</v>
      </c>
    </row>
    <row r="15" spans="1:11" ht="30" customHeight="1" thickBot="1" x14ac:dyDescent="0.25">
      <c r="A15" s="70">
        <v>4</v>
      </c>
      <c r="B15" s="71" t="str">
        <f>'Necesidades Trimestrales'!B177</f>
        <v>4.3.6-9707.20</v>
      </c>
      <c r="C15" s="126" t="str">
        <f>'Necesidades Trimestrales'!E177</f>
        <v>IMPRESORA 3D; TIPO: FDM, DIMENSION: 220 X 220 X 260 MM, RESOLUCION: SEGÚN PLIEGO, PRECISION: SEGÚN PLIEGO, ESPESOR CAPA: SEGÚN PLIEGO</v>
      </c>
      <c r="D15" s="126"/>
      <c r="E15" s="126"/>
      <c r="F15" s="126"/>
      <c r="G15" s="126"/>
      <c r="H15" s="72" t="s">
        <v>93</v>
      </c>
      <c r="I15" s="73" t="s">
        <v>5</v>
      </c>
      <c r="J15" s="74">
        <f>'Necesidades Trimestrales'!H177</f>
        <v>43200</v>
      </c>
      <c r="K15" s="75">
        <f>'Necesidades Trimestrales'!G177</f>
        <v>16</v>
      </c>
    </row>
    <row r="16" spans="1:11" ht="30" customHeight="1" thickBot="1" x14ac:dyDescent="0.25">
      <c r="A16" s="70">
        <v>5</v>
      </c>
      <c r="B16" s="71" t="str">
        <f>'Necesidades Trimestrales'!B178</f>
        <v>4.3.7-45.517</v>
      </c>
      <c r="C16" s="126" t="str">
        <f>'Necesidades Trimestrales'!E178</f>
        <v>SILLAS; MATERIAL ESTRUCTURA: METAL, TAPIZADO: SIN, ALTURA: 77 Cm, GIRATORIA: NO</v>
      </c>
      <c r="D16" s="126"/>
      <c r="E16" s="126"/>
      <c r="F16" s="126"/>
      <c r="G16" s="126"/>
      <c r="H16" s="72" t="s">
        <v>93</v>
      </c>
      <c r="I16" s="73" t="s">
        <v>5</v>
      </c>
      <c r="J16" s="74">
        <f>'Necesidades Trimestrales'!H178</f>
        <v>7900</v>
      </c>
      <c r="K16" s="75">
        <f>'Necesidades Trimestrales'!G178</f>
        <v>80</v>
      </c>
    </row>
    <row r="17" spans="1:11" ht="30" customHeight="1" thickBot="1" x14ac:dyDescent="0.25">
      <c r="A17" s="70">
        <v>6</v>
      </c>
      <c r="B17" s="71" t="str">
        <f>'Necesidades Trimestrales'!B179</f>
        <v>4.3.7-40.1320</v>
      </c>
      <c r="C17" s="126" t="str">
        <f>'Necesidades Trimestrales'!E179</f>
        <v>ESCRITORIOS; MATERIAL ESTRUCTURA: AGLOMERADO, TERMINACION: ENCHAPADO EN MELAMINA, DIM. DEL PLANO DE APOYO: 1,20 X 0,60 X 0,75 M, CANTIDAD DE CAJONES: 2</v>
      </c>
      <c r="D17" s="126"/>
      <c r="E17" s="126"/>
      <c r="F17" s="126"/>
      <c r="G17" s="126"/>
      <c r="H17" s="72" t="s">
        <v>93</v>
      </c>
      <c r="I17" s="73" t="s">
        <v>5</v>
      </c>
      <c r="J17" s="74">
        <f>'Necesidades Trimestrales'!H179</f>
        <v>15000</v>
      </c>
      <c r="K17" s="75">
        <f>'Necesidades Trimestrales'!G179</f>
        <v>8</v>
      </c>
    </row>
    <row r="18" spans="1:11" ht="30" customHeight="1" thickBot="1" x14ac:dyDescent="0.25">
      <c r="A18" s="70">
        <v>7</v>
      </c>
      <c r="B18" s="71" t="str">
        <f>'Necesidades Trimestrales'!B180</f>
        <v>4.3.7-1362.52</v>
      </c>
      <c r="C18" s="126" t="str">
        <f>'Necesidades Trimestrales'!E180</f>
        <v>MESAS CURVAS; CURVA: CIRCULAR, DIMENSION: DIAMETRO 120 Cm, MATERIAL: METAL, TERMINACION: FIBRA DE VIDRIO</v>
      </c>
      <c r="D18" s="126"/>
      <c r="E18" s="126"/>
      <c r="F18" s="126"/>
      <c r="G18" s="126"/>
      <c r="H18" s="72" t="s">
        <v>93</v>
      </c>
      <c r="I18" s="73" t="s">
        <v>5</v>
      </c>
      <c r="J18" s="74">
        <f>'Necesidades Trimestrales'!H180</f>
        <v>34500</v>
      </c>
      <c r="K18" s="75">
        <f>'Necesidades Trimestrales'!G180</f>
        <v>16</v>
      </c>
    </row>
    <row r="19" spans="1:11" ht="30" customHeight="1" thickBot="1" x14ac:dyDescent="0.25">
      <c r="A19" s="70">
        <v>8</v>
      </c>
      <c r="B19" s="71" t="str">
        <f>'Necesidades Trimestrales'!B181</f>
        <v>4.3.5-241.105</v>
      </c>
      <c r="C19" s="126" t="str">
        <f>'Necesidades Trimestrales'!E181</f>
        <v>TELEVISORES; PANTALLA: SMART LED FULL HD 60 pulg, NORMA: MULTINORMA, CANTIDAD DE CANALES: INDEFINIDO, APAGADO: CON, VISION MULTICANAL: CON</v>
      </c>
      <c r="D19" s="126"/>
      <c r="E19" s="126"/>
      <c r="F19" s="126"/>
      <c r="G19" s="126"/>
      <c r="H19" s="72" t="s">
        <v>93</v>
      </c>
      <c r="I19" s="73" t="s">
        <v>5</v>
      </c>
      <c r="J19" s="74">
        <f>'Necesidades Trimestrales'!H181</f>
        <v>110000</v>
      </c>
      <c r="K19" s="75">
        <f>'Necesidades Trimestrales'!G181</f>
        <v>4</v>
      </c>
    </row>
    <row r="20" spans="1:11" ht="30" customHeight="1" thickBot="1" x14ac:dyDescent="0.25">
      <c r="A20" s="70">
        <v>9</v>
      </c>
      <c r="B20" s="71" t="str">
        <f>'Necesidades Trimestrales'!B182</f>
        <v>4.3.7-56.26</v>
      </c>
      <c r="C20" s="126" t="str">
        <f>'Necesidades Trimestrales'!E182</f>
        <v>MESAS P/TELEVISORES; MATERIAL: AGLOMERADO, TAMAÑO: 110 X 110 X 60 Cm, PATAS: CON RUEDAS, ESTANTE: 2</v>
      </c>
      <c r="D20" s="126"/>
      <c r="E20" s="126"/>
      <c r="F20" s="126"/>
      <c r="G20" s="126"/>
      <c r="H20" s="72" t="s">
        <v>93</v>
      </c>
      <c r="I20" s="73" t="s">
        <v>5</v>
      </c>
      <c r="J20" s="74">
        <f>'Necesidades Trimestrales'!H182</f>
        <v>6200</v>
      </c>
      <c r="K20" s="75">
        <f>'Necesidades Trimestrales'!G182</f>
        <v>4</v>
      </c>
    </row>
    <row r="21" spans="1:11" ht="30" customHeight="1" thickBot="1" x14ac:dyDescent="0.25">
      <c r="A21" s="70">
        <v>10</v>
      </c>
      <c r="B21" s="71" t="str">
        <f>'Necesidades Trimestrales'!B183</f>
        <v>4.3.5-9163.90</v>
      </c>
      <c r="C21" s="126" t="str">
        <f>'Necesidades Trimestrales'!E183</f>
        <v>EQUIPOS DIDACTICOS TECNICOS; NOMBRE: KIT EXPERIMENTAL , TIPO: SEGÚN PLIEGO</v>
      </c>
      <c r="D21" s="126"/>
      <c r="E21" s="126"/>
      <c r="F21" s="126"/>
      <c r="G21" s="126"/>
      <c r="H21" s="72" t="s">
        <v>93</v>
      </c>
      <c r="I21" s="73" t="s">
        <v>5</v>
      </c>
      <c r="J21" s="74">
        <f>'Necesidades Trimestrales'!H183</f>
        <v>2200</v>
      </c>
      <c r="K21" s="75">
        <f>'Necesidades Trimestrales'!G183</f>
        <v>80</v>
      </c>
    </row>
    <row r="22" spans="1:11" ht="30" customHeight="1" thickBot="1" x14ac:dyDescent="0.25">
      <c r="A22" s="70">
        <v>11</v>
      </c>
      <c r="B22" s="71" t="str">
        <f>'Necesidades Trimestrales'!B184</f>
        <v>4.3.5-9163.90</v>
      </c>
      <c r="C22" s="126" t="str">
        <f>'Necesidades Trimestrales'!E184</f>
        <v>EQUIPOS DIDACTICOS TECNICOS; NOMBRE: KIT EXPERIMENTAL , TIPO: SEGÚN PLIEGO</v>
      </c>
      <c r="D22" s="126"/>
      <c r="E22" s="126"/>
      <c r="F22" s="126"/>
      <c r="G22" s="126"/>
      <c r="H22" s="72" t="s">
        <v>93</v>
      </c>
      <c r="I22" s="73" t="s">
        <v>5</v>
      </c>
      <c r="J22" s="74">
        <f>'Necesidades Trimestrales'!H184</f>
        <v>14999</v>
      </c>
      <c r="K22" s="75">
        <f>'Necesidades Trimestrales'!G184</f>
        <v>80</v>
      </c>
    </row>
    <row r="23" spans="1:11" ht="30" customHeight="1" thickBot="1" x14ac:dyDescent="0.25">
      <c r="A23" s="70">
        <v>12</v>
      </c>
      <c r="B23" s="71" t="str">
        <f>'Necesidades Trimestrales'!B185</f>
        <v>4.3.6-6160.222</v>
      </c>
      <c r="C23" s="126" t="str">
        <f>'Necesidades Trimestrales'!E185</f>
        <v>COMPUTADORAS; TIPO: NOTEBOOK, CODIGO ETAP: PC-007, VERSION ETAP: 23.0</v>
      </c>
      <c r="D23" s="126"/>
      <c r="E23" s="126"/>
      <c r="F23" s="126"/>
      <c r="G23" s="126"/>
      <c r="H23" s="72" t="s">
        <v>93</v>
      </c>
      <c r="I23" s="73" t="s">
        <v>5</v>
      </c>
      <c r="J23" s="74">
        <f>'Necesidades Trimestrales'!H185</f>
        <v>89999</v>
      </c>
      <c r="K23" s="75">
        <f>'Necesidades Trimestrales'!G185</f>
        <v>24</v>
      </c>
    </row>
    <row r="24" spans="1:11" ht="30" customHeight="1" thickBot="1" x14ac:dyDescent="0.25">
      <c r="A24" s="70">
        <v>13</v>
      </c>
      <c r="B24" s="71" t="str">
        <f>'Necesidades Trimestrales'!B186</f>
        <v>4.3.5-9163.76</v>
      </c>
      <c r="C24" s="126" t="str">
        <f>'Necesidades Trimestrales'!E186</f>
        <v>EQUIPOS DIDACTICOS TECNICOS; NOMBRE: ROBOT DIDACTICO, TIPO: 4 EJES</v>
      </c>
      <c r="D24" s="126"/>
      <c r="E24" s="126"/>
      <c r="F24" s="126"/>
      <c r="G24" s="126"/>
      <c r="H24" s="72" t="s">
        <v>93</v>
      </c>
      <c r="I24" s="73" t="s">
        <v>5</v>
      </c>
      <c r="J24" s="74">
        <f>'Necesidades Trimestrales'!H186</f>
        <v>11800</v>
      </c>
      <c r="K24" s="75">
        <f>'Necesidades Trimestrales'!G186</f>
        <v>8</v>
      </c>
    </row>
    <row r="25" spans="1:11" ht="30" customHeight="1" thickBot="1" x14ac:dyDescent="0.25">
      <c r="A25" s="70">
        <v>14</v>
      </c>
      <c r="B25" s="71" t="str">
        <f>'Necesidades Trimestrales'!B187</f>
        <v>4.3.5-9163.90</v>
      </c>
      <c r="C25" s="126" t="str">
        <f>'Necesidades Trimestrales'!E187</f>
        <v>EQUIPOS DIDACTICOS TECNICOS; NOMBRE: KIT EXPERIMENTAL , EQUIPOS DIDACTICOS TECNICOS; NOMBRE: KIT EXPERIMENTAL , TIPO: SEGÚN PLIEGO SEGÚN PLIEGO</v>
      </c>
      <c r="D25" s="126"/>
      <c r="E25" s="126"/>
      <c r="F25" s="126"/>
      <c r="G25" s="126"/>
      <c r="H25" s="72" t="s">
        <v>93</v>
      </c>
      <c r="I25" s="73" t="s">
        <v>5</v>
      </c>
      <c r="J25" s="74">
        <f>'Necesidades Trimestrales'!H187</f>
        <v>99000</v>
      </c>
      <c r="K25" s="75">
        <f>'Necesidades Trimestrales'!G187</f>
        <v>8</v>
      </c>
    </row>
    <row r="26" spans="1:11" ht="30" customHeight="1" thickBot="1" x14ac:dyDescent="0.25">
      <c r="A26" s="70">
        <v>15</v>
      </c>
      <c r="B26" s="71" t="str">
        <f>'Necesidades Trimestrales'!B188</f>
        <v>4.3.5-9163.90</v>
      </c>
      <c r="C26" s="126" t="str">
        <f>'Necesidades Trimestrales'!E188</f>
        <v>EQUIPOS DIDACTICOS TECNICOS; NOMBRE: KIT EXPERIMENTAL , TIPO: SEGÚN PLIEGO</v>
      </c>
      <c r="D26" s="126"/>
      <c r="E26" s="126"/>
      <c r="F26" s="126"/>
      <c r="G26" s="126"/>
      <c r="H26" s="72" t="s">
        <v>93</v>
      </c>
      <c r="I26" s="73" t="s">
        <v>5</v>
      </c>
      <c r="J26" s="74">
        <f>'Necesidades Trimestrales'!H188</f>
        <v>62140</v>
      </c>
      <c r="K26" s="75">
        <f>'Necesidades Trimestrales'!G188</f>
        <v>8</v>
      </c>
    </row>
    <row r="27" spans="1:11" ht="30" customHeight="1" thickBot="1" x14ac:dyDescent="0.25">
      <c r="A27" s="70">
        <v>16</v>
      </c>
      <c r="B27" s="71" t="str">
        <f>'Necesidades Trimestrales'!B189</f>
        <v>4.3.5-9163.90</v>
      </c>
      <c r="C27" s="126" t="str">
        <f>'Necesidades Trimestrales'!E189</f>
        <v>EQUIPOS DIDACTICOS TECNICOS; NOMBRE: KIT EXPERIMENTAL , TIPO: SEGÚN PLIEGO</v>
      </c>
      <c r="D27" s="126"/>
      <c r="E27" s="126"/>
      <c r="F27" s="126"/>
      <c r="G27" s="126"/>
      <c r="H27" s="72" t="s">
        <v>93</v>
      </c>
      <c r="I27" s="73" t="s">
        <v>5</v>
      </c>
      <c r="J27" s="74">
        <f>'Necesidades Trimestrales'!H189</f>
        <v>9800</v>
      </c>
      <c r="K27" s="75">
        <f>'Necesidades Trimestrales'!G189</f>
        <v>8</v>
      </c>
    </row>
    <row r="28" spans="1:11" ht="16.5" thickBot="1" x14ac:dyDescent="0.25">
      <c r="A28" s="130" t="s">
        <v>128</v>
      </c>
      <c r="B28" s="130"/>
      <c r="C28" s="130"/>
      <c r="D28" s="130"/>
      <c r="E28" s="130"/>
      <c r="F28" s="130"/>
      <c r="G28" s="130"/>
      <c r="H28" s="130"/>
      <c r="I28" s="130"/>
      <c r="J28" s="131">
        <f>SUMPRODUCT(J12:J27,K12:K27)</f>
        <v>8261616</v>
      </c>
      <c r="K28" s="131"/>
    </row>
  </sheetData>
  <mergeCells count="38">
    <mergeCell ref="C20:G20"/>
    <mergeCell ref="A1:I1"/>
    <mergeCell ref="A6:C6"/>
    <mergeCell ref="D6:K6"/>
    <mergeCell ref="A7:C7"/>
    <mergeCell ref="D7:K7"/>
    <mergeCell ref="A28:I28"/>
    <mergeCell ref="J28:K28"/>
    <mergeCell ref="C12:G12"/>
    <mergeCell ref="A8:C8"/>
    <mergeCell ref="D8:K8"/>
    <mergeCell ref="A10:A11"/>
    <mergeCell ref="B10:B11"/>
    <mergeCell ref="C10:G11"/>
    <mergeCell ref="H10:H11"/>
    <mergeCell ref="I10:I11"/>
    <mergeCell ref="J10:J11"/>
    <mergeCell ref="K10:K11"/>
    <mergeCell ref="C13:G13"/>
    <mergeCell ref="C14:G14"/>
    <mergeCell ref="C15:G15"/>
    <mergeCell ref="C27:G27"/>
    <mergeCell ref="C23:G23"/>
    <mergeCell ref="C24:G24"/>
    <mergeCell ref="C26:G26"/>
    <mergeCell ref="C25:G25"/>
    <mergeCell ref="A3:C3"/>
    <mergeCell ref="D3:K3"/>
    <mergeCell ref="A4:C4"/>
    <mergeCell ref="D4:K4"/>
    <mergeCell ref="A5:C5"/>
    <mergeCell ref="D5:K5"/>
    <mergeCell ref="C21:G21"/>
    <mergeCell ref="C22:G22"/>
    <mergeCell ref="C16:G16"/>
    <mergeCell ref="C17:G17"/>
    <mergeCell ref="C18:G18"/>
    <mergeCell ref="C19:G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8"/>
  <sheetViews>
    <sheetView tabSelected="1" topLeftCell="A13" zoomScale="136" zoomScaleNormal="136" workbookViewId="0">
      <selection activeCell="O15" sqref="O15:P15"/>
    </sheetView>
  </sheetViews>
  <sheetFormatPr baseColWidth="10" defaultRowHeight="12.75" x14ac:dyDescent="0.2"/>
  <cols>
    <col min="1" max="5" width="4.42578125" customWidth="1"/>
    <col min="6" max="6" width="5.42578125" customWidth="1"/>
    <col min="7" max="14" width="4.42578125" customWidth="1"/>
    <col min="15" max="15" width="15.28515625" customWidth="1"/>
    <col min="17" max="17" width="15" customWidth="1"/>
  </cols>
  <sheetData>
    <row r="1" spans="1:17" ht="15.75" thickBot="1" x14ac:dyDescent="0.3">
      <c r="A1" s="165" t="s">
        <v>3</v>
      </c>
      <c r="B1" s="165"/>
      <c r="C1" s="165"/>
      <c r="D1" s="166">
        <f>'[1]Necesidades Trimestrales'!C6</f>
        <v>2021</v>
      </c>
      <c r="E1" s="166"/>
      <c r="F1" s="63"/>
      <c r="G1" s="63"/>
      <c r="H1" s="61"/>
      <c r="I1" s="61"/>
      <c r="J1" s="61"/>
      <c r="K1" s="61"/>
      <c r="L1" s="61"/>
      <c r="M1" s="61"/>
      <c r="N1" s="61"/>
      <c r="O1" s="62"/>
      <c r="P1" s="167" t="s">
        <v>94</v>
      </c>
      <c r="Q1" s="167"/>
    </row>
    <row r="2" spans="1:17" ht="13.5" thickBot="1" x14ac:dyDescent="0.25">
      <c r="A2" s="62"/>
      <c r="B2" s="62"/>
      <c r="C2" s="62"/>
      <c r="D2" s="62"/>
      <c r="E2" s="62"/>
      <c r="F2" s="62"/>
      <c r="G2" s="76"/>
      <c r="H2" s="61"/>
      <c r="I2" s="61"/>
      <c r="J2" s="61"/>
      <c r="K2" s="61"/>
      <c r="L2" s="61"/>
      <c r="M2" s="61"/>
      <c r="N2" s="61"/>
      <c r="O2" s="62"/>
      <c r="P2" s="167"/>
      <c r="Q2" s="167"/>
    </row>
    <row r="3" spans="1:17" ht="13.5" thickBot="1" x14ac:dyDescent="0.25">
      <c r="A3" s="62"/>
      <c r="B3" s="62"/>
      <c r="C3" s="62"/>
      <c r="D3" s="62"/>
      <c r="E3" s="62"/>
      <c r="F3" s="62"/>
      <c r="G3" s="76"/>
      <c r="H3" s="62"/>
      <c r="I3" s="62"/>
      <c r="J3" s="62"/>
      <c r="K3" s="62"/>
      <c r="L3" s="62"/>
      <c r="M3" s="62"/>
      <c r="N3" s="62"/>
      <c r="O3" s="62"/>
      <c r="P3" s="62"/>
      <c r="Q3" s="62"/>
    </row>
    <row r="4" spans="1:17" ht="15" thickBot="1" x14ac:dyDescent="0.25">
      <c r="A4" s="168" t="s">
        <v>95</v>
      </c>
      <c r="B4" s="168"/>
      <c r="C4" s="168"/>
      <c r="D4" s="168"/>
      <c r="E4" s="168"/>
      <c r="F4" s="168"/>
      <c r="G4" s="164" t="str">
        <f>'[1] NotaPedido'!D3</f>
        <v>70 - MINISTERIO DE CIENCIA E INNOVACION TECNOLOGICA</v>
      </c>
      <c r="H4" s="164"/>
      <c r="I4" s="164"/>
      <c r="J4" s="164"/>
      <c r="K4" s="164"/>
      <c r="L4" s="164"/>
      <c r="M4" s="164"/>
      <c r="N4" s="164"/>
      <c r="O4" s="164"/>
      <c r="P4" s="164"/>
      <c r="Q4" s="164"/>
    </row>
    <row r="5" spans="1:17" ht="15" thickBot="1" x14ac:dyDescent="0.25">
      <c r="A5" s="152" t="s">
        <v>80</v>
      </c>
      <c r="B5" s="153"/>
      <c r="C5" s="153"/>
      <c r="D5" s="153"/>
      <c r="E5" s="153"/>
      <c r="F5" s="154"/>
      <c r="G5" s="164" t="str">
        <f>'[1] NotaPedido'!D4</f>
        <v>20 - MINISTERIO DE CIENCIA E INNOVACION TECNOLOGICA</v>
      </c>
      <c r="H5" s="164"/>
      <c r="I5" s="164"/>
      <c r="J5" s="164"/>
      <c r="K5" s="164"/>
      <c r="L5" s="164"/>
      <c r="M5" s="164"/>
      <c r="N5" s="164"/>
      <c r="O5" s="164"/>
      <c r="P5" s="164"/>
      <c r="Q5" s="164"/>
    </row>
    <row r="6" spans="1:17" ht="13.5" thickBot="1" x14ac:dyDescent="0.25">
      <c r="A6" s="152" t="s">
        <v>81</v>
      </c>
      <c r="B6" s="153"/>
      <c r="C6" s="153"/>
      <c r="D6" s="153"/>
      <c r="E6" s="153"/>
      <c r="F6" s="154"/>
      <c r="G6" s="155" t="s">
        <v>124</v>
      </c>
      <c r="H6" s="155"/>
      <c r="I6" s="155"/>
      <c r="J6" s="155"/>
      <c r="K6" s="155"/>
      <c r="L6" s="155"/>
      <c r="M6" s="155"/>
      <c r="N6" s="155"/>
      <c r="O6" s="155"/>
      <c r="P6" s="155"/>
      <c r="Q6" s="155"/>
    </row>
    <row r="7" spans="1:17" ht="13.5" thickBot="1" x14ac:dyDescent="0.25">
      <c r="A7" s="152" t="s">
        <v>82</v>
      </c>
      <c r="B7" s="153"/>
      <c r="C7" s="153"/>
      <c r="D7" s="153"/>
      <c r="E7" s="153"/>
      <c r="F7" s="154"/>
      <c r="G7" s="156" t="str">
        <f>'[1] NotaPedido'!D6</f>
        <v>DIRECCION PROVINCIAL DE GESTION ADMINISTRATIVA RECURSOS HUMANOS</v>
      </c>
      <c r="H7" s="156"/>
      <c r="I7" s="156"/>
      <c r="J7" s="156"/>
      <c r="K7" s="156"/>
      <c r="L7" s="156"/>
      <c r="M7" s="156"/>
      <c r="N7" s="156"/>
      <c r="O7" s="156"/>
      <c r="P7" s="156"/>
      <c r="Q7" s="156"/>
    </row>
    <row r="8" spans="1:17" ht="13.5" thickBot="1" x14ac:dyDescent="0.25">
      <c r="A8" s="157" t="s">
        <v>96</v>
      </c>
      <c r="B8" s="157"/>
      <c r="C8" s="157"/>
      <c r="D8" s="157"/>
      <c r="E8" s="157"/>
      <c r="F8" s="157"/>
      <c r="G8" s="157"/>
      <c r="H8" s="157"/>
      <c r="I8" s="157"/>
      <c r="J8" s="157"/>
      <c r="K8" s="157"/>
      <c r="L8" s="157"/>
      <c r="M8" s="157"/>
      <c r="N8" s="157"/>
      <c r="O8" s="157"/>
      <c r="P8" s="157"/>
      <c r="Q8" s="157"/>
    </row>
    <row r="9" spans="1:17" ht="21" customHeight="1" x14ac:dyDescent="0.2">
      <c r="A9" s="158" t="s">
        <v>97</v>
      </c>
      <c r="B9" s="158"/>
      <c r="C9" s="158"/>
      <c r="D9" s="158"/>
      <c r="E9" s="158"/>
      <c r="F9" s="158"/>
      <c r="G9" s="158"/>
      <c r="H9" s="158"/>
      <c r="I9" s="158"/>
      <c r="J9" s="158"/>
      <c r="K9" s="158"/>
      <c r="L9" s="158"/>
      <c r="M9" s="158"/>
      <c r="N9" s="158"/>
      <c r="O9" s="77"/>
      <c r="P9" s="77"/>
      <c r="Q9" s="78"/>
    </row>
    <row r="10" spans="1:17" ht="61.5" customHeight="1" x14ac:dyDescent="0.2">
      <c r="A10" s="159" t="s">
        <v>121</v>
      </c>
      <c r="B10" s="159"/>
      <c r="C10" s="159"/>
      <c r="D10" s="159"/>
      <c r="E10" s="159"/>
      <c r="F10" s="159"/>
      <c r="G10" s="159"/>
      <c r="H10" s="159"/>
      <c r="I10" s="159"/>
      <c r="J10" s="159"/>
      <c r="K10" s="159"/>
      <c r="L10" s="159"/>
      <c r="M10" s="159"/>
      <c r="N10" s="159"/>
      <c r="O10" s="159"/>
      <c r="P10" s="159"/>
      <c r="Q10" s="159"/>
    </row>
    <row r="11" spans="1:17" ht="3.75" customHeight="1" thickBot="1" x14ac:dyDescent="0.25">
      <c r="A11" s="79"/>
      <c r="B11" s="80"/>
      <c r="C11" s="80"/>
      <c r="D11" s="80"/>
      <c r="E11" s="80"/>
      <c r="F11" s="80"/>
      <c r="G11" s="81"/>
      <c r="H11" s="80"/>
      <c r="I11" s="80"/>
      <c r="J11" s="80"/>
      <c r="K11" s="80"/>
      <c r="L11" s="80"/>
      <c r="M11" s="80"/>
      <c r="N11" s="80"/>
      <c r="O11" s="80"/>
      <c r="P11" s="80"/>
      <c r="Q11" s="82"/>
    </row>
    <row r="12" spans="1:17" ht="18" customHeight="1" thickBot="1" x14ac:dyDescent="0.25">
      <c r="A12" s="160" t="s">
        <v>98</v>
      </c>
      <c r="B12" s="160"/>
      <c r="C12" s="160"/>
      <c r="D12" s="160"/>
      <c r="E12" s="160"/>
      <c r="F12" s="160"/>
      <c r="G12" s="160"/>
      <c r="H12" s="160"/>
      <c r="I12" s="160"/>
      <c r="J12" s="160"/>
      <c r="K12" s="160"/>
      <c r="L12" s="160"/>
      <c r="M12" s="160"/>
      <c r="N12" s="160"/>
      <c r="O12" s="160"/>
      <c r="P12" s="160"/>
      <c r="Q12" s="160"/>
    </row>
    <row r="13" spans="1:17" ht="17.25" customHeight="1" thickBot="1" x14ac:dyDescent="0.25">
      <c r="A13" s="161" t="s">
        <v>99</v>
      </c>
      <c r="B13" s="161"/>
      <c r="C13" s="161"/>
      <c r="D13" s="161"/>
      <c r="E13" s="161"/>
      <c r="F13" s="161"/>
      <c r="G13" s="161"/>
      <c r="H13" s="161"/>
      <c r="I13" s="161"/>
      <c r="J13" s="161"/>
      <c r="K13" s="161"/>
      <c r="L13" s="161"/>
      <c r="M13" s="161"/>
      <c r="N13" s="161"/>
      <c r="O13" s="162" t="s">
        <v>100</v>
      </c>
      <c r="P13" s="162"/>
      <c r="Q13" s="163" t="s">
        <v>101</v>
      </c>
    </row>
    <row r="14" spans="1:17" ht="20.25" customHeight="1" thickBot="1" x14ac:dyDescent="0.25">
      <c r="A14" s="83" t="s">
        <v>102</v>
      </c>
      <c r="B14" s="84" t="s">
        <v>103</v>
      </c>
      <c r="C14" s="84" t="s">
        <v>104</v>
      </c>
      <c r="D14" s="84" t="s">
        <v>105</v>
      </c>
      <c r="E14" s="84" t="s">
        <v>106</v>
      </c>
      <c r="F14" s="84" t="s">
        <v>107</v>
      </c>
      <c r="G14" s="85" t="s">
        <v>108</v>
      </c>
      <c r="H14" s="84" t="s">
        <v>109</v>
      </c>
      <c r="I14" s="84" t="s">
        <v>110</v>
      </c>
      <c r="J14" s="84" t="s">
        <v>111</v>
      </c>
      <c r="K14" s="84" t="s">
        <v>111</v>
      </c>
      <c r="L14" s="84" t="s">
        <v>112</v>
      </c>
      <c r="M14" s="86" t="s">
        <v>113</v>
      </c>
      <c r="N14" s="87" t="s">
        <v>114</v>
      </c>
      <c r="O14" s="162"/>
      <c r="P14" s="162"/>
      <c r="Q14" s="163"/>
    </row>
    <row r="15" spans="1:17" ht="24.95" customHeight="1" x14ac:dyDescent="0.2">
      <c r="A15" s="88">
        <v>2</v>
      </c>
      <c r="B15" s="88">
        <v>0</v>
      </c>
      <c r="C15" s="88">
        <v>0</v>
      </c>
      <c r="D15" s="88">
        <v>1</v>
      </c>
      <c r="E15" s="88">
        <v>0</v>
      </c>
      <c r="F15" s="88">
        <v>4901</v>
      </c>
      <c r="G15" s="88">
        <v>3</v>
      </c>
      <c r="H15" s="88">
        <v>5</v>
      </c>
      <c r="I15" s="89">
        <v>4</v>
      </c>
      <c r="J15" s="89">
        <v>3</v>
      </c>
      <c r="K15" s="89">
        <v>5</v>
      </c>
      <c r="L15" s="88">
        <v>0</v>
      </c>
      <c r="M15" s="88">
        <v>1</v>
      </c>
      <c r="N15" s="88" t="s">
        <v>115</v>
      </c>
      <c r="O15" s="150" t="s">
        <v>117</v>
      </c>
      <c r="P15" s="151"/>
      <c r="Q15" s="90">
        <v>3872840</v>
      </c>
    </row>
    <row r="16" spans="1:17" ht="24.95" customHeight="1" x14ac:dyDescent="0.2">
      <c r="A16" s="91">
        <v>3</v>
      </c>
      <c r="B16" s="91">
        <v>0</v>
      </c>
      <c r="C16" s="91">
        <v>0</v>
      </c>
      <c r="D16" s="91">
        <v>1</v>
      </c>
      <c r="E16" s="91">
        <v>0</v>
      </c>
      <c r="F16" s="91">
        <v>4901</v>
      </c>
      <c r="G16" s="91">
        <v>3</v>
      </c>
      <c r="H16" s="91">
        <v>5</v>
      </c>
      <c r="I16" s="92">
        <v>4</v>
      </c>
      <c r="J16" s="92">
        <v>3</v>
      </c>
      <c r="K16" s="92">
        <v>6</v>
      </c>
      <c r="L16" s="91">
        <v>0</v>
      </c>
      <c r="M16" s="91">
        <v>1</v>
      </c>
      <c r="N16" s="91" t="s">
        <v>115</v>
      </c>
      <c r="O16" s="140" t="s">
        <v>116</v>
      </c>
      <c r="P16" s="141"/>
      <c r="Q16" s="93">
        <v>2851176</v>
      </c>
    </row>
    <row r="17" spans="1:17" ht="24.95" customHeight="1" x14ac:dyDescent="0.2">
      <c r="A17" s="91">
        <v>3</v>
      </c>
      <c r="B17" s="91">
        <v>0</v>
      </c>
      <c r="C17" s="91">
        <v>0</v>
      </c>
      <c r="D17" s="91">
        <v>1</v>
      </c>
      <c r="E17" s="91">
        <v>0</v>
      </c>
      <c r="F17" s="91">
        <v>4901</v>
      </c>
      <c r="G17" s="91">
        <v>3</v>
      </c>
      <c r="H17" s="91">
        <v>5</v>
      </c>
      <c r="I17" s="92">
        <v>4</v>
      </c>
      <c r="J17" s="92">
        <v>3</v>
      </c>
      <c r="K17" s="92">
        <v>7</v>
      </c>
      <c r="L17" s="91">
        <v>0</v>
      </c>
      <c r="M17" s="91">
        <v>1</v>
      </c>
      <c r="N17" s="91" t="s">
        <v>115</v>
      </c>
      <c r="O17" s="140" t="s">
        <v>120</v>
      </c>
      <c r="P17" s="141"/>
      <c r="Q17" s="93">
        <v>1537600</v>
      </c>
    </row>
    <row r="18" spans="1:17" ht="24.95" customHeight="1" x14ac:dyDescent="0.2">
      <c r="A18" s="91"/>
      <c r="B18" s="91"/>
      <c r="C18" s="91"/>
      <c r="D18" s="91"/>
      <c r="E18" s="91"/>
      <c r="F18" s="91"/>
      <c r="G18" s="91"/>
      <c r="H18" s="91"/>
      <c r="I18" s="92"/>
      <c r="J18" s="92"/>
      <c r="K18" s="92"/>
      <c r="L18" s="91"/>
      <c r="M18" s="91"/>
      <c r="N18" s="91"/>
      <c r="O18" s="142"/>
      <c r="P18" s="143"/>
      <c r="Q18" s="93"/>
    </row>
    <row r="19" spans="1:17" ht="24.95" customHeight="1" x14ac:dyDescent="0.2">
      <c r="A19" s="91"/>
      <c r="B19" s="91"/>
      <c r="C19" s="91"/>
      <c r="D19" s="91"/>
      <c r="E19" s="91"/>
      <c r="F19" s="91"/>
      <c r="G19" s="91"/>
      <c r="H19" s="91"/>
      <c r="I19" s="92"/>
      <c r="J19" s="92"/>
      <c r="K19" s="92"/>
      <c r="L19" s="91"/>
      <c r="M19" s="91"/>
      <c r="N19" s="91"/>
      <c r="O19" s="142"/>
      <c r="P19" s="143"/>
      <c r="Q19" s="93"/>
    </row>
    <row r="20" spans="1:17" x14ac:dyDescent="0.2">
      <c r="A20" s="92"/>
      <c r="B20" s="92"/>
      <c r="C20" s="92"/>
      <c r="D20" s="92"/>
      <c r="E20" s="92"/>
      <c r="F20" s="92"/>
      <c r="G20" s="92"/>
      <c r="H20" s="92"/>
      <c r="I20" s="92"/>
      <c r="J20" s="92"/>
      <c r="K20" s="92"/>
      <c r="L20" s="92"/>
      <c r="M20" s="92"/>
      <c r="N20" s="92"/>
      <c r="O20" s="143"/>
      <c r="P20" s="143"/>
      <c r="Q20" s="94"/>
    </row>
    <row r="21" spans="1:17" ht="14.25" x14ac:dyDescent="0.2">
      <c r="A21" s="95"/>
      <c r="B21" s="95"/>
      <c r="C21" s="95"/>
      <c r="D21" s="95"/>
      <c r="E21" s="95"/>
      <c r="F21" s="92"/>
      <c r="G21" s="95"/>
      <c r="H21" s="95"/>
      <c r="I21" s="95"/>
      <c r="J21" s="95"/>
      <c r="K21" s="95"/>
      <c r="L21" s="95"/>
      <c r="M21" s="95"/>
      <c r="N21" s="95"/>
      <c r="O21" s="143"/>
      <c r="P21" s="143"/>
      <c r="Q21" s="94"/>
    </row>
    <row r="22" spans="1:17" x14ac:dyDescent="0.2">
      <c r="A22" s="92"/>
      <c r="B22" s="92"/>
      <c r="C22" s="92"/>
      <c r="D22" s="92"/>
      <c r="E22" s="92"/>
      <c r="F22" s="92"/>
      <c r="G22" s="92"/>
      <c r="H22" s="92"/>
      <c r="I22" s="92"/>
      <c r="J22" s="92"/>
      <c r="K22" s="92"/>
      <c r="L22" s="92"/>
      <c r="M22" s="92"/>
      <c r="N22" s="92"/>
      <c r="O22" s="143"/>
      <c r="P22" s="143"/>
      <c r="Q22" s="94"/>
    </row>
    <row r="23" spans="1:17" ht="35.25" customHeight="1" thickBot="1" x14ac:dyDescent="0.25">
      <c r="A23" s="144" t="s">
        <v>127</v>
      </c>
      <c r="B23" s="144"/>
      <c r="C23" s="144"/>
      <c r="D23" s="144"/>
      <c r="E23" s="144"/>
      <c r="F23" s="144"/>
      <c r="G23" s="144"/>
      <c r="H23" s="144"/>
      <c r="I23" s="144"/>
      <c r="J23" s="144"/>
      <c r="K23" s="144"/>
      <c r="L23" s="144"/>
      <c r="M23" s="144"/>
      <c r="N23" s="144"/>
      <c r="O23" s="144"/>
      <c r="P23" s="144"/>
      <c r="Q23" s="96">
        <f>SUM(Q15:Q22)</f>
        <v>8261616</v>
      </c>
    </row>
    <row r="24" spans="1:17" ht="13.5" thickBot="1" x14ac:dyDescent="0.25">
      <c r="A24" s="145"/>
      <c r="B24" s="145"/>
      <c r="C24" s="145"/>
      <c r="D24" s="145"/>
      <c r="E24" s="145"/>
      <c r="F24" s="145"/>
      <c r="G24" s="145"/>
      <c r="H24" s="145"/>
      <c r="I24" s="145"/>
      <c r="J24" s="145"/>
      <c r="K24" s="145"/>
      <c r="L24" s="145"/>
      <c r="M24" s="145"/>
      <c r="N24" s="145"/>
      <c r="O24" s="145"/>
      <c r="P24" s="145"/>
      <c r="Q24" s="145"/>
    </row>
    <row r="25" spans="1:17" ht="15.75" thickBot="1" x14ac:dyDescent="0.25">
      <c r="A25" s="146" t="s">
        <v>118</v>
      </c>
      <c r="B25" s="147"/>
      <c r="C25" s="147"/>
      <c r="D25" s="147"/>
      <c r="E25" s="147"/>
      <c r="F25" s="148"/>
      <c r="G25" s="149"/>
      <c r="H25" s="149"/>
      <c r="I25" s="149"/>
      <c r="J25" s="149"/>
      <c r="K25" s="149"/>
      <c r="L25" s="149"/>
      <c r="M25" s="149"/>
      <c r="N25" s="149"/>
      <c r="O25" s="149"/>
      <c r="P25" s="149"/>
      <c r="Q25" s="149"/>
    </row>
    <row r="26" spans="1:17" ht="13.5" thickBot="1" x14ac:dyDescent="0.25">
      <c r="A26" s="138" t="s">
        <v>125</v>
      </c>
      <c r="B26" s="139"/>
      <c r="C26" s="139"/>
      <c r="D26" s="139"/>
      <c r="E26" s="139"/>
      <c r="F26" s="139"/>
      <c r="G26" s="139"/>
      <c r="H26" s="139"/>
      <c r="I26" s="139"/>
      <c r="J26" s="139"/>
      <c r="K26" s="139"/>
      <c r="L26" s="139"/>
      <c r="M26" s="139"/>
      <c r="N26" s="139"/>
      <c r="O26" s="139"/>
      <c r="P26" s="139"/>
      <c r="Q26" s="139"/>
    </row>
    <row r="27" spans="1:17" ht="13.5" thickBot="1" x14ac:dyDescent="0.25">
      <c r="A27" s="139"/>
      <c r="B27" s="139"/>
      <c r="C27" s="139"/>
      <c r="D27" s="139"/>
      <c r="E27" s="139"/>
      <c r="F27" s="139"/>
      <c r="G27" s="139"/>
      <c r="H27" s="139"/>
      <c r="I27" s="139"/>
      <c r="J27" s="139"/>
      <c r="K27" s="139"/>
      <c r="L27" s="139"/>
      <c r="M27" s="139"/>
      <c r="N27" s="139"/>
      <c r="O27" s="139"/>
      <c r="P27" s="139"/>
      <c r="Q27" s="139"/>
    </row>
    <row r="28" spans="1:17" x14ac:dyDescent="0.2">
      <c r="A28" s="62"/>
      <c r="B28" s="62"/>
      <c r="C28" s="62"/>
      <c r="D28" s="62"/>
      <c r="E28" s="62"/>
      <c r="F28" s="62"/>
      <c r="G28" s="76"/>
      <c r="H28" s="62"/>
      <c r="I28" s="62"/>
      <c r="J28" s="62"/>
      <c r="K28" s="62"/>
      <c r="L28" s="62"/>
      <c r="M28" s="62"/>
      <c r="N28" s="62"/>
      <c r="O28" s="62"/>
      <c r="P28" s="62"/>
      <c r="Q28" s="62"/>
    </row>
  </sheetData>
  <mergeCells count="31">
    <mergeCell ref="A5:F5"/>
    <mergeCell ref="G5:Q5"/>
    <mergeCell ref="A1:C1"/>
    <mergeCell ref="D1:E1"/>
    <mergeCell ref="P1:Q2"/>
    <mergeCell ref="A4:F4"/>
    <mergeCell ref="G4:Q4"/>
    <mergeCell ref="O15:P15"/>
    <mergeCell ref="A6:F6"/>
    <mergeCell ref="G6:Q6"/>
    <mergeCell ref="A7:F7"/>
    <mergeCell ref="G7:Q7"/>
    <mergeCell ref="A8:Q8"/>
    <mergeCell ref="A9:N9"/>
    <mergeCell ref="A10:Q10"/>
    <mergeCell ref="A12:Q12"/>
    <mergeCell ref="A13:N13"/>
    <mergeCell ref="O13:P14"/>
    <mergeCell ref="Q13:Q14"/>
    <mergeCell ref="A26:Q27"/>
    <mergeCell ref="O16:P16"/>
    <mergeCell ref="O17:P17"/>
    <mergeCell ref="O18:P18"/>
    <mergeCell ref="O19:P19"/>
    <mergeCell ref="O20:P20"/>
    <mergeCell ref="O21:P21"/>
    <mergeCell ref="O22:P22"/>
    <mergeCell ref="A23:P23"/>
    <mergeCell ref="A24:Q24"/>
    <mergeCell ref="A25:F25"/>
    <mergeCell ref="G25:Q25"/>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Nota de Pedido</vt:lpstr>
      <vt:lpstr>Auto Gastar</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COMPRAS</cp:lastModifiedBy>
  <cp:revision>2</cp:revision>
  <cp:lastPrinted>2021-09-13T11:30:03Z</cp:lastPrinted>
  <dcterms:created xsi:type="dcterms:W3CDTF">2020-07-17T23:44:49Z</dcterms:created>
  <dcterms:modified xsi:type="dcterms:W3CDTF">2021-09-22T14:11:48Z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