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Necesidades Trimestrales" sheetId="1" r:id="rId1"/>
  </sheets>
  <calcPr calcId="125725"/>
</workbook>
</file>

<file path=xl/calcChain.xml><?xml version="1.0" encoding="utf-8"?>
<calcChain xmlns="http://schemas.openxmlformats.org/spreadsheetml/2006/main">
  <c r="D10" i="1"/>
  <c r="I10"/>
  <c r="P10"/>
  <c r="K10" s="1"/>
  <c r="L10" s="1"/>
  <c r="D11"/>
  <c r="I11"/>
  <c r="J10" s="1"/>
  <c r="M10" s="1"/>
  <c r="D12"/>
  <c r="I12"/>
  <c r="J12" s="1"/>
  <c r="K12"/>
  <c r="L12" s="1"/>
  <c r="D13"/>
  <c r="I13"/>
  <c r="K13"/>
  <c r="L13" s="1"/>
  <c r="N13"/>
  <c r="D14"/>
  <c r="I14"/>
  <c r="J14" s="1"/>
  <c r="K14"/>
  <c r="L14" s="1"/>
  <c r="D15"/>
  <c r="I15"/>
  <c r="K15"/>
  <c r="L15" s="1"/>
  <c r="D16"/>
  <c r="I16"/>
  <c r="K16"/>
  <c r="L16"/>
  <c r="D17"/>
  <c r="I17"/>
  <c r="J16" s="1"/>
  <c r="K17"/>
  <c r="L17"/>
  <c r="D18"/>
  <c r="I18"/>
  <c r="J18" s="1"/>
  <c r="K18"/>
  <c r="L18" s="1"/>
  <c r="D19"/>
  <c r="I19"/>
  <c r="K19"/>
  <c r="L19" s="1"/>
  <c r="D20"/>
  <c r="I20"/>
  <c r="K20"/>
  <c r="L20"/>
  <c r="D21"/>
  <c r="I21"/>
  <c r="J20" s="1"/>
  <c r="K21"/>
  <c r="L21"/>
  <c r="D22"/>
  <c r="I22"/>
  <c r="J22" s="1"/>
  <c r="K22"/>
  <c r="L22" s="1"/>
  <c r="D23"/>
  <c r="I23"/>
  <c r="K23"/>
  <c r="L23" s="1"/>
  <c r="D24"/>
  <c r="I24"/>
  <c r="K24"/>
  <c r="L24"/>
  <c r="D25"/>
  <c r="I25"/>
  <c r="J24" s="1"/>
  <c r="K25"/>
  <c r="L25"/>
  <c r="D26"/>
  <c r="I26"/>
  <c r="K29" s="1"/>
  <c r="D27"/>
  <c r="I27"/>
  <c r="D28"/>
  <c r="I28"/>
  <c r="D29"/>
  <c r="I29"/>
  <c r="D30"/>
  <c r="I30"/>
  <c r="D31"/>
  <c r="I31"/>
  <c r="I32"/>
  <c r="K11" l="1"/>
  <c r="L11" s="1"/>
</calcChain>
</file>

<file path=xl/comments1.xml><?xml version="1.0" encoding="utf-8"?>
<comments xmlns="http://schemas.openxmlformats.org/spreadsheetml/2006/main">
  <authors>
    <author>Armeria</author>
  </authors>
  <commentList>
    <comment ref="J10" authorId="0">
      <text>
        <r>
          <rPr>
            <b/>
            <sz val="9"/>
            <color indexed="81"/>
            <rFont val="Tahoma"/>
            <family val="2"/>
          </rPr>
          <t>suma de ambos combustibles</t>
        </r>
      </text>
    </comment>
    <comment ref="K10" authorId="0">
      <text>
        <r>
          <rPr>
            <sz val="9"/>
            <color indexed="81"/>
            <rFont val="Tahoma"/>
            <family val="2"/>
          </rPr>
          <t>30% cap e interior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resto de monto a gastar debe quedar 0</t>
        </r>
      </text>
    </comment>
    <comment ref="P10" authorId="0">
      <text>
        <r>
          <rPr>
            <b/>
            <sz val="9"/>
            <color indexed="81"/>
            <rFont val="Tahoma"/>
            <family val="2"/>
          </rPr>
          <t>presupuesto cap interior</t>
        </r>
      </text>
    </comment>
    <comment ref="K11" authorId="0">
      <text>
        <r>
          <rPr>
            <sz val="9"/>
            <color indexed="81"/>
            <rFont val="Tahoma"/>
            <family val="2"/>
          </rPr>
          <t>70% cap e interior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presupuesto resto actividades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 xml:space="preserve">Sumatoria Lubricantes </t>
        </r>
      </text>
    </comment>
  </commentList>
</comments>
</file>

<file path=xl/sharedStrings.xml><?xml version="1.0" encoding="utf-8"?>
<sst xmlns="http://schemas.openxmlformats.org/spreadsheetml/2006/main" count="129" uniqueCount="88">
  <si>
    <t>*</t>
  </si>
  <si>
    <t>Garantia</t>
  </si>
  <si>
    <t>30 (treinta) días</t>
  </si>
  <si>
    <t>Mantenimiento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</si>
  <si>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</si>
  <si>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Calidad Minima esperada</t>
  </si>
  <si>
    <r>
      <rPr>
        <b/>
        <u/>
        <sz val="10"/>
        <rFont val="Century Gothic"/>
        <family val="2"/>
      </rPr>
      <t>Plazo de entrega</t>
    </r>
    <r>
      <rPr>
        <b/>
        <sz val="10"/>
        <rFont val="Century Gothic"/>
        <family val="2"/>
      </rPr>
      <t xml:space="preserve"> tres 3 días hábiles</t>
    </r>
    <r>
      <rPr>
        <sz val="10"/>
        <rFont val="Century Gothic"/>
        <family val="2"/>
      </rPr>
      <t xml:space="preserve">. Periodo de utilización tres meses. </t>
    </r>
    <r>
      <rPr>
        <b/>
        <u/>
        <sz val="10"/>
        <rFont val="Century Gothic"/>
        <family val="2"/>
      </rPr>
      <t>ENTREGA en VALES de 5, 10 y 20 litros cada uno</t>
    </r>
    <r>
      <rPr>
        <sz val="10"/>
        <rFont val="Century Gothic"/>
        <family val="2"/>
      </rPr>
      <t xml:space="preserve">, en la DIRECCIÓN DE ADMINISTRACIÓN sito en Chacabuco N* 809 , San Fernando del Valle de Catamarca, en horario de 8 a 12 horas. </t>
    </r>
    <r>
      <rPr>
        <b/>
        <u/>
        <sz val="10"/>
        <rFont val="Century Gothic"/>
        <family val="2"/>
      </rPr>
      <t>El COMBUSTIBLE</t>
    </r>
    <r>
      <rPr>
        <sz val="10"/>
        <rFont val="Century Gothic"/>
        <family val="2"/>
      </rPr>
      <t xml:space="preserve"> en la boca de expendio de las cabeceras departamentales. </t>
    </r>
    <r>
      <rPr>
        <b/>
        <u/>
        <sz val="10"/>
        <rFont val="Century Gothic"/>
        <family val="2"/>
      </rPr>
      <t>LOS LUBRICANTES</t>
    </r>
    <r>
      <rPr>
        <sz val="10"/>
        <rFont val="Century Gothic"/>
        <family val="2"/>
      </rPr>
      <t xml:space="preserve"> , en Dpto. Logística, sito en Av. Felix Avellaneda Km2  RP N 33, Sumalao Valle Viejo</t>
    </r>
    <r>
      <rPr>
        <b/>
        <u/>
        <sz val="10"/>
        <rFont val="Century Gothic"/>
        <family val="2"/>
      </rPr>
      <t>,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>Actividad 1 – U.R. I (Dpto. CAPITAL)  COMBUSTIBLE ( $ 16,773,600)</t>
    </r>
    <r>
      <rPr>
        <sz val="10"/>
        <rFont val="Century Gothic"/>
        <family val="2"/>
      </rPr>
      <t xml:space="preserve">
 </t>
    </r>
    <r>
      <rPr>
        <b/>
        <sz val="10"/>
        <rFont val="Century Gothic"/>
        <family val="2"/>
      </rPr>
      <t>57.830</t>
    </r>
    <r>
      <rPr>
        <sz val="10"/>
        <rFont val="Century Gothic"/>
        <family val="2"/>
      </rPr>
      <t xml:space="preserve"> litros Nafta Súper.- 
</t>
    </r>
    <r>
      <rPr>
        <b/>
        <sz val="10"/>
        <rFont val="Century Gothic"/>
        <family val="2"/>
      </rPr>
      <t xml:space="preserve"> 143.550 </t>
    </r>
    <r>
      <rPr>
        <sz val="10"/>
        <rFont val="Century Gothic"/>
        <family val="2"/>
      </rPr>
      <t xml:space="preserve">litros Gasoil Grado 3.-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</t>
    </r>
    <r>
      <rPr>
        <b/>
        <sz val="10"/>
        <rFont val="Century Gothic"/>
        <family val="2"/>
      </rPr>
      <t xml:space="preserve"> LUBRICANTES ( $ 2.147.465) 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 xml:space="preserve">Actividad 7 – INTERIOR PROVINCIAL  (Dpto. VALLE VIEJO- Dpto. FME- Dpto.AMBATO - Dpto. PACLIN) COMBUSTIBLE ( $ 16.773.600) 
</t>
    </r>
    <r>
      <rPr>
        <b/>
        <sz val="10"/>
        <rFont val="Century Gothic"/>
        <family val="2"/>
      </rPr>
      <t>57.830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143.550</t>
    </r>
    <r>
      <rPr>
        <sz val="10"/>
        <rFont val="Century Gothic"/>
        <family val="2"/>
      </rPr>
      <t xml:space="preserve"> litros Gasoil Grado 3.- 
</t>
    </r>
    <r>
      <rPr>
        <b/>
        <u/>
        <sz val="10"/>
        <rFont val="Century Gothic"/>
        <family val="2"/>
      </rPr>
      <t xml:space="preserve">Actividad 09 – U.R. 2 Dpto. La Paz ($ 783,274,90) 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2.345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litros Nafta Súper.- 
</t>
    </r>
    <r>
      <rPr>
        <b/>
        <sz val="10"/>
        <rFont val="Century Gothic"/>
        <family val="2"/>
      </rPr>
      <t xml:space="preserve">5.899 </t>
    </r>
    <r>
      <rPr>
        <sz val="10"/>
        <rFont val="Century Gothic"/>
        <family val="2"/>
      </rPr>
      <t xml:space="preserve"> litros Gasoil Grado 3.-
</t>
    </r>
    <r>
      <rPr>
        <b/>
        <u/>
        <sz val="10"/>
        <rFont val="Century Gothic"/>
        <family val="2"/>
      </rPr>
      <t xml:space="preserve">
Actividad 10 – U.R. 3 Dpto. Belen ($ 785.673,90)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2.337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5.860</t>
    </r>
    <r>
      <rPr>
        <sz val="10"/>
        <rFont val="Century Gothic"/>
        <family val="2"/>
      </rPr>
      <t xml:space="preserve">  litros Gasoil Grado 3.- 
</t>
    </r>
    <r>
      <rPr>
        <b/>
        <u/>
        <sz val="10"/>
        <rFont val="Century Gothic"/>
        <family val="2"/>
      </rPr>
      <t>Actividad 11 – U.R. 4 (Dpto. Andalgala) ($ 778.415,00)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2.320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>litros Nafta Súper.-</t>
    </r>
    <r>
      <rPr>
        <b/>
        <sz val="10"/>
        <rFont val="Century Gothic"/>
        <family val="2"/>
      </rPr>
      <t xml:space="preserve"> 
5.830 </t>
    </r>
    <r>
      <rPr>
        <sz val="10"/>
        <rFont val="Century Gothic"/>
        <family val="2"/>
      </rPr>
      <t xml:space="preserve"> litros Gasoil Grado 3.-</t>
    </r>
    <r>
      <rPr>
        <b/>
        <sz val="10"/>
        <rFont val="Century Gothic"/>
        <family val="2"/>
      </rPr>
      <t xml:space="preserve">
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>Actividad 12 – U.R. 5 Dpto. Tinogasta ($ 775.700,80)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2.335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5.857  </t>
    </r>
    <r>
      <rPr>
        <sz val="10"/>
        <rFont val="Century Gothic"/>
        <family val="2"/>
      </rPr>
      <t xml:space="preserve">litros Gasoil Grado 3.- 
</t>
    </r>
    <r>
      <rPr>
        <b/>
        <u/>
        <sz val="10"/>
        <rFont val="Century Gothic"/>
        <family val="2"/>
      </rPr>
      <t>Actividad 13 –Jefatura de Zona “C” (Dpto. El Alto) ($ 730.328,18)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2.237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5.480  </t>
    </r>
    <r>
      <rPr>
        <sz val="10"/>
        <rFont val="Century Gothic"/>
        <family val="2"/>
      </rPr>
      <t xml:space="preserve">litros Gasoil Grado 3.-
</t>
    </r>
    <r>
      <rPr>
        <b/>
        <u/>
        <sz val="10"/>
        <rFont val="Century Gothic"/>
        <family val="2"/>
      </rPr>
      <t>Actividad 14 – Jefatura de Zona “D” (Dpto. Santa María) ($ 722.768.40)</t>
    </r>
    <r>
      <rPr>
        <sz val="10"/>
        <rFont val="Century Gothic"/>
        <family val="2"/>
      </rPr>
      <t xml:space="preserve">
2</t>
    </r>
    <r>
      <rPr>
        <b/>
        <sz val="10"/>
        <rFont val="Century Gothic"/>
        <family val="2"/>
      </rPr>
      <t>.212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5.412 </t>
    </r>
    <r>
      <rPr>
        <sz val="10"/>
        <rFont val="Century Gothic"/>
        <family val="2"/>
      </rPr>
      <t xml:space="preserve"> litros Gasoil Grado 3.-
</t>
    </r>
    <r>
      <rPr>
        <b/>
        <u/>
        <sz val="10"/>
        <rFont val="Century Gothic"/>
        <family val="2"/>
      </rPr>
      <t>Actividad 15 – Jefatura de Zona “F” (Dpto. Poman) ($ 691.626)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 xml:space="preserve">2.265 </t>
    </r>
    <r>
      <rPr>
        <sz val="10"/>
        <rFont val="Century Gothic"/>
        <family val="2"/>
      </rPr>
      <t xml:space="preserve"> litros Nafta Súper.-</t>
    </r>
    <r>
      <rPr>
        <b/>
        <sz val="10"/>
        <rFont val="Century Gothic"/>
        <family val="2"/>
      </rPr>
      <t xml:space="preserve"> 
4.950  </t>
    </r>
    <r>
      <rPr>
        <sz val="10"/>
        <rFont val="Century Gothic"/>
        <family val="2"/>
      </rPr>
      <t xml:space="preserve">litros Gasoil Grado 3.-
</t>
    </r>
  </si>
  <si>
    <t>Plazos y lugares de entrega</t>
  </si>
  <si>
    <t>Caracteristicas: REFRIGERANTE AUTOMOTOR EMBASE POR 1TL</t>
  </si>
  <si>
    <t>Descripción técnica ITEM22:</t>
  </si>
  <si>
    <t>Caracteristicas:  LIQUIDO HIDRAULICO</t>
  </si>
  <si>
    <t>Descripción técnica ITEM21:</t>
  </si>
  <si>
    <t xml:space="preserve">Caracteristicas:   Liquido de Freno  por 20 lts.      </t>
  </si>
  <si>
    <t>Descripción técnica ITEM20:</t>
  </si>
  <si>
    <t>Caracteristicas: Aceite Semi sintético 20W50 con normas API SL/SJ, SH, SG, JASO MA para motos  Tambor x 205 lts</t>
  </si>
  <si>
    <t>Descripción técnica ITEM19:</t>
  </si>
  <si>
    <t xml:space="preserve">Caracteristicas:  Aceite Semi sintético 5W30  con normas  ACEA  A3/B3, A3/B4. API SN, S, SL, SJ. Para Camionetas .  Envase x 20 lts  </t>
  </si>
  <si>
    <t>Descripción técnica ITEM18:</t>
  </si>
  <si>
    <t xml:space="preserve">Caracteristicas:   Aceite  Sintético 15W40 con normas  ACEA  A3/B3, A3/B4. API SN, S, SL, SJ. Para Camioneta  Tambor x 205 lts.      </t>
  </si>
  <si>
    <t>Descripción técnica ITEM17:</t>
  </si>
  <si>
    <t xml:space="preserve">NAFTA SUPER; TIPO: SUPER, OCTANO: 97, PRESENTACION: X LITRO, DESTINO: SIN VALOR - GAS OIL; PRESENTACION: POR LITRO, USO: MOTORES DIESEL, COMERCIALIZACION: GRADO 3.  EL COMBUSTIBLE DEBERA SER ENTREGADO EN VALES DE COMBUSTIBLE DE 5, 10 Y 20 LITROS.     </t>
  </si>
  <si>
    <t>Descripción técnica ITEM 1 al 16:</t>
  </si>
  <si>
    <t>Especificidades:</t>
  </si>
  <si>
    <t>UNIDAD</t>
  </si>
  <si>
    <t>ACEITES LUBRICANTES; USO: REFRIGERANTE, PRESENTACION: ENVASE X 1 L, NORMA: 150 SUS/32 CST, COMERCIALIZACION: SIN</t>
  </si>
  <si>
    <t>COMBUSTIBLES Y LUBRICANTES</t>
  </si>
  <si>
    <t>2.5.6-7104.414</t>
  </si>
  <si>
    <t>ACEITES LUBRICANTES; USO: SISTEMA HIDRAULICO, PRESENTACION: ENVASE X 1 L, NORMA: ISO VG 5, COMERCIALIZACION: POR LITRO</t>
  </si>
  <si>
    <t>2.5.6-7104.500</t>
  </si>
  <si>
    <t>ACEITES LUBRICANTES; COMERCIALIZACION: POR LITRO, NORMA: ATF, PRESENTACION: ENVASE X 20 L, USO: CIRCUITO DE FRENOS</t>
  </si>
  <si>
    <t>2.5.6-7104.512</t>
  </si>
  <si>
    <t>ACEITES LUBRICANTES; DENOMINACION: SAE 20 W 50, USO: AUTOMOTOR, PRESENTACION: TAMBOR X 205 L, NORMA: SAE 20 W 50</t>
  </si>
  <si>
    <t>2.5.6-7104.31</t>
  </si>
  <si>
    <t>ACEITES LUBRICANTES; USO: AUTOMOTOR, PRESENTACION: ENVASE X 20 L, NORMA: 5W-30, COMERCIALIZACION: POR UNIDAD</t>
  </si>
  <si>
    <t>2.5.6-7104.503</t>
  </si>
  <si>
    <t>ACEITES LUBRICANTES; DENOMINACION: SAE 15 W 40, USO: AUTOMOTOR, PRESENTACION: TAMBOR X 205 L, NORMA: SAE 15 W 40</t>
  </si>
  <si>
    <t>2.5.6-7104.19</t>
  </si>
  <si>
    <t>LITROS EN VALES</t>
  </si>
  <si>
    <r>
      <t xml:space="preserve">GAS OIL; PRESENTACION: POR LITRO, USO: MOTORES DIESEL, COMERCIALIZACION: GRADO 3, DESTINO: DPTO. </t>
    </r>
    <r>
      <rPr>
        <b/>
        <sz val="10"/>
        <color rgb="FF333333"/>
        <rFont val="Century Gothic"/>
        <family val="2"/>
      </rPr>
      <t>POMAN</t>
    </r>
  </si>
  <si>
    <t>2.5.6-793.33</t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</si>
  <si>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POMAN,</t>
    </r>
    <r>
      <rPr>
        <sz val="10"/>
        <color rgb="FF333333"/>
        <rFont val="Century Gothic"/>
        <family val="2"/>
      </rPr>
      <t xml:space="preserve"> COMERCIALIZACION: SIN VALOR</t>
    </r>
  </si>
  <si>
    <t>2.5.6-797.26</t>
  </si>
  <si>
    <r>
      <t>GAS OIL; PRESENTACION: POR LITRO, USO: MOTORES DIESEL, COMERCIALIZACION: GRADO 3, DESTINO: DPTO.</t>
    </r>
    <r>
      <rPr>
        <b/>
        <sz val="10"/>
        <color rgb="FF333333"/>
        <rFont val="Century Gothic"/>
        <family val="2"/>
      </rPr>
      <t xml:space="preserve"> STA. MARIA</t>
    </r>
  </si>
  <si>
    <t>2.5.6-793.38</t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</si>
  <si>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STA. MARIA,</t>
    </r>
    <r>
      <rPr>
        <sz val="10"/>
        <color rgb="FF333333"/>
        <rFont val="Century Gothic"/>
        <family val="2"/>
      </rPr>
      <t xml:space="preserve"> COMERCIALIZACION: SIN VALOR</t>
    </r>
  </si>
  <si>
    <t>2.5.6-797.32</t>
  </si>
  <si>
    <r>
      <t>GAS OIL; PRESENTACION: POR LITRO, USO: MOTORES DIESEL, COMERCIALIZACION: GRADO 3, DESTINO: DPTO.</t>
    </r>
    <r>
      <rPr>
        <b/>
        <sz val="10"/>
        <color rgb="FF333333"/>
        <rFont val="Century Gothic"/>
        <family val="2"/>
      </rPr>
      <t xml:space="preserve"> EL ALTO</t>
    </r>
  </si>
  <si>
    <t>2.5.6-793.39</t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</si>
  <si>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EL ALTO,</t>
    </r>
    <r>
      <rPr>
        <sz val="10"/>
        <color rgb="FF333333"/>
        <rFont val="Century Gothic"/>
        <family val="2"/>
      </rPr>
      <t xml:space="preserve"> COMERCIALIZACION: SIN VALOR</t>
    </r>
  </si>
  <si>
    <t>2.5.6-797.47</t>
  </si>
  <si>
    <r>
      <t>GAS OIL; PRESENTACION: POR LITRO, USO: MOTORES DIESEL, COMERCIALIZACION: GRADO 3, DESTINO: DPTO.</t>
    </r>
    <r>
      <rPr>
        <b/>
        <sz val="10"/>
        <color rgb="FF333333"/>
        <rFont val="Century Gothic"/>
        <family val="2"/>
      </rPr>
      <t xml:space="preserve"> TINOGASTA</t>
    </r>
  </si>
  <si>
    <t>2.5.6-793.36</t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</si>
  <si>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TINOGASTA,</t>
    </r>
    <r>
      <rPr>
        <sz val="10"/>
        <color rgb="FF333333"/>
        <rFont val="Century Gothic"/>
        <family val="2"/>
      </rPr>
      <t xml:space="preserve"> COMERCIALIZACION: SIN VALOR</t>
    </r>
  </si>
  <si>
    <t>2.5.6-797.45</t>
  </si>
  <si>
    <r>
      <t xml:space="preserve">GAS OIL; PRESENTACION: POR LITRO, USO: MOTORES DIESEL, COMERCIALIZACION: GRADO 3, DESTINO: DPTO. </t>
    </r>
    <r>
      <rPr>
        <b/>
        <sz val="10"/>
        <color rgb="FF333333"/>
        <rFont val="Century Gothic"/>
        <family val="2"/>
      </rPr>
      <t>ANDALGALA</t>
    </r>
  </si>
  <si>
    <t>2.5.6-793.45</t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</si>
  <si>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ANDALGALA,</t>
    </r>
    <r>
      <rPr>
        <sz val="10"/>
        <color rgb="FF333333"/>
        <rFont val="Century Gothic"/>
        <family val="2"/>
      </rPr>
      <t xml:space="preserve"> COMERCIALIZACION: SIN VALOR</t>
    </r>
  </si>
  <si>
    <t>2.5.6-797.29</t>
  </si>
  <si>
    <r>
      <t xml:space="preserve">GAS OIL; PRESENTACION: POR LITRO, USO: MOTORES DIESEL, COMERCIALIZACION: GRADO 3, DESTINO: DPTO. </t>
    </r>
    <r>
      <rPr>
        <b/>
        <sz val="10"/>
        <color rgb="FF333333"/>
        <rFont val="Century Gothic"/>
        <family val="2"/>
      </rPr>
      <t>BELEN</t>
    </r>
  </si>
  <si>
    <t>2.5.6-793.37</t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</si>
  <si>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BELEN</t>
    </r>
    <r>
      <rPr>
        <sz val="10"/>
        <color rgb="FF333333"/>
        <rFont val="Century Gothic"/>
        <family val="2"/>
      </rPr>
      <t xml:space="preserve"> COMERCIALIZACION: SIN VALOR</t>
    </r>
  </si>
  <si>
    <t>2.5.6-797.53</t>
  </si>
  <si>
    <r>
      <t>GAS OIL; PRESENTACION: POR LITRO, USO: MOTORES DIESEL, COMERCIALIZACION: GRADO 3, DESTINO: DPTO.</t>
    </r>
    <r>
      <rPr>
        <b/>
        <sz val="10"/>
        <rFont val="Arial"/>
        <family val="2"/>
      </rPr>
      <t xml:space="preserve"> LA PAZ</t>
    </r>
  </si>
  <si>
    <t>2.5.6-793.35</t>
  </si>
  <si>
    <r>
      <t xml:space="preserve">NAFTA SUPER; TIPO: PREMIUN, OCTANO: 97, PRESENTACION: POR LITRO, DESTINO: DPTO. </t>
    </r>
    <r>
      <rPr>
        <b/>
        <sz val="10"/>
        <rFont val="Arial"/>
        <family val="2"/>
      </rPr>
      <t>LA PAZ</t>
    </r>
    <r>
      <rPr>
        <sz val="10"/>
        <rFont val="Arial"/>
        <family val="2"/>
      </rPr>
      <t>, COMERCIALIZACION: SIN VALOR</t>
    </r>
  </si>
  <si>
    <t>2.5.6-797.28</t>
  </si>
  <si>
    <r>
      <rPr>
        <b/>
        <sz val="10"/>
        <rFont val="Century Gothic"/>
        <family val="2"/>
      </rPr>
      <t>GAS OIL</t>
    </r>
    <r>
      <rPr>
        <sz val="10"/>
        <rFont val="Century Gothic"/>
        <family val="2"/>
      </rPr>
      <t xml:space="preserve">; PRESENTACION: POR LITRO, USO: MOTORES DIESEL, COMERCIALIZACION: GRADO 3, DESTINO: DPTO. S.F.V. DE </t>
    </r>
    <r>
      <rPr>
        <b/>
        <sz val="10"/>
        <rFont val="Century Gothic"/>
        <family val="2"/>
      </rPr>
      <t>CATAMARCA</t>
    </r>
  </si>
  <si>
    <t>2.5.6-793.31</t>
  </si>
  <si>
    <r>
      <rPr>
        <b/>
        <sz val="10"/>
        <rFont val="Century Gothic"/>
        <family val="2"/>
      </rPr>
      <t>NAFTA SUPER</t>
    </r>
    <r>
      <rPr>
        <sz val="10"/>
        <rFont val="Century Gothic"/>
        <family val="2"/>
      </rPr>
      <t xml:space="preserve">; TIPO: PREMIUN, OCTANO: 97, PRESENTACION: POR LITRO, DESTINO: DPTO. S.F.V. DE </t>
    </r>
    <r>
      <rPr>
        <b/>
        <sz val="10"/>
        <rFont val="Century Gothic"/>
        <family val="2"/>
      </rPr>
      <t>CATAMARCA,</t>
    </r>
    <r>
      <rPr>
        <sz val="10"/>
        <rFont val="Century Gothic"/>
        <family val="2"/>
      </rPr>
      <t xml:space="preserve"> COMERCIALIZACION: SIN VALOR</t>
    </r>
  </si>
  <si>
    <t>2.5.6-797.24</t>
  </si>
  <si>
    <t>monto para gastar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</si>
  <si>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</si>
  <si>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</si>
  <si>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</si>
  <si>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</si>
  <si>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</si>
  <si>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</si>
  <si>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</si>
  <si>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</si>
  <si>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</si>
  <si>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 Trimestre Año 2,021</t>
  </si>
  <si>
    <t>TRIMESTRE:</t>
  </si>
  <si>
    <t>EJERCICIO:</t>
  </si>
  <si>
    <t>7 - Direccion Provincial de Administracion de la Policia de Catamarca</t>
  </si>
  <si>
    <t xml:space="preserve">SAF N°: </t>
  </si>
  <si>
    <t>90 - Ministerio de Seguridad</t>
  </si>
  <si>
    <t>JURISDICCION:</t>
  </si>
  <si>
    <t>Pedido de Necesidades Trimestrales</t>
  </si>
</sst>
</file>

<file path=xl/styles.xml><?xml version="1.0" encoding="utf-8"?>
<styleSheet xmlns="http://schemas.openxmlformats.org/spreadsheetml/2006/main">
  <numFmts count="4">
    <numFmt numFmtId="164" formatCode="&quot;$&quot;\ #,##0.00"/>
    <numFmt numFmtId="165" formatCode="_ [$$-2C0A]\ * #,##0.00_ ;_ [$$-2C0A]\ * \-#,##0.00_ ;_ [$$-2C0A]\ * &quot;-&quot;??_ ;_ @_ "/>
    <numFmt numFmtId="166" formatCode="_ * #,##0.00_ ;_ * \-#,##0.00_ ;_ * &quot;-&quot;??_ ;_ @_ "/>
    <numFmt numFmtId="167" formatCode="_-* #,##0.00&quot; €&quot;_-;\-* #,##0.00&quot; €&quot;_-;_-* \-??&quot; €&quot;_-;_-@_-"/>
  </numFmts>
  <fonts count="26">
    <font>
      <sz val="10"/>
      <name val="Arial"/>
      <charset val="1"/>
    </font>
    <font>
      <sz val="10"/>
      <name val="Century Gothic"/>
      <family val="2"/>
    </font>
    <font>
      <sz val="10"/>
      <color theme="0"/>
      <name val="Century Gothic"/>
      <family val="2"/>
    </font>
    <font>
      <sz val="11"/>
      <color theme="0"/>
      <name val="Century Gothic"/>
      <family val="2"/>
    </font>
    <font>
      <sz val="11"/>
      <color rgb="FF333333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  <font>
      <sz val="10"/>
      <color rgb="FFFF000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rgb="FF00000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sz val="10"/>
      <color rgb="FF333333"/>
      <name val="Century Gothic"/>
      <family val="2"/>
    </font>
    <font>
      <b/>
      <sz val="10"/>
      <color rgb="FF333333"/>
      <name val="Century Gothic"/>
      <family val="2"/>
    </font>
    <font>
      <b/>
      <sz val="10"/>
      <color theme="0"/>
      <name val="Century Gothic"/>
      <family val="2"/>
    </font>
    <font>
      <b/>
      <sz val="10"/>
      <name val="Arial"/>
      <family val="2"/>
    </font>
    <font>
      <b/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27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6" fontId="9" fillId="0" borderId="0" applyFont="0" applyFill="0" applyBorder="0" applyAlignment="0" applyProtection="0"/>
    <xf numFmtId="167" fontId="9" fillId="0" borderId="0" applyBorder="0" applyProtection="0"/>
    <xf numFmtId="0" fontId="24" fillId="0" borderId="26" applyProtection="0"/>
    <xf numFmtId="0" fontId="25" fillId="3" borderId="0" applyBorder="0" applyProtection="0"/>
  </cellStyleXfs>
  <cellXfs count="10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 indent="3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left" indent="3"/>
    </xf>
    <xf numFmtId="0" fontId="1" fillId="2" borderId="6" xfId="0" applyFont="1" applyFill="1" applyBorder="1"/>
    <xf numFmtId="0" fontId="1" fillId="2" borderId="7" xfId="0" applyFont="1" applyFill="1" applyBorder="1"/>
    <xf numFmtId="0" fontId="6" fillId="2" borderId="8" xfId="0" applyFont="1" applyFill="1" applyBorder="1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164" fontId="2" fillId="2" borderId="0" xfId="0" applyNumberFormat="1" applyFont="1" applyFill="1"/>
    <xf numFmtId="165" fontId="1" fillId="2" borderId="0" xfId="0" applyNumberFormat="1" applyFont="1" applyFill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165" fontId="8" fillId="2" borderId="0" xfId="0" applyNumberFormat="1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5" xfId="0" applyFont="1" applyFill="1" applyBorder="1" applyAlignment="1">
      <alignment horizontal="left" indent="3"/>
    </xf>
    <xf numFmtId="0" fontId="1" fillId="0" borderId="0" xfId="0" applyFont="1" applyFill="1"/>
    <xf numFmtId="166" fontId="2" fillId="2" borderId="0" xfId="0" applyNumberFormat="1" applyFont="1" applyFill="1"/>
    <xf numFmtId="166" fontId="2" fillId="2" borderId="0" xfId="1" applyFont="1" applyFill="1"/>
    <xf numFmtId="0" fontId="1" fillId="0" borderId="6" xfId="0" applyFont="1" applyFill="1" applyBorder="1"/>
    <xf numFmtId="0" fontId="1" fillId="0" borderId="7" xfId="0" applyFont="1" applyFill="1" applyBorder="1"/>
    <xf numFmtId="0" fontId="6" fillId="0" borderId="8" xfId="0" applyFont="1" applyFill="1" applyBorder="1"/>
    <xf numFmtId="0" fontId="5" fillId="0" borderId="5" xfId="0" applyFont="1" applyFill="1" applyBorder="1" applyAlignment="1">
      <alignment horizontal="left" indent="3"/>
    </xf>
    <xf numFmtId="0" fontId="1" fillId="0" borderId="4" xfId="0" applyFont="1" applyFill="1" applyBorder="1"/>
    <xf numFmtId="0" fontId="1" fillId="0" borderId="4" xfId="0" applyFont="1" applyBorder="1"/>
    <xf numFmtId="0" fontId="1" fillId="0" borderId="0" xfId="0" applyFont="1"/>
    <xf numFmtId="0" fontId="5" fillId="0" borderId="5" xfId="0" applyFont="1" applyBorder="1" applyAlignment="1">
      <alignment horizontal="left" indent="3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/>
    <xf numFmtId="165" fontId="10" fillId="2" borderId="9" xfId="0" applyNumberFormat="1" applyFont="1" applyFill="1" applyBorder="1"/>
    <xf numFmtId="165" fontId="2" fillId="2" borderId="0" xfId="0" applyNumberFormat="1" applyFont="1" applyFill="1"/>
    <xf numFmtId="165" fontId="11" fillId="2" borderId="10" xfId="0" applyNumberFormat="1" applyFont="1" applyFill="1" applyBorder="1" applyAlignment="1">
      <alignment horizontal="right" wrapText="1"/>
    </xf>
    <xf numFmtId="165" fontId="11" fillId="2" borderId="11" xfId="0" applyNumberFormat="1" applyFont="1" applyFill="1" applyBorder="1" applyAlignment="1">
      <alignment horizontal="center" wrapText="1"/>
    </xf>
    <xf numFmtId="1" fontId="11" fillId="2" borderId="11" xfId="0" applyNumberFormat="1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49" fontId="0" fillId="0" borderId="11" xfId="0" applyNumberFormat="1" applyBorder="1" applyAlignment="1">
      <alignment wrapText="1"/>
    </xf>
    <xf numFmtId="0" fontId="12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49" fontId="0" fillId="0" borderId="11" xfId="0" applyNumberFormat="1" applyBorder="1"/>
    <xf numFmtId="0" fontId="13" fillId="2" borderId="12" xfId="0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right" wrapText="1"/>
    </xf>
    <xf numFmtId="165" fontId="11" fillId="2" borderId="14" xfId="0" applyNumberFormat="1" applyFont="1" applyFill="1" applyBorder="1" applyAlignment="1">
      <alignment horizontal="center" wrapText="1"/>
    </xf>
    <xf numFmtId="1" fontId="11" fillId="2" borderId="14" xfId="0" applyNumberFormat="1" applyFont="1" applyFill="1" applyBorder="1" applyAlignment="1">
      <alignment horizontal="center" wrapText="1"/>
    </xf>
    <xf numFmtId="0" fontId="11" fillId="2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0" fontId="13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wrapText="1"/>
    </xf>
    <xf numFmtId="0" fontId="1" fillId="2" borderId="14" xfId="0" applyFont="1" applyFill="1" applyBorder="1"/>
    <xf numFmtId="165" fontId="11" fillId="0" borderId="14" xfId="0" applyNumberFormat="1" applyFont="1" applyFill="1" applyBorder="1" applyAlignment="1">
      <alignment horizontal="center" wrapText="1"/>
    </xf>
    <xf numFmtId="165" fontId="11" fillId="2" borderId="16" xfId="0" applyNumberFormat="1" applyFont="1" applyFill="1" applyBorder="1" applyAlignment="1">
      <alignment horizontal="right" wrapText="1"/>
    </xf>
    <xf numFmtId="165" fontId="11" fillId="0" borderId="17" xfId="0" applyNumberFormat="1" applyFont="1" applyFill="1" applyBorder="1" applyAlignment="1">
      <alignment horizontal="center" wrapText="1"/>
    </xf>
    <xf numFmtId="1" fontId="11" fillId="2" borderId="17" xfId="0" applyNumberFormat="1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wrapText="1"/>
    </xf>
    <xf numFmtId="0" fontId="12" fillId="2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/>
    <xf numFmtId="0" fontId="13" fillId="2" borderId="18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wrapText="1"/>
    </xf>
    <xf numFmtId="0" fontId="14" fillId="2" borderId="14" xfId="0" applyFont="1" applyFill="1" applyBorder="1"/>
    <xf numFmtId="165" fontId="13" fillId="0" borderId="14" xfId="2" applyNumberFormat="1" applyFont="1" applyFill="1" applyBorder="1" applyAlignment="1" applyProtection="1">
      <alignment horizontal="right" vertical="center" wrapText="1"/>
    </xf>
    <xf numFmtId="0" fontId="16" fillId="2" borderId="0" xfId="0" applyFont="1" applyFill="1"/>
    <xf numFmtId="49" fontId="9" fillId="2" borderId="14" xfId="0" applyNumberFormat="1" applyFont="1" applyFill="1" applyBorder="1" applyAlignment="1">
      <alignment wrapText="1"/>
    </xf>
    <xf numFmtId="49" fontId="0" fillId="0" borderId="14" xfId="0" applyNumberFormat="1" applyBorder="1"/>
    <xf numFmtId="2" fontId="2" fillId="2" borderId="0" xfId="0" applyNumberFormat="1" applyFont="1" applyFill="1"/>
    <xf numFmtId="165" fontId="13" fillId="2" borderId="19" xfId="2" applyNumberFormat="1" applyFont="1" applyFill="1" applyBorder="1" applyAlignment="1" applyProtection="1">
      <alignment horizontal="right" vertical="center" wrapText="1"/>
    </xf>
    <xf numFmtId="165" fontId="13" fillId="2" borderId="20" xfId="2" applyNumberFormat="1" applyFont="1" applyFill="1" applyBorder="1" applyAlignment="1" applyProtection="1">
      <alignment horizontal="right" vertical="center" wrapText="1"/>
    </xf>
    <xf numFmtId="1" fontId="13" fillId="2" borderId="20" xfId="0" applyNumberFormat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wrapText="1"/>
    </xf>
    <xf numFmtId="0" fontId="12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/>
    <xf numFmtId="0" fontId="13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left" wrapText="1" indent="1"/>
    </xf>
    <xf numFmtId="0" fontId="20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wrapText="1" indent="1"/>
    </xf>
    <xf numFmtId="0" fontId="21" fillId="2" borderId="0" xfId="0" applyFont="1" applyFill="1" applyAlignment="1">
      <alignment horizontal="center"/>
    </xf>
  </cellXfs>
  <cellStyles count="5">
    <cellStyle name="Encabezado 1" xfId="3"/>
    <cellStyle name="Millares" xfId="1" builtinId="3"/>
    <cellStyle name="Moneda" xfId="2" builtinId="4"/>
    <cellStyle name="Neutral 1" xf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97"/>
  <sheetViews>
    <sheetView tabSelected="1" view="pageBreakPreview" zoomScale="70" zoomScaleSheetLayoutView="70" zoomScalePageLayoutView="55" workbookViewId="0">
      <selection sqref="A1:I1048576"/>
    </sheetView>
  </sheetViews>
  <sheetFormatPr baseColWidth="10" defaultColWidth="11" defaultRowHeight="13.5"/>
  <cols>
    <col min="1" max="1" width="4.5703125" style="1" customWidth="1"/>
    <col min="2" max="2" width="14.5703125" style="1" customWidth="1"/>
    <col min="3" max="3" width="32.42578125" style="1" customWidth="1"/>
    <col min="4" max="4" width="8.42578125" style="1" customWidth="1"/>
    <col min="5" max="5" width="82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0" width="15.5703125" style="2" bestFit="1" customWidth="1"/>
    <col min="11" max="11" width="20.140625" style="2" customWidth="1"/>
    <col min="12" max="13" width="15.42578125" style="2" bestFit="1" customWidth="1"/>
    <col min="14" max="14" width="18.5703125" style="2" customWidth="1"/>
    <col min="15" max="16" width="11" style="2"/>
    <col min="17" max="17" width="13.28515625" style="2" bestFit="1" customWidth="1"/>
    <col min="18" max="20" width="11" style="2"/>
    <col min="21" max="16384" width="11" style="1"/>
  </cols>
  <sheetData>
    <row r="2" spans="1:16" s="1" customFormat="1" ht="28.5">
      <c r="B2" s="101" t="s">
        <v>87</v>
      </c>
      <c r="C2" s="101"/>
      <c r="D2" s="101"/>
      <c r="E2" s="101"/>
      <c r="F2" s="101"/>
      <c r="G2" s="101"/>
      <c r="H2" s="101"/>
      <c r="J2" s="2"/>
      <c r="K2" s="2"/>
      <c r="L2" s="2"/>
      <c r="M2" s="2"/>
      <c r="N2" s="2"/>
      <c r="O2" s="2"/>
      <c r="P2" s="2"/>
    </row>
    <row r="4" spans="1:16" s="1" customFormat="1" ht="18" customHeight="1">
      <c r="A4" s="99" t="s">
        <v>86</v>
      </c>
      <c r="B4" s="99"/>
      <c r="C4" s="100" t="s">
        <v>85</v>
      </c>
      <c r="D4" s="100"/>
      <c r="E4" s="100"/>
      <c r="F4" s="95"/>
      <c r="G4" s="96"/>
      <c r="H4" s="95"/>
      <c r="J4" s="2"/>
      <c r="K4" s="2"/>
      <c r="L4" s="2"/>
      <c r="M4" s="2"/>
      <c r="N4" s="2"/>
      <c r="O4" s="2"/>
      <c r="P4" s="2"/>
    </row>
    <row r="5" spans="1:16" s="1" customFormat="1" ht="18" customHeight="1">
      <c r="A5" s="99" t="s">
        <v>84</v>
      </c>
      <c r="B5" s="99"/>
      <c r="C5" s="100" t="s">
        <v>83</v>
      </c>
      <c r="D5" s="100"/>
      <c r="E5" s="100"/>
      <c r="F5" s="95"/>
      <c r="G5" s="96"/>
      <c r="H5" s="95"/>
      <c r="J5" s="2"/>
      <c r="K5" s="82"/>
      <c r="L5" s="2"/>
      <c r="M5" s="2"/>
      <c r="N5" s="2"/>
      <c r="O5" s="2"/>
      <c r="P5" s="2"/>
    </row>
    <row r="6" spans="1:16" s="1" customFormat="1" ht="16.5" customHeight="1">
      <c r="A6" s="99" t="s">
        <v>82</v>
      </c>
      <c r="B6" s="99"/>
      <c r="C6" s="98">
        <v>2021</v>
      </c>
      <c r="D6" s="97"/>
      <c r="E6" s="97"/>
      <c r="F6" s="95"/>
      <c r="G6" s="96"/>
      <c r="H6" s="95"/>
      <c r="J6" s="2"/>
      <c r="K6" s="82"/>
      <c r="L6" s="2"/>
      <c r="M6" s="2"/>
      <c r="N6" s="2"/>
      <c r="O6" s="2"/>
      <c r="P6" s="2"/>
    </row>
    <row r="7" spans="1:16" s="1" customFormat="1" ht="16.5" customHeight="1">
      <c r="A7" s="99" t="s">
        <v>81</v>
      </c>
      <c r="B7" s="99"/>
      <c r="C7" s="98" t="s">
        <v>80</v>
      </c>
      <c r="D7" s="97"/>
      <c r="E7" s="97"/>
      <c r="F7" s="95"/>
      <c r="G7" s="96"/>
      <c r="H7" s="95"/>
      <c r="J7" s="2"/>
      <c r="K7" s="82"/>
      <c r="L7" s="2"/>
      <c r="M7" s="2"/>
      <c r="N7" s="2"/>
      <c r="O7" s="2"/>
      <c r="P7" s="2"/>
    </row>
    <row r="8" spans="1:16" s="1" customFormat="1" ht="14.25" thickBot="1">
      <c r="B8" s="95"/>
      <c r="C8" s="96"/>
      <c r="D8" s="95"/>
      <c r="E8" s="95"/>
      <c r="F8" s="95"/>
      <c r="G8" s="96"/>
      <c r="H8" s="95"/>
      <c r="J8" s="2"/>
      <c r="K8" s="82"/>
      <c r="L8" s="2"/>
      <c r="M8" s="2"/>
      <c r="N8" s="2"/>
      <c r="O8" s="2"/>
      <c r="P8" s="2"/>
    </row>
    <row r="9" spans="1:16" s="1" customFormat="1" ht="39" thickBot="1">
      <c r="A9" s="94" t="s">
        <v>79</v>
      </c>
      <c r="B9" s="92" t="s">
        <v>78</v>
      </c>
      <c r="C9" s="92" t="s">
        <v>77</v>
      </c>
      <c r="D9" s="92" t="s">
        <v>76</v>
      </c>
      <c r="E9" s="91" t="s">
        <v>75</v>
      </c>
      <c r="F9" s="93" t="s">
        <v>74</v>
      </c>
      <c r="G9" s="92" t="s">
        <v>73</v>
      </c>
      <c r="H9" s="92" t="s">
        <v>72</v>
      </c>
      <c r="I9" s="91" t="s">
        <v>71</v>
      </c>
      <c r="J9" s="2"/>
      <c r="K9" s="82"/>
      <c r="L9" s="2"/>
      <c r="M9" s="2"/>
      <c r="N9" s="2"/>
      <c r="O9" s="2"/>
      <c r="P9" s="2" t="s">
        <v>70</v>
      </c>
    </row>
    <row r="10" spans="1:16" s="1" customFormat="1" ht="31.5" customHeight="1">
      <c r="A10" s="90">
        <v>1</v>
      </c>
      <c r="B10" s="89" t="s">
        <v>69</v>
      </c>
      <c r="C10" s="89" t="s">
        <v>25</v>
      </c>
      <c r="D10" s="88" t="str">
        <f>LEFT(B10,5)</f>
        <v>2.5.6</v>
      </c>
      <c r="E10" s="87" t="s">
        <v>68</v>
      </c>
      <c r="F10" s="86" t="s">
        <v>37</v>
      </c>
      <c r="G10" s="85">
        <v>115660</v>
      </c>
      <c r="H10" s="84">
        <v>87</v>
      </c>
      <c r="I10" s="83">
        <f>G10*H10</f>
        <v>10062420</v>
      </c>
      <c r="J10" s="45">
        <f>SUM(I10:I11)</f>
        <v>33547200</v>
      </c>
      <c r="K10" s="82">
        <f>P10*30/100</f>
        <v>9450000</v>
      </c>
      <c r="L10" s="45">
        <f>K10-I10</f>
        <v>-612420</v>
      </c>
      <c r="M10" s="45">
        <f>J10/2</f>
        <v>16773600</v>
      </c>
      <c r="N10" s="45"/>
      <c r="O10" s="2"/>
      <c r="P10" s="79">
        <f>15750000*2</f>
        <v>31500000</v>
      </c>
    </row>
    <row r="11" spans="1:16" s="1" customFormat="1" ht="31.5" customHeight="1">
      <c r="A11" s="62">
        <v>2</v>
      </c>
      <c r="B11" s="64" t="s">
        <v>67</v>
      </c>
      <c r="C11" s="64" t="s">
        <v>25</v>
      </c>
      <c r="D11" s="60" t="str">
        <f>LEFT(B11,5)</f>
        <v>2.5.6</v>
      </c>
      <c r="E11" s="63" t="s">
        <v>66</v>
      </c>
      <c r="F11" s="75" t="s">
        <v>37</v>
      </c>
      <c r="G11" s="57">
        <v>287100</v>
      </c>
      <c r="H11" s="56">
        <v>81.8</v>
      </c>
      <c r="I11" s="55">
        <f>G11*H11</f>
        <v>23484780</v>
      </c>
      <c r="J11" s="2"/>
      <c r="K11" s="82">
        <f>P10*70/100</f>
        <v>22050000</v>
      </c>
      <c r="L11" s="45">
        <f>K11-I11</f>
        <v>-1434780</v>
      </c>
      <c r="M11" s="2"/>
      <c r="N11" s="45"/>
      <c r="O11" s="2"/>
      <c r="P11" s="79"/>
    </row>
    <row r="12" spans="1:16" s="1" customFormat="1" ht="31.5" customHeight="1">
      <c r="A12" s="62">
        <v>3</v>
      </c>
      <c r="B12" s="81" t="s">
        <v>65</v>
      </c>
      <c r="C12" s="64" t="s">
        <v>25</v>
      </c>
      <c r="D12" s="60" t="str">
        <f>LEFT(B12,5)</f>
        <v>2.5.6</v>
      </c>
      <c r="E12" s="80" t="s">
        <v>64</v>
      </c>
      <c r="F12" s="75" t="s">
        <v>37</v>
      </c>
      <c r="G12" s="57">
        <v>2345</v>
      </c>
      <c r="H12" s="78">
        <v>88.5</v>
      </c>
      <c r="I12" s="55">
        <f>G12*H12</f>
        <v>207532.5</v>
      </c>
      <c r="J12" s="45">
        <f>SUM(I12:I13)</f>
        <v>783274.9</v>
      </c>
      <c r="K12" s="45">
        <f>P13*30/100</f>
        <v>195000</v>
      </c>
      <c r="L12" s="45">
        <f>K12-I12</f>
        <v>-12532.5</v>
      </c>
      <c r="M12" s="2"/>
      <c r="N12" s="2"/>
      <c r="O12" s="2"/>
      <c r="P12" s="79"/>
    </row>
    <row r="13" spans="1:16" s="1" customFormat="1" ht="31.5" customHeight="1">
      <c r="A13" s="62">
        <v>4</v>
      </c>
      <c r="B13" s="81" t="s">
        <v>63</v>
      </c>
      <c r="C13" s="64" t="s">
        <v>25</v>
      </c>
      <c r="D13" s="60" t="str">
        <f>LEFT(B13,5)</f>
        <v>2.5.6</v>
      </c>
      <c r="E13" s="80" t="s">
        <v>62</v>
      </c>
      <c r="F13" s="75" t="s">
        <v>37</v>
      </c>
      <c r="G13" s="57">
        <v>5899</v>
      </c>
      <c r="H13" s="65">
        <v>97.6</v>
      </c>
      <c r="I13" s="55">
        <f>G13*H13</f>
        <v>575742.4</v>
      </c>
      <c r="J13" s="2"/>
      <c r="K13" s="45">
        <f>P13*70/100</f>
        <v>455000</v>
      </c>
      <c r="L13" s="45">
        <f>K13-I13</f>
        <v>-120742.40000000002</v>
      </c>
      <c r="M13" s="2"/>
      <c r="N13" s="45">
        <f>SUM(I12:I13)</f>
        <v>783274.9</v>
      </c>
      <c r="O13" s="2"/>
      <c r="P13" s="79">
        <v>650000</v>
      </c>
    </row>
    <row r="14" spans="1:16" s="1" customFormat="1" ht="31.5" customHeight="1">
      <c r="A14" s="62">
        <v>5</v>
      </c>
      <c r="B14" s="64" t="s">
        <v>61</v>
      </c>
      <c r="C14" s="64" t="s">
        <v>25</v>
      </c>
      <c r="D14" s="60" t="str">
        <f>LEFT(B14,5)</f>
        <v>2.5.6</v>
      </c>
      <c r="E14" s="76" t="s">
        <v>60</v>
      </c>
      <c r="F14" s="75" t="s">
        <v>37</v>
      </c>
      <c r="G14" s="57">
        <v>2337</v>
      </c>
      <c r="H14" s="78">
        <v>88.7</v>
      </c>
      <c r="I14" s="55">
        <f>G14*H14</f>
        <v>207291.9</v>
      </c>
      <c r="J14" s="45">
        <f>SUM(I14:I15)</f>
        <v>785673.9</v>
      </c>
      <c r="K14" s="45">
        <f>P13*30/100</f>
        <v>195000</v>
      </c>
      <c r="L14" s="45">
        <f>K14-I14</f>
        <v>-12291.899999999994</v>
      </c>
      <c r="M14" s="2"/>
      <c r="N14" s="2"/>
      <c r="O14" s="2"/>
      <c r="P14" s="79"/>
    </row>
    <row r="15" spans="1:16" s="1" customFormat="1" ht="31.5" customHeight="1">
      <c r="A15" s="62">
        <v>6</v>
      </c>
      <c r="B15" s="64" t="s">
        <v>59</v>
      </c>
      <c r="C15" s="64" t="s">
        <v>25</v>
      </c>
      <c r="D15" s="60" t="str">
        <f>LEFT(B15,5)</f>
        <v>2.5.6</v>
      </c>
      <c r="E15" s="76" t="s">
        <v>58</v>
      </c>
      <c r="F15" s="75" t="s">
        <v>37</v>
      </c>
      <c r="G15" s="57">
        <v>5860</v>
      </c>
      <c r="H15" s="65">
        <v>98.7</v>
      </c>
      <c r="I15" s="55">
        <f>G15*H15</f>
        <v>578382</v>
      </c>
      <c r="J15" s="2"/>
      <c r="K15" s="45">
        <f>P13*70/100</f>
        <v>455000</v>
      </c>
      <c r="L15" s="45">
        <f>K15-I15</f>
        <v>-123382</v>
      </c>
      <c r="M15" s="2"/>
      <c r="N15" s="2"/>
      <c r="O15" s="2"/>
      <c r="P15" s="2"/>
    </row>
    <row r="16" spans="1:16" s="1" customFormat="1" ht="31.5" customHeight="1">
      <c r="A16" s="62">
        <v>7</v>
      </c>
      <c r="B16" s="64" t="s">
        <v>57</v>
      </c>
      <c r="C16" s="64" t="s">
        <v>25</v>
      </c>
      <c r="D16" s="60" t="str">
        <f>LEFT(B16,5)</f>
        <v>2.5.6</v>
      </c>
      <c r="E16" s="76" t="s">
        <v>56</v>
      </c>
      <c r="F16" s="75" t="s">
        <v>37</v>
      </c>
      <c r="G16" s="57">
        <v>2320</v>
      </c>
      <c r="H16" s="78">
        <v>88</v>
      </c>
      <c r="I16" s="55">
        <f>G16*H16</f>
        <v>204160</v>
      </c>
      <c r="J16" s="45">
        <f>SUM(I16:I17)</f>
        <v>778415</v>
      </c>
      <c r="K16" s="45">
        <f>P13*30/100</f>
        <v>195000</v>
      </c>
      <c r="L16" s="45">
        <f>K16-I16</f>
        <v>-9160</v>
      </c>
      <c r="M16" s="2"/>
      <c r="N16" s="2"/>
      <c r="O16" s="2"/>
      <c r="P16" s="2"/>
    </row>
    <row r="17" spans="1:12" s="1" customFormat="1" ht="31.5" customHeight="1">
      <c r="A17" s="62">
        <v>8</v>
      </c>
      <c r="B17" s="64" t="s">
        <v>55</v>
      </c>
      <c r="C17" s="64" t="s">
        <v>25</v>
      </c>
      <c r="D17" s="60" t="str">
        <f>LEFT(B17,5)</f>
        <v>2.5.6</v>
      </c>
      <c r="E17" s="76" t="s">
        <v>54</v>
      </c>
      <c r="F17" s="75" t="s">
        <v>37</v>
      </c>
      <c r="G17" s="57">
        <v>5830</v>
      </c>
      <c r="H17" s="65">
        <v>98.5</v>
      </c>
      <c r="I17" s="55">
        <f>G17*H17</f>
        <v>574255</v>
      </c>
      <c r="J17" s="2"/>
      <c r="K17" s="45">
        <f>P13*70/100</f>
        <v>455000</v>
      </c>
      <c r="L17" s="45">
        <f>K17-I17</f>
        <v>-119255</v>
      </c>
    </row>
    <row r="18" spans="1:12" s="1" customFormat="1" ht="31.5" customHeight="1">
      <c r="A18" s="62">
        <v>9</v>
      </c>
      <c r="B18" s="64" t="s">
        <v>53</v>
      </c>
      <c r="C18" s="64" t="s">
        <v>25</v>
      </c>
      <c r="D18" s="60" t="str">
        <f>LEFT(B18,5)</f>
        <v>2.5.6</v>
      </c>
      <c r="E18" s="76" t="s">
        <v>52</v>
      </c>
      <c r="F18" s="75" t="s">
        <v>37</v>
      </c>
      <c r="G18" s="57">
        <v>2335</v>
      </c>
      <c r="H18" s="78">
        <v>87.14</v>
      </c>
      <c r="I18" s="55">
        <f>G18*H18</f>
        <v>203471.9</v>
      </c>
      <c r="J18" s="45">
        <f>SUM(I18:I19)</f>
        <v>775700.8</v>
      </c>
      <c r="K18" s="45">
        <f>P13*30/100</f>
        <v>195000</v>
      </c>
      <c r="L18" s="45">
        <f>K18-I18</f>
        <v>-8471.8999999999942</v>
      </c>
    </row>
    <row r="19" spans="1:12" s="1" customFormat="1" ht="31.5" customHeight="1">
      <c r="A19" s="62">
        <v>10</v>
      </c>
      <c r="B19" s="64" t="s">
        <v>51</v>
      </c>
      <c r="C19" s="64" t="s">
        <v>25</v>
      </c>
      <c r="D19" s="60" t="str">
        <f>LEFT(B19,5)</f>
        <v>2.5.6</v>
      </c>
      <c r="E19" s="76" t="s">
        <v>50</v>
      </c>
      <c r="F19" s="75" t="s">
        <v>37</v>
      </c>
      <c r="G19" s="57">
        <v>5857</v>
      </c>
      <c r="H19" s="65">
        <v>97.7</v>
      </c>
      <c r="I19" s="55">
        <f>G19*H19</f>
        <v>572228.9</v>
      </c>
      <c r="J19" s="2"/>
      <c r="K19" s="45">
        <f>P13*70/100</f>
        <v>455000</v>
      </c>
      <c r="L19" s="45">
        <f>K19-I19</f>
        <v>-117228.90000000002</v>
      </c>
    </row>
    <row r="20" spans="1:12" s="1" customFormat="1" ht="31.5" customHeight="1">
      <c r="A20" s="62">
        <v>11</v>
      </c>
      <c r="B20" s="64" t="s">
        <v>49</v>
      </c>
      <c r="C20" s="64" t="s">
        <v>25</v>
      </c>
      <c r="D20" s="60" t="str">
        <f>LEFT(B20,5)</f>
        <v>2.5.6</v>
      </c>
      <c r="E20" s="76" t="s">
        <v>48</v>
      </c>
      <c r="F20" s="75" t="s">
        <v>37</v>
      </c>
      <c r="G20" s="57">
        <v>2237</v>
      </c>
      <c r="H20" s="78">
        <v>87.14</v>
      </c>
      <c r="I20" s="55">
        <f>G20*H20</f>
        <v>194932.18</v>
      </c>
      <c r="J20" s="45">
        <f>SUM(I20:I21)</f>
        <v>730328.17999999993</v>
      </c>
      <c r="K20" s="45">
        <f>P13*30/100</f>
        <v>195000</v>
      </c>
      <c r="L20" s="45">
        <f>K20-I20</f>
        <v>67.820000000006985</v>
      </c>
    </row>
    <row r="21" spans="1:12" s="1" customFormat="1" ht="31.5" customHeight="1">
      <c r="A21" s="62">
        <v>12</v>
      </c>
      <c r="B21" s="64" t="s">
        <v>47</v>
      </c>
      <c r="C21" s="64" t="s">
        <v>25</v>
      </c>
      <c r="D21" s="60" t="str">
        <f>LEFT(B21,5)</f>
        <v>2.5.6</v>
      </c>
      <c r="E21" s="76" t="s">
        <v>46</v>
      </c>
      <c r="F21" s="75" t="s">
        <v>37</v>
      </c>
      <c r="G21" s="57">
        <v>5480</v>
      </c>
      <c r="H21" s="65">
        <v>97.7</v>
      </c>
      <c r="I21" s="55">
        <f>G21*H21</f>
        <v>535396</v>
      </c>
      <c r="J21" s="2"/>
      <c r="K21" s="45">
        <f>P13*70/100</f>
        <v>455000</v>
      </c>
      <c r="L21" s="45">
        <f>K21-I21</f>
        <v>-80396</v>
      </c>
    </row>
    <row r="22" spans="1:12" s="1" customFormat="1" ht="31.5" customHeight="1">
      <c r="A22" s="62">
        <v>13</v>
      </c>
      <c r="B22" s="64" t="s">
        <v>45</v>
      </c>
      <c r="C22" s="64" t="s">
        <v>25</v>
      </c>
      <c r="D22" s="60" t="str">
        <f>LEFT(B22,5)</f>
        <v>2.5.6</v>
      </c>
      <c r="E22" s="76" t="s">
        <v>44</v>
      </c>
      <c r="F22" s="75" t="s">
        <v>37</v>
      </c>
      <c r="G22" s="57">
        <v>2212</v>
      </c>
      <c r="H22" s="78">
        <v>88.2</v>
      </c>
      <c r="I22" s="55">
        <f>G22*H22</f>
        <v>195098.4</v>
      </c>
      <c r="J22" s="45">
        <f>SUM(I22:I23)</f>
        <v>722768.4</v>
      </c>
      <c r="K22" s="45">
        <f>P13*30/100</f>
        <v>195000</v>
      </c>
      <c r="L22" s="45">
        <f>K22-I22</f>
        <v>-98.399999999994179</v>
      </c>
    </row>
    <row r="23" spans="1:12" s="1" customFormat="1" ht="31.5" customHeight="1">
      <c r="A23" s="62">
        <v>14</v>
      </c>
      <c r="B23" s="77" t="s">
        <v>43</v>
      </c>
      <c r="C23" s="64" t="s">
        <v>25</v>
      </c>
      <c r="D23" s="60" t="str">
        <f>LEFT(B23,5)</f>
        <v>2.5.6</v>
      </c>
      <c r="E23" s="76" t="s">
        <v>42</v>
      </c>
      <c r="F23" s="75" t="s">
        <v>37</v>
      </c>
      <c r="G23" s="57">
        <v>5412</v>
      </c>
      <c r="H23" s="65">
        <v>97.5</v>
      </c>
      <c r="I23" s="55">
        <f>G23*H23</f>
        <v>527670</v>
      </c>
      <c r="J23" s="2"/>
      <c r="K23" s="45">
        <f>P13*70/100</f>
        <v>455000</v>
      </c>
      <c r="L23" s="45">
        <f>K23-I23</f>
        <v>-72670</v>
      </c>
    </row>
    <row r="24" spans="1:12" s="1" customFormat="1" ht="31.5" customHeight="1">
      <c r="A24" s="62">
        <v>15</v>
      </c>
      <c r="B24" s="64" t="s">
        <v>41</v>
      </c>
      <c r="C24" s="64" t="s">
        <v>25</v>
      </c>
      <c r="D24" s="60" t="str">
        <f>LEFT(B24,5)</f>
        <v>2.5.6</v>
      </c>
      <c r="E24" s="76" t="s">
        <v>40</v>
      </c>
      <c r="F24" s="75" t="s">
        <v>37</v>
      </c>
      <c r="G24" s="57">
        <v>2265</v>
      </c>
      <c r="H24" s="78">
        <v>91.4</v>
      </c>
      <c r="I24" s="55">
        <f>G24*H24</f>
        <v>207021</v>
      </c>
      <c r="J24" s="45">
        <f>SUM(I24:I25)</f>
        <v>691626</v>
      </c>
      <c r="K24" s="45">
        <f>P13*30/100</f>
        <v>195000</v>
      </c>
      <c r="L24" s="45">
        <f>K24-I24</f>
        <v>-12021</v>
      </c>
    </row>
    <row r="25" spans="1:12" s="1" customFormat="1" ht="31.5" customHeight="1">
      <c r="A25" s="62">
        <v>16</v>
      </c>
      <c r="B25" s="77" t="s">
        <v>39</v>
      </c>
      <c r="C25" s="64" t="s">
        <v>25</v>
      </c>
      <c r="D25" s="60" t="str">
        <f>LEFT(B25,5)</f>
        <v>2.5.6</v>
      </c>
      <c r="E25" s="76" t="s">
        <v>38</v>
      </c>
      <c r="F25" s="75" t="s">
        <v>37</v>
      </c>
      <c r="G25" s="57">
        <v>4950</v>
      </c>
      <c r="H25" s="65">
        <v>97.9</v>
      </c>
      <c r="I25" s="55">
        <f>G25*H25</f>
        <v>484605</v>
      </c>
      <c r="J25" s="2"/>
      <c r="K25" s="45">
        <f>P13*70/100</f>
        <v>455000</v>
      </c>
      <c r="L25" s="45">
        <f>K25-I25</f>
        <v>-29605</v>
      </c>
    </row>
    <row r="26" spans="1:12" s="1" customFormat="1" ht="31.5" customHeight="1">
      <c r="A26" s="62">
        <v>17</v>
      </c>
      <c r="B26" s="64" t="s">
        <v>36</v>
      </c>
      <c r="C26" s="64" t="s">
        <v>25</v>
      </c>
      <c r="D26" s="60" t="str">
        <f>LEFT(B26,5)</f>
        <v>2.5.6</v>
      </c>
      <c r="E26" s="63" t="s">
        <v>35</v>
      </c>
      <c r="F26" s="58" t="s">
        <v>23</v>
      </c>
      <c r="G26" s="57">
        <v>3</v>
      </c>
      <c r="H26" s="65">
        <v>75800</v>
      </c>
      <c r="I26" s="55">
        <f>G26*H26</f>
        <v>227400</v>
      </c>
      <c r="J26" s="45"/>
      <c r="K26" s="45"/>
      <c r="L26" s="2"/>
    </row>
    <row r="27" spans="1:12" s="1" customFormat="1" ht="31.5" customHeight="1">
      <c r="A27" s="74">
        <v>18</v>
      </c>
      <c r="B27" s="73" t="s">
        <v>34</v>
      </c>
      <c r="C27" s="72" t="s">
        <v>25</v>
      </c>
      <c r="D27" s="71" t="str">
        <f>LEFT(B27,5)</f>
        <v>2.5.6</v>
      </c>
      <c r="E27" s="70" t="s">
        <v>33</v>
      </c>
      <c r="F27" s="69" t="s">
        <v>23</v>
      </c>
      <c r="G27" s="68">
        <v>8</v>
      </c>
      <c r="H27" s="67">
        <v>24700</v>
      </c>
      <c r="I27" s="66">
        <f>G27*H27</f>
        <v>197600</v>
      </c>
      <c r="J27" s="2"/>
      <c r="K27" s="45"/>
      <c r="L27" s="2"/>
    </row>
    <row r="28" spans="1:12" s="1" customFormat="1" ht="31.5" customHeight="1">
      <c r="A28" s="62">
        <v>19</v>
      </c>
      <c r="B28" s="61" t="s">
        <v>32</v>
      </c>
      <c r="C28" s="61" t="s">
        <v>25</v>
      </c>
      <c r="D28" s="60" t="str">
        <f>LEFT(B28,5)</f>
        <v>2.5.6</v>
      </c>
      <c r="E28" s="59" t="s">
        <v>31</v>
      </c>
      <c r="F28" s="58" t="s">
        <v>23</v>
      </c>
      <c r="G28" s="57">
        <v>2</v>
      </c>
      <c r="H28" s="65">
        <v>71200</v>
      </c>
      <c r="I28" s="55">
        <f>G28*H28</f>
        <v>142400</v>
      </c>
      <c r="J28" s="2"/>
      <c r="K28" s="45"/>
      <c r="L28" s="2"/>
    </row>
    <row r="29" spans="1:12" s="1" customFormat="1" ht="31.5" customHeight="1">
      <c r="A29" s="62">
        <v>20</v>
      </c>
      <c r="B29" s="64" t="s">
        <v>30</v>
      </c>
      <c r="C29" s="61" t="s">
        <v>25</v>
      </c>
      <c r="D29" s="60" t="str">
        <f>LEFT(B29,5)</f>
        <v>2.5.6</v>
      </c>
      <c r="E29" s="63" t="s">
        <v>29</v>
      </c>
      <c r="F29" s="58" t="s">
        <v>23</v>
      </c>
      <c r="G29" s="57">
        <v>50</v>
      </c>
      <c r="H29" s="56">
        <v>14539</v>
      </c>
      <c r="I29" s="55">
        <f>G29*H29</f>
        <v>726950</v>
      </c>
      <c r="J29" s="2"/>
      <c r="K29" s="45">
        <f>SUM(I26:I31)</f>
        <v>2147465</v>
      </c>
      <c r="L29" s="2"/>
    </row>
    <row r="30" spans="1:12" s="1" customFormat="1" ht="31.5" customHeight="1">
      <c r="A30" s="62">
        <v>21</v>
      </c>
      <c r="B30" s="61" t="s">
        <v>28</v>
      </c>
      <c r="C30" s="61" t="s">
        <v>25</v>
      </c>
      <c r="D30" s="60" t="str">
        <f>LEFT(B30,5)</f>
        <v>2.5.6</v>
      </c>
      <c r="E30" s="59" t="s">
        <v>27</v>
      </c>
      <c r="F30" s="58" t="s">
        <v>23</v>
      </c>
      <c r="G30" s="57">
        <v>1000</v>
      </c>
      <c r="H30" s="56">
        <v>750</v>
      </c>
      <c r="I30" s="55">
        <f>G30*H30</f>
        <v>750000</v>
      </c>
      <c r="J30" s="2"/>
      <c r="K30" s="45"/>
      <c r="L30" s="2"/>
    </row>
    <row r="31" spans="1:12" s="1" customFormat="1" ht="31.5" customHeight="1" thickBot="1">
      <c r="A31" s="54">
        <v>22</v>
      </c>
      <c r="B31" s="53" t="s">
        <v>26</v>
      </c>
      <c r="C31" s="52" t="s">
        <v>25</v>
      </c>
      <c r="D31" s="51" t="str">
        <f>LEFT(B31,5)</f>
        <v>2.5.6</v>
      </c>
      <c r="E31" s="50" t="s">
        <v>24</v>
      </c>
      <c r="F31" s="49" t="s">
        <v>23</v>
      </c>
      <c r="G31" s="48">
        <v>205</v>
      </c>
      <c r="H31" s="47">
        <v>503</v>
      </c>
      <c r="I31" s="46">
        <f>G31*H31</f>
        <v>103115</v>
      </c>
      <c r="J31" s="2"/>
      <c r="K31" s="45"/>
      <c r="L31" s="2"/>
    </row>
    <row r="32" spans="1:12" s="1" customFormat="1" ht="23.25" customHeight="1" thickBot="1">
      <c r="I32" s="44">
        <f>SUM(I10:I31)</f>
        <v>40962452.179999992</v>
      </c>
      <c r="J32" s="2"/>
      <c r="K32" s="2"/>
      <c r="L32" s="2"/>
    </row>
    <row r="33" spans="1:5" s="1" customFormat="1" ht="14.25" thickBot="1"/>
    <row r="34" spans="1:5" s="1" customFormat="1">
      <c r="B34" s="14" t="s">
        <v>22</v>
      </c>
      <c r="C34" s="13"/>
      <c r="D34" s="13"/>
      <c r="E34" s="12"/>
    </row>
    <row r="35" spans="1:5" s="1" customFormat="1">
      <c r="B35" s="43"/>
      <c r="C35" s="39"/>
      <c r="D35" s="39"/>
      <c r="E35" s="38"/>
    </row>
    <row r="36" spans="1:5" s="1" customFormat="1">
      <c r="B36" s="40" t="s">
        <v>21</v>
      </c>
      <c r="C36" s="39"/>
      <c r="D36" s="39"/>
      <c r="E36" s="38"/>
    </row>
    <row r="37" spans="1:5" s="1" customFormat="1" ht="45" customHeight="1">
      <c r="B37" s="40"/>
      <c r="C37" s="42" t="s">
        <v>20</v>
      </c>
      <c r="D37" s="42"/>
      <c r="E37" s="41"/>
    </row>
    <row r="38" spans="1:5" s="1" customFormat="1">
      <c r="B38" s="40" t="s">
        <v>19</v>
      </c>
      <c r="C38" s="39"/>
      <c r="D38" s="39"/>
      <c r="E38" s="38"/>
    </row>
    <row r="39" spans="1:5" s="1" customFormat="1" ht="18" customHeight="1">
      <c r="B39" s="40"/>
      <c r="C39" s="42" t="s">
        <v>18</v>
      </c>
      <c r="D39" s="42"/>
      <c r="E39" s="41"/>
    </row>
    <row r="40" spans="1:5" s="1" customFormat="1" ht="18" customHeight="1">
      <c r="B40" s="40" t="s">
        <v>17</v>
      </c>
      <c r="C40" s="39"/>
      <c r="D40" s="39"/>
      <c r="E40" s="38"/>
    </row>
    <row r="41" spans="1:5" s="1" customFormat="1" ht="18" customHeight="1">
      <c r="B41" s="40"/>
      <c r="C41" s="42" t="s">
        <v>16</v>
      </c>
      <c r="D41" s="42"/>
      <c r="E41" s="41"/>
    </row>
    <row r="42" spans="1:5" s="1" customFormat="1" ht="18" customHeight="1">
      <c r="B42" s="40" t="s">
        <v>15</v>
      </c>
      <c r="C42" s="39"/>
      <c r="D42" s="39"/>
      <c r="E42" s="38"/>
    </row>
    <row r="43" spans="1:5" s="1" customFormat="1" ht="18" customHeight="1">
      <c r="B43" s="40"/>
      <c r="C43" s="42" t="s">
        <v>14</v>
      </c>
      <c r="D43" s="42"/>
      <c r="E43" s="41"/>
    </row>
    <row r="44" spans="1:5" s="1" customFormat="1">
      <c r="B44" s="40" t="s">
        <v>13</v>
      </c>
      <c r="C44" s="39"/>
      <c r="D44" s="39"/>
      <c r="E44" s="38"/>
    </row>
    <row r="45" spans="1:5" s="1" customFormat="1" ht="18" customHeight="1">
      <c r="B45" s="40"/>
      <c r="C45" s="42" t="s">
        <v>12</v>
      </c>
      <c r="D45" s="42"/>
      <c r="E45" s="41"/>
    </row>
    <row r="46" spans="1:5" s="1" customFormat="1" ht="18" customHeight="1">
      <c r="B46" s="40" t="s">
        <v>11</v>
      </c>
      <c r="C46" s="39"/>
      <c r="D46" s="39"/>
      <c r="E46" s="38"/>
    </row>
    <row r="47" spans="1:5" s="1" customFormat="1" ht="18" customHeight="1">
      <c r="A47" s="30"/>
      <c r="B47" s="36"/>
      <c r="C47" s="28" t="s">
        <v>10</v>
      </c>
      <c r="D47" s="28"/>
      <c r="E47" s="27"/>
    </row>
    <row r="48" spans="1:5" s="1" customFormat="1" ht="18" customHeight="1">
      <c r="A48" s="30"/>
      <c r="B48" s="36" t="s">
        <v>9</v>
      </c>
      <c r="C48" s="30"/>
      <c r="D48" s="30"/>
      <c r="E48" s="37"/>
    </row>
    <row r="49" spans="1:21" ht="18" customHeight="1" thickBot="1">
      <c r="A49" s="30"/>
      <c r="B49" s="36"/>
      <c r="C49" s="28" t="s">
        <v>8</v>
      </c>
      <c r="D49" s="28"/>
      <c r="E49" s="27"/>
    </row>
    <row r="50" spans="1:21">
      <c r="A50" s="30"/>
      <c r="B50" s="35" t="s">
        <v>7</v>
      </c>
      <c r="C50" s="34"/>
      <c r="D50" s="34"/>
      <c r="E50" s="33"/>
    </row>
    <row r="51" spans="1:21" ht="45" customHeight="1">
      <c r="A51" s="30"/>
      <c r="B51" s="29"/>
      <c r="C51" s="28" t="s">
        <v>6</v>
      </c>
      <c r="D51" s="28"/>
      <c r="E51" s="27"/>
      <c r="G51" s="2"/>
      <c r="K51" s="23"/>
      <c r="L51" s="23"/>
      <c r="M51" s="23"/>
      <c r="U51" s="2"/>
    </row>
    <row r="52" spans="1:21" ht="20.25" customHeight="1">
      <c r="A52" s="30"/>
      <c r="B52" s="29"/>
      <c r="C52" s="28"/>
      <c r="D52" s="28"/>
      <c r="E52" s="27"/>
      <c r="G52" s="2"/>
      <c r="H52" s="2"/>
      <c r="I52" s="2"/>
      <c r="K52" s="23"/>
      <c r="L52" s="23"/>
      <c r="M52" s="23"/>
      <c r="U52" s="2"/>
    </row>
    <row r="53" spans="1:21" ht="38.25" customHeight="1">
      <c r="A53" s="30"/>
      <c r="B53" s="29"/>
      <c r="C53" s="28"/>
      <c r="D53" s="28"/>
      <c r="E53" s="27"/>
      <c r="G53" s="25"/>
      <c r="H53" s="25"/>
      <c r="I53" s="25"/>
      <c r="K53" s="23"/>
      <c r="L53" s="23"/>
      <c r="M53" s="23"/>
      <c r="U53" s="2"/>
    </row>
    <row r="54" spans="1:21" ht="26.25" customHeight="1">
      <c r="A54" s="30"/>
      <c r="B54" s="29"/>
      <c r="C54" s="28"/>
      <c r="D54" s="28"/>
      <c r="E54" s="27"/>
      <c r="G54" s="26"/>
      <c r="H54" s="25"/>
      <c r="I54" s="24"/>
      <c r="K54" s="23"/>
      <c r="L54" s="23"/>
      <c r="M54" s="23"/>
      <c r="U54" s="2"/>
    </row>
    <row r="55" spans="1:21" ht="26.25" customHeight="1">
      <c r="A55" s="30"/>
      <c r="B55" s="29"/>
      <c r="C55" s="28"/>
      <c r="D55" s="28"/>
      <c r="E55" s="27"/>
      <c r="G55" s="26"/>
      <c r="H55" s="25"/>
      <c r="I55" s="24"/>
      <c r="K55" s="23"/>
      <c r="L55" s="23"/>
      <c r="M55" s="23"/>
      <c r="U55" s="2"/>
    </row>
    <row r="56" spans="1:21" ht="26.25" customHeight="1">
      <c r="A56" s="30"/>
      <c r="B56" s="29"/>
      <c r="C56" s="28"/>
      <c r="D56" s="28"/>
      <c r="E56" s="27"/>
      <c r="G56" s="26"/>
      <c r="H56" s="25"/>
      <c r="I56" s="24"/>
      <c r="K56" s="23"/>
      <c r="L56" s="23"/>
      <c r="M56" s="23"/>
      <c r="N56" s="32"/>
      <c r="P56" s="31"/>
      <c r="U56" s="2"/>
    </row>
    <row r="57" spans="1:21" ht="26.25" customHeight="1">
      <c r="A57" s="30"/>
      <c r="B57" s="29"/>
      <c r="C57" s="28"/>
      <c r="D57" s="28"/>
      <c r="E57" s="27"/>
      <c r="G57" s="26"/>
      <c r="H57" s="25"/>
      <c r="I57" s="24"/>
      <c r="K57" s="23"/>
      <c r="L57" s="23"/>
      <c r="M57" s="23"/>
      <c r="P57" s="31"/>
      <c r="Q57" s="19"/>
      <c r="U57" s="2"/>
    </row>
    <row r="58" spans="1:21" ht="26.25" customHeight="1">
      <c r="A58" s="30"/>
      <c r="B58" s="29"/>
      <c r="C58" s="28"/>
      <c r="D58" s="28"/>
      <c r="E58" s="27"/>
      <c r="G58" s="25"/>
      <c r="H58" s="25"/>
      <c r="I58" s="25"/>
      <c r="K58" s="23"/>
      <c r="L58" s="23"/>
      <c r="M58" s="23"/>
      <c r="U58" s="2"/>
    </row>
    <row r="59" spans="1:21" ht="26.25" customHeight="1">
      <c r="A59" s="30"/>
      <c r="B59" s="29"/>
      <c r="C59" s="28"/>
      <c r="D59" s="28"/>
      <c r="E59" s="27"/>
      <c r="G59" s="26"/>
      <c r="H59" s="25"/>
      <c r="I59" s="24"/>
      <c r="K59" s="23"/>
      <c r="L59" s="23"/>
      <c r="M59" s="23"/>
      <c r="U59" s="2"/>
    </row>
    <row r="60" spans="1:21" ht="26.25" customHeight="1">
      <c r="A60" s="30"/>
      <c r="B60" s="29"/>
      <c r="C60" s="28"/>
      <c r="D60" s="28"/>
      <c r="E60" s="27"/>
      <c r="G60" s="26"/>
      <c r="H60" s="25"/>
      <c r="I60" s="24"/>
      <c r="K60" s="23"/>
      <c r="L60" s="23"/>
      <c r="M60" s="23"/>
      <c r="U60" s="2"/>
    </row>
    <row r="61" spans="1:21" ht="26.25" customHeight="1">
      <c r="A61" s="30"/>
      <c r="B61" s="29"/>
      <c r="C61" s="28"/>
      <c r="D61" s="28"/>
      <c r="E61" s="27"/>
      <c r="G61" s="26"/>
      <c r="H61" s="25"/>
      <c r="I61" s="24"/>
      <c r="K61" s="23"/>
      <c r="L61" s="23"/>
      <c r="M61" s="23"/>
      <c r="U61" s="2"/>
    </row>
    <row r="62" spans="1:21" ht="26.25" customHeight="1">
      <c r="A62" s="30"/>
      <c r="B62" s="29"/>
      <c r="C62" s="28"/>
      <c r="D62" s="28"/>
      <c r="E62" s="27"/>
      <c r="G62" s="26"/>
      <c r="H62" s="25"/>
      <c r="I62" s="24"/>
      <c r="K62" s="23"/>
      <c r="L62" s="23"/>
      <c r="M62" s="23"/>
      <c r="U62" s="2"/>
    </row>
    <row r="63" spans="1:21" ht="21.75" customHeight="1">
      <c r="A63" s="30"/>
      <c r="B63" s="29"/>
      <c r="C63" s="28"/>
      <c r="D63" s="28"/>
      <c r="E63" s="27"/>
      <c r="G63" s="26"/>
      <c r="H63" s="25"/>
      <c r="I63" s="24"/>
      <c r="K63" s="23"/>
      <c r="L63" s="23"/>
      <c r="M63" s="23"/>
      <c r="U63" s="2"/>
    </row>
    <row r="64" spans="1:21" ht="252.75" customHeight="1" thickBot="1">
      <c r="A64" s="30"/>
      <c r="B64" s="29"/>
      <c r="C64" s="28"/>
      <c r="D64" s="28"/>
      <c r="E64" s="27"/>
      <c r="G64" s="26"/>
      <c r="H64" s="25"/>
      <c r="I64" s="24"/>
      <c r="K64" s="23"/>
      <c r="L64" s="23"/>
      <c r="M64" s="23"/>
      <c r="U64" s="2"/>
    </row>
    <row r="65" spans="1:21" ht="21.75" customHeight="1">
      <c r="B65" s="14" t="s">
        <v>5</v>
      </c>
      <c r="C65" s="13"/>
      <c r="D65" s="13"/>
      <c r="E65" s="12"/>
      <c r="G65" s="2"/>
      <c r="H65" s="2"/>
      <c r="I65" s="2"/>
      <c r="U65" s="2"/>
    </row>
    <row r="66" spans="1:21" ht="21" customHeight="1" thickBot="1">
      <c r="B66" s="8"/>
      <c r="C66" s="22" t="s">
        <v>4</v>
      </c>
      <c r="D66" s="22"/>
      <c r="E66" s="21"/>
      <c r="I66" s="20"/>
      <c r="K66" s="19"/>
      <c r="U66" s="2"/>
    </row>
    <row r="67" spans="1:21" ht="23.25" customHeight="1">
      <c r="B67" s="14" t="s">
        <v>3</v>
      </c>
      <c r="C67" s="18"/>
      <c r="D67" s="18"/>
      <c r="E67" s="17"/>
      <c r="U67" s="2"/>
    </row>
    <row r="68" spans="1:21" ht="14.25" thickBot="1">
      <c r="B68" s="8"/>
      <c r="C68" s="16" t="s">
        <v>2</v>
      </c>
      <c r="D68" s="16"/>
      <c r="E68" s="15"/>
      <c r="U68" s="2"/>
    </row>
    <row r="69" spans="1:21">
      <c r="B69" s="14" t="s">
        <v>1</v>
      </c>
      <c r="C69" s="13"/>
      <c r="D69" s="13"/>
      <c r="E69" s="12"/>
      <c r="U69" s="2"/>
    </row>
    <row r="70" spans="1:21">
      <c r="B70" s="11"/>
      <c r="C70" s="10" t="s">
        <v>0</v>
      </c>
      <c r="D70" s="10"/>
      <c r="E70" s="9"/>
      <c r="G70" s="2"/>
      <c r="H70" s="2"/>
      <c r="I70" s="2"/>
      <c r="U70" s="2"/>
    </row>
    <row r="71" spans="1:21" ht="7.5" customHeight="1" thickBot="1">
      <c r="B71" s="8"/>
      <c r="C71" s="7"/>
      <c r="D71" s="7"/>
      <c r="E71" s="6"/>
      <c r="G71" s="2"/>
      <c r="H71" s="2"/>
      <c r="I71" s="2"/>
      <c r="U71" s="2"/>
    </row>
    <row r="72" spans="1:21">
      <c r="G72" s="2"/>
      <c r="H72" s="2"/>
      <c r="I72" s="2"/>
      <c r="U72" s="2"/>
    </row>
    <row r="73" spans="1:21" ht="39" customHeight="1">
      <c r="H73" s="2"/>
      <c r="I73" s="2"/>
      <c r="U73" s="2"/>
    </row>
    <row r="74" spans="1:21">
      <c r="H74" s="2"/>
      <c r="I74" s="2"/>
      <c r="U74" s="2"/>
    </row>
    <row r="80" spans="1:21" ht="16.5">
      <c r="A80" s="5"/>
      <c r="B80" s="3"/>
      <c r="C80" s="3"/>
      <c r="D80" s="4"/>
      <c r="E80" s="4"/>
      <c r="F80" s="2"/>
      <c r="G80" s="2"/>
      <c r="H80" s="2"/>
      <c r="I80" s="2"/>
    </row>
    <row r="81" spans="2:9" s="1" customFormat="1">
      <c r="B81" s="2"/>
      <c r="C81" s="2"/>
      <c r="D81" s="2"/>
      <c r="E81" s="2"/>
      <c r="F81" s="2"/>
      <c r="G81" s="2"/>
      <c r="H81" s="2"/>
      <c r="I81" s="2"/>
    </row>
    <row r="82" spans="2:9" s="1" customFormat="1" ht="16.5">
      <c r="B82" s="3"/>
      <c r="C82" s="3"/>
      <c r="D82" s="3"/>
      <c r="E82" s="3"/>
      <c r="F82" s="2"/>
      <c r="G82" s="2"/>
      <c r="H82" s="2"/>
      <c r="I82" s="2"/>
    </row>
    <row r="83" spans="2:9" s="1" customFormat="1" ht="16.5">
      <c r="B83" s="3"/>
      <c r="C83" s="3"/>
      <c r="D83" s="3"/>
      <c r="E83" s="3"/>
      <c r="F83" s="3"/>
      <c r="G83" s="2"/>
      <c r="H83" s="2"/>
      <c r="I83" s="2"/>
    </row>
    <row r="84" spans="2:9" s="1" customFormat="1" ht="16.5">
      <c r="B84" s="3"/>
      <c r="C84" s="3"/>
      <c r="D84" s="3"/>
      <c r="E84" s="3"/>
      <c r="F84" s="2"/>
      <c r="G84" s="2"/>
      <c r="H84" s="2"/>
      <c r="I84" s="2"/>
    </row>
    <row r="85" spans="2:9" s="1" customFormat="1" ht="16.5">
      <c r="B85" s="3"/>
      <c r="C85" s="3"/>
      <c r="D85" s="3"/>
      <c r="E85" s="3"/>
      <c r="F85" s="2"/>
      <c r="G85" s="2"/>
      <c r="H85" s="2"/>
      <c r="I85" s="2"/>
    </row>
    <row r="86" spans="2:9" s="1" customFormat="1" ht="16.5">
      <c r="B86" s="3"/>
      <c r="C86" s="3"/>
      <c r="D86" s="3"/>
      <c r="E86" s="3"/>
      <c r="F86" s="2"/>
      <c r="G86" s="2"/>
      <c r="H86" s="2"/>
      <c r="I86" s="2"/>
    </row>
    <row r="87" spans="2:9" s="1" customFormat="1">
      <c r="B87" s="2"/>
      <c r="C87" s="2"/>
      <c r="D87" s="2"/>
      <c r="E87" s="2"/>
      <c r="F87" s="2"/>
      <c r="G87" s="2"/>
      <c r="H87" s="2"/>
      <c r="I87" s="2"/>
    </row>
    <row r="88" spans="2:9" s="1" customFormat="1">
      <c r="B88" s="2"/>
      <c r="C88" s="2"/>
      <c r="D88" s="2"/>
      <c r="E88" s="2"/>
      <c r="F88" s="2"/>
      <c r="G88" s="2"/>
      <c r="H88" s="2"/>
      <c r="I88" s="2"/>
    </row>
    <row r="89" spans="2:9" s="1" customFormat="1">
      <c r="B89" s="2"/>
      <c r="C89" s="2"/>
      <c r="D89" s="2"/>
      <c r="E89" s="2"/>
      <c r="F89" s="2"/>
      <c r="G89" s="2"/>
      <c r="H89" s="2"/>
      <c r="I89" s="2"/>
    </row>
    <row r="90" spans="2:9" s="1" customFormat="1">
      <c r="B90" s="2"/>
      <c r="C90" s="2"/>
      <c r="D90" s="2"/>
      <c r="E90" s="2"/>
      <c r="F90" s="2"/>
      <c r="G90" s="2"/>
      <c r="H90" s="2"/>
      <c r="I90" s="2"/>
    </row>
    <row r="91" spans="2:9" s="1" customFormat="1">
      <c r="B91" s="2"/>
      <c r="C91" s="2"/>
      <c r="D91" s="2"/>
      <c r="E91" s="2"/>
      <c r="F91" s="2"/>
      <c r="G91" s="2"/>
      <c r="H91" s="2"/>
      <c r="I91" s="2"/>
    </row>
    <row r="92" spans="2:9" s="1" customFormat="1">
      <c r="B92" s="2"/>
      <c r="C92" s="2"/>
      <c r="D92" s="2"/>
      <c r="E92" s="2"/>
      <c r="F92" s="2"/>
      <c r="G92" s="2"/>
      <c r="H92" s="2"/>
      <c r="I92" s="2"/>
    </row>
    <row r="93" spans="2:9" s="1" customFormat="1">
      <c r="B93" s="2"/>
      <c r="C93" s="2"/>
      <c r="D93" s="2"/>
      <c r="E93" s="2"/>
      <c r="F93" s="2"/>
      <c r="G93" s="2"/>
      <c r="H93" s="2"/>
      <c r="I93" s="2"/>
    </row>
    <row r="94" spans="2:9" s="1" customFormat="1">
      <c r="B94" s="2"/>
      <c r="C94" s="2"/>
      <c r="D94" s="2"/>
      <c r="E94" s="2"/>
      <c r="F94" s="2"/>
      <c r="G94" s="2"/>
      <c r="H94" s="2"/>
      <c r="I94" s="2"/>
    </row>
    <row r="95" spans="2:9" s="1" customFormat="1">
      <c r="B95" s="2"/>
      <c r="C95" s="2"/>
      <c r="D95" s="2"/>
      <c r="E95" s="2"/>
      <c r="F95" s="2"/>
      <c r="G95" s="2"/>
      <c r="H95" s="2"/>
      <c r="I95" s="2"/>
    </row>
    <row r="96" spans="2:9" s="1" customFormat="1">
      <c r="B96" s="2"/>
      <c r="C96" s="2"/>
      <c r="D96" s="2"/>
      <c r="E96" s="2"/>
      <c r="F96" s="2"/>
      <c r="G96" s="2"/>
      <c r="H96" s="2"/>
      <c r="I96" s="2"/>
    </row>
    <row r="97" spans="2:9" s="1" customFormat="1">
      <c r="B97" s="2"/>
      <c r="C97" s="2"/>
      <c r="D97" s="2"/>
      <c r="E97" s="2"/>
      <c r="F97" s="2"/>
      <c r="G97" s="2"/>
      <c r="H97" s="2"/>
      <c r="I97" s="2"/>
    </row>
  </sheetData>
  <mergeCells count="25">
    <mergeCell ref="B2:H2"/>
    <mergeCell ref="A4:B4"/>
    <mergeCell ref="C4:E4"/>
    <mergeCell ref="A5:B5"/>
    <mergeCell ref="C5:E5"/>
    <mergeCell ref="A6:B6"/>
    <mergeCell ref="A7:B7"/>
    <mergeCell ref="C43:E43"/>
    <mergeCell ref="C45:E45"/>
    <mergeCell ref="C47:E47"/>
    <mergeCell ref="C37:E37"/>
    <mergeCell ref="C39:E39"/>
    <mergeCell ref="C41:E41"/>
    <mergeCell ref="K51:M64"/>
    <mergeCell ref="G54:G55"/>
    <mergeCell ref="G56:G57"/>
    <mergeCell ref="G59:G60"/>
    <mergeCell ref="G61:G62"/>
    <mergeCell ref="G63:G64"/>
    <mergeCell ref="C66:E66"/>
    <mergeCell ref="C68:E68"/>
    <mergeCell ref="C70:E70"/>
    <mergeCell ref="D80:E80"/>
    <mergeCell ref="C49:E49"/>
    <mergeCell ref="C51:E64"/>
  </mergeCells>
  <pageMargins left="0.7" right="0.7" top="0.75" bottom="0.75" header="0.51180555555555496" footer="0.51180555555555496"/>
  <pageSetup paperSize="190" scale="55" firstPageNumber="0" orientation="landscape" horizontalDpi="300" verticalDpi="300" r:id="rId1"/>
  <rowBreaks count="1" manualBreakCount="1">
    <brk id="34" max="16383" man="1"/>
  </rowBreaks>
  <colBreaks count="1" manualBreakCount="1">
    <brk id="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</dc:creator>
  <cp:lastModifiedBy>Telecom</cp:lastModifiedBy>
  <dcterms:created xsi:type="dcterms:W3CDTF">2021-03-31T13:32:43Z</dcterms:created>
  <dcterms:modified xsi:type="dcterms:W3CDTF">2021-03-31T13:33:20Z</dcterms:modified>
</cp:coreProperties>
</file>