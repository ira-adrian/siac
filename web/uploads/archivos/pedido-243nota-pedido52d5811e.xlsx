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Mi unidad\CONTRATACIONES 2022\SECRETARIA DE ABASTECIMIENTO\SIN RECHAZO\JUEGOS\"/>
    </mc:Choice>
  </mc:AlternateContent>
  <bookViews>
    <workbookView xWindow="-120" yWindow="-120" windowWidth="19425" windowHeight="11025"/>
  </bookViews>
  <sheets>
    <sheet name="Necesidades Trimestrales" sheetId="1" r:id="rId1"/>
    <sheet name="NOTA DE PEDIDO" sheetId="2" r:id="rId2"/>
    <sheet name="APG" sheetId="3" r:id="rId3"/>
  </sheets>
  <definedNames>
    <definedName name="_xlnm._FilterDatabase" localSheetId="0" hidden="1">'Necesidades Trimestrales'!$A$8:$I$9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0" i="3" l="1"/>
  <c r="I12" i="2" l="1"/>
  <c r="I13" i="2"/>
  <c r="I11" i="2"/>
  <c r="I13" i="1"/>
  <c r="I14" i="2" l="1"/>
  <c r="H13" i="2"/>
  <c r="H12" i="2"/>
  <c r="H11" i="2"/>
  <c r="G14" i="2" l="1"/>
  <c r="I10" i="1"/>
  <c r="I11" i="1"/>
  <c r="I9" i="1"/>
</calcChain>
</file>

<file path=xl/sharedStrings.xml><?xml version="1.0" encoding="utf-8"?>
<sst xmlns="http://schemas.openxmlformats.org/spreadsheetml/2006/main" count="130" uniqueCount="79">
  <si>
    <t>JURISDICCION:</t>
  </si>
  <si>
    <t xml:space="preserve">SAF N°: </t>
  </si>
  <si>
    <t>EJERCICIO:</t>
  </si>
  <si>
    <t>TRIMESTRE:</t>
  </si>
  <si>
    <t>ID</t>
  </si>
  <si>
    <t>Pedido de Necesidades Trimestrales</t>
  </si>
  <si>
    <t>CODIGO ITEM</t>
  </si>
  <si>
    <t>Descripción técnica</t>
  </si>
  <si>
    <t>Plazos y lugares de entrega</t>
  </si>
  <si>
    <t>Garantia</t>
  </si>
  <si>
    <t>50 - MINISTERIO DE EDUCACIÓN</t>
  </si>
  <si>
    <t>26 - DIRECCIÓN PROVINCIAL DE ADMINISTRACIÓN</t>
  </si>
  <si>
    <t>RUBRO DE COMPRA</t>
  </si>
  <si>
    <t xml:space="preserve">I.P.P. </t>
  </si>
  <si>
    <t>DESCRIPCION</t>
  </si>
  <si>
    <t>UNIDAD DE MEDIDA</t>
  </si>
  <si>
    <t>Unidad</t>
  </si>
  <si>
    <t>CANTIDAD</t>
  </si>
  <si>
    <t>PRECIO UNITARIO ESTIMADO</t>
  </si>
  <si>
    <t xml:space="preserve">IMPORTE TOTAL ESTIMADO </t>
  </si>
  <si>
    <t xml:space="preserve">Especificidades Items N° 1 </t>
  </si>
  <si>
    <t>4.3.5-191.1</t>
  </si>
  <si>
    <t>EQUIPOS</t>
  </si>
  <si>
    <t>4.3.5</t>
  </si>
  <si>
    <t>4.3.5-191.4</t>
  </si>
  <si>
    <t>JUEGOS P/PLAZA; ELEMENTO: CALESITA DE JARDIN</t>
  </si>
  <si>
    <t>JUEGOS P/PLAZA; ELEMENTO: HAMACA DOBLE BALCON</t>
  </si>
  <si>
    <t>4.3.5-191.16</t>
  </si>
  <si>
    <t>JUEGOS P/PLAZA; ELEMENTO: TOBOGAN DISEÑO INFANTIL</t>
  </si>
  <si>
    <t>Especificidades Items N° 2</t>
  </si>
  <si>
    <t>Especificidades Items N° 3</t>
  </si>
  <si>
    <t>Tobogán: Bajada de PVC estructural de doble pared. Escalera de caño reforzado. Escalones de PVC antideslizantes. Soportar hasta 25 kilos. Apto para exterior
 Peso aprox: 7 kg. Medidas aprox: Alto de la escalera: 70 cm. Alto total con barandas: 86 cm. Ancho de la bajada: 33 cm. Largo de la bajada: 104 cm. Distancia entre escalones: 13 cm
- Medidas embalado: 140 x 57 x 20 cm</t>
  </si>
  <si>
    <t>Hamaca Gemela:  Estructura de caño reforzado de 1" 1/4. . Asientos de plástico. Apoya pies. Peso aprox de hamaca: 10 kilos. Soporta hasta 50 kg. aprox. Medidas aprox: Altura Abierta: 140 cm. Ancho Lateral: 85 cm. Ancho del Frente Abierta: 140 cm. Ancho del Frente Plegada: 8 cm. Ancho de los Asientos: 38 cm. Distancia entre asientos: 55 cm.  Medidas embalada: 90 x 150 x 20 cm</t>
  </si>
  <si>
    <t>Calesita reforzada: Apoya pies de pvc alto impacto.  Soporta hasta 70 kilos aprox. Medidas: Diámetro: 100 cm. Alto hasta el volante: 60 cm. Peso de la calesita: 10 kilos aprox.</t>
  </si>
  <si>
    <t>NOTA DE PEDIDO</t>
  </si>
  <si>
    <t xml:space="preserve">JURISDICCIÓN: </t>
  </si>
  <si>
    <t>SAF:</t>
  </si>
  <si>
    <t>UNIDAD EJECUTORA:</t>
  </si>
  <si>
    <t>MINISTERIO DE EDUCACIÓN</t>
  </si>
  <si>
    <t xml:space="preserve">DEPENDENCIA SOLICITANTE: </t>
  </si>
  <si>
    <t>PERIODO UTILIZACIÓN:</t>
  </si>
  <si>
    <t>SEGUNDO TRIMESTRE</t>
  </si>
  <si>
    <t>OBJETO:</t>
  </si>
  <si>
    <t>Adjunta Detalle Técnico</t>
  </si>
  <si>
    <t>SI</t>
  </si>
  <si>
    <t>ADQUISICIÓN DE JUEGOS PARA JARDIN</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</si>
  <si>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</si>
  <si>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</si>
  <si>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</si>
  <si>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</si>
  <si>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</si>
  <si>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</si>
  <si>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</si>
  <si>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</si>
  <si>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</si>
  <si>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</si>
  <si>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</si>
  <si>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</si>
  <si>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</si>
  <si>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</si>
  <si>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</si>
  <si>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</si>
  <si>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</si>
  <si>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</si>
  <si>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</si>
  <si>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</si>
  <si>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</si>
  <si>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</si>
  <si>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Costo total estimado: PESOS UN MILLON QUINIENTOS MIL CON 00/100</t>
  </si>
  <si>
    <t>N° 047-2022</t>
  </si>
  <si>
    <r>
      <t xml:space="preserve">Autorizo la realización de los  trámites correspondientes, a fin de proveer a  este Organismo los bienes que se detallan en Nota  de Pedido N° </t>
    </r>
    <r>
      <rPr>
        <b/>
        <sz val="11"/>
        <rFont val="Times New Roman"/>
        <family val="1"/>
      </rPr>
      <t>047</t>
    </r>
    <r>
      <rPr>
        <b/>
        <sz val="11"/>
        <color theme="1" tint="4.9989318521683403E-2"/>
        <rFont val="Times New Roman"/>
        <family val="1"/>
      </rPr>
      <t>/22,</t>
    </r>
    <r>
      <rPr>
        <sz val="11"/>
        <color theme="1" tint="4.9989318521683403E-2"/>
        <rFont val="Times New Roman"/>
        <family val="1"/>
      </rPr>
      <t xml:space="preserve"> </t>
    </r>
    <r>
      <rPr>
        <sz val="11"/>
        <rFont val="Times New Roman"/>
        <family val="1"/>
      </rPr>
      <t>afectando la erogación resultante a los créditos presupuestarios aprobados a favor de esta Unidad Ejecutora, conforme al siguiente detalle:</t>
    </r>
  </si>
  <si>
    <t>TOTAL DE PESOS: UN MILLON QUINIENTOS MIL CON 00/100</t>
  </si>
  <si>
    <t>ADQUISICIÓN DE JUEGOS PARA JARDIN.-</t>
  </si>
  <si>
    <t>EQUIPO EDUCACIONAL Y RECREATIVO</t>
  </si>
  <si>
    <t xml:space="preserve">El plazo de entrega de los bienes, no podrá ser superior a los Diez (10) días hábiles o el menor plazo ofertado y adjudicado, contados a partir del dia habil inmediato siguiente a  la fecha de recepción de la respectiva Orden de Compra en el domicilio especial electrónico constituido, en virtud del método de contratación. La entrega de dichos bienes se realizará en  el deposito del ministerio de educacion, sito en calle Maipu N° 1251 San Fernando del Valle de Catamarca.  Se presentará Remito que deberá cumplimentar lo dispuesto por la R.G. AFIP  1415/03, sin excepción.  </t>
  </si>
  <si>
    <t>Calidad Minima esperada:</t>
  </si>
  <si>
    <t xml:space="preserve"> Los productos deberan ser nuevos, sin uso, libre de defectos en el diseño, materiales o de fabricacion, corriendo ademas los gastos de flete, acarreo, carga, descarga y seguro por cuenta del adjudicatario.</t>
  </si>
  <si>
    <r>
      <t>Mantenimiento:</t>
    </r>
    <r>
      <rPr>
        <sz val="10"/>
        <rFont val="Times New Roman"/>
        <family val="1"/>
      </rPr>
      <t xml:space="preserve"> 45 días habiles</t>
    </r>
  </si>
  <si>
    <t>Mínima de doce (12) meses a computarse a partir de la fecha de fabricación de los bienes.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</si>
</sst>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quot;$&quot;\ * #,##0.00_-;\-&quot;$&quot;\ * #,##0.00_-;_-&quot;$&quot;\ * &quot;-&quot;??_-;_-@_-"/>
    <numFmt numFmtId="43" formatCode="_-* #,##0.00_-;\-* #,##0.00_-;_-* &quot;-&quot;??_-;_-@_-"/>
    <numFmt numFmtId="164" formatCode="[$$-2C0A]\ #,##0.00;[$$-2C0A]&quot; -&quot;#,##0.00"/>
    <numFmt numFmtId="165" formatCode="[$$-2C0A]\ #,##0.00"/>
    <numFmt numFmtId="166" formatCode="&quot;$&quot;\ #,##0.00"/>
    <numFmt numFmtId="167" formatCode="dd\-mm\-yy;@"/>
    <numFmt numFmtId="168" formatCode="_(\$* #,##0.00_);_(\$* \(#,##0.00\);_(\$* \-??_);_(@_)"/>
  </numFmts>
  <fonts count="35" x14ac:knownFonts="1">
    <font>
      <sz val="11"/>
      <color theme="1"/>
      <name val="Calibri"/>
      <family val="2"/>
      <scheme val="minor"/>
    </font>
    <font>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sz val="11"/>
      <color theme="1"/>
      <name val="Calibri"/>
      <family val="2"/>
    </font>
    <font>
      <b/>
      <sz val="11"/>
      <color theme="1"/>
      <name val="Calibri"/>
      <family val="2"/>
      <scheme val="minor"/>
    </font>
    <font>
      <sz val="11"/>
      <color theme="0"/>
      <name val="Calibri"/>
      <family val="2"/>
      <scheme val="minor"/>
    </font>
    <font>
      <b/>
      <u/>
      <sz val="12"/>
      <name val="Times New Roman"/>
      <family val="1"/>
      <charset val="1"/>
    </font>
    <font>
      <b/>
      <sz val="11"/>
      <name val="Times New Roman"/>
      <family val="1"/>
    </font>
    <font>
      <b/>
      <u/>
      <sz val="11"/>
      <name val="Times New Roman"/>
      <family val="1"/>
      <charset val="1"/>
    </font>
    <font>
      <sz val="11"/>
      <name val="Times New Roman"/>
      <family val="1"/>
      <charset val="1"/>
    </font>
    <font>
      <b/>
      <sz val="11"/>
      <name val="Times New Roman"/>
      <family val="1"/>
      <charset val="1"/>
    </font>
    <font>
      <sz val="11"/>
      <color theme="1"/>
      <name val="Times New Roman"/>
      <family val="1"/>
      <charset val="1"/>
    </font>
    <font>
      <b/>
      <sz val="11"/>
      <color theme="1"/>
      <name val="Times New Roman"/>
      <family val="1"/>
      <charset val="1"/>
    </font>
    <font>
      <sz val="10"/>
      <name val="Arial"/>
      <family val="2"/>
    </font>
    <font>
      <sz val="11"/>
      <color rgb="FF000000"/>
      <name val="Times New Roman"/>
      <family val="1"/>
    </font>
    <font>
      <sz val="11"/>
      <name val="Calibri"/>
      <family val="2"/>
    </font>
    <font>
      <b/>
      <sz val="9"/>
      <color theme="1"/>
      <name val="Times New Roman"/>
      <family val="1"/>
    </font>
    <font>
      <b/>
      <u/>
      <sz val="10"/>
      <name val="Arial"/>
      <family val="2"/>
    </font>
    <font>
      <b/>
      <u/>
      <sz val="11"/>
      <name val="Times New Roman"/>
      <family val="1"/>
    </font>
    <font>
      <b/>
      <sz val="11"/>
      <color theme="1" tint="4.9989318521683403E-2"/>
      <name val="Times New Roman"/>
      <family val="1"/>
    </font>
    <font>
      <sz val="11"/>
      <color theme="1" tint="4.9989318521683403E-2"/>
      <name val="Times New Roman"/>
      <family val="1"/>
    </font>
    <font>
      <b/>
      <sz val="9"/>
      <name val="Times New Roman"/>
      <family val="1"/>
    </font>
    <font>
      <sz val="10"/>
      <name val="Arial"/>
      <family val="2"/>
      <charset val="1"/>
    </font>
    <font>
      <sz val="9"/>
      <color theme="1"/>
      <name val="Times New Roman"/>
      <family val="1"/>
    </font>
    <font>
      <sz val="9"/>
      <color theme="0"/>
      <name val="Arial"/>
      <family val="2"/>
    </font>
    <font>
      <sz val="10"/>
      <color theme="0"/>
      <name val="Times New Roman"/>
      <family val="1"/>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48">
    <border>
      <left/>
      <right/>
      <top/>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right/>
      <top/>
      <bottom style="thin">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thin">
        <color indexed="64"/>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168" fontId="31" fillId="0" borderId="0" applyBorder="0" applyProtection="0"/>
  </cellStyleXfs>
  <cellXfs count="143">
    <xf numFmtId="0" fontId="0" fillId="0" borderId="0" xfId="0"/>
    <xf numFmtId="0" fontId="2" fillId="0" borderId="0" xfId="0" applyFont="1"/>
    <xf numFmtId="0" fontId="4" fillId="0" borderId="0" xfId="0" applyFont="1" applyAlignment="1">
      <alignment horizontal="center" vertical="center"/>
    </xf>
    <xf numFmtId="0" fontId="6" fillId="0" borderId="0" xfId="0" applyFont="1" applyAlignment="1">
      <alignment horizontal="left" wrapText="1"/>
    </xf>
    <xf numFmtId="0" fontId="7" fillId="2" borderId="0" xfId="0" applyFont="1" applyFill="1" applyAlignment="1">
      <alignment horizontal="center" vertical="center" wrapText="1"/>
    </xf>
    <xf numFmtId="0" fontId="8" fillId="0" borderId="2" xfId="0" applyFont="1" applyBorder="1"/>
    <xf numFmtId="0" fontId="8" fillId="0" borderId="3" xfId="0" applyFont="1" applyBorder="1" applyAlignment="1">
      <alignment horizontal="left" indent="3"/>
    </xf>
    <xf numFmtId="0" fontId="2" fillId="0" borderId="3" xfId="0" applyFont="1" applyBorder="1" applyAlignment="1">
      <alignment horizontal="left" indent="3"/>
    </xf>
    <xf numFmtId="0" fontId="2" fillId="0" borderId="4" xfId="0" applyFont="1" applyBorder="1" applyAlignment="1">
      <alignment horizontal="left" indent="3"/>
    </xf>
    <xf numFmtId="0" fontId="9" fillId="2" borderId="0" xfId="0" applyFont="1" applyFill="1" applyAlignment="1">
      <alignment horizontal="left" wrapText="1" indent="1"/>
    </xf>
    <xf numFmtId="0" fontId="6" fillId="0" borderId="0" xfId="0" applyFont="1" applyAlignment="1">
      <alignment horizontal="center" wrapText="1"/>
    </xf>
    <xf numFmtId="0" fontId="0" fillId="0" borderId="0" xfId="0" applyAlignment="1">
      <alignment horizontal="center" vertical="center" wrapText="1"/>
    </xf>
    <xf numFmtId="0" fontId="2" fillId="0" borderId="1" xfId="0" applyFont="1" applyBorder="1"/>
    <xf numFmtId="0" fontId="2" fillId="0" borderId="5" xfId="0" applyFont="1" applyBorder="1"/>
    <xf numFmtId="0" fontId="11" fillId="3" borderId="0" xfId="0" applyFont="1" applyFill="1" applyAlignment="1">
      <alignment horizontal="left" wrapText="1"/>
    </xf>
    <xf numFmtId="0" fontId="0" fillId="0" borderId="0" xfId="0" applyAlignment="1">
      <alignment horizontal="left" vertical="center" wrapText="1"/>
    </xf>
    <xf numFmtId="0" fontId="2" fillId="0" borderId="6" xfId="0" applyFont="1" applyBorder="1"/>
    <xf numFmtId="0" fontId="2" fillId="0" borderId="7" xfId="0" applyFont="1" applyBorder="1"/>
    <xf numFmtId="0" fontId="2" fillId="0" borderId="7" xfId="0" applyFont="1" applyBorder="1" applyAlignment="1">
      <alignment horizontal="center" wrapText="1"/>
    </xf>
    <xf numFmtId="0" fontId="2" fillId="0" borderId="8" xfId="0" applyFont="1" applyBorder="1"/>
    <xf numFmtId="164" fontId="4" fillId="2" borderId="0" xfId="1" applyNumberFormat="1" applyFont="1" applyFill="1" applyBorder="1" applyAlignment="1" applyProtection="1">
      <alignment horizontal="right" vertical="center" wrapText="1"/>
    </xf>
    <xf numFmtId="0" fontId="7" fillId="0" borderId="0" xfId="0" applyFont="1" applyBorder="1" applyAlignment="1">
      <alignment horizontal="center" vertical="center" wrapText="1"/>
    </xf>
    <xf numFmtId="0" fontId="7" fillId="0" borderId="0"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3" fillId="0" borderId="10" xfId="0" applyFont="1" applyBorder="1" applyAlignment="1">
      <alignment horizontal="center" vertical="center" wrapText="1"/>
    </xf>
    <xf numFmtId="0" fontId="4" fillId="0" borderId="9" xfId="0" applyFont="1" applyFill="1" applyBorder="1" applyAlignment="1">
      <alignment horizontal="center" vertical="center"/>
    </xf>
    <xf numFmtId="0" fontId="7" fillId="0" borderId="9" xfId="0" applyFont="1" applyFill="1" applyBorder="1" applyAlignment="1">
      <alignment horizontal="center" vertical="center" wrapText="1"/>
    </xf>
    <xf numFmtId="164" fontId="4" fillId="0" borderId="9" xfId="1" applyNumberFormat="1" applyFont="1" applyFill="1" applyBorder="1" applyAlignment="1" applyProtection="1">
      <alignment horizontal="center" vertical="center" wrapText="1"/>
    </xf>
    <xf numFmtId="0" fontId="0" fillId="0" borderId="9" xfId="0" applyFill="1" applyBorder="1"/>
    <xf numFmtId="0" fontId="12" fillId="0" borderId="9" xfId="0" applyFont="1" applyFill="1" applyBorder="1"/>
    <xf numFmtId="0" fontId="2" fillId="0" borderId="0" xfId="0" applyFont="1" applyBorder="1"/>
    <xf numFmtId="0" fontId="2" fillId="0" borderId="0" xfId="0" applyFont="1" applyBorder="1" applyAlignment="1">
      <alignment horizontal="center" wrapText="1"/>
    </xf>
    <xf numFmtId="0" fontId="3" fillId="0" borderId="9" xfId="0" applyFont="1" applyBorder="1" applyAlignment="1">
      <alignment horizontal="center" vertical="center" wrapText="1"/>
    </xf>
    <xf numFmtId="0" fontId="19" fillId="0" borderId="9" xfId="0" applyFont="1" applyBorder="1" applyAlignment="1">
      <alignment horizontal="center" vertical="center" wrapText="1"/>
    </xf>
    <xf numFmtId="0" fontId="22" fillId="0" borderId="0" xfId="0" applyFont="1"/>
    <xf numFmtId="0" fontId="23" fillId="0" borderId="9" xfId="0" applyFont="1" applyBorder="1" applyAlignment="1">
      <alignment horizontal="center" vertical="center" wrapText="1"/>
    </xf>
    <xf numFmtId="165" fontId="14" fillId="0" borderId="0" xfId="0" applyNumberFormat="1" applyFont="1"/>
    <xf numFmtId="0" fontId="22" fillId="0" borderId="0" xfId="0" applyFont="1" applyAlignment="1">
      <alignment horizontal="center" vertical="center"/>
    </xf>
    <xf numFmtId="165" fontId="22" fillId="0" borderId="0" xfId="0" applyNumberFormat="1" applyFont="1" applyAlignment="1">
      <alignment horizontal="center" vertical="center"/>
    </xf>
    <xf numFmtId="0" fontId="4" fillId="0" borderId="9" xfId="0" applyFont="1" applyBorder="1" applyAlignment="1">
      <alignment horizontal="center" vertical="center"/>
    </xf>
    <xf numFmtId="165" fontId="0" fillId="0" borderId="9" xfId="0" applyNumberFormat="1" applyBorder="1"/>
    <xf numFmtId="43" fontId="0" fillId="0" borderId="0" xfId="0" applyNumberFormat="1"/>
    <xf numFmtId="0" fontId="26" fillId="0" borderId="0" xfId="0" applyFont="1"/>
    <xf numFmtId="166" fontId="26" fillId="0" borderId="0" xfId="0" applyNumberFormat="1" applyFont="1"/>
    <xf numFmtId="0" fontId="16" fillId="0" borderId="11" xfId="0" applyFont="1" applyFill="1" applyBorder="1" applyAlignment="1">
      <alignment horizontal="left" vertical="center"/>
    </xf>
    <xf numFmtId="0" fontId="17" fillId="0" borderId="3" xfId="0" applyFont="1" applyFill="1" applyBorder="1" applyAlignment="1">
      <alignment vertical="center"/>
    </xf>
    <xf numFmtId="0" fontId="17" fillId="0" borderId="0" xfId="0" applyFont="1" applyFill="1" applyBorder="1" applyAlignment="1">
      <alignment vertical="center"/>
    </xf>
    <xf numFmtId="0" fontId="17" fillId="0" borderId="7" xfId="0" applyFont="1" applyFill="1" applyBorder="1" applyAlignment="1">
      <alignment vertical="center"/>
    </xf>
    <xf numFmtId="3" fontId="16" fillId="0" borderId="1" xfId="0" applyNumberFormat="1" applyFont="1" applyBorder="1"/>
    <xf numFmtId="167" fontId="10" fillId="0" borderId="1" xfId="0" applyNumberFormat="1" applyFont="1" applyBorder="1" applyAlignment="1">
      <alignment horizontal="left"/>
    </xf>
    <xf numFmtId="0" fontId="10" fillId="0" borderId="1" xfId="0" applyFont="1" applyBorder="1"/>
    <xf numFmtId="0" fontId="10" fillId="0" borderId="3" xfId="0" applyFont="1" applyBorder="1"/>
    <xf numFmtId="0" fontId="10" fillId="0" borderId="0" xfId="0" applyFont="1"/>
    <xf numFmtId="0" fontId="10" fillId="0" borderId="0" xfId="0" applyFont="1" applyAlignment="1">
      <alignment horizontal="left"/>
    </xf>
    <xf numFmtId="167" fontId="10" fillId="0" borderId="0" xfId="0" applyNumberFormat="1" applyFont="1" applyAlignment="1">
      <alignment horizontal="left"/>
    </xf>
    <xf numFmtId="0" fontId="10" fillId="0" borderId="7" xfId="0" applyFont="1" applyBorder="1"/>
    <xf numFmtId="0" fontId="10" fillId="0" borderId="23" xfId="0" applyFont="1" applyBorder="1"/>
    <xf numFmtId="0" fontId="10" fillId="0" borderId="24" xfId="0" applyFont="1" applyBorder="1"/>
    <xf numFmtId="0" fontId="10" fillId="0" borderId="24" xfId="0" applyFont="1" applyBorder="1" applyAlignment="1">
      <alignment horizontal="left"/>
    </xf>
    <xf numFmtId="0" fontId="10" fillId="0" borderId="25" xfId="0" applyFont="1" applyBorder="1"/>
    <xf numFmtId="0" fontId="30" fillId="0" borderId="28" xfId="0" applyFont="1" applyBorder="1" applyAlignment="1">
      <alignment vertical="center"/>
    </xf>
    <xf numFmtId="0" fontId="30" fillId="0" borderId="29" xfId="0" applyFont="1" applyBorder="1" applyAlignment="1">
      <alignment vertical="center"/>
    </xf>
    <xf numFmtId="0" fontId="30" fillId="0" borderId="30" xfId="0" applyFont="1" applyBorder="1" applyAlignment="1">
      <alignment vertical="center"/>
    </xf>
    <xf numFmtId="0" fontId="30" fillId="0" borderId="31" xfId="0" applyFont="1" applyBorder="1" applyAlignment="1">
      <alignment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4" fillId="0" borderId="36" xfId="0" applyFont="1" applyBorder="1" applyAlignment="1">
      <alignment horizontal="center" vertical="center"/>
    </xf>
    <xf numFmtId="164" fontId="4" fillId="0" borderId="39" xfId="2" applyNumberFormat="1" applyFont="1" applyBorder="1" applyAlignment="1" applyProtection="1">
      <alignment horizontal="center" vertical="center"/>
    </xf>
    <xf numFmtId="0" fontId="10" fillId="0" borderId="32" xfId="0" applyFont="1" applyBorder="1" applyAlignment="1">
      <alignment horizontal="center" vertical="center"/>
    </xf>
    <xf numFmtId="0" fontId="10" fillId="0" borderId="33" xfId="0" applyFont="1" applyBorder="1" applyAlignment="1">
      <alignment horizontal="center" vertical="center"/>
    </xf>
    <xf numFmtId="0" fontId="10" fillId="0" borderId="35" xfId="0" applyFont="1" applyBorder="1" applyAlignment="1">
      <alignment horizontal="center" vertical="center"/>
    </xf>
    <xf numFmtId="0" fontId="10" fillId="0" borderId="36" xfId="0" applyFont="1" applyBorder="1" applyAlignment="1">
      <alignment horizontal="center" vertical="center"/>
    </xf>
    <xf numFmtId="164" fontId="10" fillId="0" borderId="39" xfId="2" applyNumberFormat="1" applyFont="1" applyBorder="1" applyAlignment="1" applyProtection="1">
      <alignment horizontal="center" vertical="center"/>
    </xf>
    <xf numFmtId="0" fontId="10" fillId="0" borderId="40" xfId="0" applyFont="1" applyBorder="1" applyAlignment="1">
      <alignment horizontal="center" vertical="center"/>
    </xf>
    <xf numFmtId="0" fontId="10" fillId="0" borderId="41" xfId="0" applyFont="1" applyBorder="1" applyAlignment="1">
      <alignment horizontal="center" vertical="center"/>
    </xf>
    <xf numFmtId="0" fontId="10" fillId="0" borderId="42" xfId="0" applyFont="1" applyBorder="1" applyAlignment="1">
      <alignment horizontal="center" vertical="center"/>
    </xf>
    <xf numFmtId="164" fontId="10" fillId="0" borderId="43" xfId="2" applyNumberFormat="1" applyFont="1" applyBorder="1" applyAlignment="1" applyProtection="1">
      <alignment horizontal="center" vertical="center"/>
    </xf>
    <xf numFmtId="164" fontId="30" fillId="0" borderId="45" xfId="0" applyNumberFormat="1" applyFont="1" applyBorder="1" applyAlignment="1">
      <alignment horizontal="center" vertical="center"/>
    </xf>
    <xf numFmtId="0" fontId="3" fillId="0" borderId="0" xfId="0" applyFont="1" applyAlignment="1">
      <alignment horizontal="left" vertical="center" wrapText="1"/>
    </xf>
    <xf numFmtId="0" fontId="5" fillId="0" borderId="0" xfId="0" applyFont="1" applyAlignment="1">
      <alignment horizontal="center"/>
    </xf>
    <xf numFmtId="0" fontId="9" fillId="2" borderId="0" xfId="0" applyFont="1" applyFill="1" applyAlignment="1">
      <alignment horizontal="left" wrapText="1" indent="1"/>
    </xf>
    <xf numFmtId="0" fontId="2" fillId="0" borderId="0" xfId="0" applyFont="1" applyFill="1" applyBorder="1" applyAlignment="1">
      <alignment horizontal="center" wrapText="1"/>
    </xf>
    <xf numFmtId="0" fontId="2" fillId="0" borderId="7" xfId="0" applyFont="1" applyFill="1" applyBorder="1" applyAlignment="1">
      <alignment horizontal="center" wrapText="1"/>
    </xf>
    <xf numFmtId="0" fontId="18" fillId="0" borderId="11" xfId="0" applyFont="1" applyFill="1" applyBorder="1" applyAlignment="1">
      <alignment horizontal="left" vertical="center" wrapText="1"/>
    </xf>
    <xf numFmtId="0" fontId="19" fillId="0" borderId="11" xfId="0" applyFont="1" applyFill="1" applyBorder="1" applyAlignment="1">
      <alignment horizontal="left" vertical="center" wrapText="1"/>
    </xf>
    <xf numFmtId="0" fontId="15" fillId="0" borderId="2"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6" xfId="0" applyFont="1" applyFill="1" applyBorder="1" applyAlignment="1">
      <alignment horizontal="center" vertical="center" wrapText="1"/>
    </xf>
    <xf numFmtId="0" fontId="19" fillId="0" borderId="11" xfId="0" applyFont="1" applyFill="1" applyBorder="1" applyAlignment="1">
      <alignment vertical="center" wrapText="1"/>
    </xf>
    <xf numFmtId="0" fontId="18" fillId="0" borderId="2" xfId="0" applyFont="1" applyBorder="1" applyAlignment="1">
      <alignment horizontal="left" vertical="center"/>
    </xf>
    <xf numFmtId="0" fontId="18" fillId="0" borderId="1" xfId="0" applyFont="1" applyBorder="1" applyAlignment="1">
      <alignment horizontal="left" vertical="center"/>
    </xf>
    <xf numFmtId="0" fontId="18" fillId="0" borderId="6" xfId="0" applyFont="1" applyBorder="1" applyAlignment="1">
      <alignment horizontal="left" vertical="center"/>
    </xf>
    <xf numFmtId="0" fontId="13" fillId="0" borderId="9" xfId="0" applyFont="1" applyBorder="1" applyAlignment="1">
      <alignment horizontal="left" vertical="top" wrapText="1"/>
    </xf>
    <xf numFmtId="0" fontId="20" fillId="0" borderId="11" xfId="0" applyFont="1" applyFill="1" applyBorder="1" applyAlignment="1">
      <alignment horizontal="left" vertical="center" wrapText="1"/>
    </xf>
    <xf numFmtId="0" fontId="21" fillId="0" borderId="11" xfId="0" applyFont="1" applyFill="1" applyBorder="1" applyAlignment="1">
      <alignment vertical="center" wrapText="1"/>
    </xf>
    <xf numFmtId="0" fontId="10" fillId="0" borderId="16" xfId="0" applyFont="1" applyFill="1" applyBorder="1" applyAlignment="1">
      <alignment horizontal="left" vertical="center" wrapText="1"/>
    </xf>
    <xf numFmtId="0" fontId="10" fillId="0" borderId="17" xfId="0" applyFont="1" applyFill="1" applyBorder="1" applyAlignment="1"/>
    <xf numFmtId="0" fontId="10" fillId="0" borderId="13" xfId="0" applyFont="1" applyBorder="1" applyAlignment="1">
      <alignment horizontal="center"/>
    </xf>
    <xf numFmtId="0" fontId="16" fillId="0" borderId="14" xfId="0" applyFont="1" applyBorder="1" applyAlignment="1">
      <alignment horizontal="center"/>
    </xf>
    <xf numFmtId="0" fontId="16" fillId="0" borderId="15" xfId="0" applyFont="1" applyBorder="1" applyAlignment="1">
      <alignment horizontal="center" vertical="center" wrapText="1"/>
    </xf>
    <xf numFmtId="0" fontId="10" fillId="0" borderId="16" xfId="0" applyFont="1" applyFill="1" applyBorder="1"/>
    <xf numFmtId="0" fontId="4" fillId="0" borderId="37" xfId="0" applyFont="1" applyBorder="1" applyAlignment="1">
      <alignment horizontal="left" vertical="center" wrapText="1"/>
    </xf>
    <xf numFmtId="0" fontId="4" fillId="0" borderId="38" xfId="0" applyFont="1" applyBorder="1" applyAlignment="1">
      <alignment horizontal="left" vertical="center" wrapText="1"/>
    </xf>
    <xf numFmtId="0" fontId="10" fillId="3" borderId="18" xfId="0" applyFont="1" applyFill="1" applyBorder="1" applyAlignment="1">
      <alignment horizontal="left" vertical="center"/>
    </xf>
    <xf numFmtId="0" fontId="10" fillId="3" borderId="19" xfId="0" applyFont="1" applyFill="1" applyBorder="1" applyAlignment="1">
      <alignment horizontal="left" vertical="center"/>
    </xf>
    <xf numFmtId="0" fontId="10" fillId="3" borderId="20" xfId="0" applyFont="1" applyFill="1" applyBorder="1" applyAlignment="1">
      <alignment horizontal="left" vertical="center"/>
    </xf>
    <xf numFmtId="0" fontId="10" fillId="3" borderId="17" xfId="0" applyFont="1" applyFill="1" applyBorder="1" applyAlignment="1"/>
    <xf numFmtId="0" fontId="10" fillId="0" borderId="18" xfId="0" applyFont="1" applyBorder="1" applyAlignment="1">
      <alignment horizontal="left" vertical="center"/>
    </xf>
    <xf numFmtId="0" fontId="10" fillId="0" borderId="19" xfId="0" applyFont="1" applyBorder="1" applyAlignment="1">
      <alignment horizontal="left" vertical="center"/>
    </xf>
    <xf numFmtId="0" fontId="10" fillId="0" borderId="20" xfId="0" applyFont="1" applyBorder="1" applyAlignment="1">
      <alignment horizontal="left" vertical="center"/>
    </xf>
    <xf numFmtId="0" fontId="10" fillId="0" borderId="17" xfId="0" applyFont="1" applyBorder="1" applyAlignment="1"/>
    <xf numFmtId="0" fontId="27" fillId="0" borderId="21" xfId="0" applyFont="1" applyBorder="1" applyAlignment="1">
      <alignment horizontal="left"/>
    </xf>
    <xf numFmtId="0" fontId="10" fillId="0" borderId="22" xfId="0" applyFont="1" applyBorder="1" applyAlignment="1">
      <alignment horizontal="left"/>
    </xf>
    <xf numFmtId="0" fontId="10" fillId="0" borderId="3" xfId="0" applyNumberFormat="1" applyFont="1" applyBorder="1" applyAlignment="1">
      <alignment horizontal="justify" vertical="center" wrapText="1"/>
    </xf>
    <xf numFmtId="0" fontId="10" fillId="0" borderId="0" xfId="0" applyNumberFormat="1" applyFont="1" applyBorder="1" applyAlignment="1">
      <alignment horizontal="justify" vertical="center" wrapText="1"/>
    </xf>
    <xf numFmtId="0" fontId="10" fillId="0" borderId="7" xfId="0" applyNumberFormat="1" applyFont="1" applyBorder="1" applyAlignment="1">
      <alignment horizontal="justify" vertical="center" wrapText="1"/>
    </xf>
    <xf numFmtId="0" fontId="30" fillId="0" borderId="22" xfId="0" applyFont="1" applyBorder="1" applyAlignment="1">
      <alignment horizontal="center" vertical="center"/>
    </xf>
    <xf numFmtId="0" fontId="30" fillId="0" borderId="16" xfId="0" applyFont="1" applyBorder="1" applyAlignment="1">
      <alignment horizontal="center" vertical="center"/>
    </xf>
    <xf numFmtId="0" fontId="30" fillId="0" borderId="26" xfId="0" applyFont="1" applyBorder="1" applyAlignment="1">
      <alignment horizontal="center" vertical="center" wrapText="1"/>
    </xf>
    <xf numFmtId="0" fontId="30" fillId="0" borderId="27" xfId="0" applyFont="1" applyBorder="1" applyAlignment="1">
      <alignment horizontal="center" vertical="center"/>
    </xf>
    <xf numFmtId="0" fontId="30" fillId="0" borderId="11" xfId="0" applyFont="1" applyBorder="1" applyAlignment="1">
      <alignment vertical="center" wrapText="1"/>
    </xf>
    <xf numFmtId="0" fontId="4" fillId="0" borderId="27" xfId="0" applyFont="1" applyBorder="1" applyAlignment="1">
      <alignment vertical="center" wrapText="1"/>
    </xf>
    <xf numFmtId="0" fontId="4" fillId="0" borderId="46" xfId="0" applyFont="1" applyBorder="1" applyAlignment="1">
      <alignment horizontal="left" vertical="center" wrapText="1" indent="1"/>
    </xf>
    <xf numFmtId="0" fontId="10" fillId="0" borderId="36" xfId="0" applyFont="1" applyBorder="1" applyAlignment="1">
      <alignment horizontal="center"/>
    </xf>
    <xf numFmtId="0" fontId="10" fillId="0" borderId="36" xfId="0" applyFont="1" applyBorder="1" applyAlignment="1">
      <alignment horizontal="center" vertical="center"/>
    </xf>
    <xf numFmtId="0" fontId="10" fillId="0" borderId="41" xfId="0" applyFont="1" applyBorder="1" applyAlignment="1">
      <alignment horizontal="left" vertical="center"/>
    </xf>
    <xf numFmtId="0" fontId="25" fillId="0" borderId="44" xfId="0" applyFont="1" applyBorder="1" applyAlignment="1">
      <alignment horizontal="left" vertical="center" wrapText="1"/>
    </xf>
    <xf numFmtId="0" fontId="4" fillId="0" borderId="22" xfId="0" applyFont="1" applyBorder="1"/>
    <xf numFmtId="0" fontId="24" fillId="0" borderId="9" xfId="0" applyFont="1" applyFill="1" applyBorder="1" applyAlignment="1">
      <alignment horizontal="center" vertical="center"/>
    </xf>
    <xf numFmtId="0" fontId="24" fillId="0" borderId="9" xfId="0" applyFont="1" applyFill="1" applyBorder="1" applyAlignment="1">
      <alignment vertical="center" wrapText="1"/>
    </xf>
    <xf numFmtId="0" fontId="6" fillId="0" borderId="9" xfId="0" applyFont="1" applyFill="1" applyBorder="1" applyAlignment="1">
      <alignment horizontal="center" vertical="center" wrapText="1"/>
    </xf>
    <xf numFmtId="0" fontId="32" fillId="0" borderId="9" xfId="0" applyFont="1" applyFill="1" applyBorder="1" applyAlignment="1">
      <alignment horizontal="center" vertical="center"/>
    </xf>
    <xf numFmtId="0" fontId="3" fillId="0" borderId="47" xfId="0" applyFont="1" applyBorder="1" applyAlignment="1">
      <alignment horizontal="center" vertical="center" wrapText="1"/>
    </xf>
    <xf numFmtId="164" fontId="4" fillId="0" borderId="9" xfId="1" applyNumberFormat="1" applyFont="1" applyFill="1" applyBorder="1" applyAlignment="1" applyProtection="1">
      <alignment horizontal="right" vertical="center" wrapText="1"/>
    </xf>
    <xf numFmtId="0" fontId="14" fillId="0" borderId="0" xfId="0" applyFont="1"/>
    <xf numFmtId="165" fontId="33" fillId="0" borderId="0" xfId="0" applyNumberFormat="1" applyFont="1" applyAlignment="1">
      <alignment horizontal="center" vertical="center"/>
    </xf>
    <xf numFmtId="165" fontId="33" fillId="0" borderId="12" xfId="0" applyNumberFormat="1" applyFont="1" applyBorder="1" applyAlignment="1">
      <alignment horizontal="center" vertical="center"/>
    </xf>
    <xf numFmtId="165" fontId="34" fillId="0" borderId="0" xfId="0" applyNumberFormat="1" applyFont="1"/>
    <xf numFmtId="0" fontId="8" fillId="0" borderId="4" xfId="0" applyFont="1" applyBorder="1" applyAlignment="1">
      <alignment horizontal="left" indent="3"/>
    </xf>
    <xf numFmtId="0" fontId="2" fillId="0" borderId="5" xfId="0" applyFont="1" applyFill="1" applyBorder="1"/>
    <xf numFmtId="0" fontId="2" fillId="0" borderId="8" xfId="0" applyFont="1" applyFill="1" applyBorder="1"/>
  </cellXfs>
  <cellStyles count="3">
    <cellStyle name="Moneda" xfId="1" builtinId="4"/>
    <cellStyle name="Moneda_AUTORIZACION Y NOTA DE PEDIDO"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tabSelected="1" topLeftCell="A45" workbookViewId="0">
      <selection activeCell="C20" sqref="C20:E20"/>
    </sheetView>
  </sheetViews>
  <sheetFormatPr baseColWidth="10" defaultRowHeight="15" x14ac:dyDescent="0.25"/>
  <cols>
    <col min="1" max="1" width="4.5703125" customWidth="1"/>
    <col min="2" max="2" width="15" customWidth="1"/>
    <col min="3" max="3" width="29.85546875" customWidth="1"/>
    <col min="4" max="4" width="8.42578125" customWidth="1"/>
    <col min="5" max="5" width="64.7109375" customWidth="1"/>
    <col min="7" max="7" width="12.7109375" customWidth="1"/>
    <col min="8" max="8" width="13.85546875" customWidth="1"/>
    <col min="9" max="9" width="17.5703125" customWidth="1"/>
  </cols>
  <sheetData>
    <row r="1" spans="1:9" ht="27" x14ac:dyDescent="0.35">
      <c r="A1" s="1"/>
      <c r="B1" s="81" t="s">
        <v>5</v>
      </c>
      <c r="C1" s="81"/>
      <c r="D1" s="81"/>
      <c r="E1" s="81"/>
      <c r="F1" s="81"/>
      <c r="G1" s="81"/>
      <c r="H1" s="81"/>
      <c r="I1" s="1"/>
    </row>
    <row r="2" spans="1:9" x14ac:dyDescent="0.25">
      <c r="A2" s="1"/>
      <c r="B2" s="1"/>
      <c r="C2" s="1"/>
      <c r="D2" s="1"/>
      <c r="E2" s="1"/>
      <c r="F2" s="1"/>
      <c r="G2" s="1"/>
      <c r="H2" s="1"/>
      <c r="I2" s="1"/>
    </row>
    <row r="3" spans="1:9" ht="15.75" x14ac:dyDescent="0.25">
      <c r="A3" s="80" t="s">
        <v>0</v>
      </c>
      <c r="B3" s="80"/>
      <c r="C3" s="82" t="s">
        <v>10</v>
      </c>
      <c r="D3" s="82"/>
      <c r="E3" s="82"/>
      <c r="F3" s="3"/>
      <c r="G3" s="10"/>
      <c r="H3" s="3"/>
      <c r="I3" s="1"/>
    </row>
    <row r="4" spans="1:9" ht="15.75" x14ac:dyDescent="0.25">
      <c r="A4" s="80" t="s">
        <v>1</v>
      </c>
      <c r="B4" s="80"/>
      <c r="C4" s="82" t="s">
        <v>11</v>
      </c>
      <c r="D4" s="82"/>
      <c r="E4" s="82"/>
      <c r="F4" s="3"/>
      <c r="G4" s="10"/>
      <c r="H4" s="3"/>
      <c r="I4" s="1"/>
    </row>
    <row r="5" spans="1:9" ht="15.75" x14ac:dyDescent="0.25">
      <c r="A5" s="80" t="s">
        <v>2</v>
      </c>
      <c r="B5" s="80"/>
      <c r="C5" s="9">
        <v>2022</v>
      </c>
      <c r="D5" s="14"/>
      <c r="E5" s="14"/>
      <c r="F5" s="3"/>
      <c r="G5" s="10"/>
      <c r="H5" s="3"/>
      <c r="I5" s="1"/>
    </row>
    <row r="6" spans="1:9" ht="15.75" x14ac:dyDescent="0.25">
      <c r="A6" s="80" t="s">
        <v>3</v>
      </c>
      <c r="B6" s="80"/>
      <c r="C6" s="9">
        <v>2</v>
      </c>
      <c r="D6" s="14"/>
      <c r="E6" s="14"/>
      <c r="F6" s="3"/>
      <c r="G6" s="10"/>
      <c r="H6" s="3"/>
      <c r="I6" s="1"/>
    </row>
    <row r="7" spans="1:9" ht="15.75" thickBot="1" x14ac:dyDescent="0.3">
      <c r="A7" s="1"/>
      <c r="B7" s="3"/>
      <c r="C7" s="10"/>
      <c r="D7" s="3"/>
      <c r="E7" s="3"/>
      <c r="F7" s="3"/>
      <c r="G7" s="10"/>
      <c r="H7" s="3"/>
      <c r="I7" s="1"/>
    </row>
    <row r="8" spans="1:9" ht="43.7" thickTop="1" x14ac:dyDescent="0.25">
      <c r="A8" s="24" t="s">
        <v>4</v>
      </c>
      <c r="B8" s="24" t="s">
        <v>6</v>
      </c>
      <c r="C8" s="24" t="s">
        <v>12</v>
      </c>
      <c r="D8" s="24" t="s">
        <v>13</v>
      </c>
      <c r="E8" s="24" t="s">
        <v>14</v>
      </c>
      <c r="F8" s="24" t="s">
        <v>15</v>
      </c>
      <c r="G8" s="24" t="s">
        <v>17</v>
      </c>
      <c r="H8" s="24" t="s">
        <v>18</v>
      </c>
      <c r="I8" s="24" t="s">
        <v>19</v>
      </c>
    </row>
    <row r="9" spans="1:9" s="28" customFormat="1" x14ac:dyDescent="0.25">
      <c r="A9" s="25">
        <v>1</v>
      </c>
      <c r="B9" s="29" t="s">
        <v>21</v>
      </c>
      <c r="C9" s="29" t="s">
        <v>22</v>
      </c>
      <c r="D9" s="26" t="s">
        <v>23</v>
      </c>
      <c r="E9" s="29" t="s">
        <v>25</v>
      </c>
      <c r="F9" s="26" t="s">
        <v>16</v>
      </c>
      <c r="G9" s="26">
        <v>25</v>
      </c>
      <c r="H9" s="27">
        <v>30000</v>
      </c>
      <c r="I9" s="27">
        <f>+G9*H9</f>
        <v>750000</v>
      </c>
    </row>
    <row r="10" spans="1:9" s="28" customFormat="1" x14ac:dyDescent="0.25">
      <c r="A10" s="25">
        <v>2</v>
      </c>
      <c r="B10" s="29" t="s">
        <v>24</v>
      </c>
      <c r="C10" s="29" t="s">
        <v>22</v>
      </c>
      <c r="D10" s="26" t="s">
        <v>23</v>
      </c>
      <c r="E10" s="29" t="s">
        <v>26</v>
      </c>
      <c r="F10" s="26" t="s">
        <v>16</v>
      </c>
      <c r="G10" s="26">
        <v>25</v>
      </c>
      <c r="H10" s="27">
        <v>14000</v>
      </c>
      <c r="I10" s="27">
        <f t="shared" ref="I10:I11" si="0">+G10*H10</f>
        <v>350000</v>
      </c>
    </row>
    <row r="11" spans="1:9" s="28" customFormat="1" x14ac:dyDescent="0.25">
      <c r="A11" s="25">
        <v>3</v>
      </c>
      <c r="B11" s="29" t="s">
        <v>27</v>
      </c>
      <c r="C11" s="29" t="s">
        <v>22</v>
      </c>
      <c r="D11" s="26" t="s">
        <v>23</v>
      </c>
      <c r="E11" s="29" t="s">
        <v>28</v>
      </c>
      <c r="F11" s="26" t="s">
        <v>16</v>
      </c>
      <c r="G11" s="26">
        <v>25</v>
      </c>
      <c r="H11" s="27">
        <v>16000</v>
      </c>
      <c r="I11" s="27">
        <f t="shared" si="0"/>
        <v>400000</v>
      </c>
    </row>
    <row r="12" spans="1:9" ht="15.75" thickBot="1" x14ac:dyDescent="0.3">
      <c r="A12" s="2"/>
      <c r="B12" s="23"/>
      <c r="C12" s="11"/>
      <c r="D12" s="22"/>
      <c r="E12" s="15"/>
      <c r="F12" s="4"/>
      <c r="G12" s="4"/>
      <c r="H12" s="20"/>
      <c r="I12" s="20"/>
    </row>
    <row r="13" spans="1:9" x14ac:dyDescent="0.25">
      <c r="A13" s="1"/>
      <c r="B13" s="5" t="s">
        <v>20</v>
      </c>
      <c r="C13" s="12"/>
      <c r="D13" s="12"/>
      <c r="E13" s="16"/>
      <c r="F13" s="1"/>
      <c r="G13" s="1"/>
      <c r="H13" s="1"/>
      <c r="I13" s="139">
        <f>+I9+I10+I11</f>
        <v>1500000</v>
      </c>
    </row>
    <row r="14" spans="1:9" x14ac:dyDescent="0.25">
      <c r="A14" s="1"/>
      <c r="B14" s="6" t="s">
        <v>7</v>
      </c>
      <c r="C14" s="30"/>
      <c r="D14" s="30"/>
      <c r="E14" s="17"/>
      <c r="F14" s="1"/>
      <c r="G14" s="1"/>
      <c r="H14" s="1"/>
      <c r="I14" s="1"/>
    </row>
    <row r="15" spans="1:9" ht="40.5" customHeight="1" x14ac:dyDescent="0.25">
      <c r="A15" s="1"/>
      <c r="B15" s="6"/>
      <c r="C15" s="83" t="s">
        <v>33</v>
      </c>
      <c r="D15" s="83"/>
      <c r="E15" s="84"/>
      <c r="F15" s="1"/>
      <c r="G15" s="1"/>
      <c r="H15" s="1"/>
      <c r="I15" s="1"/>
    </row>
    <row r="16" spans="1:9" x14ac:dyDescent="0.25">
      <c r="A16" s="1"/>
      <c r="B16" s="6" t="s">
        <v>8</v>
      </c>
      <c r="C16" s="30"/>
      <c r="D16" s="30"/>
      <c r="E16" s="17"/>
      <c r="F16" s="1"/>
      <c r="H16" s="1"/>
      <c r="I16" s="1"/>
    </row>
    <row r="17" spans="1:9" ht="85.5" customHeight="1" x14ac:dyDescent="0.25">
      <c r="A17" s="1"/>
      <c r="B17" s="7"/>
      <c r="C17" s="83" t="s">
        <v>74</v>
      </c>
      <c r="D17" s="83"/>
      <c r="E17" s="84"/>
      <c r="F17" s="1"/>
      <c r="G17" s="1"/>
      <c r="H17" s="1"/>
      <c r="I17" s="1"/>
    </row>
    <row r="18" spans="1:9" ht="13.5" customHeight="1" x14ac:dyDescent="0.25">
      <c r="A18" s="1"/>
      <c r="B18" s="7"/>
      <c r="C18" s="83"/>
      <c r="D18" s="83"/>
      <c r="E18" s="84"/>
      <c r="F18" s="1"/>
      <c r="G18" s="1"/>
      <c r="H18" s="1"/>
      <c r="I18" s="1"/>
    </row>
    <row r="19" spans="1:9" ht="25.5" customHeight="1" x14ac:dyDescent="0.25">
      <c r="A19" s="1"/>
      <c r="B19" s="6" t="s">
        <v>75</v>
      </c>
      <c r="C19" s="30"/>
      <c r="D19" s="30"/>
      <c r="E19" s="17"/>
      <c r="F19" s="1"/>
      <c r="G19" s="1"/>
      <c r="H19" s="1"/>
      <c r="I19" s="1"/>
    </row>
    <row r="20" spans="1:9" ht="38.25" customHeight="1" x14ac:dyDescent="0.25">
      <c r="A20" s="1"/>
      <c r="B20" s="7"/>
      <c r="C20" s="83" t="s">
        <v>76</v>
      </c>
      <c r="D20" s="83"/>
      <c r="E20" s="84"/>
      <c r="F20" s="1"/>
      <c r="G20" s="1"/>
      <c r="H20" s="1"/>
      <c r="I20" s="1"/>
    </row>
    <row r="21" spans="1:9" x14ac:dyDescent="0.25">
      <c r="A21" s="1"/>
      <c r="B21" s="6" t="s">
        <v>77</v>
      </c>
      <c r="C21" s="31"/>
      <c r="D21" s="31"/>
      <c r="E21" s="18"/>
      <c r="F21" s="1"/>
      <c r="G21" s="1"/>
      <c r="H21" s="1"/>
      <c r="I21" s="1"/>
    </row>
    <row r="22" spans="1:9" x14ac:dyDescent="0.25">
      <c r="A22" s="1"/>
      <c r="B22" s="6" t="s">
        <v>9</v>
      </c>
      <c r="C22" s="30" t="s">
        <v>78</v>
      </c>
      <c r="D22" s="30"/>
      <c r="E22" s="17"/>
      <c r="F22" s="1"/>
      <c r="G22" s="1"/>
      <c r="H22" s="1"/>
      <c r="I22" s="1"/>
    </row>
    <row r="23" spans="1:9" ht="15.75" thickBot="1" x14ac:dyDescent="0.3">
      <c r="A23" s="1"/>
      <c r="B23" s="140"/>
      <c r="C23" s="141"/>
      <c r="D23" s="141"/>
      <c r="E23" s="142"/>
      <c r="F23" s="1"/>
      <c r="G23" s="1"/>
      <c r="H23" s="1"/>
      <c r="I23" s="1"/>
    </row>
    <row r="24" spans="1:9" s="1" customFormat="1" ht="12.75" x14ac:dyDescent="0.2"/>
    <row r="25" spans="1:9" s="1" customFormat="1" ht="13.5" thickBot="1" x14ac:dyDescent="0.25"/>
    <row r="26" spans="1:9" x14ac:dyDescent="0.25">
      <c r="A26" s="1"/>
      <c r="B26" s="5" t="s">
        <v>29</v>
      </c>
      <c r="C26" s="12"/>
      <c r="D26" s="12"/>
      <c r="E26" s="16"/>
      <c r="F26" s="1"/>
      <c r="G26" s="1"/>
      <c r="H26" s="1"/>
      <c r="I26" s="1"/>
    </row>
    <row r="27" spans="1:9" x14ac:dyDescent="0.25">
      <c r="A27" s="1"/>
      <c r="B27" s="6" t="s">
        <v>7</v>
      </c>
      <c r="C27" s="30"/>
      <c r="D27" s="30"/>
      <c r="E27" s="17"/>
      <c r="F27" s="1"/>
      <c r="G27" s="1"/>
      <c r="H27" s="1"/>
      <c r="I27" s="1"/>
    </row>
    <row r="28" spans="1:9" ht="55.5" customHeight="1" x14ac:dyDescent="0.25">
      <c r="A28" s="1"/>
      <c r="B28" s="6"/>
      <c r="C28" s="83" t="s">
        <v>32</v>
      </c>
      <c r="D28" s="83"/>
      <c r="E28" s="84"/>
      <c r="F28" s="1"/>
      <c r="G28" s="1"/>
      <c r="H28" s="1"/>
      <c r="I28" s="1"/>
    </row>
    <row r="29" spans="1:9" x14ac:dyDescent="0.25">
      <c r="A29" s="1"/>
      <c r="B29" s="6" t="s">
        <v>8</v>
      </c>
      <c r="C29" s="30"/>
      <c r="D29" s="30"/>
      <c r="E29" s="17"/>
      <c r="F29" s="1"/>
      <c r="H29" s="1"/>
      <c r="I29" s="1"/>
    </row>
    <row r="30" spans="1:9" ht="84" customHeight="1" x14ac:dyDescent="0.25">
      <c r="A30" s="1"/>
      <c r="B30" s="7"/>
      <c r="C30" s="83" t="s">
        <v>74</v>
      </c>
      <c r="D30" s="83"/>
      <c r="E30" s="84"/>
      <c r="F30" s="1"/>
      <c r="G30" s="1"/>
      <c r="H30" s="1"/>
      <c r="I30" s="1"/>
    </row>
    <row r="31" spans="1:9" ht="13.5" customHeight="1" x14ac:dyDescent="0.25">
      <c r="A31" s="1"/>
      <c r="B31" s="7"/>
      <c r="C31" s="83"/>
      <c r="D31" s="83"/>
      <c r="E31" s="84"/>
      <c r="F31" s="1"/>
      <c r="G31" s="1"/>
      <c r="H31" s="1"/>
      <c r="I31" s="1"/>
    </row>
    <row r="32" spans="1:9" ht="25.5" customHeight="1" x14ac:dyDescent="0.25">
      <c r="A32" s="1"/>
      <c r="B32" s="6" t="s">
        <v>75</v>
      </c>
      <c r="C32" s="30"/>
      <c r="D32" s="30"/>
      <c r="E32" s="17"/>
      <c r="F32" s="1"/>
      <c r="G32" s="1"/>
      <c r="H32" s="1"/>
      <c r="I32" s="1"/>
    </row>
    <row r="33" spans="1:9" ht="38.25" customHeight="1" x14ac:dyDescent="0.25">
      <c r="A33" s="1"/>
      <c r="B33" s="7"/>
      <c r="C33" s="83" t="s">
        <v>76</v>
      </c>
      <c r="D33" s="83"/>
      <c r="E33" s="84"/>
      <c r="F33" s="1"/>
      <c r="G33" s="1"/>
      <c r="H33" s="1"/>
      <c r="I33" s="1"/>
    </row>
    <row r="34" spans="1:9" x14ac:dyDescent="0.25">
      <c r="A34" s="1"/>
      <c r="B34" s="6" t="s">
        <v>77</v>
      </c>
      <c r="C34" s="31"/>
      <c r="D34" s="31"/>
      <c r="E34" s="18"/>
      <c r="F34" s="1"/>
      <c r="G34" s="1"/>
      <c r="H34" s="1"/>
      <c r="I34" s="1"/>
    </row>
    <row r="35" spans="1:9" x14ac:dyDescent="0.25">
      <c r="A35" s="1"/>
      <c r="B35" s="6" t="s">
        <v>9</v>
      </c>
      <c r="C35" s="30" t="s">
        <v>78</v>
      </c>
      <c r="D35" s="30"/>
      <c r="E35" s="17"/>
      <c r="F35" s="1"/>
      <c r="G35" s="1"/>
      <c r="H35" s="1"/>
      <c r="I35" s="1"/>
    </row>
    <row r="36" spans="1:9" ht="15.75" thickBot="1" x14ac:dyDescent="0.3">
      <c r="A36" s="1"/>
      <c r="B36" s="140"/>
      <c r="C36" s="141"/>
      <c r="D36" s="141"/>
      <c r="E36" s="142"/>
      <c r="F36" s="1"/>
      <c r="G36" s="1"/>
      <c r="H36" s="1"/>
      <c r="I36" s="1"/>
    </row>
    <row r="37" spans="1:9" s="1" customFormat="1" ht="12.75" x14ac:dyDescent="0.2"/>
    <row r="38" spans="1:9" s="1" customFormat="1" ht="13.5" thickBot="1" x14ac:dyDescent="0.25"/>
    <row r="39" spans="1:9" x14ac:dyDescent="0.25">
      <c r="A39" s="1"/>
      <c r="B39" s="5" t="s">
        <v>30</v>
      </c>
      <c r="C39" s="12"/>
      <c r="D39" s="12"/>
      <c r="E39" s="16"/>
      <c r="F39" s="1"/>
      <c r="G39" s="1"/>
      <c r="H39" s="1"/>
      <c r="I39" s="1"/>
    </row>
    <row r="40" spans="1:9" x14ac:dyDescent="0.25">
      <c r="A40" s="1"/>
      <c r="B40" s="6" t="s">
        <v>7</v>
      </c>
      <c r="C40" s="30"/>
      <c r="D40" s="30"/>
      <c r="E40" s="17"/>
      <c r="F40" s="1"/>
      <c r="G40" s="1"/>
      <c r="H40" s="1"/>
      <c r="I40" s="1"/>
    </row>
    <row r="41" spans="1:9" ht="77.25" customHeight="1" x14ac:dyDescent="0.25">
      <c r="A41" s="1"/>
      <c r="B41" s="6"/>
      <c r="C41" s="83" t="s">
        <v>31</v>
      </c>
      <c r="D41" s="83"/>
      <c r="E41" s="84"/>
      <c r="F41" s="1"/>
      <c r="G41" s="1"/>
      <c r="H41" s="1"/>
      <c r="I41" s="1"/>
    </row>
    <row r="42" spans="1:9" x14ac:dyDescent="0.25">
      <c r="A42" s="1"/>
      <c r="B42" s="6" t="s">
        <v>8</v>
      </c>
      <c r="C42" s="30"/>
      <c r="D42" s="30"/>
      <c r="E42" s="17"/>
      <c r="F42" s="1"/>
      <c r="H42" s="1"/>
      <c r="I42" s="1"/>
    </row>
    <row r="43" spans="1:9" ht="84" customHeight="1" x14ac:dyDescent="0.25">
      <c r="A43" s="1"/>
      <c r="B43" s="7"/>
      <c r="C43" s="83" t="s">
        <v>74</v>
      </c>
      <c r="D43" s="83"/>
      <c r="E43" s="84"/>
      <c r="F43" s="1"/>
      <c r="G43" s="1"/>
      <c r="H43" s="1"/>
      <c r="I43" s="1"/>
    </row>
    <row r="44" spans="1:9" ht="13.5" customHeight="1" x14ac:dyDescent="0.25">
      <c r="A44" s="1"/>
      <c r="B44" s="7"/>
      <c r="C44" s="83"/>
      <c r="D44" s="83"/>
      <c r="E44" s="84"/>
      <c r="F44" s="1"/>
      <c r="G44" s="1"/>
      <c r="H44" s="1"/>
      <c r="I44" s="1"/>
    </row>
    <row r="45" spans="1:9" ht="25.5" customHeight="1" x14ac:dyDescent="0.25">
      <c r="A45" s="1"/>
      <c r="B45" s="6" t="s">
        <v>75</v>
      </c>
      <c r="C45" s="30"/>
      <c r="D45" s="30"/>
      <c r="E45" s="17"/>
      <c r="F45" s="1"/>
      <c r="G45" s="1"/>
      <c r="H45" s="1"/>
      <c r="I45" s="1"/>
    </row>
    <row r="46" spans="1:9" ht="38.25" customHeight="1" x14ac:dyDescent="0.25">
      <c r="A46" s="1"/>
      <c r="B46" s="7"/>
      <c r="C46" s="83" t="s">
        <v>76</v>
      </c>
      <c r="D46" s="83"/>
      <c r="E46" s="84"/>
      <c r="F46" s="1"/>
      <c r="G46" s="1"/>
      <c r="H46" s="1"/>
      <c r="I46" s="1"/>
    </row>
    <row r="47" spans="1:9" x14ac:dyDescent="0.25">
      <c r="A47" s="1"/>
      <c r="B47" s="6" t="s">
        <v>77</v>
      </c>
      <c r="C47" s="31"/>
      <c r="D47" s="31"/>
      <c r="E47" s="18"/>
      <c r="F47" s="1"/>
      <c r="G47" s="1"/>
      <c r="H47" s="1"/>
      <c r="I47" s="1"/>
    </row>
    <row r="48" spans="1:9" x14ac:dyDescent="0.25">
      <c r="A48" s="1"/>
      <c r="B48" s="6" t="s">
        <v>9</v>
      </c>
      <c r="C48" s="30" t="s">
        <v>78</v>
      </c>
      <c r="D48" s="30"/>
      <c r="E48" s="17"/>
      <c r="F48" s="1"/>
      <c r="G48" s="1"/>
      <c r="H48" s="1"/>
      <c r="I48" s="1"/>
    </row>
    <row r="49" spans="1:9" ht="15.75" thickBot="1" x14ac:dyDescent="0.3">
      <c r="A49" s="1"/>
      <c r="B49" s="8"/>
      <c r="C49" s="13"/>
      <c r="D49" s="13"/>
      <c r="E49" s="19"/>
      <c r="F49" s="1"/>
      <c r="G49" s="1"/>
      <c r="H49" s="1"/>
      <c r="I49" s="1"/>
    </row>
    <row r="50" spans="1:9" x14ac:dyDescent="0.25">
      <c r="A50" s="2"/>
      <c r="B50" s="23"/>
      <c r="C50" s="11"/>
      <c r="D50" s="21"/>
      <c r="E50" s="15"/>
      <c r="F50" s="4"/>
      <c r="G50" s="4"/>
      <c r="H50" s="20"/>
      <c r="I50" s="20"/>
    </row>
  </sheetData>
  <autoFilter ref="A8:I9"/>
  <mergeCells count="19">
    <mergeCell ref="C46:E46"/>
    <mergeCell ref="C17:E17"/>
    <mergeCell ref="C18:E18"/>
    <mergeCell ref="C20:E20"/>
    <mergeCell ref="C30:E30"/>
    <mergeCell ref="C31:E31"/>
    <mergeCell ref="C33:E33"/>
    <mergeCell ref="A5:B5"/>
    <mergeCell ref="A6:B6"/>
    <mergeCell ref="B1:H1"/>
    <mergeCell ref="A3:B3"/>
    <mergeCell ref="C3:E3"/>
    <mergeCell ref="A4:B4"/>
    <mergeCell ref="C4:E4"/>
    <mergeCell ref="C15:E15"/>
    <mergeCell ref="C28:E28"/>
    <mergeCell ref="C41:E41"/>
    <mergeCell ref="C43:E43"/>
    <mergeCell ref="C44:E44"/>
  </mergeCells>
  <pageMargins left="0.70866141732283472" right="0.70866141732283472" top="0.74803149606299213" bottom="0.74803149606299213" header="0.31496062992125984" footer="0.31496062992125984"/>
  <pageSetup paperSize="5" scale="8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opLeftCell="A4" workbookViewId="0">
      <selection activeCell="C10" sqref="C10"/>
    </sheetView>
  </sheetViews>
  <sheetFormatPr baseColWidth="10" defaultRowHeight="15" x14ac:dyDescent="0.25"/>
  <cols>
    <col min="1" max="1" width="9.140625" customWidth="1"/>
    <col min="3" max="3" width="52.7109375" customWidth="1"/>
    <col min="6" max="6" width="12.42578125" customWidth="1"/>
    <col min="7" max="7" width="15.5703125" customWidth="1"/>
    <col min="9" max="9" width="13.140625" bestFit="1" customWidth="1"/>
  </cols>
  <sheetData>
    <row r="1" spans="1:13" ht="16.5" thickBot="1" x14ac:dyDescent="0.3">
      <c r="A1" s="87" t="s">
        <v>34</v>
      </c>
      <c r="B1" s="88"/>
      <c r="C1" s="88"/>
      <c r="D1" s="88"/>
      <c r="E1" s="88"/>
      <c r="F1" s="89"/>
      <c r="G1" s="44" t="s">
        <v>69</v>
      </c>
    </row>
    <row r="2" spans="1:13" ht="15.75" thickBot="1" x14ac:dyDescent="0.3">
      <c r="A2" s="45"/>
      <c r="B2" s="46"/>
      <c r="C2" s="46"/>
      <c r="D2" s="46"/>
      <c r="E2" s="46"/>
      <c r="F2" s="46"/>
      <c r="G2" s="47"/>
    </row>
    <row r="3" spans="1:13" ht="15.75" thickBot="1" x14ac:dyDescent="0.3">
      <c r="A3" s="85" t="s">
        <v>35</v>
      </c>
      <c r="B3" s="85"/>
      <c r="C3" s="90" t="s">
        <v>10</v>
      </c>
      <c r="D3" s="90"/>
      <c r="E3" s="90"/>
      <c r="F3" s="90"/>
      <c r="G3" s="90"/>
    </row>
    <row r="4" spans="1:13" ht="15.75" thickBot="1" x14ac:dyDescent="0.3">
      <c r="A4" s="85" t="s">
        <v>36</v>
      </c>
      <c r="B4" s="85"/>
      <c r="C4" s="86" t="s">
        <v>11</v>
      </c>
      <c r="D4" s="86"/>
      <c r="E4" s="86"/>
      <c r="F4" s="86"/>
      <c r="G4" s="86"/>
    </row>
    <row r="5" spans="1:13" ht="15.75" thickBot="1" x14ac:dyDescent="0.3">
      <c r="A5" s="85" t="s">
        <v>37</v>
      </c>
      <c r="B5" s="85"/>
      <c r="C5" s="86" t="s">
        <v>38</v>
      </c>
      <c r="D5" s="86"/>
      <c r="E5" s="86"/>
      <c r="F5" s="86"/>
      <c r="G5" s="86"/>
    </row>
    <row r="6" spans="1:13" ht="15.75" thickBot="1" x14ac:dyDescent="0.3">
      <c r="A6" s="85" t="s">
        <v>39</v>
      </c>
      <c r="B6" s="85"/>
      <c r="C6" s="86" t="s">
        <v>38</v>
      </c>
      <c r="D6" s="86"/>
      <c r="E6" s="86"/>
      <c r="F6" s="86"/>
      <c r="G6" s="86"/>
    </row>
    <row r="7" spans="1:13" ht="15.75" thickBot="1" x14ac:dyDescent="0.3">
      <c r="A7" s="95" t="s">
        <v>40</v>
      </c>
      <c r="B7" s="95"/>
      <c r="C7" s="96" t="s">
        <v>41</v>
      </c>
      <c r="D7" s="96"/>
      <c r="E7" s="96"/>
      <c r="F7" s="96"/>
      <c r="G7" s="96"/>
    </row>
    <row r="8" spans="1:13" ht="15.75" thickBot="1" x14ac:dyDescent="0.3">
      <c r="A8" s="85" t="s">
        <v>42</v>
      </c>
      <c r="B8" s="85"/>
      <c r="C8" s="90" t="s">
        <v>45</v>
      </c>
      <c r="D8" s="90"/>
      <c r="E8" s="90"/>
      <c r="F8" s="90"/>
      <c r="G8" s="90"/>
    </row>
    <row r="9" spans="1:13" x14ac:dyDescent="0.25">
      <c r="A9" s="91"/>
      <c r="B9" s="92"/>
      <c r="C9" s="92"/>
      <c r="D9" s="92"/>
      <c r="E9" s="92"/>
      <c r="F9" s="92"/>
      <c r="G9" s="93"/>
    </row>
    <row r="10" spans="1:13" ht="71.25" x14ac:dyDescent="0.25">
      <c r="A10" s="32" t="s">
        <v>4</v>
      </c>
      <c r="B10" s="32" t="s">
        <v>6</v>
      </c>
      <c r="C10" s="32" t="s">
        <v>14</v>
      </c>
      <c r="D10" s="33" t="s">
        <v>43</v>
      </c>
      <c r="E10" s="32" t="s">
        <v>15</v>
      </c>
      <c r="F10" s="134" t="s">
        <v>18</v>
      </c>
      <c r="G10" s="134" t="s">
        <v>17</v>
      </c>
      <c r="I10" s="136"/>
      <c r="J10" s="34"/>
      <c r="K10" s="34"/>
      <c r="L10" s="34"/>
    </row>
    <row r="11" spans="1:13" s="34" customFormat="1" x14ac:dyDescent="0.25">
      <c r="A11" s="35">
        <v>1</v>
      </c>
      <c r="B11" s="130" t="s">
        <v>21</v>
      </c>
      <c r="C11" s="131" t="s">
        <v>25</v>
      </c>
      <c r="D11" s="133" t="s">
        <v>44</v>
      </c>
      <c r="E11" s="26" t="s">
        <v>16</v>
      </c>
      <c r="F11" s="135">
        <v>30000</v>
      </c>
      <c r="G11" s="132">
        <v>25</v>
      </c>
      <c r="H11" s="36">
        <f t="shared" ref="H11:H13" si="0">F11*G11</f>
        <v>750000</v>
      </c>
      <c r="I11" s="137">
        <f>+G11*F11</f>
        <v>750000</v>
      </c>
      <c r="J11" s="37"/>
      <c r="K11" s="38"/>
    </row>
    <row r="12" spans="1:13" s="34" customFormat="1" x14ac:dyDescent="0.25">
      <c r="A12" s="35">
        <v>2</v>
      </c>
      <c r="B12" s="130" t="s">
        <v>24</v>
      </c>
      <c r="C12" s="131" t="s">
        <v>26</v>
      </c>
      <c r="D12" s="25" t="s">
        <v>44</v>
      </c>
      <c r="E12" s="26" t="s">
        <v>16</v>
      </c>
      <c r="F12" s="135">
        <v>14000</v>
      </c>
      <c r="G12" s="26">
        <v>25</v>
      </c>
      <c r="H12" s="36">
        <f t="shared" si="0"/>
        <v>350000</v>
      </c>
      <c r="I12" s="137">
        <f t="shared" ref="I12:I13" si="1">+G12*F12</f>
        <v>350000</v>
      </c>
      <c r="J12" s="37"/>
      <c r="K12" s="38"/>
    </row>
    <row r="13" spans="1:13" ht="30" x14ac:dyDescent="0.25">
      <c r="A13" s="39">
        <v>3</v>
      </c>
      <c r="B13" s="130" t="s">
        <v>27</v>
      </c>
      <c r="C13" s="131" t="s">
        <v>28</v>
      </c>
      <c r="D13" s="133" t="s">
        <v>44</v>
      </c>
      <c r="E13" s="26" t="s">
        <v>16</v>
      </c>
      <c r="F13" s="135">
        <v>16000</v>
      </c>
      <c r="G13" s="26">
        <v>25</v>
      </c>
      <c r="H13" s="36">
        <f t="shared" si="0"/>
        <v>400000</v>
      </c>
      <c r="I13" s="138">
        <f t="shared" si="1"/>
        <v>400000</v>
      </c>
      <c r="J13" s="37"/>
      <c r="K13" s="38"/>
      <c r="M13" s="34"/>
    </row>
    <row r="14" spans="1:13" x14ac:dyDescent="0.25">
      <c r="A14" s="94" t="s">
        <v>68</v>
      </c>
      <c r="B14" s="94"/>
      <c r="C14" s="94"/>
      <c r="D14" s="94"/>
      <c r="E14" s="94"/>
      <c r="F14" s="94"/>
      <c r="G14" s="40">
        <f>SUM(H11:H13)</f>
        <v>1500000</v>
      </c>
      <c r="I14" s="36">
        <f>+I13+I12+I11</f>
        <v>1500000</v>
      </c>
      <c r="J14" s="41"/>
      <c r="K14" s="42"/>
      <c r="L14" s="43"/>
    </row>
  </sheetData>
  <mergeCells count="15">
    <mergeCell ref="A9:G9"/>
    <mergeCell ref="A14:F14"/>
    <mergeCell ref="A6:B6"/>
    <mergeCell ref="C6:G6"/>
    <mergeCell ref="A7:B7"/>
    <mergeCell ref="C7:G7"/>
    <mergeCell ref="A8:B8"/>
    <mergeCell ref="C8:G8"/>
    <mergeCell ref="A5:B5"/>
    <mergeCell ref="C5:G5"/>
    <mergeCell ref="A1:F1"/>
    <mergeCell ref="A3:B3"/>
    <mergeCell ref="C3:G3"/>
    <mergeCell ref="A4:B4"/>
    <mergeCell ref="C4:G4"/>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
  <sheetViews>
    <sheetView topLeftCell="A10" workbookViewId="0">
      <selection activeCell="S10" sqref="S10"/>
    </sheetView>
  </sheetViews>
  <sheetFormatPr baseColWidth="10" defaultColWidth="11.42578125"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99" t="s">
        <v>2</v>
      </c>
      <c r="B1" s="99"/>
      <c r="C1" s="99"/>
      <c r="D1" s="100">
        <v>2022</v>
      </c>
      <c r="E1" s="100"/>
      <c r="F1" s="48"/>
      <c r="G1" s="48"/>
      <c r="H1" s="49"/>
      <c r="I1" s="49"/>
      <c r="J1" s="49"/>
      <c r="K1" s="49"/>
      <c r="L1" s="49"/>
      <c r="M1" s="49"/>
      <c r="N1" s="49"/>
      <c r="O1" s="50"/>
      <c r="P1" s="101" t="s">
        <v>46</v>
      </c>
      <c r="Q1" s="101"/>
    </row>
    <row r="2" spans="1:17" ht="15.75" thickBot="1" x14ac:dyDescent="0.3">
      <c r="A2" s="51"/>
      <c r="B2" s="52"/>
      <c r="C2" s="52"/>
      <c r="D2" s="52"/>
      <c r="E2" s="52"/>
      <c r="F2" s="52"/>
      <c r="G2" s="53"/>
      <c r="H2" s="54"/>
      <c r="I2" s="54"/>
      <c r="J2" s="54"/>
      <c r="K2" s="54"/>
      <c r="L2" s="54"/>
      <c r="M2" s="54"/>
      <c r="N2" s="54"/>
      <c r="O2" s="52"/>
      <c r="P2" s="101"/>
      <c r="Q2" s="101"/>
    </row>
    <row r="3" spans="1:17" ht="15.75" thickBot="1" x14ac:dyDescent="0.3">
      <c r="A3" s="51"/>
      <c r="B3" s="52"/>
      <c r="C3" s="52"/>
      <c r="D3" s="52"/>
      <c r="E3" s="52"/>
      <c r="F3" s="52"/>
      <c r="G3" s="53"/>
      <c r="H3" s="52"/>
      <c r="I3" s="52"/>
      <c r="J3" s="52"/>
      <c r="K3" s="52"/>
      <c r="L3" s="52"/>
      <c r="M3" s="52"/>
      <c r="N3" s="52"/>
      <c r="O3" s="52"/>
      <c r="P3" s="52"/>
      <c r="Q3" s="55"/>
    </row>
    <row r="4" spans="1:17" ht="15.75" thickBot="1" x14ac:dyDescent="0.3">
      <c r="A4" s="102" t="s">
        <v>47</v>
      </c>
      <c r="B4" s="102"/>
      <c r="C4" s="102"/>
      <c r="D4" s="102"/>
      <c r="E4" s="102"/>
      <c r="F4" s="102"/>
      <c r="G4" s="98" t="s">
        <v>10</v>
      </c>
      <c r="H4" s="98"/>
      <c r="I4" s="98"/>
      <c r="J4" s="98"/>
      <c r="K4" s="98"/>
      <c r="L4" s="98"/>
      <c r="M4" s="98"/>
      <c r="N4" s="98"/>
      <c r="O4" s="98"/>
      <c r="P4" s="98"/>
      <c r="Q4" s="98"/>
    </row>
    <row r="5" spans="1:17" ht="15.75" thickBot="1" x14ac:dyDescent="0.3">
      <c r="A5" s="97" t="s">
        <v>36</v>
      </c>
      <c r="B5" s="97"/>
      <c r="C5" s="97"/>
      <c r="D5" s="97"/>
      <c r="E5" s="97"/>
      <c r="F5" s="97"/>
      <c r="G5" s="98" t="s">
        <v>11</v>
      </c>
      <c r="H5" s="98"/>
      <c r="I5" s="98"/>
      <c r="J5" s="98"/>
      <c r="K5" s="98"/>
      <c r="L5" s="98"/>
      <c r="M5" s="98"/>
      <c r="N5" s="98"/>
      <c r="O5" s="98"/>
      <c r="P5" s="98"/>
      <c r="Q5" s="98"/>
    </row>
    <row r="6" spans="1:17" ht="15.75" thickBot="1" x14ac:dyDescent="0.3">
      <c r="A6" s="105" t="s">
        <v>37</v>
      </c>
      <c r="B6" s="106"/>
      <c r="C6" s="106"/>
      <c r="D6" s="106"/>
      <c r="E6" s="106"/>
      <c r="F6" s="107"/>
      <c r="G6" s="108" t="s">
        <v>38</v>
      </c>
      <c r="H6" s="108"/>
      <c r="I6" s="108"/>
      <c r="J6" s="108"/>
      <c r="K6" s="108"/>
      <c r="L6" s="108"/>
      <c r="M6" s="108"/>
      <c r="N6" s="108"/>
      <c r="O6" s="108"/>
      <c r="P6" s="108"/>
      <c r="Q6" s="108"/>
    </row>
    <row r="7" spans="1:17" ht="15.75" thickBot="1" x14ac:dyDescent="0.3">
      <c r="A7" s="109" t="s">
        <v>39</v>
      </c>
      <c r="B7" s="110"/>
      <c r="C7" s="110"/>
      <c r="D7" s="110"/>
      <c r="E7" s="110"/>
      <c r="F7" s="111"/>
      <c r="G7" s="112" t="s">
        <v>38</v>
      </c>
      <c r="H7" s="112"/>
      <c r="I7" s="112"/>
      <c r="J7" s="112"/>
      <c r="K7" s="112"/>
      <c r="L7" s="112"/>
      <c r="M7" s="112"/>
      <c r="N7" s="112"/>
      <c r="O7" s="112"/>
      <c r="P7" s="112"/>
      <c r="Q7" s="112"/>
    </row>
    <row r="8" spans="1:17" ht="15.75" thickBot="1" x14ac:dyDescent="0.3">
      <c r="A8" s="113" t="s">
        <v>48</v>
      </c>
      <c r="B8" s="113"/>
      <c r="C8" s="113"/>
      <c r="D8" s="113"/>
      <c r="E8" s="113"/>
      <c r="F8" s="113"/>
      <c r="G8" s="113"/>
      <c r="H8" s="113"/>
      <c r="I8" s="113"/>
      <c r="J8" s="113"/>
      <c r="K8" s="113"/>
      <c r="L8" s="113"/>
      <c r="M8" s="113"/>
      <c r="N8" s="113"/>
      <c r="O8" s="113"/>
      <c r="P8" s="113"/>
      <c r="Q8" s="113"/>
    </row>
    <row r="9" spans="1:17" ht="17.649999999999999" customHeight="1" x14ac:dyDescent="0.25">
      <c r="A9" s="114" t="s">
        <v>49</v>
      </c>
      <c r="B9" s="114"/>
      <c r="C9" s="114"/>
      <c r="D9" s="114"/>
      <c r="E9" s="114"/>
      <c r="F9" s="114"/>
      <c r="G9" s="114"/>
      <c r="H9" s="114"/>
      <c r="I9" s="114"/>
      <c r="J9" s="114"/>
      <c r="K9" s="114"/>
      <c r="L9" s="114"/>
      <c r="M9" s="114"/>
      <c r="N9" s="114"/>
      <c r="O9" s="114"/>
      <c r="P9" s="114"/>
      <c r="Q9" s="114"/>
    </row>
    <row r="10" spans="1:17" ht="57.2" customHeight="1" x14ac:dyDescent="0.25">
      <c r="A10" s="115" t="s">
        <v>70</v>
      </c>
      <c r="B10" s="116"/>
      <c r="C10" s="116"/>
      <c r="D10" s="116"/>
      <c r="E10" s="116"/>
      <c r="F10" s="116"/>
      <c r="G10" s="116"/>
      <c r="H10" s="116"/>
      <c r="I10" s="116"/>
      <c r="J10" s="116"/>
      <c r="K10" s="116"/>
      <c r="L10" s="116"/>
      <c r="M10" s="116"/>
      <c r="N10" s="116"/>
      <c r="O10" s="116"/>
      <c r="P10" s="116"/>
      <c r="Q10" s="117"/>
    </row>
    <row r="11" spans="1:17" ht="15.75" thickBot="1" x14ac:dyDescent="0.3">
      <c r="A11" s="56"/>
      <c r="B11" s="57"/>
      <c r="C11" s="57"/>
      <c r="D11" s="57"/>
      <c r="E11" s="57"/>
      <c r="F11" s="57"/>
      <c r="G11" s="58"/>
      <c r="H11" s="57"/>
      <c r="I11" s="57"/>
      <c r="J11" s="57"/>
      <c r="K11" s="57"/>
      <c r="L11" s="57"/>
      <c r="M11" s="57"/>
      <c r="N11" s="57"/>
      <c r="O11" s="57"/>
      <c r="P11" s="57"/>
      <c r="Q11" s="59"/>
    </row>
    <row r="12" spans="1:17" ht="15.75" thickBot="1" x14ac:dyDescent="0.3">
      <c r="A12" s="118" t="s">
        <v>50</v>
      </c>
      <c r="B12" s="118"/>
      <c r="C12" s="118"/>
      <c r="D12" s="118"/>
      <c r="E12" s="118"/>
      <c r="F12" s="118"/>
      <c r="G12" s="118"/>
      <c r="H12" s="118"/>
      <c r="I12" s="118"/>
      <c r="J12" s="118"/>
      <c r="K12" s="118"/>
      <c r="L12" s="118"/>
      <c r="M12" s="118"/>
      <c r="N12" s="118"/>
      <c r="O12" s="118"/>
      <c r="P12" s="118"/>
      <c r="Q12" s="118"/>
    </row>
    <row r="13" spans="1:17" ht="15.75" thickBot="1" x14ac:dyDescent="0.3">
      <c r="A13" s="119" t="s">
        <v>51</v>
      </c>
      <c r="B13" s="119"/>
      <c r="C13" s="119"/>
      <c r="D13" s="119"/>
      <c r="E13" s="119"/>
      <c r="F13" s="119"/>
      <c r="G13" s="119"/>
      <c r="H13" s="119"/>
      <c r="I13" s="119"/>
      <c r="J13" s="119"/>
      <c r="K13" s="119"/>
      <c r="L13" s="119"/>
      <c r="M13" s="119"/>
      <c r="N13" s="119"/>
      <c r="O13" s="120" t="s">
        <v>52</v>
      </c>
      <c r="P13" s="120"/>
      <c r="Q13" s="121" t="s">
        <v>53</v>
      </c>
    </row>
    <row r="14" spans="1:17" ht="26.1" customHeight="1" thickBot="1" x14ac:dyDescent="0.3">
      <c r="A14" s="60" t="s">
        <v>54</v>
      </c>
      <c r="B14" s="61" t="s">
        <v>55</v>
      </c>
      <c r="C14" s="61" t="s">
        <v>56</v>
      </c>
      <c r="D14" s="61" t="s">
        <v>57</v>
      </c>
      <c r="E14" s="61" t="s">
        <v>58</v>
      </c>
      <c r="F14" s="61" t="s">
        <v>59</v>
      </c>
      <c r="G14" s="61" t="s">
        <v>60</v>
      </c>
      <c r="H14" s="61" t="s">
        <v>61</v>
      </c>
      <c r="I14" s="61" t="s">
        <v>62</v>
      </c>
      <c r="J14" s="61" t="s">
        <v>63</v>
      </c>
      <c r="K14" s="61" t="s">
        <v>63</v>
      </c>
      <c r="L14" s="61" t="s">
        <v>64</v>
      </c>
      <c r="M14" s="62" t="s">
        <v>65</v>
      </c>
      <c r="N14" s="63" t="s">
        <v>66</v>
      </c>
      <c r="O14" s="120"/>
      <c r="P14" s="120"/>
      <c r="Q14" s="121"/>
    </row>
    <row r="15" spans="1:17" ht="27.75" customHeight="1" x14ac:dyDescent="0.25">
      <c r="A15" s="64">
        <v>1</v>
      </c>
      <c r="B15" s="65">
        <v>0</v>
      </c>
      <c r="C15" s="65">
        <v>0</v>
      </c>
      <c r="D15" s="65">
        <v>1</v>
      </c>
      <c r="E15" s="65">
        <v>0</v>
      </c>
      <c r="F15" s="66">
        <v>4901</v>
      </c>
      <c r="G15" s="65">
        <v>3</v>
      </c>
      <c r="H15" s="65">
        <v>4</v>
      </c>
      <c r="I15" s="65">
        <v>4</v>
      </c>
      <c r="J15" s="65">
        <v>3</v>
      </c>
      <c r="K15" s="65">
        <v>5</v>
      </c>
      <c r="L15" s="65">
        <v>0</v>
      </c>
      <c r="M15" s="67">
        <v>1</v>
      </c>
      <c r="N15" s="68">
        <v>1.1000000000000001</v>
      </c>
      <c r="O15" s="103" t="s">
        <v>73</v>
      </c>
      <c r="P15" s="104"/>
      <c r="Q15" s="69">
        <v>1500000</v>
      </c>
    </row>
    <row r="16" spans="1:17" x14ac:dyDescent="0.25">
      <c r="A16" s="70"/>
      <c r="B16" s="71"/>
      <c r="C16" s="71"/>
      <c r="D16" s="71"/>
      <c r="E16" s="71"/>
      <c r="F16" s="71"/>
      <c r="G16" s="71"/>
      <c r="H16" s="71"/>
      <c r="I16" s="71"/>
      <c r="J16" s="71"/>
      <c r="K16" s="71"/>
      <c r="L16" s="71"/>
      <c r="M16" s="72"/>
      <c r="N16" s="73"/>
      <c r="O16" s="125"/>
      <c r="P16" s="125"/>
      <c r="Q16" s="74"/>
    </row>
    <row r="17" spans="1:17" x14ac:dyDescent="0.25">
      <c r="A17" s="70"/>
      <c r="B17" s="71"/>
      <c r="C17" s="71"/>
      <c r="D17" s="71"/>
      <c r="E17" s="71"/>
      <c r="F17" s="71"/>
      <c r="G17" s="71"/>
      <c r="H17" s="71"/>
      <c r="I17" s="71"/>
      <c r="J17" s="71"/>
      <c r="K17" s="71"/>
      <c r="L17" s="71"/>
      <c r="M17" s="72"/>
      <c r="N17" s="73"/>
      <c r="O17" s="126"/>
      <c r="P17" s="126"/>
      <c r="Q17" s="74"/>
    </row>
    <row r="18" spans="1:17" x14ac:dyDescent="0.25">
      <c r="A18" s="70"/>
      <c r="B18" s="71"/>
      <c r="C18" s="71"/>
      <c r="D18" s="71"/>
      <c r="E18" s="71"/>
      <c r="F18" s="71"/>
      <c r="G18" s="71"/>
      <c r="H18" s="71"/>
      <c r="I18" s="71"/>
      <c r="J18" s="71"/>
      <c r="K18" s="71"/>
      <c r="L18" s="71"/>
      <c r="M18" s="72"/>
      <c r="N18" s="73"/>
      <c r="O18" s="126"/>
      <c r="P18" s="126"/>
      <c r="Q18" s="74"/>
    </row>
    <row r="19" spans="1:17" ht="15.75" thickBot="1" x14ac:dyDescent="0.3">
      <c r="A19" s="75"/>
      <c r="B19" s="76"/>
      <c r="C19" s="76"/>
      <c r="D19" s="76"/>
      <c r="E19" s="76"/>
      <c r="F19" s="76"/>
      <c r="G19" s="76"/>
      <c r="H19" s="76"/>
      <c r="I19" s="76"/>
      <c r="J19" s="76"/>
      <c r="K19" s="76"/>
      <c r="L19" s="76"/>
      <c r="M19" s="77"/>
      <c r="N19" s="76"/>
      <c r="O19" s="127"/>
      <c r="P19" s="127"/>
      <c r="Q19" s="78"/>
    </row>
    <row r="20" spans="1:17" ht="15.75" thickBot="1" x14ac:dyDescent="0.3">
      <c r="A20" s="128" t="s">
        <v>71</v>
      </c>
      <c r="B20" s="128"/>
      <c r="C20" s="128"/>
      <c r="D20" s="128"/>
      <c r="E20" s="128"/>
      <c r="F20" s="128"/>
      <c r="G20" s="128"/>
      <c r="H20" s="128"/>
      <c r="I20" s="128"/>
      <c r="J20" s="128"/>
      <c r="K20" s="128"/>
      <c r="L20" s="128"/>
      <c r="M20" s="128"/>
      <c r="N20" s="128"/>
      <c r="O20" s="128"/>
      <c r="P20" s="128"/>
      <c r="Q20" s="79">
        <f>SUM(Q15:Q19)</f>
        <v>1500000</v>
      </c>
    </row>
    <row r="21" spans="1:17" ht="15.75" thickBot="1" x14ac:dyDescent="0.3">
      <c r="A21" s="129"/>
      <c r="B21" s="129"/>
      <c r="C21" s="129"/>
      <c r="D21" s="129"/>
      <c r="E21" s="129"/>
      <c r="F21" s="129"/>
      <c r="G21" s="129"/>
      <c r="H21" s="129"/>
      <c r="I21" s="129"/>
      <c r="J21" s="129"/>
      <c r="K21" s="129"/>
      <c r="L21" s="129"/>
      <c r="M21" s="129"/>
      <c r="N21" s="129"/>
      <c r="O21" s="129"/>
      <c r="P21" s="129"/>
      <c r="Q21" s="129"/>
    </row>
    <row r="22" spans="1:17" ht="15.75" thickBot="1" x14ac:dyDescent="0.3">
      <c r="A22" s="122" t="s">
        <v>67</v>
      </c>
      <c r="B22" s="122"/>
      <c r="C22" s="122"/>
      <c r="D22" s="122"/>
      <c r="E22" s="122"/>
      <c r="F22" s="122"/>
      <c r="G22" s="123"/>
      <c r="H22" s="123"/>
      <c r="I22" s="123"/>
      <c r="J22" s="123"/>
      <c r="K22" s="123"/>
      <c r="L22" s="123"/>
      <c r="M22" s="123"/>
      <c r="N22" s="123"/>
      <c r="O22" s="123"/>
      <c r="P22" s="123"/>
      <c r="Q22" s="123"/>
    </row>
    <row r="23" spans="1:17" ht="15.75" thickBot="1" x14ac:dyDescent="0.3">
      <c r="A23" s="124" t="s">
        <v>72</v>
      </c>
      <c r="B23" s="124"/>
      <c r="C23" s="124"/>
      <c r="D23" s="124"/>
      <c r="E23" s="124"/>
      <c r="F23" s="124"/>
      <c r="G23" s="124"/>
      <c r="H23" s="124"/>
      <c r="I23" s="124"/>
      <c r="J23" s="124"/>
      <c r="K23" s="124"/>
      <c r="L23" s="124"/>
      <c r="M23" s="124"/>
      <c r="N23" s="124"/>
      <c r="O23" s="124"/>
      <c r="P23" s="124"/>
      <c r="Q23" s="124"/>
    </row>
    <row r="24" spans="1:17" ht="15.75" thickBot="1" x14ac:dyDescent="0.3">
      <c r="A24" s="124"/>
      <c r="B24" s="124"/>
      <c r="C24" s="124"/>
      <c r="D24" s="124"/>
      <c r="E24" s="124"/>
      <c r="F24" s="124"/>
      <c r="G24" s="124"/>
      <c r="H24" s="124"/>
      <c r="I24" s="124"/>
      <c r="J24" s="124"/>
      <c r="K24" s="124"/>
      <c r="L24" s="124"/>
      <c r="M24" s="124"/>
      <c r="N24" s="124"/>
      <c r="O24" s="124"/>
      <c r="P24" s="124"/>
      <c r="Q24" s="124"/>
    </row>
  </sheetData>
  <mergeCells count="28">
    <mergeCell ref="A22:F22"/>
    <mergeCell ref="G22:Q22"/>
    <mergeCell ref="A23:Q24"/>
    <mergeCell ref="O16:P16"/>
    <mergeCell ref="O17:P17"/>
    <mergeCell ref="O18:P18"/>
    <mergeCell ref="O19:P19"/>
    <mergeCell ref="A20:P20"/>
    <mergeCell ref="A21:Q21"/>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NOTA DE PEDIDO</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Jimena</cp:lastModifiedBy>
  <cp:lastPrinted>2021-08-17T14:50:22Z</cp:lastPrinted>
  <dcterms:created xsi:type="dcterms:W3CDTF">2021-02-08T12:06:32Z</dcterms:created>
  <dcterms:modified xsi:type="dcterms:W3CDTF">2022-05-05T14:45:10Z</dcterms:modified>
</cp:coreProperties>
</file>