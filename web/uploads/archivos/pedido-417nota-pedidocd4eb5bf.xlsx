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esktop\DESCARTABLES\ESTERILIZACION\HSJB\"/>
    </mc:Choice>
  </mc:AlternateContent>
  <xr:revisionPtr revIDLastSave="0" documentId="8_{8E3F9CCC-D494-418B-A672-3071DF80DAA0}" xr6:coauthVersionLast="46" xr6:coauthVersionMax="46" xr10:uidLastSave="{00000000-0000-0000-0000-000000000000}"/>
  <bookViews>
    <workbookView xWindow="-120" yWindow="-120" windowWidth="20730" windowHeight="11160" tabRatio="500" activeTab="2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Trimestrales'!$A$9:$I$23</definedName>
    <definedName name="_xlnm.Print_Area" localSheetId="2">'Autor Gastar'!$A$1:$Q$26</definedName>
    <definedName name="_xlnm.Print_Area" localSheetId="1">NotaPedido!$A$1:$K$26</definedName>
  </definedNames>
  <calcPr calcId="181029"/>
</workbook>
</file>

<file path=xl/calcChain.xml><?xml version="1.0" encoding="utf-8"?>
<calcChain xmlns="http://schemas.openxmlformats.org/spreadsheetml/2006/main">
  <c r="I23" i="1" l="1"/>
  <c r="B15" i="2"/>
  <c r="B16" i="2"/>
  <c r="B17" i="2"/>
  <c r="B18" i="2"/>
  <c r="B19" i="2"/>
  <c r="B20" i="2"/>
  <c r="B21" i="2"/>
  <c r="B22" i="2"/>
  <c r="B23" i="2"/>
  <c r="B24" i="2"/>
  <c r="B25" i="2"/>
  <c r="K17" i="2"/>
  <c r="K18" i="2"/>
  <c r="K19" i="2"/>
  <c r="K20" i="2"/>
  <c r="K21" i="2"/>
  <c r="K22" i="2"/>
  <c r="K23" i="2"/>
  <c r="K24" i="2"/>
  <c r="K25" i="2"/>
  <c r="C16" i="2"/>
  <c r="C17" i="2"/>
  <c r="C18" i="2"/>
  <c r="C19" i="2"/>
  <c r="C20" i="2"/>
  <c r="C21" i="2"/>
  <c r="C22" i="2"/>
  <c r="C23" i="2"/>
  <c r="C24" i="2"/>
  <c r="C25" i="2"/>
  <c r="J18" i="2"/>
  <c r="J19" i="2"/>
  <c r="J20" i="2"/>
  <c r="J21" i="2"/>
  <c r="J22" i="2"/>
  <c r="J23" i="2"/>
  <c r="J24" i="2"/>
  <c r="J25" i="2"/>
  <c r="I17" i="2"/>
  <c r="I18" i="2"/>
  <c r="I19" i="2"/>
  <c r="I20" i="2"/>
  <c r="I21" i="2"/>
  <c r="I22" i="2"/>
  <c r="I23" i="2"/>
  <c r="I24" i="2"/>
  <c r="I25" i="2"/>
  <c r="A25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26" i="2" l="1"/>
  <c r="G6" i="3" l="1"/>
  <c r="G7" i="3"/>
  <c r="D3" i="2"/>
  <c r="G4" i="3" s="1"/>
  <c r="D4" i="2"/>
  <c r="G5" i="3" s="1"/>
  <c r="D1" i="3" l="1"/>
  <c r="Q22" i="3"/>
</calcChain>
</file>

<file path=xl/sharedStrings.xml><?xml version="1.0" encoding="utf-8"?>
<sst xmlns="http://schemas.openxmlformats.org/spreadsheetml/2006/main" count="148" uniqueCount="109">
  <si>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</si>
  <si>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</si>
  <si>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</si>
  <si>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</si>
  <si>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</si>
  <si>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</si>
  <si>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</si>
  <si>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</si>
  <si>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</si>
  <si>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</si>
  <si>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</si>
  <si>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</si>
  <si>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</si>
  <si>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</si>
  <si>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</si>
  <si>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</si>
  <si>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</si>
  <si>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</si>
  <si>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</si>
  <si>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</si>
  <si>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</si>
  <si>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</si>
  <si>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</si>
  <si>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</si>
  <si>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</si>
  <si>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</si>
  <si>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</si>
  <si>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</si>
  <si>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</si>
  <si>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</si>
  <si>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</si>
  <si>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</si>
  <si>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</si>
  <si>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</si>
  <si>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</si>
  <si>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</si>
  <si>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</si>
  <si>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</si>
  <si>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</si>
  <si>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</si>
  <si>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</si>
  <si>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</si>
  <si>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</si>
  <si>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</si>
  <si>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</si>
  <si>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</si>
  <si>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</si>
  <si>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</si>
  <si>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</si>
  <si>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</si>
  <si>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</si>
  <si>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</si>
  <si>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</si>
  <si>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</si>
  <si>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</si>
  <si>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Compuestos Quimicos</t>
  </si>
  <si>
    <t xml:space="preserve">Otros NEP </t>
  </si>
  <si>
    <t>3.1</t>
  </si>
  <si>
    <t>1.1</t>
  </si>
  <si>
    <t>Utiles Menores Med. Quir. y de Lab.</t>
  </si>
  <si>
    <t>2.5.1-9004.770</t>
  </si>
  <si>
    <t>QUIMICOS</t>
  </si>
  <si>
    <t>SALES; COMPUESTO QUIMICO: CLORURO DE SODIO, ESTADO: SOLIDO, CALIDAD: INDUSTRIAL, CONCENTRACION/PUREZA: 99 %, PRESENTACION: ENVASE X 25 Kg, GRADO HIDRATACION: ANHIDRIDO</t>
  </si>
  <si>
    <t>BOLSA</t>
  </si>
  <si>
    <t>2.2.2-808.30</t>
  </si>
  <si>
    <t>PROD.MEDICO/FARMACEUTICOS/LAB</t>
  </si>
  <si>
    <t>CAMISOLINES DE CIRUGIA; TELA: BRIN SANFORIZADA PRE ENCOGIDO</t>
  </si>
  <si>
    <t>UNIDAD</t>
  </si>
  <si>
    <t>2.9.5-2620.6</t>
  </si>
  <si>
    <t>INDICADORES DE ESTERILIZACION; METODO DE ESTERILIZACION: AUTOCLAVE DE VAPOR, TIPO DE INDICADOR: CINTA INDICADORA, PRESENTACION: ROLLO, METODO: AUTOCLAVE DE VAPOR, INDICADOR: CINTA INDICADORA</t>
  </si>
  <si>
    <t>ROLLO</t>
  </si>
  <si>
    <t>2.9.5-2620.7</t>
  </si>
  <si>
    <t>INDICADORES DE ESTERILIZACION; METODO DE ESTERILIZACION: CALOR SECO, PRESENTACION: ROLLO, METODO: CALOR SECO, INDICADOR: CINTA INDICADORA, TIPO DE INDICADOR: CINTA INDICADORA</t>
  </si>
  <si>
    <t>2.9.5-473.89</t>
  </si>
  <si>
    <t>GASAS; TIPO: HIDROFILA HIDROSAN, PRESENTACION: PIEZA 1,8 KGS</t>
  </si>
  <si>
    <t>2.9.5-1909.225</t>
  </si>
  <si>
    <t>GUANTES USO MEDICINAL; TIPO: P/QUIMICOS, TAMAÑO: MEDIANO CAÑA LARGA, MATERIAL: NITRILO, PRESENTACION: X PAR</t>
  </si>
  <si>
    <t>PAR</t>
  </si>
  <si>
    <t>2.9.5-2620.78</t>
  </si>
  <si>
    <t>INDICADORES DE ESTERILIZACION; PRESENTACION: UNIDAD, METODO: AUTOCLAVE DE VAPOR, INDICADOR: TESTIGO BIOLOGICO, PRESENTACION: ENVASE X 100</t>
  </si>
  <si>
    <t>CAJA</t>
  </si>
  <si>
    <t>2.9.5-2620.2</t>
  </si>
  <si>
    <t>INDICADORES DE ESTERILIZACION; TIPO DE INDICADOR: TIRAS INTEGRADORAS, PRESENTACION: CAJA X 100 UN, METODO: OXIDO DE ETILENO, METODO DE ESTERILIZACION: OXIDO DE ETILENO, INDICADOR: TIRAS INTEGRADORAS</t>
  </si>
  <si>
    <t>2.9.5-2554.39</t>
  </si>
  <si>
    <t>PAPELES P/ESTERILIZACION; TIPO: GRADO MEDICO, PRESENTACION: 120 CM X 100 M</t>
  </si>
  <si>
    <t>BOBINA</t>
  </si>
  <si>
    <t>2.9.5-2554.26</t>
  </si>
  <si>
    <t>PAPELES P/ESTERILIZACION; TIPO: GRADO MEDICO, PRESENTACION: ROLLO X 60 CM X 200 M</t>
  </si>
  <si>
    <t>2.9.5-2554.33</t>
  </si>
  <si>
    <t>PAPELES P/ESTERILIZACION; TIPO: GRADO MEDICO, PRESENTACION: 80 X 333 Cm</t>
  </si>
  <si>
    <t>2.9.5-2554.9</t>
  </si>
  <si>
    <t>PAPELES P/ESTERILIZACION; TIPO: POUCH, PRESENTACION: ROLLO X 10 CM X 200 M</t>
  </si>
  <si>
    <t>2.9.5-2554.11</t>
  </si>
  <si>
    <t>PAPELES P/ESTERILIZACION; TIPO: POUCH, PRESENTACION: ROLLO X 20 CM X 200 M</t>
  </si>
  <si>
    <t>2.9.5-7694.39</t>
  </si>
  <si>
    <t>PROD. MEDICO/FARMACEUTICOS/LAB</t>
  </si>
  <si>
    <t>SET DE CIRUGIA; COMPONENTES: 17, USO: CIRUGIA GENERAL - ROPA DESCARTABLE ESTERIL</t>
  </si>
  <si>
    <t>PAQUETE</t>
  </si>
  <si>
    <t>Adquisición de Insumos de Esterilización</t>
  </si>
  <si>
    <r>
      <rPr>
        <u/>
        <sz val="10"/>
        <rFont val="Times New Roman"/>
        <family val="1"/>
      </rPr>
      <t xml:space="preserve">Especificidades </t>
    </r>
    <r>
      <rPr>
        <b/>
        <sz val="10"/>
        <rFont val="Times New Roman"/>
        <family val="1"/>
      </rPr>
      <t xml:space="preserve"> ITEMS NUM 5</t>
    </r>
    <r>
      <rPr>
        <sz val="10"/>
        <rFont val="Times New Roman"/>
        <family val="1"/>
      </rPr>
      <t xml:space="preserve"> : Pieza de 80 cm por 40 m. Con hilado no menor de 24/1. - Deberá ser de algodón, doble punto cadena, sin defectos en el plegado, ni en la trama, con 15 hilos/cm2 ( +/- 1),sumando pasadas y cadenas. Hilado no menor de 24/1, con 80 cm de ancho cada cara y 40 m de largo. Peso de 1800 gramos por pieza. Acondicionada en envase individual transparente de polietileno no menor de 70 micrones, herméticamente cerrado y rotulado Cumple con Farmacopea Argentina VI Edición</t>
    </r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</si>
  <si>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PRESENTES INSUMOS: UN PLAZO NO MENOR A 12 MESES DE LA FECHA DE RECEPCION</t>
  </si>
  <si>
    <t xml:space="preserve">PLAZO DE MANTENIMIENTO DE LA OFERTA: 45 DIAS HABILES </t>
  </si>
  <si>
    <t>PLAZO DE ENTREGA: 15 DIAS HABILES - SERVICIO DE FARMACIA - ADVA. ILLIA Y MARIANO MORENO - DE LUNES A VIERNES DE 08:00 A 11:00 HORAS DEBIENDO CORRER LOS GASTOS DE FLETES, ACARREO, CARGA, DESCARGA Y SEGURO A CARGO DEL ADJUDICATARIO.</t>
  </si>
  <si>
    <t>NOTA DE PEDIDO 107</t>
  </si>
  <si>
    <t xml:space="preserve">SEMESTRAL </t>
  </si>
  <si>
    <t>SI</t>
  </si>
  <si>
    <t>Costo total estimado: PESOS SEIS MILLONES SETECIENTOS CINCUENTA Y NUEVE MIL DOSCIENTOS DIECINUEVE CON 00/100.-</t>
  </si>
  <si>
    <t>TOTAL DE PESOS: SEIS MILLONES SETECIENTOS CINCUENTA Y NUEVE MIL DOSCIENTOS DIECINUEVE CON 00/100.-</t>
  </si>
  <si>
    <t>DOCFI-2022-01527755-CAT-DASIS#HSJB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</si>
</sst>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&quot;$&quot;\ * #,##0.00_-;\-&quot;$&quot;\ * #,##0.00_-;_-&quot;$&quot;\ * &quot;-&quot;??_-;_-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b/>
      <sz val="8"/>
      <name val="Arial"/>
      <family val="2"/>
      <charset val="1"/>
    </font>
    <font>
      <b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7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2" xfId="0" applyBorder="1"/>
    <xf numFmtId="0" fontId="0" fillId="0" borderId="17" xfId="0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18" xfId="0" applyBorder="1"/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66" fontId="0" fillId="0" borderId="26" xfId="3" applyNumberFormat="1" applyFont="1" applyBorder="1" applyAlignment="1" applyProtection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166" fontId="0" fillId="0" borderId="31" xfId="3" applyNumberFormat="1" applyFont="1" applyBorder="1" applyAlignment="1" applyProtection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166" fontId="13" fillId="0" borderId="36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166" fontId="20" fillId="3" borderId="6" xfId="1" applyNumberFormat="1" applyFont="1" applyFill="1" applyBorder="1" applyAlignment="1" applyProtection="1">
      <alignment horizontal="right" vertical="center" wrapText="1"/>
    </xf>
    <xf numFmtId="0" fontId="23" fillId="3" borderId="0" xfId="0" applyFont="1" applyFill="1" applyAlignment="1">
      <alignment horizontal="left" wrapText="1" indent="1"/>
    </xf>
    <xf numFmtId="0" fontId="19" fillId="4" borderId="0" xfId="0" applyFont="1" applyFill="1" applyAlignment="1">
      <alignment horizontal="left" wrapText="1"/>
    </xf>
    <xf numFmtId="0" fontId="6" fillId="3" borderId="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166" fontId="4" fillId="4" borderId="11" xfId="1" applyNumberFormat="1" applyFont="1" applyFill="1" applyBorder="1" applyAlignment="1" applyProtection="1">
      <alignment horizontal="right" vertical="center" wrapText="1"/>
    </xf>
    <xf numFmtId="3" fontId="4" fillId="4" borderId="11" xfId="0" applyNumberFormat="1" applyFont="1" applyFill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3" borderId="23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/>
    </xf>
    <xf numFmtId="0" fontId="0" fillId="4" borderId="24" xfId="0" applyFont="1" applyFill="1" applyBorder="1" applyAlignment="1">
      <alignment horizontal="center" vertical="center"/>
    </xf>
    <xf numFmtId="0" fontId="0" fillId="3" borderId="25" xfId="0" applyFont="1" applyFill="1" applyBorder="1" applyAlignment="1">
      <alignment horizontal="center" vertical="center"/>
    </xf>
    <xf numFmtId="166" fontId="0" fillId="0" borderId="0" xfId="0" applyNumberFormat="1"/>
    <xf numFmtId="0" fontId="19" fillId="0" borderId="40" xfId="0" applyFont="1" applyBorder="1" applyAlignment="1">
      <alignment horizontal="center" vertical="center" wrapText="1"/>
    </xf>
    <xf numFmtId="0" fontId="20" fillId="4" borderId="6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 wrapText="1"/>
    </xf>
    <xf numFmtId="0" fontId="0" fillId="4" borderId="6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/>
    </xf>
    <xf numFmtId="3" fontId="14" fillId="4" borderId="6" xfId="0" applyNumberFormat="1" applyFont="1" applyFill="1" applyBorder="1" applyAlignment="1">
      <alignment horizontal="center" vertical="center"/>
    </xf>
    <xf numFmtId="169" fontId="14" fillId="4" borderId="6" xfId="0" applyNumberFormat="1" applyFont="1" applyFill="1" applyBorder="1" applyAlignment="1">
      <alignment horizontal="center" vertical="center"/>
    </xf>
    <xf numFmtId="0" fontId="15" fillId="4" borderId="0" xfId="0" applyFont="1" applyFill="1" applyBorder="1"/>
    <xf numFmtId="0" fontId="15" fillId="4" borderId="6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left" vertical="center"/>
    </xf>
    <xf numFmtId="0" fontId="14" fillId="4" borderId="6" xfId="0" applyFont="1" applyFill="1" applyBorder="1" applyAlignment="1">
      <alignment vertical="center" wrapText="1"/>
    </xf>
    <xf numFmtId="0" fontId="14" fillId="4" borderId="6" xfId="0" applyFont="1" applyFill="1" applyBorder="1" applyAlignment="1">
      <alignment wrapText="1"/>
    </xf>
    <xf numFmtId="44" fontId="15" fillId="4" borderId="0" xfId="0" applyNumberFormat="1" applyFont="1" applyFill="1" applyBorder="1"/>
    <xf numFmtId="0" fontId="15" fillId="0" borderId="41" xfId="0" applyFont="1" applyBorder="1" applyAlignment="1">
      <alignment wrapText="1"/>
    </xf>
    <xf numFmtId="0" fontId="14" fillId="0" borderId="42" xfId="0" applyFont="1" applyBorder="1"/>
    <xf numFmtId="0" fontId="14" fillId="0" borderId="43" xfId="0" applyFont="1" applyBorder="1"/>
    <xf numFmtId="0" fontId="21" fillId="5" borderId="12" xfId="0" applyFont="1" applyFill="1" applyBorder="1" applyAlignment="1">
      <alignment horizontal="center" vertical="center" wrapText="1"/>
    </xf>
    <xf numFmtId="0" fontId="21" fillId="5" borderId="44" xfId="0" applyFont="1" applyFill="1" applyBorder="1" applyAlignment="1">
      <alignment horizontal="center" vertical="center" wrapText="1"/>
    </xf>
    <xf numFmtId="0" fontId="21" fillId="5" borderId="13" xfId="0" applyFont="1" applyFill="1" applyBorder="1" applyAlignment="1">
      <alignment horizontal="center" vertical="center" wrapText="1"/>
    </xf>
    <xf numFmtId="0" fontId="15" fillId="5" borderId="12" xfId="0" applyFont="1" applyFill="1" applyBorder="1" applyAlignment="1">
      <alignment horizontal="center" vertical="center"/>
    </xf>
    <xf numFmtId="0" fontId="15" fillId="5" borderId="44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 wrapText="1"/>
    </xf>
    <xf numFmtId="0" fontId="15" fillId="5" borderId="44" xfId="0" applyFont="1" applyFill="1" applyBorder="1" applyAlignment="1">
      <alignment horizontal="center" vertical="center" wrapText="1"/>
    </xf>
    <xf numFmtId="0" fontId="15" fillId="5" borderId="13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3" fillId="3" borderId="0" xfId="0" applyFont="1" applyFill="1" applyBorder="1" applyAlignment="1">
      <alignment horizontal="left" wrapText="1" indent="1"/>
    </xf>
    <xf numFmtId="0" fontId="4" fillId="4" borderId="11" xfId="0" applyFont="1" applyFill="1" applyBorder="1" applyAlignment="1">
      <alignment horizontal="left" vertical="center" wrapText="1"/>
    </xf>
    <xf numFmtId="167" fontId="7" fillId="0" borderId="6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 wrapText="1" indent="1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 indent="1"/>
    </xf>
    <xf numFmtId="0" fontId="5" fillId="0" borderId="0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6" fillId="4" borderId="6" xfId="0" applyFont="1" applyFill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/>
    </xf>
    <xf numFmtId="0" fontId="9" fillId="0" borderId="12" xfId="0" applyFont="1" applyBorder="1" applyAlignment="1">
      <alignment vertical="center" wrapText="1"/>
    </xf>
    <xf numFmtId="0" fontId="9" fillId="0" borderId="37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11" fillId="0" borderId="19" xfId="0" applyFont="1" applyBorder="1" applyAlignment="1">
      <alignment vertical="center" wrapText="1"/>
    </xf>
    <xf numFmtId="0" fontId="11" fillId="3" borderId="36" xfId="0" applyFont="1" applyFill="1" applyBorder="1" applyAlignment="1">
      <alignment horizontal="left" vertical="center" wrapText="1" indent="1"/>
    </xf>
    <xf numFmtId="0" fontId="0" fillId="0" borderId="30" xfId="0" applyFont="1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25" fillId="0" borderId="36" xfId="0" applyFont="1" applyBorder="1" applyAlignment="1">
      <alignment horizontal="left" vertical="center" wrapText="1"/>
    </xf>
    <xf numFmtId="0" fontId="0" fillId="0" borderId="14" xfId="0" applyBorder="1"/>
    <xf numFmtId="0" fontId="24" fillId="0" borderId="24" xfId="0" applyFont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/>
    </xf>
    <xf numFmtId="0" fontId="11" fillId="0" borderId="15" xfId="0" applyFont="1" applyBorder="1"/>
    <xf numFmtId="0" fontId="11" fillId="0" borderId="16" xfId="0" applyFont="1" applyBorder="1" applyAlignment="1">
      <alignment horizontal="left" vertical="center" wrapText="1" indent="1"/>
    </xf>
    <xf numFmtId="0" fontId="13" fillId="0" borderId="1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indent="1"/>
    </xf>
    <xf numFmtId="0" fontId="12" fillId="0" borderId="3" xfId="0" applyFont="1" applyBorder="1" applyAlignment="1">
      <alignment horizontal="left"/>
    </xf>
    <xf numFmtId="0" fontId="0" fillId="0" borderId="12" xfId="0" applyFont="1" applyBorder="1" applyAlignment="1">
      <alignment horizontal="center"/>
    </xf>
    <xf numFmtId="3" fontId="9" fillId="0" borderId="1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0" fontId="2" fillId="0" borderId="3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0"/>
  <sheetViews>
    <sheetView zoomScale="85" zoomScaleNormal="85" workbookViewId="0">
      <selection activeCell="C5" sqref="C5:E5"/>
    </sheetView>
  </sheetViews>
  <sheetFormatPr baseColWidth="10" defaultColWidth="11" defaultRowHeight="12.75" x14ac:dyDescent="0.2"/>
  <cols>
    <col min="1" max="1" width="4.5703125" style="39" customWidth="1"/>
    <col min="2" max="2" width="13.570312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0" width="14.5703125" style="39" bestFit="1" customWidth="1"/>
    <col min="11" max="16384" width="11" style="39"/>
  </cols>
  <sheetData>
    <row r="2" spans="1:9" ht="27" x14ac:dyDescent="0.35">
      <c r="B2" s="86" t="s">
        <v>0</v>
      </c>
      <c r="C2" s="86"/>
      <c r="D2" s="86"/>
      <c r="E2" s="86"/>
      <c r="F2" s="86"/>
      <c r="G2" s="86"/>
      <c r="H2" s="86"/>
    </row>
    <row r="4" spans="1:9" ht="18" customHeight="1" x14ac:dyDescent="0.25">
      <c r="A4" s="85" t="s">
        <v>1</v>
      </c>
      <c r="B4" s="85"/>
      <c r="C4" s="87" t="s">
        <v>51</v>
      </c>
      <c r="D4" s="87"/>
      <c r="E4" s="87"/>
      <c r="F4" s="40"/>
      <c r="G4" s="41"/>
      <c r="H4" s="40"/>
    </row>
    <row r="5" spans="1:9" ht="18" customHeight="1" x14ac:dyDescent="0.25">
      <c r="A5" s="85" t="s">
        <v>2</v>
      </c>
      <c r="B5" s="85"/>
      <c r="C5" s="87" t="s">
        <v>52</v>
      </c>
      <c r="D5" s="87"/>
      <c r="E5" s="87"/>
      <c r="F5" s="40"/>
      <c r="G5" s="41"/>
      <c r="H5" s="40"/>
    </row>
    <row r="6" spans="1:9" ht="16.5" customHeight="1" x14ac:dyDescent="0.25">
      <c r="A6" s="85" t="s">
        <v>3</v>
      </c>
      <c r="B6" s="85"/>
      <c r="C6" s="43">
        <v>2022</v>
      </c>
      <c r="D6" s="44"/>
      <c r="E6" s="44"/>
      <c r="F6" s="40"/>
      <c r="G6" s="41"/>
      <c r="H6" s="40"/>
    </row>
    <row r="7" spans="1:9" ht="16.5" customHeight="1" x14ac:dyDescent="0.25">
      <c r="A7" s="85" t="s">
        <v>4</v>
      </c>
      <c r="B7" s="85"/>
      <c r="C7" s="43">
        <v>3</v>
      </c>
      <c r="D7" s="44"/>
      <c r="E7" s="4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9" t="s">
        <v>5</v>
      </c>
      <c r="B9" s="59" t="s">
        <v>6</v>
      </c>
      <c r="C9" s="59" t="s">
        <v>7</v>
      </c>
      <c r="D9" s="59" t="s">
        <v>8</v>
      </c>
      <c r="E9" s="59" t="s">
        <v>9</v>
      </c>
      <c r="F9" s="59" t="s">
        <v>10</v>
      </c>
      <c r="G9" s="59" t="s">
        <v>11</v>
      </c>
      <c r="H9" s="59" t="s">
        <v>12</v>
      </c>
      <c r="I9" s="59" t="s">
        <v>13</v>
      </c>
    </row>
    <row r="10" spans="1:9" s="67" customFormat="1" ht="46.5" customHeight="1" thickBot="1" x14ac:dyDescent="0.25">
      <c r="A10" s="60">
        <v>1</v>
      </c>
      <c r="B10" s="64" t="s">
        <v>60</v>
      </c>
      <c r="C10" s="62" t="s">
        <v>61</v>
      </c>
      <c r="D10" s="68">
        <v>251</v>
      </c>
      <c r="E10" s="63" t="s">
        <v>62</v>
      </c>
      <c r="F10" s="64" t="s">
        <v>63</v>
      </c>
      <c r="G10" s="65">
        <v>10</v>
      </c>
      <c r="H10" s="66">
        <v>1500</v>
      </c>
      <c r="I10" s="42">
        <f t="shared" ref="I10:I23" si="0">G10*H10</f>
        <v>15000</v>
      </c>
    </row>
    <row r="11" spans="1:9" s="67" customFormat="1" ht="31.9" customHeight="1" thickBot="1" x14ac:dyDescent="0.25">
      <c r="A11" s="60">
        <v>2</v>
      </c>
      <c r="B11" s="64" t="s">
        <v>64</v>
      </c>
      <c r="C11" s="62" t="s">
        <v>65</v>
      </c>
      <c r="D11" s="68">
        <v>295</v>
      </c>
      <c r="E11" s="69" t="s">
        <v>66</v>
      </c>
      <c r="F11" s="64" t="s">
        <v>67</v>
      </c>
      <c r="G11" s="65">
        <v>250</v>
      </c>
      <c r="H11" s="66">
        <v>3560</v>
      </c>
      <c r="I11" s="42">
        <f t="shared" si="0"/>
        <v>890000</v>
      </c>
    </row>
    <row r="12" spans="1:9" s="67" customFormat="1" ht="46.5" customHeight="1" thickBot="1" x14ac:dyDescent="0.25">
      <c r="A12" s="60">
        <v>3</v>
      </c>
      <c r="B12" s="64" t="s">
        <v>68</v>
      </c>
      <c r="C12" s="62" t="s">
        <v>65</v>
      </c>
      <c r="D12" s="62">
        <v>259</v>
      </c>
      <c r="E12" s="63" t="s">
        <v>69</v>
      </c>
      <c r="F12" s="64" t="s">
        <v>70</v>
      </c>
      <c r="G12" s="65">
        <v>100</v>
      </c>
      <c r="H12" s="66">
        <v>420</v>
      </c>
      <c r="I12" s="42">
        <f t="shared" si="0"/>
        <v>42000</v>
      </c>
    </row>
    <row r="13" spans="1:9" s="67" customFormat="1" ht="55.5" customHeight="1" thickBot="1" x14ac:dyDescent="0.25">
      <c r="A13" s="60">
        <v>4</v>
      </c>
      <c r="B13" s="64" t="s">
        <v>71</v>
      </c>
      <c r="C13" s="62" t="s">
        <v>65</v>
      </c>
      <c r="D13" s="62">
        <v>259</v>
      </c>
      <c r="E13" s="63" t="s">
        <v>72</v>
      </c>
      <c r="F13" s="64" t="s">
        <v>70</v>
      </c>
      <c r="G13" s="65">
        <v>30</v>
      </c>
      <c r="H13" s="66">
        <v>570</v>
      </c>
      <c r="I13" s="42">
        <f t="shared" si="0"/>
        <v>17100</v>
      </c>
    </row>
    <row r="14" spans="1:9" s="67" customFormat="1" ht="31.9" customHeight="1" thickBot="1" x14ac:dyDescent="0.25">
      <c r="A14" s="60">
        <v>5</v>
      </c>
      <c r="B14" s="64" t="s">
        <v>73</v>
      </c>
      <c r="C14" s="64" t="s">
        <v>65</v>
      </c>
      <c r="D14" s="62">
        <v>295</v>
      </c>
      <c r="E14" s="70" t="s">
        <v>74</v>
      </c>
      <c r="F14" s="64" t="s">
        <v>67</v>
      </c>
      <c r="G14" s="65">
        <v>700</v>
      </c>
      <c r="H14" s="66">
        <v>3100</v>
      </c>
      <c r="I14" s="42">
        <f t="shared" si="0"/>
        <v>2170000</v>
      </c>
    </row>
    <row r="15" spans="1:9" s="67" customFormat="1" ht="45" customHeight="1" thickBot="1" x14ac:dyDescent="0.25">
      <c r="A15" s="60">
        <v>6</v>
      </c>
      <c r="B15" s="64" t="s">
        <v>75</v>
      </c>
      <c r="C15" s="64" t="s">
        <v>65</v>
      </c>
      <c r="D15" s="62">
        <v>295</v>
      </c>
      <c r="E15" s="70" t="s">
        <v>76</v>
      </c>
      <c r="F15" s="64" t="s">
        <v>77</v>
      </c>
      <c r="G15" s="65">
        <v>2</v>
      </c>
      <c r="H15" s="66">
        <v>528</v>
      </c>
      <c r="I15" s="42">
        <f t="shared" si="0"/>
        <v>1056</v>
      </c>
    </row>
    <row r="16" spans="1:9" s="67" customFormat="1" ht="42" customHeight="1" thickBot="1" x14ac:dyDescent="0.25">
      <c r="A16" s="60">
        <v>7</v>
      </c>
      <c r="B16" s="64" t="s">
        <v>78</v>
      </c>
      <c r="C16" s="64" t="s">
        <v>65</v>
      </c>
      <c r="D16" s="62">
        <v>251</v>
      </c>
      <c r="E16" s="63" t="s">
        <v>79</v>
      </c>
      <c r="F16" s="64" t="s">
        <v>80</v>
      </c>
      <c r="G16" s="65">
        <v>1</v>
      </c>
      <c r="H16" s="66">
        <v>21500</v>
      </c>
      <c r="I16" s="42">
        <f t="shared" si="0"/>
        <v>21500</v>
      </c>
    </row>
    <row r="17" spans="1:10" s="67" customFormat="1" ht="50.25" customHeight="1" thickBot="1" x14ac:dyDescent="0.25">
      <c r="A17" s="60">
        <v>8</v>
      </c>
      <c r="B17" s="64" t="s">
        <v>81</v>
      </c>
      <c r="C17" s="64" t="s">
        <v>65</v>
      </c>
      <c r="D17" s="62">
        <v>251</v>
      </c>
      <c r="E17" s="70" t="s">
        <v>82</v>
      </c>
      <c r="F17" s="64" t="s">
        <v>80</v>
      </c>
      <c r="G17" s="65">
        <v>10</v>
      </c>
      <c r="H17" s="66">
        <v>1960</v>
      </c>
      <c r="I17" s="42">
        <f t="shared" si="0"/>
        <v>19600</v>
      </c>
    </row>
    <row r="18" spans="1:10" s="67" customFormat="1" ht="31.9" customHeight="1" thickBot="1" x14ac:dyDescent="0.25">
      <c r="A18" s="60">
        <v>9</v>
      </c>
      <c r="B18" s="64" t="s">
        <v>83</v>
      </c>
      <c r="C18" s="64" t="s">
        <v>65</v>
      </c>
      <c r="D18" s="62">
        <v>259</v>
      </c>
      <c r="E18" s="63" t="s">
        <v>84</v>
      </c>
      <c r="F18" s="64" t="s">
        <v>85</v>
      </c>
      <c r="G18" s="65">
        <v>80</v>
      </c>
      <c r="H18" s="66">
        <v>8200</v>
      </c>
      <c r="I18" s="42">
        <f t="shared" si="0"/>
        <v>656000</v>
      </c>
    </row>
    <row r="19" spans="1:10" s="67" customFormat="1" ht="31.9" customHeight="1" thickBot="1" x14ac:dyDescent="0.25">
      <c r="A19" s="60">
        <v>10</v>
      </c>
      <c r="B19" s="64" t="s">
        <v>86</v>
      </c>
      <c r="C19" s="64" t="s">
        <v>65</v>
      </c>
      <c r="D19" s="62">
        <v>259</v>
      </c>
      <c r="E19" s="70" t="s">
        <v>87</v>
      </c>
      <c r="F19" s="64" t="s">
        <v>85</v>
      </c>
      <c r="G19" s="65">
        <v>80</v>
      </c>
      <c r="H19" s="66">
        <v>6800</v>
      </c>
      <c r="I19" s="42">
        <f t="shared" si="0"/>
        <v>544000</v>
      </c>
    </row>
    <row r="20" spans="1:10" s="67" customFormat="1" ht="31.9" customHeight="1" thickBot="1" x14ac:dyDescent="0.25">
      <c r="A20" s="60">
        <v>11</v>
      </c>
      <c r="B20" s="64" t="s">
        <v>88</v>
      </c>
      <c r="C20" s="64" t="s">
        <v>65</v>
      </c>
      <c r="D20" s="62">
        <v>259</v>
      </c>
      <c r="E20" s="70" t="s">
        <v>89</v>
      </c>
      <c r="F20" s="64" t="s">
        <v>85</v>
      </c>
      <c r="G20" s="65">
        <v>20</v>
      </c>
      <c r="H20" s="66">
        <v>9282</v>
      </c>
      <c r="I20" s="42">
        <f t="shared" si="0"/>
        <v>185640</v>
      </c>
    </row>
    <row r="21" spans="1:10" s="67" customFormat="1" ht="31.9" customHeight="1" thickBot="1" x14ac:dyDescent="0.25">
      <c r="A21" s="60">
        <v>12</v>
      </c>
      <c r="B21" s="64" t="s">
        <v>90</v>
      </c>
      <c r="C21" s="64" t="s">
        <v>65</v>
      </c>
      <c r="D21" s="68">
        <v>259</v>
      </c>
      <c r="E21" s="71" t="s">
        <v>91</v>
      </c>
      <c r="F21" s="64" t="s">
        <v>70</v>
      </c>
      <c r="G21" s="65">
        <v>3</v>
      </c>
      <c r="H21" s="66">
        <v>4305</v>
      </c>
      <c r="I21" s="42">
        <f t="shared" si="0"/>
        <v>12915</v>
      </c>
    </row>
    <row r="22" spans="1:10" s="67" customFormat="1" ht="31.9" customHeight="1" thickBot="1" x14ac:dyDescent="0.25">
      <c r="A22" s="60">
        <v>13</v>
      </c>
      <c r="B22" s="64" t="s">
        <v>92</v>
      </c>
      <c r="C22" s="64" t="s">
        <v>65</v>
      </c>
      <c r="D22" s="68">
        <v>259</v>
      </c>
      <c r="E22" s="71" t="s">
        <v>93</v>
      </c>
      <c r="F22" s="64" t="s">
        <v>70</v>
      </c>
      <c r="G22" s="65">
        <v>3</v>
      </c>
      <c r="H22" s="66">
        <v>7400</v>
      </c>
      <c r="I22" s="42">
        <f t="shared" si="0"/>
        <v>22200</v>
      </c>
    </row>
    <row r="23" spans="1:10" s="67" customFormat="1" ht="31.9" customHeight="1" thickBot="1" x14ac:dyDescent="0.25">
      <c r="A23" s="60">
        <v>14</v>
      </c>
      <c r="B23" s="61" t="s">
        <v>94</v>
      </c>
      <c r="C23" s="61" t="s">
        <v>95</v>
      </c>
      <c r="D23" s="62">
        <v>295</v>
      </c>
      <c r="E23" s="63" t="s">
        <v>96</v>
      </c>
      <c r="F23" s="64" t="s">
        <v>97</v>
      </c>
      <c r="G23" s="65">
        <v>400</v>
      </c>
      <c r="H23" s="66">
        <v>5405.52</v>
      </c>
      <c r="I23" s="42">
        <f t="shared" si="0"/>
        <v>2162208</v>
      </c>
      <c r="J23" s="72"/>
    </row>
    <row r="25" spans="1:10" ht="13.5" thickBot="1" x14ac:dyDescent="0.25"/>
    <row r="26" spans="1:10" ht="58.5" customHeight="1" thickBot="1" x14ac:dyDescent="0.25">
      <c r="B26" s="76" t="s">
        <v>100</v>
      </c>
      <c r="C26" s="77"/>
      <c r="D26" s="77"/>
      <c r="E26" s="78"/>
    </row>
    <row r="27" spans="1:10" ht="30" customHeight="1" thickBot="1" x14ac:dyDescent="0.25">
      <c r="B27" s="79" t="s">
        <v>101</v>
      </c>
      <c r="C27" s="80"/>
      <c r="D27" s="80"/>
      <c r="E27" s="81"/>
    </row>
    <row r="28" spans="1:10" ht="39" customHeight="1" thickBot="1" x14ac:dyDescent="0.25">
      <c r="B28" s="82" t="s">
        <v>102</v>
      </c>
      <c r="C28" s="83"/>
      <c r="D28" s="83"/>
      <c r="E28" s="84"/>
    </row>
    <row r="29" spans="1:10" ht="13.5" thickBot="1" x14ac:dyDescent="0.25"/>
    <row r="30" spans="1:10" ht="51" customHeight="1" thickBot="1" x14ac:dyDescent="0.25">
      <c r="B30" s="73" t="s">
        <v>99</v>
      </c>
      <c r="C30" s="74"/>
      <c r="D30" s="74"/>
      <c r="E30" s="75"/>
    </row>
  </sheetData>
  <autoFilter ref="A9:I23" xr:uid="{00000000-0009-0000-0000-000000000000}"/>
  <mergeCells count="11">
    <mergeCell ref="B2:H2"/>
    <mergeCell ref="A4:B4"/>
    <mergeCell ref="C4:E4"/>
    <mergeCell ref="A5:B5"/>
    <mergeCell ref="C5:E5"/>
    <mergeCell ref="B30:E30"/>
    <mergeCell ref="B26:E26"/>
    <mergeCell ref="B27:E27"/>
    <mergeCell ref="B28:E28"/>
    <mergeCell ref="A6:B6"/>
    <mergeCell ref="A7:B7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6"/>
  <sheetViews>
    <sheetView zoomScale="70" zoomScaleNormal="70" workbookViewId="0">
      <selection activeCell="K2" sqref="K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45.8554687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96" t="s">
        <v>103</v>
      </c>
      <c r="B1" s="96"/>
      <c r="C1" s="96"/>
      <c r="D1" s="96"/>
      <c r="E1" s="96"/>
      <c r="F1" s="96"/>
      <c r="G1" s="96"/>
      <c r="H1" s="96"/>
      <c r="I1" s="96"/>
      <c r="J1" s="3" t="s">
        <v>14</v>
      </c>
      <c r="K1" s="45" t="s">
        <v>108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97" t="s">
        <v>47</v>
      </c>
      <c r="B3" s="97"/>
      <c r="C3" s="97"/>
      <c r="D3" s="98" t="str">
        <f>'Necesidades Trimestrales'!C4</f>
        <v>40 - Ministerio de Salud</v>
      </c>
      <c r="E3" s="98"/>
      <c r="F3" s="98"/>
      <c r="G3" s="98"/>
      <c r="H3" s="98"/>
      <c r="I3" s="98"/>
      <c r="J3" s="98"/>
      <c r="K3" s="98"/>
    </row>
    <row r="4" spans="1:11" ht="18.75" customHeight="1" thickBot="1" x14ac:dyDescent="0.25">
      <c r="A4" s="99" t="s">
        <v>48</v>
      </c>
      <c r="B4" s="99"/>
      <c r="C4" s="99"/>
      <c r="D4" s="98" t="str">
        <f>'Necesidades Trimestrales'!C5</f>
        <v>23 - Hospital Interzonal San Juan Bautista</v>
      </c>
      <c r="E4" s="98"/>
      <c r="F4" s="98"/>
      <c r="G4" s="98"/>
      <c r="H4" s="98"/>
      <c r="I4" s="98"/>
      <c r="J4" s="98"/>
      <c r="K4" s="98"/>
    </row>
    <row r="5" spans="1:11" ht="18.75" customHeight="1" thickBot="1" x14ac:dyDescent="0.25">
      <c r="A5" s="99" t="s">
        <v>26</v>
      </c>
      <c r="B5" s="99"/>
      <c r="C5" s="99"/>
      <c r="D5" s="98" t="s">
        <v>53</v>
      </c>
      <c r="E5" s="98"/>
      <c r="F5" s="98"/>
      <c r="G5" s="98"/>
      <c r="H5" s="98"/>
      <c r="I5" s="98"/>
      <c r="J5" s="98"/>
      <c r="K5" s="98"/>
    </row>
    <row r="6" spans="1:11" ht="16.5" customHeight="1" thickBot="1" x14ac:dyDescent="0.25">
      <c r="A6" s="97" t="s">
        <v>49</v>
      </c>
      <c r="B6" s="97"/>
      <c r="C6" s="97"/>
      <c r="D6" s="98" t="s">
        <v>54</v>
      </c>
      <c r="E6" s="98"/>
      <c r="F6" s="98"/>
      <c r="G6" s="98"/>
      <c r="H6" s="98"/>
      <c r="I6" s="98"/>
      <c r="J6" s="98"/>
      <c r="K6" s="98"/>
    </row>
    <row r="7" spans="1:11" ht="16.5" customHeight="1" x14ac:dyDescent="0.2">
      <c r="A7" s="99" t="s">
        <v>15</v>
      </c>
      <c r="B7" s="99"/>
      <c r="C7" s="99"/>
      <c r="D7" s="98" t="s">
        <v>104</v>
      </c>
      <c r="E7" s="98"/>
      <c r="F7" s="98"/>
      <c r="G7" s="98"/>
      <c r="H7" s="98"/>
      <c r="I7" s="98"/>
      <c r="J7" s="98"/>
      <c r="K7" s="98"/>
    </row>
    <row r="8" spans="1:11" ht="16.5" customHeight="1" x14ac:dyDescent="0.2">
      <c r="A8" s="90" t="s">
        <v>16</v>
      </c>
      <c r="B8" s="90"/>
      <c r="C8" s="90"/>
      <c r="D8" s="91" t="s">
        <v>98</v>
      </c>
      <c r="E8" s="91"/>
      <c r="F8" s="91"/>
      <c r="G8" s="91"/>
      <c r="H8" s="91"/>
      <c r="I8" s="91"/>
      <c r="J8" s="91"/>
      <c r="K8" s="91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2" t="s">
        <v>17</v>
      </c>
      <c r="B10" s="93" t="s">
        <v>18</v>
      </c>
      <c r="C10" s="93" t="s">
        <v>19</v>
      </c>
      <c r="D10" s="93"/>
      <c r="E10" s="93"/>
      <c r="F10" s="93"/>
      <c r="G10" s="93"/>
      <c r="H10" s="93" t="s">
        <v>20</v>
      </c>
      <c r="I10" s="93" t="s">
        <v>21</v>
      </c>
      <c r="J10" s="93" t="s">
        <v>22</v>
      </c>
      <c r="K10" s="94" t="s">
        <v>23</v>
      </c>
    </row>
    <row r="11" spans="1:11" ht="24" customHeight="1" thickBot="1" x14ac:dyDescent="0.25">
      <c r="A11" s="92"/>
      <c r="B11" s="93"/>
      <c r="C11" s="93"/>
      <c r="D11" s="93"/>
      <c r="E11" s="93"/>
      <c r="F11" s="93"/>
      <c r="G11" s="93"/>
      <c r="H11" s="93"/>
      <c r="I11" s="93"/>
      <c r="J11" s="93"/>
      <c r="K11" s="94"/>
    </row>
    <row r="12" spans="1:11" ht="35.25" customHeight="1" thickBot="1" x14ac:dyDescent="0.25">
      <c r="A12" s="8">
        <v>1</v>
      </c>
      <c r="B12" s="46" t="str">
        <f>'Necesidades Trimestrales'!B10</f>
        <v>2.5.1-9004.770</v>
      </c>
      <c r="C12" s="88" t="str">
        <f>'Necesidades Trimestrales'!E10</f>
        <v>SALES; COMPUESTO QUIMICO: CLORURO DE SODIO, ESTADO: SOLIDO, CALIDAD: INDUSTRIAL, CONCENTRACION/PUREZA: 99 %, PRESENTACION: ENVASE X 25 Kg, GRADO HIDRATACION: ANHIDRIDO</v>
      </c>
      <c r="D12" s="88"/>
      <c r="E12" s="88"/>
      <c r="F12" s="88"/>
      <c r="G12" s="88"/>
      <c r="H12" s="47" t="s">
        <v>50</v>
      </c>
      <c r="I12" s="48" t="str">
        <f>'Necesidades Trimestrales'!F10</f>
        <v>BOLSA</v>
      </c>
      <c r="J12" s="49">
        <f>'Necesidades Trimestrales'!H10</f>
        <v>1500</v>
      </c>
      <c r="K12" s="50">
        <f>'Necesidades Trimestrales'!G10</f>
        <v>10</v>
      </c>
    </row>
    <row r="13" spans="1:11" ht="27.75" customHeight="1" thickBot="1" x14ac:dyDescent="0.25">
      <c r="A13" s="8">
        <v>2</v>
      </c>
      <c r="B13" s="46" t="str">
        <f>'Necesidades Trimestrales'!B11</f>
        <v>2.2.2-808.30</v>
      </c>
      <c r="C13" s="88" t="str">
        <f>'Necesidades Trimestrales'!E11</f>
        <v>CAMISOLINES DE CIRUGIA; TELA: BRIN SANFORIZADA PRE ENCOGIDO</v>
      </c>
      <c r="D13" s="88"/>
      <c r="E13" s="88"/>
      <c r="F13" s="88"/>
      <c r="G13" s="88"/>
      <c r="H13" s="47" t="s">
        <v>50</v>
      </c>
      <c r="I13" s="48" t="str">
        <f>'Necesidades Trimestrales'!F11</f>
        <v>UNIDAD</v>
      </c>
      <c r="J13" s="49">
        <f>'Necesidades Trimestrales'!H11</f>
        <v>3560</v>
      </c>
      <c r="K13" s="50">
        <f>'Necesidades Trimestrales'!G11</f>
        <v>250</v>
      </c>
    </row>
    <row r="14" spans="1:11" ht="45.75" customHeight="1" thickBot="1" x14ac:dyDescent="0.25">
      <c r="A14" s="8">
        <v>3</v>
      </c>
      <c r="B14" s="46" t="str">
        <f>'Necesidades Trimestrales'!B12</f>
        <v>2.9.5-2620.6</v>
      </c>
      <c r="C14" s="88" t="str">
        <f>'Necesidades Trimestrales'!E12</f>
        <v>INDICADORES DE ESTERILIZACION; METODO DE ESTERILIZACION: AUTOCLAVE DE VAPOR, TIPO DE INDICADOR: CINTA INDICADORA, PRESENTACION: ROLLO, METODO: AUTOCLAVE DE VAPOR, INDICADOR: CINTA INDICADORA</v>
      </c>
      <c r="D14" s="88"/>
      <c r="E14" s="88"/>
      <c r="F14" s="88"/>
      <c r="G14" s="88"/>
      <c r="H14" s="47" t="s">
        <v>50</v>
      </c>
      <c r="I14" s="48" t="str">
        <f>'Necesidades Trimestrales'!F12</f>
        <v>ROLLO</v>
      </c>
      <c r="J14" s="49">
        <f>'Necesidades Trimestrales'!H12</f>
        <v>420</v>
      </c>
      <c r="K14" s="50">
        <f>'Necesidades Trimestrales'!G12</f>
        <v>100</v>
      </c>
    </row>
    <row r="15" spans="1:11" ht="48" customHeight="1" thickBot="1" x14ac:dyDescent="0.25">
      <c r="A15" s="8">
        <v>4</v>
      </c>
      <c r="B15" s="46" t="str">
        <f>'Necesidades Trimestrales'!B13</f>
        <v>2.9.5-2620.7</v>
      </c>
      <c r="C15" s="88" t="str">
        <f>'Necesidades Trimestrales'!E13</f>
        <v>INDICADORES DE ESTERILIZACION; METODO DE ESTERILIZACION: CALOR SECO, PRESENTACION: ROLLO, METODO: CALOR SECO, INDICADOR: CINTA INDICADORA, TIPO DE INDICADOR: CINTA INDICADORA</v>
      </c>
      <c r="D15" s="88"/>
      <c r="E15" s="88"/>
      <c r="F15" s="88"/>
      <c r="G15" s="88"/>
      <c r="H15" s="47" t="s">
        <v>50</v>
      </c>
      <c r="I15" s="48" t="str">
        <f>'Necesidades Trimestrales'!F13</f>
        <v>ROLLO</v>
      </c>
      <c r="J15" s="49">
        <f>'Necesidades Trimestrales'!H13</f>
        <v>570</v>
      </c>
      <c r="K15" s="50">
        <f>'Necesidades Trimestrales'!G13</f>
        <v>30</v>
      </c>
    </row>
    <row r="16" spans="1:11" ht="30" customHeight="1" thickBot="1" x14ac:dyDescent="0.25">
      <c r="A16" s="8">
        <v>5</v>
      </c>
      <c r="B16" s="46" t="str">
        <f>'Necesidades Trimestrales'!B14</f>
        <v>2.9.5-473.89</v>
      </c>
      <c r="C16" s="88" t="str">
        <f>'Necesidades Trimestrales'!E14</f>
        <v>GASAS; TIPO: HIDROFILA HIDROSAN, PRESENTACION: PIEZA 1,8 KGS</v>
      </c>
      <c r="D16" s="88"/>
      <c r="E16" s="88"/>
      <c r="F16" s="88"/>
      <c r="G16" s="88"/>
      <c r="H16" s="47" t="s">
        <v>105</v>
      </c>
      <c r="I16" s="48" t="str">
        <f>'Necesidades Trimestrales'!F14</f>
        <v>UNIDAD</v>
      </c>
      <c r="J16" s="49">
        <f>'Necesidades Trimestrales'!H14</f>
        <v>3100</v>
      </c>
      <c r="K16" s="50">
        <f>'Necesidades Trimestrales'!G14</f>
        <v>700</v>
      </c>
    </row>
    <row r="17" spans="1:1024" ht="37.5" customHeight="1" thickBot="1" x14ac:dyDescent="0.25">
      <c r="A17" s="8">
        <v>6</v>
      </c>
      <c r="B17" s="46" t="str">
        <f>'Necesidades Trimestrales'!B15</f>
        <v>2.9.5-1909.225</v>
      </c>
      <c r="C17" s="88" t="str">
        <f>'Necesidades Trimestrales'!E15</f>
        <v>GUANTES USO MEDICINAL; TIPO: P/QUIMICOS, TAMAÑO: MEDIANO CAÑA LARGA, MATERIAL: NITRILO, PRESENTACION: X PAR</v>
      </c>
      <c r="D17" s="88"/>
      <c r="E17" s="88"/>
      <c r="F17" s="88"/>
      <c r="G17" s="88"/>
      <c r="H17" s="47" t="s">
        <v>50</v>
      </c>
      <c r="I17" s="48" t="str">
        <f>'Necesidades Trimestrales'!F15</f>
        <v>PAR</v>
      </c>
      <c r="J17" s="49">
        <f>'Necesidades Trimestrales'!H15</f>
        <v>528</v>
      </c>
      <c r="K17" s="50">
        <f>'Necesidades Trimestrales'!G15</f>
        <v>2</v>
      </c>
    </row>
    <row r="18" spans="1:1024" ht="33" customHeight="1" thickBot="1" x14ac:dyDescent="0.25">
      <c r="A18" s="8">
        <v>7</v>
      </c>
      <c r="B18" s="46" t="str">
        <f>'Necesidades Trimestrales'!B16</f>
        <v>2.9.5-2620.78</v>
      </c>
      <c r="C18" s="88" t="str">
        <f>'Necesidades Trimestrales'!E16</f>
        <v>INDICADORES DE ESTERILIZACION; PRESENTACION: UNIDAD, METODO: AUTOCLAVE DE VAPOR, INDICADOR: TESTIGO BIOLOGICO, PRESENTACION: ENVASE X 100</v>
      </c>
      <c r="D18" s="88"/>
      <c r="E18" s="88"/>
      <c r="F18" s="88"/>
      <c r="G18" s="88"/>
      <c r="H18" s="47" t="s">
        <v>50</v>
      </c>
      <c r="I18" s="48" t="str">
        <f>'Necesidades Trimestrales'!F16</f>
        <v>CAJA</v>
      </c>
      <c r="J18" s="49">
        <f>'Necesidades Trimestrales'!H16</f>
        <v>21500</v>
      </c>
      <c r="K18" s="50">
        <f>'Necesidades Trimestrales'!G16</f>
        <v>1</v>
      </c>
    </row>
    <row r="19" spans="1:1024" ht="40.5" customHeight="1" thickBot="1" x14ac:dyDescent="0.25">
      <c r="A19" s="8">
        <v>8</v>
      </c>
      <c r="B19" s="46" t="str">
        <f>'Necesidades Trimestrales'!B17</f>
        <v>2.9.5-2620.2</v>
      </c>
      <c r="C19" s="88" t="str">
        <f>'Necesidades Trimestrales'!E17</f>
        <v>INDICADORES DE ESTERILIZACION; TIPO DE INDICADOR: TIRAS INTEGRADORAS, PRESENTACION: CAJA X 100 UN, METODO: OXIDO DE ETILENO, METODO DE ESTERILIZACION: OXIDO DE ETILENO, INDICADOR: TIRAS INTEGRADORAS</v>
      </c>
      <c r="D19" s="88"/>
      <c r="E19" s="88"/>
      <c r="F19" s="88"/>
      <c r="G19" s="88"/>
      <c r="H19" s="47" t="s">
        <v>50</v>
      </c>
      <c r="I19" s="48" t="str">
        <f>'Necesidades Trimestrales'!F17</f>
        <v>CAJA</v>
      </c>
      <c r="J19" s="49">
        <f>'Necesidades Trimestrales'!H17</f>
        <v>1960</v>
      </c>
      <c r="K19" s="50">
        <f>'Necesidades Trimestrales'!G17</f>
        <v>10</v>
      </c>
    </row>
    <row r="20" spans="1:1024" ht="26.25" customHeight="1" thickBot="1" x14ac:dyDescent="0.25">
      <c r="A20" s="8">
        <v>9</v>
      </c>
      <c r="B20" s="46" t="str">
        <f>'Necesidades Trimestrales'!B18</f>
        <v>2.9.5-2554.39</v>
      </c>
      <c r="C20" s="88" t="str">
        <f>'Necesidades Trimestrales'!E18</f>
        <v>PAPELES P/ESTERILIZACION; TIPO: GRADO MEDICO, PRESENTACION: 120 CM X 100 M</v>
      </c>
      <c r="D20" s="88"/>
      <c r="E20" s="88"/>
      <c r="F20" s="88"/>
      <c r="G20" s="88"/>
      <c r="H20" s="47" t="s">
        <v>50</v>
      </c>
      <c r="I20" s="48" t="str">
        <f>'Necesidades Trimestrales'!F18</f>
        <v>BOBINA</v>
      </c>
      <c r="J20" s="49">
        <f>'Necesidades Trimestrales'!H18</f>
        <v>8200</v>
      </c>
      <c r="K20" s="50">
        <f>'Necesidades Trimestrales'!G18</f>
        <v>80</v>
      </c>
    </row>
    <row r="21" spans="1:1024" ht="20.25" customHeight="1" thickBot="1" x14ac:dyDescent="0.25">
      <c r="A21" s="8">
        <v>10</v>
      </c>
      <c r="B21" s="46" t="str">
        <f>'Necesidades Trimestrales'!B19</f>
        <v>2.9.5-2554.26</v>
      </c>
      <c r="C21" s="88" t="str">
        <f>'Necesidades Trimestrales'!E19</f>
        <v>PAPELES P/ESTERILIZACION; TIPO: GRADO MEDICO, PRESENTACION: ROLLO X 60 CM X 200 M</v>
      </c>
      <c r="D21" s="88"/>
      <c r="E21" s="88"/>
      <c r="F21" s="88"/>
      <c r="G21" s="88"/>
      <c r="H21" s="47" t="s">
        <v>50</v>
      </c>
      <c r="I21" s="48" t="str">
        <f>'Necesidades Trimestrales'!F19</f>
        <v>BOBINA</v>
      </c>
      <c r="J21" s="49">
        <f>'Necesidades Trimestrales'!H19</f>
        <v>6800</v>
      </c>
      <c r="K21" s="50">
        <f>'Necesidades Trimestrales'!G19</f>
        <v>80</v>
      </c>
    </row>
    <row r="22" spans="1:1024" ht="20.25" customHeight="1" thickBot="1" x14ac:dyDescent="0.25">
      <c r="A22" s="8">
        <v>11</v>
      </c>
      <c r="B22" s="46" t="str">
        <f>'Necesidades Trimestrales'!B20</f>
        <v>2.9.5-2554.33</v>
      </c>
      <c r="C22" s="88" t="str">
        <f>'Necesidades Trimestrales'!E20</f>
        <v>PAPELES P/ESTERILIZACION; TIPO: GRADO MEDICO, PRESENTACION: 80 X 333 Cm</v>
      </c>
      <c r="D22" s="88"/>
      <c r="E22" s="88"/>
      <c r="F22" s="88"/>
      <c r="G22" s="88"/>
      <c r="H22" s="47" t="s">
        <v>50</v>
      </c>
      <c r="I22" s="48" t="str">
        <f>'Necesidades Trimestrales'!F20</f>
        <v>BOBINA</v>
      </c>
      <c r="J22" s="49">
        <f>'Necesidades Trimestrales'!H20</f>
        <v>9282</v>
      </c>
      <c r="K22" s="50">
        <f>'Necesidades Trimestrales'!G20</f>
        <v>20</v>
      </c>
    </row>
    <row r="23" spans="1:1024" ht="20.25" customHeight="1" thickBot="1" x14ac:dyDescent="0.25">
      <c r="A23" s="8">
        <v>12</v>
      </c>
      <c r="B23" s="46" t="str">
        <f>'Necesidades Trimestrales'!B21</f>
        <v>2.9.5-2554.9</v>
      </c>
      <c r="C23" s="88" t="str">
        <f>'Necesidades Trimestrales'!E21</f>
        <v>PAPELES P/ESTERILIZACION; TIPO: POUCH, PRESENTACION: ROLLO X 10 CM X 200 M</v>
      </c>
      <c r="D23" s="88"/>
      <c r="E23" s="88"/>
      <c r="F23" s="88"/>
      <c r="G23" s="88"/>
      <c r="H23" s="47" t="s">
        <v>50</v>
      </c>
      <c r="I23" s="48" t="str">
        <f>'Necesidades Trimestrales'!F21</f>
        <v>ROLLO</v>
      </c>
      <c r="J23" s="49">
        <f>'Necesidades Trimestrales'!H21</f>
        <v>4305</v>
      </c>
      <c r="K23" s="50">
        <f>'Necesidades Trimestrales'!G21</f>
        <v>3</v>
      </c>
    </row>
    <row r="24" spans="1:1024" ht="20.25" customHeight="1" thickBot="1" x14ac:dyDescent="0.25">
      <c r="A24" s="8">
        <v>13</v>
      </c>
      <c r="B24" s="46" t="str">
        <f>'Necesidades Trimestrales'!B22</f>
        <v>2.9.5-2554.11</v>
      </c>
      <c r="C24" s="88" t="str">
        <f>'Necesidades Trimestrales'!E22</f>
        <v>PAPELES P/ESTERILIZACION; TIPO: POUCH, PRESENTACION: ROLLO X 20 CM X 200 M</v>
      </c>
      <c r="D24" s="88"/>
      <c r="E24" s="88"/>
      <c r="F24" s="88"/>
      <c r="G24" s="88"/>
      <c r="H24" s="47" t="s">
        <v>50</v>
      </c>
      <c r="I24" s="48" t="str">
        <f>'Necesidades Trimestrales'!F22</f>
        <v>ROLLO</v>
      </c>
      <c r="J24" s="49">
        <f>'Necesidades Trimestrales'!H22</f>
        <v>7400</v>
      </c>
      <c r="K24" s="50">
        <f>'Necesidades Trimestrales'!G22</f>
        <v>3</v>
      </c>
    </row>
    <row r="25" spans="1:1024" ht="20.25" customHeight="1" thickBot="1" x14ac:dyDescent="0.25">
      <c r="A25" s="8">
        <v>14</v>
      </c>
      <c r="B25" s="46" t="str">
        <f>'Necesidades Trimestrales'!B23</f>
        <v>2.9.5-7694.39</v>
      </c>
      <c r="C25" s="88" t="str">
        <f>'Necesidades Trimestrales'!E23</f>
        <v>SET DE CIRUGIA; COMPONENTES: 17, USO: CIRUGIA GENERAL - ROPA DESCARTABLE ESTERIL</v>
      </c>
      <c r="D25" s="88"/>
      <c r="E25" s="88"/>
      <c r="F25" s="88"/>
      <c r="G25" s="88"/>
      <c r="H25" s="47" t="s">
        <v>50</v>
      </c>
      <c r="I25" s="48" t="str">
        <f>'Necesidades Trimestrales'!F23</f>
        <v>PAQUETE</v>
      </c>
      <c r="J25" s="49">
        <f>'Necesidades Trimestrales'!H23</f>
        <v>5405.52</v>
      </c>
      <c r="K25" s="50">
        <f>'Necesidades Trimestrales'!G23</f>
        <v>400</v>
      </c>
    </row>
    <row r="26" spans="1:1024" ht="28.5" customHeight="1" thickBot="1" x14ac:dyDescent="0.25">
      <c r="A26" s="95" t="s">
        <v>106</v>
      </c>
      <c r="B26" s="95"/>
      <c r="C26" s="95"/>
      <c r="D26" s="95"/>
      <c r="E26" s="95"/>
      <c r="F26" s="95"/>
      <c r="G26" s="95"/>
      <c r="H26" s="95"/>
      <c r="I26" s="95"/>
      <c r="J26" s="89">
        <f>SUMPRODUCT(J12:J25,K12:K25)</f>
        <v>6759219</v>
      </c>
      <c r="K26" s="89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</sheetData>
  <mergeCells count="36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26:K2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20:G20"/>
    <mergeCell ref="A26:I26"/>
    <mergeCell ref="C12:G12"/>
    <mergeCell ref="C22:G22"/>
    <mergeCell ref="C23:G23"/>
    <mergeCell ref="C24:G24"/>
    <mergeCell ref="C25:G25"/>
    <mergeCell ref="C13:G13"/>
    <mergeCell ref="C14:G14"/>
    <mergeCell ref="C15:G15"/>
    <mergeCell ref="C16:G16"/>
    <mergeCell ref="C21:G2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tabSelected="1" topLeftCell="A4" zoomScale="130" zoomScaleNormal="130" workbookViewId="0">
      <selection activeCell="N30" sqref="N30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23" t="s">
        <v>3</v>
      </c>
      <c r="B1" s="123"/>
      <c r="C1" s="123"/>
      <c r="D1" s="124">
        <f>'Necesidades Trimestrales'!C6</f>
        <v>2022</v>
      </c>
      <c r="E1" s="124"/>
      <c r="F1" s="10"/>
      <c r="G1" s="10"/>
      <c r="H1" s="11"/>
      <c r="I1" s="11"/>
      <c r="J1" s="11"/>
      <c r="K1" s="11"/>
      <c r="L1" s="11"/>
      <c r="M1" s="11"/>
      <c r="N1" s="11"/>
      <c r="P1" s="125" t="s">
        <v>24</v>
      </c>
      <c r="Q1" s="125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25"/>
      <c r="Q2" s="125"/>
    </row>
    <row r="4" spans="1:17" s="12" customFormat="1" ht="18" customHeight="1" thickBot="1" x14ac:dyDescent="0.25">
      <c r="A4" s="126" t="s">
        <v>25</v>
      </c>
      <c r="B4" s="126"/>
      <c r="C4" s="126"/>
      <c r="D4" s="126"/>
      <c r="E4" s="126"/>
      <c r="F4" s="126"/>
      <c r="G4" s="121" t="str">
        <f>NotaPedido!D3</f>
        <v>40 - Ministerio de Salud</v>
      </c>
      <c r="H4" s="121"/>
      <c r="I4" s="121"/>
      <c r="J4" s="121"/>
      <c r="K4" s="121"/>
      <c r="L4" s="121"/>
      <c r="M4" s="121"/>
      <c r="N4" s="121"/>
      <c r="O4" s="121"/>
      <c r="P4" s="121"/>
      <c r="Q4" s="121"/>
    </row>
    <row r="5" spans="1:17" s="12" customFormat="1" ht="18" customHeight="1" thickBot="1" x14ac:dyDescent="0.25">
      <c r="A5" s="118" t="s">
        <v>48</v>
      </c>
      <c r="B5" s="119"/>
      <c r="C5" s="119"/>
      <c r="D5" s="119"/>
      <c r="E5" s="119"/>
      <c r="F5" s="120"/>
      <c r="G5" s="121" t="str">
        <f>NotaPedido!D4</f>
        <v>23 - Hospital Interzonal San Juan Bautista</v>
      </c>
      <c r="H5" s="121"/>
      <c r="I5" s="121"/>
      <c r="J5" s="121"/>
      <c r="K5" s="121"/>
      <c r="L5" s="121"/>
      <c r="M5" s="121"/>
      <c r="N5" s="121"/>
      <c r="O5" s="121"/>
      <c r="P5" s="121"/>
      <c r="Q5" s="121"/>
    </row>
    <row r="6" spans="1:17" s="12" customFormat="1" ht="18" customHeight="1" thickBot="1" x14ac:dyDescent="0.25">
      <c r="A6" s="118" t="s">
        <v>26</v>
      </c>
      <c r="B6" s="119"/>
      <c r="C6" s="119"/>
      <c r="D6" s="119"/>
      <c r="E6" s="119"/>
      <c r="F6" s="120"/>
      <c r="G6" s="121" t="str">
        <f>NotaPedido!D5</f>
        <v>168 - Direccion Asistencial</v>
      </c>
      <c r="H6" s="121"/>
      <c r="I6" s="121"/>
      <c r="J6" s="121"/>
      <c r="K6" s="121"/>
      <c r="L6" s="121"/>
      <c r="M6" s="121"/>
      <c r="N6" s="121"/>
      <c r="O6" s="121"/>
      <c r="P6" s="121"/>
      <c r="Q6" s="121"/>
    </row>
    <row r="7" spans="1:17" s="12" customFormat="1" ht="18" customHeight="1" thickBot="1" x14ac:dyDescent="0.25">
      <c r="A7" s="118" t="s">
        <v>49</v>
      </c>
      <c r="B7" s="119"/>
      <c r="C7" s="119"/>
      <c r="D7" s="119"/>
      <c r="E7" s="119"/>
      <c r="F7" s="120"/>
      <c r="G7" s="121" t="str">
        <f>NotaPedido!D6</f>
        <v>Servicio de Farmacia</v>
      </c>
      <c r="H7" s="121"/>
      <c r="I7" s="121"/>
      <c r="J7" s="121"/>
      <c r="K7" s="121"/>
      <c r="L7" s="121"/>
      <c r="M7" s="121"/>
      <c r="N7" s="121"/>
      <c r="O7" s="121"/>
      <c r="P7" s="121"/>
      <c r="Q7" s="121"/>
    </row>
    <row r="8" spans="1:17" ht="18" customHeight="1" thickBot="1" x14ac:dyDescent="0.25">
      <c r="A8" s="122" t="s">
        <v>27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</row>
    <row r="9" spans="1:17" ht="18" customHeight="1" x14ac:dyDescent="0.2">
      <c r="A9" s="112" t="s">
        <v>28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"/>
      <c r="P9" s="1"/>
      <c r="Q9" s="13"/>
    </row>
    <row r="10" spans="1:17" ht="54.75" customHeight="1" x14ac:dyDescent="0.2">
      <c r="A10" s="113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DOCFI-2022-01527755-CAT-DASIS#HSJB,  afectando la erogación resultante a los créditos presupuestarios aprobados a favor de esta Unidad Ejecutora, conforme al siguiente detalle:</v>
      </c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4" t="s">
        <v>29</v>
      </c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</row>
    <row r="13" spans="1:17" ht="15.75" customHeight="1" x14ac:dyDescent="0.2">
      <c r="A13" s="115" t="s">
        <v>30</v>
      </c>
      <c r="B13" s="115"/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6" t="s">
        <v>31</v>
      </c>
      <c r="P13" s="116"/>
      <c r="Q13" s="117" t="s">
        <v>32</v>
      </c>
    </row>
    <row r="14" spans="1:17" ht="15.75" customHeight="1" x14ac:dyDescent="0.2">
      <c r="A14" s="18" t="s">
        <v>33</v>
      </c>
      <c r="B14" s="19" t="s">
        <v>34</v>
      </c>
      <c r="C14" s="19" t="s">
        <v>35</v>
      </c>
      <c r="D14" s="19" t="s">
        <v>36</v>
      </c>
      <c r="E14" s="19" t="s">
        <v>37</v>
      </c>
      <c r="F14" s="19" t="s">
        <v>38</v>
      </c>
      <c r="G14" s="20" t="s">
        <v>39</v>
      </c>
      <c r="H14" s="19" t="s">
        <v>40</v>
      </c>
      <c r="I14" s="19" t="s">
        <v>41</v>
      </c>
      <c r="J14" s="19" t="s">
        <v>42</v>
      </c>
      <c r="K14" s="19" t="s">
        <v>42</v>
      </c>
      <c r="L14" s="19" t="s">
        <v>43</v>
      </c>
      <c r="M14" s="21" t="s">
        <v>44</v>
      </c>
      <c r="N14" s="22" t="s">
        <v>45</v>
      </c>
      <c r="O14" s="116"/>
      <c r="P14" s="116"/>
      <c r="Q14" s="117"/>
    </row>
    <row r="15" spans="1:17" ht="17.25" customHeight="1" x14ac:dyDescent="0.2">
      <c r="A15" s="53">
        <v>33</v>
      </c>
      <c r="B15" s="54"/>
      <c r="C15" s="54"/>
      <c r="D15" s="54">
        <v>2</v>
      </c>
      <c r="E15" s="54"/>
      <c r="F15" s="54">
        <v>4901</v>
      </c>
      <c r="G15" s="54">
        <v>3</v>
      </c>
      <c r="H15" s="55" t="s">
        <v>57</v>
      </c>
      <c r="I15" s="56">
        <v>2</v>
      </c>
      <c r="J15" s="56">
        <v>5</v>
      </c>
      <c r="K15" s="56">
        <v>1</v>
      </c>
      <c r="L15" s="54"/>
      <c r="M15" s="57">
        <v>1</v>
      </c>
      <c r="N15" s="55" t="s">
        <v>58</v>
      </c>
      <c r="O15" s="110" t="s">
        <v>55</v>
      </c>
      <c r="P15" s="110"/>
      <c r="Q15" s="23">
        <v>56100</v>
      </c>
    </row>
    <row r="16" spans="1:17" ht="17.25" customHeight="1" x14ac:dyDescent="0.2">
      <c r="A16" s="24">
        <v>33</v>
      </c>
      <c r="B16" s="25"/>
      <c r="C16" s="25"/>
      <c r="D16" s="25">
        <v>2</v>
      </c>
      <c r="E16" s="25"/>
      <c r="F16" s="25">
        <v>4901</v>
      </c>
      <c r="G16" s="25">
        <v>3</v>
      </c>
      <c r="H16" s="51" t="s">
        <v>57</v>
      </c>
      <c r="I16" s="25">
        <v>2</v>
      </c>
      <c r="J16" s="25">
        <v>5</v>
      </c>
      <c r="K16" s="25">
        <v>9</v>
      </c>
      <c r="L16" s="25"/>
      <c r="M16" s="26">
        <v>1</v>
      </c>
      <c r="N16" s="52" t="s">
        <v>58</v>
      </c>
      <c r="O16" s="111" t="s">
        <v>56</v>
      </c>
      <c r="P16" s="111"/>
      <c r="Q16" s="28">
        <v>1479855</v>
      </c>
    </row>
    <row r="17" spans="1:19" ht="17.25" customHeight="1" x14ac:dyDescent="0.2">
      <c r="A17" s="24">
        <v>33</v>
      </c>
      <c r="B17" s="25"/>
      <c r="C17" s="25"/>
      <c r="D17" s="25">
        <v>2</v>
      </c>
      <c r="E17" s="25"/>
      <c r="F17" s="27">
        <v>4901</v>
      </c>
      <c r="G17" s="25">
        <v>3</v>
      </c>
      <c r="H17" s="51" t="s">
        <v>57</v>
      </c>
      <c r="I17" s="25">
        <v>2</v>
      </c>
      <c r="J17" s="25">
        <v>9</v>
      </c>
      <c r="K17" s="25">
        <v>5</v>
      </c>
      <c r="L17" s="25"/>
      <c r="M17" s="26">
        <v>1</v>
      </c>
      <c r="N17" s="52" t="s">
        <v>58</v>
      </c>
      <c r="O17" s="111" t="s">
        <v>59</v>
      </c>
      <c r="P17" s="111"/>
      <c r="Q17" s="28">
        <v>5223264</v>
      </c>
      <c r="S17" s="58"/>
    </row>
    <row r="18" spans="1:19" ht="17.25" customHeight="1" x14ac:dyDescent="0.2">
      <c r="A18" s="24"/>
      <c r="B18" s="25"/>
      <c r="C18" s="25"/>
      <c r="D18" s="25"/>
      <c r="E18" s="25"/>
      <c r="F18" s="27"/>
      <c r="G18" s="25"/>
      <c r="H18" s="25"/>
      <c r="I18" s="25"/>
      <c r="J18" s="25"/>
      <c r="K18" s="25"/>
      <c r="L18" s="25"/>
      <c r="M18" s="26"/>
      <c r="N18" s="27"/>
      <c r="O18" s="105"/>
      <c r="P18" s="105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05"/>
      <c r="P19" s="105"/>
      <c r="Q19" s="28"/>
    </row>
    <row r="20" spans="1:19" ht="17.25" customHeight="1" x14ac:dyDescent="0.2">
      <c r="A20" s="29"/>
      <c r="B20" s="30"/>
      <c r="C20" s="30"/>
      <c r="D20" s="30"/>
      <c r="E20" s="30"/>
      <c r="F20" s="31"/>
      <c r="G20" s="30"/>
      <c r="H20" s="30"/>
      <c r="I20" s="30"/>
      <c r="J20" s="30"/>
      <c r="K20" s="30"/>
      <c r="L20" s="30"/>
      <c r="M20" s="32"/>
      <c r="N20" s="33"/>
      <c r="O20" s="106"/>
      <c r="P20" s="106"/>
      <c r="Q20" s="28"/>
      <c r="R20" s="1"/>
    </row>
    <row r="21" spans="1:19" ht="17.25" customHeight="1" x14ac:dyDescent="0.2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5"/>
      <c r="O21" s="107"/>
      <c r="P21" s="107"/>
      <c r="Q21" s="37"/>
    </row>
    <row r="22" spans="1:19" ht="20.25" customHeight="1" x14ac:dyDescent="0.2">
      <c r="A22" s="108" t="s">
        <v>107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38">
        <f>SUM(Q15:Q21)</f>
        <v>6759219</v>
      </c>
    </row>
    <row r="23" spans="1:19" ht="18" customHeight="1" thickBot="1" x14ac:dyDescent="0.25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</row>
    <row r="24" spans="1:19" ht="17.25" customHeight="1" thickBot="1" x14ac:dyDescent="0.25">
      <c r="A24" s="100" t="s">
        <v>46</v>
      </c>
      <c r="B24" s="101"/>
      <c r="C24" s="101"/>
      <c r="D24" s="101"/>
      <c r="E24" s="101"/>
      <c r="F24" s="102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</row>
    <row r="25" spans="1:19" ht="18" customHeight="1" thickBot="1" x14ac:dyDescent="0.25">
      <c r="A25" s="104" t="str">
        <f>"Para la "&amp; NotaPedido!D8 &amp;" para ser destinados al " &amp; NotaPedido!D6 &amp;"  del HISJB del Ministerio de Salud."</f>
        <v>Para la Adquisición de Insumos de Esterilización para ser destinados al Servicio de Farmacia  del HISJB del Ministerio de Salud.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</row>
    <row r="26" spans="1:19" ht="15" customHeight="1" x14ac:dyDescent="0.2">
      <c r="A26" s="104"/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VIRGINIA GRIMA</cp:lastModifiedBy>
  <cp:revision>2</cp:revision>
  <cp:lastPrinted>2020-07-17T22:18:48Z</cp:lastPrinted>
  <dcterms:created xsi:type="dcterms:W3CDTF">2020-07-17T23:44:49Z</dcterms:created>
  <dcterms:modified xsi:type="dcterms:W3CDTF">2022-08-22T12:09:39Z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