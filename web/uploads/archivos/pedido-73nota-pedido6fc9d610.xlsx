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FORMULAS LACTEAS\hnep\"/>
    </mc:Choice>
  </mc:AlternateContent>
  <xr:revisionPtr revIDLastSave="0" documentId="8_{8F02D481-4266-4D58-B514-945763B024A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Trimestrales'!$A$9:$I$16</definedName>
    <definedName name="_xlnm.Print_Area" localSheetId="1">' NotaPedido'!$A$1:$K$19</definedName>
    <definedName name="_xlnm.Print_Area" localSheetId="2">'Autor Gastar'!$A$1:$Q$27</definedName>
    <definedName name="_xlnm.Print_Area" localSheetId="0">'Necesidades Trimestrales'!$E$9:$E$16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6" i="2"/>
  <c r="K13" i="2" l="1"/>
  <c r="K14" i="2"/>
  <c r="K15" i="2"/>
  <c r="K16" i="2"/>
  <c r="K17" i="2"/>
  <c r="K18" i="2"/>
  <c r="K12" i="2"/>
  <c r="J13" i="2"/>
  <c r="J14" i="2"/>
  <c r="J15" i="2"/>
  <c r="J16" i="2"/>
  <c r="J17" i="2"/>
  <c r="J18" i="2"/>
  <c r="C13" i="2"/>
  <c r="C14" i="2"/>
  <c r="C15" i="2"/>
  <c r="C16" i="2"/>
  <c r="C17" i="2"/>
  <c r="C18" i="2"/>
  <c r="I18" i="2"/>
  <c r="I12" i="2" l="1"/>
  <c r="Q23" i="3" l="1"/>
  <c r="A10" i="3" l="1"/>
  <c r="B14" i="2" l="1"/>
  <c r="B15" i="2"/>
  <c r="B16" i="2"/>
  <c r="B17" i="2"/>
  <c r="B18" i="2"/>
  <c r="I14" i="2"/>
  <c r="I15" i="2"/>
  <c r="I17" i="2"/>
  <c r="I13" i="2"/>
  <c r="B13" i="2"/>
  <c r="G6" i="3" l="1"/>
  <c r="G7" i="3"/>
  <c r="D7" i="2"/>
  <c r="D3" i="2"/>
  <c r="G4" i="3" s="1"/>
  <c r="D4" i="2"/>
  <c r="G5" i="3" s="1"/>
  <c r="D1" i="3" l="1"/>
  <c r="J12" i="2"/>
  <c r="J19" i="2" s="1"/>
  <c r="C12" i="2"/>
  <c r="B12" i="2"/>
  <c r="I10" i="1"/>
  <c r="I15" i="3"/>
  <c r="K15" i="3" l="1"/>
</calcChain>
</file>

<file path=xl/sharedStrings.xml><?xml version="1.0" encoding="utf-8"?>
<sst xmlns="http://schemas.openxmlformats.org/spreadsheetml/2006/main" count="102" uniqueCount="76">
  <si>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</si>
  <si>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</si>
  <si>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</si>
  <si>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</si>
  <si>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</si>
  <si>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</si>
  <si>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</si>
  <si>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</si>
  <si>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</si>
  <si>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</si>
  <si>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</si>
  <si>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</si>
  <si>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</si>
  <si>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</si>
  <si>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</si>
  <si>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</si>
  <si>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</si>
  <si>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</si>
  <si>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</si>
  <si>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</si>
  <si>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</si>
  <si>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</si>
  <si>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</si>
  <si>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</si>
  <si>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</si>
  <si>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</si>
  <si>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</si>
  <si>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</si>
  <si>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</si>
  <si>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</si>
  <si>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</si>
  <si>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</si>
  <si>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</si>
  <si>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</si>
  <si>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</si>
  <si>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</si>
  <si>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</si>
  <si>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</si>
  <si>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</si>
  <si>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</si>
  <si>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</si>
  <si>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</si>
  <si>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</si>
  <si>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</si>
  <si>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</si>
  <si>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</si>
  <si>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</si>
  <si>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</si>
  <si>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</si>
  <si>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</si>
  <si>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</si>
  <si>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</si>
  <si>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</si>
  <si>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</si>
  <si>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</si>
  <si>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Servicio de Alimentacion y Dietoterapia</t>
  </si>
  <si>
    <t>1.1</t>
  </si>
  <si>
    <t>NO</t>
  </si>
  <si>
    <t>PROD. MEDICO/FARMACEUTICOS/LAB</t>
  </si>
  <si>
    <r>
      <t>Mantenimiento de Oferta</t>
    </r>
    <r>
      <rPr>
        <sz val="10"/>
        <rFont val="Times New Roman"/>
        <family val="1"/>
      </rPr>
      <t>: 45 dias habiles</t>
    </r>
  </si>
  <si>
    <t>Productos Farmaceuticos y Medicinales</t>
  </si>
  <si>
    <t>Para la adquisición de Leches Nutroterapeuticas destinados al servico de Alimentacion y Dietoterapia del Hospital Interzonal de Niños Eva Peron, para el normal funcionamiento del organismo.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</si>
  <si>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</si>
  <si>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Leches Nutroterapeuticas</t>
  </si>
  <si>
    <t xml:space="preserve"> </t>
  </si>
  <si>
    <t>FORMULA EN POLVO A BASE DE CASEINATO DE SODIO HIDROLIZADO (KASS1000). PRESENTACION: LATA X 400 GR</t>
  </si>
  <si>
    <t>FORMULA EN POLVO DE CONTINUACION LIBRE DE GLUTEN SIN TACC. PRESENTACION: CAJA X 800 GR</t>
  </si>
  <si>
    <t>FORMULA EN POLVO DE INICIO LIBRE DE GLUTEN SIN TACC. PRESENTACION: CAJA X 800 GR</t>
  </si>
  <si>
    <t xml:space="preserve">FORMULA EN POLVO PARA LACTANTES Y NIÑOS CON ALERGIA A LA PROTEINA DE LA LECHE DE VACA EN BASE A JARABE DE GLUCOSA SUERO HIDROLIZADO TRIGLICERIDOS DE CADENA MEDIA, LIBRE DE GLUTEN SIN TACC. PRESENTACION: LATA X 400 GR </t>
  </si>
  <si>
    <t>FORMULA EN POLVO SIN LACTOSA PARA LACTANTES CON INTOLERANCIA A LA LACTOSA. PRESENTACION: LATA X 400 GR</t>
  </si>
  <si>
    <t>MALTODEXTRINA EN POLVO 1-4 (POLIMEROSA). PRESENTACION: LATA X 400 GR</t>
  </si>
  <si>
    <t>SUPLEMENTO CALORICO EN POLVO PARA PEDIATRIA PEDIASURE CONTIENE OMEGA 3 Y 6, ADEMAS, DHA Y AA QUE APOYAN EL DESARROLLO CEREBRAL DE 2 A 10 AÑOS, LIBRE DE GLUTEN (PEDIASURE VAINILLA). PRESENTACION: LATA X 400 GR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</si>
  <si>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habiles de notificada la Orden de Compra</t>
    </r>
  </si>
  <si>
    <t>Costo total estimado: Quinientos Sesenta y Tres Mil con 00/100.</t>
  </si>
  <si>
    <t>016/2022</t>
  </si>
  <si>
    <t>TOTAL DE PESOS: QUINIENTOS SESENTA Y TRES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</si>
</sst>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</cellStyleXfs>
  <cellXfs count="14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16" fillId="0" borderId="6" xfId="0" applyFont="1" applyBorder="1"/>
    <xf numFmtId="0" fontId="16" fillId="0" borderId="7" xfId="0" applyFont="1" applyBorder="1"/>
    <xf numFmtId="166" fontId="16" fillId="0" borderId="0" xfId="0" applyNumberFormat="1" applyFont="1"/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/>
    </xf>
    <xf numFmtId="0" fontId="15" fillId="0" borderId="53" xfId="0" applyFont="1" applyBorder="1"/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0" fontId="0" fillId="4" borderId="56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0" fillId="4" borderId="57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 indent="3"/>
    </xf>
    <xf numFmtId="0" fontId="15" fillId="0" borderId="53" xfId="0" applyFont="1" applyBorder="1" applyAlignment="1">
      <alignment wrapText="1"/>
    </xf>
    <xf numFmtId="0" fontId="0" fillId="0" borderId="53" xfId="0" applyBorder="1"/>
    <xf numFmtId="0" fontId="22" fillId="0" borderId="10" xfId="0" applyFont="1" applyBorder="1" applyAlignment="1"/>
    <xf numFmtId="0" fontId="16" fillId="0" borderId="59" xfId="0" applyFont="1" applyBorder="1" applyAlignment="1">
      <alignment horizontal="center" wrapText="1"/>
    </xf>
    <xf numFmtId="0" fontId="16" fillId="0" borderId="59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20" fillId="0" borderId="60" xfId="0" applyFont="1" applyBorder="1" applyAlignment="1">
      <alignment horizontal="center" vertical="center" wrapText="1"/>
    </xf>
    <xf numFmtId="0" fontId="15" fillId="0" borderId="52" xfId="0" applyFont="1" applyBorder="1" applyAlignment="1">
      <alignment wrapText="1"/>
    </xf>
    <xf numFmtId="0" fontId="24" fillId="4" borderId="4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6" fontId="5" fillId="3" borderId="3" xfId="1" applyNumberFormat="1" applyFont="1" applyFill="1" applyBorder="1" applyAlignment="1" applyProtection="1">
      <alignment horizontal="right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 wrapText="1"/>
    </xf>
    <xf numFmtId="166" fontId="5" fillId="3" borderId="53" xfId="1" applyNumberFormat="1" applyFont="1" applyFill="1" applyBorder="1" applyAlignment="1" applyProtection="1">
      <alignment horizontal="right" vertical="center" wrapText="1"/>
    </xf>
    <xf numFmtId="3" fontId="5" fillId="3" borderId="58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0" fillId="0" borderId="53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center" vertical="center"/>
    </xf>
    <xf numFmtId="169" fontId="21" fillId="4" borderId="53" xfId="1" applyNumberFormat="1" applyFont="1" applyFill="1" applyBorder="1" applyAlignment="1" applyProtection="1">
      <alignment horizontal="right" vertical="center" wrapText="1"/>
    </xf>
    <xf numFmtId="0" fontId="15" fillId="0" borderId="53" xfId="0" applyFont="1" applyBorder="1" applyAlignment="1">
      <alignment horizontal="left" vertical="center" wrapText="1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166" fontId="21" fillId="4" borderId="4" xfId="1" applyNumberFormat="1" applyFont="1" applyFill="1" applyBorder="1" applyAlignment="1" applyProtection="1">
      <alignment horizontal="right" vertical="center" wrapText="1"/>
    </xf>
    <xf numFmtId="166" fontId="21" fillId="4" borderId="58" xfId="1" applyNumberFormat="1" applyFont="1" applyFill="1" applyBorder="1" applyAlignment="1" applyProtection="1">
      <alignment horizontal="right" vertical="center" wrapText="1"/>
    </xf>
    <xf numFmtId="0" fontId="16" fillId="4" borderId="8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9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167" fontId="8" fillId="3" borderId="16" xfId="0" applyNumberFormat="1" applyFont="1" applyFill="1" applyBorder="1" applyAlignment="1">
      <alignment horizontal="center" vertical="center"/>
    </xf>
    <xf numFmtId="0" fontId="5" fillId="3" borderId="66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61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0" fillId="0" borderId="44" xfId="0" applyFont="1" applyBorder="1" applyAlignment="1">
      <alignment horizontal="left" vertical="center" wrapText="1"/>
    </xf>
    <xf numFmtId="0" fontId="0" fillId="0" borderId="23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22"/>
  <sheetViews>
    <sheetView tabSelected="1" topLeftCell="A10" zoomScale="98" zoomScaleNormal="98" workbookViewId="0">
      <selection activeCell="I17" sqref="I17"/>
    </sheetView>
  </sheetViews>
  <sheetFormatPr baseColWidth="10" defaultColWidth="11" defaultRowHeight="12.75" x14ac:dyDescent="0.2"/>
  <cols>
    <col min="1" max="1" width="4.5703125" style="32" customWidth="1"/>
    <col min="2" max="2" width="11.85546875" style="32" customWidth="1"/>
    <col min="3" max="3" width="17" style="32" customWidth="1"/>
    <col min="4" max="4" width="8.42578125" style="32" customWidth="1"/>
    <col min="5" max="5" width="71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" style="32"/>
  </cols>
  <sheetData>
    <row r="2" spans="1:11" ht="27" x14ac:dyDescent="0.35">
      <c r="B2" s="103" t="s">
        <v>0</v>
      </c>
      <c r="C2" s="103"/>
      <c r="D2" s="103"/>
      <c r="E2" s="103"/>
      <c r="F2" s="103"/>
      <c r="G2" s="103"/>
      <c r="H2" s="103"/>
    </row>
    <row r="3" spans="1:11" ht="12" customHeight="1" x14ac:dyDescent="0.2"/>
    <row r="4" spans="1:11" ht="18" customHeight="1" x14ac:dyDescent="0.25">
      <c r="A4" s="104" t="s">
        <v>1</v>
      </c>
      <c r="B4" s="104"/>
      <c r="C4" s="105" t="s">
        <v>54</v>
      </c>
      <c r="D4" s="105"/>
      <c r="E4" s="105"/>
      <c r="F4" s="33"/>
      <c r="G4" s="34" t="s">
        <v>64</v>
      </c>
      <c r="H4" s="33"/>
    </row>
    <row r="5" spans="1:11" ht="18" customHeight="1" x14ac:dyDescent="0.25">
      <c r="A5" s="104" t="s">
        <v>2</v>
      </c>
      <c r="B5" s="104"/>
      <c r="C5" s="105" t="s">
        <v>53</v>
      </c>
      <c r="D5" s="105"/>
      <c r="E5" s="105"/>
      <c r="F5" s="33" t="s">
        <v>64</v>
      </c>
      <c r="G5" s="34"/>
      <c r="H5" s="33"/>
    </row>
    <row r="6" spans="1:11" ht="16.5" customHeight="1" x14ac:dyDescent="0.25">
      <c r="A6" s="104" t="s">
        <v>3</v>
      </c>
      <c r="B6" s="104"/>
      <c r="C6" s="50">
        <v>2022</v>
      </c>
      <c r="D6" s="51"/>
      <c r="E6" s="51"/>
      <c r="F6" s="33"/>
      <c r="G6" s="34"/>
      <c r="H6" s="33"/>
    </row>
    <row r="7" spans="1:11" ht="16.5" customHeight="1" x14ac:dyDescent="0.25">
      <c r="A7" s="104" t="s">
        <v>4</v>
      </c>
      <c r="B7" s="104"/>
      <c r="C7" s="50">
        <v>1</v>
      </c>
      <c r="D7" s="51"/>
      <c r="E7" s="51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9" t="s">
        <v>5</v>
      </c>
      <c r="B9" s="39" t="s">
        <v>6</v>
      </c>
      <c r="C9" s="39" t="s">
        <v>7</v>
      </c>
      <c r="D9" s="40" t="s">
        <v>8</v>
      </c>
      <c r="E9" s="76" t="s">
        <v>9</v>
      </c>
      <c r="F9" s="41" t="s">
        <v>10</v>
      </c>
      <c r="G9" s="35" t="s">
        <v>11</v>
      </c>
      <c r="H9" s="35" t="s">
        <v>12</v>
      </c>
      <c r="I9" s="35" t="s">
        <v>13</v>
      </c>
      <c r="K9" s="32" t="s">
        <v>64</v>
      </c>
    </row>
    <row r="10" spans="1:11" ht="39" thickTop="1" x14ac:dyDescent="0.2">
      <c r="A10" s="55">
        <v>1</v>
      </c>
      <c r="B10"/>
      <c r="C10" s="77" t="s">
        <v>58</v>
      </c>
      <c r="D10" s="56">
        <v>252</v>
      </c>
      <c r="E10" s="92" t="s">
        <v>65</v>
      </c>
      <c r="F10" s="78" t="s">
        <v>14</v>
      </c>
      <c r="G10" s="93">
        <v>80</v>
      </c>
      <c r="H10" s="94">
        <v>2000</v>
      </c>
      <c r="I10" s="98">
        <f>H10*G10</f>
        <v>160000</v>
      </c>
      <c r="K10" s="38"/>
    </row>
    <row r="11" spans="1:11" ht="38.25" x14ac:dyDescent="0.2">
      <c r="A11" s="57">
        <v>2</v>
      </c>
      <c r="B11" s="58"/>
      <c r="C11" s="70" t="s">
        <v>58</v>
      </c>
      <c r="D11" s="59">
        <v>252</v>
      </c>
      <c r="E11" s="95" t="s">
        <v>66</v>
      </c>
      <c r="F11" s="60" t="s">
        <v>14</v>
      </c>
      <c r="G11" s="93">
        <v>80</v>
      </c>
      <c r="H11" s="94">
        <v>850</v>
      </c>
      <c r="I11" s="99">
        <f t="shared" ref="I11:I16" si="0">H11*G11</f>
        <v>68000</v>
      </c>
      <c r="K11" s="38"/>
    </row>
    <row r="12" spans="1:11" ht="38.25" x14ac:dyDescent="0.2">
      <c r="A12" s="57">
        <v>3</v>
      </c>
      <c r="B12" s="58"/>
      <c r="C12" s="70" t="s">
        <v>58</v>
      </c>
      <c r="D12" s="59">
        <v>252</v>
      </c>
      <c r="E12" s="95" t="s">
        <v>67</v>
      </c>
      <c r="F12" s="60" t="s">
        <v>14</v>
      </c>
      <c r="G12" s="93">
        <v>100</v>
      </c>
      <c r="H12" s="94">
        <v>1000</v>
      </c>
      <c r="I12" s="99">
        <f t="shared" si="0"/>
        <v>100000</v>
      </c>
      <c r="K12" s="38"/>
    </row>
    <row r="13" spans="1:11" ht="51" x14ac:dyDescent="0.2">
      <c r="A13" s="57">
        <v>4</v>
      </c>
      <c r="B13" s="58"/>
      <c r="C13" s="70" t="s">
        <v>58</v>
      </c>
      <c r="D13" s="59">
        <v>252</v>
      </c>
      <c r="E13" s="95" t="s">
        <v>68</v>
      </c>
      <c r="F13" s="60" t="s">
        <v>14</v>
      </c>
      <c r="G13" s="96">
        <v>30</v>
      </c>
      <c r="H13" s="94">
        <v>2300</v>
      </c>
      <c r="I13" s="99">
        <f t="shared" si="0"/>
        <v>69000</v>
      </c>
      <c r="K13" s="38"/>
    </row>
    <row r="14" spans="1:11" ht="38.25" x14ac:dyDescent="0.2">
      <c r="A14" s="57">
        <v>5</v>
      </c>
      <c r="B14" s="58"/>
      <c r="C14" s="70" t="s">
        <v>58</v>
      </c>
      <c r="D14" s="59">
        <v>252</v>
      </c>
      <c r="E14" s="95" t="s">
        <v>69</v>
      </c>
      <c r="F14" s="60" t="s">
        <v>14</v>
      </c>
      <c r="G14" s="93">
        <v>60</v>
      </c>
      <c r="H14" s="94">
        <v>1500</v>
      </c>
      <c r="I14" s="99">
        <f t="shared" si="0"/>
        <v>90000</v>
      </c>
    </row>
    <row r="15" spans="1:11" ht="38.25" x14ac:dyDescent="0.2">
      <c r="A15" s="57">
        <v>6</v>
      </c>
      <c r="B15" s="71"/>
      <c r="C15" s="70" t="s">
        <v>58</v>
      </c>
      <c r="D15" s="59">
        <v>252</v>
      </c>
      <c r="E15" s="95" t="s">
        <v>70</v>
      </c>
      <c r="F15" s="78" t="s">
        <v>14</v>
      </c>
      <c r="G15" s="97">
        <v>40</v>
      </c>
      <c r="H15" s="94">
        <v>1000</v>
      </c>
      <c r="I15" s="99">
        <f t="shared" si="0"/>
        <v>40000</v>
      </c>
    </row>
    <row r="16" spans="1:11" ht="51" x14ac:dyDescent="0.2">
      <c r="A16" s="57">
        <v>7</v>
      </c>
      <c r="B16" s="71"/>
      <c r="C16" s="70" t="s">
        <v>58</v>
      </c>
      <c r="D16" s="59">
        <v>252</v>
      </c>
      <c r="E16" s="95" t="s">
        <v>71</v>
      </c>
      <c r="F16" s="60" t="s">
        <v>14</v>
      </c>
      <c r="G16" s="93">
        <v>40</v>
      </c>
      <c r="H16" s="94">
        <v>900</v>
      </c>
      <c r="I16" s="99">
        <f t="shared" si="0"/>
        <v>36000</v>
      </c>
    </row>
    <row r="17" spans="2:9" ht="13.5" thickBot="1" x14ac:dyDescent="0.25">
      <c r="I17" s="38"/>
    </row>
    <row r="18" spans="2:9" x14ac:dyDescent="0.2">
      <c r="B18" s="69" t="s">
        <v>15</v>
      </c>
      <c r="C18" s="36"/>
      <c r="D18" s="36"/>
      <c r="E18" s="37"/>
    </row>
    <row r="19" spans="2:9" ht="12.75" customHeight="1" x14ac:dyDescent="0.2">
      <c r="B19" s="100" t="s">
        <v>62</v>
      </c>
      <c r="C19" s="101"/>
      <c r="D19" s="101"/>
      <c r="E19" s="102"/>
    </row>
    <row r="20" spans="2:9" ht="26.25" customHeight="1" x14ac:dyDescent="0.2">
      <c r="B20" s="100"/>
      <c r="C20" s="101"/>
      <c r="D20" s="101"/>
      <c r="E20" s="102"/>
    </row>
    <row r="21" spans="2:9" ht="15" customHeight="1" x14ac:dyDescent="0.2">
      <c r="B21" s="100" t="s">
        <v>72</v>
      </c>
      <c r="C21" s="101"/>
      <c r="D21" s="101"/>
      <c r="E21" s="102"/>
    </row>
    <row r="22" spans="2:9" ht="13.5" thickBot="1" x14ac:dyDescent="0.25">
      <c r="B22" s="72" t="s">
        <v>59</v>
      </c>
      <c r="C22" s="73"/>
      <c r="D22" s="74"/>
      <c r="E22" s="75"/>
    </row>
  </sheetData>
  <autoFilter ref="A9:I16" xr:uid="{00000000-0009-0000-0000-000000000000}"/>
  <mergeCells count="9">
    <mergeCell ref="B19:E20"/>
    <mergeCell ref="B21:E21"/>
    <mergeCell ref="B2:H2"/>
    <mergeCell ref="A4:B4"/>
    <mergeCell ref="C4:E4"/>
    <mergeCell ref="A5:B5"/>
    <mergeCell ref="C5:E5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topLeftCell="C10" zoomScale="110" zoomScaleNormal="110" workbookViewId="0">
      <selection activeCell="J19" sqref="J19:K19"/>
    </sheetView>
  </sheetViews>
  <sheetFormatPr baseColWidth="10" defaultColWidth="9.140625" defaultRowHeight="12.75" x14ac:dyDescent="0.2"/>
  <cols>
    <col min="1" max="1" width="5.5703125" style="44" customWidth="1"/>
    <col min="2" max="2" width="15.140625" style="44" customWidth="1"/>
    <col min="3" max="3" width="14.140625" style="44" customWidth="1"/>
    <col min="4" max="4" width="26" style="44" customWidth="1"/>
    <col min="5" max="5" width="8" style="44" customWidth="1"/>
    <col min="6" max="6" width="7.85546875" style="44" customWidth="1"/>
    <col min="7" max="7" width="48.5703125" style="44" customWidth="1"/>
    <col min="8" max="8" width="9.28515625" style="44" customWidth="1"/>
    <col min="9" max="9" width="15.5703125" style="44" customWidth="1"/>
    <col min="10" max="10" width="14.7109375" style="44" customWidth="1"/>
    <col min="11" max="11" width="15.5703125" style="44" customWidth="1"/>
    <col min="12" max="14" width="5.85546875" style="44" customWidth="1"/>
    <col min="15" max="15" width="12.5703125" style="44" customWidth="1"/>
    <col min="16" max="1024" width="9.140625" style="44"/>
    <col min="1025" max="16384" width="9.140625" style="45"/>
  </cols>
  <sheetData>
    <row r="1" spans="1:11" ht="18" customHeight="1" x14ac:dyDescent="0.2">
      <c r="A1" s="106" t="s">
        <v>16</v>
      </c>
      <c r="B1" s="106"/>
      <c r="C1" s="106"/>
      <c r="D1" s="106"/>
      <c r="E1" s="106"/>
      <c r="F1" s="106"/>
      <c r="G1" s="106"/>
      <c r="H1" s="106"/>
      <c r="I1" s="106"/>
      <c r="J1" s="42" t="s">
        <v>17</v>
      </c>
      <c r="K1" s="43" t="s">
        <v>74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07" t="s">
        <v>50</v>
      </c>
      <c r="B3" s="107"/>
      <c r="C3" s="107"/>
      <c r="D3" s="108" t="str">
        <f>'Necesidades Trimestrales'!C4</f>
        <v>040 - Ministerio de Salud</v>
      </c>
      <c r="E3" s="108"/>
      <c r="F3" s="108"/>
      <c r="G3" s="108"/>
      <c r="H3" s="108"/>
      <c r="I3" s="108"/>
      <c r="J3" s="108"/>
      <c r="K3" s="108"/>
    </row>
    <row r="4" spans="1:11" ht="18.75" customHeight="1" thickBot="1" x14ac:dyDescent="0.25">
      <c r="A4" s="109" t="s">
        <v>51</v>
      </c>
      <c r="B4" s="109"/>
      <c r="C4" s="109"/>
      <c r="D4" s="108" t="str">
        <f>'Necesidades Trimestrales'!C5</f>
        <v>024 - Hospital Interzonal de Niños</v>
      </c>
      <c r="E4" s="108"/>
      <c r="F4" s="108"/>
      <c r="G4" s="108"/>
      <c r="H4" s="108"/>
      <c r="I4" s="108"/>
      <c r="J4" s="108"/>
      <c r="K4" s="108"/>
    </row>
    <row r="5" spans="1:11" ht="18.75" customHeight="1" thickBot="1" x14ac:dyDescent="0.25">
      <c r="A5" s="109" t="s">
        <v>29</v>
      </c>
      <c r="B5" s="109"/>
      <c r="C5" s="109"/>
      <c r="D5" s="108" t="s">
        <v>53</v>
      </c>
      <c r="E5" s="108"/>
      <c r="F5" s="108"/>
      <c r="G5" s="108"/>
      <c r="H5" s="108"/>
      <c r="I5" s="108"/>
      <c r="J5" s="108"/>
      <c r="K5" s="108"/>
    </row>
    <row r="6" spans="1:11" ht="16.5" customHeight="1" thickBot="1" x14ac:dyDescent="0.25">
      <c r="A6" s="107" t="s">
        <v>52</v>
      </c>
      <c r="B6" s="107"/>
      <c r="C6" s="107"/>
      <c r="D6" s="108" t="s">
        <v>55</v>
      </c>
      <c r="E6" s="108"/>
      <c r="F6" s="108"/>
      <c r="G6" s="108"/>
      <c r="H6" s="108"/>
      <c r="I6" s="108"/>
      <c r="J6" s="108"/>
      <c r="K6" s="108"/>
    </row>
    <row r="7" spans="1:11" ht="16.5" customHeight="1" x14ac:dyDescent="0.2">
      <c r="A7" s="109" t="s">
        <v>18</v>
      </c>
      <c r="B7" s="109"/>
      <c r="C7" s="109"/>
      <c r="D7" s="108" t="str">
        <f>'Necesidades Trimestrales'!C7 &amp; "° Trimestre - Año " &amp; 'Necesidades Trimestrales'!C6</f>
        <v>1° Trimestre - Año 2022</v>
      </c>
      <c r="E7" s="108"/>
      <c r="F7" s="108"/>
      <c r="G7" s="108"/>
      <c r="H7" s="108"/>
      <c r="I7" s="108"/>
      <c r="J7" s="108"/>
      <c r="K7" s="108"/>
    </row>
    <row r="8" spans="1:11" ht="16.5" customHeight="1" x14ac:dyDescent="0.2">
      <c r="A8" s="110" t="s">
        <v>19</v>
      </c>
      <c r="B8" s="110"/>
      <c r="C8" s="110"/>
      <c r="D8" s="111" t="s">
        <v>63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x14ac:dyDescent="0.2">
      <c r="A10" s="112" t="s">
        <v>20</v>
      </c>
      <c r="B10" s="113" t="s">
        <v>21</v>
      </c>
      <c r="C10" s="113" t="s">
        <v>22</v>
      </c>
      <c r="D10" s="113"/>
      <c r="E10" s="113"/>
      <c r="F10" s="113"/>
      <c r="G10" s="113"/>
      <c r="H10" s="113" t="s">
        <v>23</v>
      </c>
      <c r="I10" s="113" t="s">
        <v>24</v>
      </c>
      <c r="J10" s="113" t="s">
        <v>25</v>
      </c>
      <c r="K10" s="114" t="s">
        <v>26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7.75" customHeight="1" x14ac:dyDescent="0.2">
      <c r="A12" s="87">
        <v>1</v>
      </c>
      <c r="B12" s="91">
        <f>'Necesidades Trimestrales'!B10</f>
        <v>0</v>
      </c>
      <c r="C12" s="116" t="str">
        <f>'Necesidades Trimestrales'!E10</f>
        <v>FORMULA EN POLVO A BASE DE CASEINATO DE SODIO HIDROLIZADO (KASS1000). PRESENTACION: LATA X 400 GR</v>
      </c>
      <c r="D12" s="117"/>
      <c r="E12" s="117"/>
      <c r="F12" s="117"/>
      <c r="G12" s="117"/>
      <c r="H12" s="79" t="s">
        <v>57</v>
      </c>
      <c r="I12" s="80" t="str">
        <f>'Necesidades Trimestrales'!F10</f>
        <v>UNIDAD</v>
      </c>
      <c r="J12" s="81">
        <f>'Necesidades Trimestrales'!H10</f>
        <v>2000</v>
      </c>
      <c r="K12" s="82">
        <f>'Necesidades Trimestrales'!G10</f>
        <v>80</v>
      </c>
    </row>
    <row r="13" spans="1:11" ht="20.25" customHeight="1" x14ac:dyDescent="0.2">
      <c r="A13" s="88">
        <v>2</v>
      </c>
      <c r="B13" s="90">
        <f>'Necesidades Trimestrales'!B11</f>
        <v>0</v>
      </c>
      <c r="C13" s="118" t="str">
        <f>'Necesidades Trimestrales'!E11</f>
        <v>FORMULA EN POLVO DE CONTINUACION LIBRE DE GLUTEN SIN TACC. PRESENTACION: CAJA X 800 GR</v>
      </c>
      <c r="D13" s="119"/>
      <c r="E13" s="119"/>
      <c r="F13" s="119"/>
      <c r="G13" s="119"/>
      <c r="H13" s="83" t="s">
        <v>57</v>
      </c>
      <c r="I13" s="84" t="str">
        <f>'Necesidades Trimestrales'!F12</f>
        <v>UNIDAD</v>
      </c>
      <c r="J13" s="85">
        <f>'Necesidades Trimestrales'!H11</f>
        <v>850</v>
      </c>
      <c r="K13" s="86">
        <f>'Necesidades Trimestrales'!G11</f>
        <v>80</v>
      </c>
    </row>
    <row r="14" spans="1:11" ht="20.25" customHeight="1" x14ac:dyDescent="0.2">
      <c r="A14" s="89">
        <v>3</v>
      </c>
      <c r="B14" s="90">
        <f>'Necesidades Trimestrales'!B12</f>
        <v>0</v>
      </c>
      <c r="C14" s="118" t="str">
        <f>'Necesidades Trimestrales'!E12</f>
        <v>FORMULA EN POLVO DE INICIO LIBRE DE GLUTEN SIN TACC. PRESENTACION: CAJA X 800 GR</v>
      </c>
      <c r="D14" s="119"/>
      <c r="E14" s="119"/>
      <c r="F14" s="119"/>
      <c r="G14" s="119"/>
      <c r="H14" s="83" t="s">
        <v>57</v>
      </c>
      <c r="I14" s="84" t="str">
        <f>'Necesidades Trimestrales'!F11</f>
        <v>UNIDAD</v>
      </c>
      <c r="J14" s="85">
        <f>'Necesidades Trimestrales'!H12</f>
        <v>1000</v>
      </c>
      <c r="K14" s="86">
        <f>'Necesidades Trimestrales'!G12</f>
        <v>100</v>
      </c>
    </row>
    <row r="15" spans="1:11" ht="37.5" customHeight="1" x14ac:dyDescent="0.2">
      <c r="A15" s="89">
        <v>4</v>
      </c>
      <c r="B15" s="90">
        <f>'Necesidades Trimestrales'!B13</f>
        <v>0</v>
      </c>
      <c r="C15" s="118" t="str">
        <f>'Necesidades Trimestrales'!E13</f>
        <v xml:space="preserve">FORMULA EN POLVO PARA LACTANTES Y NIÑOS CON ALERGIA A LA PROTEINA DE LA LECHE DE VACA EN BASE A JARABE DE GLUCOSA SUERO HIDROLIZADO TRIGLICERIDOS DE CADENA MEDIA, LIBRE DE GLUTEN SIN TACC. PRESENTACION: LATA X 400 GR </v>
      </c>
      <c r="D15" s="119"/>
      <c r="E15" s="119"/>
      <c r="F15" s="119"/>
      <c r="G15" s="119"/>
      <c r="H15" s="83" t="s">
        <v>57</v>
      </c>
      <c r="I15" s="84" t="str">
        <f>'Necesidades Trimestrales'!F15</f>
        <v>UNIDAD</v>
      </c>
      <c r="J15" s="85">
        <f>'Necesidades Trimestrales'!H13</f>
        <v>2300</v>
      </c>
      <c r="K15" s="86">
        <f>'Necesidades Trimestrales'!G13</f>
        <v>30</v>
      </c>
    </row>
    <row r="16" spans="1:11" ht="26.25" customHeight="1" x14ac:dyDescent="0.2">
      <c r="A16" s="89">
        <v>5</v>
      </c>
      <c r="B16" s="90">
        <f>'Necesidades Trimestrales'!B14</f>
        <v>0</v>
      </c>
      <c r="C16" s="118" t="str">
        <f>'Necesidades Trimestrales'!E14</f>
        <v>FORMULA EN POLVO SIN LACTOSA PARA LACTANTES CON INTOLERANCIA A LA LACTOSA. PRESENTACION: LATA X 400 GR</v>
      </c>
      <c r="D16" s="119"/>
      <c r="E16" s="119"/>
      <c r="F16" s="119"/>
      <c r="G16" s="119"/>
      <c r="H16" s="83" t="s">
        <v>57</v>
      </c>
      <c r="I16" s="84" t="str">
        <f>'Necesidades Trimestrales'!F16</f>
        <v>UNIDAD</v>
      </c>
      <c r="J16" s="85">
        <f>'Necesidades Trimestrales'!H14</f>
        <v>1500</v>
      </c>
      <c r="K16" s="86">
        <f>'Necesidades Trimestrales'!G14</f>
        <v>60</v>
      </c>
    </row>
    <row r="17" spans="1:11" ht="27.75" customHeight="1" x14ac:dyDescent="0.2">
      <c r="A17" s="89">
        <v>6</v>
      </c>
      <c r="B17" s="90">
        <f>'Necesidades Trimestrales'!B15</f>
        <v>0</v>
      </c>
      <c r="C17" s="118" t="str">
        <f>'Necesidades Trimestrales'!E15</f>
        <v>MALTODEXTRINA EN POLVO 1-4 (POLIMEROSA). PRESENTACION: LATA X 400 GR</v>
      </c>
      <c r="D17" s="119"/>
      <c r="E17" s="119"/>
      <c r="F17" s="119"/>
      <c r="G17" s="119"/>
      <c r="H17" s="83" t="s">
        <v>57</v>
      </c>
      <c r="I17" s="84" t="str">
        <f>'Necesidades Trimestrales'!F14</f>
        <v>UNIDAD</v>
      </c>
      <c r="J17" s="85">
        <f>'Necesidades Trimestrales'!H15</f>
        <v>1000</v>
      </c>
      <c r="K17" s="86">
        <f>'Necesidades Trimestrales'!G15</f>
        <v>40</v>
      </c>
    </row>
    <row r="18" spans="1:11" ht="42.75" customHeight="1" thickBot="1" x14ac:dyDescent="0.25">
      <c r="A18" s="89">
        <v>7</v>
      </c>
      <c r="B18" s="90">
        <f>'Necesidades Trimestrales'!B16</f>
        <v>0</v>
      </c>
      <c r="C18" s="118" t="str">
        <f>'Necesidades Trimestrales'!E16</f>
        <v>SUPLEMENTO CALORICO EN POLVO PARA PEDIATRIA PEDIASURE CONTIENE OMEGA 3 Y 6, ADEMAS, DHA Y AA QUE APOYAN EL DESARROLLO CEREBRAL DE 2 A 10 AÑOS, LIBRE DE GLUTEN (PEDIASURE VAINILLA). PRESENTACION: LATA X 400 GR</v>
      </c>
      <c r="D18" s="119"/>
      <c r="E18" s="119"/>
      <c r="F18" s="119"/>
      <c r="G18" s="119"/>
      <c r="H18" s="83" t="s">
        <v>57</v>
      </c>
      <c r="I18" s="84" t="str">
        <f>'Necesidades Trimestrales'!F15</f>
        <v>UNIDAD</v>
      </c>
      <c r="J18" s="85">
        <f>'Necesidades Trimestrales'!H16</f>
        <v>900</v>
      </c>
      <c r="K18" s="86">
        <f>'Necesidades Trimestrales'!G16</f>
        <v>40</v>
      </c>
    </row>
    <row r="19" spans="1:11" ht="20.25" customHeight="1" thickBot="1" x14ac:dyDescent="0.25">
      <c r="A19" s="108" t="s">
        <v>73</v>
      </c>
      <c r="B19" s="108"/>
      <c r="C19" s="108"/>
      <c r="D19" s="108"/>
      <c r="E19" s="108"/>
      <c r="F19" s="108"/>
      <c r="G19" s="108"/>
      <c r="H19" s="108"/>
      <c r="I19" s="108"/>
      <c r="J19" s="115">
        <f>SUMPRODUCT(J12:J18,K12:K18)</f>
        <v>563000</v>
      </c>
      <c r="K19" s="115"/>
    </row>
  </sheetData>
  <mergeCells count="29">
    <mergeCell ref="A19:I19"/>
    <mergeCell ref="J19:K19"/>
    <mergeCell ref="C12:G12"/>
    <mergeCell ref="C13:G13"/>
    <mergeCell ref="C14:G14"/>
    <mergeCell ref="C15:G15"/>
    <mergeCell ref="C16:G16"/>
    <mergeCell ref="C17:G17"/>
    <mergeCell ref="C18:G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H2" sqref="H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0" t="s">
        <v>3</v>
      </c>
      <c r="B1" s="120"/>
      <c r="C1" s="120"/>
      <c r="D1" s="121">
        <f>'Necesidades Trimestrales'!C6</f>
        <v>2022</v>
      </c>
      <c r="E1" s="121"/>
      <c r="F1" s="3"/>
      <c r="G1" s="3"/>
      <c r="H1" s="4"/>
      <c r="I1" s="4"/>
      <c r="J1" s="4"/>
      <c r="K1" s="4"/>
      <c r="L1" s="4"/>
      <c r="M1" s="4"/>
      <c r="N1" s="4"/>
      <c r="P1" s="122" t="s">
        <v>27</v>
      </c>
      <c r="Q1" s="12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2"/>
      <c r="Q2" s="122"/>
    </row>
    <row r="4" spans="1:17" s="5" customFormat="1" ht="18" customHeight="1" thickBot="1" x14ac:dyDescent="0.25">
      <c r="A4" s="123" t="s">
        <v>28</v>
      </c>
      <c r="B4" s="123"/>
      <c r="C4" s="123"/>
      <c r="D4" s="123"/>
      <c r="E4" s="123"/>
      <c r="F4" s="123"/>
      <c r="G4" s="124" t="str">
        <f>' NotaPedido'!D3</f>
        <v>040 - Ministerio de Salud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7" s="5" customFormat="1" ht="18" customHeight="1" thickBot="1" x14ac:dyDescent="0.25">
      <c r="A5" s="125" t="s">
        <v>51</v>
      </c>
      <c r="B5" s="126"/>
      <c r="C5" s="126"/>
      <c r="D5" s="126"/>
      <c r="E5" s="126"/>
      <c r="F5" s="127"/>
      <c r="G5" s="124" t="str">
        <f>' NotaPedido'!D4</f>
        <v>024 - Hospital Interzonal de Niños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7" s="5" customFormat="1" ht="18" customHeight="1" thickBot="1" x14ac:dyDescent="0.25">
      <c r="A6" s="125" t="s">
        <v>29</v>
      </c>
      <c r="B6" s="126"/>
      <c r="C6" s="126"/>
      <c r="D6" s="126"/>
      <c r="E6" s="126"/>
      <c r="F6" s="127"/>
      <c r="G6" s="124" t="str">
        <f>' NotaPedido'!D5</f>
        <v>024 - Hospital Interzonal de Niños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5" customFormat="1" ht="18" customHeight="1" thickBot="1" x14ac:dyDescent="0.25">
      <c r="A7" s="125" t="s">
        <v>52</v>
      </c>
      <c r="B7" s="126"/>
      <c r="C7" s="126"/>
      <c r="D7" s="126"/>
      <c r="E7" s="126"/>
      <c r="F7" s="127"/>
      <c r="G7" s="124" t="str">
        <f>' NotaPedido'!D6</f>
        <v>Servicio de Alimentacion y Dietoterapia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 x14ac:dyDescent="0.25">
      <c r="A8" s="128" t="s">
        <v>30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29" t="s">
        <v>31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"/>
      <c r="P9" s="1"/>
      <c r="Q9" s="6"/>
    </row>
    <row r="10" spans="1:17" ht="54.75" customHeight="1" x14ac:dyDescent="0.2">
      <c r="A10" s="13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016/2022,  afectando la erogación resultante a los créditos presupuestarios aprobados a favor de esta Unidad Ejecutora, conforme al siguiente detalle: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1" t="s">
        <v>32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7" ht="15.75" customHeight="1" x14ac:dyDescent="0.2">
      <c r="A13" s="132" t="s">
        <v>33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34</v>
      </c>
      <c r="P13" s="133"/>
      <c r="Q13" s="134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3"/>
      <c r="P14" s="133"/>
      <c r="Q14" s="134"/>
    </row>
    <row r="15" spans="1:17" ht="28.5" customHeight="1" x14ac:dyDescent="0.2">
      <c r="A15" s="52">
        <v>36</v>
      </c>
      <c r="B15" s="66"/>
      <c r="C15" s="66"/>
      <c r="D15" s="66">
        <v>1</v>
      </c>
      <c r="E15" s="66"/>
      <c r="F15" s="66">
        <v>4901</v>
      </c>
      <c r="G15" s="66">
        <v>3</v>
      </c>
      <c r="H15" s="66">
        <v>310</v>
      </c>
      <c r="I15" s="68" t="str">
        <f>LEFT('Necesidades Trimestrales'!D10,1)</f>
        <v>2</v>
      </c>
      <c r="J15" s="68">
        <v>5</v>
      </c>
      <c r="K15" s="68" t="str">
        <f>RIGHT('Necesidades Trimestrales'!D10,1)</f>
        <v>2</v>
      </c>
      <c r="L15" s="66"/>
      <c r="M15" s="53">
        <v>1</v>
      </c>
      <c r="N15" s="54" t="s">
        <v>56</v>
      </c>
      <c r="O15" s="135" t="s">
        <v>60</v>
      </c>
      <c r="P15" s="136"/>
      <c r="Q15" s="16">
        <v>563000</v>
      </c>
    </row>
    <row r="16" spans="1:17" ht="17.25" customHeight="1" x14ac:dyDescent="0.2">
      <c r="A16" s="61"/>
      <c r="B16" s="65"/>
      <c r="C16" s="65"/>
      <c r="D16" s="65"/>
      <c r="E16" s="65"/>
      <c r="F16" s="65"/>
      <c r="G16" s="65"/>
      <c r="H16" s="65"/>
      <c r="I16" s="67"/>
      <c r="J16" s="67"/>
      <c r="K16" s="67"/>
      <c r="L16" s="65"/>
      <c r="M16" s="62"/>
      <c r="N16" s="63"/>
      <c r="O16" s="137"/>
      <c r="P16" s="138"/>
      <c r="Q16" s="21"/>
    </row>
    <row r="17" spans="1:18" ht="23.25" customHeight="1" x14ac:dyDescent="0.2">
      <c r="A17" s="61"/>
      <c r="B17" s="62"/>
      <c r="C17" s="62"/>
      <c r="D17" s="62"/>
      <c r="E17" s="62"/>
      <c r="F17" s="62"/>
      <c r="G17" s="62"/>
      <c r="H17" s="62"/>
      <c r="I17" s="64"/>
      <c r="J17" s="64"/>
      <c r="K17" s="64"/>
      <c r="L17" s="62"/>
      <c r="M17" s="62"/>
      <c r="N17" s="63"/>
      <c r="O17" s="138"/>
      <c r="P17" s="138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8"/>
      <c r="P18" s="138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8"/>
      <c r="P19" s="138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8"/>
      <c r="P20" s="138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4"/>
      <c r="P21" s="14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5"/>
      <c r="P22" s="145"/>
      <c r="Q22" s="30"/>
    </row>
    <row r="23" spans="1:18" ht="29.25" customHeight="1" x14ac:dyDescent="0.2">
      <c r="A23" s="146" t="s">
        <v>75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31">
        <f>SUM(Q15:Q22)</f>
        <v>563000</v>
      </c>
    </row>
    <row r="24" spans="1:18" ht="18" customHeight="1" thickBot="1" x14ac:dyDescent="0.25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17.25" customHeight="1" thickBot="1" x14ac:dyDescent="0.25">
      <c r="A25" s="139" t="s">
        <v>49</v>
      </c>
      <c r="B25" s="140"/>
      <c r="C25" s="140"/>
      <c r="D25" s="140"/>
      <c r="E25" s="140"/>
      <c r="F25" s="141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  <row r="26" spans="1:18" ht="18" customHeight="1" thickBot="1" x14ac:dyDescent="0.25">
      <c r="A26" s="143" t="s">
        <v>61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</row>
    <row r="27" spans="1:18" ht="15" customHeight="1" x14ac:dyDescent="0.2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2022-02-14T13:57:43Z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