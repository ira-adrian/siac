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EMA\CCOO\PLAN TRIMESTRAL DE CONTRATACIONES 4 TRIMESTRE 2022\EQUIPOS DE SEGURIDAD\"/>
    </mc:Choice>
  </mc:AlternateContent>
  <bookViews>
    <workbookView xWindow="0" yWindow="0" windowWidth="20736" windowHeight="9600" tabRatio="500"/>
  </bookViews>
  <sheets>
    <sheet name="Necesidades Trimestrales" sheetId="1" r:id="rId1"/>
  </sheets>
  <definedNames>
    <definedName name="_xlnm._FilterDatabase" localSheetId="0" hidden="1">'Necesidades Trimestrales'!$A$9:$I$28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10" i="1" l="1"/>
  <c r="H26" i="1" s="1"/>
</calcChain>
</file>

<file path=xl/sharedStrings.xml><?xml version="1.0" encoding="utf-8"?>
<sst xmlns="http://schemas.openxmlformats.org/spreadsheetml/2006/main" count="105" uniqueCount="67">
  <si>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</si>
  <si>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</si>
  <si>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</si>
  <si>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</si>
  <si>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</si>
  <si>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</si>
  <si>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</si>
  <si>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</si>
  <si>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</si>
  <si>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</si>
  <si>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</si>
  <si>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</si>
  <si>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</si>
  <si>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</si>
  <si>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Mantenimiento</t>
  </si>
  <si>
    <t>Garantia</t>
  </si>
  <si>
    <t>65- Ministerio de Agua, Energía y Medio Ambiente</t>
  </si>
  <si>
    <t/>
  </si>
  <si>
    <t>Costo total estimado</t>
  </si>
  <si>
    <t>UNIDAD</t>
  </si>
  <si>
    <t>2.2.2</t>
  </si>
  <si>
    <t>2.2.2-1629.6</t>
  </si>
  <si>
    <t>GUANTES; PROTECCION: SIN VALOR, MATERIAL: CUERO VAQUETA, TIPO: 5 DEDOS, INTERIOR: SIN VALOR, LARGO: HASTA MUÑECA 12, CIERRE: SIN, MATERIAL INTERNO: SIN VALOR</t>
  </si>
  <si>
    <t>2.2.2-1629.3</t>
  </si>
  <si>
    <t>GUANTES; PROTECCION: SIN VALOR, MATERIAL: CUERO DESCARNE, TIPO: 5 DEDOS, INTERIOR: SIN VALOR, CIERRE: SIN, LARGO: HASTA MUÑECA 12, MATERIAL INTERNO: SIN VALOR</t>
  </si>
  <si>
    <t>2.2.2-1629.12</t>
  </si>
  <si>
    <t>GUANTES; PROTECCION: SIN VALOR, MATERIAL: ALGODON Y GOMA, LARGO: HASTA MUÑECA, CIERRE: CON, TIPO: 5 DEDOS, INTERIOR: ALGODON, MATERIAL INTERNO: ALGODON</t>
  </si>
  <si>
    <t>2.2.2-1629.8</t>
  </si>
  <si>
    <t>GUANTES; MATERIAL: GOMA, TIPO: 5 DEDOS DIELECTRICO, INTERIOR: SIN VALOR, CIERRE: SIN, LARGO: HASTA MUÑECA 12, PROTECCION: 15000 V, MATERIAL INTERNO: SIN VALOR</t>
  </si>
  <si>
    <t>2.2.2-1629.4</t>
  </si>
  <si>
    <t>GUANTES; PROTECCION: SIN VALOR, MATERIAL: GOMA, TIPO: 5 DEDOS, INTERIOR: SIN VALOR, LARGO: TOTAL DEL BRAZO 40, CIERRE: SIN, MATERIAL INTERNO: SIN VALOR</t>
  </si>
  <si>
    <t>2.2.2-829.226</t>
  </si>
  <si>
    <t>MAMELUCOS; CIERRE: FRONTAL, BOLSILLO: SIN, TELA: TYVEK, CRITERIO DE SEGURIDAD: ASTM F1608</t>
  </si>
  <si>
    <t>2.2.2-829.227</t>
  </si>
  <si>
    <t>MAMELUCOS; CIERRE: DOBLE C/SOLAPA DE SEGURIDAD, BOLSILLO: SIN, TELA: TYCHEM, CRITERIO DE SEGURIDAD: SELLO DE SEGURIDAD</t>
  </si>
  <si>
    <t>2.2.2-1721.2</t>
  </si>
  <si>
    <t>DELANTALES; MATERIAL: CUERO DESCARNE, TAMAÑO: LARGO, TIPO: P/SOLDAR, PROTECCION: SIN VALOR</t>
  </si>
  <si>
    <t>2.2.2-2036.1</t>
  </si>
  <si>
    <t>CHALECOS FLUORESCENTES; MATERIAL: TELA DE PVC, BANDA REFLECTIVA: CON, SUJECION: CON CINTAS, COLOR: NARANJA</t>
  </si>
  <si>
    <t>2.2.2-7905.3</t>
  </si>
  <si>
    <t>MASCARAS DE PROTECCION; MATERIAL: ACRILICO, TIPO: P/QUIMICOS</t>
  </si>
  <si>
    <t>2.2.2-7905.19</t>
  </si>
  <si>
    <t>MASCARAS DE PROTECCION; MATERIAL: NAILON POLIAMIDA, TIPO: P/SOLDAR, CRITERIO DE SEGURIDAD: SELLO DE SEGURIDAD</t>
  </si>
  <si>
    <t>2.2.2-1629.41</t>
  </si>
  <si>
    <t>GUANTES; PROTECCION: RECUBIERTA DE GOMA, MATERIAL: ALGODON Y POLYESTER, TIPO: 5 DEDOS, INTERIOR: ALGODON Y POLIESTER, LARGO: PUÑO CORTO, CIERRE: ELASTICO CON MALLA, MATERIAL INTERNO: ALGODON Y POLIESTER</t>
  </si>
  <si>
    <t>PAR</t>
  </si>
  <si>
    <t>2.2.2-386.28</t>
  </si>
  <si>
    <t>CAPAS; COSTURAS: SOLDADAS Y COSIDAS, LARGO: CASACA, MODELO: ABROCHAR, MATERIAL: PVC, CRITERIO SOCIAL: SIN</t>
  </si>
  <si>
    <t>ELEMENTOS DE PROTECCION PERSONAL.</t>
  </si>
  <si>
    <t>ELEMENTOS DE SEGURIDAD.</t>
  </si>
  <si>
    <t>EXTINTORES;TIPO ABC PARA MATERIALES SOLIDOS LIQUIDOS Y ELECTRICOS INFLAMABLES.DE 5 KG. MARCA YUKON.</t>
  </si>
  <si>
    <t>GAFAS DE SEGURIDAD ANTI IMPACTOS TIPO OSCURAS. MARCA 3M MODELO I920 AF GRIS.</t>
  </si>
  <si>
    <t>2.5.9-2998.51</t>
  </si>
  <si>
    <t>2.6.2-268.12</t>
  </si>
  <si>
    <t>EQUIPOS</t>
  </si>
  <si>
    <t>2.9.9-8370.9</t>
  </si>
  <si>
    <t>KIT DE SEGURIDAD; COMPONENTES: 8</t>
  </si>
  <si>
    <t>ANTEOJOS DE SEGURIDAD</t>
  </si>
  <si>
    <t>PESOS TREINTA MILLONES SETECIENTOS VEINTISIETE MIL TRESCIENTOS CINCUENTA CON 00/100</t>
  </si>
  <si>
    <t>31-Secretaria de Admnistración</t>
  </si>
  <si>
    <t>2.5.9</t>
  </si>
  <si>
    <t>2.6.2</t>
  </si>
  <si>
    <t>2.9.9</t>
  </si>
  <si>
    <r>
      <t>Descripción técnica:</t>
    </r>
    <r>
      <rPr>
        <sz val="10"/>
        <rFont val="Times New Roman"/>
        <family val="1"/>
      </rPr>
      <t xml:space="preserve"> SEGÚN ESPECIFICACIONES TECNICAS ELEMENTOS DE PROTECCIÓN PERSONAL</t>
    </r>
  </si>
  <si>
    <t>Especificidades:</t>
  </si>
  <si>
    <r>
      <t>Plazos y lugares de entrega:</t>
    </r>
    <r>
      <rPr>
        <sz val="10"/>
        <rFont val="Times New Roman"/>
        <family val="1"/>
      </rPr>
      <t xml:space="preserve"> Dirección de Recursos Humanos y Control de Gestión del Ministerio de Agua, Energía y Medio Ambiente- Av. Belgrano S/N°- Pabellón N° 2- CAPE- Plazo de Entrega:  Treinta (30) días hábiles</t>
    </r>
  </si>
  <si>
    <r>
      <t>Calidad Minima esperada:</t>
    </r>
    <r>
      <rPr>
        <sz val="10"/>
        <rFont val="Times New Roman"/>
        <family val="1"/>
      </rPr>
      <t xml:space="preserve"> Primera calidad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</si>
</sst>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[$$-2C0A]\ #,##0.00"/>
  </numFmts>
  <fonts count="1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1" applyProtection="0"/>
    <xf numFmtId="0" fontId="2" fillId="2" borderId="0" applyBorder="0" applyProtection="0"/>
    <xf numFmtId="44" fontId="15" fillId="0" borderId="0" applyFont="0" applyFill="0" applyBorder="0" applyAlignment="0" applyProtection="0"/>
  </cellStyleXfs>
  <cellXfs count="55">
    <xf numFmtId="0" fontId="0" fillId="0" borderId="0" xfId="0"/>
    <xf numFmtId="0" fontId="6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 wrapText="1"/>
    </xf>
    <xf numFmtId="164" fontId="9" fillId="3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11" fillId="4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10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44" fontId="3" fillId="0" borderId="0" xfId="3" applyFont="1" applyAlignment="1">
      <alignment vertical="center"/>
    </xf>
    <xf numFmtId="44" fontId="3" fillId="3" borderId="0" xfId="3" applyFont="1" applyFill="1" applyAlignment="1">
      <alignment vertical="center"/>
    </xf>
    <xf numFmtId="44" fontId="3" fillId="0" borderId="0" xfId="3" applyFont="1" applyAlignment="1">
      <alignment horizontal="left" vertical="center"/>
    </xf>
    <xf numFmtId="44" fontId="3" fillId="0" borderId="0" xfId="3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3" borderId="0" xfId="0" applyFont="1" applyFill="1" applyBorder="1" applyAlignment="1">
      <alignment horizontal="left" vertical="center" wrapText="1"/>
    </xf>
    <xf numFmtId="0" fontId="11" fillId="4" borderId="0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vertical="center"/>
    </xf>
    <xf numFmtId="0" fontId="12" fillId="0" borderId="12" xfId="0" applyFont="1" applyFill="1" applyBorder="1" applyAlignment="1">
      <alignment vertical="center"/>
    </xf>
    <xf numFmtId="0" fontId="12" fillId="0" borderId="12" xfId="0" applyFont="1" applyFill="1" applyBorder="1" applyAlignment="1">
      <alignment vertical="center" wrapText="1"/>
    </xf>
    <xf numFmtId="0" fontId="14" fillId="0" borderId="12" xfId="0" applyFont="1" applyFill="1" applyBorder="1" applyAlignment="1">
      <alignment horizontal="left" vertical="center"/>
    </xf>
    <xf numFmtId="0" fontId="14" fillId="0" borderId="13" xfId="0" applyFont="1" applyFill="1" applyBorder="1" applyAlignment="1">
      <alignment horizontal="left" vertical="center"/>
    </xf>
    <xf numFmtId="164" fontId="12" fillId="0" borderId="11" xfId="0" applyNumberFormat="1" applyFont="1" applyFill="1" applyBorder="1" applyAlignment="1">
      <alignment horizontal="center" vertical="center"/>
    </xf>
    <xf numFmtId="164" fontId="12" fillId="0" borderId="13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/>
    </xf>
  </cellXfs>
  <cellStyles count="4">
    <cellStyle name="Encabezado 1" xfId="1"/>
    <cellStyle name="Moneda" xfId="3" builtinId="4"/>
    <cellStyle name="Neutral 1" xfId="2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0"/>
  <sheetViews>
    <sheetView tabSelected="1" topLeftCell="A22" workbookViewId="0">
      <selection activeCell="H35" sqref="H35"/>
    </sheetView>
  </sheetViews>
  <sheetFormatPr baseColWidth="10" defaultColWidth="11" defaultRowHeight="13.2" x14ac:dyDescent="0.25"/>
  <cols>
    <col min="1" max="1" width="4.5546875" style="8" customWidth="1"/>
    <col min="2" max="2" width="16.6640625" style="8" customWidth="1"/>
    <col min="3" max="3" width="21.5546875" style="8" customWidth="1"/>
    <col min="4" max="4" width="8.44140625" style="4" customWidth="1"/>
    <col min="5" max="5" width="79" style="8" customWidth="1"/>
    <col min="6" max="6" width="11" style="4"/>
    <col min="7" max="7" width="12.6640625" style="4" customWidth="1"/>
    <col min="8" max="8" width="13.88671875" style="4" customWidth="1"/>
    <col min="9" max="9" width="18.5546875" style="4" customWidth="1"/>
    <col min="10" max="10" width="5.5546875" style="28" bestFit="1" customWidth="1"/>
    <col min="11" max="15" width="11" style="28"/>
    <col min="16" max="16384" width="11" style="8"/>
  </cols>
  <sheetData>
    <row r="2" spans="1:15" ht="27.6" x14ac:dyDescent="0.25">
      <c r="B2" s="33" t="s">
        <v>0</v>
      </c>
      <c r="C2" s="33"/>
      <c r="D2" s="33"/>
      <c r="E2" s="33"/>
      <c r="F2" s="33"/>
      <c r="G2" s="33"/>
      <c r="H2" s="33"/>
    </row>
    <row r="4" spans="1:15" s="9" customFormat="1" ht="18" customHeight="1" x14ac:dyDescent="0.25">
      <c r="A4" s="34" t="s">
        <v>1</v>
      </c>
      <c r="B4" s="34"/>
      <c r="C4" s="35" t="s">
        <v>16</v>
      </c>
      <c r="D4" s="35"/>
      <c r="E4" s="35"/>
      <c r="F4" s="1"/>
      <c r="G4" s="1"/>
      <c r="H4" s="1"/>
      <c r="I4" s="5"/>
      <c r="J4" s="29"/>
      <c r="K4" s="29"/>
      <c r="L4" s="29"/>
      <c r="M4" s="29"/>
      <c r="N4" s="29"/>
      <c r="O4" s="29"/>
    </row>
    <row r="5" spans="1:15" s="9" customFormat="1" ht="18" customHeight="1" x14ac:dyDescent="0.25">
      <c r="A5" s="34" t="s">
        <v>2</v>
      </c>
      <c r="B5" s="34"/>
      <c r="C5" s="35" t="s">
        <v>59</v>
      </c>
      <c r="D5" s="35"/>
      <c r="E5" s="35"/>
      <c r="F5" s="1"/>
      <c r="G5" s="1"/>
      <c r="H5" s="1"/>
      <c r="I5" s="5"/>
      <c r="J5" s="29"/>
      <c r="K5" s="29"/>
      <c r="L5" s="29"/>
      <c r="M5" s="29"/>
      <c r="N5" s="29"/>
      <c r="O5" s="29"/>
    </row>
    <row r="6" spans="1:15" s="9" customFormat="1" ht="16.5" customHeight="1" x14ac:dyDescent="0.25">
      <c r="A6" s="34" t="s">
        <v>3</v>
      </c>
      <c r="B6" s="34"/>
      <c r="C6" s="10">
        <v>2022</v>
      </c>
      <c r="D6" s="11"/>
      <c r="E6" s="12"/>
      <c r="F6" s="1"/>
      <c r="G6" s="1"/>
      <c r="H6" s="1"/>
      <c r="I6" s="5"/>
      <c r="J6" s="29"/>
      <c r="K6" s="29"/>
      <c r="L6" s="29"/>
      <c r="M6" s="29"/>
      <c r="N6" s="29"/>
      <c r="O6" s="29"/>
    </row>
    <row r="7" spans="1:15" s="9" customFormat="1" ht="16.5" customHeight="1" x14ac:dyDescent="0.25">
      <c r="A7" s="34" t="s">
        <v>4</v>
      </c>
      <c r="B7" s="34"/>
      <c r="C7" s="10">
        <v>4</v>
      </c>
      <c r="D7" s="11"/>
      <c r="E7" s="12"/>
      <c r="F7" s="1"/>
      <c r="G7" s="1"/>
      <c r="H7" s="1"/>
      <c r="I7" s="5"/>
      <c r="J7" s="29"/>
      <c r="K7" s="29"/>
      <c r="L7" s="29"/>
      <c r="M7" s="29"/>
      <c r="N7" s="29"/>
      <c r="O7" s="29"/>
    </row>
    <row r="8" spans="1:15" x14ac:dyDescent="0.25">
      <c r="B8" s="13"/>
      <c r="C8" s="2"/>
      <c r="D8" s="2"/>
      <c r="E8" s="13"/>
      <c r="F8" s="2"/>
      <c r="G8" s="2"/>
      <c r="H8" s="2"/>
    </row>
    <row r="9" spans="1:15" ht="39.6" x14ac:dyDescent="0.25">
      <c r="A9" s="53" t="s">
        <v>5</v>
      </c>
      <c r="B9" s="53" t="s">
        <v>6</v>
      </c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53" t="s">
        <v>12</v>
      </c>
      <c r="I9" s="53" t="s">
        <v>13</v>
      </c>
    </row>
    <row r="10" spans="1:15" s="15" customFormat="1" ht="27.75" customHeight="1" x14ac:dyDescent="0.25">
      <c r="A10" s="54">
        <v>1</v>
      </c>
      <c r="B10" s="14" t="s">
        <v>21</v>
      </c>
      <c r="C10" s="14" t="s">
        <v>48</v>
      </c>
      <c r="D10" s="3" t="s">
        <v>20</v>
      </c>
      <c r="E10" s="14" t="s">
        <v>22</v>
      </c>
      <c r="F10" s="3" t="s">
        <v>45</v>
      </c>
      <c r="G10" s="3">
        <v>1800</v>
      </c>
      <c r="H10" s="7">
        <v>1237</v>
      </c>
      <c r="I10" s="6">
        <f>H10*G10</f>
        <v>2226600</v>
      </c>
      <c r="J10" s="30"/>
      <c r="K10" s="30"/>
      <c r="L10" s="30"/>
      <c r="M10" s="30"/>
      <c r="N10" s="30"/>
      <c r="O10" s="30"/>
    </row>
    <row r="11" spans="1:15" s="15" customFormat="1" ht="28.5" customHeight="1" x14ac:dyDescent="0.25">
      <c r="A11" s="54">
        <v>2</v>
      </c>
      <c r="B11" s="14" t="s">
        <v>23</v>
      </c>
      <c r="C11" s="14" t="s">
        <v>48</v>
      </c>
      <c r="D11" s="3" t="s">
        <v>20</v>
      </c>
      <c r="E11" s="14" t="s">
        <v>24</v>
      </c>
      <c r="F11" s="3" t="s">
        <v>45</v>
      </c>
      <c r="G11" s="3">
        <v>1000</v>
      </c>
      <c r="H11" s="7">
        <v>1888</v>
      </c>
      <c r="I11" s="6">
        <f t="shared" ref="I11:I25" si="0">H11*G11</f>
        <v>1888000</v>
      </c>
      <c r="J11" s="30"/>
      <c r="K11" s="30"/>
      <c r="L11" s="30"/>
      <c r="M11" s="30"/>
      <c r="N11" s="30"/>
      <c r="O11" s="30"/>
    </row>
    <row r="12" spans="1:15" s="15" customFormat="1" ht="30.75" customHeight="1" x14ac:dyDescent="0.25">
      <c r="A12" s="54">
        <v>3</v>
      </c>
      <c r="B12" s="14" t="s">
        <v>25</v>
      </c>
      <c r="C12" s="14" t="s">
        <v>48</v>
      </c>
      <c r="D12" s="3" t="s">
        <v>20</v>
      </c>
      <c r="E12" s="14" t="s">
        <v>26</v>
      </c>
      <c r="F12" s="3" t="s">
        <v>45</v>
      </c>
      <c r="G12" s="3">
        <v>500</v>
      </c>
      <c r="H12" s="7">
        <v>1875</v>
      </c>
      <c r="I12" s="6">
        <f t="shared" si="0"/>
        <v>937500</v>
      </c>
      <c r="J12" s="30"/>
      <c r="K12" s="30"/>
      <c r="L12" s="30"/>
      <c r="M12" s="30"/>
      <c r="N12" s="30"/>
      <c r="O12" s="30"/>
    </row>
    <row r="13" spans="1:15" s="15" customFormat="1" ht="32.25" customHeight="1" x14ac:dyDescent="0.25">
      <c r="A13" s="54">
        <v>4</v>
      </c>
      <c r="B13" s="14" t="s">
        <v>27</v>
      </c>
      <c r="C13" s="14" t="s">
        <v>48</v>
      </c>
      <c r="D13" s="3" t="s">
        <v>20</v>
      </c>
      <c r="E13" s="14" t="s">
        <v>28</v>
      </c>
      <c r="F13" s="3" t="s">
        <v>45</v>
      </c>
      <c r="G13" s="3">
        <v>50</v>
      </c>
      <c r="H13" s="7">
        <v>7000</v>
      </c>
      <c r="I13" s="6">
        <f t="shared" si="0"/>
        <v>350000</v>
      </c>
      <c r="J13" s="30"/>
      <c r="K13" s="30"/>
      <c r="L13" s="30"/>
      <c r="M13" s="30"/>
      <c r="N13" s="30"/>
      <c r="O13" s="30"/>
    </row>
    <row r="14" spans="1:15" s="15" customFormat="1" ht="28.5" customHeight="1" x14ac:dyDescent="0.25">
      <c r="A14" s="54">
        <v>5</v>
      </c>
      <c r="B14" s="14" t="s">
        <v>46</v>
      </c>
      <c r="C14" s="14" t="s">
        <v>48</v>
      </c>
      <c r="D14" s="3" t="s">
        <v>20</v>
      </c>
      <c r="E14" s="14" t="s">
        <v>47</v>
      </c>
      <c r="F14" s="3" t="s">
        <v>19</v>
      </c>
      <c r="G14" s="3">
        <v>700</v>
      </c>
      <c r="H14" s="7">
        <v>5000</v>
      </c>
      <c r="I14" s="6">
        <f t="shared" si="0"/>
        <v>3500000</v>
      </c>
      <c r="J14" s="30"/>
      <c r="K14" s="30"/>
      <c r="L14" s="30"/>
      <c r="M14" s="30"/>
      <c r="N14" s="30"/>
      <c r="O14" s="30"/>
    </row>
    <row r="15" spans="1:15" s="15" customFormat="1" ht="33" customHeight="1" x14ac:dyDescent="0.25">
      <c r="A15" s="54">
        <v>6</v>
      </c>
      <c r="B15" s="14" t="s">
        <v>29</v>
      </c>
      <c r="C15" s="14" t="s">
        <v>48</v>
      </c>
      <c r="D15" s="3" t="s">
        <v>20</v>
      </c>
      <c r="E15" s="14" t="s">
        <v>30</v>
      </c>
      <c r="F15" s="3" t="s">
        <v>45</v>
      </c>
      <c r="G15" s="3">
        <v>800</v>
      </c>
      <c r="H15" s="7">
        <v>1500</v>
      </c>
      <c r="I15" s="6">
        <f t="shared" si="0"/>
        <v>1200000</v>
      </c>
      <c r="J15" s="30"/>
      <c r="K15" s="30"/>
      <c r="L15" s="30"/>
      <c r="M15" s="30"/>
      <c r="N15" s="30"/>
      <c r="O15" s="30"/>
    </row>
    <row r="16" spans="1:15" s="15" customFormat="1" ht="28.5" customHeight="1" x14ac:dyDescent="0.25">
      <c r="A16" s="54">
        <v>7</v>
      </c>
      <c r="B16" s="14" t="s">
        <v>31</v>
      </c>
      <c r="C16" s="14" t="s">
        <v>48</v>
      </c>
      <c r="D16" s="3" t="s">
        <v>20</v>
      </c>
      <c r="E16" s="14" t="s">
        <v>32</v>
      </c>
      <c r="F16" s="3" t="s">
        <v>19</v>
      </c>
      <c r="G16" s="3">
        <v>1300</v>
      </c>
      <c r="H16" s="7">
        <v>1980</v>
      </c>
      <c r="I16" s="6">
        <f t="shared" si="0"/>
        <v>2574000</v>
      </c>
      <c r="J16" s="30"/>
      <c r="K16" s="30"/>
      <c r="L16" s="30"/>
      <c r="M16" s="30"/>
      <c r="N16" s="30"/>
      <c r="O16" s="30"/>
    </row>
    <row r="17" spans="1:15" s="15" customFormat="1" ht="31.5" customHeight="1" x14ac:dyDescent="0.25">
      <c r="A17" s="54">
        <v>8</v>
      </c>
      <c r="B17" s="14" t="s">
        <v>33</v>
      </c>
      <c r="C17" s="14" t="s">
        <v>48</v>
      </c>
      <c r="D17" s="3" t="s">
        <v>20</v>
      </c>
      <c r="E17" s="14" t="s">
        <v>34</v>
      </c>
      <c r="F17" s="3" t="s">
        <v>19</v>
      </c>
      <c r="G17" s="3">
        <v>500</v>
      </c>
      <c r="H17" s="7">
        <v>3750</v>
      </c>
      <c r="I17" s="6">
        <f t="shared" si="0"/>
        <v>1875000</v>
      </c>
      <c r="J17" s="30"/>
      <c r="K17" s="30"/>
      <c r="L17" s="30"/>
      <c r="M17" s="30"/>
      <c r="N17" s="30"/>
      <c r="O17" s="30"/>
    </row>
    <row r="18" spans="1:15" s="15" customFormat="1" ht="28.5" customHeight="1" x14ac:dyDescent="0.25">
      <c r="A18" s="54">
        <v>9</v>
      </c>
      <c r="B18" s="14" t="s">
        <v>35</v>
      </c>
      <c r="C18" s="14" t="s">
        <v>48</v>
      </c>
      <c r="D18" s="3" t="s">
        <v>20</v>
      </c>
      <c r="E18" s="14" t="s">
        <v>36</v>
      </c>
      <c r="F18" s="3" t="s">
        <v>19</v>
      </c>
      <c r="G18" s="3">
        <v>90</v>
      </c>
      <c r="H18" s="7">
        <v>3625</v>
      </c>
      <c r="I18" s="6">
        <f t="shared" si="0"/>
        <v>326250</v>
      </c>
      <c r="J18" s="30"/>
      <c r="K18" s="30"/>
      <c r="L18" s="30"/>
      <c r="M18" s="30"/>
      <c r="N18" s="30"/>
      <c r="O18" s="30"/>
    </row>
    <row r="19" spans="1:15" s="15" customFormat="1" ht="28.5" customHeight="1" x14ac:dyDescent="0.25">
      <c r="A19" s="54">
        <v>10</v>
      </c>
      <c r="B19" s="14" t="s">
        <v>37</v>
      </c>
      <c r="C19" s="14" t="s">
        <v>48</v>
      </c>
      <c r="D19" s="3" t="s">
        <v>20</v>
      </c>
      <c r="E19" s="14" t="s">
        <v>38</v>
      </c>
      <c r="F19" s="3" t="s">
        <v>19</v>
      </c>
      <c r="G19" s="3">
        <v>1500</v>
      </c>
      <c r="H19" s="7">
        <v>950</v>
      </c>
      <c r="I19" s="6">
        <f t="shared" si="0"/>
        <v>1425000</v>
      </c>
      <c r="J19" s="30"/>
      <c r="K19" s="30"/>
      <c r="L19" s="30"/>
      <c r="M19" s="30"/>
      <c r="N19" s="30"/>
      <c r="O19" s="30"/>
    </row>
    <row r="20" spans="1:15" s="15" customFormat="1" ht="21.75" customHeight="1" x14ac:dyDescent="0.25">
      <c r="A20" s="54">
        <v>11</v>
      </c>
      <c r="B20" s="14" t="s">
        <v>39</v>
      </c>
      <c r="C20" s="14" t="s">
        <v>48</v>
      </c>
      <c r="D20" s="3" t="s">
        <v>20</v>
      </c>
      <c r="E20" s="14" t="s">
        <v>40</v>
      </c>
      <c r="F20" s="3" t="s">
        <v>19</v>
      </c>
      <c r="G20" s="3">
        <v>400</v>
      </c>
      <c r="H20" s="7">
        <v>3200</v>
      </c>
      <c r="I20" s="6">
        <f t="shared" si="0"/>
        <v>1280000</v>
      </c>
      <c r="J20" s="30"/>
      <c r="K20" s="30"/>
      <c r="L20" s="30"/>
      <c r="M20" s="30"/>
      <c r="N20" s="30"/>
      <c r="O20" s="30"/>
    </row>
    <row r="21" spans="1:15" s="15" customFormat="1" ht="28.5" customHeight="1" x14ac:dyDescent="0.25">
      <c r="A21" s="54">
        <v>12</v>
      </c>
      <c r="B21" s="14" t="s">
        <v>41</v>
      </c>
      <c r="C21" s="14" t="s">
        <v>48</v>
      </c>
      <c r="D21" s="3" t="s">
        <v>20</v>
      </c>
      <c r="E21" s="14" t="s">
        <v>42</v>
      </c>
      <c r="F21" s="3" t="s">
        <v>19</v>
      </c>
      <c r="G21" s="3">
        <v>400</v>
      </c>
      <c r="H21" s="7">
        <v>6700</v>
      </c>
      <c r="I21" s="6">
        <f t="shared" si="0"/>
        <v>2680000</v>
      </c>
      <c r="J21" s="31"/>
      <c r="K21" s="31"/>
      <c r="L21" s="30"/>
      <c r="M21" s="30"/>
      <c r="N21" s="30"/>
      <c r="O21" s="30"/>
    </row>
    <row r="22" spans="1:15" s="15" customFormat="1" ht="40.5" customHeight="1" x14ac:dyDescent="0.25">
      <c r="A22" s="54">
        <v>13</v>
      </c>
      <c r="B22" s="14" t="s">
        <v>43</v>
      </c>
      <c r="C22" s="14" t="s">
        <v>48</v>
      </c>
      <c r="D22" s="3" t="s">
        <v>20</v>
      </c>
      <c r="E22" s="14" t="s">
        <v>44</v>
      </c>
      <c r="F22" s="3" t="s">
        <v>45</v>
      </c>
      <c r="G22" s="3">
        <v>500</v>
      </c>
      <c r="H22" s="7">
        <v>1950</v>
      </c>
      <c r="I22" s="6">
        <f t="shared" si="0"/>
        <v>975000</v>
      </c>
      <c r="J22" s="4"/>
      <c r="K22" s="31"/>
      <c r="L22" s="30"/>
      <c r="M22" s="30"/>
      <c r="N22" s="30"/>
      <c r="O22" s="30"/>
    </row>
    <row r="23" spans="1:15" s="15" customFormat="1" ht="29.25" customHeight="1" x14ac:dyDescent="0.25">
      <c r="A23" s="54">
        <v>14</v>
      </c>
      <c r="B23" s="14" t="s">
        <v>52</v>
      </c>
      <c r="C23" s="14" t="s">
        <v>49</v>
      </c>
      <c r="D23" s="3" t="s">
        <v>60</v>
      </c>
      <c r="E23" s="14" t="s">
        <v>50</v>
      </c>
      <c r="F23" s="3" t="s">
        <v>19</v>
      </c>
      <c r="G23" s="3">
        <v>250</v>
      </c>
      <c r="H23" s="7">
        <v>18600</v>
      </c>
      <c r="I23" s="6">
        <f t="shared" si="0"/>
        <v>4650000</v>
      </c>
      <c r="J23" s="4"/>
      <c r="K23" s="4"/>
    </row>
    <row r="24" spans="1:15" s="15" customFormat="1" ht="22.5" customHeight="1" x14ac:dyDescent="0.25">
      <c r="A24" s="54">
        <v>15</v>
      </c>
      <c r="B24" s="14" t="s">
        <v>53</v>
      </c>
      <c r="C24" s="14" t="s">
        <v>57</v>
      </c>
      <c r="D24" s="3" t="s">
        <v>61</v>
      </c>
      <c r="E24" s="14" t="s">
        <v>51</v>
      </c>
      <c r="F24" s="3" t="s">
        <v>19</v>
      </c>
      <c r="G24" s="3">
        <v>1800</v>
      </c>
      <c r="H24" s="7">
        <v>2250</v>
      </c>
      <c r="I24" s="6">
        <f t="shared" si="0"/>
        <v>4050000</v>
      </c>
      <c r="J24" s="4"/>
      <c r="K24" s="4"/>
    </row>
    <row r="25" spans="1:15" s="15" customFormat="1" ht="22.5" customHeight="1" x14ac:dyDescent="0.25">
      <c r="A25" s="54">
        <v>16</v>
      </c>
      <c r="B25" s="14" t="s">
        <v>55</v>
      </c>
      <c r="C25" s="14" t="s">
        <v>54</v>
      </c>
      <c r="D25" s="3" t="s">
        <v>62</v>
      </c>
      <c r="E25" s="14" t="s">
        <v>56</v>
      </c>
      <c r="F25" s="3" t="s">
        <v>19</v>
      </c>
      <c r="G25" s="3">
        <v>100</v>
      </c>
      <c r="H25" s="7">
        <v>7900</v>
      </c>
      <c r="I25" s="6">
        <f t="shared" si="0"/>
        <v>790000</v>
      </c>
      <c r="J25" s="4"/>
      <c r="K25" s="4"/>
    </row>
    <row r="26" spans="1:15" s="16" customFormat="1" ht="25.5" customHeight="1" x14ac:dyDescent="0.25">
      <c r="A26" s="46" t="s">
        <v>18</v>
      </c>
      <c r="B26" s="47"/>
      <c r="C26" s="48"/>
      <c r="D26" s="49" t="s">
        <v>58</v>
      </c>
      <c r="E26" s="49"/>
      <c r="F26" s="49"/>
      <c r="G26" s="50"/>
      <c r="H26" s="51">
        <f>SUM(I10:I25)</f>
        <v>30727350</v>
      </c>
      <c r="I26" s="52"/>
      <c r="J26" s="32"/>
      <c r="K26" s="32"/>
    </row>
    <row r="27" spans="1:15" ht="13.8" thickBot="1" x14ac:dyDescent="0.3">
      <c r="E27" s="17" t="s">
        <v>17</v>
      </c>
      <c r="J27" s="8"/>
      <c r="K27" s="8"/>
      <c r="L27" s="8"/>
      <c r="M27" s="8"/>
      <c r="N27" s="8"/>
      <c r="O27" s="8"/>
    </row>
    <row r="28" spans="1:15" ht="33.75" customHeight="1" x14ac:dyDescent="0.25">
      <c r="B28" s="40" t="s">
        <v>64</v>
      </c>
      <c r="C28" s="41"/>
      <c r="D28" s="41"/>
      <c r="E28" s="42"/>
      <c r="J28" s="8"/>
      <c r="K28" s="8"/>
      <c r="L28" s="8"/>
      <c r="M28" s="8"/>
      <c r="N28" s="8"/>
      <c r="O28" s="8"/>
    </row>
    <row r="29" spans="1:15" ht="8.25" customHeight="1" x14ac:dyDescent="0.25">
      <c r="B29" s="18"/>
      <c r="C29" s="19"/>
      <c r="D29" s="20"/>
      <c r="E29" s="21"/>
    </row>
    <row r="30" spans="1:15" x14ac:dyDescent="0.25">
      <c r="B30" s="36" t="s">
        <v>63</v>
      </c>
      <c r="C30" s="37"/>
      <c r="D30" s="37"/>
      <c r="E30" s="38"/>
    </row>
    <row r="31" spans="1:15" ht="8.25" customHeight="1" x14ac:dyDescent="0.25">
      <c r="B31" s="22"/>
      <c r="C31" s="43"/>
      <c r="D31" s="43"/>
      <c r="E31" s="44"/>
    </row>
    <row r="32" spans="1:15" ht="30.75" customHeight="1" x14ac:dyDescent="0.25">
      <c r="B32" s="36" t="s">
        <v>65</v>
      </c>
      <c r="C32" s="37"/>
      <c r="D32" s="37"/>
      <c r="E32" s="38"/>
    </row>
    <row r="33" spans="2:5" ht="8.25" customHeight="1" x14ac:dyDescent="0.25">
      <c r="B33" s="23"/>
      <c r="C33" s="43"/>
      <c r="D33" s="43"/>
      <c r="E33" s="44"/>
    </row>
    <row r="34" spans="2:5" ht="8.25" customHeight="1" x14ac:dyDescent="0.25">
      <c r="B34" s="23"/>
      <c r="C34" s="45"/>
      <c r="D34" s="45"/>
      <c r="E34" s="45"/>
    </row>
    <row r="35" spans="2:5" x14ac:dyDescent="0.25">
      <c r="B35" s="36" t="s">
        <v>66</v>
      </c>
      <c r="C35" s="37"/>
      <c r="D35" s="37"/>
      <c r="E35" s="38"/>
    </row>
    <row r="36" spans="2:5" ht="8.25" customHeight="1" x14ac:dyDescent="0.25">
      <c r="B36" s="23"/>
      <c r="C36" s="39"/>
      <c r="D36" s="39"/>
      <c r="E36" s="39"/>
    </row>
    <row r="37" spans="2:5" x14ac:dyDescent="0.25">
      <c r="B37" s="36" t="s">
        <v>14</v>
      </c>
      <c r="C37" s="37"/>
      <c r="D37" s="37"/>
      <c r="E37" s="38"/>
    </row>
    <row r="38" spans="2:5" ht="8.25" customHeight="1" x14ac:dyDescent="0.25">
      <c r="B38" s="23"/>
      <c r="C38" s="39"/>
      <c r="D38" s="39"/>
      <c r="E38" s="39"/>
    </row>
    <row r="39" spans="2:5" x14ac:dyDescent="0.25">
      <c r="B39" s="36" t="s">
        <v>15</v>
      </c>
      <c r="C39" s="37"/>
      <c r="D39" s="37"/>
      <c r="E39" s="38"/>
    </row>
    <row r="40" spans="2:5" ht="13.8" thickBot="1" x14ac:dyDescent="0.3">
      <c r="B40" s="24"/>
      <c r="C40" s="25"/>
      <c r="D40" s="26"/>
      <c r="E40" s="27"/>
    </row>
  </sheetData>
  <autoFilter ref="A9:I28"/>
  <mergeCells count="20">
    <mergeCell ref="B39:E39"/>
    <mergeCell ref="C36:E36"/>
    <mergeCell ref="C38:E38"/>
    <mergeCell ref="B28:E28"/>
    <mergeCell ref="C31:E31"/>
    <mergeCell ref="C33:E33"/>
    <mergeCell ref="C34:E34"/>
    <mergeCell ref="B30:E30"/>
    <mergeCell ref="B32:E32"/>
    <mergeCell ref="B35:E35"/>
    <mergeCell ref="B37:E37"/>
    <mergeCell ref="H26:I26"/>
    <mergeCell ref="B2:H2"/>
    <mergeCell ref="A4:B4"/>
    <mergeCell ref="C4:E4"/>
    <mergeCell ref="A5:B5"/>
    <mergeCell ref="C5:E5"/>
    <mergeCell ref="A6:B6"/>
    <mergeCell ref="A7:B7"/>
    <mergeCell ref="D26:G26"/>
  </mergeCells>
  <pageMargins left="0.7" right="0.7" top="0.75" bottom="0.75" header="0.51180555555555496" footer="0.51180555555555496"/>
  <pageSetup paperSize="9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MINISTERIO A E y M</cp:lastModifiedBy>
  <cp:revision>2</cp:revision>
  <cp:lastPrinted>2021-05-07T16:41:52Z</cp:lastPrinted>
  <dcterms:created xsi:type="dcterms:W3CDTF">2020-07-17T23:44:49Z</dcterms:created>
  <dcterms:modified xsi:type="dcterms:W3CDTF">2022-12-05T13:22:37Z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