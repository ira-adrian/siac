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rch\Downloads\"/>
    </mc:Choice>
  </mc:AlternateContent>
  <xr:revisionPtr revIDLastSave="0" documentId="13_ncr:1_{FBA7B845-2371-4EDF-9AA5-0DE189D756F1}" xr6:coauthVersionLast="46" xr6:coauthVersionMax="46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NotaPedido'!$A$1:$K$38</definedName>
    <definedName name="_xlnm.Print_Area" localSheetId="2">'Autor Gastar'!$A$1:$Q$26</definedName>
    <definedName name="_xlnm.Print_Area" localSheetId="0">'Necesidades Trimestrales'!$A$1:$I$466</definedName>
  </definedNames>
  <calcPr calcId="191029"/>
</workbook>
</file>

<file path=xl/calcChain.xml><?xml version="1.0" encoding="utf-8"?>
<calcChain xmlns="http://schemas.openxmlformats.org/spreadsheetml/2006/main">
  <c r="K36" i="2" l="1"/>
  <c r="K37" i="2"/>
  <c r="J36" i="2"/>
  <c r="J37" i="2"/>
  <c r="I35" i="2"/>
  <c r="I36" i="2"/>
  <c r="I37" i="2"/>
  <c r="C35" i="2"/>
  <c r="C36" i="2"/>
  <c r="C37" i="2"/>
  <c r="B35" i="2"/>
  <c r="B36" i="2"/>
  <c r="B37" i="2"/>
  <c r="I34" i="1"/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5" i="1"/>
  <c r="I11" i="1"/>
  <c r="I10" i="1" l="1"/>
  <c r="I37" i="1" s="1"/>
  <c r="Q22" i="3" l="1"/>
  <c r="D7" i="2" l="1"/>
  <c r="D3" i="2"/>
  <c r="G4" i="3" s="1"/>
  <c r="D4" i="2"/>
  <c r="G5" i="3" s="1"/>
  <c r="A10" i="3" l="1"/>
  <c r="D1" i="3"/>
  <c r="K12" i="2"/>
  <c r="J12" i="2"/>
  <c r="J38" i="2" s="1"/>
  <c r="I12" i="2"/>
  <c r="C12" i="2"/>
  <c r="B12" i="2"/>
  <c r="I15" i="3"/>
</calcChain>
</file>

<file path=xl/sharedStrings.xml><?xml version="1.0" encoding="utf-8"?>
<sst xmlns="http://schemas.openxmlformats.org/spreadsheetml/2006/main" count="536" uniqueCount="135">
  <si>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</si>
  <si>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</si>
  <si>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</si>
  <si>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</si>
  <si>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</si>
  <si>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</si>
  <si>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</si>
  <si>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</si>
  <si>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</si>
  <si>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</si>
  <si>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</si>
  <si>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</si>
  <si>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</si>
  <si>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</si>
  <si>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</si>
  <si>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</si>
  <si>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</si>
  <si>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</si>
  <si>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</si>
  <si>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</si>
  <si>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</si>
  <si>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</si>
  <si>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</si>
  <si>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</si>
  <si>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</si>
  <si>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</si>
  <si>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</si>
  <si>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</si>
  <si>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</si>
  <si>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</si>
  <si>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</si>
  <si>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</si>
  <si>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</si>
  <si>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</si>
  <si>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</si>
  <si>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</si>
  <si>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</si>
  <si>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</si>
  <si>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</si>
  <si>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</si>
  <si>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</si>
  <si>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</si>
  <si>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</si>
  <si>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</si>
  <si>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</si>
  <si>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</si>
  <si>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</si>
  <si>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</si>
  <si>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</si>
  <si>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</si>
  <si>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</si>
  <si>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</si>
  <si>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</si>
  <si>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</si>
  <si>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</si>
  <si>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</si>
  <si>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</si>
  <si>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45- Ministerio de Desarrollo Social y Deporte</t>
  </si>
  <si>
    <t>25- Direccion Provincial de Gestion Administrativa y RRHH</t>
  </si>
  <si>
    <t>Alta</t>
  </si>
  <si>
    <t>Especificidades Item N° 2:</t>
  </si>
  <si>
    <t>Especificidades Item N° 3:</t>
  </si>
  <si>
    <t>S/E</t>
  </si>
  <si>
    <t>2.2.2-6729.16</t>
  </si>
  <si>
    <t>INDUMENT TEXTIL Y CONFECCIONES</t>
  </si>
  <si>
    <t>CALZADOS; TIPO: ZAPATILLAS, MATERIAL: LONA, SUELA: GOMA, SEXO: UNISEX</t>
  </si>
  <si>
    <t>2.2.2</t>
  </si>
  <si>
    <t>UNIDADES</t>
  </si>
  <si>
    <t>Adquisición de Zapatillas para asistir a Personas de Escaso Recursos.-</t>
  </si>
  <si>
    <t>PRENDAS DE VESTIR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</si>
  <si>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</si>
  <si>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</si>
  <si>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</si>
  <si>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</si>
  <si>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</si>
  <si>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 9:</t>
  </si>
  <si>
    <t>Especificidades Item N° 10:</t>
  </si>
  <si>
    <t>Especificidades Item N° 11:</t>
  </si>
  <si>
    <t>Especificidades Item N° 12:</t>
  </si>
  <si>
    <t>Especificidades Item N° 13:</t>
  </si>
  <si>
    <t>Especificidades Item N° 14:</t>
  </si>
  <si>
    <t>Especificidades Item N° 15:</t>
  </si>
  <si>
    <t>Especificidades Item N° 16:</t>
  </si>
  <si>
    <t>Especificidades Item N° 17:</t>
  </si>
  <si>
    <t>Especificidades Item N° 18:</t>
  </si>
  <si>
    <t>Especificidades Item N° 19:</t>
  </si>
  <si>
    <t>Especificidades Item N° 20:</t>
  </si>
  <si>
    <t>Especificidades Item N° 21:</t>
  </si>
  <si>
    <t>Especificidades Item N° 22:</t>
  </si>
  <si>
    <t>Especificidades Item N° 23:</t>
  </si>
  <si>
    <t>Especificidades Item N° 24:</t>
  </si>
  <si>
    <t>Especificidades Item N° 25:</t>
  </si>
  <si>
    <t>ZAPATILLAS DE LONA CAPELLADA 100% ALGODÓN CON CORDONES, TALON REFORZADO CON CONTRAFUERTE TERMOPLASTICO, SUELA DE GOMA DE 3 MM DE ESPESOR N° 20, DEL TOTAL DE PARES 70% NEGRAS Y 30% BLANCAS</t>
  </si>
  <si>
    <t>ZAPATILLAS DE LONA CAPELLADA 100% ALGODÓN CON CORDONES, TALON REFORZADO CON CONTRAFUERTE TERMOPLASTICO, SUELA DE GOMA DE 3 MM DE ESPESOR N° 21, DEL TOTAL DE PARES 70% NEGRAS Y 30% BLANCAS</t>
  </si>
  <si>
    <t>ZAPATILLAS DE LONA CAPELLADA 100% ALGODÓN CON CORDONES, TALON REFORZADO CON CONTRAFUERTE TERMOPLASTICO, SUELA DE GOMA DE 3 MM DE ESPESOR N° 22, DEL TOTAL DE PARES 70% NEGRAS Y 30% BLANCAS</t>
  </si>
  <si>
    <t>ZAPATILLAS DE LONA CAPELLADA 100% ALGODÓN CON CORDONES, TALON REFORZADO CON CONTRAFUERTE TERMOPLASTICO, SUELA DE GOMA DE 3 MM DE ESPESOR N° 23, DEL TOTAL DE PARES 70% NEGRAS Y 30% BLANCAS</t>
  </si>
  <si>
    <t>ZAPATILLAS DE LONA CAPELLADA 100% ALGODÓN CON CORDONES, TALON REFORZADO CON CONTRAFUERTE TERMOPLASTICO, SUELA DE GOMA DE 3 MM DE ESPESOR N° 24, DEL TOTAL DE PARES 70% NEGRAS Y 30% BLANCAS</t>
  </si>
  <si>
    <t>ZAPATILLAS DE LONA CAPELLADA 100% ALGODÓN CON CORDONES, TALON REFORZADO CON CONTRAFUERTE TERMOPLASTICO, SUELA DE GOMA DE 3 MM DE ESPESOR N° 25, DEL TOTAL DE PARES 70% NEGRAS Y 30% BLANCAS</t>
  </si>
  <si>
    <t>ZAPATILLAS DE LONA CAPELLADA 100% ALGODÓN CON CORDONES, TALON REFORZADO CON CONTRAFUERTE TERMOPLASTICO, SUELA DE GOMA DE 3 MM DE ESPESOR N° 26, DEL TOTAL DE PARES 70% NEGRAS Y 30% BLANCAS</t>
  </si>
  <si>
    <t>ZAPATILLAS DE LONA CAPELLADA 100% ALGODÓN CON CORDONES, TALON REFORZADO CON CONTRAFUERTE TERMOPLASTICO, SUELA DE GOMA DE 3 MM DE ESPESOR N° 27, DEL TOTAL DE PARES 70% NEGRAS Y 30% BLANCAS</t>
  </si>
  <si>
    <t>ZAPATILLAS DE LONA CAPELLADA 100% ALGODÓN CON CORDONES, TALON REFORZADO CON CONTRAFUERTE TERMOPLASTICO, SUELA DE GOMA DE 3 MM DE ESPESOR N° 28, DEL TOTAL DE PARES 70% NEGRAS Y 30% BLANCAS</t>
  </si>
  <si>
    <t>ZAPATILLAS DE LONA CAPELLADA 100% ALGODÓN CON CORDONES, TALON REFORZADO CON CONTRAFUERTE TERMOPLASTICO, SUELA DE GOMA DE 3 MM DE ESPESOR N° 29, DEL TOTAL DE PARES 70% NEGRAS Y 30% BLANCAS</t>
  </si>
  <si>
    <t>ZAPATILLAS DE LONA CAPELLADA 100% ALGODÓN CON CORDONES, TALON REFORZADO CON CONTRAFUERTE TERMOPLASTICO, SUELA DE GOMA DE 3 MM DE ESPESOR N° 30, DEL TOTAL DE PARES 70% NEGRAS Y 30% BLANCAS</t>
  </si>
  <si>
    <t>ZAPATILLAS DE LONA CAPELLADA 100% ALGODÓN CON CORDONES, TALON REFORZADO CON CONTRAFUERTE TERMOPLASTICO, SUELA DE GOMA DE 3 MM DE ESPESOR N° 31, DEL TOTAL DE PARES 70% NEGRAS Y 30% BLANCAS</t>
  </si>
  <si>
    <t>ZAPATILLAS DE LONA CAPELLADA 100% ALGODÓN CON CORDONES, TALON REFORZADO CON CONTRAFUERTE TERMOPLASTICO, SUELA DE GOMA DE 3 MM DE ESPESOR N° 32, DEL TOTAL DE PARES 70% NEGRAS Y 30% BLANCAS</t>
  </si>
  <si>
    <t>ZAPATILLAS DE LONA CAPELLADA 100% ALGODÓN CON CORDONES, TALON REFORZADO CON CONTRAFUERTE TERMOPLASTICO, SUELA DE GOMA DE 3 MM DE ESPESOR N° 33, DEL TOTAL DE PARES 70% NEGRAS Y 30% BLANCAS</t>
  </si>
  <si>
    <t>ZAPATILLAS DE LONA CAPELLADA 100% ALGODÓN CON CORDONES, TALON REFORZADO CON CONTRAFUERTE TERMOPLASTICO, SUELA DE GOMA DE 3 MM DE ESPESOR N° 34, DEL TOTAL DE PARES 70% NEGRAS Y 30% BLANCAS</t>
  </si>
  <si>
    <t>ZAPATILLAS DE LONA CAPELLADA 100% ALGODÓN CON CORDONES, TALON REFORZADO CON CONTRAFUERTE TERMOPLASTICO, SUELA DE GOMA DE 3 MM DE ESPESOR N° 35, DEL TOTAL DE PARES 70% NEGRAS Y 30% BLANCAS</t>
  </si>
  <si>
    <t>ZAPATILLAS DE LONA CAPELLADA 100% ALGODÓN CON CORDONES, TALON REFORZADO CON CONTRAFUERTE TERMOPLASTICO, SUELA DE GOMA DE 3 MM DE ESPESOR N° 36, DEL TOTAL DE PARES 70% NEGRAS Y 30% BLANCAS</t>
  </si>
  <si>
    <t>ZAPATILLAS DE LONA CAPELLADA 100% ALGODÓN CON CORDONES, TALON REFORZADO CON CONTRAFUERTE TERMOPLASTICO, SUELA DE GOMA DE 3 MM DE ESPESOR N° 37, DEL TOTAL DE PARES 70% NEGRAS Y 30% BLANCAS</t>
  </si>
  <si>
    <t>ZAPATILLAS DE LONA CAPELLADA 100% ALGODÓN CON CORDONES, TALON REFORZADO CON CONTRAFUERTE TERMOPLASTICO, SUELA DE GOMA DE 3 MM DE ESPESOR N° 38, DEL TOTAL DE PARES 70% NEGRAS Y 30% BLANCAS</t>
  </si>
  <si>
    <t>ZAPATILLAS DE LONA CAPELLADA 100% ALGODÓN CON CORDONES, TALON REFORZADO CON CONTRAFUERTE TERMOPLASTICO, SUELA DE GOMA DE 3 MM DE ESPESOR N° 39, DEL TOTAL DE PARES 70% NEGRAS Y 30% BLANCAS</t>
  </si>
  <si>
    <t>ZAPATILLAS DE LONA CAPELLADA 100% ALGODÓN CON CORDONES, TALON REFORZADO CON CONTRAFUERTE TERMOPLASTICO, SUELA DE GOMA DE 3 MM DE ESPESOR N° 40, DEL TOTAL DE PARES 70% NEGRAS Y 30% BLANCAS</t>
  </si>
  <si>
    <t>ZAPATILLAS DE LONA CAPELLADA 100% ALGODÓN CON CORDONES, TALON REFORZADO CON CONTRAFUERTE TERMOPLASTICO, SUELA DE GOMA DE 3 MM DE ESPESOR N° 41, DEL TOTAL DE PARES 70% NEGRAS Y 30% BLANCAS</t>
  </si>
  <si>
    <t>ZAPATILLAS DE LONA CAPELLADA 100% ALGODÓN CON CORDONES, TALON REFORZADO CON CONTRAFUERTE TERMOPLASTICO, SUELA DE GOMA DE 3 MM DE ESPESOR N° 42, DEL TOTAL DE PARES 70% NEGRAS Y 30% BLANCAS</t>
  </si>
  <si>
    <t>ZAPATILLAS DE LONA CAPELLADA 100% ALGODÓN CON CORDONES, TALON REFORZADO CON CONTRAFUERTE TERMOPLASTICO, SUELA DE GOMA DE 3 MM DE ESPESOR N° 43, DEL TOTAL DE PARES 70% NEGRAS Y 30% BLANCAS</t>
  </si>
  <si>
    <t>ZAPATILLAS DE LONA CAPELLADA 100% ALGODÓN CON CORDONES, TALON REFORZADO CON CONTRAFUERTE TERMOPLASTICO, SUELA DE GOMA DE 3 MM DE ESPESOR N° 44, DEL TOTAL DE PARES 70% NEGRAS Y 30% BLANCAS</t>
  </si>
  <si>
    <t>Plazo de Mantinimiento 60 dias</t>
  </si>
  <si>
    <r>
      <t xml:space="preserve">Plazo de Entrega: </t>
    </r>
    <r>
      <rPr>
        <sz val="10"/>
        <rFont val="Times New Roman"/>
        <family val="1"/>
      </rPr>
      <t>10 dias</t>
    </r>
  </si>
  <si>
    <t>Plazo de Entrega: 10 dias</t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</si>
  <si>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Se Entregara en el  Depósito perteneciente al Ministerio de Desarrollo Social y Deporte, sito en Área Industrial “El Pantanillo- San Fernando del Valle de Catamarca (CP 4700) . </t>
    </r>
  </si>
  <si>
    <t xml:space="preserve">Lugar y Forma de Entrega: Se Entregara en el  Depósito perteneciente al Ministerio de Desarrollo Social y Deporte, sito en Área Industrial “El Pantanillo- San Fernando del Valle de Catamarca (CP 4700) . </t>
  </si>
  <si>
    <r>
      <t>Lugar y Forma de Entrega:</t>
    </r>
    <r>
      <rPr>
        <sz val="10"/>
        <rFont val="Times New Roman"/>
        <family val="1"/>
      </rPr>
      <t xml:space="preserve"> Se Entregara en el  Depósito perteneciente al Ministerio de Desarrollo Social y Deporte, sito en Área Industrial “El Pantanillo- San Fernando del Valle de Catamarca (CP 4700) . </t>
    </r>
  </si>
  <si>
    <r>
      <t xml:space="preserve">Lugar y Forma de Entrega: </t>
    </r>
    <r>
      <rPr>
        <sz val="10"/>
        <rFont val="Times New Roman"/>
        <family val="1"/>
      </rPr>
      <t xml:space="preserve">Se Entregara en el  Depósito perteneciente al Ministerio de Desarrollo Social y Deporte, sito en Área Industrial “El Pantanillo- San Fernando del Valle de Catamarca (CP 4700) . </t>
    </r>
  </si>
  <si>
    <t>ZAPATILLAS DE LONA CAPELLADA 100% ALGODÓN CON CORDONES, TALON REFORZADO CON CONTRAFUERTE TERMOPLASTICO, SUELA DE GOMA DE 3 MM DE ESPESOR N° 45, DEL TOTAL DE PARES 70% NEGRAS Y 30% BLANCAS</t>
  </si>
  <si>
    <t>Especificidades Item N° 26:</t>
  </si>
  <si>
    <t>2.2.2-6729.15</t>
  </si>
  <si>
    <t>2.2.1</t>
  </si>
  <si>
    <t>SI</t>
  </si>
  <si>
    <t>Costo total estimado: UN MILLON SETECIENTOS SETENTA Y TRES MIL CON 00/100.-</t>
  </si>
  <si>
    <t>TOTAL DE PESOS: UN MILLON SETECIENTOS SETENTA Y TRES MIL CON 00/100.-</t>
  </si>
  <si>
    <t>429/2021</t>
  </si>
  <si>
    <t>16- Direccion Provincial de Accion Social Directa-</t>
  </si>
  <si>
    <t>02- Programa Vivir Mejor (PRO.VI.ME.)</t>
  </si>
  <si>
    <t>16- Direccion Provincial de Accion Social Directa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</si>
</sst>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6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3" xfId="0" applyFont="1" applyBorder="1" applyAlignment="1">
      <alignment horizontal="right" vertical="center"/>
    </xf>
    <xf numFmtId="0" fontId="6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2" xfId="0" applyFont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3" xfId="0" applyBorder="1"/>
    <xf numFmtId="0" fontId="0" fillId="0" borderId="29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30" xfId="0" applyBorder="1"/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3" xfId="0" applyFont="1" applyBorder="1" applyAlignment="1">
      <alignment horizontal="left" vertical="center"/>
    </xf>
    <xf numFmtId="0" fontId="14" fillId="0" borderId="34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166" fontId="14" fillId="0" borderId="45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3" fillId="0" borderId="5" xfId="0" applyFont="1" applyBorder="1"/>
    <xf numFmtId="0" fontId="16" fillId="0" borderId="6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0" xfId="0" applyFont="1" applyBorder="1"/>
    <xf numFmtId="0" fontId="16" fillId="0" borderId="9" xfId="0" applyFont="1" applyBorder="1"/>
    <xf numFmtId="0" fontId="23" fillId="0" borderId="8" xfId="0" applyFont="1" applyBorder="1" applyAlignment="1">
      <alignment horizontal="left" indent="3"/>
    </xf>
    <xf numFmtId="0" fontId="16" fillId="0" borderId="8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0" fontId="16" fillId="0" borderId="10" xfId="0" applyFont="1" applyBorder="1" applyAlignment="1">
      <alignment horizontal="left" indent="3"/>
    </xf>
    <xf numFmtId="0" fontId="16" fillId="0" borderId="11" xfId="0" applyFont="1" applyBorder="1"/>
    <xf numFmtId="0" fontId="16" fillId="0" borderId="12" xfId="0" applyFont="1" applyBorder="1"/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left" wrapText="1"/>
    </xf>
    <xf numFmtId="0" fontId="4" fillId="4" borderId="22" xfId="0" applyFont="1" applyFill="1" applyBorder="1" applyAlignment="1">
      <alignment horizontal="left" vertical="center"/>
    </xf>
    <xf numFmtId="0" fontId="4" fillId="4" borderId="22" xfId="0" applyFont="1" applyFill="1" applyBorder="1" applyAlignment="1">
      <alignment horizontal="center" vertical="center" wrapText="1"/>
    </xf>
    <xf numFmtId="166" fontId="4" fillId="4" borderId="22" xfId="1" applyNumberFormat="1" applyFont="1" applyFill="1" applyBorder="1" applyAlignment="1" applyProtection="1">
      <alignment horizontal="right" vertical="center" wrapText="1"/>
    </xf>
    <xf numFmtId="3" fontId="4" fillId="4" borderId="22" xfId="0" applyNumberFormat="1" applyFont="1" applyFill="1" applyBorder="1" applyAlignment="1">
      <alignment horizontal="center" vertical="center"/>
    </xf>
    <xf numFmtId="0" fontId="0" fillId="0" borderId="4" xfId="0" applyBorder="1"/>
    <xf numFmtId="0" fontId="20" fillId="0" borderId="17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2" fillId="3" borderId="52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166" fontId="21" fillId="3" borderId="53" xfId="1" applyNumberFormat="1" applyFont="1" applyFill="1" applyBorder="1" applyAlignment="1" applyProtection="1">
      <alignment horizontal="right" vertical="center" wrapText="1"/>
    </xf>
    <xf numFmtId="167" fontId="0" fillId="0" borderId="0" xfId="0" applyNumberFormat="1"/>
    <xf numFmtId="0" fontId="16" fillId="3" borderId="0" xfId="0" applyFont="1" applyFill="1" applyBorder="1" applyAlignment="1">
      <alignment horizontal="left"/>
    </xf>
    <xf numFmtId="0" fontId="16" fillId="3" borderId="9" xfId="0" applyFont="1" applyFill="1" applyBorder="1" applyAlignment="1">
      <alignment horizontal="left"/>
    </xf>
    <xf numFmtId="0" fontId="16" fillId="3" borderId="0" xfId="0" applyFont="1" applyFill="1" applyBorder="1" applyAlignment="1">
      <alignment horizontal="left"/>
    </xf>
    <xf numFmtId="0" fontId="16" fillId="3" borderId="9" xfId="0" applyFont="1" applyFill="1" applyBorder="1" applyAlignment="1">
      <alignment horizontal="left"/>
    </xf>
    <xf numFmtId="0" fontId="0" fillId="3" borderId="55" xfId="0" applyFont="1" applyFill="1" applyBorder="1" applyAlignment="1">
      <alignment horizontal="center" vertical="center"/>
    </xf>
    <xf numFmtId="0" fontId="0" fillId="3" borderId="56" xfId="0" applyFont="1" applyFill="1" applyBorder="1" applyAlignment="1">
      <alignment horizontal="center" vertical="center"/>
    </xf>
    <xf numFmtId="0" fontId="0" fillId="0" borderId="56" xfId="0" applyFont="1" applyBorder="1" applyAlignment="1">
      <alignment horizontal="center" vertical="center"/>
    </xf>
    <xf numFmtId="0" fontId="0" fillId="3" borderId="57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left"/>
    </xf>
    <xf numFmtId="0" fontId="16" fillId="3" borderId="9" xfId="0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58" xfId="0" applyBorder="1"/>
    <xf numFmtId="0" fontId="0" fillId="0" borderId="52" xfId="0" applyBorder="1"/>
    <xf numFmtId="0" fontId="0" fillId="0" borderId="52" xfId="0" applyBorder="1" applyAlignment="1">
      <alignment horizontal="center"/>
    </xf>
    <xf numFmtId="166" fontId="16" fillId="0" borderId="0" xfId="0" applyNumberFormat="1" applyFont="1"/>
    <xf numFmtId="0" fontId="21" fillId="0" borderId="59" xfId="0" applyFont="1" applyBorder="1" applyAlignment="1">
      <alignment horizontal="center" vertical="center"/>
    </xf>
    <xf numFmtId="169" fontId="15" fillId="4" borderId="4" xfId="1" applyNumberFormat="1" applyFill="1" applyBorder="1"/>
    <xf numFmtId="0" fontId="0" fillId="4" borderId="4" xfId="0" applyFill="1" applyBorder="1" applyAlignment="1">
      <alignment horizontal="center"/>
    </xf>
    <xf numFmtId="0" fontId="16" fillId="3" borderId="0" xfId="0" applyFont="1" applyFill="1" applyBorder="1" applyAlignment="1">
      <alignment horizontal="left"/>
    </xf>
    <xf numFmtId="0" fontId="16" fillId="3" borderId="9" xfId="0" applyFont="1" applyFill="1" applyBorder="1" applyAlignment="1">
      <alignment horizontal="left"/>
    </xf>
    <xf numFmtId="0" fontId="16" fillId="0" borderId="0" xfId="0" applyFont="1" applyBorder="1" applyAlignment="1">
      <alignment horizontal="left" indent="3"/>
    </xf>
    <xf numFmtId="166" fontId="21" fillId="3" borderId="60" xfId="1" applyNumberFormat="1" applyFont="1" applyFill="1" applyBorder="1" applyAlignment="1" applyProtection="1">
      <alignment horizontal="right" vertical="center" wrapText="1"/>
    </xf>
    <xf numFmtId="0" fontId="0" fillId="0" borderId="61" xfId="0" applyBorder="1"/>
    <xf numFmtId="0" fontId="0" fillId="0" borderId="61" xfId="0" applyBorder="1" applyAlignment="1">
      <alignment horizontal="center"/>
    </xf>
    <xf numFmtId="0" fontId="22" fillId="4" borderId="61" xfId="0" applyFont="1" applyFill="1" applyBorder="1" applyAlignment="1">
      <alignment horizontal="center" vertical="center" wrapText="1"/>
    </xf>
    <xf numFmtId="0" fontId="0" fillId="4" borderId="61" xfId="0" applyFill="1" applyBorder="1" applyAlignment="1">
      <alignment horizontal="center"/>
    </xf>
    <xf numFmtId="169" fontId="15" fillId="4" borderId="61" xfId="1" applyNumberFormat="1" applyFill="1" applyBorder="1"/>
    <xf numFmtId="166" fontId="21" fillId="3" borderId="62" xfId="1" applyNumberFormat="1" applyFont="1" applyFill="1" applyBorder="1" applyAlignment="1" applyProtection="1">
      <alignment horizontal="right" vertical="center" wrapText="1"/>
    </xf>
    <xf numFmtId="0" fontId="16" fillId="3" borderId="0" xfId="0" applyFont="1" applyFill="1" applyBorder="1" applyAlignment="1">
      <alignment horizontal="left"/>
    </xf>
    <xf numFmtId="0" fontId="16" fillId="3" borderId="9" xfId="0" applyFont="1" applyFill="1" applyBorder="1" applyAlignment="1">
      <alignment horizontal="left"/>
    </xf>
    <xf numFmtId="0" fontId="0" fillId="0" borderId="63" xfId="0" applyBorder="1"/>
    <xf numFmtId="0" fontId="0" fillId="0" borderId="63" xfId="0" applyBorder="1" applyAlignment="1">
      <alignment horizontal="center"/>
    </xf>
    <xf numFmtId="0" fontId="22" fillId="4" borderId="63" xfId="0" applyFont="1" applyFill="1" applyBorder="1" applyAlignment="1">
      <alignment horizontal="center" vertical="center" wrapText="1"/>
    </xf>
    <xf numFmtId="0" fontId="0" fillId="4" borderId="63" xfId="0" applyFill="1" applyBorder="1" applyAlignment="1">
      <alignment horizontal="center"/>
    </xf>
    <xf numFmtId="169" fontId="15" fillId="4" borderId="63" xfId="1" applyNumberFormat="1" applyFill="1" applyBorder="1"/>
    <xf numFmtId="0" fontId="16" fillId="3" borderId="9" xfId="0" applyFont="1" applyFill="1" applyBorder="1" applyAlignment="1">
      <alignment horizontal="center"/>
    </xf>
    <xf numFmtId="0" fontId="16" fillId="3" borderId="0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left"/>
    </xf>
    <xf numFmtId="0" fontId="16" fillId="3" borderId="0" xfId="0" applyFont="1" applyFill="1" applyBorder="1" applyAlignment="1">
      <alignment horizontal="left"/>
    </xf>
    <xf numFmtId="0" fontId="16" fillId="3" borderId="9" xfId="0" applyFont="1" applyFill="1" applyBorder="1" applyAlignment="1">
      <alignment horizontal="left"/>
    </xf>
    <xf numFmtId="0" fontId="23" fillId="3" borderId="0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center" wrapText="1"/>
    </xf>
    <xf numFmtId="0" fontId="17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24" fillId="3" borderId="0" xfId="0" applyFont="1" applyFill="1" applyBorder="1" applyAlignment="1">
      <alignment horizontal="left" wrapText="1" indent="1"/>
    </xf>
    <xf numFmtId="0" fontId="23" fillId="3" borderId="0" xfId="0" applyFont="1" applyFill="1" applyBorder="1" applyAlignment="1">
      <alignment horizontal="left" vertical="center"/>
    </xf>
    <xf numFmtId="0" fontId="16" fillId="3" borderId="0" xfId="0" applyFont="1" applyFill="1" applyBorder="1" applyAlignment="1">
      <alignment horizontal="left" vertical="center"/>
    </xf>
    <xf numFmtId="0" fontId="16" fillId="3" borderId="9" xfId="0" applyFont="1" applyFill="1" applyBorder="1" applyAlignment="1">
      <alignment horizontal="left" vertical="center"/>
    </xf>
    <xf numFmtId="0" fontId="4" fillId="4" borderId="22" xfId="0" applyFont="1" applyFill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 indent="1"/>
    </xf>
    <xf numFmtId="167" fontId="25" fillId="0" borderId="17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horizontal="left" vertical="center"/>
    </xf>
    <xf numFmtId="0" fontId="6" fillId="3" borderId="20" xfId="0" applyFont="1" applyFill="1" applyBorder="1" applyAlignment="1">
      <alignment horizontal="left" vertical="center" wrapText="1" indent="1"/>
    </xf>
    <xf numFmtId="0" fontId="8" fillId="0" borderId="1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 wrapText="1"/>
    </xf>
    <xf numFmtId="0" fontId="6" fillId="4" borderId="17" xfId="0" applyFont="1" applyFill="1" applyBorder="1" applyAlignment="1">
      <alignment horizontal="left" vertical="center" wrapText="1" indent="1"/>
    </xf>
    <xf numFmtId="0" fontId="7" fillId="0" borderId="18" xfId="0" applyFont="1" applyBorder="1" applyAlignment="1">
      <alignment horizontal="left" vertical="center" wrapText="1"/>
    </xf>
    <xf numFmtId="0" fontId="10" fillId="0" borderId="24" xfId="0" applyFont="1" applyBorder="1" applyAlignment="1">
      <alignment vertical="center" wrapText="1"/>
    </xf>
    <xf numFmtId="0" fontId="10" fillId="0" borderId="46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3" borderId="45" xfId="0" applyFont="1" applyFill="1" applyBorder="1" applyAlignment="1">
      <alignment horizontal="left" vertical="center" wrapText="1" indent="1"/>
    </xf>
    <xf numFmtId="0" fontId="0" fillId="0" borderId="39" xfId="0" applyFont="1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10" fillId="0" borderId="45" xfId="0" applyFont="1" applyBorder="1" applyAlignment="1">
      <alignment horizontal="left" vertical="center" wrapText="1"/>
    </xf>
    <xf numFmtId="0" fontId="0" fillId="0" borderId="26" xfId="0" applyBorder="1"/>
    <xf numFmtId="0" fontId="26" fillId="0" borderId="54" xfId="0" applyFont="1" applyBorder="1" applyAlignment="1">
      <alignment horizontal="left" vertical="center" wrapText="1"/>
    </xf>
    <xf numFmtId="0" fontId="0" fillId="0" borderId="54" xfId="0" applyFont="1" applyBorder="1" applyAlignment="1">
      <alignment horizontal="left" vertical="center" wrapText="1"/>
    </xf>
    <xf numFmtId="0" fontId="12" fillId="0" borderId="27" xfId="0" applyFont="1" applyBorder="1"/>
    <xf numFmtId="0" fontId="12" fillId="0" borderId="28" xfId="0" applyFont="1" applyBorder="1" applyAlignment="1">
      <alignment horizontal="left" vertical="center" wrapText="1" indent="1"/>
    </xf>
    <xf numFmtId="0" fontId="14" fillId="0" borderId="26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indent="1"/>
    </xf>
    <xf numFmtId="0" fontId="13" fillId="0" borderId="14" xfId="0" applyFont="1" applyBorder="1" applyAlignment="1">
      <alignment horizontal="left"/>
    </xf>
    <xf numFmtId="0" fontId="0" fillId="0" borderId="24" xfId="0" applyFont="1" applyBorder="1" applyAlignment="1">
      <alignment horizontal="center"/>
    </xf>
    <xf numFmtId="3" fontId="10" fillId="0" borderId="25" xfId="0" applyNumberFormat="1" applyFont="1" applyBorder="1" applyAlignment="1">
      <alignment horizontal="center"/>
    </xf>
    <xf numFmtId="0" fontId="11" fillId="0" borderId="14" xfId="0" applyFont="1" applyBorder="1" applyAlignment="1">
      <alignment horizontal="center" vertical="center" wrapText="1"/>
    </xf>
    <xf numFmtId="0" fontId="2" fillId="0" borderId="14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76"/>
  <sheetViews>
    <sheetView tabSelected="1" topLeftCell="A13" zoomScaleNormal="100" workbookViewId="0">
      <selection activeCell="A11" sqref="A11:A35"/>
    </sheetView>
  </sheetViews>
  <sheetFormatPr baseColWidth="10" defaultColWidth="11" defaultRowHeight="12.75" x14ac:dyDescent="0.2"/>
  <cols>
    <col min="1" max="1" width="4.5703125" style="42" customWidth="1"/>
    <col min="2" max="2" width="21.7109375" style="42" customWidth="1"/>
    <col min="3" max="3" width="36.7109375" style="42" customWidth="1"/>
    <col min="4" max="4" width="12.28515625" style="42" bestFit="1" customWidth="1"/>
    <col min="5" max="5" width="132.140625" style="42" customWidth="1"/>
    <col min="6" max="6" width="11" style="42"/>
    <col min="7" max="8" width="10.42578125" style="42" bestFit="1" customWidth="1"/>
    <col min="9" max="9" width="15.7109375" style="42" bestFit="1" customWidth="1"/>
    <col min="10" max="16384" width="11" style="42"/>
  </cols>
  <sheetData>
    <row r="2" spans="1:9" ht="27" x14ac:dyDescent="0.35">
      <c r="B2" s="121" t="s">
        <v>0</v>
      </c>
      <c r="C2" s="121"/>
      <c r="D2" s="121"/>
      <c r="E2" s="121"/>
      <c r="F2" s="121"/>
      <c r="G2" s="121"/>
      <c r="H2" s="121"/>
    </row>
    <row r="4" spans="1:9" ht="18" customHeight="1" x14ac:dyDescent="0.25">
      <c r="A4" s="122" t="s">
        <v>1</v>
      </c>
      <c r="B4" s="122"/>
      <c r="C4" s="123" t="s">
        <v>57</v>
      </c>
      <c r="D4" s="123"/>
      <c r="E4" s="123"/>
      <c r="F4" s="43"/>
      <c r="G4" s="44"/>
      <c r="H4" s="43"/>
    </row>
    <row r="5" spans="1:9" ht="18" customHeight="1" x14ac:dyDescent="0.25">
      <c r="A5" s="122" t="s">
        <v>2</v>
      </c>
      <c r="B5" s="122"/>
      <c r="C5" s="123" t="s">
        <v>58</v>
      </c>
      <c r="D5" s="123"/>
      <c r="E5" s="123"/>
      <c r="F5" s="43"/>
      <c r="G5" s="44"/>
      <c r="H5" s="43"/>
    </row>
    <row r="6" spans="1:9" ht="16.5" customHeight="1" x14ac:dyDescent="0.25">
      <c r="A6" s="122" t="s">
        <v>3</v>
      </c>
      <c r="B6" s="122"/>
      <c r="C6" s="60">
        <v>2021</v>
      </c>
      <c r="D6" s="61"/>
      <c r="E6" s="61"/>
      <c r="F6" s="43"/>
      <c r="G6" s="44"/>
      <c r="H6" s="43"/>
    </row>
    <row r="7" spans="1:9" ht="16.5" customHeight="1" x14ac:dyDescent="0.25">
      <c r="A7" s="122" t="s">
        <v>4</v>
      </c>
      <c r="B7" s="122"/>
      <c r="C7" s="60">
        <v>2</v>
      </c>
      <c r="D7" s="61"/>
      <c r="E7" s="61"/>
      <c r="F7" s="43"/>
      <c r="G7" s="44"/>
      <c r="H7" s="43"/>
    </row>
    <row r="8" spans="1:9" ht="13.5" thickBot="1" x14ac:dyDescent="0.25">
      <c r="B8" s="43"/>
      <c r="C8" s="44"/>
      <c r="D8" s="43"/>
      <c r="E8" s="43"/>
      <c r="F8" s="43"/>
      <c r="G8" s="44"/>
      <c r="H8" s="43"/>
    </row>
    <row r="9" spans="1:9" ht="39" thickBot="1" x14ac:dyDescent="0.25">
      <c r="A9" s="68" t="s">
        <v>5</v>
      </c>
      <c r="B9" s="67" t="s">
        <v>6</v>
      </c>
      <c r="C9" s="67" t="s">
        <v>7</v>
      </c>
      <c r="D9" s="67" t="s">
        <v>8</v>
      </c>
      <c r="E9" s="67" t="s">
        <v>9</v>
      </c>
      <c r="F9" s="69" t="s">
        <v>10</v>
      </c>
      <c r="G9" s="70" t="s">
        <v>11</v>
      </c>
      <c r="H9" s="70" t="s">
        <v>12</v>
      </c>
      <c r="I9" s="71" t="s">
        <v>13</v>
      </c>
    </row>
    <row r="10" spans="1:9" x14ac:dyDescent="0.2">
      <c r="A10" s="45">
        <v>1</v>
      </c>
      <c r="B10" s="88" t="s">
        <v>63</v>
      </c>
      <c r="C10" s="87" t="s">
        <v>64</v>
      </c>
      <c r="D10" s="89" t="s">
        <v>66</v>
      </c>
      <c r="E10" s="1" t="s">
        <v>65</v>
      </c>
      <c r="F10" s="72" t="s">
        <v>67</v>
      </c>
      <c r="G10" s="93">
        <v>100</v>
      </c>
      <c r="H10" s="92">
        <v>620</v>
      </c>
      <c r="I10" s="74">
        <f>+H10*G10</f>
        <v>62000</v>
      </c>
    </row>
    <row r="11" spans="1:9" x14ac:dyDescent="0.2">
      <c r="A11" s="46">
        <v>2</v>
      </c>
      <c r="B11" s="66" t="s">
        <v>63</v>
      </c>
      <c r="C11" s="66" t="s">
        <v>64</v>
      </c>
      <c r="D11" s="86" t="s">
        <v>66</v>
      </c>
      <c r="E11" s="66" t="s">
        <v>65</v>
      </c>
      <c r="F11" s="73" t="s">
        <v>67</v>
      </c>
      <c r="G11" s="93">
        <v>100</v>
      </c>
      <c r="H11" s="92">
        <v>620</v>
      </c>
      <c r="I11" s="97">
        <f>+G11*H11</f>
        <v>62000</v>
      </c>
    </row>
    <row r="12" spans="1:9" x14ac:dyDescent="0.2">
      <c r="A12" s="46">
        <v>3</v>
      </c>
      <c r="B12" s="66" t="s">
        <v>63</v>
      </c>
      <c r="C12" s="66" t="s">
        <v>64</v>
      </c>
      <c r="D12" s="86" t="s">
        <v>66</v>
      </c>
      <c r="E12" s="66" t="s">
        <v>65</v>
      </c>
      <c r="F12" s="73" t="s">
        <v>67</v>
      </c>
      <c r="G12" s="93">
        <v>100</v>
      </c>
      <c r="H12" s="92">
        <v>620</v>
      </c>
      <c r="I12" s="97">
        <f t="shared" ref="I12:I35" si="0">+G12*H12</f>
        <v>62000</v>
      </c>
    </row>
    <row r="13" spans="1:9" x14ac:dyDescent="0.2">
      <c r="A13" s="91">
        <v>4</v>
      </c>
      <c r="B13" s="66" t="s">
        <v>63</v>
      </c>
      <c r="C13" s="66" t="s">
        <v>64</v>
      </c>
      <c r="D13" s="86" t="s">
        <v>66</v>
      </c>
      <c r="E13" s="66" t="s">
        <v>65</v>
      </c>
      <c r="F13" s="73" t="s">
        <v>67</v>
      </c>
      <c r="G13" s="93">
        <v>100</v>
      </c>
      <c r="H13" s="92">
        <v>620</v>
      </c>
      <c r="I13" s="97">
        <f t="shared" si="0"/>
        <v>62000</v>
      </c>
    </row>
    <row r="14" spans="1:9" x14ac:dyDescent="0.2">
      <c r="A14" s="46">
        <v>5</v>
      </c>
      <c r="B14" s="66" t="s">
        <v>63</v>
      </c>
      <c r="C14" s="66" t="s">
        <v>64</v>
      </c>
      <c r="D14" s="86" t="s">
        <v>66</v>
      </c>
      <c r="E14" s="66" t="s">
        <v>65</v>
      </c>
      <c r="F14" s="73" t="s">
        <v>67</v>
      </c>
      <c r="G14" s="93">
        <v>100</v>
      </c>
      <c r="H14" s="92">
        <v>620</v>
      </c>
      <c r="I14" s="97">
        <f t="shared" si="0"/>
        <v>62000</v>
      </c>
    </row>
    <row r="15" spans="1:9" x14ac:dyDescent="0.2">
      <c r="A15" s="46">
        <v>6</v>
      </c>
      <c r="B15" s="66" t="s">
        <v>63</v>
      </c>
      <c r="C15" s="66" t="s">
        <v>64</v>
      </c>
      <c r="D15" s="86" t="s">
        <v>66</v>
      </c>
      <c r="E15" s="66" t="s">
        <v>65</v>
      </c>
      <c r="F15" s="73" t="s">
        <v>67</v>
      </c>
      <c r="G15" s="93">
        <v>100</v>
      </c>
      <c r="H15" s="92">
        <v>620</v>
      </c>
      <c r="I15" s="97">
        <f t="shared" si="0"/>
        <v>62000</v>
      </c>
    </row>
    <row r="16" spans="1:9" x14ac:dyDescent="0.2">
      <c r="A16" s="91">
        <v>7</v>
      </c>
      <c r="B16" s="66" t="s">
        <v>63</v>
      </c>
      <c r="C16" s="66" t="s">
        <v>64</v>
      </c>
      <c r="D16" s="86" t="s">
        <v>66</v>
      </c>
      <c r="E16" s="66" t="s">
        <v>65</v>
      </c>
      <c r="F16" s="73" t="s">
        <v>67</v>
      </c>
      <c r="G16" s="93">
        <v>100</v>
      </c>
      <c r="H16" s="92">
        <v>620</v>
      </c>
      <c r="I16" s="97">
        <f t="shared" si="0"/>
        <v>62000</v>
      </c>
    </row>
    <row r="17" spans="1:9" x14ac:dyDescent="0.2">
      <c r="A17" s="46">
        <v>8</v>
      </c>
      <c r="B17" s="66" t="s">
        <v>63</v>
      </c>
      <c r="C17" s="66" t="s">
        <v>64</v>
      </c>
      <c r="D17" s="86" t="s">
        <v>66</v>
      </c>
      <c r="E17" s="66" t="s">
        <v>65</v>
      </c>
      <c r="F17" s="73" t="s">
        <v>67</v>
      </c>
      <c r="G17" s="93">
        <v>100</v>
      </c>
      <c r="H17" s="92">
        <v>660</v>
      </c>
      <c r="I17" s="97">
        <f t="shared" si="0"/>
        <v>66000</v>
      </c>
    </row>
    <row r="18" spans="1:9" x14ac:dyDescent="0.2">
      <c r="A18" s="46">
        <v>9</v>
      </c>
      <c r="B18" s="66" t="s">
        <v>63</v>
      </c>
      <c r="C18" s="66" t="s">
        <v>64</v>
      </c>
      <c r="D18" s="86" t="s">
        <v>66</v>
      </c>
      <c r="E18" s="66" t="s">
        <v>65</v>
      </c>
      <c r="F18" s="73" t="s">
        <v>67</v>
      </c>
      <c r="G18" s="93">
        <v>100</v>
      </c>
      <c r="H18" s="92">
        <v>660</v>
      </c>
      <c r="I18" s="97">
        <f t="shared" si="0"/>
        <v>66000</v>
      </c>
    </row>
    <row r="19" spans="1:9" x14ac:dyDescent="0.2">
      <c r="A19" s="91">
        <v>10</v>
      </c>
      <c r="B19" s="66" t="s">
        <v>63</v>
      </c>
      <c r="C19" s="66" t="s">
        <v>64</v>
      </c>
      <c r="D19" s="86" t="s">
        <v>66</v>
      </c>
      <c r="E19" s="66" t="s">
        <v>65</v>
      </c>
      <c r="F19" s="73" t="s">
        <v>67</v>
      </c>
      <c r="G19" s="93">
        <v>100</v>
      </c>
      <c r="H19" s="92">
        <v>660</v>
      </c>
      <c r="I19" s="97">
        <f t="shared" si="0"/>
        <v>66000</v>
      </c>
    </row>
    <row r="20" spans="1:9" x14ac:dyDescent="0.2">
      <c r="A20" s="46">
        <v>11</v>
      </c>
      <c r="B20" s="66" t="s">
        <v>63</v>
      </c>
      <c r="C20" s="66" t="s">
        <v>64</v>
      </c>
      <c r="D20" s="86" t="s">
        <v>66</v>
      </c>
      <c r="E20" s="66" t="s">
        <v>65</v>
      </c>
      <c r="F20" s="73" t="s">
        <v>67</v>
      </c>
      <c r="G20" s="93">
        <v>100</v>
      </c>
      <c r="H20" s="92">
        <v>660</v>
      </c>
      <c r="I20" s="97">
        <f t="shared" si="0"/>
        <v>66000</v>
      </c>
    </row>
    <row r="21" spans="1:9" x14ac:dyDescent="0.2">
      <c r="A21" s="46">
        <v>12</v>
      </c>
      <c r="B21" s="66" t="s">
        <v>63</v>
      </c>
      <c r="C21" s="66" t="s">
        <v>64</v>
      </c>
      <c r="D21" s="86" t="s">
        <v>66</v>
      </c>
      <c r="E21" s="66" t="s">
        <v>65</v>
      </c>
      <c r="F21" s="73" t="s">
        <v>67</v>
      </c>
      <c r="G21" s="93">
        <v>100</v>
      </c>
      <c r="H21" s="92">
        <v>660</v>
      </c>
      <c r="I21" s="97">
        <f t="shared" si="0"/>
        <v>66000</v>
      </c>
    </row>
    <row r="22" spans="1:9" x14ac:dyDescent="0.2">
      <c r="A22" s="91">
        <v>13</v>
      </c>
      <c r="B22" s="66" t="s">
        <v>63</v>
      </c>
      <c r="C22" s="66" t="s">
        <v>64</v>
      </c>
      <c r="D22" s="86" t="s">
        <v>66</v>
      </c>
      <c r="E22" s="66" t="s">
        <v>65</v>
      </c>
      <c r="F22" s="73" t="s">
        <v>67</v>
      </c>
      <c r="G22" s="93">
        <v>100</v>
      </c>
      <c r="H22" s="92">
        <v>660</v>
      </c>
      <c r="I22" s="97">
        <f t="shared" si="0"/>
        <v>66000</v>
      </c>
    </row>
    <row r="23" spans="1:9" x14ac:dyDescent="0.2">
      <c r="A23" s="46">
        <v>14</v>
      </c>
      <c r="B23" s="66" t="s">
        <v>63</v>
      </c>
      <c r="C23" s="66" t="s">
        <v>64</v>
      </c>
      <c r="D23" s="86" t="s">
        <v>66</v>
      </c>
      <c r="E23" s="66" t="s">
        <v>65</v>
      </c>
      <c r="F23" s="73" t="s">
        <v>67</v>
      </c>
      <c r="G23" s="93">
        <v>100</v>
      </c>
      <c r="H23" s="92">
        <v>660</v>
      </c>
      <c r="I23" s="97">
        <f t="shared" si="0"/>
        <v>66000</v>
      </c>
    </row>
    <row r="24" spans="1:9" x14ac:dyDescent="0.2">
      <c r="A24" s="46">
        <v>15</v>
      </c>
      <c r="B24" s="66" t="s">
        <v>63</v>
      </c>
      <c r="C24" s="66" t="s">
        <v>64</v>
      </c>
      <c r="D24" s="86" t="s">
        <v>66</v>
      </c>
      <c r="E24" s="66" t="s">
        <v>65</v>
      </c>
      <c r="F24" s="73" t="s">
        <v>67</v>
      </c>
      <c r="G24" s="93">
        <v>100</v>
      </c>
      <c r="H24" s="92">
        <v>710</v>
      </c>
      <c r="I24" s="97">
        <f t="shared" si="0"/>
        <v>71000</v>
      </c>
    </row>
    <row r="25" spans="1:9" x14ac:dyDescent="0.2">
      <c r="A25" s="91">
        <v>16</v>
      </c>
      <c r="B25" s="66" t="s">
        <v>63</v>
      </c>
      <c r="C25" s="66" t="s">
        <v>64</v>
      </c>
      <c r="D25" s="86" t="s">
        <v>66</v>
      </c>
      <c r="E25" s="66" t="s">
        <v>65</v>
      </c>
      <c r="F25" s="73" t="s">
        <v>67</v>
      </c>
      <c r="G25" s="93">
        <v>100</v>
      </c>
      <c r="H25" s="92">
        <v>710</v>
      </c>
      <c r="I25" s="97">
        <f t="shared" si="0"/>
        <v>71000</v>
      </c>
    </row>
    <row r="26" spans="1:9" x14ac:dyDescent="0.2">
      <c r="A26" s="46">
        <v>17</v>
      </c>
      <c r="B26" s="66" t="s">
        <v>63</v>
      </c>
      <c r="C26" s="66" t="s">
        <v>64</v>
      </c>
      <c r="D26" s="86" t="s">
        <v>66</v>
      </c>
      <c r="E26" s="66" t="s">
        <v>65</v>
      </c>
      <c r="F26" s="73" t="s">
        <v>67</v>
      </c>
      <c r="G26" s="93">
        <v>100</v>
      </c>
      <c r="H26" s="92">
        <v>710</v>
      </c>
      <c r="I26" s="97">
        <f t="shared" si="0"/>
        <v>71000</v>
      </c>
    </row>
    <row r="27" spans="1:9" x14ac:dyDescent="0.2">
      <c r="A27" s="46">
        <v>18</v>
      </c>
      <c r="B27" s="66" t="s">
        <v>63</v>
      </c>
      <c r="C27" s="66" t="s">
        <v>64</v>
      </c>
      <c r="D27" s="86" t="s">
        <v>66</v>
      </c>
      <c r="E27" s="66" t="s">
        <v>65</v>
      </c>
      <c r="F27" s="73" t="s">
        <v>67</v>
      </c>
      <c r="G27" s="93">
        <v>100</v>
      </c>
      <c r="H27" s="92">
        <v>710</v>
      </c>
      <c r="I27" s="97">
        <f t="shared" si="0"/>
        <v>71000</v>
      </c>
    </row>
    <row r="28" spans="1:9" x14ac:dyDescent="0.2">
      <c r="A28" s="91">
        <v>19</v>
      </c>
      <c r="B28" s="66" t="s">
        <v>63</v>
      </c>
      <c r="C28" s="66" t="s">
        <v>64</v>
      </c>
      <c r="D28" s="86" t="s">
        <v>66</v>
      </c>
      <c r="E28" s="66" t="s">
        <v>65</v>
      </c>
      <c r="F28" s="73" t="s">
        <v>67</v>
      </c>
      <c r="G28" s="93">
        <v>100</v>
      </c>
      <c r="H28" s="92">
        <v>710</v>
      </c>
      <c r="I28" s="97">
        <f t="shared" si="0"/>
        <v>71000</v>
      </c>
    </row>
    <row r="29" spans="1:9" x14ac:dyDescent="0.2">
      <c r="A29" s="46">
        <v>20</v>
      </c>
      <c r="B29" s="66" t="s">
        <v>63</v>
      </c>
      <c r="C29" s="66" t="s">
        <v>64</v>
      </c>
      <c r="D29" s="86" t="s">
        <v>66</v>
      </c>
      <c r="E29" s="66" t="s">
        <v>65</v>
      </c>
      <c r="F29" s="73" t="s">
        <v>67</v>
      </c>
      <c r="G29" s="93">
        <v>100</v>
      </c>
      <c r="H29" s="92">
        <v>710</v>
      </c>
      <c r="I29" s="97">
        <f t="shared" si="0"/>
        <v>71000</v>
      </c>
    </row>
    <row r="30" spans="1:9" x14ac:dyDescent="0.2">
      <c r="A30" s="46">
        <v>21</v>
      </c>
      <c r="B30" s="66" t="s">
        <v>63</v>
      </c>
      <c r="C30" s="66" t="s">
        <v>64</v>
      </c>
      <c r="D30" s="86" t="s">
        <v>66</v>
      </c>
      <c r="E30" s="66" t="s">
        <v>65</v>
      </c>
      <c r="F30" s="73" t="s">
        <v>67</v>
      </c>
      <c r="G30" s="93">
        <v>100</v>
      </c>
      <c r="H30" s="92">
        <v>710</v>
      </c>
      <c r="I30" s="97">
        <f t="shared" si="0"/>
        <v>71000</v>
      </c>
    </row>
    <row r="31" spans="1:9" x14ac:dyDescent="0.2">
      <c r="A31" s="91">
        <v>22</v>
      </c>
      <c r="B31" s="66" t="s">
        <v>63</v>
      </c>
      <c r="C31" s="66" t="s">
        <v>64</v>
      </c>
      <c r="D31" s="86" t="s">
        <v>66</v>
      </c>
      <c r="E31" s="66" t="s">
        <v>65</v>
      </c>
      <c r="F31" s="73" t="s">
        <v>67</v>
      </c>
      <c r="G31" s="93">
        <v>100</v>
      </c>
      <c r="H31" s="92">
        <v>760</v>
      </c>
      <c r="I31" s="97">
        <f t="shared" si="0"/>
        <v>76000</v>
      </c>
    </row>
    <row r="32" spans="1:9" x14ac:dyDescent="0.2">
      <c r="A32" s="46">
        <v>23</v>
      </c>
      <c r="B32" s="66" t="s">
        <v>63</v>
      </c>
      <c r="C32" s="66" t="s">
        <v>64</v>
      </c>
      <c r="D32" s="86" t="s">
        <v>66</v>
      </c>
      <c r="E32" s="66" t="s">
        <v>65</v>
      </c>
      <c r="F32" s="73" t="s">
        <v>67</v>
      </c>
      <c r="G32" s="93">
        <v>100</v>
      </c>
      <c r="H32" s="92">
        <v>760</v>
      </c>
      <c r="I32" s="97">
        <f t="shared" si="0"/>
        <v>76000</v>
      </c>
    </row>
    <row r="33" spans="1:9" x14ac:dyDescent="0.2">
      <c r="A33" s="46">
        <v>24</v>
      </c>
      <c r="B33" s="66" t="s">
        <v>63</v>
      </c>
      <c r="C33" s="66" t="s">
        <v>64</v>
      </c>
      <c r="D33" s="86" t="s">
        <v>66</v>
      </c>
      <c r="E33" s="66" t="s">
        <v>65</v>
      </c>
      <c r="F33" s="73" t="s">
        <v>67</v>
      </c>
      <c r="G33" s="93">
        <v>100</v>
      </c>
      <c r="H33" s="92">
        <v>760</v>
      </c>
      <c r="I33" s="97">
        <f t="shared" si="0"/>
        <v>76000</v>
      </c>
    </row>
    <row r="34" spans="1:9" x14ac:dyDescent="0.2">
      <c r="A34" s="91">
        <v>25</v>
      </c>
      <c r="B34" s="106" t="s">
        <v>126</v>
      </c>
      <c r="C34" s="106" t="s">
        <v>64</v>
      </c>
      <c r="D34" s="107" t="s">
        <v>127</v>
      </c>
      <c r="E34" s="106" t="s">
        <v>65</v>
      </c>
      <c r="F34" s="108" t="s">
        <v>67</v>
      </c>
      <c r="G34" s="109">
        <v>100</v>
      </c>
      <c r="H34" s="110">
        <v>760</v>
      </c>
      <c r="I34" s="97">
        <f t="shared" si="0"/>
        <v>76000</v>
      </c>
    </row>
    <row r="35" spans="1:9" ht="13.5" thickBot="1" x14ac:dyDescent="0.25">
      <c r="A35" s="46">
        <v>26</v>
      </c>
      <c r="B35" s="98" t="s">
        <v>63</v>
      </c>
      <c r="C35" s="98" t="s">
        <v>64</v>
      </c>
      <c r="D35" s="99" t="s">
        <v>66</v>
      </c>
      <c r="E35" s="98" t="s">
        <v>65</v>
      </c>
      <c r="F35" s="100" t="s">
        <v>67</v>
      </c>
      <c r="G35" s="101">
        <v>100</v>
      </c>
      <c r="H35" s="102">
        <v>760</v>
      </c>
      <c r="I35" s="103">
        <f t="shared" si="0"/>
        <v>76000</v>
      </c>
    </row>
    <row r="37" spans="1:9" x14ac:dyDescent="0.2">
      <c r="I37" s="90">
        <f>SUM(I10:I36)</f>
        <v>1773000</v>
      </c>
    </row>
    <row r="38" spans="1:9" x14ac:dyDescent="0.2">
      <c r="B38" s="47" t="s">
        <v>14</v>
      </c>
      <c r="C38" s="48"/>
      <c r="D38" s="48"/>
      <c r="E38" s="49"/>
    </row>
    <row r="39" spans="1:9" ht="5.25" customHeight="1" x14ac:dyDescent="0.2">
      <c r="B39" s="50"/>
      <c r="C39" s="51"/>
      <c r="D39" s="51"/>
      <c r="E39" s="52"/>
    </row>
    <row r="40" spans="1:9" x14ac:dyDescent="0.2">
      <c r="B40" s="53" t="s">
        <v>15</v>
      </c>
      <c r="C40" s="51"/>
      <c r="D40" s="51"/>
      <c r="E40" s="52"/>
    </row>
    <row r="41" spans="1:9" ht="45" customHeight="1" x14ac:dyDescent="0.2">
      <c r="B41" s="53"/>
      <c r="C41" s="112" t="s">
        <v>92</v>
      </c>
      <c r="D41" s="112"/>
      <c r="E41" s="113"/>
    </row>
    <row r="42" spans="1:9" x14ac:dyDescent="0.2">
      <c r="B42" s="53" t="s">
        <v>16</v>
      </c>
      <c r="C42" s="51"/>
      <c r="D42" s="51"/>
      <c r="E42" s="52"/>
    </row>
    <row r="43" spans="1:9" x14ac:dyDescent="0.2">
      <c r="B43" s="54"/>
      <c r="C43" s="114" t="s">
        <v>118</v>
      </c>
      <c r="D43" s="115"/>
      <c r="E43" s="116"/>
    </row>
    <row r="44" spans="1:9" ht="50.25" customHeight="1" x14ac:dyDescent="0.2">
      <c r="B44" s="54"/>
      <c r="C44" s="118" t="s">
        <v>120</v>
      </c>
      <c r="D44" s="118"/>
      <c r="E44" s="119"/>
    </row>
    <row r="45" spans="1:9" x14ac:dyDescent="0.2">
      <c r="B45" s="54"/>
      <c r="C45" s="76"/>
      <c r="D45" s="76"/>
      <c r="E45" s="77"/>
    </row>
    <row r="46" spans="1:9" x14ac:dyDescent="0.2">
      <c r="B46" s="53" t="s">
        <v>17</v>
      </c>
      <c r="C46" s="51"/>
      <c r="D46" s="51"/>
      <c r="E46" s="52"/>
    </row>
    <row r="47" spans="1:9" ht="26.25" customHeight="1" x14ac:dyDescent="0.2">
      <c r="B47" s="54"/>
      <c r="C47" s="120" t="s">
        <v>59</v>
      </c>
      <c r="D47" s="120"/>
      <c r="E47" s="120"/>
    </row>
    <row r="48" spans="1:9" x14ac:dyDescent="0.2">
      <c r="B48" s="53" t="s">
        <v>18</v>
      </c>
      <c r="C48" s="55"/>
      <c r="D48" s="55"/>
      <c r="E48" s="56"/>
    </row>
    <row r="49" spans="2:5" ht="26.25" customHeight="1" x14ac:dyDescent="0.2">
      <c r="B49" s="54"/>
      <c r="C49" s="120" t="s">
        <v>117</v>
      </c>
      <c r="D49" s="120"/>
      <c r="E49" s="120"/>
    </row>
    <row r="50" spans="2:5" x14ac:dyDescent="0.2">
      <c r="B50" s="53" t="s">
        <v>19</v>
      </c>
      <c r="C50" s="51"/>
      <c r="D50" s="51"/>
      <c r="E50" s="52"/>
    </row>
    <row r="51" spans="2:5" ht="23.25" customHeight="1" x14ac:dyDescent="0.2">
      <c r="B51" s="53"/>
      <c r="C51" s="111" t="s">
        <v>62</v>
      </c>
      <c r="D51" s="111"/>
      <c r="E51" s="111"/>
    </row>
    <row r="52" spans="2:5" x14ac:dyDescent="0.2">
      <c r="B52" s="57"/>
      <c r="C52" s="58"/>
      <c r="D52" s="58"/>
      <c r="E52" s="59"/>
    </row>
    <row r="54" spans="2:5" ht="13.5" thickBot="1" x14ac:dyDescent="0.25"/>
    <row r="55" spans="2:5" x14ac:dyDescent="0.2">
      <c r="B55" s="47" t="s">
        <v>60</v>
      </c>
      <c r="C55" s="48"/>
      <c r="D55" s="48"/>
      <c r="E55" s="49"/>
    </row>
    <row r="56" spans="2:5" x14ac:dyDescent="0.2">
      <c r="B56" s="50"/>
      <c r="C56" s="51"/>
      <c r="D56" s="51"/>
      <c r="E56" s="52"/>
    </row>
    <row r="57" spans="2:5" x14ac:dyDescent="0.2">
      <c r="B57" s="53" t="s">
        <v>15</v>
      </c>
      <c r="C57" s="51"/>
      <c r="D57" s="51"/>
      <c r="E57" s="52"/>
    </row>
    <row r="58" spans="2:5" ht="40.5" customHeight="1" x14ac:dyDescent="0.2">
      <c r="B58" s="53"/>
      <c r="C58" s="112" t="s">
        <v>93</v>
      </c>
      <c r="D58" s="112"/>
      <c r="E58" s="113"/>
    </row>
    <row r="59" spans="2:5" x14ac:dyDescent="0.2">
      <c r="B59" s="53" t="s">
        <v>16</v>
      </c>
      <c r="C59" s="51"/>
      <c r="D59" s="51"/>
      <c r="E59" s="52"/>
    </row>
    <row r="60" spans="2:5" x14ac:dyDescent="0.2">
      <c r="B60" s="54"/>
      <c r="C60" s="114" t="s">
        <v>119</v>
      </c>
      <c r="D60" s="115"/>
      <c r="E60" s="116"/>
    </row>
    <row r="61" spans="2:5" ht="36" customHeight="1" x14ac:dyDescent="0.2">
      <c r="B61" s="54"/>
      <c r="C61" s="117" t="s">
        <v>122</v>
      </c>
      <c r="D61" s="118"/>
      <c r="E61" s="119"/>
    </row>
    <row r="62" spans="2:5" x14ac:dyDescent="0.2">
      <c r="B62" s="54"/>
      <c r="C62" s="78"/>
      <c r="D62" s="78"/>
      <c r="E62" s="79"/>
    </row>
    <row r="63" spans="2:5" x14ac:dyDescent="0.2">
      <c r="B63" s="53" t="s">
        <v>17</v>
      </c>
      <c r="C63" s="51"/>
      <c r="D63" s="51"/>
      <c r="E63" s="52"/>
    </row>
    <row r="64" spans="2:5" x14ac:dyDescent="0.2">
      <c r="B64" s="54"/>
      <c r="C64" s="120" t="s">
        <v>59</v>
      </c>
      <c r="D64" s="120"/>
      <c r="E64" s="120"/>
    </row>
    <row r="65" spans="2:5" x14ac:dyDescent="0.2">
      <c r="B65" s="53" t="s">
        <v>18</v>
      </c>
      <c r="C65" s="55"/>
      <c r="D65" s="55"/>
      <c r="E65" s="56"/>
    </row>
    <row r="66" spans="2:5" x14ac:dyDescent="0.2">
      <c r="B66" s="54"/>
      <c r="C66" s="120" t="s">
        <v>117</v>
      </c>
      <c r="D66" s="120"/>
      <c r="E66" s="120"/>
    </row>
    <row r="67" spans="2:5" x14ac:dyDescent="0.2">
      <c r="B67" s="53" t="s">
        <v>19</v>
      </c>
      <c r="C67" s="51"/>
      <c r="D67" s="51"/>
      <c r="E67" s="52"/>
    </row>
    <row r="68" spans="2:5" x14ac:dyDescent="0.2">
      <c r="B68" s="53"/>
      <c r="C68" s="111" t="s">
        <v>62</v>
      </c>
      <c r="D68" s="111"/>
      <c r="E68" s="111"/>
    </row>
    <row r="69" spans="2:5" ht="13.5" thickBot="1" x14ac:dyDescent="0.25">
      <c r="B69" s="57"/>
      <c r="C69" s="58"/>
      <c r="D69" s="58"/>
      <c r="E69" s="59"/>
    </row>
    <row r="71" spans="2:5" ht="13.5" thickBot="1" x14ac:dyDescent="0.25"/>
    <row r="72" spans="2:5" x14ac:dyDescent="0.2">
      <c r="B72" s="47" t="s">
        <v>61</v>
      </c>
      <c r="C72" s="48"/>
      <c r="D72" s="48"/>
      <c r="E72" s="49"/>
    </row>
    <row r="73" spans="2:5" x14ac:dyDescent="0.2">
      <c r="B73" s="50"/>
      <c r="C73" s="51"/>
      <c r="D73" s="51"/>
      <c r="E73" s="52"/>
    </row>
    <row r="74" spans="2:5" x14ac:dyDescent="0.2">
      <c r="B74" s="53" t="s">
        <v>15</v>
      </c>
      <c r="C74" s="51"/>
      <c r="D74" s="51"/>
      <c r="E74" s="52"/>
    </row>
    <row r="75" spans="2:5" ht="43.5" customHeight="1" x14ac:dyDescent="0.2">
      <c r="B75" s="53"/>
      <c r="C75" s="112" t="s">
        <v>94</v>
      </c>
      <c r="D75" s="112"/>
      <c r="E75" s="113"/>
    </row>
    <row r="76" spans="2:5" x14ac:dyDescent="0.2">
      <c r="B76" s="53" t="s">
        <v>16</v>
      </c>
      <c r="C76" s="51"/>
      <c r="D76" s="51"/>
      <c r="E76" s="52"/>
    </row>
    <row r="77" spans="2:5" x14ac:dyDescent="0.2">
      <c r="B77" s="54"/>
      <c r="C77" s="114" t="s">
        <v>119</v>
      </c>
      <c r="D77" s="115"/>
      <c r="E77" s="116"/>
    </row>
    <row r="78" spans="2:5" ht="38.25" customHeight="1" x14ac:dyDescent="0.2">
      <c r="B78" s="54"/>
      <c r="C78" s="117" t="s">
        <v>123</v>
      </c>
      <c r="D78" s="118"/>
      <c r="E78" s="119"/>
    </row>
    <row r="79" spans="2:5" x14ac:dyDescent="0.2">
      <c r="B79" s="54"/>
      <c r="C79" s="84"/>
      <c r="D79" s="84"/>
      <c r="E79" s="85"/>
    </row>
    <row r="80" spans="2:5" x14ac:dyDescent="0.2">
      <c r="B80" s="53" t="s">
        <v>17</v>
      </c>
      <c r="C80" s="51"/>
      <c r="D80" s="51"/>
      <c r="E80" s="52"/>
    </row>
    <row r="81" spans="2:5" x14ac:dyDescent="0.2">
      <c r="B81" s="54"/>
      <c r="C81" s="120" t="s">
        <v>59</v>
      </c>
      <c r="D81" s="120"/>
      <c r="E81" s="120"/>
    </row>
    <row r="82" spans="2:5" x14ac:dyDescent="0.2">
      <c r="B82" s="53" t="s">
        <v>18</v>
      </c>
      <c r="C82" s="55"/>
      <c r="D82" s="55"/>
      <c r="E82" s="56"/>
    </row>
    <row r="83" spans="2:5" x14ac:dyDescent="0.2">
      <c r="B83" s="54"/>
      <c r="C83" s="120" t="s">
        <v>117</v>
      </c>
      <c r="D83" s="120"/>
      <c r="E83" s="120"/>
    </row>
    <row r="84" spans="2:5" x14ac:dyDescent="0.2">
      <c r="B84" s="53" t="s">
        <v>19</v>
      </c>
      <c r="C84" s="51"/>
      <c r="D84" s="51"/>
      <c r="E84" s="52"/>
    </row>
    <row r="85" spans="2:5" x14ac:dyDescent="0.2">
      <c r="B85" s="53"/>
      <c r="C85" s="111" t="s">
        <v>62</v>
      </c>
      <c r="D85" s="111"/>
      <c r="E85" s="111"/>
    </row>
    <row r="86" spans="2:5" ht="13.5" thickBot="1" x14ac:dyDescent="0.25">
      <c r="B86" s="57"/>
      <c r="C86" s="58"/>
      <c r="D86" s="58"/>
      <c r="E86" s="59"/>
    </row>
    <row r="87" spans="2:5" x14ac:dyDescent="0.2">
      <c r="B87" s="96"/>
      <c r="C87" s="51"/>
      <c r="D87" s="51"/>
      <c r="E87" s="51"/>
    </row>
    <row r="88" spans="2:5" ht="13.5" thickBot="1" x14ac:dyDescent="0.25">
      <c r="B88" s="96"/>
      <c r="C88" s="51"/>
      <c r="D88" s="51"/>
      <c r="E88" s="51"/>
    </row>
    <row r="89" spans="2:5" x14ac:dyDescent="0.2">
      <c r="B89" s="47" t="s">
        <v>70</v>
      </c>
      <c r="C89" s="48"/>
      <c r="D89" s="48"/>
      <c r="E89" s="49"/>
    </row>
    <row r="90" spans="2:5" x14ac:dyDescent="0.2">
      <c r="B90" s="50"/>
      <c r="C90" s="51"/>
      <c r="D90" s="51"/>
      <c r="E90" s="52"/>
    </row>
    <row r="91" spans="2:5" x14ac:dyDescent="0.2">
      <c r="B91" s="53" t="s">
        <v>15</v>
      </c>
      <c r="C91" s="51"/>
      <c r="D91" s="51"/>
      <c r="E91" s="52"/>
    </row>
    <row r="92" spans="2:5" ht="40.5" customHeight="1" x14ac:dyDescent="0.2">
      <c r="B92" s="53"/>
      <c r="C92" s="112" t="s">
        <v>95</v>
      </c>
      <c r="D92" s="112"/>
      <c r="E92" s="113"/>
    </row>
    <row r="93" spans="2:5" x14ac:dyDescent="0.2">
      <c r="B93" s="53" t="s">
        <v>16</v>
      </c>
      <c r="C93" s="51"/>
      <c r="D93" s="51"/>
      <c r="E93" s="52"/>
    </row>
    <row r="94" spans="2:5" ht="20.25" customHeight="1" x14ac:dyDescent="0.2">
      <c r="B94" s="54"/>
      <c r="C94" s="114" t="s">
        <v>119</v>
      </c>
      <c r="D94" s="115"/>
      <c r="E94" s="116"/>
    </row>
    <row r="95" spans="2:5" ht="30.75" customHeight="1" x14ac:dyDescent="0.2">
      <c r="B95" s="54"/>
      <c r="C95" s="117" t="s">
        <v>123</v>
      </c>
      <c r="D95" s="118"/>
      <c r="E95" s="119"/>
    </row>
    <row r="96" spans="2:5" x14ac:dyDescent="0.2">
      <c r="B96" s="54"/>
      <c r="C96" s="94"/>
      <c r="D96" s="94"/>
      <c r="E96" s="95"/>
    </row>
    <row r="97" spans="2:5" x14ac:dyDescent="0.2">
      <c r="B97" s="53" t="s">
        <v>17</v>
      </c>
      <c r="C97" s="51"/>
      <c r="D97" s="51"/>
      <c r="E97" s="52"/>
    </row>
    <row r="98" spans="2:5" x14ac:dyDescent="0.2">
      <c r="B98" s="54"/>
      <c r="C98" s="120" t="s">
        <v>59</v>
      </c>
      <c r="D98" s="120"/>
      <c r="E98" s="120"/>
    </row>
    <row r="99" spans="2:5" x14ac:dyDescent="0.2">
      <c r="B99" s="53" t="s">
        <v>18</v>
      </c>
      <c r="C99" s="55"/>
      <c r="D99" s="55"/>
      <c r="E99" s="56"/>
    </row>
    <row r="100" spans="2:5" x14ac:dyDescent="0.2">
      <c r="B100" s="54"/>
      <c r="C100" s="120" t="s">
        <v>117</v>
      </c>
      <c r="D100" s="120"/>
      <c r="E100" s="120"/>
    </row>
    <row r="101" spans="2:5" x14ac:dyDescent="0.2">
      <c r="B101" s="53" t="s">
        <v>19</v>
      </c>
      <c r="C101" s="51"/>
      <c r="D101" s="51"/>
      <c r="E101" s="52"/>
    </row>
    <row r="102" spans="2:5" x14ac:dyDescent="0.2">
      <c r="B102" s="53"/>
      <c r="C102" s="111" t="s">
        <v>62</v>
      </c>
      <c r="D102" s="111"/>
      <c r="E102" s="111"/>
    </row>
    <row r="103" spans="2:5" ht="13.5" thickBot="1" x14ac:dyDescent="0.25">
      <c r="B103" s="57"/>
      <c r="C103" s="58"/>
      <c r="D103" s="58"/>
      <c r="E103" s="59"/>
    </row>
    <row r="104" spans="2:5" x14ac:dyDescent="0.2">
      <c r="B104" s="96"/>
      <c r="C104" s="51"/>
      <c r="D104" s="51"/>
      <c r="E104" s="51"/>
    </row>
    <row r="105" spans="2:5" ht="13.5" thickBot="1" x14ac:dyDescent="0.25">
      <c r="B105" s="96"/>
      <c r="C105" s="51"/>
      <c r="D105" s="51"/>
      <c r="E105" s="51"/>
    </row>
    <row r="106" spans="2:5" x14ac:dyDescent="0.2">
      <c r="B106" s="47" t="s">
        <v>71</v>
      </c>
      <c r="C106" s="48"/>
      <c r="D106" s="48"/>
      <c r="E106" s="49"/>
    </row>
    <row r="107" spans="2:5" x14ac:dyDescent="0.2">
      <c r="B107" s="50"/>
      <c r="C107" s="51"/>
      <c r="D107" s="51"/>
      <c r="E107" s="52"/>
    </row>
    <row r="108" spans="2:5" x14ac:dyDescent="0.2">
      <c r="B108" s="53" t="s">
        <v>15</v>
      </c>
      <c r="C108" s="51"/>
      <c r="D108" s="51"/>
      <c r="E108" s="52"/>
    </row>
    <row r="109" spans="2:5" ht="39" customHeight="1" x14ac:dyDescent="0.2">
      <c r="B109" s="53"/>
      <c r="C109" s="112" t="s">
        <v>96</v>
      </c>
      <c r="D109" s="112"/>
      <c r="E109" s="113"/>
    </row>
    <row r="110" spans="2:5" x14ac:dyDescent="0.2">
      <c r="B110" s="53" t="s">
        <v>16</v>
      </c>
      <c r="C110" s="51"/>
      <c r="D110" s="51"/>
      <c r="E110" s="52"/>
    </row>
    <row r="111" spans="2:5" x14ac:dyDescent="0.2">
      <c r="B111" s="54"/>
      <c r="C111" s="114" t="s">
        <v>119</v>
      </c>
      <c r="D111" s="115"/>
      <c r="E111" s="116"/>
    </row>
    <row r="112" spans="2:5" ht="30.75" customHeight="1" x14ac:dyDescent="0.2">
      <c r="B112" s="54"/>
      <c r="C112" s="117" t="s">
        <v>121</v>
      </c>
      <c r="D112" s="118"/>
      <c r="E112" s="119"/>
    </row>
    <row r="113" spans="2:5" ht="15" customHeight="1" x14ac:dyDescent="0.2">
      <c r="B113" s="54"/>
      <c r="C113" s="94"/>
      <c r="D113" s="94"/>
      <c r="E113" s="95"/>
    </row>
    <row r="114" spans="2:5" x14ac:dyDescent="0.2">
      <c r="B114" s="53" t="s">
        <v>17</v>
      </c>
      <c r="C114" s="51"/>
      <c r="D114" s="51"/>
      <c r="E114" s="52"/>
    </row>
    <row r="115" spans="2:5" x14ac:dyDescent="0.2">
      <c r="B115" s="54"/>
      <c r="C115" s="120" t="s">
        <v>59</v>
      </c>
      <c r="D115" s="120"/>
      <c r="E115" s="120"/>
    </row>
    <row r="116" spans="2:5" x14ac:dyDescent="0.2">
      <c r="B116" s="53" t="s">
        <v>18</v>
      </c>
      <c r="C116" s="55"/>
      <c r="D116" s="55"/>
      <c r="E116" s="56"/>
    </row>
    <row r="117" spans="2:5" x14ac:dyDescent="0.2">
      <c r="B117" s="54"/>
      <c r="C117" s="120" t="s">
        <v>117</v>
      </c>
      <c r="D117" s="120"/>
      <c r="E117" s="120"/>
    </row>
    <row r="118" spans="2:5" x14ac:dyDescent="0.2">
      <c r="B118" s="53" t="s">
        <v>19</v>
      </c>
      <c r="C118" s="51"/>
      <c r="D118" s="51"/>
      <c r="E118" s="52"/>
    </row>
    <row r="119" spans="2:5" x14ac:dyDescent="0.2">
      <c r="B119" s="53"/>
      <c r="C119" s="111" t="s">
        <v>62</v>
      </c>
      <c r="D119" s="111"/>
      <c r="E119" s="111"/>
    </row>
    <row r="120" spans="2:5" ht="13.5" thickBot="1" x14ac:dyDescent="0.25">
      <c r="B120" s="57"/>
      <c r="C120" s="58"/>
      <c r="D120" s="58"/>
      <c r="E120" s="59"/>
    </row>
    <row r="121" spans="2:5" x14ac:dyDescent="0.2">
      <c r="B121" s="96"/>
      <c r="C121" s="51"/>
      <c r="D121" s="51"/>
      <c r="E121" s="51"/>
    </row>
    <row r="122" spans="2:5" ht="13.5" thickBot="1" x14ac:dyDescent="0.25">
      <c r="B122" s="96"/>
      <c r="C122" s="51"/>
      <c r="D122" s="51"/>
      <c r="E122" s="51"/>
    </row>
    <row r="123" spans="2:5" x14ac:dyDescent="0.2">
      <c r="B123" s="47" t="s">
        <v>72</v>
      </c>
      <c r="C123" s="48"/>
      <c r="D123" s="48"/>
      <c r="E123" s="49"/>
    </row>
    <row r="124" spans="2:5" x14ac:dyDescent="0.2">
      <c r="B124" s="50"/>
      <c r="C124" s="51"/>
      <c r="D124" s="51"/>
      <c r="E124" s="52"/>
    </row>
    <row r="125" spans="2:5" x14ac:dyDescent="0.2">
      <c r="B125" s="53" t="s">
        <v>15</v>
      </c>
      <c r="C125" s="51"/>
      <c r="D125" s="51"/>
      <c r="E125" s="52"/>
    </row>
    <row r="126" spans="2:5" ht="36" customHeight="1" x14ac:dyDescent="0.2">
      <c r="B126" s="53"/>
      <c r="C126" s="112" t="s">
        <v>97</v>
      </c>
      <c r="D126" s="112"/>
      <c r="E126" s="113"/>
    </row>
    <row r="127" spans="2:5" x14ac:dyDescent="0.2">
      <c r="B127" s="53" t="s">
        <v>16</v>
      </c>
      <c r="C127" s="51"/>
      <c r="D127" s="51"/>
      <c r="E127" s="52"/>
    </row>
    <row r="128" spans="2:5" ht="20.25" customHeight="1" x14ac:dyDescent="0.2">
      <c r="B128" s="54"/>
      <c r="C128" s="124" t="s">
        <v>119</v>
      </c>
      <c r="D128" s="125"/>
      <c r="E128" s="126"/>
    </row>
    <row r="129" spans="2:5" ht="21" customHeight="1" x14ac:dyDescent="0.2">
      <c r="B129" s="54"/>
      <c r="C129" s="117" t="s">
        <v>122</v>
      </c>
      <c r="D129" s="118"/>
      <c r="E129" s="119"/>
    </row>
    <row r="130" spans="2:5" x14ac:dyDescent="0.2">
      <c r="B130" s="54"/>
      <c r="C130" s="94"/>
      <c r="D130" s="94"/>
      <c r="E130" s="95"/>
    </row>
    <row r="131" spans="2:5" x14ac:dyDescent="0.2">
      <c r="B131" s="53" t="s">
        <v>17</v>
      </c>
      <c r="C131" s="51"/>
      <c r="D131" s="51"/>
      <c r="E131" s="52"/>
    </row>
    <row r="132" spans="2:5" x14ac:dyDescent="0.2">
      <c r="B132" s="54"/>
      <c r="C132" s="120" t="s">
        <v>59</v>
      </c>
      <c r="D132" s="120"/>
      <c r="E132" s="120"/>
    </row>
    <row r="133" spans="2:5" x14ac:dyDescent="0.2">
      <c r="B133" s="53" t="s">
        <v>18</v>
      </c>
      <c r="C133" s="55"/>
      <c r="D133" s="55"/>
      <c r="E133" s="56"/>
    </row>
    <row r="134" spans="2:5" x14ac:dyDescent="0.2">
      <c r="B134" s="54"/>
      <c r="C134" s="120" t="s">
        <v>117</v>
      </c>
      <c r="D134" s="120"/>
      <c r="E134" s="120"/>
    </row>
    <row r="135" spans="2:5" x14ac:dyDescent="0.2">
      <c r="B135" s="53" t="s">
        <v>19</v>
      </c>
      <c r="C135" s="51"/>
      <c r="D135" s="51"/>
      <c r="E135" s="52"/>
    </row>
    <row r="136" spans="2:5" x14ac:dyDescent="0.2">
      <c r="B136" s="53"/>
      <c r="C136" s="111" t="s">
        <v>62</v>
      </c>
      <c r="D136" s="111"/>
      <c r="E136" s="111"/>
    </row>
    <row r="137" spans="2:5" ht="13.5" thickBot="1" x14ac:dyDescent="0.25">
      <c r="B137" s="57"/>
      <c r="C137" s="58"/>
      <c r="D137" s="58"/>
      <c r="E137" s="59"/>
    </row>
    <row r="138" spans="2:5" x14ac:dyDescent="0.2">
      <c r="B138" s="96"/>
      <c r="C138" s="51"/>
      <c r="D138" s="51"/>
      <c r="E138" s="51"/>
    </row>
    <row r="139" spans="2:5" ht="13.5" thickBot="1" x14ac:dyDescent="0.25">
      <c r="B139" s="96"/>
      <c r="C139" s="51"/>
      <c r="D139" s="51"/>
      <c r="E139" s="51"/>
    </row>
    <row r="140" spans="2:5" x14ac:dyDescent="0.2">
      <c r="B140" s="47" t="s">
        <v>73</v>
      </c>
      <c r="C140" s="48"/>
      <c r="D140" s="48"/>
      <c r="E140" s="49"/>
    </row>
    <row r="141" spans="2:5" x14ac:dyDescent="0.2">
      <c r="B141" s="50"/>
      <c r="C141" s="51"/>
      <c r="D141" s="51"/>
      <c r="E141" s="52"/>
    </row>
    <row r="142" spans="2:5" x14ac:dyDescent="0.2">
      <c r="B142" s="53" t="s">
        <v>15</v>
      </c>
      <c r="C142" s="51"/>
      <c r="D142" s="51"/>
      <c r="E142" s="52"/>
    </row>
    <row r="143" spans="2:5" ht="38.25" customHeight="1" x14ac:dyDescent="0.2">
      <c r="B143" s="53"/>
      <c r="C143" s="112" t="s">
        <v>98</v>
      </c>
      <c r="D143" s="112"/>
      <c r="E143" s="113"/>
    </row>
    <row r="144" spans="2:5" x14ac:dyDescent="0.2">
      <c r="B144" s="53" t="s">
        <v>16</v>
      </c>
      <c r="C144" s="51"/>
      <c r="D144" s="51"/>
      <c r="E144" s="52"/>
    </row>
    <row r="145" spans="2:5" ht="21.75" customHeight="1" x14ac:dyDescent="0.2">
      <c r="B145" s="54"/>
      <c r="C145" s="124" t="s">
        <v>119</v>
      </c>
      <c r="D145" s="125"/>
      <c r="E145" s="126"/>
    </row>
    <row r="146" spans="2:5" ht="24" customHeight="1" x14ac:dyDescent="0.2">
      <c r="B146" s="54"/>
      <c r="C146" s="117" t="s">
        <v>123</v>
      </c>
      <c r="D146" s="118"/>
      <c r="E146" s="119"/>
    </row>
    <row r="147" spans="2:5" x14ac:dyDescent="0.2">
      <c r="B147" s="54"/>
      <c r="C147" s="94"/>
      <c r="D147" s="94"/>
      <c r="E147" s="95"/>
    </row>
    <row r="148" spans="2:5" x14ac:dyDescent="0.2">
      <c r="B148" s="53" t="s">
        <v>17</v>
      </c>
      <c r="C148" s="51"/>
      <c r="D148" s="51"/>
      <c r="E148" s="52"/>
    </row>
    <row r="149" spans="2:5" x14ac:dyDescent="0.2">
      <c r="B149" s="54"/>
      <c r="C149" s="120" t="s">
        <v>59</v>
      </c>
      <c r="D149" s="120"/>
      <c r="E149" s="120"/>
    </row>
    <row r="150" spans="2:5" x14ac:dyDescent="0.2">
      <c r="B150" s="53" t="s">
        <v>18</v>
      </c>
      <c r="C150" s="55"/>
      <c r="D150" s="55"/>
      <c r="E150" s="56"/>
    </row>
    <row r="151" spans="2:5" x14ac:dyDescent="0.2">
      <c r="B151" s="54"/>
      <c r="C151" s="120" t="s">
        <v>117</v>
      </c>
      <c r="D151" s="120"/>
      <c r="E151" s="120"/>
    </row>
    <row r="152" spans="2:5" x14ac:dyDescent="0.2">
      <c r="B152" s="53" t="s">
        <v>19</v>
      </c>
      <c r="C152" s="51"/>
      <c r="D152" s="51"/>
      <c r="E152" s="52"/>
    </row>
    <row r="153" spans="2:5" x14ac:dyDescent="0.2">
      <c r="B153" s="53"/>
      <c r="C153" s="111" t="s">
        <v>62</v>
      </c>
      <c r="D153" s="111"/>
      <c r="E153" s="111"/>
    </row>
    <row r="154" spans="2:5" ht="13.5" thickBot="1" x14ac:dyDescent="0.25">
      <c r="B154" s="57"/>
      <c r="C154" s="58"/>
      <c r="D154" s="58"/>
      <c r="E154" s="59"/>
    </row>
    <row r="155" spans="2:5" x14ac:dyDescent="0.2">
      <c r="B155" s="96"/>
      <c r="C155" s="51"/>
      <c r="D155" s="51"/>
      <c r="E155" s="51"/>
    </row>
    <row r="156" spans="2:5" ht="13.5" thickBot="1" x14ac:dyDescent="0.25">
      <c r="B156" s="96"/>
      <c r="C156" s="51"/>
      <c r="D156" s="51"/>
      <c r="E156" s="51"/>
    </row>
    <row r="157" spans="2:5" x14ac:dyDescent="0.2">
      <c r="B157" s="47" t="s">
        <v>74</v>
      </c>
      <c r="C157" s="48"/>
      <c r="D157" s="48"/>
      <c r="E157" s="49"/>
    </row>
    <row r="158" spans="2:5" x14ac:dyDescent="0.2">
      <c r="B158" s="50"/>
      <c r="C158" s="51"/>
      <c r="D158" s="51"/>
      <c r="E158" s="52"/>
    </row>
    <row r="159" spans="2:5" x14ac:dyDescent="0.2">
      <c r="B159" s="53" t="s">
        <v>15</v>
      </c>
      <c r="C159" s="51"/>
      <c r="D159" s="51"/>
      <c r="E159" s="52"/>
    </row>
    <row r="160" spans="2:5" ht="38.25" customHeight="1" x14ac:dyDescent="0.2">
      <c r="B160" s="53"/>
      <c r="C160" s="112" t="s">
        <v>99</v>
      </c>
      <c r="D160" s="112"/>
      <c r="E160" s="113"/>
    </row>
    <row r="161" spans="2:5" x14ac:dyDescent="0.2">
      <c r="B161" s="53" t="s">
        <v>16</v>
      </c>
      <c r="C161" s="51"/>
      <c r="D161" s="51"/>
      <c r="E161" s="52"/>
    </row>
    <row r="162" spans="2:5" ht="21" customHeight="1" x14ac:dyDescent="0.2">
      <c r="B162" s="54"/>
      <c r="C162" s="124" t="s">
        <v>119</v>
      </c>
      <c r="D162" s="125"/>
      <c r="E162" s="126"/>
    </row>
    <row r="163" spans="2:5" ht="30.75" customHeight="1" x14ac:dyDescent="0.2">
      <c r="B163" s="54"/>
      <c r="C163" s="117" t="s">
        <v>123</v>
      </c>
      <c r="D163" s="118"/>
      <c r="E163" s="119"/>
    </row>
    <row r="164" spans="2:5" x14ac:dyDescent="0.2">
      <c r="B164" s="54"/>
      <c r="C164" s="94"/>
      <c r="D164" s="94"/>
      <c r="E164" s="95"/>
    </row>
    <row r="165" spans="2:5" x14ac:dyDescent="0.2">
      <c r="B165" s="53" t="s">
        <v>17</v>
      </c>
      <c r="C165" s="51"/>
      <c r="D165" s="51"/>
      <c r="E165" s="52"/>
    </row>
    <row r="166" spans="2:5" x14ac:dyDescent="0.2">
      <c r="B166" s="54"/>
      <c r="C166" s="120" t="s">
        <v>59</v>
      </c>
      <c r="D166" s="120"/>
      <c r="E166" s="120"/>
    </row>
    <row r="167" spans="2:5" x14ac:dyDescent="0.2">
      <c r="B167" s="53" t="s">
        <v>18</v>
      </c>
      <c r="C167" s="55"/>
      <c r="D167" s="55"/>
      <c r="E167" s="56"/>
    </row>
    <row r="168" spans="2:5" x14ac:dyDescent="0.2">
      <c r="B168" s="54"/>
      <c r="C168" s="120" t="s">
        <v>117</v>
      </c>
      <c r="D168" s="120"/>
      <c r="E168" s="120"/>
    </row>
    <row r="169" spans="2:5" x14ac:dyDescent="0.2">
      <c r="B169" s="53" t="s">
        <v>19</v>
      </c>
      <c r="C169" s="51"/>
      <c r="D169" s="51"/>
      <c r="E169" s="52"/>
    </row>
    <row r="170" spans="2:5" x14ac:dyDescent="0.2">
      <c r="B170" s="53"/>
      <c r="C170" s="111" t="s">
        <v>62</v>
      </c>
      <c r="D170" s="111"/>
      <c r="E170" s="111"/>
    </row>
    <row r="171" spans="2:5" ht="13.5" thickBot="1" x14ac:dyDescent="0.25">
      <c r="B171" s="57"/>
      <c r="C171" s="58"/>
      <c r="D171" s="58"/>
      <c r="E171" s="59"/>
    </row>
    <row r="172" spans="2:5" x14ac:dyDescent="0.2">
      <c r="B172" s="96"/>
      <c r="C172" s="51"/>
      <c r="D172" s="51"/>
      <c r="E172" s="51"/>
    </row>
    <row r="173" spans="2:5" ht="13.5" thickBot="1" x14ac:dyDescent="0.25">
      <c r="B173" s="96"/>
      <c r="C173" s="51"/>
      <c r="D173" s="51"/>
      <c r="E173" s="51"/>
    </row>
    <row r="174" spans="2:5" x14ac:dyDescent="0.2">
      <c r="B174" s="47" t="s">
        <v>75</v>
      </c>
      <c r="C174" s="48"/>
      <c r="D174" s="48"/>
      <c r="E174" s="49"/>
    </row>
    <row r="175" spans="2:5" x14ac:dyDescent="0.2">
      <c r="B175" s="50"/>
      <c r="C175" s="51"/>
      <c r="D175" s="51"/>
      <c r="E175" s="52"/>
    </row>
    <row r="176" spans="2:5" x14ac:dyDescent="0.2">
      <c r="B176" s="53" t="s">
        <v>15</v>
      </c>
      <c r="C176" s="51"/>
      <c r="D176" s="51"/>
      <c r="E176" s="52"/>
    </row>
    <row r="177" spans="2:5" ht="35.25" customHeight="1" x14ac:dyDescent="0.2">
      <c r="B177" s="53"/>
      <c r="C177" s="112" t="s">
        <v>100</v>
      </c>
      <c r="D177" s="112"/>
      <c r="E177" s="113"/>
    </row>
    <row r="178" spans="2:5" x14ac:dyDescent="0.2">
      <c r="B178" s="53" t="s">
        <v>16</v>
      </c>
      <c r="C178" s="51"/>
      <c r="D178" s="51"/>
      <c r="E178" s="52"/>
    </row>
    <row r="179" spans="2:5" ht="21" customHeight="1" x14ac:dyDescent="0.2">
      <c r="B179" s="54"/>
      <c r="C179" s="124" t="s">
        <v>119</v>
      </c>
      <c r="D179" s="125"/>
      <c r="E179" s="126"/>
    </row>
    <row r="180" spans="2:5" ht="26.25" customHeight="1" x14ac:dyDescent="0.2">
      <c r="B180" s="54"/>
      <c r="C180" s="117" t="s">
        <v>122</v>
      </c>
      <c r="D180" s="118"/>
      <c r="E180" s="119"/>
    </row>
    <row r="181" spans="2:5" x14ac:dyDescent="0.2">
      <c r="B181" s="54"/>
      <c r="C181" s="94"/>
      <c r="D181" s="94"/>
      <c r="E181" s="95"/>
    </row>
    <row r="182" spans="2:5" x14ac:dyDescent="0.2">
      <c r="B182" s="53" t="s">
        <v>17</v>
      </c>
      <c r="C182" s="51"/>
      <c r="D182" s="51"/>
      <c r="E182" s="52"/>
    </row>
    <row r="183" spans="2:5" x14ac:dyDescent="0.2">
      <c r="B183" s="54"/>
      <c r="C183" s="120" t="s">
        <v>59</v>
      </c>
      <c r="D183" s="120"/>
      <c r="E183" s="120"/>
    </row>
    <row r="184" spans="2:5" x14ac:dyDescent="0.2">
      <c r="B184" s="53" t="s">
        <v>18</v>
      </c>
      <c r="C184" s="55"/>
      <c r="D184" s="55"/>
      <c r="E184" s="56"/>
    </row>
    <row r="185" spans="2:5" x14ac:dyDescent="0.2">
      <c r="B185" s="54"/>
      <c r="C185" s="120" t="s">
        <v>117</v>
      </c>
      <c r="D185" s="120"/>
      <c r="E185" s="120"/>
    </row>
    <row r="186" spans="2:5" x14ac:dyDescent="0.2">
      <c r="B186" s="53" t="s">
        <v>19</v>
      </c>
      <c r="C186" s="51"/>
      <c r="D186" s="51"/>
      <c r="E186" s="52"/>
    </row>
    <row r="187" spans="2:5" x14ac:dyDescent="0.2">
      <c r="B187" s="53"/>
      <c r="C187" s="111" t="s">
        <v>62</v>
      </c>
      <c r="D187" s="111"/>
      <c r="E187" s="111"/>
    </row>
    <row r="188" spans="2:5" ht="13.5" thickBot="1" x14ac:dyDescent="0.25">
      <c r="B188" s="57"/>
      <c r="C188" s="58"/>
      <c r="D188" s="58"/>
      <c r="E188" s="59"/>
    </row>
    <row r="189" spans="2:5" x14ac:dyDescent="0.2">
      <c r="B189" s="96"/>
      <c r="C189" s="51"/>
      <c r="D189" s="51"/>
      <c r="E189" s="51"/>
    </row>
    <row r="190" spans="2:5" ht="13.5" thickBot="1" x14ac:dyDescent="0.25">
      <c r="B190" s="96"/>
      <c r="C190" s="51"/>
      <c r="D190" s="51"/>
      <c r="E190" s="51"/>
    </row>
    <row r="191" spans="2:5" x14ac:dyDescent="0.2">
      <c r="B191" s="47" t="s">
        <v>76</v>
      </c>
      <c r="C191" s="48"/>
      <c r="D191" s="48"/>
      <c r="E191" s="49"/>
    </row>
    <row r="192" spans="2:5" x14ac:dyDescent="0.2">
      <c r="B192" s="50"/>
      <c r="C192" s="51"/>
      <c r="D192" s="51"/>
      <c r="E192" s="52"/>
    </row>
    <row r="193" spans="2:5" x14ac:dyDescent="0.2">
      <c r="B193" s="53" t="s">
        <v>15</v>
      </c>
      <c r="C193" s="51"/>
      <c r="D193" s="51"/>
      <c r="E193" s="52"/>
    </row>
    <row r="194" spans="2:5" ht="36.75" customHeight="1" x14ac:dyDescent="0.2">
      <c r="B194" s="53"/>
      <c r="C194" s="112" t="s">
        <v>101</v>
      </c>
      <c r="D194" s="112"/>
      <c r="E194" s="113"/>
    </row>
    <row r="195" spans="2:5" x14ac:dyDescent="0.2">
      <c r="B195" s="53" t="s">
        <v>16</v>
      </c>
      <c r="C195" s="51"/>
      <c r="D195" s="51"/>
      <c r="E195" s="52"/>
    </row>
    <row r="196" spans="2:5" ht="20.25" customHeight="1" x14ac:dyDescent="0.2">
      <c r="B196" s="54"/>
      <c r="C196" s="124" t="s">
        <v>119</v>
      </c>
      <c r="D196" s="125"/>
      <c r="E196" s="126"/>
    </row>
    <row r="197" spans="2:5" ht="29.25" customHeight="1" x14ac:dyDescent="0.2">
      <c r="B197" s="54"/>
      <c r="C197" s="117" t="s">
        <v>122</v>
      </c>
      <c r="D197" s="118"/>
      <c r="E197" s="119"/>
    </row>
    <row r="198" spans="2:5" x14ac:dyDescent="0.2">
      <c r="B198" s="54"/>
      <c r="C198" s="94"/>
      <c r="D198" s="94"/>
      <c r="E198" s="95"/>
    </row>
    <row r="199" spans="2:5" x14ac:dyDescent="0.2">
      <c r="B199" s="53" t="s">
        <v>17</v>
      </c>
      <c r="C199" s="51"/>
      <c r="D199" s="51"/>
      <c r="E199" s="52"/>
    </row>
    <row r="200" spans="2:5" x14ac:dyDescent="0.2">
      <c r="B200" s="54"/>
      <c r="C200" s="120" t="s">
        <v>59</v>
      </c>
      <c r="D200" s="120"/>
      <c r="E200" s="120"/>
    </row>
    <row r="201" spans="2:5" x14ac:dyDescent="0.2">
      <c r="B201" s="53" t="s">
        <v>18</v>
      </c>
      <c r="C201" s="55"/>
      <c r="D201" s="55"/>
      <c r="E201" s="56"/>
    </row>
    <row r="202" spans="2:5" x14ac:dyDescent="0.2">
      <c r="B202" s="54"/>
      <c r="C202" s="120" t="s">
        <v>117</v>
      </c>
      <c r="D202" s="120"/>
      <c r="E202" s="120"/>
    </row>
    <row r="203" spans="2:5" x14ac:dyDescent="0.2">
      <c r="B203" s="53" t="s">
        <v>19</v>
      </c>
      <c r="C203" s="51"/>
      <c r="D203" s="51"/>
      <c r="E203" s="52"/>
    </row>
    <row r="204" spans="2:5" x14ac:dyDescent="0.2">
      <c r="B204" s="53"/>
      <c r="C204" s="111" t="s">
        <v>62</v>
      </c>
      <c r="D204" s="111"/>
      <c r="E204" s="111"/>
    </row>
    <row r="205" spans="2:5" ht="13.5" thickBot="1" x14ac:dyDescent="0.25">
      <c r="B205" s="57"/>
      <c r="C205" s="58"/>
      <c r="D205" s="58"/>
      <c r="E205" s="59"/>
    </row>
    <row r="206" spans="2:5" x14ac:dyDescent="0.2">
      <c r="B206" s="96"/>
      <c r="C206" s="51"/>
      <c r="D206" s="51"/>
      <c r="E206" s="51"/>
    </row>
    <row r="207" spans="2:5" ht="13.5" thickBot="1" x14ac:dyDescent="0.25">
      <c r="B207" s="96"/>
      <c r="C207" s="51"/>
      <c r="D207" s="51"/>
      <c r="E207" s="51"/>
    </row>
    <row r="208" spans="2:5" x14ac:dyDescent="0.2">
      <c r="B208" s="47" t="s">
        <v>77</v>
      </c>
      <c r="C208" s="48"/>
      <c r="D208" s="48"/>
      <c r="E208" s="49"/>
    </row>
    <row r="209" spans="2:5" x14ac:dyDescent="0.2">
      <c r="B209" s="50"/>
      <c r="C209" s="51"/>
      <c r="D209" s="51"/>
      <c r="E209" s="52"/>
    </row>
    <row r="210" spans="2:5" x14ac:dyDescent="0.2">
      <c r="B210" s="53" t="s">
        <v>15</v>
      </c>
      <c r="C210" s="51"/>
      <c r="D210" s="51"/>
      <c r="E210" s="52"/>
    </row>
    <row r="211" spans="2:5" ht="45.75" customHeight="1" x14ac:dyDescent="0.2">
      <c r="B211" s="53"/>
      <c r="C211" s="112" t="s">
        <v>102</v>
      </c>
      <c r="D211" s="112"/>
      <c r="E211" s="113"/>
    </row>
    <row r="212" spans="2:5" x14ac:dyDescent="0.2">
      <c r="B212" s="53" t="s">
        <v>16</v>
      </c>
      <c r="C212" s="51"/>
      <c r="D212" s="51"/>
      <c r="E212" s="52"/>
    </row>
    <row r="213" spans="2:5" ht="21.75" customHeight="1" x14ac:dyDescent="0.2">
      <c r="B213" s="54"/>
      <c r="C213" s="124" t="s">
        <v>119</v>
      </c>
      <c r="D213" s="125"/>
      <c r="E213" s="126"/>
    </row>
    <row r="214" spans="2:5" ht="21.75" customHeight="1" x14ac:dyDescent="0.2">
      <c r="B214" s="54"/>
      <c r="C214" s="117" t="s">
        <v>123</v>
      </c>
      <c r="D214" s="118"/>
      <c r="E214" s="119"/>
    </row>
    <row r="215" spans="2:5" x14ac:dyDescent="0.2">
      <c r="B215" s="54"/>
      <c r="C215" s="94"/>
      <c r="D215" s="94"/>
      <c r="E215" s="95"/>
    </row>
    <row r="216" spans="2:5" x14ac:dyDescent="0.2">
      <c r="B216" s="53" t="s">
        <v>17</v>
      </c>
      <c r="C216" s="51"/>
      <c r="D216" s="51"/>
      <c r="E216" s="52"/>
    </row>
    <row r="217" spans="2:5" x14ac:dyDescent="0.2">
      <c r="B217" s="54"/>
      <c r="C217" s="120" t="s">
        <v>59</v>
      </c>
      <c r="D217" s="120"/>
      <c r="E217" s="120"/>
    </row>
    <row r="218" spans="2:5" x14ac:dyDescent="0.2">
      <c r="B218" s="53" t="s">
        <v>18</v>
      </c>
      <c r="C218" s="55"/>
      <c r="D218" s="55"/>
      <c r="E218" s="56"/>
    </row>
    <row r="219" spans="2:5" x14ac:dyDescent="0.2">
      <c r="B219" s="54"/>
      <c r="C219" s="120" t="s">
        <v>117</v>
      </c>
      <c r="D219" s="120"/>
      <c r="E219" s="120"/>
    </row>
    <row r="220" spans="2:5" x14ac:dyDescent="0.2">
      <c r="B220" s="53" t="s">
        <v>19</v>
      </c>
      <c r="C220" s="51"/>
      <c r="D220" s="51"/>
      <c r="E220" s="52"/>
    </row>
    <row r="221" spans="2:5" x14ac:dyDescent="0.2">
      <c r="B221" s="53"/>
      <c r="C221" s="111" t="s">
        <v>62</v>
      </c>
      <c r="D221" s="111"/>
      <c r="E221" s="111"/>
    </row>
    <row r="222" spans="2:5" ht="13.5" thickBot="1" x14ac:dyDescent="0.25">
      <c r="B222" s="57"/>
      <c r="C222" s="58"/>
      <c r="D222" s="58"/>
      <c r="E222" s="59"/>
    </row>
    <row r="223" spans="2:5" x14ac:dyDescent="0.2">
      <c r="B223" s="96"/>
      <c r="C223" s="51"/>
      <c r="D223" s="51"/>
      <c r="E223" s="51"/>
    </row>
    <row r="224" spans="2:5" ht="13.5" thickBot="1" x14ac:dyDescent="0.25">
      <c r="B224" s="96"/>
      <c r="C224" s="51"/>
      <c r="D224" s="51"/>
      <c r="E224" s="51"/>
    </row>
    <row r="225" spans="2:5" x14ac:dyDescent="0.2">
      <c r="B225" s="47" t="s">
        <v>78</v>
      </c>
      <c r="C225" s="48"/>
      <c r="D225" s="48"/>
      <c r="E225" s="49"/>
    </row>
    <row r="226" spans="2:5" x14ac:dyDescent="0.2">
      <c r="B226" s="50"/>
      <c r="C226" s="51"/>
      <c r="D226" s="51"/>
      <c r="E226" s="52"/>
    </row>
    <row r="227" spans="2:5" x14ac:dyDescent="0.2">
      <c r="B227" s="53" t="s">
        <v>15</v>
      </c>
      <c r="C227" s="51"/>
      <c r="D227" s="51"/>
      <c r="E227" s="52"/>
    </row>
    <row r="228" spans="2:5" ht="35.25" customHeight="1" x14ac:dyDescent="0.2">
      <c r="B228" s="53"/>
      <c r="C228" s="112" t="s">
        <v>103</v>
      </c>
      <c r="D228" s="112"/>
      <c r="E228" s="113"/>
    </row>
    <row r="229" spans="2:5" x14ac:dyDescent="0.2">
      <c r="B229" s="53" t="s">
        <v>16</v>
      </c>
      <c r="C229" s="51"/>
      <c r="D229" s="51"/>
      <c r="E229" s="52"/>
    </row>
    <row r="230" spans="2:5" ht="19.5" customHeight="1" x14ac:dyDescent="0.2">
      <c r="B230" s="54"/>
      <c r="C230" s="114" t="s">
        <v>119</v>
      </c>
      <c r="D230" s="115"/>
      <c r="E230" s="116"/>
    </row>
    <row r="231" spans="2:5" ht="27.75" customHeight="1" x14ac:dyDescent="0.2">
      <c r="B231" s="54"/>
      <c r="C231" s="117" t="s">
        <v>123</v>
      </c>
      <c r="D231" s="118"/>
      <c r="E231" s="119"/>
    </row>
    <row r="232" spans="2:5" x14ac:dyDescent="0.2">
      <c r="B232" s="54"/>
      <c r="C232" s="94"/>
      <c r="D232" s="94"/>
      <c r="E232" s="95"/>
    </row>
    <row r="233" spans="2:5" x14ac:dyDescent="0.2">
      <c r="B233" s="53" t="s">
        <v>17</v>
      </c>
      <c r="C233" s="51"/>
      <c r="D233" s="51"/>
      <c r="E233" s="52"/>
    </row>
    <row r="234" spans="2:5" x14ac:dyDescent="0.2">
      <c r="B234" s="54"/>
      <c r="C234" s="120" t="s">
        <v>59</v>
      </c>
      <c r="D234" s="120"/>
      <c r="E234" s="120"/>
    </row>
    <row r="235" spans="2:5" x14ac:dyDescent="0.2">
      <c r="B235" s="53" t="s">
        <v>18</v>
      </c>
      <c r="C235" s="55"/>
      <c r="D235" s="55"/>
      <c r="E235" s="56"/>
    </row>
    <row r="236" spans="2:5" x14ac:dyDescent="0.2">
      <c r="B236" s="54"/>
      <c r="C236" s="120" t="s">
        <v>117</v>
      </c>
      <c r="D236" s="120"/>
      <c r="E236" s="120"/>
    </row>
    <row r="237" spans="2:5" x14ac:dyDescent="0.2">
      <c r="B237" s="53" t="s">
        <v>19</v>
      </c>
      <c r="C237" s="51"/>
      <c r="D237" s="51"/>
      <c r="E237" s="52"/>
    </row>
    <row r="238" spans="2:5" x14ac:dyDescent="0.2">
      <c r="B238" s="53"/>
      <c r="C238" s="111" t="s">
        <v>62</v>
      </c>
      <c r="D238" s="111"/>
      <c r="E238" s="111"/>
    </row>
    <row r="239" spans="2:5" ht="13.5" thickBot="1" x14ac:dyDescent="0.25">
      <c r="B239" s="57"/>
      <c r="C239" s="58"/>
      <c r="D239" s="58"/>
      <c r="E239" s="59"/>
    </row>
    <row r="240" spans="2:5" x14ac:dyDescent="0.2">
      <c r="B240" s="96"/>
      <c r="C240" s="51"/>
      <c r="D240" s="51"/>
      <c r="E240" s="51"/>
    </row>
    <row r="241" spans="2:5" ht="13.5" thickBot="1" x14ac:dyDescent="0.25">
      <c r="B241" s="96"/>
      <c r="C241" s="51"/>
      <c r="D241" s="51"/>
      <c r="E241" s="51"/>
    </row>
    <row r="242" spans="2:5" x14ac:dyDescent="0.2">
      <c r="B242" s="47" t="s">
        <v>79</v>
      </c>
      <c r="C242" s="48"/>
      <c r="D242" s="48"/>
      <c r="E242" s="49"/>
    </row>
    <row r="243" spans="2:5" x14ac:dyDescent="0.2">
      <c r="B243" s="50"/>
      <c r="C243" s="51"/>
      <c r="D243" s="51"/>
      <c r="E243" s="52"/>
    </row>
    <row r="244" spans="2:5" x14ac:dyDescent="0.2">
      <c r="B244" s="53" t="s">
        <v>15</v>
      </c>
      <c r="C244" s="51"/>
      <c r="D244" s="51"/>
      <c r="E244" s="52"/>
    </row>
    <row r="245" spans="2:5" ht="37.5" customHeight="1" x14ac:dyDescent="0.2">
      <c r="B245" s="53"/>
      <c r="C245" s="112" t="s">
        <v>104</v>
      </c>
      <c r="D245" s="112"/>
      <c r="E245" s="113"/>
    </row>
    <row r="246" spans="2:5" x14ac:dyDescent="0.2">
      <c r="B246" s="53" t="s">
        <v>16</v>
      </c>
      <c r="C246" s="51"/>
      <c r="D246" s="51"/>
      <c r="E246" s="52"/>
    </row>
    <row r="247" spans="2:5" ht="21" customHeight="1" x14ac:dyDescent="0.2">
      <c r="B247" s="54"/>
      <c r="C247" s="114" t="s">
        <v>119</v>
      </c>
      <c r="D247" s="115"/>
      <c r="E247" s="116"/>
    </row>
    <row r="248" spans="2:5" ht="23.25" customHeight="1" x14ac:dyDescent="0.2">
      <c r="B248" s="54"/>
      <c r="C248" s="117" t="s">
        <v>122</v>
      </c>
      <c r="D248" s="118"/>
      <c r="E248" s="119"/>
    </row>
    <row r="249" spans="2:5" x14ac:dyDescent="0.2">
      <c r="B249" s="54"/>
      <c r="C249" s="94"/>
      <c r="D249" s="94"/>
      <c r="E249" s="95"/>
    </row>
    <row r="250" spans="2:5" x14ac:dyDescent="0.2">
      <c r="B250" s="53" t="s">
        <v>17</v>
      </c>
      <c r="C250" s="51"/>
      <c r="D250" s="51"/>
      <c r="E250" s="52"/>
    </row>
    <row r="251" spans="2:5" x14ac:dyDescent="0.2">
      <c r="B251" s="54"/>
      <c r="C251" s="120" t="s">
        <v>59</v>
      </c>
      <c r="D251" s="120"/>
      <c r="E251" s="120"/>
    </row>
    <row r="252" spans="2:5" x14ac:dyDescent="0.2">
      <c r="B252" s="53" t="s">
        <v>18</v>
      </c>
      <c r="C252" s="55"/>
      <c r="D252" s="55"/>
      <c r="E252" s="56"/>
    </row>
    <row r="253" spans="2:5" x14ac:dyDescent="0.2">
      <c r="B253" s="54"/>
      <c r="C253" s="120" t="s">
        <v>117</v>
      </c>
      <c r="D253" s="120"/>
      <c r="E253" s="120"/>
    </row>
    <row r="254" spans="2:5" x14ac:dyDescent="0.2">
      <c r="B254" s="53" t="s">
        <v>19</v>
      </c>
      <c r="C254" s="51"/>
      <c r="D254" s="51"/>
      <c r="E254" s="52"/>
    </row>
    <row r="255" spans="2:5" x14ac:dyDescent="0.2">
      <c r="B255" s="53"/>
      <c r="C255" s="111" t="s">
        <v>62</v>
      </c>
      <c r="D255" s="111"/>
      <c r="E255" s="111"/>
    </row>
    <row r="256" spans="2:5" ht="13.5" thickBot="1" x14ac:dyDescent="0.25">
      <c r="B256" s="57"/>
      <c r="C256" s="58"/>
      <c r="D256" s="58"/>
      <c r="E256" s="59"/>
    </row>
    <row r="257" spans="2:5" x14ac:dyDescent="0.2">
      <c r="B257" s="96"/>
      <c r="C257" s="51"/>
      <c r="D257" s="51"/>
      <c r="E257" s="51"/>
    </row>
    <row r="258" spans="2:5" ht="13.5" thickBot="1" x14ac:dyDescent="0.25">
      <c r="B258" s="96"/>
      <c r="C258" s="51"/>
      <c r="D258" s="51"/>
      <c r="E258" s="51"/>
    </row>
    <row r="259" spans="2:5" x14ac:dyDescent="0.2">
      <c r="B259" s="47" t="s">
        <v>80</v>
      </c>
      <c r="C259" s="48"/>
      <c r="D259" s="48"/>
      <c r="E259" s="49"/>
    </row>
    <row r="260" spans="2:5" x14ac:dyDescent="0.2">
      <c r="B260" s="50"/>
      <c r="C260" s="51"/>
      <c r="D260" s="51"/>
      <c r="E260" s="52"/>
    </row>
    <row r="261" spans="2:5" x14ac:dyDescent="0.2">
      <c r="B261" s="53" t="s">
        <v>15</v>
      </c>
      <c r="C261" s="51"/>
      <c r="D261" s="51"/>
      <c r="E261" s="52"/>
    </row>
    <row r="262" spans="2:5" ht="39.75" customHeight="1" x14ac:dyDescent="0.2">
      <c r="B262" s="53"/>
      <c r="C262" s="112" t="s">
        <v>105</v>
      </c>
      <c r="D262" s="112"/>
      <c r="E262" s="113"/>
    </row>
    <row r="263" spans="2:5" x14ac:dyDescent="0.2">
      <c r="B263" s="53" t="s">
        <v>16</v>
      </c>
      <c r="C263" s="51"/>
      <c r="D263" s="51"/>
      <c r="E263" s="52"/>
    </row>
    <row r="264" spans="2:5" ht="24.75" customHeight="1" x14ac:dyDescent="0.2">
      <c r="B264" s="54"/>
      <c r="C264" s="124" t="s">
        <v>119</v>
      </c>
      <c r="D264" s="125"/>
      <c r="E264" s="126"/>
    </row>
    <row r="265" spans="2:5" ht="32.25" customHeight="1" x14ac:dyDescent="0.2">
      <c r="B265" s="54"/>
      <c r="C265" s="117" t="s">
        <v>123</v>
      </c>
      <c r="D265" s="118"/>
      <c r="E265" s="119"/>
    </row>
    <row r="266" spans="2:5" x14ac:dyDescent="0.2">
      <c r="B266" s="54"/>
      <c r="C266" s="94"/>
      <c r="D266" s="94"/>
      <c r="E266" s="95"/>
    </row>
    <row r="267" spans="2:5" x14ac:dyDescent="0.2">
      <c r="B267" s="53" t="s">
        <v>17</v>
      </c>
      <c r="C267" s="51"/>
      <c r="D267" s="51"/>
      <c r="E267" s="52"/>
    </row>
    <row r="268" spans="2:5" x14ac:dyDescent="0.2">
      <c r="B268" s="54"/>
      <c r="C268" s="120" t="s">
        <v>59</v>
      </c>
      <c r="D268" s="120"/>
      <c r="E268" s="120"/>
    </row>
    <row r="269" spans="2:5" x14ac:dyDescent="0.2">
      <c r="B269" s="53" t="s">
        <v>18</v>
      </c>
      <c r="C269" s="55"/>
      <c r="D269" s="55"/>
      <c r="E269" s="56"/>
    </row>
    <row r="270" spans="2:5" x14ac:dyDescent="0.2">
      <c r="B270" s="54"/>
      <c r="C270" s="120" t="s">
        <v>117</v>
      </c>
      <c r="D270" s="120"/>
      <c r="E270" s="120"/>
    </row>
    <row r="271" spans="2:5" x14ac:dyDescent="0.2">
      <c r="B271" s="53" t="s">
        <v>19</v>
      </c>
      <c r="C271" s="51"/>
      <c r="D271" s="51"/>
      <c r="E271" s="52"/>
    </row>
    <row r="272" spans="2:5" x14ac:dyDescent="0.2">
      <c r="B272" s="53"/>
      <c r="C272" s="111" t="s">
        <v>62</v>
      </c>
      <c r="D272" s="111"/>
      <c r="E272" s="111"/>
    </row>
    <row r="273" spans="2:5" ht="13.5" thickBot="1" x14ac:dyDescent="0.25">
      <c r="B273" s="57"/>
      <c r="C273" s="58"/>
      <c r="D273" s="58"/>
      <c r="E273" s="59"/>
    </row>
    <row r="274" spans="2:5" x14ac:dyDescent="0.2">
      <c r="B274" s="96"/>
      <c r="C274" s="51"/>
      <c r="D274" s="51"/>
      <c r="E274" s="51"/>
    </row>
    <row r="275" spans="2:5" ht="13.5" thickBot="1" x14ac:dyDescent="0.25">
      <c r="B275" s="96"/>
      <c r="C275" s="51"/>
      <c r="D275" s="51"/>
      <c r="E275" s="51"/>
    </row>
    <row r="276" spans="2:5" x14ac:dyDescent="0.2">
      <c r="B276" s="47" t="s">
        <v>81</v>
      </c>
      <c r="C276" s="48"/>
      <c r="D276" s="48"/>
      <c r="E276" s="49"/>
    </row>
    <row r="277" spans="2:5" x14ac:dyDescent="0.2">
      <c r="B277" s="50"/>
      <c r="C277" s="51"/>
      <c r="D277" s="51"/>
      <c r="E277" s="52"/>
    </row>
    <row r="278" spans="2:5" x14ac:dyDescent="0.2">
      <c r="B278" s="53" t="s">
        <v>15</v>
      </c>
      <c r="C278" s="51"/>
      <c r="D278" s="51"/>
      <c r="E278" s="52"/>
    </row>
    <row r="279" spans="2:5" ht="39.75" customHeight="1" x14ac:dyDescent="0.2">
      <c r="B279" s="53"/>
      <c r="C279" s="112" t="s">
        <v>106</v>
      </c>
      <c r="D279" s="112"/>
      <c r="E279" s="113"/>
    </row>
    <row r="280" spans="2:5" x14ac:dyDescent="0.2">
      <c r="B280" s="53" t="s">
        <v>16</v>
      </c>
      <c r="C280" s="51"/>
      <c r="D280" s="51"/>
      <c r="E280" s="52"/>
    </row>
    <row r="281" spans="2:5" x14ac:dyDescent="0.2">
      <c r="B281" s="54"/>
      <c r="C281" s="114" t="s">
        <v>119</v>
      </c>
      <c r="D281" s="115"/>
      <c r="E281" s="116"/>
    </row>
    <row r="282" spans="2:5" ht="34.5" customHeight="1" x14ac:dyDescent="0.2">
      <c r="B282" s="54"/>
      <c r="C282" s="117" t="s">
        <v>123</v>
      </c>
      <c r="D282" s="118"/>
      <c r="E282" s="119"/>
    </row>
    <row r="283" spans="2:5" x14ac:dyDescent="0.2">
      <c r="B283" s="54"/>
      <c r="C283" s="94"/>
      <c r="D283" s="94"/>
      <c r="E283" s="95"/>
    </row>
    <row r="284" spans="2:5" x14ac:dyDescent="0.2">
      <c r="B284" s="53" t="s">
        <v>17</v>
      </c>
      <c r="C284" s="51"/>
      <c r="D284" s="51"/>
      <c r="E284" s="52"/>
    </row>
    <row r="285" spans="2:5" x14ac:dyDescent="0.2">
      <c r="B285" s="54"/>
      <c r="C285" s="120" t="s">
        <v>59</v>
      </c>
      <c r="D285" s="120"/>
      <c r="E285" s="120"/>
    </row>
    <row r="286" spans="2:5" x14ac:dyDescent="0.2">
      <c r="B286" s="53" t="s">
        <v>18</v>
      </c>
      <c r="C286" s="55"/>
      <c r="D286" s="55"/>
      <c r="E286" s="56"/>
    </row>
    <row r="287" spans="2:5" x14ac:dyDescent="0.2">
      <c r="B287" s="54"/>
      <c r="C287" s="120" t="s">
        <v>117</v>
      </c>
      <c r="D287" s="120"/>
      <c r="E287" s="120"/>
    </row>
    <row r="288" spans="2:5" x14ac:dyDescent="0.2">
      <c r="B288" s="53" t="s">
        <v>19</v>
      </c>
      <c r="C288" s="51"/>
      <c r="D288" s="51"/>
      <c r="E288" s="52"/>
    </row>
    <row r="289" spans="2:5" x14ac:dyDescent="0.2">
      <c r="B289" s="53"/>
      <c r="C289" s="111" t="s">
        <v>62</v>
      </c>
      <c r="D289" s="111"/>
      <c r="E289" s="111"/>
    </row>
    <row r="290" spans="2:5" ht="13.5" thickBot="1" x14ac:dyDescent="0.25">
      <c r="B290" s="57"/>
      <c r="C290" s="58"/>
      <c r="D290" s="58"/>
      <c r="E290" s="59"/>
    </row>
    <row r="291" spans="2:5" x14ac:dyDescent="0.2">
      <c r="B291" s="96"/>
      <c r="C291" s="51"/>
      <c r="D291" s="51"/>
      <c r="E291" s="51"/>
    </row>
    <row r="292" spans="2:5" ht="13.5" thickBot="1" x14ac:dyDescent="0.25">
      <c r="B292" s="96"/>
      <c r="C292" s="51"/>
      <c r="D292" s="51"/>
      <c r="E292" s="51"/>
    </row>
    <row r="293" spans="2:5" x14ac:dyDescent="0.2">
      <c r="B293" s="47" t="s">
        <v>82</v>
      </c>
      <c r="C293" s="48"/>
      <c r="D293" s="48"/>
      <c r="E293" s="49"/>
    </row>
    <row r="294" spans="2:5" x14ac:dyDescent="0.2">
      <c r="B294" s="50"/>
      <c r="C294" s="51"/>
      <c r="D294" s="51"/>
      <c r="E294" s="52"/>
    </row>
    <row r="295" spans="2:5" x14ac:dyDescent="0.2">
      <c r="B295" s="53" t="s">
        <v>15</v>
      </c>
      <c r="C295" s="51"/>
      <c r="D295" s="51"/>
      <c r="E295" s="52"/>
    </row>
    <row r="296" spans="2:5" ht="36.75" customHeight="1" x14ac:dyDescent="0.2">
      <c r="B296" s="53"/>
      <c r="C296" s="112" t="s">
        <v>107</v>
      </c>
      <c r="D296" s="112"/>
      <c r="E296" s="113"/>
    </row>
    <row r="297" spans="2:5" x14ac:dyDescent="0.2">
      <c r="B297" s="53" t="s">
        <v>16</v>
      </c>
      <c r="C297" s="51"/>
      <c r="D297" s="51"/>
      <c r="E297" s="52"/>
    </row>
    <row r="298" spans="2:5" ht="20.25" customHeight="1" x14ac:dyDescent="0.2">
      <c r="B298" s="54"/>
      <c r="C298" s="124" t="s">
        <v>119</v>
      </c>
      <c r="D298" s="125"/>
      <c r="E298" s="126"/>
    </row>
    <row r="299" spans="2:5" ht="23.25" customHeight="1" x14ac:dyDescent="0.2">
      <c r="B299" s="54"/>
      <c r="C299" s="117" t="s">
        <v>123</v>
      </c>
      <c r="D299" s="118"/>
      <c r="E299" s="119"/>
    </row>
    <row r="300" spans="2:5" x14ac:dyDescent="0.2">
      <c r="B300" s="54"/>
      <c r="C300" s="94"/>
      <c r="D300" s="94"/>
      <c r="E300" s="95"/>
    </row>
    <row r="301" spans="2:5" x14ac:dyDescent="0.2">
      <c r="B301" s="53" t="s">
        <v>17</v>
      </c>
      <c r="C301" s="51"/>
      <c r="D301" s="51"/>
      <c r="E301" s="52"/>
    </row>
    <row r="302" spans="2:5" x14ac:dyDescent="0.2">
      <c r="B302" s="54"/>
      <c r="C302" s="120" t="s">
        <v>59</v>
      </c>
      <c r="D302" s="120"/>
      <c r="E302" s="120"/>
    </row>
    <row r="303" spans="2:5" x14ac:dyDescent="0.2">
      <c r="B303" s="53" t="s">
        <v>18</v>
      </c>
      <c r="C303" s="55"/>
      <c r="D303" s="55"/>
      <c r="E303" s="56"/>
    </row>
    <row r="304" spans="2:5" x14ac:dyDescent="0.2">
      <c r="B304" s="54"/>
      <c r="C304" s="120" t="s">
        <v>117</v>
      </c>
      <c r="D304" s="120"/>
      <c r="E304" s="120"/>
    </row>
    <row r="305" spans="2:5" x14ac:dyDescent="0.2">
      <c r="B305" s="53" t="s">
        <v>19</v>
      </c>
      <c r="C305" s="51"/>
      <c r="D305" s="51"/>
      <c r="E305" s="52"/>
    </row>
    <row r="306" spans="2:5" x14ac:dyDescent="0.2">
      <c r="B306" s="53"/>
      <c r="C306" s="111" t="s">
        <v>62</v>
      </c>
      <c r="D306" s="111"/>
      <c r="E306" s="111"/>
    </row>
    <row r="307" spans="2:5" ht="13.5" thickBot="1" x14ac:dyDescent="0.25">
      <c r="B307" s="57"/>
      <c r="C307" s="58"/>
      <c r="D307" s="58"/>
      <c r="E307" s="59"/>
    </row>
    <row r="308" spans="2:5" x14ac:dyDescent="0.2">
      <c r="B308" s="96"/>
      <c r="C308" s="51"/>
      <c r="D308" s="51"/>
      <c r="E308" s="51"/>
    </row>
    <row r="309" spans="2:5" ht="13.5" thickBot="1" x14ac:dyDescent="0.25">
      <c r="B309" s="96"/>
      <c r="C309" s="51"/>
      <c r="D309" s="51"/>
      <c r="E309" s="51"/>
    </row>
    <row r="310" spans="2:5" x14ac:dyDescent="0.2">
      <c r="B310" s="47" t="s">
        <v>83</v>
      </c>
      <c r="C310" s="48"/>
      <c r="D310" s="48"/>
      <c r="E310" s="49"/>
    </row>
    <row r="311" spans="2:5" x14ac:dyDescent="0.2">
      <c r="B311" s="50"/>
      <c r="C311" s="51"/>
      <c r="D311" s="51"/>
      <c r="E311" s="52"/>
    </row>
    <row r="312" spans="2:5" x14ac:dyDescent="0.2">
      <c r="B312" s="53" t="s">
        <v>15</v>
      </c>
      <c r="C312" s="51"/>
      <c r="D312" s="51"/>
      <c r="E312" s="52"/>
    </row>
    <row r="313" spans="2:5" ht="40.5" customHeight="1" x14ac:dyDescent="0.2">
      <c r="B313" s="53"/>
      <c r="C313" s="112" t="s">
        <v>108</v>
      </c>
      <c r="D313" s="112"/>
      <c r="E313" s="113"/>
    </row>
    <row r="314" spans="2:5" x14ac:dyDescent="0.2">
      <c r="B314" s="53" t="s">
        <v>16</v>
      </c>
      <c r="C314" s="51"/>
      <c r="D314" s="51"/>
      <c r="E314" s="52"/>
    </row>
    <row r="315" spans="2:5" ht="27" customHeight="1" x14ac:dyDescent="0.2">
      <c r="B315" s="54"/>
      <c r="C315" s="124" t="s">
        <v>119</v>
      </c>
      <c r="D315" s="125"/>
      <c r="E315" s="126"/>
    </row>
    <row r="316" spans="2:5" ht="22.5" customHeight="1" x14ac:dyDescent="0.2">
      <c r="B316" s="54"/>
      <c r="C316" s="117" t="s">
        <v>123</v>
      </c>
      <c r="D316" s="118"/>
      <c r="E316" s="119"/>
    </row>
    <row r="317" spans="2:5" x14ac:dyDescent="0.2">
      <c r="B317" s="54"/>
      <c r="C317" s="94"/>
      <c r="D317" s="94"/>
      <c r="E317" s="95"/>
    </row>
    <row r="318" spans="2:5" x14ac:dyDescent="0.2">
      <c r="B318" s="53" t="s">
        <v>17</v>
      </c>
      <c r="C318" s="51"/>
      <c r="D318" s="51"/>
      <c r="E318" s="52"/>
    </row>
    <row r="319" spans="2:5" x14ac:dyDescent="0.2">
      <c r="B319" s="54"/>
      <c r="C319" s="120" t="s">
        <v>59</v>
      </c>
      <c r="D319" s="120"/>
      <c r="E319" s="120"/>
    </row>
    <row r="320" spans="2:5" x14ac:dyDescent="0.2">
      <c r="B320" s="53" t="s">
        <v>18</v>
      </c>
      <c r="C320" s="55"/>
      <c r="D320" s="55"/>
      <c r="E320" s="56"/>
    </row>
    <row r="321" spans="2:5" x14ac:dyDescent="0.2">
      <c r="B321" s="54"/>
      <c r="C321" s="120" t="s">
        <v>117</v>
      </c>
      <c r="D321" s="120"/>
      <c r="E321" s="120"/>
    </row>
    <row r="322" spans="2:5" x14ac:dyDescent="0.2">
      <c r="B322" s="53" t="s">
        <v>19</v>
      </c>
      <c r="C322" s="51"/>
      <c r="D322" s="51"/>
      <c r="E322" s="52"/>
    </row>
    <row r="323" spans="2:5" x14ac:dyDescent="0.2">
      <c r="B323" s="53"/>
      <c r="C323" s="111" t="s">
        <v>62</v>
      </c>
      <c r="D323" s="111"/>
      <c r="E323" s="111"/>
    </row>
    <row r="324" spans="2:5" ht="13.5" thickBot="1" x14ac:dyDescent="0.25">
      <c r="B324" s="57"/>
      <c r="C324" s="58"/>
      <c r="D324" s="58"/>
      <c r="E324" s="59"/>
    </row>
    <row r="325" spans="2:5" x14ac:dyDescent="0.2">
      <c r="B325" s="96"/>
      <c r="C325" s="51"/>
      <c r="D325" s="51"/>
      <c r="E325" s="51"/>
    </row>
    <row r="326" spans="2:5" ht="13.5" thickBot="1" x14ac:dyDescent="0.25">
      <c r="B326" s="96"/>
      <c r="C326" s="51"/>
      <c r="D326" s="51"/>
      <c r="E326" s="51"/>
    </row>
    <row r="327" spans="2:5" x14ac:dyDescent="0.2">
      <c r="B327" s="47" t="s">
        <v>84</v>
      </c>
      <c r="C327" s="48"/>
      <c r="D327" s="48"/>
      <c r="E327" s="49"/>
    </row>
    <row r="328" spans="2:5" x14ac:dyDescent="0.2">
      <c r="B328" s="50"/>
      <c r="C328" s="51"/>
      <c r="D328" s="51"/>
      <c r="E328" s="52"/>
    </row>
    <row r="329" spans="2:5" x14ac:dyDescent="0.2">
      <c r="B329" s="53" t="s">
        <v>15</v>
      </c>
      <c r="C329" s="51"/>
      <c r="D329" s="51"/>
      <c r="E329" s="52"/>
    </row>
    <row r="330" spans="2:5" ht="36" customHeight="1" x14ac:dyDescent="0.2">
      <c r="B330" s="53"/>
      <c r="C330" s="112" t="s">
        <v>109</v>
      </c>
      <c r="D330" s="112"/>
      <c r="E330" s="113"/>
    </row>
    <row r="331" spans="2:5" x14ac:dyDescent="0.2">
      <c r="B331" s="53" t="s">
        <v>16</v>
      </c>
      <c r="C331" s="51"/>
      <c r="D331" s="51"/>
      <c r="E331" s="52"/>
    </row>
    <row r="332" spans="2:5" ht="23.25" customHeight="1" x14ac:dyDescent="0.2">
      <c r="B332" s="54"/>
      <c r="C332" s="124" t="s">
        <v>119</v>
      </c>
      <c r="D332" s="125"/>
      <c r="E332" s="126"/>
    </row>
    <row r="333" spans="2:5" ht="23.25" customHeight="1" x14ac:dyDescent="0.2">
      <c r="B333" s="54"/>
      <c r="C333" s="117" t="s">
        <v>123</v>
      </c>
      <c r="D333" s="118"/>
      <c r="E333" s="119"/>
    </row>
    <row r="334" spans="2:5" x14ac:dyDescent="0.2">
      <c r="B334" s="54"/>
      <c r="C334" s="94"/>
      <c r="D334" s="94"/>
      <c r="E334" s="95"/>
    </row>
    <row r="335" spans="2:5" x14ac:dyDescent="0.2">
      <c r="B335" s="53" t="s">
        <v>17</v>
      </c>
      <c r="C335" s="51"/>
      <c r="D335" s="51"/>
      <c r="E335" s="52"/>
    </row>
    <row r="336" spans="2:5" x14ac:dyDescent="0.2">
      <c r="B336" s="54"/>
      <c r="C336" s="120" t="s">
        <v>59</v>
      </c>
      <c r="D336" s="120"/>
      <c r="E336" s="120"/>
    </row>
    <row r="337" spans="2:5" x14ac:dyDescent="0.2">
      <c r="B337" s="53" t="s">
        <v>18</v>
      </c>
      <c r="C337" s="55"/>
      <c r="D337" s="55"/>
      <c r="E337" s="56"/>
    </row>
    <row r="338" spans="2:5" x14ac:dyDescent="0.2">
      <c r="B338" s="54"/>
      <c r="C338" s="120" t="s">
        <v>117</v>
      </c>
      <c r="D338" s="120"/>
      <c r="E338" s="120"/>
    </row>
    <row r="339" spans="2:5" x14ac:dyDescent="0.2">
      <c r="B339" s="53" t="s">
        <v>19</v>
      </c>
      <c r="C339" s="51"/>
      <c r="D339" s="51"/>
      <c r="E339" s="52"/>
    </row>
    <row r="340" spans="2:5" x14ac:dyDescent="0.2">
      <c r="B340" s="53"/>
      <c r="C340" s="111" t="s">
        <v>62</v>
      </c>
      <c r="D340" s="111"/>
      <c r="E340" s="111"/>
    </row>
    <row r="341" spans="2:5" ht="13.5" thickBot="1" x14ac:dyDescent="0.25">
      <c r="B341" s="57"/>
      <c r="C341" s="58"/>
      <c r="D341" s="58"/>
      <c r="E341" s="59"/>
    </row>
    <row r="342" spans="2:5" x14ac:dyDescent="0.2">
      <c r="B342" s="96"/>
      <c r="C342" s="51"/>
      <c r="D342" s="51"/>
      <c r="E342" s="51"/>
    </row>
    <row r="343" spans="2:5" ht="13.5" thickBot="1" x14ac:dyDescent="0.25">
      <c r="B343" s="96"/>
      <c r="C343" s="51"/>
      <c r="D343" s="51"/>
      <c r="E343" s="51"/>
    </row>
    <row r="344" spans="2:5" x14ac:dyDescent="0.2">
      <c r="B344" s="47" t="s">
        <v>85</v>
      </c>
      <c r="C344" s="48"/>
      <c r="D344" s="48"/>
      <c r="E344" s="49"/>
    </row>
    <row r="345" spans="2:5" x14ac:dyDescent="0.2">
      <c r="B345" s="50"/>
      <c r="C345" s="51"/>
      <c r="D345" s="51"/>
      <c r="E345" s="52"/>
    </row>
    <row r="346" spans="2:5" x14ac:dyDescent="0.2">
      <c r="B346" s="53" t="s">
        <v>15</v>
      </c>
      <c r="C346" s="51"/>
      <c r="D346" s="51"/>
      <c r="E346" s="52"/>
    </row>
    <row r="347" spans="2:5" ht="39.75" customHeight="1" x14ac:dyDescent="0.2">
      <c r="B347" s="53"/>
      <c r="C347" s="112" t="s">
        <v>110</v>
      </c>
      <c r="D347" s="112"/>
      <c r="E347" s="113"/>
    </row>
    <row r="348" spans="2:5" x14ac:dyDescent="0.2">
      <c r="B348" s="53" t="s">
        <v>16</v>
      </c>
      <c r="C348" s="51"/>
      <c r="D348" s="51"/>
      <c r="E348" s="52"/>
    </row>
    <row r="349" spans="2:5" ht="21" customHeight="1" x14ac:dyDescent="0.2">
      <c r="B349" s="54"/>
      <c r="C349" s="124" t="s">
        <v>119</v>
      </c>
      <c r="D349" s="125"/>
      <c r="E349" s="126"/>
    </row>
    <row r="350" spans="2:5" ht="24" customHeight="1" x14ac:dyDescent="0.2">
      <c r="B350" s="54"/>
      <c r="C350" s="117" t="s">
        <v>123</v>
      </c>
      <c r="D350" s="118"/>
      <c r="E350" s="119"/>
    </row>
    <row r="351" spans="2:5" x14ac:dyDescent="0.2">
      <c r="B351" s="54"/>
      <c r="C351" s="94"/>
      <c r="D351" s="94"/>
      <c r="E351" s="95"/>
    </row>
    <row r="352" spans="2:5" x14ac:dyDescent="0.2">
      <c r="B352" s="53" t="s">
        <v>17</v>
      </c>
      <c r="C352" s="51"/>
      <c r="D352" s="51"/>
      <c r="E352" s="52"/>
    </row>
    <row r="353" spans="2:5" x14ac:dyDescent="0.2">
      <c r="B353" s="54"/>
      <c r="C353" s="120" t="s">
        <v>59</v>
      </c>
      <c r="D353" s="120"/>
      <c r="E353" s="120"/>
    </row>
    <row r="354" spans="2:5" x14ac:dyDescent="0.2">
      <c r="B354" s="53" t="s">
        <v>18</v>
      </c>
      <c r="C354" s="55"/>
      <c r="D354" s="55"/>
      <c r="E354" s="56"/>
    </row>
    <row r="355" spans="2:5" x14ac:dyDescent="0.2">
      <c r="B355" s="54"/>
      <c r="C355" s="120" t="s">
        <v>117</v>
      </c>
      <c r="D355" s="120"/>
      <c r="E355" s="120"/>
    </row>
    <row r="356" spans="2:5" x14ac:dyDescent="0.2">
      <c r="B356" s="53" t="s">
        <v>19</v>
      </c>
      <c r="C356" s="51"/>
      <c r="D356" s="51"/>
      <c r="E356" s="52"/>
    </row>
    <row r="357" spans="2:5" x14ac:dyDescent="0.2">
      <c r="B357" s="53"/>
      <c r="C357" s="111" t="s">
        <v>62</v>
      </c>
      <c r="D357" s="111"/>
      <c r="E357" s="111"/>
    </row>
    <row r="358" spans="2:5" ht="13.5" thickBot="1" x14ac:dyDescent="0.25">
      <c r="B358" s="57"/>
      <c r="C358" s="58"/>
      <c r="D358" s="58"/>
      <c r="E358" s="59"/>
    </row>
    <row r="359" spans="2:5" x14ac:dyDescent="0.2">
      <c r="B359" s="96"/>
      <c r="C359" s="51"/>
      <c r="D359" s="51"/>
      <c r="E359" s="51"/>
    </row>
    <row r="360" spans="2:5" ht="13.5" thickBot="1" x14ac:dyDescent="0.25">
      <c r="B360" s="96"/>
      <c r="C360" s="51"/>
      <c r="D360" s="51"/>
      <c r="E360" s="51"/>
    </row>
    <row r="361" spans="2:5" x14ac:dyDescent="0.2">
      <c r="B361" s="47" t="s">
        <v>86</v>
      </c>
      <c r="C361" s="48"/>
      <c r="D361" s="48"/>
      <c r="E361" s="49"/>
    </row>
    <row r="362" spans="2:5" x14ac:dyDescent="0.2">
      <c r="B362" s="50"/>
      <c r="C362" s="51"/>
      <c r="D362" s="51"/>
      <c r="E362" s="52"/>
    </row>
    <row r="363" spans="2:5" x14ac:dyDescent="0.2">
      <c r="B363" s="53" t="s">
        <v>15</v>
      </c>
      <c r="C363" s="51"/>
      <c r="D363" s="51"/>
      <c r="E363" s="52"/>
    </row>
    <row r="364" spans="2:5" ht="45" customHeight="1" x14ac:dyDescent="0.2">
      <c r="B364" s="53"/>
      <c r="C364" s="112" t="s">
        <v>111</v>
      </c>
      <c r="D364" s="112"/>
      <c r="E364" s="113"/>
    </row>
    <row r="365" spans="2:5" x14ac:dyDescent="0.2">
      <c r="B365" s="53" t="s">
        <v>16</v>
      </c>
      <c r="C365" s="51"/>
      <c r="D365" s="51"/>
      <c r="E365" s="52"/>
    </row>
    <row r="366" spans="2:5" ht="24" customHeight="1" x14ac:dyDescent="0.2">
      <c r="B366" s="54"/>
      <c r="C366" s="124" t="s">
        <v>119</v>
      </c>
      <c r="D366" s="125"/>
      <c r="E366" s="126"/>
    </row>
    <row r="367" spans="2:5" ht="24" customHeight="1" x14ac:dyDescent="0.2">
      <c r="B367" s="54"/>
      <c r="C367" s="117" t="s">
        <v>122</v>
      </c>
      <c r="D367" s="118"/>
      <c r="E367" s="119"/>
    </row>
    <row r="368" spans="2:5" x14ac:dyDescent="0.2">
      <c r="B368" s="54"/>
      <c r="C368" s="94"/>
      <c r="D368" s="94"/>
      <c r="E368" s="95"/>
    </row>
    <row r="369" spans="2:5" x14ac:dyDescent="0.2">
      <c r="B369" s="53" t="s">
        <v>17</v>
      </c>
      <c r="C369" s="51"/>
      <c r="D369" s="51"/>
      <c r="E369" s="52"/>
    </row>
    <row r="370" spans="2:5" x14ac:dyDescent="0.2">
      <c r="B370" s="54"/>
      <c r="C370" s="120" t="s">
        <v>59</v>
      </c>
      <c r="D370" s="120"/>
      <c r="E370" s="120"/>
    </row>
    <row r="371" spans="2:5" x14ac:dyDescent="0.2">
      <c r="B371" s="53" t="s">
        <v>18</v>
      </c>
      <c r="C371" s="55"/>
      <c r="D371" s="55"/>
      <c r="E371" s="56"/>
    </row>
    <row r="372" spans="2:5" x14ac:dyDescent="0.2">
      <c r="B372" s="54"/>
      <c r="C372" s="120" t="s">
        <v>117</v>
      </c>
      <c r="D372" s="120"/>
      <c r="E372" s="120"/>
    </row>
    <row r="373" spans="2:5" x14ac:dyDescent="0.2">
      <c r="B373" s="53" t="s">
        <v>19</v>
      </c>
      <c r="C373" s="51"/>
      <c r="D373" s="51"/>
      <c r="E373" s="52"/>
    </row>
    <row r="374" spans="2:5" x14ac:dyDescent="0.2">
      <c r="B374" s="53"/>
      <c r="C374" s="111" t="s">
        <v>62</v>
      </c>
      <c r="D374" s="111"/>
      <c r="E374" s="111"/>
    </row>
    <row r="375" spans="2:5" ht="13.5" thickBot="1" x14ac:dyDescent="0.25">
      <c r="B375" s="57"/>
      <c r="C375" s="58"/>
      <c r="D375" s="58"/>
      <c r="E375" s="59"/>
    </row>
    <row r="376" spans="2:5" x14ac:dyDescent="0.2">
      <c r="B376" s="96"/>
      <c r="C376" s="51"/>
      <c r="D376" s="51"/>
      <c r="E376" s="51"/>
    </row>
    <row r="377" spans="2:5" ht="13.5" thickBot="1" x14ac:dyDescent="0.25">
      <c r="B377" s="96"/>
      <c r="C377" s="51"/>
      <c r="D377" s="51"/>
      <c r="E377" s="51"/>
    </row>
    <row r="378" spans="2:5" x14ac:dyDescent="0.2">
      <c r="B378" s="47" t="s">
        <v>87</v>
      </c>
      <c r="C378" s="48"/>
      <c r="D378" s="48"/>
      <c r="E378" s="49"/>
    </row>
    <row r="379" spans="2:5" x14ac:dyDescent="0.2">
      <c r="B379" s="50"/>
      <c r="C379" s="51"/>
      <c r="D379" s="51"/>
      <c r="E379" s="52"/>
    </row>
    <row r="380" spans="2:5" x14ac:dyDescent="0.2">
      <c r="B380" s="53" t="s">
        <v>15</v>
      </c>
      <c r="C380" s="51"/>
      <c r="D380" s="51"/>
      <c r="E380" s="52"/>
    </row>
    <row r="381" spans="2:5" ht="42" customHeight="1" x14ac:dyDescent="0.2">
      <c r="B381" s="53"/>
      <c r="C381" s="112" t="s">
        <v>112</v>
      </c>
      <c r="D381" s="112"/>
      <c r="E381" s="113"/>
    </row>
    <row r="382" spans="2:5" x14ac:dyDescent="0.2">
      <c r="B382" s="53" t="s">
        <v>16</v>
      </c>
      <c r="C382" s="51"/>
      <c r="D382" s="51"/>
      <c r="E382" s="52"/>
    </row>
    <row r="383" spans="2:5" ht="16.5" customHeight="1" x14ac:dyDescent="0.2">
      <c r="B383" s="54"/>
      <c r="C383" s="114" t="s">
        <v>119</v>
      </c>
      <c r="D383" s="115"/>
      <c r="E383" s="116"/>
    </row>
    <row r="384" spans="2:5" ht="21.75" customHeight="1" x14ac:dyDescent="0.2">
      <c r="B384" s="54"/>
      <c r="C384" s="117" t="s">
        <v>122</v>
      </c>
      <c r="D384" s="118"/>
      <c r="E384" s="119"/>
    </row>
    <row r="385" spans="2:5" x14ac:dyDescent="0.2">
      <c r="B385" s="54"/>
      <c r="C385" s="94"/>
      <c r="D385" s="94"/>
      <c r="E385" s="95"/>
    </row>
    <row r="386" spans="2:5" x14ac:dyDescent="0.2">
      <c r="B386" s="53" t="s">
        <v>17</v>
      </c>
      <c r="C386" s="51"/>
      <c r="D386" s="51"/>
      <c r="E386" s="52"/>
    </row>
    <row r="387" spans="2:5" x14ac:dyDescent="0.2">
      <c r="B387" s="54"/>
      <c r="C387" s="120" t="s">
        <v>59</v>
      </c>
      <c r="D387" s="120"/>
      <c r="E387" s="120"/>
    </row>
    <row r="388" spans="2:5" x14ac:dyDescent="0.2">
      <c r="B388" s="53" t="s">
        <v>18</v>
      </c>
      <c r="C388" s="55"/>
      <c r="D388" s="55"/>
      <c r="E388" s="56"/>
    </row>
    <row r="389" spans="2:5" x14ac:dyDescent="0.2">
      <c r="B389" s="54"/>
      <c r="C389" s="120" t="s">
        <v>117</v>
      </c>
      <c r="D389" s="120"/>
      <c r="E389" s="120"/>
    </row>
    <row r="390" spans="2:5" x14ac:dyDescent="0.2">
      <c r="B390" s="53" t="s">
        <v>19</v>
      </c>
      <c r="C390" s="51"/>
      <c r="D390" s="51"/>
      <c r="E390" s="52"/>
    </row>
    <row r="391" spans="2:5" x14ac:dyDescent="0.2">
      <c r="B391" s="53"/>
      <c r="C391" s="111" t="s">
        <v>62</v>
      </c>
      <c r="D391" s="111"/>
      <c r="E391" s="111"/>
    </row>
    <row r="392" spans="2:5" ht="13.5" thickBot="1" x14ac:dyDescent="0.25">
      <c r="B392" s="57"/>
      <c r="C392" s="58"/>
      <c r="D392" s="58"/>
      <c r="E392" s="59"/>
    </row>
    <row r="393" spans="2:5" x14ac:dyDescent="0.2">
      <c r="B393" s="96"/>
      <c r="C393" s="51"/>
      <c r="D393" s="51"/>
      <c r="E393" s="51"/>
    </row>
    <row r="394" spans="2:5" ht="13.5" thickBot="1" x14ac:dyDescent="0.25">
      <c r="B394" s="96"/>
      <c r="C394" s="51"/>
      <c r="D394" s="51"/>
      <c r="E394" s="51"/>
    </row>
    <row r="395" spans="2:5" x14ac:dyDescent="0.2">
      <c r="B395" s="47" t="s">
        <v>88</v>
      </c>
      <c r="C395" s="48"/>
      <c r="D395" s="48"/>
      <c r="E395" s="49"/>
    </row>
    <row r="396" spans="2:5" x14ac:dyDescent="0.2">
      <c r="B396" s="50"/>
      <c r="C396" s="51"/>
      <c r="D396" s="51"/>
      <c r="E396" s="52"/>
    </row>
    <row r="397" spans="2:5" x14ac:dyDescent="0.2">
      <c r="B397" s="53" t="s">
        <v>15</v>
      </c>
      <c r="C397" s="51"/>
      <c r="D397" s="51"/>
      <c r="E397" s="52"/>
    </row>
    <row r="398" spans="2:5" ht="39" customHeight="1" x14ac:dyDescent="0.2">
      <c r="B398" s="53"/>
      <c r="C398" s="112" t="s">
        <v>113</v>
      </c>
      <c r="D398" s="112"/>
      <c r="E398" s="113"/>
    </row>
    <row r="399" spans="2:5" x14ac:dyDescent="0.2">
      <c r="B399" s="53" t="s">
        <v>16</v>
      </c>
      <c r="C399" s="51"/>
      <c r="D399" s="51"/>
      <c r="E399" s="52"/>
    </row>
    <row r="400" spans="2:5" ht="19.5" customHeight="1" x14ac:dyDescent="0.2">
      <c r="B400" s="54"/>
      <c r="C400" s="114" t="s">
        <v>119</v>
      </c>
      <c r="D400" s="115"/>
      <c r="E400" s="116"/>
    </row>
    <row r="401" spans="2:5" ht="21.75" customHeight="1" x14ac:dyDescent="0.2">
      <c r="B401" s="54"/>
      <c r="C401" s="117" t="s">
        <v>122</v>
      </c>
      <c r="D401" s="118"/>
      <c r="E401" s="119"/>
    </row>
    <row r="402" spans="2:5" x14ac:dyDescent="0.2">
      <c r="B402" s="54"/>
      <c r="C402" s="94"/>
      <c r="D402" s="94"/>
      <c r="E402" s="95"/>
    </row>
    <row r="403" spans="2:5" x14ac:dyDescent="0.2">
      <c r="B403" s="53" t="s">
        <v>17</v>
      </c>
      <c r="C403" s="51"/>
      <c r="D403" s="51"/>
      <c r="E403" s="52"/>
    </row>
    <row r="404" spans="2:5" x14ac:dyDescent="0.2">
      <c r="B404" s="54"/>
      <c r="C404" s="120" t="s">
        <v>59</v>
      </c>
      <c r="D404" s="120"/>
      <c r="E404" s="120"/>
    </row>
    <row r="405" spans="2:5" x14ac:dyDescent="0.2">
      <c r="B405" s="53" t="s">
        <v>18</v>
      </c>
      <c r="C405" s="55"/>
      <c r="D405" s="55"/>
      <c r="E405" s="56"/>
    </row>
    <row r="406" spans="2:5" x14ac:dyDescent="0.2">
      <c r="B406" s="54"/>
      <c r="C406" s="120" t="s">
        <v>117</v>
      </c>
      <c r="D406" s="120"/>
      <c r="E406" s="120"/>
    </row>
    <row r="407" spans="2:5" x14ac:dyDescent="0.2">
      <c r="B407" s="53" t="s">
        <v>19</v>
      </c>
      <c r="C407" s="51"/>
      <c r="D407" s="51"/>
      <c r="E407" s="52"/>
    </row>
    <row r="408" spans="2:5" x14ac:dyDescent="0.2">
      <c r="B408" s="53"/>
      <c r="C408" s="111" t="s">
        <v>62</v>
      </c>
      <c r="D408" s="111"/>
      <c r="E408" s="111"/>
    </row>
    <row r="409" spans="2:5" ht="13.5" thickBot="1" x14ac:dyDescent="0.25">
      <c r="B409" s="57"/>
      <c r="C409" s="58"/>
      <c r="D409" s="58"/>
      <c r="E409" s="59"/>
    </row>
    <row r="410" spans="2:5" x14ac:dyDescent="0.2">
      <c r="B410" s="96"/>
      <c r="C410" s="51"/>
      <c r="D410" s="51"/>
      <c r="E410" s="51"/>
    </row>
    <row r="411" spans="2:5" ht="13.5" thickBot="1" x14ac:dyDescent="0.25">
      <c r="B411" s="96"/>
      <c r="C411" s="51"/>
      <c r="D411" s="51"/>
      <c r="E411" s="51"/>
    </row>
    <row r="412" spans="2:5" x14ac:dyDescent="0.2">
      <c r="B412" s="47" t="s">
        <v>89</v>
      </c>
      <c r="C412" s="48"/>
      <c r="D412" s="48"/>
      <c r="E412" s="49"/>
    </row>
    <row r="413" spans="2:5" x14ac:dyDescent="0.2">
      <c r="B413" s="50"/>
      <c r="C413" s="51"/>
      <c r="D413" s="51"/>
      <c r="E413" s="52"/>
    </row>
    <row r="414" spans="2:5" x14ac:dyDescent="0.2">
      <c r="B414" s="53" t="s">
        <v>15</v>
      </c>
      <c r="C414" s="51"/>
      <c r="D414" s="51"/>
      <c r="E414" s="52"/>
    </row>
    <row r="415" spans="2:5" ht="40.5" customHeight="1" x14ac:dyDescent="0.2">
      <c r="B415" s="53"/>
      <c r="C415" s="112" t="s">
        <v>114</v>
      </c>
      <c r="D415" s="112"/>
      <c r="E415" s="113"/>
    </row>
    <row r="416" spans="2:5" x14ac:dyDescent="0.2">
      <c r="B416" s="53" t="s">
        <v>16</v>
      </c>
      <c r="C416" s="51"/>
      <c r="D416" s="51"/>
      <c r="E416" s="52"/>
    </row>
    <row r="417" spans="2:5" ht="19.5" customHeight="1" x14ac:dyDescent="0.2">
      <c r="B417" s="54"/>
      <c r="C417" s="114" t="s">
        <v>119</v>
      </c>
      <c r="D417" s="115"/>
      <c r="E417" s="116"/>
    </row>
    <row r="418" spans="2:5" ht="29.25" customHeight="1" x14ac:dyDescent="0.2">
      <c r="B418" s="54"/>
      <c r="C418" s="117" t="s">
        <v>123</v>
      </c>
      <c r="D418" s="118"/>
      <c r="E418" s="119"/>
    </row>
    <row r="419" spans="2:5" x14ac:dyDescent="0.2">
      <c r="B419" s="54"/>
      <c r="C419" s="94"/>
      <c r="D419" s="94"/>
      <c r="E419" s="95"/>
    </row>
    <row r="420" spans="2:5" x14ac:dyDescent="0.2">
      <c r="B420" s="53" t="s">
        <v>17</v>
      </c>
      <c r="C420" s="51"/>
      <c r="D420" s="51"/>
      <c r="E420" s="52"/>
    </row>
    <row r="421" spans="2:5" x14ac:dyDescent="0.2">
      <c r="B421" s="54"/>
      <c r="C421" s="120" t="s">
        <v>59</v>
      </c>
      <c r="D421" s="120"/>
      <c r="E421" s="120"/>
    </row>
    <row r="422" spans="2:5" x14ac:dyDescent="0.2">
      <c r="B422" s="53" t="s">
        <v>18</v>
      </c>
      <c r="C422" s="55"/>
      <c r="D422" s="55"/>
      <c r="E422" s="56"/>
    </row>
    <row r="423" spans="2:5" x14ac:dyDescent="0.2">
      <c r="B423" s="54"/>
      <c r="C423" s="120" t="s">
        <v>117</v>
      </c>
      <c r="D423" s="120"/>
      <c r="E423" s="120"/>
    </row>
    <row r="424" spans="2:5" x14ac:dyDescent="0.2">
      <c r="B424" s="53" t="s">
        <v>19</v>
      </c>
      <c r="C424" s="51"/>
      <c r="D424" s="51"/>
      <c r="E424" s="52"/>
    </row>
    <row r="425" spans="2:5" x14ac:dyDescent="0.2">
      <c r="B425" s="53"/>
      <c r="C425" s="111" t="s">
        <v>62</v>
      </c>
      <c r="D425" s="111"/>
      <c r="E425" s="111"/>
    </row>
    <row r="426" spans="2:5" ht="13.5" thickBot="1" x14ac:dyDescent="0.25">
      <c r="B426" s="57"/>
      <c r="C426" s="58"/>
      <c r="D426" s="58"/>
      <c r="E426" s="59"/>
    </row>
    <row r="427" spans="2:5" x14ac:dyDescent="0.2">
      <c r="B427" s="96"/>
      <c r="C427" s="51"/>
      <c r="D427" s="51"/>
      <c r="E427" s="51"/>
    </row>
    <row r="428" spans="2:5" ht="13.5" thickBot="1" x14ac:dyDescent="0.25">
      <c r="B428" s="96"/>
      <c r="C428" s="51"/>
      <c r="D428" s="51"/>
      <c r="E428" s="51"/>
    </row>
    <row r="429" spans="2:5" x14ac:dyDescent="0.2">
      <c r="B429" s="47" t="s">
        <v>90</v>
      </c>
      <c r="C429" s="48"/>
      <c r="D429" s="48"/>
      <c r="E429" s="49"/>
    </row>
    <row r="430" spans="2:5" x14ac:dyDescent="0.2">
      <c r="B430" s="50"/>
      <c r="C430" s="51"/>
      <c r="D430" s="51"/>
      <c r="E430" s="52"/>
    </row>
    <row r="431" spans="2:5" x14ac:dyDescent="0.2">
      <c r="B431" s="53" t="s">
        <v>15</v>
      </c>
      <c r="C431" s="51"/>
      <c r="D431" s="51"/>
      <c r="E431" s="52"/>
    </row>
    <row r="432" spans="2:5" ht="42" customHeight="1" x14ac:dyDescent="0.2">
      <c r="B432" s="53"/>
      <c r="C432" s="112" t="s">
        <v>115</v>
      </c>
      <c r="D432" s="112"/>
      <c r="E432" s="113"/>
    </row>
    <row r="433" spans="2:5" x14ac:dyDescent="0.2">
      <c r="B433" s="53" t="s">
        <v>16</v>
      </c>
      <c r="C433" s="51"/>
      <c r="D433" s="51"/>
      <c r="E433" s="52"/>
    </row>
    <row r="434" spans="2:5" ht="18" customHeight="1" x14ac:dyDescent="0.2">
      <c r="B434" s="54"/>
      <c r="C434" s="114" t="s">
        <v>119</v>
      </c>
      <c r="D434" s="115"/>
      <c r="E434" s="116"/>
    </row>
    <row r="435" spans="2:5" ht="23.25" customHeight="1" x14ac:dyDescent="0.2">
      <c r="B435" s="54"/>
      <c r="C435" s="117" t="s">
        <v>123</v>
      </c>
      <c r="D435" s="118"/>
      <c r="E435" s="119"/>
    </row>
    <row r="436" spans="2:5" x14ac:dyDescent="0.2">
      <c r="B436" s="54"/>
      <c r="C436" s="94"/>
      <c r="D436" s="94"/>
      <c r="E436" s="95"/>
    </row>
    <row r="437" spans="2:5" x14ac:dyDescent="0.2">
      <c r="B437" s="53" t="s">
        <v>17</v>
      </c>
      <c r="C437" s="51"/>
      <c r="D437" s="51"/>
      <c r="E437" s="52"/>
    </row>
    <row r="438" spans="2:5" x14ac:dyDescent="0.2">
      <c r="B438" s="54"/>
      <c r="C438" s="120" t="s">
        <v>59</v>
      </c>
      <c r="D438" s="120"/>
      <c r="E438" s="120"/>
    </row>
    <row r="439" spans="2:5" x14ac:dyDescent="0.2">
      <c r="B439" s="53" t="s">
        <v>18</v>
      </c>
      <c r="C439" s="55"/>
      <c r="D439" s="55"/>
      <c r="E439" s="56"/>
    </row>
    <row r="440" spans="2:5" x14ac:dyDescent="0.2">
      <c r="B440" s="54"/>
      <c r="C440" s="120" t="s">
        <v>117</v>
      </c>
      <c r="D440" s="120"/>
      <c r="E440" s="120"/>
    </row>
    <row r="441" spans="2:5" x14ac:dyDescent="0.2">
      <c r="B441" s="53" t="s">
        <v>19</v>
      </c>
      <c r="C441" s="51"/>
      <c r="D441" s="51"/>
      <c r="E441" s="52"/>
    </row>
    <row r="442" spans="2:5" x14ac:dyDescent="0.2">
      <c r="B442" s="53"/>
      <c r="C442" s="111" t="s">
        <v>62</v>
      </c>
      <c r="D442" s="111"/>
      <c r="E442" s="111"/>
    </row>
    <row r="443" spans="2:5" ht="13.5" thickBot="1" x14ac:dyDescent="0.25">
      <c r="B443" s="57"/>
      <c r="C443" s="58"/>
      <c r="D443" s="58"/>
      <c r="E443" s="59"/>
    </row>
    <row r="444" spans="2:5" x14ac:dyDescent="0.2">
      <c r="B444" s="96"/>
      <c r="C444" s="51"/>
      <c r="D444" s="51"/>
      <c r="E444" s="51"/>
    </row>
    <row r="445" spans="2:5" ht="13.5" thickBot="1" x14ac:dyDescent="0.25">
      <c r="B445" s="96"/>
      <c r="C445" s="51"/>
      <c r="D445" s="51"/>
      <c r="E445" s="51"/>
    </row>
    <row r="446" spans="2:5" x14ac:dyDescent="0.2">
      <c r="B446" s="47" t="s">
        <v>91</v>
      </c>
      <c r="C446" s="48"/>
      <c r="D446" s="48"/>
      <c r="E446" s="49"/>
    </row>
    <row r="447" spans="2:5" x14ac:dyDescent="0.2">
      <c r="B447" s="50"/>
      <c r="C447" s="51"/>
      <c r="D447" s="51"/>
      <c r="E447" s="52"/>
    </row>
    <row r="448" spans="2:5" x14ac:dyDescent="0.2">
      <c r="B448" s="53" t="s">
        <v>15</v>
      </c>
      <c r="C448" s="51"/>
      <c r="D448" s="51"/>
      <c r="E448" s="52"/>
    </row>
    <row r="449" spans="2:5" ht="39" customHeight="1" x14ac:dyDescent="0.2">
      <c r="B449" s="53"/>
      <c r="C449" s="112" t="s">
        <v>116</v>
      </c>
      <c r="D449" s="112"/>
      <c r="E449" s="113"/>
    </row>
    <row r="450" spans="2:5" x14ac:dyDescent="0.2">
      <c r="B450" s="53" t="s">
        <v>16</v>
      </c>
      <c r="C450" s="51"/>
      <c r="D450" s="51"/>
      <c r="E450" s="52"/>
    </row>
    <row r="451" spans="2:5" ht="21.75" customHeight="1" x14ac:dyDescent="0.2">
      <c r="B451" s="54"/>
      <c r="C451" s="114" t="s">
        <v>119</v>
      </c>
      <c r="D451" s="115"/>
      <c r="E451" s="116"/>
    </row>
    <row r="452" spans="2:5" ht="20.25" customHeight="1" x14ac:dyDescent="0.2">
      <c r="B452" s="54"/>
      <c r="C452" s="117" t="s">
        <v>123</v>
      </c>
      <c r="D452" s="118"/>
      <c r="E452" s="119"/>
    </row>
    <row r="453" spans="2:5" x14ac:dyDescent="0.2">
      <c r="B453" s="54"/>
      <c r="C453" s="94"/>
      <c r="D453" s="94"/>
      <c r="E453" s="95"/>
    </row>
    <row r="454" spans="2:5" x14ac:dyDescent="0.2">
      <c r="B454" s="53" t="s">
        <v>17</v>
      </c>
      <c r="C454" s="51"/>
      <c r="D454" s="51"/>
      <c r="E454" s="52"/>
    </row>
    <row r="455" spans="2:5" x14ac:dyDescent="0.2">
      <c r="B455" s="54"/>
      <c r="C455" s="120" t="s">
        <v>59</v>
      </c>
      <c r="D455" s="120"/>
      <c r="E455" s="120"/>
    </row>
    <row r="456" spans="2:5" x14ac:dyDescent="0.2">
      <c r="B456" s="53" t="s">
        <v>18</v>
      </c>
      <c r="C456" s="55"/>
      <c r="D456" s="55"/>
      <c r="E456" s="56"/>
    </row>
    <row r="457" spans="2:5" x14ac:dyDescent="0.2">
      <c r="B457" s="54"/>
      <c r="C457" s="120" t="s">
        <v>117</v>
      </c>
      <c r="D457" s="120"/>
      <c r="E457" s="120"/>
    </row>
    <row r="458" spans="2:5" x14ac:dyDescent="0.2">
      <c r="B458" s="53" t="s">
        <v>19</v>
      </c>
      <c r="C458" s="51"/>
      <c r="D458" s="51"/>
      <c r="E458" s="52"/>
    </row>
    <row r="459" spans="2:5" x14ac:dyDescent="0.2">
      <c r="B459" s="53"/>
      <c r="C459" s="111" t="s">
        <v>62</v>
      </c>
      <c r="D459" s="111"/>
      <c r="E459" s="111"/>
    </row>
    <row r="460" spans="2:5" ht="13.5" thickBot="1" x14ac:dyDescent="0.25">
      <c r="B460" s="57"/>
      <c r="C460" s="58"/>
      <c r="D460" s="58"/>
      <c r="E460" s="59"/>
    </row>
    <row r="461" spans="2:5" ht="13.5" thickBot="1" x14ac:dyDescent="0.25">
      <c r="B461" s="96"/>
      <c r="C461" s="51"/>
      <c r="D461" s="51"/>
      <c r="E461" s="51"/>
    </row>
    <row r="462" spans="2:5" x14ac:dyDescent="0.2">
      <c r="B462" s="47" t="s">
        <v>125</v>
      </c>
      <c r="C462" s="48"/>
      <c r="D462" s="48"/>
      <c r="E462" s="49"/>
    </row>
    <row r="463" spans="2:5" x14ac:dyDescent="0.2">
      <c r="B463" s="50"/>
      <c r="C463" s="51"/>
      <c r="D463" s="51"/>
      <c r="E463" s="52"/>
    </row>
    <row r="464" spans="2:5" x14ac:dyDescent="0.2">
      <c r="B464" s="53" t="s">
        <v>15</v>
      </c>
      <c r="C464" s="51"/>
      <c r="D464" s="51"/>
      <c r="E464" s="52"/>
    </row>
    <row r="465" spans="2:5" ht="25.5" customHeight="1" x14ac:dyDescent="0.2">
      <c r="B465" s="53"/>
      <c r="C465" s="112" t="s">
        <v>124</v>
      </c>
      <c r="D465" s="112"/>
      <c r="E465" s="113"/>
    </row>
    <row r="466" spans="2:5" x14ac:dyDescent="0.2">
      <c r="B466" s="53" t="s">
        <v>16</v>
      </c>
      <c r="C466" s="51"/>
      <c r="D466" s="51"/>
      <c r="E466" s="52"/>
    </row>
    <row r="467" spans="2:5" x14ac:dyDescent="0.2">
      <c r="B467" s="54"/>
      <c r="C467" s="114" t="s">
        <v>119</v>
      </c>
      <c r="D467" s="115"/>
      <c r="E467" s="116"/>
    </row>
    <row r="468" spans="2:5" x14ac:dyDescent="0.2">
      <c r="B468" s="54"/>
      <c r="C468" s="117" t="s">
        <v>123</v>
      </c>
      <c r="D468" s="118"/>
      <c r="E468" s="119"/>
    </row>
    <row r="469" spans="2:5" x14ac:dyDescent="0.2">
      <c r="B469" s="54"/>
      <c r="C469" s="104"/>
      <c r="D469" s="104"/>
      <c r="E469" s="105"/>
    </row>
    <row r="470" spans="2:5" x14ac:dyDescent="0.2">
      <c r="B470" s="53" t="s">
        <v>17</v>
      </c>
      <c r="C470" s="51"/>
      <c r="D470" s="51"/>
      <c r="E470" s="52"/>
    </row>
    <row r="471" spans="2:5" x14ac:dyDescent="0.2">
      <c r="B471" s="54"/>
      <c r="C471" s="120" t="s">
        <v>59</v>
      </c>
      <c r="D471" s="120"/>
      <c r="E471" s="120"/>
    </row>
    <row r="472" spans="2:5" x14ac:dyDescent="0.2">
      <c r="B472" s="53" t="s">
        <v>18</v>
      </c>
      <c r="C472" s="55"/>
      <c r="D472" s="55"/>
      <c r="E472" s="56"/>
    </row>
    <row r="473" spans="2:5" x14ac:dyDescent="0.2">
      <c r="B473" s="54"/>
      <c r="C473" s="120" t="s">
        <v>117</v>
      </c>
      <c r="D473" s="120"/>
      <c r="E473" s="120"/>
    </row>
    <row r="474" spans="2:5" x14ac:dyDescent="0.2">
      <c r="B474" s="53" t="s">
        <v>19</v>
      </c>
      <c r="C474" s="51"/>
      <c r="D474" s="51"/>
      <c r="E474" s="52"/>
    </row>
    <row r="475" spans="2:5" x14ac:dyDescent="0.2">
      <c r="B475" s="53"/>
      <c r="C475" s="111" t="s">
        <v>62</v>
      </c>
      <c r="D475" s="111"/>
      <c r="E475" s="111"/>
    </row>
    <row r="476" spans="2:5" ht="13.5" thickBot="1" x14ac:dyDescent="0.25">
      <c r="B476" s="57"/>
      <c r="C476" s="58"/>
      <c r="D476" s="58"/>
      <c r="E476" s="59"/>
    </row>
  </sheetData>
  <mergeCells count="163">
    <mergeCell ref="C465:E465"/>
    <mergeCell ref="C467:E467"/>
    <mergeCell ref="C468:E468"/>
    <mergeCell ref="C471:E471"/>
    <mergeCell ref="C473:E473"/>
    <mergeCell ref="C475:E475"/>
    <mergeCell ref="C457:E457"/>
    <mergeCell ref="C459:E459"/>
    <mergeCell ref="C442:E442"/>
    <mergeCell ref="C449:E449"/>
    <mergeCell ref="C451:E451"/>
    <mergeCell ref="C452:E452"/>
    <mergeCell ref="C455:E455"/>
    <mergeCell ref="C432:E432"/>
    <mergeCell ref="C434:E434"/>
    <mergeCell ref="C435:E435"/>
    <mergeCell ref="C438:E438"/>
    <mergeCell ref="C440:E440"/>
    <mergeCell ref="C417:E417"/>
    <mergeCell ref="C418:E418"/>
    <mergeCell ref="C421:E421"/>
    <mergeCell ref="C423:E423"/>
    <mergeCell ref="C425:E425"/>
    <mergeCell ref="C401:E401"/>
    <mergeCell ref="C404:E404"/>
    <mergeCell ref="C406:E406"/>
    <mergeCell ref="C408:E408"/>
    <mergeCell ref="C415:E415"/>
    <mergeCell ref="C387:E387"/>
    <mergeCell ref="C389:E389"/>
    <mergeCell ref="C391:E391"/>
    <mergeCell ref="C398:E398"/>
    <mergeCell ref="C400:E400"/>
    <mergeCell ref="C372:E372"/>
    <mergeCell ref="C374:E374"/>
    <mergeCell ref="C381:E381"/>
    <mergeCell ref="C383:E383"/>
    <mergeCell ref="C384:E384"/>
    <mergeCell ref="C357:E357"/>
    <mergeCell ref="C364:E364"/>
    <mergeCell ref="C366:E366"/>
    <mergeCell ref="C367:E367"/>
    <mergeCell ref="C370:E370"/>
    <mergeCell ref="C347:E347"/>
    <mergeCell ref="C349:E349"/>
    <mergeCell ref="C350:E350"/>
    <mergeCell ref="C353:E353"/>
    <mergeCell ref="C355:E355"/>
    <mergeCell ref="C332:E332"/>
    <mergeCell ref="C333:E333"/>
    <mergeCell ref="C336:E336"/>
    <mergeCell ref="C338:E338"/>
    <mergeCell ref="C340:E340"/>
    <mergeCell ref="C316:E316"/>
    <mergeCell ref="C319:E319"/>
    <mergeCell ref="C321:E321"/>
    <mergeCell ref="C323:E323"/>
    <mergeCell ref="C330:E330"/>
    <mergeCell ref="C302:E302"/>
    <mergeCell ref="C304:E304"/>
    <mergeCell ref="C306:E306"/>
    <mergeCell ref="C313:E313"/>
    <mergeCell ref="C315:E315"/>
    <mergeCell ref="C287:E287"/>
    <mergeCell ref="C289:E289"/>
    <mergeCell ref="C296:E296"/>
    <mergeCell ref="C298:E298"/>
    <mergeCell ref="C299:E299"/>
    <mergeCell ref="C272:E272"/>
    <mergeCell ref="C279:E279"/>
    <mergeCell ref="C281:E281"/>
    <mergeCell ref="C282:E282"/>
    <mergeCell ref="C285:E285"/>
    <mergeCell ref="C262:E262"/>
    <mergeCell ref="C264:E264"/>
    <mergeCell ref="C265:E265"/>
    <mergeCell ref="C268:E268"/>
    <mergeCell ref="C270:E270"/>
    <mergeCell ref="C247:E247"/>
    <mergeCell ref="C248:E248"/>
    <mergeCell ref="C251:E251"/>
    <mergeCell ref="C253:E253"/>
    <mergeCell ref="C255:E255"/>
    <mergeCell ref="C231:E231"/>
    <mergeCell ref="C234:E234"/>
    <mergeCell ref="C236:E236"/>
    <mergeCell ref="C238:E238"/>
    <mergeCell ref="C245:E245"/>
    <mergeCell ref="C217:E217"/>
    <mergeCell ref="C219:E219"/>
    <mergeCell ref="C221:E221"/>
    <mergeCell ref="C228:E228"/>
    <mergeCell ref="C230:E230"/>
    <mergeCell ref="C202:E202"/>
    <mergeCell ref="C204:E204"/>
    <mergeCell ref="C211:E211"/>
    <mergeCell ref="C213:E213"/>
    <mergeCell ref="C214:E214"/>
    <mergeCell ref="C187:E187"/>
    <mergeCell ref="C194:E194"/>
    <mergeCell ref="C196:E196"/>
    <mergeCell ref="C197:E197"/>
    <mergeCell ref="C200:E200"/>
    <mergeCell ref="C177:E177"/>
    <mergeCell ref="C179:E179"/>
    <mergeCell ref="C180:E180"/>
    <mergeCell ref="C183:E183"/>
    <mergeCell ref="C185:E185"/>
    <mergeCell ref="C162:E162"/>
    <mergeCell ref="C163:E163"/>
    <mergeCell ref="C166:E166"/>
    <mergeCell ref="C168:E168"/>
    <mergeCell ref="C170:E170"/>
    <mergeCell ref="C146:E146"/>
    <mergeCell ref="C149:E149"/>
    <mergeCell ref="C151:E151"/>
    <mergeCell ref="C153:E153"/>
    <mergeCell ref="C160:E160"/>
    <mergeCell ref="C132:E132"/>
    <mergeCell ref="C134:E134"/>
    <mergeCell ref="C136:E136"/>
    <mergeCell ref="C143:E143"/>
    <mergeCell ref="C145:E145"/>
    <mergeCell ref="C117:E117"/>
    <mergeCell ref="C119:E119"/>
    <mergeCell ref="C126:E126"/>
    <mergeCell ref="C128:E128"/>
    <mergeCell ref="C129:E129"/>
    <mergeCell ref="C102:E102"/>
    <mergeCell ref="C109:E109"/>
    <mergeCell ref="C111:E111"/>
    <mergeCell ref="C112:E112"/>
    <mergeCell ref="C115:E115"/>
    <mergeCell ref="C92:E92"/>
    <mergeCell ref="C95:E95"/>
    <mergeCell ref="C98:E98"/>
    <mergeCell ref="C100:E100"/>
    <mergeCell ref="C94:E94"/>
    <mergeCell ref="C85:E85"/>
    <mergeCell ref="C75:E75"/>
    <mergeCell ref="C77:E77"/>
    <mergeCell ref="C78:E78"/>
    <mergeCell ref="C81:E81"/>
    <mergeCell ref="C83:E83"/>
    <mergeCell ref="C68:E68"/>
    <mergeCell ref="C58:E58"/>
    <mergeCell ref="C60:E60"/>
    <mergeCell ref="C61:E61"/>
    <mergeCell ref="C64:E64"/>
    <mergeCell ref="C66:E66"/>
    <mergeCell ref="B2:H2"/>
    <mergeCell ref="A4:B4"/>
    <mergeCell ref="C4:E4"/>
    <mergeCell ref="A5:B5"/>
    <mergeCell ref="C5:E5"/>
    <mergeCell ref="C47:E47"/>
    <mergeCell ref="C49:E49"/>
    <mergeCell ref="C51:E51"/>
    <mergeCell ref="A6:B6"/>
    <mergeCell ref="A7:B7"/>
    <mergeCell ref="C41:E41"/>
    <mergeCell ref="C43:E43"/>
    <mergeCell ref="C44:E44"/>
  </mergeCells>
  <pageMargins left="0" right="0" top="0.74803149606299213" bottom="0" header="0.51181102362204722" footer="0.51181102362204722"/>
  <pageSetup paperSize="5" scale="65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8"/>
  <sheetViews>
    <sheetView topLeftCell="A34" zoomScale="110" zoomScaleNormal="110" workbookViewId="0">
      <selection activeCell="R13" sqref="R13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35" t="s">
        <v>20</v>
      </c>
      <c r="B1" s="135"/>
      <c r="C1" s="135"/>
      <c r="D1" s="135"/>
      <c r="E1" s="135"/>
      <c r="F1" s="135"/>
      <c r="G1" s="135"/>
      <c r="H1" s="135"/>
      <c r="I1" s="135"/>
      <c r="J1" s="3" t="s">
        <v>21</v>
      </c>
      <c r="K1" s="4" t="s">
        <v>131</v>
      </c>
    </row>
    <row r="2" spans="1:11" ht="18.75" customHeight="1" thickBot="1" x14ac:dyDescent="0.25">
      <c r="A2" s="5"/>
      <c r="B2" s="5"/>
      <c r="C2" s="5"/>
      <c r="D2" s="6"/>
      <c r="E2" s="6"/>
      <c r="F2" s="6"/>
      <c r="G2" s="6"/>
      <c r="H2" s="6"/>
      <c r="I2" s="6"/>
      <c r="J2" s="6"/>
      <c r="K2" s="6"/>
    </row>
    <row r="3" spans="1:11" ht="18.75" customHeight="1" thickBot="1" x14ac:dyDescent="0.25">
      <c r="A3" s="136" t="s">
        <v>54</v>
      </c>
      <c r="B3" s="136"/>
      <c r="C3" s="136"/>
      <c r="D3" s="137" t="str">
        <f>'Necesidades Trimestrales'!C4</f>
        <v>45- Ministerio de Desarrollo Social y Deporte</v>
      </c>
      <c r="E3" s="137"/>
      <c r="F3" s="137"/>
      <c r="G3" s="137"/>
      <c r="H3" s="137"/>
      <c r="I3" s="137"/>
      <c r="J3" s="137"/>
      <c r="K3" s="137"/>
    </row>
    <row r="4" spans="1:11" ht="18.75" customHeight="1" thickBot="1" x14ac:dyDescent="0.25">
      <c r="A4" s="138" t="s">
        <v>55</v>
      </c>
      <c r="B4" s="138"/>
      <c r="C4" s="138"/>
      <c r="D4" s="137" t="str">
        <f>'Necesidades Trimestrales'!C5</f>
        <v>25- Direccion Provincial de Gestion Administrativa y RRHH</v>
      </c>
      <c r="E4" s="137"/>
      <c r="F4" s="137"/>
      <c r="G4" s="137"/>
      <c r="H4" s="137"/>
      <c r="I4" s="137"/>
      <c r="J4" s="137"/>
      <c r="K4" s="137"/>
    </row>
    <row r="5" spans="1:11" ht="18.75" customHeight="1" thickBot="1" x14ac:dyDescent="0.25">
      <c r="A5" s="138" t="s">
        <v>33</v>
      </c>
      <c r="B5" s="138"/>
      <c r="C5" s="138"/>
      <c r="D5" s="137" t="s">
        <v>132</v>
      </c>
      <c r="E5" s="137"/>
      <c r="F5" s="137"/>
      <c r="G5" s="137"/>
      <c r="H5" s="137"/>
      <c r="I5" s="137"/>
      <c r="J5" s="137"/>
      <c r="K5" s="137"/>
    </row>
    <row r="6" spans="1:11" ht="16.5" customHeight="1" thickBot="1" x14ac:dyDescent="0.25">
      <c r="A6" s="136" t="s">
        <v>56</v>
      </c>
      <c r="B6" s="136"/>
      <c r="C6" s="136"/>
      <c r="D6" s="137" t="s">
        <v>133</v>
      </c>
      <c r="E6" s="137"/>
      <c r="F6" s="137"/>
      <c r="G6" s="137"/>
      <c r="H6" s="137"/>
      <c r="I6" s="137"/>
      <c r="J6" s="137"/>
      <c r="K6" s="137"/>
    </row>
    <row r="7" spans="1:11" ht="16.5" customHeight="1" x14ac:dyDescent="0.2">
      <c r="A7" s="138" t="s">
        <v>22</v>
      </c>
      <c r="B7" s="138"/>
      <c r="C7" s="138"/>
      <c r="D7" s="137" t="str">
        <f>'Necesidades Trimestrales'!C7 &amp; "° Trimestre - Año " &amp; 'Necesidades Trimestrales'!C6</f>
        <v>2° Trimestre - Año 2021</v>
      </c>
      <c r="E7" s="137"/>
      <c r="F7" s="137"/>
      <c r="G7" s="137"/>
      <c r="H7" s="137"/>
      <c r="I7" s="137"/>
      <c r="J7" s="137"/>
      <c r="K7" s="137"/>
    </row>
    <row r="8" spans="1:11" ht="15.75" x14ac:dyDescent="0.2">
      <c r="A8" s="130" t="s">
        <v>23</v>
      </c>
      <c r="B8" s="130"/>
      <c r="C8" s="130"/>
      <c r="D8" s="131" t="s">
        <v>68</v>
      </c>
      <c r="E8" s="131"/>
      <c r="F8" s="131"/>
      <c r="G8" s="131"/>
      <c r="H8" s="131"/>
      <c r="I8" s="131"/>
      <c r="J8" s="131"/>
      <c r="K8" s="131"/>
    </row>
    <row r="9" spans="1:11" ht="15.75" x14ac:dyDescent="0.2">
      <c r="A9" s="7"/>
      <c r="B9" s="7"/>
      <c r="C9" s="7"/>
      <c r="D9" s="8"/>
      <c r="E9" s="8"/>
      <c r="F9" s="8"/>
      <c r="G9" s="8"/>
      <c r="H9" s="8"/>
      <c r="I9" s="8"/>
      <c r="J9" s="8"/>
      <c r="K9" s="8"/>
    </row>
    <row r="10" spans="1:11" ht="18.75" customHeight="1" x14ac:dyDescent="0.2">
      <c r="A10" s="132" t="s">
        <v>24</v>
      </c>
      <c r="B10" s="133" t="s">
        <v>25</v>
      </c>
      <c r="C10" s="133" t="s">
        <v>26</v>
      </c>
      <c r="D10" s="133"/>
      <c r="E10" s="133"/>
      <c r="F10" s="133"/>
      <c r="G10" s="133"/>
      <c r="H10" s="133" t="s">
        <v>27</v>
      </c>
      <c r="I10" s="133" t="s">
        <v>28</v>
      </c>
      <c r="J10" s="133" t="s">
        <v>29</v>
      </c>
      <c r="K10" s="134" t="s">
        <v>30</v>
      </c>
    </row>
    <row r="11" spans="1:11" ht="24" customHeight="1" x14ac:dyDescent="0.2">
      <c r="A11" s="132"/>
      <c r="B11" s="133"/>
      <c r="C11" s="133"/>
      <c r="D11" s="133"/>
      <c r="E11" s="133"/>
      <c r="F11" s="133"/>
      <c r="G11" s="133"/>
      <c r="H11" s="133"/>
      <c r="I11" s="133"/>
      <c r="J11" s="133"/>
      <c r="K11" s="134"/>
    </row>
    <row r="12" spans="1:11" ht="31.5" customHeight="1" thickBot="1" x14ac:dyDescent="0.25">
      <c r="A12" s="9">
        <v>1</v>
      </c>
      <c r="B12" s="62" t="str">
        <f>'Necesidades Trimestrales'!B10</f>
        <v>2.2.2-6729.16</v>
      </c>
      <c r="C12" s="127" t="str">
        <f>'Necesidades Trimestrales'!E10</f>
        <v>CALZADOS; TIPO: ZAPATILLAS, MATERIAL: LONA, SUELA: GOMA, SEXO: UNISEX</v>
      </c>
      <c r="D12" s="127"/>
      <c r="E12" s="127"/>
      <c r="F12" s="127"/>
      <c r="G12" s="127"/>
      <c r="H12" s="10" t="s">
        <v>128</v>
      </c>
      <c r="I12" s="63" t="str">
        <f>'Necesidades Trimestrales'!F10</f>
        <v>UNIDADES</v>
      </c>
      <c r="J12" s="64">
        <f>'Necesidades Trimestrales'!H10</f>
        <v>620</v>
      </c>
      <c r="K12" s="65">
        <f>'Necesidades Trimestrales'!G10</f>
        <v>100</v>
      </c>
    </row>
    <row r="13" spans="1:11" ht="36" customHeight="1" thickBot="1" x14ac:dyDescent="0.25">
      <c r="A13" s="11">
        <v>2</v>
      </c>
      <c r="B13" s="62" t="str">
        <f>'Necesidades Trimestrales'!B11</f>
        <v>2.2.2-6729.16</v>
      </c>
      <c r="C13" s="127" t="str">
        <f>'Necesidades Trimestrales'!E11</f>
        <v>CALZADOS; TIPO: ZAPATILLAS, MATERIAL: LONA, SUELA: GOMA, SEXO: UNISEX</v>
      </c>
      <c r="D13" s="127"/>
      <c r="E13" s="127"/>
      <c r="F13" s="127"/>
      <c r="G13" s="127"/>
      <c r="H13" s="10" t="s">
        <v>128</v>
      </c>
      <c r="I13" s="63" t="str">
        <f>'Necesidades Trimestrales'!F11</f>
        <v>UNIDADES</v>
      </c>
      <c r="J13" s="64">
        <f>'Necesidades Trimestrales'!H11</f>
        <v>620</v>
      </c>
      <c r="K13" s="65">
        <f>'Necesidades Trimestrales'!G11</f>
        <v>100</v>
      </c>
    </row>
    <row r="14" spans="1:11" ht="33.75" customHeight="1" thickBot="1" x14ac:dyDescent="0.25">
      <c r="A14" s="11">
        <v>3</v>
      </c>
      <c r="B14" s="62" t="str">
        <f>'Necesidades Trimestrales'!B12</f>
        <v>2.2.2-6729.16</v>
      </c>
      <c r="C14" s="127" t="str">
        <f>'Necesidades Trimestrales'!E12</f>
        <v>CALZADOS; TIPO: ZAPATILLAS, MATERIAL: LONA, SUELA: GOMA, SEXO: UNISEX</v>
      </c>
      <c r="D14" s="127"/>
      <c r="E14" s="127"/>
      <c r="F14" s="127"/>
      <c r="G14" s="127"/>
      <c r="H14" s="10" t="s">
        <v>128</v>
      </c>
      <c r="I14" s="63" t="str">
        <f>'Necesidades Trimestrales'!F12</f>
        <v>UNIDADES</v>
      </c>
      <c r="J14" s="64">
        <f>'Necesidades Trimestrales'!H12</f>
        <v>620</v>
      </c>
      <c r="K14" s="65">
        <f>'Necesidades Trimestrales'!G12</f>
        <v>100</v>
      </c>
    </row>
    <row r="15" spans="1:11" ht="33.75" customHeight="1" thickBot="1" x14ac:dyDescent="0.25">
      <c r="A15" s="9">
        <v>4</v>
      </c>
      <c r="B15" s="62" t="str">
        <f>'Necesidades Trimestrales'!B13</f>
        <v>2.2.2-6729.16</v>
      </c>
      <c r="C15" s="127" t="str">
        <f>'Necesidades Trimestrales'!E13</f>
        <v>CALZADOS; TIPO: ZAPATILLAS, MATERIAL: LONA, SUELA: GOMA, SEXO: UNISEX</v>
      </c>
      <c r="D15" s="127"/>
      <c r="E15" s="127"/>
      <c r="F15" s="127"/>
      <c r="G15" s="127"/>
      <c r="H15" s="10" t="s">
        <v>128</v>
      </c>
      <c r="I15" s="63" t="str">
        <f>'Necesidades Trimestrales'!F13</f>
        <v>UNIDADES</v>
      </c>
      <c r="J15" s="64">
        <f>'Necesidades Trimestrales'!H13</f>
        <v>620</v>
      </c>
      <c r="K15" s="65">
        <f>'Necesidades Trimestrales'!G13</f>
        <v>100</v>
      </c>
    </row>
    <row r="16" spans="1:11" ht="33.75" customHeight="1" thickBot="1" x14ac:dyDescent="0.25">
      <c r="A16" s="11">
        <v>5</v>
      </c>
      <c r="B16" s="62" t="str">
        <f>'Necesidades Trimestrales'!B14</f>
        <v>2.2.2-6729.16</v>
      </c>
      <c r="C16" s="127" t="str">
        <f>'Necesidades Trimestrales'!E14</f>
        <v>CALZADOS; TIPO: ZAPATILLAS, MATERIAL: LONA, SUELA: GOMA, SEXO: UNISEX</v>
      </c>
      <c r="D16" s="127"/>
      <c r="E16" s="127"/>
      <c r="F16" s="127"/>
      <c r="G16" s="127"/>
      <c r="H16" s="10" t="s">
        <v>128</v>
      </c>
      <c r="I16" s="63" t="str">
        <f>'Necesidades Trimestrales'!F14</f>
        <v>UNIDADES</v>
      </c>
      <c r="J16" s="64">
        <f>'Necesidades Trimestrales'!H14</f>
        <v>620</v>
      </c>
      <c r="K16" s="65">
        <f>'Necesidades Trimestrales'!G14</f>
        <v>100</v>
      </c>
    </row>
    <row r="17" spans="1:11" ht="33.75" customHeight="1" thickBot="1" x14ac:dyDescent="0.25">
      <c r="A17" s="11">
        <v>6</v>
      </c>
      <c r="B17" s="62" t="str">
        <f>'Necesidades Trimestrales'!B15</f>
        <v>2.2.2-6729.16</v>
      </c>
      <c r="C17" s="127" t="str">
        <f>'Necesidades Trimestrales'!E15</f>
        <v>CALZADOS; TIPO: ZAPATILLAS, MATERIAL: LONA, SUELA: GOMA, SEXO: UNISEX</v>
      </c>
      <c r="D17" s="127"/>
      <c r="E17" s="127"/>
      <c r="F17" s="127"/>
      <c r="G17" s="127"/>
      <c r="H17" s="10" t="s">
        <v>128</v>
      </c>
      <c r="I17" s="63" t="str">
        <f>'Necesidades Trimestrales'!F15</f>
        <v>UNIDADES</v>
      </c>
      <c r="J17" s="64">
        <f>'Necesidades Trimestrales'!H15</f>
        <v>620</v>
      </c>
      <c r="K17" s="65">
        <f>'Necesidades Trimestrales'!G15</f>
        <v>100</v>
      </c>
    </row>
    <row r="18" spans="1:11" ht="33.75" customHeight="1" thickBot="1" x14ac:dyDescent="0.25">
      <c r="A18" s="9">
        <v>7</v>
      </c>
      <c r="B18" s="62" t="str">
        <f>'Necesidades Trimestrales'!B16</f>
        <v>2.2.2-6729.16</v>
      </c>
      <c r="C18" s="127" t="str">
        <f>'Necesidades Trimestrales'!E16</f>
        <v>CALZADOS; TIPO: ZAPATILLAS, MATERIAL: LONA, SUELA: GOMA, SEXO: UNISEX</v>
      </c>
      <c r="D18" s="127"/>
      <c r="E18" s="127"/>
      <c r="F18" s="127"/>
      <c r="G18" s="127"/>
      <c r="H18" s="10" t="s">
        <v>128</v>
      </c>
      <c r="I18" s="63" t="str">
        <f>'Necesidades Trimestrales'!F16</f>
        <v>UNIDADES</v>
      </c>
      <c r="J18" s="64">
        <f>'Necesidades Trimestrales'!H16</f>
        <v>620</v>
      </c>
      <c r="K18" s="65">
        <f>'Necesidades Trimestrales'!G16</f>
        <v>100</v>
      </c>
    </row>
    <row r="19" spans="1:11" ht="33.75" customHeight="1" thickBot="1" x14ac:dyDescent="0.25">
      <c r="A19" s="11">
        <v>8</v>
      </c>
      <c r="B19" s="62" t="str">
        <f>'Necesidades Trimestrales'!B17</f>
        <v>2.2.2-6729.16</v>
      </c>
      <c r="C19" s="127" t="str">
        <f>'Necesidades Trimestrales'!E17</f>
        <v>CALZADOS; TIPO: ZAPATILLAS, MATERIAL: LONA, SUELA: GOMA, SEXO: UNISEX</v>
      </c>
      <c r="D19" s="127"/>
      <c r="E19" s="127"/>
      <c r="F19" s="127"/>
      <c r="G19" s="127"/>
      <c r="H19" s="10" t="s">
        <v>128</v>
      </c>
      <c r="I19" s="63" t="str">
        <f>'Necesidades Trimestrales'!F17</f>
        <v>UNIDADES</v>
      </c>
      <c r="J19" s="64">
        <f>'Necesidades Trimestrales'!H17</f>
        <v>660</v>
      </c>
      <c r="K19" s="65">
        <f>'Necesidades Trimestrales'!G17</f>
        <v>100</v>
      </c>
    </row>
    <row r="20" spans="1:11" ht="33.75" customHeight="1" thickBot="1" x14ac:dyDescent="0.25">
      <c r="A20" s="11">
        <v>9</v>
      </c>
      <c r="B20" s="62" t="str">
        <f>'Necesidades Trimestrales'!B18</f>
        <v>2.2.2-6729.16</v>
      </c>
      <c r="C20" s="127" t="str">
        <f>'Necesidades Trimestrales'!E18</f>
        <v>CALZADOS; TIPO: ZAPATILLAS, MATERIAL: LONA, SUELA: GOMA, SEXO: UNISEX</v>
      </c>
      <c r="D20" s="127"/>
      <c r="E20" s="127"/>
      <c r="F20" s="127"/>
      <c r="G20" s="127"/>
      <c r="H20" s="10" t="s">
        <v>128</v>
      </c>
      <c r="I20" s="63" t="str">
        <f>'Necesidades Trimestrales'!F18</f>
        <v>UNIDADES</v>
      </c>
      <c r="J20" s="64">
        <f>'Necesidades Trimestrales'!H18</f>
        <v>660</v>
      </c>
      <c r="K20" s="65">
        <f>'Necesidades Trimestrales'!G18</f>
        <v>100</v>
      </c>
    </row>
    <row r="21" spans="1:11" ht="33.75" customHeight="1" thickBot="1" x14ac:dyDescent="0.25">
      <c r="A21" s="9">
        <v>10</v>
      </c>
      <c r="B21" s="62" t="str">
        <f>'Necesidades Trimestrales'!B19</f>
        <v>2.2.2-6729.16</v>
      </c>
      <c r="C21" s="127" t="str">
        <f>'Necesidades Trimestrales'!E19</f>
        <v>CALZADOS; TIPO: ZAPATILLAS, MATERIAL: LONA, SUELA: GOMA, SEXO: UNISEX</v>
      </c>
      <c r="D21" s="127"/>
      <c r="E21" s="127"/>
      <c r="F21" s="127"/>
      <c r="G21" s="127"/>
      <c r="H21" s="10" t="s">
        <v>128</v>
      </c>
      <c r="I21" s="63" t="str">
        <f>'Necesidades Trimestrales'!F19</f>
        <v>UNIDADES</v>
      </c>
      <c r="J21" s="64">
        <f>'Necesidades Trimestrales'!H19</f>
        <v>660</v>
      </c>
      <c r="K21" s="65">
        <f>'Necesidades Trimestrales'!G19</f>
        <v>100</v>
      </c>
    </row>
    <row r="22" spans="1:11" ht="33.75" customHeight="1" thickBot="1" x14ac:dyDescent="0.25">
      <c r="A22" s="11">
        <v>11</v>
      </c>
      <c r="B22" s="62" t="str">
        <f>'Necesidades Trimestrales'!B20</f>
        <v>2.2.2-6729.16</v>
      </c>
      <c r="C22" s="127" t="str">
        <f>'Necesidades Trimestrales'!E20</f>
        <v>CALZADOS; TIPO: ZAPATILLAS, MATERIAL: LONA, SUELA: GOMA, SEXO: UNISEX</v>
      </c>
      <c r="D22" s="127"/>
      <c r="E22" s="127"/>
      <c r="F22" s="127"/>
      <c r="G22" s="127"/>
      <c r="H22" s="10" t="s">
        <v>128</v>
      </c>
      <c r="I22" s="63" t="str">
        <f>'Necesidades Trimestrales'!F20</f>
        <v>UNIDADES</v>
      </c>
      <c r="J22" s="64">
        <f>'Necesidades Trimestrales'!H20</f>
        <v>660</v>
      </c>
      <c r="K22" s="65">
        <f>'Necesidades Trimestrales'!G20</f>
        <v>100</v>
      </c>
    </row>
    <row r="23" spans="1:11" ht="33.75" customHeight="1" thickBot="1" x14ac:dyDescent="0.25">
      <c r="A23" s="11">
        <v>12</v>
      </c>
      <c r="B23" s="62" t="str">
        <f>'Necesidades Trimestrales'!B21</f>
        <v>2.2.2-6729.16</v>
      </c>
      <c r="C23" s="127" t="str">
        <f>'Necesidades Trimestrales'!E21</f>
        <v>CALZADOS; TIPO: ZAPATILLAS, MATERIAL: LONA, SUELA: GOMA, SEXO: UNISEX</v>
      </c>
      <c r="D23" s="127"/>
      <c r="E23" s="127"/>
      <c r="F23" s="127"/>
      <c r="G23" s="127"/>
      <c r="H23" s="10" t="s">
        <v>128</v>
      </c>
      <c r="I23" s="63" t="str">
        <f>'Necesidades Trimestrales'!F21</f>
        <v>UNIDADES</v>
      </c>
      <c r="J23" s="64">
        <f>'Necesidades Trimestrales'!H21</f>
        <v>660</v>
      </c>
      <c r="K23" s="65">
        <f>'Necesidades Trimestrales'!G21</f>
        <v>100</v>
      </c>
    </row>
    <row r="24" spans="1:11" ht="33.75" customHeight="1" thickBot="1" x14ac:dyDescent="0.25">
      <c r="A24" s="9">
        <v>13</v>
      </c>
      <c r="B24" s="62" t="str">
        <f>'Necesidades Trimestrales'!B22</f>
        <v>2.2.2-6729.16</v>
      </c>
      <c r="C24" s="127" t="str">
        <f>'Necesidades Trimestrales'!E22</f>
        <v>CALZADOS; TIPO: ZAPATILLAS, MATERIAL: LONA, SUELA: GOMA, SEXO: UNISEX</v>
      </c>
      <c r="D24" s="127"/>
      <c r="E24" s="127"/>
      <c r="F24" s="127"/>
      <c r="G24" s="127"/>
      <c r="H24" s="10" t="s">
        <v>128</v>
      </c>
      <c r="I24" s="63" t="str">
        <f>'Necesidades Trimestrales'!F22</f>
        <v>UNIDADES</v>
      </c>
      <c r="J24" s="64">
        <f>'Necesidades Trimestrales'!H22</f>
        <v>660</v>
      </c>
      <c r="K24" s="65">
        <f>'Necesidades Trimestrales'!G22</f>
        <v>100</v>
      </c>
    </row>
    <row r="25" spans="1:11" ht="33.75" customHeight="1" thickBot="1" x14ac:dyDescent="0.25">
      <c r="A25" s="11">
        <v>14</v>
      </c>
      <c r="B25" s="62" t="str">
        <f>'Necesidades Trimestrales'!B23</f>
        <v>2.2.2-6729.16</v>
      </c>
      <c r="C25" s="127" t="str">
        <f>'Necesidades Trimestrales'!E23</f>
        <v>CALZADOS; TIPO: ZAPATILLAS, MATERIAL: LONA, SUELA: GOMA, SEXO: UNISEX</v>
      </c>
      <c r="D25" s="127"/>
      <c r="E25" s="127"/>
      <c r="F25" s="127"/>
      <c r="G25" s="127"/>
      <c r="H25" s="10" t="s">
        <v>128</v>
      </c>
      <c r="I25" s="63" t="str">
        <f>'Necesidades Trimestrales'!F23</f>
        <v>UNIDADES</v>
      </c>
      <c r="J25" s="64">
        <f>'Necesidades Trimestrales'!H23</f>
        <v>660</v>
      </c>
      <c r="K25" s="65">
        <f>'Necesidades Trimestrales'!G23</f>
        <v>100</v>
      </c>
    </row>
    <row r="26" spans="1:11" ht="33.75" customHeight="1" thickBot="1" x14ac:dyDescent="0.25">
      <c r="A26" s="11">
        <v>15</v>
      </c>
      <c r="B26" s="62" t="str">
        <f>'Necesidades Trimestrales'!B24</f>
        <v>2.2.2-6729.16</v>
      </c>
      <c r="C26" s="127" t="str">
        <f>'Necesidades Trimestrales'!E24</f>
        <v>CALZADOS; TIPO: ZAPATILLAS, MATERIAL: LONA, SUELA: GOMA, SEXO: UNISEX</v>
      </c>
      <c r="D26" s="127"/>
      <c r="E26" s="127"/>
      <c r="F26" s="127"/>
      <c r="G26" s="127"/>
      <c r="H26" s="10" t="s">
        <v>128</v>
      </c>
      <c r="I26" s="63" t="str">
        <f>'Necesidades Trimestrales'!F24</f>
        <v>UNIDADES</v>
      </c>
      <c r="J26" s="64">
        <f>'Necesidades Trimestrales'!H24</f>
        <v>710</v>
      </c>
      <c r="K26" s="65">
        <f>'Necesidades Trimestrales'!G24</f>
        <v>100</v>
      </c>
    </row>
    <row r="27" spans="1:11" ht="33.75" customHeight="1" thickBot="1" x14ac:dyDescent="0.25">
      <c r="A27" s="9">
        <v>16</v>
      </c>
      <c r="B27" s="62" t="str">
        <f>'Necesidades Trimestrales'!B25</f>
        <v>2.2.2-6729.16</v>
      </c>
      <c r="C27" s="127" t="str">
        <f>'Necesidades Trimestrales'!E25</f>
        <v>CALZADOS; TIPO: ZAPATILLAS, MATERIAL: LONA, SUELA: GOMA, SEXO: UNISEX</v>
      </c>
      <c r="D27" s="127"/>
      <c r="E27" s="127"/>
      <c r="F27" s="127"/>
      <c r="G27" s="127"/>
      <c r="H27" s="10" t="s">
        <v>128</v>
      </c>
      <c r="I27" s="63" t="str">
        <f>'Necesidades Trimestrales'!F25</f>
        <v>UNIDADES</v>
      </c>
      <c r="J27" s="64">
        <f>'Necesidades Trimestrales'!H25</f>
        <v>710</v>
      </c>
      <c r="K27" s="65">
        <f>'Necesidades Trimestrales'!G25</f>
        <v>100</v>
      </c>
    </row>
    <row r="28" spans="1:11" ht="33.75" customHeight="1" thickBot="1" x14ac:dyDescent="0.25">
      <c r="A28" s="11">
        <v>17</v>
      </c>
      <c r="B28" s="62" t="str">
        <f>'Necesidades Trimestrales'!B26</f>
        <v>2.2.2-6729.16</v>
      </c>
      <c r="C28" s="127" t="str">
        <f>'Necesidades Trimestrales'!E26</f>
        <v>CALZADOS; TIPO: ZAPATILLAS, MATERIAL: LONA, SUELA: GOMA, SEXO: UNISEX</v>
      </c>
      <c r="D28" s="127"/>
      <c r="E28" s="127"/>
      <c r="F28" s="127"/>
      <c r="G28" s="127"/>
      <c r="H28" s="10" t="s">
        <v>128</v>
      </c>
      <c r="I28" s="63" t="str">
        <f>'Necesidades Trimestrales'!F26</f>
        <v>UNIDADES</v>
      </c>
      <c r="J28" s="64">
        <f>'Necesidades Trimestrales'!H26</f>
        <v>710</v>
      </c>
      <c r="K28" s="65">
        <f>'Necesidades Trimestrales'!G26</f>
        <v>100</v>
      </c>
    </row>
    <row r="29" spans="1:11" ht="33.75" customHeight="1" thickBot="1" x14ac:dyDescent="0.25">
      <c r="A29" s="11">
        <v>18</v>
      </c>
      <c r="B29" s="62" t="str">
        <f>'Necesidades Trimestrales'!B27</f>
        <v>2.2.2-6729.16</v>
      </c>
      <c r="C29" s="127" t="str">
        <f>'Necesidades Trimestrales'!E27</f>
        <v>CALZADOS; TIPO: ZAPATILLAS, MATERIAL: LONA, SUELA: GOMA, SEXO: UNISEX</v>
      </c>
      <c r="D29" s="127"/>
      <c r="E29" s="127"/>
      <c r="F29" s="127"/>
      <c r="G29" s="127"/>
      <c r="H29" s="10" t="s">
        <v>128</v>
      </c>
      <c r="I29" s="63" t="str">
        <f>'Necesidades Trimestrales'!F27</f>
        <v>UNIDADES</v>
      </c>
      <c r="J29" s="64">
        <f>'Necesidades Trimestrales'!H27</f>
        <v>710</v>
      </c>
      <c r="K29" s="65">
        <f>'Necesidades Trimestrales'!G27</f>
        <v>100</v>
      </c>
    </row>
    <row r="30" spans="1:11" ht="33.75" customHeight="1" thickBot="1" x14ac:dyDescent="0.25">
      <c r="A30" s="9">
        <v>19</v>
      </c>
      <c r="B30" s="62" t="str">
        <f>'Necesidades Trimestrales'!B28</f>
        <v>2.2.2-6729.16</v>
      </c>
      <c r="C30" s="127" t="str">
        <f>'Necesidades Trimestrales'!E28</f>
        <v>CALZADOS; TIPO: ZAPATILLAS, MATERIAL: LONA, SUELA: GOMA, SEXO: UNISEX</v>
      </c>
      <c r="D30" s="127"/>
      <c r="E30" s="127"/>
      <c r="F30" s="127"/>
      <c r="G30" s="127"/>
      <c r="H30" s="10" t="s">
        <v>128</v>
      </c>
      <c r="I30" s="63" t="str">
        <f>'Necesidades Trimestrales'!F28</f>
        <v>UNIDADES</v>
      </c>
      <c r="J30" s="64">
        <f>'Necesidades Trimestrales'!H28</f>
        <v>710</v>
      </c>
      <c r="K30" s="65">
        <f>'Necesidades Trimestrales'!G28</f>
        <v>100</v>
      </c>
    </row>
    <row r="31" spans="1:11" ht="33.75" customHeight="1" thickBot="1" x14ac:dyDescent="0.25">
      <c r="A31" s="11">
        <v>20</v>
      </c>
      <c r="B31" s="62" t="str">
        <f>'Necesidades Trimestrales'!B29</f>
        <v>2.2.2-6729.16</v>
      </c>
      <c r="C31" s="127" t="str">
        <f>'Necesidades Trimestrales'!E29</f>
        <v>CALZADOS; TIPO: ZAPATILLAS, MATERIAL: LONA, SUELA: GOMA, SEXO: UNISEX</v>
      </c>
      <c r="D31" s="127"/>
      <c r="E31" s="127"/>
      <c r="F31" s="127"/>
      <c r="G31" s="127"/>
      <c r="H31" s="10" t="s">
        <v>128</v>
      </c>
      <c r="I31" s="63" t="str">
        <f>'Necesidades Trimestrales'!F29</f>
        <v>UNIDADES</v>
      </c>
      <c r="J31" s="64">
        <f>'Necesidades Trimestrales'!H29</f>
        <v>710</v>
      </c>
      <c r="K31" s="65">
        <f>'Necesidades Trimestrales'!G29</f>
        <v>100</v>
      </c>
    </row>
    <row r="32" spans="1:11" ht="33.75" customHeight="1" thickBot="1" x14ac:dyDescent="0.25">
      <c r="A32" s="11">
        <v>21</v>
      </c>
      <c r="B32" s="62" t="str">
        <f>'Necesidades Trimestrales'!B30</f>
        <v>2.2.2-6729.16</v>
      </c>
      <c r="C32" s="127" t="str">
        <f>'Necesidades Trimestrales'!E30</f>
        <v>CALZADOS; TIPO: ZAPATILLAS, MATERIAL: LONA, SUELA: GOMA, SEXO: UNISEX</v>
      </c>
      <c r="D32" s="127"/>
      <c r="E32" s="127"/>
      <c r="F32" s="127"/>
      <c r="G32" s="127"/>
      <c r="H32" s="10" t="s">
        <v>128</v>
      </c>
      <c r="I32" s="63" t="str">
        <f>'Necesidades Trimestrales'!F30</f>
        <v>UNIDADES</v>
      </c>
      <c r="J32" s="64">
        <f>'Necesidades Trimestrales'!H30</f>
        <v>710</v>
      </c>
      <c r="K32" s="65">
        <f>'Necesidades Trimestrales'!G30</f>
        <v>100</v>
      </c>
    </row>
    <row r="33" spans="1:11" ht="33.75" customHeight="1" thickBot="1" x14ac:dyDescent="0.25">
      <c r="A33" s="9">
        <v>22</v>
      </c>
      <c r="B33" s="62" t="str">
        <f>'Necesidades Trimestrales'!B31</f>
        <v>2.2.2-6729.16</v>
      </c>
      <c r="C33" s="127" t="str">
        <f>'Necesidades Trimestrales'!E31</f>
        <v>CALZADOS; TIPO: ZAPATILLAS, MATERIAL: LONA, SUELA: GOMA, SEXO: UNISEX</v>
      </c>
      <c r="D33" s="127"/>
      <c r="E33" s="127"/>
      <c r="F33" s="127"/>
      <c r="G33" s="127"/>
      <c r="H33" s="10" t="s">
        <v>128</v>
      </c>
      <c r="I33" s="63" t="str">
        <f>'Necesidades Trimestrales'!F31</f>
        <v>UNIDADES</v>
      </c>
      <c r="J33" s="64">
        <f>'Necesidades Trimestrales'!H31</f>
        <v>760</v>
      </c>
      <c r="K33" s="65">
        <f>'Necesidades Trimestrales'!G31</f>
        <v>100</v>
      </c>
    </row>
    <row r="34" spans="1:11" ht="33.75" customHeight="1" thickBot="1" x14ac:dyDescent="0.25">
      <c r="A34" s="11">
        <v>23</v>
      </c>
      <c r="B34" s="62" t="str">
        <f>'Necesidades Trimestrales'!B32</f>
        <v>2.2.2-6729.16</v>
      </c>
      <c r="C34" s="127" t="str">
        <f>'Necesidades Trimestrales'!E32</f>
        <v>CALZADOS; TIPO: ZAPATILLAS, MATERIAL: LONA, SUELA: GOMA, SEXO: UNISEX</v>
      </c>
      <c r="D34" s="127"/>
      <c r="E34" s="127"/>
      <c r="F34" s="127"/>
      <c r="G34" s="127"/>
      <c r="H34" s="10" t="s">
        <v>128</v>
      </c>
      <c r="I34" s="63" t="str">
        <f>'Necesidades Trimestrales'!F32</f>
        <v>UNIDADES</v>
      </c>
      <c r="J34" s="64">
        <f>'Necesidades Trimestrales'!H32</f>
        <v>760</v>
      </c>
      <c r="K34" s="65">
        <f>'Necesidades Trimestrales'!G32</f>
        <v>100</v>
      </c>
    </row>
    <row r="35" spans="1:11" ht="33.75" customHeight="1" thickBot="1" x14ac:dyDescent="0.25">
      <c r="A35" s="11">
        <v>24</v>
      </c>
      <c r="B35" s="62" t="str">
        <f>'Necesidades Trimestrales'!B33</f>
        <v>2.2.2-6729.16</v>
      </c>
      <c r="C35" s="127" t="str">
        <f>'Necesidades Trimestrales'!E33</f>
        <v>CALZADOS; TIPO: ZAPATILLAS, MATERIAL: LONA, SUELA: GOMA, SEXO: UNISEX</v>
      </c>
      <c r="D35" s="127"/>
      <c r="E35" s="127"/>
      <c r="F35" s="127"/>
      <c r="G35" s="127"/>
      <c r="H35" s="10" t="s">
        <v>128</v>
      </c>
      <c r="I35" s="63" t="str">
        <f>'Necesidades Trimestrales'!F33</f>
        <v>UNIDADES</v>
      </c>
      <c r="J35" s="64">
        <f>'Necesidades Trimestrales'!H33</f>
        <v>760</v>
      </c>
      <c r="K35" s="65">
        <f>'Necesidades Trimestrales'!G33</f>
        <v>100</v>
      </c>
    </row>
    <row r="36" spans="1:11" ht="33.75" customHeight="1" thickBot="1" x14ac:dyDescent="0.25">
      <c r="A36" s="9">
        <v>25</v>
      </c>
      <c r="B36" s="62" t="str">
        <f>'Necesidades Trimestrales'!B34</f>
        <v>2.2.2-6729.15</v>
      </c>
      <c r="C36" s="127" t="str">
        <f>'Necesidades Trimestrales'!E34</f>
        <v>CALZADOS; TIPO: ZAPATILLAS, MATERIAL: LONA, SUELA: GOMA, SEXO: UNISEX</v>
      </c>
      <c r="D36" s="127"/>
      <c r="E36" s="127"/>
      <c r="F36" s="127"/>
      <c r="G36" s="127"/>
      <c r="H36" s="10" t="s">
        <v>128</v>
      </c>
      <c r="I36" s="63" t="str">
        <f>'Necesidades Trimestrales'!F34</f>
        <v>UNIDADES</v>
      </c>
      <c r="J36" s="64">
        <f>'Necesidades Trimestrales'!H34</f>
        <v>760</v>
      </c>
      <c r="K36" s="65">
        <f>'Necesidades Trimestrales'!G34</f>
        <v>100</v>
      </c>
    </row>
    <row r="37" spans="1:11" ht="27.75" customHeight="1" thickBot="1" x14ac:dyDescent="0.25">
      <c r="A37" s="11">
        <v>26</v>
      </c>
      <c r="B37" s="62" t="str">
        <f>'Necesidades Trimestrales'!B35</f>
        <v>2.2.2-6729.16</v>
      </c>
      <c r="C37" s="127" t="str">
        <f>'Necesidades Trimestrales'!E35</f>
        <v>CALZADOS; TIPO: ZAPATILLAS, MATERIAL: LONA, SUELA: GOMA, SEXO: UNISEX</v>
      </c>
      <c r="D37" s="127"/>
      <c r="E37" s="127"/>
      <c r="F37" s="127"/>
      <c r="G37" s="127"/>
      <c r="H37" s="10" t="s">
        <v>128</v>
      </c>
      <c r="I37" s="63" t="str">
        <f>'Necesidades Trimestrales'!F35</f>
        <v>UNIDADES</v>
      </c>
      <c r="J37" s="64">
        <f>'Necesidades Trimestrales'!H35</f>
        <v>760</v>
      </c>
      <c r="K37" s="65">
        <f>'Necesidades Trimestrales'!G35</f>
        <v>100</v>
      </c>
    </row>
    <row r="38" spans="1:11" ht="26.25" customHeight="1" thickBot="1" x14ac:dyDescent="0.25">
      <c r="A38" s="128" t="s">
        <v>129</v>
      </c>
      <c r="B38" s="128"/>
      <c r="C38" s="128"/>
      <c r="D38" s="128"/>
      <c r="E38" s="128"/>
      <c r="F38" s="128"/>
      <c r="G38" s="128"/>
      <c r="H38" s="128"/>
      <c r="I38" s="128"/>
      <c r="J38" s="129">
        <f>+J12*K12+J13*K13+J14*K14+J15*K15+J16*K16+J17*K17+J18*K18+J19*K19+J20*K20+J21*K21+J22*K22+J23*K23+J24*K24+J25*K25+J26*K26+J27*K27+J28*K28+J29*K29+J30*K30+J31*K31+J32*K32+J33*K33+J34*K34+J35*K35+J36*K36+J37*K37</f>
        <v>1773000</v>
      </c>
      <c r="K38" s="129"/>
    </row>
  </sheetData>
  <mergeCells count="48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38:I38"/>
    <mergeCell ref="J38:K38"/>
    <mergeCell ref="C12:G12"/>
    <mergeCell ref="C13:G13"/>
    <mergeCell ref="C14:G14"/>
    <mergeCell ref="C37:G37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34:G34"/>
    <mergeCell ref="C35:G35"/>
    <mergeCell ref="C36:G36"/>
    <mergeCell ref="C29:G29"/>
    <mergeCell ref="C30:G30"/>
    <mergeCell ref="C31:G31"/>
    <mergeCell ref="C32:G32"/>
    <mergeCell ref="C33:G33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zoomScale="130" zoomScaleNormal="130" workbookViewId="0">
      <selection activeCell="G7" sqref="G7:Q7"/>
    </sheetView>
  </sheetViews>
  <sheetFormatPr baseColWidth="10" defaultColWidth="11" defaultRowHeight="12.75" x14ac:dyDescent="0.2"/>
  <cols>
    <col min="1" max="4" width="4.42578125" customWidth="1"/>
    <col min="5" max="5" width="3.7109375" bestFit="1" customWidth="1"/>
    <col min="6" max="6" width="5" bestFit="1" customWidth="1"/>
    <col min="7" max="7" width="4.42578125" style="12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3.28515625" bestFit="1" customWidth="1"/>
  </cols>
  <sheetData>
    <row r="1" spans="1:18" ht="15.75" customHeight="1" x14ac:dyDescent="0.25">
      <c r="A1" s="162" t="s">
        <v>3</v>
      </c>
      <c r="B1" s="162"/>
      <c r="C1" s="162"/>
      <c r="D1" s="163">
        <f>'Necesidades Trimestrales'!C6</f>
        <v>2021</v>
      </c>
      <c r="E1" s="163"/>
      <c r="F1" s="13"/>
      <c r="G1" s="13"/>
      <c r="H1" s="14"/>
      <c r="I1" s="14"/>
      <c r="J1" s="14"/>
      <c r="K1" s="14"/>
      <c r="L1" s="14"/>
      <c r="M1" s="14"/>
      <c r="N1" s="14"/>
      <c r="P1" s="164" t="s">
        <v>31</v>
      </c>
      <c r="Q1" s="164"/>
    </row>
    <row r="2" spans="1:18" ht="15.75" customHeight="1" x14ac:dyDescent="0.2">
      <c r="H2" s="14"/>
      <c r="I2" s="14"/>
      <c r="J2" s="14"/>
      <c r="K2" s="14"/>
      <c r="L2" s="14"/>
      <c r="M2" s="14"/>
      <c r="N2" s="14"/>
      <c r="P2" s="164"/>
      <c r="Q2" s="164"/>
    </row>
    <row r="4" spans="1:18" s="15" customFormat="1" ht="18" customHeight="1" thickBot="1" x14ac:dyDescent="0.25">
      <c r="A4" s="165" t="s">
        <v>32</v>
      </c>
      <c r="B4" s="165"/>
      <c r="C4" s="165"/>
      <c r="D4" s="165"/>
      <c r="E4" s="165"/>
      <c r="F4" s="165"/>
      <c r="G4" s="160" t="str">
        <f>' NotaPedido'!D3</f>
        <v>45- Ministerio de Desarrollo Social y Deporte</v>
      </c>
      <c r="H4" s="160"/>
      <c r="I4" s="160"/>
      <c r="J4" s="160"/>
      <c r="K4" s="160"/>
      <c r="L4" s="160"/>
      <c r="M4" s="160"/>
      <c r="N4" s="160"/>
      <c r="O4" s="160"/>
      <c r="P4" s="160"/>
      <c r="Q4" s="160"/>
    </row>
    <row r="5" spans="1:18" s="15" customFormat="1" ht="18" customHeight="1" thickBot="1" x14ac:dyDescent="0.25">
      <c r="A5" s="157" t="s">
        <v>55</v>
      </c>
      <c r="B5" s="158"/>
      <c r="C5" s="158"/>
      <c r="D5" s="158"/>
      <c r="E5" s="158"/>
      <c r="F5" s="159"/>
      <c r="G5" s="160" t="str">
        <f>' NotaPedido'!D4</f>
        <v>25- Direccion Provincial de Gestion Administrativa y RRHH</v>
      </c>
      <c r="H5" s="160"/>
      <c r="I5" s="160"/>
      <c r="J5" s="160"/>
      <c r="K5" s="160"/>
      <c r="L5" s="160"/>
      <c r="M5" s="160"/>
      <c r="N5" s="160"/>
      <c r="O5" s="160"/>
      <c r="P5" s="160"/>
      <c r="Q5" s="160"/>
    </row>
    <row r="6" spans="1:18" s="15" customFormat="1" ht="18" customHeight="1" thickBot="1" x14ac:dyDescent="0.25">
      <c r="A6" s="157" t="s">
        <v>33</v>
      </c>
      <c r="B6" s="158"/>
      <c r="C6" s="158"/>
      <c r="D6" s="158"/>
      <c r="E6" s="158"/>
      <c r="F6" s="159"/>
      <c r="G6" s="160" t="s">
        <v>134</v>
      </c>
      <c r="H6" s="160"/>
      <c r="I6" s="160"/>
      <c r="J6" s="160"/>
      <c r="K6" s="160"/>
      <c r="L6" s="160"/>
      <c r="M6" s="160"/>
      <c r="N6" s="160"/>
      <c r="O6" s="160"/>
      <c r="P6" s="160"/>
      <c r="Q6" s="160"/>
    </row>
    <row r="7" spans="1:18" s="15" customFormat="1" ht="18" customHeight="1" thickBot="1" x14ac:dyDescent="0.25">
      <c r="A7" s="157" t="s">
        <v>56</v>
      </c>
      <c r="B7" s="158"/>
      <c r="C7" s="158"/>
      <c r="D7" s="158"/>
      <c r="E7" s="158"/>
      <c r="F7" s="159"/>
      <c r="G7" s="160" t="s">
        <v>133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</row>
    <row r="8" spans="1:18" ht="18" customHeight="1" thickBot="1" x14ac:dyDescent="0.25">
      <c r="A8" s="161" t="s">
        <v>34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</row>
    <row r="9" spans="1:18" ht="18" customHeight="1" x14ac:dyDescent="0.2">
      <c r="A9" s="151" t="s">
        <v>35</v>
      </c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"/>
      <c r="P9" s="1"/>
      <c r="Q9" s="16"/>
    </row>
    <row r="10" spans="1:18" ht="54.75" customHeight="1" x14ac:dyDescent="0.2">
      <c r="A10" s="152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429/2021,  afectando la erogación resultante a los créditos presupuestarios aprobados a favor de esta Unidad Ejecutora, conforme al siguiente detalle:</v>
      </c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</row>
    <row r="11" spans="1:18" ht="9" customHeight="1" x14ac:dyDescent="0.2">
      <c r="A11" s="17"/>
      <c r="B11" s="18"/>
      <c r="C11" s="18"/>
      <c r="D11" s="18"/>
      <c r="E11" s="18"/>
      <c r="F11" s="18"/>
      <c r="G11" s="19"/>
      <c r="H11" s="18"/>
      <c r="I11" s="18"/>
      <c r="J11" s="18"/>
      <c r="K11" s="18"/>
      <c r="L11" s="18"/>
      <c r="M11" s="18"/>
      <c r="N11" s="18"/>
      <c r="O11" s="18"/>
      <c r="P11" s="18"/>
      <c r="Q11" s="20"/>
    </row>
    <row r="12" spans="1:18" ht="15.75" customHeight="1" x14ac:dyDescent="0.2">
      <c r="A12" s="153" t="s">
        <v>36</v>
      </c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</row>
    <row r="13" spans="1:18" ht="15.75" customHeight="1" x14ac:dyDescent="0.2">
      <c r="A13" s="154" t="s">
        <v>37</v>
      </c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5" t="s">
        <v>38</v>
      </c>
      <c r="P13" s="155"/>
      <c r="Q13" s="156" t="s">
        <v>39</v>
      </c>
    </row>
    <row r="14" spans="1:18" ht="15.75" customHeight="1" x14ac:dyDescent="0.2">
      <c r="A14" s="21" t="s">
        <v>40</v>
      </c>
      <c r="B14" s="22" t="s">
        <v>41</v>
      </c>
      <c r="C14" s="22" t="s">
        <v>42</v>
      </c>
      <c r="D14" s="22" t="s">
        <v>43</v>
      </c>
      <c r="E14" s="22" t="s">
        <v>44</v>
      </c>
      <c r="F14" s="22" t="s">
        <v>45</v>
      </c>
      <c r="G14" s="23" t="s">
        <v>46</v>
      </c>
      <c r="H14" s="22" t="s">
        <v>47</v>
      </c>
      <c r="I14" s="22" t="s">
        <v>48</v>
      </c>
      <c r="J14" s="22" t="s">
        <v>49</v>
      </c>
      <c r="K14" s="22" t="s">
        <v>49</v>
      </c>
      <c r="L14" s="22" t="s">
        <v>50</v>
      </c>
      <c r="M14" s="24" t="s">
        <v>51</v>
      </c>
      <c r="N14" s="25" t="s">
        <v>52</v>
      </c>
      <c r="O14" s="155"/>
      <c r="P14" s="155"/>
      <c r="Q14" s="156"/>
    </row>
    <row r="15" spans="1:18" ht="17.25" customHeight="1" x14ac:dyDescent="0.2">
      <c r="A15" s="80">
        <v>16</v>
      </c>
      <c r="B15" s="81"/>
      <c r="C15" s="81"/>
      <c r="D15" s="81">
        <v>2</v>
      </c>
      <c r="E15" s="81"/>
      <c r="F15" s="81">
        <v>4901</v>
      </c>
      <c r="G15" s="81">
        <v>1</v>
      </c>
      <c r="H15" s="81">
        <v>4</v>
      </c>
      <c r="I15" s="82" t="str">
        <f>LEFT('Necesidades Trimestrales'!D10,1)</f>
        <v>2</v>
      </c>
      <c r="J15" s="82">
        <v>2</v>
      </c>
      <c r="K15" s="82">
        <v>2</v>
      </c>
      <c r="L15" s="81"/>
      <c r="M15" s="83">
        <v>1</v>
      </c>
      <c r="N15" s="81">
        <v>1.1000000000000001</v>
      </c>
      <c r="O15" s="149" t="s">
        <v>69</v>
      </c>
      <c r="P15" s="150"/>
      <c r="Q15" s="26">
        <v>1773000</v>
      </c>
      <c r="R15" s="75"/>
    </row>
    <row r="16" spans="1:18" ht="17.25" customHeight="1" x14ac:dyDescent="0.2">
      <c r="A16" s="27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9"/>
      <c r="N16" s="28"/>
      <c r="O16" s="144"/>
      <c r="P16" s="144"/>
      <c r="Q16" s="31"/>
    </row>
    <row r="17" spans="1:18" ht="17.25" customHeight="1" x14ac:dyDescent="0.2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9"/>
      <c r="N17" s="30"/>
      <c r="O17" s="144"/>
      <c r="P17" s="144"/>
      <c r="Q17" s="31"/>
    </row>
    <row r="18" spans="1:18" ht="17.25" customHeight="1" x14ac:dyDescent="0.2">
      <c r="A18" s="27"/>
      <c r="B18" s="28"/>
      <c r="C18" s="28"/>
      <c r="D18" s="28"/>
      <c r="E18" s="28"/>
      <c r="F18" s="30"/>
      <c r="G18" s="28"/>
      <c r="H18" s="28"/>
      <c r="I18" s="28"/>
      <c r="J18" s="28"/>
      <c r="K18" s="28"/>
      <c r="L18" s="28"/>
      <c r="M18" s="29"/>
      <c r="N18" s="30"/>
      <c r="O18" s="144"/>
      <c r="P18" s="144"/>
      <c r="Q18" s="31"/>
    </row>
    <row r="19" spans="1:18" ht="17.25" customHeight="1" x14ac:dyDescent="0.2">
      <c r="A19" s="27"/>
      <c r="B19" s="28"/>
      <c r="C19" s="28"/>
      <c r="D19" s="28"/>
      <c r="E19" s="28"/>
      <c r="F19" s="30"/>
      <c r="G19" s="28"/>
      <c r="H19" s="28"/>
      <c r="I19" s="28"/>
      <c r="J19" s="28"/>
      <c r="K19" s="28"/>
      <c r="L19" s="28"/>
      <c r="M19" s="29"/>
      <c r="N19" s="30"/>
      <c r="O19" s="144"/>
      <c r="P19" s="144"/>
      <c r="Q19" s="31"/>
    </row>
    <row r="20" spans="1:18" ht="17.25" customHeight="1" x14ac:dyDescent="0.2">
      <c r="A20" s="32"/>
      <c r="B20" s="33"/>
      <c r="C20" s="33"/>
      <c r="D20" s="33"/>
      <c r="E20" s="33"/>
      <c r="F20" s="34"/>
      <c r="G20" s="33"/>
      <c r="H20" s="33"/>
      <c r="I20" s="33"/>
      <c r="J20" s="33"/>
      <c r="K20" s="33"/>
      <c r="L20" s="33"/>
      <c r="M20" s="35"/>
      <c r="N20" s="36"/>
      <c r="O20" s="145"/>
      <c r="P20" s="145"/>
      <c r="Q20" s="31"/>
      <c r="R20" s="1"/>
    </row>
    <row r="21" spans="1:18" ht="17.25" customHeight="1" x14ac:dyDescent="0.2">
      <c r="A21" s="37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9"/>
      <c r="N21" s="38"/>
      <c r="O21" s="146"/>
      <c r="P21" s="146"/>
      <c r="Q21" s="40"/>
    </row>
    <row r="22" spans="1:18" ht="20.25" customHeight="1" x14ac:dyDescent="0.2">
      <c r="A22" s="147" t="s">
        <v>130</v>
      </c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41">
        <f>SUM(Q15:Q21)</f>
        <v>1773000</v>
      </c>
    </row>
    <row r="23" spans="1:18" ht="18" customHeight="1" thickBot="1" x14ac:dyDescent="0.25">
      <c r="A23" s="148"/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</row>
    <row r="24" spans="1:18" ht="17.25" customHeight="1" thickBot="1" x14ac:dyDescent="0.25">
      <c r="A24" s="139" t="s">
        <v>53</v>
      </c>
      <c r="B24" s="140"/>
      <c r="C24" s="140"/>
      <c r="D24" s="140"/>
      <c r="E24" s="140"/>
      <c r="F24" s="141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</row>
    <row r="25" spans="1:18" ht="18" customHeight="1" thickBot="1" x14ac:dyDescent="0.25">
      <c r="A25" s="143" t="s">
        <v>68</v>
      </c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</row>
    <row r="26" spans="1:18" x14ac:dyDescent="0.2">
      <c r="A26" s="143"/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Pedro Salinas</cp:lastModifiedBy>
  <cp:revision>2</cp:revision>
  <cp:lastPrinted>2021-04-07T13:51:40Z</cp:lastPrinted>
  <dcterms:created xsi:type="dcterms:W3CDTF">2020-07-17T23:44:49Z</dcterms:created>
  <dcterms:modified xsi:type="dcterms:W3CDTF">2021-04-07T20:33:28Z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