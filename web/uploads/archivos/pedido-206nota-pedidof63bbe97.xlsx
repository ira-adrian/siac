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D4FE716B-3792-4642-ADD1-A1DA5DB7533A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Trimestrales'!$A$9:$I$15</definedName>
    <definedName name="_xlnm.Print_Area" localSheetId="1">' NotaPedido'!$A$1:$K$18</definedName>
    <definedName name="_xlnm.Print_Area" localSheetId="2">'Autor Gastar'!$A$1:$Q$26</definedName>
  </definedNames>
  <calcPr calcId="181029"/>
</workbook>
</file>

<file path=xl/calcChain.xml><?xml version="1.0" encoding="utf-8"?>
<calcChain xmlns="http://schemas.openxmlformats.org/spreadsheetml/2006/main">
  <c r="A17" i="2" l="1"/>
  <c r="A16" i="2"/>
  <c r="A15" i="2"/>
  <c r="A14" i="2"/>
  <c r="A13" i="2"/>
  <c r="K17" i="2"/>
  <c r="J17" i="2"/>
  <c r="I17" i="2"/>
  <c r="C17" i="2"/>
  <c r="B17" i="2"/>
  <c r="I15" i="1"/>
  <c r="K13" i="2" l="1"/>
  <c r="K14" i="2"/>
  <c r="K15" i="2"/>
  <c r="K16" i="2"/>
  <c r="J13" i="2"/>
  <c r="J14" i="2"/>
  <c r="J15" i="2"/>
  <c r="J16" i="2"/>
  <c r="I13" i="2"/>
  <c r="I14" i="2"/>
  <c r="I15" i="2"/>
  <c r="I16" i="2"/>
  <c r="C13" i="2"/>
  <c r="C14" i="2"/>
  <c r="C15" i="2"/>
  <c r="C16" i="2"/>
  <c r="B13" i="2"/>
  <c r="B14" i="2"/>
  <c r="B15" i="2"/>
  <c r="B16" i="2"/>
  <c r="D7" i="2" l="1"/>
  <c r="A12" i="2"/>
  <c r="I12" i="1"/>
  <c r="I13" i="1"/>
  <c r="I14" i="1"/>
  <c r="I11" i="1" l="1"/>
  <c r="I10" i="1"/>
  <c r="A10" i="3"/>
  <c r="K12" i="2"/>
  <c r="J12" i="2"/>
  <c r="I12" i="2"/>
  <c r="C12" i="2"/>
  <c r="B12" i="2"/>
  <c r="J18" i="2" l="1"/>
  <c r="G6" i="3"/>
  <c r="G7" i="3"/>
  <c r="D3" i="2"/>
  <c r="G4" i="3" s="1"/>
  <c r="D4" i="2"/>
  <c r="G5" i="3" s="1"/>
  <c r="D1" i="3" l="1"/>
  <c r="Q22" i="3"/>
</calcChain>
</file>

<file path=xl/sharedStrings.xml><?xml version="1.0" encoding="utf-8"?>
<sst xmlns="http://schemas.openxmlformats.org/spreadsheetml/2006/main" count="183" uniqueCount="108">
  <si>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</si>
  <si>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</si>
  <si>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</si>
  <si>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</si>
  <si>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</si>
  <si>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</si>
  <si>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</si>
  <si>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</si>
  <si>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</si>
  <si>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</si>
  <si>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</si>
  <si>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</si>
  <si>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</si>
  <si>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</si>
  <si>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</si>
  <si>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</si>
  <si>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</si>
  <si>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</si>
  <si>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</si>
  <si>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</si>
  <si>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</si>
  <si>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</si>
  <si>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</si>
  <si>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</si>
  <si>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</si>
  <si>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</si>
  <si>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</si>
  <si>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</si>
  <si>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</si>
  <si>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</si>
  <si>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</si>
  <si>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</si>
  <si>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</si>
  <si>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</si>
  <si>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</si>
  <si>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</si>
  <si>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</si>
  <si>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</si>
  <si>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</si>
  <si>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</si>
  <si>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</si>
  <si>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</si>
  <si>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</si>
  <si>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</si>
  <si>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</si>
  <si>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</si>
  <si>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</si>
  <si>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</si>
  <si>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</si>
  <si>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</si>
  <si>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</si>
  <si>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</si>
  <si>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</si>
  <si>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</si>
  <si>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</si>
  <si>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</si>
  <si>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</si>
  <si>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>Especificidades Item N° 3:</t>
  </si>
  <si>
    <t>Especificidades Item N° 4:</t>
  </si>
  <si>
    <t>División Informática</t>
  </si>
  <si>
    <t>1.1</t>
  </si>
  <si>
    <t>2.9.6-1891.587</t>
  </si>
  <si>
    <t>REPUESTOS</t>
  </si>
  <si>
    <t>REP. Y ACC. P/IMPRESORA; MODELO EQUIPO: LX-350, MARCA EQUIPO: EPSON, ELEMENTO: CINTA IMPRESION</t>
  </si>
  <si>
    <t>UNIDAD</t>
  </si>
  <si>
    <t>2.9.6-1355.1988</t>
  </si>
  <si>
    <t>CARTUCHOS DE TINTA; CODIGO: 664, USO: HEWLET PACKARD</t>
  </si>
  <si>
    <t>2.9.6-401.2228</t>
  </si>
  <si>
    <t>CARTUCHOS DE TONER; CODIGO: CF217A, USO: HP LASERJET MFP</t>
  </si>
  <si>
    <t>Especificidades Item N° 5:</t>
  </si>
  <si>
    <t>Especificidades Item N° 6:</t>
  </si>
  <si>
    <t>NO</t>
  </si>
  <si>
    <t>Plazos entrega:</t>
  </si>
  <si>
    <t>Lugar de entrega:</t>
  </si>
  <si>
    <t>Hora de entrega:</t>
  </si>
  <si>
    <t>08 a 12 horas</t>
  </si>
  <si>
    <t>Plazos de entrega:</t>
  </si>
  <si>
    <t>lugar de entrega:</t>
  </si>
  <si>
    <t>Calidad Minima esperada:</t>
  </si>
  <si>
    <t>hora de entrega:</t>
  </si>
  <si>
    <t xml:space="preserve">                 08 a 12 horas</t>
  </si>
  <si>
    <t xml:space="preserve">                                                                                             Original</t>
  </si>
  <si>
    <t>40-Ministerio de Salud</t>
  </si>
  <si>
    <t>171-Direccion de Administración</t>
  </si>
  <si>
    <t>SI</t>
  </si>
  <si>
    <t>DIVISION DE INFORMÁTICA - MATERNIDAD PROVINCIAL 25 DE MAYO -HERNANDO. DE PEDRAZA 1650</t>
  </si>
  <si>
    <t>2.9.2</t>
  </si>
  <si>
    <t>10 dias  desde la firma del instrumento contractual.</t>
  </si>
  <si>
    <t>10 dias desde la firma del instrumento contractual.</t>
  </si>
  <si>
    <t>Utiles de escritorio Oficina y Enseñanzas</t>
  </si>
  <si>
    <t>106/2021</t>
  </si>
  <si>
    <t>Adquisicion de Cartuchos de Tinta</t>
  </si>
  <si>
    <t xml:space="preserve">ADQUISICION DE CARTUCHOS DE TINTAS PARA SER DESTINADAS A  LA MATERNIDAD 25 DE MAYO </t>
  </si>
  <si>
    <t xml:space="preserve">Cartucho 664XL COLOR- Alternativo 
</t>
  </si>
  <si>
    <t>30 dias habiles</t>
  </si>
  <si>
    <t xml:space="preserve">30 dias habiles </t>
  </si>
  <si>
    <t xml:space="preserve">Toner 17A tipo HP -Alternativo 
</t>
  </si>
  <si>
    <t xml:space="preserve">Cartucho 664XL NEGRO- Alternativo 
</t>
  </si>
  <si>
    <t>Especificidades Item N° 1:</t>
  </si>
  <si>
    <t xml:space="preserve">Cinta de impresión alternativa </t>
  </si>
  <si>
    <t>2.9.6-1355.2065</t>
  </si>
  <si>
    <t>2.9.6-1355.2066</t>
  </si>
  <si>
    <t>CARTUCHOS DE TINTA; CODIGO: 667XL - NEGRO,
USO: HP</t>
  </si>
  <si>
    <t>CARTUCHOS DE TINTA; CODIGO: 667XL -
TRICOLOR, USO: HP</t>
  </si>
  <si>
    <t xml:space="preserve">Cartucho Color Negro-Original </t>
  </si>
  <si>
    <t xml:space="preserve">Cartucho Tricolor-Original </t>
  </si>
  <si>
    <t>Costo total estimado: TRESCIENTOS DIECISEIS MIL OCHOCIENTOS CUARENTA CON 00/100</t>
  </si>
  <si>
    <t>TOTAL DE PESOS:   TRESCIENTOS DIECISEIS MIL OCHOCIENTOS CUARENTA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</si>
</sst>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[$$-2C0A]\ #,##0.00;[Red][$$-2C0A]\ \-#,##0.00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6"/>
      <name val="Times New Roman"/>
      <family val="1"/>
    </font>
    <font>
      <b/>
      <sz val="10"/>
      <name val="Arial"/>
      <family val="2"/>
    </font>
    <font>
      <b/>
      <sz val="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56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7" xfId="0" applyFont="1" applyBorder="1" applyAlignment="1">
      <alignment horizontal="right" vertical="center"/>
    </xf>
    <xf numFmtId="0" fontId="5" fillId="0" borderId="19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26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7" xfId="0" applyBorder="1"/>
    <xf numFmtId="0" fontId="0" fillId="0" borderId="32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3" xfId="0" applyBorder="1"/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6" xfId="0" applyFont="1" applyBorder="1" applyAlignment="1">
      <alignment horizontal="left" vertical="center"/>
    </xf>
    <xf numFmtId="0" fontId="13" fillId="0" borderId="37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166" fontId="0" fillId="0" borderId="41" xfId="3" applyNumberFormat="1" applyFont="1" applyBorder="1" applyAlignment="1" applyProtection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166" fontId="0" fillId="0" borderId="46" xfId="3" applyNumberFormat="1" applyFont="1" applyBorder="1" applyAlignment="1" applyProtection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166" fontId="13" fillId="0" borderId="51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1" fillId="0" borderId="9" xfId="0" applyFont="1" applyBorder="1"/>
    <xf numFmtId="0" fontId="15" fillId="0" borderId="10" xfId="0" applyFont="1" applyBorder="1"/>
    <xf numFmtId="0" fontId="15" fillId="0" borderId="11" xfId="0" applyFont="1" applyBorder="1"/>
    <xf numFmtId="0" fontId="15" fillId="0" borderId="12" xfId="0" applyFont="1" applyBorder="1"/>
    <xf numFmtId="0" fontId="15" fillId="0" borderId="0" xfId="0" applyFont="1" applyBorder="1"/>
    <xf numFmtId="0" fontId="15" fillId="0" borderId="13" xfId="0" applyFont="1" applyBorder="1"/>
    <xf numFmtId="0" fontId="21" fillId="0" borderId="12" xfId="0" applyFont="1" applyBorder="1" applyAlignment="1">
      <alignment horizontal="left" indent="3"/>
    </xf>
    <xf numFmtId="0" fontId="15" fillId="0" borderId="12" xfId="0" applyFont="1" applyBorder="1" applyAlignment="1">
      <alignment horizontal="left" indent="3"/>
    </xf>
    <xf numFmtId="0" fontId="15" fillId="0" borderId="14" xfId="0" applyFont="1" applyBorder="1" applyAlignment="1">
      <alignment horizontal="left" indent="3"/>
    </xf>
    <xf numFmtId="0" fontId="15" fillId="0" borderId="15" xfId="0" applyFont="1" applyBorder="1"/>
    <xf numFmtId="0" fontId="15" fillId="0" borderId="16" xfId="0" applyFont="1" applyBorder="1"/>
    <xf numFmtId="0" fontId="22" fillId="0" borderId="0" xfId="0" applyFont="1" applyFill="1" applyAlignment="1">
      <alignment horizontal="left" wrapText="1" indent="1"/>
    </xf>
    <xf numFmtId="0" fontId="19" fillId="0" borderId="0" xfId="0" applyFont="1" applyFill="1" applyAlignment="1">
      <alignment horizontal="left" wrapText="1"/>
    </xf>
    <xf numFmtId="0" fontId="15" fillId="0" borderId="0" xfId="0" applyFont="1" applyFill="1" applyBorder="1"/>
    <xf numFmtId="0" fontId="15" fillId="0" borderId="13" xfId="0" applyFont="1" applyFill="1" applyBorder="1"/>
    <xf numFmtId="0" fontId="15" fillId="0" borderId="0" xfId="0" applyFont="1" applyFill="1" applyBorder="1" applyAlignment="1">
      <alignment horizontal="center" wrapText="1"/>
    </xf>
    <xf numFmtId="0" fontId="15" fillId="0" borderId="13" xfId="0" applyFont="1" applyFill="1" applyBorder="1" applyAlignment="1">
      <alignment horizontal="center" wrapText="1"/>
    </xf>
    <xf numFmtId="0" fontId="4" fillId="0" borderId="26" xfId="0" applyFont="1" applyFill="1" applyBorder="1" applyAlignment="1">
      <alignment horizontal="left" vertical="center"/>
    </xf>
    <xf numFmtId="0" fontId="4" fillId="0" borderId="26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right" vertical="center" wrapText="1"/>
    </xf>
    <xf numFmtId="3" fontId="4" fillId="0" borderId="26" xfId="0" applyNumberFormat="1" applyFont="1" applyFill="1" applyBorder="1" applyAlignment="1">
      <alignment horizontal="center" vertical="center"/>
    </xf>
    <xf numFmtId="0" fontId="0" fillId="0" borderId="38" xfId="0" applyFont="1" applyFill="1" applyBorder="1" applyAlignment="1">
      <alignment horizontal="center" vertical="center"/>
    </xf>
    <xf numFmtId="0" fontId="0" fillId="0" borderId="39" xfId="0" applyFont="1" applyFill="1" applyBorder="1" applyAlignment="1">
      <alignment horizontal="center" vertical="center"/>
    </xf>
    <xf numFmtId="0" fontId="0" fillId="0" borderId="40" xfId="0" applyFont="1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169" fontId="18" fillId="0" borderId="4" xfId="0" applyNumberFormat="1" applyFont="1" applyBorder="1" applyAlignment="1">
      <alignment horizontal="center" vertical="center" wrapText="1"/>
    </xf>
    <xf numFmtId="169" fontId="18" fillId="0" borderId="5" xfId="0" applyNumberFormat="1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169" fontId="18" fillId="0" borderId="7" xfId="0" applyNumberFormat="1" applyFont="1" applyBorder="1" applyAlignment="1">
      <alignment horizontal="center" vertical="center" wrapText="1"/>
    </xf>
    <xf numFmtId="169" fontId="18" fillId="0" borderId="8" xfId="0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15" fillId="0" borderId="13" xfId="0" applyFont="1" applyFill="1" applyBorder="1" applyAlignment="1">
      <alignment horizontal="center" wrapText="1"/>
    </xf>
    <xf numFmtId="0" fontId="15" fillId="0" borderId="13" xfId="0" applyFont="1" applyFill="1" applyBorder="1" applyAlignment="1">
      <alignment horizontal="center"/>
    </xf>
    <xf numFmtId="0" fontId="15" fillId="0" borderId="13" xfId="0" applyFont="1" applyFill="1" applyBorder="1" applyAlignment="1">
      <alignment horizontal="center"/>
    </xf>
    <xf numFmtId="0" fontId="15" fillId="0" borderId="13" xfId="0" applyFont="1" applyFill="1" applyBorder="1" applyAlignment="1">
      <alignment horizont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 applyFill="1" applyBorder="1" applyAlignment="1">
      <alignment horizontal="center"/>
    </xf>
    <xf numFmtId="0" fontId="15" fillId="0" borderId="13" xfId="0" applyFont="1" applyFill="1" applyBorder="1" applyAlignment="1">
      <alignment horizontal="left"/>
    </xf>
    <xf numFmtId="0" fontId="15" fillId="0" borderId="13" xfId="0" applyFont="1" applyFill="1" applyBorder="1" applyAlignment="1">
      <alignment horizontal="left" wrapText="1"/>
    </xf>
    <xf numFmtId="0" fontId="15" fillId="0" borderId="0" xfId="0" applyFont="1" applyAlignment="1">
      <alignment horizontal="left" wrapText="1"/>
    </xf>
    <xf numFmtId="0" fontId="15" fillId="0" borderId="0" xfId="0" applyFont="1" applyFill="1" applyBorder="1" applyAlignment="1">
      <alignment vertical="top"/>
    </xf>
    <xf numFmtId="0" fontId="15" fillId="0" borderId="0" xfId="0" applyFont="1" applyAlignment="1">
      <alignment vertical="top"/>
    </xf>
    <xf numFmtId="0" fontId="15" fillId="0" borderId="14" xfId="0" applyFont="1" applyBorder="1" applyAlignment="1">
      <alignment horizontal="left" vertical="top"/>
    </xf>
    <xf numFmtId="0" fontId="15" fillId="0" borderId="15" xfId="0" applyFont="1" applyBorder="1" applyAlignment="1">
      <alignment vertical="top"/>
    </xf>
    <xf numFmtId="0" fontId="15" fillId="0" borderId="16" xfId="0" applyFont="1" applyBorder="1" applyAlignment="1">
      <alignment vertical="top"/>
    </xf>
    <xf numFmtId="49" fontId="6" fillId="0" borderId="18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wrapText="1"/>
    </xf>
    <xf numFmtId="0" fontId="15" fillId="0" borderId="13" xfId="0" applyFont="1" applyFill="1" applyBorder="1" applyAlignment="1">
      <alignment horizontal="center" wrapText="1"/>
    </xf>
    <xf numFmtId="0" fontId="15" fillId="0" borderId="0" xfId="0" applyFont="1" applyFill="1" applyBorder="1" applyAlignment="1">
      <alignment horizontal="left"/>
    </xf>
    <xf numFmtId="0" fontId="15" fillId="0" borderId="13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15" fillId="0" borderId="13" xfId="0" applyFont="1" applyFill="1" applyBorder="1" applyAlignment="1">
      <alignment horizontal="left"/>
    </xf>
    <xf numFmtId="169" fontId="18" fillId="0" borderId="7" xfId="0" applyNumberFormat="1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5" fillId="0" borderId="13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/>
    </xf>
    <xf numFmtId="0" fontId="15" fillId="0" borderId="13" xfId="0" applyFont="1" applyFill="1" applyBorder="1" applyAlignment="1">
      <alignment horizontal="center"/>
    </xf>
    <xf numFmtId="0" fontId="15" fillId="0" borderId="13" xfId="0" applyFont="1" applyFill="1" applyBorder="1" applyAlignment="1">
      <alignment horizont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0" xfId="0" applyFont="1" applyFill="1" applyBorder="1" applyAlignment="1">
      <alignment horizontal="center" vertical="top"/>
    </xf>
    <xf numFmtId="0" fontId="15" fillId="0" borderId="13" xfId="0" applyFont="1" applyFill="1" applyBorder="1" applyAlignment="1">
      <alignment horizontal="center" vertical="top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2" fillId="0" borderId="0" xfId="0" applyFont="1" applyFill="1" applyBorder="1" applyAlignment="1">
      <alignment horizontal="left" wrapText="1" indent="1"/>
    </xf>
    <xf numFmtId="0" fontId="15" fillId="0" borderId="0" xfId="0" applyFont="1" applyFill="1" applyBorder="1" applyAlignment="1">
      <alignment horizontal="center" vertical="top" wrapText="1"/>
    </xf>
    <xf numFmtId="0" fontId="15" fillId="0" borderId="13" xfId="0" applyFont="1" applyFill="1" applyBorder="1" applyAlignment="1">
      <alignment horizontal="center" vertical="top" wrapText="1"/>
    </xf>
    <xf numFmtId="0" fontId="15" fillId="0" borderId="0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4" fillId="0" borderId="26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 wrapText="1"/>
    </xf>
    <xf numFmtId="0" fontId="6" fillId="0" borderId="21" xfId="0" applyFont="1" applyFill="1" applyBorder="1" applyAlignment="1">
      <alignment horizontal="left" vertical="center" wrapText="1" indent="1"/>
    </xf>
    <xf numFmtId="0" fontId="7" fillId="0" borderId="22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 indent="1"/>
    </xf>
    <xf numFmtId="167" fontId="23" fillId="0" borderId="21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6" fillId="0" borderId="24" xfId="0" applyFont="1" applyFill="1" applyBorder="1" applyAlignment="1">
      <alignment horizontal="left" vertical="center" wrapText="1" indent="1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0" fillId="0" borderId="27" xfId="0" applyFont="1" applyBorder="1" applyAlignment="1">
      <alignment horizontal="center"/>
    </xf>
    <xf numFmtId="3" fontId="9" fillId="0" borderId="28" xfId="0" applyNumberFormat="1" applyFont="1" applyBorder="1" applyAlignment="1">
      <alignment horizontal="center"/>
    </xf>
    <xf numFmtId="0" fontId="10" fillId="0" borderId="18" xfId="0" applyFont="1" applyBorder="1" applyAlignment="1">
      <alignment horizontal="center" vertical="center" wrapText="1"/>
    </xf>
    <xf numFmtId="0" fontId="2" fillId="0" borderId="18" xfId="0" applyFont="1" applyBorder="1"/>
    <xf numFmtId="0" fontId="11" fillId="0" borderId="18" xfId="0" applyFont="1" applyBorder="1" applyAlignment="1">
      <alignment horizontal="left" indent="1"/>
    </xf>
    <xf numFmtId="0" fontId="4" fillId="0" borderId="20" xfId="0" applyFont="1" applyBorder="1" applyAlignment="1">
      <alignment horizontal="left" vertical="center" wrapText="1"/>
    </xf>
    <xf numFmtId="0" fontId="4" fillId="0" borderId="53" xfId="0" applyFont="1" applyBorder="1" applyAlignment="1">
      <alignment horizontal="left" vertical="center" wrapText="1"/>
    </xf>
    <xf numFmtId="0" fontId="4" fillId="0" borderId="54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/>
    </xf>
    <xf numFmtId="0" fontId="14" fillId="0" borderId="39" xfId="0" applyFont="1" applyBorder="1" applyAlignment="1">
      <alignment horizontal="left" vertical="center" wrapText="1"/>
    </xf>
    <xf numFmtId="0" fontId="0" fillId="0" borderId="39" xfId="0" applyFont="1" applyBorder="1" applyAlignment="1">
      <alignment horizontal="left" vertical="center" wrapText="1"/>
    </xf>
    <xf numFmtId="0" fontId="0" fillId="0" borderId="45" xfId="0" applyFont="1" applyBorder="1" applyAlignment="1">
      <alignment horizontal="left" vertical="center"/>
    </xf>
    <xf numFmtId="0" fontId="11" fillId="0" borderId="30" xfId="0" applyFont="1" applyBorder="1"/>
    <xf numFmtId="0" fontId="11" fillId="0" borderId="31" xfId="0" applyFont="1" applyFill="1" applyBorder="1" applyAlignment="1">
      <alignment horizontal="left" vertical="center" wrapText="1" indent="1"/>
    </xf>
    <xf numFmtId="0" fontId="13" fillId="0" borderId="29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9" fillId="0" borderId="27" xfId="0" applyFont="1" applyBorder="1" applyAlignment="1">
      <alignment vertical="center" wrapText="1"/>
    </xf>
    <xf numFmtId="0" fontId="9" fillId="0" borderId="52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11" fillId="0" borderId="34" xfId="0" applyFont="1" applyBorder="1" applyAlignment="1">
      <alignment vertical="center" wrapText="1"/>
    </xf>
    <xf numFmtId="0" fontId="24" fillId="0" borderId="51" xfId="0" applyFont="1" applyFill="1" applyBorder="1" applyAlignment="1">
      <alignment horizontal="left" vertical="center" wrapText="1" indent="1"/>
    </xf>
    <xf numFmtId="0" fontId="11" fillId="0" borderId="51" xfId="0" applyFont="1" applyFill="1" applyBorder="1" applyAlignment="1">
      <alignment horizontal="left" vertical="center" wrapText="1" indent="1"/>
    </xf>
    <xf numFmtId="0" fontId="0" fillId="0" borderId="45" xfId="0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0" fillId="0" borderId="29" xfId="0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22"/>
  <sheetViews>
    <sheetView tabSelected="1" workbookViewId="0">
      <selection activeCell="F22" sqref="F22"/>
    </sheetView>
  </sheetViews>
  <sheetFormatPr baseColWidth="10" defaultColWidth="11" defaultRowHeight="12.75" x14ac:dyDescent="0.2"/>
  <cols>
    <col min="1" max="1" width="4.5703125" style="39" customWidth="1"/>
    <col min="2" max="2" width="25.28515625" style="39" customWidth="1"/>
    <col min="3" max="3" width="32.42578125" style="39" customWidth="1"/>
    <col min="4" max="4" width="6.710937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109" t="s">
        <v>0</v>
      </c>
      <c r="C2" s="109"/>
      <c r="D2" s="109"/>
      <c r="E2" s="109"/>
      <c r="F2" s="109"/>
      <c r="G2" s="109"/>
      <c r="H2" s="109"/>
    </row>
    <row r="4" spans="1:9" ht="18" customHeight="1" x14ac:dyDescent="0.25">
      <c r="A4" s="110" t="s">
        <v>1</v>
      </c>
      <c r="B4" s="110"/>
      <c r="C4" s="111" t="s">
        <v>82</v>
      </c>
      <c r="D4" s="111"/>
      <c r="E4" s="111"/>
      <c r="F4" s="40"/>
      <c r="G4" s="41"/>
      <c r="H4" s="40"/>
    </row>
    <row r="5" spans="1:9" ht="18" customHeight="1" x14ac:dyDescent="0.25">
      <c r="A5" s="110" t="s">
        <v>2</v>
      </c>
      <c r="B5" s="110"/>
      <c r="C5" s="111" t="s">
        <v>56</v>
      </c>
      <c r="D5" s="111"/>
      <c r="E5" s="111"/>
      <c r="F5" s="40"/>
      <c r="G5" s="41"/>
      <c r="H5" s="40"/>
    </row>
    <row r="6" spans="1:9" ht="16.5" customHeight="1" x14ac:dyDescent="0.25">
      <c r="A6" s="110" t="s">
        <v>3</v>
      </c>
      <c r="B6" s="110"/>
      <c r="C6" s="55">
        <v>2021</v>
      </c>
      <c r="D6" s="56"/>
      <c r="E6" s="56"/>
      <c r="F6" s="40"/>
      <c r="G6" s="41"/>
      <c r="H6" s="40"/>
    </row>
    <row r="7" spans="1:9" ht="16.5" customHeight="1" x14ac:dyDescent="0.25">
      <c r="A7" s="110" t="s">
        <v>4</v>
      </c>
      <c r="B7" s="110"/>
      <c r="C7" s="55">
        <v>3</v>
      </c>
      <c r="D7" s="56"/>
      <c r="E7" s="56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.75" thickTop="1" thickBot="1" x14ac:dyDescent="0.25">
      <c r="A9" s="42" t="s">
        <v>5</v>
      </c>
      <c r="B9" s="42" t="s">
        <v>6</v>
      </c>
      <c r="C9" s="42" t="s">
        <v>7</v>
      </c>
      <c r="D9" s="42" t="s">
        <v>8</v>
      </c>
      <c r="E9" s="42" t="s">
        <v>9</v>
      </c>
      <c r="F9" s="42" t="s">
        <v>10</v>
      </c>
      <c r="G9" s="42" t="s">
        <v>11</v>
      </c>
      <c r="H9" s="42" t="s">
        <v>12</v>
      </c>
      <c r="I9" s="42" t="s">
        <v>13</v>
      </c>
    </row>
    <row r="10" spans="1:9" ht="27" customHeight="1" x14ac:dyDescent="0.2">
      <c r="A10" s="70">
        <v>1</v>
      </c>
      <c r="B10" s="71" t="s">
        <v>61</v>
      </c>
      <c r="C10" s="71" t="s">
        <v>62</v>
      </c>
      <c r="D10" s="78" t="s">
        <v>86</v>
      </c>
      <c r="E10" s="71" t="s">
        <v>63</v>
      </c>
      <c r="F10" s="71" t="s">
        <v>64</v>
      </c>
      <c r="G10" s="71">
        <v>2</v>
      </c>
      <c r="H10" s="72">
        <v>420</v>
      </c>
      <c r="I10" s="73">
        <f>H10*G10</f>
        <v>840</v>
      </c>
    </row>
    <row r="11" spans="1:9" ht="27" customHeight="1" x14ac:dyDescent="0.2">
      <c r="A11" s="74">
        <v>2</v>
      </c>
      <c r="B11" s="75" t="s">
        <v>65</v>
      </c>
      <c r="C11" s="75" t="s">
        <v>62</v>
      </c>
      <c r="D11" s="43" t="s">
        <v>86</v>
      </c>
      <c r="E11" s="75" t="s">
        <v>66</v>
      </c>
      <c r="F11" s="75" t="s">
        <v>64</v>
      </c>
      <c r="G11" s="75">
        <v>30</v>
      </c>
      <c r="H11" s="100">
        <v>2600</v>
      </c>
      <c r="I11" s="77">
        <f t="shared" ref="I11:I14" si="0">H11*G11</f>
        <v>78000</v>
      </c>
    </row>
    <row r="12" spans="1:9" ht="27" customHeight="1" x14ac:dyDescent="0.2">
      <c r="A12" s="74">
        <v>3</v>
      </c>
      <c r="B12" s="75" t="s">
        <v>65</v>
      </c>
      <c r="C12" s="75" t="s">
        <v>62</v>
      </c>
      <c r="D12" s="43" t="s">
        <v>86</v>
      </c>
      <c r="E12" s="75" t="s">
        <v>66</v>
      </c>
      <c r="F12" s="75" t="s">
        <v>64</v>
      </c>
      <c r="G12" s="75">
        <v>30</v>
      </c>
      <c r="H12" s="100">
        <v>2600</v>
      </c>
      <c r="I12" s="77">
        <f t="shared" si="0"/>
        <v>78000</v>
      </c>
    </row>
    <row r="13" spans="1:9" ht="27" customHeight="1" x14ac:dyDescent="0.2">
      <c r="A13" s="74">
        <v>4</v>
      </c>
      <c r="B13" s="75" t="s">
        <v>67</v>
      </c>
      <c r="C13" s="75" t="s">
        <v>62</v>
      </c>
      <c r="D13" s="43" t="s">
        <v>86</v>
      </c>
      <c r="E13" s="75" t="s">
        <v>68</v>
      </c>
      <c r="F13" s="75" t="s">
        <v>64</v>
      </c>
      <c r="G13" s="75">
        <v>20</v>
      </c>
      <c r="H13" s="100">
        <v>1000</v>
      </c>
      <c r="I13" s="77">
        <f t="shared" si="0"/>
        <v>20000</v>
      </c>
    </row>
    <row r="14" spans="1:9" ht="27" customHeight="1" x14ac:dyDescent="0.2">
      <c r="A14" s="74">
        <v>5</v>
      </c>
      <c r="B14" s="75" t="s">
        <v>100</v>
      </c>
      <c r="C14" s="75" t="s">
        <v>62</v>
      </c>
      <c r="D14" s="43" t="s">
        <v>86</v>
      </c>
      <c r="E14" s="75" t="s">
        <v>102</v>
      </c>
      <c r="F14" s="75" t="s">
        <v>64</v>
      </c>
      <c r="G14" s="75">
        <v>20</v>
      </c>
      <c r="H14" s="76">
        <v>3500</v>
      </c>
      <c r="I14" s="77">
        <f t="shared" si="0"/>
        <v>70000</v>
      </c>
    </row>
    <row r="15" spans="1:9" ht="27" customHeight="1" x14ac:dyDescent="0.2">
      <c r="A15" s="74">
        <v>6</v>
      </c>
      <c r="B15" s="75" t="s">
        <v>101</v>
      </c>
      <c r="C15" s="75" t="s">
        <v>62</v>
      </c>
      <c r="D15" s="43" t="s">
        <v>86</v>
      </c>
      <c r="E15" s="75" t="s">
        <v>103</v>
      </c>
      <c r="F15" s="75" t="s">
        <v>64</v>
      </c>
      <c r="G15" s="75">
        <v>20</v>
      </c>
      <c r="H15" s="76">
        <v>3500</v>
      </c>
      <c r="I15" s="77">
        <f t="shared" ref="I15" si="1">H15*G15</f>
        <v>70000</v>
      </c>
    </row>
    <row r="17" spans="1:5" ht="13.5" thickBot="1" x14ac:dyDescent="0.25"/>
    <row r="18" spans="1:5" x14ac:dyDescent="0.2">
      <c r="B18" s="44" t="s">
        <v>98</v>
      </c>
      <c r="C18" s="45"/>
      <c r="D18" s="45"/>
      <c r="E18" s="46"/>
    </row>
    <row r="19" spans="1:5" x14ac:dyDescent="0.2">
      <c r="B19" s="47"/>
      <c r="C19" s="114" t="s">
        <v>99</v>
      </c>
      <c r="D19" s="114"/>
      <c r="E19" s="115"/>
    </row>
    <row r="20" spans="1:5" x14ac:dyDescent="0.2">
      <c r="B20" s="50" t="s">
        <v>14</v>
      </c>
      <c r="C20" s="48"/>
      <c r="D20" s="48"/>
      <c r="E20" s="49"/>
    </row>
    <row r="21" spans="1:5" ht="5.25" hidden="1" customHeight="1" x14ac:dyDescent="0.2">
      <c r="B21" s="50"/>
      <c r="C21" s="112" t="s">
        <v>93</v>
      </c>
      <c r="D21" s="112"/>
      <c r="E21" s="113"/>
    </row>
    <row r="22" spans="1:5" x14ac:dyDescent="0.2">
      <c r="B22" s="50" t="s">
        <v>72</v>
      </c>
      <c r="C22" s="57"/>
      <c r="D22" s="57"/>
      <c r="E22" s="58"/>
    </row>
    <row r="23" spans="1:5" ht="18.75" customHeight="1" x14ac:dyDescent="0.2">
      <c r="B23" s="51"/>
      <c r="C23" s="104" t="s">
        <v>87</v>
      </c>
      <c r="D23" s="104"/>
      <c r="E23" s="104"/>
    </row>
    <row r="24" spans="1:5" x14ac:dyDescent="0.2">
      <c r="A24" s="83"/>
      <c r="B24" s="50" t="s">
        <v>73</v>
      </c>
      <c r="C24" s="104"/>
      <c r="D24" s="104"/>
      <c r="E24" s="104"/>
    </row>
    <row r="25" spans="1:5" x14ac:dyDescent="0.2">
      <c r="B25" s="50"/>
      <c r="C25" s="106" t="s">
        <v>85</v>
      </c>
      <c r="D25" s="106"/>
      <c r="E25" s="105"/>
    </row>
    <row r="26" spans="1:5" x14ac:dyDescent="0.2">
      <c r="B26" s="50" t="s">
        <v>74</v>
      </c>
      <c r="C26" s="98"/>
      <c r="D26" s="98"/>
      <c r="E26" s="97"/>
    </row>
    <row r="27" spans="1:5" ht="13.5" customHeight="1" x14ac:dyDescent="0.2">
      <c r="B27" s="50"/>
      <c r="C27" s="98"/>
      <c r="D27" s="98"/>
      <c r="E27" s="99" t="s">
        <v>75</v>
      </c>
    </row>
    <row r="28" spans="1:5" x14ac:dyDescent="0.2">
      <c r="B28" s="50" t="s">
        <v>15</v>
      </c>
      <c r="C28" s="57"/>
      <c r="D28" s="57"/>
      <c r="E28" s="58"/>
    </row>
    <row r="29" spans="1:5" x14ac:dyDescent="0.2">
      <c r="B29" s="51"/>
      <c r="C29" s="105"/>
      <c r="D29" s="105"/>
      <c r="E29" s="105"/>
    </row>
    <row r="30" spans="1:5" x14ac:dyDescent="0.2">
      <c r="B30" s="50" t="s">
        <v>16</v>
      </c>
      <c r="C30" s="94"/>
      <c r="D30" s="94"/>
      <c r="E30" s="95"/>
    </row>
    <row r="31" spans="1:5" ht="14.25" customHeight="1" x14ac:dyDescent="0.2">
      <c r="B31" s="51"/>
      <c r="C31" s="105" t="s">
        <v>94</v>
      </c>
      <c r="D31" s="105"/>
      <c r="E31" s="105"/>
    </row>
    <row r="32" spans="1:5" x14ac:dyDescent="0.2">
      <c r="B32" s="50" t="s">
        <v>17</v>
      </c>
      <c r="C32" s="57"/>
      <c r="D32" s="57"/>
      <c r="E32" s="58"/>
    </row>
    <row r="33" spans="1:8" ht="12" customHeight="1" thickBot="1" x14ac:dyDescent="0.25">
      <c r="B33" s="52"/>
      <c r="C33" s="53"/>
      <c r="D33" s="53"/>
      <c r="E33" s="54"/>
    </row>
    <row r="35" spans="1:8" ht="13.5" thickBot="1" x14ac:dyDescent="0.25"/>
    <row r="36" spans="1:8" x14ac:dyDescent="0.2">
      <c r="B36" s="44" t="s">
        <v>18</v>
      </c>
      <c r="C36" s="45"/>
      <c r="D36" s="45"/>
      <c r="E36" s="46"/>
    </row>
    <row r="37" spans="1:8" x14ac:dyDescent="0.2">
      <c r="B37" s="47"/>
      <c r="C37" s="48"/>
      <c r="D37" s="48"/>
      <c r="E37" s="49"/>
    </row>
    <row r="38" spans="1:8" ht="7.5" hidden="1" customHeight="1" x14ac:dyDescent="0.2">
      <c r="B38" s="50" t="s">
        <v>14</v>
      </c>
      <c r="C38" s="48"/>
      <c r="D38" s="48"/>
      <c r="E38" s="49"/>
    </row>
    <row r="39" spans="1:8" x14ac:dyDescent="0.2">
      <c r="B39" s="50"/>
      <c r="C39" s="112" t="s">
        <v>93</v>
      </c>
      <c r="D39" s="112"/>
      <c r="E39" s="113"/>
    </row>
    <row r="40" spans="1:8" ht="21" customHeight="1" x14ac:dyDescent="0.2">
      <c r="A40" s="87"/>
      <c r="B40" s="50" t="s">
        <v>72</v>
      </c>
      <c r="C40" s="57"/>
      <c r="D40" s="57"/>
      <c r="E40" s="58"/>
    </row>
    <row r="41" spans="1:8" x14ac:dyDescent="0.2">
      <c r="B41" s="51"/>
      <c r="C41" s="104" t="s">
        <v>87</v>
      </c>
      <c r="D41" s="104"/>
      <c r="E41" s="104"/>
    </row>
    <row r="42" spans="1:8" x14ac:dyDescent="0.2">
      <c r="B42" s="50" t="s">
        <v>73</v>
      </c>
      <c r="C42" s="104"/>
      <c r="D42" s="104"/>
      <c r="E42" s="104"/>
      <c r="F42" s="96"/>
      <c r="G42" s="96"/>
      <c r="H42" s="48"/>
    </row>
    <row r="43" spans="1:8" x14ac:dyDescent="0.2">
      <c r="B43" s="50"/>
      <c r="C43" s="106" t="s">
        <v>85</v>
      </c>
      <c r="D43" s="106"/>
      <c r="E43" s="105"/>
    </row>
    <row r="44" spans="1:8" x14ac:dyDescent="0.2">
      <c r="B44" s="50" t="s">
        <v>74</v>
      </c>
      <c r="C44" s="84"/>
      <c r="D44" s="84"/>
      <c r="E44" s="80"/>
    </row>
    <row r="45" spans="1:8" x14ac:dyDescent="0.2">
      <c r="B45" s="50"/>
      <c r="C45" s="84"/>
      <c r="D45" s="84"/>
      <c r="E45" s="85" t="s">
        <v>75</v>
      </c>
    </row>
    <row r="46" spans="1:8" x14ac:dyDescent="0.2">
      <c r="B46" s="50" t="s">
        <v>15</v>
      </c>
      <c r="C46" s="57"/>
      <c r="D46" s="57"/>
      <c r="E46" s="58"/>
    </row>
    <row r="47" spans="1:8" x14ac:dyDescent="0.2">
      <c r="B47" s="51"/>
      <c r="C47" s="105"/>
      <c r="D47" s="105"/>
      <c r="E47" s="105"/>
    </row>
    <row r="48" spans="1:8" ht="11.25" customHeight="1" x14ac:dyDescent="0.2">
      <c r="B48" s="50" t="s">
        <v>16</v>
      </c>
      <c r="C48" s="59"/>
      <c r="D48" s="59"/>
      <c r="E48" s="60"/>
    </row>
    <row r="49" spans="2:5" x14ac:dyDescent="0.2">
      <c r="B49" s="51"/>
      <c r="C49" s="105" t="s">
        <v>94</v>
      </c>
      <c r="D49" s="105"/>
      <c r="E49" s="105"/>
    </row>
    <row r="50" spans="2:5" x14ac:dyDescent="0.2">
      <c r="B50" s="50" t="s">
        <v>17</v>
      </c>
      <c r="C50" s="57"/>
      <c r="D50" s="57"/>
      <c r="E50" s="58"/>
    </row>
    <row r="51" spans="2:5" ht="13.5" thickBot="1" x14ac:dyDescent="0.25">
      <c r="B51" s="52"/>
      <c r="C51" s="53"/>
      <c r="D51" s="53"/>
      <c r="E51" s="54"/>
    </row>
    <row r="52" spans="2:5" s="89" customFormat="1" ht="13.5" thickBot="1" x14ac:dyDescent="0.25">
      <c r="B52" s="39"/>
      <c r="C52" s="39"/>
      <c r="D52" s="39"/>
      <c r="E52" s="39"/>
    </row>
    <row r="53" spans="2:5" x14ac:dyDescent="0.2">
      <c r="B53" s="44" t="s">
        <v>57</v>
      </c>
      <c r="C53" s="45"/>
      <c r="D53" s="45"/>
      <c r="E53" s="46"/>
    </row>
    <row r="54" spans="2:5" x14ac:dyDescent="0.2">
      <c r="B54" s="47"/>
      <c r="C54" s="48"/>
      <c r="D54" s="48"/>
      <c r="E54" s="49"/>
    </row>
    <row r="55" spans="2:5" ht="0.75" customHeight="1" x14ac:dyDescent="0.2">
      <c r="B55" s="50" t="s">
        <v>14</v>
      </c>
      <c r="C55" s="48"/>
      <c r="D55" s="48"/>
      <c r="E55" s="49"/>
    </row>
    <row r="56" spans="2:5" x14ac:dyDescent="0.2">
      <c r="B56" s="50"/>
      <c r="C56" s="112" t="s">
        <v>97</v>
      </c>
      <c r="D56" s="107"/>
      <c r="E56" s="108"/>
    </row>
    <row r="57" spans="2:5" ht="17.25" customHeight="1" x14ac:dyDescent="0.2">
      <c r="B57" s="50" t="s">
        <v>76</v>
      </c>
      <c r="C57" s="57"/>
      <c r="D57" s="57"/>
      <c r="E57" s="58"/>
    </row>
    <row r="58" spans="2:5" x14ac:dyDescent="0.2">
      <c r="B58" s="51"/>
      <c r="C58" s="84"/>
      <c r="D58" s="84"/>
      <c r="E58" s="96" t="s">
        <v>88</v>
      </c>
    </row>
    <row r="59" spans="2:5" x14ac:dyDescent="0.2">
      <c r="B59" s="50" t="s">
        <v>77</v>
      </c>
      <c r="C59" s="104"/>
      <c r="D59" s="104"/>
      <c r="E59" s="104"/>
    </row>
    <row r="60" spans="2:5" x14ac:dyDescent="0.2">
      <c r="B60" s="50"/>
      <c r="C60" s="106" t="s">
        <v>85</v>
      </c>
      <c r="D60" s="106"/>
      <c r="E60" s="105"/>
    </row>
    <row r="61" spans="2:5" x14ac:dyDescent="0.2">
      <c r="B61" s="50" t="s">
        <v>74</v>
      </c>
      <c r="C61" s="59"/>
      <c r="D61" s="59"/>
      <c r="E61" s="82"/>
    </row>
    <row r="62" spans="2:5" ht="18" customHeight="1" x14ac:dyDescent="0.2">
      <c r="B62" s="50"/>
      <c r="C62" s="59"/>
      <c r="D62" s="59"/>
      <c r="E62" s="85" t="s">
        <v>75</v>
      </c>
    </row>
    <row r="63" spans="2:5" ht="15.75" customHeight="1" x14ac:dyDescent="0.2">
      <c r="B63" s="50" t="s">
        <v>78</v>
      </c>
      <c r="C63" s="57"/>
      <c r="D63" s="57"/>
      <c r="E63" s="58"/>
    </row>
    <row r="64" spans="2:5" ht="21" customHeight="1" x14ac:dyDescent="0.2">
      <c r="B64" s="51"/>
      <c r="C64" s="105"/>
      <c r="D64" s="105"/>
      <c r="E64" s="105"/>
    </row>
    <row r="65" spans="2:5" ht="18.75" customHeight="1" x14ac:dyDescent="0.2">
      <c r="B65" s="50" t="s">
        <v>16</v>
      </c>
      <c r="C65" s="59"/>
      <c r="D65" s="59"/>
      <c r="E65" s="86"/>
    </row>
    <row r="66" spans="2:5" ht="20.25" customHeight="1" x14ac:dyDescent="0.2">
      <c r="B66" s="51"/>
      <c r="C66" s="105" t="s">
        <v>95</v>
      </c>
      <c r="D66" s="105"/>
      <c r="E66" s="105"/>
    </row>
    <row r="67" spans="2:5" ht="13.5" customHeight="1" x14ac:dyDescent="0.2">
      <c r="B67" s="50" t="s">
        <v>17</v>
      </c>
      <c r="C67" s="57"/>
      <c r="D67" s="57"/>
      <c r="E67" s="58"/>
    </row>
    <row r="68" spans="2:5" ht="13.5" thickBot="1" x14ac:dyDescent="0.25">
      <c r="B68" s="90"/>
      <c r="C68" s="91"/>
      <c r="D68" s="91"/>
      <c r="E68" s="92"/>
    </row>
    <row r="69" spans="2:5" ht="13.5" thickBot="1" x14ac:dyDescent="0.25"/>
    <row r="70" spans="2:5" ht="13.5" customHeight="1" x14ac:dyDescent="0.2">
      <c r="B70" s="44" t="s">
        <v>58</v>
      </c>
      <c r="C70" s="45"/>
      <c r="D70" s="45"/>
      <c r="E70" s="46"/>
    </row>
    <row r="71" spans="2:5" ht="13.5" customHeight="1" x14ac:dyDescent="0.2">
      <c r="B71" s="47"/>
      <c r="C71" s="48"/>
      <c r="D71" s="48"/>
      <c r="E71" s="49"/>
    </row>
    <row r="72" spans="2:5" x14ac:dyDescent="0.2">
      <c r="B72" s="50" t="s">
        <v>14</v>
      </c>
      <c r="C72" s="48"/>
      <c r="D72" s="48"/>
      <c r="E72" s="49"/>
    </row>
    <row r="73" spans="2:5" ht="12" customHeight="1" x14ac:dyDescent="0.2">
      <c r="B73" s="50"/>
      <c r="C73" s="112" t="s">
        <v>96</v>
      </c>
      <c r="D73" s="107"/>
      <c r="E73" s="108"/>
    </row>
    <row r="74" spans="2:5" x14ac:dyDescent="0.2">
      <c r="B74" s="50" t="s">
        <v>76</v>
      </c>
      <c r="C74" s="57"/>
      <c r="D74" s="57"/>
      <c r="E74" s="58"/>
    </row>
    <row r="75" spans="2:5" x14ac:dyDescent="0.2">
      <c r="B75" s="51"/>
      <c r="C75" s="103" t="s">
        <v>87</v>
      </c>
      <c r="D75" s="103"/>
      <c r="E75" s="104"/>
    </row>
    <row r="76" spans="2:5" x14ac:dyDescent="0.2">
      <c r="B76" s="50" t="s">
        <v>73</v>
      </c>
      <c r="C76" s="84"/>
      <c r="D76" s="84"/>
      <c r="E76" s="81"/>
    </row>
    <row r="77" spans="2:5" x14ac:dyDescent="0.2">
      <c r="B77" s="51"/>
      <c r="C77" s="106" t="s">
        <v>85</v>
      </c>
      <c r="D77" s="106"/>
      <c r="E77" s="105"/>
    </row>
    <row r="78" spans="2:5" ht="7.5" hidden="1" customHeight="1" x14ac:dyDescent="0.2">
      <c r="B78" s="51"/>
      <c r="C78" s="104"/>
      <c r="D78" s="104"/>
      <c r="E78" s="104"/>
    </row>
    <row r="79" spans="2:5" x14ac:dyDescent="0.2">
      <c r="B79" s="51"/>
      <c r="C79" s="84"/>
      <c r="D79" s="84"/>
      <c r="E79" s="81"/>
    </row>
    <row r="80" spans="2:5" x14ac:dyDescent="0.2">
      <c r="B80" s="51"/>
      <c r="C80" s="84"/>
      <c r="D80" s="84"/>
      <c r="E80" s="81"/>
    </row>
    <row r="81" spans="2:5" x14ac:dyDescent="0.2">
      <c r="B81" s="50" t="s">
        <v>74</v>
      </c>
      <c r="C81" s="57"/>
      <c r="D81" s="57"/>
      <c r="E81" s="58"/>
    </row>
    <row r="82" spans="2:5" x14ac:dyDescent="0.2">
      <c r="B82" s="50"/>
      <c r="C82" s="57"/>
      <c r="D82" s="57"/>
      <c r="E82" s="85" t="s">
        <v>75</v>
      </c>
    </row>
    <row r="83" spans="2:5" x14ac:dyDescent="0.2">
      <c r="B83" s="50" t="s">
        <v>78</v>
      </c>
      <c r="C83" s="105"/>
      <c r="D83" s="105"/>
      <c r="E83" s="105"/>
    </row>
    <row r="84" spans="2:5" x14ac:dyDescent="0.2">
      <c r="B84" s="50"/>
      <c r="C84" s="59"/>
      <c r="D84" s="59"/>
      <c r="E84" s="82"/>
    </row>
    <row r="85" spans="2:5" x14ac:dyDescent="0.2">
      <c r="B85" s="50" t="s">
        <v>16</v>
      </c>
      <c r="C85" s="59"/>
      <c r="D85" s="59"/>
      <c r="E85" s="60"/>
    </row>
    <row r="86" spans="2:5" x14ac:dyDescent="0.2">
      <c r="B86" s="51"/>
      <c r="C86" s="105" t="s">
        <v>95</v>
      </c>
      <c r="D86" s="105"/>
      <c r="E86" s="105"/>
    </row>
    <row r="87" spans="2:5" x14ac:dyDescent="0.2">
      <c r="B87" s="50" t="s">
        <v>17</v>
      </c>
      <c r="C87" s="57"/>
      <c r="D87" s="57"/>
      <c r="E87" s="58"/>
    </row>
    <row r="88" spans="2:5" ht="13.5" thickBot="1" x14ac:dyDescent="0.25">
      <c r="B88" s="52"/>
      <c r="C88" s="53"/>
      <c r="D88" s="53"/>
      <c r="E88" s="54"/>
    </row>
    <row r="89" spans="2:5" ht="13.5" thickBot="1" x14ac:dyDescent="0.25"/>
    <row r="90" spans="2:5" x14ac:dyDescent="0.2">
      <c r="B90" s="44" t="s">
        <v>69</v>
      </c>
      <c r="C90" s="45"/>
      <c r="D90" s="45"/>
      <c r="E90" s="46"/>
    </row>
    <row r="91" spans="2:5" ht="12" customHeight="1" x14ac:dyDescent="0.2">
      <c r="B91" s="47"/>
      <c r="C91" s="48"/>
      <c r="D91" s="48"/>
      <c r="E91" s="49"/>
    </row>
    <row r="92" spans="2:5" hidden="1" x14ac:dyDescent="0.2">
      <c r="B92" s="50" t="s">
        <v>14</v>
      </c>
      <c r="C92" s="48"/>
      <c r="D92" s="48"/>
      <c r="E92" s="49"/>
    </row>
    <row r="93" spans="2:5" x14ac:dyDescent="0.2">
      <c r="B93" s="50"/>
      <c r="C93" s="101" t="s">
        <v>104</v>
      </c>
      <c r="D93" s="101"/>
      <c r="E93" s="102"/>
    </row>
    <row r="94" spans="2:5" x14ac:dyDescent="0.2">
      <c r="B94" s="50" t="s">
        <v>76</v>
      </c>
      <c r="C94" s="57"/>
      <c r="D94" s="57"/>
      <c r="E94" s="58"/>
    </row>
    <row r="95" spans="2:5" x14ac:dyDescent="0.2">
      <c r="B95" s="51"/>
      <c r="C95" s="103" t="s">
        <v>88</v>
      </c>
      <c r="D95" s="103"/>
      <c r="E95" s="104"/>
    </row>
    <row r="96" spans="2:5" x14ac:dyDescent="0.2">
      <c r="B96" s="50" t="s">
        <v>73</v>
      </c>
      <c r="C96" s="84"/>
      <c r="D96" s="84"/>
      <c r="E96" s="81"/>
    </row>
    <row r="97" spans="2:6" x14ac:dyDescent="0.2">
      <c r="B97" s="51"/>
      <c r="C97" s="106" t="s">
        <v>85</v>
      </c>
      <c r="D97" s="106"/>
      <c r="E97" s="105"/>
    </row>
    <row r="98" spans="2:6" x14ac:dyDescent="0.2">
      <c r="B98" s="50" t="s">
        <v>79</v>
      </c>
      <c r="C98" s="84"/>
      <c r="D98" s="84"/>
      <c r="E98" s="81"/>
    </row>
    <row r="99" spans="2:6" x14ac:dyDescent="0.2">
      <c r="B99" s="51"/>
      <c r="C99" s="104" t="s">
        <v>75</v>
      </c>
      <c r="D99" s="104"/>
      <c r="E99" s="104"/>
    </row>
    <row r="100" spans="2:6" x14ac:dyDescent="0.2">
      <c r="B100" s="50" t="s">
        <v>15</v>
      </c>
      <c r="C100" s="57"/>
      <c r="D100" s="57"/>
      <c r="E100" s="58"/>
      <c r="F100" s="99"/>
    </row>
    <row r="101" spans="2:6" x14ac:dyDescent="0.2">
      <c r="B101" s="51"/>
      <c r="C101" s="105"/>
      <c r="D101" s="105"/>
      <c r="E101" s="105"/>
    </row>
    <row r="102" spans="2:6" x14ac:dyDescent="0.2">
      <c r="B102" s="50" t="s">
        <v>16</v>
      </c>
      <c r="C102" s="59"/>
      <c r="D102" s="59"/>
      <c r="E102" s="60"/>
    </row>
    <row r="103" spans="2:6" x14ac:dyDescent="0.2">
      <c r="B103" s="51"/>
      <c r="C103" s="105" t="s">
        <v>94</v>
      </c>
      <c r="D103" s="105"/>
      <c r="E103" s="105"/>
    </row>
    <row r="104" spans="2:6" x14ac:dyDescent="0.2">
      <c r="B104" s="50" t="s">
        <v>17</v>
      </c>
      <c r="C104" s="57"/>
      <c r="D104" s="57"/>
      <c r="E104" s="58"/>
    </row>
    <row r="105" spans="2:6" ht="13.5" thickBot="1" x14ac:dyDescent="0.25">
      <c r="B105" s="52"/>
      <c r="C105" s="53"/>
      <c r="D105" s="53"/>
      <c r="E105" s="54"/>
    </row>
    <row r="106" spans="2:6" ht="13.5" thickBot="1" x14ac:dyDescent="0.25"/>
    <row r="107" spans="2:6" x14ac:dyDescent="0.2">
      <c r="B107" s="44" t="s">
        <v>70</v>
      </c>
      <c r="C107" s="45"/>
      <c r="D107" s="45"/>
      <c r="E107" s="46"/>
    </row>
    <row r="108" spans="2:6" x14ac:dyDescent="0.2">
      <c r="B108" s="47"/>
      <c r="C108" s="48"/>
      <c r="D108" s="48"/>
      <c r="E108" s="49"/>
    </row>
    <row r="109" spans="2:6" x14ac:dyDescent="0.2">
      <c r="B109" s="50" t="s">
        <v>14</v>
      </c>
      <c r="C109" s="48"/>
      <c r="D109" s="48"/>
      <c r="E109" s="49"/>
    </row>
    <row r="110" spans="2:6" x14ac:dyDescent="0.2">
      <c r="B110" s="50"/>
      <c r="C110" s="101" t="s">
        <v>105</v>
      </c>
      <c r="D110" s="101"/>
      <c r="E110" s="102"/>
    </row>
    <row r="111" spans="2:6" x14ac:dyDescent="0.2">
      <c r="B111" s="50" t="s">
        <v>76</v>
      </c>
      <c r="C111" s="57"/>
      <c r="D111" s="57"/>
      <c r="E111" s="58"/>
    </row>
    <row r="112" spans="2:6" x14ac:dyDescent="0.2">
      <c r="B112" s="51"/>
      <c r="C112" s="103" t="s">
        <v>88</v>
      </c>
      <c r="D112" s="103"/>
      <c r="E112" s="104"/>
    </row>
    <row r="113" spans="2:5" x14ac:dyDescent="0.2">
      <c r="B113" s="50" t="s">
        <v>73</v>
      </c>
      <c r="C113" s="84"/>
      <c r="D113" s="84"/>
      <c r="E113" s="81"/>
    </row>
    <row r="114" spans="2:5" x14ac:dyDescent="0.2">
      <c r="B114" s="51"/>
      <c r="C114" s="106" t="s">
        <v>85</v>
      </c>
      <c r="D114" s="106"/>
      <c r="E114" s="105"/>
    </row>
    <row r="115" spans="2:5" x14ac:dyDescent="0.2">
      <c r="B115" s="50" t="s">
        <v>74</v>
      </c>
      <c r="C115" s="104"/>
      <c r="D115" s="104"/>
      <c r="E115" s="104"/>
    </row>
    <row r="116" spans="2:5" x14ac:dyDescent="0.2">
      <c r="B116" s="51"/>
      <c r="C116" s="84"/>
      <c r="D116" s="96" t="s">
        <v>80</v>
      </c>
      <c r="E116" s="96"/>
    </row>
    <row r="117" spans="2:5" x14ac:dyDescent="0.2">
      <c r="B117" s="50" t="s">
        <v>15</v>
      </c>
      <c r="C117" s="57"/>
      <c r="D117" s="57"/>
      <c r="E117" s="58"/>
    </row>
    <row r="118" spans="2:5" x14ac:dyDescent="0.2">
      <c r="B118" s="51"/>
      <c r="C118" s="88" t="s">
        <v>81</v>
      </c>
      <c r="D118" s="107"/>
      <c r="E118" s="108"/>
    </row>
    <row r="119" spans="2:5" x14ac:dyDescent="0.2">
      <c r="B119" s="50" t="s">
        <v>16</v>
      </c>
      <c r="C119" s="59"/>
      <c r="D119" s="59"/>
      <c r="E119" s="79"/>
    </row>
    <row r="120" spans="2:5" x14ac:dyDescent="0.2">
      <c r="B120" s="51"/>
      <c r="C120" s="105" t="s">
        <v>94</v>
      </c>
      <c r="D120" s="105"/>
      <c r="E120" s="105"/>
    </row>
    <row r="121" spans="2:5" x14ac:dyDescent="0.2">
      <c r="B121" s="50" t="s">
        <v>17</v>
      </c>
      <c r="C121" s="57"/>
      <c r="D121" s="57"/>
      <c r="E121" s="58"/>
    </row>
    <row r="122" spans="2:5" ht="13.5" thickBot="1" x14ac:dyDescent="0.25">
      <c r="B122" s="52"/>
      <c r="C122" s="53"/>
      <c r="D122" s="53"/>
      <c r="E122" s="54"/>
    </row>
  </sheetData>
  <mergeCells count="43">
    <mergeCell ref="C43:E43"/>
    <mergeCell ref="C60:E60"/>
    <mergeCell ref="C77:E77"/>
    <mergeCell ref="C97:E97"/>
    <mergeCell ref="C59:E59"/>
    <mergeCell ref="C64:E64"/>
    <mergeCell ref="C66:E66"/>
    <mergeCell ref="C47:E47"/>
    <mergeCell ref="C49:E49"/>
    <mergeCell ref="C56:E56"/>
    <mergeCell ref="C73:E73"/>
    <mergeCell ref="C75:E75"/>
    <mergeCell ref="C78:E78"/>
    <mergeCell ref="C83:E83"/>
    <mergeCell ref="C86:E86"/>
    <mergeCell ref="A6:B6"/>
    <mergeCell ref="A7:B7"/>
    <mergeCell ref="C39:E39"/>
    <mergeCell ref="C41:E41"/>
    <mergeCell ref="C42:E42"/>
    <mergeCell ref="C21:E21"/>
    <mergeCell ref="C23:E23"/>
    <mergeCell ref="C24:E24"/>
    <mergeCell ref="C25:E25"/>
    <mergeCell ref="C29:E29"/>
    <mergeCell ref="C31:E31"/>
    <mergeCell ref="C19:E19"/>
    <mergeCell ref="B2:H2"/>
    <mergeCell ref="A4:B4"/>
    <mergeCell ref="C4:E4"/>
    <mergeCell ref="A5:B5"/>
    <mergeCell ref="C5:E5"/>
    <mergeCell ref="C103:E103"/>
    <mergeCell ref="C93:E93"/>
    <mergeCell ref="C95:E95"/>
    <mergeCell ref="C99:E99"/>
    <mergeCell ref="C101:E101"/>
    <mergeCell ref="C110:E110"/>
    <mergeCell ref="C112:E112"/>
    <mergeCell ref="C115:E115"/>
    <mergeCell ref="C120:E120"/>
    <mergeCell ref="C114:E114"/>
    <mergeCell ref="D118:E118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8"/>
  <sheetViews>
    <sheetView zoomScale="75" zoomScaleNormal="75" workbookViewId="0">
      <selection activeCell="A18" sqref="A18:I18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7" t="s">
        <v>19</v>
      </c>
      <c r="B1" s="117"/>
      <c r="C1" s="117"/>
      <c r="D1" s="117"/>
      <c r="E1" s="117"/>
      <c r="F1" s="117"/>
      <c r="G1" s="117"/>
      <c r="H1" s="117"/>
      <c r="I1" s="117"/>
      <c r="J1" s="3" t="s">
        <v>20</v>
      </c>
      <c r="K1" s="93" t="s">
        <v>90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18" t="s">
        <v>53</v>
      </c>
      <c r="B3" s="118"/>
      <c r="C3" s="118"/>
      <c r="D3" s="119" t="str">
        <f>'Necesidades Trimestrales'!C4</f>
        <v>40-Ministerio de Salud</v>
      </c>
      <c r="E3" s="119"/>
      <c r="F3" s="119"/>
      <c r="G3" s="119"/>
      <c r="H3" s="119"/>
      <c r="I3" s="119"/>
      <c r="J3" s="119"/>
      <c r="K3" s="119"/>
    </row>
    <row r="4" spans="1:11" ht="18.75" customHeight="1" thickBot="1" x14ac:dyDescent="0.25">
      <c r="A4" s="120" t="s">
        <v>54</v>
      </c>
      <c r="B4" s="120"/>
      <c r="C4" s="120"/>
      <c r="D4" s="119" t="str">
        <f>'Necesidades Trimestrales'!C5</f>
        <v>28- Maternidad Provincial 25 de Mayo</v>
      </c>
      <c r="E4" s="119"/>
      <c r="F4" s="119"/>
      <c r="G4" s="119"/>
      <c r="H4" s="119"/>
      <c r="I4" s="119"/>
      <c r="J4" s="119"/>
      <c r="K4" s="119"/>
    </row>
    <row r="5" spans="1:11" ht="18.75" customHeight="1" thickBot="1" x14ac:dyDescent="0.25">
      <c r="A5" s="120" t="s">
        <v>32</v>
      </c>
      <c r="B5" s="120"/>
      <c r="C5" s="120"/>
      <c r="D5" s="119" t="s">
        <v>83</v>
      </c>
      <c r="E5" s="119"/>
      <c r="F5" s="119"/>
      <c r="G5" s="119"/>
      <c r="H5" s="119"/>
      <c r="I5" s="119"/>
      <c r="J5" s="119"/>
      <c r="K5" s="119"/>
    </row>
    <row r="6" spans="1:11" ht="16.5" customHeight="1" thickBot="1" x14ac:dyDescent="0.25">
      <c r="A6" s="118" t="s">
        <v>55</v>
      </c>
      <c r="B6" s="118"/>
      <c r="C6" s="118"/>
      <c r="D6" s="119" t="s">
        <v>59</v>
      </c>
      <c r="E6" s="119"/>
      <c r="F6" s="119"/>
      <c r="G6" s="119"/>
      <c r="H6" s="119"/>
      <c r="I6" s="119"/>
      <c r="J6" s="119"/>
      <c r="K6" s="119"/>
    </row>
    <row r="7" spans="1:11" ht="16.5" customHeight="1" thickBot="1" x14ac:dyDescent="0.25">
      <c r="A7" s="120" t="s">
        <v>21</v>
      </c>
      <c r="B7" s="120"/>
      <c r="C7" s="120"/>
      <c r="D7" s="119" t="str">
        <f>'Necesidades Trimestrales'!C7 &amp; "° Trimestre - Año " &amp; 'Necesidades Trimestrales'!C6</f>
        <v>3° Trimestre - Año 2021</v>
      </c>
      <c r="E7" s="119"/>
      <c r="F7" s="119"/>
      <c r="G7" s="119"/>
      <c r="H7" s="119"/>
      <c r="I7" s="119"/>
      <c r="J7" s="119"/>
      <c r="K7" s="119"/>
    </row>
    <row r="8" spans="1:11" ht="16.5" customHeight="1" x14ac:dyDescent="0.2">
      <c r="A8" s="123" t="s">
        <v>22</v>
      </c>
      <c r="B8" s="123"/>
      <c r="C8" s="123"/>
      <c r="D8" s="124" t="s">
        <v>91</v>
      </c>
      <c r="E8" s="124"/>
      <c r="F8" s="124"/>
      <c r="G8" s="124"/>
      <c r="H8" s="124"/>
      <c r="I8" s="124"/>
      <c r="J8" s="124"/>
      <c r="K8" s="124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25" t="s">
        <v>23</v>
      </c>
      <c r="B10" s="126" t="s">
        <v>24</v>
      </c>
      <c r="C10" s="126" t="s">
        <v>25</v>
      </c>
      <c r="D10" s="126"/>
      <c r="E10" s="126"/>
      <c r="F10" s="126"/>
      <c r="G10" s="126"/>
      <c r="H10" s="126" t="s">
        <v>26</v>
      </c>
      <c r="I10" s="126" t="s">
        <v>27</v>
      </c>
      <c r="J10" s="126" t="s">
        <v>28</v>
      </c>
      <c r="K10" s="127" t="s">
        <v>29</v>
      </c>
    </row>
    <row r="11" spans="1:11" ht="24" customHeight="1" thickBot="1" x14ac:dyDescent="0.25">
      <c r="A11" s="125"/>
      <c r="B11" s="126"/>
      <c r="C11" s="126"/>
      <c r="D11" s="126"/>
      <c r="E11" s="126"/>
      <c r="F11" s="126"/>
      <c r="G11" s="126"/>
      <c r="H11" s="126"/>
      <c r="I11" s="126"/>
      <c r="J11" s="126"/>
      <c r="K11" s="127"/>
    </row>
    <row r="12" spans="1:11" ht="60" customHeight="1" thickBot="1" x14ac:dyDescent="0.25">
      <c r="A12" s="8">
        <f>'Necesidades Trimestrales'!A10</f>
        <v>1</v>
      </c>
      <c r="B12" s="61" t="str">
        <f>'Necesidades Trimestrales'!B10</f>
        <v>2.9.6-1891.587</v>
      </c>
      <c r="C12" s="116" t="str">
        <f>'Necesidades Trimestrales'!E10</f>
        <v>REP. Y ACC. P/IMPRESORA; MODELO EQUIPO: LX-350, MARCA EQUIPO: EPSON, ELEMENTO: CINTA IMPRESION</v>
      </c>
      <c r="D12" s="116"/>
      <c r="E12" s="116"/>
      <c r="F12" s="116"/>
      <c r="G12" s="116"/>
      <c r="H12" s="62" t="s">
        <v>71</v>
      </c>
      <c r="I12" s="63" t="str">
        <f>'Necesidades Trimestrales'!F10</f>
        <v>UNIDAD</v>
      </c>
      <c r="J12" s="64">
        <f>'Necesidades Trimestrales'!H10</f>
        <v>420</v>
      </c>
      <c r="K12" s="65">
        <f>'Necesidades Trimestrales'!G10</f>
        <v>2</v>
      </c>
    </row>
    <row r="13" spans="1:11" ht="60" customHeight="1" thickBot="1" x14ac:dyDescent="0.25">
      <c r="A13" s="8">
        <f>'Necesidades Trimestrales'!A11</f>
        <v>2</v>
      </c>
      <c r="B13" s="61" t="str">
        <f>'Necesidades Trimestrales'!B11</f>
        <v>2.9.6-1355.1988</v>
      </c>
      <c r="C13" s="116" t="str">
        <f>'Necesidades Trimestrales'!E11</f>
        <v>CARTUCHOS DE TINTA; CODIGO: 664, USO: HEWLET PACKARD</v>
      </c>
      <c r="D13" s="116"/>
      <c r="E13" s="116"/>
      <c r="F13" s="116"/>
      <c r="G13" s="116"/>
      <c r="H13" s="62" t="s">
        <v>84</v>
      </c>
      <c r="I13" s="63" t="str">
        <f>'Necesidades Trimestrales'!F11</f>
        <v>UNIDAD</v>
      </c>
      <c r="J13" s="64">
        <f>'Necesidades Trimestrales'!H11</f>
        <v>2600</v>
      </c>
      <c r="K13" s="65">
        <f>'Necesidades Trimestrales'!G11</f>
        <v>30</v>
      </c>
    </row>
    <row r="14" spans="1:11" ht="60" customHeight="1" thickBot="1" x14ac:dyDescent="0.25">
      <c r="A14" s="8">
        <f>'Necesidades Trimestrales'!A12</f>
        <v>3</v>
      </c>
      <c r="B14" s="61" t="str">
        <f>'Necesidades Trimestrales'!B12</f>
        <v>2.9.6-1355.1988</v>
      </c>
      <c r="C14" s="116" t="str">
        <f>'Necesidades Trimestrales'!E12</f>
        <v>CARTUCHOS DE TINTA; CODIGO: 664, USO: HEWLET PACKARD</v>
      </c>
      <c r="D14" s="116"/>
      <c r="E14" s="116"/>
      <c r="F14" s="116"/>
      <c r="G14" s="116"/>
      <c r="H14" s="62" t="s">
        <v>84</v>
      </c>
      <c r="I14" s="63" t="str">
        <f>'Necesidades Trimestrales'!F12</f>
        <v>UNIDAD</v>
      </c>
      <c r="J14" s="64">
        <f>'Necesidades Trimestrales'!H12</f>
        <v>2600</v>
      </c>
      <c r="K14" s="65">
        <f>'Necesidades Trimestrales'!G12</f>
        <v>30</v>
      </c>
    </row>
    <row r="15" spans="1:11" ht="60" customHeight="1" thickBot="1" x14ac:dyDescent="0.25">
      <c r="A15" s="8">
        <f>'Necesidades Trimestrales'!A13</f>
        <v>4</v>
      </c>
      <c r="B15" s="61" t="str">
        <f>'Necesidades Trimestrales'!B13</f>
        <v>2.9.6-401.2228</v>
      </c>
      <c r="C15" s="116" t="str">
        <f>'Necesidades Trimestrales'!E13</f>
        <v>CARTUCHOS DE TONER; CODIGO: CF217A, USO: HP LASERJET MFP</v>
      </c>
      <c r="D15" s="116"/>
      <c r="E15" s="116"/>
      <c r="F15" s="116"/>
      <c r="G15" s="116"/>
      <c r="H15" s="62" t="s">
        <v>84</v>
      </c>
      <c r="I15" s="63" t="str">
        <f>'Necesidades Trimestrales'!F13</f>
        <v>UNIDAD</v>
      </c>
      <c r="J15" s="64">
        <f>'Necesidades Trimestrales'!H13</f>
        <v>1000</v>
      </c>
      <c r="K15" s="65">
        <f>'Necesidades Trimestrales'!G13</f>
        <v>20</v>
      </c>
    </row>
    <row r="16" spans="1:11" ht="60" customHeight="1" thickBot="1" x14ac:dyDescent="0.25">
      <c r="A16" s="8">
        <f>'Necesidades Trimestrales'!A14</f>
        <v>5</v>
      </c>
      <c r="B16" s="61" t="str">
        <f>'Necesidades Trimestrales'!B14</f>
        <v>2.9.6-1355.2065</v>
      </c>
      <c r="C16" s="116" t="str">
        <f>'Necesidades Trimestrales'!E14</f>
        <v>CARTUCHOS DE TINTA; CODIGO: 667XL - NEGRO,
USO: HP</v>
      </c>
      <c r="D16" s="116"/>
      <c r="E16" s="116"/>
      <c r="F16" s="116"/>
      <c r="G16" s="116"/>
      <c r="H16" s="62" t="s">
        <v>84</v>
      </c>
      <c r="I16" s="63" t="str">
        <f>'Necesidades Trimestrales'!F14</f>
        <v>UNIDAD</v>
      </c>
      <c r="J16" s="64">
        <f>'Necesidades Trimestrales'!H14</f>
        <v>3500</v>
      </c>
      <c r="K16" s="65">
        <f>'Necesidades Trimestrales'!G14</f>
        <v>20</v>
      </c>
    </row>
    <row r="17" spans="1:11" ht="60" customHeight="1" thickBot="1" x14ac:dyDescent="0.25">
      <c r="A17" s="8">
        <f>'Necesidades Trimestrales'!A15</f>
        <v>6</v>
      </c>
      <c r="B17" s="61" t="str">
        <f>'Necesidades Trimestrales'!B15</f>
        <v>2.9.6-1355.2066</v>
      </c>
      <c r="C17" s="116" t="str">
        <f>'Necesidades Trimestrales'!E15</f>
        <v>CARTUCHOS DE TINTA; CODIGO: 667XL -
TRICOLOR, USO: HP</v>
      </c>
      <c r="D17" s="116"/>
      <c r="E17" s="116"/>
      <c r="F17" s="116"/>
      <c r="G17" s="116"/>
      <c r="H17" s="62" t="s">
        <v>84</v>
      </c>
      <c r="I17" s="63" t="str">
        <f>'Necesidades Trimestrales'!F15</f>
        <v>UNIDAD</v>
      </c>
      <c r="J17" s="64">
        <f>'Necesidades Trimestrales'!H15</f>
        <v>3500</v>
      </c>
      <c r="K17" s="65">
        <f>'Necesidades Trimestrales'!G15</f>
        <v>20</v>
      </c>
    </row>
    <row r="18" spans="1:11" ht="36" customHeight="1" thickBot="1" x14ac:dyDescent="0.25">
      <c r="A18" s="121" t="s">
        <v>106</v>
      </c>
      <c r="B18" s="121"/>
      <c r="C18" s="121"/>
      <c r="D18" s="121"/>
      <c r="E18" s="121"/>
      <c r="F18" s="121"/>
      <c r="G18" s="121"/>
      <c r="H18" s="121"/>
      <c r="I18" s="121"/>
      <c r="J18" s="122">
        <f>SUMPRODUCT(J12:J17*K12:K17)</f>
        <v>316840</v>
      </c>
      <c r="K18" s="122"/>
    </row>
  </sheetData>
  <mergeCells count="28">
    <mergeCell ref="A18:I18"/>
    <mergeCell ref="J18:K18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3:G13"/>
    <mergeCell ref="C14:G14"/>
    <mergeCell ref="C15:G15"/>
    <mergeCell ref="C16:G16"/>
    <mergeCell ref="C17:G17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"/>
  <sheetViews>
    <sheetView topLeftCell="A13" zoomScale="130" zoomScaleNormal="130" workbookViewId="0">
      <selection activeCell="O29" sqref="O29"/>
    </sheetView>
  </sheetViews>
  <sheetFormatPr baseColWidth="10" defaultColWidth="11" defaultRowHeight="12.75" x14ac:dyDescent="0.2"/>
  <cols>
    <col min="1" max="6" width="4.425781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28" t="s">
        <v>3</v>
      </c>
      <c r="B1" s="128"/>
      <c r="C1" s="128"/>
      <c r="D1" s="129">
        <f>'Necesidades Trimestrales'!C6</f>
        <v>2021</v>
      </c>
      <c r="E1" s="129"/>
      <c r="F1" s="10"/>
      <c r="G1" s="10"/>
      <c r="H1" s="11"/>
      <c r="I1" s="11"/>
      <c r="J1" s="11"/>
      <c r="K1" s="11"/>
      <c r="L1" s="11"/>
      <c r="M1" s="11"/>
      <c r="N1" s="11"/>
      <c r="P1" s="130" t="s">
        <v>30</v>
      </c>
      <c r="Q1" s="130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30"/>
      <c r="Q2" s="130"/>
    </row>
    <row r="4" spans="1:17" s="12" customFormat="1" ht="18" customHeight="1" thickBot="1" x14ac:dyDescent="0.25">
      <c r="A4" s="131" t="s">
        <v>31</v>
      </c>
      <c r="B4" s="131"/>
      <c r="C4" s="131"/>
      <c r="D4" s="131"/>
      <c r="E4" s="131"/>
      <c r="F4" s="131"/>
      <c r="G4" s="132" t="str">
        <f>' NotaPedido'!D3</f>
        <v>40-Ministerio de Salud</v>
      </c>
      <c r="H4" s="132"/>
      <c r="I4" s="132"/>
      <c r="J4" s="132"/>
      <c r="K4" s="132"/>
      <c r="L4" s="132"/>
      <c r="M4" s="132"/>
      <c r="N4" s="132"/>
      <c r="O4" s="132"/>
      <c r="P4" s="132"/>
      <c r="Q4" s="132"/>
    </row>
    <row r="5" spans="1:17" s="12" customFormat="1" ht="18" customHeight="1" thickBot="1" x14ac:dyDescent="0.25">
      <c r="A5" s="133" t="s">
        <v>54</v>
      </c>
      <c r="B5" s="134"/>
      <c r="C5" s="134"/>
      <c r="D5" s="134"/>
      <c r="E5" s="134"/>
      <c r="F5" s="135"/>
      <c r="G5" s="132" t="str">
        <f>' NotaPedido'!D4</f>
        <v>28- Maternidad Provincial 25 de Mayo</v>
      </c>
      <c r="H5" s="132"/>
      <c r="I5" s="132"/>
      <c r="J5" s="132"/>
      <c r="K5" s="132"/>
      <c r="L5" s="132"/>
      <c r="M5" s="132"/>
      <c r="N5" s="132"/>
      <c r="O5" s="132"/>
      <c r="P5" s="132"/>
      <c r="Q5" s="132"/>
    </row>
    <row r="6" spans="1:17" s="12" customFormat="1" ht="18" customHeight="1" thickBot="1" x14ac:dyDescent="0.25">
      <c r="A6" s="133" t="s">
        <v>32</v>
      </c>
      <c r="B6" s="134"/>
      <c r="C6" s="134"/>
      <c r="D6" s="134"/>
      <c r="E6" s="134"/>
      <c r="F6" s="135"/>
      <c r="G6" s="132" t="str">
        <f>' NotaPedido'!D5</f>
        <v>171-Direccion de Administración</v>
      </c>
      <c r="H6" s="132"/>
      <c r="I6" s="132"/>
      <c r="J6" s="132"/>
      <c r="K6" s="132"/>
      <c r="L6" s="132"/>
      <c r="M6" s="132"/>
      <c r="N6" s="132"/>
      <c r="O6" s="132"/>
      <c r="P6" s="132"/>
      <c r="Q6" s="132"/>
    </row>
    <row r="7" spans="1:17" s="12" customFormat="1" ht="18" customHeight="1" thickBot="1" x14ac:dyDescent="0.25">
      <c r="A7" s="133" t="s">
        <v>55</v>
      </c>
      <c r="B7" s="134"/>
      <c r="C7" s="134"/>
      <c r="D7" s="134"/>
      <c r="E7" s="134"/>
      <c r="F7" s="135"/>
      <c r="G7" s="132" t="str">
        <f>' NotaPedido'!D6</f>
        <v>División Informática</v>
      </c>
      <c r="H7" s="132"/>
      <c r="I7" s="132"/>
      <c r="J7" s="132"/>
      <c r="K7" s="132"/>
      <c r="L7" s="132"/>
      <c r="M7" s="132"/>
      <c r="N7" s="132"/>
      <c r="O7" s="132"/>
      <c r="P7" s="132"/>
      <c r="Q7" s="132"/>
    </row>
    <row r="8" spans="1:17" ht="18" customHeight="1" thickBot="1" x14ac:dyDescent="0.25">
      <c r="A8" s="136" t="s">
        <v>33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</row>
    <row r="9" spans="1:17" ht="18" customHeight="1" x14ac:dyDescent="0.2">
      <c r="A9" s="140" t="s">
        <v>34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"/>
      <c r="P9" s="1"/>
      <c r="Q9" s="13"/>
    </row>
    <row r="10" spans="1:17" ht="54.75" customHeight="1" x14ac:dyDescent="0.2">
      <c r="A10" s="141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106/2021,  afectando la erogación resultante a los créditos presupuestarios aprobados a favor de esta Unidad Ejecutora, conforme al siguiente detalle:</v>
      </c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42" t="s">
        <v>35</v>
      </c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</row>
    <row r="13" spans="1:17" ht="15.75" customHeight="1" x14ac:dyDescent="0.2">
      <c r="A13" s="143" t="s">
        <v>36</v>
      </c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4" t="s">
        <v>37</v>
      </c>
      <c r="P13" s="144"/>
      <c r="Q13" s="145" t="s">
        <v>38</v>
      </c>
    </row>
    <row r="14" spans="1:17" ht="15.75" customHeight="1" thickBot="1" x14ac:dyDescent="0.25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44"/>
      <c r="P14" s="144"/>
      <c r="Q14" s="145"/>
    </row>
    <row r="15" spans="1:17" ht="30" customHeight="1" x14ac:dyDescent="0.2">
      <c r="A15" s="66">
        <v>42</v>
      </c>
      <c r="B15" s="67"/>
      <c r="C15" s="67"/>
      <c r="D15" s="67">
        <v>3</v>
      </c>
      <c r="E15" s="67"/>
      <c r="F15" s="67"/>
      <c r="G15" s="67">
        <v>1</v>
      </c>
      <c r="H15" s="67">
        <v>6</v>
      </c>
      <c r="I15" s="67">
        <v>2</v>
      </c>
      <c r="J15" s="67">
        <v>9</v>
      </c>
      <c r="K15" s="67">
        <v>2</v>
      </c>
      <c r="L15" s="67"/>
      <c r="M15" s="68">
        <v>1</v>
      </c>
      <c r="N15" s="69" t="s">
        <v>60</v>
      </c>
      <c r="O15" s="137" t="s">
        <v>89</v>
      </c>
      <c r="P15" s="138"/>
      <c r="Q15" s="23">
        <v>316840</v>
      </c>
    </row>
    <row r="16" spans="1:17" ht="17.25" customHeight="1" x14ac:dyDescent="0.2">
      <c r="A16" s="24"/>
      <c r="B16" s="25"/>
      <c r="C16" s="25"/>
      <c r="D16" s="25"/>
      <c r="E16" s="25"/>
      <c r="F16" s="27"/>
      <c r="G16" s="25"/>
      <c r="H16" s="25"/>
      <c r="I16" s="25"/>
      <c r="J16" s="25"/>
      <c r="K16" s="25"/>
      <c r="L16" s="25"/>
      <c r="M16" s="26"/>
      <c r="N16" s="27"/>
      <c r="O16" s="139"/>
      <c r="P16" s="139"/>
      <c r="Q16" s="28"/>
    </row>
    <row r="17" spans="1:18" ht="17.25" customHeight="1" x14ac:dyDescent="0.2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6"/>
      <c r="N17" s="27"/>
      <c r="O17" s="139"/>
      <c r="P17" s="139"/>
      <c r="Q17" s="28"/>
    </row>
    <row r="18" spans="1:18" ht="17.25" customHeight="1" x14ac:dyDescent="0.2">
      <c r="A18" s="24"/>
      <c r="B18" s="25"/>
      <c r="C18" s="25"/>
      <c r="D18" s="25"/>
      <c r="E18" s="25"/>
      <c r="F18" s="27"/>
      <c r="G18" s="25"/>
      <c r="H18" s="25"/>
      <c r="I18" s="25"/>
      <c r="J18" s="25"/>
      <c r="K18" s="25"/>
      <c r="L18" s="25"/>
      <c r="M18" s="26"/>
      <c r="N18" s="27"/>
      <c r="O18" s="139"/>
      <c r="P18" s="139"/>
      <c r="Q18" s="28"/>
    </row>
    <row r="19" spans="1:18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39"/>
      <c r="P19" s="139"/>
      <c r="Q19" s="28"/>
    </row>
    <row r="20" spans="1:18" ht="17.25" customHeight="1" x14ac:dyDescent="0.2">
      <c r="A20" s="29"/>
      <c r="B20" s="30"/>
      <c r="C20" s="30"/>
      <c r="D20" s="30"/>
      <c r="E20" s="30"/>
      <c r="F20" s="31"/>
      <c r="G20" s="30"/>
      <c r="H20" s="30"/>
      <c r="I20" s="30"/>
      <c r="J20" s="30"/>
      <c r="K20" s="30"/>
      <c r="L20" s="30"/>
      <c r="M20" s="32"/>
      <c r="N20" s="33"/>
      <c r="O20" s="152"/>
      <c r="P20" s="152"/>
      <c r="Q20" s="28"/>
      <c r="R20" s="1"/>
    </row>
    <row r="21" spans="1:18" ht="17.25" customHeight="1" x14ac:dyDescent="0.2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6"/>
      <c r="N21" s="35"/>
      <c r="O21" s="153"/>
      <c r="P21" s="153"/>
      <c r="Q21" s="37"/>
    </row>
    <row r="22" spans="1:18" ht="27.75" customHeight="1" x14ac:dyDescent="0.2">
      <c r="A22" s="154" t="s">
        <v>107</v>
      </c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38">
        <f>SUM(Q15:Q21)</f>
        <v>316840</v>
      </c>
    </row>
    <row r="23" spans="1:18" ht="18" customHeight="1" thickBot="1" x14ac:dyDescent="0.25">
      <c r="A23" s="155"/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</row>
    <row r="24" spans="1:18" ht="17.25" customHeight="1" thickBot="1" x14ac:dyDescent="0.25">
      <c r="A24" s="146" t="s">
        <v>52</v>
      </c>
      <c r="B24" s="147"/>
      <c r="C24" s="147"/>
      <c r="D24" s="147"/>
      <c r="E24" s="147"/>
      <c r="F24" s="148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</row>
    <row r="25" spans="1:18" ht="18" customHeight="1" thickBot="1" x14ac:dyDescent="0.25">
      <c r="A25" s="150" t="s">
        <v>92</v>
      </c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</row>
    <row r="26" spans="1:18" ht="15" customHeight="1" x14ac:dyDescent="0.2">
      <c r="A26" s="151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</row>
  </sheetData>
  <mergeCells count="30">
    <mergeCell ref="A24:F24"/>
    <mergeCell ref="G24:Q24"/>
    <mergeCell ref="A25:Q26"/>
    <mergeCell ref="O19:P19"/>
    <mergeCell ref="O20:P20"/>
    <mergeCell ref="O21:P21"/>
    <mergeCell ref="A22:P22"/>
    <mergeCell ref="A23:Q23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COMPRAS</cp:lastModifiedBy>
  <cp:revision>2</cp:revision>
  <cp:lastPrinted>2020-07-17T22:18:48Z</cp:lastPrinted>
  <dcterms:created xsi:type="dcterms:W3CDTF">2020-07-17T23:44:49Z</dcterms:created>
  <dcterms:modified xsi:type="dcterms:W3CDTF">2021-08-12T16:18:45Z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