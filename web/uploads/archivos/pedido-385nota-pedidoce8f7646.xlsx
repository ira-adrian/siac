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3 TRIMESTRE 2022\CONSOLIDADOS\POLLO\final\"/>
    </mc:Choice>
  </mc:AlternateContent>
  <xr:revisionPtr revIDLastSave="0" documentId="8_{6BFB2EC0-4F6D-434D-A4C3-8EBB1ED9B0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  <sheet name="Nota de Pedido" sheetId="2" r:id="rId2"/>
    <sheet name="APG" sheetId="3" r:id="rId3"/>
  </sheets>
  <definedNames>
    <definedName name="_xlnm.Print_Area" localSheetId="0">'Necesidades Trimestrales'!$A$2:$I$9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3" l="1"/>
  <c r="G6" i="3"/>
  <c r="Q23" i="3"/>
  <c r="K12" i="2"/>
  <c r="J12" i="2"/>
  <c r="I12" i="2"/>
  <c r="C12" i="2"/>
  <c r="B12" i="2"/>
  <c r="A12" i="2"/>
  <c r="D4" i="2"/>
  <c r="G5" i="3" s="1"/>
  <c r="D3" i="2"/>
  <c r="G4" i="3" s="1"/>
  <c r="J13" i="2" l="1"/>
  <c r="I10" i="1" l="1"/>
  <c r="I11" i="1" l="1"/>
</calcChain>
</file>

<file path=xl/sharedStrings.xml><?xml version="1.0" encoding="utf-8"?>
<sst xmlns="http://schemas.openxmlformats.org/spreadsheetml/2006/main" count="85" uniqueCount="80">
  <si>
    <t>Pedido de Necesidades Trimestrales</t>
  </si>
  <si>
    <t>JURISDICCION:</t>
  </si>
  <si>
    <t>90 - MINISTERIO DE SEGURIDAD</t>
  </si>
  <si>
    <t xml:space="preserve">SAF N°: </t>
  </si>
  <si>
    <t>8 - DIRECCION GENERAL SERVICIO PENITENCIARIO PROVINCIAL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</si>
  <si>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</si>
  <si>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</si>
  <si>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</si>
  <si>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</si>
  <si>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</si>
  <si>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</si>
  <si>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</si>
  <si>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</si>
  <si>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</si>
  <si>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</si>
  <si>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</si>
  <si>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ALIMENTOS</t>
  </si>
  <si>
    <t>2.1.1</t>
  </si>
  <si>
    <t>CAJA</t>
  </si>
  <si>
    <t>2.1.1-621.20</t>
  </si>
  <si>
    <t>AVES; TIPO: POLLO, PRESENTACION: CAJA X 22 Kg, EVISCERADO: SI, ELEM. TRANSPORTE: SIN, MATERIAL ELEM. TRANSPORTE: SIN, LIBRE DE GLUTEN: SIN VALOR</t>
  </si>
  <si>
    <t>COSTO TOTAL ESTIMADO ALIMENTOS PERECEDEROS</t>
  </si>
  <si>
    <t>ESPECIFICIDADES DE LOS ITEMS</t>
  </si>
  <si>
    <t xml:space="preserve"> Descripcion Técnica:</t>
  </si>
  <si>
    <r>
      <rPr>
        <b/>
        <sz val="10"/>
        <rFont val="Times New Roman"/>
        <family val="1"/>
        <charset val="1"/>
      </rPr>
      <t>Entrega y Forma de Pago:</t>
    </r>
    <r>
      <rPr>
        <sz val="10"/>
        <rFont val="Times New Roman"/>
        <family val="1"/>
        <charset val="1"/>
      </rPr>
      <t xml:space="preserve"> 
(Para todos los ítems)</t>
    </r>
  </si>
  <si>
    <t>Lugar de Entrega:</t>
  </si>
  <si>
    <t>Servicio Penitenciario Provincial, Ruta Nacional 38, km 558 Colonia del Valle.</t>
  </si>
  <si>
    <t>Calidad Mínima esperada</t>
  </si>
  <si>
    <t>Los productos deben ser de 1° calidad, según condiciones establecidas en nota (Condición de Calidad)</t>
  </si>
  <si>
    <t>Mantenimiento:</t>
  </si>
  <si>
    <t>45 días</t>
  </si>
  <si>
    <t>Garantía</t>
  </si>
  <si>
    <t>NOTA DE PEDIDO</t>
  </si>
  <si>
    <t>N°</t>
  </si>
  <si>
    <t xml:space="preserve">JURISDICCIÓN: </t>
  </si>
  <si>
    <t>SAF:</t>
  </si>
  <si>
    <t>UNIDAD EJECUTORA:</t>
  </si>
  <si>
    <t>SERVICIO PENITENCIARIO PROVINCIAL</t>
  </si>
  <si>
    <t xml:space="preserve">DEPENDENCIA SOLICITANTE: </t>
  </si>
  <si>
    <t>LOGISTICA</t>
  </si>
  <si>
    <t>PERIODO UTILIZACIÓN:</t>
  </si>
  <si>
    <t>3 MESES</t>
  </si>
  <si>
    <t>OBJETO:</t>
  </si>
  <si>
    <t>BIENES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</si>
  <si>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</si>
  <si>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</si>
  <si>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</si>
  <si>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</si>
  <si>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</si>
  <si>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</si>
  <si>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</si>
  <si>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</si>
  <si>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Costo total estimado</t>
  </si>
  <si>
    <t>AUTORIZACION PARA GASTAR</t>
  </si>
  <si>
    <t>JURISDICCIÓN:</t>
  </si>
  <si>
    <r>
      <t>AUTORIZACIÓN</t>
    </r>
    <r>
      <rPr>
        <b/>
        <sz val="10"/>
        <rFont val="Times New Roman"/>
        <family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</si>
  <si>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</si>
  <si>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</si>
  <si>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</si>
  <si>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</si>
  <si>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</si>
  <si>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</si>
  <si>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</si>
  <si>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</si>
  <si>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</si>
  <si>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</si>
  <si>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</si>
  <si>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</si>
  <si>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</si>
  <si>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</si>
  <si>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</si>
  <si>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</si>
  <si>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</si>
  <si>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</si>
  <si>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</si>
  <si>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Alimentos Para Personas</t>
  </si>
  <si>
    <t xml:space="preserve">TOTAL DE PESOS: </t>
  </si>
  <si>
    <t>JUSTIFICACIÓN:</t>
  </si>
  <si>
    <r>
      <t xml:space="preserve">Autorizo la realización de los trámites correspondientes los bienes y/o servicios que se detallan en la Nota de Pedido Nº </t>
    </r>
    <r>
      <rPr>
        <sz val="11"/>
        <color rgb="FFFF0000"/>
        <rFont val="Times New Roman"/>
        <family val="1"/>
      </rPr>
      <t>DOCFI-2022-01261626-CAT-SPC#SSD</t>
    </r>
    <r>
      <rPr>
        <sz val="11"/>
        <rFont val="Times New Roman"/>
        <family val="1"/>
      </rPr>
      <t>, afectando la erogación resultante a los créditos presupuestarios aprobados a favor de esta Unidad Ejecutora, conforme al siguiente detalle:</t>
    </r>
  </si>
  <si>
    <t>Las entregas se realizarán a requerimiento de acuerdo, a las Solicitudes de Provisión que se realicen. Se estima emitir una cantidad aproximada de 3 (Tres) Solicitudes de Provisión de 1/3 aprox. de la cantidad solicitada, en un plazo de 3 (Tres) meses: 1° Solic.de Provisión: aprox.a los 3 (Tres) dias hábiles de la firma del instrumento contractual. 2° Solic.de Provisión: al mes de la firma del instrumento contractual. 3° Solic.de Provisión: al los 2 (Dos) meses de la firma del instrumento contractual. Plazo de cumplimiento de cada Solicitud de Provisión: a los 2 días hábiles de notificada la misma, según necesidades del Organismo solicitante. Forma de Pago: Se solicita Pagos parciales por cada Solicitud de Provisión emitida, una vez finalizada la entrega de las cantidades contenidas en la misma.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</si>
</sst>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_-* #,##0.00&quot; €&quot;_-;\-* #,##0.00&quot; €&quot;_-;_-* \-??&quot; €&quot;_-;_-@_-"/>
    <numFmt numFmtId="165" formatCode="_-[$$-2C0A]\ * #,##0.00_-;\-[$$-2C0A]\ * #,##0.00_-;_-[$$-2C0A]\ * &quot;-&quot;??_-;_-@_-"/>
    <numFmt numFmtId="166" formatCode="[$$-2C0A]\ #,##0.00;[$$-2C0A]&quot; -&quot;#,##0.00"/>
    <numFmt numFmtId="167" formatCode="[$$-2C0A]\ #,##0.00"/>
    <numFmt numFmtId="168" formatCode="dd\-mm\-yy;@"/>
    <numFmt numFmtId="169" formatCode="_(\$* #,##0.00_);_(\$* \(#,##0.00\);_(\$* \-??_);_(@_)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b/>
      <u/>
      <sz val="10"/>
      <name val="Times New Roman"/>
      <family val="1"/>
      <charset val="1"/>
    </font>
    <font>
      <b/>
      <sz val="10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color theme="1"/>
      <name val="Calibri"/>
      <family val="2"/>
      <scheme val="minor"/>
    </font>
    <font>
      <b/>
      <u/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Times New Roman"/>
      <family val="1"/>
    </font>
    <font>
      <sz val="10"/>
      <name val="Arial"/>
      <family val="2"/>
      <charset val="1"/>
    </font>
    <font>
      <b/>
      <u/>
      <sz val="10"/>
      <name val="Times New Roman"/>
      <family val="1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/>
      <right style="medium">
        <color auto="1"/>
      </right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 style="medium">
        <color rgb="FF3D3D3D"/>
      </left>
      <right style="medium">
        <color rgb="FF3D3D3D"/>
      </right>
      <top style="medium">
        <color theme="1"/>
      </top>
      <bottom style="medium">
        <color rgb="FF3D3D3D"/>
      </bottom>
      <diagonal/>
    </border>
    <border>
      <left style="medium">
        <color rgb="FF3D3D3D"/>
      </left>
      <right style="medium">
        <color theme="1"/>
      </right>
      <top style="medium">
        <color theme="1"/>
      </top>
      <bottom style="medium">
        <color rgb="FF3D3D3D"/>
      </bottom>
      <diagonal/>
    </border>
    <border>
      <left style="medium">
        <color theme="1"/>
      </left>
      <right/>
      <top/>
      <bottom/>
      <diagonal/>
    </border>
    <border>
      <left style="medium">
        <color rgb="FF3D3D3D"/>
      </left>
      <right style="medium">
        <color theme="1"/>
      </right>
      <top style="medium">
        <color rgb="FF3D3D3D"/>
      </top>
      <bottom style="medium">
        <color rgb="FF3D3D3D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rgb="FF3D3D3D"/>
      </right>
      <top style="medium">
        <color theme="1"/>
      </top>
      <bottom/>
      <diagonal/>
    </border>
    <border>
      <left style="medium">
        <color rgb="FF3D3D3D"/>
      </left>
      <right style="medium">
        <color rgb="FF3D3D3D"/>
      </right>
      <top style="medium">
        <color theme="1"/>
      </top>
      <bottom/>
      <diagonal/>
    </border>
    <border>
      <left style="medium">
        <color rgb="FF3D3D3D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rgb="FF3D3D3D"/>
      </right>
      <top style="medium">
        <color theme="1"/>
      </top>
      <bottom style="medium">
        <color theme="1"/>
      </bottom>
      <diagonal/>
    </border>
    <border>
      <left style="medium">
        <color rgb="FF3D3D3D"/>
      </left>
      <right style="medium">
        <color rgb="FF3D3D3D"/>
      </right>
      <top style="medium">
        <color theme="1"/>
      </top>
      <bottom style="medium">
        <color theme="1"/>
      </bottom>
      <diagonal/>
    </border>
    <border>
      <left style="medium">
        <color rgb="FF3D3D3D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theme="1"/>
      </right>
      <top/>
      <bottom style="medium">
        <color rgb="FF3D3D3D"/>
      </bottom>
      <diagonal/>
    </border>
    <border>
      <left style="medium">
        <color theme="1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theme="1"/>
      </right>
      <top style="medium">
        <color rgb="FF3D3D3D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rgb="FF3D3D3D"/>
      </right>
      <top style="medium">
        <color theme="1"/>
      </top>
      <bottom/>
      <diagonal/>
    </border>
    <border>
      <left style="medium">
        <color theme="1"/>
      </left>
      <right style="thin">
        <color rgb="FF3D3D3D"/>
      </right>
      <top/>
      <bottom style="medium">
        <color theme="1"/>
      </bottom>
      <diagonal/>
    </border>
    <border>
      <left style="thin">
        <color rgb="FF3D3D3D"/>
      </left>
      <right style="thin">
        <color rgb="FF3D3D3D"/>
      </right>
      <top/>
      <bottom style="medium">
        <color theme="1"/>
      </bottom>
      <diagonal/>
    </border>
    <border>
      <left style="thin">
        <color rgb="FF3D3D3D"/>
      </left>
      <right/>
      <top/>
      <bottom style="medium">
        <color theme="1"/>
      </bottom>
      <diagonal/>
    </border>
    <border>
      <left style="medium">
        <color rgb="FF3D3D3D"/>
      </left>
      <right style="medium">
        <color theme="1" tint="0.249977111117893"/>
      </right>
      <top/>
      <bottom style="medium">
        <color theme="1"/>
      </bottom>
      <diagonal/>
    </border>
    <border>
      <left style="medium">
        <color theme="1" tint="0.249977111117893"/>
      </left>
      <right style="medium">
        <color rgb="FF3D3D3D"/>
      </right>
      <top style="medium">
        <color rgb="FF3D3D3D"/>
      </top>
      <bottom style="medium">
        <color theme="1"/>
      </bottom>
      <diagonal/>
    </border>
    <border>
      <left style="medium">
        <color rgb="FF3D3D3D"/>
      </left>
      <right style="medium">
        <color theme="1"/>
      </right>
      <top style="medium">
        <color rgb="FF3D3D3D"/>
      </top>
      <bottom style="medium">
        <color theme="1"/>
      </bottom>
      <diagonal/>
    </border>
    <border>
      <left/>
      <right style="medium">
        <color theme="1"/>
      </right>
      <top style="medium">
        <color rgb="FF3D3D3D"/>
      </top>
      <bottom style="medium">
        <color theme="1" tint="0.249977111117893"/>
      </bottom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/>
      <diagonal/>
    </border>
    <border>
      <left style="medium">
        <color theme="1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rgb="FF3D3D3D"/>
      </right>
      <top/>
      <bottom style="medium">
        <color theme="1"/>
      </bottom>
      <diagonal/>
    </border>
    <border>
      <left style="medium">
        <color rgb="FF3D3D3D"/>
      </left>
      <right style="medium">
        <color rgb="FF3D3D3D"/>
      </right>
      <top/>
      <bottom style="medium">
        <color theme="1"/>
      </bottom>
      <diagonal/>
    </border>
    <border>
      <left style="medium">
        <color rgb="FF3D3D3D"/>
      </left>
      <right style="medium">
        <color theme="1"/>
      </right>
      <top/>
      <bottom style="medium">
        <color theme="1"/>
      </bottom>
      <diagonal/>
    </border>
  </borders>
  <cellStyleXfs count="6">
    <xf numFmtId="0" fontId="0" fillId="0" borderId="0"/>
    <xf numFmtId="164" fontId="10" fillId="0" borderId="0" applyBorder="0" applyProtection="0"/>
    <xf numFmtId="0" fontId="10" fillId="0" borderId="0"/>
    <xf numFmtId="0" fontId="1" fillId="0" borderId="0"/>
    <xf numFmtId="44" fontId="1" fillId="0" borderId="0" applyFont="0" applyFill="0" applyBorder="0" applyAlignment="0" applyProtection="0"/>
    <xf numFmtId="169" fontId="25" fillId="0" borderId="0" applyBorder="0" applyProtection="0"/>
  </cellStyleXfs>
  <cellXfs count="154">
    <xf numFmtId="0" fontId="0" fillId="0" borderId="0" xfId="0"/>
    <xf numFmtId="0" fontId="2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0" borderId="0" xfId="0" applyFont="1" applyFill="1" applyAlignment="1">
      <alignment horizontal="left" wrapText="1" indent="1"/>
    </xf>
    <xf numFmtId="0" fontId="7" fillId="0" borderId="0" xfId="0" applyFont="1" applyFill="1" applyAlignment="1">
      <alignment horizontal="left" wrapText="1"/>
    </xf>
    <xf numFmtId="0" fontId="2" fillId="0" borderId="0" xfId="0" applyFont="1" applyBorder="1"/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2" fillId="0" borderId="0" xfId="0" applyFont="1"/>
    <xf numFmtId="0" fontId="2" fillId="0" borderId="0" xfId="0" applyFont="1" applyFill="1" applyBorder="1" applyAlignment="1"/>
    <xf numFmtId="165" fontId="2" fillId="0" borderId="0" xfId="0" applyNumberFormat="1" applyFont="1"/>
    <xf numFmtId="165" fontId="7" fillId="0" borderId="3" xfId="0" applyNumberFormat="1" applyFont="1" applyBorder="1" applyAlignment="1">
      <alignment horizontal="center" vertical="center" wrapText="1"/>
    </xf>
    <xf numFmtId="165" fontId="11" fillId="3" borderId="1" xfId="0" applyNumberFormat="1" applyFont="1" applyFill="1" applyBorder="1" applyAlignment="1">
      <alignment horizontal="center" vertical="center"/>
    </xf>
    <xf numFmtId="165" fontId="2" fillId="0" borderId="0" xfId="1" applyNumberFormat="1" applyFont="1" applyAlignment="1">
      <alignment vertical="center"/>
    </xf>
    <xf numFmtId="165" fontId="11" fillId="0" borderId="2" xfId="1" applyNumberFormat="1" applyFont="1" applyBorder="1" applyAlignment="1">
      <alignment horizontal="center" vertical="center" wrapText="1"/>
    </xf>
    <xf numFmtId="165" fontId="8" fillId="0" borderId="0" xfId="1" applyNumberFormat="1" applyFont="1" applyFill="1" applyBorder="1" applyAlignment="1" applyProtection="1">
      <alignment vertical="center"/>
    </xf>
    <xf numFmtId="0" fontId="2" fillId="0" borderId="0" xfId="0" applyFont="1" applyFill="1" applyBorder="1"/>
    <xf numFmtId="165" fontId="8" fillId="0" borderId="7" xfId="4" applyNumberFormat="1" applyFont="1" applyBorder="1" applyAlignment="1" applyProtection="1">
      <alignment vertical="center"/>
    </xf>
    <xf numFmtId="165" fontId="8" fillId="0" borderId="1" xfId="4" applyNumberFormat="1" applyFont="1" applyFill="1" applyBorder="1" applyAlignment="1" applyProtection="1">
      <alignment horizontal="right" vertical="center" wrapText="1"/>
    </xf>
    <xf numFmtId="0" fontId="14" fillId="0" borderId="8" xfId="2" applyFont="1" applyBorder="1" applyAlignment="1">
      <alignment horizontal="left" vertical="center"/>
    </xf>
    <xf numFmtId="0" fontId="15" fillId="0" borderId="0" xfId="2" applyFont="1" applyBorder="1"/>
    <xf numFmtId="0" fontId="7" fillId="0" borderId="2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right" vertical="center"/>
    </xf>
    <xf numFmtId="49" fontId="18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9" fillId="0" borderId="0" xfId="0" applyFont="1"/>
    <xf numFmtId="0" fontId="17" fillId="0" borderId="11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 inden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66" fontId="2" fillId="0" borderId="17" xfId="1" applyNumberFormat="1" applyFont="1" applyBorder="1" applyAlignment="1" applyProtection="1">
      <alignment horizontal="right" vertical="center" wrapText="1"/>
    </xf>
    <xf numFmtId="3" fontId="22" fillId="0" borderId="23" xfId="0" applyNumberFormat="1" applyFont="1" applyBorder="1"/>
    <xf numFmtId="168" fontId="0" fillId="0" borderId="23" xfId="0" applyNumberFormat="1" applyBorder="1" applyAlignment="1">
      <alignment horizontal="left"/>
    </xf>
    <xf numFmtId="0" fontId="0" fillId="0" borderId="23" xfId="0" applyBorder="1"/>
    <xf numFmtId="0" fontId="0" fillId="0" borderId="26" xfId="0" applyBorder="1"/>
    <xf numFmtId="0" fontId="0" fillId="0" borderId="0" xfId="0" applyAlignment="1">
      <alignment horizontal="left"/>
    </xf>
    <xf numFmtId="168" fontId="0" fillId="0" borderId="0" xfId="0" applyNumberFormat="1" applyAlignment="1">
      <alignment horizontal="left"/>
    </xf>
    <xf numFmtId="0" fontId="0" fillId="0" borderId="28" xfId="0" applyBorder="1"/>
    <xf numFmtId="0" fontId="25" fillId="0" borderId="0" xfId="0" applyFont="1"/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11" fillId="0" borderId="51" xfId="0" applyFont="1" applyBorder="1" applyAlignment="1">
      <alignment horizontal="left" vertical="center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9" fillId="0" borderId="57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166" fontId="19" fillId="2" borderId="58" xfId="5" applyNumberFormat="1" applyFont="1" applyFill="1" applyBorder="1" applyAlignment="1" applyProtection="1">
      <alignment horizontal="center" vertical="center"/>
    </xf>
    <xf numFmtId="166" fontId="19" fillId="0" borderId="59" xfId="5" applyNumberFormat="1" applyFont="1" applyBorder="1" applyAlignment="1" applyProtection="1">
      <alignment horizontal="center" vertical="center"/>
    </xf>
    <xf numFmtId="0" fontId="19" fillId="0" borderId="6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4" fillId="0" borderId="60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166" fontId="19" fillId="0" borderId="61" xfId="5" applyNumberFormat="1" applyFont="1" applyBorder="1" applyAlignment="1" applyProtection="1">
      <alignment horizontal="center" vertical="center"/>
    </xf>
    <xf numFmtId="166" fontId="11" fillId="0" borderId="64" xfId="0" applyNumberFormat="1" applyFont="1" applyBorder="1" applyAlignment="1">
      <alignment horizontal="center" vertical="center"/>
    </xf>
    <xf numFmtId="0" fontId="21" fillId="0" borderId="26" xfId="0" applyFont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0" borderId="28" xfId="0" applyFont="1" applyBorder="1"/>
    <xf numFmtId="0" fontId="2" fillId="0" borderId="17" xfId="0" applyFont="1" applyBorder="1" applyAlignment="1">
      <alignment horizontal="center" vertical="center" wrapText="1"/>
    </xf>
    <xf numFmtId="3" fontId="2" fillId="0" borderId="17" xfId="0" applyNumberFormat="1" applyFont="1" applyBorder="1" applyAlignment="1">
      <alignment horizontal="center" vertical="center" wrapText="1"/>
    </xf>
    <xf numFmtId="167" fontId="0" fillId="0" borderId="0" xfId="0" applyNumberFormat="1"/>
    <xf numFmtId="0" fontId="2" fillId="0" borderId="8" xfId="0" applyFont="1" applyBorder="1" applyAlignment="1">
      <alignment horizontal="left" wrapText="1"/>
    </xf>
    <xf numFmtId="0" fontId="2" fillId="0" borderId="8" xfId="0" applyFont="1" applyBorder="1" applyAlignment="1">
      <alignment horizontal="left"/>
    </xf>
    <xf numFmtId="0" fontId="15" fillId="0" borderId="8" xfId="2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3" fillId="0" borderId="8" xfId="2" applyFont="1" applyBorder="1" applyAlignment="1">
      <alignment horizontal="center" vertical="center"/>
    </xf>
    <xf numFmtId="0" fontId="14" fillId="0" borderId="8" xfId="2" applyFont="1" applyBorder="1" applyAlignment="1">
      <alignment horizontal="center" vertical="center"/>
    </xf>
    <xf numFmtId="0" fontId="14" fillId="0" borderId="8" xfId="2" applyFont="1" applyBorder="1" applyAlignment="1">
      <alignment horizontal="center" vertical="center" wrapText="1"/>
    </xf>
    <xf numFmtId="0" fontId="15" fillId="0" borderId="8" xfId="2" applyFont="1" applyBorder="1" applyAlignment="1">
      <alignment horizontal="left" wrapText="1"/>
    </xf>
    <xf numFmtId="0" fontId="3" fillId="0" borderId="0" xfId="0" applyFont="1" applyBorder="1" applyAlignment="1">
      <alignment horizontal="center"/>
    </xf>
    <xf numFmtId="0" fontId="5" fillId="0" borderId="0" xfId="0" applyFont="1" applyFill="1" applyBorder="1" applyAlignment="1">
      <alignment horizontal="left" wrapText="1" indent="1"/>
    </xf>
    <xf numFmtId="0" fontId="18" fillId="0" borderId="1" xfId="0" applyFont="1" applyBorder="1" applyAlignment="1">
      <alignment horizontal="center" vertical="center" wrapText="1"/>
    </xf>
    <xf numFmtId="167" fontId="18" fillId="0" borderId="1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left" wrapText="1"/>
    </xf>
    <xf numFmtId="0" fontId="21" fillId="0" borderId="16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/>
    </xf>
    <xf numFmtId="0" fontId="20" fillId="0" borderId="12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 indent="1"/>
    </xf>
    <xf numFmtId="0" fontId="20" fillId="0" borderId="13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 wrapText="1" indent="1"/>
    </xf>
    <xf numFmtId="0" fontId="17" fillId="0" borderId="0" xfId="0" applyFont="1" applyAlignment="1">
      <alignment horizontal="center" vertical="center"/>
    </xf>
    <xf numFmtId="0" fontId="19" fillId="0" borderId="8" xfId="0" applyFont="1" applyBorder="1" applyAlignment="1">
      <alignment horizontal="left" vertical="center"/>
    </xf>
    <xf numFmtId="0" fontId="11" fillId="0" borderId="62" xfId="0" applyFont="1" applyBorder="1" applyAlignment="1">
      <alignment horizontal="left" vertical="center" wrapText="1"/>
    </xf>
    <xf numFmtId="0" fontId="11" fillId="0" borderId="38" xfId="0" applyFont="1" applyBorder="1" applyAlignment="1">
      <alignment horizontal="left" vertical="center" wrapText="1"/>
    </xf>
    <xf numFmtId="0" fontId="11" fillId="0" borderId="63" xfId="0" applyFont="1" applyBorder="1" applyAlignment="1">
      <alignment horizontal="left" vertical="center" wrapText="1"/>
    </xf>
    <xf numFmtId="0" fontId="21" fillId="0" borderId="65" xfId="0" applyFont="1" applyBorder="1" applyAlignment="1">
      <alignment vertical="center" wrapText="1"/>
    </xf>
    <xf numFmtId="0" fontId="21" fillId="0" borderId="66" xfId="0" applyFont="1" applyBorder="1" applyAlignment="1">
      <alignment vertical="center" wrapText="1"/>
    </xf>
    <xf numFmtId="0" fontId="24" fillId="0" borderId="49" xfId="0" applyFont="1" applyBorder="1" applyAlignment="1">
      <alignment vertical="center" wrapText="1"/>
    </xf>
    <xf numFmtId="0" fontId="24" fillId="0" borderId="67" xfId="0" applyFont="1" applyBorder="1" applyAlignment="1">
      <alignment vertical="center" wrapText="1"/>
    </xf>
    <xf numFmtId="0" fontId="24" fillId="0" borderId="42" xfId="0" applyFont="1" applyBorder="1" applyAlignment="1">
      <alignment horizontal="left" vertical="center" wrapText="1"/>
    </xf>
    <xf numFmtId="0" fontId="24" fillId="0" borderId="43" xfId="0" applyFont="1" applyBorder="1" applyAlignment="1">
      <alignment horizontal="left" vertical="center" wrapText="1"/>
    </xf>
    <xf numFmtId="0" fontId="24" fillId="0" borderId="44" xfId="0" applyFont="1" applyBorder="1" applyAlignment="1">
      <alignment horizontal="left" vertical="center" wrapText="1"/>
    </xf>
    <xf numFmtId="0" fontId="24" fillId="0" borderId="68" xfId="0" applyFont="1" applyBorder="1" applyAlignment="1">
      <alignment horizontal="left" vertical="center" wrapText="1"/>
    </xf>
    <xf numFmtId="0" fontId="24" fillId="0" borderId="69" xfId="0" applyFont="1" applyBorder="1" applyAlignment="1">
      <alignment horizontal="left" vertical="center" wrapText="1"/>
    </xf>
    <xf numFmtId="0" fontId="24" fillId="0" borderId="70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0" xfId="0" applyFont="1" applyBorder="1" applyAlignment="1">
      <alignment horizontal="left" vertical="center" wrapText="1"/>
    </xf>
    <xf numFmtId="0" fontId="24" fillId="0" borderId="28" xfId="0" applyFont="1" applyBorder="1" applyAlignment="1">
      <alignment horizontal="left" vertical="center" wrapText="1"/>
    </xf>
    <xf numFmtId="0" fontId="24" fillId="0" borderId="40" xfId="0" applyFont="1" applyBorder="1" applyAlignment="1">
      <alignment horizontal="left" vertical="center" wrapText="1"/>
    </xf>
    <xf numFmtId="0" fontId="24" fillId="0" borderId="41" xfId="0" applyFont="1" applyBorder="1" applyAlignment="1">
      <alignment horizontal="left" vertical="center" wrapText="1"/>
    </xf>
    <xf numFmtId="0" fontId="24" fillId="0" borderId="48" xfId="0" applyFont="1" applyBorder="1" applyAlignment="1">
      <alignment horizontal="left" vertical="center" wrapText="1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0" fontId="24" fillId="0" borderId="45" xfId="0" applyFont="1" applyBorder="1" applyAlignment="1">
      <alignment horizontal="left"/>
    </xf>
    <xf numFmtId="0" fontId="24" fillId="0" borderId="46" xfId="0" applyFont="1" applyBorder="1" applyAlignment="1">
      <alignment horizontal="left"/>
    </xf>
    <xf numFmtId="0" fontId="24" fillId="0" borderId="47" xfId="0" applyFont="1" applyBorder="1" applyAlignment="1">
      <alignment horizontal="left"/>
    </xf>
    <xf numFmtId="0" fontId="16" fillId="0" borderId="20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3" fontId="22" fillId="0" borderId="22" xfId="0" applyNumberFormat="1" applyFont="1" applyBorder="1" applyAlignment="1">
      <alignment horizontal="center"/>
    </xf>
    <xf numFmtId="0" fontId="23" fillId="0" borderId="24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2" fillId="0" borderId="29" xfId="0" applyFont="1" applyBorder="1"/>
    <xf numFmtId="0" fontId="2" fillId="0" borderId="30" xfId="0" applyFont="1" applyBorder="1"/>
    <xf numFmtId="0" fontId="24" fillId="0" borderId="30" xfId="0" applyFont="1" applyBorder="1" applyAlignment="1">
      <alignment horizontal="left" indent="1"/>
    </xf>
    <xf numFmtId="0" fontId="24" fillId="0" borderId="31" xfId="0" applyFont="1" applyBorder="1" applyAlignment="1">
      <alignment horizontal="left" indent="1"/>
    </xf>
    <xf numFmtId="0" fontId="2" fillId="0" borderId="32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0" fontId="24" fillId="0" borderId="35" xfId="0" applyFont="1" applyBorder="1" applyAlignment="1">
      <alignment horizontal="left" indent="1"/>
    </xf>
    <xf numFmtId="0" fontId="24" fillId="0" borderId="36" xfId="0" applyFont="1" applyBorder="1" applyAlignment="1">
      <alignment horizontal="left" indent="1"/>
    </xf>
    <xf numFmtId="0" fontId="24" fillId="0" borderId="37" xfId="0" applyFont="1" applyBorder="1" applyAlignment="1">
      <alignment horizontal="left" indent="1"/>
    </xf>
    <xf numFmtId="0" fontId="24" fillId="0" borderId="9" xfId="0" applyFont="1" applyBorder="1" applyAlignment="1">
      <alignment horizontal="left" indent="1"/>
    </xf>
    <xf numFmtId="0" fontId="24" fillId="0" borderId="38" xfId="0" applyFont="1" applyBorder="1" applyAlignment="1">
      <alignment horizontal="left" indent="1"/>
    </xf>
    <xf numFmtId="0" fontId="24" fillId="0" borderId="39" xfId="0" applyFont="1" applyBorder="1" applyAlignment="1">
      <alignment horizontal="left" indent="1"/>
    </xf>
    <xf numFmtId="0" fontId="2" fillId="0" borderId="40" xfId="0" applyFont="1" applyBorder="1" applyAlignment="1">
      <alignment horizontal="left" vertical="center" wrapText="1"/>
    </xf>
    <xf numFmtId="0" fontId="2" fillId="0" borderId="41" xfId="0" applyFont="1" applyBorder="1" applyAlignment="1">
      <alignment horizontal="left" vertical="center" wrapText="1"/>
    </xf>
    <xf numFmtId="0" fontId="24" fillId="0" borderId="35" xfId="0" applyFont="1" applyBorder="1" applyAlignment="1">
      <alignment horizontal="left" vertical="center" indent="1"/>
    </xf>
    <xf numFmtId="0" fontId="24" fillId="0" borderId="36" xfId="0" applyFont="1" applyBorder="1" applyAlignment="1">
      <alignment horizontal="left" vertical="center" indent="1"/>
    </xf>
    <xf numFmtId="0" fontId="24" fillId="0" borderId="37" xfId="0" applyFont="1" applyBorder="1" applyAlignment="1">
      <alignment horizontal="left" vertical="center" indent="1"/>
    </xf>
    <xf numFmtId="0" fontId="26" fillId="0" borderId="42" xfId="0" applyFont="1" applyBorder="1" applyAlignment="1">
      <alignment horizontal="left"/>
    </xf>
    <xf numFmtId="0" fontId="26" fillId="0" borderId="43" xfId="0" applyFont="1" applyBorder="1" applyAlignment="1">
      <alignment horizontal="left"/>
    </xf>
    <xf numFmtId="0" fontId="26" fillId="0" borderId="44" xfId="0" applyFont="1" applyBorder="1" applyAlignment="1">
      <alignment horizontal="left"/>
    </xf>
  </cellXfs>
  <cellStyles count="6">
    <cellStyle name="Moneda" xfId="1" builtinId="4"/>
    <cellStyle name="Moneda 2" xfId="4" xr:uid="{D9AF2493-FC5D-4006-98B1-BA59691181D0}"/>
    <cellStyle name="Moneda_AUTORIZACION Y NOTA DE PEDIDO" xfId="5" xr:uid="{EAC522A4-8B2E-46FD-8535-CBCD1A886DF3}"/>
    <cellStyle name="Normal" xfId="0" builtinId="0"/>
    <cellStyle name="Normal 2" xfId="2" xr:uid="{00000000-0005-0000-0000-000002000000}"/>
    <cellStyle name="Normal 3" xfId="3" xr:uid="{3CC0C438-1FEF-4B5F-981E-FF126D89C8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57"/>
  <sheetViews>
    <sheetView tabSelected="1" zoomScale="90" zoomScaleNormal="90" workbookViewId="0">
      <selection activeCell="I25" sqref="I25"/>
    </sheetView>
  </sheetViews>
  <sheetFormatPr baseColWidth="10" defaultColWidth="11" defaultRowHeight="12.75" x14ac:dyDescent="0.2"/>
  <cols>
    <col min="1" max="1" width="4.5703125" style="1" customWidth="1"/>
    <col min="2" max="2" width="15.2851562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8" customWidth="1"/>
    <col min="9" max="9" width="18.5703125" style="15" customWidth="1"/>
    <col min="10" max="16384" width="11" style="1"/>
  </cols>
  <sheetData>
    <row r="2" spans="1:11" ht="27" x14ac:dyDescent="0.35">
      <c r="B2" s="78" t="s">
        <v>0</v>
      </c>
      <c r="C2" s="78"/>
      <c r="D2" s="78"/>
      <c r="E2" s="78"/>
      <c r="F2" s="78"/>
      <c r="G2" s="78"/>
      <c r="H2" s="78"/>
    </row>
    <row r="4" spans="1:11" ht="18" customHeight="1" x14ac:dyDescent="0.25">
      <c r="A4" s="70" t="s">
        <v>1</v>
      </c>
      <c r="B4" s="70"/>
      <c r="C4" s="79" t="s">
        <v>2</v>
      </c>
      <c r="D4" s="79"/>
      <c r="E4" s="79"/>
      <c r="F4" s="2"/>
      <c r="G4" s="3"/>
    </row>
    <row r="5" spans="1:11" ht="18" customHeight="1" x14ac:dyDescent="0.25">
      <c r="A5" s="70" t="s">
        <v>3</v>
      </c>
      <c r="B5" s="70"/>
      <c r="C5" s="79" t="s">
        <v>4</v>
      </c>
      <c r="D5" s="79"/>
      <c r="E5" s="79"/>
      <c r="F5" s="2"/>
      <c r="G5" s="3"/>
    </row>
    <row r="6" spans="1:11" ht="16.5" customHeight="1" x14ac:dyDescent="0.25">
      <c r="A6" s="70" t="s">
        <v>5</v>
      </c>
      <c r="B6" s="70"/>
      <c r="C6" s="4">
        <v>2022</v>
      </c>
      <c r="D6" s="5"/>
      <c r="E6" s="5"/>
      <c r="F6" s="2"/>
      <c r="G6" s="3"/>
    </row>
    <row r="7" spans="1:11" ht="16.5" customHeight="1" x14ac:dyDescent="0.25">
      <c r="A7" s="70" t="s">
        <v>6</v>
      </c>
      <c r="B7" s="70"/>
      <c r="C7" s="4">
        <v>3</v>
      </c>
      <c r="D7" s="5"/>
      <c r="E7" s="5"/>
      <c r="F7" s="2"/>
      <c r="G7" s="3"/>
    </row>
    <row r="8" spans="1:11" ht="13.5" thickBot="1" x14ac:dyDescent="0.25">
      <c r="B8" s="2"/>
      <c r="C8" s="3"/>
      <c r="D8" s="2"/>
      <c r="E8" s="2"/>
      <c r="F8" s="2"/>
      <c r="G8" s="3"/>
    </row>
    <row r="9" spans="1:11" ht="46.5" customHeight="1" thickBot="1" x14ac:dyDescent="0.25">
      <c r="A9" s="12" t="s">
        <v>7</v>
      </c>
      <c r="B9" s="11" t="s">
        <v>8</v>
      </c>
      <c r="C9" s="11" t="s">
        <v>9</v>
      </c>
      <c r="D9" s="11" t="s">
        <v>10</v>
      </c>
      <c r="E9" s="26" t="s">
        <v>11</v>
      </c>
      <c r="F9" s="11" t="s">
        <v>12</v>
      </c>
      <c r="G9" s="11" t="s">
        <v>13</v>
      </c>
      <c r="H9" s="19" t="s">
        <v>14</v>
      </c>
      <c r="I9" s="16" t="s">
        <v>15</v>
      </c>
    </row>
    <row r="10" spans="1:11" ht="24.75" thickBot="1" x14ac:dyDescent="0.25">
      <c r="A10" s="7">
        <v>1</v>
      </c>
      <c r="B10" s="8" t="s">
        <v>19</v>
      </c>
      <c r="C10" s="9" t="s">
        <v>16</v>
      </c>
      <c r="D10" s="8" t="s">
        <v>17</v>
      </c>
      <c r="E10" s="9" t="s">
        <v>20</v>
      </c>
      <c r="F10" s="10" t="s">
        <v>18</v>
      </c>
      <c r="G10" s="10">
        <v>300</v>
      </c>
      <c r="H10" s="22">
        <v>10000</v>
      </c>
      <c r="I10" s="23">
        <f t="shared" ref="I10" si="0">G10*H10</f>
        <v>3000000</v>
      </c>
      <c r="J10" s="20"/>
      <c r="K10" s="21"/>
    </row>
    <row r="11" spans="1:11" s="13" customFormat="1" ht="13.5" thickBot="1" x14ac:dyDescent="0.25">
      <c r="A11" s="71" t="s">
        <v>21</v>
      </c>
      <c r="B11" s="72"/>
      <c r="C11" s="72"/>
      <c r="D11" s="72"/>
      <c r="E11" s="72"/>
      <c r="F11" s="72"/>
      <c r="G11" s="72"/>
      <c r="H11" s="73"/>
      <c r="I11" s="17">
        <f>SUM(I10:I10)</f>
        <v>3000000</v>
      </c>
    </row>
    <row r="13" spans="1:11" x14ac:dyDescent="0.2">
      <c r="C13" s="74" t="s">
        <v>22</v>
      </c>
      <c r="D13" s="74"/>
      <c r="E13" s="74"/>
      <c r="F13" s="25"/>
    </row>
    <row r="14" spans="1:11" x14ac:dyDescent="0.2">
      <c r="C14" s="75" t="s">
        <v>23</v>
      </c>
      <c r="D14" s="67"/>
      <c r="E14" s="68"/>
      <c r="F14" s="25"/>
    </row>
    <row r="15" spans="1:11" x14ac:dyDescent="0.2">
      <c r="C15" s="75"/>
      <c r="D15" s="68"/>
      <c r="E15" s="68"/>
      <c r="F15" s="25"/>
    </row>
    <row r="16" spans="1:11" x14ac:dyDescent="0.2">
      <c r="C16" s="75"/>
      <c r="D16" s="68"/>
      <c r="E16" s="68"/>
      <c r="F16" s="25"/>
    </row>
    <row r="17" spans="3:6" ht="28.5" customHeight="1" x14ac:dyDescent="0.2">
      <c r="C17" s="75"/>
      <c r="D17" s="68"/>
      <c r="E17" s="68"/>
      <c r="F17" s="6"/>
    </row>
    <row r="18" spans="3:6" x14ac:dyDescent="0.2">
      <c r="C18" s="76" t="s">
        <v>24</v>
      </c>
      <c r="D18" s="77" t="s">
        <v>79</v>
      </c>
      <c r="E18" s="77"/>
    </row>
    <row r="19" spans="3:6" x14ac:dyDescent="0.2">
      <c r="C19" s="76"/>
      <c r="D19" s="77"/>
      <c r="E19" s="77"/>
    </row>
    <row r="20" spans="3:6" x14ac:dyDescent="0.2">
      <c r="C20" s="76"/>
      <c r="D20" s="77"/>
      <c r="E20" s="77"/>
    </row>
    <row r="21" spans="3:6" x14ac:dyDescent="0.2">
      <c r="C21" s="76"/>
      <c r="D21" s="77"/>
      <c r="E21" s="77"/>
    </row>
    <row r="22" spans="3:6" x14ac:dyDescent="0.2">
      <c r="C22" s="76"/>
      <c r="D22" s="77"/>
      <c r="E22" s="77"/>
    </row>
    <row r="23" spans="3:6" x14ac:dyDescent="0.2">
      <c r="C23" s="76"/>
      <c r="D23" s="77"/>
      <c r="E23" s="77"/>
    </row>
    <row r="24" spans="3:6" x14ac:dyDescent="0.2">
      <c r="C24" s="76"/>
      <c r="D24" s="77"/>
      <c r="E24" s="77"/>
    </row>
    <row r="25" spans="3:6" x14ac:dyDescent="0.2">
      <c r="C25" s="76"/>
      <c r="D25" s="77"/>
      <c r="E25" s="77"/>
    </row>
    <row r="26" spans="3:6" ht="12.75" customHeight="1" x14ac:dyDescent="0.2">
      <c r="C26" s="24" t="s">
        <v>25</v>
      </c>
      <c r="D26" s="69" t="s">
        <v>26</v>
      </c>
      <c r="E26" s="69"/>
    </row>
    <row r="27" spans="3:6" ht="12.75" customHeight="1" x14ac:dyDescent="0.2">
      <c r="C27" s="24" t="s">
        <v>27</v>
      </c>
      <c r="D27" s="69" t="s">
        <v>28</v>
      </c>
      <c r="E27" s="69"/>
    </row>
    <row r="28" spans="3:6" x14ac:dyDescent="0.2">
      <c r="C28" s="24" t="s">
        <v>29</v>
      </c>
      <c r="D28" s="69" t="s">
        <v>30</v>
      </c>
      <c r="E28" s="69"/>
    </row>
    <row r="29" spans="3:6" x14ac:dyDescent="0.2">
      <c r="C29" s="24" t="s">
        <v>31</v>
      </c>
      <c r="D29" s="69"/>
      <c r="E29" s="69"/>
    </row>
    <row r="44" ht="12.75" customHeight="1" x14ac:dyDescent="0.2"/>
    <row r="47" ht="12.75" customHeight="1" x14ac:dyDescent="0.2"/>
    <row r="50" ht="13.5" customHeight="1" x14ac:dyDescent="0.2"/>
    <row r="51" ht="18" customHeight="1" x14ac:dyDescent="0.2"/>
    <row r="53" ht="17.25" customHeight="1" x14ac:dyDescent="0.2"/>
    <row r="58" ht="12.75" customHeight="1" x14ac:dyDescent="0.2"/>
    <row r="68" ht="12.75" customHeight="1" x14ac:dyDescent="0.2"/>
    <row r="78" ht="12.75" customHeight="1" x14ac:dyDescent="0.2"/>
    <row r="87" ht="12.75" customHeight="1" x14ac:dyDescent="0.2"/>
    <row r="89" ht="12.75" customHeight="1" x14ac:dyDescent="0.2"/>
    <row r="95" ht="12.75" customHeight="1" x14ac:dyDescent="0.2"/>
    <row r="105" ht="12.75" customHeight="1" x14ac:dyDescent="0.2"/>
    <row r="110" ht="12.75" customHeight="1" x14ac:dyDescent="0.2"/>
    <row r="122" ht="12.75" customHeight="1" x14ac:dyDescent="0.2"/>
    <row r="123" ht="13.5" customHeight="1" x14ac:dyDescent="0.2"/>
    <row r="131" ht="12.75" customHeight="1" x14ac:dyDescent="0.2"/>
    <row r="146" spans="2:2" ht="12.75" customHeight="1" x14ac:dyDescent="0.2"/>
    <row r="150" spans="2:2" ht="12.75" customHeight="1" x14ac:dyDescent="0.2"/>
    <row r="151" spans="2:2" x14ac:dyDescent="0.2">
      <c r="B151" s="6"/>
    </row>
    <row r="152" spans="2:2" ht="12.75" customHeight="1" x14ac:dyDescent="0.2">
      <c r="B152" s="6"/>
    </row>
    <row r="153" spans="2:2" x14ac:dyDescent="0.2">
      <c r="B153" s="6"/>
    </row>
    <row r="154" spans="2:2" ht="12.75" customHeight="1" x14ac:dyDescent="0.2">
      <c r="B154" s="6"/>
    </row>
    <row r="155" spans="2:2" x14ac:dyDescent="0.2">
      <c r="B155" s="6"/>
    </row>
    <row r="156" spans="2:2" x14ac:dyDescent="0.2">
      <c r="B156" s="14"/>
    </row>
    <row r="157" spans="2:2" x14ac:dyDescent="0.2">
      <c r="B157" s="14"/>
    </row>
    <row r="158" spans="2:2" x14ac:dyDescent="0.2">
      <c r="B158" s="6"/>
    </row>
    <row r="159" spans="2:2" x14ac:dyDescent="0.2">
      <c r="B159" s="6"/>
    </row>
    <row r="160" spans="2:2" x14ac:dyDescent="0.2">
      <c r="B160" s="6"/>
    </row>
    <row r="161" spans="2:2" x14ac:dyDescent="0.2">
      <c r="B161" s="6"/>
    </row>
    <row r="162" spans="2:2" x14ac:dyDescent="0.2">
      <c r="B162" s="6"/>
    </row>
    <row r="163" spans="2:2" x14ac:dyDescent="0.2">
      <c r="B163" s="6"/>
    </row>
    <row r="164" spans="2:2" x14ac:dyDescent="0.2">
      <c r="B164" s="6"/>
    </row>
    <row r="173" spans="2:2" ht="12.75" customHeight="1" x14ac:dyDescent="0.2"/>
    <row r="180" ht="12.75" customHeight="1" x14ac:dyDescent="0.2"/>
    <row r="192" ht="12.75" customHeight="1" x14ac:dyDescent="0.2"/>
    <row r="194" ht="12.75" customHeight="1" x14ac:dyDescent="0.2"/>
    <row r="215" ht="12.75" customHeight="1" x14ac:dyDescent="0.2"/>
    <row r="236" ht="12.75" customHeight="1" x14ac:dyDescent="0.2"/>
    <row r="257" ht="12.75" customHeight="1" x14ac:dyDescent="0.2"/>
  </sheetData>
  <mergeCells count="17">
    <mergeCell ref="B2:H2"/>
    <mergeCell ref="A4:B4"/>
    <mergeCell ref="C4:E4"/>
    <mergeCell ref="A5:B5"/>
    <mergeCell ref="C5:E5"/>
    <mergeCell ref="D14:E17"/>
    <mergeCell ref="D28:E28"/>
    <mergeCell ref="D29:E29"/>
    <mergeCell ref="A7:B7"/>
    <mergeCell ref="A6:B6"/>
    <mergeCell ref="A11:H11"/>
    <mergeCell ref="C13:E13"/>
    <mergeCell ref="C14:C17"/>
    <mergeCell ref="C18:C25"/>
    <mergeCell ref="D18:E25"/>
    <mergeCell ref="D26:E26"/>
    <mergeCell ref="D27:E27"/>
  </mergeCells>
  <pageMargins left="0.7" right="0.7" top="0.75" bottom="0.75" header="0.51180555555555496" footer="0.51180555555555496"/>
  <pageSetup paperSize="9"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D794-02B4-49CB-A76D-FC2559BFEC8D}">
  <dimension ref="A1:AMK13"/>
  <sheetViews>
    <sheetView zoomScale="90" zoomScaleNormal="90" workbookViewId="0">
      <selection activeCell="C12" sqref="C12:G12"/>
    </sheetView>
  </sheetViews>
  <sheetFormatPr baseColWidth="10" defaultColWidth="9.140625" defaultRowHeight="15" x14ac:dyDescent="0.25"/>
  <cols>
    <col min="1" max="1" width="5.5703125" style="29" customWidth="1"/>
    <col min="2" max="2" width="15.140625" style="29" customWidth="1"/>
    <col min="3" max="3" width="14.140625" style="29" customWidth="1"/>
    <col min="4" max="4" width="26" style="29" customWidth="1"/>
    <col min="5" max="5" width="8" style="29" customWidth="1"/>
    <col min="6" max="6" width="7.85546875" style="29" customWidth="1"/>
    <col min="7" max="7" width="39.42578125" style="29" customWidth="1"/>
    <col min="8" max="8" width="9.28515625" style="29" customWidth="1"/>
    <col min="9" max="9" width="10.140625" style="29" customWidth="1"/>
    <col min="10" max="10" width="11.28515625" style="29" customWidth="1"/>
    <col min="11" max="11" width="15.5703125" style="29" customWidth="1"/>
    <col min="12" max="14" width="5.85546875" style="29" customWidth="1"/>
    <col min="15" max="15" width="12.5703125" style="29" customWidth="1"/>
    <col min="16" max="1025" width="9.140625" style="29"/>
    <col min="1026" max="16384" width="9.140625" style="30"/>
  </cols>
  <sheetData>
    <row r="1" spans="1:11" ht="16.5" thickBot="1" x14ac:dyDescent="0.3">
      <c r="A1" s="91" t="s">
        <v>32</v>
      </c>
      <c r="B1" s="91"/>
      <c r="C1" s="91"/>
      <c r="D1" s="91"/>
      <c r="E1" s="91"/>
      <c r="F1" s="91"/>
      <c r="G1" s="91"/>
      <c r="H1" s="91"/>
      <c r="I1" s="91"/>
      <c r="J1" s="27" t="s">
        <v>33</v>
      </c>
      <c r="K1" s="28"/>
    </row>
    <row r="2" spans="1:11" ht="16.5" thickBot="1" x14ac:dyDescent="0.3">
      <c r="A2" s="31"/>
      <c r="B2" s="31"/>
      <c r="C2" s="31"/>
      <c r="D2" s="32"/>
      <c r="E2" s="32"/>
      <c r="F2" s="32"/>
      <c r="G2" s="32"/>
      <c r="H2" s="32"/>
      <c r="I2" s="32"/>
      <c r="J2" s="32"/>
      <c r="K2" s="32"/>
    </row>
    <row r="3" spans="1:11" ht="16.5" thickBot="1" x14ac:dyDescent="0.3">
      <c r="A3" s="86" t="s">
        <v>34</v>
      </c>
      <c r="B3" s="86"/>
      <c r="C3" s="86"/>
      <c r="D3" s="87" t="str">
        <f>'Necesidades Trimestrales'!C4</f>
        <v>90 - MINISTERIO DE SEGURIDAD</v>
      </c>
      <c r="E3" s="87"/>
      <c r="F3" s="87"/>
      <c r="G3" s="87"/>
      <c r="H3" s="87"/>
      <c r="I3" s="87"/>
      <c r="J3" s="87"/>
      <c r="K3" s="87"/>
    </row>
    <row r="4" spans="1:11" ht="16.5" thickBot="1" x14ac:dyDescent="0.3">
      <c r="A4" s="88" t="s">
        <v>35</v>
      </c>
      <c r="B4" s="88"/>
      <c r="C4" s="88"/>
      <c r="D4" s="87" t="str">
        <f>'Necesidades Trimestrales'!C5</f>
        <v>8 - DIRECCION GENERAL SERVICIO PENITENCIARIO PROVINCIAL</v>
      </c>
      <c r="E4" s="87"/>
      <c r="F4" s="87"/>
      <c r="G4" s="87"/>
      <c r="H4" s="87"/>
      <c r="I4" s="87"/>
      <c r="J4" s="87"/>
      <c r="K4" s="87"/>
    </row>
    <row r="5" spans="1:11" ht="16.5" thickBot="1" x14ac:dyDescent="0.3">
      <c r="A5" s="88" t="s">
        <v>36</v>
      </c>
      <c r="B5" s="88"/>
      <c r="C5" s="88"/>
      <c r="D5" s="87" t="s">
        <v>37</v>
      </c>
      <c r="E5" s="87"/>
      <c r="F5" s="87"/>
      <c r="G5" s="87"/>
      <c r="H5" s="87"/>
      <c r="I5" s="87"/>
      <c r="J5" s="87"/>
      <c r="K5" s="87"/>
    </row>
    <row r="6" spans="1:11" ht="16.5" thickBot="1" x14ac:dyDescent="0.3">
      <c r="A6" s="86" t="s">
        <v>38</v>
      </c>
      <c r="B6" s="86"/>
      <c r="C6" s="86"/>
      <c r="D6" s="87" t="s">
        <v>39</v>
      </c>
      <c r="E6" s="87"/>
      <c r="F6" s="87"/>
      <c r="G6" s="87"/>
      <c r="H6" s="87"/>
      <c r="I6" s="87"/>
      <c r="J6" s="87"/>
      <c r="K6" s="87"/>
    </row>
    <row r="7" spans="1:11" ht="16.5" thickBot="1" x14ac:dyDescent="0.3">
      <c r="A7" s="88" t="s">
        <v>40</v>
      </c>
      <c r="B7" s="88"/>
      <c r="C7" s="88"/>
      <c r="D7" s="87" t="s">
        <v>41</v>
      </c>
      <c r="E7" s="87"/>
      <c r="F7" s="87"/>
      <c r="G7" s="87"/>
      <c r="H7" s="87"/>
      <c r="I7" s="87"/>
      <c r="J7" s="87"/>
      <c r="K7" s="87"/>
    </row>
    <row r="8" spans="1:11" ht="16.5" thickBot="1" x14ac:dyDescent="0.3">
      <c r="A8" s="89" t="s">
        <v>42</v>
      </c>
      <c r="B8" s="89"/>
      <c r="C8" s="89"/>
      <c r="D8" s="90" t="s">
        <v>43</v>
      </c>
      <c r="E8" s="90"/>
      <c r="F8" s="90"/>
      <c r="G8" s="90"/>
      <c r="H8" s="90"/>
      <c r="I8" s="90"/>
      <c r="J8" s="90"/>
      <c r="K8" s="90"/>
    </row>
    <row r="9" spans="1:11" ht="16.5" thickBot="1" x14ac:dyDescent="0.3">
      <c r="A9" s="33"/>
      <c r="B9" s="33"/>
      <c r="C9" s="33"/>
      <c r="D9" s="34"/>
      <c r="E9" s="34"/>
      <c r="F9" s="34"/>
      <c r="G9" s="34"/>
      <c r="H9" s="34"/>
      <c r="I9" s="34"/>
      <c r="J9" s="34"/>
      <c r="K9" s="34"/>
    </row>
    <row r="10" spans="1:11" ht="18.75" customHeight="1" thickBot="1" x14ac:dyDescent="0.3">
      <c r="A10" s="85" t="s">
        <v>44</v>
      </c>
      <c r="B10" s="84" t="s">
        <v>45</v>
      </c>
      <c r="C10" s="84" t="s">
        <v>46</v>
      </c>
      <c r="D10" s="84"/>
      <c r="E10" s="84"/>
      <c r="F10" s="84"/>
      <c r="G10" s="84"/>
      <c r="H10" s="84" t="s">
        <v>47</v>
      </c>
      <c r="I10" s="84" t="s">
        <v>48</v>
      </c>
      <c r="J10" s="84" t="s">
        <v>49</v>
      </c>
      <c r="K10" s="82" t="s">
        <v>50</v>
      </c>
    </row>
    <row r="11" spans="1:11" ht="24" customHeight="1" thickBot="1" x14ac:dyDescent="0.3">
      <c r="A11" s="85"/>
      <c r="B11" s="84"/>
      <c r="C11" s="84"/>
      <c r="D11" s="84"/>
      <c r="E11" s="84"/>
      <c r="F11" s="84"/>
      <c r="G11" s="84"/>
      <c r="H11" s="84"/>
      <c r="I11" s="84"/>
      <c r="J11" s="84"/>
      <c r="K11" s="82"/>
    </row>
    <row r="12" spans="1:11" ht="31.5" customHeight="1" thickBot="1" x14ac:dyDescent="0.3">
      <c r="A12" s="64">
        <f>'Necesidades Trimestrales'!A10</f>
        <v>1</v>
      </c>
      <c r="B12" s="35" t="str">
        <f>'Necesidades Trimestrales'!B10</f>
        <v>2.1.1-621.20</v>
      </c>
      <c r="C12" s="83" t="str">
        <f>'Necesidades Trimestrales'!E10</f>
        <v>AVES; TIPO: POLLO, PRESENTACION: CAJA X 22 Kg, EVISCERADO: SI, ELEM. TRANSPORTE: SIN, MATERIAL ELEM. TRANSPORTE: SIN, LIBRE DE GLUTEN: SIN VALOR</v>
      </c>
      <c r="D12" s="83"/>
      <c r="E12" s="83"/>
      <c r="F12" s="83"/>
      <c r="G12" s="83"/>
      <c r="H12" s="64" t="s">
        <v>51</v>
      </c>
      <c r="I12" s="36" t="str">
        <f>'Necesidades Trimestrales'!F10</f>
        <v>CAJA</v>
      </c>
      <c r="J12" s="37">
        <f>'Necesidades Trimestrales'!H10</f>
        <v>10000</v>
      </c>
      <c r="K12" s="65">
        <f>'Necesidades Trimestrales'!G10</f>
        <v>300</v>
      </c>
    </row>
    <row r="13" spans="1:11" ht="16.5" thickBot="1" x14ac:dyDescent="0.3">
      <c r="A13" s="80" t="s">
        <v>52</v>
      </c>
      <c r="B13" s="80"/>
      <c r="C13" s="80"/>
      <c r="D13" s="80"/>
      <c r="E13" s="80"/>
      <c r="F13" s="80"/>
      <c r="G13" s="80"/>
      <c r="H13" s="80"/>
      <c r="I13" s="80"/>
      <c r="J13" s="81">
        <f>SUMPRODUCT(J12:J12,K12:K12)</f>
        <v>3000000</v>
      </c>
      <c r="K13" s="81"/>
    </row>
  </sheetData>
  <mergeCells count="23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3:I13"/>
    <mergeCell ref="J13:K13"/>
    <mergeCell ref="K10:K11"/>
    <mergeCell ref="C12:G12"/>
    <mergeCell ref="J10:J11"/>
    <mergeCell ref="A10:A11"/>
    <mergeCell ref="B10:B11"/>
    <mergeCell ref="C10:G11"/>
    <mergeCell ref="H10:H11"/>
    <mergeCell ref="I10:I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CB1E-3DC5-4950-A618-5DE630E148AD}">
  <dimension ref="A1:S27"/>
  <sheetViews>
    <sheetView workbookViewId="0">
      <selection activeCell="A10" sqref="A10:Q11"/>
    </sheetView>
  </sheetViews>
  <sheetFormatPr baseColWidth="10" defaultColWidth="9.140625" defaultRowHeight="12.75" x14ac:dyDescent="0.2"/>
  <cols>
    <col min="1" max="2" width="3.5703125" bestFit="1" customWidth="1"/>
    <col min="3" max="3" width="3.42578125" bestFit="1" customWidth="1"/>
    <col min="4" max="4" width="3.5703125" bestFit="1" customWidth="1"/>
    <col min="5" max="5" width="3.7109375" bestFit="1" customWidth="1"/>
    <col min="6" max="6" width="5" bestFit="1" customWidth="1"/>
    <col min="7" max="7" width="4" style="42" bestFit="1" customWidth="1"/>
    <col min="8" max="8" width="4.7109375" bestFit="1" customWidth="1"/>
    <col min="9" max="9" width="3.5703125" customWidth="1"/>
    <col min="10" max="10" width="3.7109375" customWidth="1"/>
    <col min="11" max="11" width="3.85546875" customWidth="1"/>
    <col min="12" max="12" width="8.28515625" customWidth="1"/>
    <col min="13" max="13" width="4.5703125" customWidth="1"/>
    <col min="14" max="14" width="5.7109375" customWidth="1"/>
    <col min="16" max="16" width="12.28515625" customWidth="1"/>
    <col min="17" max="17" width="16" customWidth="1"/>
    <col min="18" max="18" width="11" customWidth="1"/>
    <col min="19" max="19" width="13.28515625" bestFit="1" customWidth="1"/>
    <col min="20" max="1025" width="11" customWidth="1"/>
  </cols>
  <sheetData>
    <row r="1" spans="1:19" ht="15.75" thickBot="1" x14ac:dyDescent="0.3">
      <c r="A1" s="126" t="s">
        <v>5</v>
      </c>
      <c r="B1" s="127"/>
      <c r="C1" s="127"/>
      <c r="D1" s="128">
        <v>2022</v>
      </c>
      <c r="E1" s="128"/>
      <c r="F1" s="38"/>
      <c r="G1" s="38"/>
      <c r="H1" s="39"/>
      <c r="I1" s="39"/>
      <c r="J1" s="39"/>
      <c r="K1" s="39"/>
      <c r="L1" s="39"/>
      <c r="M1" s="39"/>
      <c r="N1" s="39"/>
      <c r="O1" s="40"/>
      <c r="P1" s="129" t="s">
        <v>53</v>
      </c>
      <c r="Q1" s="130"/>
    </row>
    <row r="2" spans="1:19" ht="13.5" thickBot="1" x14ac:dyDescent="0.25">
      <c r="A2" s="41"/>
      <c r="H2" s="43"/>
      <c r="I2" s="43"/>
      <c r="J2" s="43"/>
      <c r="K2" s="43"/>
      <c r="L2" s="43"/>
      <c r="M2" s="43"/>
      <c r="N2" s="43"/>
      <c r="P2" s="131"/>
      <c r="Q2" s="132"/>
    </row>
    <row r="3" spans="1:19" ht="13.5" thickBot="1" x14ac:dyDescent="0.25">
      <c r="A3" s="41"/>
      <c r="Q3" s="44"/>
    </row>
    <row r="4" spans="1:19" s="45" customFormat="1" ht="15.75" thickBot="1" x14ac:dyDescent="0.3">
      <c r="A4" s="133" t="s">
        <v>54</v>
      </c>
      <c r="B4" s="134"/>
      <c r="C4" s="134"/>
      <c r="D4" s="134"/>
      <c r="E4" s="134"/>
      <c r="F4" s="134"/>
      <c r="G4" s="135" t="str">
        <f>'Nota de Pedido'!D3</f>
        <v>90 - MINISTERIO DE SEGURIDAD</v>
      </c>
      <c r="H4" s="135"/>
      <c r="I4" s="135"/>
      <c r="J4" s="135"/>
      <c r="K4" s="135"/>
      <c r="L4" s="135"/>
      <c r="M4" s="135"/>
      <c r="N4" s="135"/>
      <c r="O4" s="135"/>
      <c r="P4" s="135"/>
      <c r="Q4" s="136"/>
    </row>
    <row r="5" spans="1:19" s="45" customFormat="1" ht="15.75" thickBot="1" x14ac:dyDescent="0.3">
      <c r="A5" s="137" t="s">
        <v>35</v>
      </c>
      <c r="B5" s="138"/>
      <c r="C5" s="138"/>
      <c r="D5" s="138"/>
      <c r="E5" s="138"/>
      <c r="F5" s="139"/>
      <c r="G5" s="140" t="str">
        <f>'Nota de Pedido'!D4</f>
        <v>8 - DIRECCION GENERAL SERVICIO PENITENCIARIO PROVINCIAL</v>
      </c>
      <c r="H5" s="141"/>
      <c r="I5" s="141"/>
      <c r="J5" s="141"/>
      <c r="K5" s="141"/>
      <c r="L5" s="141"/>
      <c r="M5" s="141"/>
      <c r="N5" s="141"/>
      <c r="O5" s="141"/>
      <c r="P5" s="141"/>
      <c r="Q5" s="142"/>
    </row>
    <row r="6" spans="1:19" s="45" customFormat="1" ht="15.75" thickBot="1" x14ac:dyDescent="0.3">
      <c r="A6" s="137" t="s">
        <v>36</v>
      </c>
      <c r="B6" s="138"/>
      <c r="C6" s="138"/>
      <c r="D6" s="138"/>
      <c r="E6" s="138"/>
      <c r="F6" s="139"/>
      <c r="G6" s="143" t="str">
        <f>'Nota de Pedido'!D5</f>
        <v>SERVICIO PENITENCIARIO PROVINCIAL</v>
      </c>
      <c r="H6" s="144"/>
      <c r="I6" s="144"/>
      <c r="J6" s="144"/>
      <c r="K6" s="144"/>
      <c r="L6" s="144"/>
      <c r="M6" s="144"/>
      <c r="N6" s="144"/>
      <c r="O6" s="144"/>
      <c r="P6" s="144"/>
      <c r="Q6" s="145"/>
    </row>
    <row r="7" spans="1:19" s="45" customFormat="1" ht="26.25" customHeight="1" thickBot="1" x14ac:dyDescent="0.25">
      <c r="A7" s="146" t="s">
        <v>38</v>
      </c>
      <c r="B7" s="147"/>
      <c r="C7" s="147"/>
      <c r="D7" s="147"/>
      <c r="E7" s="147"/>
      <c r="F7" s="147"/>
      <c r="G7" s="148" t="str">
        <f>'Nota de Pedido'!D6</f>
        <v>LOGISTICA</v>
      </c>
      <c r="H7" s="149"/>
      <c r="I7" s="149"/>
      <c r="J7" s="149"/>
      <c r="K7" s="149"/>
      <c r="L7" s="149"/>
      <c r="M7" s="149"/>
      <c r="N7" s="149"/>
      <c r="O7" s="149"/>
      <c r="P7" s="149"/>
      <c r="Q7" s="150"/>
    </row>
    <row r="8" spans="1:19" ht="13.5" thickBot="1" x14ac:dyDescent="0.25">
      <c r="A8" s="151" t="s">
        <v>55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3"/>
    </row>
    <row r="9" spans="1:19" ht="15" customHeight="1" x14ac:dyDescent="0.25">
      <c r="A9" s="123" t="s">
        <v>56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5"/>
    </row>
    <row r="10" spans="1:19" ht="28.5" customHeight="1" x14ac:dyDescent="0.2">
      <c r="A10" s="106" t="s">
        <v>78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8"/>
    </row>
    <row r="11" spans="1:19" ht="26.25" customHeight="1" thickBot="1" x14ac:dyDescent="0.25">
      <c r="A11" s="109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1"/>
    </row>
    <row r="12" spans="1:19" ht="13.5" thickBot="1" x14ac:dyDescent="0.25">
      <c r="A12" s="112" t="s">
        <v>57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4"/>
    </row>
    <row r="13" spans="1:19" ht="17.25" customHeight="1" thickBot="1" x14ac:dyDescent="0.25">
      <c r="A13" s="112" t="s">
        <v>58</v>
      </c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4"/>
      <c r="O13" s="115" t="s">
        <v>59</v>
      </c>
      <c r="P13" s="116"/>
      <c r="Q13" s="119" t="s">
        <v>60</v>
      </c>
    </row>
    <row r="14" spans="1:19" ht="18.75" customHeight="1" thickBot="1" x14ac:dyDescent="0.25">
      <c r="A14" s="46" t="s">
        <v>61</v>
      </c>
      <c r="B14" s="47" t="s">
        <v>62</v>
      </c>
      <c r="C14" s="47" t="s">
        <v>63</v>
      </c>
      <c r="D14" s="47" t="s">
        <v>64</v>
      </c>
      <c r="E14" s="47" t="s">
        <v>65</v>
      </c>
      <c r="F14" s="47" t="s">
        <v>66</v>
      </c>
      <c r="G14" s="48" t="s">
        <v>67</v>
      </c>
      <c r="H14" s="47" t="s">
        <v>68</v>
      </c>
      <c r="I14" s="47" t="s">
        <v>69</v>
      </c>
      <c r="J14" s="47" t="s">
        <v>70</v>
      </c>
      <c r="K14" s="47" t="s">
        <v>70</v>
      </c>
      <c r="L14" s="47" t="s">
        <v>71</v>
      </c>
      <c r="M14" s="49" t="s">
        <v>72</v>
      </c>
      <c r="N14" s="50" t="s">
        <v>73</v>
      </c>
      <c r="O14" s="117"/>
      <c r="P14" s="118"/>
      <c r="Q14" s="120"/>
    </row>
    <row r="15" spans="1:19" ht="15" x14ac:dyDescent="0.2">
      <c r="A15" s="51">
        <v>21</v>
      </c>
      <c r="B15" s="52"/>
      <c r="C15" s="52"/>
      <c r="D15" s="52">
        <v>1</v>
      </c>
      <c r="E15" s="52"/>
      <c r="F15" s="52">
        <v>4201</v>
      </c>
      <c r="G15" s="52">
        <v>2</v>
      </c>
      <c r="H15" s="52">
        <v>220</v>
      </c>
      <c r="I15" s="52">
        <v>2</v>
      </c>
      <c r="J15" s="52">
        <v>1</v>
      </c>
      <c r="K15" s="52">
        <v>1</v>
      </c>
      <c r="L15" s="52"/>
      <c r="M15" s="52">
        <v>1</v>
      </c>
      <c r="N15" s="52" t="s">
        <v>74</v>
      </c>
      <c r="O15" s="121" t="s">
        <v>75</v>
      </c>
      <c r="P15" s="122"/>
      <c r="Q15" s="53">
        <v>3000000</v>
      </c>
      <c r="S15" s="66"/>
    </row>
    <row r="16" spans="1:19" ht="15" x14ac:dyDescent="0.2">
      <c r="A16" s="51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121"/>
      <c r="P16" s="122"/>
      <c r="Q16" s="54"/>
    </row>
    <row r="17" spans="1:17" ht="15" x14ac:dyDescent="0.2">
      <c r="A17" s="51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121"/>
      <c r="P17" s="122"/>
      <c r="Q17" s="54"/>
    </row>
    <row r="18" spans="1:17" ht="15" x14ac:dyDescent="0.2">
      <c r="A18" s="51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121"/>
      <c r="P18" s="122"/>
      <c r="Q18" s="54"/>
    </row>
    <row r="19" spans="1:17" ht="15" x14ac:dyDescent="0.2">
      <c r="A19" s="55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92"/>
      <c r="P19" s="92"/>
      <c r="Q19" s="54"/>
    </row>
    <row r="20" spans="1:17" ht="15" x14ac:dyDescent="0.2">
      <c r="A20" s="55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92"/>
      <c r="P20" s="92"/>
      <c r="Q20" s="54"/>
    </row>
    <row r="21" spans="1:17" ht="15" x14ac:dyDescent="0.2">
      <c r="A21" s="57"/>
      <c r="B21" s="58"/>
      <c r="C21" s="58"/>
      <c r="D21" s="58"/>
      <c r="E21" s="58"/>
      <c r="F21" s="56"/>
      <c r="G21" s="58"/>
      <c r="H21" s="58"/>
      <c r="I21" s="58"/>
      <c r="J21" s="58"/>
      <c r="K21" s="58"/>
      <c r="L21" s="58"/>
      <c r="M21" s="58"/>
      <c r="N21" s="58"/>
      <c r="O21" s="92"/>
      <c r="P21" s="92"/>
      <c r="Q21" s="54"/>
    </row>
    <row r="22" spans="1:17" ht="15.75" thickBot="1" x14ac:dyDescent="0.25">
      <c r="A22" s="55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92"/>
      <c r="P22" s="92"/>
      <c r="Q22" s="59"/>
    </row>
    <row r="23" spans="1:17" ht="13.5" thickBot="1" x14ac:dyDescent="0.25">
      <c r="A23" s="93" t="s">
        <v>76</v>
      </c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5"/>
      <c r="Q23" s="60">
        <f>SUM(Q15:Q22)</f>
        <v>3000000</v>
      </c>
    </row>
    <row r="24" spans="1:17" ht="15.75" thickBot="1" x14ac:dyDescent="0.3">
      <c r="A24" s="61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3"/>
    </row>
    <row r="25" spans="1:17" ht="15.75" thickBot="1" x14ac:dyDescent="0.25">
      <c r="A25" s="96" t="s">
        <v>77</v>
      </c>
      <c r="B25" s="97"/>
      <c r="C25" s="97"/>
      <c r="D25" s="97"/>
      <c r="E25" s="97"/>
      <c r="F25" s="97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9"/>
    </row>
    <row r="26" spans="1:17" ht="13.5" thickBot="1" x14ac:dyDescent="0.25">
      <c r="A26" s="100"/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2"/>
    </row>
    <row r="27" spans="1:17" ht="13.5" thickBot="1" x14ac:dyDescent="0.25">
      <c r="A27" s="103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5"/>
    </row>
  </sheetData>
  <mergeCells count="30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1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22:P22"/>
    <mergeCell ref="A23:P23"/>
    <mergeCell ref="A25:F25"/>
    <mergeCell ref="G25:Q25"/>
    <mergeCell ref="A26:Q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Necesidades Trimestrales</vt:lpstr>
      <vt:lpstr>Nota de Pedido</vt:lpstr>
      <vt:lpstr>APG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soy_gisuarez@hotmail.com</dc:creator>
  <cp:lastModifiedBy>COMPRAS</cp:lastModifiedBy>
  <dcterms:created xsi:type="dcterms:W3CDTF">2021-06-03T14:04:07Z</dcterms:created>
  <dcterms:modified xsi:type="dcterms:W3CDTF">2022-07-19T14:53:31Z</dcterms:modified>
</cp:coreProperties>
</file>