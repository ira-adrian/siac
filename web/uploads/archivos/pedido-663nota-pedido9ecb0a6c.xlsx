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Mario\MDSD\Golosinas (jugos y alfajores)\"/>
    </mc:Choice>
  </mc:AlternateContent>
  <xr:revisionPtr revIDLastSave="0" documentId="8_{78181048-941D-44EB-97C9-4E08357532BB}" xr6:coauthVersionLast="46" xr6:coauthVersionMax="46" xr10:uidLastSave="{00000000-0000-0000-0000-000000000000}"/>
  <bookViews>
    <workbookView xWindow="-120" yWindow="-120" windowWidth="29040" windowHeight="15840" tabRatio="500" activeTab="2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Print_Area" localSheetId="1">' NotaPedido'!$A$1:$K$17</definedName>
    <definedName name="_xlnm.Print_Area" localSheetId="2">'Autor Gastar'!$A$1:$Q$25</definedName>
  </definedNames>
  <calcPr calcId="181029"/>
</workbook>
</file>

<file path=xl/calcChain.xml><?xml version="1.0" encoding="utf-8"?>
<calcChain xmlns="http://schemas.openxmlformats.org/spreadsheetml/2006/main">
  <c r="A10" i="3" l="1"/>
  <c r="I11" i="1"/>
  <c r="I10" i="1"/>
  <c r="D7" i="2" l="1"/>
  <c r="Q21" i="3" l="1"/>
  <c r="D3" i="2" l="1"/>
  <c r="G4" i="3" s="1"/>
  <c r="D4" i="2"/>
  <c r="G5" i="3" s="1"/>
  <c r="D1" i="3" l="1"/>
  <c r="J17" i="2"/>
</calcChain>
</file>

<file path=xl/sharedStrings.xml><?xml version="1.0" encoding="utf-8"?>
<sst xmlns="http://schemas.openxmlformats.org/spreadsheetml/2006/main" count="110" uniqueCount="87">
  <si>
    <t>JURISDICCION:</t>
  </si>
  <si>
    <t xml:space="preserve">SAF N°: </t>
  </si>
  <si>
    <t>EJERCICIO: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</si>
  <si>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</si>
  <si>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</si>
  <si>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</si>
  <si>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</si>
  <si>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</si>
  <si>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</si>
  <si>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</si>
  <si>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</si>
  <si>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</si>
  <si>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Descripción técnica</t>
  </si>
  <si>
    <t>Plazos y lugares de entrega</t>
  </si>
  <si>
    <t>Mantenimiento</t>
  </si>
  <si>
    <t>NOTA DE PEDIDO</t>
  </si>
  <si>
    <t>N°</t>
  </si>
  <si>
    <t>PERIODO UTILIZACIÓN:</t>
  </si>
  <si>
    <t>OBJETO:</t>
  </si>
  <si>
    <t>Ítem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</si>
  <si>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</si>
  <si>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</si>
  <si>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</si>
  <si>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</si>
  <si>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</si>
  <si>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</si>
  <si>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</si>
  <si>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</si>
  <si>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</si>
  <si>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</si>
  <si>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</si>
  <si>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</si>
  <si>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</si>
  <si>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</si>
  <si>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</si>
  <si>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</si>
  <si>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</si>
  <si>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</si>
  <si>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</si>
  <si>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</si>
  <si>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</si>
  <si>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</si>
  <si>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</si>
  <si>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</si>
  <si>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</si>
  <si>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</si>
  <si>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</si>
  <si>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</si>
  <si>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</si>
  <si>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</si>
  <si>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</si>
  <si>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45- Ministerio de Desarrollo Social y Deporte</t>
  </si>
  <si>
    <t>Media</t>
  </si>
  <si>
    <t xml:space="preserve">44- Promocion Deportiva y Recreacion </t>
  </si>
  <si>
    <t>01-Actividad Central</t>
  </si>
  <si>
    <t>44-Promocion Deportiva y Recreacion - MDSD</t>
  </si>
  <si>
    <t>01 -Actividad Central</t>
  </si>
  <si>
    <t>TRIMESTRE</t>
  </si>
  <si>
    <t xml:space="preserve">PEDIDO DE NECESIDADES TRIMESTRALES </t>
  </si>
  <si>
    <t>25- Dirección Provincial de Gestión Administrativa y RRHH</t>
  </si>
  <si>
    <t>ALFAJORES; COBERTURA: CHOCOLATE, RELLENO: DULCE DE LECHE, PESO: 80 GR, PRESENTACION: CAJA X 24 UNIDADES</t>
  </si>
  <si>
    <t>Unidad</t>
  </si>
  <si>
    <t>2.1.1-704.19</t>
  </si>
  <si>
    <t>JUGOS; TIPO: LIQUIDO, SABOR: MULTIFRUTA, PRESENTACION: 200 CM3, MATERIAL ENVASE: TETRAFILM, CERTIFICADO FORESTAL (GFS): SIN, LIBRE DE GLUTEN: SI</t>
  </si>
  <si>
    <t>2.1.1-3390.116</t>
  </si>
  <si>
    <t>Código Ítem</t>
  </si>
  <si>
    <t>2.1.1</t>
  </si>
  <si>
    <t xml:space="preserve">Alimento para Personas </t>
  </si>
  <si>
    <t>1181/2021</t>
  </si>
  <si>
    <t>Adquisición de Refrigerios compuestos por alfajores y jugos destinados a la colación de los niños que participaran de las Colonias de Verano 2022.</t>
  </si>
  <si>
    <t>Costo total estimado: PESOS UN MILLON SEIS MIL OCHENTA CON 00/100</t>
  </si>
  <si>
    <t>TOTAL DE PESOS: PESOS UN MILLON SEIS MIL OCHENTA CON 00/100</t>
  </si>
  <si>
    <t>SI</t>
  </si>
  <si>
    <t>Caja</t>
  </si>
  <si>
    <t>Alimentos</t>
  </si>
  <si>
    <t xml:space="preserve">Alimentos </t>
  </si>
  <si>
    <r>
      <rPr>
        <u/>
        <sz val="10"/>
        <rFont val="Times New Roman"/>
        <family val="1"/>
      </rPr>
      <t xml:space="preserve">Plazo de Entrega: </t>
    </r>
    <r>
      <rPr>
        <sz val="10"/>
        <rFont val="Times New Roman"/>
        <family val="1"/>
      </rPr>
      <t>Dentro de los 05 (cinco) días hábiles de Notificada la Orden de Compra</t>
    </r>
  </si>
  <si>
    <r>
      <rPr>
        <u/>
        <sz val="10"/>
        <rFont val="Times New Roman"/>
        <family val="1"/>
      </rPr>
      <t>Lugar y Forma de Entrega:</t>
    </r>
    <r>
      <rPr>
        <sz val="10"/>
        <rFont val="Times New Roman"/>
        <family val="1"/>
      </rPr>
      <t xml:space="preserve"> Se Entregara en las oficinas de la Secretaria de Deportes y Recreación, ubicadas en la calle Ramón Luna S/N - San Fernando del Valle de Catamarca (CP 4700) dependientes del Ministerio de Desarrollo Social y Deporte. </t>
    </r>
  </si>
  <si>
    <r>
      <rPr>
        <u/>
        <sz val="10"/>
        <rFont val="Times New Roman"/>
        <family val="1"/>
      </rPr>
      <t>Boca de Expendio:</t>
    </r>
    <r>
      <rPr>
        <sz val="10"/>
        <rFont val="Times New Roman"/>
        <family val="1"/>
      </rPr>
      <t xml:space="preserve"> San Fernando del Valle de Catamarca (CP 4700)</t>
    </r>
  </si>
  <si>
    <t>Calidad Mínima esperada</t>
  </si>
  <si>
    <t>Plazo de Mantenimiento 30 días</t>
  </si>
  <si>
    <t>Garantía</t>
  </si>
  <si>
    <t>Especificidades Ítem N° 2:</t>
  </si>
  <si>
    <t xml:space="preserve">Jugos líquidos en presentación de 200cm3 </t>
  </si>
  <si>
    <r>
      <rPr>
        <u/>
        <sz val="10"/>
        <rFont val="Times New Roman"/>
        <family val="1"/>
      </rPr>
      <t>Lugar y Forma de Entrega:</t>
    </r>
    <r>
      <rPr>
        <sz val="10"/>
        <rFont val="Times New Roman"/>
        <family val="1"/>
      </rPr>
      <t xml:space="preserve"> Se Entregara en las oficinas de la Secretaria de Deportes y Recreación, ubicadas en la calle Ramón Luna S/N - San Fernando del Valle de Catamarca (CP 4700) dependientes del Ministerio de Desarrollo Social y Deporte.</t>
    </r>
  </si>
  <si>
    <t>Especificidades Ítem N° 1:</t>
  </si>
  <si>
    <t>Adquisición de Alfajores de chocolate negro con relleno de dulce de leche en cajas por 24 unidades.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</si>
</sst>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_-[$$-2C0A]\ * #,##0.00_-;\-[$$-2C0A]\ * #,##0.00_-;_-[$$-2C0A]\ * &quot;-&quot;??_-;_-@_-"/>
    <numFmt numFmtId="170" formatCode="_ [$$-2C0A]\ * #,##0.00_ ;_ [$$-2C0A]\ * \-#,##0.00_ ;_ [$$-2C0A]\ * &quot;-&quot;??_ ;_ @_ "/>
  </numFmts>
  <fonts count="31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12"/>
      <name val="Times New Roman"/>
      <family val="1"/>
    </font>
    <font>
      <sz val="10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sz val="10"/>
      <color theme="1"/>
      <name val="Times New Roman"/>
      <family val="1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57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</borders>
  <cellStyleXfs count="5">
    <xf numFmtId="0" fontId="0" fillId="0" borderId="0"/>
    <xf numFmtId="165" fontId="15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75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0" fillId="0" borderId="0" xfId="0" applyAlignment="1">
      <alignment horizontal="left"/>
    </xf>
    <xf numFmtId="3" fontId="10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1" xfId="0" applyBorder="1"/>
    <xf numFmtId="0" fontId="0" fillId="0" borderId="25" xfId="0" applyBorder="1"/>
    <xf numFmtId="0" fontId="0" fillId="0" borderId="13" xfId="0" applyBorder="1"/>
    <xf numFmtId="0" fontId="0" fillId="0" borderId="13" xfId="0" applyBorder="1" applyAlignment="1">
      <alignment horizontal="left"/>
    </xf>
    <xf numFmtId="0" fontId="0" fillId="0" borderId="26" xfId="0" applyBorder="1"/>
    <xf numFmtId="0" fontId="14" fillId="0" borderId="28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4" fillId="0" borderId="29" xfId="0" applyFont="1" applyBorder="1" applyAlignment="1">
      <alignment horizontal="left" vertical="center"/>
    </xf>
    <xf numFmtId="0" fontId="14" fillId="0" borderId="30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0" fontId="16" fillId="0" borderId="0" xfId="0" applyFont="1"/>
    <xf numFmtId="0" fontId="0" fillId="3" borderId="2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4" borderId="11" xfId="0" applyFont="1" applyFill="1" applyBorder="1" applyAlignment="1">
      <alignment horizontal="right" vertical="center"/>
    </xf>
    <xf numFmtId="0" fontId="5" fillId="4" borderId="13" xfId="0" applyFont="1" applyFill="1" applyBorder="1" applyAlignment="1">
      <alignment vertical="center"/>
    </xf>
    <xf numFmtId="0" fontId="5" fillId="4" borderId="0" xfId="0" applyFont="1" applyFill="1" applyBorder="1" applyAlignment="1">
      <alignment vertical="center"/>
    </xf>
    <xf numFmtId="0" fontId="7" fillId="4" borderId="0" xfId="0" applyFont="1" applyFill="1" applyBorder="1" applyAlignment="1">
      <alignment horizontal="left" vertical="center"/>
    </xf>
    <xf numFmtId="0" fontId="6" fillId="4" borderId="0" xfId="0" applyFont="1" applyFill="1" applyBorder="1" applyAlignment="1">
      <alignment horizontal="left" vertical="center" wrapText="1" indent="1"/>
    </xf>
    <xf numFmtId="0" fontId="16" fillId="4" borderId="0" xfId="0" applyFont="1" applyFill="1"/>
    <xf numFmtId="0" fontId="19" fillId="4" borderId="0" xfId="0" applyFont="1" applyFill="1" applyAlignment="1">
      <alignment horizontal="left" wrapText="1"/>
    </xf>
    <xf numFmtId="0" fontId="19" fillId="4" borderId="0" xfId="0" applyFont="1" applyFill="1" applyAlignment="1">
      <alignment horizontal="center" wrapText="1"/>
    </xf>
    <xf numFmtId="0" fontId="24" fillId="3" borderId="0" xfId="0" applyFont="1" applyFill="1" applyAlignment="1">
      <alignment horizontal="left" wrapText="1" indent="1"/>
    </xf>
    <xf numFmtId="0" fontId="20" fillId="4" borderId="0" xfId="0" applyFont="1" applyFill="1" applyAlignment="1">
      <alignment horizontal="left" wrapText="1"/>
    </xf>
    <xf numFmtId="0" fontId="20" fillId="4" borderId="3" xfId="0" applyFont="1" applyFill="1" applyBorder="1" applyAlignment="1">
      <alignment horizontal="center" vertical="center" wrapText="1"/>
    </xf>
    <xf numFmtId="0" fontId="20" fillId="4" borderId="4" xfId="0" applyFont="1" applyFill="1" applyBorder="1" applyAlignment="1">
      <alignment horizontal="center" vertical="center" wrapText="1"/>
    </xf>
    <xf numFmtId="0" fontId="20" fillId="4" borderId="37" xfId="0" applyFont="1" applyFill="1" applyBorder="1" applyAlignment="1">
      <alignment horizontal="center" vertical="center" wrapText="1"/>
    </xf>
    <xf numFmtId="0" fontId="20" fillId="4" borderId="38" xfId="0" applyFont="1" applyFill="1" applyBorder="1" applyAlignment="1">
      <alignment horizontal="center" vertical="center" wrapText="1"/>
    </xf>
    <xf numFmtId="0" fontId="20" fillId="4" borderId="39" xfId="0" applyFont="1" applyFill="1" applyBorder="1" applyAlignment="1">
      <alignment horizontal="center" vertical="center" wrapText="1"/>
    </xf>
    <xf numFmtId="0" fontId="0" fillId="4" borderId="2" xfId="0" applyFill="1" applyBorder="1"/>
    <xf numFmtId="0" fontId="22" fillId="4" borderId="2" xfId="0" applyFont="1" applyFill="1" applyBorder="1" applyAlignment="1">
      <alignment horizontal="center" vertical="center" wrapText="1"/>
    </xf>
    <xf numFmtId="0" fontId="19" fillId="4" borderId="2" xfId="0" applyFont="1" applyFill="1" applyBorder="1" applyAlignment="1">
      <alignment horizontal="center" wrapText="1"/>
    </xf>
    <xf numFmtId="166" fontId="21" fillId="3" borderId="2" xfId="1" applyNumberFormat="1" applyFont="1" applyFill="1" applyBorder="1" applyAlignment="1" applyProtection="1">
      <alignment horizontal="right" vertical="center" wrapText="1"/>
    </xf>
    <xf numFmtId="0" fontId="16" fillId="4" borderId="4" xfId="0" applyFont="1" applyFill="1" applyBorder="1"/>
    <xf numFmtId="0" fontId="16" fillId="4" borderId="5" xfId="0" applyFont="1" applyFill="1" applyBorder="1"/>
    <xf numFmtId="0" fontId="16" fillId="4" borderId="6" xfId="0" applyFont="1" applyFill="1" applyBorder="1"/>
    <xf numFmtId="0" fontId="16" fillId="4" borderId="0" xfId="0" applyFont="1" applyFill="1" applyBorder="1"/>
    <xf numFmtId="0" fontId="16" fillId="4" borderId="7" xfId="0" applyFont="1" applyFill="1" applyBorder="1"/>
    <xf numFmtId="0" fontId="23" fillId="4" borderId="6" xfId="0" applyFont="1" applyFill="1" applyBorder="1" applyAlignment="1">
      <alignment horizontal="left" indent="3"/>
    </xf>
    <xf numFmtId="0" fontId="16" fillId="4" borderId="6" xfId="0" applyFont="1" applyFill="1" applyBorder="1" applyAlignment="1">
      <alignment horizontal="left" indent="3"/>
    </xf>
    <xf numFmtId="0" fontId="16" fillId="3" borderId="0" xfId="0" applyFont="1" applyFill="1" applyBorder="1" applyAlignment="1">
      <alignment horizontal="left"/>
    </xf>
    <xf numFmtId="0" fontId="16" fillId="3" borderId="7" xfId="0" applyFont="1" applyFill="1" applyBorder="1" applyAlignment="1">
      <alignment horizontal="left"/>
    </xf>
    <xf numFmtId="0" fontId="16" fillId="4" borderId="0" xfId="0" applyFont="1" applyFill="1" applyBorder="1" applyAlignment="1">
      <alignment horizontal="center" wrapText="1"/>
    </xf>
    <xf numFmtId="0" fontId="16" fillId="4" borderId="7" xfId="0" applyFont="1" applyFill="1" applyBorder="1" applyAlignment="1">
      <alignment horizontal="center" wrapText="1"/>
    </xf>
    <xf numFmtId="0" fontId="16" fillId="4" borderId="8" xfId="0" applyFont="1" applyFill="1" applyBorder="1" applyAlignment="1">
      <alignment horizontal="left" indent="3"/>
    </xf>
    <xf numFmtId="0" fontId="16" fillId="4" borderId="9" xfId="0" applyFont="1" applyFill="1" applyBorder="1"/>
    <xf numFmtId="0" fontId="16" fillId="4" borderId="10" xfId="0" applyFont="1" applyFill="1" applyBorder="1"/>
    <xf numFmtId="0" fontId="20" fillId="4" borderId="40" xfId="0" applyFont="1" applyFill="1" applyBorder="1" applyAlignment="1">
      <alignment horizontal="center" vertical="center" wrapText="1"/>
    </xf>
    <xf numFmtId="0" fontId="16" fillId="3" borderId="0" xfId="0" applyFont="1" applyFill="1" applyBorder="1" applyAlignment="1">
      <alignment horizontal="left"/>
    </xf>
    <xf numFmtId="0" fontId="16" fillId="3" borderId="7" xfId="0" applyFont="1" applyFill="1" applyBorder="1" applyAlignment="1">
      <alignment horizontal="left"/>
    </xf>
    <xf numFmtId="0" fontId="28" fillId="4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166" fontId="4" fillId="4" borderId="2" xfId="1" applyNumberFormat="1" applyFont="1" applyFill="1" applyBorder="1" applyAlignment="1" applyProtection="1">
      <alignment horizontal="right" vertical="center" wrapText="1"/>
    </xf>
    <xf numFmtId="0" fontId="4" fillId="4" borderId="2" xfId="0" applyFont="1" applyFill="1" applyBorder="1" applyAlignment="1">
      <alignment horizontal="left" vertical="center"/>
    </xf>
    <xf numFmtId="169" fontId="15" fillId="0" borderId="0" xfId="1" applyNumberFormat="1"/>
    <xf numFmtId="0" fontId="15" fillId="4" borderId="2" xfId="0" applyFont="1" applyFill="1" applyBorder="1"/>
    <xf numFmtId="0" fontId="22" fillId="3" borderId="2" xfId="0" applyFont="1" applyFill="1" applyBorder="1" applyAlignment="1">
      <alignment horizontal="center" vertical="center" wrapText="1"/>
    </xf>
    <xf numFmtId="0" fontId="23" fillId="4" borderId="3" xfId="0" applyFont="1" applyFill="1" applyBorder="1"/>
    <xf numFmtId="0" fontId="0" fillId="4" borderId="2" xfId="0" applyFill="1" applyBorder="1" applyAlignment="1">
      <alignment horizontal="center"/>
    </xf>
    <xf numFmtId="0" fontId="0" fillId="4" borderId="2" xfId="0" applyFill="1" applyBorder="1" applyAlignment="1">
      <alignment vertical="center"/>
    </xf>
    <xf numFmtId="166" fontId="0" fillId="4" borderId="2" xfId="3" applyNumberFormat="1" applyFont="1" applyFill="1" applyBorder="1" applyAlignment="1" applyProtection="1">
      <alignment horizontal="center" vertical="center"/>
    </xf>
    <xf numFmtId="0" fontId="0" fillId="4" borderId="0" xfId="0" applyFill="1"/>
    <xf numFmtId="0" fontId="29" fillId="4" borderId="2" xfId="0" applyFont="1" applyFill="1" applyBorder="1" applyAlignment="1">
      <alignment horizontal="center" vertical="center"/>
    </xf>
    <xf numFmtId="0" fontId="30" fillId="3" borderId="2" xfId="0" applyFont="1" applyFill="1" applyBorder="1" applyAlignment="1">
      <alignment horizontal="center" vertical="center"/>
    </xf>
    <xf numFmtId="0" fontId="19" fillId="4" borderId="2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/>
    </xf>
    <xf numFmtId="166" fontId="14" fillId="4" borderId="31" xfId="0" applyNumberFormat="1" applyFont="1" applyFill="1" applyBorder="1" applyAlignment="1">
      <alignment horizontal="center" vertical="center"/>
    </xf>
    <xf numFmtId="170" fontId="21" fillId="3" borderId="2" xfId="1" applyNumberFormat="1" applyFont="1" applyFill="1" applyBorder="1" applyAlignment="1" applyProtection="1">
      <alignment horizontal="right" vertical="center" wrapText="1"/>
    </xf>
    <xf numFmtId="0" fontId="15" fillId="4" borderId="2" xfId="0" applyFont="1" applyFill="1" applyBorder="1" applyAlignment="1">
      <alignment vertical="center"/>
    </xf>
    <xf numFmtId="0" fontId="15" fillId="4" borderId="2" xfId="0" applyFont="1" applyFill="1" applyBorder="1" applyAlignment="1">
      <alignment horizontal="center"/>
    </xf>
    <xf numFmtId="0" fontId="15" fillId="4" borderId="2" xfId="0" applyFont="1" applyFill="1" applyBorder="1" applyAlignment="1">
      <alignment vertical="justify"/>
    </xf>
    <xf numFmtId="0" fontId="21" fillId="4" borderId="46" xfId="0" applyFont="1" applyFill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15" fillId="4" borderId="47" xfId="0" applyFont="1" applyFill="1" applyBorder="1" applyAlignment="1">
      <alignment vertical="center"/>
    </xf>
    <xf numFmtId="0" fontId="15" fillId="4" borderId="47" xfId="0" applyFont="1" applyFill="1" applyBorder="1" applyAlignment="1">
      <alignment horizontal="center"/>
    </xf>
    <xf numFmtId="0" fontId="15" fillId="4" borderId="47" xfId="0" applyFont="1" applyFill="1" applyBorder="1"/>
    <xf numFmtId="0" fontId="22" fillId="4" borderId="47" xfId="0" applyFont="1" applyFill="1" applyBorder="1" applyAlignment="1">
      <alignment horizontal="center" vertical="center" wrapText="1"/>
    </xf>
    <xf numFmtId="0" fontId="19" fillId="4" borderId="47" xfId="0" applyFont="1" applyFill="1" applyBorder="1" applyAlignment="1">
      <alignment horizontal="center" vertical="center" wrapText="1"/>
    </xf>
    <xf numFmtId="166" fontId="21" fillId="3" borderId="47" xfId="1" applyNumberFormat="1" applyFont="1" applyFill="1" applyBorder="1" applyAlignment="1" applyProtection="1">
      <alignment horizontal="right" vertical="center" wrapText="1"/>
    </xf>
    <xf numFmtId="166" fontId="21" fillId="3" borderId="48" xfId="1" applyNumberFormat="1" applyFont="1" applyFill="1" applyBorder="1" applyAlignment="1" applyProtection="1">
      <alignment horizontal="right" vertical="center" wrapText="1"/>
    </xf>
    <xf numFmtId="0" fontId="21" fillId="4" borderId="49" xfId="0" applyFont="1" applyFill="1" applyBorder="1" applyAlignment="1">
      <alignment horizontal="center" vertical="center"/>
    </xf>
    <xf numFmtId="166" fontId="21" fillId="3" borderId="50" xfId="1" applyNumberFormat="1" applyFont="1" applyFill="1" applyBorder="1" applyAlignment="1" applyProtection="1">
      <alignment horizontal="right" vertical="center" wrapText="1"/>
    </xf>
    <xf numFmtId="0" fontId="21" fillId="4" borderId="51" xfId="0" applyFont="1" applyFill="1" applyBorder="1" applyAlignment="1">
      <alignment horizontal="center" vertical="center"/>
    </xf>
    <xf numFmtId="0" fontId="15" fillId="4" borderId="52" xfId="0" applyFont="1" applyFill="1" applyBorder="1"/>
    <xf numFmtId="0" fontId="0" fillId="4" borderId="52" xfId="0" applyFill="1" applyBorder="1"/>
    <xf numFmtId="0" fontId="22" fillId="3" borderId="52" xfId="0" applyFont="1" applyFill="1" applyBorder="1" applyAlignment="1">
      <alignment horizontal="center" vertical="center" wrapText="1"/>
    </xf>
    <xf numFmtId="166" fontId="21" fillId="3" borderId="52" xfId="1" applyNumberFormat="1" applyFont="1" applyFill="1" applyBorder="1" applyAlignment="1" applyProtection="1">
      <alignment horizontal="right" vertical="center" wrapText="1"/>
    </xf>
    <xf numFmtId="166" fontId="21" fillId="3" borderId="53" xfId="1" applyNumberFormat="1" applyFont="1" applyFill="1" applyBorder="1" applyAlignment="1" applyProtection="1">
      <alignment horizontal="right" vertical="center" wrapText="1"/>
    </xf>
    <xf numFmtId="0" fontId="9" fillId="4" borderId="46" xfId="0" applyFont="1" applyFill="1" applyBorder="1" applyAlignment="1">
      <alignment horizontal="center" vertical="center"/>
    </xf>
    <xf numFmtId="0" fontId="30" fillId="3" borderId="47" xfId="0" applyFont="1" applyFill="1" applyBorder="1" applyAlignment="1">
      <alignment horizontal="center" vertical="center"/>
    </xf>
    <xf numFmtId="170" fontId="21" fillId="3" borderId="47" xfId="1" applyNumberFormat="1" applyFont="1" applyFill="1" applyBorder="1" applyAlignment="1" applyProtection="1">
      <alignment horizontal="right" vertical="center" wrapText="1"/>
    </xf>
    <xf numFmtId="0" fontId="19" fillId="4" borderId="48" xfId="0" applyFont="1" applyFill="1" applyBorder="1" applyAlignment="1">
      <alignment horizontal="center" vertical="center" wrapText="1"/>
    </xf>
    <xf numFmtId="0" fontId="9" fillId="4" borderId="49" xfId="0" applyFont="1" applyFill="1" applyBorder="1" applyAlignment="1">
      <alignment horizontal="center" vertical="center"/>
    </xf>
    <xf numFmtId="0" fontId="19" fillId="4" borderId="50" xfId="0" applyFont="1" applyFill="1" applyBorder="1" applyAlignment="1">
      <alignment horizontal="center" vertical="center" wrapText="1"/>
    </xf>
    <xf numFmtId="0" fontId="22" fillId="3" borderId="50" xfId="0" applyFont="1" applyFill="1" applyBorder="1" applyAlignment="1">
      <alignment horizontal="center" vertical="center" wrapText="1"/>
    </xf>
    <xf numFmtId="3" fontId="4" fillId="4" borderId="50" xfId="0" applyNumberFormat="1" applyFont="1" applyFill="1" applyBorder="1" applyAlignment="1">
      <alignment horizontal="center" vertical="center"/>
    </xf>
    <xf numFmtId="0" fontId="9" fillId="4" borderId="51" xfId="0" applyFont="1" applyFill="1" applyBorder="1" applyAlignment="1">
      <alignment horizontal="center" vertical="center"/>
    </xf>
    <xf numFmtId="0" fontId="4" fillId="4" borderId="52" xfId="0" applyFont="1" applyFill="1" applyBorder="1" applyAlignment="1">
      <alignment horizontal="left" vertical="center"/>
    </xf>
    <xf numFmtId="0" fontId="4" fillId="3" borderId="52" xfId="0" applyFont="1" applyFill="1" applyBorder="1" applyAlignment="1">
      <alignment horizontal="center" vertical="center"/>
    </xf>
    <xf numFmtId="0" fontId="4" fillId="4" borderId="52" xfId="0" applyFont="1" applyFill="1" applyBorder="1" applyAlignment="1">
      <alignment horizontal="center" vertical="center" wrapText="1"/>
    </xf>
    <xf numFmtId="166" fontId="4" fillId="4" borderId="52" xfId="1" applyNumberFormat="1" applyFont="1" applyFill="1" applyBorder="1" applyAlignment="1" applyProtection="1">
      <alignment horizontal="right" vertical="center" wrapText="1"/>
    </xf>
    <xf numFmtId="3" fontId="4" fillId="4" borderId="53" xfId="0" applyNumberFormat="1" applyFont="1" applyFill="1" applyBorder="1" applyAlignment="1">
      <alignment horizontal="center" vertical="center"/>
    </xf>
    <xf numFmtId="0" fontId="17" fillId="4" borderId="0" xfId="0" applyFont="1" applyFill="1" applyBorder="1" applyAlignment="1">
      <alignment horizontal="center"/>
    </xf>
    <xf numFmtId="0" fontId="18" fillId="4" borderId="0" xfId="0" applyFont="1" applyFill="1" applyBorder="1" applyAlignment="1">
      <alignment horizontal="left" vertical="center" wrapText="1"/>
    </xf>
    <xf numFmtId="0" fontId="24" fillId="3" borderId="0" xfId="0" applyFont="1" applyFill="1" applyBorder="1" applyAlignment="1">
      <alignment horizontal="left" wrapText="1" indent="1"/>
    </xf>
    <xf numFmtId="0" fontId="16" fillId="3" borderId="7" xfId="0" applyFont="1" applyFill="1" applyBorder="1" applyAlignment="1">
      <alignment horizontal="center" wrapText="1"/>
    </xf>
    <xf numFmtId="0" fontId="16" fillId="3" borderId="7" xfId="0" applyFont="1" applyFill="1" applyBorder="1" applyAlignment="1">
      <alignment horizontal="center"/>
    </xf>
    <xf numFmtId="0" fontId="16" fillId="0" borderId="7" xfId="0" applyFont="1" applyFill="1" applyBorder="1" applyAlignment="1">
      <alignment horizontal="left" vertical="top" wrapText="1"/>
    </xf>
    <xf numFmtId="0" fontId="16" fillId="3" borderId="0" xfId="0" applyFont="1" applyFill="1" applyBorder="1" applyAlignment="1">
      <alignment horizontal="left"/>
    </xf>
    <xf numFmtId="0" fontId="16" fillId="3" borderId="7" xfId="0" applyFont="1" applyFill="1" applyBorder="1" applyAlignment="1">
      <alignment horizontal="left"/>
    </xf>
    <xf numFmtId="0" fontId="16" fillId="0" borderId="0" xfId="0" applyFont="1" applyFill="1" applyBorder="1" applyAlignment="1">
      <alignment horizontal="left" vertical="center" wrapText="1"/>
    </xf>
    <xf numFmtId="0" fontId="16" fillId="0" borderId="7" xfId="0" applyFont="1" applyFill="1" applyBorder="1" applyAlignment="1">
      <alignment horizontal="left" vertical="center" wrapText="1"/>
    </xf>
    <xf numFmtId="0" fontId="5" fillId="4" borderId="0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left" vertical="center" wrapText="1"/>
    </xf>
    <xf numFmtId="0" fontId="6" fillId="4" borderId="15" xfId="0" applyFont="1" applyFill="1" applyBorder="1" applyAlignment="1">
      <alignment horizontal="left" vertical="center" wrapText="1" indent="1"/>
    </xf>
    <xf numFmtId="0" fontId="7" fillId="4" borderId="16" xfId="0" applyFont="1" applyFill="1" applyBorder="1" applyAlignment="1">
      <alignment horizontal="left" vertical="center" wrapText="1"/>
    </xf>
    <xf numFmtId="0" fontId="7" fillId="4" borderId="17" xfId="0" applyFont="1" applyFill="1" applyBorder="1" applyAlignment="1">
      <alignment horizontal="left" vertical="center"/>
    </xf>
    <xf numFmtId="0" fontId="6" fillId="3" borderId="18" xfId="0" applyFont="1" applyFill="1" applyBorder="1" applyAlignment="1">
      <alignment horizontal="left" vertical="center" wrapText="1" indent="1"/>
    </xf>
    <xf numFmtId="0" fontId="8" fillId="4" borderId="17" xfId="0" applyFont="1" applyFill="1" applyBorder="1" applyAlignment="1">
      <alignment horizontal="center" vertical="center"/>
    </xf>
    <xf numFmtId="0" fontId="8" fillId="4" borderId="42" xfId="0" applyFont="1" applyFill="1" applyBorder="1" applyAlignment="1">
      <alignment horizontal="center" vertical="center"/>
    </xf>
    <xf numFmtId="0" fontId="8" fillId="4" borderId="19" xfId="0" applyFont="1" applyFill="1" applyBorder="1" applyAlignment="1">
      <alignment horizontal="center" vertical="center" wrapText="1"/>
    </xf>
    <xf numFmtId="0" fontId="8" fillId="4" borderId="43" xfId="0" applyFont="1" applyFill="1" applyBorder="1" applyAlignment="1">
      <alignment horizontal="center" vertical="center" wrapText="1"/>
    </xf>
    <xf numFmtId="0" fontId="8" fillId="4" borderId="18" xfId="0" applyFont="1" applyFill="1" applyBorder="1" applyAlignment="1">
      <alignment horizontal="center" vertical="center" wrapText="1"/>
    </xf>
    <xf numFmtId="0" fontId="8" fillId="4" borderId="44" xfId="0" applyFont="1" applyFill="1" applyBorder="1" applyAlignment="1">
      <alignment horizontal="center" vertical="center" wrapText="1"/>
    </xf>
    <xf numFmtId="0" fontId="6" fillId="4" borderId="41" xfId="0" applyFont="1" applyFill="1" applyBorder="1" applyAlignment="1">
      <alignment horizontal="left" vertical="center" wrapText="1" indent="1"/>
    </xf>
    <xf numFmtId="167" fontId="25" fillId="4" borderId="8" xfId="0" applyNumberFormat="1" applyFont="1" applyFill="1" applyBorder="1" applyAlignment="1">
      <alignment horizontal="center" vertical="center"/>
    </xf>
    <xf numFmtId="167" fontId="25" fillId="4" borderId="10" xfId="0" applyNumberFormat="1" applyFont="1" applyFill="1" applyBorder="1" applyAlignment="1">
      <alignment horizontal="center" vertical="center"/>
    </xf>
    <xf numFmtId="0" fontId="15" fillId="4" borderId="54" xfId="0" applyFont="1" applyFill="1" applyBorder="1" applyAlignment="1">
      <alignment horizontal="left" vertical="justify"/>
    </xf>
    <xf numFmtId="0" fontId="0" fillId="4" borderId="55" xfId="0" applyFill="1" applyBorder="1" applyAlignment="1">
      <alignment horizontal="left" vertical="justify"/>
    </xf>
    <xf numFmtId="0" fontId="0" fillId="4" borderId="56" xfId="0" applyFill="1" applyBorder="1" applyAlignment="1">
      <alignment horizontal="left" vertical="justify"/>
    </xf>
    <xf numFmtId="0" fontId="15" fillId="4" borderId="35" xfId="0" applyFont="1" applyFill="1" applyBorder="1" applyAlignment="1">
      <alignment horizontal="left" vertical="justify"/>
    </xf>
    <xf numFmtId="0" fontId="0" fillId="4" borderId="45" xfId="0" applyFill="1" applyBorder="1" applyAlignment="1">
      <alignment horizontal="left" vertical="justify"/>
    </xf>
    <xf numFmtId="0" fontId="0" fillId="4" borderId="36" xfId="0" applyFill="1" applyBorder="1" applyAlignment="1">
      <alignment horizontal="left" vertical="justify"/>
    </xf>
    <xf numFmtId="0" fontId="0" fillId="4" borderId="2" xfId="0" applyFill="1" applyBorder="1" applyAlignment="1">
      <alignment horizontal="left" vertical="center"/>
    </xf>
    <xf numFmtId="0" fontId="4" fillId="4" borderId="52" xfId="0" applyFont="1" applyFill="1" applyBorder="1" applyAlignment="1">
      <alignment horizontal="left" vertical="center" wrapText="1"/>
    </xf>
    <xf numFmtId="0" fontId="4" fillId="4" borderId="35" xfId="0" applyFont="1" applyFill="1" applyBorder="1" applyAlignment="1">
      <alignment horizontal="center" vertical="center" wrapText="1"/>
    </xf>
    <xf numFmtId="0" fontId="4" fillId="4" borderId="45" xfId="0" applyFont="1" applyFill="1" applyBorder="1" applyAlignment="1">
      <alignment horizontal="center" vertical="center" wrapText="1"/>
    </xf>
    <xf numFmtId="0" fontId="4" fillId="4" borderId="36" xfId="0" applyFont="1" applyFill="1" applyBorder="1" applyAlignment="1">
      <alignment horizontal="center" vertical="center" wrapText="1"/>
    </xf>
    <xf numFmtId="0" fontId="0" fillId="0" borderId="20" xfId="0" applyFont="1" applyBorder="1" applyAlignment="1">
      <alignment horizontal="center"/>
    </xf>
    <xf numFmtId="3" fontId="10" fillId="0" borderId="21" xfId="0" applyNumberFormat="1" applyFont="1" applyBorder="1" applyAlignment="1">
      <alignment horizontal="center"/>
    </xf>
    <xf numFmtId="0" fontId="11" fillId="0" borderId="12" xfId="0" applyFont="1" applyBorder="1" applyAlignment="1">
      <alignment horizontal="center" vertical="center" wrapText="1"/>
    </xf>
    <xf numFmtId="0" fontId="2" fillId="0" borderId="12" xfId="0" applyFont="1" applyBorder="1"/>
    <xf numFmtId="0" fontId="12" fillId="0" borderId="12" xfId="0" applyFont="1" applyBorder="1" applyAlignment="1">
      <alignment horizontal="left" indent="1"/>
    </xf>
    <xf numFmtId="0" fontId="12" fillId="0" borderId="23" xfId="0" applyFont="1" applyBorder="1"/>
    <xf numFmtId="0" fontId="12" fillId="0" borderId="24" xfId="0" applyFont="1" applyBorder="1" applyAlignment="1">
      <alignment horizontal="left" vertical="center" wrapText="1" indent="1"/>
    </xf>
    <xf numFmtId="0" fontId="14" fillId="0" borderId="22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left" vertical="center" wrapText="1"/>
    </xf>
    <xf numFmtId="0" fontId="4" fillId="0" borderId="33" xfId="0" applyFont="1" applyBorder="1" applyAlignment="1">
      <alignment horizontal="left" vertical="center" wrapText="1"/>
    </xf>
    <xf numFmtId="0" fontId="4" fillId="0" borderId="34" xfId="0" applyFont="1" applyBorder="1" applyAlignment="1">
      <alignment horizontal="left" vertical="center" wrapText="1"/>
    </xf>
    <xf numFmtId="0" fontId="13" fillId="0" borderId="12" xfId="0" applyFont="1" applyBorder="1" applyAlignment="1">
      <alignment horizontal="left"/>
    </xf>
    <xf numFmtId="0" fontId="14" fillId="0" borderId="27" xfId="0" applyFont="1" applyBorder="1" applyAlignment="1">
      <alignment horizontal="center" vertical="center"/>
    </xf>
    <xf numFmtId="0" fontId="10" fillId="0" borderId="20" xfId="0" applyFont="1" applyBorder="1" applyAlignment="1">
      <alignment vertical="center" wrapText="1"/>
    </xf>
    <xf numFmtId="0" fontId="10" fillId="0" borderId="32" xfId="0" applyFont="1" applyBorder="1" applyAlignment="1">
      <alignment vertical="center" wrapText="1"/>
    </xf>
    <xf numFmtId="0" fontId="10" fillId="0" borderId="18" xfId="0" applyFont="1" applyBorder="1" applyAlignment="1">
      <alignment vertical="center" wrapText="1"/>
    </xf>
    <xf numFmtId="0" fontId="12" fillId="0" borderId="27" xfId="0" applyFont="1" applyBorder="1" applyAlignment="1">
      <alignment vertical="center" wrapText="1"/>
    </xf>
    <xf numFmtId="0" fontId="12" fillId="3" borderId="31" xfId="0" applyFont="1" applyFill="1" applyBorder="1" applyAlignment="1">
      <alignment horizontal="left" vertical="center" wrapText="1" indent="1"/>
    </xf>
    <xf numFmtId="0" fontId="0" fillId="0" borderId="2" xfId="0" applyBorder="1" applyAlignment="1">
      <alignment horizontal="left" vertical="center"/>
    </xf>
    <xf numFmtId="0" fontId="27" fillId="4" borderId="31" xfId="0" applyFont="1" applyFill="1" applyBorder="1" applyAlignment="1">
      <alignment horizontal="left" vertical="center" wrapText="1"/>
    </xf>
    <xf numFmtId="0" fontId="10" fillId="4" borderId="31" xfId="0" applyFont="1" applyFill="1" applyBorder="1" applyAlignment="1">
      <alignment horizontal="left" vertical="center" wrapText="1"/>
    </xf>
    <xf numFmtId="0" fontId="0" fillId="0" borderId="22" xfId="0" applyBorder="1"/>
    <xf numFmtId="0" fontId="15" fillId="0" borderId="35" xfId="0" applyFont="1" applyBorder="1" applyAlignment="1">
      <alignment horizontal="center" vertical="center" wrapText="1"/>
    </xf>
    <xf numFmtId="0" fontId="15" fillId="0" borderId="36" xfId="0" applyFont="1" applyBorder="1" applyAlignment="1">
      <alignment horizontal="center" vertical="center" wrapText="1"/>
    </xf>
    <xf numFmtId="0" fontId="29" fillId="0" borderId="2" xfId="0" applyFont="1" applyFill="1" applyBorder="1" applyAlignment="1">
      <alignment horizontal="left" vertical="center" wrapText="1"/>
    </xf>
    <xf numFmtId="0" fontId="26" fillId="4" borderId="2" xfId="0" applyFont="1" applyFill="1" applyBorder="1" applyAlignment="1">
      <alignment horizontal="left" vertical="center" wrapText="1"/>
    </xf>
    <xf numFmtId="0" fontId="0" fillId="4" borderId="2" xfId="0" applyFont="1" applyFill="1" applyBorder="1" applyAlignment="1">
      <alignment horizontal="left" vertical="center" wrapText="1"/>
    </xf>
  </cellXfs>
  <cellStyles count="5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M49"/>
  <sheetViews>
    <sheetView topLeftCell="A36" zoomScaleNormal="100" workbookViewId="0">
      <selection activeCell="A3" sqref="A1:XFD1048576"/>
    </sheetView>
  </sheetViews>
  <sheetFormatPr baseColWidth="10" defaultColWidth="11" defaultRowHeight="12.75" x14ac:dyDescent="0.2"/>
  <cols>
    <col min="1" max="1" width="8" style="17" customWidth="1"/>
    <col min="2" max="2" width="21.7109375" style="17" customWidth="1"/>
    <col min="3" max="3" width="32.42578125" style="17" customWidth="1"/>
    <col min="4" max="4" width="20.42578125" style="17" customWidth="1"/>
    <col min="5" max="5" width="126.42578125" style="17" bestFit="1" customWidth="1"/>
    <col min="6" max="6" width="11" style="17"/>
    <col min="7" max="7" width="12" style="17" customWidth="1"/>
    <col min="8" max="8" width="12.5703125" style="17" customWidth="1"/>
    <col min="9" max="9" width="17" style="17" customWidth="1"/>
    <col min="10" max="11" width="11" style="17"/>
    <col min="12" max="12" width="11.140625" style="17" bestFit="1" customWidth="1"/>
    <col min="13" max="13" width="14.42578125" style="17" bestFit="1" customWidth="1"/>
    <col min="14" max="16384" width="11" style="17"/>
  </cols>
  <sheetData>
    <row r="2" spans="1:13" ht="27" x14ac:dyDescent="0.35">
      <c r="A2" s="26"/>
      <c r="B2" s="110" t="s">
        <v>58</v>
      </c>
      <c r="C2" s="110"/>
      <c r="D2" s="110"/>
      <c r="E2" s="110"/>
      <c r="F2" s="110"/>
      <c r="G2" s="110"/>
      <c r="H2" s="110"/>
      <c r="I2" s="26"/>
    </row>
    <row r="3" spans="1:13" x14ac:dyDescent="0.2">
      <c r="A3" s="26"/>
      <c r="B3" s="26"/>
      <c r="C3" s="26"/>
      <c r="D3" s="26"/>
      <c r="E3" s="26"/>
      <c r="F3" s="26"/>
      <c r="G3" s="26"/>
      <c r="H3" s="26"/>
      <c r="I3" s="26"/>
    </row>
    <row r="4" spans="1:13" ht="18" customHeight="1" x14ac:dyDescent="0.25">
      <c r="A4" s="111" t="s">
        <v>0</v>
      </c>
      <c r="B4" s="111"/>
      <c r="C4" s="112" t="s">
        <v>51</v>
      </c>
      <c r="D4" s="112"/>
      <c r="E4" s="112"/>
      <c r="F4" s="27"/>
      <c r="G4" s="28"/>
      <c r="H4" s="27"/>
      <c r="I4" s="26"/>
    </row>
    <row r="5" spans="1:13" ht="18" customHeight="1" x14ac:dyDescent="0.25">
      <c r="A5" s="111" t="s">
        <v>1</v>
      </c>
      <c r="B5" s="111"/>
      <c r="C5" s="112" t="s">
        <v>59</v>
      </c>
      <c r="D5" s="112"/>
      <c r="E5" s="112"/>
      <c r="F5" s="27"/>
      <c r="G5" s="28"/>
      <c r="H5" s="27"/>
      <c r="I5" s="26"/>
    </row>
    <row r="6" spans="1:13" ht="16.5" customHeight="1" x14ac:dyDescent="0.25">
      <c r="A6" s="111" t="s">
        <v>2</v>
      </c>
      <c r="B6" s="111"/>
      <c r="C6" s="29">
        <v>2021</v>
      </c>
      <c r="D6" s="30"/>
      <c r="E6" s="30"/>
      <c r="F6" s="27"/>
      <c r="G6" s="28"/>
      <c r="H6" s="27"/>
      <c r="I6" s="26"/>
    </row>
    <row r="7" spans="1:13" ht="16.5" customHeight="1" x14ac:dyDescent="0.25">
      <c r="A7" s="111" t="s">
        <v>57</v>
      </c>
      <c r="B7" s="111"/>
      <c r="C7" s="29">
        <v>4</v>
      </c>
      <c r="D7" s="30"/>
      <c r="E7" s="30"/>
      <c r="F7" s="27"/>
      <c r="G7" s="28"/>
      <c r="H7" s="27"/>
      <c r="I7" s="26"/>
    </row>
    <row r="8" spans="1:13" ht="13.5" thickBot="1" x14ac:dyDescent="0.25">
      <c r="A8" s="26"/>
      <c r="B8" s="27"/>
      <c r="C8" s="28"/>
      <c r="D8" s="27"/>
      <c r="E8" s="27"/>
      <c r="F8" s="27"/>
      <c r="G8" s="28"/>
      <c r="H8" s="27"/>
      <c r="I8" s="26"/>
    </row>
    <row r="9" spans="1:13" ht="49.5" customHeight="1" thickBot="1" x14ac:dyDescent="0.25">
      <c r="A9" s="31" t="s">
        <v>3</v>
      </c>
      <c r="B9" s="54" t="s">
        <v>4</v>
      </c>
      <c r="C9" s="54" t="s">
        <v>5</v>
      </c>
      <c r="D9" s="32" t="s">
        <v>6</v>
      </c>
      <c r="E9" s="54" t="s">
        <v>7</v>
      </c>
      <c r="F9" s="33" t="s">
        <v>8</v>
      </c>
      <c r="G9" s="34" t="s">
        <v>9</v>
      </c>
      <c r="H9" s="34" t="s">
        <v>10</v>
      </c>
      <c r="I9" s="35" t="s">
        <v>11</v>
      </c>
    </row>
    <row r="10" spans="1:13" ht="21.75" customHeight="1" x14ac:dyDescent="0.2">
      <c r="A10" s="79">
        <v>1</v>
      </c>
      <c r="B10" s="80" t="s">
        <v>62</v>
      </c>
      <c r="C10" s="81" t="s">
        <v>74</v>
      </c>
      <c r="D10" s="82" t="s">
        <v>66</v>
      </c>
      <c r="E10" s="83" t="s">
        <v>60</v>
      </c>
      <c r="F10" s="84" t="s">
        <v>73</v>
      </c>
      <c r="G10" s="85">
        <v>524</v>
      </c>
      <c r="H10" s="86">
        <v>1080</v>
      </c>
      <c r="I10" s="87">
        <f>+G10*H10</f>
        <v>565920</v>
      </c>
    </row>
    <row r="11" spans="1:13" ht="26.25" customHeight="1" x14ac:dyDescent="0.2">
      <c r="A11" s="88">
        <v>2</v>
      </c>
      <c r="B11" s="20" t="s">
        <v>64</v>
      </c>
      <c r="C11" s="76" t="s">
        <v>75</v>
      </c>
      <c r="D11" s="77" t="s">
        <v>66</v>
      </c>
      <c r="E11" s="78" t="s">
        <v>63</v>
      </c>
      <c r="F11" s="37" t="s">
        <v>61</v>
      </c>
      <c r="G11" s="72">
        <v>12576</v>
      </c>
      <c r="H11" s="39">
        <v>35</v>
      </c>
      <c r="I11" s="89">
        <f>+G11*H11</f>
        <v>440160</v>
      </c>
    </row>
    <row r="12" spans="1:13" x14ac:dyDescent="0.2">
      <c r="A12" s="88"/>
      <c r="B12" s="63"/>
      <c r="C12" s="36"/>
      <c r="D12" s="66"/>
      <c r="E12" s="36"/>
      <c r="F12" s="64"/>
      <c r="G12" s="64"/>
      <c r="H12" s="39"/>
      <c r="I12" s="89"/>
    </row>
    <row r="13" spans="1:13" x14ac:dyDescent="0.2">
      <c r="A13" s="88"/>
      <c r="B13" s="36"/>
      <c r="C13" s="36"/>
      <c r="D13" s="36"/>
      <c r="E13" s="36"/>
      <c r="F13" s="37"/>
      <c r="G13" s="38"/>
      <c r="H13" s="39"/>
      <c r="I13" s="89"/>
      <c r="L13" s="62"/>
      <c r="M13" s="62"/>
    </row>
    <row r="14" spans="1:13" x14ac:dyDescent="0.2">
      <c r="A14" s="88"/>
      <c r="B14" s="63"/>
      <c r="C14" s="36"/>
      <c r="D14" s="36"/>
      <c r="E14" s="36"/>
      <c r="F14" s="37"/>
      <c r="G14" s="38"/>
      <c r="H14" s="39"/>
      <c r="I14" s="89"/>
    </row>
    <row r="15" spans="1:13" x14ac:dyDescent="0.2">
      <c r="A15" s="88"/>
      <c r="B15" s="63"/>
      <c r="C15" s="36"/>
      <c r="D15" s="36"/>
      <c r="E15" s="36"/>
      <c r="F15" s="37"/>
      <c r="G15" s="38"/>
      <c r="H15" s="39"/>
      <c r="I15" s="89"/>
    </row>
    <row r="16" spans="1:13" ht="13.5" thickBot="1" x14ac:dyDescent="0.25">
      <c r="A16" s="90"/>
      <c r="B16" s="91"/>
      <c r="C16" s="92"/>
      <c r="D16" s="92"/>
      <c r="E16" s="92"/>
      <c r="F16" s="93"/>
      <c r="G16" s="93"/>
      <c r="H16" s="94"/>
      <c r="I16" s="95"/>
    </row>
    <row r="17" spans="1:9" ht="13.5" thickBot="1" x14ac:dyDescent="0.25">
      <c r="A17" s="26"/>
      <c r="B17" s="26"/>
      <c r="C17" s="26"/>
      <c r="D17" s="26"/>
      <c r="E17" s="26"/>
      <c r="F17" s="26"/>
      <c r="G17" s="26"/>
      <c r="H17" s="26"/>
      <c r="I17" s="26"/>
    </row>
    <row r="18" spans="1:9" x14ac:dyDescent="0.2">
      <c r="A18" s="26"/>
      <c r="B18" s="65" t="s">
        <v>85</v>
      </c>
      <c r="C18" s="40"/>
      <c r="D18" s="40"/>
      <c r="E18" s="41"/>
      <c r="F18" s="26"/>
      <c r="G18" s="26"/>
      <c r="H18" s="26"/>
      <c r="I18" s="26"/>
    </row>
    <row r="19" spans="1:9" ht="5.25" customHeight="1" x14ac:dyDescent="0.2">
      <c r="A19" s="26"/>
      <c r="B19" s="42"/>
      <c r="C19" s="43"/>
      <c r="D19" s="43"/>
      <c r="E19" s="44"/>
      <c r="F19" s="26"/>
      <c r="G19" s="26"/>
      <c r="H19" s="26"/>
      <c r="I19" s="26"/>
    </row>
    <row r="20" spans="1:9" x14ac:dyDescent="0.2">
      <c r="A20" s="26"/>
      <c r="B20" s="45" t="s">
        <v>12</v>
      </c>
      <c r="C20" s="43"/>
      <c r="D20" s="43"/>
      <c r="E20" s="44"/>
      <c r="F20" s="26"/>
      <c r="G20" s="26"/>
      <c r="H20" s="26"/>
      <c r="I20" s="26"/>
    </row>
    <row r="21" spans="1:9" ht="46.5" customHeight="1" x14ac:dyDescent="0.2">
      <c r="A21" s="26"/>
      <c r="B21" s="45"/>
      <c r="C21" s="115" t="s">
        <v>86</v>
      </c>
      <c r="D21" s="115"/>
      <c r="E21" s="115"/>
      <c r="F21" s="26"/>
      <c r="G21" s="26"/>
      <c r="H21" s="26"/>
      <c r="I21" s="26"/>
    </row>
    <row r="22" spans="1:9" x14ac:dyDescent="0.2">
      <c r="A22" s="26"/>
      <c r="B22" s="45" t="s">
        <v>13</v>
      </c>
      <c r="C22" s="43"/>
      <c r="D22" s="43"/>
      <c r="E22" s="44"/>
      <c r="F22" s="26"/>
      <c r="G22" s="26"/>
      <c r="H22" s="26"/>
      <c r="I22" s="26"/>
    </row>
    <row r="23" spans="1:9" x14ac:dyDescent="0.2">
      <c r="A23" s="26"/>
      <c r="B23" s="46"/>
      <c r="C23" s="116" t="s">
        <v>76</v>
      </c>
      <c r="D23" s="116"/>
      <c r="E23" s="117"/>
      <c r="F23" s="26"/>
      <c r="G23" s="26"/>
      <c r="H23" s="26"/>
      <c r="I23" s="26"/>
    </row>
    <row r="24" spans="1:9" ht="50.25" customHeight="1" x14ac:dyDescent="0.2">
      <c r="A24" s="26"/>
      <c r="B24" s="46"/>
      <c r="C24" s="118" t="s">
        <v>77</v>
      </c>
      <c r="D24" s="118"/>
      <c r="E24" s="119"/>
      <c r="F24" s="26"/>
      <c r="G24" s="26"/>
      <c r="H24" s="26"/>
      <c r="I24" s="26"/>
    </row>
    <row r="25" spans="1:9" x14ac:dyDescent="0.2">
      <c r="A25" s="26"/>
      <c r="B25" s="46"/>
      <c r="C25" s="47" t="s">
        <v>78</v>
      </c>
      <c r="D25" s="47"/>
      <c r="E25" s="48"/>
      <c r="F25" s="26"/>
      <c r="G25" s="26"/>
      <c r="H25" s="26"/>
      <c r="I25" s="26"/>
    </row>
    <row r="26" spans="1:9" x14ac:dyDescent="0.2">
      <c r="A26" s="26"/>
      <c r="B26" s="45" t="s">
        <v>79</v>
      </c>
      <c r="C26" s="43"/>
      <c r="D26" s="43"/>
      <c r="E26" s="44"/>
      <c r="F26" s="26"/>
      <c r="G26" s="26"/>
      <c r="H26" s="26"/>
      <c r="I26" s="26"/>
    </row>
    <row r="27" spans="1:9" ht="26.25" customHeight="1" x14ac:dyDescent="0.2">
      <c r="A27" s="26"/>
      <c r="B27" s="46"/>
      <c r="C27" s="113" t="s">
        <v>52</v>
      </c>
      <c r="D27" s="113"/>
      <c r="E27" s="113"/>
      <c r="F27" s="26"/>
      <c r="G27" s="26"/>
      <c r="H27" s="26"/>
      <c r="I27" s="26"/>
    </row>
    <row r="28" spans="1:9" x14ac:dyDescent="0.2">
      <c r="A28" s="26"/>
      <c r="B28" s="45" t="s">
        <v>14</v>
      </c>
      <c r="C28" s="49"/>
      <c r="D28" s="49"/>
      <c r="E28" s="50"/>
      <c r="F28" s="26"/>
      <c r="G28" s="26"/>
      <c r="H28" s="26"/>
      <c r="I28" s="26"/>
    </row>
    <row r="29" spans="1:9" ht="26.25" customHeight="1" x14ac:dyDescent="0.2">
      <c r="A29" s="26"/>
      <c r="B29" s="46"/>
      <c r="C29" s="113" t="s">
        <v>80</v>
      </c>
      <c r="D29" s="113"/>
      <c r="E29" s="113"/>
      <c r="F29" s="26"/>
      <c r="G29" s="26"/>
      <c r="H29" s="26"/>
      <c r="I29" s="26"/>
    </row>
    <row r="30" spans="1:9" x14ac:dyDescent="0.2">
      <c r="A30" s="26"/>
      <c r="B30" s="45" t="s">
        <v>81</v>
      </c>
      <c r="C30" s="43"/>
      <c r="D30" s="43"/>
      <c r="E30" s="44"/>
      <c r="F30" s="26"/>
      <c r="G30" s="26"/>
      <c r="H30" s="26"/>
      <c r="I30" s="26"/>
    </row>
    <row r="31" spans="1:9" ht="23.25" customHeight="1" x14ac:dyDescent="0.2">
      <c r="A31" s="26"/>
      <c r="B31" s="45"/>
      <c r="C31" s="114"/>
      <c r="D31" s="114"/>
      <c r="E31" s="114"/>
      <c r="F31" s="26"/>
      <c r="G31" s="26"/>
      <c r="H31" s="26"/>
      <c r="I31" s="26"/>
    </row>
    <row r="32" spans="1:9" ht="13.5" thickBot="1" x14ac:dyDescent="0.25">
      <c r="A32" s="26"/>
      <c r="B32" s="51"/>
      <c r="C32" s="52"/>
      <c r="D32" s="52"/>
      <c r="E32" s="53"/>
      <c r="F32" s="26"/>
      <c r="G32" s="26"/>
      <c r="H32" s="26"/>
      <c r="I32" s="26"/>
    </row>
    <row r="34" spans="2:5" ht="13.5" thickBot="1" x14ac:dyDescent="0.25"/>
    <row r="35" spans="2:5" x14ac:dyDescent="0.2">
      <c r="B35" s="65" t="s">
        <v>82</v>
      </c>
      <c r="C35" s="40"/>
      <c r="D35" s="40"/>
      <c r="E35" s="41"/>
    </row>
    <row r="36" spans="2:5" x14ac:dyDescent="0.2">
      <c r="B36" s="42"/>
      <c r="C36" s="43"/>
      <c r="D36" s="43"/>
      <c r="E36" s="44"/>
    </row>
    <row r="37" spans="2:5" x14ac:dyDescent="0.2">
      <c r="B37" s="45" t="s">
        <v>12</v>
      </c>
      <c r="C37" s="43"/>
      <c r="D37" s="43"/>
      <c r="E37" s="44"/>
    </row>
    <row r="38" spans="2:5" ht="51" customHeight="1" x14ac:dyDescent="0.2">
      <c r="B38" s="45"/>
      <c r="C38" s="115" t="s">
        <v>83</v>
      </c>
      <c r="D38" s="115"/>
      <c r="E38" s="115"/>
    </row>
    <row r="39" spans="2:5" x14ac:dyDescent="0.2">
      <c r="B39" s="45" t="s">
        <v>13</v>
      </c>
      <c r="C39" s="43"/>
      <c r="D39" s="43"/>
      <c r="E39" s="44"/>
    </row>
    <row r="40" spans="2:5" x14ac:dyDescent="0.2">
      <c r="B40" s="46"/>
      <c r="C40" s="116" t="s">
        <v>76</v>
      </c>
      <c r="D40" s="116"/>
      <c r="E40" s="117"/>
    </row>
    <row r="41" spans="2:5" ht="42.75" customHeight="1" x14ac:dyDescent="0.2">
      <c r="B41" s="46"/>
      <c r="C41" s="118" t="s">
        <v>84</v>
      </c>
      <c r="D41" s="118"/>
      <c r="E41" s="119"/>
    </row>
    <row r="42" spans="2:5" x14ac:dyDescent="0.2">
      <c r="B42" s="46"/>
      <c r="C42" s="55" t="s">
        <v>78</v>
      </c>
      <c r="D42" s="55"/>
      <c r="E42" s="56"/>
    </row>
    <row r="43" spans="2:5" x14ac:dyDescent="0.2">
      <c r="B43" s="45" t="s">
        <v>79</v>
      </c>
      <c r="C43" s="43"/>
      <c r="D43" s="43"/>
      <c r="E43" s="44"/>
    </row>
    <row r="44" spans="2:5" x14ac:dyDescent="0.2">
      <c r="B44" s="46"/>
      <c r="C44" s="113" t="s">
        <v>52</v>
      </c>
      <c r="D44" s="113"/>
      <c r="E44" s="113"/>
    </row>
    <row r="45" spans="2:5" x14ac:dyDescent="0.2">
      <c r="B45" s="45" t="s">
        <v>14</v>
      </c>
      <c r="C45" s="49"/>
      <c r="D45" s="49"/>
      <c r="E45" s="50"/>
    </row>
    <row r="46" spans="2:5" x14ac:dyDescent="0.2">
      <c r="B46" s="46"/>
      <c r="C46" s="113" t="s">
        <v>80</v>
      </c>
      <c r="D46" s="113"/>
      <c r="E46" s="113"/>
    </row>
    <row r="47" spans="2:5" x14ac:dyDescent="0.2">
      <c r="B47" s="45" t="s">
        <v>81</v>
      </c>
      <c r="C47" s="43"/>
      <c r="D47" s="43"/>
      <c r="E47" s="44"/>
    </row>
    <row r="48" spans="2:5" x14ac:dyDescent="0.2">
      <c r="B48" s="45"/>
      <c r="C48" s="114"/>
      <c r="D48" s="114"/>
      <c r="E48" s="114"/>
    </row>
    <row r="49" spans="2:5" ht="13.5" thickBot="1" x14ac:dyDescent="0.25">
      <c r="B49" s="51"/>
      <c r="C49" s="52"/>
      <c r="D49" s="52"/>
      <c r="E49" s="53"/>
    </row>
  </sheetData>
  <mergeCells count="19">
    <mergeCell ref="C48:E48"/>
    <mergeCell ref="C38:E38"/>
    <mergeCell ref="C40:E40"/>
    <mergeCell ref="C41:E41"/>
    <mergeCell ref="C44:E44"/>
    <mergeCell ref="C46:E46"/>
    <mergeCell ref="C27:E27"/>
    <mergeCell ref="C29:E29"/>
    <mergeCell ref="C31:E31"/>
    <mergeCell ref="A6:B6"/>
    <mergeCell ref="A7:B7"/>
    <mergeCell ref="C21:E21"/>
    <mergeCell ref="C23:E23"/>
    <mergeCell ref="C24:E24"/>
    <mergeCell ref="B2:H2"/>
    <mergeCell ref="A4:B4"/>
    <mergeCell ref="C4:E4"/>
    <mergeCell ref="A5:B5"/>
    <mergeCell ref="C5:E5"/>
  </mergeCells>
  <pageMargins left="0" right="0" top="0.74803149606299213" bottom="0" header="0.51181102362204722" footer="0.51181102362204722"/>
  <pageSetup paperSize="5" scale="68" firstPageNumber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MJ17"/>
  <sheetViews>
    <sheetView topLeftCell="A10" zoomScale="110" zoomScaleNormal="110" workbookViewId="0">
      <selection activeCell="C15" sqref="C15:G15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2" width="5.85546875" style="2" customWidth="1"/>
    <col min="13" max="13" width="10" style="2" customWidth="1"/>
    <col min="14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120" t="s">
        <v>15</v>
      </c>
      <c r="B1" s="120"/>
      <c r="C1" s="120"/>
      <c r="D1" s="120"/>
      <c r="E1" s="120"/>
      <c r="F1" s="120"/>
      <c r="G1" s="120"/>
      <c r="H1" s="120"/>
      <c r="I1" s="120"/>
      <c r="J1" s="21" t="s">
        <v>16</v>
      </c>
      <c r="K1" s="73" t="s">
        <v>68</v>
      </c>
    </row>
    <row r="2" spans="1:11" ht="18.75" customHeight="1" thickBot="1" x14ac:dyDescent="0.25">
      <c r="A2" s="22"/>
      <c r="B2" s="22"/>
      <c r="C2" s="22"/>
      <c r="D2" s="23"/>
      <c r="E2" s="23"/>
      <c r="F2" s="23"/>
      <c r="G2" s="23"/>
      <c r="H2" s="23"/>
      <c r="I2" s="23"/>
      <c r="J2" s="23"/>
      <c r="K2" s="23"/>
    </row>
    <row r="3" spans="1:11" ht="18.75" customHeight="1" thickBot="1" x14ac:dyDescent="0.25">
      <c r="A3" s="121" t="s">
        <v>48</v>
      </c>
      <c r="B3" s="121"/>
      <c r="C3" s="121"/>
      <c r="D3" s="122" t="str">
        <f>'Necesidades Trimestrales'!C4</f>
        <v>45- Ministerio de Desarrollo Social y Deporte</v>
      </c>
      <c r="E3" s="122"/>
      <c r="F3" s="122"/>
      <c r="G3" s="122"/>
      <c r="H3" s="122"/>
      <c r="I3" s="122"/>
      <c r="J3" s="122"/>
      <c r="K3" s="122"/>
    </row>
    <row r="4" spans="1:11" ht="18.75" customHeight="1" thickBot="1" x14ac:dyDescent="0.25">
      <c r="A4" s="123" t="s">
        <v>49</v>
      </c>
      <c r="B4" s="123"/>
      <c r="C4" s="123"/>
      <c r="D4" s="122" t="str">
        <f>'Necesidades Trimestrales'!C5</f>
        <v>25- Dirección Provincial de Gestión Administrativa y RRHH</v>
      </c>
      <c r="E4" s="122"/>
      <c r="F4" s="122"/>
      <c r="G4" s="122"/>
      <c r="H4" s="122"/>
      <c r="I4" s="122"/>
      <c r="J4" s="122"/>
      <c r="K4" s="122"/>
    </row>
    <row r="5" spans="1:11" ht="18.75" customHeight="1" thickBot="1" x14ac:dyDescent="0.25">
      <c r="A5" s="123" t="s">
        <v>27</v>
      </c>
      <c r="B5" s="123"/>
      <c r="C5" s="123"/>
      <c r="D5" s="122" t="s">
        <v>55</v>
      </c>
      <c r="E5" s="122"/>
      <c r="F5" s="122"/>
      <c r="G5" s="122"/>
      <c r="H5" s="122"/>
      <c r="I5" s="122"/>
      <c r="J5" s="122"/>
      <c r="K5" s="122"/>
    </row>
    <row r="6" spans="1:11" ht="16.5" customHeight="1" thickBot="1" x14ac:dyDescent="0.25">
      <c r="A6" s="121" t="s">
        <v>50</v>
      </c>
      <c r="B6" s="121"/>
      <c r="C6" s="121"/>
      <c r="D6" s="122" t="s">
        <v>54</v>
      </c>
      <c r="E6" s="122"/>
      <c r="F6" s="122"/>
      <c r="G6" s="122"/>
      <c r="H6" s="122"/>
      <c r="I6" s="122"/>
      <c r="J6" s="122"/>
      <c r="K6" s="122"/>
    </row>
    <row r="7" spans="1:11" ht="16.5" customHeight="1" x14ac:dyDescent="0.2">
      <c r="A7" s="123" t="s">
        <v>17</v>
      </c>
      <c r="B7" s="123"/>
      <c r="C7" s="123"/>
      <c r="D7" s="122" t="str">
        <f>'Necesidades Trimestrales'!C7 &amp; "  - Año " &amp; 'Necesidades Trimestrales'!C6</f>
        <v>4  - Año 2021</v>
      </c>
      <c r="E7" s="122"/>
      <c r="F7" s="122"/>
      <c r="G7" s="122"/>
      <c r="H7" s="122"/>
      <c r="I7" s="122"/>
      <c r="J7" s="122"/>
      <c r="K7" s="122"/>
    </row>
    <row r="8" spans="1:11" ht="35.25" customHeight="1" x14ac:dyDescent="0.2">
      <c r="A8" s="124" t="s">
        <v>18</v>
      </c>
      <c r="B8" s="124"/>
      <c r="C8" s="124"/>
      <c r="D8" s="125" t="s">
        <v>69</v>
      </c>
      <c r="E8" s="125"/>
      <c r="F8" s="125"/>
      <c r="G8" s="125"/>
      <c r="H8" s="125"/>
      <c r="I8" s="125"/>
      <c r="J8" s="125"/>
      <c r="K8" s="125"/>
    </row>
    <row r="9" spans="1:11" ht="15.75" x14ac:dyDescent="0.2">
      <c r="A9" s="24"/>
      <c r="B9" s="24"/>
      <c r="C9" s="24"/>
      <c r="D9" s="25"/>
      <c r="E9" s="25"/>
      <c r="F9" s="25"/>
      <c r="G9" s="25"/>
      <c r="H9" s="25"/>
      <c r="I9" s="25"/>
      <c r="J9" s="25"/>
      <c r="K9" s="25"/>
    </row>
    <row r="10" spans="1:11" ht="18.75" customHeight="1" thickBot="1" x14ac:dyDescent="0.25">
      <c r="A10" s="126" t="s">
        <v>19</v>
      </c>
      <c r="B10" s="128" t="s">
        <v>65</v>
      </c>
      <c r="C10" s="128" t="s">
        <v>20</v>
      </c>
      <c r="D10" s="128"/>
      <c r="E10" s="128"/>
      <c r="F10" s="128"/>
      <c r="G10" s="128"/>
      <c r="H10" s="128" t="s">
        <v>21</v>
      </c>
      <c r="I10" s="128" t="s">
        <v>22</v>
      </c>
      <c r="J10" s="128" t="s">
        <v>23</v>
      </c>
      <c r="K10" s="130" t="s">
        <v>24</v>
      </c>
    </row>
    <row r="11" spans="1:11" ht="24" customHeight="1" thickBot="1" x14ac:dyDescent="0.25">
      <c r="A11" s="127"/>
      <c r="B11" s="129"/>
      <c r="C11" s="129"/>
      <c r="D11" s="129"/>
      <c r="E11" s="129"/>
      <c r="F11" s="129"/>
      <c r="G11" s="129"/>
      <c r="H11" s="129"/>
      <c r="I11" s="129"/>
      <c r="J11" s="129"/>
      <c r="K11" s="131"/>
    </row>
    <row r="12" spans="1:11" ht="45.75" customHeight="1" x14ac:dyDescent="0.2">
      <c r="A12" s="96">
        <v>1</v>
      </c>
      <c r="B12" s="80" t="s">
        <v>62</v>
      </c>
      <c r="C12" s="135" t="s">
        <v>60</v>
      </c>
      <c r="D12" s="136"/>
      <c r="E12" s="136"/>
      <c r="F12" s="136"/>
      <c r="G12" s="137"/>
      <c r="H12" s="97" t="s">
        <v>72</v>
      </c>
      <c r="I12" s="84" t="s">
        <v>73</v>
      </c>
      <c r="J12" s="98">
        <v>1080</v>
      </c>
      <c r="K12" s="99">
        <v>524</v>
      </c>
    </row>
    <row r="13" spans="1:11" ht="57.75" customHeight="1" x14ac:dyDescent="0.2">
      <c r="A13" s="100">
        <v>2</v>
      </c>
      <c r="B13" s="20" t="s">
        <v>64</v>
      </c>
      <c r="C13" s="138" t="s">
        <v>63</v>
      </c>
      <c r="D13" s="139"/>
      <c r="E13" s="139"/>
      <c r="F13" s="139"/>
      <c r="G13" s="140"/>
      <c r="H13" s="71" t="s">
        <v>72</v>
      </c>
      <c r="I13" s="37" t="s">
        <v>61</v>
      </c>
      <c r="J13" s="75">
        <v>35</v>
      </c>
      <c r="K13" s="101">
        <v>12576</v>
      </c>
    </row>
    <row r="14" spans="1:11" ht="33.75" customHeight="1" x14ac:dyDescent="0.2">
      <c r="A14" s="100"/>
      <c r="B14" s="67"/>
      <c r="C14" s="141"/>
      <c r="D14" s="141"/>
      <c r="E14" s="141"/>
      <c r="F14" s="141"/>
      <c r="G14" s="141"/>
      <c r="H14" s="71"/>
      <c r="I14" s="64"/>
      <c r="J14" s="39"/>
      <c r="K14" s="102"/>
    </row>
    <row r="15" spans="1:11" ht="33.75" customHeight="1" x14ac:dyDescent="0.2">
      <c r="A15" s="100"/>
      <c r="B15" s="61"/>
      <c r="C15" s="143"/>
      <c r="D15" s="144"/>
      <c r="E15" s="144"/>
      <c r="F15" s="144"/>
      <c r="G15" s="145"/>
      <c r="H15" s="58"/>
      <c r="I15" s="59"/>
      <c r="J15" s="60"/>
      <c r="K15" s="103"/>
    </row>
    <row r="16" spans="1:11" ht="27.75" customHeight="1" thickBot="1" x14ac:dyDescent="0.25">
      <c r="A16" s="104"/>
      <c r="B16" s="105"/>
      <c r="C16" s="142"/>
      <c r="D16" s="142"/>
      <c r="E16" s="142"/>
      <c r="F16" s="142"/>
      <c r="G16" s="142"/>
      <c r="H16" s="106"/>
      <c r="I16" s="107"/>
      <c r="J16" s="108"/>
      <c r="K16" s="109"/>
    </row>
    <row r="17" spans="1:11" ht="32.25" customHeight="1" thickBot="1" x14ac:dyDescent="0.25">
      <c r="A17" s="132" t="s">
        <v>70</v>
      </c>
      <c r="B17" s="132"/>
      <c r="C17" s="132"/>
      <c r="D17" s="132"/>
      <c r="E17" s="132"/>
      <c r="F17" s="132"/>
      <c r="G17" s="132"/>
      <c r="H17" s="132"/>
      <c r="I17" s="132"/>
      <c r="J17" s="133">
        <f>+J12*K12+J13*K13+J14*K14</f>
        <v>1006080</v>
      </c>
      <c r="K17" s="134"/>
    </row>
  </sheetData>
  <mergeCells count="27">
    <mergeCell ref="A17:I17"/>
    <mergeCell ref="J17:K17"/>
    <mergeCell ref="C12:G12"/>
    <mergeCell ref="C13:G13"/>
    <mergeCell ref="C14:G14"/>
    <mergeCell ref="C16:G16"/>
    <mergeCell ref="C15:G15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85039370078741" right="0.19685039370078741" top="0.98425196850393704" bottom="0.98425196850393704" header="0.51181102362204722" footer="0.51181102362204722"/>
  <pageSetup paperSize="5" firstPageNumber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Q25"/>
  <sheetViews>
    <sheetView tabSelected="1" topLeftCell="A13" zoomScale="130" zoomScaleNormal="130" workbookViewId="0">
      <selection activeCell="Q16" sqref="Q16"/>
    </sheetView>
  </sheetViews>
  <sheetFormatPr baseColWidth="10" defaultColWidth="11" defaultRowHeight="12.75" x14ac:dyDescent="0.2"/>
  <cols>
    <col min="1" max="4" width="4.42578125" customWidth="1"/>
    <col min="5" max="5" width="3.7109375" bestFit="1" customWidth="1"/>
    <col min="6" max="6" width="5" bestFit="1" customWidth="1"/>
    <col min="7" max="7" width="4.42578125" style="3" customWidth="1"/>
    <col min="8" max="11" width="4.42578125" customWidth="1"/>
    <col min="12" max="12" width="5.85546875" bestFit="1" customWidth="1"/>
    <col min="13" max="14" width="4.42578125" customWidth="1"/>
    <col min="15" max="16" width="14.85546875" customWidth="1"/>
    <col min="17" max="17" width="14.28515625" bestFit="1" customWidth="1"/>
  </cols>
  <sheetData>
    <row r="1" spans="1:17" ht="15.75" customHeight="1" thickBot="1" x14ac:dyDescent="0.3">
      <c r="A1" s="146" t="s">
        <v>2</v>
      </c>
      <c r="B1" s="146"/>
      <c r="C1" s="146"/>
      <c r="D1" s="147">
        <f>'Necesidades Trimestrales'!C6</f>
        <v>2021</v>
      </c>
      <c r="E1" s="147"/>
      <c r="F1" s="4"/>
      <c r="G1" s="4"/>
      <c r="H1" s="5"/>
      <c r="I1" s="5"/>
      <c r="J1" s="5"/>
      <c r="K1" s="5"/>
      <c r="L1" s="5"/>
      <c r="M1" s="5"/>
      <c r="N1" s="5"/>
      <c r="P1" s="148" t="s">
        <v>25</v>
      </c>
      <c r="Q1" s="148"/>
    </row>
    <row r="2" spans="1:17" ht="15.75" customHeight="1" thickBot="1" x14ac:dyDescent="0.25">
      <c r="H2" s="5"/>
      <c r="I2" s="5"/>
      <c r="J2" s="5"/>
      <c r="K2" s="5"/>
      <c r="L2" s="5"/>
      <c r="M2" s="5"/>
      <c r="N2" s="5"/>
      <c r="P2" s="148"/>
      <c r="Q2" s="148"/>
    </row>
    <row r="4" spans="1:17" s="6" customFormat="1" ht="18" customHeight="1" thickBot="1" x14ac:dyDescent="0.25">
      <c r="A4" s="149" t="s">
        <v>26</v>
      </c>
      <c r="B4" s="149"/>
      <c r="C4" s="149"/>
      <c r="D4" s="149"/>
      <c r="E4" s="149"/>
      <c r="F4" s="149"/>
      <c r="G4" s="150" t="str">
        <f>' NotaPedido'!D3</f>
        <v>45- Ministerio de Desarrollo Social y Deporte</v>
      </c>
      <c r="H4" s="150"/>
      <c r="I4" s="150"/>
      <c r="J4" s="150"/>
      <c r="K4" s="150"/>
      <c r="L4" s="150"/>
      <c r="M4" s="150"/>
      <c r="N4" s="150"/>
      <c r="O4" s="150"/>
      <c r="P4" s="150"/>
      <c r="Q4" s="150"/>
    </row>
    <row r="5" spans="1:17" s="6" customFormat="1" ht="18" customHeight="1" thickBot="1" x14ac:dyDescent="0.25">
      <c r="A5" s="156" t="s">
        <v>49</v>
      </c>
      <c r="B5" s="157"/>
      <c r="C5" s="157"/>
      <c r="D5" s="157"/>
      <c r="E5" s="157"/>
      <c r="F5" s="158"/>
      <c r="G5" s="150" t="str">
        <f>' NotaPedido'!D4</f>
        <v>25- Dirección Provincial de Gestión Administrativa y RRHH</v>
      </c>
      <c r="H5" s="150"/>
      <c r="I5" s="150"/>
      <c r="J5" s="150"/>
      <c r="K5" s="150"/>
      <c r="L5" s="150"/>
      <c r="M5" s="150"/>
      <c r="N5" s="150"/>
      <c r="O5" s="150"/>
      <c r="P5" s="150"/>
      <c r="Q5" s="150"/>
    </row>
    <row r="6" spans="1:17" s="6" customFormat="1" ht="18" customHeight="1" thickBot="1" x14ac:dyDescent="0.25">
      <c r="A6" s="156" t="s">
        <v>27</v>
      </c>
      <c r="B6" s="157"/>
      <c r="C6" s="157"/>
      <c r="D6" s="157"/>
      <c r="E6" s="157"/>
      <c r="F6" s="158"/>
      <c r="G6" s="150" t="s">
        <v>53</v>
      </c>
      <c r="H6" s="150"/>
      <c r="I6" s="150"/>
      <c r="J6" s="150"/>
      <c r="K6" s="150"/>
      <c r="L6" s="150"/>
      <c r="M6" s="150"/>
      <c r="N6" s="150"/>
      <c r="O6" s="150"/>
      <c r="P6" s="150"/>
      <c r="Q6" s="150"/>
    </row>
    <row r="7" spans="1:17" s="6" customFormat="1" ht="18" customHeight="1" thickBot="1" x14ac:dyDescent="0.25">
      <c r="A7" s="156" t="s">
        <v>50</v>
      </c>
      <c r="B7" s="157"/>
      <c r="C7" s="157"/>
      <c r="D7" s="157"/>
      <c r="E7" s="157"/>
      <c r="F7" s="158"/>
      <c r="G7" s="150" t="s">
        <v>56</v>
      </c>
      <c r="H7" s="150"/>
      <c r="I7" s="150"/>
      <c r="J7" s="150"/>
      <c r="K7" s="150"/>
      <c r="L7" s="150"/>
      <c r="M7" s="150"/>
      <c r="N7" s="150"/>
      <c r="O7" s="150"/>
      <c r="P7" s="150"/>
      <c r="Q7" s="150"/>
    </row>
    <row r="8" spans="1:17" ht="18" customHeight="1" thickBot="1" x14ac:dyDescent="0.25">
      <c r="A8" s="159" t="s">
        <v>28</v>
      </c>
      <c r="B8" s="159"/>
      <c r="C8" s="159"/>
      <c r="D8" s="159"/>
      <c r="E8" s="159"/>
      <c r="F8" s="159"/>
      <c r="G8" s="159"/>
      <c r="H8" s="159"/>
      <c r="I8" s="159"/>
      <c r="J8" s="159"/>
      <c r="K8" s="159"/>
      <c r="L8" s="159"/>
      <c r="M8" s="159"/>
      <c r="N8" s="159"/>
      <c r="O8" s="159"/>
      <c r="P8" s="159"/>
      <c r="Q8" s="159"/>
    </row>
    <row r="9" spans="1:17" ht="18" customHeight="1" x14ac:dyDescent="0.2">
      <c r="A9" s="151" t="s">
        <v>29</v>
      </c>
      <c r="B9" s="151"/>
      <c r="C9" s="151"/>
      <c r="D9" s="151"/>
      <c r="E9" s="151"/>
      <c r="F9" s="151"/>
      <c r="G9" s="151"/>
      <c r="H9" s="151"/>
      <c r="I9" s="151"/>
      <c r="J9" s="151"/>
      <c r="K9" s="151"/>
      <c r="L9" s="151"/>
      <c r="M9" s="151"/>
      <c r="N9" s="151"/>
      <c r="O9" s="1"/>
      <c r="P9" s="1"/>
      <c r="Q9" s="7"/>
    </row>
    <row r="10" spans="1:17" ht="54.75" customHeight="1" x14ac:dyDescent="0.2">
      <c r="A10" s="152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1181/2021,  afectando la erogación resultante a los créditos presupuestarios aprobados a favor de esta Unidad Ejecutora, conforme al siguiente detalle:</v>
      </c>
      <c r="B10" s="152"/>
      <c r="C10" s="152"/>
      <c r="D10" s="152"/>
      <c r="E10" s="152"/>
      <c r="F10" s="152"/>
      <c r="G10" s="152"/>
      <c r="H10" s="152"/>
      <c r="I10" s="152"/>
      <c r="J10" s="152"/>
      <c r="K10" s="152"/>
      <c r="L10" s="152"/>
      <c r="M10" s="152"/>
      <c r="N10" s="152"/>
      <c r="O10" s="152"/>
      <c r="P10" s="152"/>
      <c r="Q10" s="152"/>
    </row>
    <row r="11" spans="1:17" ht="9" customHeight="1" thickBot="1" x14ac:dyDescent="0.25">
      <c r="A11" s="8"/>
      <c r="B11" s="9"/>
      <c r="C11" s="9"/>
      <c r="D11" s="9"/>
      <c r="E11" s="9"/>
      <c r="F11" s="9"/>
      <c r="G11" s="10"/>
      <c r="H11" s="9"/>
      <c r="I11" s="9"/>
      <c r="J11" s="9"/>
      <c r="K11" s="9"/>
      <c r="L11" s="9"/>
      <c r="M11" s="9"/>
      <c r="N11" s="9"/>
      <c r="O11" s="9"/>
      <c r="P11" s="9"/>
      <c r="Q11" s="11"/>
    </row>
    <row r="12" spans="1:17" ht="15.75" customHeight="1" thickBot="1" x14ac:dyDescent="0.25">
      <c r="A12" s="153" t="s">
        <v>30</v>
      </c>
      <c r="B12" s="153"/>
      <c r="C12" s="153"/>
      <c r="D12" s="153"/>
      <c r="E12" s="153"/>
      <c r="F12" s="153"/>
      <c r="G12" s="153"/>
      <c r="H12" s="153"/>
      <c r="I12" s="153"/>
      <c r="J12" s="153"/>
      <c r="K12" s="153"/>
      <c r="L12" s="153"/>
      <c r="M12" s="153"/>
      <c r="N12" s="153"/>
      <c r="O12" s="153"/>
      <c r="P12" s="153"/>
      <c r="Q12" s="153"/>
    </row>
    <row r="13" spans="1:17" ht="15.75" customHeight="1" thickBot="1" x14ac:dyDescent="0.25">
      <c r="A13" s="154" t="s">
        <v>31</v>
      </c>
      <c r="B13" s="154"/>
      <c r="C13" s="154"/>
      <c r="D13" s="154"/>
      <c r="E13" s="154"/>
      <c r="F13" s="154"/>
      <c r="G13" s="154"/>
      <c r="H13" s="154"/>
      <c r="I13" s="154"/>
      <c r="J13" s="154"/>
      <c r="K13" s="154"/>
      <c r="L13" s="154"/>
      <c r="M13" s="154"/>
      <c r="N13" s="154"/>
      <c r="O13" s="155" t="s">
        <v>32</v>
      </c>
      <c r="P13" s="155"/>
      <c r="Q13" s="160" t="s">
        <v>33</v>
      </c>
    </row>
    <row r="14" spans="1:17" ht="15.75" customHeight="1" x14ac:dyDescent="0.2">
      <c r="A14" s="12" t="s">
        <v>34</v>
      </c>
      <c r="B14" s="13" t="s">
        <v>35</v>
      </c>
      <c r="C14" s="13" t="s">
        <v>36</v>
      </c>
      <c r="D14" s="13" t="s">
        <v>37</v>
      </c>
      <c r="E14" s="13" t="s">
        <v>38</v>
      </c>
      <c r="F14" s="13" t="s">
        <v>39</v>
      </c>
      <c r="G14" s="14" t="s">
        <v>40</v>
      </c>
      <c r="H14" s="13" t="s">
        <v>41</v>
      </c>
      <c r="I14" s="13" t="s">
        <v>42</v>
      </c>
      <c r="J14" s="13" t="s">
        <v>43</v>
      </c>
      <c r="K14" s="13" t="s">
        <v>43</v>
      </c>
      <c r="L14" s="13" t="s">
        <v>44</v>
      </c>
      <c r="M14" s="15" t="s">
        <v>45</v>
      </c>
      <c r="N14" s="16" t="s">
        <v>46</v>
      </c>
      <c r="O14" s="155"/>
      <c r="P14" s="155"/>
      <c r="Q14" s="160"/>
    </row>
    <row r="15" spans="1:17" s="69" customFormat="1" ht="17.25" customHeight="1" x14ac:dyDescent="0.2">
      <c r="A15" s="18">
        <v>44</v>
      </c>
      <c r="B15" s="18"/>
      <c r="C15" s="18"/>
      <c r="D15" s="18">
        <v>1</v>
      </c>
      <c r="E15" s="18"/>
      <c r="F15" s="18">
        <v>4901</v>
      </c>
      <c r="G15" s="18">
        <v>3</v>
      </c>
      <c r="H15" s="18">
        <v>4</v>
      </c>
      <c r="I15" s="70">
        <v>2</v>
      </c>
      <c r="J15" s="70">
        <v>1</v>
      </c>
      <c r="K15" s="70">
        <v>1</v>
      </c>
      <c r="L15" s="18"/>
      <c r="M15" s="18">
        <v>1</v>
      </c>
      <c r="N15" s="18">
        <v>1.1000000000000001</v>
      </c>
      <c r="O15" s="172" t="s">
        <v>67</v>
      </c>
      <c r="P15" s="172"/>
      <c r="Q15" s="68">
        <v>1006080</v>
      </c>
    </row>
    <row r="16" spans="1:17" s="69" customFormat="1" ht="22.5" customHeight="1" x14ac:dyDescent="0.2">
      <c r="A16" s="18"/>
      <c r="B16" s="18"/>
      <c r="C16" s="18"/>
      <c r="D16" s="18"/>
      <c r="E16" s="18"/>
      <c r="F16" s="18"/>
      <c r="G16" s="18"/>
      <c r="H16" s="18"/>
      <c r="I16" s="70"/>
      <c r="J16" s="70"/>
      <c r="K16" s="70"/>
      <c r="L16" s="18"/>
      <c r="M16" s="18"/>
      <c r="N16" s="18"/>
      <c r="O16" s="172"/>
      <c r="P16" s="172"/>
      <c r="Q16" s="68"/>
    </row>
    <row r="17" spans="1:17" s="69" customFormat="1" ht="17.25" customHeight="1" x14ac:dyDescent="0.2">
      <c r="A17" s="18"/>
      <c r="B17" s="18"/>
      <c r="C17" s="18"/>
      <c r="D17" s="18"/>
      <c r="E17" s="18"/>
      <c r="F17" s="18"/>
      <c r="G17" s="18"/>
      <c r="H17" s="18"/>
      <c r="I17" s="70"/>
      <c r="J17" s="70"/>
      <c r="K17" s="70"/>
      <c r="L17" s="18"/>
      <c r="M17" s="18"/>
      <c r="N17" s="18"/>
      <c r="O17" s="173"/>
      <c r="P17" s="174"/>
      <c r="Q17" s="68"/>
    </row>
    <row r="18" spans="1:17" ht="17.25" customHeight="1" x14ac:dyDescent="0.2">
      <c r="A18" s="18"/>
      <c r="B18" s="18"/>
      <c r="C18" s="18"/>
      <c r="D18" s="18"/>
      <c r="E18" s="18"/>
      <c r="F18" s="18"/>
      <c r="G18" s="18"/>
      <c r="H18" s="18"/>
      <c r="I18" s="57"/>
      <c r="J18" s="57"/>
      <c r="K18" s="57"/>
      <c r="L18" s="18"/>
      <c r="M18" s="18"/>
      <c r="N18" s="18"/>
      <c r="O18" s="170"/>
      <c r="P18" s="171"/>
      <c r="Q18" s="68"/>
    </row>
    <row r="19" spans="1:17" ht="17.25" customHeight="1" x14ac:dyDescent="0.2">
      <c r="A19" s="19"/>
      <c r="B19" s="19"/>
      <c r="C19" s="19"/>
      <c r="D19" s="19"/>
      <c r="E19" s="19"/>
      <c r="F19" s="20"/>
      <c r="G19" s="19"/>
      <c r="H19" s="19"/>
      <c r="I19" s="19"/>
      <c r="J19" s="19"/>
      <c r="K19" s="19"/>
      <c r="L19" s="19"/>
      <c r="M19" s="19"/>
      <c r="N19" s="19"/>
      <c r="O19" s="166"/>
      <c r="P19" s="166"/>
      <c r="Q19" s="68"/>
    </row>
    <row r="20" spans="1:17" ht="17.25" customHeight="1" x14ac:dyDescent="0.2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166"/>
      <c r="P20" s="166"/>
      <c r="Q20" s="68"/>
    </row>
    <row r="21" spans="1:17" ht="27" customHeight="1" thickBot="1" x14ac:dyDescent="0.25">
      <c r="A21" s="167" t="s">
        <v>71</v>
      </c>
      <c r="B21" s="168"/>
      <c r="C21" s="168"/>
      <c r="D21" s="168"/>
      <c r="E21" s="168"/>
      <c r="F21" s="168"/>
      <c r="G21" s="168"/>
      <c r="H21" s="168"/>
      <c r="I21" s="168"/>
      <c r="J21" s="168"/>
      <c r="K21" s="168"/>
      <c r="L21" s="168"/>
      <c r="M21" s="168"/>
      <c r="N21" s="168"/>
      <c r="O21" s="168"/>
      <c r="P21" s="168"/>
      <c r="Q21" s="74">
        <f>SUM(Q15:Q20)</f>
        <v>1006080</v>
      </c>
    </row>
    <row r="22" spans="1:17" ht="18" customHeight="1" thickBot="1" x14ac:dyDescent="0.25">
      <c r="A22" s="169"/>
      <c r="B22" s="169"/>
      <c r="C22" s="169"/>
      <c r="D22" s="169"/>
      <c r="E22" s="169"/>
      <c r="F22" s="169"/>
      <c r="G22" s="169"/>
      <c r="H22" s="169"/>
      <c r="I22" s="169"/>
      <c r="J22" s="169"/>
      <c r="K22" s="169"/>
      <c r="L22" s="169"/>
      <c r="M22" s="169"/>
      <c r="N22" s="169"/>
      <c r="O22" s="169"/>
      <c r="P22" s="169"/>
      <c r="Q22" s="169"/>
    </row>
    <row r="23" spans="1:17" ht="17.25" customHeight="1" thickBot="1" x14ac:dyDescent="0.25">
      <c r="A23" s="161" t="s">
        <v>47</v>
      </c>
      <c r="B23" s="162"/>
      <c r="C23" s="162"/>
      <c r="D23" s="162"/>
      <c r="E23" s="162"/>
      <c r="F23" s="163"/>
      <c r="G23" s="164"/>
      <c r="H23" s="164"/>
      <c r="I23" s="164"/>
      <c r="J23" s="164"/>
      <c r="K23" s="164"/>
      <c r="L23" s="164"/>
      <c r="M23" s="164"/>
      <c r="N23" s="164"/>
      <c r="O23" s="164"/>
      <c r="P23" s="164"/>
      <c r="Q23" s="164"/>
    </row>
    <row r="24" spans="1:17" ht="18" customHeight="1" thickBot="1" x14ac:dyDescent="0.25">
      <c r="A24" s="165" t="s">
        <v>69</v>
      </c>
      <c r="B24" s="165"/>
      <c r="C24" s="165"/>
      <c r="D24" s="165"/>
      <c r="E24" s="165"/>
      <c r="F24" s="165"/>
      <c r="G24" s="165"/>
      <c r="H24" s="165"/>
      <c r="I24" s="165"/>
      <c r="J24" s="165"/>
      <c r="K24" s="165"/>
      <c r="L24" s="165"/>
      <c r="M24" s="165"/>
      <c r="N24" s="165"/>
      <c r="O24" s="165"/>
      <c r="P24" s="165"/>
      <c r="Q24" s="165"/>
    </row>
    <row r="25" spans="1:17" ht="15" customHeight="1" thickBot="1" x14ac:dyDescent="0.25">
      <c r="A25" s="165"/>
      <c r="B25" s="165"/>
      <c r="C25" s="165"/>
      <c r="D25" s="165"/>
      <c r="E25" s="165"/>
      <c r="F25" s="165"/>
      <c r="G25" s="165"/>
      <c r="H25" s="165"/>
      <c r="I25" s="165"/>
      <c r="J25" s="165"/>
      <c r="K25" s="165"/>
      <c r="L25" s="165"/>
      <c r="M25" s="165"/>
      <c r="N25" s="165"/>
      <c r="O25" s="165"/>
      <c r="P25" s="165"/>
      <c r="Q25" s="165"/>
    </row>
  </sheetData>
  <mergeCells count="29">
    <mergeCell ref="O18:P18"/>
    <mergeCell ref="O15:P15"/>
    <mergeCell ref="O16:P16"/>
    <mergeCell ref="O17:P17"/>
    <mergeCell ref="A23:F23"/>
    <mergeCell ref="G23:Q23"/>
    <mergeCell ref="A24:Q25"/>
    <mergeCell ref="O19:P19"/>
    <mergeCell ref="O20:P20"/>
    <mergeCell ref="A21:P21"/>
    <mergeCell ref="A22:Q22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A1:C1"/>
    <mergeCell ref="D1:E1"/>
    <mergeCell ref="P1:Q2"/>
    <mergeCell ref="A4:F4"/>
    <mergeCell ref="G4:Q4"/>
  </mergeCells>
  <printOptions horizontalCentered="1"/>
  <pageMargins left="0.39370078740157483" right="0.39370078740157483" top="0.98425196850393704" bottom="0.98425196850393704" header="0.51181102362204722" footer="0.51181102362204722"/>
  <pageSetup paperSize="5" scale="93" firstPageNumber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</dc:creator>
  <cp:lastModifiedBy>COMPRAS</cp:lastModifiedBy>
  <cp:revision>2</cp:revision>
  <cp:lastPrinted>2021-11-30T13:16:42Z</cp:lastPrinted>
  <dcterms:created xsi:type="dcterms:W3CDTF">2020-07-17T23:44:49Z</dcterms:created>
  <dcterms:modified xsi:type="dcterms:W3CDTF">2021-12-22T12:33:23Z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