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Rodolfo\MDSD\"/>
    </mc:Choice>
  </mc:AlternateContent>
  <xr:revisionPtr revIDLastSave="0" documentId="8_{92A9D439-DBB3-48AA-8F89-6F2063907F31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NotaPedido'!$A$1:$K$18</definedName>
    <definedName name="_xlnm.Print_Area" localSheetId="2">'Autor Gastar'!$A$1:$Q$26</definedName>
  </definedNames>
  <calcPr calcId="181029"/>
</workbook>
</file>

<file path=xl/calcChain.xml><?xml version="1.0" encoding="utf-8"?>
<calcChain xmlns="http://schemas.openxmlformats.org/spreadsheetml/2006/main">
  <c r="I16" i="3" l="1"/>
  <c r="I17" i="3"/>
  <c r="K13" i="2"/>
  <c r="K14" i="2"/>
  <c r="K15" i="2"/>
  <c r="J15" i="2"/>
  <c r="I13" i="2"/>
  <c r="I14" i="2"/>
  <c r="I15" i="2"/>
  <c r="C13" i="2"/>
  <c r="C14" i="2"/>
  <c r="C15" i="2"/>
  <c r="B13" i="2"/>
  <c r="B14" i="2"/>
  <c r="B15" i="2"/>
  <c r="I12" i="1"/>
  <c r="I13" i="1"/>
  <c r="H12" i="1"/>
  <c r="J14" i="2" s="1"/>
  <c r="H11" i="1"/>
  <c r="J13" i="2" s="1"/>
  <c r="H10" i="1"/>
  <c r="I10" i="1" s="1"/>
  <c r="I11" i="1" l="1"/>
  <c r="Q22" i="3"/>
  <c r="D7" i="2" l="1"/>
  <c r="D3" i="2"/>
  <c r="G4" i="3" s="1"/>
  <c r="D4" i="2"/>
  <c r="G5" i="3" s="1"/>
  <c r="A10" i="3" l="1"/>
  <c r="D1" i="3"/>
  <c r="K12" i="2"/>
  <c r="J12" i="2"/>
  <c r="I12" i="2"/>
  <c r="C12" i="2"/>
  <c r="B12" i="2"/>
  <c r="I15" i="3"/>
  <c r="J18" i="2" l="1"/>
</calcChain>
</file>

<file path=xl/sharedStrings.xml><?xml version="1.0" encoding="utf-8"?>
<sst xmlns="http://schemas.openxmlformats.org/spreadsheetml/2006/main" count="135" uniqueCount="94">
  <si>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</si>
  <si>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</si>
  <si>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</si>
  <si>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</si>
  <si>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</si>
  <si>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</si>
  <si>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</si>
  <si>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</si>
  <si>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</si>
  <si>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</si>
  <si>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</si>
  <si>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</si>
  <si>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</si>
  <si>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</si>
  <si>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</si>
  <si>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</si>
  <si>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</si>
  <si>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</si>
  <si>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</si>
  <si>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</si>
  <si>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</si>
  <si>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</si>
  <si>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</si>
  <si>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</si>
  <si>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</si>
  <si>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</si>
  <si>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</si>
  <si>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</si>
  <si>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</si>
  <si>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</si>
  <si>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</si>
  <si>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</si>
  <si>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</si>
  <si>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</si>
  <si>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</si>
  <si>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</si>
  <si>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</si>
  <si>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</si>
  <si>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</si>
  <si>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</si>
  <si>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</si>
  <si>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</si>
  <si>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</si>
  <si>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</si>
  <si>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</si>
  <si>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</si>
  <si>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</si>
  <si>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</si>
  <si>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</si>
  <si>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</si>
  <si>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</si>
  <si>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</si>
  <si>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</si>
  <si>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</si>
  <si>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</si>
  <si>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</si>
  <si>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</si>
  <si>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</si>
  <si>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25- Direccion Provincial de Gestion Administrativa y RRHH</t>
  </si>
  <si>
    <t>Media</t>
  </si>
  <si>
    <t>NO</t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</si>
  <si>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Dentro de los 05 (cinco) dias de Notificada la Orden de Compra</t>
    </r>
  </si>
  <si>
    <t>Plazo de Mantinimiento 60 dias</t>
  </si>
  <si>
    <t>01-Ministerio de Desarrollo Social y Deporte</t>
  </si>
  <si>
    <t>01-Actividad Central</t>
  </si>
  <si>
    <t>01- Ministerio de Desarrollo Social y Deportes</t>
  </si>
  <si>
    <t>01- Actividad Central</t>
  </si>
  <si>
    <t>2.7.2-2722.29</t>
  </si>
  <si>
    <t>MATERIALES DE CONSTRUCCION</t>
  </si>
  <si>
    <t>CHAPAS DE ZINC; LARGO: 4,35 M, ANCHO: 1,10 M, ESPESOR: CALIBRE 25 BWG</t>
  </si>
  <si>
    <t>2.7.2-2722.13</t>
  </si>
  <si>
    <t>CHAPAS DE ZINC; LARGO: 6 M, ANCHO: 1,10 M, ESPESOR: 0,9 mm</t>
  </si>
  <si>
    <t>2.1.5-961.204</t>
  </si>
  <si>
    <t>TIRANTES; MATERIAL: MADERA, VARIEDAD: LAPACHO, ANCHO: 3 pulg, ALTURA: 3 pulg, LONG.DE CUERPO: 5 M, CERTIFICADO FORESTAL (GFS): SIN</t>
  </si>
  <si>
    <t>2.6.5-335.18</t>
  </si>
  <si>
    <t>CEMENTO PORTLAND; CANT. PLIEGOS BOLSA: 3, PRESENTACION: BOLSA X 50 Kg, TIPO: NORMAL</t>
  </si>
  <si>
    <t>2.7.2</t>
  </si>
  <si>
    <t>2.1.5</t>
  </si>
  <si>
    <t>2.6.5</t>
  </si>
  <si>
    <t>UNIDADES</t>
  </si>
  <si>
    <t>Especificidades Item N° 2: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</si>
  <si>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el Area Industrial El Pantanillo Deposito perteneciente al Ministerio de Desarrollo Social y Deporte- San Fernando del Valle de Catamarca (CP 4700) , corriendo los gastos de flete, acarreo, carga, descarga y seguros por cuenta del adjudicatario.-</t>
    </r>
  </si>
  <si>
    <t>Alta</t>
  </si>
  <si>
    <t>Especificidades Item N° 3:</t>
  </si>
  <si>
    <t>Especificidades Item N° 4:</t>
  </si>
  <si>
    <t xml:space="preserve">CEMENTO PORTLAND -TIPO COMPUESTO CPC 40 - PRESENTAC ION BOLSA POR 50 KG.
Cemento Portland normal o de alta resistencia inicial requerido, debe ser de marcas aprobadas que satisfagan las condiciones de calidad y conforme a lo estipulado en la norma IRAM 50.000 "Cemento para uso general", que establece los requerimientos de composición, las características físicas, químicas y mecánicas, y las condiciones de control y recepción que deben cumplir estos cementos. Se requiere, además, la clase de Cemento Portland no inferior a CP40, siendo ésta la resistencia mecánica mínima exigida para que la compresión a 28 días, alcance una resistencia ≥ a 40 MN/m2 (400 kg/cm2), es decir, debe ser apto para todo tipo de hormigones en aplicaciones estructurales, donde no se requieran propiedades especiales referidas a durabilidad. El cemento Portland será provisto en bolsas de 50 kg., que se hayan encontrado en condiciones óptimas de cuidado.
</t>
  </si>
  <si>
    <t>SI</t>
  </si>
  <si>
    <t>Adquisición de Materiales de Construccion para Asistir a Personas de Escaso Recursos.-</t>
  </si>
  <si>
    <t>Costo total estimado: NUEVE MILLONES TRESCIENTOS SETENTA Y SIETE MIL DOSCIENTOS CINCUENTA CON 00/100.-</t>
  </si>
  <si>
    <t>TOTAL DE PESOS: NUEVE MILLONES TRESCIENTOS SETENTA Y SIETE MIL DOSCIENTOS CINCUENTA CON 00/100.-</t>
  </si>
  <si>
    <t>Maderas, Corchos y sus Manufacturas</t>
  </si>
  <si>
    <t>Cemento, Cal y Yeso</t>
  </si>
  <si>
    <t>Productos NO Ferrosos</t>
  </si>
  <si>
    <t>959/21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</si>
</sst>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#,##0.00;[Red]&quot;$&quot;#,##0.00"/>
    <numFmt numFmtId="170" formatCode="[$$-2C0A]\ #,##0.00;[Red][$$-2C0A]\ #,##0.00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indexed="64"/>
      </top>
      <bottom style="thin">
        <color rgb="FF3D3D3D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D3D3D"/>
      </right>
      <top style="thin">
        <color indexed="64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6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26" fillId="0" borderId="0"/>
  </cellStyleXfs>
  <cellXfs count="14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7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8" xfId="0" applyBorder="1"/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left" vertical="center"/>
    </xf>
    <xf numFmtId="0" fontId="14" fillId="0" borderId="32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166" fontId="14" fillId="0" borderId="43" xfId="0" applyNumberFormat="1" applyFont="1" applyBorder="1" applyAlignment="1">
      <alignment horizontal="center" vertical="center"/>
    </xf>
    <xf numFmtId="0" fontId="16" fillId="0" borderId="0" xfId="0" applyFont="1"/>
    <xf numFmtId="167" fontId="0" fillId="0" borderId="0" xfId="0" applyNumberFormat="1"/>
    <xf numFmtId="0" fontId="0" fillId="0" borderId="50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0" borderId="52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166" fontId="4" fillId="0" borderId="20" xfId="1" applyNumberFormat="1" applyFont="1" applyFill="1" applyBorder="1" applyAlignment="1" applyProtection="1">
      <alignment horizontal="right" vertical="center" wrapText="1"/>
    </xf>
    <xf numFmtId="3" fontId="4" fillId="0" borderId="20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right" vertical="center"/>
    </xf>
    <xf numFmtId="0" fontId="5" fillId="0" borderId="13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9" fillId="0" borderId="2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5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47" xfId="0" applyFont="1" applyFill="1" applyBorder="1" applyAlignment="1">
      <alignment horizontal="center" vertical="center" wrapText="1"/>
    </xf>
    <xf numFmtId="0" fontId="20" fillId="0" borderId="48" xfId="0" applyFont="1" applyFill="1" applyBorder="1" applyAlignment="1">
      <alignment horizontal="center" vertical="center" wrapText="1"/>
    </xf>
    <xf numFmtId="0" fontId="20" fillId="0" borderId="49" xfId="0" applyFont="1" applyFill="1" applyBorder="1" applyAlignment="1">
      <alignment horizontal="center" vertical="center" wrapText="1"/>
    </xf>
    <xf numFmtId="0" fontId="0" fillId="0" borderId="54" xfId="0" applyFill="1" applyBorder="1"/>
    <xf numFmtId="0" fontId="23" fillId="0" borderId="3" xfId="0" applyFont="1" applyFill="1" applyBorder="1"/>
    <xf numFmtId="0" fontId="16" fillId="0" borderId="4" xfId="0" applyFont="1" applyFill="1" applyBorder="1"/>
    <xf numFmtId="0" fontId="16" fillId="0" borderId="5" xfId="0" applyFont="1" applyFill="1" applyBorder="1"/>
    <xf numFmtId="0" fontId="16" fillId="0" borderId="6" xfId="0" applyFont="1" applyFill="1" applyBorder="1"/>
    <xf numFmtId="0" fontId="16" fillId="0" borderId="0" xfId="0" applyFont="1" applyFill="1" applyBorder="1"/>
    <xf numFmtId="0" fontId="16" fillId="0" borderId="7" xfId="0" applyFont="1" applyFill="1" applyBorder="1"/>
    <xf numFmtId="0" fontId="23" fillId="0" borderId="6" xfId="0" applyFont="1" applyFill="1" applyBorder="1" applyAlignment="1">
      <alignment horizontal="left" indent="3"/>
    </xf>
    <xf numFmtId="0" fontId="16" fillId="0" borderId="6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left"/>
    </xf>
    <xf numFmtId="0" fontId="16" fillId="0" borderId="7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 wrapText="1"/>
    </xf>
    <xf numFmtId="0" fontId="16" fillId="0" borderId="7" xfId="0" applyFont="1" applyFill="1" applyBorder="1" applyAlignment="1">
      <alignment horizontal="center" wrapText="1"/>
    </xf>
    <xf numFmtId="0" fontId="16" fillId="0" borderId="8" xfId="0" applyFont="1" applyFill="1" applyBorder="1" applyAlignment="1">
      <alignment horizontal="left" indent="3"/>
    </xf>
    <xf numFmtId="0" fontId="16" fillId="0" borderId="9" xfId="0" applyFont="1" applyFill="1" applyBorder="1"/>
    <xf numFmtId="0" fontId="16" fillId="0" borderId="10" xfId="0" applyFont="1" applyFill="1" applyBorder="1"/>
    <xf numFmtId="0" fontId="16" fillId="0" borderId="7" xfId="0" applyFont="1" applyFill="1" applyBorder="1" applyAlignment="1">
      <alignment horizontal="center" wrapText="1"/>
    </xf>
    <xf numFmtId="0" fontId="16" fillId="0" borderId="0" xfId="0" applyFont="1" applyFill="1" applyBorder="1" applyAlignment="1">
      <alignment horizontal="left"/>
    </xf>
    <xf numFmtId="0" fontId="16" fillId="0" borderId="7" xfId="0" applyFont="1" applyFill="1" applyBorder="1" applyAlignment="1">
      <alignment horizontal="left"/>
    </xf>
    <xf numFmtId="0" fontId="21" fillId="0" borderId="56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22" fillId="0" borderId="57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166" fontId="21" fillId="0" borderId="2" xfId="1" applyNumberFormat="1" applyFont="1" applyFill="1" applyBorder="1" applyAlignment="1" applyProtection="1">
      <alignment horizontal="right" vertical="center" wrapText="1"/>
    </xf>
    <xf numFmtId="166" fontId="21" fillId="0" borderId="59" xfId="1" applyNumberFormat="1" applyFont="1" applyFill="1" applyBorder="1" applyAlignment="1" applyProtection="1">
      <alignment horizontal="right" vertical="center" wrapText="1"/>
    </xf>
    <xf numFmtId="169" fontId="27" fillId="3" borderId="2" xfId="5" applyNumberFormat="1" applyFont="1" applyFill="1" applyBorder="1" applyAlignment="1">
      <alignment horizontal="center" vertical="justify"/>
    </xf>
    <xf numFmtId="170" fontId="27" fillId="3" borderId="60" xfId="5" applyNumberFormat="1" applyFont="1" applyFill="1" applyBorder="1" applyAlignment="1">
      <alignment horizontal="center" vertical="justify"/>
    </xf>
    <xf numFmtId="0" fontId="0" fillId="0" borderId="58" xfId="0" applyFill="1" applyBorder="1"/>
    <xf numFmtId="0" fontId="0" fillId="0" borderId="58" xfId="0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8" fillId="3" borderId="60" xfId="5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25" fillId="0" borderId="1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7" xfId="0" applyFont="1" applyFill="1" applyBorder="1" applyAlignment="1">
      <alignment horizontal="center" wrapText="1"/>
    </xf>
    <xf numFmtId="0" fontId="16" fillId="0" borderId="0" xfId="0" applyFont="1" applyFill="1" applyBorder="1" applyAlignment="1">
      <alignment horizontal="left"/>
    </xf>
    <xf numFmtId="0" fontId="16" fillId="0" borderId="7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7" fillId="0" borderId="16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0" borderId="17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vertical="center" wrapText="1"/>
    </xf>
    <xf numFmtId="167" fontId="25" fillId="0" borderId="15" xfId="0" applyNumberFormat="1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 wrapText="1"/>
    </xf>
    <xf numFmtId="0" fontId="0" fillId="0" borderId="22" xfId="0" applyFont="1" applyBorder="1" applyAlignment="1">
      <alignment horizontal="center"/>
    </xf>
    <xf numFmtId="3" fontId="10" fillId="0" borderId="23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2" fillId="0" borderId="12" xfId="0" applyFont="1" applyBorder="1" applyAlignment="1">
      <alignment horizontal="left" indent="1"/>
    </xf>
    <xf numFmtId="0" fontId="4" fillId="0" borderId="1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/>
    </xf>
    <xf numFmtId="0" fontId="26" fillId="0" borderId="51" xfId="0" applyFont="1" applyBorder="1" applyAlignment="1">
      <alignment horizontal="left" vertical="center" wrapText="1"/>
    </xf>
    <xf numFmtId="0" fontId="0" fillId="0" borderId="51" xfId="0" applyFont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0" fontId="0" fillId="0" borderId="53" xfId="0" applyFont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/>
    </xf>
    <xf numFmtId="0" fontId="0" fillId="0" borderId="37" xfId="0" applyFont="1" applyBorder="1" applyAlignment="1">
      <alignment horizontal="left" vertical="center"/>
    </xf>
    <xf numFmtId="0" fontId="12" fillId="0" borderId="25" xfId="0" applyFont="1" applyBorder="1"/>
    <xf numFmtId="0" fontId="12" fillId="0" borderId="26" xfId="0" applyFont="1" applyBorder="1" applyAlignment="1">
      <alignment horizontal="left" vertical="center" wrapText="1" indent="1"/>
    </xf>
    <xf numFmtId="0" fontId="14" fillId="0" borderId="2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10" fillId="0" borderId="22" xfId="0" applyFont="1" applyBorder="1" applyAlignment="1">
      <alignment vertical="center" wrapText="1"/>
    </xf>
    <xf numFmtId="0" fontId="10" fillId="0" borderId="44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0" borderId="43" xfId="0" applyFont="1" applyFill="1" applyBorder="1" applyAlignment="1">
      <alignment horizontal="left" vertical="center" wrapText="1" indent="1"/>
    </xf>
    <xf numFmtId="0" fontId="0" fillId="0" borderId="37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10" fillId="0" borderId="43" xfId="0" applyFont="1" applyBorder="1" applyAlignment="1">
      <alignment horizontal="left" vertical="center" wrapText="1"/>
    </xf>
    <xf numFmtId="0" fontId="0" fillId="0" borderId="24" xfId="0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9"/>
  <sheetViews>
    <sheetView zoomScaleNormal="100" workbookViewId="0">
      <selection activeCell="H22" sqref="H22"/>
    </sheetView>
  </sheetViews>
  <sheetFormatPr baseColWidth="10" defaultColWidth="11" defaultRowHeight="12.75" x14ac:dyDescent="0.2"/>
  <cols>
    <col min="1" max="1" width="4.5703125" style="33" customWidth="1"/>
    <col min="2" max="2" width="21.7109375" style="33" customWidth="1"/>
    <col min="3" max="3" width="32.42578125" style="33" customWidth="1"/>
    <col min="4" max="4" width="8.42578125" style="33" customWidth="1"/>
    <col min="5" max="5" width="106.140625" style="33" customWidth="1"/>
    <col min="6" max="6" width="11" style="33"/>
    <col min="7" max="8" width="10.42578125" style="33" bestFit="1" customWidth="1"/>
    <col min="9" max="9" width="15.7109375" style="33" bestFit="1" customWidth="1"/>
    <col min="10" max="16384" width="11" style="33"/>
  </cols>
  <sheetData>
    <row r="2" spans="1:9" ht="27" x14ac:dyDescent="0.35">
      <c r="A2" s="49"/>
      <c r="B2" s="94" t="s">
        <v>0</v>
      </c>
      <c r="C2" s="94"/>
      <c r="D2" s="94"/>
      <c r="E2" s="94"/>
      <c r="F2" s="94"/>
      <c r="G2" s="94"/>
      <c r="H2" s="94"/>
      <c r="I2" s="49"/>
    </row>
    <row r="3" spans="1:9" x14ac:dyDescent="0.2">
      <c r="A3" s="49"/>
      <c r="B3" s="49"/>
      <c r="C3" s="49"/>
      <c r="D3" s="49"/>
      <c r="E3" s="49"/>
      <c r="F3" s="49"/>
      <c r="G3" s="49"/>
      <c r="H3" s="49"/>
      <c r="I3" s="49"/>
    </row>
    <row r="4" spans="1:9" ht="18" customHeight="1" x14ac:dyDescent="0.25">
      <c r="A4" s="95" t="s">
        <v>1</v>
      </c>
      <c r="B4" s="95"/>
      <c r="C4" s="96" t="s">
        <v>57</v>
      </c>
      <c r="D4" s="96"/>
      <c r="E4" s="96"/>
      <c r="F4" s="50"/>
      <c r="G4" s="51"/>
      <c r="H4" s="50"/>
      <c r="I4" s="49"/>
    </row>
    <row r="5" spans="1:9" ht="18" customHeight="1" x14ac:dyDescent="0.25">
      <c r="A5" s="95" t="s">
        <v>2</v>
      </c>
      <c r="B5" s="95"/>
      <c r="C5" s="96" t="s">
        <v>58</v>
      </c>
      <c r="D5" s="96"/>
      <c r="E5" s="96"/>
      <c r="F5" s="50"/>
      <c r="G5" s="51"/>
      <c r="H5" s="50"/>
      <c r="I5" s="49"/>
    </row>
    <row r="6" spans="1:9" ht="16.5" customHeight="1" x14ac:dyDescent="0.25">
      <c r="A6" s="95" t="s">
        <v>3</v>
      </c>
      <c r="B6" s="95"/>
      <c r="C6" s="52">
        <v>2021</v>
      </c>
      <c r="D6" s="53"/>
      <c r="E6" s="53"/>
      <c r="F6" s="50"/>
      <c r="G6" s="51"/>
      <c r="H6" s="50"/>
      <c r="I6" s="49"/>
    </row>
    <row r="7" spans="1:9" ht="16.5" customHeight="1" x14ac:dyDescent="0.25">
      <c r="A7" s="95" t="s">
        <v>4</v>
      </c>
      <c r="B7" s="95"/>
      <c r="C7" s="52">
        <v>4</v>
      </c>
      <c r="D7" s="53"/>
      <c r="E7" s="53"/>
      <c r="F7" s="50"/>
      <c r="G7" s="51"/>
      <c r="H7" s="50"/>
      <c r="I7" s="49"/>
    </row>
    <row r="8" spans="1:9" ht="13.5" thickBot="1" x14ac:dyDescent="0.25">
      <c r="A8" s="49"/>
      <c r="B8" s="50"/>
      <c r="C8" s="51"/>
      <c r="D8" s="50"/>
      <c r="E8" s="50"/>
      <c r="F8" s="50"/>
      <c r="G8" s="51"/>
      <c r="H8" s="50"/>
      <c r="I8" s="49"/>
    </row>
    <row r="9" spans="1:9" ht="39" thickBot="1" x14ac:dyDescent="0.25">
      <c r="A9" s="54" t="s">
        <v>5</v>
      </c>
      <c r="B9" s="55" t="s">
        <v>6</v>
      </c>
      <c r="C9" s="55" t="s">
        <v>7</v>
      </c>
      <c r="D9" s="56" t="s">
        <v>8</v>
      </c>
      <c r="E9" s="55" t="s">
        <v>9</v>
      </c>
      <c r="F9" s="57" t="s">
        <v>10</v>
      </c>
      <c r="G9" s="58" t="s">
        <v>11</v>
      </c>
      <c r="H9" s="58" t="s">
        <v>12</v>
      </c>
      <c r="I9" s="59" t="s">
        <v>13</v>
      </c>
    </row>
    <row r="10" spans="1:9" x14ac:dyDescent="0.2">
      <c r="A10" s="79">
        <v>1</v>
      </c>
      <c r="B10" s="89" t="s">
        <v>67</v>
      </c>
      <c r="C10" s="89" t="s">
        <v>68</v>
      </c>
      <c r="D10" s="90" t="s">
        <v>76</v>
      </c>
      <c r="E10" s="89" t="s">
        <v>69</v>
      </c>
      <c r="F10" s="81" t="s">
        <v>79</v>
      </c>
      <c r="G10" s="91">
        <v>350</v>
      </c>
      <c r="H10" s="85">
        <f>4.35*2100</f>
        <v>9135</v>
      </c>
      <c r="I10" s="86">
        <f>+G10*H10</f>
        <v>3197250</v>
      </c>
    </row>
    <row r="11" spans="1:9" x14ac:dyDescent="0.2">
      <c r="A11" s="80">
        <v>2</v>
      </c>
      <c r="B11" s="89" t="s">
        <v>70</v>
      </c>
      <c r="C11" s="89" t="s">
        <v>68</v>
      </c>
      <c r="D11" s="90" t="s">
        <v>76</v>
      </c>
      <c r="E11" s="89" t="s">
        <v>71</v>
      </c>
      <c r="F11" s="82" t="s">
        <v>79</v>
      </c>
      <c r="G11" s="91">
        <v>300</v>
      </c>
      <c r="H11" s="85">
        <f>6*2100</f>
        <v>12600</v>
      </c>
      <c r="I11" s="86">
        <f t="shared" ref="I11:I13" si="0">+G11*H11</f>
        <v>3780000</v>
      </c>
    </row>
    <row r="12" spans="1:9" x14ac:dyDescent="0.2">
      <c r="A12" s="80">
        <v>3</v>
      </c>
      <c r="B12" s="89" t="s">
        <v>72</v>
      </c>
      <c r="C12" s="89" t="s">
        <v>68</v>
      </c>
      <c r="D12" s="90" t="s">
        <v>77</v>
      </c>
      <c r="E12" s="89" t="s">
        <v>73</v>
      </c>
      <c r="F12" s="82" t="s">
        <v>79</v>
      </c>
      <c r="G12" s="91">
        <v>600</v>
      </c>
      <c r="H12" s="85">
        <f>300*5</f>
        <v>1500</v>
      </c>
      <c r="I12" s="86">
        <f t="shared" si="0"/>
        <v>900000</v>
      </c>
    </row>
    <row r="13" spans="1:9" x14ac:dyDescent="0.2">
      <c r="A13" s="80">
        <v>4</v>
      </c>
      <c r="B13" s="89" t="s">
        <v>74</v>
      </c>
      <c r="C13" s="89" t="s">
        <v>68</v>
      </c>
      <c r="D13" s="90" t="s">
        <v>78</v>
      </c>
      <c r="E13" s="89" t="s">
        <v>75</v>
      </c>
      <c r="F13" s="82" t="s">
        <v>79</v>
      </c>
      <c r="G13" s="91">
        <v>1500</v>
      </c>
      <c r="H13" s="85">
        <v>1000</v>
      </c>
      <c r="I13" s="86">
        <f t="shared" si="0"/>
        <v>1500000</v>
      </c>
    </row>
    <row r="14" spans="1:9" x14ac:dyDescent="0.2">
      <c r="A14" s="80"/>
      <c r="B14" s="60"/>
      <c r="C14" s="87"/>
      <c r="D14" s="88"/>
      <c r="E14" s="87"/>
      <c r="F14" s="82"/>
      <c r="G14" s="82"/>
      <c r="H14" s="83"/>
      <c r="I14" s="84"/>
    </row>
    <row r="15" spans="1:9" x14ac:dyDescent="0.2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2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2">
      <c r="A17" s="49"/>
      <c r="B17" s="61" t="s">
        <v>14</v>
      </c>
      <c r="C17" s="62"/>
      <c r="D17" s="62"/>
      <c r="E17" s="63"/>
      <c r="F17" s="49"/>
      <c r="G17" s="49"/>
      <c r="H17" s="49"/>
      <c r="I17" s="49"/>
    </row>
    <row r="18" spans="1:9" ht="5.25" customHeight="1" x14ac:dyDescent="0.2">
      <c r="A18" s="49"/>
      <c r="B18" s="64"/>
      <c r="C18" s="65"/>
      <c r="D18" s="65"/>
      <c r="E18" s="66"/>
      <c r="F18" s="49"/>
      <c r="G18" s="49"/>
      <c r="H18" s="49"/>
      <c r="I18" s="49"/>
    </row>
    <row r="19" spans="1:9" x14ac:dyDescent="0.2">
      <c r="A19" s="49"/>
      <c r="B19" s="67" t="s">
        <v>15</v>
      </c>
      <c r="C19" s="65"/>
      <c r="D19" s="65"/>
      <c r="E19" s="66"/>
      <c r="F19" s="49"/>
      <c r="G19" s="49"/>
      <c r="H19" s="49"/>
      <c r="I19" s="49"/>
    </row>
    <row r="20" spans="1:9" x14ac:dyDescent="0.2">
      <c r="A20" s="49"/>
      <c r="B20" s="67"/>
      <c r="C20" s="97"/>
      <c r="D20" s="97"/>
      <c r="E20" s="97"/>
      <c r="F20" s="49"/>
      <c r="G20" s="49"/>
      <c r="H20" s="49"/>
      <c r="I20" s="49"/>
    </row>
    <row r="21" spans="1:9" x14ac:dyDescent="0.2">
      <c r="A21" s="49"/>
      <c r="B21" s="67" t="s">
        <v>16</v>
      </c>
      <c r="C21" s="65"/>
      <c r="D21" s="65"/>
      <c r="E21" s="66"/>
      <c r="F21" s="49"/>
      <c r="G21" s="49"/>
      <c r="H21" s="49"/>
      <c r="I21" s="49"/>
    </row>
    <row r="22" spans="1:9" x14ac:dyDescent="0.2">
      <c r="A22" s="49"/>
      <c r="B22" s="68"/>
      <c r="C22" s="98" t="s">
        <v>61</v>
      </c>
      <c r="D22" s="98"/>
      <c r="E22" s="99"/>
      <c r="F22" s="49"/>
      <c r="G22" s="49"/>
      <c r="H22" s="49"/>
      <c r="I22" s="49"/>
    </row>
    <row r="23" spans="1:9" ht="50.25" customHeight="1" x14ac:dyDescent="0.2">
      <c r="A23" s="49"/>
      <c r="B23" s="68"/>
      <c r="C23" s="100" t="s">
        <v>81</v>
      </c>
      <c r="D23" s="100"/>
      <c r="E23" s="101"/>
      <c r="F23" s="49"/>
      <c r="G23" s="49"/>
      <c r="H23" s="49"/>
      <c r="I23" s="49"/>
    </row>
    <row r="24" spans="1:9" x14ac:dyDescent="0.2">
      <c r="A24" s="49"/>
      <c r="B24" s="68"/>
      <c r="C24" s="69"/>
      <c r="D24" s="69"/>
      <c r="E24" s="70"/>
      <c r="F24" s="49"/>
      <c r="G24" s="49"/>
      <c r="H24" s="49"/>
      <c r="I24" s="49"/>
    </row>
    <row r="25" spans="1:9" x14ac:dyDescent="0.2">
      <c r="A25" s="49"/>
      <c r="B25" s="67" t="s">
        <v>17</v>
      </c>
      <c r="C25" s="65"/>
      <c r="D25" s="65"/>
      <c r="E25" s="66"/>
      <c r="F25" s="49"/>
      <c r="G25" s="49"/>
      <c r="H25" s="49"/>
      <c r="I25" s="49"/>
    </row>
    <row r="26" spans="1:9" ht="26.25" customHeight="1" x14ac:dyDescent="0.2">
      <c r="A26" s="49"/>
      <c r="B26" s="68"/>
      <c r="C26" s="97" t="s">
        <v>82</v>
      </c>
      <c r="D26" s="97"/>
      <c r="E26" s="97"/>
      <c r="F26" s="49"/>
      <c r="G26" s="49"/>
      <c r="H26" s="49"/>
      <c r="I26" s="49"/>
    </row>
    <row r="27" spans="1:9" x14ac:dyDescent="0.2">
      <c r="A27" s="49"/>
      <c r="B27" s="67" t="s">
        <v>18</v>
      </c>
      <c r="C27" s="71"/>
      <c r="D27" s="71"/>
      <c r="E27" s="72"/>
      <c r="F27" s="49"/>
      <c r="G27" s="49"/>
      <c r="H27" s="49"/>
      <c r="I27" s="49"/>
    </row>
    <row r="28" spans="1:9" ht="26.25" customHeight="1" x14ac:dyDescent="0.2">
      <c r="A28" s="49"/>
      <c r="B28" s="68"/>
      <c r="C28" s="97" t="s">
        <v>62</v>
      </c>
      <c r="D28" s="97"/>
      <c r="E28" s="97"/>
      <c r="F28" s="49"/>
      <c r="G28" s="49"/>
      <c r="H28" s="49"/>
      <c r="I28" s="49"/>
    </row>
    <row r="29" spans="1:9" x14ac:dyDescent="0.2">
      <c r="A29" s="49"/>
      <c r="B29" s="67" t="s">
        <v>19</v>
      </c>
      <c r="C29" s="65"/>
      <c r="D29" s="65"/>
      <c r="E29" s="66"/>
      <c r="F29" s="49"/>
      <c r="G29" s="49"/>
      <c r="H29" s="49"/>
      <c r="I29" s="49"/>
    </row>
    <row r="30" spans="1:9" ht="23.25" customHeight="1" x14ac:dyDescent="0.2">
      <c r="A30" s="49"/>
      <c r="B30" s="67"/>
      <c r="C30" s="102"/>
      <c r="D30" s="102"/>
      <c r="E30" s="102"/>
      <c r="F30" s="49"/>
      <c r="G30" s="49"/>
      <c r="H30" s="49"/>
      <c r="I30" s="49"/>
    </row>
    <row r="31" spans="1:9" x14ac:dyDescent="0.2">
      <c r="A31" s="49"/>
      <c r="B31" s="73"/>
      <c r="C31" s="74"/>
      <c r="D31" s="74"/>
      <c r="E31" s="75"/>
      <c r="F31" s="49"/>
      <c r="G31" s="49"/>
      <c r="H31" s="49"/>
      <c r="I31" s="49"/>
    </row>
    <row r="32" spans="1:9" ht="13.5" thickBot="1" x14ac:dyDescent="0.2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2">
      <c r="A33" s="49"/>
      <c r="B33" s="61" t="s">
        <v>80</v>
      </c>
      <c r="C33" s="62"/>
      <c r="D33" s="62"/>
      <c r="E33" s="63"/>
      <c r="F33" s="49"/>
      <c r="G33" s="49"/>
      <c r="H33" s="49"/>
      <c r="I33" s="49"/>
    </row>
    <row r="34" spans="1:9" x14ac:dyDescent="0.2">
      <c r="B34" s="64"/>
      <c r="C34" s="65"/>
      <c r="D34" s="65"/>
      <c r="E34" s="66"/>
    </row>
    <row r="35" spans="1:9" x14ac:dyDescent="0.2">
      <c r="B35" s="67" t="s">
        <v>15</v>
      </c>
      <c r="C35" s="65"/>
      <c r="D35" s="65"/>
      <c r="E35" s="66"/>
    </row>
    <row r="36" spans="1:9" x14ac:dyDescent="0.2">
      <c r="B36" s="67"/>
      <c r="C36" s="97"/>
      <c r="D36" s="97"/>
      <c r="E36" s="97"/>
    </row>
    <row r="37" spans="1:9" x14ac:dyDescent="0.2">
      <c r="B37" s="67" t="s">
        <v>16</v>
      </c>
      <c r="C37" s="65"/>
      <c r="D37" s="65"/>
      <c r="E37" s="66"/>
    </row>
    <row r="38" spans="1:9" x14ac:dyDescent="0.2">
      <c r="B38" s="68"/>
      <c r="C38" s="98" t="s">
        <v>61</v>
      </c>
      <c r="D38" s="98"/>
      <c r="E38" s="99"/>
    </row>
    <row r="39" spans="1:9" ht="29.25" customHeight="1" x14ac:dyDescent="0.2">
      <c r="B39" s="68"/>
      <c r="C39" s="100" t="s">
        <v>81</v>
      </c>
      <c r="D39" s="100"/>
      <c r="E39" s="101"/>
    </row>
    <row r="40" spans="1:9" x14ac:dyDescent="0.2">
      <c r="B40" s="68"/>
      <c r="C40" s="77"/>
      <c r="D40" s="77"/>
      <c r="E40" s="78"/>
    </row>
    <row r="41" spans="1:9" x14ac:dyDescent="0.2">
      <c r="B41" s="67" t="s">
        <v>17</v>
      </c>
      <c r="C41" s="65"/>
      <c r="D41" s="65"/>
      <c r="E41" s="66"/>
    </row>
    <row r="42" spans="1:9" x14ac:dyDescent="0.2">
      <c r="B42" s="68"/>
      <c r="C42" s="97" t="s">
        <v>59</v>
      </c>
      <c r="D42" s="97"/>
      <c r="E42" s="97"/>
    </row>
    <row r="43" spans="1:9" x14ac:dyDescent="0.2">
      <c r="B43" s="67" t="s">
        <v>18</v>
      </c>
      <c r="C43" s="71"/>
      <c r="D43" s="71"/>
      <c r="E43" s="76"/>
    </row>
    <row r="44" spans="1:9" x14ac:dyDescent="0.2">
      <c r="B44" s="68"/>
      <c r="C44" s="97" t="s">
        <v>62</v>
      </c>
      <c r="D44" s="97"/>
      <c r="E44" s="97"/>
    </row>
    <row r="45" spans="1:9" x14ac:dyDescent="0.2">
      <c r="B45" s="67" t="s">
        <v>19</v>
      </c>
      <c r="C45" s="65"/>
      <c r="D45" s="65"/>
      <c r="E45" s="66"/>
    </row>
    <row r="46" spans="1:9" x14ac:dyDescent="0.2">
      <c r="B46" s="67"/>
      <c r="C46" s="102"/>
      <c r="D46" s="102"/>
      <c r="E46" s="102"/>
    </row>
    <row r="47" spans="1:9" ht="13.5" thickBot="1" x14ac:dyDescent="0.25">
      <c r="B47" s="73"/>
      <c r="C47" s="74"/>
      <c r="D47" s="74"/>
      <c r="E47" s="75"/>
    </row>
    <row r="48" spans="1:9" ht="13.5" thickBot="1" x14ac:dyDescent="0.25"/>
    <row r="49" spans="2:5" x14ac:dyDescent="0.2">
      <c r="B49" s="61" t="s">
        <v>83</v>
      </c>
      <c r="C49" s="62"/>
      <c r="D49" s="62"/>
      <c r="E49" s="63"/>
    </row>
    <row r="50" spans="2:5" x14ac:dyDescent="0.2">
      <c r="B50" s="64"/>
      <c r="C50" s="65"/>
      <c r="D50" s="65"/>
      <c r="E50" s="66"/>
    </row>
    <row r="51" spans="2:5" x14ac:dyDescent="0.2">
      <c r="B51" s="67" t="s">
        <v>15</v>
      </c>
      <c r="C51" s="65"/>
      <c r="D51" s="65"/>
      <c r="E51" s="66"/>
    </row>
    <row r="52" spans="2:5" x14ac:dyDescent="0.2">
      <c r="B52" s="67"/>
      <c r="C52" s="97"/>
      <c r="D52" s="97"/>
      <c r="E52" s="97"/>
    </row>
    <row r="53" spans="2:5" x14ac:dyDescent="0.2">
      <c r="B53" s="67" t="s">
        <v>16</v>
      </c>
      <c r="C53" s="65"/>
      <c r="D53" s="65"/>
      <c r="E53" s="66"/>
    </row>
    <row r="54" spans="2:5" x14ac:dyDescent="0.2">
      <c r="B54" s="68"/>
      <c r="C54" s="98" t="s">
        <v>61</v>
      </c>
      <c r="D54" s="98"/>
      <c r="E54" s="99"/>
    </row>
    <row r="55" spans="2:5" ht="27" customHeight="1" x14ac:dyDescent="0.2">
      <c r="B55" s="68"/>
      <c r="C55" s="100" t="s">
        <v>81</v>
      </c>
      <c r="D55" s="100"/>
      <c r="E55" s="101"/>
    </row>
    <row r="56" spans="2:5" x14ac:dyDescent="0.2">
      <c r="B56" s="68"/>
      <c r="C56" s="77"/>
      <c r="D56" s="77"/>
      <c r="E56" s="78"/>
    </row>
    <row r="57" spans="2:5" x14ac:dyDescent="0.2">
      <c r="B57" s="67" t="s">
        <v>17</v>
      </c>
      <c r="C57" s="65"/>
      <c r="D57" s="65"/>
      <c r="E57" s="66"/>
    </row>
    <row r="58" spans="2:5" x14ac:dyDescent="0.2">
      <c r="B58" s="68"/>
      <c r="C58" s="97" t="s">
        <v>59</v>
      </c>
      <c r="D58" s="97"/>
      <c r="E58" s="97"/>
    </row>
    <row r="59" spans="2:5" x14ac:dyDescent="0.2">
      <c r="B59" s="67" t="s">
        <v>18</v>
      </c>
      <c r="C59" s="71"/>
      <c r="D59" s="71"/>
      <c r="E59" s="76"/>
    </row>
    <row r="60" spans="2:5" x14ac:dyDescent="0.2">
      <c r="B60" s="68"/>
      <c r="C60" s="97" t="s">
        <v>62</v>
      </c>
      <c r="D60" s="97"/>
      <c r="E60" s="97"/>
    </row>
    <row r="61" spans="2:5" x14ac:dyDescent="0.2">
      <c r="B61" s="67" t="s">
        <v>19</v>
      </c>
      <c r="C61" s="65"/>
      <c r="D61" s="65"/>
      <c r="E61" s="66"/>
    </row>
    <row r="62" spans="2:5" x14ac:dyDescent="0.2">
      <c r="B62" s="67"/>
      <c r="C62" s="102"/>
      <c r="D62" s="102"/>
      <c r="E62" s="102"/>
    </row>
    <row r="63" spans="2:5" ht="13.5" thickBot="1" x14ac:dyDescent="0.25">
      <c r="B63" s="73"/>
      <c r="C63" s="74"/>
      <c r="D63" s="74"/>
      <c r="E63" s="75"/>
    </row>
    <row r="64" spans="2:5" ht="13.5" thickBot="1" x14ac:dyDescent="0.25"/>
    <row r="65" spans="2:5" x14ac:dyDescent="0.2">
      <c r="B65" s="61" t="s">
        <v>84</v>
      </c>
      <c r="C65" s="62"/>
      <c r="D65" s="62"/>
      <c r="E65" s="63"/>
    </row>
    <row r="66" spans="2:5" x14ac:dyDescent="0.2">
      <c r="B66" s="64"/>
      <c r="C66" s="65"/>
      <c r="D66" s="65"/>
      <c r="E66" s="66"/>
    </row>
    <row r="67" spans="2:5" x14ac:dyDescent="0.2">
      <c r="B67" s="67" t="s">
        <v>15</v>
      </c>
      <c r="C67" s="65"/>
      <c r="D67" s="65"/>
      <c r="E67" s="66"/>
    </row>
    <row r="68" spans="2:5" ht="95.25" customHeight="1" x14ac:dyDescent="0.2">
      <c r="B68" s="67"/>
      <c r="C68" s="97" t="s">
        <v>85</v>
      </c>
      <c r="D68" s="97"/>
      <c r="E68" s="97"/>
    </row>
    <row r="69" spans="2:5" x14ac:dyDescent="0.2">
      <c r="B69" s="67" t="s">
        <v>16</v>
      </c>
      <c r="C69" s="65"/>
      <c r="D69" s="65"/>
      <c r="E69" s="66"/>
    </row>
    <row r="70" spans="2:5" x14ac:dyDescent="0.2">
      <c r="B70" s="68"/>
      <c r="C70" s="98" t="s">
        <v>61</v>
      </c>
      <c r="D70" s="98"/>
      <c r="E70" s="99"/>
    </row>
    <row r="71" spans="2:5" ht="27" customHeight="1" x14ac:dyDescent="0.2">
      <c r="B71" s="68"/>
      <c r="C71" s="100" t="s">
        <v>81</v>
      </c>
      <c r="D71" s="100"/>
      <c r="E71" s="101"/>
    </row>
    <row r="72" spans="2:5" x14ac:dyDescent="0.2">
      <c r="B72" s="68"/>
      <c r="C72" s="77"/>
      <c r="D72" s="77"/>
      <c r="E72" s="78"/>
    </row>
    <row r="73" spans="2:5" x14ac:dyDescent="0.2">
      <c r="B73" s="67" t="s">
        <v>17</v>
      </c>
      <c r="C73" s="65"/>
      <c r="D73" s="65"/>
      <c r="E73" s="66"/>
    </row>
    <row r="74" spans="2:5" x14ac:dyDescent="0.2">
      <c r="B74" s="68"/>
      <c r="C74" s="97" t="s">
        <v>59</v>
      </c>
      <c r="D74" s="97"/>
      <c r="E74" s="97"/>
    </row>
    <row r="75" spans="2:5" x14ac:dyDescent="0.2">
      <c r="B75" s="67" t="s">
        <v>18</v>
      </c>
      <c r="C75" s="71"/>
      <c r="D75" s="71"/>
      <c r="E75" s="76"/>
    </row>
    <row r="76" spans="2:5" x14ac:dyDescent="0.2">
      <c r="B76" s="68"/>
      <c r="C76" s="97" t="s">
        <v>62</v>
      </c>
      <c r="D76" s="97"/>
      <c r="E76" s="97"/>
    </row>
    <row r="77" spans="2:5" x14ac:dyDescent="0.2">
      <c r="B77" s="67" t="s">
        <v>19</v>
      </c>
      <c r="C77" s="65"/>
      <c r="D77" s="65"/>
      <c r="E77" s="66"/>
    </row>
    <row r="78" spans="2:5" x14ac:dyDescent="0.2">
      <c r="B78" s="67"/>
      <c r="C78" s="102"/>
      <c r="D78" s="102"/>
      <c r="E78" s="102"/>
    </row>
    <row r="79" spans="2:5" ht="13.5" thickBot="1" x14ac:dyDescent="0.25">
      <c r="B79" s="73"/>
      <c r="C79" s="74"/>
      <c r="D79" s="74"/>
      <c r="E79" s="75"/>
    </row>
  </sheetData>
  <mergeCells count="31">
    <mergeCell ref="C71:E71"/>
    <mergeCell ref="C74:E74"/>
    <mergeCell ref="C76:E76"/>
    <mergeCell ref="C78:E78"/>
    <mergeCell ref="C58:E58"/>
    <mergeCell ref="C60:E60"/>
    <mergeCell ref="C62:E62"/>
    <mergeCell ref="C68:E68"/>
    <mergeCell ref="C70:E70"/>
    <mergeCell ref="C44:E44"/>
    <mergeCell ref="C46:E46"/>
    <mergeCell ref="C52:E52"/>
    <mergeCell ref="C54:E54"/>
    <mergeCell ref="C55:E55"/>
    <mergeCell ref="C36:E36"/>
    <mergeCell ref="C38:E38"/>
    <mergeCell ref="C39:E39"/>
    <mergeCell ref="C42:E42"/>
    <mergeCell ref="C26:E26"/>
    <mergeCell ref="C28:E28"/>
    <mergeCell ref="C30:E30"/>
    <mergeCell ref="A6:B6"/>
    <mergeCell ref="A7:B7"/>
    <mergeCell ref="C20:E20"/>
    <mergeCell ref="C22:E22"/>
    <mergeCell ref="C23:E23"/>
    <mergeCell ref="B2:H2"/>
    <mergeCell ref="A4:B4"/>
    <mergeCell ref="C4:E4"/>
    <mergeCell ref="A5:B5"/>
    <mergeCell ref="C5:E5"/>
  </mergeCells>
  <pageMargins left="0" right="0" top="0.74803149606299213" bottom="0" header="0.51181102362204722" footer="0.51181102362204722"/>
  <pageSetup paperSize="5" scale="8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8"/>
  <sheetViews>
    <sheetView tabSelected="1" zoomScale="110" zoomScaleNormal="110" workbookViewId="0">
      <selection activeCell="I20" sqref="H20:I20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3" t="s">
        <v>20</v>
      </c>
      <c r="B1" s="103"/>
      <c r="C1" s="103"/>
      <c r="D1" s="103"/>
      <c r="E1" s="103"/>
      <c r="F1" s="103"/>
      <c r="G1" s="103"/>
      <c r="H1" s="103"/>
      <c r="I1" s="103"/>
      <c r="J1" s="43" t="s">
        <v>21</v>
      </c>
      <c r="K1" s="93" t="s">
        <v>93</v>
      </c>
    </row>
    <row r="2" spans="1:11" ht="18.75" customHeight="1" thickBot="1" x14ac:dyDescent="0.25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</row>
    <row r="3" spans="1:11" ht="18.75" customHeight="1" thickBot="1" x14ac:dyDescent="0.25">
      <c r="A3" s="104" t="s">
        <v>54</v>
      </c>
      <c r="B3" s="104"/>
      <c r="C3" s="104"/>
      <c r="D3" s="105" t="str">
        <f>'Necesidades Trimestrales'!C4</f>
        <v>45- Ministerio de Desarrollo Social y Deporte</v>
      </c>
      <c r="E3" s="105"/>
      <c r="F3" s="105"/>
      <c r="G3" s="105"/>
      <c r="H3" s="105"/>
      <c r="I3" s="105"/>
      <c r="J3" s="105"/>
      <c r="K3" s="105"/>
    </row>
    <row r="4" spans="1:11" ht="18.75" customHeight="1" thickBot="1" x14ac:dyDescent="0.25">
      <c r="A4" s="106" t="s">
        <v>55</v>
      </c>
      <c r="B4" s="106"/>
      <c r="C4" s="106"/>
      <c r="D4" s="105" t="str">
        <f>'Necesidades Trimestrales'!C5</f>
        <v>25- Direccion Provincial de Gestion Administrativa y RRHH</v>
      </c>
      <c r="E4" s="105"/>
      <c r="F4" s="105"/>
      <c r="G4" s="105"/>
      <c r="H4" s="105"/>
      <c r="I4" s="105"/>
      <c r="J4" s="105"/>
      <c r="K4" s="105"/>
    </row>
    <row r="5" spans="1:11" ht="18.75" customHeight="1" thickBot="1" x14ac:dyDescent="0.25">
      <c r="A5" s="106" t="s">
        <v>33</v>
      </c>
      <c r="B5" s="106"/>
      <c r="C5" s="106"/>
      <c r="D5" s="105" t="s">
        <v>63</v>
      </c>
      <c r="E5" s="105"/>
      <c r="F5" s="105"/>
      <c r="G5" s="105"/>
      <c r="H5" s="105"/>
      <c r="I5" s="105"/>
      <c r="J5" s="105"/>
      <c r="K5" s="105"/>
    </row>
    <row r="6" spans="1:11" ht="16.5" customHeight="1" thickBot="1" x14ac:dyDescent="0.25">
      <c r="A6" s="104" t="s">
        <v>56</v>
      </c>
      <c r="B6" s="104"/>
      <c r="C6" s="104"/>
      <c r="D6" s="105" t="s">
        <v>64</v>
      </c>
      <c r="E6" s="105"/>
      <c r="F6" s="105"/>
      <c r="G6" s="105"/>
      <c r="H6" s="105"/>
      <c r="I6" s="105"/>
      <c r="J6" s="105"/>
      <c r="K6" s="105"/>
    </row>
    <row r="7" spans="1:11" ht="16.5" customHeight="1" x14ac:dyDescent="0.2">
      <c r="A7" s="106" t="s">
        <v>22</v>
      </c>
      <c r="B7" s="106"/>
      <c r="C7" s="106"/>
      <c r="D7" s="105" t="str">
        <f>'Necesidades Trimestrales'!C7 &amp; "° Trimestre - Año " &amp; 'Necesidades Trimestrales'!C6</f>
        <v>4° Trimestre - Año 2021</v>
      </c>
      <c r="E7" s="105"/>
      <c r="F7" s="105"/>
      <c r="G7" s="105"/>
      <c r="H7" s="105"/>
      <c r="I7" s="105"/>
      <c r="J7" s="105"/>
      <c r="K7" s="105"/>
    </row>
    <row r="8" spans="1:11" ht="35.25" customHeight="1" x14ac:dyDescent="0.2">
      <c r="A8" s="107" t="s">
        <v>23</v>
      </c>
      <c r="B8" s="107"/>
      <c r="C8" s="107"/>
      <c r="D8" s="108" t="s">
        <v>87</v>
      </c>
      <c r="E8" s="108"/>
      <c r="F8" s="108"/>
      <c r="G8" s="108"/>
      <c r="H8" s="108"/>
      <c r="I8" s="108"/>
      <c r="J8" s="108"/>
      <c r="K8" s="108"/>
    </row>
    <row r="9" spans="1:11" ht="15.75" x14ac:dyDescent="0.2">
      <c r="A9" s="46"/>
      <c r="B9" s="46"/>
      <c r="C9" s="46"/>
      <c r="D9" s="47"/>
      <c r="E9" s="47"/>
      <c r="F9" s="47"/>
      <c r="G9" s="47"/>
      <c r="H9" s="47"/>
      <c r="I9" s="47"/>
      <c r="J9" s="47"/>
      <c r="K9" s="47"/>
    </row>
    <row r="10" spans="1:11" ht="18.75" customHeight="1" x14ac:dyDescent="0.2">
      <c r="A10" s="109" t="s">
        <v>24</v>
      </c>
      <c r="B10" s="110" t="s">
        <v>25</v>
      </c>
      <c r="C10" s="110" t="s">
        <v>26</v>
      </c>
      <c r="D10" s="110"/>
      <c r="E10" s="110"/>
      <c r="F10" s="110"/>
      <c r="G10" s="110"/>
      <c r="H10" s="110" t="s">
        <v>27</v>
      </c>
      <c r="I10" s="110" t="s">
        <v>28</v>
      </c>
      <c r="J10" s="110" t="s">
        <v>29</v>
      </c>
      <c r="K10" s="111" t="s">
        <v>30</v>
      </c>
    </row>
    <row r="11" spans="1:11" ht="24" customHeight="1" x14ac:dyDescent="0.2">
      <c r="A11" s="109"/>
      <c r="B11" s="110"/>
      <c r="C11" s="110"/>
      <c r="D11" s="110"/>
      <c r="E11" s="110"/>
      <c r="F11" s="110"/>
      <c r="G11" s="110"/>
      <c r="H11" s="110"/>
      <c r="I11" s="110"/>
      <c r="J11" s="110"/>
      <c r="K11" s="111"/>
    </row>
    <row r="12" spans="1:11" ht="31.5" customHeight="1" thickBot="1" x14ac:dyDescent="0.25">
      <c r="A12" s="39">
        <v>1</v>
      </c>
      <c r="B12" s="38" t="str">
        <f>'Necesidades Trimestrales'!B10</f>
        <v>2.7.2-2722.29</v>
      </c>
      <c r="C12" s="113" t="str">
        <f>'Necesidades Trimestrales'!E10</f>
        <v>CHAPAS DE ZINC; LARGO: 4,35 M, ANCHO: 1,10 M, ESPESOR: CALIBRE 25 BWG</v>
      </c>
      <c r="D12" s="113"/>
      <c r="E12" s="113"/>
      <c r="F12" s="113"/>
      <c r="G12" s="113"/>
      <c r="H12" s="39" t="s">
        <v>60</v>
      </c>
      <c r="I12" s="40" t="str">
        <f>'Necesidades Trimestrales'!F10</f>
        <v>UNIDADES</v>
      </c>
      <c r="J12" s="41">
        <f>'Necesidades Trimestrales'!H10</f>
        <v>9135</v>
      </c>
      <c r="K12" s="42">
        <f>'Necesidades Trimestrales'!G10</f>
        <v>350</v>
      </c>
    </row>
    <row r="13" spans="1:11" ht="36" customHeight="1" thickBot="1" x14ac:dyDescent="0.25">
      <c r="A13" s="48">
        <v>2</v>
      </c>
      <c r="B13" s="38" t="str">
        <f>'Necesidades Trimestrales'!B11</f>
        <v>2.7.2-2722.13</v>
      </c>
      <c r="C13" s="113" t="str">
        <f>'Necesidades Trimestrales'!E11</f>
        <v>CHAPAS DE ZINC; LARGO: 6 M, ANCHO: 1,10 M, ESPESOR: 0,9 mm</v>
      </c>
      <c r="D13" s="113"/>
      <c r="E13" s="113"/>
      <c r="F13" s="113"/>
      <c r="G13" s="113"/>
      <c r="H13" s="39" t="s">
        <v>60</v>
      </c>
      <c r="I13" s="40" t="str">
        <f>'Necesidades Trimestrales'!F11</f>
        <v>UNIDADES</v>
      </c>
      <c r="J13" s="41">
        <f>'Necesidades Trimestrales'!H11</f>
        <v>12600</v>
      </c>
      <c r="K13" s="42">
        <f>'Necesidades Trimestrales'!G11</f>
        <v>300</v>
      </c>
    </row>
    <row r="14" spans="1:11" ht="33.75" customHeight="1" thickBot="1" x14ac:dyDescent="0.25">
      <c r="A14" s="48">
        <v>3</v>
      </c>
      <c r="B14" s="38" t="str">
        <f>'Necesidades Trimestrales'!B12</f>
        <v>2.1.5-961.204</v>
      </c>
      <c r="C14" s="113" t="str">
        <f>'Necesidades Trimestrales'!E12</f>
        <v>TIRANTES; MATERIAL: MADERA, VARIEDAD: LAPACHO, ANCHO: 3 pulg, ALTURA: 3 pulg, LONG.DE CUERPO: 5 M, CERTIFICADO FORESTAL (GFS): SIN</v>
      </c>
      <c r="D14" s="113"/>
      <c r="E14" s="113"/>
      <c r="F14" s="113"/>
      <c r="G14" s="113"/>
      <c r="H14" s="39" t="s">
        <v>60</v>
      </c>
      <c r="I14" s="40" t="str">
        <f>'Necesidades Trimestrales'!F12</f>
        <v>UNIDADES</v>
      </c>
      <c r="J14" s="41">
        <f>'Necesidades Trimestrales'!H12</f>
        <v>1500</v>
      </c>
      <c r="K14" s="42">
        <f>'Necesidades Trimestrales'!G12</f>
        <v>600</v>
      </c>
    </row>
    <row r="15" spans="1:11" ht="20.25" customHeight="1" thickBot="1" x14ac:dyDescent="0.25">
      <c r="A15" s="48">
        <v>4</v>
      </c>
      <c r="B15" s="38" t="str">
        <f>'Necesidades Trimestrales'!B13</f>
        <v>2.6.5-335.18</v>
      </c>
      <c r="C15" s="113" t="str">
        <f>'Necesidades Trimestrales'!E13</f>
        <v>CEMENTO PORTLAND; CANT. PLIEGOS BOLSA: 3, PRESENTACION: BOLSA X 50 Kg, TIPO: NORMAL</v>
      </c>
      <c r="D15" s="113"/>
      <c r="E15" s="113"/>
      <c r="F15" s="113"/>
      <c r="G15" s="113"/>
      <c r="H15" s="39" t="s">
        <v>86</v>
      </c>
      <c r="I15" s="40" t="str">
        <f>'Necesidades Trimestrales'!F13</f>
        <v>UNIDADES</v>
      </c>
      <c r="J15" s="41">
        <f>'Necesidades Trimestrales'!H13</f>
        <v>1000</v>
      </c>
      <c r="K15" s="42">
        <f>'Necesidades Trimestrales'!G13</f>
        <v>1500</v>
      </c>
    </row>
    <row r="16" spans="1:11" ht="26.25" customHeight="1" thickBot="1" x14ac:dyDescent="0.25">
      <c r="A16" s="48"/>
      <c r="B16" s="38"/>
      <c r="C16" s="113"/>
      <c r="D16" s="113"/>
      <c r="E16" s="113"/>
      <c r="F16" s="113"/>
      <c r="G16" s="113"/>
      <c r="H16" s="39"/>
      <c r="I16" s="40"/>
      <c r="J16" s="41"/>
      <c r="K16" s="42"/>
    </row>
    <row r="17" spans="1:11" ht="27.75" customHeight="1" thickBot="1" x14ac:dyDescent="0.25">
      <c r="A17" s="48"/>
      <c r="B17" s="38"/>
      <c r="C17" s="113"/>
      <c r="D17" s="113"/>
      <c r="E17" s="113"/>
      <c r="F17" s="113"/>
      <c r="G17" s="113"/>
      <c r="H17" s="39"/>
      <c r="I17" s="40"/>
      <c r="J17" s="41"/>
      <c r="K17" s="42"/>
    </row>
    <row r="18" spans="1:11" ht="26.25" customHeight="1" thickBot="1" x14ac:dyDescent="0.25">
      <c r="A18" s="105" t="s">
        <v>88</v>
      </c>
      <c r="B18" s="105"/>
      <c r="C18" s="105"/>
      <c r="D18" s="105"/>
      <c r="E18" s="105"/>
      <c r="F18" s="105"/>
      <c r="G18" s="105"/>
      <c r="H18" s="105"/>
      <c r="I18" s="105"/>
      <c r="J18" s="112">
        <f>+K12*J12+J13*K13+J14*K14+J15*K15</f>
        <v>9377250</v>
      </c>
      <c r="K18" s="112"/>
    </row>
  </sheetData>
  <mergeCells count="28">
    <mergeCell ref="A18:I18"/>
    <mergeCell ref="J18:K18"/>
    <mergeCell ref="C12:G12"/>
    <mergeCell ref="C13:G13"/>
    <mergeCell ref="C14:G14"/>
    <mergeCell ref="C15:G15"/>
    <mergeCell ref="C16:G16"/>
    <mergeCell ref="C17:G1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7" zoomScale="130" zoomScaleNormal="130" workbookViewId="0">
      <selection activeCell="R49" sqref="R49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3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8" ht="15.75" customHeight="1" x14ac:dyDescent="0.25">
      <c r="A1" s="114" t="s">
        <v>3</v>
      </c>
      <c r="B1" s="114"/>
      <c r="C1" s="114"/>
      <c r="D1" s="115">
        <f>'Necesidades Trimestrales'!C6</f>
        <v>2021</v>
      </c>
      <c r="E1" s="115"/>
      <c r="F1" s="4"/>
      <c r="G1" s="4"/>
      <c r="H1" s="5"/>
      <c r="I1" s="5"/>
      <c r="J1" s="5"/>
      <c r="K1" s="5"/>
      <c r="L1" s="5"/>
      <c r="M1" s="5"/>
      <c r="N1" s="5"/>
      <c r="P1" s="116" t="s">
        <v>31</v>
      </c>
      <c r="Q1" s="116"/>
    </row>
    <row r="2" spans="1:18" ht="15.75" customHeight="1" x14ac:dyDescent="0.2">
      <c r="H2" s="5"/>
      <c r="I2" s="5"/>
      <c r="J2" s="5"/>
      <c r="K2" s="5"/>
      <c r="L2" s="5"/>
      <c r="M2" s="5"/>
      <c r="N2" s="5"/>
      <c r="P2" s="116"/>
      <c r="Q2" s="116"/>
    </row>
    <row r="4" spans="1:18" s="6" customFormat="1" ht="18" customHeight="1" thickBot="1" x14ac:dyDescent="0.25">
      <c r="A4" s="117" t="s">
        <v>32</v>
      </c>
      <c r="B4" s="117"/>
      <c r="C4" s="117"/>
      <c r="D4" s="117"/>
      <c r="E4" s="117"/>
      <c r="F4" s="117"/>
      <c r="G4" s="118" t="str">
        <f>' NotaPedido'!D3</f>
        <v>45- Ministerio de Desarrollo Social y Deporte</v>
      </c>
      <c r="H4" s="118"/>
      <c r="I4" s="118"/>
      <c r="J4" s="118"/>
      <c r="K4" s="118"/>
      <c r="L4" s="118"/>
      <c r="M4" s="118"/>
      <c r="N4" s="118"/>
      <c r="O4" s="118"/>
      <c r="P4" s="118"/>
      <c r="Q4" s="118"/>
    </row>
    <row r="5" spans="1:18" s="6" customFormat="1" ht="18" customHeight="1" thickBot="1" x14ac:dyDescent="0.25">
      <c r="A5" s="119" t="s">
        <v>55</v>
      </c>
      <c r="B5" s="120"/>
      <c r="C5" s="120"/>
      <c r="D5" s="120"/>
      <c r="E5" s="120"/>
      <c r="F5" s="121"/>
      <c r="G5" s="118" t="str">
        <f>' NotaPedido'!D4</f>
        <v>25- Direccion Provincial de Gestion Administrativa y RRHH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</row>
    <row r="6" spans="1:18" s="6" customFormat="1" ht="18" customHeight="1" thickBot="1" x14ac:dyDescent="0.25">
      <c r="A6" s="119" t="s">
        <v>33</v>
      </c>
      <c r="B6" s="120"/>
      <c r="C6" s="120"/>
      <c r="D6" s="120"/>
      <c r="E6" s="120"/>
      <c r="F6" s="121"/>
      <c r="G6" s="118" t="s">
        <v>65</v>
      </c>
      <c r="H6" s="118"/>
      <c r="I6" s="118"/>
      <c r="J6" s="118"/>
      <c r="K6" s="118"/>
      <c r="L6" s="118"/>
      <c r="M6" s="118"/>
      <c r="N6" s="118"/>
      <c r="O6" s="118"/>
      <c r="P6" s="118"/>
      <c r="Q6" s="118"/>
    </row>
    <row r="7" spans="1:18" s="6" customFormat="1" ht="18" customHeight="1" thickBot="1" x14ac:dyDescent="0.25">
      <c r="A7" s="119" t="s">
        <v>56</v>
      </c>
      <c r="B7" s="120"/>
      <c r="C7" s="120"/>
      <c r="D7" s="120"/>
      <c r="E7" s="120"/>
      <c r="F7" s="121"/>
      <c r="G7" s="118" t="s">
        <v>66</v>
      </c>
      <c r="H7" s="118"/>
      <c r="I7" s="118"/>
      <c r="J7" s="118"/>
      <c r="K7" s="118"/>
      <c r="L7" s="118"/>
      <c r="M7" s="118"/>
      <c r="N7" s="118"/>
      <c r="O7" s="118"/>
      <c r="P7" s="118"/>
      <c r="Q7" s="118"/>
    </row>
    <row r="8" spans="1:18" ht="18" customHeight="1" thickBot="1" x14ac:dyDescent="0.25">
      <c r="A8" s="122" t="s">
        <v>34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</row>
    <row r="9" spans="1:18" ht="18" customHeight="1" x14ac:dyDescent="0.2">
      <c r="A9" s="129" t="s">
        <v>35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"/>
      <c r="P9" s="1"/>
      <c r="Q9" s="7"/>
    </row>
    <row r="10" spans="1:18" ht="54.75" customHeight="1" x14ac:dyDescent="0.2">
      <c r="A10" s="13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959/21,  afectando la erogación resultante a los créditos presupuestarios aprobados a favor de esta Unidad Ejecutora, conforme al siguiente detalle: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</row>
    <row r="11" spans="1:18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8" ht="15.75" customHeight="1" x14ac:dyDescent="0.2">
      <c r="A12" s="131" t="s">
        <v>36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</row>
    <row r="13" spans="1:18" ht="15.75" customHeight="1" x14ac:dyDescent="0.2">
      <c r="A13" s="132" t="s">
        <v>37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3" t="s">
        <v>38</v>
      </c>
      <c r="P13" s="133"/>
      <c r="Q13" s="134" t="s">
        <v>39</v>
      </c>
    </row>
    <row r="14" spans="1:18" ht="15.75" customHeight="1" x14ac:dyDescent="0.2">
      <c r="A14" s="12" t="s">
        <v>40</v>
      </c>
      <c r="B14" s="13" t="s">
        <v>41</v>
      </c>
      <c r="C14" s="13" t="s">
        <v>42</v>
      </c>
      <c r="D14" s="13" t="s">
        <v>43</v>
      </c>
      <c r="E14" s="13" t="s">
        <v>44</v>
      </c>
      <c r="F14" s="13" t="s">
        <v>45</v>
      </c>
      <c r="G14" s="14" t="s">
        <v>46</v>
      </c>
      <c r="H14" s="13" t="s">
        <v>47</v>
      </c>
      <c r="I14" s="13" t="s">
        <v>48</v>
      </c>
      <c r="J14" s="13" t="s">
        <v>49</v>
      </c>
      <c r="K14" s="13" t="s">
        <v>49</v>
      </c>
      <c r="L14" s="13" t="s">
        <v>50</v>
      </c>
      <c r="M14" s="15" t="s">
        <v>51</v>
      </c>
      <c r="N14" s="16" t="s">
        <v>52</v>
      </c>
      <c r="O14" s="133"/>
      <c r="P14" s="133"/>
      <c r="Q14" s="134"/>
    </row>
    <row r="15" spans="1:18" ht="26.25" customHeight="1" x14ac:dyDescent="0.2">
      <c r="A15" s="35">
        <v>1</v>
      </c>
      <c r="B15" s="36"/>
      <c r="C15" s="36"/>
      <c r="D15" s="36">
        <v>1</v>
      </c>
      <c r="E15" s="36"/>
      <c r="F15" s="36">
        <v>4901</v>
      </c>
      <c r="G15" s="36">
        <v>1</v>
      </c>
      <c r="H15" s="36">
        <v>3</v>
      </c>
      <c r="I15" s="36" t="str">
        <f>LEFT('Necesidades Trimestrales'!D10,1)</f>
        <v>2</v>
      </c>
      <c r="J15" s="36">
        <v>1</v>
      </c>
      <c r="K15" s="36">
        <v>5</v>
      </c>
      <c r="L15" s="36"/>
      <c r="M15" s="37">
        <v>1</v>
      </c>
      <c r="N15" s="36">
        <v>1.1000000000000001</v>
      </c>
      <c r="O15" s="123" t="s">
        <v>90</v>
      </c>
      <c r="P15" s="124"/>
      <c r="Q15" s="17">
        <v>900000</v>
      </c>
      <c r="R15" s="34"/>
    </row>
    <row r="16" spans="1:18" ht="17.25" customHeight="1" x14ac:dyDescent="0.2">
      <c r="A16" s="92">
        <v>1</v>
      </c>
      <c r="B16" s="92"/>
      <c r="C16" s="92"/>
      <c r="D16" s="92">
        <v>1</v>
      </c>
      <c r="E16" s="92"/>
      <c r="F16" s="92">
        <v>4901</v>
      </c>
      <c r="G16" s="92">
        <v>1</v>
      </c>
      <c r="H16" s="92">
        <v>3</v>
      </c>
      <c r="I16" s="92" t="str">
        <f>LEFT('Necesidades Trimestrales'!D11,1)</f>
        <v>2</v>
      </c>
      <c r="J16" s="92">
        <v>6</v>
      </c>
      <c r="K16" s="92">
        <v>5</v>
      </c>
      <c r="L16" s="92"/>
      <c r="M16" s="92">
        <v>1</v>
      </c>
      <c r="N16" s="92">
        <v>1.1000000000000001</v>
      </c>
      <c r="O16" s="125" t="s">
        <v>91</v>
      </c>
      <c r="P16" s="126"/>
      <c r="Q16" s="22">
        <v>1500000</v>
      </c>
    </row>
    <row r="17" spans="1:18" ht="17.25" customHeight="1" x14ac:dyDescent="0.2">
      <c r="A17" s="92">
        <v>1</v>
      </c>
      <c r="B17" s="92"/>
      <c r="C17" s="92"/>
      <c r="D17" s="92">
        <v>1</v>
      </c>
      <c r="E17" s="92"/>
      <c r="F17" s="92">
        <v>4901</v>
      </c>
      <c r="G17" s="92">
        <v>1</v>
      </c>
      <c r="H17" s="92">
        <v>3</v>
      </c>
      <c r="I17" s="92" t="str">
        <f>LEFT('Necesidades Trimestrales'!D12,1)</f>
        <v>2</v>
      </c>
      <c r="J17" s="92">
        <v>7</v>
      </c>
      <c r="K17" s="92">
        <v>2</v>
      </c>
      <c r="L17" s="92"/>
      <c r="M17" s="92">
        <v>1</v>
      </c>
      <c r="N17" s="92">
        <v>1.1000000000000001</v>
      </c>
      <c r="O17" s="127" t="s">
        <v>92</v>
      </c>
      <c r="P17" s="128"/>
      <c r="Q17" s="22">
        <v>6977250</v>
      </c>
    </row>
    <row r="18" spans="1:18" ht="17.25" customHeight="1" x14ac:dyDescent="0.2">
      <c r="A18" s="18"/>
      <c r="B18" s="19"/>
      <c r="C18" s="19"/>
      <c r="D18" s="19"/>
      <c r="E18" s="19"/>
      <c r="F18" s="21"/>
      <c r="G18" s="19"/>
      <c r="H18" s="19"/>
      <c r="I18" s="19"/>
      <c r="J18" s="19"/>
      <c r="K18" s="19"/>
      <c r="L18" s="19"/>
      <c r="M18" s="20"/>
      <c r="N18" s="21"/>
      <c r="O18" s="128"/>
      <c r="P18" s="128"/>
      <c r="Q18" s="22"/>
    </row>
    <row r="19" spans="1:18" ht="17.25" customHeight="1" x14ac:dyDescent="0.2">
      <c r="A19" s="18"/>
      <c r="B19" s="19"/>
      <c r="C19" s="19"/>
      <c r="D19" s="19"/>
      <c r="E19" s="19"/>
      <c r="F19" s="21"/>
      <c r="G19" s="19"/>
      <c r="H19" s="19"/>
      <c r="I19" s="19"/>
      <c r="J19" s="19"/>
      <c r="K19" s="19"/>
      <c r="L19" s="19"/>
      <c r="M19" s="20"/>
      <c r="N19" s="21"/>
      <c r="O19" s="128"/>
      <c r="P19" s="128"/>
      <c r="Q19" s="22"/>
    </row>
    <row r="20" spans="1:18" ht="17.25" customHeight="1" x14ac:dyDescent="0.2">
      <c r="A20" s="23"/>
      <c r="B20" s="24"/>
      <c r="C20" s="24"/>
      <c r="D20" s="24"/>
      <c r="E20" s="24"/>
      <c r="F20" s="25"/>
      <c r="G20" s="24"/>
      <c r="H20" s="24"/>
      <c r="I20" s="24"/>
      <c r="J20" s="24"/>
      <c r="K20" s="24"/>
      <c r="L20" s="24"/>
      <c r="M20" s="26"/>
      <c r="N20" s="27"/>
      <c r="O20" s="140"/>
      <c r="P20" s="140"/>
      <c r="Q20" s="22"/>
      <c r="R20" s="1"/>
    </row>
    <row r="21" spans="1:18" ht="17.25" customHeight="1" x14ac:dyDescent="0.2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30"/>
      <c r="N21" s="29"/>
      <c r="O21" s="141"/>
      <c r="P21" s="141"/>
      <c r="Q21" s="31"/>
    </row>
    <row r="22" spans="1:18" ht="30" customHeight="1" x14ac:dyDescent="0.2">
      <c r="A22" s="142" t="s">
        <v>89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32">
        <f>SUM(Q15:Q21)</f>
        <v>9377250</v>
      </c>
    </row>
    <row r="23" spans="1:18" ht="18" customHeight="1" thickBot="1" x14ac:dyDescent="0.25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</row>
    <row r="24" spans="1:18" ht="17.25" customHeight="1" thickBot="1" x14ac:dyDescent="0.25">
      <c r="A24" s="135" t="s">
        <v>53</v>
      </c>
      <c r="B24" s="136"/>
      <c r="C24" s="136"/>
      <c r="D24" s="136"/>
      <c r="E24" s="136"/>
      <c r="F24" s="137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</row>
    <row r="25" spans="1:18" ht="18" customHeight="1" thickBot="1" x14ac:dyDescent="0.25">
      <c r="A25" s="139" t="s">
        <v>87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</row>
    <row r="26" spans="1:18" ht="15" customHeight="1" x14ac:dyDescent="0.2">
      <c r="A26" s="139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RODOLFO SARTOR</cp:lastModifiedBy>
  <cp:revision>2</cp:revision>
  <cp:lastPrinted>2021-07-22T12:47:21Z</cp:lastPrinted>
  <dcterms:created xsi:type="dcterms:W3CDTF">2020-07-17T23:44:49Z</dcterms:created>
  <dcterms:modified xsi:type="dcterms:W3CDTF">2021-09-29T13:25:14Z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