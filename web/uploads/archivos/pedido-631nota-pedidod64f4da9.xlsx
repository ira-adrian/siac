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AEMA\CCOO\PLAN TRIMESTRAL DE CONTRATACIONES 4 TRIMESTRE 2022\Cubiertas\"/>
    </mc:Choice>
  </mc:AlternateContent>
  <bookViews>
    <workbookView xWindow="-120" yWindow="-120" windowWidth="20736" windowHeight="11760" tabRatio="500"/>
  </bookViews>
  <sheets>
    <sheet name="Necesidades Trimestrales" sheetId="1" r:id="rId1"/>
    <sheet name=" NotaPedido" sheetId="2" state="hidden" r:id="rId2"/>
    <sheet name="Autor Gastar" sheetId="3" state="hidden" r:id="rId3"/>
  </sheets>
  <externalReferences>
    <externalReference r:id="rId4"/>
  </externalReferences>
  <definedNames>
    <definedName name="_xlnm.Print_Area" localSheetId="1">' NotaPedido'!$A$1:$K$30</definedName>
    <definedName name="_xlnm.Print_Area" localSheetId="2">'Autor Gastar'!$A$1:$Q$27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1" i="1" l="1"/>
  <c r="I12" i="1"/>
  <c r="I13" i="1"/>
  <c r="I14" i="1"/>
  <c r="I15" i="1"/>
  <c r="I16" i="1"/>
  <c r="I17" i="1"/>
  <c r="I10" i="1"/>
  <c r="I18" i="1" l="1"/>
  <c r="E17" i="3"/>
  <c r="A19" i="3" l="1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12" i="2"/>
  <c r="G6" i="3" l="1"/>
  <c r="G7" i="3"/>
  <c r="A10" i="3" l="1"/>
  <c r="D1" i="3"/>
  <c r="C26" i="2" l="1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7" i="2"/>
  <c r="C28" i="2"/>
  <c r="C29" i="2"/>
  <c r="C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12" i="2"/>
  <c r="D7" i="2"/>
  <c r="D3" i="2"/>
  <c r="G4" i="3" s="1"/>
  <c r="D4" i="2"/>
  <c r="G5" i="3" s="1"/>
  <c r="J30" i="2" l="1"/>
  <c r="Q15" i="3" l="1"/>
  <c r="Q16" i="3" s="1"/>
</calcChain>
</file>

<file path=xl/sharedStrings.xml><?xml version="1.0" encoding="utf-8"?>
<sst xmlns="http://schemas.openxmlformats.org/spreadsheetml/2006/main" count="144" uniqueCount="90">
  <si>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</si>
  <si>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</si>
  <si>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</si>
  <si>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</si>
  <si>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</si>
  <si>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</si>
  <si>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</si>
  <si>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</si>
  <si>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</si>
  <si>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</si>
  <si>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</si>
  <si>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</si>
  <si>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</si>
  <si>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</si>
  <si>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</si>
  <si>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Plazos y lugares de entrega</t>
  </si>
  <si>
    <t>Calidad Minima esperada</t>
  </si>
  <si>
    <t>Mantenimiento</t>
  </si>
  <si>
    <t>Garantia</t>
  </si>
  <si>
    <t>NOTA DE PEDIDO</t>
  </si>
  <si>
    <t>N°</t>
  </si>
  <si>
    <t>32/2020</t>
  </si>
  <si>
    <t xml:space="preserve">JURISDICCIÓN: </t>
  </si>
  <si>
    <t>SAF:</t>
  </si>
  <si>
    <t>UNIDAD EJECUTORA:</t>
  </si>
  <si>
    <t>Jefatura de Policía de la Provincia de Catamarca</t>
  </si>
  <si>
    <t xml:space="preserve">DEPENDENCIA SOLICITANTE: </t>
  </si>
  <si>
    <t>División Transporte- Dpto. Logistica (D-4)</t>
  </si>
  <si>
    <t>PERIODO UTILIZACIÓN:</t>
  </si>
  <si>
    <t>OBJETO:</t>
  </si>
  <si>
    <t>Adquisición de CUBIERTAS destinadas a las Unidades Moviles de la Policia de Catamarca.-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</si>
  <si>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</si>
  <si>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</si>
  <si>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</si>
  <si>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</si>
  <si>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</si>
  <si>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</si>
  <si>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</si>
  <si>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</si>
  <si>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r>
      <t xml:space="preserve">Costo total estimado: Pesos </t>
    </r>
    <r>
      <rPr>
        <b/>
        <sz val="12"/>
        <color theme="0"/>
        <rFont val="Century Gothic"/>
        <family val="2"/>
      </rPr>
      <t>.</t>
    </r>
  </si>
  <si>
    <t>Trece Millones Quinientos Cuatro Mil Doscientos Cuatro con 00/100.</t>
  </si>
  <si>
    <t>AUTORIZACION PARA GASTAR</t>
  </si>
  <si>
    <t>JURISDICCIÓN:</t>
  </si>
  <si>
    <r>
      <t>AUTORIZACIÓN</t>
    </r>
    <r>
      <rPr>
        <b/>
        <sz val="10"/>
        <rFont val="Century Gothic"/>
        <family val="2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</si>
  <si>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</si>
  <si>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</si>
  <si>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</si>
  <si>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</si>
  <si>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</si>
  <si>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</si>
  <si>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</si>
  <si>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</si>
  <si>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</si>
  <si>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</si>
  <si>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</si>
  <si>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</si>
  <si>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</si>
  <si>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</si>
  <si>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</si>
  <si>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</si>
  <si>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</si>
  <si>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</si>
  <si>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</si>
  <si>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CUBIERTAS Y CAMARAS DE AIRE</t>
  </si>
  <si>
    <t>TOTAL DE PESOS</t>
  </si>
  <si>
    <t>JUSTIFICACIÓN:</t>
  </si>
  <si>
    <t>b) FORMA DE LA ENTREGA: Libre de flete, acarreo y embalaje, como así también, de todo riesgo de pérdida o destrucción total o parcial, por causas ajenas a la Institución.</t>
  </si>
  <si>
    <t>NEUMATICOS; VEHICULO: AUTOMOVIL, CONSTRUCCION: RADIAL, ARMADO: S/CAMARA, MEDIDA: 175/65R14</t>
  </si>
  <si>
    <t>REPUESTOS</t>
  </si>
  <si>
    <t>2.4.4-6818.88</t>
  </si>
  <si>
    <t>NEUMATICOS; VEHICULO: CAMIONETA, CONSTRUCCION: RADIAL, MEDIDA: 235/75R15, ARMADO: S/CAMARA</t>
  </si>
  <si>
    <t>2.4.4-6818.48</t>
  </si>
  <si>
    <t>NEUMATICOS; VEHICULO: CAMION, CONSTRUCCION: RADIAL, ARMADO: S/CAMARA, MEDIDA: 265/70R16</t>
  </si>
  <si>
    <t>2.4.4-6818.741</t>
  </si>
  <si>
    <t>NEUMATICOS; VEHICULO: CAMIONETA, CONSTRUCCION: RADIAL, ARMADO: S/CAMARA, MEDIDA: 265/65 R17</t>
  </si>
  <si>
    <t>2.4.4-6818.988</t>
  </si>
  <si>
    <t>NEUMATICOS; VEHICULO: CAMION, CONSTRUCCION: RADIAL, ARMADO: S/CAMARA, MEDIDA: 275/80R22.5</t>
  </si>
  <si>
    <t>2.4.4-6818.412</t>
  </si>
  <si>
    <t>NEUMATICOS; VEHICULO: OMNIBUS, CONSTRUCCION: RADIAL, ARMADO: C/CAMARA, MEDIDA: 215/75R17.5</t>
  </si>
  <si>
    <t>2.4.4-6818.193</t>
  </si>
  <si>
    <t>NEUMATICOS; VEHICULO: MOTO, CONSTRUCCION: RADIAL, ARMADO: S/CAMARA, MEDIDA: 110/90-17</t>
  </si>
  <si>
    <t>2.4.4-6818.1028</t>
  </si>
  <si>
    <t>2.4.4-6818.1027</t>
  </si>
  <si>
    <t>NEUMATICOS; VEHICULO: MOTO, CONSTRUCCION: RADIAL, ARMADO: S/CAMARA, MEDIDA: 90/90-19</t>
  </si>
  <si>
    <t>ESPECIFICACIONES</t>
  </si>
  <si>
    <t>c) PLAZO DE ENTREGA: la entrega se realizara a los 10 días hábiles de notificada la Orden de Compra.</t>
  </si>
  <si>
    <t>1ra calidad.-</t>
  </si>
  <si>
    <t>45 (cuarenta y cinco) días habiles.-</t>
  </si>
  <si>
    <t xml:space="preserve">a) LUGAR DE ENTREGA: PREDIO DE LA DIRECCION DE SERVICIOS GENERALES - MAEMA. RUTA NACIONAL 38 - ALTURA KM 575/576, SAN FERNANDO DEL VALLE DE CATAMARCA. De 08 A 12 horas. </t>
  </si>
  <si>
    <t>65 - MINISTERIO DE AGUA ENERGIA Y MEDIO AMB.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</si>
</sst>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 &quot;$&quot;\ * #,##0.00_ ;_ &quot;$&quot;\ * \-#,##0.00_ ;_ &quot;$&quot;\ * &quot;-&quot;??_ ;_ @_ 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dd\-mm\-yy;@"/>
    <numFmt numFmtId="170" formatCode="_-[$$-2C0A]\ * #,##0.00_-;\-[$$-2C0A]\ * #,##0.00_-;_-[$$-2C0A]\ * &quot;-&quot;??_-;_-@_-"/>
  </numFmts>
  <fonts count="25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b/>
      <sz val="11"/>
      <name val="Arial"/>
      <family val="2"/>
      <charset val="1"/>
    </font>
    <font>
      <sz val="11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Century Gothic"/>
      <family val="2"/>
    </font>
    <font>
      <b/>
      <sz val="22"/>
      <name val="Century Gothic"/>
      <family val="2"/>
    </font>
    <font>
      <b/>
      <sz val="11"/>
      <color rgb="FF000000"/>
      <name val="Century Gothic"/>
      <family val="2"/>
    </font>
    <font>
      <b/>
      <sz val="12"/>
      <color rgb="FF000000"/>
      <name val="Century Gothic"/>
      <family val="2"/>
    </font>
    <font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b/>
      <sz val="10"/>
      <name val="Century Gothic"/>
      <family val="2"/>
    </font>
    <font>
      <sz val="11"/>
      <name val="Century Gothic"/>
      <family val="2"/>
    </font>
    <font>
      <b/>
      <u/>
      <sz val="11"/>
      <name val="Century Gothic"/>
      <family val="2"/>
    </font>
    <font>
      <b/>
      <u/>
      <sz val="10"/>
      <name val="Century Gothic"/>
      <family val="2"/>
    </font>
    <font>
      <b/>
      <sz val="11"/>
      <name val="Century Gothic"/>
      <family val="2"/>
    </font>
    <font>
      <b/>
      <sz val="12"/>
      <name val="Century Gothic"/>
      <family val="2"/>
    </font>
    <font>
      <b/>
      <u/>
      <sz val="12"/>
      <name val="Century Gothic"/>
      <family val="2"/>
    </font>
    <font>
      <sz val="12"/>
      <name val="Century Gothic"/>
      <family val="2"/>
    </font>
    <font>
      <b/>
      <sz val="12"/>
      <color theme="0"/>
      <name val="Century Gothic"/>
      <family val="2"/>
    </font>
    <font>
      <sz val="11"/>
      <color rgb="FF333333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000000"/>
      </patternFill>
    </fill>
  </fills>
  <borders count="4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3D3D3D"/>
      </left>
      <right/>
      <top style="thin">
        <color rgb="FF3D3D3D"/>
      </top>
      <bottom/>
      <diagonal/>
    </border>
    <border>
      <left/>
      <right/>
      <top style="thin">
        <color rgb="FF3D3D3D"/>
      </top>
      <bottom/>
      <diagonal/>
    </border>
    <border>
      <left/>
      <right style="medium">
        <color rgb="FF3D3D3D"/>
      </right>
      <top style="thin">
        <color rgb="FF3D3D3D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166" fontId="8" fillId="0" borderId="0" applyBorder="0" applyProtection="0"/>
    <xf numFmtId="0" fontId="2" fillId="0" borderId="1" applyProtection="0"/>
    <xf numFmtId="165" fontId="3" fillId="0" borderId="0" applyBorder="0" applyProtection="0"/>
    <xf numFmtId="0" fontId="4" fillId="2" borderId="0" applyBorder="0" applyProtection="0"/>
    <xf numFmtId="0" fontId="1" fillId="0" borderId="0"/>
  </cellStyleXfs>
  <cellXfs count="156">
    <xf numFmtId="0" fontId="0" fillId="0" borderId="0" xfId="0"/>
    <xf numFmtId="0" fontId="9" fillId="4" borderId="0" xfId="0" applyFont="1" applyFill="1"/>
    <xf numFmtId="0" fontId="13" fillId="4" borderId="0" xfId="0" applyFont="1" applyFill="1" applyAlignment="1">
      <alignment horizontal="left" wrapText="1"/>
    </xf>
    <xf numFmtId="0" fontId="13" fillId="4" borderId="0" xfId="0" applyFont="1" applyFill="1" applyAlignment="1">
      <alignment horizontal="center" wrapText="1"/>
    </xf>
    <xf numFmtId="0" fontId="12" fillId="3" borderId="0" xfId="0" applyFont="1" applyFill="1" applyAlignment="1">
      <alignment horizontal="left" wrapText="1" indent="1"/>
    </xf>
    <xf numFmtId="0" fontId="14" fillId="4" borderId="0" xfId="0" applyFont="1" applyFill="1" applyAlignment="1">
      <alignment horizontal="left" wrapText="1"/>
    </xf>
    <xf numFmtId="0" fontId="9" fillId="5" borderId="0" xfId="0" applyFont="1" applyFill="1" applyBorder="1"/>
    <xf numFmtId="0" fontId="9" fillId="5" borderId="0" xfId="0" applyFont="1" applyFill="1" applyBorder="1" applyAlignment="1">
      <alignment horizontal="left" vertical="center"/>
    </xf>
    <xf numFmtId="0" fontId="9" fillId="5" borderId="0" xfId="0" applyFont="1" applyFill="1" applyBorder="1" applyAlignment="1">
      <alignment horizontal="left"/>
    </xf>
    <xf numFmtId="0" fontId="9" fillId="5" borderId="0" xfId="0" applyFont="1" applyFill="1" applyBorder="1" applyAlignment="1">
      <alignment horizontal="center" wrapText="1"/>
    </xf>
    <xf numFmtId="0" fontId="0" fillId="4" borderId="0" xfId="0" applyFill="1" applyBorder="1"/>
    <xf numFmtId="0" fontId="0" fillId="4" borderId="0" xfId="0" applyFill="1" applyBorder="1" applyAlignment="1">
      <alignment horizontal="left"/>
    </xf>
    <xf numFmtId="167" fontId="0" fillId="4" borderId="0" xfId="3" applyNumberFormat="1" applyFont="1" applyFill="1" applyBorder="1" applyAlignment="1" applyProtection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167" fontId="7" fillId="4" borderId="0" xfId="0" applyNumberFormat="1" applyFont="1" applyFill="1" applyBorder="1" applyAlignment="1">
      <alignment horizontal="center" vertical="center"/>
    </xf>
    <xf numFmtId="0" fontId="6" fillId="4" borderId="0" xfId="0" applyFont="1" applyFill="1" applyBorder="1" applyAlignment="1">
      <alignment vertical="center" wrapText="1"/>
    </xf>
    <xf numFmtId="0" fontId="0" fillId="4" borderId="0" xfId="0" applyFill="1" applyBorder="1" applyAlignment="1">
      <alignment vertical="center"/>
    </xf>
    <xf numFmtId="0" fontId="5" fillId="4" borderId="0" xfId="0" applyFont="1" applyFill="1" applyBorder="1" applyAlignment="1">
      <alignment vertical="center" wrapText="1"/>
    </xf>
    <xf numFmtId="0" fontId="0" fillId="4" borderId="0" xfId="0" applyFill="1" applyBorder="1" applyAlignment="1"/>
    <xf numFmtId="0" fontId="6" fillId="3" borderId="0" xfId="0" applyFont="1" applyFill="1" applyBorder="1" applyAlignment="1">
      <alignment vertical="center" wrapText="1"/>
    </xf>
    <xf numFmtId="0" fontId="20" fillId="3" borderId="4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left" vertical="center"/>
    </xf>
    <xf numFmtId="0" fontId="9" fillId="3" borderId="2" xfId="0" applyFont="1" applyFill="1" applyBorder="1" applyAlignment="1">
      <alignment horizontal="center" vertical="center"/>
    </xf>
    <xf numFmtId="0" fontId="9" fillId="4" borderId="35" xfId="0" applyFont="1" applyFill="1" applyBorder="1" applyAlignment="1">
      <alignment horizontal="left" vertical="center"/>
    </xf>
    <xf numFmtId="0" fontId="9" fillId="3" borderId="35" xfId="0" applyFont="1" applyFill="1" applyBorder="1" applyAlignment="1">
      <alignment horizontal="center" vertical="center"/>
    </xf>
    <xf numFmtId="0" fontId="21" fillId="4" borderId="3" xfId="0" applyFont="1" applyFill="1" applyBorder="1" applyAlignment="1">
      <alignment horizontal="right" vertical="center"/>
    </xf>
    <xf numFmtId="0" fontId="9" fillId="4" borderId="0" xfId="0" applyFont="1" applyFill="1" applyBorder="1" applyAlignment="1">
      <alignment vertical="center"/>
    </xf>
    <xf numFmtId="0" fontId="21" fillId="4" borderId="5" xfId="0" applyFont="1" applyFill="1" applyBorder="1" applyAlignment="1">
      <alignment vertical="center"/>
    </xf>
    <xf numFmtId="0" fontId="21" fillId="4" borderId="0" xfId="0" applyFont="1" applyFill="1" applyBorder="1" applyAlignment="1">
      <alignment vertical="center"/>
    </xf>
    <xf numFmtId="0" fontId="22" fillId="4" borderId="0" xfId="0" applyFont="1" applyFill="1" applyBorder="1" applyAlignment="1">
      <alignment horizontal="left" vertical="center"/>
    </xf>
    <xf numFmtId="0" fontId="20" fillId="4" borderId="0" xfId="0" applyFont="1" applyFill="1" applyBorder="1" applyAlignment="1">
      <alignment horizontal="left" vertical="center" wrapText="1" indent="1"/>
    </xf>
    <xf numFmtId="0" fontId="9" fillId="4" borderId="2" xfId="0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center" vertical="center" wrapText="1"/>
    </xf>
    <xf numFmtId="164" fontId="9" fillId="7" borderId="2" xfId="1" applyNumberFormat="1" applyFont="1" applyFill="1" applyBorder="1" applyAlignment="1">
      <alignment horizontal="center" vertical="center"/>
    </xf>
    <xf numFmtId="3" fontId="9" fillId="7" borderId="2" xfId="0" applyNumberFormat="1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9" fillId="4" borderId="35" xfId="0" applyFont="1" applyFill="1" applyBorder="1" applyAlignment="1">
      <alignment horizontal="center" vertical="center"/>
    </xf>
    <xf numFmtId="0" fontId="13" fillId="7" borderId="35" xfId="0" applyFont="1" applyFill="1" applyBorder="1" applyAlignment="1">
      <alignment horizontal="center" vertical="center" wrapText="1"/>
    </xf>
    <xf numFmtId="164" fontId="9" fillId="7" borderId="35" xfId="1" applyNumberFormat="1" applyFont="1" applyFill="1" applyBorder="1" applyAlignment="1">
      <alignment horizontal="center" vertical="center"/>
    </xf>
    <xf numFmtId="0" fontId="9" fillId="7" borderId="35" xfId="0" applyFont="1" applyFill="1" applyBorder="1" applyAlignment="1">
      <alignment horizontal="center" vertical="center"/>
    </xf>
    <xf numFmtId="3" fontId="19" fillId="7" borderId="0" xfId="0" applyNumberFormat="1" applyFont="1" applyFill="1" applyBorder="1" applyAlignment="1"/>
    <xf numFmtId="169" fontId="9" fillId="7" borderId="0" xfId="0" applyNumberFormat="1" applyFont="1" applyFill="1" applyBorder="1" applyAlignment="1">
      <alignment horizontal="left"/>
    </xf>
    <xf numFmtId="0" fontId="9" fillId="7" borderId="0" xfId="0" applyFont="1" applyFill="1" applyBorder="1"/>
    <xf numFmtId="0" fontId="0" fillId="4" borderId="0" xfId="0" applyFill="1"/>
    <xf numFmtId="0" fontId="9" fillId="7" borderId="0" xfId="0" applyFont="1" applyFill="1" applyBorder="1" applyAlignment="1">
      <alignment horizontal="left"/>
    </xf>
    <xf numFmtId="0" fontId="3" fillId="4" borderId="0" xfId="0" applyFont="1" applyFill="1"/>
    <xf numFmtId="0" fontId="9" fillId="7" borderId="3" xfId="0" applyFont="1" applyFill="1" applyBorder="1"/>
    <xf numFmtId="0" fontId="9" fillId="7" borderId="17" xfId="0" applyFont="1" applyFill="1" applyBorder="1"/>
    <xf numFmtId="0" fontId="9" fillId="7" borderId="5" xfId="0" applyFont="1" applyFill="1" applyBorder="1"/>
    <xf numFmtId="0" fontId="9" fillId="7" borderId="5" xfId="0" applyFont="1" applyFill="1" applyBorder="1" applyAlignment="1">
      <alignment horizontal="left"/>
    </xf>
    <xf numFmtId="0" fontId="9" fillId="7" borderId="18" xfId="0" applyFont="1" applyFill="1" applyBorder="1"/>
    <xf numFmtId="0" fontId="15" fillId="7" borderId="20" xfId="0" applyFont="1" applyFill="1" applyBorder="1" applyAlignment="1">
      <alignment horizontal="center" vertical="center"/>
    </xf>
    <xf numFmtId="0" fontId="15" fillId="7" borderId="21" xfId="0" applyFont="1" applyFill="1" applyBorder="1" applyAlignment="1">
      <alignment horizontal="center" vertical="center"/>
    </xf>
    <xf numFmtId="0" fontId="15" fillId="7" borderId="21" xfId="0" applyFont="1" applyFill="1" applyBorder="1" applyAlignment="1">
      <alignment horizontal="left" vertical="center"/>
    </xf>
    <xf numFmtId="0" fontId="15" fillId="7" borderId="22" xfId="0" applyFont="1" applyFill="1" applyBorder="1" applyAlignment="1">
      <alignment horizontal="center" vertical="center"/>
    </xf>
    <xf numFmtId="0" fontId="15" fillId="7" borderId="16" xfId="0" applyFont="1" applyFill="1" applyBorder="1" applyAlignment="1">
      <alignment horizontal="center" vertical="center"/>
    </xf>
    <xf numFmtId="0" fontId="9" fillId="7" borderId="23" xfId="0" applyFont="1" applyFill="1" applyBorder="1" applyAlignment="1">
      <alignment horizontal="center" vertical="center"/>
    </xf>
    <xf numFmtId="0" fontId="9" fillId="7" borderId="24" xfId="0" applyFont="1" applyFill="1" applyBorder="1" applyAlignment="1">
      <alignment horizontal="center" vertical="center"/>
    </xf>
    <xf numFmtId="0" fontId="9" fillId="7" borderId="25" xfId="0" applyFont="1" applyFill="1" applyBorder="1" applyAlignment="1">
      <alignment horizontal="center" vertical="center"/>
    </xf>
    <xf numFmtId="167" fontId="9" fillId="7" borderId="26" xfId="3" applyNumberFormat="1" applyFont="1" applyFill="1" applyBorder="1" applyAlignment="1" applyProtection="1">
      <alignment horizontal="center" vertical="center"/>
    </xf>
    <xf numFmtId="0" fontId="9" fillId="7" borderId="15" xfId="0" applyFont="1" applyFill="1" applyBorder="1" applyAlignment="1"/>
    <xf numFmtId="0" fontId="9" fillId="7" borderId="0" xfId="0" applyFont="1" applyFill="1" applyBorder="1" applyAlignment="1"/>
    <xf numFmtId="0" fontId="9" fillId="7" borderId="19" xfId="0" applyFont="1" applyFill="1" applyBorder="1" applyAlignment="1"/>
    <xf numFmtId="0" fontId="0" fillId="4" borderId="0" xfId="0" applyFill="1" applyAlignment="1">
      <alignment horizontal="left"/>
    </xf>
    <xf numFmtId="0" fontId="9" fillId="6" borderId="0" xfId="0" applyFont="1" applyFill="1"/>
    <xf numFmtId="0" fontId="9" fillId="5" borderId="2" xfId="0" applyFont="1" applyFill="1" applyBorder="1" applyAlignment="1">
      <alignment horizontal="center" vertical="center"/>
    </xf>
    <xf numFmtId="3" fontId="9" fillId="4" borderId="2" xfId="0" applyNumberFormat="1" applyFont="1" applyFill="1" applyBorder="1" applyAlignment="1">
      <alignment horizontal="center" vertical="center"/>
    </xf>
    <xf numFmtId="164" fontId="9" fillId="4" borderId="2" xfId="1" applyNumberFormat="1" applyFont="1" applyFill="1" applyBorder="1" applyAlignment="1">
      <alignment horizontal="center" vertical="center"/>
    </xf>
    <xf numFmtId="0" fontId="9" fillId="5" borderId="0" xfId="0" applyFont="1" applyFill="1" applyBorder="1" applyAlignment="1">
      <alignment horizontal="left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167" fontId="9" fillId="5" borderId="2" xfId="1" applyNumberFormat="1" applyFont="1" applyFill="1" applyBorder="1" applyAlignment="1" applyProtection="1">
      <alignment horizontal="center" vertical="center" wrapText="1"/>
    </xf>
    <xf numFmtId="0" fontId="17" fillId="5" borderId="39" xfId="0" applyFont="1" applyFill="1" applyBorder="1" applyAlignment="1">
      <alignment horizontal="left" vertical="center"/>
    </xf>
    <xf numFmtId="0" fontId="9" fillId="5" borderId="40" xfId="0" applyFont="1" applyFill="1" applyBorder="1"/>
    <xf numFmtId="0" fontId="9" fillId="5" borderId="39" xfId="0" applyFont="1" applyFill="1" applyBorder="1" applyAlignment="1">
      <alignment horizontal="left" vertical="center"/>
    </xf>
    <xf numFmtId="0" fontId="18" fillId="5" borderId="39" xfId="0" applyFont="1" applyFill="1" applyBorder="1" applyAlignment="1">
      <alignment horizontal="left" vertical="center"/>
    </xf>
    <xf numFmtId="0" fontId="9" fillId="5" borderId="41" xfId="0" applyFont="1" applyFill="1" applyBorder="1" applyAlignment="1">
      <alignment horizontal="left" vertical="center"/>
    </xf>
    <xf numFmtId="0" fontId="24" fillId="0" borderId="0" xfId="0" applyFont="1"/>
    <xf numFmtId="0" fontId="18" fillId="5" borderId="45" xfId="0" applyFont="1" applyFill="1" applyBorder="1" applyAlignment="1">
      <alignment horizontal="left" vertical="center"/>
    </xf>
    <xf numFmtId="0" fontId="9" fillId="5" borderId="46" xfId="0" applyFont="1" applyFill="1" applyBorder="1"/>
    <xf numFmtId="0" fontId="24" fillId="0" borderId="46" xfId="0" applyFont="1" applyBorder="1" applyAlignment="1">
      <alignment wrapText="1"/>
    </xf>
    <xf numFmtId="0" fontId="9" fillId="5" borderId="47" xfId="0" applyFont="1" applyFill="1" applyBorder="1"/>
    <xf numFmtId="0" fontId="9" fillId="4" borderId="0" xfId="0" applyFont="1" applyFill="1" applyBorder="1" applyAlignment="1"/>
    <xf numFmtId="0" fontId="9" fillId="4" borderId="2" xfId="0" applyFont="1" applyFill="1" applyBorder="1" applyAlignment="1"/>
    <xf numFmtId="167" fontId="9" fillId="4" borderId="0" xfId="0" applyNumberFormat="1" applyFont="1" applyFill="1" applyBorder="1" applyAlignment="1"/>
    <xf numFmtId="170" fontId="8" fillId="0" borderId="2" xfId="1" applyNumberFormat="1" applyBorder="1" applyAlignment="1" applyProtection="1">
      <alignment horizontal="center" vertical="center"/>
    </xf>
    <xf numFmtId="0" fontId="9" fillId="5" borderId="44" xfId="0" applyFont="1" applyFill="1" applyBorder="1"/>
    <xf numFmtId="167" fontId="15" fillId="4" borderId="2" xfId="0" applyNumberFormat="1" applyFont="1" applyFill="1" applyBorder="1" applyAlignment="1">
      <alignment horizontal="center" vertical="center"/>
    </xf>
    <xf numFmtId="0" fontId="24" fillId="0" borderId="0" xfId="0" applyFont="1" applyAlignment="1">
      <alignment vertical="center" wrapText="1"/>
    </xf>
    <xf numFmtId="0" fontId="9" fillId="4" borderId="0" xfId="0" applyFont="1" applyFill="1" applyAlignment="1">
      <alignment vertical="center"/>
    </xf>
    <xf numFmtId="0" fontId="24" fillId="0" borderId="2" xfId="0" applyFont="1" applyBorder="1" applyAlignment="1">
      <alignment vertical="center" wrapText="1"/>
    </xf>
    <xf numFmtId="0" fontId="9" fillId="6" borderId="0" xfId="0" applyFont="1" applyFill="1" applyAlignment="1">
      <alignment vertical="center"/>
    </xf>
    <xf numFmtId="0" fontId="9" fillId="4" borderId="39" xfId="0" applyFont="1" applyFill="1" applyBorder="1" applyAlignment="1">
      <alignment vertical="center"/>
    </xf>
    <xf numFmtId="0" fontId="9" fillId="4" borderId="0" xfId="0" applyFont="1" applyFill="1" applyAlignment="1">
      <alignment horizontal="center" vertical="center"/>
    </xf>
    <xf numFmtId="3" fontId="9" fillId="4" borderId="0" xfId="0" applyNumberFormat="1" applyFont="1" applyFill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9" fillId="5" borderId="0" xfId="0" applyFont="1" applyFill="1" applyBorder="1" applyAlignment="1">
      <alignment horizontal="left" wrapText="1"/>
    </xf>
    <xf numFmtId="0" fontId="9" fillId="5" borderId="40" xfId="0" applyFont="1" applyFill="1" applyBorder="1" applyAlignment="1">
      <alignment horizontal="left" wrapText="1"/>
    </xf>
    <xf numFmtId="0" fontId="9" fillId="5" borderId="42" xfId="0" applyFont="1" applyFill="1" applyBorder="1" applyAlignment="1">
      <alignment horizontal="left" vertical="center"/>
    </xf>
    <xf numFmtId="0" fontId="9" fillId="5" borderId="43" xfId="0" applyFont="1" applyFill="1" applyBorder="1" applyAlignment="1">
      <alignment horizontal="left" vertical="center"/>
    </xf>
    <xf numFmtId="0" fontId="10" fillId="4" borderId="0" xfId="0" applyFont="1" applyFill="1" applyBorder="1" applyAlignment="1">
      <alignment horizontal="center"/>
    </xf>
    <xf numFmtId="0" fontId="11" fillId="4" borderId="0" xfId="0" applyFont="1" applyFill="1" applyBorder="1" applyAlignment="1">
      <alignment horizontal="left" vertical="center" wrapText="1"/>
    </xf>
    <xf numFmtId="0" fontId="12" fillId="3" borderId="0" xfId="0" applyFont="1" applyFill="1" applyBorder="1" applyAlignment="1">
      <alignment horizontal="left" wrapText="1" indent="1"/>
    </xf>
    <xf numFmtId="0" fontId="9" fillId="5" borderId="0" xfId="0" applyFont="1" applyFill="1" applyBorder="1" applyAlignment="1">
      <alignment horizontal="left" vertical="center" wrapText="1"/>
    </xf>
    <xf numFmtId="0" fontId="9" fillId="5" borderId="40" xfId="0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horizontal="left" vertical="center" wrapText="1"/>
    </xf>
    <xf numFmtId="0" fontId="9" fillId="0" borderId="40" xfId="0" applyFont="1" applyFill="1" applyBorder="1" applyAlignment="1">
      <alignment horizontal="left" vertical="center" wrapText="1"/>
    </xf>
    <xf numFmtId="0" fontId="21" fillId="4" borderId="0" xfId="0" applyFont="1" applyFill="1" applyBorder="1" applyAlignment="1">
      <alignment horizontal="center" vertical="center"/>
    </xf>
    <xf numFmtId="0" fontId="22" fillId="4" borderId="6" xfId="0" applyFont="1" applyFill="1" applyBorder="1" applyAlignment="1">
      <alignment horizontal="left" vertical="center" wrapText="1"/>
    </xf>
    <xf numFmtId="0" fontId="20" fillId="4" borderId="7" xfId="0" applyFont="1" applyFill="1" applyBorder="1" applyAlignment="1">
      <alignment horizontal="left" vertical="center" wrapText="1" indent="1"/>
    </xf>
    <xf numFmtId="0" fontId="22" fillId="4" borderId="8" xfId="0" applyFont="1" applyFill="1" applyBorder="1" applyAlignment="1">
      <alignment horizontal="left" vertical="center" wrapText="1"/>
    </xf>
    <xf numFmtId="0" fontId="22" fillId="4" borderId="9" xfId="0" applyFont="1" applyFill="1" applyBorder="1" applyAlignment="1">
      <alignment horizontal="left" vertical="center"/>
    </xf>
    <xf numFmtId="0" fontId="20" fillId="3" borderId="10" xfId="0" applyFont="1" applyFill="1" applyBorder="1" applyAlignment="1">
      <alignment horizontal="left" vertical="center" wrapText="1" indent="1"/>
    </xf>
    <xf numFmtId="0" fontId="19" fillId="4" borderId="9" xfId="0" applyFont="1" applyFill="1" applyBorder="1" applyAlignment="1">
      <alignment horizontal="center" vertical="center"/>
    </xf>
    <xf numFmtId="0" fontId="19" fillId="4" borderId="32" xfId="0" applyFont="1" applyFill="1" applyBorder="1" applyAlignment="1">
      <alignment horizontal="center" vertical="center"/>
    </xf>
    <xf numFmtId="0" fontId="19" fillId="4" borderId="11" xfId="0" applyFont="1" applyFill="1" applyBorder="1" applyAlignment="1">
      <alignment horizontal="center" vertical="center" wrapText="1"/>
    </xf>
    <xf numFmtId="0" fontId="19" fillId="4" borderId="33" xfId="0" applyFont="1" applyFill="1" applyBorder="1" applyAlignment="1">
      <alignment horizontal="center" vertical="center" wrapText="1"/>
    </xf>
    <xf numFmtId="0" fontId="19" fillId="4" borderId="10" xfId="0" applyFont="1" applyFill="1" applyBorder="1" applyAlignment="1">
      <alignment horizontal="center" vertical="center" wrapText="1"/>
    </xf>
    <xf numFmtId="0" fontId="19" fillId="4" borderId="34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left" vertical="center" wrapText="1"/>
    </xf>
    <xf numFmtId="0" fontId="9" fillId="4" borderId="35" xfId="0" applyFont="1" applyFill="1" applyBorder="1" applyAlignment="1">
      <alignment horizontal="left" vertical="center" wrapText="1"/>
    </xf>
    <xf numFmtId="168" fontId="22" fillId="4" borderId="7" xfId="0" applyNumberFormat="1" applyFont="1" applyFill="1" applyBorder="1" applyAlignment="1">
      <alignment horizontal="center" vertical="center"/>
    </xf>
    <xf numFmtId="0" fontId="20" fillId="4" borderId="12" xfId="0" applyFont="1" applyFill="1" applyBorder="1" applyAlignment="1">
      <alignment horizontal="right" vertical="center" wrapText="1"/>
    </xf>
    <xf numFmtId="0" fontId="20" fillId="4" borderId="31" xfId="0" applyFont="1" applyFill="1" applyBorder="1" applyAlignment="1">
      <alignment horizontal="right" vertical="center" wrapText="1"/>
    </xf>
    <xf numFmtId="0" fontId="20" fillId="4" borderId="31" xfId="0" applyFont="1" applyFill="1" applyBorder="1" applyAlignment="1">
      <alignment horizontal="left" vertical="center" wrapText="1"/>
    </xf>
    <xf numFmtId="0" fontId="20" fillId="4" borderId="13" xfId="0" applyFont="1" applyFill="1" applyBorder="1" applyAlignment="1">
      <alignment horizontal="left" vertical="center" wrapText="1"/>
    </xf>
    <xf numFmtId="0" fontId="9" fillId="7" borderId="12" xfId="0" applyFont="1" applyFill="1" applyBorder="1" applyAlignment="1">
      <alignment horizontal="center"/>
    </xf>
    <xf numFmtId="3" fontId="19" fillId="7" borderId="13" xfId="0" applyNumberFormat="1" applyFont="1" applyFill="1" applyBorder="1" applyAlignment="1">
      <alignment horizontal="center"/>
    </xf>
    <xf numFmtId="0" fontId="20" fillId="7" borderId="4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/>
    <xf numFmtId="0" fontId="16" fillId="7" borderId="6" xfId="0" applyFont="1" applyFill="1" applyBorder="1" applyAlignment="1">
      <alignment horizontal="left" indent="1"/>
    </xf>
    <xf numFmtId="0" fontId="16" fillId="7" borderId="29" xfId="0" applyFont="1" applyFill="1" applyBorder="1" applyAlignment="1">
      <alignment horizontal="left" indent="1"/>
    </xf>
    <xf numFmtId="0" fontId="16" fillId="7" borderId="30" xfId="0" applyFont="1" applyFill="1" applyBorder="1" applyAlignment="1">
      <alignment horizontal="left" indent="1"/>
    </xf>
    <xf numFmtId="0" fontId="9" fillId="7" borderId="6" xfId="0" applyFont="1" applyFill="1" applyBorder="1" applyAlignment="1">
      <alignment horizontal="left" vertical="center" wrapText="1"/>
    </xf>
    <xf numFmtId="0" fontId="9" fillId="7" borderId="29" xfId="0" applyFont="1" applyFill="1" applyBorder="1" applyAlignment="1">
      <alignment horizontal="left" vertical="center" wrapText="1"/>
    </xf>
    <xf numFmtId="0" fontId="9" fillId="7" borderId="30" xfId="0" applyFont="1" applyFill="1" applyBorder="1" applyAlignment="1">
      <alignment horizontal="left" vertical="center" wrapText="1"/>
    </xf>
    <xf numFmtId="0" fontId="18" fillId="7" borderId="4" xfId="0" applyFont="1" applyFill="1" applyBorder="1" applyAlignment="1">
      <alignment horizontal="left"/>
    </xf>
    <xf numFmtId="0" fontId="16" fillId="7" borderId="15" xfId="0" applyFont="1" applyFill="1" applyBorder="1" applyAlignment="1"/>
    <xf numFmtId="0" fontId="16" fillId="7" borderId="16" xfId="0" applyFont="1" applyFill="1" applyBorder="1" applyAlignment="1">
      <alignment horizontal="left" vertical="center" wrapText="1" indent="1"/>
    </xf>
    <xf numFmtId="0" fontId="15" fillId="7" borderId="14" xfId="0" applyFont="1" applyFill="1" applyBorder="1" applyAlignment="1">
      <alignment horizontal="center" vertical="center"/>
    </xf>
    <xf numFmtId="0" fontId="15" fillId="7" borderId="4" xfId="0" applyFont="1" applyFill="1" applyBorder="1" applyAlignment="1">
      <alignment horizontal="center" vertical="center"/>
    </xf>
    <xf numFmtId="0" fontId="15" fillId="7" borderId="14" xfId="0" applyFont="1" applyFill="1" applyBorder="1" applyAlignment="1">
      <alignment horizontal="center" vertical="center" wrapText="1"/>
    </xf>
    <xf numFmtId="0" fontId="15" fillId="7" borderId="19" xfId="0" applyFont="1" applyFill="1" applyBorder="1" applyAlignment="1">
      <alignment horizontal="center" vertical="center"/>
    </xf>
    <xf numFmtId="0" fontId="16" fillId="7" borderId="27" xfId="0" applyFont="1" applyFill="1" applyBorder="1" applyAlignment="1">
      <alignment horizontal="left" vertical="center" wrapText="1" indent="1"/>
    </xf>
    <xf numFmtId="0" fontId="9" fillId="7" borderId="24" xfId="0" applyFont="1" applyFill="1" applyBorder="1" applyAlignment="1">
      <alignment horizontal="left" vertical="center" wrapText="1"/>
    </xf>
    <xf numFmtId="0" fontId="19" fillId="7" borderId="36" xfId="0" applyFont="1" applyFill="1" applyBorder="1" applyAlignment="1">
      <alignment horizontal="left" wrapText="1"/>
    </xf>
    <xf numFmtId="0" fontId="19" fillId="7" borderId="37" xfId="0" applyFont="1" applyFill="1" applyBorder="1" applyAlignment="1">
      <alignment horizontal="left" wrapText="1"/>
    </xf>
    <xf numFmtId="0" fontId="19" fillId="7" borderId="38" xfId="0" applyFont="1" applyFill="1" applyBorder="1" applyAlignment="1">
      <alignment horizontal="left" wrapText="1"/>
    </xf>
    <xf numFmtId="0" fontId="19" fillId="7" borderId="12" xfId="0" applyFont="1" applyFill="1" applyBorder="1" applyAlignment="1">
      <alignment vertical="center" wrapText="1"/>
    </xf>
    <xf numFmtId="0" fontId="19" fillId="7" borderId="28" xfId="0" applyFont="1" applyFill="1" applyBorder="1" applyAlignment="1">
      <alignment vertical="center" wrapText="1"/>
    </xf>
    <xf numFmtId="0" fontId="19" fillId="7" borderId="10" xfId="0" applyFont="1" applyFill="1" applyBorder="1" applyAlignment="1">
      <alignment vertical="center" wrapText="1"/>
    </xf>
    <xf numFmtId="0" fontId="16" fillId="7" borderId="19" xfId="0" applyFont="1" applyFill="1" applyBorder="1" applyAlignment="1">
      <alignment vertical="center" wrapText="1"/>
    </xf>
    <xf numFmtId="0" fontId="9" fillId="7" borderId="0" xfId="0" applyFont="1" applyFill="1" applyBorder="1" applyAlignment="1">
      <alignment horizontal="left" vertical="top"/>
    </xf>
  </cellXfs>
  <cellStyles count="6">
    <cellStyle name="Encabezado 1" xfId="2"/>
    <cellStyle name="Moneda" xfId="1" builtinId="4"/>
    <cellStyle name="Moneda_AUTORIZACION Y NOTA DE PEDIDO" xfId="3"/>
    <cellStyle name="Neutral 1" xfId="4"/>
    <cellStyle name="Normal" xfId="0" builtinId="0"/>
    <cellStyle name="Normal 2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olicia/Desktop/2021-nota%20pedido/31-%20REPUESTOS%20Y%20ACCESORIOS/NPyE%20-APG%20-%20SAF%2007%20-REPUESTOS%20Y%20ACCESORI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>
        <row r="6">
          <cell r="C6">
            <v>2021</v>
          </cell>
        </row>
      </sheetData>
      <sheetData sheetId="1">
        <row r="8">
          <cell r="D8" t="str">
            <v>Adquisición de Repuestos de Automotor destinados a División Transporte (D-4)- Policia de Catamarca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CO32"/>
  <sheetViews>
    <sheetView tabSelected="1" topLeftCell="A7" zoomScaleSheetLayoutView="85" workbookViewId="0">
      <selection activeCell="D38" sqref="D38"/>
    </sheetView>
  </sheetViews>
  <sheetFormatPr baseColWidth="10" defaultColWidth="11" defaultRowHeight="13.2" x14ac:dyDescent="0.25"/>
  <cols>
    <col min="1" max="1" width="4.5546875" style="1" customWidth="1"/>
    <col min="2" max="2" width="17.109375" style="1" customWidth="1"/>
    <col min="3" max="3" width="20.6640625" style="1" customWidth="1"/>
    <col min="4" max="4" width="8.33203125" style="1" customWidth="1"/>
    <col min="5" max="5" width="75" style="1" customWidth="1"/>
    <col min="6" max="6" width="11.109375" style="1" customWidth="1"/>
    <col min="7" max="7" width="11.33203125" style="1" bestFit="1" customWidth="1"/>
    <col min="8" max="8" width="15.109375" style="1" customWidth="1"/>
    <col min="9" max="9" width="18.5546875" style="1" customWidth="1"/>
    <col min="10" max="10" width="17.44140625" style="1" customWidth="1"/>
    <col min="11" max="11" width="18.44140625" style="1" customWidth="1"/>
    <col min="12" max="16384" width="11" style="1"/>
  </cols>
  <sheetData>
    <row r="2" spans="1:11" ht="27.6" x14ac:dyDescent="0.45">
      <c r="B2" s="103" t="s">
        <v>0</v>
      </c>
      <c r="C2" s="103"/>
      <c r="D2" s="103"/>
      <c r="E2" s="103"/>
      <c r="F2" s="103"/>
      <c r="G2" s="103"/>
      <c r="H2" s="103"/>
    </row>
    <row r="4" spans="1:11" ht="18" customHeight="1" x14ac:dyDescent="0.25">
      <c r="A4" s="104" t="s">
        <v>1</v>
      </c>
      <c r="B4" s="104"/>
      <c r="C4" s="105" t="s">
        <v>89</v>
      </c>
      <c r="D4" s="105"/>
      <c r="E4" s="105"/>
      <c r="F4" s="2"/>
      <c r="G4" s="3"/>
      <c r="H4" s="2"/>
    </row>
    <row r="5" spans="1:11" ht="18" customHeight="1" x14ac:dyDescent="0.25">
      <c r="A5" s="104" t="s">
        <v>2</v>
      </c>
      <c r="B5" s="104"/>
      <c r="C5" s="105">
        <v>31</v>
      </c>
      <c r="D5" s="105"/>
      <c r="E5" s="105"/>
      <c r="F5" s="2"/>
      <c r="G5" s="3"/>
      <c r="H5" s="2"/>
    </row>
    <row r="6" spans="1:11" ht="16.5" customHeight="1" x14ac:dyDescent="0.25">
      <c r="A6" s="104" t="s">
        <v>3</v>
      </c>
      <c r="B6" s="104"/>
      <c r="C6" s="4">
        <v>2022</v>
      </c>
      <c r="D6" s="5"/>
      <c r="E6" s="5"/>
      <c r="F6" s="2"/>
      <c r="G6" s="3"/>
      <c r="H6" s="2"/>
    </row>
    <row r="7" spans="1:11" ht="16.5" customHeight="1" x14ac:dyDescent="0.25">
      <c r="A7" s="104" t="s">
        <v>4</v>
      </c>
      <c r="B7" s="104"/>
      <c r="C7" s="4">
        <v>4</v>
      </c>
      <c r="D7" s="5"/>
      <c r="E7" s="5"/>
      <c r="F7" s="2"/>
      <c r="G7" s="3"/>
      <c r="H7" s="2"/>
    </row>
    <row r="8" spans="1:11" x14ac:dyDescent="0.25">
      <c r="B8" s="2"/>
      <c r="C8" s="3"/>
      <c r="D8" s="2"/>
      <c r="E8" s="2"/>
      <c r="F8" s="2"/>
      <c r="G8" s="3"/>
      <c r="H8" s="2"/>
    </row>
    <row r="9" spans="1:11" ht="37.799999999999997" x14ac:dyDescent="0.25">
      <c r="A9" s="70" t="s">
        <v>5</v>
      </c>
      <c r="B9" s="70" t="s">
        <v>6</v>
      </c>
      <c r="C9" s="70" t="s">
        <v>7</v>
      </c>
      <c r="D9" s="70" t="s">
        <v>8</v>
      </c>
      <c r="E9" s="70" t="s">
        <v>9</v>
      </c>
      <c r="F9" s="70" t="s">
        <v>10</v>
      </c>
      <c r="G9" s="70" t="s">
        <v>11</v>
      </c>
      <c r="H9" s="70" t="s">
        <v>12</v>
      </c>
      <c r="I9" s="70" t="s">
        <v>13</v>
      </c>
      <c r="J9" s="91"/>
    </row>
    <row r="10" spans="1:11" ht="35.25" customHeight="1" x14ac:dyDescent="0.25">
      <c r="A10" s="71">
        <v>1</v>
      </c>
      <c r="B10" s="97" t="s">
        <v>69</v>
      </c>
      <c r="C10" s="72" t="s">
        <v>68</v>
      </c>
      <c r="D10" s="66">
        <v>244</v>
      </c>
      <c r="E10" s="90" t="s">
        <v>67</v>
      </c>
      <c r="F10" s="33" t="s">
        <v>14</v>
      </c>
      <c r="G10" s="35">
        <v>12</v>
      </c>
      <c r="H10" s="87">
        <v>52000</v>
      </c>
      <c r="I10" s="73">
        <f>H10*G10</f>
        <v>624000</v>
      </c>
      <c r="J10" s="91"/>
    </row>
    <row r="11" spans="1:11" ht="36.75" customHeight="1" x14ac:dyDescent="0.25">
      <c r="A11" s="71">
        <v>2</v>
      </c>
      <c r="B11" s="97" t="s">
        <v>71</v>
      </c>
      <c r="C11" s="72" t="s">
        <v>68</v>
      </c>
      <c r="D11" s="66">
        <v>244</v>
      </c>
      <c r="E11" s="92" t="s">
        <v>70</v>
      </c>
      <c r="F11" s="33" t="s">
        <v>14</v>
      </c>
      <c r="G11" s="35">
        <v>8</v>
      </c>
      <c r="H11" s="34">
        <v>100000</v>
      </c>
      <c r="I11" s="73">
        <f t="shared" ref="I11:I17" si="0">H11*G11</f>
        <v>800000</v>
      </c>
      <c r="J11" s="95"/>
      <c r="K11" s="96"/>
    </row>
    <row r="12" spans="1:11" ht="29.25" customHeight="1" x14ac:dyDescent="0.25">
      <c r="A12" s="71">
        <v>3</v>
      </c>
      <c r="B12" s="97" t="s">
        <v>73</v>
      </c>
      <c r="C12" s="72" t="s">
        <v>68</v>
      </c>
      <c r="D12" s="66">
        <v>244</v>
      </c>
      <c r="E12" s="90" t="s">
        <v>72</v>
      </c>
      <c r="F12" s="33" t="s">
        <v>14</v>
      </c>
      <c r="G12" s="35">
        <v>28</v>
      </c>
      <c r="H12" s="34">
        <v>170000</v>
      </c>
      <c r="I12" s="73">
        <f t="shared" si="0"/>
        <v>4760000</v>
      </c>
      <c r="J12" s="95"/>
      <c r="K12" s="96"/>
    </row>
    <row r="13" spans="1:11" ht="42" customHeight="1" x14ac:dyDescent="0.25">
      <c r="A13" s="71">
        <v>4</v>
      </c>
      <c r="B13" s="97" t="s">
        <v>75</v>
      </c>
      <c r="C13" s="72" t="s">
        <v>68</v>
      </c>
      <c r="D13" s="66">
        <v>244</v>
      </c>
      <c r="E13" s="92" t="s">
        <v>74</v>
      </c>
      <c r="F13" s="33" t="s">
        <v>14</v>
      </c>
      <c r="G13" s="35">
        <v>20</v>
      </c>
      <c r="H13" s="34">
        <v>165000</v>
      </c>
      <c r="I13" s="73">
        <f t="shared" si="0"/>
        <v>3300000</v>
      </c>
      <c r="J13" s="91"/>
    </row>
    <row r="14" spans="1:11" s="65" customFormat="1" ht="40.5" customHeight="1" x14ac:dyDescent="0.25">
      <c r="A14" s="71">
        <v>5</v>
      </c>
      <c r="B14" s="97" t="s">
        <v>77</v>
      </c>
      <c r="C14" s="72" t="s">
        <v>68</v>
      </c>
      <c r="D14" s="66">
        <v>244</v>
      </c>
      <c r="E14" s="92" t="s">
        <v>76</v>
      </c>
      <c r="F14" s="33" t="s">
        <v>14</v>
      </c>
      <c r="G14" s="67">
        <v>16</v>
      </c>
      <c r="H14" s="68">
        <v>400000</v>
      </c>
      <c r="I14" s="73">
        <f t="shared" si="0"/>
        <v>6400000</v>
      </c>
      <c r="J14" s="93"/>
    </row>
    <row r="15" spans="1:11" s="65" customFormat="1" ht="39.75" customHeight="1" x14ac:dyDescent="0.25">
      <c r="A15" s="71">
        <v>6</v>
      </c>
      <c r="B15" s="97" t="s">
        <v>79</v>
      </c>
      <c r="C15" s="72" t="s">
        <v>68</v>
      </c>
      <c r="D15" s="66">
        <v>244</v>
      </c>
      <c r="E15" s="92" t="s">
        <v>78</v>
      </c>
      <c r="F15" s="33" t="s">
        <v>14</v>
      </c>
      <c r="G15" s="67">
        <v>22</v>
      </c>
      <c r="H15" s="68">
        <v>250000</v>
      </c>
      <c r="I15" s="73">
        <f t="shared" si="0"/>
        <v>5500000</v>
      </c>
      <c r="J15" s="93"/>
    </row>
    <row r="16" spans="1:11" s="65" customFormat="1" ht="38.25" customHeight="1" x14ac:dyDescent="0.25">
      <c r="A16" s="71">
        <v>7</v>
      </c>
      <c r="B16" s="98" t="s">
        <v>81</v>
      </c>
      <c r="C16" s="72" t="s">
        <v>68</v>
      </c>
      <c r="D16" s="66">
        <v>244</v>
      </c>
      <c r="E16" s="90" t="s">
        <v>80</v>
      </c>
      <c r="F16" s="33" t="s">
        <v>14</v>
      </c>
      <c r="G16" s="67">
        <v>18</v>
      </c>
      <c r="H16" s="68">
        <v>45000</v>
      </c>
      <c r="I16" s="73">
        <f t="shared" si="0"/>
        <v>810000</v>
      </c>
      <c r="J16" s="93"/>
    </row>
    <row r="17" spans="1:93" s="65" customFormat="1" ht="45" customHeight="1" x14ac:dyDescent="0.25">
      <c r="A17" s="71">
        <v>8</v>
      </c>
      <c r="B17" s="97" t="s">
        <v>82</v>
      </c>
      <c r="C17" s="72" t="s">
        <v>68</v>
      </c>
      <c r="D17" s="66">
        <v>244</v>
      </c>
      <c r="E17" s="92" t="s">
        <v>83</v>
      </c>
      <c r="F17" s="33" t="s">
        <v>14</v>
      </c>
      <c r="G17" s="67">
        <v>7</v>
      </c>
      <c r="H17" s="68">
        <v>50000</v>
      </c>
      <c r="I17" s="73">
        <f t="shared" si="0"/>
        <v>350000</v>
      </c>
    </row>
    <row r="18" spans="1:93" s="85" customFormat="1" ht="30.75" customHeight="1" x14ac:dyDescent="0.25">
      <c r="A18" s="94"/>
      <c r="B18" s="27"/>
      <c r="C18" s="27"/>
      <c r="D18" s="27"/>
      <c r="E18" s="27"/>
      <c r="F18" s="27"/>
      <c r="G18" s="27"/>
      <c r="H18" s="27"/>
      <c r="I18" s="89">
        <f>SUM(I10:I17)</f>
        <v>22544000</v>
      </c>
      <c r="J18" s="93"/>
      <c r="K18" s="65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</row>
    <row r="19" spans="1:93" s="84" customFormat="1" ht="30.75" customHeight="1" x14ac:dyDescent="0.25">
      <c r="I19" s="86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</row>
    <row r="20" spans="1:93" ht="12" customHeight="1" x14ac:dyDescent="0.25">
      <c r="B20" s="80" t="s">
        <v>84</v>
      </c>
      <c r="C20" s="81"/>
      <c r="D20" s="81"/>
      <c r="E20" s="82"/>
      <c r="F20" s="81"/>
      <c r="G20" s="81"/>
      <c r="H20" s="81"/>
      <c r="I20" s="83"/>
    </row>
    <row r="21" spans="1:93" ht="21.75" customHeight="1" x14ac:dyDescent="0.25">
      <c r="A21" s="88"/>
      <c r="B21" s="74" t="s">
        <v>15</v>
      </c>
      <c r="C21" s="7"/>
      <c r="D21" s="6"/>
      <c r="E21" s="8"/>
      <c r="F21" s="6"/>
      <c r="G21" s="6"/>
      <c r="H21" s="6"/>
      <c r="I21" s="75"/>
    </row>
    <row r="22" spans="1:93" ht="31.5" customHeight="1" x14ac:dyDescent="0.25">
      <c r="A22" s="6"/>
      <c r="B22" s="74"/>
      <c r="C22" s="108" t="s">
        <v>88</v>
      </c>
      <c r="D22" s="108"/>
      <c r="E22" s="108"/>
      <c r="F22" s="108"/>
      <c r="G22" s="108"/>
      <c r="H22" s="108"/>
      <c r="I22" s="109"/>
    </row>
    <row r="23" spans="1:93" ht="30" customHeight="1" x14ac:dyDescent="0.25">
      <c r="A23" s="6"/>
      <c r="B23" s="74"/>
      <c r="C23" s="106" t="s">
        <v>66</v>
      </c>
      <c r="D23" s="106"/>
      <c r="E23" s="106"/>
      <c r="F23" s="106"/>
      <c r="G23" s="106"/>
      <c r="H23" s="106"/>
      <c r="I23" s="107"/>
    </row>
    <row r="24" spans="1:93" ht="19.5" customHeight="1" x14ac:dyDescent="0.25">
      <c r="A24" s="6"/>
      <c r="B24" s="76"/>
      <c r="C24" s="106" t="s">
        <v>85</v>
      </c>
      <c r="D24" s="106"/>
      <c r="E24" s="106"/>
      <c r="F24" s="106"/>
      <c r="G24" s="106"/>
      <c r="H24" s="106"/>
      <c r="I24" s="107"/>
      <c r="J24" s="79"/>
    </row>
    <row r="25" spans="1:93" x14ac:dyDescent="0.25">
      <c r="A25" s="6"/>
      <c r="B25" s="77" t="s">
        <v>16</v>
      </c>
      <c r="C25" s="7"/>
      <c r="D25" s="6"/>
      <c r="E25" s="8"/>
      <c r="F25" s="6"/>
      <c r="G25" s="6"/>
      <c r="H25" s="6"/>
      <c r="I25" s="75"/>
    </row>
    <row r="26" spans="1:93" ht="19.5" customHeight="1" x14ac:dyDescent="0.25">
      <c r="A26" s="6"/>
      <c r="B26" s="76"/>
      <c r="C26" s="106" t="s">
        <v>86</v>
      </c>
      <c r="D26" s="106"/>
      <c r="E26" s="106"/>
      <c r="F26" s="106"/>
      <c r="G26" s="106"/>
      <c r="H26" s="106"/>
      <c r="I26" s="107"/>
    </row>
    <row r="27" spans="1:93" x14ac:dyDescent="0.25">
      <c r="A27" s="6"/>
      <c r="B27" s="77" t="s">
        <v>17</v>
      </c>
      <c r="C27" s="69"/>
      <c r="D27" s="9"/>
      <c r="E27" s="9"/>
      <c r="F27" s="6"/>
      <c r="G27" s="6"/>
      <c r="H27" s="6"/>
      <c r="I27" s="75"/>
    </row>
    <row r="28" spans="1:93" x14ac:dyDescent="0.25">
      <c r="A28" s="6"/>
      <c r="B28" s="76"/>
      <c r="C28" s="99" t="s">
        <v>87</v>
      </c>
      <c r="D28" s="99"/>
      <c r="E28" s="99"/>
      <c r="F28" s="99"/>
      <c r="G28" s="99"/>
      <c r="H28" s="99"/>
      <c r="I28" s="100"/>
    </row>
    <row r="29" spans="1:93" x14ac:dyDescent="0.25">
      <c r="A29" s="6"/>
      <c r="B29" s="77" t="s">
        <v>18</v>
      </c>
      <c r="C29" s="7"/>
      <c r="D29" s="6"/>
      <c r="E29" s="6"/>
      <c r="F29" s="6"/>
      <c r="G29" s="6"/>
      <c r="H29" s="6"/>
      <c r="I29" s="75"/>
    </row>
    <row r="30" spans="1:93" x14ac:dyDescent="0.25">
      <c r="A30" s="6"/>
      <c r="B30" s="78"/>
      <c r="C30" s="101"/>
      <c r="D30" s="101"/>
      <c r="E30" s="101"/>
      <c r="F30" s="101"/>
      <c r="G30" s="101"/>
      <c r="H30" s="101"/>
      <c r="I30" s="102"/>
    </row>
    <row r="31" spans="1:93" x14ac:dyDescent="0.25">
      <c r="A31" s="6"/>
    </row>
    <row r="32" spans="1:93" x14ac:dyDescent="0.25">
      <c r="A32" s="6"/>
    </row>
  </sheetData>
  <mergeCells count="13">
    <mergeCell ref="C28:I28"/>
    <mergeCell ref="C30:I30"/>
    <mergeCell ref="B2:H2"/>
    <mergeCell ref="A4:B4"/>
    <mergeCell ref="C4:E4"/>
    <mergeCell ref="A5:B5"/>
    <mergeCell ref="C5:E5"/>
    <mergeCell ref="A6:B6"/>
    <mergeCell ref="A7:B7"/>
    <mergeCell ref="C24:I24"/>
    <mergeCell ref="C26:I26"/>
    <mergeCell ref="C22:I22"/>
    <mergeCell ref="C23:I23"/>
  </mergeCells>
  <pageMargins left="0.7" right="0.7" top="0.75" bottom="0.75" header="0.51180555555555496" footer="0.51180555555555496"/>
  <pageSetup paperSize="190" scale="11" firstPageNumber="0" fitToHeight="0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30"/>
  <sheetViews>
    <sheetView topLeftCell="A22" zoomScale="85" zoomScaleNormal="85" workbookViewId="0">
      <selection activeCell="E36" sqref="E36"/>
    </sheetView>
  </sheetViews>
  <sheetFormatPr baseColWidth="10" defaultColWidth="9.109375" defaultRowHeight="13.2" x14ac:dyDescent="0.25"/>
  <cols>
    <col min="1" max="1" width="5.5546875" style="27" customWidth="1"/>
    <col min="2" max="2" width="15.109375" style="27" customWidth="1"/>
    <col min="3" max="3" width="14.109375" style="27" customWidth="1"/>
    <col min="4" max="4" width="26" style="27" customWidth="1"/>
    <col min="5" max="5" width="8" style="27" customWidth="1"/>
    <col min="6" max="6" width="7.88671875" style="27" customWidth="1"/>
    <col min="7" max="7" width="45.6640625" style="27" customWidth="1"/>
    <col min="8" max="8" width="9.33203125" style="27" customWidth="1"/>
    <col min="9" max="9" width="15.5546875" style="27" customWidth="1"/>
    <col min="10" max="10" width="14.6640625" style="27" customWidth="1"/>
    <col min="11" max="11" width="15.5546875" style="27" customWidth="1"/>
    <col min="12" max="14" width="5.88671875" style="27" customWidth="1"/>
    <col min="15" max="15" width="12.5546875" style="27" customWidth="1"/>
    <col min="16" max="1024" width="9.109375" style="27"/>
    <col min="1025" max="16384" width="9.109375" style="1"/>
  </cols>
  <sheetData>
    <row r="1" spans="1:11" ht="18" customHeight="1" x14ac:dyDescent="0.25">
      <c r="A1" s="110" t="s">
        <v>19</v>
      </c>
      <c r="B1" s="110"/>
      <c r="C1" s="110"/>
      <c r="D1" s="110"/>
      <c r="E1" s="110"/>
      <c r="F1" s="110"/>
      <c r="G1" s="110"/>
      <c r="H1" s="110"/>
      <c r="I1" s="110"/>
      <c r="J1" s="26" t="s">
        <v>20</v>
      </c>
      <c r="K1" s="21" t="s">
        <v>21</v>
      </c>
    </row>
    <row r="2" spans="1:11" ht="18.75" customHeight="1" thickBot="1" x14ac:dyDescent="0.3">
      <c r="A2" s="28"/>
      <c r="B2" s="28"/>
      <c r="C2" s="28"/>
      <c r="D2" s="29"/>
      <c r="E2" s="29"/>
      <c r="F2" s="29"/>
      <c r="G2" s="29"/>
      <c r="H2" s="29"/>
      <c r="I2" s="29"/>
      <c r="J2" s="29"/>
      <c r="K2" s="29"/>
    </row>
    <row r="3" spans="1:11" ht="18.75" customHeight="1" thickBot="1" x14ac:dyDescent="0.3">
      <c r="A3" s="111" t="s">
        <v>22</v>
      </c>
      <c r="B3" s="111"/>
      <c r="C3" s="111"/>
      <c r="D3" s="112" t="str">
        <f>'Necesidades Trimestrales'!C4</f>
        <v>65 - MINISTERIO DE AGUA ENERGIA Y MEDIO AMB.</v>
      </c>
      <c r="E3" s="112"/>
      <c r="F3" s="112"/>
      <c r="G3" s="112"/>
      <c r="H3" s="112"/>
      <c r="I3" s="112"/>
      <c r="J3" s="112"/>
      <c r="K3" s="112"/>
    </row>
    <row r="4" spans="1:11" ht="18.75" customHeight="1" thickBot="1" x14ac:dyDescent="0.3">
      <c r="A4" s="113" t="s">
        <v>23</v>
      </c>
      <c r="B4" s="113"/>
      <c r="C4" s="113"/>
      <c r="D4" s="112">
        <f>'Necesidades Trimestrales'!C5</f>
        <v>31</v>
      </c>
      <c r="E4" s="112"/>
      <c r="F4" s="112"/>
      <c r="G4" s="112"/>
      <c r="H4" s="112"/>
      <c r="I4" s="112"/>
      <c r="J4" s="112"/>
      <c r="K4" s="112"/>
    </row>
    <row r="5" spans="1:11" ht="18.75" customHeight="1" thickBot="1" x14ac:dyDescent="0.3">
      <c r="A5" s="113" t="s">
        <v>24</v>
      </c>
      <c r="B5" s="113"/>
      <c r="C5" s="113"/>
      <c r="D5" s="112" t="s">
        <v>25</v>
      </c>
      <c r="E5" s="112"/>
      <c r="F5" s="112"/>
      <c r="G5" s="112"/>
      <c r="H5" s="112"/>
      <c r="I5" s="112"/>
      <c r="J5" s="112"/>
      <c r="K5" s="112"/>
    </row>
    <row r="6" spans="1:11" ht="16.5" customHeight="1" thickBot="1" x14ac:dyDescent="0.3">
      <c r="A6" s="111" t="s">
        <v>26</v>
      </c>
      <c r="B6" s="111"/>
      <c r="C6" s="111"/>
      <c r="D6" s="112" t="s">
        <v>27</v>
      </c>
      <c r="E6" s="112"/>
      <c r="F6" s="112"/>
      <c r="G6" s="112"/>
      <c r="H6" s="112"/>
      <c r="I6" s="112"/>
      <c r="J6" s="112"/>
      <c r="K6" s="112"/>
    </row>
    <row r="7" spans="1:11" ht="16.5" customHeight="1" x14ac:dyDescent="0.25">
      <c r="A7" s="113" t="s">
        <v>28</v>
      </c>
      <c r="B7" s="113"/>
      <c r="C7" s="113"/>
      <c r="D7" s="112" t="str">
        <f>'Necesidades Trimestrales'!C7 &amp; "° Trimestre - Año " &amp; 'Necesidades Trimestrales'!C6</f>
        <v>4° Trimestre - Año 2022</v>
      </c>
      <c r="E7" s="112"/>
      <c r="F7" s="112"/>
      <c r="G7" s="112"/>
      <c r="H7" s="112"/>
      <c r="I7" s="112"/>
      <c r="J7" s="112"/>
      <c r="K7" s="112"/>
    </row>
    <row r="8" spans="1:11" ht="16.5" customHeight="1" x14ac:dyDescent="0.25">
      <c r="A8" s="114" t="s">
        <v>29</v>
      </c>
      <c r="B8" s="114"/>
      <c r="C8" s="114"/>
      <c r="D8" s="115" t="s">
        <v>30</v>
      </c>
      <c r="E8" s="115"/>
      <c r="F8" s="115"/>
      <c r="G8" s="115"/>
      <c r="H8" s="115"/>
      <c r="I8" s="115"/>
      <c r="J8" s="115"/>
      <c r="K8" s="115"/>
    </row>
    <row r="9" spans="1:11" ht="15" x14ac:dyDescent="0.25">
      <c r="A9" s="30"/>
      <c r="B9" s="30"/>
      <c r="C9" s="30"/>
      <c r="D9" s="31"/>
      <c r="E9" s="31"/>
      <c r="F9" s="31"/>
      <c r="G9" s="31"/>
      <c r="H9" s="31"/>
      <c r="I9" s="31"/>
      <c r="J9" s="31"/>
      <c r="K9" s="31"/>
    </row>
    <row r="10" spans="1:11" ht="18.75" customHeight="1" thickBot="1" x14ac:dyDescent="0.3">
      <c r="A10" s="116" t="s">
        <v>31</v>
      </c>
      <c r="B10" s="118" t="s">
        <v>32</v>
      </c>
      <c r="C10" s="118" t="s">
        <v>33</v>
      </c>
      <c r="D10" s="118"/>
      <c r="E10" s="118"/>
      <c r="F10" s="118"/>
      <c r="G10" s="118"/>
      <c r="H10" s="118" t="s">
        <v>34</v>
      </c>
      <c r="I10" s="118" t="s">
        <v>35</v>
      </c>
      <c r="J10" s="118" t="s">
        <v>36</v>
      </c>
      <c r="K10" s="120" t="s">
        <v>37</v>
      </c>
    </row>
    <row r="11" spans="1:11" ht="24" customHeight="1" x14ac:dyDescent="0.25">
      <c r="A11" s="117"/>
      <c r="B11" s="119"/>
      <c r="C11" s="119"/>
      <c r="D11" s="119"/>
      <c r="E11" s="119"/>
      <c r="F11" s="119"/>
      <c r="G11" s="119"/>
      <c r="H11" s="119"/>
      <c r="I11" s="119"/>
      <c r="J11" s="119"/>
      <c r="K11" s="121"/>
    </row>
    <row r="12" spans="1:11" ht="20.25" customHeight="1" x14ac:dyDescent="0.25">
      <c r="A12" s="32">
        <v>1</v>
      </c>
      <c r="B12" s="22" t="str">
        <f>'Necesidades Trimestrales'!B10</f>
        <v>2.4.4-6818.88</v>
      </c>
      <c r="C12" s="122" t="str">
        <f>'Necesidades Trimestrales'!E10</f>
        <v>NEUMATICOS; VEHICULO: AUTOMOVIL, CONSTRUCCION: RADIAL, ARMADO: S/CAMARA, MEDIDA: 175/65R14</v>
      </c>
      <c r="D12" s="122"/>
      <c r="E12" s="122"/>
      <c r="F12" s="122"/>
      <c r="G12" s="122"/>
      <c r="H12" s="23" t="s">
        <v>38</v>
      </c>
      <c r="I12" s="33" t="s">
        <v>14</v>
      </c>
      <c r="J12" s="34">
        <f>'Necesidades Trimestrales'!H10</f>
        <v>52000</v>
      </c>
      <c r="K12" s="35">
        <f>'Necesidades Trimestrales'!G10</f>
        <v>12</v>
      </c>
    </row>
    <row r="13" spans="1:11" ht="20.25" customHeight="1" x14ac:dyDescent="0.25">
      <c r="A13" s="32">
        <v>2</v>
      </c>
      <c r="B13" s="22" t="str">
        <f>'Necesidades Trimestrales'!B11</f>
        <v>2.4.4-6818.48</v>
      </c>
      <c r="C13" s="122" t="str">
        <f>'Necesidades Trimestrales'!E11</f>
        <v>NEUMATICOS; VEHICULO: CAMIONETA, CONSTRUCCION: RADIAL, MEDIDA: 235/75R15, ARMADO: S/CAMARA</v>
      </c>
      <c r="D13" s="122"/>
      <c r="E13" s="122"/>
      <c r="F13" s="122"/>
      <c r="G13" s="122"/>
      <c r="H13" s="23" t="s">
        <v>38</v>
      </c>
      <c r="I13" s="33" t="s">
        <v>14</v>
      </c>
      <c r="J13" s="34">
        <f>'Necesidades Trimestrales'!H11</f>
        <v>100000</v>
      </c>
      <c r="K13" s="35">
        <f>'Necesidades Trimestrales'!G11</f>
        <v>8</v>
      </c>
    </row>
    <row r="14" spans="1:11" ht="20.25" customHeight="1" x14ac:dyDescent="0.25">
      <c r="A14" s="32">
        <v>3</v>
      </c>
      <c r="B14" s="22" t="str">
        <f>'Necesidades Trimestrales'!B12</f>
        <v>2.4.4-6818.741</v>
      </c>
      <c r="C14" s="122" t="str">
        <f>'Necesidades Trimestrales'!E12</f>
        <v>NEUMATICOS; VEHICULO: CAMION, CONSTRUCCION: RADIAL, ARMADO: S/CAMARA, MEDIDA: 265/70R16</v>
      </c>
      <c r="D14" s="122"/>
      <c r="E14" s="122"/>
      <c r="F14" s="122"/>
      <c r="G14" s="122"/>
      <c r="H14" s="23" t="s">
        <v>38</v>
      </c>
      <c r="I14" s="33" t="s">
        <v>14</v>
      </c>
      <c r="J14" s="34">
        <f>'Necesidades Trimestrales'!H12</f>
        <v>170000</v>
      </c>
      <c r="K14" s="35">
        <f>'Necesidades Trimestrales'!G12</f>
        <v>28</v>
      </c>
    </row>
    <row r="15" spans="1:11" ht="32.25" customHeight="1" x14ac:dyDescent="0.25">
      <c r="A15" s="32">
        <v>4</v>
      </c>
      <c r="B15" s="22" t="e">
        <f>'Necesidades Trimestrales'!#REF!</f>
        <v>#REF!</v>
      </c>
      <c r="C15" s="122" t="e">
        <f>'Necesidades Trimestrales'!#REF!</f>
        <v>#REF!</v>
      </c>
      <c r="D15" s="122"/>
      <c r="E15" s="122"/>
      <c r="F15" s="122"/>
      <c r="G15" s="122"/>
      <c r="H15" s="23" t="s">
        <v>38</v>
      </c>
      <c r="I15" s="33" t="s">
        <v>14</v>
      </c>
      <c r="J15" s="34" t="e">
        <f>'Necesidades Trimestrales'!#REF!</f>
        <v>#REF!</v>
      </c>
      <c r="K15" s="36" t="e">
        <f>'Necesidades Trimestrales'!#REF!</f>
        <v>#REF!</v>
      </c>
    </row>
    <row r="16" spans="1:11" ht="19.5" customHeight="1" x14ac:dyDescent="0.25">
      <c r="A16" s="32">
        <v>5</v>
      </c>
      <c r="B16" s="22" t="e">
        <f>'Necesidades Trimestrales'!#REF!</f>
        <v>#REF!</v>
      </c>
      <c r="C16" s="122" t="e">
        <f>'Necesidades Trimestrales'!#REF!</f>
        <v>#REF!</v>
      </c>
      <c r="D16" s="122"/>
      <c r="E16" s="122"/>
      <c r="F16" s="122"/>
      <c r="G16" s="122"/>
      <c r="H16" s="23" t="s">
        <v>38</v>
      </c>
      <c r="I16" s="33" t="s">
        <v>14</v>
      </c>
      <c r="J16" s="34" t="e">
        <f>'Necesidades Trimestrales'!#REF!</f>
        <v>#REF!</v>
      </c>
      <c r="K16" s="36" t="e">
        <f>'Necesidades Trimestrales'!#REF!</f>
        <v>#REF!</v>
      </c>
    </row>
    <row r="17" spans="1:11" ht="32.25" customHeight="1" x14ac:dyDescent="0.25">
      <c r="A17" s="32">
        <v>6</v>
      </c>
      <c r="B17" s="22" t="e">
        <f>'Necesidades Trimestrales'!#REF!</f>
        <v>#REF!</v>
      </c>
      <c r="C17" s="122" t="e">
        <f>'Necesidades Trimestrales'!#REF!</f>
        <v>#REF!</v>
      </c>
      <c r="D17" s="122"/>
      <c r="E17" s="122"/>
      <c r="F17" s="122"/>
      <c r="G17" s="122"/>
      <c r="H17" s="23" t="s">
        <v>38</v>
      </c>
      <c r="I17" s="33" t="s">
        <v>14</v>
      </c>
      <c r="J17" s="34" t="e">
        <f>'Necesidades Trimestrales'!#REF!</f>
        <v>#REF!</v>
      </c>
      <c r="K17" s="35" t="e">
        <f>'Necesidades Trimestrales'!#REF!</f>
        <v>#REF!</v>
      </c>
    </row>
    <row r="18" spans="1:11" ht="32.25" customHeight="1" x14ac:dyDescent="0.25">
      <c r="A18" s="32">
        <v>7</v>
      </c>
      <c r="B18" s="22" t="str">
        <f>'Necesidades Trimestrales'!B13</f>
        <v>2.4.4-6818.988</v>
      </c>
      <c r="C18" s="122" t="str">
        <f>'Necesidades Trimestrales'!E13</f>
        <v>NEUMATICOS; VEHICULO: CAMIONETA, CONSTRUCCION: RADIAL, ARMADO: S/CAMARA, MEDIDA: 265/65 R17</v>
      </c>
      <c r="D18" s="122"/>
      <c r="E18" s="122"/>
      <c r="F18" s="122"/>
      <c r="G18" s="122"/>
      <c r="H18" s="23" t="s">
        <v>38</v>
      </c>
      <c r="I18" s="33" t="s">
        <v>14</v>
      </c>
      <c r="J18" s="34">
        <f>'Necesidades Trimestrales'!H13</f>
        <v>165000</v>
      </c>
      <c r="K18" s="35">
        <f>'Necesidades Trimestrales'!G13</f>
        <v>20</v>
      </c>
    </row>
    <row r="19" spans="1:11" ht="20.25" customHeight="1" x14ac:dyDescent="0.25">
      <c r="A19" s="32">
        <v>8</v>
      </c>
      <c r="B19" s="22" t="e">
        <f>'Necesidades Trimestrales'!#REF!</f>
        <v>#REF!</v>
      </c>
      <c r="C19" s="122" t="e">
        <f>'Necesidades Trimestrales'!#REF!</f>
        <v>#REF!</v>
      </c>
      <c r="D19" s="122"/>
      <c r="E19" s="122"/>
      <c r="F19" s="122"/>
      <c r="G19" s="122"/>
      <c r="H19" s="23" t="s">
        <v>38</v>
      </c>
      <c r="I19" s="33" t="s">
        <v>14</v>
      </c>
      <c r="J19" s="34" t="e">
        <f>'Necesidades Trimestrales'!#REF!</f>
        <v>#REF!</v>
      </c>
      <c r="K19" s="35" t="e">
        <f>'Necesidades Trimestrales'!#REF!</f>
        <v>#REF!</v>
      </c>
    </row>
    <row r="20" spans="1:11" ht="20.25" customHeight="1" x14ac:dyDescent="0.25">
      <c r="A20" s="32">
        <v>9</v>
      </c>
      <c r="B20" s="22" t="str">
        <f>'Necesidades Trimestrales'!B14</f>
        <v>2.4.4-6818.412</v>
      </c>
      <c r="C20" s="122" t="str">
        <f>'Necesidades Trimestrales'!E14</f>
        <v>NEUMATICOS; VEHICULO: CAMION, CONSTRUCCION: RADIAL, ARMADO: S/CAMARA, MEDIDA: 275/80R22.5</v>
      </c>
      <c r="D20" s="122"/>
      <c r="E20" s="122"/>
      <c r="F20" s="122"/>
      <c r="G20" s="122"/>
      <c r="H20" s="23" t="s">
        <v>38</v>
      </c>
      <c r="I20" s="33" t="s">
        <v>14</v>
      </c>
      <c r="J20" s="34">
        <f>'Necesidades Trimestrales'!H14</f>
        <v>400000</v>
      </c>
      <c r="K20" s="35">
        <f>'Necesidades Trimestrales'!G14</f>
        <v>16</v>
      </c>
    </row>
    <row r="21" spans="1:11" ht="20.25" customHeight="1" x14ac:dyDescent="0.25">
      <c r="A21" s="32">
        <v>10</v>
      </c>
      <c r="B21" s="22" t="str">
        <f>'Necesidades Trimestrales'!B15</f>
        <v>2.4.4-6818.193</v>
      </c>
      <c r="C21" s="122" t="str">
        <f>'Necesidades Trimestrales'!E15</f>
        <v>NEUMATICOS; VEHICULO: OMNIBUS, CONSTRUCCION: RADIAL, ARMADO: C/CAMARA, MEDIDA: 215/75R17.5</v>
      </c>
      <c r="D21" s="122"/>
      <c r="E21" s="122"/>
      <c r="F21" s="122"/>
      <c r="G21" s="122"/>
      <c r="H21" s="23" t="s">
        <v>38</v>
      </c>
      <c r="I21" s="33" t="s">
        <v>14</v>
      </c>
      <c r="J21" s="34">
        <f>'Necesidades Trimestrales'!H15</f>
        <v>250000</v>
      </c>
      <c r="K21" s="35">
        <f>'Necesidades Trimestrales'!G15</f>
        <v>22</v>
      </c>
    </row>
    <row r="22" spans="1:11" ht="20.25" customHeight="1" x14ac:dyDescent="0.25">
      <c r="A22" s="32">
        <v>11</v>
      </c>
      <c r="B22" s="22" t="str">
        <f>'Necesidades Trimestrales'!B16</f>
        <v>2.4.4-6818.1028</v>
      </c>
      <c r="C22" s="122" t="str">
        <f>'Necesidades Trimestrales'!E16</f>
        <v>NEUMATICOS; VEHICULO: MOTO, CONSTRUCCION: RADIAL, ARMADO: S/CAMARA, MEDIDA: 110/90-17</v>
      </c>
      <c r="D22" s="122"/>
      <c r="E22" s="122"/>
      <c r="F22" s="122"/>
      <c r="G22" s="122"/>
      <c r="H22" s="23" t="s">
        <v>38</v>
      </c>
      <c r="I22" s="33" t="s">
        <v>14</v>
      </c>
      <c r="J22" s="34">
        <f>'Necesidades Trimestrales'!H16</f>
        <v>45000</v>
      </c>
      <c r="K22" s="35">
        <f>'Necesidades Trimestrales'!G16</f>
        <v>18</v>
      </c>
    </row>
    <row r="23" spans="1:11" ht="20.25" customHeight="1" x14ac:dyDescent="0.25">
      <c r="A23" s="32">
        <v>12</v>
      </c>
      <c r="B23" s="22" t="e">
        <f>'Necesidades Trimestrales'!#REF!</f>
        <v>#REF!</v>
      </c>
      <c r="C23" s="122" t="e">
        <f>'Necesidades Trimestrales'!#REF!</f>
        <v>#REF!</v>
      </c>
      <c r="D23" s="122"/>
      <c r="E23" s="122"/>
      <c r="F23" s="122"/>
      <c r="G23" s="122"/>
      <c r="H23" s="23" t="s">
        <v>38</v>
      </c>
      <c r="I23" s="33" t="s">
        <v>14</v>
      </c>
      <c r="J23" s="34" t="e">
        <f>'Necesidades Trimestrales'!#REF!</f>
        <v>#REF!</v>
      </c>
      <c r="K23" s="35" t="e">
        <f>'Necesidades Trimestrales'!#REF!</f>
        <v>#REF!</v>
      </c>
    </row>
    <row r="24" spans="1:11" ht="20.25" customHeight="1" x14ac:dyDescent="0.25">
      <c r="A24" s="32">
        <v>13</v>
      </c>
      <c r="B24" s="22" t="str">
        <f>'Necesidades Trimestrales'!B17</f>
        <v>2.4.4-6818.1027</v>
      </c>
      <c r="C24" s="122" t="str">
        <f>'Necesidades Trimestrales'!E17</f>
        <v>NEUMATICOS; VEHICULO: MOTO, CONSTRUCCION: RADIAL, ARMADO: S/CAMARA, MEDIDA: 90/90-19</v>
      </c>
      <c r="D24" s="122"/>
      <c r="E24" s="122"/>
      <c r="F24" s="122"/>
      <c r="G24" s="122"/>
      <c r="H24" s="23" t="s">
        <v>38</v>
      </c>
      <c r="I24" s="33" t="s">
        <v>14</v>
      </c>
      <c r="J24" s="34">
        <f>'Necesidades Trimestrales'!H17</f>
        <v>50000</v>
      </c>
      <c r="K24" s="35">
        <f>'Necesidades Trimestrales'!G17</f>
        <v>7</v>
      </c>
    </row>
    <row r="25" spans="1:11" ht="20.25" customHeight="1" x14ac:dyDescent="0.25">
      <c r="A25" s="32">
        <v>14</v>
      </c>
      <c r="B25" s="22" t="e">
        <f>'Necesidades Trimestrales'!#REF!</f>
        <v>#REF!</v>
      </c>
      <c r="C25" s="122" t="e">
        <f>'Necesidades Trimestrales'!#REF!</f>
        <v>#REF!</v>
      </c>
      <c r="D25" s="122"/>
      <c r="E25" s="122"/>
      <c r="F25" s="122"/>
      <c r="G25" s="122"/>
      <c r="H25" s="23" t="s">
        <v>38</v>
      </c>
      <c r="I25" s="33" t="s">
        <v>14</v>
      </c>
      <c r="J25" s="34" t="e">
        <f>'Necesidades Trimestrales'!#REF!</f>
        <v>#REF!</v>
      </c>
      <c r="K25" s="35" t="e">
        <f>'Necesidades Trimestrales'!#REF!</f>
        <v>#REF!</v>
      </c>
    </row>
    <row r="26" spans="1:11" ht="20.25" customHeight="1" x14ac:dyDescent="0.25">
      <c r="A26" s="32">
        <v>15</v>
      </c>
      <c r="B26" s="22" t="e">
        <f>'Necesidades Trimestrales'!#REF!</f>
        <v>#REF!</v>
      </c>
      <c r="C26" s="122" t="e">
        <f>'Necesidades Trimestrales'!#REF!</f>
        <v>#REF!</v>
      </c>
      <c r="D26" s="122"/>
      <c r="E26" s="122"/>
      <c r="F26" s="122"/>
      <c r="G26" s="122"/>
      <c r="H26" s="23" t="s">
        <v>38</v>
      </c>
      <c r="I26" s="33" t="s">
        <v>14</v>
      </c>
      <c r="J26" s="34" t="e">
        <f>'Necesidades Trimestrales'!#REF!</f>
        <v>#REF!</v>
      </c>
      <c r="K26" s="35" t="e">
        <f>'Necesidades Trimestrales'!#REF!</f>
        <v>#REF!</v>
      </c>
    </row>
    <row r="27" spans="1:11" ht="20.25" customHeight="1" x14ac:dyDescent="0.25">
      <c r="A27" s="32">
        <v>16</v>
      </c>
      <c r="B27" s="22" t="e">
        <f>'Necesidades Trimestrales'!#REF!</f>
        <v>#REF!</v>
      </c>
      <c r="C27" s="122" t="e">
        <f>'Necesidades Trimestrales'!#REF!</f>
        <v>#REF!</v>
      </c>
      <c r="D27" s="122"/>
      <c r="E27" s="122"/>
      <c r="F27" s="122"/>
      <c r="G27" s="122"/>
      <c r="H27" s="23" t="s">
        <v>38</v>
      </c>
      <c r="I27" s="33" t="s">
        <v>14</v>
      </c>
      <c r="J27" s="34" t="e">
        <f>'Necesidades Trimestrales'!#REF!</f>
        <v>#REF!</v>
      </c>
      <c r="K27" s="35" t="e">
        <f>'Necesidades Trimestrales'!#REF!</f>
        <v>#REF!</v>
      </c>
    </row>
    <row r="28" spans="1:11" ht="20.25" customHeight="1" x14ac:dyDescent="0.25">
      <c r="A28" s="32">
        <v>17</v>
      </c>
      <c r="B28" s="22" t="e">
        <f>'Necesidades Trimestrales'!#REF!</f>
        <v>#REF!</v>
      </c>
      <c r="C28" s="122" t="e">
        <f>'Necesidades Trimestrales'!#REF!</f>
        <v>#REF!</v>
      </c>
      <c r="D28" s="122"/>
      <c r="E28" s="122"/>
      <c r="F28" s="122"/>
      <c r="G28" s="122"/>
      <c r="H28" s="23" t="s">
        <v>38</v>
      </c>
      <c r="I28" s="33" t="s">
        <v>14</v>
      </c>
      <c r="J28" s="34" t="e">
        <f>'Necesidades Trimestrales'!#REF!</f>
        <v>#REF!</v>
      </c>
      <c r="K28" s="36" t="e">
        <f>'Necesidades Trimestrales'!#REF!</f>
        <v>#REF!</v>
      </c>
    </row>
    <row r="29" spans="1:11" ht="20.25" customHeight="1" thickBot="1" x14ac:dyDescent="0.3">
      <c r="A29" s="37">
        <v>18</v>
      </c>
      <c r="B29" s="24" t="e">
        <f>'Necesidades Trimestrales'!#REF!</f>
        <v>#REF!</v>
      </c>
      <c r="C29" s="123" t="e">
        <f>'Necesidades Trimestrales'!#REF!</f>
        <v>#REF!</v>
      </c>
      <c r="D29" s="123"/>
      <c r="E29" s="123"/>
      <c r="F29" s="123"/>
      <c r="G29" s="123"/>
      <c r="H29" s="25" t="s">
        <v>38</v>
      </c>
      <c r="I29" s="38" t="s">
        <v>14</v>
      </c>
      <c r="J29" s="39" t="e">
        <f>'Necesidades Trimestrales'!#REF!</f>
        <v>#REF!</v>
      </c>
      <c r="K29" s="40" t="e">
        <f>'Necesidades Trimestrales'!#REF!</f>
        <v>#REF!</v>
      </c>
    </row>
    <row r="30" spans="1:11" ht="20.25" customHeight="1" thickBot="1" x14ac:dyDescent="0.3">
      <c r="A30" s="125" t="s">
        <v>39</v>
      </c>
      <c r="B30" s="126"/>
      <c r="C30" s="126"/>
      <c r="D30" s="127" t="s">
        <v>40</v>
      </c>
      <c r="E30" s="127"/>
      <c r="F30" s="127"/>
      <c r="G30" s="127"/>
      <c r="H30" s="127"/>
      <c r="I30" s="128"/>
      <c r="J30" s="124" t="e">
        <f>SUMPRODUCT(J12:J29,K12:K29)</f>
        <v>#REF!</v>
      </c>
      <c r="K30" s="124"/>
    </row>
  </sheetData>
  <mergeCells count="41">
    <mergeCell ref="C24:G24"/>
    <mergeCell ref="C25:G25"/>
    <mergeCell ref="J30:K30"/>
    <mergeCell ref="A30:C30"/>
    <mergeCell ref="D30:I30"/>
    <mergeCell ref="C12:G12"/>
    <mergeCell ref="C26:G26"/>
    <mergeCell ref="C27:G27"/>
    <mergeCell ref="C28:G28"/>
    <mergeCell ref="C29:G29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"/>
  <sheetViews>
    <sheetView topLeftCell="A7" zoomScale="106" zoomScaleNormal="106" workbookViewId="0">
      <selection activeCell="A16" sqref="A16:P16"/>
    </sheetView>
  </sheetViews>
  <sheetFormatPr baseColWidth="10" defaultColWidth="11" defaultRowHeight="13.2" x14ac:dyDescent="0.25"/>
  <cols>
    <col min="1" max="6" width="4.44140625" style="44" customWidth="1"/>
    <col min="7" max="7" width="4.44140625" style="64" customWidth="1"/>
    <col min="8" max="14" width="4.44140625" style="44" customWidth="1"/>
    <col min="15" max="16" width="14.88671875" style="44" customWidth="1"/>
    <col min="17" max="17" width="14.6640625" style="44" customWidth="1"/>
    <col min="18" max="16384" width="11" style="44"/>
  </cols>
  <sheetData>
    <row r="1" spans="1:17" ht="15.75" customHeight="1" thickBot="1" x14ac:dyDescent="0.3">
      <c r="A1" s="129" t="s">
        <v>3</v>
      </c>
      <c r="B1" s="129"/>
      <c r="C1" s="129"/>
      <c r="D1" s="130">
        <f>'[1]Necesidades Trimestrales'!C6</f>
        <v>2021</v>
      </c>
      <c r="E1" s="130"/>
      <c r="F1" s="41"/>
      <c r="G1" s="41"/>
      <c r="H1" s="42"/>
      <c r="I1" s="42"/>
      <c r="J1" s="42"/>
      <c r="K1" s="42"/>
      <c r="L1" s="42"/>
      <c r="M1" s="42"/>
      <c r="N1" s="42"/>
      <c r="O1" s="43"/>
      <c r="P1" s="131" t="s">
        <v>41</v>
      </c>
      <c r="Q1" s="131"/>
    </row>
    <row r="2" spans="1:17" ht="15.75" customHeight="1" thickBot="1" x14ac:dyDescent="0.3">
      <c r="A2" s="43"/>
      <c r="B2" s="43"/>
      <c r="C2" s="43"/>
      <c r="D2" s="43"/>
      <c r="E2" s="43"/>
      <c r="F2" s="43"/>
      <c r="G2" s="45"/>
      <c r="H2" s="42"/>
      <c r="I2" s="42"/>
      <c r="J2" s="42"/>
      <c r="K2" s="42"/>
      <c r="L2" s="42"/>
      <c r="M2" s="42"/>
      <c r="N2" s="42"/>
      <c r="O2" s="43"/>
      <c r="P2" s="131"/>
      <c r="Q2" s="131"/>
    </row>
    <row r="3" spans="1:17" ht="13.8" thickBot="1" x14ac:dyDescent="0.3">
      <c r="A3" s="43"/>
      <c r="B3" s="43"/>
      <c r="C3" s="43"/>
      <c r="D3" s="43"/>
      <c r="E3" s="43"/>
      <c r="F3" s="43"/>
      <c r="G3" s="45"/>
      <c r="H3" s="43"/>
      <c r="I3" s="43"/>
      <c r="J3" s="43"/>
      <c r="K3" s="43"/>
      <c r="L3" s="43"/>
      <c r="M3" s="43"/>
      <c r="N3" s="43"/>
      <c r="O3" s="43"/>
      <c r="P3" s="43"/>
      <c r="Q3" s="43"/>
    </row>
    <row r="4" spans="1:17" s="46" customFormat="1" ht="18" customHeight="1" thickBot="1" x14ac:dyDescent="0.3">
      <c r="A4" s="132" t="s">
        <v>42</v>
      </c>
      <c r="B4" s="132"/>
      <c r="C4" s="132"/>
      <c r="D4" s="132"/>
      <c r="E4" s="132"/>
      <c r="F4" s="132"/>
      <c r="G4" s="133" t="str">
        <f>' NotaPedido'!D3</f>
        <v>65 - MINISTERIO DE AGUA ENERGIA Y MEDIO AMB.</v>
      </c>
      <c r="H4" s="134"/>
      <c r="I4" s="134"/>
      <c r="J4" s="134"/>
      <c r="K4" s="134"/>
      <c r="L4" s="134"/>
      <c r="M4" s="134"/>
      <c r="N4" s="134"/>
      <c r="O4" s="134"/>
      <c r="P4" s="134"/>
      <c r="Q4" s="135"/>
    </row>
    <row r="5" spans="1:17" s="46" customFormat="1" ht="18" customHeight="1" thickBot="1" x14ac:dyDescent="0.3">
      <c r="A5" s="136" t="s">
        <v>23</v>
      </c>
      <c r="B5" s="137"/>
      <c r="C5" s="137"/>
      <c r="D5" s="137"/>
      <c r="E5" s="137"/>
      <c r="F5" s="138"/>
      <c r="G5" s="133">
        <f>' NotaPedido'!D4</f>
        <v>31</v>
      </c>
      <c r="H5" s="134"/>
      <c r="I5" s="134"/>
      <c r="J5" s="134"/>
      <c r="K5" s="134"/>
      <c r="L5" s="134"/>
      <c r="M5" s="134"/>
      <c r="N5" s="134"/>
      <c r="O5" s="134"/>
      <c r="P5" s="134"/>
      <c r="Q5" s="135"/>
    </row>
    <row r="6" spans="1:17" s="46" customFormat="1" ht="18" customHeight="1" thickBot="1" x14ac:dyDescent="0.3">
      <c r="A6" s="136" t="s">
        <v>24</v>
      </c>
      <c r="B6" s="137"/>
      <c r="C6" s="137"/>
      <c r="D6" s="137"/>
      <c r="E6" s="137"/>
      <c r="F6" s="138"/>
      <c r="G6" s="133" t="str">
        <f>' NotaPedido'!D5</f>
        <v>Jefatura de Policía de la Provincia de Catamarca</v>
      </c>
      <c r="H6" s="134"/>
      <c r="I6" s="134"/>
      <c r="J6" s="134"/>
      <c r="K6" s="134"/>
      <c r="L6" s="134"/>
      <c r="M6" s="134"/>
      <c r="N6" s="134"/>
      <c r="O6" s="134"/>
      <c r="P6" s="134"/>
      <c r="Q6" s="135"/>
    </row>
    <row r="7" spans="1:17" s="46" customFormat="1" ht="24.75" customHeight="1" thickBot="1" x14ac:dyDescent="0.3">
      <c r="A7" s="136" t="s">
        <v>26</v>
      </c>
      <c r="B7" s="137"/>
      <c r="C7" s="137"/>
      <c r="D7" s="137"/>
      <c r="E7" s="137"/>
      <c r="F7" s="138"/>
      <c r="G7" s="133" t="str">
        <f>' NotaPedido'!D6</f>
        <v>División Transporte- Dpto. Logistica (D-4)</v>
      </c>
      <c r="H7" s="134"/>
      <c r="I7" s="134"/>
      <c r="J7" s="134"/>
      <c r="K7" s="134"/>
      <c r="L7" s="134"/>
      <c r="M7" s="134"/>
      <c r="N7" s="134"/>
      <c r="O7" s="134"/>
      <c r="P7" s="134"/>
      <c r="Q7" s="135"/>
    </row>
    <row r="8" spans="1:17" ht="18" customHeight="1" thickBot="1" x14ac:dyDescent="0.3">
      <c r="A8" s="139" t="s">
        <v>43</v>
      </c>
      <c r="B8" s="139"/>
      <c r="C8" s="139"/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</row>
    <row r="9" spans="1:17" ht="18" customHeight="1" x14ac:dyDescent="0.25">
      <c r="A9" s="140" t="s">
        <v>44</v>
      </c>
      <c r="B9" s="140"/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43"/>
      <c r="P9" s="43"/>
      <c r="Q9" s="47"/>
    </row>
    <row r="10" spans="1:17" ht="66.75" customHeight="1" x14ac:dyDescent="0.25">
      <c r="A10" s="141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32/2020,  afectando la erogación resultante a los créditos presupuestarios aprobados a favor de esta Unidad Ejecutora, conforme al siguiente detalle:</v>
      </c>
      <c r="B10" s="141"/>
      <c r="C10" s="141"/>
      <c r="D10" s="141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</row>
    <row r="11" spans="1:17" ht="9" customHeight="1" thickBot="1" x14ac:dyDescent="0.3">
      <c r="A11" s="48"/>
      <c r="B11" s="49"/>
      <c r="C11" s="49"/>
      <c r="D11" s="49"/>
      <c r="E11" s="49"/>
      <c r="F11" s="49"/>
      <c r="G11" s="50"/>
      <c r="H11" s="49"/>
      <c r="I11" s="49"/>
      <c r="J11" s="49"/>
      <c r="K11" s="49"/>
      <c r="L11" s="49"/>
      <c r="M11" s="49"/>
      <c r="N11" s="49"/>
      <c r="O11" s="49"/>
      <c r="P11" s="49"/>
      <c r="Q11" s="51"/>
    </row>
    <row r="12" spans="1:17" ht="15.75" customHeight="1" thickBot="1" x14ac:dyDescent="0.3">
      <c r="A12" s="142" t="s">
        <v>45</v>
      </c>
      <c r="B12" s="142"/>
      <c r="C12" s="142"/>
      <c r="D12" s="142"/>
      <c r="E12" s="142"/>
      <c r="F12" s="142"/>
      <c r="G12" s="142"/>
      <c r="H12" s="142"/>
      <c r="I12" s="142"/>
      <c r="J12" s="142"/>
      <c r="K12" s="142"/>
      <c r="L12" s="142"/>
      <c r="M12" s="142"/>
      <c r="N12" s="142"/>
      <c r="O12" s="142"/>
      <c r="P12" s="142"/>
      <c r="Q12" s="142"/>
    </row>
    <row r="13" spans="1:17" ht="15.75" customHeight="1" thickBot="1" x14ac:dyDescent="0.3">
      <c r="A13" s="143" t="s">
        <v>46</v>
      </c>
      <c r="B13" s="143"/>
      <c r="C13" s="143"/>
      <c r="D13" s="143"/>
      <c r="E13" s="143"/>
      <c r="F13" s="143"/>
      <c r="G13" s="143"/>
      <c r="H13" s="143"/>
      <c r="I13" s="143"/>
      <c r="J13" s="143"/>
      <c r="K13" s="143"/>
      <c r="L13" s="143"/>
      <c r="M13" s="143"/>
      <c r="N13" s="143"/>
      <c r="O13" s="144" t="s">
        <v>47</v>
      </c>
      <c r="P13" s="144"/>
      <c r="Q13" s="145" t="s">
        <v>48</v>
      </c>
    </row>
    <row r="14" spans="1:17" ht="15.75" customHeight="1" thickBot="1" x14ac:dyDescent="0.3">
      <c r="A14" s="52" t="s">
        <v>49</v>
      </c>
      <c r="B14" s="53" t="s">
        <v>50</v>
      </c>
      <c r="C14" s="53" t="s">
        <v>51</v>
      </c>
      <c r="D14" s="53" t="s">
        <v>52</v>
      </c>
      <c r="E14" s="53" t="s">
        <v>53</v>
      </c>
      <c r="F14" s="53" t="s">
        <v>54</v>
      </c>
      <c r="G14" s="54" t="s">
        <v>55</v>
      </c>
      <c r="H14" s="53" t="s">
        <v>56</v>
      </c>
      <c r="I14" s="53" t="s">
        <v>57</v>
      </c>
      <c r="J14" s="53" t="s">
        <v>58</v>
      </c>
      <c r="K14" s="53" t="s">
        <v>58</v>
      </c>
      <c r="L14" s="53" t="s">
        <v>59</v>
      </c>
      <c r="M14" s="55" t="s">
        <v>60</v>
      </c>
      <c r="N14" s="56" t="s">
        <v>61</v>
      </c>
      <c r="O14" s="144"/>
      <c r="P14" s="144"/>
      <c r="Q14" s="145"/>
    </row>
    <row r="15" spans="1:17" ht="17.25" customHeight="1" thickBot="1" x14ac:dyDescent="0.3">
      <c r="A15" s="57">
        <v>16</v>
      </c>
      <c r="B15" s="58">
        <v>0</v>
      </c>
      <c r="C15" s="58">
        <v>0</v>
      </c>
      <c r="D15" s="58">
        <v>1</v>
      </c>
      <c r="E15" s="58">
        <v>0</v>
      </c>
      <c r="F15" s="58">
        <v>10</v>
      </c>
      <c r="G15" s="58">
        <v>2</v>
      </c>
      <c r="H15" s="58">
        <v>1</v>
      </c>
      <c r="I15" s="58">
        <v>2</v>
      </c>
      <c r="J15" s="58">
        <v>4</v>
      </c>
      <c r="K15" s="58">
        <v>4</v>
      </c>
      <c r="L15" s="58">
        <v>0</v>
      </c>
      <c r="M15" s="59">
        <v>1</v>
      </c>
      <c r="N15" s="58" t="s">
        <v>62</v>
      </c>
      <c r="O15" s="147" t="s">
        <v>63</v>
      </c>
      <c r="P15" s="147"/>
      <c r="Q15" s="60" t="e">
        <f>'Necesidades Trimestrales'!#REF!</f>
        <v>#REF!</v>
      </c>
    </row>
    <row r="16" spans="1:17" ht="23.25" customHeight="1" thickBot="1" x14ac:dyDescent="0.3">
      <c r="A16" s="148" t="s">
        <v>64</v>
      </c>
      <c r="B16" s="149"/>
      <c r="C16" s="149"/>
      <c r="D16" s="149"/>
      <c r="E16" s="149"/>
      <c r="F16" s="149"/>
      <c r="G16" s="149"/>
      <c r="H16" s="149"/>
      <c r="I16" s="149"/>
      <c r="J16" s="149"/>
      <c r="K16" s="149"/>
      <c r="L16" s="149"/>
      <c r="M16" s="149"/>
      <c r="N16" s="149"/>
      <c r="O16" s="149"/>
      <c r="P16" s="150"/>
      <c r="Q16" s="60" t="e">
        <f>+Q15</f>
        <v>#REF!</v>
      </c>
    </row>
    <row r="17" spans="1:18" ht="21.75" customHeight="1" thickBot="1" x14ac:dyDescent="0.3">
      <c r="A17" s="61"/>
      <c r="B17" s="62"/>
      <c r="C17" s="62"/>
      <c r="D17" s="62"/>
      <c r="E17" s="155" t="str">
        <f>' NotaPedido'!D30</f>
        <v>Trece Millones Quinientos Cuatro Mil Doscientos Cuatro con 00/100.</v>
      </c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63"/>
    </row>
    <row r="18" spans="1:18" ht="17.25" customHeight="1" thickBot="1" x14ac:dyDescent="0.3">
      <c r="A18" s="151" t="s">
        <v>65</v>
      </c>
      <c r="B18" s="152"/>
      <c r="C18" s="152"/>
      <c r="D18" s="152"/>
      <c r="E18" s="152"/>
      <c r="F18" s="153"/>
      <c r="G18" s="154"/>
      <c r="H18" s="154"/>
      <c r="I18" s="154"/>
      <c r="J18" s="154"/>
      <c r="K18" s="154"/>
      <c r="L18" s="154"/>
      <c r="M18" s="154"/>
      <c r="N18" s="154"/>
      <c r="O18" s="154"/>
      <c r="P18" s="154"/>
      <c r="Q18" s="154"/>
    </row>
    <row r="19" spans="1:18" ht="17.25" customHeight="1" thickBot="1" x14ac:dyDescent="0.3">
      <c r="A19" s="146" t="str">
        <f>' NotaPedido'!D8</f>
        <v>Adquisición de CUBIERTAS destinadas a las Unidades Moviles de la Policia de Catamarca.-</v>
      </c>
      <c r="B19" s="146"/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</row>
    <row r="20" spans="1:18" ht="17.25" customHeight="1" thickBot="1" x14ac:dyDescent="0.3">
      <c r="A20" s="146"/>
      <c r="B20" s="146"/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</row>
    <row r="21" spans="1:18" ht="17.25" customHeight="1" x14ac:dyDescent="0.25">
      <c r="A21" s="13"/>
      <c r="B21" s="13"/>
      <c r="C21" s="13"/>
      <c r="D21" s="13"/>
      <c r="E21" s="13"/>
      <c r="F21" s="14"/>
      <c r="G21" s="13"/>
      <c r="H21" s="13"/>
      <c r="I21" s="13"/>
      <c r="J21" s="13"/>
      <c r="K21" s="13"/>
      <c r="L21" s="13"/>
      <c r="M21" s="13"/>
      <c r="N21" s="13"/>
      <c r="O21" s="17"/>
      <c r="P21" s="17"/>
      <c r="Q21" s="12"/>
      <c r="R21" s="10"/>
    </row>
    <row r="22" spans="1:18" ht="17.25" customHeight="1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7"/>
      <c r="P22" s="17"/>
      <c r="Q22" s="12"/>
    </row>
    <row r="23" spans="1:18" ht="20.25" customHeight="1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5"/>
    </row>
    <row r="24" spans="1:18" ht="18" customHeight="1" x14ac:dyDescent="0.25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</row>
    <row r="25" spans="1:18" ht="17.25" customHeight="1" x14ac:dyDescent="0.25">
      <c r="A25" s="18"/>
      <c r="B25" s="18"/>
      <c r="C25" s="18"/>
      <c r="D25" s="18"/>
      <c r="E25" s="18"/>
      <c r="F25" s="18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</row>
    <row r="26" spans="1:18" ht="18" customHeight="1" x14ac:dyDescent="0.25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</row>
    <row r="27" spans="1:18" ht="15" customHeight="1" x14ac:dyDescent="0.25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</row>
    <row r="28" spans="1:18" x14ac:dyDescent="0.25">
      <c r="A28" s="10"/>
      <c r="B28" s="10"/>
      <c r="C28" s="10"/>
      <c r="D28" s="10"/>
      <c r="E28" s="10"/>
      <c r="F28" s="10"/>
      <c r="G28" s="11"/>
      <c r="H28" s="10"/>
      <c r="I28" s="10"/>
      <c r="J28" s="10"/>
      <c r="K28" s="10"/>
      <c r="L28" s="10"/>
      <c r="M28" s="10"/>
      <c r="N28" s="10"/>
      <c r="O28" s="10"/>
      <c r="P28" s="10"/>
      <c r="Q28" s="10"/>
    </row>
    <row r="29" spans="1:18" x14ac:dyDescent="0.25">
      <c r="A29" s="10"/>
      <c r="B29" s="10"/>
      <c r="C29" s="10"/>
      <c r="D29" s="10"/>
      <c r="E29" s="10"/>
      <c r="F29" s="10"/>
      <c r="G29" s="11"/>
      <c r="H29" s="10"/>
      <c r="I29" s="10"/>
      <c r="J29" s="10"/>
      <c r="K29" s="10"/>
      <c r="L29" s="10"/>
      <c r="M29" s="10"/>
      <c r="N29" s="10"/>
      <c r="O29" s="10"/>
      <c r="P29" s="10"/>
      <c r="Q29" s="10"/>
    </row>
    <row r="30" spans="1:18" x14ac:dyDescent="0.25">
      <c r="A30" s="10"/>
      <c r="B30" s="10"/>
      <c r="C30" s="10"/>
      <c r="D30" s="10"/>
      <c r="E30" s="10"/>
      <c r="F30" s="10"/>
      <c r="G30" s="11"/>
      <c r="H30" s="10"/>
      <c r="I30" s="10"/>
      <c r="J30" s="10"/>
      <c r="K30" s="10"/>
      <c r="L30" s="10"/>
      <c r="M30" s="10"/>
      <c r="N30" s="10"/>
      <c r="O30" s="10"/>
      <c r="P30" s="10"/>
      <c r="Q30" s="10"/>
    </row>
    <row r="31" spans="1:18" x14ac:dyDescent="0.25">
      <c r="A31" s="10"/>
      <c r="B31" s="10"/>
      <c r="C31" s="10"/>
      <c r="D31" s="10"/>
      <c r="E31" s="10"/>
      <c r="F31" s="10"/>
      <c r="G31" s="11"/>
      <c r="H31" s="10"/>
      <c r="I31" s="10"/>
      <c r="J31" s="10"/>
      <c r="K31" s="10"/>
      <c r="L31" s="10"/>
      <c r="M31" s="10"/>
      <c r="N31" s="10"/>
      <c r="O31" s="10"/>
      <c r="P31" s="10"/>
      <c r="Q31" s="10"/>
    </row>
    <row r="32" spans="1:18" x14ac:dyDescent="0.25">
      <c r="A32" s="10"/>
      <c r="B32" s="10"/>
      <c r="C32" s="10"/>
      <c r="D32" s="10"/>
      <c r="E32" s="10"/>
      <c r="F32" s="10"/>
      <c r="G32" s="11"/>
      <c r="H32" s="10"/>
      <c r="I32" s="10"/>
      <c r="J32" s="10"/>
      <c r="K32" s="10"/>
      <c r="L32" s="10"/>
      <c r="M32" s="10"/>
      <c r="N32" s="10"/>
      <c r="O32" s="10"/>
      <c r="P32" s="10"/>
      <c r="Q32" s="10"/>
    </row>
    <row r="33" spans="1:17" x14ac:dyDescent="0.25">
      <c r="A33" s="10"/>
      <c r="B33" s="10"/>
      <c r="C33" s="10"/>
      <c r="D33" s="10"/>
      <c r="E33" s="10"/>
      <c r="F33" s="10"/>
      <c r="G33" s="11"/>
      <c r="H33" s="10"/>
      <c r="I33" s="10"/>
      <c r="J33" s="10"/>
      <c r="K33" s="10"/>
      <c r="L33" s="10"/>
      <c r="M33" s="10"/>
      <c r="N33" s="10"/>
      <c r="O33" s="10"/>
      <c r="P33" s="10"/>
      <c r="Q33" s="10"/>
    </row>
    <row r="34" spans="1:17" x14ac:dyDescent="0.25">
      <c r="A34" s="10"/>
      <c r="B34" s="10"/>
      <c r="C34" s="10"/>
      <c r="D34" s="10"/>
      <c r="E34" s="10"/>
      <c r="F34" s="10"/>
      <c r="G34" s="11"/>
      <c r="H34" s="10"/>
      <c r="I34" s="10"/>
      <c r="J34" s="10"/>
      <c r="K34" s="10"/>
      <c r="L34" s="10"/>
      <c r="M34" s="10"/>
      <c r="N34" s="10"/>
      <c r="O34" s="10"/>
      <c r="P34" s="10"/>
      <c r="Q34" s="10"/>
    </row>
    <row r="35" spans="1:17" x14ac:dyDescent="0.25">
      <c r="A35" s="10"/>
      <c r="B35" s="10"/>
      <c r="C35" s="10"/>
      <c r="D35" s="10"/>
      <c r="E35" s="10"/>
      <c r="F35" s="10"/>
      <c r="G35" s="11"/>
      <c r="H35" s="10"/>
      <c r="I35" s="10"/>
      <c r="J35" s="10"/>
      <c r="K35" s="10"/>
      <c r="L35" s="10"/>
      <c r="M35" s="10"/>
      <c r="N35" s="10"/>
      <c r="O35" s="10"/>
      <c r="P35" s="10"/>
      <c r="Q35" s="10"/>
    </row>
    <row r="36" spans="1:17" x14ac:dyDescent="0.25">
      <c r="A36" s="10"/>
      <c r="B36" s="10"/>
      <c r="C36" s="10"/>
      <c r="D36" s="10"/>
      <c r="E36" s="10"/>
      <c r="F36" s="10"/>
      <c r="G36" s="11"/>
      <c r="H36" s="10"/>
      <c r="I36" s="10"/>
      <c r="J36" s="10"/>
      <c r="K36" s="10"/>
      <c r="L36" s="10"/>
      <c r="M36" s="10"/>
      <c r="N36" s="10"/>
      <c r="O36" s="10"/>
      <c r="P36" s="10"/>
      <c r="Q36" s="10"/>
    </row>
    <row r="37" spans="1:17" x14ac:dyDescent="0.25">
      <c r="A37" s="10"/>
      <c r="B37" s="10"/>
      <c r="C37" s="10"/>
      <c r="D37" s="10"/>
      <c r="E37" s="10"/>
      <c r="F37" s="10"/>
      <c r="G37" s="11"/>
      <c r="H37" s="10"/>
      <c r="I37" s="10"/>
      <c r="J37" s="10"/>
      <c r="K37" s="10"/>
      <c r="L37" s="10"/>
      <c r="M37" s="10"/>
      <c r="N37" s="10"/>
      <c r="O37" s="10"/>
      <c r="P37" s="10"/>
      <c r="Q37" s="10"/>
    </row>
    <row r="38" spans="1:17" x14ac:dyDescent="0.25">
      <c r="A38" s="10"/>
      <c r="B38" s="10"/>
      <c r="C38" s="10"/>
      <c r="D38" s="10"/>
      <c r="E38" s="10"/>
      <c r="F38" s="10"/>
      <c r="G38" s="11"/>
      <c r="H38" s="10"/>
      <c r="I38" s="10"/>
      <c r="J38" s="10"/>
      <c r="K38" s="10"/>
      <c r="L38" s="10"/>
      <c r="M38" s="10"/>
      <c r="N38" s="10"/>
      <c r="O38" s="10"/>
      <c r="P38" s="10"/>
      <c r="Q38" s="10"/>
    </row>
  </sheetData>
  <mergeCells count="24">
    <mergeCell ref="A19:Q20"/>
    <mergeCell ref="O15:P15"/>
    <mergeCell ref="A16:P16"/>
    <mergeCell ref="A18:F18"/>
    <mergeCell ref="G18:Q18"/>
    <mergeCell ref="E17:P17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Policia</dc:creator>
  <cp:lastModifiedBy>MINISTERIO A E y M</cp:lastModifiedBy>
  <cp:revision>2</cp:revision>
  <cp:lastPrinted>2022-11-24T22:05:34Z</cp:lastPrinted>
  <dcterms:created xsi:type="dcterms:W3CDTF">2020-07-17T23:44:49Z</dcterms:created>
  <dcterms:modified xsi:type="dcterms:W3CDTF">2022-12-02T14:47:46Z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