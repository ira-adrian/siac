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15" windowWidth="20115" windowHeight="7755" activeTab="2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0">'Necesidades trimestrales'!$A$9:$E$42</definedName>
  </definedNames>
  <calcPr calcId="144525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12" i="2"/>
  <c r="C42" i="2"/>
  <c r="C43" i="2"/>
  <c r="C44" i="2"/>
  <c r="C39" i="2"/>
  <c r="C40" i="2"/>
  <c r="C41" i="2"/>
  <c r="C37" i="2"/>
  <c r="C38" i="2"/>
  <c r="C36" i="2"/>
  <c r="C35" i="2"/>
  <c r="C34" i="2"/>
  <c r="C33" i="2"/>
  <c r="C32" i="2"/>
  <c r="C31" i="2"/>
  <c r="C29" i="2"/>
  <c r="C30" i="2"/>
  <c r="C24" i="2"/>
  <c r="C25" i="2"/>
  <c r="C26" i="2"/>
  <c r="C27" i="2"/>
  <c r="C28" i="2"/>
  <c r="C16" i="2"/>
  <c r="C17" i="2"/>
  <c r="C18" i="2"/>
  <c r="C19" i="2"/>
  <c r="C20" i="2"/>
  <c r="C21" i="2"/>
  <c r="C22" i="2"/>
  <c r="C23" i="2"/>
  <c r="C15" i="2"/>
  <c r="C13" i="2"/>
  <c r="C14" i="2"/>
  <c r="C12" i="2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12" i="2"/>
  <c r="Q18" i="3" l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<sst xmlns="http://schemas.openxmlformats.org/spreadsheetml/2006/main" count="385" uniqueCount="199">
  <si>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</si>
  <si>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</si>
  <si>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</si>
  <si>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</si>
  <si>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</si>
  <si>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</si>
  <si>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</si>
  <si>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</si>
  <si>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</si>
  <si>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</si>
  <si>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</si>
  <si>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</si>
  <si>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</si>
  <si>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</si>
  <si>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</si>
  <si>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Cartucho Alternativo 21 XL (Negro) </t>
  </si>
  <si>
    <t>Unidad</t>
  </si>
  <si>
    <t xml:space="preserve">Cartucho Alternativo 22 XL (Tricolor) </t>
  </si>
  <si>
    <t xml:space="preserve">Cartucho Alternativo 27 XL (Negro) </t>
  </si>
  <si>
    <t xml:space="preserve">Cartucho Alternativo 28 XL (Tricolor) </t>
  </si>
  <si>
    <t xml:space="preserve">Cartucho Alternativo 56 (Negro) </t>
  </si>
  <si>
    <t xml:space="preserve">Cartucho Alternativo 57 (Tricolor) </t>
  </si>
  <si>
    <t xml:space="preserve">Cartucho Alternativo 60 XL (Negro) </t>
  </si>
  <si>
    <t xml:space="preserve">Cartucho Alternativo 60 XL (Tricolor) </t>
  </si>
  <si>
    <t xml:space="preserve">Cartucho Alternativo 662 XL (Negro) </t>
  </si>
  <si>
    <t xml:space="preserve">Cartucho Alternativo 662 XL (Tricolor) </t>
  </si>
  <si>
    <t>Cartucho Original HP 664 (Negro)</t>
  </si>
  <si>
    <t>Cartucho Original HP 664 (Tricolor)</t>
  </si>
  <si>
    <t xml:space="preserve">Cartucho Alternativo 675 XL (Negro) </t>
  </si>
  <si>
    <t xml:space="preserve">Cartucho Alternativo 675 XL (Tricolor) </t>
  </si>
  <si>
    <t xml:space="preserve">Cartucho Alternativo 950 XL (Negro) </t>
  </si>
  <si>
    <t xml:space="preserve">Cartucho Alternativo 951 XL (Cyan) </t>
  </si>
  <si>
    <t xml:space="preserve">Cartucho Alternativo 951 XL (Magenta) </t>
  </si>
  <si>
    <t xml:space="preserve">Cartucho Alternativo 951 XL (Amarillo) </t>
  </si>
  <si>
    <t xml:space="preserve">Cartucho Alternativo 954 XL (Negro) </t>
  </si>
  <si>
    <t xml:space="preserve">Cartucho Alternativo 954 XL (Cyan) </t>
  </si>
  <si>
    <t xml:space="preserve">Cartucho Alternativo 954 XL (Magenta) </t>
  </si>
  <si>
    <t xml:space="preserve">Cartucho Alternativo 954 XL (Amarillo) </t>
  </si>
  <si>
    <t xml:space="preserve">Cartucho Alternativo 135 (Negro) </t>
  </si>
  <si>
    <t xml:space="preserve">Cartucho Alternativo 133 (Cyan) </t>
  </si>
  <si>
    <t xml:space="preserve">Cartucho Alternativo 133 (Magenta) </t>
  </si>
  <si>
    <t xml:space="preserve">Cartucho Alternativo 133 (Amarillo) </t>
  </si>
  <si>
    <t>Toner Alternativo 85A (Negro)</t>
  </si>
  <si>
    <t>Toner Alternativo 48A (Negro) c/chip</t>
  </si>
  <si>
    <t>Toner Alternativo D111 (Negro)</t>
  </si>
  <si>
    <t>Toner Alternativo D101 (Negro)</t>
  </si>
  <si>
    <t>Toner Alternativo CE410A(Negro)</t>
  </si>
  <si>
    <t>Toner Alternativo CE411A(Cyan)</t>
  </si>
  <si>
    <t>Toner Alternativo CE413A(Magenta)</t>
  </si>
  <si>
    <t>Toner Alternativo CE412A(Amarillo)</t>
  </si>
  <si>
    <t>Toner Alternativo 105A (Negro)</t>
  </si>
  <si>
    <t>Toner Alternativo 80X (Negro)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</si>
  <si>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</si>
  <si>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</si>
  <si>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</si>
  <si>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</si>
  <si>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</si>
  <si>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</si>
  <si>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</si>
  <si>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</si>
  <si>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</si>
  <si>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</si>
  <si>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</si>
  <si>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</si>
  <si>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</si>
  <si>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</si>
  <si>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</si>
  <si>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</si>
  <si>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</si>
  <si>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</si>
  <si>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</si>
  <si>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</si>
  <si>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</si>
  <si>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</si>
  <si>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</si>
  <si>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</si>
  <si>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</si>
  <si>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</si>
  <si>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</si>
  <si>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</si>
  <si>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</si>
  <si>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</si>
  <si>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</si>
  <si>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</si>
  <si>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</si>
  <si>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</si>
  <si>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</si>
  <si>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</si>
  <si>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</si>
  <si>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</si>
  <si>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</si>
  <si>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</si>
  <si>
    <t xml:space="preserve">45 dias habiles 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</si>
  <si>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INFORMATICA -HOSPITAL INT. DE NIÑOS – AV. VIRGEN DEL VALLE N° 1050-CATAMARCA DE 8:00 A 12:00HS., DEBIENDO CORRER LOS GASTOS DE FLETES, ACARREO, CARGA, DESCARGA Y SEGURO A CARGO DEL ADJUDICATARIO.</t>
    </r>
  </si>
  <si>
    <t>044/2021</t>
  </si>
  <si>
    <t>024- Hospital Interzonal de Niños</t>
  </si>
  <si>
    <t>Servicio de Informatica</t>
  </si>
  <si>
    <t xml:space="preserve">2 do Trimestre </t>
  </si>
  <si>
    <t>Cartuchos de Tintas y Toners</t>
  </si>
  <si>
    <t xml:space="preserve">040- Ministerio de Slud </t>
  </si>
  <si>
    <t>040- Ministerio de Salud</t>
  </si>
  <si>
    <t>Para la adquisición de CARTUCHOS DE TINTAS Y TONERS destinados al servico de Informatica del Hospital Interzonal de Niños Eva Peron, para el normal funcionamiento del organismo.</t>
  </si>
  <si>
    <t xml:space="preserve">Autorizo la realización de los  trámites correspondientes, a fin de proveer a  este Organismo los bienes y/o servicios que se detallan en Nota  de Pedido N° 44/2021,  afectando la erogación resultante a los créditos presupuestarios aprobados a favor de esta Unidad Ejecutora, conforme al siguiente detalle:                
</t>
  </si>
  <si>
    <t>REPUESTOS</t>
  </si>
  <si>
    <t>2.9.6</t>
  </si>
  <si>
    <t>Mantenimiento de Oferta:</t>
  </si>
  <si>
    <t>CODIGO ITEM</t>
  </si>
  <si>
    <t>2.9.6-1355.937</t>
  </si>
  <si>
    <t>2.9.6-1355.938</t>
  </si>
  <si>
    <t>2.9.6-1355.1044</t>
  </si>
  <si>
    <t>2.9.6-1355.1045</t>
  </si>
  <si>
    <t>2.9.6-1355.664</t>
  </si>
  <si>
    <t>2.9.6-1355.1138</t>
  </si>
  <si>
    <t>2.9.6-1355.1854</t>
  </si>
  <si>
    <t>2.9.6-1355.1855</t>
  </si>
  <si>
    <t>2.9.6-1355.1950</t>
  </si>
  <si>
    <t>2.9.6-1355.1988</t>
  </si>
  <si>
    <t>2.9.6-1355.1667</t>
  </si>
  <si>
    <t>2.9.6-1355.1993</t>
  </si>
  <si>
    <t>2.9.6-1355.1750</t>
  </si>
  <si>
    <t>2.9.6-1355.1580</t>
  </si>
  <si>
    <t>2.9.6-1355.1581</t>
  </si>
  <si>
    <t>2.9.6-1355.1582</t>
  </si>
  <si>
    <t>2.9.6-1355.1583</t>
  </si>
  <si>
    <t>2.9.6-401.1362</t>
  </si>
  <si>
    <t>2.9.6-401.2260</t>
  </si>
  <si>
    <t>2.9.6-401.2278</t>
  </si>
  <si>
    <t>2.9.6-1355.1831</t>
  </si>
  <si>
    <t>2.9.6-401.1786</t>
  </si>
  <si>
    <t>2.9.6-401.1724</t>
  </si>
  <si>
    <t>2.9.6-401.1726</t>
  </si>
  <si>
    <t>2.9.6-401.1725</t>
  </si>
  <si>
    <t>2.9.6-401.2138</t>
  </si>
  <si>
    <t>CARTUCHOS DE TINTA; CODIGO: HP21, DESCRIPCION: SIN VALOR, COLOR: SIN VALOR, USO: HEWLETT PACKARD</t>
  </si>
  <si>
    <t>CARTUCHOS DE TINTA; CODIGO: HP22, DESCRIPCION: SIN VALOR, COLOR: SIN VALOR, USO: HEWLETT PACKARD</t>
  </si>
  <si>
    <t>CARTUCHOS DE TINTA; CODIGO: HP27, DESCRIPCION: CARTUCHO TINTA, COLOR: NEGRO, USO: HEWLETT PACKARD</t>
  </si>
  <si>
    <t>CARTUCHOS DE TINTA; CODIGO: HP28, DESCRIPCION: CARTUCHO TINTA, COLOR: COLOR, USO: HEWLETT PACKARD</t>
  </si>
  <si>
    <t>CARTUCHOS DE TINTA; CODIGO: C6656A, PRODUCTO: TINTA, COLOR: NEGRA, USO: HEWLETT PACKARD, DESCRIPCION: TINTA</t>
  </si>
  <si>
    <t>CARTUCHOS DE TINTA; CODIGO: C6657AL, DESCRIPCION: CARTUCHO DE TINTA, COLOR: COLOR, USO: HEWLETT PACKARD</t>
  </si>
  <si>
    <t>CARTUCHOS DE TINTA; CODIGO: CC640XL, USO: HP 3515</t>
  </si>
  <si>
    <t>CARTUCHOS DE TINTA; CODIGO: CC643XL, USO: HP 3515</t>
  </si>
  <si>
    <t>CARTUCHOS DE TINTA; CODIGO: 662XL, USO: HP</t>
  </si>
  <si>
    <t>CARTUCHOS DE TINTA; CODIGO: 664, USO: HEWLET PACKARD</t>
  </si>
  <si>
    <t>CARTUCHOS DE TINTA; CODIGO: HP675, USO: HEWLETT PACKARD</t>
  </si>
  <si>
    <t>CARTUCHOS DE TINTA; USO: HP, CODIGO: 950XL</t>
  </si>
  <si>
    <t>CARTUCHOS DE TINTA; CODIGO: 951XL, USO: HP</t>
  </si>
  <si>
    <t>CARTUCHOS DE TINTA; CODIGO: T135120 - AL, USO: EPSON</t>
  </si>
  <si>
    <t>CARTUCHOS DE TINTA; CODIGO: T133220 - AL, USO: EPSON</t>
  </si>
  <si>
    <t>CARTUCHOS DE TINTA; CODIGO: T133320 - AL, USO: EPSON</t>
  </si>
  <si>
    <t>CARTUCHOS DE TINTA; CODIGO: T133420 - AL, USO: EPSON</t>
  </si>
  <si>
    <t>CARTUCHOS DE TONER; CODIGO: CE285A, USO: HEWLETT PACKARD</t>
  </si>
  <si>
    <t>CARTUCHOS DE TONER; CODIGO: 302, USO: HP</t>
  </si>
  <si>
    <t>CARTUCHOS DE TONER; CODIGO: MLT-D111L, USO: SAMSUNG</t>
  </si>
  <si>
    <t xml:space="preserve">CARTUCHOS DE TINTA; CODIGO: MLT-D101S, USO: SAMSUNG </t>
  </si>
  <si>
    <t>CARTUCHOS DE TONER; CODIGO: CE410A, USO: HEWLETT PACKARD</t>
  </si>
  <si>
    <t>CARTUCHOS DE TONER; CODIGO: CE411A, USO: HP</t>
  </si>
  <si>
    <t>CARTUCHOS DE TONER; CODIGO: CE413A, USO: HP</t>
  </si>
  <si>
    <t>CARTUCHOS DE TONER; CODIGO: CE412A, USO: HP</t>
  </si>
  <si>
    <t>CARTUCHOS DE TONER; CODIGO: CF280X, USO: HEWLETT PACKARD</t>
  </si>
  <si>
    <t>ITEM Nº 1:</t>
  </si>
  <si>
    <t>ITEM Nº 2:</t>
  </si>
  <si>
    <t>ITEM Nº 3:</t>
  </si>
  <si>
    <t>SI</t>
  </si>
  <si>
    <t>ITEM Nº :4</t>
  </si>
  <si>
    <t>ITEM Nº 5:</t>
  </si>
  <si>
    <t>ITEM Nº 6:</t>
  </si>
  <si>
    <t>ITEM Nº 7:</t>
  </si>
  <si>
    <t>ITEM Nº 8:</t>
  </si>
  <si>
    <t>ITEM Nº 9:</t>
  </si>
  <si>
    <t>ITEM Nº 10:</t>
  </si>
  <si>
    <t>ITEM Nº 11:</t>
  </si>
  <si>
    <t>ITEM Nº 12:</t>
  </si>
  <si>
    <t>ITEM Nº 13:</t>
  </si>
  <si>
    <t>ITEM Nº 14:</t>
  </si>
  <si>
    <t>ITEM Nº 15:</t>
  </si>
  <si>
    <t>ITEM Nº 16:</t>
  </si>
  <si>
    <t>ITEM Nº 17:</t>
  </si>
  <si>
    <t>ITEM Nº 18:</t>
  </si>
  <si>
    <t>ITEM Nº 19:</t>
  </si>
  <si>
    <t>ITEM Nº 20:</t>
  </si>
  <si>
    <t>ITEM Nº 21:</t>
  </si>
  <si>
    <t>ITEM Nº 22:</t>
  </si>
  <si>
    <t>ITEM Nº 23:</t>
  </si>
  <si>
    <t>ITEM Nº 24:</t>
  </si>
  <si>
    <t>ITEM Nº 25:</t>
  </si>
  <si>
    <t>ITEM Nº 26:</t>
  </si>
  <si>
    <t>ITEM Nº 27:</t>
  </si>
  <si>
    <t>ITEM Nº 28:</t>
  </si>
  <si>
    <t>ITEM Nº 29:</t>
  </si>
  <si>
    <t>ITEM Nº 30:</t>
  </si>
  <si>
    <t>ITEM Nº 31:</t>
  </si>
  <si>
    <t>ITEM Nº 32:</t>
  </si>
  <si>
    <t>ITEM Nº 33:</t>
  </si>
  <si>
    <t>25 un.</t>
  </si>
  <si>
    <t xml:space="preserve">Especificaciones Técnicas: </t>
  </si>
  <si>
    <t>2.9.6-1355.2063</t>
  </si>
  <si>
    <t>CARTUCHOS DE TINTA; CODIGO: 954XL, USO: HEWLETT PACKARD</t>
  </si>
  <si>
    <t>TOTAL DE PESOS: SEISCIENTOS VEINTISIETE MIL CUATROCIENTOS NUEVE CON 00/100.</t>
  </si>
  <si>
    <t xml:space="preserve">COSTO TOTAL ESTIMADO : SEISCIENTOS VEINTISIETE MIL CUATROCIENTOS NUEVE CON 00/100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</si>
</sst>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$&quot;\ * #,##0.00_ ;_ &quot;$&quot;\ * \-#,##0.00_ ;_ &quot;$&quot;\ * &quot;-&quot;??_ ;_ @_ "/>
    <numFmt numFmtId="164" formatCode="&quot;$&quot;#,##0.00"/>
    <numFmt numFmtId="165" formatCode="_ [$$-2C0A]\ * #,##0.00_ ;_ [$$-2C0A]\ * \-#,##0.00_ ;_ [$$-2C0A]\ * &quot;-&quot;??_ ;_ @_ "/>
    <numFmt numFmtId="166" formatCode="[$$-2C0A]\ #,##0.00;[$$-2C0A]&quot; -&quot;#,##0.00"/>
    <numFmt numFmtId="167" formatCode="dd\-mm\-yy;@"/>
    <numFmt numFmtId="168" formatCode="_(\$* #,##0.00_);_(\$* \(#,##0.00\);_(\$* \-??_);_(@_)"/>
    <numFmt numFmtId="169" formatCode="&quot;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Bookman Old Style"/>
      <family val="1"/>
    </font>
    <font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3D3D3D"/>
      </left>
      <right/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8" fontId="16" fillId="0" borderId="0" applyBorder="0" applyProtection="0"/>
    <xf numFmtId="0" fontId="10" fillId="0" borderId="0"/>
  </cellStyleXfs>
  <cellXfs count="145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5" fillId="0" borderId="0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5" fillId="3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3" fontId="17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20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1" xfId="0" applyBorder="1"/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6" fontId="0" fillId="0" borderId="33" xfId="2" applyNumberFormat="1" applyFont="1" applyBorder="1" applyAlignment="1" applyProtection="1">
      <alignment horizontal="center" vertical="center"/>
    </xf>
    <xf numFmtId="166" fontId="21" fillId="0" borderId="34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8" fillId="0" borderId="0" xfId="0" applyFont="1" applyBorder="1" applyAlignment="1">
      <alignment horizontal="left" vertical="center" wrapText="1"/>
    </xf>
    <xf numFmtId="0" fontId="0" fillId="2" borderId="39" xfId="0" applyFont="1" applyFill="1" applyBorder="1" applyAlignment="1">
      <alignment horizontal="center" vertical="center"/>
    </xf>
    <xf numFmtId="0" fontId="0" fillId="2" borderId="40" xfId="0" applyFont="1" applyFill="1" applyBorder="1" applyAlignment="1">
      <alignment horizontal="center" vertical="center"/>
    </xf>
    <xf numFmtId="0" fontId="0" fillId="3" borderId="40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166" fontId="0" fillId="0" borderId="41" xfId="2" applyNumberFormat="1" applyFont="1" applyBorder="1" applyAlignment="1" applyProtection="1">
      <alignment horizontal="center" vertical="center"/>
    </xf>
    <xf numFmtId="0" fontId="0" fillId="0" borderId="27" xfId="0" applyBorder="1" applyAlignment="1">
      <alignment horizontal="center" vertical="center"/>
    </xf>
    <xf numFmtId="166" fontId="0" fillId="0" borderId="42" xfId="2" applyNumberFormat="1" applyFont="1" applyBorder="1" applyAlignment="1" applyProtection="1">
      <alignment horizontal="center" vertical="center"/>
    </xf>
    <xf numFmtId="0" fontId="22" fillId="0" borderId="50" xfId="0" applyFont="1" applyBorder="1" applyAlignment="1">
      <alignment horizontal="left" indent="3"/>
    </xf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 applyAlignment="1">
      <alignment horizontal="left" indent="3"/>
    </xf>
    <xf numFmtId="0" fontId="15" fillId="3" borderId="11" xfId="0" applyFont="1" applyFill="1" applyBorder="1" applyAlignment="1">
      <alignment horizontal="center" vertical="center"/>
    </xf>
    <xf numFmtId="0" fontId="22" fillId="0" borderId="51" xfId="0" applyFont="1" applyBorder="1" applyAlignment="1">
      <alignment horizontal="left" indent="3"/>
    </xf>
    <xf numFmtId="0" fontId="3" fillId="0" borderId="0" xfId="0" applyFont="1" applyBorder="1" applyAlignment="1">
      <alignment horizontal="left" indent="3"/>
    </xf>
    <xf numFmtId="0" fontId="3" fillId="0" borderId="0" xfId="0" applyFont="1" applyBorder="1"/>
    <xf numFmtId="0" fontId="3" fillId="0" borderId="54" xfId="0" applyFont="1" applyBorder="1"/>
    <xf numFmtId="0" fontId="0" fillId="0" borderId="58" xfId="0" applyBorder="1"/>
    <xf numFmtId="0" fontId="0" fillId="0" borderId="59" xfId="0" applyBorder="1"/>
    <xf numFmtId="0" fontId="0" fillId="0" borderId="59" xfId="0" applyBorder="1" applyAlignment="1">
      <alignment horizontal="center"/>
    </xf>
    <xf numFmtId="0" fontId="0" fillId="0" borderId="60" xfId="0" applyBorder="1"/>
    <xf numFmtId="0" fontId="9" fillId="0" borderId="13" xfId="0" applyFont="1" applyBorder="1" applyAlignment="1">
      <alignment horizontal="left" wrapText="1"/>
    </xf>
    <xf numFmtId="0" fontId="23" fillId="0" borderId="0" xfId="0" applyFont="1" applyBorder="1"/>
    <xf numFmtId="0" fontId="23" fillId="0" borderId="0" xfId="0" applyFont="1" applyBorder="1" applyAlignment="1">
      <alignment horizontal="center"/>
    </xf>
    <xf numFmtId="0" fontId="23" fillId="0" borderId="57" xfId="0" applyFont="1" applyBorder="1"/>
    <xf numFmtId="0" fontId="9" fillId="0" borderId="13" xfId="0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right" vertical="center"/>
    </xf>
    <xf numFmtId="0" fontId="23" fillId="0" borderId="65" xfId="0" applyFont="1" applyBorder="1" applyAlignment="1">
      <alignment horizontal="right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vertical="center"/>
    </xf>
    <xf numFmtId="164" fontId="9" fillId="0" borderId="13" xfId="0" applyNumberFormat="1" applyFont="1" applyBorder="1" applyAlignment="1">
      <alignment horizontal="center" vertical="center"/>
    </xf>
    <xf numFmtId="165" fontId="1" fillId="0" borderId="13" xfId="1" applyNumberFormat="1" applyBorder="1" applyAlignment="1">
      <alignment vertical="center"/>
    </xf>
    <xf numFmtId="0" fontId="23" fillId="0" borderId="0" xfId="0" applyFont="1" applyBorder="1" applyAlignment="1">
      <alignment horizontal="left"/>
    </xf>
    <xf numFmtId="0" fontId="23" fillId="0" borderId="66" xfId="0" applyFont="1" applyBorder="1" applyAlignment="1">
      <alignment horizontal="right"/>
    </xf>
    <xf numFmtId="0" fontId="23" fillId="0" borderId="46" xfId="0" applyFont="1" applyBorder="1" applyAlignment="1">
      <alignment horizontal="left"/>
    </xf>
    <xf numFmtId="0" fontId="23" fillId="0" borderId="46" xfId="0" applyFont="1" applyBorder="1"/>
    <xf numFmtId="0" fontId="23" fillId="0" borderId="46" xfId="0" applyFont="1" applyBorder="1" applyAlignment="1">
      <alignment horizontal="center"/>
    </xf>
    <xf numFmtId="0" fontId="23" fillId="0" borderId="47" xfId="0" applyFont="1" applyBorder="1"/>
    <xf numFmtId="165" fontId="0" fillId="0" borderId="0" xfId="0" applyNumberFormat="1"/>
    <xf numFmtId="0" fontId="23" fillId="0" borderId="46" xfId="0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0" fontId="22" fillId="0" borderId="13" xfId="0" applyFont="1" applyBorder="1" applyAlignment="1">
      <alignment vertical="center" wrapText="1"/>
    </xf>
    <xf numFmtId="0" fontId="22" fillId="0" borderId="45" xfId="0" applyFont="1" applyBorder="1" applyAlignment="1">
      <alignment vertical="center" wrapText="1"/>
    </xf>
    <xf numFmtId="0" fontId="3" fillId="2" borderId="53" xfId="3" applyFont="1" applyFill="1" applyBorder="1" applyAlignment="1">
      <alignment horizontal="left" wrapText="1"/>
    </xf>
    <xf numFmtId="0" fontId="3" fillId="2" borderId="0" xfId="3" applyFont="1" applyFill="1" applyBorder="1" applyAlignment="1">
      <alignment horizontal="left" wrapText="1"/>
    </xf>
    <xf numFmtId="0" fontId="3" fillId="2" borderId="54" xfId="3" applyFont="1" applyFill="1" applyBorder="1" applyAlignment="1">
      <alignment horizontal="left" wrapText="1"/>
    </xf>
    <xf numFmtId="0" fontId="3" fillId="2" borderId="54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left" wrapText="1" indent="1"/>
    </xf>
    <xf numFmtId="0" fontId="22" fillId="0" borderId="53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54" xfId="0" applyFont="1" applyBorder="1" applyAlignment="1">
      <alignment horizontal="left"/>
    </xf>
    <xf numFmtId="0" fontId="13" fillId="3" borderId="6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 wrapText="1" indent="1"/>
    </xf>
    <xf numFmtId="0" fontId="9" fillId="0" borderId="62" xfId="0" applyFont="1" applyBorder="1" applyAlignment="1">
      <alignment horizontal="left" wrapText="1"/>
    </xf>
    <xf numFmtId="0" fontId="9" fillId="0" borderId="63" xfId="0" applyFont="1" applyBorder="1" applyAlignment="1">
      <alignment horizontal="left" wrapText="1"/>
    </xf>
    <xf numFmtId="0" fontId="9" fillId="0" borderId="64" xfId="0" applyFont="1" applyBorder="1" applyAlignment="1">
      <alignment horizontal="left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 wrapText="1"/>
    </xf>
    <xf numFmtId="169" fontId="0" fillId="0" borderId="37" xfId="0" applyNumberFormat="1" applyBorder="1" applyAlignment="1">
      <alignment horizontal="center"/>
    </xf>
    <xf numFmtId="169" fontId="0" fillId="0" borderId="38" xfId="0" applyNumberForma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9" fillId="0" borderId="61" xfId="0" applyFont="1" applyBorder="1" applyAlignment="1">
      <alignment horizontal="left" wrapText="1"/>
    </xf>
    <xf numFmtId="0" fontId="9" fillId="0" borderId="43" xfId="0" applyFont="1" applyBorder="1" applyAlignment="1">
      <alignment horizontal="left" wrapText="1"/>
    </xf>
    <xf numFmtId="0" fontId="9" fillId="0" borderId="44" xfId="0" applyFont="1" applyBorder="1" applyAlignment="1">
      <alignment horizontal="left" wrapText="1"/>
    </xf>
    <xf numFmtId="0" fontId="19" fillId="0" borderId="18" xfId="0" applyFont="1" applyBorder="1"/>
    <xf numFmtId="0" fontId="0" fillId="0" borderId="14" xfId="0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6" fillId="0" borderId="3" xfId="0" applyFont="1" applyBorder="1"/>
    <xf numFmtId="0" fontId="19" fillId="0" borderId="3" xfId="0" applyFont="1" applyBorder="1" applyAlignment="1">
      <alignment horizontal="left" indent="1"/>
    </xf>
    <xf numFmtId="0" fontId="15" fillId="0" borderId="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/>
    </xf>
    <xf numFmtId="0" fontId="0" fillId="0" borderId="27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 indent="1"/>
    </xf>
    <xf numFmtId="0" fontId="21" fillId="0" borderId="2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0" fillId="0" borderId="48" xfId="0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0" fillId="0" borderId="22" xfId="0" applyBorder="1"/>
    <xf numFmtId="0" fontId="17" fillId="0" borderId="14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2" borderId="34" xfId="0" applyFont="1" applyFill="1" applyBorder="1" applyAlignment="1">
      <alignment horizontal="left" vertical="center" wrapText="1" indent="1"/>
    </xf>
  </cellXfs>
  <cellStyles count="4">
    <cellStyle name="Moneda" xfId="1" builtinId="4"/>
    <cellStyle name="Moneda_AUTORIZACION Y NOTA DE PEDIDO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zoomScale="86" zoomScaleNormal="86" workbookViewId="0">
      <selection activeCell="J49" sqref="J49"/>
    </sheetView>
  </sheetViews>
  <sheetFormatPr baseColWidth="10" defaultRowHeight="15" x14ac:dyDescent="0.25"/>
  <cols>
    <col min="1" max="1" width="17.5703125" customWidth="1"/>
    <col min="2" max="2" width="15.5703125" customWidth="1"/>
    <col min="3" max="3" width="15.140625" customWidth="1"/>
    <col min="4" max="4" width="19" customWidth="1"/>
    <col min="5" max="5" width="52.42578125" style="41" customWidth="1"/>
    <col min="6" max="6" width="22" customWidth="1"/>
    <col min="9" max="9" width="15.28515625" customWidth="1"/>
    <col min="10" max="10" width="13.28515625" customWidth="1"/>
  </cols>
  <sheetData>
    <row r="1" spans="1:11" ht="38.25" customHeight="1" x14ac:dyDescent="0.35">
      <c r="A1" s="1"/>
      <c r="B1" s="1"/>
      <c r="C1" s="1"/>
      <c r="D1" s="91" t="s">
        <v>0</v>
      </c>
      <c r="E1" s="91"/>
      <c r="F1" s="91"/>
      <c r="G1" s="91"/>
      <c r="H1" s="91"/>
      <c r="I1" s="91"/>
      <c r="J1" s="91"/>
      <c r="K1" s="1"/>
    </row>
    <row r="2" spans="1:11" ht="27" hidden="1" x14ac:dyDescent="0.35">
      <c r="A2" s="1"/>
      <c r="B2" s="1"/>
      <c r="C2" s="1"/>
      <c r="D2" s="92"/>
      <c r="E2" s="92"/>
      <c r="F2" s="92"/>
      <c r="G2" s="92"/>
      <c r="H2" s="92"/>
      <c r="I2" s="92"/>
      <c r="J2" s="1"/>
      <c r="K2" s="1"/>
    </row>
    <row r="3" spans="1:11" ht="16.5" hidden="1" customHeight="1" x14ac:dyDescent="0.25">
      <c r="A3" s="1"/>
      <c r="B3" s="1"/>
      <c r="C3" s="1"/>
      <c r="D3" s="1"/>
      <c r="E3" s="39"/>
      <c r="F3" s="1"/>
      <c r="G3" s="1"/>
      <c r="H3" s="1"/>
      <c r="I3" s="1"/>
      <c r="J3" s="1"/>
      <c r="K3" s="1"/>
    </row>
    <row r="4" spans="1:11" ht="30.75" customHeight="1" x14ac:dyDescent="0.25">
      <c r="A4" s="44" t="s">
        <v>1</v>
      </c>
      <c r="B4" s="44"/>
      <c r="C4" s="44"/>
      <c r="D4" s="43" t="s">
        <v>2</v>
      </c>
      <c r="E4" s="42"/>
      <c r="F4" s="42"/>
      <c r="G4" s="2"/>
      <c r="H4" s="3"/>
      <c r="I4" s="2"/>
      <c r="J4" s="1"/>
      <c r="K4" s="1"/>
    </row>
    <row r="5" spans="1:11" ht="15.75" x14ac:dyDescent="0.25">
      <c r="A5" s="6" t="s">
        <v>3</v>
      </c>
      <c r="B5" s="6"/>
      <c r="C5" s="6"/>
      <c r="D5" s="93" t="s">
        <v>4</v>
      </c>
      <c r="E5" s="93"/>
      <c r="F5" s="93"/>
      <c r="G5" s="2"/>
      <c r="H5" s="3"/>
      <c r="I5" s="2"/>
      <c r="J5" s="1"/>
      <c r="K5" s="1"/>
    </row>
    <row r="6" spans="1:11" ht="15.75" customHeight="1" x14ac:dyDescent="0.25">
      <c r="A6" s="6" t="s">
        <v>5</v>
      </c>
      <c r="B6" s="6"/>
      <c r="C6" s="6"/>
      <c r="D6" s="4">
        <v>2021</v>
      </c>
      <c r="E6" s="40"/>
      <c r="F6" s="5"/>
      <c r="G6" s="2"/>
      <c r="H6" s="3"/>
      <c r="I6" s="2"/>
      <c r="J6" s="1"/>
      <c r="K6" s="1"/>
    </row>
    <row r="7" spans="1:11" ht="24" customHeight="1" x14ac:dyDescent="0.25">
      <c r="A7" s="6" t="s">
        <v>6</v>
      </c>
      <c r="B7" s="6"/>
      <c r="C7" s="6"/>
      <c r="D7" s="4">
        <v>2</v>
      </c>
      <c r="E7" s="40"/>
      <c r="F7" s="5"/>
      <c r="G7" s="2"/>
      <c r="H7" s="3"/>
      <c r="I7" s="2"/>
      <c r="J7" s="1"/>
      <c r="K7" s="1"/>
    </row>
    <row r="8" spans="1:11" x14ac:dyDescent="0.25">
      <c r="A8" s="1"/>
      <c r="B8" s="1"/>
      <c r="C8" s="1"/>
      <c r="D8" s="3"/>
      <c r="E8" s="3"/>
      <c r="F8" s="2"/>
      <c r="G8" s="2"/>
      <c r="H8" s="3"/>
      <c r="I8" s="2"/>
      <c r="J8" s="1"/>
      <c r="K8" s="1"/>
    </row>
    <row r="9" spans="1:11" ht="39" thickBot="1" x14ac:dyDescent="0.3">
      <c r="A9" s="38" t="s">
        <v>7</v>
      </c>
      <c r="B9" s="38" t="s">
        <v>106</v>
      </c>
      <c r="C9" s="38" t="s">
        <v>8</v>
      </c>
      <c r="D9" s="38" t="s">
        <v>9</v>
      </c>
      <c r="E9" s="38" t="s">
        <v>10</v>
      </c>
      <c r="F9" s="38" t="s">
        <v>11</v>
      </c>
      <c r="G9" s="38" t="s">
        <v>12</v>
      </c>
      <c r="H9" s="38" t="s">
        <v>13</v>
      </c>
      <c r="I9" s="38" t="s">
        <v>14</v>
      </c>
      <c r="J9" s="1"/>
    </row>
    <row r="10" spans="1:11" ht="45.75" thickBot="1" x14ac:dyDescent="0.3">
      <c r="A10" s="72">
        <v>1</v>
      </c>
      <c r="B10" s="73" t="s">
        <v>107</v>
      </c>
      <c r="C10" s="72" t="s">
        <v>103</v>
      </c>
      <c r="D10" s="56" t="s">
        <v>104</v>
      </c>
      <c r="E10" s="65" t="s">
        <v>133</v>
      </c>
      <c r="F10" s="69" t="s">
        <v>16</v>
      </c>
      <c r="G10" s="69">
        <v>16</v>
      </c>
      <c r="H10" s="74">
        <v>1290</v>
      </c>
      <c r="I10" s="75">
        <f>+H10*G10</f>
        <v>20640</v>
      </c>
    </row>
    <row r="11" spans="1:11" ht="45.75" thickBot="1" x14ac:dyDescent="0.3">
      <c r="A11" s="72">
        <v>2</v>
      </c>
      <c r="B11" s="73" t="s">
        <v>108</v>
      </c>
      <c r="C11" s="72" t="s">
        <v>103</v>
      </c>
      <c r="D11" s="56" t="s">
        <v>104</v>
      </c>
      <c r="E11" s="65" t="s">
        <v>134</v>
      </c>
      <c r="F11" s="69" t="s">
        <v>16</v>
      </c>
      <c r="G11" s="69">
        <v>16</v>
      </c>
      <c r="H11" s="74">
        <v>2334</v>
      </c>
      <c r="I11" s="75">
        <f t="shared" ref="I11:I42" si="0">+H11*G11</f>
        <v>37344</v>
      </c>
    </row>
    <row r="12" spans="1:11" ht="45.75" thickBot="1" x14ac:dyDescent="0.3">
      <c r="A12" s="72">
        <v>3</v>
      </c>
      <c r="B12" s="73" t="s">
        <v>109</v>
      </c>
      <c r="C12" s="72" t="s">
        <v>103</v>
      </c>
      <c r="D12" s="56" t="s">
        <v>104</v>
      </c>
      <c r="E12" s="65" t="s">
        <v>135</v>
      </c>
      <c r="F12" s="69" t="s">
        <v>16</v>
      </c>
      <c r="G12" s="69">
        <v>6</v>
      </c>
      <c r="H12" s="74">
        <v>1150</v>
      </c>
      <c r="I12" s="75">
        <f t="shared" si="0"/>
        <v>6900</v>
      </c>
    </row>
    <row r="13" spans="1:11" ht="45.75" thickBot="1" x14ac:dyDescent="0.3">
      <c r="A13" s="72">
        <v>4</v>
      </c>
      <c r="B13" s="73" t="s">
        <v>110</v>
      </c>
      <c r="C13" s="72" t="s">
        <v>103</v>
      </c>
      <c r="D13" s="56" t="s">
        <v>104</v>
      </c>
      <c r="E13" s="65" t="s">
        <v>136</v>
      </c>
      <c r="F13" s="69" t="s">
        <v>16</v>
      </c>
      <c r="G13" s="69">
        <v>6</v>
      </c>
      <c r="H13" s="74">
        <v>1430</v>
      </c>
      <c r="I13" s="75">
        <f t="shared" si="0"/>
        <v>8580</v>
      </c>
    </row>
    <row r="14" spans="1:11" ht="45.75" thickBot="1" x14ac:dyDescent="0.3">
      <c r="A14" s="72">
        <v>5</v>
      </c>
      <c r="B14" s="73" t="s">
        <v>111</v>
      </c>
      <c r="C14" s="72" t="s">
        <v>103</v>
      </c>
      <c r="D14" s="56" t="s">
        <v>104</v>
      </c>
      <c r="E14" s="65" t="s">
        <v>137</v>
      </c>
      <c r="F14" s="69" t="s">
        <v>16</v>
      </c>
      <c r="G14" s="69">
        <v>3</v>
      </c>
      <c r="H14" s="74">
        <v>1499</v>
      </c>
      <c r="I14" s="75">
        <f t="shared" si="0"/>
        <v>4497</v>
      </c>
    </row>
    <row r="15" spans="1:11" ht="45.75" thickBot="1" x14ac:dyDescent="0.3">
      <c r="A15" s="72">
        <v>6</v>
      </c>
      <c r="B15" s="73" t="s">
        <v>112</v>
      </c>
      <c r="C15" s="72" t="s">
        <v>103</v>
      </c>
      <c r="D15" s="56" t="s">
        <v>104</v>
      </c>
      <c r="E15" s="65" t="s">
        <v>138</v>
      </c>
      <c r="F15" s="69" t="s">
        <v>16</v>
      </c>
      <c r="G15" s="69">
        <v>3</v>
      </c>
      <c r="H15" s="74">
        <v>1699</v>
      </c>
      <c r="I15" s="75">
        <f t="shared" si="0"/>
        <v>5097</v>
      </c>
    </row>
    <row r="16" spans="1:11" ht="30.75" thickBot="1" x14ac:dyDescent="0.3">
      <c r="A16" s="72">
        <v>7</v>
      </c>
      <c r="B16" s="73" t="s">
        <v>113</v>
      </c>
      <c r="C16" s="72" t="s">
        <v>103</v>
      </c>
      <c r="D16" s="56" t="s">
        <v>104</v>
      </c>
      <c r="E16" s="65" t="s">
        <v>139</v>
      </c>
      <c r="F16" s="69" t="s">
        <v>16</v>
      </c>
      <c r="G16" s="69">
        <v>10</v>
      </c>
      <c r="H16" s="74">
        <v>2070</v>
      </c>
      <c r="I16" s="75">
        <f t="shared" si="0"/>
        <v>20700</v>
      </c>
    </row>
    <row r="17" spans="1:9" ht="30.75" thickBot="1" x14ac:dyDescent="0.3">
      <c r="A17" s="72">
        <v>8</v>
      </c>
      <c r="B17" s="73" t="s">
        <v>114</v>
      </c>
      <c r="C17" s="72" t="s">
        <v>103</v>
      </c>
      <c r="D17" s="56" t="s">
        <v>104</v>
      </c>
      <c r="E17" s="65" t="s">
        <v>140</v>
      </c>
      <c r="F17" s="69" t="s">
        <v>16</v>
      </c>
      <c r="G17" s="69">
        <v>10</v>
      </c>
      <c r="H17" s="74">
        <v>2330</v>
      </c>
      <c r="I17" s="75">
        <f t="shared" si="0"/>
        <v>23300</v>
      </c>
    </row>
    <row r="18" spans="1:9" ht="30.75" thickBot="1" x14ac:dyDescent="0.3">
      <c r="A18" s="72">
        <v>9</v>
      </c>
      <c r="B18" s="73" t="s">
        <v>115</v>
      </c>
      <c r="C18" s="72" t="s">
        <v>103</v>
      </c>
      <c r="D18" s="56" t="s">
        <v>104</v>
      </c>
      <c r="E18" s="65" t="s">
        <v>141</v>
      </c>
      <c r="F18" s="69" t="s">
        <v>16</v>
      </c>
      <c r="G18" s="69">
        <v>6</v>
      </c>
      <c r="H18" s="74">
        <v>1999</v>
      </c>
      <c r="I18" s="75">
        <f t="shared" si="0"/>
        <v>11994</v>
      </c>
    </row>
    <row r="19" spans="1:9" ht="30.75" thickBot="1" x14ac:dyDescent="0.3">
      <c r="A19" s="72">
        <v>10</v>
      </c>
      <c r="B19" s="73" t="s">
        <v>115</v>
      </c>
      <c r="C19" s="72" t="s">
        <v>103</v>
      </c>
      <c r="D19" s="56" t="s">
        <v>104</v>
      </c>
      <c r="E19" s="65" t="s">
        <v>141</v>
      </c>
      <c r="F19" s="69" t="s">
        <v>16</v>
      </c>
      <c r="G19" s="69">
        <v>6</v>
      </c>
      <c r="H19" s="74">
        <v>2325</v>
      </c>
      <c r="I19" s="75">
        <f t="shared" si="0"/>
        <v>13950</v>
      </c>
    </row>
    <row r="20" spans="1:9" ht="30.75" thickBot="1" x14ac:dyDescent="0.3">
      <c r="A20" s="72">
        <v>11</v>
      </c>
      <c r="B20" s="73" t="s">
        <v>116</v>
      </c>
      <c r="C20" s="72" t="s">
        <v>103</v>
      </c>
      <c r="D20" s="56" t="s">
        <v>104</v>
      </c>
      <c r="E20" s="65" t="s">
        <v>142</v>
      </c>
      <c r="F20" s="69" t="s">
        <v>16</v>
      </c>
      <c r="G20" s="69">
        <v>8</v>
      </c>
      <c r="H20" s="74">
        <v>1699</v>
      </c>
      <c r="I20" s="75">
        <f t="shared" si="0"/>
        <v>13592</v>
      </c>
    </row>
    <row r="21" spans="1:9" ht="30.75" thickBot="1" x14ac:dyDescent="0.3">
      <c r="A21" s="72">
        <v>12</v>
      </c>
      <c r="B21" s="73" t="s">
        <v>116</v>
      </c>
      <c r="C21" s="72" t="s">
        <v>103</v>
      </c>
      <c r="D21" s="56" t="s">
        <v>104</v>
      </c>
      <c r="E21" s="65" t="s">
        <v>142</v>
      </c>
      <c r="F21" s="69" t="s">
        <v>16</v>
      </c>
      <c r="G21" s="69">
        <v>8</v>
      </c>
      <c r="H21" s="74">
        <v>2155</v>
      </c>
      <c r="I21" s="75">
        <f t="shared" si="0"/>
        <v>17240</v>
      </c>
    </row>
    <row r="22" spans="1:9" ht="30.75" thickBot="1" x14ac:dyDescent="0.3">
      <c r="A22" s="72">
        <v>13</v>
      </c>
      <c r="B22" s="73" t="s">
        <v>117</v>
      </c>
      <c r="C22" s="72" t="s">
        <v>103</v>
      </c>
      <c r="D22" s="56" t="s">
        <v>104</v>
      </c>
      <c r="E22" s="65" t="s">
        <v>143</v>
      </c>
      <c r="F22" s="69" t="s">
        <v>16</v>
      </c>
      <c r="G22" s="69">
        <v>4</v>
      </c>
      <c r="H22" s="74">
        <v>1750</v>
      </c>
      <c r="I22" s="75">
        <f t="shared" si="0"/>
        <v>7000</v>
      </c>
    </row>
    <row r="23" spans="1:9" ht="30.75" thickBot="1" x14ac:dyDescent="0.3">
      <c r="A23" s="72">
        <v>14</v>
      </c>
      <c r="B23" s="73" t="s">
        <v>117</v>
      </c>
      <c r="C23" s="72" t="s">
        <v>103</v>
      </c>
      <c r="D23" s="56" t="s">
        <v>104</v>
      </c>
      <c r="E23" s="65" t="s">
        <v>143</v>
      </c>
      <c r="F23" s="69" t="s">
        <v>16</v>
      </c>
      <c r="G23" s="69">
        <v>4</v>
      </c>
      <c r="H23" s="74">
        <v>1750</v>
      </c>
      <c r="I23" s="75">
        <f t="shared" si="0"/>
        <v>7000</v>
      </c>
    </row>
    <row r="24" spans="1:9" ht="30.75" thickBot="1" x14ac:dyDescent="0.3">
      <c r="A24" s="72">
        <v>15</v>
      </c>
      <c r="B24" s="73" t="s">
        <v>118</v>
      </c>
      <c r="C24" s="72" t="s">
        <v>103</v>
      </c>
      <c r="D24" s="56" t="s">
        <v>104</v>
      </c>
      <c r="E24" s="65" t="s">
        <v>144</v>
      </c>
      <c r="F24" s="69" t="s">
        <v>16</v>
      </c>
      <c r="G24" s="69">
        <v>5</v>
      </c>
      <c r="H24" s="74">
        <v>799</v>
      </c>
      <c r="I24" s="75">
        <f t="shared" si="0"/>
        <v>3995</v>
      </c>
    </row>
    <row r="25" spans="1:9" ht="30.75" thickBot="1" x14ac:dyDescent="0.3">
      <c r="A25" s="72">
        <v>16</v>
      </c>
      <c r="B25" s="73" t="s">
        <v>119</v>
      </c>
      <c r="C25" s="72" t="s">
        <v>103</v>
      </c>
      <c r="D25" s="56" t="s">
        <v>104</v>
      </c>
      <c r="E25" s="65" t="s">
        <v>145</v>
      </c>
      <c r="F25" s="69" t="s">
        <v>16</v>
      </c>
      <c r="G25" s="69">
        <v>5</v>
      </c>
      <c r="H25" s="74">
        <v>799</v>
      </c>
      <c r="I25" s="75">
        <f t="shared" si="0"/>
        <v>3995</v>
      </c>
    </row>
    <row r="26" spans="1:9" ht="30.75" thickBot="1" x14ac:dyDescent="0.3">
      <c r="A26" s="72">
        <v>17</v>
      </c>
      <c r="B26" s="73" t="s">
        <v>119</v>
      </c>
      <c r="C26" s="72" t="s">
        <v>103</v>
      </c>
      <c r="D26" s="56" t="s">
        <v>104</v>
      </c>
      <c r="E26" s="65" t="s">
        <v>145</v>
      </c>
      <c r="F26" s="69" t="s">
        <v>16</v>
      </c>
      <c r="G26" s="69">
        <v>5</v>
      </c>
      <c r="H26" s="74">
        <v>799</v>
      </c>
      <c r="I26" s="75">
        <f t="shared" si="0"/>
        <v>3995</v>
      </c>
    </row>
    <row r="27" spans="1:9" ht="30.75" thickBot="1" x14ac:dyDescent="0.3">
      <c r="A27" s="72">
        <v>18</v>
      </c>
      <c r="B27" s="73" t="s">
        <v>119</v>
      </c>
      <c r="C27" s="72" t="s">
        <v>103</v>
      </c>
      <c r="D27" s="56" t="s">
        <v>104</v>
      </c>
      <c r="E27" s="65" t="s">
        <v>145</v>
      </c>
      <c r="F27" s="69" t="s">
        <v>16</v>
      </c>
      <c r="G27" s="69">
        <v>5</v>
      </c>
      <c r="H27" s="74">
        <v>799</v>
      </c>
      <c r="I27" s="75">
        <f t="shared" si="0"/>
        <v>3995</v>
      </c>
    </row>
    <row r="28" spans="1:9" ht="30.75" thickBot="1" x14ac:dyDescent="0.3">
      <c r="A28" s="72">
        <v>19</v>
      </c>
      <c r="B28" s="73" t="s">
        <v>195</v>
      </c>
      <c r="C28" s="72" t="s">
        <v>103</v>
      </c>
      <c r="D28" s="56" t="s">
        <v>104</v>
      </c>
      <c r="E28" s="65" t="s">
        <v>196</v>
      </c>
      <c r="F28" s="69" t="s">
        <v>16</v>
      </c>
      <c r="G28" s="69">
        <v>100</v>
      </c>
      <c r="H28" s="74">
        <v>1985</v>
      </c>
      <c r="I28" s="75">
        <f t="shared" si="0"/>
        <v>198500</v>
      </c>
    </row>
    <row r="29" spans="1:9" ht="30.75" thickBot="1" x14ac:dyDescent="0.3">
      <c r="A29" s="72">
        <v>20</v>
      </c>
      <c r="B29" s="73" t="s">
        <v>120</v>
      </c>
      <c r="C29" s="72" t="s">
        <v>103</v>
      </c>
      <c r="D29" s="56" t="s">
        <v>104</v>
      </c>
      <c r="E29" s="65" t="s">
        <v>146</v>
      </c>
      <c r="F29" s="69" t="s">
        <v>16</v>
      </c>
      <c r="G29" s="69">
        <v>10</v>
      </c>
      <c r="H29" s="74">
        <v>80</v>
      </c>
      <c r="I29" s="75">
        <f t="shared" si="0"/>
        <v>800</v>
      </c>
    </row>
    <row r="30" spans="1:9" ht="30.75" thickBot="1" x14ac:dyDescent="0.3">
      <c r="A30" s="72">
        <v>21</v>
      </c>
      <c r="B30" s="73" t="s">
        <v>121</v>
      </c>
      <c r="C30" s="72" t="s">
        <v>103</v>
      </c>
      <c r="D30" s="56" t="s">
        <v>104</v>
      </c>
      <c r="E30" s="65" t="s">
        <v>147</v>
      </c>
      <c r="F30" s="69" t="s">
        <v>16</v>
      </c>
      <c r="G30" s="69">
        <v>10</v>
      </c>
      <c r="H30" s="74">
        <v>80</v>
      </c>
      <c r="I30" s="75">
        <f t="shared" si="0"/>
        <v>800</v>
      </c>
    </row>
    <row r="31" spans="1:9" ht="30.75" thickBot="1" x14ac:dyDescent="0.3">
      <c r="A31" s="72">
        <v>22</v>
      </c>
      <c r="B31" s="73" t="s">
        <v>122</v>
      </c>
      <c r="C31" s="72" t="s">
        <v>103</v>
      </c>
      <c r="D31" s="56" t="s">
        <v>104</v>
      </c>
      <c r="E31" s="65" t="s">
        <v>148</v>
      </c>
      <c r="F31" s="69" t="s">
        <v>16</v>
      </c>
      <c r="G31" s="69">
        <v>10</v>
      </c>
      <c r="H31" s="74">
        <v>80</v>
      </c>
      <c r="I31" s="75">
        <f t="shared" si="0"/>
        <v>800</v>
      </c>
    </row>
    <row r="32" spans="1:9" ht="30.75" thickBot="1" x14ac:dyDescent="0.3">
      <c r="A32" s="72">
        <v>23</v>
      </c>
      <c r="B32" s="73" t="s">
        <v>123</v>
      </c>
      <c r="C32" s="72" t="s">
        <v>103</v>
      </c>
      <c r="D32" s="56" t="s">
        <v>104</v>
      </c>
      <c r="E32" s="65" t="s">
        <v>149</v>
      </c>
      <c r="F32" s="69" t="s">
        <v>16</v>
      </c>
      <c r="G32" s="69">
        <v>10</v>
      </c>
      <c r="H32" s="74">
        <v>80</v>
      </c>
      <c r="I32" s="75">
        <f t="shared" si="0"/>
        <v>800</v>
      </c>
    </row>
    <row r="33" spans="1:11" ht="30.75" thickBot="1" x14ac:dyDescent="0.3">
      <c r="A33" s="72">
        <v>24</v>
      </c>
      <c r="B33" s="73" t="s">
        <v>124</v>
      </c>
      <c r="C33" s="72" t="s">
        <v>103</v>
      </c>
      <c r="D33" s="56" t="s">
        <v>104</v>
      </c>
      <c r="E33" s="65" t="s">
        <v>150</v>
      </c>
      <c r="F33" s="69" t="s">
        <v>16</v>
      </c>
      <c r="G33" s="69">
        <v>60</v>
      </c>
      <c r="H33" s="74">
        <v>495</v>
      </c>
      <c r="I33" s="75">
        <f t="shared" si="0"/>
        <v>29700</v>
      </c>
    </row>
    <row r="34" spans="1:11" ht="30.75" thickBot="1" x14ac:dyDescent="0.3">
      <c r="A34" s="72">
        <v>25</v>
      </c>
      <c r="B34" s="73" t="s">
        <v>125</v>
      </c>
      <c r="C34" s="72" t="s">
        <v>103</v>
      </c>
      <c r="D34" s="56" t="s">
        <v>104</v>
      </c>
      <c r="E34" s="65" t="s">
        <v>151</v>
      </c>
      <c r="F34" s="69" t="s">
        <v>16</v>
      </c>
      <c r="G34" s="69">
        <v>20</v>
      </c>
      <c r="H34" s="74">
        <v>735</v>
      </c>
      <c r="I34" s="75">
        <f t="shared" si="0"/>
        <v>14700</v>
      </c>
    </row>
    <row r="35" spans="1:11" ht="30.75" thickBot="1" x14ac:dyDescent="0.3">
      <c r="A35" s="72">
        <v>26</v>
      </c>
      <c r="B35" s="73" t="s">
        <v>126</v>
      </c>
      <c r="C35" s="72" t="s">
        <v>103</v>
      </c>
      <c r="D35" s="56" t="s">
        <v>104</v>
      </c>
      <c r="E35" s="65" t="s">
        <v>152</v>
      </c>
      <c r="F35" s="69" t="s">
        <v>16</v>
      </c>
      <c r="G35" s="69">
        <v>70</v>
      </c>
      <c r="H35" s="74">
        <v>1380</v>
      </c>
      <c r="I35" s="75">
        <f t="shared" si="0"/>
        <v>96600</v>
      </c>
    </row>
    <row r="36" spans="1:11" ht="30.75" thickBot="1" x14ac:dyDescent="0.3">
      <c r="A36" s="72">
        <v>27</v>
      </c>
      <c r="B36" s="73" t="s">
        <v>127</v>
      </c>
      <c r="C36" s="72" t="s">
        <v>103</v>
      </c>
      <c r="D36" s="56" t="s">
        <v>104</v>
      </c>
      <c r="E36" s="65" t="s">
        <v>153</v>
      </c>
      <c r="F36" s="69" t="s">
        <v>16</v>
      </c>
      <c r="G36" s="69">
        <v>30</v>
      </c>
      <c r="H36" s="74">
        <v>1249</v>
      </c>
      <c r="I36" s="75">
        <f t="shared" si="0"/>
        <v>37470</v>
      </c>
    </row>
    <row r="37" spans="1:11" ht="30.75" thickBot="1" x14ac:dyDescent="0.3">
      <c r="A37" s="72">
        <v>28</v>
      </c>
      <c r="B37" s="73" t="s">
        <v>128</v>
      </c>
      <c r="C37" s="72" t="s">
        <v>103</v>
      </c>
      <c r="D37" s="56" t="s">
        <v>104</v>
      </c>
      <c r="E37" s="65" t="s">
        <v>154</v>
      </c>
      <c r="F37" s="69" t="s">
        <v>16</v>
      </c>
      <c r="G37" s="69">
        <v>3</v>
      </c>
      <c r="H37" s="74">
        <v>1135</v>
      </c>
      <c r="I37" s="75">
        <f t="shared" si="0"/>
        <v>3405</v>
      </c>
    </row>
    <row r="38" spans="1:11" ht="30.75" thickBot="1" x14ac:dyDescent="0.3">
      <c r="A38" s="72">
        <v>29</v>
      </c>
      <c r="B38" s="73" t="s">
        <v>129</v>
      </c>
      <c r="C38" s="72" t="s">
        <v>103</v>
      </c>
      <c r="D38" s="56" t="s">
        <v>104</v>
      </c>
      <c r="E38" s="65" t="s">
        <v>155</v>
      </c>
      <c r="F38" s="69" t="s">
        <v>16</v>
      </c>
      <c r="G38" s="69">
        <v>3</v>
      </c>
      <c r="H38" s="74">
        <v>1135</v>
      </c>
      <c r="I38" s="75">
        <f t="shared" si="0"/>
        <v>3405</v>
      </c>
    </row>
    <row r="39" spans="1:11" ht="30.75" thickBot="1" x14ac:dyDescent="0.3">
      <c r="A39" s="72">
        <v>30</v>
      </c>
      <c r="B39" s="73" t="s">
        <v>130</v>
      </c>
      <c r="C39" s="72" t="s">
        <v>103</v>
      </c>
      <c r="D39" s="56" t="s">
        <v>104</v>
      </c>
      <c r="E39" s="65" t="s">
        <v>156</v>
      </c>
      <c r="F39" s="69" t="s">
        <v>16</v>
      </c>
      <c r="G39" s="69">
        <v>3</v>
      </c>
      <c r="H39" s="74">
        <v>1135</v>
      </c>
      <c r="I39" s="75">
        <f t="shared" si="0"/>
        <v>3405</v>
      </c>
    </row>
    <row r="40" spans="1:11" ht="30.75" thickBot="1" x14ac:dyDescent="0.3">
      <c r="A40" s="72">
        <v>31</v>
      </c>
      <c r="B40" s="73" t="s">
        <v>131</v>
      </c>
      <c r="C40" s="72" t="s">
        <v>103</v>
      </c>
      <c r="D40" s="56" t="s">
        <v>104</v>
      </c>
      <c r="E40" s="65" t="s">
        <v>157</v>
      </c>
      <c r="F40" s="69" t="s">
        <v>16</v>
      </c>
      <c r="G40" s="69">
        <v>3</v>
      </c>
      <c r="H40" s="74">
        <v>1135</v>
      </c>
      <c r="I40" s="75">
        <f t="shared" si="0"/>
        <v>3405</v>
      </c>
    </row>
    <row r="41" spans="1:11" ht="30.75" thickBot="1" x14ac:dyDescent="0.3">
      <c r="A41" s="72">
        <v>32</v>
      </c>
      <c r="B41" s="73" t="s">
        <v>125</v>
      </c>
      <c r="C41" s="72" t="s">
        <v>103</v>
      </c>
      <c r="D41" s="56" t="s">
        <v>104</v>
      </c>
      <c r="E41" s="65" t="s">
        <v>151</v>
      </c>
      <c r="F41" s="69" t="s">
        <v>16</v>
      </c>
      <c r="G41" s="69">
        <v>15</v>
      </c>
      <c r="H41" s="74">
        <v>1199</v>
      </c>
      <c r="I41" s="75">
        <f t="shared" si="0"/>
        <v>17985</v>
      </c>
    </row>
    <row r="42" spans="1:11" ht="30" x14ac:dyDescent="0.25">
      <c r="A42" s="72">
        <v>33</v>
      </c>
      <c r="B42" s="73" t="s">
        <v>132</v>
      </c>
      <c r="C42" s="72" t="s">
        <v>103</v>
      </c>
      <c r="D42" s="56" t="s">
        <v>104</v>
      </c>
      <c r="E42" s="65" t="s">
        <v>158</v>
      </c>
      <c r="F42" s="69" t="s">
        <v>16</v>
      </c>
      <c r="G42" s="69">
        <v>2</v>
      </c>
      <c r="H42" s="74">
        <v>910</v>
      </c>
      <c r="I42" s="75">
        <f t="shared" si="0"/>
        <v>1820</v>
      </c>
    </row>
    <row r="43" spans="1:11" ht="15.75" thickBot="1" x14ac:dyDescent="0.3">
      <c r="E43"/>
      <c r="J43" s="82"/>
      <c r="K43" s="1"/>
    </row>
    <row r="44" spans="1:11" x14ac:dyDescent="0.25">
      <c r="A44" s="52" t="s">
        <v>90</v>
      </c>
      <c r="B44" s="57"/>
      <c r="C44" s="57"/>
      <c r="D44" s="53"/>
      <c r="E44" s="53"/>
      <c r="F44" s="54"/>
      <c r="G44" s="1"/>
      <c r="H44" s="1"/>
      <c r="I44" s="1"/>
      <c r="J44" s="1"/>
      <c r="K44" s="1"/>
    </row>
    <row r="45" spans="1:11" x14ac:dyDescent="0.25">
      <c r="A45" s="87" t="s">
        <v>93</v>
      </c>
      <c r="B45" s="88"/>
      <c r="C45" s="88"/>
      <c r="D45" s="88"/>
      <c r="E45" s="88"/>
      <c r="F45" s="89"/>
      <c r="G45" s="1"/>
      <c r="H45" s="1"/>
      <c r="I45" s="1"/>
      <c r="J45" s="1"/>
      <c r="K45" s="1"/>
    </row>
    <row r="46" spans="1:11" ht="24" customHeight="1" x14ac:dyDescent="0.25">
      <c r="A46" s="87"/>
      <c r="B46" s="88"/>
      <c r="C46" s="88"/>
      <c r="D46" s="88"/>
      <c r="E46" s="88"/>
      <c r="F46" s="89"/>
      <c r="G46" s="1"/>
      <c r="H46" s="1"/>
      <c r="I46" s="1"/>
      <c r="J46" s="1"/>
      <c r="K46" s="1"/>
    </row>
    <row r="47" spans="1:11" ht="18" customHeight="1" x14ac:dyDescent="0.25">
      <c r="A47" s="87" t="s">
        <v>91</v>
      </c>
      <c r="B47" s="88"/>
      <c r="C47" s="88"/>
      <c r="D47" s="88"/>
      <c r="E47" s="88"/>
      <c r="F47" s="89"/>
      <c r="G47" s="1"/>
      <c r="H47" s="1"/>
      <c r="I47" s="1"/>
      <c r="J47" s="1"/>
      <c r="K47" s="1"/>
    </row>
    <row r="48" spans="1:11" ht="40.5" customHeight="1" x14ac:dyDescent="0.25">
      <c r="A48" s="94" t="s">
        <v>105</v>
      </c>
      <c r="B48" s="95"/>
      <c r="C48" s="95"/>
      <c r="D48" s="95"/>
      <c r="E48" s="95"/>
      <c r="F48" s="96"/>
      <c r="G48" s="1"/>
      <c r="H48" s="1"/>
      <c r="I48" s="1"/>
      <c r="J48" s="1"/>
      <c r="K48" s="1"/>
    </row>
    <row r="49" spans="1:11" ht="29.25" customHeight="1" x14ac:dyDescent="0.25">
      <c r="A49" s="55"/>
      <c r="B49" s="58"/>
      <c r="C49" s="58"/>
      <c r="D49" s="90" t="s">
        <v>92</v>
      </c>
      <c r="E49" s="90"/>
      <c r="F49" s="90"/>
      <c r="G49" s="1"/>
      <c r="H49" s="1"/>
      <c r="I49" s="1"/>
      <c r="J49" s="1"/>
      <c r="K49" s="1"/>
    </row>
    <row r="50" spans="1:11" ht="24" customHeight="1" x14ac:dyDescent="0.25">
      <c r="A50" s="55"/>
      <c r="B50" s="58"/>
      <c r="C50" s="58"/>
      <c r="D50" s="59"/>
      <c r="E50" s="59"/>
      <c r="F50" s="60"/>
      <c r="G50" s="1"/>
      <c r="H50" s="1"/>
      <c r="I50" s="1"/>
      <c r="J50" s="1"/>
      <c r="K50" s="1"/>
    </row>
    <row r="51" spans="1:11" x14ac:dyDescent="0.25">
      <c r="A51" s="85" t="s">
        <v>194</v>
      </c>
      <c r="B51" s="85"/>
      <c r="C51" s="85"/>
      <c r="D51" s="85"/>
      <c r="E51" s="85"/>
      <c r="F51" s="85"/>
      <c r="G51" s="1"/>
      <c r="H51" s="1"/>
      <c r="I51" s="1"/>
      <c r="J51" s="1"/>
      <c r="K51" s="1"/>
    </row>
    <row r="52" spans="1:11" ht="23.25" customHeight="1" x14ac:dyDescent="0.25">
      <c r="A52" s="86"/>
      <c r="B52" s="86"/>
      <c r="C52" s="86"/>
      <c r="D52" s="86"/>
      <c r="E52" s="86"/>
      <c r="F52" s="86"/>
      <c r="K52" s="1"/>
    </row>
    <row r="53" spans="1:11" ht="20.25" customHeight="1" x14ac:dyDescent="0.25">
      <c r="A53" s="77" t="s">
        <v>159</v>
      </c>
      <c r="B53" s="83"/>
      <c r="C53" s="78" t="s">
        <v>15</v>
      </c>
      <c r="D53" s="79"/>
      <c r="E53" s="80"/>
      <c r="F53" s="81"/>
      <c r="K53" s="1"/>
    </row>
    <row r="54" spans="1:11" ht="27.75" customHeight="1" x14ac:dyDescent="0.25">
      <c r="A54" s="71" t="s">
        <v>160</v>
      </c>
      <c r="B54" s="84"/>
      <c r="C54" s="76" t="s">
        <v>17</v>
      </c>
      <c r="D54" s="66"/>
      <c r="E54" s="67"/>
      <c r="F54" s="68"/>
    </row>
    <row r="55" spans="1:11" x14ac:dyDescent="0.25">
      <c r="A55" s="71" t="s">
        <v>161</v>
      </c>
      <c r="B55" s="84"/>
      <c r="C55" s="76" t="s">
        <v>18</v>
      </c>
      <c r="D55" s="66"/>
      <c r="E55" s="67"/>
      <c r="F55" s="68"/>
    </row>
    <row r="56" spans="1:11" x14ac:dyDescent="0.25">
      <c r="A56" s="71" t="s">
        <v>163</v>
      </c>
      <c r="B56" s="84"/>
      <c r="C56" s="76" t="s">
        <v>19</v>
      </c>
      <c r="D56" s="66"/>
      <c r="E56" s="67"/>
      <c r="F56" s="68"/>
    </row>
    <row r="57" spans="1:11" x14ac:dyDescent="0.25">
      <c r="A57" s="71" t="s">
        <v>164</v>
      </c>
      <c r="B57" s="84"/>
      <c r="C57" s="76" t="s">
        <v>20</v>
      </c>
      <c r="D57" s="66"/>
      <c r="E57" s="67"/>
      <c r="F57" s="68"/>
    </row>
    <row r="58" spans="1:11" x14ac:dyDescent="0.25">
      <c r="A58" s="71" t="s">
        <v>165</v>
      </c>
      <c r="B58" s="84"/>
      <c r="C58" s="76" t="s">
        <v>21</v>
      </c>
      <c r="D58" s="66"/>
      <c r="E58" s="67"/>
      <c r="F58" s="68"/>
    </row>
    <row r="59" spans="1:11" x14ac:dyDescent="0.25">
      <c r="A59" s="71" t="s">
        <v>166</v>
      </c>
      <c r="B59" s="84"/>
      <c r="C59" s="76" t="s">
        <v>22</v>
      </c>
      <c r="D59" s="66"/>
      <c r="E59" s="67"/>
      <c r="F59" s="68"/>
    </row>
    <row r="60" spans="1:11" x14ac:dyDescent="0.25">
      <c r="A60" s="71" t="s">
        <v>167</v>
      </c>
      <c r="B60" s="84"/>
      <c r="C60" s="76" t="s">
        <v>23</v>
      </c>
      <c r="D60" s="66"/>
      <c r="E60" s="67"/>
      <c r="F60" s="68"/>
    </row>
    <row r="61" spans="1:11" x14ac:dyDescent="0.25">
      <c r="A61" s="71" t="s">
        <v>168</v>
      </c>
      <c r="B61" s="84"/>
      <c r="C61" s="76" t="s">
        <v>24</v>
      </c>
      <c r="D61" s="66"/>
      <c r="E61" s="67"/>
      <c r="F61" s="68"/>
    </row>
    <row r="62" spans="1:11" x14ac:dyDescent="0.25">
      <c r="A62" s="71" t="s">
        <v>169</v>
      </c>
      <c r="B62" s="84"/>
      <c r="C62" s="76" t="s">
        <v>25</v>
      </c>
      <c r="D62" s="66"/>
      <c r="E62" s="67"/>
      <c r="F62" s="68"/>
    </row>
    <row r="63" spans="1:11" x14ac:dyDescent="0.25">
      <c r="A63" s="71" t="s">
        <v>170</v>
      </c>
      <c r="B63" s="84"/>
      <c r="C63" s="76" t="s">
        <v>26</v>
      </c>
      <c r="D63" s="66"/>
      <c r="E63" s="67"/>
      <c r="F63" s="68"/>
    </row>
    <row r="64" spans="1:11" x14ac:dyDescent="0.25">
      <c r="A64" s="71" t="s">
        <v>171</v>
      </c>
      <c r="B64" s="84"/>
      <c r="C64" s="76" t="s">
        <v>27</v>
      </c>
      <c r="D64" s="66"/>
      <c r="E64" s="67"/>
      <c r="F64" s="68"/>
    </row>
    <row r="65" spans="1:6" x14ac:dyDescent="0.25">
      <c r="A65" s="71" t="s">
        <v>172</v>
      </c>
      <c r="B65" s="84"/>
      <c r="C65" s="76" t="s">
        <v>28</v>
      </c>
      <c r="D65" s="66"/>
      <c r="E65" s="67"/>
      <c r="F65" s="68"/>
    </row>
    <row r="66" spans="1:6" x14ac:dyDescent="0.25">
      <c r="A66" s="71" t="s">
        <v>173</v>
      </c>
      <c r="B66" s="84"/>
      <c r="C66" s="76" t="s">
        <v>29</v>
      </c>
      <c r="D66" s="66"/>
      <c r="E66" s="67"/>
      <c r="F66" s="68"/>
    </row>
    <row r="67" spans="1:6" x14ac:dyDescent="0.25">
      <c r="A67" s="71" t="s">
        <v>174</v>
      </c>
      <c r="B67" s="84"/>
      <c r="C67" s="76" t="s">
        <v>30</v>
      </c>
      <c r="D67" s="66"/>
      <c r="E67" s="67"/>
      <c r="F67" s="68"/>
    </row>
    <row r="68" spans="1:6" x14ac:dyDescent="0.25">
      <c r="A68" s="71" t="s">
        <v>175</v>
      </c>
      <c r="B68" s="84"/>
      <c r="C68" s="76" t="s">
        <v>31</v>
      </c>
      <c r="D68" s="66"/>
      <c r="E68" s="67"/>
      <c r="F68" s="68"/>
    </row>
    <row r="69" spans="1:6" x14ac:dyDescent="0.25">
      <c r="A69" s="71" t="s">
        <v>176</v>
      </c>
      <c r="B69" s="84"/>
      <c r="C69" s="76" t="s">
        <v>32</v>
      </c>
      <c r="D69" s="66"/>
      <c r="E69" s="67"/>
      <c r="F69" s="68"/>
    </row>
    <row r="70" spans="1:6" x14ac:dyDescent="0.25">
      <c r="A70" s="71" t="s">
        <v>177</v>
      </c>
      <c r="B70" s="84"/>
      <c r="C70" s="76" t="s">
        <v>33</v>
      </c>
      <c r="D70" s="66"/>
      <c r="E70" s="67"/>
      <c r="F70" s="68"/>
    </row>
    <row r="71" spans="1:6" x14ac:dyDescent="0.25">
      <c r="A71" s="71" t="s">
        <v>178</v>
      </c>
      <c r="B71" s="84" t="s">
        <v>193</v>
      </c>
      <c r="C71" s="76" t="s">
        <v>34</v>
      </c>
      <c r="D71" s="66"/>
      <c r="E71" s="67"/>
      <c r="F71" s="68"/>
    </row>
    <row r="72" spans="1:6" x14ac:dyDescent="0.25">
      <c r="A72" s="71"/>
      <c r="B72" s="84" t="s">
        <v>193</v>
      </c>
      <c r="C72" s="76" t="s">
        <v>35</v>
      </c>
      <c r="D72" s="66"/>
      <c r="E72" s="67"/>
      <c r="F72" s="68"/>
    </row>
    <row r="73" spans="1:6" x14ac:dyDescent="0.25">
      <c r="A73" s="71"/>
      <c r="B73" s="84" t="s">
        <v>193</v>
      </c>
      <c r="C73" s="76" t="s">
        <v>36</v>
      </c>
      <c r="D73" s="66"/>
      <c r="E73" s="67"/>
      <c r="F73" s="68"/>
    </row>
    <row r="74" spans="1:6" x14ac:dyDescent="0.25">
      <c r="A74" s="71"/>
      <c r="B74" s="84" t="s">
        <v>193</v>
      </c>
      <c r="C74" s="76" t="s">
        <v>37</v>
      </c>
      <c r="D74" s="66"/>
      <c r="E74" s="67"/>
      <c r="F74" s="68"/>
    </row>
    <row r="75" spans="1:6" x14ac:dyDescent="0.25">
      <c r="A75" s="71" t="s">
        <v>179</v>
      </c>
      <c r="B75" s="84"/>
      <c r="C75" s="76" t="s">
        <v>38</v>
      </c>
      <c r="D75" s="66"/>
      <c r="E75" s="67"/>
      <c r="F75" s="68"/>
    </row>
    <row r="76" spans="1:6" x14ac:dyDescent="0.25">
      <c r="A76" s="71" t="s">
        <v>180</v>
      </c>
      <c r="B76" s="84"/>
      <c r="C76" s="76" t="s">
        <v>39</v>
      </c>
      <c r="D76" s="66"/>
      <c r="E76" s="67"/>
      <c r="F76" s="68"/>
    </row>
    <row r="77" spans="1:6" x14ac:dyDescent="0.25">
      <c r="A77" s="71" t="s">
        <v>181</v>
      </c>
      <c r="B77" s="84"/>
      <c r="C77" s="76" t="s">
        <v>40</v>
      </c>
      <c r="D77" s="66"/>
      <c r="E77" s="67"/>
      <c r="F77" s="68"/>
    </row>
    <row r="78" spans="1:6" x14ac:dyDescent="0.25">
      <c r="A78" s="71" t="s">
        <v>182</v>
      </c>
      <c r="B78" s="84"/>
      <c r="C78" s="76" t="s">
        <v>41</v>
      </c>
      <c r="D78" s="66"/>
      <c r="E78" s="67"/>
      <c r="F78" s="68"/>
    </row>
    <row r="79" spans="1:6" x14ac:dyDescent="0.25">
      <c r="A79" s="71" t="s">
        <v>183</v>
      </c>
      <c r="B79" s="84"/>
      <c r="C79" s="76" t="s">
        <v>42</v>
      </c>
      <c r="D79" s="66"/>
      <c r="E79" s="67"/>
      <c r="F79" s="68"/>
    </row>
    <row r="80" spans="1:6" x14ac:dyDescent="0.25">
      <c r="A80" s="71" t="s">
        <v>184</v>
      </c>
      <c r="B80" s="84"/>
      <c r="C80" s="76" t="s">
        <v>43</v>
      </c>
      <c r="D80" s="66"/>
      <c r="E80" s="67"/>
      <c r="F80" s="68"/>
    </row>
    <row r="81" spans="1:6" x14ac:dyDescent="0.25">
      <c r="A81" s="71" t="s">
        <v>185</v>
      </c>
      <c r="B81" s="84"/>
      <c r="C81" s="76" t="s">
        <v>44</v>
      </c>
      <c r="D81" s="66"/>
      <c r="E81" s="67"/>
      <c r="F81" s="68"/>
    </row>
    <row r="82" spans="1:6" x14ac:dyDescent="0.25">
      <c r="A82" s="71" t="s">
        <v>186</v>
      </c>
      <c r="B82" s="84"/>
      <c r="C82" s="76" t="s">
        <v>45</v>
      </c>
      <c r="D82" s="66"/>
      <c r="E82" s="67"/>
      <c r="F82" s="68"/>
    </row>
    <row r="83" spans="1:6" x14ac:dyDescent="0.25">
      <c r="A83" s="71" t="s">
        <v>187</v>
      </c>
      <c r="B83" s="84"/>
      <c r="C83" s="76" t="s">
        <v>46</v>
      </c>
      <c r="D83" s="66"/>
      <c r="E83" s="67"/>
      <c r="F83" s="68"/>
    </row>
    <row r="84" spans="1:6" x14ac:dyDescent="0.25">
      <c r="A84" s="71" t="s">
        <v>188</v>
      </c>
      <c r="B84" s="84"/>
      <c r="C84" s="76" t="s">
        <v>47</v>
      </c>
      <c r="D84" s="66"/>
      <c r="E84" s="67"/>
      <c r="F84" s="68"/>
    </row>
    <row r="85" spans="1:6" x14ac:dyDescent="0.25">
      <c r="A85" s="71" t="s">
        <v>189</v>
      </c>
      <c r="B85" s="84"/>
      <c r="C85" s="76" t="s">
        <v>48</v>
      </c>
      <c r="D85" s="66"/>
      <c r="E85" s="67"/>
      <c r="F85" s="68"/>
    </row>
    <row r="86" spans="1:6" x14ac:dyDescent="0.25">
      <c r="A86" s="71" t="s">
        <v>190</v>
      </c>
      <c r="B86" s="84"/>
      <c r="C86" s="76" t="s">
        <v>49</v>
      </c>
      <c r="D86" s="66"/>
      <c r="E86" s="67"/>
      <c r="F86" s="68"/>
    </row>
    <row r="87" spans="1:6" x14ac:dyDescent="0.25">
      <c r="A87" s="71" t="s">
        <v>191</v>
      </c>
      <c r="B87" s="84"/>
      <c r="C87" s="76" t="s">
        <v>50</v>
      </c>
      <c r="D87" s="66"/>
      <c r="E87" s="67"/>
      <c r="F87" s="68"/>
    </row>
    <row r="88" spans="1:6" x14ac:dyDescent="0.25">
      <c r="A88" s="71" t="s">
        <v>192</v>
      </c>
      <c r="B88" s="84"/>
      <c r="C88" s="76" t="s">
        <v>51</v>
      </c>
      <c r="D88" s="66"/>
      <c r="E88" s="67"/>
      <c r="F88" s="68"/>
    </row>
    <row r="89" spans="1:6" x14ac:dyDescent="0.25">
      <c r="A89" s="61"/>
      <c r="B89" s="62"/>
      <c r="C89" s="62"/>
      <c r="D89" s="62"/>
      <c r="E89" s="63"/>
      <c r="F89" s="64"/>
    </row>
  </sheetData>
  <mergeCells count="8">
    <mergeCell ref="A51:F52"/>
    <mergeCell ref="A47:F47"/>
    <mergeCell ref="D49:F49"/>
    <mergeCell ref="D1:J1"/>
    <mergeCell ref="A45:F46"/>
    <mergeCell ref="D2:I2"/>
    <mergeCell ref="D5:F5"/>
    <mergeCell ref="A48:F48"/>
  </mergeCells>
  <pageMargins left="0.70866141732283472" right="0.70866141732283472" top="0.74803149606299213" bottom="0.74803149606299213" header="0.31496062992125984" footer="0.31496062992125984"/>
  <pageSetup paperSize="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A2" workbookViewId="0">
      <selection activeCell="N12" sqref="N12"/>
    </sheetView>
  </sheetViews>
  <sheetFormatPr baseColWidth="10" defaultRowHeight="15" x14ac:dyDescent="0.25"/>
  <cols>
    <col min="2" max="2" width="15.5703125" customWidth="1"/>
    <col min="4" max="4" width="11.5703125" customWidth="1"/>
    <col min="10" max="10" width="11.7109375" bestFit="1" customWidth="1"/>
  </cols>
  <sheetData>
    <row r="1" spans="1:11" ht="16.5" thickBot="1" x14ac:dyDescent="0.3">
      <c r="A1" s="99" t="s">
        <v>52</v>
      </c>
      <c r="B1" s="99"/>
      <c r="C1" s="99"/>
      <c r="D1" s="99"/>
      <c r="E1" s="99"/>
      <c r="F1" s="99"/>
      <c r="G1" s="99"/>
      <c r="H1" s="99"/>
      <c r="I1" s="99"/>
      <c r="J1" s="7" t="s">
        <v>53</v>
      </c>
      <c r="K1" s="8" t="s">
        <v>94</v>
      </c>
    </row>
    <row r="2" spans="1:11" ht="16.5" thickBot="1" x14ac:dyDescent="0.3">
      <c r="A2" s="9"/>
      <c r="B2" s="9"/>
      <c r="C2" s="9"/>
      <c r="D2" s="10"/>
      <c r="E2" s="10"/>
      <c r="F2" s="10"/>
      <c r="G2" s="10"/>
      <c r="H2" s="10"/>
      <c r="I2" s="10"/>
      <c r="J2" s="10"/>
      <c r="K2" s="10"/>
    </row>
    <row r="3" spans="1:11" ht="16.5" thickBot="1" x14ac:dyDescent="0.3">
      <c r="A3" s="100" t="s">
        <v>54</v>
      </c>
      <c r="B3" s="100"/>
      <c r="C3" s="100"/>
      <c r="D3" s="98" t="s">
        <v>99</v>
      </c>
      <c r="E3" s="98"/>
      <c r="F3" s="98"/>
      <c r="G3" s="98"/>
      <c r="H3" s="98"/>
      <c r="I3" s="98"/>
      <c r="J3" s="98"/>
      <c r="K3" s="98"/>
    </row>
    <row r="4" spans="1:11" ht="16.5" thickBot="1" x14ac:dyDescent="0.3">
      <c r="A4" s="97" t="s">
        <v>55</v>
      </c>
      <c r="B4" s="97"/>
      <c r="C4" s="97"/>
      <c r="D4" s="98" t="s">
        <v>95</v>
      </c>
      <c r="E4" s="98"/>
      <c r="F4" s="98"/>
      <c r="G4" s="98"/>
      <c r="H4" s="98"/>
      <c r="I4" s="98"/>
      <c r="J4" s="98"/>
      <c r="K4" s="98"/>
    </row>
    <row r="5" spans="1:11" ht="16.5" thickBot="1" x14ac:dyDescent="0.3">
      <c r="A5" s="97" t="s">
        <v>56</v>
      </c>
      <c r="B5" s="97"/>
      <c r="C5" s="97"/>
      <c r="D5" s="98" t="s">
        <v>4</v>
      </c>
      <c r="E5" s="98"/>
      <c r="F5" s="98"/>
      <c r="G5" s="98"/>
      <c r="H5" s="98"/>
      <c r="I5" s="98"/>
      <c r="J5" s="98"/>
      <c r="K5" s="98"/>
    </row>
    <row r="6" spans="1:11" ht="16.5" thickBot="1" x14ac:dyDescent="0.3">
      <c r="A6" s="100" t="s">
        <v>57</v>
      </c>
      <c r="B6" s="100"/>
      <c r="C6" s="100"/>
      <c r="D6" s="98" t="s">
        <v>96</v>
      </c>
      <c r="E6" s="98"/>
      <c r="F6" s="98"/>
      <c r="G6" s="98"/>
      <c r="H6" s="98"/>
      <c r="I6" s="98"/>
      <c r="J6" s="98"/>
      <c r="K6" s="98"/>
    </row>
    <row r="7" spans="1:11" ht="16.5" thickBot="1" x14ac:dyDescent="0.3">
      <c r="A7" s="97" t="s">
        <v>58</v>
      </c>
      <c r="B7" s="97"/>
      <c r="C7" s="97"/>
      <c r="D7" s="98" t="s">
        <v>97</v>
      </c>
      <c r="E7" s="98"/>
      <c r="F7" s="98"/>
      <c r="G7" s="98"/>
      <c r="H7" s="98"/>
      <c r="I7" s="98"/>
      <c r="J7" s="98"/>
      <c r="K7" s="98"/>
    </row>
    <row r="8" spans="1:11" ht="16.5" thickBot="1" x14ac:dyDescent="0.3">
      <c r="A8" s="101" t="s">
        <v>59</v>
      </c>
      <c r="B8" s="101"/>
      <c r="C8" s="101"/>
      <c r="D8" s="102" t="s">
        <v>98</v>
      </c>
      <c r="E8" s="102"/>
      <c r="F8" s="102"/>
      <c r="G8" s="102"/>
      <c r="H8" s="102"/>
      <c r="I8" s="102"/>
      <c r="J8" s="102"/>
      <c r="K8" s="102"/>
    </row>
    <row r="9" spans="1:11" ht="16.5" thickBot="1" x14ac:dyDescent="0.3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</row>
    <row r="10" spans="1:11" ht="15.75" thickBot="1" x14ac:dyDescent="0.3">
      <c r="A10" s="107" t="s">
        <v>60</v>
      </c>
      <c r="B10" s="108" t="s">
        <v>61</v>
      </c>
      <c r="C10" s="108" t="s">
        <v>62</v>
      </c>
      <c r="D10" s="108"/>
      <c r="E10" s="108"/>
      <c r="F10" s="108"/>
      <c r="G10" s="108"/>
      <c r="H10" s="108" t="s">
        <v>63</v>
      </c>
      <c r="I10" s="108" t="s">
        <v>64</v>
      </c>
      <c r="J10" s="108" t="s">
        <v>65</v>
      </c>
      <c r="K10" s="106" t="s">
        <v>66</v>
      </c>
    </row>
    <row r="11" spans="1:11" ht="32.25" customHeight="1" thickBot="1" x14ac:dyDescent="0.3">
      <c r="A11" s="107"/>
      <c r="B11" s="108"/>
      <c r="C11" s="108"/>
      <c r="D11" s="108"/>
      <c r="E11" s="108"/>
      <c r="F11" s="108"/>
      <c r="G11" s="108"/>
      <c r="H11" s="108"/>
      <c r="I11" s="108"/>
      <c r="J11" s="108"/>
      <c r="K11" s="106"/>
    </row>
    <row r="12" spans="1:11" ht="54.95" customHeight="1" thickBot="1" x14ac:dyDescent="0.3">
      <c r="A12" s="13">
        <v>1</v>
      </c>
      <c r="B12" s="56" t="str">
        <f>+'Necesidades trimestrales'!B10</f>
        <v>2.9.6-1355.937</v>
      </c>
      <c r="C12" s="103" t="str">
        <f>'Necesidades trimestrales'!E10</f>
        <v>CARTUCHOS DE TINTA; CODIGO: HP21, DESCRIPCION: SIN VALOR, COLOR: SIN VALOR, USO: HEWLETT PACKARD</v>
      </c>
      <c r="D12" s="104"/>
      <c r="E12" s="104"/>
      <c r="F12" s="104"/>
      <c r="G12" s="105"/>
      <c r="H12" s="14" t="s">
        <v>162</v>
      </c>
      <c r="I12" s="69" t="s">
        <v>16</v>
      </c>
      <c r="J12" s="70">
        <f>'Necesidades trimestrales'!H10</f>
        <v>1290</v>
      </c>
      <c r="K12" s="69">
        <f>'Necesidades trimestrales'!G10</f>
        <v>16</v>
      </c>
    </row>
    <row r="13" spans="1:11" ht="54.95" customHeight="1" thickBot="1" x14ac:dyDescent="0.3">
      <c r="A13" s="15">
        <v>2</v>
      </c>
      <c r="B13" s="56" t="str">
        <f>+'Necesidades trimestrales'!B11</f>
        <v>2.9.6-1355.938</v>
      </c>
      <c r="C13" s="103" t="str">
        <f>'Necesidades trimestrales'!E11</f>
        <v>CARTUCHOS DE TINTA; CODIGO: HP22, DESCRIPCION: SIN VALOR, COLOR: SIN VALOR, USO: HEWLETT PACKARD</v>
      </c>
      <c r="D13" s="104"/>
      <c r="E13" s="104"/>
      <c r="F13" s="104"/>
      <c r="G13" s="105"/>
      <c r="H13" s="14" t="s">
        <v>162</v>
      </c>
      <c r="I13" s="69" t="s">
        <v>16</v>
      </c>
      <c r="J13" s="70">
        <f>'Necesidades trimestrales'!H11</f>
        <v>2334</v>
      </c>
      <c r="K13" s="69">
        <f>'Necesidades trimestrales'!G11</f>
        <v>16</v>
      </c>
    </row>
    <row r="14" spans="1:11" ht="54.95" customHeight="1" thickBot="1" x14ac:dyDescent="0.3">
      <c r="A14" s="15">
        <v>3</v>
      </c>
      <c r="B14" s="56" t="str">
        <f>+'Necesidades trimestrales'!B12</f>
        <v>2.9.6-1355.1044</v>
      </c>
      <c r="C14" s="103" t="str">
        <f>'Necesidades trimestrales'!E12</f>
        <v>CARTUCHOS DE TINTA; CODIGO: HP27, DESCRIPCION: CARTUCHO TINTA, COLOR: NEGRO, USO: HEWLETT PACKARD</v>
      </c>
      <c r="D14" s="104"/>
      <c r="E14" s="104"/>
      <c r="F14" s="104"/>
      <c r="G14" s="105"/>
      <c r="H14" s="14" t="s">
        <v>162</v>
      </c>
      <c r="I14" s="69" t="s">
        <v>16</v>
      </c>
      <c r="J14" s="70">
        <f>'Necesidades trimestrales'!H12</f>
        <v>1150</v>
      </c>
      <c r="K14" s="69">
        <f>'Necesidades trimestrales'!G12</f>
        <v>6</v>
      </c>
    </row>
    <row r="15" spans="1:11" ht="54.95" customHeight="1" thickBot="1" x14ac:dyDescent="0.3">
      <c r="A15" s="15">
        <v>4</v>
      </c>
      <c r="B15" s="56" t="str">
        <f>+'Necesidades trimestrales'!B13</f>
        <v>2.9.6-1355.1045</v>
      </c>
      <c r="C15" s="103" t="str">
        <f>'Necesidades trimestrales'!E13</f>
        <v>CARTUCHOS DE TINTA; CODIGO: HP28, DESCRIPCION: CARTUCHO TINTA, COLOR: COLOR, USO: HEWLETT PACKARD</v>
      </c>
      <c r="D15" s="104"/>
      <c r="E15" s="104"/>
      <c r="F15" s="104"/>
      <c r="G15" s="105"/>
      <c r="H15" s="14" t="s">
        <v>162</v>
      </c>
      <c r="I15" s="69" t="s">
        <v>16</v>
      </c>
      <c r="J15" s="70">
        <f>'Necesidades trimestrales'!H13</f>
        <v>1430</v>
      </c>
      <c r="K15" s="69">
        <f>'Necesidades trimestrales'!G13</f>
        <v>6</v>
      </c>
    </row>
    <row r="16" spans="1:11" ht="54.95" customHeight="1" thickBot="1" x14ac:dyDescent="0.3">
      <c r="A16" s="15">
        <v>5</v>
      </c>
      <c r="B16" s="56" t="str">
        <f>+'Necesidades trimestrales'!B14</f>
        <v>2.9.6-1355.664</v>
      </c>
      <c r="C16" s="103" t="str">
        <f>'Necesidades trimestrales'!E14</f>
        <v>CARTUCHOS DE TINTA; CODIGO: C6656A, PRODUCTO: TINTA, COLOR: NEGRA, USO: HEWLETT PACKARD, DESCRIPCION: TINTA</v>
      </c>
      <c r="D16" s="104"/>
      <c r="E16" s="104"/>
      <c r="F16" s="104"/>
      <c r="G16" s="105"/>
      <c r="H16" s="14" t="s">
        <v>162</v>
      </c>
      <c r="I16" s="69" t="s">
        <v>16</v>
      </c>
      <c r="J16" s="70">
        <f>'Necesidades trimestrales'!H14</f>
        <v>1499</v>
      </c>
      <c r="K16" s="69">
        <f>'Necesidades trimestrales'!G14</f>
        <v>3</v>
      </c>
    </row>
    <row r="17" spans="1:11" ht="54.95" customHeight="1" thickBot="1" x14ac:dyDescent="0.3">
      <c r="A17" s="15">
        <v>6</v>
      </c>
      <c r="B17" s="56" t="str">
        <f>+'Necesidades trimestrales'!B15</f>
        <v>2.9.6-1355.1138</v>
      </c>
      <c r="C17" s="103" t="str">
        <f>'Necesidades trimestrales'!E15</f>
        <v>CARTUCHOS DE TINTA; CODIGO: C6657AL, DESCRIPCION: CARTUCHO DE TINTA, COLOR: COLOR, USO: HEWLETT PACKARD</v>
      </c>
      <c r="D17" s="104"/>
      <c r="E17" s="104"/>
      <c r="F17" s="104"/>
      <c r="G17" s="105"/>
      <c r="H17" s="14" t="s">
        <v>162</v>
      </c>
      <c r="I17" s="69" t="s">
        <v>16</v>
      </c>
      <c r="J17" s="70">
        <f>'Necesidades trimestrales'!H15</f>
        <v>1699</v>
      </c>
      <c r="K17" s="69">
        <f>'Necesidades trimestrales'!G15</f>
        <v>3</v>
      </c>
    </row>
    <row r="18" spans="1:11" ht="54.95" customHeight="1" thickBot="1" x14ac:dyDescent="0.3">
      <c r="A18" s="15">
        <v>7</v>
      </c>
      <c r="B18" s="56" t="str">
        <f>+'Necesidades trimestrales'!B16</f>
        <v>2.9.6-1355.1854</v>
      </c>
      <c r="C18" s="103" t="str">
        <f>'Necesidades trimestrales'!E16</f>
        <v>CARTUCHOS DE TINTA; CODIGO: CC640XL, USO: HP 3515</v>
      </c>
      <c r="D18" s="104"/>
      <c r="E18" s="104"/>
      <c r="F18" s="104"/>
      <c r="G18" s="105"/>
      <c r="H18" s="14" t="s">
        <v>162</v>
      </c>
      <c r="I18" s="69" t="s">
        <v>16</v>
      </c>
      <c r="J18" s="70">
        <f>'Necesidades trimestrales'!H16</f>
        <v>2070</v>
      </c>
      <c r="K18" s="69">
        <f>'Necesidades trimestrales'!G16</f>
        <v>10</v>
      </c>
    </row>
    <row r="19" spans="1:11" ht="54.95" customHeight="1" thickBot="1" x14ac:dyDescent="0.3">
      <c r="A19" s="15">
        <v>8</v>
      </c>
      <c r="B19" s="56" t="str">
        <f>+'Necesidades trimestrales'!B17</f>
        <v>2.9.6-1355.1855</v>
      </c>
      <c r="C19" s="103" t="str">
        <f>'Necesidades trimestrales'!E17</f>
        <v>CARTUCHOS DE TINTA; CODIGO: CC643XL, USO: HP 3515</v>
      </c>
      <c r="D19" s="104"/>
      <c r="E19" s="104"/>
      <c r="F19" s="104"/>
      <c r="G19" s="105"/>
      <c r="H19" s="14" t="s">
        <v>162</v>
      </c>
      <c r="I19" s="69" t="s">
        <v>16</v>
      </c>
      <c r="J19" s="70">
        <f>'Necesidades trimestrales'!H17</f>
        <v>2330</v>
      </c>
      <c r="K19" s="69">
        <f>'Necesidades trimestrales'!G17</f>
        <v>10</v>
      </c>
    </row>
    <row r="20" spans="1:11" ht="54.95" customHeight="1" thickBot="1" x14ac:dyDescent="0.3">
      <c r="A20" s="15">
        <v>9</v>
      </c>
      <c r="B20" s="56" t="str">
        <f>+'Necesidades trimestrales'!B18</f>
        <v>2.9.6-1355.1950</v>
      </c>
      <c r="C20" s="103" t="str">
        <f>'Necesidades trimestrales'!E18</f>
        <v>CARTUCHOS DE TINTA; CODIGO: 662XL, USO: HP</v>
      </c>
      <c r="D20" s="104"/>
      <c r="E20" s="104"/>
      <c r="F20" s="104"/>
      <c r="G20" s="105"/>
      <c r="H20" s="14" t="s">
        <v>162</v>
      </c>
      <c r="I20" s="69" t="s">
        <v>16</v>
      </c>
      <c r="J20" s="70">
        <f>'Necesidades trimestrales'!H18</f>
        <v>1999</v>
      </c>
      <c r="K20" s="69">
        <f>'Necesidades trimestrales'!G18</f>
        <v>6</v>
      </c>
    </row>
    <row r="21" spans="1:11" ht="54.95" customHeight="1" thickBot="1" x14ac:dyDescent="0.3">
      <c r="A21" s="15">
        <v>10</v>
      </c>
      <c r="B21" s="56" t="str">
        <f>+'Necesidades trimestrales'!B19</f>
        <v>2.9.6-1355.1950</v>
      </c>
      <c r="C21" s="103" t="str">
        <f>'Necesidades trimestrales'!E19</f>
        <v>CARTUCHOS DE TINTA; CODIGO: 662XL, USO: HP</v>
      </c>
      <c r="D21" s="104"/>
      <c r="E21" s="104"/>
      <c r="F21" s="104"/>
      <c r="G21" s="105"/>
      <c r="H21" s="14" t="s">
        <v>162</v>
      </c>
      <c r="I21" s="69" t="s">
        <v>16</v>
      </c>
      <c r="J21" s="70">
        <f>'Necesidades trimestrales'!H19</f>
        <v>2325</v>
      </c>
      <c r="K21" s="69">
        <f>'Necesidades trimestrales'!G19</f>
        <v>6</v>
      </c>
    </row>
    <row r="22" spans="1:11" ht="54.95" customHeight="1" thickBot="1" x14ac:dyDescent="0.3">
      <c r="A22" s="15">
        <v>11</v>
      </c>
      <c r="B22" s="56" t="str">
        <f>+'Necesidades trimestrales'!B20</f>
        <v>2.9.6-1355.1988</v>
      </c>
      <c r="C22" s="103" t="str">
        <f>'Necesidades trimestrales'!E20</f>
        <v>CARTUCHOS DE TINTA; CODIGO: 664, USO: HEWLET PACKARD</v>
      </c>
      <c r="D22" s="104"/>
      <c r="E22" s="104"/>
      <c r="F22" s="104"/>
      <c r="G22" s="105"/>
      <c r="H22" s="14" t="s">
        <v>162</v>
      </c>
      <c r="I22" s="69" t="s">
        <v>16</v>
      </c>
      <c r="J22" s="70">
        <f>'Necesidades trimestrales'!H20</f>
        <v>1699</v>
      </c>
      <c r="K22" s="69">
        <f>'Necesidades trimestrales'!G20</f>
        <v>8</v>
      </c>
    </row>
    <row r="23" spans="1:11" ht="54.95" customHeight="1" thickBot="1" x14ac:dyDescent="0.3">
      <c r="A23" s="15">
        <v>12</v>
      </c>
      <c r="B23" s="56" t="str">
        <f>+'Necesidades trimestrales'!B21</f>
        <v>2.9.6-1355.1988</v>
      </c>
      <c r="C23" s="103" t="str">
        <f>'Necesidades trimestrales'!E21</f>
        <v>CARTUCHOS DE TINTA; CODIGO: 664, USO: HEWLET PACKARD</v>
      </c>
      <c r="D23" s="104"/>
      <c r="E23" s="104"/>
      <c r="F23" s="104"/>
      <c r="G23" s="105"/>
      <c r="H23" s="14" t="s">
        <v>162</v>
      </c>
      <c r="I23" s="69" t="s">
        <v>16</v>
      </c>
      <c r="J23" s="70">
        <f>'Necesidades trimestrales'!H21</f>
        <v>2155</v>
      </c>
      <c r="K23" s="69">
        <f>'Necesidades trimestrales'!G21</f>
        <v>8</v>
      </c>
    </row>
    <row r="24" spans="1:11" ht="54.95" customHeight="1" thickBot="1" x14ac:dyDescent="0.3">
      <c r="A24" s="15">
        <v>13</v>
      </c>
      <c r="B24" s="56" t="str">
        <f>+'Necesidades trimestrales'!B22</f>
        <v>2.9.6-1355.1667</v>
      </c>
      <c r="C24" s="103" t="str">
        <f>'Necesidades trimestrales'!E22</f>
        <v>CARTUCHOS DE TINTA; CODIGO: HP675, USO: HEWLETT PACKARD</v>
      </c>
      <c r="D24" s="104"/>
      <c r="E24" s="104"/>
      <c r="F24" s="104"/>
      <c r="G24" s="105"/>
      <c r="H24" s="14" t="s">
        <v>162</v>
      </c>
      <c r="I24" s="69" t="s">
        <v>16</v>
      </c>
      <c r="J24" s="70">
        <f>'Necesidades trimestrales'!H22</f>
        <v>1750</v>
      </c>
      <c r="K24" s="69">
        <f>'Necesidades trimestrales'!G22</f>
        <v>4</v>
      </c>
    </row>
    <row r="25" spans="1:11" ht="54.95" customHeight="1" thickBot="1" x14ac:dyDescent="0.3">
      <c r="A25" s="15">
        <v>14</v>
      </c>
      <c r="B25" s="56" t="str">
        <f>+'Necesidades trimestrales'!B23</f>
        <v>2.9.6-1355.1667</v>
      </c>
      <c r="C25" s="103" t="str">
        <f>'Necesidades trimestrales'!E23</f>
        <v>CARTUCHOS DE TINTA; CODIGO: HP675, USO: HEWLETT PACKARD</v>
      </c>
      <c r="D25" s="104"/>
      <c r="E25" s="104"/>
      <c r="F25" s="104"/>
      <c r="G25" s="105"/>
      <c r="H25" s="14" t="s">
        <v>162</v>
      </c>
      <c r="I25" s="69" t="s">
        <v>16</v>
      </c>
      <c r="J25" s="70">
        <f>'Necesidades trimestrales'!H23</f>
        <v>1750</v>
      </c>
      <c r="K25" s="69">
        <f>'Necesidades trimestrales'!G23</f>
        <v>4</v>
      </c>
    </row>
    <row r="26" spans="1:11" ht="54.95" customHeight="1" thickBot="1" x14ac:dyDescent="0.3">
      <c r="A26" s="15">
        <v>15</v>
      </c>
      <c r="B26" s="56" t="str">
        <f>+'Necesidades trimestrales'!B24</f>
        <v>2.9.6-1355.1993</v>
      </c>
      <c r="C26" s="103" t="str">
        <f>'Necesidades trimestrales'!E24</f>
        <v>CARTUCHOS DE TINTA; USO: HP, CODIGO: 950XL</v>
      </c>
      <c r="D26" s="104"/>
      <c r="E26" s="104"/>
      <c r="F26" s="104"/>
      <c r="G26" s="105"/>
      <c r="H26" s="14" t="s">
        <v>162</v>
      </c>
      <c r="I26" s="69" t="s">
        <v>16</v>
      </c>
      <c r="J26" s="70">
        <f>'Necesidades trimestrales'!H24</f>
        <v>799</v>
      </c>
      <c r="K26" s="69">
        <f>'Necesidades trimestrales'!G24</f>
        <v>5</v>
      </c>
    </row>
    <row r="27" spans="1:11" ht="54.95" customHeight="1" thickBot="1" x14ac:dyDescent="0.3">
      <c r="A27" s="15">
        <v>16</v>
      </c>
      <c r="B27" s="56" t="str">
        <f>+'Necesidades trimestrales'!B25</f>
        <v>2.9.6-1355.1750</v>
      </c>
      <c r="C27" s="103" t="str">
        <f>'Necesidades trimestrales'!E25</f>
        <v>CARTUCHOS DE TINTA; CODIGO: 951XL, USO: HP</v>
      </c>
      <c r="D27" s="104"/>
      <c r="E27" s="104"/>
      <c r="F27" s="104"/>
      <c r="G27" s="105"/>
      <c r="H27" s="14" t="s">
        <v>162</v>
      </c>
      <c r="I27" s="69" t="s">
        <v>16</v>
      </c>
      <c r="J27" s="70">
        <f>'Necesidades trimestrales'!H25</f>
        <v>799</v>
      </c>
      <c r="K27" s="69">
        <f>'Necesidades trimestrales'!G25</f>
        <v>5</v>
      </c>
    </row>
    <row r="28" spans="1:11" ht="54.95" customHeight="1" thickBot="1" x14ac:dyDescent="0.3">
      <c r="A28" s="15">
        <v>17</v>
      </c>
      <c r="B28" s="56" t="str">
        <f>+'Necesidades trimestrales'!B26</f>
        <v>2.9.6-1355.1750</v>
      </c>
      <c r="C28" s="103" t="str">
        <f>'Necesidades trimestrales'!E26</f>
        <v>CARTUCHOS DE TINTA; CODIGO: 951XL, USO: HP</v>
      </c>
      <c r="D28" s="104"/>
      <c r="E28" s="104"/>
      <c r="F28" s="104"/>
      <c r="G28" s="105"/>
      <c r="H28" s="14" t="s">
        <v>162</v>
      </c>
      <c r="I28" s="69" t="s">
        <v>16</v>
      </c>
      <c r="J28" s="70">
        <f>'Necesidades trimestrales'!H26</f>
        <v>799</v>
      </c>
      <c r="K28" s="69">
        <f>'Necesidades trimestrales'!G26</f>
        <v>5</v>
      </c>
    </row>
    <row r="29" spans="1:11" ht="54.95" customHeight="1" thickBot="1" x14ac:dyDescent="0.3">
      <c r="A29" s="15">
        <v>18</v>
      </c>
      <c r="B29" s="56" t="str">
        <f>+'Necesidades trimestrales'!B27</f>
        <v>2.9.6-1355.1750</v>
      </c>
      <c r="C29" s="103" t="str">
        <f>'Necesidades trimestrales'!E27</f>
        <v>CARTUCHOS DE TINTA; CODIGO: 951XL, USO: HP</v>
      </c>
      <c r="D29" s="104"/>
      <c r="E29" s="104"/>
      <c r="F29" s="104"/>
      <c r="G29" s="105"/>
      <c r="H29" s="14" t="s">
        <v>162</v>
      </c>
      <c r="I29" s="69" t="s">
        <v>16</v>
      </c>
      <c r="J29" s="70">
        <f>'Necesidades trimestrales'!H27</f>
        <v>799</v>
      </c>
      <c r="K29" s="69">
        <f>'Necesidades trimestrales'!G27</f>
        <v>5</v>
      </c>
    </row>
    <row r="30" spans="1:11" ht="54.95" customHeight="1" thickBot="1" x14ac:dyDescent="0.3">
      <c r="A30" s="15">
        <v>19</v>
      </c>
      <c r="B30" s="56" t="str">
        <f>+'Necesidades trimestrales'!B28</f>
        <v>2.9.6-1355.2063</v>
      </c>
      <c r="C30" s="103" t="str">
        <f>'Necesidades trimestrales'!E28</f>
        <v>CARTUCHOS DE TINTA; CODIGO: 954XL, USO: HEWLETT PACKARD</v>
      </c>
      <c r="D30" s="104"/>
      <c r="E30" s="104"/>
      <c r="F30" s="104"/>
      <c r="G30" s="105"/>
      <c r="H30" s="14" t="s">
        <v>162</v>
      </c>
      <c r="I30" s="69" t="s">
        <v>16</v>
      </c>
      <c r="J30" s="70">
        <f>'Necesidades trimestrales'!H28</f>
        <v>1985</v>
      </c>
      <c r="K30" s="69">
        <f>'Necesidades trimestrales'!G28</f>
        <v>100</v>
      </c>
    </row>
    <row r="31" spans="1:11" ht="54.95" customHeight="1" thickBot="1" x14ac:dyDescent="0.3">
      <c r="A31" s="15">
        <v>20</v>
      </c>
      <c r="B31" s="56" t="str">
        <f>+'Necesidades trimestrales'!B29</f>
        <v>2.9.6-1355.1580</v>
      </c>
      <c r="C31" s="103" t="str">
        <f>'Necesidades trimestrales'!E29</f>
        <v>CARTUCHOS DE TINTA; CODIGO: T135120 - AL, USO: EPSON</v>
      </c>
      <c r="D31" s="104"/>
      <c r="E31" s="104"/>
      <c r="F31" s="104"/>
      <c r="G31" s="105"/>
      <c r="H31" s="14" t="s">
        <v>162</v>
      </c>
      <c r="I31" s="69" t="s">
        <v>16</v>
      </c>
      <c r="J31" s="70">
        <f>'Necesidades trimestrales'!H29</f>
        <v>80</v>
      </c>
      <c r="K31" s="69">
        <f>'Necesidades trimestrales'!G29</f>
        <v>10</v>
      </c>
    </row>
    <row r="32" spans="1:11" ht="54.95" customHeight="1" thickBot="1" x14ac:dyDescent="0.3">
      <c r="A32" s="15">
        <v>21</v>
      </c>
      <c r="B32" s="56" t="str">
        <f>+'Necesidades trimestrales'!B30</f>
        <v>2.9.6-1355.1581</v>
      </c>
      <c r="C32" s="103" t="str">
        <f>'Necesidades trimestrales'!E30</f>
        <v>CARTUCHOS DE TINTA; CODIGO: T133220 - AL, USO: EPSON</v>
      </c>
      <c r="D32" s="104"/>
      <c r="E32" s="104"/>
      <c r="F32" s="104"/>
      <c r="G32" s="105"/>
      <c r="H32" s="14" t="s">
        <v>162</v>
      </c>
      <c r="I32" s="69" t="s">
        <v>16</v>
      </c>
      <c r="J32" s="70">
        <f>'Necesidades trimestrales'!H30</f>
        <v>80</v>
      </c>
      <c r="K32" s="69">
        <f>'Necesidades trimestrales'!G30</f>
        <v>10</v>
      </c>
    </row>
    <row r="33" spans="1:11" ht="54.95" customHeight="1" thickBot="1" x14ac:dyDescent="0.3">
      <c r="A33" s="15">
        <v>22</v>
      </c>
      <c r="B33" s="56" t="str">
        <f>+'Necesidades trimestrales'!B31</f>
        <v>2.9.6-1355.1582</v>
      </c>
      <c r="C33" s="103" t="str">
        <f>'Necesidades trimestrales'!E31</f>
        <v>CARTUCHOS DE TINTA; CODIGO: T133320 - AL, USO: EPSON</v>
      </c>
      <c r="D33" s="104"/>
      <c r="E33" s="104"/>
      <c r="F33" s="104"/>
      <c r="G33" s="105"/>
      <c r="H33" s="14" t="s">
        <v>162</v>
      </c>
      <c r="I33" s="69" t="s">
        <v>16</v>
      </c>
      <c r="J33" s="70">
        <f>'Necesidades trimestrales'!H31</f>
        <v>80</v>
      </c>
      <c r="K33" s="69">
        <f>'Necesidades trimestrales'!G31</f>
        <v>10</v>
      </c>
    </row>
    <row r="34" spans="1:11" ht="54.95" customHeight="1" thickBot="1" x14ac:dyDescent="0.3">
      <c r="A34" s="15">
        <v>23</v>
      </c>
      <c r="B34" s="56" t="str">
        <f>+'Necesidades trimestrales'!B32</f>
        <v>2.9.6-1355.1583</v>
      </c>
      <c r="C34" s="103" t="str">
        <f>'Necesidades trimestrales'!E32</f>
        <v>CARTUCHOS DE TINTA; CODIGO: T133420 - AL, USO: EPSON</v>
      </c>
      <c r="D34" s="104"/>
      <c r="E34" s="104"/>
      <c r="F34" s="104"/>
      <c r="G34" s="105"/>
      <c r="H34" s="14" t="s">
        <v>162</v>
      </c>
      <c r="I34" s="69" t="s">
        <v>16</v>
      </c>
      <c r="J34" s="70">
        <f>'Necesidades trimestrales'!H32</f>
        <v>80</v>
      </c>
      <c r="K34" s="69">
        <f>'Necesidades trimestrales'!G32</f>
        <v>10</v>
      </c>
    </row>
    <row r="35" spans="1:11" ht="54.95" customHeight="1" thickBot="1" x14ac:dyDescent="0.3">
      <c r="A35" s="15">
        <v>24</v>
      </c>
      <c r="B35" s="56" t="str">
        <f>+'Necesidades trimestrales'!B33</f>
        <v>2.9.6-401.1362</v>
      </c>
      <c r="C35" s="103" t="str">
        <f>'Necesidades trimestrales'!E33</f>
        <v>CARTUCHOS DE TONER; CODIGO: CE285A, USO: HEWLETT PACKARD</v>
      </c>
      <c r="D35" s="104"/>
      <c r="E35" s="104"/>
      <c r="F35" s="104"/>
      <c r="G35" s="105"/>
      <c r="H35" s="14" t="s">
        <v>162</v>
      </c>
      <c r="I35" s="69" t="s">
        <v>16</v>
      </c>
      <c r="J35" s="70">
        <f>'Necesidades trimestrales'!H33</f>
        <v>495</v>
      </c>
      <c r="K35" s="69">
        <f>'Necesidades trimestrales'!G33</f>
        <v>60</v>
      </c>
    </row>
    <row r="36" spans="1:11" ht="54.95" customHeight="1" thickBot="1" x14ac:dyDescent="0.3">
      <c r="A36" s="15">
        <v>25</v>
      </c>
      <c r="B36" s="56" t="str">
        <f>+'Necesidades trimestrales'!B34</f>
        <v>2.9.6-401.2260</v>
      </c>
      <c r="C36" s="103" t="str">
        <f>'Necesidades trimestrales'!E34</f>
        <v>CARTUCHOS DE TONER; CODIGO: 302, USO: HP</v>
      </c>
      <c r="D36" s="104"/>
      <c r="E36" s="104"/>
      <c r="F36" s="104"/>
      <c r="G36" s="105"/>
      <c r="H36" s="14" t="s">
        <v>162</v>
      </c>
      <c r="I36" s="69" t="s">
        <v>16</v>
      </c>
      <c r="J36" s="70">
        <f>'Necesidades trimestrales'!H34</f>
        <v>735</v>
      </c>
      <c r="K36" s="69">
        <f>'Necesidades trimestrales'!G34</f>
        <v>20</v>
      </c>
    </row>
    <row r="37" spans="1:11" ht="54.95" customHeight="1" thickBot="1" x14ac:dyDescent="0.3">
      <c r="A37" s="15">
        <v>26</v>
      </c>
      <c r="B37" s="56" t="str">
        <f>+'Necesidades trimestrales'!B35</f>
        <v>2.9.6-401.2278</v>
      </c>
      <c r="C37" s="103" t="str">
        <f>'Necesidades trimestrales'!E35</f>
        <v>CARTUCHOS DE TONER; CODIGO: MLT-D111L, USO: SAMSUNG</v>
      </c>
      <c r="D37" s="104"/>
      <c r="E37" s="104"/>
      <c r="F37" s="104"/>
      <c r="G37" s="105"/>
      <c r="H37" s="14" t="s">
        <v>162</v>
      </c>
      <c r="I37" s="69" t="s">
        <v>16</v>
      </c>
      <c r="J37" s="70">
        <f>'Necesidades trimestrales'!H35</f>
        <v>1380</v>
      </c>
      <c r="K37" s="69">
        <f>'Necesidades trimestrales'!G35</f>
        <v>70</v>
      </c>
    </row>
    <row r="38" spans="1:11" ht="54.95" customHeight="1" thickBot="1" x14ac:dyDescent="0.3">
      <c r="A38" s="15">
        <v>27</v>
      </c>
      <c r="B38" s="56" t="str">
        <f>+'Necesidades trimestrales'!B36</f>
        <v>2.9.6-1355.1831</v>
      </c>
      <c r="C38" s="103" t="str">
        <f>'Necesidades trimestrales'!E36</f>
        <v xml:space="preserve">CARTUCHOS DE TINTA; CODIGO: MLT-D101S, USO: SAMSUNG </v>
      </c>
      <c r="D38" s="104"/>
      <c r="E38" s="104"/>
      <c r="F38" s="104"/>
      <c r="G38" s="105"/>
      <c r="H38" s="14" t="s">
        <v>162</v>
      </c>
      <c r="I38" s="69" t="s">
        <v>16</v>
      </c>
      <c r="J38" s="70">
        <f>'Necesidades trimestrales'!H36</f>
        <v>1249</v>
      </c>
      <c r="K38" s="69">
        <f>'Necesidades trimestrales'!G36</f>
        <v>30</v>
      </c>
    </row>
    <row r="39" spans="1:11" ht="54.95" customHeight="1" thickBot="1" x14ac:dyDescent="0.3">
      <c r="A39" s="15">
        <v>28</v>
      </c>
      <c r="B39" s="56" t="str">
        <f>+'Necesidades trimestrales'!B37</f>
        <v>2.9.6-401.1786</v>
      </c>
      <c r="C39" s="103" t="str">
        <f>'Necesidades trimestrales'!E37</f>
        <v>CARTUCHOS DE TONER; CODIGO: CE410A, USO: HEWLETT PACKARD</v>
      </c>
      <c r="D39" s="104"/>
      <c r="E39" s="104"/>
      <c r="F39" s="104"/>
      <c r="G39" s="105"/>
      <c r="H39" s="14" t="s">
        <v>162</v>
      </c>
      <c r="I39" s="69" t="s">
        <v>16</v>
      </c>
      <c r="J39" s="70">
        <f>'Necesidades trimestrales'!H37</f>
        <v>1135</v>
      </c>
      <c r="K39" s="69">
        <f>'Necesidades trimestrales'!G37</f>
        <v>3</v>
      </c>
    </row>
    <row r="40" spans="1:11" ht="54.95" customHeight="1" thickBot="1" x14ac:dyDescent="0.3">
      <c r="A40" s="15">
        <v>29</v>
      </c>
      <c r="B40" s="56" t="str">
        <f>+'Necesidades trimestrales'!B38</f>
        <v>2.9.6-401.1724</v>
      </c>
      <c r="C40" s="103" t="str">
        <f>'Necesidades trimestrales'!E38</f>
        <v>CARTUCHOS DE TONER; CODIGO: CE411A, USO: HP</v>
      </c>
      <c r="D40" s="104"/>
      <c r="E40" s="104"/>
      <c r="F40" s="104"/>
      <c r="G40" s="105"/>
      <c r="H40" s="14" t="s">
        <v>162</v>
      </c>
      <c r="I40" s="69" t="s">
        <v>16</v>
      </c>
      <c r="J40" s="70">
        <f>'Necesidades trimestrales'!H38</f>
        <v>1135</v>
      </c>
      <c r="K40" s="69">
        <f>'Necesidades trimestrales'!G38</f>
        <v>3</v>
      </c>
    </row>
    <row r="41" spans="1:11" ht="54.95" customHeight="1" thickBot="1" x14ac:dyDescent="0.3">
      <c r="A41" s="15">
        <v>30</v>
      </c>
      <c r="B41" s="56" t="str">
        <f>+'Necesidades trimestrales'!B39</f>
        <v>2.9.6-401.1726</v>
      </c>
      <c r="C41" s="103" t="str">
        <f>'Necesidades trimestrales'!E39</f>
        <v>CARTUCHOS DE TONER; CODIGO: CE413A, USO: HP</v>
      </c>
      <c r="D41" s="104"/>
      <c r="E41" s="104"/>
      <c r="F41" s="104"/>
      <c r="G41" s="105"/>
      <c r="H41" s="14" t="s">
        <v>162</v>
      </c>
      <c r="I41" s="69" t="s">
        <v>16</v>
      </c>
      <c r="J41" s="70">
        <f>'Necesidades trimestrales'!H39</f>
        <v>1135</v>
      </c>
      <c r="K41" s="69">
        <f>'Necesidades trimestrales'!G39</f>
        <v>3</v>
      </c>
    </row>
    <row r="42" spans="1:11" ht="54.95" customHeight="1" thickBot="1" x14ac:dyDescent="0.3">
      <c r="A42" s="15">
        <v>31</v>
      </c>
      <c r="B42" s="56" t="str">
        <f>+'Necesidades trimestrales'!B40</f>
        <v>2.9.6-401.1725</v>
      </c>
      <c r="C42" s="103" t="str">
        <f>'Necesidades trimestrales'!E40</f>
        <v>CARTUCHOS DE TONER; CODIGO: CE412A, USO: HP</v>
      </c>
      <c r="D42" s="104"/>
      <c r="E42" s="104"/>
      <c r="F42" s="104"/>
      <c r="G42" s="105"/>
      <c r="H42" s="14" t="s">
        <v>162</v>
      </c>
      <c r="I42" s="69" t="s">
        <v>16</v>
      </c>
      <c r="J42" s="70">
        <f>'Necesidades trimestrales'!H40</f>
        <v>1135</v>
      </c>
      <c r="K42" s="69">
        <f>'Necesidades trimestrales'!G40</f>
        <v>3</v>
      </c>
    </row>
    <row r="43" spans="1:11" ht="54.95" customHeight="1" thickBot="1" x14ac:dyDescent="0.3">
      <c r="A43" s="15">
        <v>32</v>
      </c>
      <c r="B43" s="56" t="str">
        <f>+'Necesidades trimestrales'!B41</f>
        <v>2.9.6-401.2260</v>
      </c>
      <c r="C43" s="103" t="str">
        <f>'Necesidades trimestrales'!E41</f>
        <v>CARTUCHOS DE TONER; CODIGO: 302, USO: HP</v>
      </c>
      <c r="D43" s="104"/>
      <c r="E43" s="104"/>
      <c r="F43" s="104"/>
      <c r="G43" s="105"/>
      <c r="H43" s="14" t="s">
        <v>162</v>
      </c>
      <c r="I43" s="69" t="s">
        <v>16</v>
      </c>
      <c r="J43" s="70">
        <f>'Necesidades trimestrales'!H41</f>
        <v>1199</v>
      </c>
      <c r="K43" s="69">
        <f>'Necesidades trimestrales'!G41</f>
        <v>15</v>
      </c>
    </row>
    <row r="44" spans="1:11" ht="54.95" customHeight="1" x14ac:dyDescent="0.25">
      <c r="A44" s="15">
        <v>33</v>
      </c>
      <c r="B44" s="56" t="str">
        <f>+'Necesidades trimestrales'!B42</f>
        <v>2.9.6-401.2138</v>
      </c>
      <c r="C44" s="113" t="str">
        <f>'Necesidades trimestrales'!E42</f>
        <v>CARTUCHOS DE TONER; CODIGO: CF280X, USO: HEWLETT PACKARD</v>
      </c>
      <c r="D44" s="114"/>
      <c r="E44" s="114"/>
      <c r="F44" s="114"/>
      <c r="G44" s="115"/>
      <c r="H44" s="14" t="s">
        <v>162</v>
      </c>
      <c r="I44" s="69" t="s">
        <v>16</v>
      </c>
      <c r="J44" s="70">
        <f>'Necesidades trimestrales'!H42</f>
        <v>910</v>
      </c>
      <c r="K44" s="69">
        <f>'Necesidades trimestrales'!G42</f>
        <v>2</v>
      </c>
    </row>
    <row r="45" spans="1:11" ht="54.95" customHeight="1" x14ac:dyDescent="0.25">
      <c r="A45" s="111" t="s">
        <v>198</v>
      </c>
      <c r="B45" s="112"/>
      <c r="C45" s="112"/>
      <c r="D45" s="112"/>
      <c r="E45" s="112"/>
      <c r="F45" s="112"/>
      <c r="G45" s="112"/>
      <c r="H45" s="112"/>
      <c r="I45" s="112"/>
      <c r="J45" s="109">
        <v>627409</v>
      </c>
      <c r="K45" s="110"/>
    </row>
    <row r="46" spans="1:11" ht="54.95" customHeight="1" x14ac:dyDescent="0.25"/>
    <row r="47" spans="1:11" ht="34.5" customHeight="1" x14ac:dyDescent="0.25"/>
  </sheetData>
  <mergeCells count="55">
    <mergeCell ref="C27:G27"/>
    <mergeCell ref="C28:G28"/>
    <mergeCell ref="C29:G29"/>
    <mergeCell ref="C30:G30"/>
    <mergeCell ref="C36:G36"/>
    <mergeCell ref="C31:G31"/>
    <mergeCell ref="C32:G32"/>
    <mergeCell ref="C33:G33"/>
    <mergeCell ref="C22:G22"/>
    <mergeCell ref="C23:G23"/>
    <mergeCell ref="C24:G24"/>
    <mergeCell ref="C25:G25"/>
    <mergeCell ref="C26:G26"/>
    <mergeCell ref="C17:G17"/>
    <mergeCell ref="C18:G18"/>
    <mergeCell ref="C19:G19"/>
    <mergeCell ref="C20:G20"/>
    <mergeCell ref="C21:G21"/>
    <mergeCell ref="J45:K45"/>
    <mergeCell ref="A45:I45"/>
    <mergeCell ref="C34:G34"/>
    <mergeCell ref="C35:G35"/>
    <mergeCell ref="C37:G37"/>
    <mergeCell ref="C38:G38"/>
    <mergeCell ref="C39:G39"/>
    <mergeCell ref="C40:G40"/>
    <mergeCell ref="C41:G41"/>
    <mergeCell ref="C42:G42"/>
    <mergeCell ref="C43:G43"/>
    <mergeCell ref="C44:G44"/>
    <mergeCell ref="K10:K11"/>
    <mergeCell ref="A10:A11"/>
    <mergeCell ref="B10:B11"/>
    <mergeCell ref="C10:G11"/>
    <mergeCell ref="H10:H11"/>
    <mergeCell ref="I10:I11"/>
    <mergeCell ref="J10:J11"/>
    <mergeCell ref="C12:G12"/>
    <mergeCell ref="C13:G13"/>
    <mergeCell ref="C14:G14"/>
    <mergeCell ref="C15:G15"/>
    <mergeCell ref="C16:G16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topLeftCell="A31" zoomScale="112" zoomScaleNormal="112" workbookViewId="0">
      <selection activeCell="M24" sqref="M24"/>
    </sheetView>
  </sheetViews>
  <sheetFormatPr baseColWidth="10" defaultRowHeight="15" x14ac:dyDescent="0.25"/>
  <cols>
    <col min="1" max="1" width="9.7109375" customWidth="1"/>
    <col min="2" max="2" width="3.5703125" bestFit="1" customWidth="1"/>
    <col min="3" max="3" width="3.85546875" customWidth="1"/>
    <col min="4" max="4" width="5" customWidth="1"/>
    <col min="5" max="5" width="5.140625" customWidth="1"/>
    <col min="6" max="6" width="8.140625" customWidth="1"/>
    <col min="7" max="7" width="6.7109375" customWidth="1"/>
    <col min="8" max="8" width="6.140625" customWidth="1"/>
    <col min="9" max="9" width="5.28515625" customWidth="1"/>
    <col min="10" max="10" width="5.7109375" customWidth="1"/>
    <col min="11" max="11" width="6.5703125" customWidth="1"/>
    <col min="12" max="12" width="4.28515625" customWidth="1"/>
    <col min="13" max="13" width="6" customWidth="1"/>
    <col min="14" max="14" width="6.85546875" customWidth="1"/>
    <col min="17" max="17" width="14.7109375" customWidth="1"/>
  </cols>
  <sheetData>
    <row r="1" spans="1:17" ht="15.75" thickBot="1" x14ac:dyDescent="0.3">
      <c r="A1" s="117" t="s">
        <v>5</v>
      </c>
      <c r="B1" s="117"/>
      <c r="C1" s="117"/>
      <c r="D1" s="118">
        <v>2021</v>
      </c>
      <c r="E1" s="118"/>
      <c r="F1" s="16"/>
      <c r="G1" s="16"/>
      <c r="H1" s="17"/>
      <c r="I1" s="17"/>
      <c r="J1" s="17"/>
      <c r="K1" s="17"/>
      <c r="L1" s="17"/>
      <c r="M1" s="17"/>
      <c r="N1" s="17"/>
      <c r="P1" s="119" t="s">
        <v>67</v>
      </c>
      <c r="Q1" s="119"/>
    </row>
    <row r="2" spans="1:17" ht="15.75" thickBot="1" x14ac:dyDescent="0.3">
      <c r="G2" s="18"/>
      <c r="H2" s="17"/>
      <c r="I2" s="17"/>
      <c r="J2" s="17"/>
      <c r="K2" s="17"/>
      <c r="L2" s="17"/>
      <c r="M2" s="17"/>
      <c r="N2" s="17"/>
      <c r="P2" s="119"/>
      <c r="Q2" s="119"/>
    </row>
    <row r="3" spans="1:17" ht="15.75" thickBot="1" x14ac:dyDescent="0.3">
      <c r="G3" s="18"/>
    </row>
    <row r="4" spans="1:17" ht="15.75" thickBot="1" x14ac:dyDescent="0.3">
      <c r="A4" s="120" t="s">
        <v>68</v>
      </c>
      <c r="B4" s="120"/>
      <c r="C4" s="120"/>
      <c r="D4" s="120"/>
      <c r="E4" s="120"/>
      <c r="F4" s="120"/>
      <c r="G4" s="121" t="s">
        <v>100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ht="15.75" thickBot="1" x14ac:dyDescent="0.3">
      <c r="A5" s="122" t="s">
        <v>55</v>
      </c>
      <c r="B5" s="123"/>
      <c r="C5" s="123"/>
      <c r="D5" s="123"/>
      <c r="E5" s="123"/>
      <c r="F5" s="124"/>
      <c r="G5" s="121" t="s">
        <v>95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ht="15.75" thickBot="1" x14ac:dyDescent="0.3">
      <c r="A6" s="122" t="s">
        <v>56</v>
      </c>
      <c r="B6" s="123"/>
      <c r="C6" s="123"/>
      <c r="D6" s="123"/>
      <c r="E6" s="123"/>
      <c r="F6" s="124"/>
      <c r="G6" s="121" t="s">
        <v>95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ht="15.75" thickBot="1" x14ac:dyDescent="0.3">
      <c r="A7" s="122" t="s">
        <v>57</v>
      </c>
      <c r="B7" s="123"/>
      <c r="C7" s="123"/>
      <c r="D7" s="123"/>
      <c r="E7" s="123"/>
      <c r="F7" s="124"/>
      <c r="G7" s="121" t="s">
        <v>96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5.75" thickBot="1" x14ac:dyDescent="0.3">
      <c r="A8" s="125" t="s">
        <v>69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7" x14ac:dyDescent="0.25">
      <c r="A9" s="116" t="s">
        <v>70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9"/>
      <c r="P9" s="19"/>
      <c r="Q9" s="20"/>
    </row>
    <row r="10" spans="1:17" ht="65.25" customHeight="1" x14ac:dyDescent="0.25">
      <c r="A10" s="128" t="s">
        <v>102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15.75" thickBot="1" x14ac:dyDescent="0.3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thickBot="1" x14ac:dyDescent="0.3">
      <c r="A12" s="129" t="s">
        <v>71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24.75" customHeight="1" thickBot="1" x14ac:dyDescent="0.3">
      <c r="A13" s="130" t="s">
        <v>72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73</v>
      </c>
      <c r="P13" s="132"/>
      <c r="Q13" s="135" t="s">
        <v>74</v>
      </c>
    </row>
    <row r="14" spans="1:17" ht="19.5" customHeight="1" x14ac:dyDescent="0.25">
      <c r="A14" s="25" t="s">
        <v>75</v>
      </c>
      <c r="B14" s="26" t="s">
        <v>76</v>
      </c>
      <c r="C14" s="26" t="s">
        <v>77</v>
      </c>
      <c r="D14" s="26" t="s">
        <v>78</v>
      </c>
      <c r="E14" s="26" t="s">
        <v>79</v>
      </c>
      <c r="F14" s="26" t="s">
        <v>80</v>
      </c>
      <c r="G14" s="27" t="s">
        <v>81</v>
      </c>
      <c r="H14" s="26" t="s">
        <v>82</v>
      </c>
      <c r="I14" s="26" t="s">
        <v>83</v>
      </c>
      <c r="J14" s="26" t="s">
        <v>84</v>
      </c>
      <c r="K14" s="26" t="s">
        <v>84</v>
      </c>
      <c r="L14" s="26" t="s">
        <v>85</v>
      </c>
      <c r="M14" s="28" t="s">
        <v>86</v>
      </c>
      <c r="N14" s="29" t="s">
        <v>87</v>
      </c>
      <c r="O14" s="133"/>
      <c r="P14" s="134"/>
      <c r="Q14" s="135"/>
    </row>
    <row r="15" spans="1:17" ht="26.25" customHeight="1" x14ac:dyDescent="0.25">
      <c r="A15" s="45">
        <v>36</v>
      </c>
      <c r="B15" s="46"/>
      <c r="C15" s="46"/>
      <c r="D15" s="46">
        <v>1</v>
      </c>
      <c r="E15" s="46"/>
      <c r="F15" s="46">
        <v>4901</v>
      </c>
      <c r="G15" s="46">
        <v>3</v>
      </c>
      <c r="H15" s="46">
        <v>310</v>
      </c>
      <c r="I15" s="47">
        <v>2</v>
      </c>
      <c r="J15" s="47">
        <v>9</v>
      </c>
      <c r="K15" s="47">
        <v>6</v>
      </c>
      <c r="L15" s="46"/>
      <c r="M15" s="46">
        <v>1</v>
      </c>
      <c r="N15" s="48" t="s">
        <v>89</v>
      </c>
      <c r="O15" s="136" t="s">
        <v>103</v>
      </c>
      <c r="P15" s="137"/>
      <c r="Q15" s="49">
        <v>627409</v>
      </c>
    </row>
    <row r="16" spans="1:17" x14ac:dyDescent="0.25">
      <c r="A16" s="30"/>
      <c r="B16" s="31"/>
      <c r="C16" s="31"/>
      <c r="D16" s="31"/>
      <c r="E16" s="31"/>
      <c r="F16" s="50"/>
      <c r="G16" s="31"/>
      <c r="H16" s="31"/>
      <c r="I16" s="31"/>
      <c r="J16" s="31"/>
      <c r="K16" s="31"/>
      <c r="L16" s="31"/>
      <c r="M16" s="32"/>
      <c r="N16" s="31"/>
      <c r="O16" s="126"/>
      <c r="P16" s="126"/>
      <c r="Q16" s="51"/>
    </row>
    <row r="17" spans="1:17" ht="15.75" thickBot="1" x14ac:dyDescent="0.3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34"/>
      <c r="O17" s="127"/>
      <c r="P17" s="127"/>
      <c r="Q17" s="36"/>
    </row>
    <row r="18" spans="1:17" ht="15.75" thickBot="1" x14ac:dyDescent="0.3">
      <c r="A18" s="138" t="s">
        <v>197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37">
        <f>SUM(Q15:Q17)</f>
        <v>627409</v>
      </c>
    </row>
    <row r="19" spans="1:17" ht="15.75" thickBot="1" x14ac:dyDescent="0.3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</row>
    <row r="20" spans="1:17" ht="15.75" thickBot="1" x14ac:dyDescent="0.3">
      <c r="A20" s="140" t="s">
        <v>88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ht="15.75" thickBot="1" x14ac:dyDescent="0.3">
      <c r="A21" s="144" t="s">
        <v>101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</row>
    <row r="22" spans="1:17" ht="15.75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</row>
    <row r="23" spans="1:17" x14ac:dyDescent="0.25">
      <c r="G23" s="18"/>
    </row>
    <row r="24" spans="1:17" x14ac:dyDescent="0.25">
      <c r="G24" s="18"/>
    </row>
  </sheetData>
  <mergeCells count="26">
    <mergeCell ref="A18:P18"/>
    <mergeCell ref="A19:Q19"/>
    <mergeCell ref="A20:F20"/>
    <mergeCell ref="G20:Q20"/>
    <mergeCell ref="A21:Q22"/>
    <mergeCell ref="O16:P16"/>
    <mergeCell ref="O17:P17"/>
    <mergeCell ref="A10:Q10"/>
    <mergeCell ref="A12:Q12"/>
    <mergeCell ref="A13:N13"/>
    <mergeCell ref="O13:P14"/>
    <mergeCell ref="Q13:Q14"/>
    <mergeCell ref="O15:P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2021-03-30T15:31:10Z</cp:lastPrinted>
  <dcterms:created xsi:type="dcterms:W3CDTF">2021-03-16T13:57:57Z</dcterms:created>
  <dcterms:modified xsi:type="dcterms:W3CDTF">2021-04-07T12:15:34Z</dcterms:modified>
</cp:coreProperties>
</file>