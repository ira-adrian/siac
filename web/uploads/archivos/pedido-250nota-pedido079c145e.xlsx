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BAJO SAF 06\PEDIDO TRIMESTRAL\COMBUSTIBLE\"/>
    </mc:Choice>
  </mc:AlternateContent>
  <bookViews>
    <workbookView xWindow="0" yWindow="0" windowWidth="28800" windowHeight="11805" tabRatio="500"/>
  </bookViews>
  <sheets>
    <sheet name="Necesidades Trimestrales" sheetId="1" r:id="rId1"/>
    <sheet name=" NotaPedido" sheetId="2" r:id="rId2"/>
    <sheet name="APG" sheetId="3" r:id="rId3"/>
  </sheets>
  <definedNames>
    <definedName name="_xlnm.Print_Area" localSheetId="1">' NotaPedido'!$A$1:$K$19</definedName>
    <definedName name="_xlnm.Print_Area" localSheetId="2">APG!$A$1:$Q$30</definedName>
  </definedNames>
  <calcPr calcId="162913"/>
</workbook>
</file>

<file path=xl/calcChain.xml><?xml version="1.0" encoding="utf-8"?>
<calcChain xmlns="http://schemas.openxmlformats.org/spreadsheetml/2006/main">
  <c r="G7" i="3" l="1"/>
  <c r="I10" i="1" l="1"/>
  <c r="A29" i="3" l="1"/>
  <c r="A13" i="2"/>
  <c r="G13" i="2"/>
  <c r="F13" i="2"/>
  <c r="E13" i="2"/>
  <c r="C13" i="2"/>
  <c r="B13" i="2"/>
  <c r="A10" i="3"/>
  <c r="F19" i="2" l="1"/>
  <c r="G6" i="3"/>
  <c r="C4" i="2"/>
  <c r="G4" i="3" s="1"/>
  <c r="C5" i="2"/>
  <c r="G5" i="3" s="1"/>
  <c r="D1" i="3" l="1"/>
  <c r="Q26" i="3" l="1"/>
</calcChain>
</file>

<file path=xl/sharedStrings.xml><?xml version="1.0" encoding="utf-8"?>
<sst xmlns="http://schemas.openxmlformats.org/spreadsheetml/2006/main" count="88" uniqueCount="78">
  <si>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</si>
  <si>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</si>
  <si>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</si>
  <si>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</si>
  <si>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</si>
  <si>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</si>
  <si>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</si>
  <si>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</si>
  <si>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</si>
  <si>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</si>
  <si>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</si>
  <si>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</si>
  <si>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</si>
  <si>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</si>
  <si>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</si>
  <si>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</si>
  <si>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</si>
  <si>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</si>
  <si>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</si>
  <si>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</si>
  <si>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</si>
  <si>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</si>
  <si>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</si>
  <si>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</si>
  <si>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</si>
  <si>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</si>
  <si>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</si>
  <si>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</si>
  <si>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</si>
  <si>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</si>
  <si>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</si>
  <si>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</si>
  <si>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</si>
  <si>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</si>
  <si>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</si>
  <si>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</si>
  <si>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</si>
  <si>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</si>
  <si>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</si>
  <si>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</si>
  <si>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</si>
  <si>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</si>
  <si>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</si>
  <si>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</si>
  <si>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</si>
  <si>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</si>
  <si>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</si>
  <si>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</si>
  <si>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</si>
  <si>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</si>
  <si>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</si>
  <si>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1.1</t>
  </si>
  <si>
    <t>OBSERVACIONES:</t>
  </si>
  <si>
    <t>Plazos y lugares de entrega:</t>
  </si>
  <si>
    <t>Calidad Minima esperada:</t>
  </si>
  <si>
    <t>Mantenimiento:</t>
  </si>
  <si>
    <t>12 -Ministerio de Gobierno, Justicia y Derechos Humanos.</t>
  </si>
  <si>
    <t>06 - Secretaria de Gestion Administrativa del Ministerio de Gobierno, Justicia y Derechos Humanos</t>
  </si>
  <si>
    <t>Ministerio de Gobierno, Justicia y Derechos Humanos.</t>
  </si>
  <si>
    <t>30 (treinta)  días habiles</t>
  </si>
  <si>
    <t>Forma de Pago:</t>
  </si>
  <si>
    <t>Especificidades de los Items:</t>
  </si>
  <si>
    <t>2do. TRIMESTRE</t>
  </si>
  <si>
    <t>2022 - 2do Trimestre</t>
  </si>
  <si>
    <t>Dentro de los 30 días de efectuada la recepcion definitiva de los bienes solicitados.-</t>
  </si>
  <si>
    <t>COMBUSTIBLE</t>
  </si>
  <si>
    <t>LITROS</t>
  </si>
  <si>
    <t>2.5.6-793.31</t>
  </si>
  <si>
    <t>2.5.6</t>
  </si>
  <si>
    <t>GAS OIL; PRESENTACION: POR LITRO, USO: MOTORES DIESEL, COMER-
CIALIZACION: GRADO 3, DESTINO: DPTO. S.F.V. DE CATAMARCA</t>
  </si>
  <si>
    <t>COMBUSTIBLES Y LUBRICANTES</t>
  </si>
  <si>
    <t>ADQUISICION DE COMBUSTIBLE DESTINADO A LAS DISTINTAS DEPENDENCIAS DEL MINISTERIO DE GOBIERNO, JUSTICIA Y DERECHOS HUMANOS.</t>
  </si>
  <si>
    <t>NO</t>
  </si>
  <si>
    <r>
      <t xml:space="preserve">a) LUGAR DE ENTREGA:  Dirección Prov. de Administración del Ministerio de Gobierno, Justicia y Derechos Humanos- sito en Ayacucho N° 502 (Edificio Ex I.P.P.S) 2do Piso - De 08 a 12 horas. 
</t>
    </r>
    <r>
      <rPr>
        <b/>
        <sz val="11"/>
        <rFont val="Calibri"/>
        <family val="2"/>
        <scheme val="minor"/>
      </rPr>
      <t>b)</t>
    </r>
    <r>
      <rPr>
        <sz val="11"/>
        <rFont val="Calibri"/>
        <family val="2"/>
        <scheme val="minor"/>
      </rPr>
      <t xml:space="preserve"> FORMA DE LA ENTREGA: Se sugiere la entrega de vales de diez (10) litros cada uno. Cuando la cantidad adjudicada no permita dicho vale se podra confeccionar vales por una cantidad menor. 
</t>
    </r>
    <r>
      <rPr>
        <b/>
        <sz val="11"/>
        <rFont val="Calibri"/>
        <family val="2"/>
        <scheme val="minor"/>
      </rPr>
      <t>c)</t>
    </r>
    <r>
      <rPr>
        <sz val="11"/>
        <rFont val="Calibri"/>
        <family val="2"/>
        <scheme val="minor"/>
      </rPr>
      <t xml:space="preserve">  PLAZO DE ENTREGA: El Oferente deberá establecer plazo de entrega de los elementos cotizados, debiendo ser expresado en días hábiles; que no podrá ser superior a los (10) días hábiles, contados a partir de la recepción de la comunicación prevista en el Artículo 80 del Anexo I - Reglamento Parcial N° 2 de la ley 4938.                                                                                                      </t>
    </r>
  </si>
  <si>
    <t>Que cumpla integramente con lo solicitado y condiciones máxima calidad.-</t>
  </si>
  <si>
    <t>Costo total estimado: Pesos Cinco Millones Cuatrocientos Cincuenta con 00/100.-</t>
  </si>
  <si>
    <t>TOTAL DE PESOS: Cinco Millones Cuatrocientos Cincuenta con 00/100.-</t>
  </si>
  <si>
    <t>63/2022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</si>
</sst>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[$$-2C0A]\ * #,##0.00_-;\-[$$-2C0A]\ * #,##0.00_-;_-[$$-2C0A]\ * &quot;-&quot;??_-;_-@_-"/>
    <numFmt numFmtId="170" formatCode="_ &quot;$&quot;\ * #,##0.00_ ;_ &quot;$&quot;\ * \-#,##0.00_ ;_ &quot;$&quot;\ * &quot;-&quot;??_ ;_ @_ "/>
    <numFmt numFmtId="171" formatCode="_(&quot;$&quot;* #,##0.00_);_(&quot;$&quot;* \(#,##0.00\);_(&quot;$&quot;* &quot;-&quot;??_);_(@_)"/>
    <numFmt numFmtId="172" formatCode="&quot;$&quot;\ #,##0.00"/>
  </numFmts>
  <fonts count="3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sz val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Times New Roman"/>
      <family val="1"/>
    </font>
    <font>
      <b/>
      <sz val="11"/>
      <color rgb="FF000000"/>
      <name val="Calibri"/>
      <family val="2"/>
    </font>
    <font>
      <b/>
      <sz val="12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u/>
      <sz val="11"/>
      <color rgb="FF000000"/>
      <name val="Calibri"/>
      <family val="2"/>
    </font>
    <font>
      <b/>
      <u/>
      <sz val="14"/>
      <name val="Times New Roman"/>
      <family val="1"/>
      <charset val="1"/>
    </font>
    <font>
      <sz val="10"/>
      <color rgb="FFFF0000"/>
      <name val="Times New Roman"/>
      <family val="1"/>
    </font>
    <font>
      <sz val="10"/>
      <color rgb="FF00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9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/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/>
      <diagonal/>
    </border>
    <border>
      <left style="medium">
        <color indexed="64"/>
      </left>
      <right style="medium">
        <color rgb="FF3D3D3D"/>
      </right>
      <top style="medium">
        <color rgb="FF3D3D3D"/>
      </top>
      <bottom/>
      <diagonal/>
    </border>
    <border>
      <left style="medium">
        <color indexed="64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indexed="64"/>
      </right>
      <top style="thin">
        <color rgb="FF3D3D3D"/>
      </top>
      <bottom style="thin">
        <color rgb="FF3D3D3D"/>
      </bottom>
      <diagonal/>
    </border>
    <border>
      <left style="medium">
        <color indexed="64"/>
      </left>
      <right style="thin">
        <color rgb="FF3D3D3D"/>
      </right>
      <top style="thin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indexed="64"/>
      </right>
      <top style="thin">
        <color rgb="FF3D3D3D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rgb="FF3D3D3D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3D3D3D"/>
      </top>
      <bottom style="thin">
        <color rgb="FF3D3D3D"/>
      </bottom>
      <diagonal/>
    </border>
    <border>
      <left/>
      <right style="medium">
        <color indexed="64"/>
      </right>
      <top style="medium">
        <color rgb="FF3D3D3D"/>
      </top>
      <bottom style="thin">
        <color rgb="FF3D3D3D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3D3D3D"/>
      </left>
      <right/>
      <top style="medium">
        <color auto="1"/>
      </top>
      <bottom/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medium">
        <color indexed="64"/>
      </left>
      <right style="thin">
        <color rgb="FF3D3D3D"/>
      </right>
      <top style="medium">
        <color indexed="64"/>
      </top>
      <bottom style="medium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indexed="64"/>
      </top>
      <bottom style="medium">
        <color indexed="64"/>
      </bottom>
      <diagonal/>
    </border>
    <border>
      <left style="thin">
        <color rgb="FF3D3D3D"/>
      </left>
      <right/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165" fontId="12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2" fillId="0" borderId="0"/>
    <xf numFmtId="171" fontId="12" fillId="0" borderId="0" applyFont="0" applyFill="0" applyBorder="0" applyAlignment="0" applyProtection="0"/>
  </cellStyleXfs>
  <cellXfs count="200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7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13" fillId="0" borderId="0" xfId="0" applyFont="1"/>
    <xf numFmtId="0" fontId="13" fillId="0" borderId="0" xfId="0" applyFont="1" applyFill="1"/>
    <xf numFmtId="166" fontId="0" fillId="0" borderId="0" xfId="0" applyNumberFormat="1"/>
    <xf numFmtId="0" fontId="0" fillId="3" borderId="21" xfId="0" applyFill="1" applyBorder="1"/>
    <xf numFmtId="0" fontId="0" fillId="3" borderId="12" xfId="0" applyFill="1" applyBorder="1"/>
    <xf numFmtId="0" fontId="0" fillId="3" borderId="12" xfId="0" applyFill="1" applyBorder="1" applyAlignment="1">
      <alignment horizontal="left"/>
    </xf>
    <xf numFmtId="0" fontId="0" fillId="3" borderId="22" xfId="0" applyFill="1" applyBorder="1"/>
    <xf numFmtId="0" fontId="0" fillId="3" borderId="0" xfId="0" applyFill="1" applyBorder="1"/>
    <xf numFmtId="0" fontId="0" fillId="3" borderId="10" xfId="0" applyFill="1" applyBorder="1"/>
    <xf numFmtId="0" fontId="16" fillId="0" borderId="24" xfId="0" applyFont="1" applyFill="1" applyBorder="1" applyAlignment="1">
      <alignment horizontal="center" vertical="center"/>
    </xf>
    <xf numFmtId="0" fontId="16" fillId="0" borderId="25" xfId="0" applyFont="1" applyFill="1" applyBorder="1" applyAlignment="1">
      <alignment horizontal="center" vertical="center"/>
    </xf>
    <xf numFmtId="0" fontId="16" fillId="0" borderId="26" xfId="0" applyFont="1" applyFill="1" applyBorder="1" applyAlignment="1">
      <alignment horizontal="center" vertical="center"/>
    </xf>
    <xf numFmtId="0" fontId="16" fillId="0" borderId="38" xfId="0" applyFont="1" applyFill="1" applyBorder="1" applyAlignment="1">
      <alignment horizontal="center" vertical="center"/>
    </xf>
    <xf numFmtId="166" fontId="16" fillId="0" borderId="39" xfId="3" applyNumberFormat="1" applyFont="1" applyBorder="1" applyAlignment="1" applyProtection="1">
      <alignment horizontal="center" vertical="center"/>
    </xf>
    <xf numFmtId="0" fontId="16" fillId="0" borderId="27" xfId="0" applyFont="1" applyFill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166" fontId="16" fillId="0" borderId="40" xfId="3" applyNumberFormat="1" applyFont="1" applyBorder="1" applyAlignment="1" applyProtection="1">
      <alignment horizontal="center" vertical="center"/>
    </xf>
    <xf numFmtId="166" fontId="18" fillId="3" borderId="31" xfId="0" applyNumberFormat="1" applyFont="1" applyFill="1" applyBorder="1" applyAlignment="1">
      <alignment horizontal="center" vertical="center"/>
    </xf>
    <xf numFmtId="49" fontId="6" fillId="4" borderId="11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left" wrapText="1"/>
    </xf>
    <xf numFmtId="0" fontId="22" fillId="0" borderId="0" xfId="0" applyFont="1" applyAlignment="1">
      <alignment horizontal="center" wrapText="1"/>
    </xf>
    <xf numFmtId="0" fontId="23" fillId="0" borderId="0" xfId="0" applyFont="1"/>
    <xf numFmtId="0" fontId="6" fillId="0" borderId="10" xfId="0" applyFont="1" applyBorder="1" applyAlignment="1">
      <alignment horizontal="right" vertical="center"/>
    </xf>
    <xf numFmtId="0" fontId="26" fillId="0" borderId="8" xfId="0" applyFont="1" applyFill="1" applyBorder="1" applyAlignment="1">
      <alignment horizontal="left" vertical="center" wrapText="1"/>
    </xf>
    <xf numFmtId="0" fontId="26" fillId="0" borderId="0" xfId="0" applyFont="1" applyFill="1" applyBorder="1" applyAlignment="1">
      <alignment horizontal="left" vertical="center" wrapText="1" indent="1"/>
    </xf>
    <xf numFmtId="0" fontId="26" fillId="3" borderId="0" xfId="0" applyFont="1" applyFill="1" applyBorder="1" applyAlignment="1">
      <alignment horizontal="left" vertical="center" wrapText="1" indent="1"/>
    </xf>
    <xf numFmtId="0" fontId="26" fillId="0" borderId="0" xfId="0" applyFont="1" applyFill="1" applyBorder="1" applyAlignment="1">
      <alignment horizontal="left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5" fillId="0" borderId="60" xfId="0" applyFont="1" applyBorder="1" applyAlignment="1">
      <alignment horizontal="center" vertical="center" wrapText="1"/>
    </xf>
    <xf numFmtId="0" fontId="25" fillId="0" borderId="61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169" fontId="25" fillId="0" borderId="60" xfId="0" applyNumberFormat="1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6" fillId="0" borderId="0" xfId="0" applyFont="1" applyBorder="1" applyAlignment="1">
      <alignment horizontal="right" vertical="center"/>
    </xf>
    <xf numFmtId="49" fontId="6" fillId="4" borderId="0" xfId="0" applyNumberFormat="1" applyFont="1" applyFill="1" applyBorder="1" applyAlignment="1">
      <alignment horizontal="center" vertical="center"/>
    </xf>
    <xf numFmtId="0" fontId="29" fillId="0" borderId="16" xfId="0" applyFont="1" applyBorder="1" applyAlignment="1">
      <alignment vertical="center" wrapText="1"/>
    </xf>
    <xf numFmtId="0" fontId="29" fillId="0" borderId="53" xfId="0" applyFont="1" applyBorder="1" applyAlignment="1">
      <alignment vertical="center" wrapText="1"/>
    </xf>
    <xf numFmtId="0" fontId="27" fillId="0" borderId="8" xfId="0" applyFont="1" applyFill="1" applyBorder="1" applyAlignment="1">
      <alignment vertical="center" wrapText="1"/>
    </xf>
    <xf numFmtId="0" fontId="26" fillId="0" borderId="9" xfId="0" applyFont="1" applyFill="1" applyBorder="1" applyAlignment="1">
      <alignment horizontal="left" vertical="center" wrapText="1"/>
    </xf>
    <xf numFmtId="0" fontId="27" fillId="0" borderId="73" xfId="0" applyFont="1" applyBorder="1" applyAlignment="1">
      <alignment horizontal="center" vertical="center"/>
    </xf>
    <xf numFmtId="0" fontId="27" fillId="0" borderId="68" xfId="0" applyFont="1" applyBorder="1" applyAlignment="1">
      <alignment horizontal="center" vertical="center"/>
    </xf>
    <xf numFmtId="0" fontId="27" fillId="0" borderId="60" xfId="0" applyFont="1" applyFill="1" applyBorder="1" applyAlignment="1">
      <alignment horizontal="center" vertical="center"/>
    </xf>
    <xf numFmtId="0" fontId="27" fillId="0" borderId="61" xfId="0" applyFont="1" applyFill="1" applyBorder="1" applyAlignment="1">
      <alignment horizontal="center" vertical="center"/>
    </xf>
    <xf numFmtId="0" fontId="27" fillId="0" borderId="77" xfId="0" applyFont="1" applyFill="1" applyBorder="1" applyAlignment="1">
      <alignment vertical="center" wrapText="1"/>
    </xf>
    <xf numFmtId="0" fontId="27" fillId="0" borderId="69" xfId="0" applyFont="1" applyFill="1" applyBorder="1" applyAlignment="1">
      <alignment vertical="center" wrapText="1"/>
    </xf>
    <xf numFmtId="0" fontId="27" fillId="0" borderId="77" xfId="0" applyFont="1" applyFill="1" applyBorder="1" applyAlignment="1">
      <alignment horizontal="center" vertical="center"/>
    </xf>
    <xf numFmtId="0" fontId="27" fillId="0" borderId="69" xfId="0" applyFont="1" applyFill="1" applyBorder="1" applyAlignment="1">
      <alignment horizontal="center" vertical="center"/>
    </xf>
    <xf numFmtId="166" fontId="27" fillId="0" borderId="77" xfId="1" applyNumberFormat="1" applyFont="1" applyFill="1" applyBorder="1" applyAlignment="1" applyProtection="1">
      <alignment horizontal="center" vertical="center" wrapText="1"/>
    </xf>
    <xf numFmtId="166" fontId="27" fillId="0" borderId="69" xfId="1" applyNumberFormat="1" applyFont="1" applyFill="1" applyBorder="1" applyAlignment="1" applyProtection="1">
      <alignment horizontal="center" vertical="center" wrapText="1"/>
    </xf>
    <xf numFmtId="0" fontId="9" fillId="3" borderId="7" xfId="0" applyFont="1" applyFill="1" applyBorder="1" applyAlignment="1">
      <alignment vertical="center" wrapText="1"/>
    </xf>
    <xf numFmtId="0" fontId="9" fillId="3" borderId="8" xfId="0" applyFont="1" applyFill="1" applyBorder="1" applyAlignment="1">
      <alignment vertical="center" wrapText="1"/>
    </xf>
    <xf numFmtId="0" fontId="9" fillId="3" borderId="9" xfId="0" applyFont="1" applyFill="1" applyBorder="1" applyAlignment="1">
      <alignment vertical="center" wrapText="1"/>
    </xf>
    <xf numFmtId="0" fontId="27" fillId="0" borderId="5" xfId="0" applyFont="1" applyBorder="1" applyAlignment="1">
      <alignment horizontal="left"/>
    </xf>
    <xf numFmtId="0" fontId="27" fillId="0" borderId="0" xfId="0" applyFont="1" applyBorder="1"/>
    <xf numFmtId="0" fontId="31" fillId="0" borderId="0" xfId="0" applyFont="1" applyBorder="1" applyAlignment="1">
      <alignment vertical="center"/>
    </xf>
    <xf numFmtId="0" fontId="0" fillId="0" borderId="51" xfId="0" applyFont="1" applyBorder="1" applyAlignment="1">
      <alignment horizontal="center"/>
    </xf>
    <xf numFmtId="0" fontId="0" fillId="3" borderId="51" xfId="0" applyFont="1" applyFill="1" applyBorder="1" applyAlignment="1">
      <alignment horizontal="center"/>
    </xf>
    <xf numFmtId="0" fontId="0" fillId="3" borderId="51" xfId="0" applyFont="1" applyFill="1" applyBorder="1"/>
    <xf numFmtId="0" fontId="0" fillId="0" borderId="51" xfId="0" applyFont="1" applyBorder="1"/>
    <xf numFmtId="0" fontId="33" fillId="0" borderId="51" xfId="0" applyFont="1" applyFill="1" applyBorder="1" applyAlignment="1">
      <alignment horizontal="center" vertical="center" wrapText="1"/>
    </xf>
    <xf numFmtId="0" fontId="33" fillId="3" borderId="51" xfId="0" applyFont="1" applyFill="1" applyBorder="1" applyAlignment="1">
      <alignment horizontal="center" vertical="center" wrapText="1"/>
    </xf>
    <xf numFmtId="170" fontId="0" fillId="0" borderId="51" xfId="1" applyNumberFormat="1" applyFont="1" applyBorder="1" applyAlignment="1">
      <alignment horizontal="center" vertical="center"/>
    </xf>
    <xf numFmtId="170" fontId="0" fillId="3" borderId="51" xfId="1" applyNumberFormat="1" applyFont="1" applyFill="1" applyBorder="1" applyAlignment="1">
      <alignment horizontal="center" vertical="center"/>
    </xf>
    <xf numFmtId="169" fontId="13" fillId="0" borderId="0" xfId="0" applyNumberFormat="1" applyFont="1"/>
    <xf numFmtId="0" fontId="13" fillId="0" borderId="81" xfId="0" applyFont="1" applyBorder="1"/>
    <xf numFmtId="0" fontId="16" fillId="0" borderId="82" xfId="5" applyFont="1" applyBorder="1" applyAlignment="1">
      <alignment horizontal="center"/>
    </xf>
    <xf numFmtId="0" fontId="16" fillId="0" borderId="54" xfId="5" applyFont="1" applyBorder="1" applyAlignment="1">
      <alignment horizontal="center"/>
    </xf>
    <xf numFmtId="0" fontId="16" fillId="0" borderId="83" xfId="5" applyFont="1" applyBorder="1" applyAlignment="1">
      <alignment horizontal="center"/>
    </xf>
    <xf numFmtId="0" fontId="16" fillId="0" borderId="51" xfId="5" applyFont="1" applyBorder="1" applyAlignment="1">
      <alignment horizontal="center"/>
    </xf>
    <xf numFmtId="0" fontId="16" fillId="0" borderId="63" xfId="5" applyFont="1" applyBorder="1" applyAlignment="1">
      <alignment horizontal="center"/>
    </xf>
    <xf numFmtId="172" fontId="12" fillId="0" borderId="61" xfId="6" applyNumberFormat="1" applyFont="1" applyBorder="1"/>
    <xf numFmtId="172" fontId="12" fillId="0" borderId="61" xfId="5" applyNumberFormat="1" applyFont="1" applyBorder="1" applyAlignment="1"/>
    <xf numFmtId="0" fontId="24" fillId="0" borderId="37" xfId="0" applyFont="1" applyBorder="1" applyAlignment="1">
      <alignment horizontal="center" vertical="center" wrapText="1"/>
    </xf>
    <xf numFmtId="0" fontId="0" fillId="3" borderId="51" xfId="0" applyFont="1" applyFill="1" applyBorder="1" applyAlignment="1">
      <alignment wrapText="1"/>
    </xf>
    <xf numFmtId="0" fontId="0" fillId="0" borderId="51" xfId="0" applyFont="1" applyBorder="1" applyAlignment="1">
      <alignment horizontal="center" vertical="center"/>
    </xf>
    <xf numFmtId="0" fontId="32" fillId="3" borderId="0" xfId="0" applyFont="1" applyFill="1" applyBorder="1" applyAlignment="1">
      <alignment horizontal="left" vertical="center" wrapText="1"/>
    </xf>
    <xf numFmtId="0" fontId="14" fillId="0" borderId="16" xfId="0" applyFont="1" applyBorder="1" applyAlignment="1">
      <alignment horizontal="center"/>
    </xf>
    <xf numFmtId="0" fontId="14" fillId="0" borderId="53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29" fillId="0" borderId="2" xfId="0" applyFont="1" applyBorder="1" applyAlignment="1">
      <alignment horizontal="left"/>
    </xf>
    <xf numFmtId="0" fontId="29" fillId="0" borderId="3" xfId="0" applyFont="1" applyBorder="1" applyAlignment="1">
      <alignment horizontal="left"/>
    </xf>
    <xf numFmtId="0" fontId="29" fillId="0" borderId="4" xfId="0" applyFont="1" applyBorder="1" applyAlignment="1">
      <alignment horizontal="left"/>
    </xf>
    <xf numFmtId="0" fontId="27" fillId="0" borderId="5" xfId="0" applyFont="1" applyBorder="1" applyAlignment="1">
      <alignment horizontal="left"/>
    </xf>
    <xf numFmtId="0" fontId="27" fillId="0" borderId="0" xfId="0" applyFont="1" applyBorder="1" applyAlignment="1">
      <alignment horizontal="left"/>
    </xf>
    <xf numFmtId="0" fontId="27" fillId="0" borderId="6" xfId="0" applyFont="1" applyBorder="1" applyAlignment="1">
      <alignment horizontal="left"/>
    </xf>
    <xf numFmtId="0" fontId="30" fillId="0" borderId="47" xfId="0" applyFont="1" applyBorder="1" applyAlignment="1">
      <alignment horizontal="left" vertical="center" wrapText="1"/>
    </xf>
    <xf numFmtId="0" fontId="30" fillId="0" borderId="66" xfId="0" applyFont="1" applyBorder="1" applyAlignment="1">
      <alignment horizontal="left" vertical="center" wrapText="1"/>
    </xf>
    <xf numFmtId="0" fontId="30" fillId="0" borderId="48" xfId="0" applyFont="1" applyBorder="1" applyAlignment="1">
      <alignment horizontal="left" vertical="center" wrapText="1"/>
    </xf>
    <xf numFmtId="0" fontId="30" fillId="0" borderId="56" xfId="0" applyFont="1" applyBorder="1" applyAlignment="1">
      <alignment horizontal="left" vertical="center" wrapText="1"/>
    </xf>
    <xf numFmtId="0" fontId="21" fillId="0" borderId="74" xfId="0" applyFont="1" applyFill="1" applyBorder="1" applyAlignment="1">
      <alignment horizontal="left" vertical="center"/>
    </xf>
    <xf numFmtId="0" fontId="21" fillId="0" borderId="50" xfId="0" applyFont="1" applyFill="1" applyBorder="1" applyAlignment="1">
      <alignment horizontal="left" vertical="center"/>
    </xf>
    <xf numFmtId="0" fontId="21" fillId="0" borderId="66" xfId="0" applyFont="1" applyFill="1" applyBorder="1" applyAlignment="1">
      <alignment horizontal="left" vertical="center"/>
    </xf>
    <xf numFmtId="0" fontId="21" fillId="0" borderId="58" xfId="0" applyFont="1" applyFill="1" applyBorder="1" applyAlignment="1">
      <alignment horizontal="left" vertical="center"/>
    </xf>
    <xf numFmtId="0" fontId="21" fillId="0" borderId="51" xfId="0" applyFont="1" applyFill="1" applyBorder="1" applyAlignment="1">
      <alignment horizontal="left" vertical="center"/>
    </xf>
    <xf numFmtId="0" fontId="21" fillId="0" borderId="56" xfId="0" applyFont="1" applyFill="1" applyBorder="1" applyAlignment="1">
      <alignment horizontal="left" vertical="center"/>
    </xf>
    <xf numFmtId="0" fontId="21" fillId="0" borderId="59" xfId="0" applyFont="1" applyFill="1" applyBorder="1" applyAlignment="1">
      <alignment horizontal="left" vertical="center"/>
    </xf>
    <xf numFmtId="0" fontId="21" fillId="0" borderId="52" xfId="0" applyFont="1" applyFill="1" applyBorder="1" applyAlignment="1">
      <alignment horizontal="left" vertical="center"/>
    </xf>
    <xf numFmtId="0" fontId="21" fillId="0" borderId="57" xfId="0" applyFont="1" applyFill="1" applyBorder="1" applyAlignment="1">
      <alignment horizontal="left" vertical="center"/>
    </xf>
    <xf numFmtId="0" fontId="30" fillId="0" borderId="49" xfId="0" applyFont="1" applyBorder="1" applyAlignment="1">
      <alignment horizontal="left" vertical="center" wrapText="1"/>
    </xf>
    <xf numFmtId="0" fontId="30" fillId="0" borderId="57" xfId="0" applyFont="1" applyBorder="1" applyAlignment="1">
      <alignment horizontal="left" vertical="center" wrapText="1"/>
    </xf>
    <xf numFmtId="0" fontId="27" fillId="0" borderId="7" xfId="0" applyFont="1" applyBorder="1" applyAlignment="1">
      <alignment horizontal="left"/>
    </xf>
    <xf numFmtId="0" fontId="34" fillId="0" borderId="8" xfId="0" applyFont="1" applyBorder="1" applyAlignment="1">
      <alignment horizontal="left"/>
    </xf>
    <xf numFmtId="0" fontId="34" fillId="0" borderId="9" xfId="0" applyFont="1" applyBorder="1" applyAlignment="1">
      <alignment horizontal="left"/>
    </xf>
    <xf numFmtId="0" fontId="29" fillId="0" borderId="5" xfId="0" applyFont="1" applyBorder="1" applyAlignment="1">
      <alignment horizontal="left"/>
    </xf>
    <xf numFmtId="0" fontId="29" fillId="0" borderId="0" xfId="0" applyFont="1" applyBorder="1" applyAlignment="1">
      <alignment horizontal="left"/>
    </xf>
    <xf numFmtId="0" fontId="29" fillId="0" borderId="6" xfId="0" applyFont="1" applyBorder="1" applyAlignment="1">
      <alignment horizontal="left"/>
    </xf>
    <xf numFmtId="0" fontId="27" fillId="0" borderId="5" xfId="0" applyFont="1" applyFill="1" applyBorder="1" applyAlignment="1">
      <alignment horizontal="left" vertical="center" wrapText="1"/>
    </xf>
    <xf numFmtId="0" fontId="27" fillId="0" borderId="0" xfId="0" applyFont="1" applyFill="1" applyBorder="1" applyAlignment="1">
      <alignment horizontal="left" vertical="center" wrapText="1"/>
    </xf>
    <xf numFmtId="0" fontId="27" fillId="0" borderId="6" xfId="0" applyFont="1" applyFill="1" applyBorder="1" applyAlignment="1">
      <alignment horizontal="left" vertical="center" wrapText="1"/>
    </xf>
    <xf numFmtId="0" fontId="27" fillId="0" borderId="48" xfId="0" applyFont="1" applyFill="1" applyBorder="1" applyAlignment="1">
      <alignment horizontal="left" vertical="center" wrapText="1"/>
    </xf>
    <xf numFmtId="0" fontId="27" fillId="0" borderId="51" xfId="0" applyFont="1" applyFill="1" applyBorder="1" applyAlignment="1">
      <alignment horizontal="left" vertical="center" wrapText="1"/>
    </xf>
    <xf numFmtId="0" fontId="27" fillId="0" borderId="56" xfId="0" applyFont="1" applyFill="1" applyBorder="1" applyAlignment="1">
      <alignment horizontal="left" vertical="center" wrapText="1"/>
    </xf>
    <xf numFmtId="0" fontId="29" fillId="0" borderId="70" xfId="0" applyFont="1" applyBorder="1" applyAlignment="1">
      <alignment horizontal="left" vertical="center"/>
    </xf>
    <xf numFmtId="0" fontId="29" fillId="0" borderId="71" xfId="0" applyFont="1" applyBorder="1" applyAlignment="1">
      <alignment horizontal="left" vertical="center"/>
    </xf>
    <xf numFmtId="0" fontId="26" fillId="0" borderId="76" xfId="0" applyFont="1" applyBorder="1" applyAlignment="1">
      <alignment horizontal="center" vertical="center" wrapText="1"/>
    </xf>
    <xf numFmtId="0" fontId="26" fillId="0" borderId="6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left" vertical="center"/>
    </xf>
    <xf numFmtId="0" fontId="6" fillId="0" borderId="53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27" fillId="0" borderId="49" xfId="0" applyFont="1" applyFill="1" applyBorder="1" applyAlignment="1">
      <alignment horizontal="left" vertical="center" wrapText="1"/>
    </xf>
    <xf numFmtId="0" fontId="27" fillId="0" borderId="52" xfId="0" applyFont="1" applyFill="1" applyBorder="1" applyAlignment="1">
      <alignment horizontal="left" vertical="center" wrapText="1"/>
    </xf>
    <xf numFmtId="0" fontId="27" fillId="0" borderId="57" xfId="0" applyFont="1" applyFill="1" applyBorder="1" applyAlignment="1">
      <alignment horizontal="left" vertical="center" wrapText="1"/>
    </xf>
    <xf numFmtId="167" fontId="19" fillId="0" borderId="14" xfId="0" applyNumberFormat="1" applyFont="1" applyBorder="1" applyAlignment="1">
      <alignment horizontal="center" vertical="center"/>
    </xf>
    <xf numFmtId="0" fontId="26" fillId="0" borderId="72" xfId="0" applyFont="1" applyBorder="1" applyAlignment="1">
      <alignment horizontal="center" vertical="center"/>
    </xf>
    <xf numFmtId="0" fontId="26" fillId="0" borderId="64" xfId="0" applyFont="1" applyBorder="1" applyAlignment="1">
      <alignment horizontal="center" vertical="center"/>
    </xf>
    <xf numFmtId="0" fontId="26" fillId="0" borderId="75" xfId="0" applyFont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0" fontId="28" fillId="0" borderId="76" xfId="0" applyFont="1" applyBorder="1" applyAlignment="1">
      <alignment horizontal="center" vertical="center" wrapText="1"/>
    </xf>
    <xf numFmtId="0" fontId="28" fillId="0" borderId="65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left" vertical="center" wrapText="1"/>
    </xf>
    <xf numFmtId="0" fontId="29" fillId="0" borderId="63" xfId="0" applyFont="1" applyBorder="1" applyAlignment="1">
      <alignment horizontal="left" vertical="center" wrapText="1"/>
    </xf>
    <xf numFmtId="0" fontId="31" fillId="0" borderId="0" xfId="0" applyFont="1" applyBorder="1" applyAlignment="1">
      <alignment horizontal="center" vertical="center"/>
    </xf>
    <xf numFmtId="0" fontId="27" fillId="0" borderId="47" xfId="0" applyFont="1" applyFill="1" applyBorder="1" applyAlignment="1">
      <alignment horizontal="left" vertical="center" wrapText="1"/>
    </xf>
    <xf numFmtId="0" fontId="27" fillId="0" borderId="50" xfId="0" applyFont="1" applyFill="1" applyBorder="1" applyAlignment="1">
      <alignment horizontal="left" vertical="center" wrapText="1"/>
    </xf>
    <xf numFmtId="0" fontId="27" fillId="0" borderId="66" xfId="0" applyFont="1" applyFill="1" applyBorder="1" applyAlignment="1">
      <alignment horizontal="left" vertical="center" wrapText="1"/>
    </xf>
    <xf numFmtId="0" fontId="29" fillId="0" borderId="47" xfId="0" applyFont="1" applyBorder="1" applyAlignment="1">
      <alignment horizontal="left" vertical="center" wrapText="1"/>
    </xf>
    <xf numFmtId="0" fontId="29" fillId="0" borderId="67" xfId="0" applyFont="1" applyBorder="1" applyAlignment="1">
      <alignment horizontal="left" vertical="center" wrapText="1"/>
    </xf>
    <xf numFmtId="0" fontId="7" fillId="0" borderId="16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9" fillId="0" borderId="78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0" fillId="0" borderId="16" xfId="0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0" fontId="8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9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33" xfId="0" applyFont="1" applyBorder="1" applyAlignment="1">
      <alignment horizontal="left" vertical="center" wrapText="1"/>
    </xf>
    <xf numFmtId="0" fontId="4" fillId="0" borderId="34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 indent="1"/>
    </xf>
    <xf numFmtId="0" fontId="10" fillId="0" borderId="11" xfId="0" applyFont="1" applyBorder="1" applyAlignment="1">
      <alignment horizontal="left"/>
    </xf>
    <xf numFmtId="0" fontId="9" fillId="3" borderId="19" xfId="0" applyFont="1" applyFill="1" applyBorder="1"/>
    <xf numFmtId="0" fontId="9" fillId="3" borderId="20" xfId="0" applyFont="1" applyFill="1" applyBorder="1" applyAlignment="1">
      <alignment horizontal="left" vertical="center" wrapText="1" indent="1"/>
    </xf>
    <xf numFmtId="0" fontId="11" fillId="0" borderId="18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 wrapText="1"/>
    </xf>
    <xf numFmtId="0" fontId="11" fillId="0" borderId="84" xfId="0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0" fontId="11" fillId="0" borderId="85" xfId="0" applyFont="1" applyBorder="1" applyAlignment="1">
      <alignment horizontal="center" vertical="center" wrapText="1"/>
    </xf>
    <xf numFmtId="0" fontId="11" fillId="0" borderId="86" xfId="0" applyFont="1" applyBorder="1" applyAlignment="1">
      <alignment horizontal="center" vertical="center"/>
    </xf>
    <xf numFmtId="0" fontId="11" fillId="0" borderId="87" xfId="0" applyFont="1" applyBorder="1" applyAlignment="1">
      <alignment horizontal="center" vertical="center"/>
    </xf>
    <xf numFmtId="0" fontId="12" fillId="0" borderId="79" xfId="0" applyFont="1" applyBorder="1" applyAlignment="1">
      <alignment horizontal="center" vertical="center" wrapText="1"/>
    </xf>
    <xf numFmtId="0" fontId="12" fillId="0" borderId="80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left" vertical="center"/>
    </xf>
    <xf numFmtId="0" fontId="16" fillId="0" borderId="44" xfId="0" applyFont="1" applyBorder="1" applyAlignment="1">
      <alignment horizontal="left" vertical="center"/>
    </xf>
    <xf numFmtId="0" fontId="9" fillId="0" borderId="23" xfId="0" applyFont="1" applyBorder="1" applyAlignment="1">
      <alignment vertical="center" wrapText="1"/>
    </xf>
    <xf numFmtId="0" fontId="9" fillId="0" borderId="31" xfId="0" applyFont="1" applyFill="1" applyBorder="1" applyAlignment="1">
      <alignment horizontal="left" vertical="center" wrapText="1" indent="1"/>
    </xf>
    <xf numFmtId="0" fontId="9" fillId="0" borderId="20" xfId="0" applyFont="1" applyFill="1" applyBorder="1" applyAlignment="1">
      <alignment horizontal="left" vertical="center" wrapText="1" indent="1"/>
    </xf>
    <xf numFmtId="0" fontId="16" fillId="0" borderId="45" xfId="0" applyFont="1" applyBorder="1" applyAlignment="1">
      <alignment horizontal="left" vertical="center"/>
    </xf>
    <xf numFmtId="0" fontId="16" fillId="0" borderId="46" xfId="0" applyFont="1" applyBorder="1" applyAlignment="1">
      <alignment horizontal="left" vertical="center"/>
    </xf>
    <xf numFmtId="0" fontId="17" fillId="3" borderId="31" xfId="0" applyFont="1" applyFill="1" applyBorder="1" applyAlignment="1">
      <alignment horizontal="left" vertical="center" wrapText="1"/>
    </xf>
    <xf numFmtId="0" fontId="0" fillId="0" borderId="18" xfId="0" applyBorder="1"/>
    <xf numFmtId="0" fontId="35" fillId="0" borderId="79" xfId="0" applyFont="1" applyBorder="1" applyAlignment="1">
      <alignment horizontal="center" vertical="center" wrapText="1"/>
    </xf>
    <xf numFmtId="0" fontId="35" fillId="0" borderId="80" xfId="0" applyFont="1" applyBorder="1" applyAlignment="1">
      <alignment horizontal="center" vertical="center" wrapText="1"/>
    </xf>
    <xf numFmtId="0" fontId="11" fillId="0" borderId="85" xfId="0" applyFont="1" applyBorder="1" applyAlignment="1">
      <alignment horizontal="center" vertical="center"/>
    </xf>
    <xf numFmtId="0" fontId="11" fillId="0" borderId="88" xfId="0" applyFont="1" applyBorder="1" applyAlignment="1">
      <alignment horizontal="center" vertical="center"/>
    </xf>
    <xf numFmtId="0" fontId="11" fillId="0" borderId="89" xfId="0" applyFont="1" applyBorder="1" applyAlignment="1">
      <alignment horizontal="center" vertical="center"/>
    </xf>
    <xf numFmtId="0" fontId="11" fillId="0" borderId="89" xfId="0" applyFont="1" applyBorder="1" applyAlignment="1">
      <alignment horizontal="left" vertical="center"/>
    </xf>
    <xf numFmtId="0" fontId="11" fillId="0" borderId="90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 wrapText="1"/>
    </xf>
  </cellXfs>
  <cellStyles count="7">
    <cellStyle name="Encabezado 1" xfId="2"/>
    <cellStyle name="Moneda" xfId="1" builtinId="4"/>
    <cellStyle name="Moneda 2" xfId="6"/>
    <cellStyle name="Moneda_AUTORIZACION Y NOTA DE PEDIDO" xfId="3"/>
    <cellStyle name="Neutral 1" xfId="4"/>
    <cellStyle name="Normal" xfId="0" builtinId="0"/>
    <cellStyle name="Normal 3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workbookViewId="0">
      <selection activeCell="G11" sqref="G11"/>
    </sheetView>
  </sheetViews>
  <sheetFormatPr baseColWidth="10" defaultColWidth="11" defaultRowHeight="12.75" x14ac:dyDescent="0.2"/>
  <cols>
    <col min="1" max="1" width="4.5703125" style="8" customWidth="1"/>
    <col min="2" max="2" width="14" style="8" customWidth="1"/>
    <col min="3" max="3" width="14.7109375" style="8" customWidth="1"/>
    <col min="4" max="4" width="8.42578125" style="8" customWidth="1"/>
    <col min="5" max="5" width="69" style="8" customWidth="1"/>
    <col min="6" max="6" width="11.85546875" style="8" customWidth="1"/>
    <col min="7" max="7" width="9.140625" style="8" bestFit="1" customWidth="1"/>
    <col min="8" max="8" width="13.85546875" style="8" customWidth="1"/>
    <col min="9" max="9" width="14.5703125" style="8" customWidth="1"/>
    <col min="10" max="16384" width="11" style="8"/>
  </cols>
  <sheetData>
    <row r="1" spans="1:9" ht="13.5" thickBot="1" x14ac:dyDescent="0.25"/>
    <row r="2" spans="1:9" ht="24" customHeight="1" thickBot="1" x14ac:dyDescent="0.4">
      <c r="A2" s="95" t="s">
        <v>0</v>
      </c>
      <c r="B2" s="96"/>
      <c r="C2" s="96"/>
      <c r="D2" s="96"/>
      <c r="E2" s="96"/>
      <c r="F2" s="96"/>
      <c r="G2" s="96"/>
      <c r="H2" s="96"/>
      <c r="I2" s="97"/>
    </row>
    <row r="3" spans="1:9" ht="13.5" thickBot="1" x14ac:dyDescent="0.25"/>
    <row r="4" spans="1:9" ht="18" customHeight="1" x14ac:dyDescent="0.2">
      <c r="A4" s="104" t="s">
        <v>1</v>
      </c>
      <c r="B4" s="105"/>
      <c r="C4" s="108" t="s">
        <v>56</v>
      </c>
      <c r="D4" s="109"/>
      <c r="E4" s="109"/>
      <c r="F4" s="109"/>
      <c r="G4" s="109"/>
      <c r="H4" s="109"/>
      <c r="I4" s="110"/>
    </row>
    <row r="5" spans="1:9" ht="18" customHeight="1" x14ac:dyDescent="0.2">
      <c r="A5" s="106" t="s">
        <v>2</v>
      </c>
      <c r="B5" s="107"/>
      <c r="C5" s="111" t="s">
        <v>57</v>
      </c>
      <c r="D5" s="112"/>
      <c r="E5" s="112"/>
      <c r="F5" s="112"/>
      <c r="G5" s="112"/>
      <c r="H5" s="112"/>
      <c r="I5" s="113"/>
    </row>
    <row r="6" spans="1:9" ht="16.5" customHeight="1" x14ac:dyDescent="0.2">
      <c r="A6" s="106" t="s">
        <v>3</v>
      </c>
      <c r="B6" s="107"/>
      <c r="C6" s="111">
        <v>2022</v>
      </c>
      <c r="D6" s="112"/>
      <c r="E6" s="112"/>
      <c r="F6" s="112"/>
      <c r="G6" s="112"/>
      <c r="H6" s="112"/>
      <c r="I6" s="113"/>
    </row>
    <row r="7" spans="1:9" ht="16.5" customHeight="1" thickBot="1" x14ac:dyDescent="0.25">
      <c r="A7" s="117" t="s">
        <v>4</v>
      </c>
      <c r="B7" s="118"/>
      <c r="C7" s="114" t="s">
        <v>62</v>
      </c>
      <c r="D7" s="115"/>
      <c r="E7" s="115"/>
      <c r="F7" s="115"/>
      <c r="G7" s="115"/>
      <c r="H7" s="115"/>
      <c r="I7" s="116"/>
    </row>
    <row r="8" spans="1:9" ht="13.5" thickBot="1" x14ac:dyDescent="0.25">
      <c r="A8" s="36"/>
      <c r="B8" s="34"/>
      <c r="C8" s="35"/>
      <c r="D8" s="34"/>
      <c r="E8" s="34"/>
      <c r="F8" s="34"/>
      <c r="G8" s="35"/>
      <c r="H8" s="34"/>
      <c r="I8" s="36"/>
    </row>
    <row r="9" spans="1:9" ht="39" thickBot="1" x14ac:dyDescent="0.25">
      <c r="A9" s="44" t="s">
        <v>5</v>
      </c>
      <c r="B9" s="43" t="s">
        <v>6</v>
      </c>
      <c r="C9" s="42" t="s">
        <v>7</v>
      </c>
      <c r="D9" s="47" t="s">
        <v>8</v>
      </c>
      <c r="E9" s="44" t="s">
        <v>9</v>
      </c>
      <c r="F9" s="49" t="s">
        <v>10</v>
      </c>
      <c r="G9" s="50" t="s">
        <v>11</v>
      </c>
      <c r="H9" s="91" t="s">
        <v>12</v>
      </c>
      <c r="I9" s="199" t="s">
        <v>13</v>
      </c>
    </row>
    <row r="10" spans="1:9" ht="34.5" customHeight="1" x14ac:dyDescent="0.2">
      <c r="A10" s="45">
        <v>1</v>
      </c>
      <c r="B10" s="93" t="s">
        <v>67</v>
      </c>
      <c r="C10" s="93" t="s">
        <v>65</v>
      </c>
      <c r="D10" s="93" t="s">
        <v>68</v>
      </c>
      <c r="E10" s="92" t="s">
        <v>69</v>
      </c>
      <c r="F10" s="78" t="s">
        <v>66</v>
      </c>
      <c r="G10" s="78">
        <v>31850</v>
      </c>
      <c r="H10" s="80">
        <v>157</v>
      </c>
      <c r="I10" s="48">
        <f>G10*H10</f>
        <v>5000450</v>
      </c>
    </row>
    <row r="11" spans="1:9" ht="24.95" customHeight="1" x14ac:dyDescent="0.2">
      <c r="A11" s="45"/>
      <c r="B11" s="74"/>
      <c r="C11" s="74"/>
      <c r="D11" s="74"/>
      <c r="E11" s="77"/>
      <c r="F11" s="78"/>
      <c r="G11" s="78"/>
      <c r="H11" s="80"/>
      <c r="I11" s="48"/>
    </row>
    <row r="12" spans="1:9" ht="24.95" customHeight="1" x14ac:dyDescent="0.2">
      <c r="A12" s="46"/>
      <c r="B12" s="75"/>
      <c r="C12" s="75"/>
      <c r="D12" s="74"/>
      <c r="E12" s="76"/>
      <c r="F12" s="79"/>
      <c r="G12" s="79"/>
      <c r="H12" s="81"/>
      <c r="I12" s="48"/>
    </row>
    <row r="14" spans="1:9" ht="13.5" thickBot="1" x14ac:dyDescent="0.25">
      <c r="I14" s="82"/>
    </row>
    <row r="15" spans="1:9" ht="15" x14ac:dyDescent="0.25">
      <c r="B15" s="98" t="s">
        <v>61</v>
      </c>
      <c r="C15" s="99"/>
      <c r="D15" s="99"/>
      <c r="E15" s="100"/>
    </row>
    <row r="16" spans="1:9" ht="15" x14ac:dyDescent="0.25">
      <c r="B16" s="71"/>
      <c r="C16" s="72"/>
      <c r="D16" s="72"/>
      <c r="E16" s="72"/>
      <c r="F16" s="83"/>
    </row>
    <row r="17" spans="2:9" ht="15" x14ac:dyDescent="0.25">
      <c r="B17" s="122" t="s">
        <v>53</v>
      </c>
      <c r="C17" s="123"/>
      <c r="D17" s="123"/>
      <c r="E17" s="124"/>
    </row>
    <row r="18" spans="2:9" ht="128.25" customHeight="1" x14ac:dyDescent="0.2">
      <c r="B18" s="125" t="s">
        <v>73</v>
      </c>
      <c r="C18" s="126"/>
      <c r="D18" s="126"/>
      <c r="E18" s="127"/>
    </row>
    <row r="19" spans="2:9" ht="16.5" hidden="1" customHeight="1" x14ac:dyDescent="0.2">
      <c r="B19" s="125"/>
      <c r="C19" s="126"/>
      <c r="D19" s="126"/>
      <c r="E19" s="127"/>
    </row>
    <row r="20" spans="2:9" ht="15" x14ac:dyDescent="0.25">
      <c r="B20" s="122" t="s">
        <v>54</v>
      </c>
      <c r="C20" s="123"/>
      <c r="D20" s="123"/>
      <c r="E20" s="124"/>
    </row>
    <row r="21" spans="2:9" ht="15" x14ac:dyDescent="0.25">
      <c r="B21" s="101" t="s">
        <v>74</v>
      </c>
      <c r="C21" s="102"/>
      <c r="D21" s="102"/>
      <c r="E21" s="103"/>
    </row>
    <row r="22" spans="2:9" ht="15" x14ac:dyDescent="0.25">
      <c r="B22" s="122" t="s">
        <v>55</v>
      </c>
      <c r="C22" s="123"/>
      <c r="D22" s="123"/>
      <c r="E22" s="124"/>
    </row>
    <row r="23" spans="2:9" ht="15" x14ac:dyDescent="0.25">
      <c r="B23" s="101" t="s">
        <v>59</v>
      </c>
      <c r="C23" s="102"/>
      <c r="D23" s="102"/>
      <c r="E23" s="103"/>
    </row>
    <row r="24" spans="2:9" ht="31.5" customHeight="1" x14ac:dyDescent="0.25">
      <c r="B24" s="122" t="s">
        <v>60</v>
      </c>
      <c r="C24" s="123"/>
      <c r="D24" s="123"/>
      <c r="E24" s="124"/>
      <c r="F24" s="94"/>
      <c r="G24" s="94"/>
      <c r="H24" s="94"/>
      <c r="I24" s="94"/>
    </row>
    <row r="25" spans="2:9" ht="15.75" thickBot="1" x14ac:dyDescent="0.3">
      <c r="B25" s="119" t="s">
        <v>64</v>
      </c>
      <c r="C25" s="120"/>
      <c r="D25" s="120"/>
      <c r="E25" s="121"/>
      <c r="F25" s="94"/>
      <c r="G25" s="94"/>
      <c r="H25" s="94"/>
      <c r="I25" s="94"/>
    </row>
    <row r="26" spans="2:9" x14ac:dyDescent="0.2">
      <c r="C26" s="9"/>
      <c r="D26" s="9"/>
      <c r="E26" s="9"/>
    </row>
  </sheetData>
  <mergeCells count="19">
    <mergeCell ref="B25:E25"/>
    <mergeCell ref="B17:E17"/>
    <mergeCell ref="B20:E20"/>
    <mergeCell ref="B22:E22"/>
    <mergeCell ref="B24:E24"/>
    <mergeCell ref="B21:E21"/>
    <mergeCell ref="B18:E19"/>
    <mergeCell ref="A2:I2"/>
    <mergeCell ref="B15:E15"/>
    <mergeCell ref="B23:E23"/>
    <mergeCell ref="A4:B4"/>
    <mergeCell ref="A5:B5"/>
    <mergeCell ref="C4:I4"/>
    <mergeCell ref="C5:I5"/>
    <mergeCell ref="C6:I6"/>
    <mergeCell ref="C7:I7"/>
    <mergeCell ref="A6:B6"/>
    <mergeCell ref="A7:B7"/>
    <mergeCell ref="F24:I25"/>
  </mergeCells>
  <pageMargins left="0.70866141732283472" right="0.70866141732283472" top="0.74803149606299213" bottom="0.74803149606299213" header="0.51181102362204722" footer="0.51181102362204722"/>
  <pageSetup paperSize="9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9"/>
  <sheetViews>
    <sheetView workbookViewId="0">
      <selection activeCell="C30" sqref="C30"/>
    </sheetView>
  </sheetViews>
  <sheetFormatPr baseColWidth="10" defaultColWidth="9.140625" defaultRowHeight="12.75" x14ac:dyDescent="0.2"/>
  <cols>
    <col min="1" max="1" width="7.28515625" style="2" customWidth="1"/>
    <col min="2" max="2" width="18.28515625" style="2" customWidth="1"/>
    <col min="3" max="3" width="85.85546875" style="2" customWidth="1"/>
    <col min="4" max="4" width="9.140625" style="2" customWidth="1"/>
    <col min="5" max="5" width="11" style="2" customWidth="1"/>
    <col min="6" max="6" width="10.7109375" style="2" customWidth="1"/>
    <col min="7" max="7" width="9.140625" style="2" customWidth="1"/>
    <col min="8" max="8" width="9.28515625" style="2" customWidth="1"/>
    <col min="9" max="9" width="12" style="2" customWidth="1"/>
    <col min="10" max="10" width="14.7109375" style="2" customWidth="1"/>
    <col min="11" max="11" width="13.8554687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thickBot="1" x14ac:dyDescent="0.25">
      <c r="A1" s="150" t="s">
        <v>14</v>
      </c>
      <c r="B1" s="150"/>
      <c r="C1" s="150"/>
      <c r="D1" s="150"/>
      <c r="E1" s="150"/>
      <c r="F1" s="150"/>
      <c r="G1" s="150"/>
      <c r="H1" s="73"/>
      <c r="I1" s="73"/>
    </row>
    <row r="2" spans="1:11" ht="18.75" customHeight="1" thickBot="1" x14ac:dyDescent="0.25">
      <c r="A2" s="3"/>
      <c r="B2" s="3"/>
      <c r="C2" s="3"/>
      <c r="D2" s="3"/>
      <c r="E2" s="3"/>
      <c r="F2" s="37" t="s">
        <v>15</v>
      </c>
      <c r="G2" s="33" t="s">
        <v>77</v>
      </c>
      <c r="H2" s="3"/>
      <c r="I2" s="3"/>
      <c r="J2" s="3"/>
      <c r="K2" s="3"/>
    </row>
    <row r="3" spans="1:11" ht="7.5" customHeight="1" thickBot="1" x14ac:dyDescent="0.25">
      <c r="A3" s="3"/>
      <c r="B3" s="3"/>
      <c r="C3" s="3"/>
      <c r="D3" s="3"/>
      <c r="E3" s="3"/>
      <c r="F3" s="52"/>
      <c r="G3" s="53"/>
      <c r="H3" s="3"/>
      <c r="I3" s="3"/>
      <c r="J3" s="3"/>
      <c r="K3" s="3"/>
    </row>
    <row r="4" spans="1:11" ht="18.75" customHeight="1" x14ac:dyDescent="0.2">
      <c r="A4" s="154" t="s">
        <v>48</v>
      </c>
      <c r="B4" s="155"/>
      <c r="C4" s="151" t="str">
        <f>'Necesidades Trimestrales'!C4</f>
        <v>12 -Ministerio de Gobierno, Justicia y Derechos Humanos.</v>
      </c>
      <c r="D4" s="152"/>
      <c r="E4" s="152"/>
      <c r="F4" s="152"/>
      <c r="G4" s="153"/>
      <c r="H4" s="39"/>
      <c r="I4" s="39"/>
      <c r="J4" s="39"/>
    </row>
    <row r="5" spans="1:11" ht="18.75" customHeight="1" x14ac:dyDescent="0.2">
      <c r="A5" s="148" t="s">
        <v>49</v>
      </c>
      <c r="B5" s="149"/>
      <c r="C5" s="128" t="str">
        <f>'Necesidades Trimestrales'!C5</f>
        <v>06 - Secretaria de Gestion Administrativa del Ministerio de Gobierno, Justicia y Derechos Humanos</v>
      </c>
      <c r="D5" s="129"/>
      <c r="E5" s="129"/>
      <c r="F5" s="129"/>
      <c r="G5" s="130"/>
      <c r="H5" s="39"/>
      <c r="I5" s="39"/>
      <c r="J5" s="39"/>
    </row>
    <row r="6" spans="1:11" ht="18.75" customHeight="1" x14ac:dyDescent="0.2">
      <c r="A6" s="148" t="s">
        <v>27</v>
      </c>
      <c r="B6" s="149"/>
      <c r="C6" s="128" t="s">
        <v>58</v>
      </c>
      <c r="D6" s="129"/>
      <c r="E6" s="129"/>
      <c r="F6" s="129"/>
      <c r="G6" s="130"/>
      <c r="H6" s="39"/>
      <c r="I6" s="39"/>
      <c r="J6" s="39"/>
    </row>
    <row r="7" spans="1:11" ht="32.25" customHeight="1" x14ac:dyDescent="0.2">
      <c r="A7" s="148" t="s">
        <v>50</v>
      </c>
      <c r="B7" s="149"/>
      <c r="C7" s="128" t="s">
        <v>58</v>
      </c>
      <c r="D7" s="129"/>
      <c r="E7" s="129"/>
      <c r="F7" s="129"/>
      <c r="G7" s="130"/>
      <c r="H7" s="39"/>
      <c r="I7" s="39"/>
      <c r="J7" s="39"/>
    </row>
    <row r="8" spans="1:11" ht="16.5" customHeight="1" x14ac:dyDescent="0.2">
      <c r="A8" s="148" t="s">
        <v>16</v>
      </c>
      <c r="B8" s="149"/>
      <c r="C8" s="128" t="s">
        <v>63</v>
      </c>
      <c r="D8" s="129"/>
      <c r="E8" s="129"/>
      <c r="F8" s="129"/>
      <c r="G8" s="130"/>
      <c r="H8" s="40"/>
      <c r="I8" s="40"/>
      <c r="J8" s="40"/>
    </row>
    <row r="9" spans="1:11" ht="27.75" customHeight="1" thickBot="1" x14ac:dyDescent="0.25">
      <c r="A9" s="131" t="s">
        <v>17</v>
      </c>
      <c r="B9" s="132"/>
      <c r="C9" s="138" t="s">
        <v>71</v>
      </c>
      <c r="D9" s="139"/>
      <c r="E9" s="139"/>
      <c r="F9" s="139"/>
      <c r="G9" s="140"/>
      <c r="H9" s="41"/>
      <c r="I9" s="41"/>
      <c r="J9" s="41"/>
    </row>
    <row r="10" spans="1:11" ht="16.5" customHeight="1" thickBot="1" x14ac:dyDescent="0.25">
      <c r="A10" s="54"/>
      <c r="B10" s="55"/>
      <c r="C10" s="56"/>
      <c r="D10" s="56"/>
      <c r="E10" s="38"/>
      <c r="F10" s="38"/>
      <c r="G10" s="57"/>
      <c r="H10" s="41"/>
      <c r="I10" s="41"/>
      <c r="J10" s="41"/>
    </row>
    <row r="11" spans="1:11" ht="18.75" customHeight="1" x14ac:dyDescent="0.2">
      <c r="A11" s="142" t="s">
        <v>18</v>
      </c>
      <c r="B11" s="144" t="s">
        <v>19</v>
      </c>
      <c r="C11" s="133" t="s">
        <v>20</v>
      </c>
      <c r="D11" s="146" t="s">
        <v>21</v>
      </c>
      <c r="E11" s="146" t="s">
        <v>22</v>
      </c>
      <c r="F11" s="146" t="s">
        <v>23</v>
      </c>
      <c r="G11" s="146" t="s">
        <v>24</v>
      </c>
    </row>
    <row r="12" spans="1:11" ht="24" customHeight="1" thickBot="1" x14ac:dyDescent="0.25">
      <c r="A12" s="143"/>
      <c r="B12" s="145"/>
      <c r="C12" s="134"/>
      <c r="D12" s="147"/>
      <c r="E12" s="147"/>
      <c r="F12" s="147"/>
      <c r="G12" s="147"/>
    </row>
    <row r="13" spans="1:11" ht="29.25" customHeight="1" x14ac:dyDescent="0.2">
      <c r="A13" s="58">
        <f>'Necesidades Trimestrales'!A10</f>
        <v>1</v>
      </c>
      <c r="B13" s="60" t="str">
        <f>'Necesidades Trimestrales'!B10</f>
        <v>2.5.6-793.31</v>
      </c>
      <c r="C13" s="62" t="str">
        <f>'Necesidades Trimestrales'!E10</f>
        <v>GAS OIL; PRESENTACION: POR LITRO, USO: MOTORES DIESEL, COMER-
CIALIZACION: GRADO 3, DESTINO: DPTO. S.F.V. DE CATAMARCA</v>
      </c>
      <c r="D13" s="64" t="s">
        <v>72</v>
      </c>
      <c r="E13" s="64" t="str">
        <f>'Necesidades Trimestrales'!F10</f>
        <v>LITROS</v>
      </c>
      <c r="F13" s="66">
        <f>'Necesidades Trimestrales'!H10</f>
        <v>157</v>
      </c>
      <c r="G13" s="64">
        <f>'Necesidades Trimestrales'!G10</f>
        <v>31850</v>
      </c>
    </row>
    <row r="14" spans="1:11" ht="15" x14ac:dyDescent="0.2">
      <c r="A14" s="59"/>
      <c r="B14" s="61"/>
      <c r="C14" s="63"/>
      <c r="D14" s="64"/>
      <c r="E14" s="65"/>
      <c r="F14" s="67"/>
      <c r="G14" s="65"/>
    </row>
    <row r="15" spans="1:11" ht="15" x14ac:dyDescent="0.2">
      <c r="A15" s="59"/>
      <c r="B15" s="61"/>
      <c r="C15" s="63"/>
      <c r="D15" s="64"/>
      <c r="E15" s="65"/>
      <c r="F15" s="67"/>
      <c r="G15" s="65"/>
    </row>
    <row r="16" spans="1:11" ht="15" x14ac:dyDescent="0.2">
      <c r="A16" s="59"/>
      <c r="B16" s="61"/>
      <c r="C16" s="63"/>
      <c r="D16" s="64"/>
      <c r="E16" s="65"/>
      <c r="F16" s="67"/>
      <c r="G16" s="65"/>
    </row>
    <row r="17" spans="1:9" ht="15" x14ac:dyDescent="0.2">
      <c r="A17" s="59"/>
      <c r="B17" s="61"/>
      <c r="C17" s="63"/>
      <c r="D17" s="64"/>
      <c r="E17" s="65"/>
      <c r="F17" s="67"/>
      <c r="G17" s="65"/>
    </row>
    <row r="18" spans="1:9" ht="15.75" thickBot="1" x14ac:dyDescent="0.25">
      <c r="A18" s="59"/>
      <c r="B18" s="61"/>
      <c r="C18" s="63"/>
      <c r="D18" s="64"/>
      <c r="E18" s="65"/>
      <c r="F18" s="67"/>
      <c r="G18" s="65"/>
    </row>
    <row r="19" spans="1:9" ht="20.25" customHeight="1" thickBot="1" x14ac:dyDescent="0.25">
      <c r="A19" s="135" t="s">
        <v>75</v>
      </c>
      <c r="B19" s="136"/>
      <c r="C19" s="136"/>
      <c r="D19" s="136"/>
      <c r="E19" s="137"/>
      <c r="F19" s="141">
        <f>SUMPRODUCT(F13:F18*G13:G18)</f>
        <v>5000450</v>
      </c>
      <c r="G19" s="141"/>
      <c r="H19" s="51"/>
      <c r="I19" s="51"/>
    </row>
  </sheetData>
  <mergeCells count="22">
    <mergeCell ref="A1:G1"/>
    <mergeCell ref="C4:G4"/>
    <mergeCell ref="C5:G5"/>
    <mergeCell ref="C6:G6"/>
    <mergeCell ref="C7:G7"/>
    <mergeCell ref="A4:B4"/>
    <mergeCell ref="A5:B5"/>
    <mergeCell ref="A6:B6"/>
    <mergeCell ref="A7:B7"/>
    <mergeCell ref="C8:G8"/>
    <mergeCell ref="A9:B9"/>
    <mergeCell ref="C11:C12"/>
    <mergeCell ref="A19:E19"/>
    <mergeCell ref="C9:G9"/>
    <mergeCell ref="F19:G19"/>
    <mergeCell ref="A11:A12"/>
    <mergeCell ref="B11:B12"/>
    <mergeCell ref="D11:D12"/>
    <mergeCell ref="E11:E12"/>
    <mergeCell ref="F11:F12"/>
    <mergeCell ref="G11:G12"/>
    <mergeCell ref="A8:B8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"/>
  <sheetViews>
    <sheetView zoomScale="130" zoomScaleNormal="130" workbookViewId="0">
      <selection activeCell="T22" sqref="T22"/>
    </sheetView>
  </sheetViews>
  <sheetFormatPr baseColWidth="10" defaultColWidth="11" defaultRowHeight="12.75" x14ac:dyDescent="0.2"/>
  <cols>
    <col min="1" max="4" width="4.42578125" customWidth="1"/>
    <col min="5" max="5" width="7.5703125" customWidth="1"/>
    <col min="6" max="6" width="5.85546875" bestFit="1" customWidth="1"/>
    <col min="7" max="7" width="4.42578125" style="4" customWidth="1"/>
    <col min="8" max="11" width="4.42578125" customWidth="1"/>
    <col min="12" max="12" width="5" customWidth="1"/>
    <col min="13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61" t="s">
        <v>3</v>
      </c>
      <c r="B1" s="161"/>
      <c r="C1" s="161"/>
      <c r="D1" s="162">
        <f>'Necesidades Trimestrales'!C6</f>
        <v>2022</v>
      </c>
      <c r="E1" s="162"/>
      <c r="F1" s="5"/>
      <c r="G1" s="5"/>
      <c r="H1" s="6"/>
      <c r="I1" s="6"/>
      <c r="J1" s="6"/>
      <c r="K1" s="6"/>
      <c r="L1" s="6"/>
      <c r="M1" s="6"/>
      <c r="N1" s="6"/>
      <c r="P1" s="163" t="s">
        <v>25</v>
      </c>
      <c r="Q1" s="163"/>
    </row>
    <row r="2" spans="1:17" ht="15.75" customHeight="1" x14ac:dyDescent="0.2">
      <c r="H2" s="6"/>
      <c r="I2" s="6"/>
      <c r="J2" s="6"/>
      <c r="K2" s="6"/>
      <c r="L2" s="6"/>
      <c r="M2" s="6"/>
      <c r="N2" s="6"/>
      <c r="P2" s="163"/>
      <c r="Q2" s="163"/>
    </row>
    <row r="4" spans="1:17" s="7" customFormat="1" ht="18" customHeight="1" thickBot="1" x14ac:dyDescent="0.25">
      <c r="A4" s="164" t="s">
        <v>26</v>
      </c>
      <c r="B4" s="164"/>
      <c r="C4" s="164"/>
      <c r="D4" s="164"/>
      <c r="E4" s="164"/>
      <c r="F4" s="164"/>
      <c r="G4" s="165" t="str">
        <f>' NotaPedido'!C4</f>
        <v>12 -Ministerio de Gobierno, Justicia y Derechos Humanos.</v>
      </c>
      <c r="H4" s="165"/>
      <c r="I4" s="165"/>
      <c r="J4" s="165"/>
      <c r="K4" s="165"/>
      <c r="L4" s="165"/>
      <c r="M4" s="165"/>
      <c r="N4" s="165"/>
      <c r="O4" s="165"/>
      <c r="P4" s="165"/>
      <c r="Q4" s="165"/>
    </row>
    <row r="5" spans="1:17" s="7" customFormat="1" ht="32.25" customHeight="1" thickBot="1" x14ac:dyDescent="0.25">
      <c r="A5" s="166" t="s">
        <v>49</v>
      </c>
      <c r="B5" s="167"/>
      <c r="C5" s="167"/>
      <c r="D5" s="167"/>
      <c r="E5" s="167"/>
      <c r="F5" s="168"/>
      <c r="G5" s="169" t="str">
        <f>' NotaPedido'!C5</f>
        <v>06 - Secretaria de Gestion Administrativa del Ministerio de Gobierno, Justicia y Derechos Humanos</v>
      </c>
      <c r="H5" s="169"/>
      <c r="I5" s="169"/>
      <c r="J5" s="169"/>
      <c r="K5" s="169"/>
      <c r="L5" s="169"/>
      <c r="M5" s="169"/>
      <c r="N5" s="169"/>
      <c r="O5" s="169"/>
      <c r="P5" s="169"/>
      <c r="Q5" s="169"/>
    </row>
    <row r="6" spans="1:17" s="7" customFormat="1" ht="18" customHeight="1" thickBot="1" x14ac:dyDescent="0.25">
      <c r="A6" s="166" t="s">
        <v>27</v>
      </c>
      <c r="B6" s="167"/>
      <c r="C6" s="167"/>
      <c r="D6" s="167"/>
      <c r="E6" s="167"/>
      <c r="F6" s="168"/>
      <c r="G6" s="165" t="str">
        <f>' NotaPedido'!C6</f>
        <v>Ministerio de Gobierno, Justicia y Derechos Humanos.</v>
      </c>
      <c r="H6" s="165"/>
      <c r="I6" s="165"/>
      <c r="J6" s="165"/>
      <c r="K6" s="165"/>
      <c r="L6" s="165"/>
      <c r="M6" s="165"/>
      <c r="N6" s="165"/>
      <c r="O6" s="165"/>
      <c r="P6" s="165"/>
      <c r="Q6" s="165"/>
    </row>
    <row r="7" spans="1:17" s="7" customFormat="1" ht="20.25" customHeight="1" thickBot="1" x14ac:dyDescent="0.25">
      <c r="A7" s="166" t="s">
        <v>50</v>
      </c>
      <c r="B7" s="167"/>
      <c r="C7" s="167"/>
      <c r="D7" s="167"/>
      <c r="E7" s="167"/>
      <c r="F7" s="168"/>
      <c r="G7" s="165" t="str">
        <f>' NotaPedido'!C7</f>
        <v>Ministerio de Gobierno, Justicia y Derechos Humanos.</v>
      </c>
      <c r="H7" s="165"/>
      <c r="I7" s="165"/>
      <c r="J7" s="165"/>
      <c r="K7" s="165"/>
      <c r="L7" s="165"/>
      <c r="M7" s="165"/>
      <c r="N7" s="165"/>
      <c r="O7" s="165"/>
      <c r="P7" s="165"/>
      <c r="Q7" s="165"/>
    </row>
    <row r="8" spans="1:17" ht="18" customHeight="1" thickBot="1" x14ac:dyDescent="0.25">
      <c r="A8" s="170" t="s">
        <v>28</v>
      </c>
      <c r="B8" s="170"/>
      <c r="C8" s="170"/>
      <c r="D8" s="170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</row>
    <row r="9" spans="1:17" ht="18" customHeight="1" x14ac:dyDescent="0.2">
      <c r="A9" s="171" t="s">
        <v>29</v>
      </c>
      <c r="B9" s="171"/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5"/>
      <c r="P9" s="15"/>
      <c r="Q9" s="16"/>
    </row>
    <row r="10" spans="1:17" ht="54.75" customHeight="1" x14ac:dyDescent="0.2">
      <c r="A10" s="172" t="str">
        <f>"Autorizo la realización de los  trámites correspondientes, a fin de proveer a  este Organismo los bienes y/o servicios que se detallan en Nota  de Pedido N° " &amp; ' NotaPedido'!G2&amp;",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63/2022,  afectando la erogación resultante a los créditos presupuestarios aprobados a favor de esta Unidad Ejecutora, conforme al siguiente detalle:</v>
      </c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</row>
    <row r="11" spans="1:17" ht="9" customHeight="1" x14ac:dyDescent="0.2">
      <c r="A11" s="11"/>
      <c r="B11" s="12"/>
      <c r="C11" s="12"/>
      <c r="D11" s="12"/>
      <c r="E11" s="12"/>
      <c r="F11" s="12"/>
      <c r="G11" s="13"/>
      <c r="H11" s="12"/>
      <c r="I11" s="12"/>
      <c r="J11" s="12"/>
      <c r="K11" s="12"/>
      <c r="L11" s="12"/>
      <c r="M11" s="12"/>
      <c r="N11" s="12"/>
      <c r="O11" s="12"/>
      <c r="P11" s="12"/>
      <c r="Q11" s="14"/>
    </row>
    <row r="12" spans="1:17" ht="15.75" customHeight="1" thickBot="1" x14ac:dyDescent="0.25">
      <c r="A12" s="173" t="s">
        <v>30</v>
      </c>
      <c r="B12" s="173"/>
      <c r="C12" s="173"/>
      <c r="D12" s="173"/>
      <c r="E12" s="173"/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</row>
    <row r="13" spans="1:17" ht="15.75" customHeight="1" thickBot="1" x14ac:dyDescent="0.25">
      <c r="A13" s="173" t="s">
        <v>31</v>
      </c>
      <c r="B13" s="173"/>
      <c r="C13" s="173"/>
      <c r="D13" s="173"/>
      <c r="E13" s="173"/>
      <c r="F13" s="173"/>
      <c r="G13" s="173"/>
      <c r="H13" s="173"/>
      <c r="I13" s="173"/>
      <c r="J13" s="173"/>
      <c r="K13" s="173"/>
      <c r="L13" s="173"/>
      <c r="M13" s="173"/>
      <c r="N13" s="193"/>
      <c r="O13" s="174" t="s">
        <v>32</v>
      </c>
      <c r="P13" s="175"/>
      <c r="Q13" s="178" t="s">
        <v>33</v>
      </c>
    </row>
    <row r="14" spans="1:17" ht="15.75" customHeight="1" thickBot="1" x14ac:dyDescent="0.25">
      <c r="A14" s="194" t="s">
        <v>34</v>
      </c>
      <c r="B14" s="195" t="s">
        <v>35</v>
      </c>
      <c r="C14" s="195" t="s">
        <v>36</v>
      </c>
      <c r="D14" s="195" t="s">
        <v>37</v>
      </c>
      <c r="E14" s="195" t="s">
        <v>38</v>
      </c>
      <c r="F14" s="195" t="s">
        <v>39</v>
      </c>
      <c r="G14" s="196" t="s">
        <v>40</v>
      </c>
      <c r="H14" s="195" t="s">
        <v>41</v>
      </c>
      <c r="I14" s="195" t="s">
        <v>42</v>
      </c>
      <c r="J14" s="195" t="s">
        <v>43</v>
      </c>
      <c r="K14" s="195" t="s">
        <v>43</v>
      </c>
      <c r="L14" s="195" t="s">
        <v>44</v>
      </c>
      <c r="M14" s="197" t="s">
        <v>45</v>
      </c>
      <c r="N14" s="198" t="s">
        <v>46</v>
      </c>
      <c r="O14" s="176"/>
      <c r="P14" s="177"/>
      <c r="Q14" s="179"/>
    </row>
    <row r="15" spans="1:17" ht="24.75" customHeight="1" thickBot="1" x14ac:dyDescent="0.25">
      <c r="A15" s="84">
        <v>1</v>
      </c>
      <c r="B15" s="85">
        <v>0</v>
      </c>
      <c r="C15" s="85">
        <v>0</v>
      </c>
      <c r="D15" s="85">
        <v>1</v>
      </c>
      <c r="E15" s="85">
        <v>0</v>
      </c>
      <c r="F15" s="85">
        <v>4901</v>
      </c>
      <c r="G15" s="85">
        <v>1</v>
      </c>
      <c r="H15" s="85">
        <v>3</v>
      </c>
      <c r="I15" s="85">
        <v>2</v>
      </c>
      <c r="J15" s="85">
        <v>5</v>
      </c>
      <c r="K15" s="85">
        <v>6</v>
      </c>
      <c r="L15" s="85">
        <v>0</v>
      </c>
      <c r="M15" s="86">
        <v>1</v>
      </c>
      <c r="N15" s="86" t="s">
        <v>51</v>
      </c>
      <c r="O15" s="191" t="s">
        <v>70</v>
      </c>
      <c r="P15" s="192"/>
      <c r="Q15" s="89">
        <v>4000450</v>
      </c>
    </row>
    <row r="16" spans="1:17" ht="24.75" customHeight="1" thickBot="1" x14ac:dyDescent="0.25">
      <c r="A16" s="84">
        <v>13</v>
      </c>
      <c r="B16" s="85">
        <v>0</v>
      </c>
      <c r="C16" s="85">
        <v>0</v>
      </c>
      <c r="D16" s="85">
        <v>1</v>
      </c>
      <c r="E16" s="85">
        <v>0</v>
      </c>
      <c r="F16" s="85">
        <v>4901</v>
      </c>
      <c r="G16" s="85">
        <v>1</v>
      </c>
      <c r="H16" s="85">
        <v>3</v>
      </c>
      <c r="I16" s="85">
        <v>2</v>
      </c>
      <c r="J16" s="85">
        <v>5</v>
      </c>
      <c r="K16" s="85">
        <v>6</v>
      </c>
      <c r="L16" s="87">
        <v>0</v>
      </c>
      <c r="M16" s="88">
        <v>1</v>
      </c>
      <c r="N16" s="86" t="s">
        <v>51</v>
      </c>
      <c r="O16" s="191" t="s">
        <v>70</v>
      </c>
      <c r="P16" s="192"/>
      <c r="Q16" s="90">
        <v>400000</v>
      </c>
    </row>
    <row r="17" spans="1:19" ht="24.75" customHeight="1" thickBot="1" x14ac:dyDescent="0.25">
      <c r="A17" s="84">
        <v>17</v>
      </c>
      <c r="B17" s="85">
        <v>0</v>
      </c>
      <c r="C17" s="85">
        <v>0</v>
      </c>
      <c r="D17" s="85">
        <v>1</v>
      </c>
      <c r="E17" s="85">
        <v>0</v>
      </c>
      <c r="F17" s="85">
        <v>4901</v>
      </c>
      <c r="G17" s="85">
        <v>1</v>
      </c>
      <c r="H17" s="85">
        <v>3</v>
      </c>
      <c r="I17" s="85">
        <v>2</v>
      </c>
      <c r="J17" s="85">
        <v>5</v>
      </c>
      <c r="K17" s="85">
        <v>6</v>
      </c>
      <c r="L17" s="87">
        <v>0</v>
      </c>
      <c r="M17" s="88">
        <v>1</v>
      </c>
      <c r="N17" s="86" t="s">
        <v>51</v>
      </c>
      <c r="O17" s="191" t="s">
        <v>70</v>
      </c>
      <c r="P17" s="192"/>
      <c r="Q17" s="90">
        <v>600000</v>
      </c>
    </row>
    <row r="18" spans="1:19" ht="24.75" customHeight="1" thickBot="1" x14ac:dyDescent="0.25">
      <c r="A18" s="84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7"/>
      <c r="M18" s="88"/>
      <c r="N18" s="86"/>
      <c r="O18" s="180"/>
      <c r="P18" s="181"/>
      <c r="Q18" s="90"/>
    </row>
    <row r="19" spans="1:19" ht="24.75" customHeight="1" thickBot="1" x14ac:dyDescent="0.25">
      <c r="A19" s="84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7"/>
      <c r="M19" s="88"/>
      <c r="N19" s="86"/>
      <c r="O19" s="180"/>
      <c r="P19" s="181"/>
      <c r="Q19" s="90"/>
    </row>
    <row r="20" spans="1:19" ht="24.75" customHeight="1" thickBot="1" x14ac:dyDescent="0.25">
      <c r="A20" s="84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7"/>
      <c r="M20" s="88"/>
      <c r="N20" s="86"/>
      <c r="O20" s="180"/>
      <c r="P20" s="181"/>
      <c r="Q20" s="90"/>
    </row>
    <row r="21" spans="1:19" ht="24.75" customHeight="1" thickBot="1" x14ac:dyDescent="0.25">
      <c r="A21" s="84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7"/>
      <c r="M21" s="88"/>
      <c r="N21" s="86"/>
      <c r="O21" s="180"/>
      <c r="P21" s="181"/>
      <c r="Q21" s="90"/>
    </row>
    <row r="22" spans="1:19" ht="24.75" customHeight="1" x14ac:dyDescent="0.2">
      <c r="A22" s="84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7"/>
      <c r="M22" s="88"/>
      <c r="N22" s="86"/>
      <c r="O22" s="180"/>
      <c r="P22" s="181"/>
      <c r="Q22" s="90"/>
    </row>
    <row r="23" spans="1:19" ht="17.25" customHeight="1" x14ac:dyDescent="0.2">
      <c r="A23" s="17"/>
      <c r="B23" s="18"/>
      <c r="C23" s="18"/>
      <c r="D23" s="18"/>
      <c r="E23" s="18"/>
      <c r="F23" s="22"/>
      <c r="G23" s="18"/>
      <c r="H23" s="18"/>
      <c r="I23" s="18"/>
      <c r="J23" s="18"/>
      <c r="K23" s="18"/>
      <c r="L23" s="18"/>
      <c r="M23" s="19"/>
      <c r="N23" s="20"/>
      <c r="O23" s="182"/>
      <c r="P23" s="183"/>
      <c r="Q23" s="21"/>
    </row>
    <row r="24" spans="1:19" ht="17.25" customHeight="1" x14ac:dyDescent="0.2">
      <c r="A24" s="23"/>
      <c r="B24" s="24"/>
      <c r="C24" s="24"/>
      <c r="D24" s="24"/>
      <c r="E24" s="24"/>
      <c r="F24" s="25"/>
      <c r="G24" s="24"/>
      <c r="H24" s="24"/>
      <c r="I24" s="24"/>
      <c r="J24" s="24"/>
      <c r="K24" s="24"/>
      <c r="L24" s="24"/>
      <c r="M24" s="26"/>
      <c r="N24" s="27"/>
      <c r="O24" s="182"/>
      <c r="P24" s="183"/>
      <c r="Q24" s="21"/>
      <c r="R24" s="1"/>
    </row>
    <row r="25" spans="1:19" ht="17.25" customHeight="1" x14ac:dyDescent="0.2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30"/>
      <c r="N25" s="30"/>
      <c r="O25" s="187"/>
      <c r="P25" s="188"/>
      <c r="Q25" s="31"/>
    </row>
    <row r="26" spans="1:19" ht="33.75" customHeight="1" x14ac:dyDescent="0.2">
      <c r="A26" s="189" t="s">
        <v>76</v>
      </c>
      <c r="B26" s="189"/>
      <c r="C26" s="189"/>
      <c r="D26" s="189"/>
      <c r="E26" s="189"/>
      <c r="F26" s="189"/>
      <c r="G26" s="189"/>
      <c r="H26" s="189"/>
      <c r="I26" s="189"/>
      <c r="J26" s="189"/>
      <c r="K26" s="189"/>
      <c r="L26" s="189"/>
      <c r="M26" s="189"/>
      <c r="N26" s="189"/>
      <c r="O26" s="189"/>
      <c r="P26" s="189"/>
      <c r="Q26" s="32">
        <f>SUM(Q15:Q25)</f>
        <v>5000450</v>
      </c>
    </row>
    <row r="27" spans="1:19" ht="18" customHeight="1" thickBot="1" x14ac:dyDescent="0.25">
      <c r="A27" s="190"/>
      <c r="B27" s="190"/>
      <c r="C27" s="190"/>
      <c r="D27" s="190"/>
      <c r="E27" s="190"/>
      <c r="F27" s="190"/>
      <c r="G27" s="190"/>
      <c r="H27" s="190"/>
      <c r="I27" s="190"/>
      <c r="J27" s="190"/>
      <c r="K27" s="190"/>
      <c r="L27" s="190"/>
      <c r="M27" s="190"/>
      <c r="N27" s="190"/>
      <c r="O27" s="190"/>
      <c r="P27" s="190"/>
      <c r="Q27" s="190"/>
    </row>
    <row r="28" spans="1:19" ht="17.25" customHeight="1" thickBot="1" x14ac:dyDescent="0.25">
      <c r="A28" s="156" t="s">
        <v>47</v>
      </c>
      <c r="B28" s="157"/>
      <c r="C28" s="157"/>
      <c r="D28" s="157"/>
      <c r="E28" s="157"/>
      <c r="F28" s="158"/>
      <c r="G28" s="184"/>
      <c r="H28" s="184"/>
      <c r="I28" s="184"/>
      <c r="J28" s="184"/>
      <c r="K28" s="184"/>
      <c r="L28" s="184"/>
      <c r="M28" s="184"/>
      <c r="N28" s="184"/>
      <c r="O28" s="184"/>
      <c r="P28" s="184"/>
      <c r="Q28" s="184"/>
    </row>
    <row r="29" spans="1:19" ht="18" customHeight="1" thickBot="1" x14ac:dyDescent="0.25">
      <c r="A29" s="185" t="str">
        <f>' NotaPedido'!C9</f>
        <v>ADQUISICION DE COMBUSTIBLE DESTINADO A LAS DISTINTAS DEPENDENCIAS DEL MINISTERIO DE GOBIERNO, JUSTICIA Y DERECHOS HUMANOS.</v>
      </c>
      <c r="B29" s="185"/>
      <c r="C29" s="185"/>
      <c r="D29" s="185"/>
      <c r="E29" s="185"/>
      <c r="F29" s="185"/>
      <c r="G29" s="185"/>
      <c r="H29" s="185"/>
      <c r="I29" s="185"/>
      <c r="J29" s="185"/>
      <c r="K29" s="185"/>
      <c r="L29" s="185"/>
      <c r="M29" s="185"/>
      <c r="N29" s="185"/>
      <c r="O29" s="185"/>
      <c r="P29" s="185"/>
      <c r="Q29" s="185"/>
    </row>
    <row r="30" spans="1:19" ht="28.5" customHeight="1" thickBot="1" x14ac:dyDescent="0.25">
      <c r="A30" s="186"/>
      <c r="B30" s="186"/>
      <c r="C30" s="186"/>
      <c r="D30" s="186"/>
      <c r="E30" s="186"/>
      <c r="F30" s="186"/>
      <c r="G30" s="186"/>
      <c r="H30" s="186"/>
      <c r="I30" s="186"/>
      <c r="J30" s="186"/>
      <c r="K30" s="186"/>
      <c r="L30" s="186"/>
      <c r="M30" s="186"/>
      <c r="N30" s="186"/>
      <c r="O30" s="186"/>
      <c r="P30" s="186"/>
      <c r="Q30" s="186"/>
    </row>
    <row r="31" spans="1:19" ht="15.75" thickBot="1" x14ac:dyDescent="0.25">
      <c r="A31" s="156" t="s">
        <v>52</v>
      </c>
      <c r="B31" s="157"/>
      <c r="C31" s="157"/>
      <c r="D31" s="157"/>
      <c r="E31" s="157"/>
      <c r="F31" s="158"/>
      <c r="G31" s="159"/>
      <c r="H31" s="159"/>
      <c r="I31" s="159"/>
      <c r="J31" s="159"/>
      <c r="K31" s="159"/>
      <c r="L31" s="159"/>
      <c r="M31" s="159"/>
      <c r="N31" s="159"/>
      <c r="O31" s="159"/>
      <c r="P31" s="159"/>
      <c r="Q31" s="160"/>
      <c r="S31" s="10"/>
    </row>
    <row r="32" spans="1:19" ht="13.5" customHeight="1" thickBot="1" x14ac:dyDescent="0.25">
      <c r="A32" s="68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70"/>
    </row>
    <row r="33" ht="13.5" customHeight="1" x14ac:dyDescent="0.2"/>
    <row r="34" ht="13.5" customHeight="1" x14ac:dyDescent="0.2"/>
  </sheetData>
  <mergeCells count="36">
    <mergeCell ref="O23:P23"/>
    <mergeCell ref="A28:F28"/>
    <mergeCell ref="G28:Q28"/>
    <mergeCell ref="A29:Q30"/>
    <mergeCell ref="O24:P24"/>
    <mergeCell ref="O25:P25"/>
    <mergeCell ref="A26:P26"/>
    <mergeCell ref="A27:Q27"/>
    <mergeCell ref="A12:Q12"/>
    <mergeCell ref="A13:N13"/>
    <mergeCell ref="O13:P14"/>
    <mergeCell ref="Q13:Q14"/>
    <mergeCell ref="O22:P22"/>
    <mergeCell ref="O20:P20"/>
    <mergeCell ref="O21:P21"/>
    <mergeCell ref="O15:P15"/>
    <mergeCell ref="O16:P16"/>
    <mergeCell ref="O17:P17"/>
    <mergeCell ref="O18:P18"/>
    <mergeCell ref="O19:P19"/>
    <mergeCell ref="A31:F31"/>
    <mergeCell ref="G31:Q31"/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</mergeCells>
  <phoneticPr fontId="15" type="noConversion"/>
  <printOptions horizontalCentered="1"/>
  <pageMargins left="0.39370078740157483" right="0.39370078740157483" top="0.98425196850393704" bottom="0.98425196850393704" header="0.51181102362204722" footer="0.51181102362204722"/>
  <pageSetup paperSize="5" scale="85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APG</vt:lpstr>
      <vt:lpstr>' NotaPedido'!Área_de_impresión</vt:lpstr>
      <vt:lpstr>APG!Área_de_impresión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</dc:creator>
  <dc:description/>
  <cp:lastModifiedBy>Usuario</cp:lastModifiedBy>
  <cp:revision>2</cp:revision>
  <cp:lastPrinted>2022-04-18T13:45:56Z</cp:lastPrinted>
  <dcterms:created xsi:type="dcterms:W3CDTF">2020-07-17T23:44:49Z</dcterms:created>
  <dcterms:modified xsi:type="dcterms:W3CDTF">2022-05-16T13:03:49Z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