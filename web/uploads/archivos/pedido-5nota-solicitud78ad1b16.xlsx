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\Desktop\ARIEL_MATERNIDAD\Mis Documentos\Acuerdo Marco oxigeno y Alimentos\Acuerdo marco oxigeno 2022\Pedido de Enero a Junio 2022\"/>
    </mc:Choice>
  </mc:AlternateContent>
  <bookViews>
    <workbookView xWindow="-120" yWindow="-120" windowWidth="15600" windowHeight="11310" tabRatio="500"/>
  </bookViews>
  <sheets>
    <sheet name=" NotaPedido" sheetId="2" r:id="rId1"/>
    <sheet name="Autor Gastar" sheetId="3" r:id="rId2"/>
  </sheets>
  <definedNames>
    <definedName name="_xlnm.Print_Area" localSheetId="0">' NotaPedido'!$A$1:$L$13</definedName>
    <definedName name="_xlnm.Print_Area" localSheetId="1">'Autor Gastar'!$A$1:$R$27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Q23" i="3" l="1"/>
  <c r="A10" i="3" l="1"/>
  <c r="D1" i="3" l="1"/>
</calcChain>
</file>

<file path=xl/sharedStrings.xml><?xml version="1.0" encoding="utf-8"?>
<sst xmlns="http://schemas.openxmlformats.org/spreadsheetml/2006/main" count="62" uniqueCount="56">
  <si>
    <t>EJERCICIO: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</si>
  <si>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</si>
  <si>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</si>
  <si>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</si>
  <si>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</si>
  <si>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</si>
  <si>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</si>
  <si>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</si>
  <si>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</si>
  <si>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</si>
  <si>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</si>
  <si>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</si>
  <si>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</si>
  <si>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</si>
  <si>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</si>
  <si>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</si>
  <si>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</si>
  <si>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</si>
  <si>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</si>
  <si>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</si>
  <si>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</si>
  <si>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</si>
  <si>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</si>
  <si>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</si>
  <si>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</si>
  <si>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</si>
  <si>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</si>
  <si>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</si>
  <si>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</si>
  <si>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</si>
  <si>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</si>
  <si>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</si>
  <si>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</si>
  <si>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</si>
  <si>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</si>
  <si>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</si>
  <si>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</si>
  <si>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</si>
  <si>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42-Ministerio de Salud</t>
  </si>
  <si>
    <t>Direccion Mantenimiento</t>
  </si>
  <si>
    <t>1.1</t>
  </si>
  <si>
    <t>GASES; COMPUESTO QUIMICO: OXIGENO, CALIDAD: MEDICINAL, PRESENTACION: LIQUIDA EN M3 A GRANEL</t>
  </si>
  <si>
    <t>1º Semestre 2022</t>
  </si>
  <si>
    <t>NO</t>
  </si>
  <si>
    <t>M3</t>
  </si>
  <si>
    <t>Costo total estimado: SEIS MILLONES NOVECIENTOS SESENTA Y DOS MIL DOSCIENTOS OCHENTA CON 00/100</t>
  </si>
  <si>
    <t>TOTAL DE PESOS: SEIS MILLONES NOVECIENTOS SESENTA Y DOS MIL DOSCIENTOS OCHENTA CON 00/100</t>
  </si>
  <si>
    <t xml:space="preserve">Compuestos quimicos </t>
  </si>
  <si>
    <t>28-Maternidad provincial 25 de mayo</t>
  </si>
  <si>
    <t>23/2022</t>
  </si>
  <si>
    <t xml:space="preserve">42-Ministerio de salud </t>
  </si>
  <si>
    <t xml:space="preserve">28-Maternidad provincial 25 de mayo </t>
  </si>
  <si>
    <t>Direccion de mantenimiento</t>
  </si>
  <si>
    <t>Para la adquisición de Oxigeno medicinal liquido-Modalidad acuardo marco para la Maternidad Provincial 25 de Mayo.</t>
  </si>
  <si>
    <t>Adquisicion de Oxigeno medicinal liquido</t>
  </si>
  <si>
    <t>2.5.1-9018.316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</si>
</sst>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b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9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166" fontId="4" fillId="0" borderId="11" xfId="1" applyNumberFormat="1" applyFont="1" applyFill="1" applyBorder="1" applyAlignment="1" applyProtection="1">
      <alignment horizontal="right" vertical="center" wrapText="1"/>
    </xf>
    <xf numFmtId="3" fontId="4" fillId="0" borderId="11" xfId="0" applyNumberFormat="1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 indent="1"/>
    </xf>
    <xf numFmtId="0" fontId="6" fillId="0" borderId="40" xfId="0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167" fontId="7" fillId="0" borderId="6" xfId="0" applyNumberFormat="1" applyFont="1" applyBorder="1" applyAlignment="1">
      <alignment horizontal="center" vertical="center"/>
    </xf>
    <xf numFmtId="0" fontId="4" fillId="0" borderId="11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  <xf numFmtId="0" fontId="11" fillId="0" borderId="3" xfId="0" applyFont="1" applyBorder="1" applyAlignment="1">
      <alignment horizontal="left" indent="1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/>
    </xf>
    <xf numFmtId="0" fontId="11" fillId="0" borderId="15" xfId="0" applyFont="1" applyBorder="1"/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5" fillId="0" borderId="36" xfId="0" applyFont="1" applyBorder="1" applyAlignment="1">
      <alignment horizontal="left" vertical="center" wrapText="1"/>
    </xf>
    <xf numFmtId="0" fontId="0" fillId="0" borderId="1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tabSelected="1" zoomScale="75" zoomScaleNormal="75" workbookViewId="0">
      <selection activeCell="D20" sqref="D2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49" t="s">
        <v>1</v>
      </c>
      <c r="B1" s="49"/>
      <c r="C1" s="49"/>
      <c r="D1" s="49"/>
      <c r="E1" s="49"/>
      <c r="F1" s="49"/>
      <c r="G1" s="49"/>
      <c r="H1" s="49"/>
      <c r="I1" s="49"/>
      <c r="J1" s="3" t="s">
        <v>2</v>
      </c>
      <c r="K1" s="48" t="s">
        <v>49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50" t="s">
        <v>35</v>
      </c>
      <c r="B3" s="50"/>
      <c r="C3" s="50"/>
      <c r="D3" s="53" t="s">
        <v>38</v>
      </c>
      <c r="E3" s="54"/>
      <c r="F3" s="54"/>
      <c r="G3" s="54"/>
      <c r="H3" s="54"/>
      <c r="I3" s="54"/>
      <c r="J3" s="54"/>
      <c r="K3" s="55"/>
    </row>
    <row r="4" spans="1:11" ht="18.75" customHeight="1" thickBot="1" x14ac:dyDescent="0.25">
      <c r="A4" s="52" t="s">
        <v>36</v>
      </c>
      <c r="B4" s="52"/>
      <c r="C4" s="52"/>
      <c r="D4" s="51" t="s">
        <v>48</v>
      </c>
      <c r="E4" s="51"/>
      <c r="F4" s="51"/>
      <c r="G4" s="51"/>
      <c r="H4" s="51"/>
      <c r="I4" s="51"/>
      <c r="J4" s="51"/>
      <c r="K4" s="51"/>
    </row>
    <row r="5" spans="1:11" ht="18.75" customHeight="1" thickBot="1" x14ac:dyDescent="0.25">
      <c r="A5" s="52" t="s">
        <v>14</v>
      </c>
      <c r="B5" s="52"/>
      <c r="C5" s="52"/>
      <c r="D5" s="51" t="s">
        <v>39</v>
      </c>
      <c r="E5" s="51"/>
      <c r="F5" s="51"/>
      <c r="G5" s="51"/>
      <c r="H5" s="51"/>
      <c r="I5" s="51"/>
      <c r="J5" s="51"/>
      <c r="K5" s="51"/>
    </row>
    <row r="6" spans="1:11" ht="16.5" customHeight="1" thickBot="1" x14ac:dyDescent="0.25">
      <c r="A6" s="50" t="s">
        <v>37</v>
      </c>
      <c r="B6" s="50"/>
      <c r="C6" s="50"/>
      <c r="D6" s="51" t="s">
        <v>39</v>
      </c>
      <c r="E6" s="51"/>
      <c r="F6" s="51"/>
      <c r="G6" s="51"/>
      <c r="H6" s="51"/>
      <c r="I6" s="51"/>
      <c r="J6" s="51"/>
      <c r="K6" s="51"/>
    </row>
    <row r="7" spans="1:11" ht="16.5" customHeight="1" thickBot="1" x14ac:dyDescent="0.25">
      <c r="A7" s="52" t="s">
        <v>3</v>
      </c>
      <c r="B7" s="52"/>
      <c r="C7" s="52"/>
      <c r="D7" s="51" t="s">
        <v>42</v>
      </c>
      <c r="E7" s="51"/>
      <c r="F7" s="51"/>
      <c r="G7" s="51"/>
      <c r="H7" s="51"/>
      <c r="I7" s="51"/>
      <c r="J7" s="51"/>
      <c r="K7" s="51"/>
    </row>
    <row r="8" spans="1:11" ht="16.5" customHeight="1" x14ac:dyDescent="0.2">
      <c r="A8" s="59" t="s">
        <v>4</v>
      </c>
      <c r="B8" s="59"/>
      <c r="C8" s="59"/>
      <c r="D8" s="60" t="s">
        <v>54</v>
      </c>
      <c r="E8" s="60"/>
      <c r="F8" s="60"/>
      <c r="G8" s="60"/>
      <c r="H8" s="60"/>
      <c r="I8" s="60"/>
      <c r="J8" s="60"/>
      <c r="K8" s="6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61" t="s">
        <v>5</v>
      </c>
      <c r="B10" s="62" t="s">
        <v>6</v>
      </c>
      <c r="C10" s="62" t="s">
        <v>7</v>
      </c>
      <c r="D10" s="62"/>
      <c r="E10" s="62"/>
      <c r="F10" s="62"/>
      <c r="G10" s="62"/>
      <c r="H10" s="62" t="s">
        <v>8</v>
      </c>
      <c r="I10" s="62" t="s">
        <v>9</v>
      </c>
      <c r="J10" s="62" t="s">
        <v>10</v>
      </c>
      <c r="K10" s="63" t="s">
        <v>11</v>
      </c>
    </row>
    <row r="11" spans="1:11" ht="24" customHeight="1" thickBot="1" x14ac:dyDescent="0.2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3"/>
    </row>
    <row r="12" spans="1:11" ht="36" customHeight="1" thickBot="1" x14ac:dyDescent="0.25">
      <c r="A12" s="8">
        <v>1</v>
      </c>
      <c r="B12" s="39" t="s">
        <v>55</v>
      </c>
      <c r="C12" s="58" t="s">
        <v>41</v>
      </c>
      <c r="D12" s="58"/>
      <c r="E12" s="58"/>
      <c r="F12" s="58"/>
      <c r="G12" s="58"/>
      <c r="H12" s="40" t="s">
        <v>43</v>
      </c>
      <c r="I12" s="41" t="s">
        <v>44</v>
      </c>
      <c r="J12" s="42">
        <v>89.26</v>
      </c>
      <c r="K12" s="43">
        <v>78000</v>
      </c>
    </row>
    <row r="13" spans="1:11" ht="20.25" customHeight="1" thickBot="1" x14ac:dyDescent="0.25">
      <c r="A13" s="56" t="s">
        <v>45</v>
      </c>
      <c r="B13" s="56"/>
      <c r="C13" s="56"/>
      <c r="D13" s="56"/>
      <c r="E13" s="56"/>
      <c r="F13" s="56"/>
      <c r="G13" s="56"/>
      <c r="H13" s="56"/>
      <c r="I13" s="56"/>
      <c r="J13" s="57">
        <f>J12*K12</f>
        <v>6962280</v>
      </c>
      <c r="K13" s="57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1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3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64" t="s">
        <v>0</v>
      </c>
      <c r="B1" s="64"/>
      <c r="C1" s="64"/>
      <c r="D1" s="65" t="e">
        <f>#REF!</f>
        <v>#REF!</v>
      </c>
      <c r="E1" s="65"/>
      <c r="F1" s="10"/>
      <c r="G1" s="10"/>
      <c r="H1" s="11"/>
      <c r="I1" s="11"/>
      <c r="J1" s="11"/>
      <c r="K1" s="11"/>
      <c r="L1" s="11"/>
      <c r="M1" s="11"/>
      <c r="N1" s="11"/>
      <c r="P1" s="66" t="s">
        <v>12</v>
      </c>
      <c r="Q1" s="6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66"/>
      <c r="Q2" s="66"/>
    </row>
    <row r="4" spans="1:17" s="12" customFormat="1" ht="18" customHeight="1" thickBot="1" x14ac:dyDescent="0.25">
      <c r="A4" s="67" t="s">
        <v>13</v>
      </c>
      <c r="B4" s="67"/>
      <c r="C4" s="67"/>
      <c r="D4" s="67"/>
      <c r="E4" s="67"/>
      <c r="F4" s="67"/>
      <c r="G4" s="68" t="s">
        <v>50</v>
      </c>
      <c r="H4" s="68"/>
      <c r="I4" s="68"/>
      <c r="J4" s="68"/>
      <c r="K4" s="68"/>
      <c r="L4" s="68"/>
      <c r="M4" s="68"/>
      <c r="N4" s="68"/>
      <c r="O4" s="68"/>
      <c r="P4" s="68"/>
      <c r="Q4" s="68"/>
    </row>
    <row r="5" spans="1:17" s="12" customFormat="1" ht="18" customHeight="1" thickBot="1" x14ac:dyDescent="0.25">
      <c r="A5" s="69" t="s">
        <v>36</v>
      </c>
      <c r="B5" s="70"/>
      <c r="C5" s="70"/>
      <c r="D5" s="70"/>
      <c r="E5" s="70"/>
      <c r="F5" s="71"/>
      <c r="G5" s="68" t="s">
        <v>51</v>
      </c>
      <c r="H5" s="68"/>
      <c r="I5" s="68"/>
      <c r="J5" s="68"/>
      <c r="K5" s="68"/>
      <c r="L5" s="68"/>
      <c r="M5" s="68"/>
      <c r="N5" s="68"/>
      <c r="O5" s="68"/>
      <c r="P5" s="68"/>
      <c r="Q5" s="68"/>
    </row>
    <row r="6" spans="1:17" s="12" customFormat="1" ht="18" customHeight="1" thickBot="1" x14ac:dyDescent="0.25">
      <c r="A6" s="69" t="s">
        <v>14</v>
      </c>
      <c r="B6" s="70"/>
      <c r="C6" s="70"/>
      <c r="D6" s="70"/>
      <c r="E6" s="70"/>
      <c r="F6" s="71"/>
      <c r="G6" s="68" t="s">
        <v>52</v>
      </c>
      <c r="H6" s="68"/>
      <c r="I6" s="68"/>
      <c r="J6" s="68"/>
      <c r="K6" s="68"/>
      <c r="L6" s="68"/>
      <c r="M6" s="68"/>
      <c r="N6" s="68"/>
      <c r="O6" s="68"/>
      <c r="P6" s="68"/>
      <c r="Q6" s="68"/>
    </row>
    <row r="7" spans="1:17" s="12" customFormat="1" ht="18" customHeight="1" thickBot="1" x14ac:dyDescent="0.25">
      <c r="A7" s="69" t="s">
        <v>37</v>
      </c>
      <c r="B7" s="70"/>
      <c r="C7" s="70"/>
      <c r="D7" s="70"/>
      <c r="E7" s="70"/>
      <c r="F7" s="71"/>
      <c r="G7" s="68" t="s">
        <v>52</v>
      </c>
      <c r="H7" s="68"/>
      <c r="I7" s="68"/>
      <c r="J7" s="68"/>
      <c r="K7" s="68"/>
      <c r="L7" s="68"/>
      <c r="M7" s="68"/>
      <c r="N7" s="68"/>
      <c r="O7" s="68"/>
      <c r="P7" s="68"/>
      <c r="Q7" s="68"/>
    </row>
    <row r="8" spans="1:17" ht="18" customHeight="1" thickBot="1" x14ac:dyDescent="0.25">
      <c r="A8" s="72" t="s">
        <v>15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</row>
    <row r="9" spans="1:17" ht="18" customHeight="1" x14ac:dyDescent="0.2">
      <c r="A9" s="73" t="s">
        <v>16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1"/>
      <c r="P9" s="1"/>
      <c r="Q9" s="13"/>
    </row>
    <row r="10" spans="1:17" ht="54.75" customHeight="1" x14ac:dyDescent="0.2">
      <c r="A10" s="7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23/2022,  afectando la erogación resultante a los créditos presupuestarios aprobados a favor de esta Unidad Ejecutora, conforme al siguiente detalle: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6"/>
    </row>
    <row r="11" spans="1:17" ht="9" customHeight="1" thickBot="1" x14ac:dyDescent="0.25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77" t="s">
        <v>17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ht="15.75" customHeight="1" x14ac:dyDescent="0.2">
      <c r="A13" s="78" t="s">
        <v>18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9" t="s">
        <v>19</v>
      </c>
      <c r="P13" s="79"/>
      <c r="Q13" s="80" t="s">
        <v>20</v>
      </c>
    </row>
    <row r="14" spans="1:17" ht="15.75" customHeight="1" x14ac:dyDescent="0.2">
      <c r="A14" s="18" t="s">
        <v>21</v>
      </c>
      <c r="B14" s="19" t="s">
        <v>22</v>
      </c>
      <c r="C14" s="19" t="s">
        <v>23</v>
      </c>
      <c r="D14" s="19" t="s">
        <v>24</v>
      </c>
      <c r="E14" s="19" t="s">
        <v>25</v>
      </c>
      <c r="F14" s="19" t="s">
        <v>26</v>
      </c>
      <c r="G14" s="20" t="s">
        <v>27</v>
      </c>
      <c r="H14" s="19" t="s">
        <v>28</v>
      </c>
      <c r="I14" s="19" t="s">
        <v>29</v>
      </c>
      <c r="J14" s="19" t="s">
        <v>30</v>
      </c>
      <c r="K14" s="19" t="s">
        <v>30</v>
      </c>
      <c r="L14" s="19" t="s">
        <v>31</v>
      </c>
      <c r="M14" s="21" t="s">
        <v>32</v>
      </c>
      <c r="N14" s="22" t="s">
        <v>33</v>
      </c>
      <c r="O14" s="79"/>
      <c r="P14" s="79"/>
      <c r="Q14" s="80"/>
    </row>
    <row r="15" spans="1:17" ht="17.25" customHeight="1" x14ac:dyDescent="0.2">
      <c r="A15" s="44">
        <v>42</v>
      </c>
      <c r="B15" s="45"/>
      <c r="C15" s="45"/>
      <c r="D15" s="45">
        <v>4</v>
      </c>
      <c r="E15" s="45"/>
      <c r="F15" s="45">
        <v>4901</v>
      </c>
      <c r="G15" s="45">
        <v>3</v>
      </c>
      <c r="H15" s="45">
        <v>1</v>
      </c>
      <c r="I15" s="45">
        <v>2</v>
      </c>
      <c r="J15" s="45">
        <v>5</v>
      </c>
      <c r="K15" s="45">
        <v>1</v>
      </c>
      <c r="L15" s="45"/>
      <c r="M15" s="46">
        <v>1</v>
      </c>
      <c r="N15" s="47" t="s">
        <v>40</v>
      </c>
      <c r="O15" s="81" t="s">
        <v>47</v>
      </c>
      <c r="P15" s="82"/>
      <c r="Q15" s="23">
        <v>6962280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83"/>
      <c r="P16" s="83"/>
      <c r="Q16" s="28"/>
    </row>
    <row r="17" spans="1:18" ht="17.25" customHeight="1" x14ac:dyDescent="0.2">
      <c r="A17" s="24"/>
      <c r="B17" s="25"/>
      <c r="C17" s="25"/>
      <c r="D17" s="25"/>
      <c r="E17" s="25"/>
      <c r="F17" s="27"/>
      <c r="G17" s="25"/>
      <c r="H17" s="25"/>
      <c r="I17" s="25"/>
      <c r="J17" s="25"/>
      <c r="K17" s="25"/>
      <c r="L17" s="25"/>
      <c r="M17" s="26"/>
      <c r="N17" s="27"/>
      <c r="O17" s="83"/>
      <c r="P17" s="83"/>
      <c r="Q17" s="28"/>
    </row>
    <row r="18" spans="1:18" ht="17.25" customHeight="1" x14ac:dyDescent="0.2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6"/>
      <c r="N18" s="27"/>
      <c r="O18" s="83"/>
      <c r="P18" s="83"/>
      <c r="Q18" s="28"/>
    </row>
    <row r="19" spans="1:18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83"/>
      <c r="P19" s="83"/>
      <c r="Q19" s="28"/>
    </row>
    <row r="20" spans="1:18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83"/>
      <c r="P20" s="83"/>
      <c r="Q20" s="28"/>
    </row>
    <row r="21" spans="1:18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89"/>
      <c r="P21" s="89"/>
      <c r="Q21" s="28"/>
      <c r="R21" s="1"/>
    </row>
    <row r="22" spans="1:18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90"/>
      <c r="P22" s="90"/>
      <c r="Q22" s="37"/>
    </row>
    <row r="23" spans="1:18" ht="20.25" customHeight="1" x14ac:dyDescent="0.2">
      <c r="A23" s="91" t="s">
        <v>46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38">
        <f>SUM(Q15:Q22)</f>
        <v>6962280</v>
      </c>
    </row>
    <row r="24" spans="1:18" ht="18" customHeight="1" thickBot="1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</row>
    <row r="25" spans="1:18" ht="17.25" customHeight="1" thickBot="1" x14ac:dyDescent="0.25">
      <c r="A25" s="84" t="s">
        <v>34</v>
      </c>
      <c r="B25" s="85"/>
      <c r="C25" s="85"/>
      <c r="D25" s="85"/>
      <c r="E25" s="85"/>
      <c r="F25" s="86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</row>
    <row r="26" spans="1:18" ht="18" customHeight="1" thickBot="1" x14ac:dyDescent="0.25">
      <c r="A26" s="88" t="s">
        <v>53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</row>
    <row r="27" spans="1:18" ht="15" customHeight="1" x14ac:dyDescent="0.2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82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 de Windows</cp:lastModifiedBy>
  <cp:revision>2</cp:revision>
  <cp:lastPrinted>2020-07-17T22:18:48Z</cp:lastPrinted>
  <dcterms:created xsi:type="dcterms:W3CDTF">2020-07-17T23:44:49Z</dcterms:created>
  <dcterms:modified xsi:type="dcterms:W3CDTF">2022-01-26T20:05:46Z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