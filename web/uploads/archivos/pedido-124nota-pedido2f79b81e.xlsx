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0F3A039-4FFF-4BE6-8A60-4E5A4EB5E3A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Trimestrales'!$A$9:$I$14</definedName>
    <definedName name="_xlnm.Print_Area" localSheetId="1">' NotaPedido'!$A$1:$K$21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12" i="2"/>
  <c r="K19" i="2"/>
  <c r="I19" i="2"/>
  <c r="C19" i="2"/>
  <c r="B19" i="2"/>
  <c r="A19" i="2"/>
  <c r="K18" i="2"/>
  <c r="I18" i="2"/>
  <c r="C18" i="2"/>
  <c r="B18" i="2"/>
  <c r="A18" i="2"/>
  <c r="K17" i="2"/>
  <c r="I17" i="2"/>
  <c r="C17" i="2"/>
  <c r="B17" i="2"/>
  <c r="A17" i="2"/>
  <c r="I16" i="1" l="1"/>
  <c r="I15" i="1"/>
  <c r="I11" i="1"/>
  <c r="K20" i="2" l="1"/>
  <c r="I20" i="2"/>
  <c r="C20" i="2"/>
  <c r="B20" i="2"/>
  <c r="A20" i="2"/>
  <c r="A16" i="2"/>
  <c r="B16" i="2"/>
  <c r="C16" i="2"/>
  <c r="I16" i="2"/>
  <c r="K16" i="2"/>
  <c r="A12" i="2" l="1"/>
  <c r="A13" i="2"/>
  <c r="A14" i="2"/>
  <c r="A15" i="2"/>
  <c r="B12" i="2"/>
  <c r="B13" i="2"/>
  <c r="B14" i="2"/>
  <c r="B15" i="2"/>
  <c r="C12" i="2"/>
  <c r="C13" i="2"/>
  <c r="C14" i="2"/>
  <c r="C15" i="2"/>
  <c r="Q21" i="3"/>
  <c r="K12" i="2" l="1"/>
  <c r="K13" i="2"/>
  <c r="K14" i="2"/>
  <c r="K15" i="2"/>
  <c r="J21" i="2" l="1"/>
  <c r="I12" i="2"/>
  <c r="I13" i="2"/>
  <c r="I14" i="2"/>
  <c r="I15" i="2"/>
  <c r="I17" i="1" l="1"/>
  <c r="I10" i="1"/>
  <c r="I12" i="1"/>
  <c r="I13" i="1"/>
  <c r="I14" i="1"/>
  <c r="I18" i="1"/>
  <c r="G6" i="3" l="1"/>
  <c r="G7" i="3"/>
  <c r="G4" i="3"/>
  <c r="G5" i="3"/>
</calcChain>
</file>

<file path=xl/sharedStrings.xml><?xml version="1.0" encoding="utf-8"?>
<sst xmlns="http://schemas.openxmlformats.org/spreadsheetml/2006/main" count="127" uniqueCount="89">
  <si>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</si>
  <si>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</si>
  <si>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</si>
  <si>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</si>
  <si>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</si>
  <si>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</si>
  <si>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</si>
  <si>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</si>
  <si>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</si>
  <si>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</si>
  <si>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</si>
  <si>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</si>
  <si>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</si>
  <si>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</si>
  <si>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</si>
  <si>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</si>
  <si>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</si>
  <si>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</si>
  <si>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</si>
  <si>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</si>
  <si>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</si>
  <si>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</si>
  <si>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</si>
  <si>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</si>
  <si>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</si>
  <si>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</si>
  <si>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</si>
  <si>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</si>
  <si>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</si>
  <si>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</si>
  <si>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</si>
  <si>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</si>
  <si>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</si>
  <si>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</si>
  <si>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</si>
  <si>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</si>
  <si>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</si>
  <si>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</si>
  <si>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</si>
  <si>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</si>
  <si>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</si>
  <si>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</si>
  <si>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</si>
  <si>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</si>
  <si>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</si>
  <si>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</si>
  <si>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</si>
  <si>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</si>
  <si>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</si>
  <si>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</si>
  <si>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</si>
  <si>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</si>
  <si>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</si>
  <si>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</si>
  <si>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</si>
  <si>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</si>
  <si>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</si>
  <si>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</si>
  <si>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</si>
  <si>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</si>
  <si>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</si>
  <si>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</si>
  <si>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</si>
  <si>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</si>
  <si>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</si>
  <si>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30 dias corridos</t>
  </si>
  <si>
    <t>SOLUCION RINGER LACTATO DE 500 ML</t>
  </si>
  <si>
    <t>AGUA DESTILADA EN AMPOLLAS</t>
  </si>
  <si>
    <t>BICARBONATO 1 MOLAR SACHET X 100 ML</t>
  </si>
  <si>
    <t>SOLUCION DEXTROSA AL 10% SACHET DE 250 ML</t>
  </si>
  <si>
    <t>SOLUCION DEXTROSA AL 10% SACHET DE 500 ML</t>
  </si>
  <si>
    <t>SULFATO DE MAGNESIO 25%  AMPOLLAS</t>
  </si>
  <si>
    <t>2.5.2</t>
  </si>
  <si>
    <t xml:space="preserve">Servicio de Farmcia </t>
  </si>
  <si>
    <t xml:space="preserve"> Adquisición de Productos Medicos de nutricion y soluciones que afectan el equilobrio hidroelectrolitico y soluciones para dialisis</t>
  </si>
  <si>
    <t>Para la adquisición de Productos Medicos de nutricion y soluciones que afectan el equilobrio hidroelectrolitico y soluciones para dialisis, para ser destinados Servicio de Farmacia, de  la Maternidad Provincial 25 de Mayo.-</t>
  </si>
  <si>
    <t>3° trimestre</t>
  </si>
  <si>
    <t>3 TRIMESTRE- AÑO 2021</t>
  </si>
  <si>
    <t>20 dias corridos desde la firma del instrumento contractual</t>
  </si>
  <si>
    <t>AMINOACIDO 1O % X 50 ML</t>
  </si>
  <si>
    <t>SOLUCION FISIOLOGICA EN AMPOLLAS</t>
  </si>
  <si>
    <t xml:space="preserve">SOLUCION GLUCOSADA AL 25 % AMPOLLAS </t>
  </si>
  <si>
    <t xml:space="preserve">NUTRICION Y SOLUCIONES QUE AFECTAN EL EQUILIBRIO HIDROELECTROLITICO Y SOLUCIONES PARA DIALISIS </t>
  </si>
  <si>
    <t>N° 103 /2021</t>
  </si>
  <si>
    <t>"Autorizo la realización de los  trámites correspondientes, a fin de proveer a  este Organismo los bienes y/o servicios que se detallan en Nota  de Pedido N° 103/2021 ,  afectando la erogación resultante a los créditos presupuestarios aprobados a favor de esta Unidad Ejecutora, conforme al siguiente detalle:"</t>
  </si>
  <si>
    <t>Especificidades Item N° : 1 a 9</t>
  </si>
  <si>
    <t>Costo total estimado: SEISCIENTOS CINCUENTA Y CINCO MIL CUATROCIENTOS CON 00/100</t>
  </si>
  <si>
    <t>TOTAL DE PESOS:  SEISCIENTOS CINCUENTA Y CINCO MIL CUATROCIENTOS CON 00/100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</si>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</sst>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u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5" fillId="7" borderId="0" applyNumberFormat="0" applyBorder="0" applyAlignment="0" applyProtection="0"/>
  </cellStyleXfs>
  <cellXfs count="181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6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0" xfId="0" applyFont="1" applyAlignment="1">
      <alignment horizontal="center" wrapText="1"/>
    </xf>
    <xf numFmtId="0" fontId="19" fillId="0" borderId="51" xfId="0" applyFont="1" applyBorder="1"/>
    <xf numFmtId="0" fontId="19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5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2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169" fontId="7" fillId="3" borderId="37" xfId="7" applyNumberFormat="1" applyFont="1" applyFill="1" applyBorder="1" applyAlignment="1">
      <alignment horizontal="center" vertical="center" wrapText="1"/>
    </xf>
    <xf numFmtId="170" fontId="29" fillId="0" borderId="58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3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3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51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5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19" fillId="0" borderId="0" xfId="0" applyFont="1" applyFill="1"/>
    <xf numFmtId="0" fontId="0" fillId="0" borderId="0" xfId="0" applyFill="1"/>
    <xf numFmtId="0" fontId="19" fillId="0" borderId="49" xfId="0" applyFont="1" applyFill="1" applyBorder="1" applyAlignment="1">
      <alignment vertical="center"/>
    </xf>
    <xf numFmtId="0" fontId="19" fillId="0" borderId="49" xfId="0" applyFont="1" applyFill="1" applyBorder="1" applyAlignment="1"/>
    <xf numFmtId="0" fontId="19" fillId="0" borderId="49" xfId="0" applyFont="1" applyFill="1" applyBorder="1" applyAlignment="1">
      <alignment wrapText="1"/>
    </xf>
    <xf numFmtId="0" fontId="19" fillId="0" borderId="49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2" fillId="3" borderId="3" xfId="7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 wrapText="1"/>
    </xf>
    <xf numFmtId="0" fontId="2" fillId="3" borderId="32" xfId="6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/>
    </xf>
    <xf numFmtId="0" fontId="1" fillId="3" borderId="3" xfId="7" applyFont="1" applyFill="1" applyBorder="1" applyAlignment="1">
      <alignment horizontal="center" vertical="center" wrapText="1"/>
    </xf>
    <xf numFmtId="0" fontId="33" fillId="0" borderId="57" xfId="0" applyFont="1" applyFill="1" applyBorder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49" xfId="0" applyFont="1" applyBorder="1" applyAlignment="1">
      <alignment horizontal="center" vertical="top" wrapText="1"/>
    </xf>
    <xf numFmtId="0" fontId="40" fillId="3" borderId="0" xfId="8" applyFont="1" applyFill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3" fillId="0" borderId="46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0" fontId="31" fillId="3" borderId="3" xfId="5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3" fillId="3" borderId="62" xfId="0" applyFont="1" applyFill="1" applyBorder="1" applyAlignment="1">
      <alignment horizontal="left" vertical="center" wrapText="1" indent="1"/>
    </xf>
    <xf numFmtId="0" fontId="33" fillId="3" borderId="63" xfId="0" applyFont="1" applyFill="1" applyBorder="1" applyAlignment="1">
      <alignment horizontal="left" vertical="center" wrapText="1" indent="1"/>
    </xf>
    <xf numFmtId="0" fontId="33" fillId="3" borderId="64" xfId="0" applyFont="1" applyFill="1" applyBorder="1" applyAlignment="1">
      <alignment horizontal="left" vertical="center" wrapText="1" indent="1"/>
    </xf>
    <xf numFmtId="166" fontId="36" fillId="3" borderId="43" xfId="0" applyNumberFormat="1" applyFont="1" applyFill="1" applyBorder="1" applyAlignment="1">
      <alignment horizontal="center" vertical="center"/>
    </xf>
    <xf numFmtId="166" fontId="36" fillId="3" borderId="42" xfId="0" applyNumberFormat="1" applyFont="1" applyFill="1" applyBorder="1" applyAlignment="1">
      <alignment horizontal="center" vertical="center"/>
    </xf>
    <xf numFmtId="0" fontId="31" fillId="3" borderId="43" xfId="5" applyFont="1" applyFill="1" applyBorder="1" applyAlignment="1">
      <alignment horizontal="center" vertical="center" wrapText="1"/>
    </xf>
    <xf numFmtId="0" fontId="31" fillId="3" borderId="61" xfId="5" applyFont="1" applyFill="1" applyBorder="1" applyAlignment="1">
      <alignment horizontal="center" vertical="center" wrapText="1"/>
    </xf>
    <xf numFmtId="0" fontId="31" fillId="3" borderId="42" xfId="5" applyFont="1" applyFill="1" applyBorder="1" applyAlignment="1">
      <alignment horizontal="center" vertical="center" wrapText="1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8" fillId="0" borderId="59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3"/>
  <sheetViews>
    <sheetView tabSelected="1" zoomScale="80" zoomScaleNormal="80" workbookViewId="0">
      <selection activeCell="E28" sqref="E28"/>
    </sheetView>
  </sheetViews>
  <sheetFormatPr baseColWidth="10" defaultColWidth="11" defaultRowHeight="12.75" x14ac:dyDescent="0.2"/>
  <cols>
    <col min="1" max="1" width="7" style="78" customWidth="1"/>
    <col min="2" max="2" width="16.85546875" style="32" customWidth="1"/>
    <col min="3" max="3" width="23.5703125" style="84" customWidth="1"/>
    <col min="4" max="4" width="12.140625" style="32" customWidth="1"/>
    <col min="5" max="5" width="79" style="106" customWidth="1"/>
    <col min="6" max="6" width="11" style="32"/>
    <col min="7" max="7" width="12.7109375" style="78" customWidth="1"/>
    <col min="8" max="8" width="13.85546875" style="70" customWidth="1"/>
    <col min="9" max="9" width="27" style="82" customWidth="1"/>
    <col min="10" max="16384" width="11" style="18"/>
  </cols>
  <sheetData>
    <row r="2" spans="1:9" ht="27" x14ac:dyDescent="0.35">
      <c r="E2" s="92" t="s">
        <v>0</v>
      </c>
      <c r="F2" s="37"/>
      <c r="G2" s="74"/>
      <c r="I2" s="81"/>
    </row>
    <row r="4" spans="1:9" ht="18" customHeight="1" x14ac:dyDescent="0.25">
      <c r="A4" s="123" t="s">
        <v>1</v>
      </c>
      <c r="B4" s="123"/>
      <c r="C4" s="123"/>
      <c r="D4" s="123"/>
      <c r="E4" s="124" t="s">
        <v>60</v>
      </c>
      <c r="F4" s="124"/>
      <c r="G4" s="124"/>
    </row>
    <row r="5" spans="1:9" ht="18" customHeight="1" x14ac:dyDescent="0.25">
      <c r="A5" s="123" t="s">
        <v>2</v>
      </c>
      <c r="B5" s="123"/>
      <c r="C5" s="123"/>
      <c r="D5" s="123"/>
      <c r="E5" s="124" t="s">
        <v>55</v>
      </c>
      <c r="F5" s="124"/>
      <c r="G5" s="124"/>
    </row>
    <row r="6" spans="1:9" ht="16.5" customHeight="1" x14ac:dyDescent="0.25">
      <c r="A6" s="123" t="s">
        <v>3</v>
      </c>
      <c r="B6" s="123"/>
      <c r="C6" s="123"/>
      <c r="D6" s="123"/>
      <c r="E6" s="93">
        <v>2021</v>
      </c>
      <c r="F6" s="36"/>
      <c r="G6" s="75"/>
    </row>
    <row r="7" spans="1:9" ht="16.5" customHeight="1" x14ac:dyDescent="0.25">
      <c r="A7" s="123" t="s">
        <v>4</v>
      </c>
      <c r="B7" s="123"/>
      <c r="C7" s="123"/>
      <c r="D7" s="123"/>
      <c r="E7" s="93" t="s">
        <v>76</v>
      </c>
      <c r="F7" s="36"/>
      <c r="G7" s="75"/>
    </row>
    <row r="8" spans="1:9" ht="13.5" thickBot="1" x14ac:dyDescent="0.25">
      <c r="E8" s="94"/>
      <c r="F8" s="33"/>
      <c r="G8" s="76"/>
    </row>
    <row r="9" spans="1:9" ht="39" thickBot="1" x14ac:dyDescent="0.25">
      <c r="A9" s="66" t="s">
        <v>5</v>
      </c>
      <c r="B9" s="67" t="s">
        <v>6</v>
      </c>
      <c r="C9" s="67" t="s">
        <v>53</v>
      </c>
      <c r="D9" s="67" t="s">
        <v>54</v>
      </c>
      <c r="E9" s="95" t="s">
        <v>7</v>
      </c>
      <c r="F9" s="67" t="s">
        <v>8</v>
      </c>
      <c r="G9" s="68" t="s">
        <v>9</v>
      </c>
      <c r="H9" s="72" t="s">
        <v>10</v>
      </c>
      <c r="I9" s="69" t="s">
        <v>11</v>
      </c>
    </row>
    <row r="10" spans="1:9" ht="42" customHeight="1" thickBot="1" x14ac:dyDescent="0.25">
      <c r="A10" s="80">
        <v>1</v>
      </c>
      <c r="B10" s="34"/>
      <c r="C10" s="112" t="s">
        <v>82</v>
      </c>
      <c r="D10" s="91" t="s">
        <v>72</v>
      </c>
      <c r="E10" s="96" t="s">
        <v>67</v>
      </c>
      <c r="F10" s="34" t="s">
        <v>12</v>
      </c>
      <c r="G10" s="77">
        <v>7000</v>
      </c>
      <c r="H10" s="90">
        <v>31.5</v>
      </c>
      <c r="I10" s="71">
        <f t="shared" ref="I10:I18" si="0">G10*H10</f>
        <v>220500</v>
      </c>
    </row>
    <row r="11" spans="1:9" customFormat="1" ht="42" customHeight="1" thickBot="1" x14ac:dyDescent="0.25">
      <c r="A11" s="80">
        <v>2</v>
      </c>
      <c r="B11" s="34"/>
      <c r="C11" s="35" t="s">
        <v>82</v>
      </c>
      <c r="D11" s="91" t="s">
        <v>72</v>
      </c>
      <c r="E11" s="108" t="s">
        <v>79</v>
      </c>
      <c r="F11" s="107" t="s">
        <v>12</v>
      </c>
      <c r="G11" s="77">
        <v>50</v>
      </c>
      <c r="H11" s="90">
        <v>1350</v>
      </c>
      <c r="I11" s="71">
        <f t="shared" si="0"/>
        <v>67500</v>
      </c>
    </row>
    <row r="12" spans="1:9" customFormat="1" ht="42" customHeight="1" thickBot="1" x14ac:dyDescent="0.25">
      <c r="A12" s="79">
        <v>3</v>
      </c>
      <c r="B12" s="34"/>
      <c r="C12" s="35" t="s">
        <v>82</v>
      </c>
      <c r="D12" s="91" t="s">
        <v>72</v>
      </c>
      <c r="E12" s="97" t="s">
        <v>68</v>
      </c>
      <c r="F12" s="34" t="s">
        <v>12</v>
      </c>
      <c r="G12" s="77">
        <v>20</v>
      </c>
      <c r="H12" s="90">
        <v>290</v>
      </c>
      <c r="I12" s="71">
        <f t="shared" si="0"/>
        <v>5800</v>
      </c>
    </row>
    <row r="13" spans="1:9" customFormat="1" ht="42" customHeight="1" thickBot="1" x14ac:dyDescent="0.25">
      <c r="A13" s="80">
        <v>4</v>
      </c>
      <c r="B13" s="34"/>
      <c r="C13" s="35" t="s">
        <v>82</v>
      </c>
      <c r="D13" s="91" t="s">
        <v>72</v>
      </c>
      <c r="E13" s="96" t="s">
        <v>69</v>
      </c>
      <c r="F13" s="34" t="s">
        <v>12</v>
      </c>
      <c r="G13" s="77">
        <v>800</v>
      </c>
      <c r="H13" s="90">
        <v>94</v>
      </c>
      <c r="I13" s="71">
        <f t="shared" si="0"/>
        <v>75200</v>
      </c>
    </row>
    <row r="14" spans="1:9" ht="42" customHeight="1" thickBot="1" x14ac:dyDescent="0.25">
      <c r="A14" s="79">
        <v>5</v>
      </c>
      <c r="B14" s="34"/>
      <c r="C14" s="35" t="s">
        <v>82</v>
      </c>
      <c r="D14" s="91" t="s">
        <v>72</v>
      </c>
      <c r="E14" s="96" t="s">
        <v>70</v>
      </c>
      <c r="F14" s="34" t="s">
        <v>12</v>
      </c>
      <c r="G14" s="77">
        <v>400</v>
      </c>
      <c r="H14" s="90">
        <v>95</v>
      </c>
      <c r="I14" s="71">
        <f t="shared" si="0"/>
        <v>38000</v>
      </c>
    </row>
    <row r="15" spans="1:9" ht="42" customHeight="1" thickBot="1" x14ac:dyDescent="0.25">
      <c r="A15" s="80">
        <v>6</v>
      </c>
      <c r="B15" s="34"/>
      <c r="C15" s="35" t="s">
        <v>82</v>
      </c>
      <c r="D15" s="91" t="s">
        <v>72</v>
      </c>
      <c r="E15" s="109" t="s">
        <v>80</v>
      </c>
      <c r="F15" s="107" t="s">
        <v>12</v>
      </c>
      <c r="G15" s="77">
        <v>4000</v>
      </c>
      <c r="H15" s="90">
        <v>34</v>
      </c>
      <c r="I15" s="71">
        <f t="shared" si="0"/>
        <v>136000</v>
      </c>
    </row>
    <row r="16" spans="1:9" ht="42" customHeight="1" thickBot="1" x14ac:dyDescent="0.25">
      <c r="A16" s="80">
        <v>7</v>
      </c>
      <c r="B16" s="34"/>
      <c r="C16" s="107" t="s">
        <v>82</v>
      </c>
      <c r="D16" s="110" t="s">
        <v>72</v>
      </c>
      <c r="E16" s="111" t="s">
        <v>81</v>
      </c>
      <c r="F16" s="107" t="s">
        <v>12</v>
      </c>
      <c r="G16" s="77">
        <v>1000</v>
      </c>
      <c r="H16" s="90">
        <v>55.4</v>
      </c>
      <c r="I16" s="71">
        <f t="shared" si="0"/>
        <v>55400</v>
      </c>
    </row>
    <row r="17" spans="1:9" ht="42" customHeight="1" thickBot="1" x14ac:dyDescent="0.25">
      <c r="A17" s="79">
        <v>8</v>
      </c>
      <c r="B17" s="34"/>
      <c r="C17" s="35" t="s">
        <v>82</v>
      </c>
      <c r="D17" s="91" t="s">
        <v>72</v>
      </c>
      <c r="E17" s="96" t="s">
        <v>66</v>
      </c>
      <c r="F17" s="34" t="s">
        <v>12</v>
      </c>
      <c r="G17" s="77">
        <v>50</v>
      </c>
      <c r="H17" s="90">
        <v>90</v>
      </c>
      <c r="I17" s="71">
        <f t="shared" si="0"/>
        <v>4500</v>
      </c>
    </row>
    <row r="18" spans="1:9" ht="42" customHeight="1" x14ac:dyDescent="0.2">
      <c r="A18" s="80">
        <v>9</v>
      </c>
      <c r="B18" s="34"/>
      <c r="C18" s="35" t="s">
        <v>82</v>
      </c>
      <c r="D18" s="91" t="s">
        <v>72</v>
      </c>
      <c r="E18" s="96" t="s">
        <v>71</v>
      </c>
      <c r="F18" s="34" t="s">
        <v>12</v>
      </c>
      <c r="G18" s="77">
        <v>1500</v>
      </c>
      <c r="H18" s="90">
        <v>35</v>
      </c>
      <c r="I18" s="71">
        <f t="shared" si="0"/>
        <v>52500</v>
      </c>
    </row>
    <row r="19" spans="1:9" x14ac:dyDescent="0.2">
      <c r="A19" s="42"/>
      <c r="B19" s="18"/>
      <c r="D19" s="18"/>
      <c r="E19" s="98"/>
      <c r="F19" s="18"/>
      <c r="I19" s="83"/>
    </row>
    <row r="20" spans="1:9" ht="13.5" customHeight="1" thickBot="1" x14ac:dyDescent="0.25">
      <c r="A20" s="42"/>
      <c r="B20" s="73"/>
      <c r="C20" s="85"/>
      <c r="D20" s="41"/>
      <c r="E20" s="99"/>
      <c r="F20" s="18"/>
      <c r="G20" s="117"/>
      <c r="H20" s="18"/>
      <c r="I20" s="18"/>
    </row>
    <row r="21" spans="1:9" ht="15" customHeight="1" x14ac:dyDescent="0.2">
      <c r="A21" s="42"/>
      <c r="B21" s="120" t="s">
        <v>85</v>
      </c>
      <c r="C21" s="121"/>
      <c r="D21" s="121"/>
      <c r="E21" s="122"/>
      <c r="F21" s="18"/>
      <c r="G21" s="117"/>
      <c r="H21" s="18"/>
      <c r="I21" s="18"/>
    </row>
    <row r="22" spans="1:9" ht="15" customHeight="1" x14ac:dyDescent="0.2">
      <c r="A22" s="42"/>
      <c r="B22" s="43"/>
      <c r="C22" s="86"/>
      <c r="D22" s="18"/>
      <c r="E22" s="100"/>
      <c r="F22" s="18"/>
      <c r="G22" s="117"/>
      <c r="H22" s="18"/>
      <c r="I22" s="18"/>
    </row>
    <row r="23" spans="1:9" ht="15" customHeight="1" x14ac:dyDescent="0.2">
      <c r="A23" s="42"/>
      <c r="B23" s="44" t="s">
        <v>56</v>
      </c>
      <c r="C23" s="86"/>
      <c r="D23" s="18"/>
      <c r="E23" s="100"/>
      <c r="F23" s="18"/>
      <c r="G23" s="117"/>
      <c r="H23" s="18"/>
      <c r="I23" s="18"/>
    </row>
    <row r="24" spans="1:9" ht="32.25" customHeight="1" x14ac:dyDescent="0.2">
      <c r="A24" s="42"/>
      <c r="B24" s="44"/>
      <c r="C24" s="115" t="s">
        <v>88</v>
      </c>
      <c r="D24" s="115"/>
      <c r="E24" s="116"/>
      <c r="F24" s="18"/>
      <c r="G24" s="117"/>
      <c r="H24" s="18"/>
      <c r="I24" s="18"/>
    </row>
    <row r="25" spans="1:9" ht="15" customHeight="1" x14ac:dyDescent="0.2">
      <c r="A25" s="42"/>
      <c r="B25" s="45" t="s">
        <v>62</v>
      </c>
      <c r="C25" s="114" t="s">
        <v>78</v>
      </c>
      <c r="D25" s="114"/>
      <c r="E25" s="114"/>
      <c r="F25" s="18"/>
      <c r="G25" s="117"/>
      <c r="H25" s="18"/>
      <c r="I25" s="18"/>
    </row>
    <row r="26" spans="1:9" ht="15" customHeight="1" x14ac:dyDescent="0.2">
      <c r="A26" s="42"/>
      <c r="B26" s="119"/>
      <c r="C26" s="119"/>
      <c r="D26" s="119"/>
      <c r="E26" s="119"/>
      <c r="F26" s="18"/>
      <c r="G26" s="117"/>
      <c r="H26" s="18"/>
      <c r="I26" s="18"/>
    </row>
    <row r="27" spans="1:9" ht="24.75" customHeight="1" x14ac:dyDescent="0.2">
      <c r="A27" s="42"/>
      <c r="B27" s="43" t="s">
        <v>63</v>
      </c>
      <c r="C27" s="114" t="s">
        <v>64</v>
      </c>
      <c r="D27" s="114"/>
      <c r="E27" s="118"/>
      <c r="F27" s="18"/>
      <c r="G27" s="117"/>
      <c r="H27" s="18"/>
      <c r="I27" s="18"/>
    </row>
    <row r="28" spans="1:9" ht="15" customHeight="1" x14ac:dyDescent="0.2">
      <c r="A28" s="42"/>
      <c r="B28" s="43"/>
      <c r="C28" s="48"/>
      <c r="D28" s="47"/>
      <c r="E28" s="101"/>
      <c r="F28" s="18"/>
      <c r="G28" s="117"/>
      <c r="H28" s="18"/>
      <c r="I28" s="18"/>
    </row>
    <row r="29" spans="1:9" ht="12.75" customHeight="1" x14ac:dyDescent="0.2">
      <c r="A29" s="42"/>
      <c r="B29" s="44" t="s">
        <v>57</v>
      </c>
      <c r="C29" s="114"/>
      <c r="D29" s="114"/>
      <c r="E29" s="118"/>
      <c r="F29" s="18"/>
      <c r="G29" s="117"/>
      <c r="H29" s="18"/>
      <c r="I29" s="18"/>
    </row>
    <row r="30" spans="1:9" ht="12.75" customHeight="1" x14ac:dyDescent="0.2">
      <c r="A30" s="42"/>
      <c r="B30" s="43"/>
      <c r="C30" s="48"/>
      <c r="D30" s="48"/>
      <c r="E30" s="102"/>
      <c r="F30" s="18"/>
      <c r="G30" s="117"/>
      <c r="H30" s="18"/>
      <c r="I30" s="18"/>
    </row>
    <row r="31" spans="1:9" ht="15" customHeight="1" x14ac:dyDescent="0.2">
      <c r="A31" s="42"/>
      <c r="B31" s="44" t="s">
        <v>58</v>
      </c>
      <c r="C31" s="40"/>
      <c r="D31" s="38"/>
      <c r="E31" s="103"/>
      <c r="F31" s="18"/>
      <c r="G31" s="117"/>
      <c r="H31" s="18"/>
      <c r="I31" s="18"/>
    </row>
    <row r="32" spans="1:9" ht="15" customHeight="1" x14ac:dyDescent="0.2">
      <c r="A32" s="42"/>
      <c r="B32" s="43"/>
      <c r="C32" s="48"/>
      <c r="D32" s="48"/>
      <c r="E32" s="102" t="s">
        <v>65</v>
      </c>
      <c r="F32" s="18"/>
      <c r="G32" s="117"/>
      <c r="H32" s="18"/>
      <c r="I32" s="18"/>
    </row>
    <row r="33" spans="1:9" ht="15" customHeight="1" x14ac:dyDescent="0.2">
      <c r="A33" s="42"/>
      <c r="B33" s="44" t="s">
        <v>59</v>
      </c>
      <c r="C33" s="86"/>
      <c r="D33" s="18"/>
      <c r="E33" s="100"/>
      <c r="F33" s="18"/>
      <c r="G33" s="117"/>
      <c r="H33" s="18"/>
      <c r="I33" s="18"/>
    </row>
    <row r="34" spans="1:9" ht="15" customHeight="1" x14ac:dyDescent="0.2">
      <c r="A34" s="42"/>
      <c r="B34" s="44"/>
      <c r="C34" s="48"/>
      <c r="D34" s="47"/>
      <c r="E34" s="101"/>
      <c r="F34" s="18"/>
      <c r="G34" s="117"/>
      <c r="H34" s="18"/>
      <c r="I34" s="18"/>
    </row>
    <row r="35" spans="1:9" ht="12.75" customHeight="1" thickBot="1" x14ac:dyDescent="0.25">
      <c r="A35" s="42"/>
      <c r="B35" s="46"/>
      <c r="C35" s="87"/>
      <c r="D35" s="39"/>
      <c r="E35" s="104"/>
      <c r="F35" s="18"/>
      <c r="G35" s="117"/>
      <c r="H35" s="18"/>
      <c r="I35" s="18"/>
    </row>
    <row r="36" spans="1:9" ht="12.75" customHeight="1" x14ac:dyDescent="0.2">
      <c r="A36" s="42"/>
      <c r="B36" s="73"/>
      <c r="C36" s="88"/>
      <c r="D36" s="89"/>
      <c r="E36" s="105"/>
      <c r="F36" s="18"/>
      <c r="G36" s="117"/>
      <c r="H36" s="18"/>
      <c r="I36" s="18"/>
    </row>
    <row r="37" spans="1:9" x14ac:dyDescent="0.2">
      <c r="I37" s="83"/>
    </row>
    <row r="38" spans="1:9" x14ac:dyDescent="0.2">
      <c r="I38" s="83"/>
    </row>
    <row r="39" spans="1:9" x14ac:dyDescent="0.2">
      <c r="I39" s="83"/>
    </row>
    <row r="40" spans="1:9" x14ac:dyDescent="0.2">
      <c r="I40" s="83"/>
    </row>
    <row r="41" spans="1:9" x14ac:dyDescent="0.2">
      <c r="I41" s="83"/>
    </row>
    <row r="42" spans="1:9" x14ac:dyDescent="0.2">
      <c r="I42" s="83"/>
    </row>
    <row r="43" spans="1:9" x14ac:dyDescent="0.2">
      <c r="I43" s="83"/>
    </row>
    <row r="44" spans="1:9" x14ac:dyDescent="0.2">
      <c r="I44" s="83"/>
    </row>
    <row r="45" spans="1:9" x14ac:dyDescent="0.2">
      <c r="I45" s="83"/>
    </row>
    <row r="46" spans="1:9" x14ac:dyDescent="0.2">
      <c r="I46" s="83"/>
    </row>
    <row r="47" spans="1:9" x14ac:dyDescent="0.2">
      <c r="I47" s="83"/>
    </row>
    <row r="48" spans="1:9" x14ac:dyDescent="0.2">
      <c r="I48" s="83"/>
    </row>
    <row r="49" spans="9:9" x14ac:dyDescent="0.2">
      <c r="I49" s="83"/>
    </row>
    <row r="50" spans="9:9" x14ac:dyDescent="0.2">
      <c r="I50" s="83"/>
    </row>
    <row r="51" spans="9:9" x14ac:dyDescent="0.2">
      <c r="I51" s="83"/>
    </row>
    <row r="52" spans="9:9" x14ac:dyDescent="0.2">
      <c r="I52" s="83"/>
    </row>
    <row r="53" spans="9:9" x14ac:dyDescent="0.2">
      <c r="I53" s="83"/>
    </row>
    <row r="54" spans="9:9" x14ac:dyDescent="0.2">
      <c r="I54" s="83"/>
    </row>
    <row r="55" spans="9:9" x14ac:dyDescent="0.2">
      <c r="I55" s="83"/>
    </row>
    <row r="56" spans="9:9" x14ac:dyDescent="0.2">
      <c r="I56" s="83"/>
    </row>
    <row r="57" spans="9:9" x14ac:dyDescent="0.2">
      <c r="I57" s="83"/>
    </row>
    <row r="58" spans="9:9" x14ac:dyDescent="0.2">
      <c r="I58" s="83"/>
    </row>
    <row r="59" spans="9:9" x14ac:dyDescent="0.2">
      <c r="I59" s="83"/>
    </row>
    <row r="60" spans="9:9" x14ac:dyDescent="0.2">
      <c r="I60" s="83"/>
    </row>
    <row r="61" spans="9:9" x14ac:dyDescent="0.2">
      <c r="I61" s="83"/>
    </row>
    <row r="62" spans="9:9" x14ac:dyDescent="0.2">
      <c r="I62" s="83"/>
    </row>
    <row r="63" spans="9:9" x14ac:dyDescent="0.2">
      <c r="I63" s="83"/>
    </row>
    <row r="64" spans="9:9" x14ac:dyDescent="0.2">
      <c r="I64" s="83"/>
    </row>
    <row r="65" spans="9:9" x14ac:dyDescent="0.2">
      <c r="I65" s="83"/>
    </row>
    <row r="66" spans="9:9" x14ac:dyDescent="0.2">
      <c r="I66" s="83"/>
    </row>
    <row r="67" spans="9:9" x14ac:dyDescent="0.2">
      <c r="I67" s="83"/>
    </row>
    <row r="68" spans="9:9" x14ac:dyDescent="0.2">
      <c r="I68" s="83"/>
    </row>
    <row r="69" spans="9:9" x14ac:dyDescent="0.2">
      <c r="I69" s="83"/>
    </row>
    <row r="70" spans="9:9" x14ac:dyDescent="0.2">
      <c r="I70" s="83"/>
    </row>
    <row r="71" spans="9:9" x14ac:dyDescent="0.2">
      <c r="I71" s="83"/>
    </row>
    <row r="72" spans="9:9" x14ac:dyDescent="0.2">
      <c r="I72" s="83"/>
    </row>
    <row r="73" spans="9:9" x14ac:dyDescent="0.2">
      <c r="I73" s="83"/>
    </row>
    <row r="74" spans="9:9" x14ac:dyDescent="0.2">
      <c r="I74" s="83"/>
    </row>
    <row r="75" spans="9:9" x14ac:dyDescent="0.2">
      <c r="I75" s="83"/>
    </row>
    <row r="76" spans="9:9" x14ac:dyDescent="0.2">
      <c r="I76" s="83"/>
    </row>
    <row r="77" spans="9:9" x14ac:dyDescent="0.2">
      <c r="I77" s="83"/>
    </row>
    <row r="78" spans="9:9" x14ac:dyDescent="0.2">
      <c r="I78" s="83"/>
    </row>
    <row r="79" spans="9:9" x14ac:dyDescent="0.2">
      <c r="I79" s="83"/>
    </row>
    <row r="80" spans="9:9" x14ac:dyDescent="0.2">
      <c r="I80" s="83"/>
    </row>
    <row r="81" spans="9:9" x14ac:dyDescent="0.2">
      <c r="I81" s="83"/>
    </row>
    <row r="82" spans="9:9" x14ac:dyDescent="0.2">
      <c r="I82" s="83"/>
    </row>
    <row r="83" spans="9:9" x14ac:dyDescent="0.2">
      <c r="I83" s="83"/>
    </row>
    <row r="84" spans="9:9" x14ac:dyDescent="0.2">
      <c r="I84" s="83"/>
    </row>
    <row r="85" spans="9:9" x14ac:dyDescent="0.2">
      <c r="I85" s="83"/>
    </row>
    <row r="86" spans="9:9" x14ac:dyDescent="0.2">
      <c r="I86" s="83"/>
    </row>
    <row r="87" spans="9:9" x14ac:dyDescent="0.2">
      <c r="I87" s="83"/>
    </row>
    <row r="88" spans="9:9" x14ac:dyDescent="0.2">
      <c r="I88" s="83"/>
    </row>
    <row r="89" spans="9:9" x14ac:dyDescent="0.2">
      <c r="I89" s="83"/>
    </row>
    <row r="90" spans="9:9" x14ac:dyDescent="0.2">
      <c r="I90" s="83"/>
    </row>
    <row r="91" spans="9:9" x14ac:dyDescent="0.2">
      <c r="I91" s="83"/>
    </row>
    <row r="92" spans="9:9" x14ac:dyDescent="0.2">
      <c r="I92" s="83"/>
    </row>
    <row r="93" spans="9:9" x14ac:dyDescent="0.2">
      <c r="I93" s="83"/>
    </row>
    <row r="94" spans="9:9" x14ac:dyDescent="0.2">
      <c r="I94" s="83"/>
    </row>
    <row r="95" spans="9:9" x14ac:dyDescent="0.2">
      <c r="I95" s="83"/>
    </row>
    <row r="96" spans="9:9" x14ac:dyDescent="0.2">
      <c r="I96" s="83"/>
    </row>
    <row r="97" spans="9:9" x14ac:dyDescent="0.2">
      <c r="I97" s="83"/>
    </row>
    <row r="98" spans="9:9" x14ac:dyDescent="0.2">
      <c r="I98" s="83"/>
    </row>
    <row r="99" spans="9:9" x14ac:dyDescent="0.2">
      <c r="I99" s="83"/>
    </row>
    <row r="100" spans="9:9" x14ac:dyDescent="0.2">
      <c r="I100" s="83"/>
    </row>
    <row r="101" spans="9:9" x14ac:dyDescent="0.2">
      <c r="I101" s="83"/>
    </row>
    <row r="102" spans="9:9" x14ac:dyDescent="0.2">
      <c r="I102" s="83"/>
    </row>
    <row r="103" spans="9:9" x14ac:dyDescent="0.2">
      <c r="I103" s="83"/>
    </row>
    <row r="104" spans="9:9" x14ac:dyDescent="0.2">
      <c r="I104" s="83"/>
    </row>
    <row r="105" spans="9:9" x14ac:dyDescent="0.2">
      <c r="I105" s="83"/>
    </row>
    <row r="106" spans="9:9" x14ac:dyDescent="0.2">
      <c r="I106" s="83"/>
    </row>
    <row r="107" spans="9:9" x14ac:dyDescent="0.2">
      <c r="I107" s="83"/>
    </row>
    <row r="108" spans="9:9" x14ac:dyDescent="0.2">
      <c r="I108" s="83"/>
    </row>
    <row r="109" spans="9:9" x14ac:dyDescent="0.2">
      <c r="I109" s="83"/>
    </row>
    <row r="110" spans="9:9" x14ac:dyDescent="0.2">
      <c r="I110" s="83"/>
    </row>
    <row r="111" spans="9:9" x14ac:dyDescent="0.2">
      <c r="I111" s="83"/>
    </row>
    <row r="112" spans="9:9" x14ac:dyDescent="0.2">
      <c r="I112" s="83"/>
    </row>
    <row r="113" spans="9:9" x14ac:dyDescent="0.2">
      <c r="I113" s="83"/>
    </row>
    <row r="114" spans="9:9" x14ac:dyDescent="0.2">
      <c r="I114" s="83"/>
    </row>
    <row r="115" spans="9:9" x14ac:dyDescent="0.2">
      <c r="I115" s="83"/>
    </row>
    <row r="116" spans="9:9" x14ac:dyDescent="0.2">
      <c r="I116" s="83"/>
    </row>
    <row r="117" spans="9:9" x14ac:dyDescent="0.2">
      <c r="I117" s="83"/>
    </row>
    <row r="118" spans="9:9" x14ac:dyDescent="0.2">
      <c r="I118" s="83"/>
    </row>
    <row r="119" spans="9:9" x14ac:dyDescent="0.2">
      <c r="I119" s="83"/>
    </row>
    <row r="120" spans="9:9" x14ac:dyDescent="0.2">
      <c r="I120" s="83"/>
    </row>
    <row r="121" spans="9:9" x14ac:dyDescent="0.2">
      <c r="I121" s="83"/>
    </row>
    <row r="122" spans="9:9" x14ac:dyDescent="0.2">
      <c r="I122" s="83"/>
    </row>
    <row r="123" spans="9:9" x14ac:dyDescent="0.2">
      <c r="I123" s="83"/>
    </row>
    <row r="124" spans="9:9" x14ac:dyDescent="0.2">
      <c r="I124" s="83"/>
    </row>
    <row r="125" spans="9:9" x14ac:dyDescent="0.2">
      <c r="I125" s="83"/>
    </row>
    <row r="126" spans="9:9" x14ac:dyDescent="0.2">
      <c r="I126" s="83"/>
    </row>
    <row r="127" spans="9:9" x14ac:dyDescent="0.2">
      <c r="I127" s="83"/>
    </row>
    <row r="128" spans="9:9" x14ac:dyDescent="0.2">
      <c r="I128" s="83"/>
    </row>
    <row r="129" spans="9:9" x14ac:dyDescent="0.2">
      <c r="I129" s="83"/>
    </row>
    <row r="130" spans="9:9" x14ac:dyDescent="0.2">
      <c r="I130" s="83"/>
    </row>
    <row r="131" spans="9:9" x14ac:dyDescent="0.2">
      <c r="I131" s="83"/>
    </row>
    <row r="132" spans="9:9" x14ac:dyDescent="0.2">
      <c r="I132" s="83"/>
    </row>
    <row r="133" spans="9:9" x14ac:dyDescent="0.2">
      <c r="I133" s="83"/>
    </row>
    <row r="134" spans="9:9" x14ac:dyDescent="0.2">
      <c r="I134" s="83"/>
    </row>
    <row r="135" spans="9:9" x14ac:dyDescent="0.2">
      <c r="I135" s="83"/>
    </row>
    <row r="136" spans="9:9" x14ac:dyDescent="0.2">
      <c r="I136" s="83"/>
    </row>
    <row r="137" spans="9:9" x14ac:dyDescent="0.2">
      <c r="I137" s="83"/>
    </row>
    <row r="138" spans="9:9" x14ac:dyDescent="0.2">
      <c r="I138" s="83"/>
    </row>
    <row r="139" spans="9:9" x14ac:dyDescent="0.2">
      <c r="I139" s="83"/>
    </row>
    <row r="140" spans="9:9" x14ac:dyDescent="0.2">
      <c r="I140" s="83"/>
    </row>
    <row r="141" spans="9:9" x14ac:dyDescent="0.2">
      <c r="I141" s="83"/>
    </row>
    <row r="142" spans="9:9" x14ac:dyDescent="0.2">
      <c r="I142" s="83"/>
    </row>
    <row r="143" spans="9:9" x14ac:dyDescent="0.2">
      <c r="I143" s="83"/>
    </row>
  </sheetData>
  <mergeCells count="13">
    <mergeCell ref="A4:D4"/>
    <mergeCell ref="A5:D5"/>
    <mergeCell ref="A6:D6"/>
    <mergeCell ref="A7:D7"/>
    <mergeCell ref="E4:G4"/>
    <mergeCell ref="E5:G5"/>
    <mergeCell ref="C25:E25"/>
    <mergeCell ref="C24:E24"/>
    <mergeCell ref="G20:G36"/>
    <mergeCell ref="C27:E27"/>
    <mergeCell ref="B26:E26"/>
    <mergeCell ref="C29:E29"/>
    <mergeCell ref="B21:E21"/>
  </mergeCells>
  <phoneticPr fontId="24" type="noConversion"/>
  <pageMargins left="0.7" right="0.7" top="0.75" bottom="0.75" header="0.51180555555555496" footer="0.51180555555555496"/>
  <pageSetup paperSize="5" scale="8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28"/>
  <sheetViews>
    <sheetView zoomScale="68" zoomScaleNormal="68" workbookViewId="0">
      <selection activeCell="O21" sqref="O21"/>
    </sheetView>
  </sheetViews>
  <sheetFormatPr baseColWidth="10" defaultColWidth="9.140625" defaultRowHeight="12.75" x14ac:dyDescent="0.2"/>
  <cols>
    <col min="1" max="1" width="13.140625" style="58" customWidth="1"/>
    <col min="2" max="2" width="19.5703125" style="58" customWidth="1"/>
    <col min="3" max="3" width="14.140625" style="58" customWidth="1"/>
    <col min="4" max="4" width="26" style="58" customWidth="1"/>
    <col min="5" max="5" width="8" style="58" customWidth="1"/>
    <col min="6" max="6" width="7.85546875" style="58" customWidth="1"/>
    <col min="7" max="7" width="42" style="58" customWidth="1"/>
    <col min="8" max="8" width="9.28515625" style="58" customWidth="1"/>
    <col min="9" max="9" width="15.5703125" style="58" customWidth="1"/>
    <col min="10" max="10" width="20.42578125" style="58" customWidth="1"/>
    <col min="11" max="11" width="30.42578125" style="65" customWidth="1"/>
    <col min="12" max="1013" width="9.140625" style="2"/>
  </cols>
  <sheetData>
    <row r="1" spans="1:1013" ht="18" customHeight="1" x14ac:dyDescent="0.2">
      <c r="A1" s="131" t="s">
        <v>13</v>
      </c>
      <c r="B1" s="131"/>
      <c r="C1" s="131"/>
      <c r="D1" s="131"/>
      <c r="E1" s="131"/>
      <c r="F1" s="131"/>
      <c r="G1" s="131"/>
      <c r="H1" s="131"/>
      <c r="I1" s="131"/>
      <c r="J1" s="49"/>
      <c r="K1" s="113" t="s">
        <v>83</v>
      </c>
    </row>
    <row r="2" spans="1:1013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62"/>
    </row>
    <row r="3" spans="1:1013" ht="18.75" customHeight="1" thickBot="1" x14ac:dyDescent="0.25">
      <c r="A3" s="132" t="s">
        <v>14</v>
      </c>
      <c r="B3" s="132"/>
      <c r="C3" s="132"/>
      <c r="D3" s="133" t="s">
        <v>61</v>
      </c>
      <c r="E3" s="133"/>
      <c r="F3" s="133"/>
      <c r="G3" s="133"/>
      <c r="H3" s="133"/>
      <c r="I3" s="133"/>
      <c r="J3" s="133"/>
      <c r="K3" s="133"/>
    </row>
    <row r="4" spans="1:1013" ht="18.75" customHeight="1" thickBot="1" x14ac:dyDescent="0.25">
      <c r="A4" s="134" t="s">
        <v>15</v>
      </c>
      <c r="B4" s="134"/>
      <c r="C4" s="134"/>
      <c r="D4" s="133" t="s">
        <v>55</v>
      </c>
      <c r="E4" s="133"/>
      <c r="F4" s="133"/>
      <c r="G4" s="133"/>
      <c r="H4" s="133"/>
      <c r="I4" s="133"/>
      <c r="J4" s="133"/>
      <c r="K4" s="133"/>
    </row>
    <row r="5" spans="1:1013" ht="18.75" customHeight="1" thickBot="1" x14ac:dyDescent="0.25">
      <c r="A5" s="134" t="s">
        <v>16</v>
      </c>
      <c r="B5" s="134"/>
      <c r="C5" s="134"/>
      <c r="D5" s="133" t="s">
        <v>51</v>
      </c>
      <c r="E5" s="133"/>
      <c r="F5" s="133"/>
      <c r="G5" s="133"/>
      <c r="H5" s="133"/>
      <c r="I5" s="133"/>
      <c r="J5" s="133"/>
      <c r="K5" s="133"/>
    </row>
    <row r="6" spans="1:1013" ht="16.5" customHeight="1" thickBot="1" x14ac:dyDescent="0.25">
      <c r="A6" s="132" t="s">
        <v>17</v>
      </c>
      <c r="B6" s="132"/>
      <c r="C6" s="132"/>
      <c r="D6" s="133" t="s">
        <v>73</v>
      </c>
      <c r="E6" s="133"/>
      <c r="F6" s="133"/>
      <c r="G6" s="133"/>
      <c r="H6" s="133"/>
      <c r="I6" s="133"/>
      <c r="J6" s="133"/>
      <c r="K6" s="133"/>
    </row>
    <row r="7" spans="1:1013" ht="16.5" customHeight="1" thickBot="1" x14ac:dyDescent="0.25">
      <c r="A7" s="134" t="s">
        <v>18</v>
      </c>
      <c r="B7" s="134"/>
      <c r="C7" s="134"/>
      <c r="D7" s="133" t="s">
        <v>77</v>
      </c>
      <c r="E7" s="133"/>
      <c r="F7" s="133"/>
      <c r="G7" s="133"/>
      <c r="H7" s="133"/>
      <c r="I7" s="133"/>
      <c r="J7" s="133"/>
      <c r="K7" s="133"/>
    </row>
    <row r="8" spans="1:1013" ht="16.5" customHeight="1" thickBot="1" x14ac:dyDescent="0.25">
      <c r="A8" s="125" t="s">
        <v>19</v>
      </c>
      <c r="B8" s="125"/>
      <c r="C8" s="125"/>
      <c r="D8" s="126" t="s">
        <v>74</v>
      </c>
      <c r="E8" s="126"/>
      <c r="F8" s="126"/>
      <c r="G8" s="126"/>
      <c r="H8" s="126"/>
      <c r="I8" s="126"/>
      <c r="J8" s="126"/>
      <c r="K8" s="126"/>
    </row>
    <row r="9" spans="1:1013" ht="16.5" thickBot="1" x14ac:dyDescent="0.25">
      <c r="A9" s="52"/>
      <c r="B9" s="52"/>
      <c r="C9" s="52"/>
      <c r="D9" s="53"/>
      <c r="E9" s="53"/>
      <c r="F9" s="53"/>
      <c r="G9" s="53"/>
      <c r="H9" s="53"/>
      <c r="I9" s="53"/>
      <c r="J9" s="53"/>
      <c r="K9" s="63"/>
    </row>
    <row r="10" spans="1:1013" ht="18.75" customHeight="1" thickBot="1" x14ac:dyDescent="0.25">
      <c r="A10" s="127" t="s">
        <v>20</v>
      </c>
      <c r="B10" s="129" t="s">
        <v>21</v>
      </c>
      <c r="C10" s="129" t="s">
        <v>22</v>
      </c>
      <c r="D10" s="129"/>
      <c r="E10" s="129"/>
      <c r="F10" s="129"/>
      <c r="G10" s="129"/>
      <c r="H10" s="129" t="s">
        <v>23</v>
      </c>
      <c r="I10" s="129" t="s">
        <v>24</v>
      </c>
      <c r="J10" s="129" t="s">
        <v>25</v>
      </c>
      <c r="K10" s="135" t="s">
        <v>26</v>
      </c>
    </row>
    <row r="11" spans="1:1013" ht="24" customHeight="1" thickBot="1" x14ac:dyDescent="0.25">
      <c r="A11" s="128"/>
      <c r="B11" s="130"/>
      <c r="C11" s="130"/>
      <c r="D11" s="130"/>
      <c r="E11" s="130"/>
      <c r="F11" s="130"/>
      <c r="G11" s="130"/>
      <c r="H11" s="130"/>
      <c r="I11" s="130"/>
      <c r="J11" s="130"/>
      <c r="K11" s="136"/>
      <c r="ALW11"/>
      <c r="ALX11"/>
      <c r="ALY11"/>
    </row>
    <row r="12" spans="1:1013" ht="43.5" customHeight="1" thickBot="1" x14ac:dyDescent="0.3">
      <c r="A12" s="54">
        <f>'Necesidades Trimestrales'!A10</f>
        <v>1</v>
      </c>
      <c r="B12" s="57">
        <f>'Necesidades Trimestrales'!B10</f>
        <v>0</v>
      </c>
      <c r="C12" s="137" t="str">
        <f>'Necesidades Trimestrales'!E10</f>
        <v>AGUA DESTILADA EN AMPOLLAS</v>
      </c>
      <c r="D12" s="137"/>
      <c r="E12" s="137"/>
      <c r="F12" s="137"/>
      <c r="G12" s="137"/>
      <c r="H12" s="55" t="s">
        <v>27</v>
      </c>
      <c r="I12" s="56" t="str">
        <f>'Necesidades Trimestrales'!F10</f>
        <v>UNIDAD</v>
      </c>
      <c r="J12" s="61">
        <f>'Necesidades Trimestrales'!H10</f>
        <v>31.5</v>
      </c>
      <c r="K12" s="64">
        <f>'Necesidades Trimestrales'!G10</f>
        <v>7000</v>
      </c>
    </row>
    <row r="13" spans="1:1013" ht="43.5" customHeight="1" thickBot="1" x14ac:dyDescent="0.3">
      <c r="A13" s="54">
        <f>'Necesidades Trimestrales'!A11</f>
        <v>2</v>
      </c>
      <c r="B13" s="57">
        <f>'Necesidades Trimestrales'!B11</f>
        <v>0</v>
      </c>
      <c r="C13" s="137" t="str">
        <f>'Necesidades Trimestrales'!E11</f>
        <v>AMINOACIDO 1O % X 50 ML</v>
      </c>
      <c r="D13" s="137"/>
      <c r="E13" s="137"/>
      <c r="F13" s="137"/>
      <c r="G13" s="137"/>
      <c r="H13" s="55" t="s">
        <v>27</v>
      </c>
      <c r="I13" s="56" t="str">
        <f>'Necesidades Trimestrales'!F11</f>
        <v>UNIDAD</v>
      </c>
      <c r="J13" s="61">
        <f>'Necesidades Trimestrales'!H11</f>
        <v>1350</v>
      </c>
      <c r="K13" s="64">
        <f>'Necesidades Trimestrales'!G11</f>
        <v>50</v>
      </c>
    </row>
    <row r="14" spans="1:1013" ht="43.5" customHeight="1" thickBot="1" x14ac:dyDescent="0.3">
      <c r="A14" s="54">
        <f>'Necesidades Trimestrales'!A12</f>
        <v>3</v>
      </c>
      <c r="B14" s="57">
        <f>'Necesidades Trimestrales'!B12</f>
        <v>0</v>
      </c>
      <c r="C14" s="137" t="str">
        <f>'Necesidades Trimestrales'!E12</f>
        <v>BICARBONATO 1 MOLAR SACHET X 100 ML</v>
      </c>
      <c r="D14" s="137"/>
      <c r="E14" s="137"/>
      <c r="F14" s="137"/>
      <c r="G14" s="137"/>
      <c r="H14" s="55" t="s">
        <v>27</v>
      </c>
      <c r="I14" s="56" t="str">
        <f>'Necesidades Trimestrales'!F12</f>
        <v>UNIDAD</v>
      </c>
      <c r="J14" s="61">
        <f>'Necesidades Trimestrales'!H12</f>
        <v>290</v>
      </c>
      <c r="K14" s="64">
        <f>'Necesidades Trimestrales'!G12</f>
        <v>20</v>
      </c>
    </row>
    <row r="15" spans="1:1013" ht="43.5" customHeight="1" thickBot="1" x14ac:dyDescent="0.3">
      <c r="A15" s="54">
        <f>'Necesidades Trimestrales'!A13</f>
        <v>4</v>
      </c>
      <c r="B15" s="57">
        <f>'Necesidades Trimestrales'!B13</f>
        <v>0</v>
      </c>
      <c r="C15" s="137" t="str">
        <f>'Necesidades Trimestrales'!E13</f>
        <v>SOLUCION DEXTROSA AL 10% SACHET DE 250 ML</v>
      </c>
      <c r="D15" s="137"/>
      <c r="E15" s="137"/>
      <c r="F15" s="137"/>
      <c r="G15" s="137"/>
      <c r="H15" s="55" t="s">
        <v>27</v>
      </c>
      <c r="I15" s="56" t="str">
        <f>'Necesidades Trimestrales'!F13</f>
        <v>UNIDAD</v>
      </c>
      <c r="J15" s="61">
        <f>'Necesidades Trimestrales'!H13</f>
        <v>94</v>
      </c>
      <c r="K15" s="64">
        <f>'Necesidades Trimestrales'!G13</f>
        <v>800</v>
      </c>
    </row>
    <row r="16" spans="1:1013" ht="43.5" customHeight="1" thickBot="1" x14ac:dyDescent="0.3">
      <c r="A16" s="54">
        <f>'Necesidades Trimestrales'!A14</f>
        <v>5</v>
      </c>
      <c r="B16" s="57">
        <f>'Necesidades Trimestrales'!B14</f>
        <v>0</v>
      </c>
      <c r="C16" s="145" t="str">
        <f>'Necesidades Trimestrales'!E14</f>
        <v>SOLUCION DEXTROSA AL 10% SACHET DE 500 ML</v>
      </c>
      <c r="D16" s="146"/>
      <c r="E16" s="146"/>
      <c r="F16" s="146"/>
      <c r="G16" s="147"/>
      <c r="H16" s="55" t="s">
        <v>27</v>
      </c>
      <c r="I16" s="56" t="str">
        <f>'Necesidades Trimestrales'!F14</f>
        <v>UNIDAD</v>
      </c>
      <c r="J16" s="61">
        <f>'Necesidades Trimestrales'!H14</f>
        <v>95</v>
      </c>
      <c r="K16" s="64">
        <f>'Necesidades Trimestrales'!G14</f>
        <v>400</v>
      </c>
    </row>
    <row r="17" spans="1:11" ht="43.5" customHeight="1" thickBot="1" x14ac:dyDescent="0.3">
      <c r="A17" s="54">
        <f>'Necesidades Trimestrales'!A15</f>
        <v>6</v>
      </c>
      <c r="B17" s="57">
        <f>'Necesidades Trimestrales'!B15</f>
        <v>0</v>
      </c>
      <c r="C17" s="145" t="str">
        <f>'Necesidades Trimestrales'!E15</f>
        <v>SOLUCION FISIOLOGICA EN AMPOLLAS</v>
      </c>
      <c r="D17" s="146"/>
      <c r="E17" s="146"/>
      <c r="F17" s="146"/>
      <c r="G17" s="147"/>
      <c r="H17" s="55" t="s">
        <v>27</v>
      </c>
      <c r="I17" s="56" t="str">
        <f>'Necesidades Trimestrales'!F15</f>
        <v>UNIDAD</v>
      </c>
      <c r="J17" s="61">
        <f>'Necesidades Trimestrales'!H15</f>
        <v>34</v>
      </c>
      <c r="K17" s="64">
        <f>'Necesidades Trimestrales'!G15</f>
        <v>4000</v>
      </c>
    </row>
    <row r="18" spans="1:11" ht="43.5" customHeight="1" thickBot="1" x14ac:dyDescent="0.3">
      <c r="A18" s="54">
        <f>'Necesidades Trimestrales'!A16</f>
        <v>7</v>
      </c>
      <c r="B18" s="57">
        <f>'Necesidades Trimestrales'!B16</f>
        <v>0</v>
      </c>
      <c r="C18" s="145" t="str">
        <f>'Necesidades Trimestrales'!E16</f>
        <v xml:space="preserve">SOLUCION GLUCOSADA AL 25 % AMPOLLAS </v>
      </c>
      <c r="D18" s="146"/>
      <c r="E18" s="146"/>
      <c r="F18" s="146"/>
      <c r="G18" s="147"/>
      <c r="H18" s="55" t="s">
        <v>27</v>
      </c>
      <c r="I18" s="56" t="str">
        <f>'Necesidades Trimestrales'!F16</f>
        <v>UNIDAD</v>
      </c>
      <c r="J18" s="61">
        <f>'Necesidades Trimestrales'!H16</f>
        <v>55.4</v>
      </c>
      <c r="K18" s="64">
        <f>'Necesidades Trimestrales'!G16</f>
        <v>1000</v>
      </c>
    </row>
    <row r="19" spans="1:11" ht="43.5" customHeight="1" thickBot="1" x14ac:dyDescent="0.3">
      <c r="A19" s="54">
        <f>'Necesidades Trimestrales'!A17</f>
        <v>8</v>
      </c>
      <c r="B19" s="57">
        <f>'Necesidades Trimestrales'!B17</f>
        <v>0</v>
      </c>
      <c r="C19" s="145" t="str">
        <f>'Necesidades Trimestrales'!E17</f>
        <v>SOLUCION RINGER LACTATO DE 500 ML</v>
      </c>
      <c r="D19" s="146"/>
      <c r="E19" s="146"/>
      <c r="F19" s="146"/>
      <c r="G19" s="147"/>
      <c r="H19" s="55" t="s">
        <v>27</v>
      </c>
      <c r="I19" s="56" t="str">
        <f>'Necesidades Trimestrales'!F17</f>
        <v>UNIDAD</v>
      </c>
      <c r="J19" s="61">
        <f>'Necesidades Trimestrales'!H17</f>
        <v>90</v>
      </c>
      <c r="K19" s="64">
        <f>'Necesidades Trimestrales'!G17</f>
        <v>50</v>
      </c>
    </row>
    <row r="20" spans="1:11" ht="43.5" customHeight="1" x14ac:dyDescent="0.25">
      <c r="A20" s="54">
        <f>'Necesidades Trimestrales'!A18</f>
        <v>9</v>
      </c>
      <c r="B20" s="57">
        <f>'Necesidades Trimestrales'!B18</f>
        <v>0</v>
      </c>
      <c r="C20" s="145" t="str">
        <f>'Necesidades Trimestrales'!E18</f>
        <v>SULFATO DE MAGNESIO 25%  AMPOLLAS</v>
      </c>
      <c r="D20" s="146"/>
      <c r="E20" s="146"/>
      <c r="F20" s="146"/>
      <c r="G20" s="147"/>
      <c r="H20" s="55" t="s">
        <v>27</v>
      </c>
      <c r="I20" s="56" t="str">
        <f>'Necesidades Trimestrales'!F18</f>
        <v>UNIDAD</v>
      </c>
      <c r="J20" s="61">
        <f>'Necesidades Trimestrales'!H18</f>
        <v>35</v>
      </c>
      <c r="K20" s="64">
        <f>'Necesidades Trimestrales'!G18</f>
        <v>1500</v>
      </c>
    </row>
    <row r="21" spans="1:11" ht="41.25" customHeight="1" thickBot="1" x14ac:dyDescent="0.25">
      <c r="A21" s="140" t="s">
        <v>86</v>
      </c>
      <c r="B21" s="141"/>
      <c r="C21" s="141"/>
      <c r="D21" s="141"/>
      <c r="E21" s="141"/>
      <c r="F21" s="141"/>
      <c r="G21" s="141"/>
      <c r="H21" s="141"/>
      <c r="I21" s="142"/>
      <c r="J21" s="143">
        <f>SUMPRODUCT(J12:J20*K12:K20)</f>
        <v>655400</v>
      </c>
      <c r="K21" s="144"/>
    </row>
    <row r="24" spans="1:11" x14ac:dyDescent="0.2">
      <c r="J24" s="138"/>
      <c r="K24" s="139"/>
    </row>
    <row r="25" spans="1:11" ht="15" x14ac:dyDescent="0.2">
      <c r="D25" s="59"/>
      <c r="E25" s="59"/>
      <c r="F25" s="59"/>
      <c r="G25" s="59"/>
      <c r="H25" s="59"/>
      <c r="I25" s="59"/>
    </row>
    <row r="26" spans="1:11" ht="15" x14ac:dyDescent="0.2">
      <c r="D26" s="59"/>
      <c r="E26" s="59"/>
      <c r="F26" s="59"/>
      <c r="G26" s="59"/>
      <c r="H26" s="59"/>
      <c r="I26" s="59"/>
    </row>
    <row r="27" spans="1:11" ht="15" x14ac:dyDescent="0.2">
      <c r="D27" s="59"/>
      <c r="E27" s="59"/>
      <c r="F27" s="59"/>
      <c r="G27" s="59"/>
      <c r="H27" s="59"/>
      <c r="I27" s="59"/>
    </row>
    <row r="28" spans="1:11" ht="15.75" x14ac:dyDescent="0.2">
      <c r="D28" s="60"/>
      <c r="E28" s="59"/>
      <c r="F28" s="59"/>
      <c r="G28" s="59"/>
      <c r="H28" s="59"/>
      <c r="I28" s="59"/>
    </row>
  </sheetData>
  <mergeCells count="32">
    <mergeCell ref="C13:G13"/>
    <mergeCell ref="C14:G14"/>
    <mergeCell ref="C17:G17"/>
    <mergeCell ref="C18:G18"/>
    <mergeCell ref="C19:G19"/>
    <mergeCell ref="C15:G15"/>
    <mergeCell ref="J24:K24"/>
    <mergeCell ref="A21:I21"/>
    <mergeCell ref="J21:K21"/>
    <mergeCell ref="C20:G20"/>
    <mergeCell ref="C16:G16"/>
    <mergeCell ref="H10:H11"/>
    <mergeCell ref="I10:I11"/>
    <mergeCell ref="J10:J11"/>
    <mergeCell ref="K10:K11"/>
    <mergeCell ref="C12:G12"/>
    <mergeCell ref="A8:C8"/>
    <mergeCell ref="D8:K8"/>
    <mergeCell ref="A10:A11"/>
    <mergeCell ref="B10:B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0:G11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6" t="s">
        <v>3</v>
      </c>
      <c r="B1" s="156"/>
      <c r="C1" s="156"/>
      <c r="D1" s="157">
        <v>2021</v>
      </c>
      <c r="E1" s="157"/>
      <c r="F1" s="4"/>
      <c r="G1" s="4"/>
      <c r="H1" s="5"/>
      <c r="I1" s="5"/>
      <c r="J1" s="5"/>
      <c r="K1" s="5"/>
      <c r="L1" s="5"/>
      <c r="M1" s="5"/>
      <c r="N1" s="5"/>
      <c r="P1" s="158" t="s">
        <v>28</v>
      </c>
      <c r="Q1" s="15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8"/>
      <c r="Q2" s="158"/>
    </row>
    <row r="4" spans="1:17" s="6" customFormat="1" ht="18" customHeight="1" thickBot="1" x14ac:dyDescent="0.25">
      <c r="A4" s="159" t="s">
        <v>29</v>
      </c>
      <c r="B4" s="159"/>
      <c r="C4" s="159"/>
      <c r="D4" s="159"/>
      <c r="E4" s="159"/>
      <c r="F4" s="159"/>
      <c r="G4" s="154" t="str">
        <f>' NotaPedido'!D3</f>
        <v>40- 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7" s="6" customFormat="1" ht="18" customHeight="1" thickBot="1" x14ac:dyDescent="0.25">
      <c r="A5" s="151" t="s">
        <v>15</v>
      </c>
      <c r="B5" s="152"/>
      <c r="C5" s="152"/>
      <c r="D5" s="152"/>
      <c r="E5" s="152"/>
      <c r="F5" s="153"/>
      <c r="G5" s="154" t="str">
        <f>' NotaPedido'!D4</f>
        <v>28- Maternidad Provincial 25 de Mayo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7" s="6" customFormat="1" ht="18" customHeight="1" thickBot="1" x14ac:dyDescent="0.25">
      <c r="A6" s="151" t="s">
        <v>16</v>
      </c>
      <c r="B6" s="152"/>
      <c r="C6" s="152"/>
      <c r="D6" s="152"/>
      <c r="E6" s="152"/>
      <c r="F6" s="153"/>
      <c r="G6" s="154" t="str">
        <f>' NotaPedido'!D5</f>
        <v xml:space="preserve">169- Direccion Asistencial 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7" s="6" customFormat="1" ht="18" customHeight="1" thickBot="1" x14ac:dyDescent="0.25">
      <c r="A7" s="151" t="s">
        <v>17</v>
      </c>
      <c r="B7" s="152"/>
      <c r="C7" s="152"/>
      <c r="D7" s="152"/>
      <c r="E7" s="152"/>
      <c r="F7" s="153"/>
      <c r="G7" s="154" t="str">
        <f>' NotaPedido'!D6</f>
        <v xml:space="preserve">Servicio de Farmcia 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ht="18" customHeight="1" thickBot="1" x14ac:dyDescent="0.25">
      <c r="A8" s="155" t="s">
        <v>30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7" ht="18" customHeight="1" x14ac:dyDescent="0.2">
      <c r="A9" s="148" t="s">
        <v>31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7"/>
    </row>
    <row r="10" spans="1:17" ht="54.75" customHeight="1" x14ac:dyDescent="0.2">
      <c r="A10" s="149" t="s">
        <v>84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0" t="s">
        <v>32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thickBot="1" x14ac:dyDescent="0.25">
      <c r="A13" s="160" t="s">
        <v>33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34</v>
      </c>
      <c r="P13" s="161"/>
      <c r="Q13" s="162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61"/>
      <c r="P14" s="161"/>
      <c r="Q14" s="162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69" t="s">
        <v>52</v>
      </c>
      <c r="P15" s="170"/>
      <c r="Q15" s="31">
        <v>655400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79"/>
      <c r="P16" s="180"/>
      <c r="Q16" s="31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79"/>
      <c r="P17" s="180"/>
      <c r="Q17" s="31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71"/>
      <c r="P18" s="172"/>
      <c r="Q18" s="21"/>
    </row>
    <row r="19" spans="1:17" ht="28.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173"/>
      <c r="P19" s="174"/>
      <c r="Q19" s="30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63"/>
      <c r="P20" s="164"/>
      <c r="Q20" s="31"/>
    </row>
    <row r="21" spans="1:17" ht="31.5" customHeight="1" thickBot="1" x14ac:dyDescent="0.25">
      <c r="A21" s="166" t="s">
        <v>87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7">
        <f>SUM(Q15:Q19)</f>
        <v>655400</v>
      </c>
    </row>
    <row r="22" spans="1:17" ht="18" customHeight="1" thickBot="1" x14ac:dyDescent="0.25">
      <c r="A22" s="167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</row>
    <row r="23" spans="1:17" ht="17.25" customHeight="1" thickBot="1" x14ac:dyDescent="0.25">
      <c r="A23" s="175" t="s">
        <v>50</v>
      </c>
      <c r="B23" s="176"/>
      <c r="C23" s="176"/>
      <c r="D23" s="176"/>
      <c r="E23" s="176"/>
      <c r="F23" s="177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</row>
    <row r="24" spans="1:17" ht="18" customHeight="1" thickBot="1" x14ac:dyDescent="0.25">
      <c r="A24" s="165" t="s">
        <v>75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7" ht="26.25" customHeight="1" thickBot="1" x14ac:dyDescent="0.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2021-06-01T13:39:11Z</cp:lastPrinted>
  <dcterms:created xsi:type="dcterms:W3CDTF">2020-07-17T23:44:49Z</dcterms:created>
  <dcterms:modified xsi:type="dcterms:W3CDTF">2021-08-12T11:37:57Z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