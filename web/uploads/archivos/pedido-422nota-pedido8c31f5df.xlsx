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Trimestrales'!$A$9:$I$19</definedName>
    <definedName name="_xlnm.Print_Area" localSheetId="1">' NotaPedido'!$A$1:$K$22</definedName>
    <definedName name="_xlnm.Print_Area" localSheetId="2">'Autor Gastar'!$A$1:$Q$25</definedName>
    <definedName name="_xlnm.Print_Area" localSheetId="0">'Necesidades Trimestrales'!$E$9:$E$19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2" l="1"/>
  <c r="I16" i="3" l="1"/>
  <c r="I15" i="3"/>
  <c r="B12" i="2"/>
  <c r="B13" i="2"/>
  <c r="B14" i="2"/>
  <c r="B15" i="2"/>
  <c r="B16" i="2"/>
  <c r="B17" i="2"/>
  <c r="B18" i="2"/>
  <c r="B19" i="2"/>
  <c r="B20" i="2"/>
  <c r="B21" i="2"/>
  <c r="C12" i="2" l="1"/>
  <c r="C13" i="2"/>
  <c r="C14" i="2"/>
  <c r="C15" i="2"/>
  <c r="C16" i="2"/>
  <c r="C17" i="2"/>
  <c r="C18" i="2"/>
  <c r="C19" i="2"/>
  <c r="C20" i="2"/>
  <c r="C21" i="2"/>
  <c r="K18" i="2" l="1"/>
  <c r="K19" i="2"/>
  <c r="K20" i="2"/>
  <c r="K21" i="2"/>
  <c r="J19" i="2"/>
  <c r="J20" i="2"/>
  <c r="J21" i="2"/>
  <c r="I19" i="2"/>
  <c r="I20" i="2"/>
  <c r="I21" i="2"/>
  <c r="I18" i="1"/>
  <c r="I19" i="1"/>
  <c r="I17" i="1" l="1"/>
  <c r="K14" i="2" l="1"/>
  <c r="K15" i="2"/>
  <c r="K16" i="2"/>
  <c r="K17" i="2"/>
  <c r="J14" i="2"/>
  <c r="J15" i="2"/>
  <c r="J16" i="2"/>
  <c r="J17" i="2"/>
  <c r="J18" i="2"/>
  <c r="I14" i="2"/>
  <c r="I15" i="2"/>
  <c r="I16" i="2"/>
  <c r="I17" i="2"/>
  <c r="I18" i="2"/>
  <c r="I12" i="1"/>
  <c r="I13" i="1"/>
  <c r="I14" i="1"/>
  <c r="I15" i="1"/>
  <c r="I16" i="1"/>
  <c r="I12" i="2" l="1"/>
  <c r="I13" i="2"/>
  <c r="K12" i="2"/>
  <c r="K13" i="2"/>
  <c r="J22" i="2"/>
  <c r="J12" i="2"/>
  <c r="J13" i="2"/>
  <c r="I10" i="1"/>
  <c r="I11" i="1"/>
  <c r="A10" i="3" l="1"/>
  <c r="G6" i="3" l="1"/>
  <c r="G4" i="3"/>
  <c r="D4" i="2"/>
  <c r="G5" i="3" s="1"/>
  <c r="D1" i="3" l="1"/>
  <c r="Q21" i="3" l="1"/>
</calcChain>
</file>

<file path=xl/sharedStrings.xml><?xml version="1.0" encoding="utf-8"?>
<sst xmlns="http://schemas.openxmlformats.org/spreadsheetml/2006/main" count="141" uniqueCount="107">
  <si>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</si>
  <si>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</si>
  <si>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</si>
  <si>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</si>
  <si>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</si>
  <si>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</si>
  <si>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</si>
  <si>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</si>
  <si>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</si>
  <si>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</si>
  <si>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</si>
  <si>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</si>
  <si>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</si>
  <si>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</si>
  <si>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</si>
  <si>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</si>
  <si>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</si>
  <si>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</si>
  <si>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</si>
  <si>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</si>
  <si>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</si>
  <si>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</si>
  <si>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</si>
  <si>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</si>
  <si>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</si>
  <si>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</si>
  <si>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</si>
  <si>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</si>
  <si>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</si>
  <si>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</si>
  <si>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</si>
  <si>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</si>
  <si>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</si>
  <si>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</si>
  <si>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</si>
  <si>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</si>
  <si>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</si>
  <si>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</si>
  <si>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</si>
  <si>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</si>
  <si>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</si>
  <si>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</si>
  <si>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</si>
  <si>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</si>
  <si>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</si>
  <si>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</si>
  <si>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</si>
  <si>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</si>
  <si>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</si>
  <si>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</si>
  <si>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</si>
  <si>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</si>
  <si>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NO</t>
  </si>
  <si>
    <t xml:space="preserve"> </t>
  </si>
  <si>
    <t>UNIDAD</t>
  </si>
  <si>
    <t>Plazos y lugares de entrega</t>
  </si>
  <si>
    <t>CAJA</t>
  </si>
  <si>
    <t>Servicio de Economato</t>
  </si>
  <si>
    <t>Trimestre</t>
  </si>
  <si>
    <t>LIBRERIA,PAP. Y UTILES OFICINA</t>
  </si>
  <si>
    <t>2.9.2-1153.239</t>
  </si>
  <si>
    <t>CINTAS ADHESIVAS; TIPO: P/EMBALAR, ANCHO: 48 mm, LARGO: 40 M, MATERIAL: POLIPROPILENO, ACCESORIO: SIN</t>
  </si>
  <si>
    <t>2.9.2-317.31</t>
  </si>
  <si>
    <t>BOLIGRAFOS; TRAZO: MEDIO</t>
  </si>
  <si>
    <t>2.3.1-6563.938</t>
  </si>
  <si>
    <t>PAPELES EN HOJA; TIPO DE PAPEL: P/FORRAR, DIMENSION: 48 X 80 Cm, GRAMAJE: NO CORRESPONDE, PRESENTACION: UNIDAD, CERTIFICADO FORESTAL (GFS): SIN, PORC. FIBRAS RECICLADAS: 0 %, CERT. FIBRA ALTERNATIVA (FCA): SIN</t>
  </si>
  <si>
    <t>RESMA</t>
  </si>
  <si>
    <t>2.3.1-6563.307</t>
  </si>
  <si>
    <t>PAPELES EN HOJA; TIPO PAPEL: PAPEL OBRA, DIMENSION: 21 X 29,7 Cm, GRAMAJE: 75 GR, PRESENTACION: RESMA X 500, TIPO DE PAPEL: PAPEL OBRA</t>
  </si>
  <si>
    <t>2.9.2-1354.21</t>
  </si>
  <si>
    <t>RESALTADORES; PUNTA: BISELADA, ACCESORIO: SIN, COLOR: SIN VALOR, TIPO PUNTA: BISELADA</t>
  </si>
  <si>
    <r>
      <t>Descripción técnica</t>
    </r>
    <r>
      <rPr>
        <sz val="10"/>
        <rFont val="Times New Roman"/>
        <family val="1"/>
      </rPr>
      <t>: COLORES CLAROS</t>
    </r>
  </si>
  <si>
    <r>
      <t>Descripción técnica</t>
    </r>
    <r>
      <rPr>
        <sz val="10"/>
        <rFont val="Times New Roman"/>
        <family val="1"/>
      </rPr>
      <t>: COLOR AZUL TIPO BIROME</t>
    </r>
  </si>
  <si>
    <r>
      <t>Descripción técnica</t>
    </r>
    <r>
      <rPr>
        <sz val="10"/>
        <rFont val="Times New Roman"/>
        <family val="1"/>
      </rPr>
      <t>: COLOR ROJO TIPO BIROME</t>
    </r>
  </si>
  <si>
    <r>
      <t>Descripción técnica</t>
    </r>
    <r>
      <rPr>
        <sz val="10"/>
        <rFont val="Times New Roman"/>
        <family val="1"/>
      </rPr>
      <t>: DISTINTOS COLORES</t>
    </r>
  </si>
  <si>
    <t>Especificidades Item N° 5:</t>
  </si>
  <si>
    <t>Articulos de Librería</t>
  </si>
  <si>
    <t>Papel de Escritorio y Carton</t>
  </si>
  <si>
    <t>Utiles de Escritorio, Oficina y 
Enseñanaza</t>
  </si>
  <si>
    <t>Para la adquisición de Articulos de Libreria destinados al Servicio de Economato del Hospital Interzonal de Niños Eva Peron, para el normal funcionamiento del organismo.</t>
  </si>
  <si>
    <r>
      <t>Descripción técnica</t>
    </r>
    <r>
      <rPr>
        <sz val="10"/>
        <rFont val="Times New Roman"/>
        <family val="1"/>
      </rPr>
      <t>: PAPEL BLANCO</t>
    </r>
  </si>
  <si>
    <r>
      <t>Descripción técnica</t>
    </r>
    <r>
      <rPr>
        <sz val="10"/>
        <rFont val="Times New Roman"/>
        <family val="1"/>
      </rPr>
      <t>: TRANSPARENTE</t>
    </r>
  </si>
  <si>
    <t>Especificidades Item N° 9:</t>
  </si>
  <si>
    <t>SI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</si>
  <si>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</si>
  <si>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2.9.2-661.50</t>
  </si>
  <si>
    <t>GOMAS DE BORRAR; USO: LAPIZ, DIMENSION: 1 X 1 X 5 Cm, MATERIAL: CAUCHO, PRESENTACION: CAJA X 36</t>
  </si>
  <si>
    <t>2.9.2-1510.1</t>
  </si>
  <si>
    <t>CARPETAS COLGANTES; MATERIAL: CARTULINA GRUESA, TAMAÑO: OFICIO, SUJECION: GANCHOS EN 4 PUNTAS, VISOR: PVC SECCION TRIANGULAR, PRESENTACION: CAJA DE 50 UNIDADES, TIPO: EXTERIOR, COLOR: MARRON</t>
  </si>
  <si>
    <t>2.9.2-1358.359</t>
  </si>
  <si>
    <t>CARPETAS; MATERIAL: FIBRA, TAMAÑO: OFICIO</t>
  </si>
  <si>
    <t>2.9.2-323.4</t>
  </si>
  <si>
    <t>CORRECTORES DE ESCRITURA; CAPACIDAD: 7 mL, ENVASE: LAPIZ (PUNTA METAL), PRESENTACION: LAPIZ (PUNTA METAL) X 7 mL</t>
  </si>
  <si>
    <t>Especificidades Item N° 1:</t>
  </si>
  <si>
    <t>Especificidades Item N° 2:</t>
  </si>
  <si>
    <t>Especificidades Item N° 8:</t>
  </si>
  <si>
    <t>Especificidades Item N° 10:</t>
  </si>
  <si>
    <r>
      <rPr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Treinta (30) dias habiles.</t>
    </r>
  </si>
  <si>
    <r>
      <t>Mantenimiento de Oferta</t>
    </r>
    <r>
      <rPr>
        <sz val="10"/>
        <rFont val="Times New Roman"/>
        <family val="1"/>
      </rPr>
      <t>: Cuarenta y cinco (45) dias habiles.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</si>
  <si>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Compra.</t>
    </r>
  </si>
  <si>
    <t>40 - Ministerio de Salud</t>
  </si>
  <si>
    <t>24 - Direccion de Administracion del Hospital Interzonal de Niños</t>
  </si>
  <si>
    <t>067/2022</t>
  </si>
  <si>
    <t>Costo total estimado: Noveientos Cuarenta y Cuatro Mil Ochocientos Con 00/100.</t>
  </si>
  <si>
    <t>TOTAL DE PESOS: NOVECIENTOS CUARENTA Y CUATRO MIL OCHOCIENTOS CON 00/100.</t>
  </si>
  <si>
    <t>Especificidades Item N° 3:</t>
  </si>
  <si>
    <r>
      <t>Descripción técnica</t>
    </r>
    <r>
      <rPr>
        <sz val="10"/>
        <rFont val="Times New Roman"/>
        <family val="1"/>
      </rPr>
      <t>: COLOR NEGRA CON DOS GANCHOS.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</si>
</sst>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&quot;$&quot;#,##0.00"/>
    <numFmt numFmtId="171" formatCode="[$$-2C0A]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6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23" fillId="0" borderId="54" xfId="0" applyFont="1" applyBorder="1" applyAlignment="1">
      <alignment horizontal="center" vertical="center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24" fillId="4" borderId="56" xfId="0" applyFont="1" applyFill="1" applyBorder="1" applyAlignment="1">
      <alignment horizontal="center" vertical="center" wrapText="1"/>
    </xf>
    <xf numFmtId="0" fontId="0" fillId="0" borderId="53" xfId="0" applyBorder="1" applyAlignment="1">
      <alignment vertical="center" wrapText="1"/>
    </xf>
    <xf numFmtId="0" fontId="24" fillId="0" borderId="53" xfId="0" applyFont="1" applyBorder="1" applyAlignment="1">
      <alignment horizontal="center" vertical="center" wrapText="1"/>
    </xf>
    <xf numFmtId="0" fontId="24" fillId="4" borderId="53" xfId="0" applyFont="1" applyFill="1" applyBorder="1" applyAlignment="1">
      <alignment horizontal="center" vertical="center" wrapText="1"/>
    </xf>
    <xf numFmtId="0" fontId="0" fillId="0" borderId="53" xfId="0" applyBorder="1" applyAlignment="1">
      <alignment wrapText="1"/>
    </xf>
    <xf numFmtId="0" fontId="0" fillId="3" borderId="57" xfId="0" applyFont="1" applyFill="1" applyBorder="1" applyAlignment="1">
      <alignment horizontal="center" vertical="center"/>
    </xf>
    <xf numFmtId="0" fontId="0" fillId="4" borderId="57" xfId="0" applyFont="1" applyFill="1" applyBorder="1" applyAlignment="1">
      <alignment horizontal="center" vertical="center"/>
    </xf>
    <xf numFmtId="0" fontId="0" fillId="4" borderId="58" xfId="0" applyFont="1" applyFill="1" applyBorder="1" applyAlignment="1">
      <alignment horizontal="center" vertical="center"/>
    </xf>
    <xf numFmtId="0" fontId="17" fillId="4" borderId="57" xfId="0" applyFont="1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25" fillId="0" borderId="2" xfId="0" applyFont="1" applyBorder="1"/>
    <xf numFmtId="0" fontId="0" fillId="0" borderId="56" xfId="0" applyBorder="1" applyAlignment="1">
      <alignment wrapText="1"/>
    </xf>
    <xf numFmtId="170" fontId="18" fillId="0" borderId="56" xfId="0" applyNumberFormat="1" applyFont="1" applyBorder="1" applyAlignment="1">
      <alignment vertical="center"/>
    </xf>
    <xf numFmtId="170" fontId="18" fillId="0" borderId="53" xfId="0" applyNumberFormat="1" applyFont="1" applyBorder="1" applyAlignment="1">
      <alignment vertical="center"/>
    </xf>
    <xf numFmtId="0" fontId="18" fillId="0" borderId="8" xfId="0" applyFont="1" applyBorder="1"/>
    <xf numFmtId="0" fontId="18" fillId="0" borderId="9" xfId="0" applyFont="1" applyBorder="1"/>
    <xf numFmtId="0" fontId="25" fillId="0" borderId="5" xfId="0" applyFont="1" applyBorder="1" applyAlignment="1"/>
    <xf numFmtId="0" fontId="18" fillId="0" borderId="6" xfId="0" applyFont="1" applyBorder="1"/>
    <xf numFmtId="0" fontId="25" fillId="0" borderId="5" xfId="0" applyFont="1" applyBorder="1"/>
    <xf numFmtId="0" fontId="18" fillId="0" borderId="0" xfId="0" applyFont="1" applyBorder="1" applyAlignment="1">
      <alignment horizontal="center" wrapText="1"/>
    </xf>
    <xf numFmtId="0" fontId="18" fillId="0" borderId="0" xfId="0" applyFont="1" applyFill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7" xfId="0" applyFont="1" applyBorder="1"/>
    <xf numFmtId="0" fontId="25" fillId="0" borderId="5" xfId="0" applyFont="1" applyBorder="1" applyAlignment="1">
      <alignment horizontal="left" indent="3"/>
    </xf>
    <xf numFmtId="0" fontId="23" fillId="0" borderId="60" xfId="0" applyFont="1" applyBorder="1" applyAlignment="1">
      <alignment horizontal="center" vertical="center"/>
    </xf>
    <xf numFmtId="166" fontId="23" fillId="4" borderId="61" xfId="1" applyNumberFormat="1" applyFont="1" applyFill="1" applyBorder="1" applyAlignment="1" applyProtection="1">
      <alignment horizontal="right" vertical="center" wrapText="1"/>
    </xf>
    <xf numFmtId="0" fontId="0" fillId="0" borderId="53" xfId="0" applyBorder="1" applyAlignment="1">
      <alignment vertical="center"/>
    </xf>
    <xf numFmtId="0" fontId="23" fillId="0" borderId="62" xfId="0" applyFont="1" applyBorder="1" applyAlignment="1">
      <alignment horizontal="center" vertical="center"/>
    </xf>
    <xf numFmtId="0" fontId="0" fillId="0" borderId="63" xfId="0" applyBorder="1" applyAlignment="1">
      <alignment wrapText="1"/>
    </xf>
    <xf numFmtId="0" fontId="24" fillId="0" borderId="63" xfId="0" applyFont="1" applyBorder="1" applyAlignment="1">
      <alignment horizontal="center" vertical="center" wrapText="1"/>
    </xf>
    <xf numFmtId="0" fontId="24" fillId="4" borderId="63" xfId="0" applyFont="1" applyFill="1" applyBorder="1" applyAlignment="1">
      <alignment horizontal="center" vertical="center" wrapText="1"/>
    </xf>
    <xf numFmtId="170" fontId="18" fillId="0" borderId="63" xfId="0" applyNumberFormat="1" applyFont="1" applyBorder="1" applyAlignment="1">
      <alignment vertical="center"/>
    </xf>
    <xf numFmtId="166" fontId="23" fillId="4" borderId="64" xfId="1" applyNumberFormat="1" applyFont="1" applyFill="1" applyBorder="1" applyAlignment="1" applyProtection="1">
      <alignment horizontal="right" vertical="center" wrapText="1"/>
    </xf>
    <xf numFmtId="0" fontId="0" fillId="0" borderId="56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0" fillId="0" borderId="56" xfId="0" applyBorder="1" applyAlignment="1">
      <alignment vertical="center" wrapText="1"/>
    </xf>
    <xf numFmtId="0" fontId="0" fillId="3" borderId="53" xfId="0" applyFill="1" applyBorder="1" applyAlignment="1">
      <alignment vertical="center" wrapText="1"/>
    </xf>
    <xf numFmtId="0" fontId="0" fillId="0" borderId="63" xfId="0" applyBorder="1" applyAlignment="1">
      <alignment vertical="center" wrapText="1"/>
    </xf>
    <xf numFmtId="171" fontId="18" fillId="0" borderId="0" xfId="0" applyNumberFormat="1" applyFont="1"/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167" fontId="10" fillId="3" borderId="14" xfId="0" applyNumberFormat="1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 wrapText="1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7" fillId="0" borderId="59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SECRETARIA%20DE%20CONTRATACIONES%20-%20PEDIDOS/2021/ECONOMATO/LIBRERIA%20SAF%2024%20-%202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>
            <v>292</v>
          </cell>
        </row>
        <row r="11">
          <cell r="D11">
            <v>292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40"/>
  <sheetViews>
    <sheetView tabSelected="1" zoomScale="93" zoomScaleNormal="93" workbookViewId="0">
      <selection activeCell="E19" sqref="E19"/>
    </sheetView>
  </sheetViews>
  <sheetFormatPr baseColWidth="10" defaultColWidth="11" defaultRowHeight="12.75" x14ac:dyDescent="0.2"/>
  <cols>
    <col min="1" max="1" width="6.42578125" style="26" customWidth="1"/>
    <col min="2" max="2" width="15.7109375" style="26" customWidth="1"/>
    <col min="3" max="3" width="25.140625" style="26" customWidth="1"/>
    <col min="4" max="4" width="8.42578125" style="26" customWidth="1"/>
    <col min="5" max="5" width="59.28515625" style="26" customWidth="1"/>
    <col min="6" max="6" width="11" style="26"/>
    <col min="7" max="7" width="10.85546875" style="26" customWidth="1"/>
    <col min="8" max="8" width="13.85546875" style="44" customWidth="1"/>
    <col min="9" max="9" width="18.5703125" style="26" customWidth="1"/>
    <col min="10" max="10" width="11" style="26"/>
    <col min="11" max="11" width="12.140625" style="26" bestFit="1" customWidth="1"/>
    <col min="12" max="12" width="13.140625" style="26" customWidth="1"/>
    <col min="13" max="16384" width="11" style="26"/>
  </cols>
  <sheetData>
    <row r="2" spans="1:11" ht="27" x14ac:dyDescent="0.35">
      <c r="B2" s="113" t="s">
        <v>0</v>
      </c>
      <c r="C2" s="113"/>
      <c r="D2" s="113"/>
      <c r="E2" s="113"/>
      <c r="F2" s="113"/>
      <c r="G2" s="113"/>
      <c r="H2" s="113"/>
    </row>
    <row r="3" spans="1:11" ht="12" customHeight="1" x14ac:dyDescent="0.2"/>
    <row r="4" spans="1:11" ht="18" customHeight="1" x14ac:dyDescent="0.25">
      <c r="A4" s="109" t="s">
        <v>1</v>
      </c>
      <c r="B4" s="109"/>
      <c r="C4" s="114" t="s">
        <v>100</v>
      </c>
      <c r="D4" s="114"/>
      <c r="E4" s="114"/>
      <c r="F4" s="27"/>
      <c r="G4" s="28"/>
      <c r="H4" s="45"/>
    </row>
    <row r="5" spans="1:11" ht="18" customHeight="1" x14ac:dyDescent="0.25">
      <c r="A5" s="109" t="s">
        <v>2</v>
      </c>
      <c r="B5" s="109"/>
      <c r="C5" s="114" t="s">
        <v>101</v>
      </c>
      <c r="D5" s="114"/>
      <c r="E5" s="114"/>
      <c r="F5" s="27"/>
      <c r="G5" s="28" t="s">
        <v>53</v>
      </c>
      <c r="H5" s="45"/>
    </row>
    <row r="6" spans="1:11" ht="16.5" customHeight="1" x14ac:dyDescent="0.25">
      <c r="A6" s="109" t="s">
        <v>3</v>
      </c>
      <c r="B6" s="109"/>
      <c r="C6" s="41">
        <v>2022</v>
      </c>
      <c r="D6" s="42"/>
      <c r="E6" s="42"/>
      <c r="F6" s="27"/>
      <c r="G6" s="28"/>
      <c r="H6" s="45"/>
    </row>
    <row r="7" spans="1:11" ht="16.5" customHeight="1" x14ac:dyDescent="0.25">
      <c r="A7" s="109" t="s">
        <v>4</v>
      </c>
      <c r="B7" s="109"/>
      <c r="C7" s="41">
        <v>3</v>
      </c>
      <c r="D7" s="42"/>
      <c r="E7" s="42"/>
      <c r="F7" s="27"/>
      <c r="G7" s="28"/>
      <c r="H7" s="45"/>
    </row>
    <row r="8" spans="1:11" ht="13.5" thickBot="1" x14ac:dyDescent="0.25">
      <c r="B8" s="27"/>
      <c r="C8" s="28"/>
      <c r="D8" s="27"/>
      <c r="E8" s="27"/>
      <c r="F8" s="27"/>
      <c r="G8" s="28"/>
      <c r="H8" s="45"/>
      <c r="J8" s="43"/>
    </row>
    <row r="9" spans="1:11" ht="36.75" thickBot="1" x14ac:dyDescent="0.25">
      <c r="A9" s="63" t="s">
        <v>5</v>
      </c>
      <c r="B9" s="63" t="s">
        <v>6</v>
      </c>
      <c r="C9" s="63" t="s">
        <v>7</v>
      </c>
      <c r="D9" s="63" t="s">
        <v>8</v>
      </c>
      <c r="E9" s="63" t="s">
        <v>9</v>
      </c>
      <c r="F9" s="63" t="s">
        <v>10</v>
      </c>
      <c r="G9" s="63" t="s">
        <v>11</v>
      </c>
      <c r="H9" s="64" t="s">
        <v>12</v>
      </c>
      <c r="I9" s="63" t="s">
        <v>13</v>
      </c>
      <c r="K9" s="32"/>
    </row>
    <row r="10" spans="1:11" ht="25.5" x14ac:dyDescent="0.2">
      <c r="A10" s="93">
        <v>1</v>
      </c>
      <c r="B10" s="102" t="s">
        <v>62</v>
      </c>
      <c r="C10" s="80" t="s">
        <v>59</v>
      </c>
      <c r="D10" s="65">
        <v>292</v>
      </c>
      <c r="E10" s="105" t="s">
        <v>63</v>
      </c>
      <c r="F10" s="66" t="s">
        <v>54</v>
      </c>
      <c r="G10" s="66">
        <v>300</v>
      </c>
      <c r="H10" s="81">
        <v>90</v>
      </c>
      <c r="I10" s="94">
        <f t="shared" ref="I10:I19" si="0">+G10*H10</f>
        <v>27000</v>
      </c>
      <c r="K10" s="32"/>
    </row>
    <row r="11" spans="1:11" ht="25.5" x14ac:dyDescent="0.2">
      <c r="A11" s="55">
        <v>2</v>
      </c>
      <c r="B11" s="103" t="s">
        <v>62</v>
      </c>
      <c r="C11" s="70" t="s">
        <v>59</v>
      </c>
      <c r="D11" s="68">
        <v>292</v>
      </c>
      <c r="E11" s="67" t="s">
        <v>63</v>
      </c>
      <c r="F11" s="69" t="s">
        <v>54</v>
      </c>
      <c r="G11" s="69">
        <v>100</v>
      </c>
      <c r="H11" s="82">
        <v>90</v>
      </c>
      <c r="I11" s="56">
        <f t="shared" si="0"/>
        <v>9000</v>
      </c>
    </row>
    <row r="12" spans="1:11" ht="25.5" x14ac:dyDescent="0.2">
      <c r="A12" s="55">
        <v>3</v>
      </c>
      <c r="B12" s="103" t="s">
        <v>89</v>
      </c>
      <c r="C12" s="70" t="s">
        <v>59</v>
      </c>
      <c r="D12" s="68">
        <v>292</v>
      </c>
      <c r="E12" s="95" t="s">
        <v>90</v>
      </c>
      <c r="F12" s="69" t="s">
        <v>54</v>
      </c>
      <c r="G12" s="69">
        <v>200</v>
      </c>
      <c r="H12" s="82">
        <v>600</v>
      </c>
      <c r="I12" s="56">
        <f t="shared" si="0"/>
        <v>120000</v>
      </c>
    </row>
    <row r="13" spans="1:11" ht="51" x14ac:dyDescent="0.2">
      <c r="A13" s="55">
        <v>4</v>
      </c>
      <c r="B13" s="103" t="s">
        <v>87</v>
      </c>
      <c r="C13" s="70" t="s">
        <v>59</v>
      </c>
      <c r="D13" s="68">
        <v>292</v>
      </c>
      <c r="E13" s="67" t="s">
        <v>88</v>
      </c>
      <c r="F13" s="69" t="s">
        <v>56</v>
      </c>
      <c r="G13" s="69">
        <v>6</v>
      </c>
      <c r="H13" s="82">
        <v>10500</v>
      </c>
      <c r="I13" s="56">
        <f t="shared" si="0"/>
        <v>63000</v>
      </c>
    </row>
    <row r="14" spans="1:11" ht="25.5" x14ac:dyDescent="0.2">
      <c r="A14" s="55">
        <v>5</v>
      </c>
      <c r="B14" s="103" t="s">
        <v>60</v>
      </c>
      <c r="C14" s="70" t="s">
        <v>59</v>
      </c>
      <c r="D14" s="68">
        <v>292</v>
      </c>
      <c r="E14" s="106" t="s">
        <v>61</v>
      </c>
      <c r="F14" s="69" t="s">
        <v>54</v>
      </c>
      <c r="G14" s="69">
        <v>200</v>
      </c>
      <c r="H14" s="82">
        <v>300</v>
      </c>
      <c r="I14" s="56">
        <f t="shared" si="0"/>
        <v>60000</v>
      </c>
    </row>
    <row r="15" spans="1:11" ht="38.25" x14ac:dyDescent="0.2">
      <c r="A15" s="55">
        <v>6</v>
      </c>
      <c r="B15" s="103" t="s">
        <v>91</v>
      </c>
      <c r="C15" s="70" t="s">
        <v>59</v>
      </c>
      <c r="D15" s="68">
        <v>292</v>
      </c>
      <c r="E15" s="67" t="s">
        <v>92</v>
      </c>
      <c r="F15" s="69" t="s">
        <v>54</v>
      </c>
      <c r="G15" s="69">
        <v>200</v>
      </c>
      <c r="H15" s="82">
        <v>180</v>
      </c>
      <c r="I15" s="56">
        <f t="shared" si="0"/>
        <v>36000</v>
      </c>
    </row>
    <row r="16" spans="1:11" ht="25.5" x14ac:dyDescent="0.2">
      <c r="A16" s="55">
        <v>7</v>
      </c>
      <c r="B16" s="103" t="s">
        <v>85</v>
      </c>
      <c r="C16" s="70" t="s">
        <v>59</v>
      </c>
      <c r="D16" s="68">
        <v>292</v>
      </c>
      <c r="E16" s="67" t="s">
        <v>86</v>
      </c>
      <c r="F16" s="69" t="s">
        <v>56</v>
      </c>
      <c r="G16" s="69">
        <v>2</v>
      </c>
      <c r="H16" s="82">
        <v>2150</v>
      </c>
      <c r="I16" s="56">
        <f t="shared" si="0"/>
        <v>4300</v>
      </c>
    </row>
    <row r="17" spans="1:11" ht="51" x14ac:dyDescent="0.2">
      <c r="A17" s="55">
        <v>8</v>
      </c>
      <c r="B17" s="103" t="s">
        <v>64</v>
      </c>
      <c r="C17" s="70" t="s">
        <v>59</v>
      </c>
      <c r="D17" s="68">
        <v>231</v>
      </c>
      <c r="E17" s="106" t="s">
        <v>65</v>
      </c>
      <c r="F17" s="69" t="s">
        <v>54</v>
      </c>
      <c r="G17" s="69">
        <v>100</v>
      </c>
      <c r="H17" s="82">
        <v>75</v>
      </c>
      <c r="I17" s="56">
        <f t="shared" si="0"/>
        <v>7500</v>
      </c>
      <c r="K17" s="108"/>
    </row>
    <row r="18" spans="1:11" ht="38.25" x14ac:dyDescent="0.2">
      <c r="A18" s="55">
        <v>9</v>
      </c>
      <c r="B18" s="103" t="s">
        <v>67</v>
      </c>
      <c r="C18" s="70" t="s">
        <v>59</v>
      </c>
      <c r="D18" s="68">
        <v>231</v>
      </c>
      <c r="E18" s="106" t="s">
        <v>68</v>
      </c>
      <c r="F18" s="69" t="s">
        <v>66</v>
      </c>
      <c r="G18" s="69">
        <v>500</v>
      </c>
      <c r="H18" s="82">
        <v>1200</v>
      </c>
      <c r="I18" s="56">
        <f t="shared" si="0"/>
        <v>600000</v>
      </c>
      <c r="K18" s="108"/>
    </row>
    <row r="19" spans="1:11" ht="26.25" thickBot="1" x14ac:dyDescent="0.25">
      <c r="A19" s="96">
        <v>10</v>
      </c>
      <c r="B19" s="104" t="s">
        <v>69</v>
      </c>
      <c r="C19" s="97" t="s">
        <v>59</v>
      </c>
      <c r="D19" s="98">
        <v>292</v>
      </c>
      <c r="E19" s="107" t="s">
        <v>70</v>
      </c>
      <c r="F19" s="99" t="s">
        <v>54</v>
      </c>
      <c r="G19" s="99">
        <v>150</v>
      </c>
      <c r="H19" s="100">
        <v>120</v>
      </c>
      <c r="I19" s="101">
        <f t="shared" si="0"/>
        <v>18000</v>
      </c>
      <c r="K19" s="108"/>
    </row>
    <row r="20" spans="1:11" ht="13.5" thickBot="1" x14ac:dyDescent="0.25">
      <c r="I20" s="32"/>
    </row>
    <row r="21" spans="1:11" x14ac:dyDescent="0.2">
      <c r="B21" s="79" t="s">
        <v>93</v>
      </c>
      <c r="C21" s="29"/>
      <c r="D21" s="29"/>
      <c r="E21" s="30"/>
    </row>
    <row r="22" spans="1:11" x14ac:dyDescent="0.2">
      <c r="B22" s="85" t="s">
        <v>72</v>
      </c>
      <c r="C22" s="31"/>
      <c r="D22" s="31"/>
      <c r="E22" s="86"/>
    </row>
    <row r="23" spans="1:11" x14ac:dyDescent="0.2">
      <c r="B23" s="87" t="s">
        <v>94</v>
      </c>
      <c r="C23" s="31"/>
      <c r="D23" s="31"/>
      <c r="E23" s="86"/>
    </row>
    <row r="24" spans="1:11" x14ac:dyDescent="0.2">
      <c r="B24" s="85" t="s">
        <v>73</v>
      </c>
      <c r="C24" s="31"/>
      <c r="D24" s="31"/>
      <c r="E24" s="86"/>
    </row>
    <row r="25" spans="1:11" x14ac:dyDescent="0.2">
      <c r="B25" s="87" t="s">
        <v>105</v>
      </c>
      <c r="C25" s="31"/>
      <c r="D25" s="31"/>
      <c r="E25" s="86"/>
    </row>
    <row r="26" spans="1:11" x14ac:dyDescent="0.2">
      <c r="B26" s="85" t="s">
        <v>106</v>
      </c>
      <c r="C26" s="31"/>
      <c r="D26" s="31"/>
      <c r="E26" s="86"/>
    </row>
    <row r="27" spans="1:11" x14ac:dyDescent="0.2">
      <c r="B27" s="87" t="s">
        <v>75</v>
      </c>
      <c r="C27" s="31"/>
      <c r="D27" s="31"/>
      <c r="E27" s="86"/>
    </row>
    <row r="28" spans="1:11" x14ac:dyDescent="0.2">
      <c r="B28" s="85" t="s">
        <v>81</v>
      </c>
      <c r="C28" s="31"/>
      <c r="D28" s="31"/>
      <c r="E28" s="86"/>
    </row>
    <row r="29" spans="1:11" x14ac:dyDescent="0.2">
      <c r="B29" s="87" t="s">
        <v>95</v>
      </c>
      <c r="C29" s="31"/>
      <c r="D29" s="31"/>
      <c r="E29" s="86"/>
    </row>
    <row r="30" spans="1:11" x14ac:dyDescent="0.2">
      <c r="B30" s="85" t="s">
        <v>71</v>
      </c>
      <c r="C30" s="31"/>
      <c r="D30" s="31"/>
      <c r="E30" s="86"/>
    </row>
    <row r="31" spans="1:11" x14ac:dyDescent="0.2">
      <c r="B31" s="87" t="s">
        <v>82</v>
      </c>
      <c r="C31" s="31"/>
      <c r="D31" s="31"/>
      <c r="E31" s="86"/>
    </row>
    <row r="32" spans="1:11" x14ac:dyDescent="0.2">
      <c r="B32" s="85" t="s">
        <v>80</v>
      </c>
      <c r="C32" s="31"/>
      <c r="D32" s="31"/>
      <c r="E32" s="86"/>
    </row>
    <row r="33" spans="2:5" x14ac:dyDescent="0.2">
      <c r="B33" s="87" t="s">
        <v>96</v>
      </c>
      <c r="C33" s="31"/>
      <c r="D33" s="31"/>
      <c r="E33" s="86"/>
    </row>
    <row r="34" spans="2:5" x14ac:dyDescent="0.2">
      <c r="B34" s="85" t="s">
        <v>74</v>
      </c>
      <c r="C34" s="31"/>
      <c r="D34" s="31"/>
      <c r="E34" s="86"/>
    </row>
    <row r="35" spans="2:5" x14ac:dyDescent="0.2">
      <c r="B35" s="92" t="s">
        <v>55</v>
      </c>
      <c r="C35" s="31"/>
      <c r="D35" s="31"/>
      <c r="E35" s="86"/>
    </row>
    <row r="36" spans="2:5" x14ac:dyDescent="0.2">
      <c r="B36" s="110" t="s">
        <v>84</v>
      </c>
      <c r="C36" s="111"/>
      <c r="D36" s="111"/>
      <c r="E36" s="112"/>
    </row>
    <row r="37" spans="2:5" ht="25.5" customHeight="1" x14ac:dyDescent="0.2">
      <c r="B37" s="110"/>
      <c r="C37" s="111"/>
      <c r="D37" s="111"/>
      <c r="E37" s="112"/>
    </row>
    <row r="38" spans="2:5" x14ac:dyDescent="0.2">
      <c r="B38" s="110" t="s">
        <v>99</v>
      </c>
      <c r="C38" s="111"/>
      <c r="D38" s="111"/>
      <c r="E38" s="112"/>
    </row>
    <row r="39" spans="2:5" x14ac:dyDescent="0.2">
      <c r="B39" s="85" t="s">
        <v>98</v>
      </c>
      <c r="C39" s="88"/>
      <c r="D39" s="89"/>
      <c r="E39" s="90"/>
    </row>
    <row r="40" spans="2:5" ht="13.5" thickBot="1" x14ac:dyDescent="0.25">
      <c r="B40" s="91" t="s">
        <v>97</v>
      </c>
      <c r="C40" s="83"/>
      <c r="D40" s="83"/>
      <c r="E40" s="84"/>
    </row>
  </sheetData>
  <autoFilter ref="A9:I19"/>
  <sortState ref="A10:H43">
    <sortCondition ref="E10:E43"/>
  </sortState>
  <mergeCells count="9">
    <mergeCell ref="A6:B6"/>
    <mergeCell ref="A7:B7"/>
    <mergeCell ref="B36:E37"/>
    <mergeCell ref="B38:E38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2"/>
  <sheetViews>
    <sheetView topLeftCell="A7" zoomScale="80" zoomScaleNormal="80" workbookViewId="0">
      <selection activeCell="A15" sqref="A15"/>
    </sheetView>
  </sheetViews>
  <sheetFormatPr baseColWidth="10" defaultColWidth="9.140625" defaultRowHeight="12.75" x14ac:dyDescent="0.2"/>
  <cols>
    <col min="1" max="1" width="5.5703125" style="35" customWidth="1"/>
    <col min="2" max="2" width="15.140625" style="35" customWidth="1"/>
    <col min="3" max="3" width="14.140625" style="35" customWidth="1"/>
    <col min="4" max="4" width="26" style="35" customWidth="1"/>
    <col min="5" max="5" width="8" style="35" customWidth="1"/>
    <col min="6" max="6" width="7.85546875" style="35" customWidth="1"/>
    <col min="7" max="7" width="48.5703125" style="35" customWidth="1"/>
    <col min="8" max="8" width="9.28515625" style="35" customWidth="1"/>
    <col min="9" max="9" width="15.5703125" style="35" customWidth="1"/>
    <col min="10" max="10" width="14.7109375" style="35" customWidth="1"/>
    <col min="11" max="11" width="15.5703125" style="35" customWidth="1"/>
    <col min="12" max="13" width="5.85546875" style="35" customWidth="1"/>
    <col min="14" max="14" width="14.140625" style="35" customWidth="1"/>
    <col min="15" max="15" width="12.5703125" style="35" customWidth="1"/>
    <col min="16" max="1024" width="9.140625" style="35"/>
    <col min="1025" max="16384" width="9.140625" style="36"/>
  </cols>
  <sheetData>
    <row r="1" spans="1:11" ht="18" customHeight="1" x14ac:dyDescent="0.2">
      <c r="A1" s="115" t="s">
        <v>14</v>
      </c>
      <c r="B1" s="115"/>
      <c r="C1" s="115"/>
      <c r="D1" s="115"/>
      <c r="E1" s="115"/>
      <c r="F1" s="115"/>
      <c r="G1" s="115"/>
      <c r="H1" s="115"/>
      <c r="I1" s="115"/>
      <c r="J1" s="33" t="s">
        <v>15</v>
      </c>
      <c r="K1" s="34" t="s">
        <v>102</v>
      </c>
    </row>
    <row r="2" spans="1:11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38"/>
    </row>
    <row r="3" spans="1:11" ht="18.75" customHeight="1" thickBot="1" x14ac:dyDescent="0.25">
      <c r="A3" s="116" t="s">
        <v>48</v>
      </c>
      <c r="B3" s="116"/>
      <c r="C3" s="116"/>
      <c r="D3" s="117" t="str">
        <f>'Necesidades Trimestrales'!C4</f>
        <v>40 - Ministerio de Salud</v>
      </c>
      <c r="E3" s="117"/>
      <c r="F3" s="117"/>
      <c r="G3" s="117"/>
      <c r="H3" s="117"/>
      <c r="I3" s="117"/>
      <c r="J3" s="117"/>
      <c r="K3" s="117"/>
    </row>
    <row r="4" spans="1:11" ht="18.75" customHeight="1" thickBot="1" x14ac:dyDescent="0.25">
      <c r="A4" s="118" t="s">
        <v>49</v>
      </c>
      <c r="B4" s="118"/>
      <c r="C4" s="118"/>
      <c r="D4" s="117" t="str">
        <f>'Necesidades Trimestrales'!C5</f>
        <v>24 - Direccion de Administracion del Hospital Interzonal de Niños</v>
      </c>
      <c r="E4" s="117"/>
      <c r="F4" s="117"/>
      <c r="G4" s="117"/>
      <c r="H4" s="117"/>
      <c r="I4" s="117"/>
      <c r="J4" s="117"/>
      <c r="K4" s="117"/>
    </row>
    <row r="5" spans="1:11" ht="18.75" customHeight="1" thickBot="1" x14ac:dyDescent="0.25">
      <c r="A5" s="118" t="s">
        <v>27</v>
      </c>
      <c r="B5" s="118"/>
      <c r="C5" s="118"/>
      <c r="D5" s="117" t="s">
        <v>101</v>
      </c>
      <c r="E5" s="117"/>
      <c r="F5" s="117"/>
      <c r="G5" s="117"/>
      <c r="H5" s="117"/>
      <c r="I5" s="117"/>
      <c r="J5" s="117"/>
      <c r="K5" s="117"/>
    </row>
    <row r="6" spans="1:11" ht="16.5" customHeight="1" thickBot="1" x14ac:dyDescent="0.25">
      <c r="A6" s="116" t="s">
        <v>50</v>
      </c>
      <c r="B6" s="116"/>
      <c r="C6" s="116"/>
      <c r="D6" s="117" t="s">
        <v>57</v>
      </c>
      <c r="E6" s="117"/>
      <c r="F6" s="117"/>
      <c r="G6" s="117"/>
      <c r="H6" s="117"/>
      <c r="I6" s="117"/>
      <c r="J6" s="117"/>
      <c r="K6" s="117"/>
    </row>
    <row r="7" spans="1:11" ht="16.5" customHeight="1" x14ac:dyDescent="0.2">
      <c r="A7" s="118" t="s">
        <v>16</v>
      </c>
      <c r="B7" s="118"/>
      <c r="C7" s="118"/>
      <c r="D7" s="117" t="s">
        <v>58</v>
      </c>
      <c r="E7" s="117"/>
      <c r="F7" s="117"/>
      <c r="G7" s="117"/>
      <c r="H7" s="117"/>
      <c r="I7" s="117"/>
      <c r="J7" s="117"/>
      <c r="K7" s="117"/>
    </row>
    <row r="8" spans="1:11" ht="16.5" customHeight="1" x14ac:dyDescent="0.2">
      <c r="A8" s="123" t="s">
        <v>17</v>
      </c>
      <c r="B8" s="123"/>
      <c r="C8" s="123"/>
      <c r="D8" s="119" t="s">
        <v>76</v>
      </c>
      <c r="E8" s="119"/>
      <c r="F8" s="119"/>
      <c r="G8" s="119"/>
      <c r="H8" s="119"/>
      <c r="I8" s="119"/>
      <c r="J8" s="119"/>
      <c r="K8" s="119"/>
    </row>
    <row r="9" spans="1:11" ht="15.75" x14ac:dyDescent="0.2">
      <c r="A9" s="39"/>
      <c r="B9" s="39"/>
      <c r="C9" s="39"/>
      <c r="D9" s="40"/>
      <c r="E9" s="40"/>
      <c r="F9" s="40"/>
      <c r="G9" s="40"/>
      <c r="H9" s="40"/>
      <c r="I9" s="40"/>
      <c r="J9" s="40"/>
      <c r="K9" s="40"/>
    </row>
    <row r="10" spans="1:11" ht="18.75" customHeight="1" x14ac:dyDescent="0.2">
      <c r="A10" s="120" t="s">
        <v>18</v>
      </c>
      <c r="B10" s="121" t="s">
        <v>19</v>
      </c>
      <c r="C10" s="121" t="s">
        <v>20</v>
      </c>
      <c r="D10" s="121"/>
      <c r="E10" s="121"/>
      <c r="F10" s="121"/>
      <c r="G10" s="121"/>
      <c r="H10" s="121" t="s">
        <v>21</v>
      </c>
      <c r="I10" s="121" t="s">
        <v>22</v>
      </c>
      <c r="J10" s="121" t="s">
        <v>23</v>
      </c>
      <c r="K10" s="122" t="s">
        <v>24</v>
      </c>
    </row>
    <row r="11" spans="1:11" ht="24" customHeight="1" thickBot="1" x14ac:dyDescent="0.25">
      <c r="A11" s="120"/>
      <c r="B11" s="121"/>
      <c r="C11" s="121"/>
      <c r="D11" s="121"/>
      <c r="E11" s="121"/>
      <c r="F11" s="121"/>
      <c r="G11" s="121"/>
      <c r="H11" s="121"/>
      <c r="I11" s="121"/>
      <c r="J11" s="121"/>
      <c r="K11" s="122"/>
    </row>
    <row r="12" spans="1:11" ht="27.75" customHeight="1" x14ac:dyDescent="0.2">
      <c r="A12" s="57">
        <v>1</v>
      </c>
      <c r="B12" s="58" t="str">
        <f>'Necesidades Trimestrales'!B10</f>
        <v>2.9.2-317.31</v>
      </c>
      <c r="C12" s="125" t="str">
        <f>'Necesidades Trimestrales'!E10</f>
        <v>BOLIGRAFOS; TRAZO: MEDIO</v>
      </c>
      <c r="D12" s="125"/>
      <c r="E12" s="125"/>
      <c r="F12" s="125"/>
      <c r="G12" s="125"/>
      <c r="H12" s="61" t="s">
        <v>83</v>
      </c>
      <c r="I12" s="62" t="str">
        <f>'Necesidades Trimestrales'!F10</f>
        <v>UNIDAD</v>
      </c>
      <c r="J12" s="60">
        <f>'Necesidades Trimestrales'!H10</f>
        <v>90</v>
      </c>
      <c r="K12" s="59">
        <f>'Necesidades Trimestrales'!G10</f>
        <v>300</v>
      </c>
    </row>
    <row r="13" spans="1:11" ht="27.75" customHeight="1" x14ac:dyDescent="0.2">
      <c r="A13" s="57">
        <v>2</v>
      </c>
      <c r="B13" s="58" t="str">
        <f>'Necesidades Trimestrales'!B11</f>
        <v>2.9.2-317.31</v>
      </c>
      <c r="C13" s="125" t="str">
        <f>'Necesidades Trimestrales'!E11</f>
        <v>BOLIGRAFOS; TRAZO: MEDIO</v>
      </c>
      <c r="D13" s="125"/>
      <c r="E13" s="125"/>
      <c r="F13" s="125"/>
      <c r="G13" s="125"/>
      <c r="H13" s="61" t="s">
        <v>83</v>
      </c>
      <c r="I13" s="62" t="str">
        <f>'Necesidades Trimestrales'!F11</f>
        <v>UNIDAD</v>
      </c>
      <c r="J13" s="60">
        <f>'Necesidades Trimestrales'!H11</f>
        <v>90</v>
      </c>
      <c r="K13" s="59">
        <f>'Necesidades Trimestrales'!G11</f>
        <v>100</v>
      </c>
    </row>
    <row r="14" spans="1:11" ht="27.75" customHeight="1" x14ac:dyDescent="0.2">
      <c r="A14" s="57">
        <v>3</v>
      </c>
      <c r="B14" s="58" t="str">
        <f>'Necesidades Trimestrales'!B12</f>
        <v>2.9.2-1358.359</v>
      </c>
      <c r="C14" s="125" t="str">
        <f>'Necesidades Trimestrales'!E12</f>
        <v>CARPETAS; MATERIAL: FIBRA, TAMAÑO: OFICIO</v>
      </c>
      <c r="D14" s="125"/>
      <c r="E14" s="125"/>
      <c r="F14" s="125"/>
      <c r="G14" s="125"/>
      <c r="H14" s="61" t="s">
        <v>83</v>
      </c>
      <c r="I14" s="62" t="str">
        <f>'Necesidades Trimestrales'!F12</f>
        <v>UNIDAD</v>
      </c>
      <c r="J14" s="60">
        <f>'Necesidades Trimestrales'!H12</f>
        <v>600</v>
      </c>
      <c r="K14" s="59">
        <f>'Necesidades Trimestrales'!G12</f>
        <v>200</v>
      </c>
    </row>
    <row r="15" spans="1:11" ht="39.75" customHeight="1" x14ac:dyDescent="0.2">
      <c r="A15" s="57">
        <v>4</v>
      </c>
      <c r="B15" s="58" t="str">
        <f>'Necesidades Trimestrales'!B13</f>
        <v>2.9.2-1510.1</v>
      </c>
      <c r="C15" s="125" t="str">
        <f>'Necesidades Trimestrales'!E13</f>
        <v>CARPETAS COLGANTES; MATERIAL: CARTULINA GRUESA, TAMAÑO: OFICIO, SUJECION: GANCHOS EN 4 PUNTAS, VISOR: PVC SECCION TRIANGULAR, PRESENTACION: CAJA DE 50 UNIDADES, TIPO: EXTERIOR, COLOR: MARRON</v>
      </c>
      <c r="D15" s="125"/>
      <c r="E15" s="125"/>
      <c r="F15" s="125"/>
      <c r="G15" s="125"/>
      <c r="H15" s="61" t="s">
        <v>52</v>
      </c>
      <c r="I15" s="62" t="str">
        <f>'Necesidades Trimestrales'!F13</f>
        <v>CAJA</v>
      </c>
      <c r="J15" s="60">
        <f>'Necesidades Trimestrales'!H13</f>
        <v>10500</v>
      </c>
      <c r="K15" s="59">
        <f>'Necesidades Trimestrales'!G13</f>
        <v>6</v>
      </c>
    </row>
    <row r="16" spans="1:11" ht="34.5" customHeight="1" x14ac:dyDescent="0.2">
      <c r="A16" s="57">
        <v>5</v>
      </c>
      <c r="B16" s="58" t="str">
        <f>'Necesidades Trimestrales'!B14</f>
        <v>2.9.2-1153.239</v>
      </c>
      <c r="C16" s="125" t="str">
        <f>'Necesidades Trimestrales'!E14</f>
        <v>CINTAS ADHESIVAS; TIPO: P/EMBALAR, ANCHO: 48 mm, LARGO: 40 M, MATERIAL: POLIPROPILENO, ACCESORIO: SIN</v>
      </c>
      <c r="D16" s="125"/>
      <c r="E16" s="125"/>
      <c r="F16" s="125"/>
      <c r="G16" s="125"/>
      <c r="H16" s="61" t="s">
        <v>83</v>
      </c>
      <c r="I16" s="62" t="str">
        <f>'Necesidades Trimestrales'!F14</f>
        <v>UNIDAD</v>
      </c>
      <c r="J16" s="60">
        <f>'Necesidades Trimestrales'!H14</f>
        <v>300</v>
      </c>
      <c r="K16" s="59">
        <f>'Necesidades Trimestrales'!G14</f>
        <v>200</v>
      </c>
    </row>
    <row r="17" spans="1:14" ht="27.75" customHeight="1" x14ac:dyDescent="0.2">
      <c r="A17" s="57">
        <v>6</v>
      </c>
      <c r="B17" s="58" t="str">
        <f>'Necesidades Trimestrales'!B15</f>
        <v>2.9.2-323.4</v>
      </c>
      <c r="C17" s="125" t="str">
        <f>'Necesidades Trimestrales'!E15</f>
        <v>CORRECTORES DE ESCRITURA; CAPACIDAD: 7 mL, ENVASE: LAPIZ (PUNTA METAL), PRESENTACION: LAPIZ (PUNTA METAL) X 7 mL</v>
      </c>
      <c r="D17" s="125"/>
      <c r="E17" s="125"/>
      <c r="F17" s="125"/>
      <c r="G17" s="125"/>
      <c r="H17" s="61" t="s">
        <v>52</v>
      </c>
      <c r="I17" s="62" t="str">
        <f>'Necesidades Trimestrales'!F15</f>
        <v>UNIDAD</v>
      </c>
      <c r="J17" s="60">
        <f>'Necesidades Trimestrales'!H15</f>
        <v>180</v>
      </c>
      <c r="K17" s="59">
        <f>'Necesidades Trimestrales'!G15</f>
        <v>200</v>
      </c>
    </row>
    <row r="18" spans="1:14" ht="27.75" customHeight="1" x14ac:dyDescent="0.2">
      <c r="A18" s="57">
        <v>7</v>
      </c>
      <c r="B18" s="58" t="str">
        <f>'Necesidades Trimestrales'!B16</f>
        <v>2.9.2-661.50</v>
      </c>
      <c r="C18" s="125" t="str">
        <f>'Necesidades Trimestrales'!E16</f>
        <v>GOMAS DE BORRAR; USO: LAPIZ, DIMENSION: 1 X 1 X 5 Cm, MATERIAL: CAUCHO, PRESENTACION: CAJA X 36</v>
      </c>
      <c r="D18" s="125"/>
      <c r="E18" s="125"/>
      <c r="F18" s="125"/>
      <c r="G18" s="125"/>
      <c r="H18" s="61" t="s">
        <v>52</v>
      </c>
      <c r="I18" s="62" t="str">
        <f>'Necesidades Trimestrales'!F16</f>
        <v>CAJA</v>
      </c>
      <c r="J18" s="60">
        <f>'Necesidades Trimestrales'!H16</f>
        <v>2150</v>
      </c>
      <c r="K18" s="59">
        <f>'Necesidades Trimestrales'!G16</f>
        <v>2</v>
      </c>
    </row>
    <row r="19" spans="1:14" ht="42.75" customHeight="1" x14ac:dyDescent="0.2">
      <c r="A19" s="57">
        <v>8</v>
      </c>
      <c r="B19" s="58" t="str">
        <f>'Necesidades Trimestrales'!B17</f>
        <v>2.3.1-6563.938</v>
      </c>
      <c r="C19" s="125" t="str">
        <f>'Necesidades Trimestrales'!E17</f>
        <v>PAPELES EN HOJA; TIPO DE PAPEL: P/FORRAR, DIMENSION: 48 X 80 Cm, GRAMAJE: NO CORRESPONDE, PRESENTACION: UNIDAD, CERTIFICADO FORESTAL (GFS): SIN, PORC. FIBRAS RECICLADAS: 0 %, CERT. FIBRA ALTERNATIVA (FCA): SIN</v>
      </c>
      <c r="D19" s="125"/>
      <c r="E19" s="125"/>
      <c r="F19" s="125"/>
      <c r="G19" s="125"/>
      <c r="H19" s="61" t="s">
        <v>83</v>
      </c>
      <c r="I19" s="62" t="str">
        <f>'Necesidades Trimestrales'!F17</f>
        <v>UNIDAD</v>
      </c>
      <c r="J19" s="60">
        <f>'Necesidades Trimestrales'!H17</f>
        <v>75</v>
      </c>
      <c r="K19" s="59">
        <f>'Necesidades Trimestrales'!G17</f>
        <v>100</v>
      </c>
    </row>
    <row r="20" spans="1:14" ht="27.75" customHeight="1" x14ac:dyDescent="0.2">
      <c r="A20" s="57">
        <v>9</v>
      </c>
      <c r="B20" s="58" t="str">
        <f>'Necesidades Trimestrales'!B18</f>
        <v>2.3.1-6563.307</v>
      </c>
      <c r="C20" s="125" t="str">
        <f>'Necesidades Trimestrales'!E18</f>
        <v>PAPELES EN HOJA; TIPO PAPEL: PAPEL OBRA, DIMENSION: 21 X 29,7 Cm, GRAMAJE: 75 GR, PRESENTACION: RESMA X 500, TIPO DE PAPEL: PAPEL OBRA</v>
      </c>
      <c r="D20" s="125"/>
      <c r="E20" s="125"/>
      <c r="F20" s="125"/>
      <c r="G20" s="125"/>
      <c r="H20" s="61" t="s">
        <v>83</v>
      </c>
      <c r="I20" s="62" t="str">
        <f>'Necesidades Trimestrales'!F18</f>
        <v>RESMA</v>
      </c>
      <c r="J20" s="60">
        <f>'Necesidades Trimestrales'!H18</f>
        <v>1200</v>
      </c>
      <c r="K20" s="59">
        <f>'Necesidades Trimestrales'!G18</f>
        <v>500</v>
      </c>
    </row>
    <row r="21" spans="1:14" ht="27.75" customHeight="1" thickBot="1" x14ac:dyDescent="0.25">
      <c r="A21" s="57">
        <v>10</v>
      </c>
      <c r="B21" s="58" t="str">
        <f>'Necesidades Trimestrales'!B19</f>
        <v>2.9.2-1354.21</v>
      </c>
      <c r="C21" s="125" t="str">
        <f>'Necesidades Trimestrales'!E19</f>
        <v>RESALTADORES; PUNTA: BISELADA, ACCESORIO: SIN, COLOR: SIN VALOR, TIPO PUNTA: BISELADA</v>
      </c>
      <c r="D21" s="125"/>
      <c r="E21" s="125"/>
      <c r="F21" s="125"/>
      <c r="G21" s="125"/>
      <c r="H21" s="61" t="s">
        <v>83</v>
      </c>
      <c r="I21" s="62" t="str">
        <f>'Necesidades Trimestrales'!F19</f>
        <v>UNIDAD</v>
      </c>
      <c r="J21" s="60">
        <f>'Necesidades Trimestrales'!H19</f>
        <v>120</v>
      </c>
      <c r="K21" s="59">
        <f>'Necesidades Trimestrales'!G19</f>
        <v>150</v>
      </c>
    </row>
    <row r="22" spans="1:14" ht="20.25" customHeight="1" thickBot="1" x14ac:dyDescent="0.25">
      <c r="A22" s="117" t="s">
        <v>103</v>
      </c>
      <c r="B22" s="117"/>
      <c r="C22" s="117"/>
      <c r="D22" s="117"/>
      <c r="E22" s="117"/>
      <c r="F22" s="117"/>
      <c r="G22" s="117"/>
      <c r="H22" s="117"/>
      <c r="I22" s="117"/>
      <c r="J22" s="124">
        <f>SUMPRODUCT(J12:J21,K12:K21)</f>
        <v>944800</v>
      </c>
      <c r="K22" s="124"/>
      <c r="N22" s="46"/>
    </row>
  </sheetData>
  <mergeCells count="32">
    <mergeCell ref="A22:I22"/>
    <mergeCell ref="J22:K22"/>
    <mergeCell ref="C12:G12"/>
    <mergeCell ref="C13:G13"/>
    <mergeCell ref="C16:G16"/>
    <mergeCell ref="C14:G14"/>
    <mergeCell ref="C15:G15"/>
    <mergeCell ref="C17:G17"/>
    <mergeCell ref="C18:G18"/>
    <mergeCell ref="C19:G19"/>
    <mergeCell ref="C20:G20"/>
    <mergeCell ref="C21:G21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16" zoomScale="130" zoomScaleNormal="130" workbookViewId="0">
      <selection activeCell="G23" sqref="G23:Q23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6" t="s">
        <v>3</v>
      </c>
      <c r="B1" s="126"/>
      <c r="C1" s="126"/>
      <c r="D1" s="127">
        <f>'Necesidades Trimestrales'!C6</f>
        <v>2022</v>
      </c>
      <c r="E1" s="127"/>
      <c r="F1" s="3"/>
      <c r="G1" s="3"/>
      <c r="H1" s="4"/>
      <c r="I1" s="4"/>
      <c r="J1" s="4"/>
      <c r="K1" s="4"/>
      <c r="L1" s="4"/>
      <c r="M1" s="4"/>
      <c r="N1" s="4"/>
      <c r="P1" s="128" t="s">
        <v>25</v>
      </c>
      <c r="Q1" s="128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8"/>
      <c r="Q2" s="128"/>
    </row>
    <row r="4" spans="1:17" s="5" customFormat="1" ht="18" customHeight="1" thickBot="1" x14ac:dyDescent="0.25">
      <c r="A4" s="129" t="s">
        <v>26</v>
      </c>
      <c r="B4" s="129"/>
      <c r="C4" s="129"/>
      <c r="D4" s="129"/>
      <c r="E4" s="129"/>
      <c r="F4" s="129"/>
      <c r="G4" s="130" t="str">
        <f>' NotaPedido'!D3</f>
        <v>40 - Ministerio de Salud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spans="1:17" s="5" customFormat="1" ht="18" customHeight="1" thickBot="1" x14ac:dyDescent="0.25">
      <c r="A5" s="131" t="s">
        <v>49</v>
      </c>
      <c r="B5" s="132"/>
      <c r="C5" s="132"/>
      <c r="D5" s="132"/>
      <c r="E5" s="132"/>
      <c r="F5" s="133"/>
      <c r="G5" s="130" t="str">
        <f>' NotaPedido'!D4</f>
        <v>24 - Direccion de Administracion del Hospital Interzonal de Niños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spans="1:17" s="5" customFormat="1" ht="18" customHeight="1" thickBot="1" x14ac:dyDescent="0.25">
      <c r="A6" s="131" t="s">
        <v>27</v>
      </c>
      <c r="B6" s="132"/>
      <c r="C6" s="132"/>
      <c r="D6" s="132"/>
      <c r="E6" s="132"/>
      <c r="F6" s="133"/>
      <c r="G6" s="130" t="str">
        <f>' NotaPedido'!D5</f>
        <v>24 - Direccion de Administracion del Hospital Interzonal de Niños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spans="1:17" s="5" customFormat="1" ht="18" customHeight="1" thickBot="1" x14ac:dyDescent="0.25">
      <c r="A7" s="131" t="s">
        <v>50</v>
      </c>
      <c r="B7" s="132"/>
      <c r="C7" s="132"/>
      <c r="D7" s="132"/>
      <c r="E7" s="132"/>
      <c r="F7" s="133"/>
      <c r="G7" s="130" t="s">
        <v>57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17" ht="18" customHeight="1" thickBot="1" x14ac:dyDescent="0.25">
      <c r="A8" s="134" t="s">
        <v>28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</row>
    <row r="9" spans="1:17" ht="18" customHeight="1" x14ac:dyDescent="0.2">
      <c r="A9" s="135" t="s">
        <v>29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"/>
      <c r="P9" s="1"/>
      <c r="Q9" s="6"/>
    </row>
    <row r="10" spans="1:17" ht="54.75" customHeight="1" x14ac:dyDescent="0.2">
      <c r="A10" s="13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067/2022,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7" t="s">
        <v>30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thickBot="1" x14ac:dyDescent="0.25">
      <c r="A13" s="138" t="s">
        <v>31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32</v>
      </c>
      <c r="P13" s="141"/>
      <c r="Q13" s="144" t="s">
        <v>33</v>
      </c>
    </row>
    <row r="14" spans="1:17" ht="15.75" customHeight="1" thickBot="1" x14ac:dyDescent="0.25">
      <c r="A14" s="49" t="s">
        <v>34</v>
      </c>
      <c r="B14" s="50" t="s">
        <v>35</v>
      </c>
      <c r="C14" s="50" t="s">
        <v>36</v>
      </c>
      <c r="D14" s="50" t="s">
        <v>37</v>
      </c>
      <c r="E14" s="50" t="s">
        <v>38</v>
      </c>
      <c r="F14" s="50" t="s">
        <v>39</v>
      </c>
      <c r="G14" s="51" t="s">
        <v>40</v>
      </c>
      <c r="H14" s="50" t="s">
        <v>41</v>
      </c>
      <c r="I14" s="50" t="s">
        <v>42</v>
      </c>
      <c r="J14" s="50" t="s">
        <v>43</v>
      </c>
      <c r="K14" s="50" t="s">
        <v>43</v>
      </c>
      <c r="L14" s="50" t="s">
        <v>44</v>
      </c>
      <c r="M14" s="52" t="s">
        <v>45</v>
      </c>
      <c r="N14" s="53" t="s">
        <v>46</v>
      </c>
      <c r="O14" s="142"/>
      <c r="P14" s="143"/>
      <c r="Q14" s="145"/>
    </row>
    <row r="15" spans="1:17" ht="26.25" customHeight="1" x14ac:dyDescent="0.2">
      <c r="A15" s="47">
        <v>36</v>
      </c>
      <c r="B15" s="48"/>
      <c r="C15" s="48"/>
      <c r="D15" s="48">
        <v>1</v>
      </c>
      <c r="E15" s="48"/>
      <c r="F15" s="48">
        <v>4901</v>
      </c>
      <c r="G15" s="48">
        <v>3</v>
      </c>
      <c r="H15" s="48">
        <v>310</v>
      </c>
      <c r="I15" s="71" t="str">
        <f>LEFT('[1]Necesidades Trimestrales'!D10,1)</f>
        <v>2</v>
      </c>
      <c r="J15" s="71">
        <v>3</v>
      </c>
      <c r="K15" s="71">
        <v>1</v>
      </c>
      <c r="L15" s="72"/>
      <c r="M15" s="73">
        <v>1</v>
      </c>
      <c r="N15" s="74" t="s">
        <v>51</v>
      </c>
      <c r="O15" s="146" t="s">
        <v>77</v>
      </c>
      <c r="P15" s="147"/>
      <c r="Q15" s="54">
        <v>607500</v>
      </c>
    </row>
    <row r="16" spans="1:17" ht="24.7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75" t="str">
        <f>LEFT('[1]Necesidades Trimestrales'!D11,1)</f>
        <v>2</v>
      </c>
      <c r="J16" s="75">
        <v>9</v>
      </c>
      <c r="K16" s="75">
        <v>2</v>
      </c>
      <c r="L16" s="76"/>
      <c r="M16" s="77">
        <v>1</v>
      </c>
      <c r="N16" s="78" t="s">
        <v>51</v>
      </c>
      <c r="O16" s="148" t="s">
        <v>78</v>
      </c>
      <c r="P16" s="149"/>
      <c r="Q16" s="15">
        <v>337300</v>
      </c>
    </row>
    <row r="17" spans="1:18" ht="17.25" customHeight="1" x14ac:dyDescent="0.2">
      <c r="A17" s="11"/>
      <c r="B17" s="12"/>
      <c r="C17" s="12"/>
      <c r="D17" s="12"/>
      <c r="E17" s="12"/>
      <c r="F17" s="12"/>
      <c r="G17" s="12"/>
      <c r="H17" s="12"/>
      <c r="I17" s="75"/>
      <c r="J17" s="75"/>
      <c r="K17" s="75"/>
      <c r="L17" s="76"/>
      <c r="M17" s="77"/>
      <c r="N17" s="78"/>
      <c r="O17" s="150"/>
      <c r="P17" s="149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49"/>
      <c r="P18" s="149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56"/>
      <c r="P19" s="156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57"/>
      <c r="P20" s="157"/>
      <c r="Q20" s="24"/>
    </row>
    <row r="21" spans="1:18" ht="29.25" customHeight="1" x14ac:dyDescent="0.2">
      <c r="A21" s="158" t="s">
        <v>104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25">
        <f>SUM(Q15:Q20)</f>
        <v>944800</v>
      </c>
    </row>
    <row r="22" spans="1:18" ht="18" customHeight="1" thickBot="1" x14ac:dyDescent="0.25">
      <c r="A22" s="159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</row>
    <row r="23" spans="1:18" ht="17.25" customHeight="1" thickBot="1" x14ac:dyDescent="0.25">
      <c r="A23" s="151" t="s">
        <v>47</v>
      </c>
      <c r="B23" s="152"/>
      <c r="C23" s="152"/>
      <c r="D23" s="152"/>
      <c r="E23" s="152"/>
      <c r="F23" s="153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</row>
    <row r="24" spans="1:18" ht="18" customHeight="1" thickBot="1" x14ac:dyDescent="0.25">
      <c r="A24" s="155" t="s">
        <v>79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</row>
    <row r="25" spans="1:18" ht="26.25" customHeight="1" x14ac:dyDescent="0.2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2022-01-24T15:22:41Z</cp:lastPrinted>
  <dcterms:created xsi:type="dcterms:W3CDTF">2020-07-17T23:44:49Z</dcterms:created>
  <dcterms:modified xsi:type="dcterms:W3CDTF">2022-07-05T16:28:26Z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