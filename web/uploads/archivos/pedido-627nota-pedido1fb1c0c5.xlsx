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4240" windowHeight="12435" tabRatio="500" firstSheet="3" activeTab="3"/>
  </bookViews>
  <sheets>
    <sheet name="gas" sheetId="4" state="hidden" r:id="rId1"/>
    <sheet name="limpieza" sheetId="5" state="hidden" r:id="rId2"/>
    <sheet name="alimento" sheetId="1" state="hidden" r:id="rId3"/>
    <sheet name="ALIM-IMP" sheetId="9" r:id="rId4"/>
    <sheet name="LIM-IMP" sheetId="8" state="hidden" r:id="rId5"/>
  </sheets>
  <externalReferences>
    <externalReference r:id="rId6"/>
  </externalReferences>
  <definedNames>
    <definedName name="_xlnm.Print_Area" localSheetId="3">'ALIM-IMP'!$E$9:$E$29</definedName>
    <definedName name="_xlnm.Print_Area" localSheetId="1">limpieza!$A$1:$I$118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9" i="9" l="1"/>
  <c r="I28" i="9"/>
  <c r="I12" i="9" l="1"/>
  <c r="I9" i="9" l="1"/>
  <c r="I10" i="9"/>
  <c r="I11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11" i="8"/>
  <c r="I10" i="8"/>
  <c r="I9" i="8"/>
  <c r="E111" i="5"/>
  <c r="B111" i="5"/>
  <c r="E76" i="5"/>
  <c r="B76" i="5"/>
  <c r="B41" i="5"/>
  <c r="E41" i="5"/>
  <c r="E39" i="4"/>
  <c r="B39" i="4"/>
  <c r="E1082" i="1"/>
  <c r="B1082" i="1"/>
  <c r="E1047" i="1"/>
  <c r="B1047" i="1"/>
  <c r="E1012" i="1"/>
  <c r="B1012" i="1"/>
  <c r="E977" i="1"/>
  <c r="B977" i="1"/>
  <c r="E942" i="1"/>
  <c r="B942" i="1"/>
  <c r="E907" i="1"/>
  <c r="B907" i="1"/>
  <c r="E872" i="1"/>
  <c r="B872" i="1"/>
  <c r="E837" i="1"/>
  <c r="B837" i="1"/>
  <c r="E802" i="1"/>
  <c r="B802" i="1"/>
  <c r="E767" i="1"/>
  <c r="B767" i="1"/>
  <c r="E732" i="1"/>
  <c r="B732" i="1"/>
  <c r="E697" i="1"/>
  <c r="B697" i="1"/>
  <c r="E662" i="1"/>
  <c r="B662" i="1"/>
  <c r="E627" i="1"/>
  <c r="B627" i="1"/>
  <c r="E592" i="1"/>
  <c r="B592" i="1"/>
  <c r="E557" i="1"/>
  <c r="B557" i="1"/>
  <c r="E522" i="1"/>
  <c r="B522" i="1"/>
  <c r="E487" i="1"/>
  <c r="B487" i="1"/>
  <c r="E452" i="1"/>
  <c r="B452" i="1"/>
  <c r="E417" i="1"/>
  <c r="B417" i="1"/>
  <c r="E382" i="1"/>
  <c r="B382" i="1"/>
  <c r="E347" i="1"/>
  <c r="B347" i="1"/>
  <c r="E312" i="1"/>
  <c r="B312" i="1"/>
  <c r="E277" i="1"/>
  <c r="B277" i="1"/>
  <c r="E242" i="1"/>
  <c r="B242" i="1"/>
  <c r="E207" i="1"/>
  <c r="B207" i="1"/>
  <c r="E172" i="1"/>
  <c r="B172" i="1"/>
  <c r="E137" i="1"/>
  <c r="B137" i="1"/>
  <c r="E102" i="1"/>
  <c r="B102" i="1"/>
  <c r="E67" i="1"/>
  <c r="B67" i="1"/>
  <c r="E110" i="5"/>
  <c r="B110" i="5"/>
  <c r="E109" i="5"/>
  <c r="B109" i="5"/>
  <c r="E108" i="5"/>
  <c r="B108" i="5"/>
  <c r="E107" i="5"/>
  <c r="B107" i="5"/>
  <c r="E106" i="5"/>
  <c r="B106" i="5"/>
  <c r="E105" i="5"/>
  <c r="B105" i="5"/>
  <c r="E104" i="5"/>
  <c r="B104" i="5"/>
  <c r="E103" i="5"/>
  <c r="B103" i="5"/>
  <c r="E102" i="5"/>
  <c r="B102" i="5"/>
  <c r="E101" i="5"/>
  <c r="B101" i="5"/>
  <c r="E100" i="5"/>
  <c r="B100" i="5"/>
  <c r="E99" i="5"/>
  <c r="B99" i="5"/>
  <c r="E98" i="5"/>
  <c r="B98" i="5"/>
  <c r="E97" i="5"/>
  <c r="B97" i="5"/>
  <c r="E96" i="5"/>
  <c r="B96" i="5"/>
  <c r="E95" i="5"/>
  <c r="B95" i="5"/>
  <c r="E94" i="5"/>
  <c r="B94" i="5"/>
  <c r="E93" i="5"/>
  <c r="B93" i="5"/>
  <c r="E92" i="5"/>
  <c r="B92" i="5"/>
  <c r="E75" i="5"/>
  <c r="B75" i="5"/>
  <c r="E74" i="5"/>
  <c r="B74" i="5"/>
  <c r="E73" i="5"/>
  <c r="B73" i="5"/>
  <c r="E72" i="5"/>
  <c r="B72" i="5"/>
  <c r="E71" i="5"/>
  <c r="B71" i="5"/>
  <c r="E70" i="5"/>
  <c r="B70" i="5"/>
  <c r="E69" i="5"/>
  <c r="B69" i="5"/>
  <c r="E68" i="5"/>
  <c r="B68" i="5"/>
  <c r="E67" i="5"/>
  <c r="B67" i="5"/>
  <c r="E66" i="5"/>
  <c r="B66" i="5"/>
  <c r="E65" i="5"/>
  <c r="B65" i="5"/>
  <c r="E64" i="5"/>
  <c r="B64" i="5"/>
  <c r="E63" i="5"/>
  <c r="B63" i="5"/>
  <c r="E62" i="5"/>
  <c r="B62" i="5"/>
  <c r="E61" i="5"/>
  <c r="B61" i="5"/>
  <c r="E60" i="5"/>
  <c r="B60" i="5"/>
  <c r="E59" i="5"/>
  <c r="B59" i="5"/>
  <c r="E58" i="5"/>
  <c r="B58" i="5"/>
  <c r="E57" i="5"/>
  <c r="B57" i="5"/>
  <c r="E40" i="5"/>
  <c r="B40" i="5"/>
  <c r="E39" i="5"/>
  <c r="B39" i="5"/>
  <c r="E38" i="5"/>
  <c r="B38" i="5"/>
  <c r="E37" i="5"/>
  <c r="B37" i="5"/>
  <c r="E36" i="5"/>
  <c r="B36" i="5"/>
  <c r="E35" i="5"/>
  <c r="B35" i="5"/>
  <c r="E34" i="5"/>
  <c r="B34" i="5"/>
  <c r="E33" i="5"/>
  <c r="B33" i="5"/>
  <c r="E32" i="5"/>
  <c r="B32" i="5"/>
  <c r="E31" i="5"/>
  <c r="B31" i="5"/>
  <c r="E30" i="5"/>
  <c r="B30" i="5"/>
  <c r="E29" i="5"/>
  <c r="B29" i="5"/>
  <c r="E28" i="5"/>
  <c r="B28" i="5"/>
  <c r="E27" i="5"/>
  <c r="B27" i="5"/>
  <c r="E26" i="5"/>
  <c r="B26" i="5"/>
  <c r="E25" i="5"/>
  <c r="B25" i="5"/>
  <c r="E24" i="5"/>
  <c r="B24" i="5"/>
  <c r="E23" i="5"/>
  <c r="B23" i="5"/>
  <c r="E22" i="5"/>
  <c r="B22" i="5"/>
  <c r="E38" i="4"/>
  <c r="B38" i="4"/>
  <c r="E37" i="4"/>
  <c r="B37" i="4"/>
  <c r="E36" i="4"/>
  <c r="B36" i="4"/>
  <c r="E35" i="4"/>
  <c r="B35" i="4"/>
  <c r="E34" i="4"/>
  <c r="B34" i="4"/>
  <c r="E33" i="4"/>
  <c r="B33" i="4"/>
  <c r="E32" i="4"/>
  <c r="B32" i="4"/>
  <c r="E31" i="4"/>
  <c r="B31" i="4"/>
  <c r="E30" i="4"/>
  <c r="B30" i="4"/>
  <c r="E29" i="4"/>
  <c r="B29" i="4"/>
  <c r="E28" i="4"/>
  <c r="B28" i="4"/>
  <c r="E27" i="4"/>
  <c r="B27" i="4"/>
  <c r="E26" i="4"/>
  <c r="B26" i="4"/>
  <c r="E25" i="4"/>
  <c r="B25" i="4"/>
  <c r="E24" i="4"/>
  <c r="B24" i="4"/>
  <c r="E23" i="4"/>
  <c r="B23" i="4"/>
  <c r="E22" i="4"/>
  <c r="B22" i="4"/>
  <c r="E21" i="4"/>
  <c r="B21" i="4"/>
  <c r="E20" i="4"/>
  <c r="B20" i="4"/>
  <c r="B547" i="1"/>
  <c r="E1081" i="1"/>
  <c r="B1081" i="1"/>
  <c r="E1080" i="1"/>
  <c r="B1080" i="1"/>
  <c r="E1079" i="1"/>
  <c r="B1079" i="1"/>
  <c r="E1078" i="1"/>
  <c r="B1078" i="1"/>
  <c r="E1077" i="1"/>
  <c r="B1077" i="1"/>
  <c r="E1076" i="1"/>
  <c r="B1076" i="1"/>
  <c r="E1075" i="1"/>
  <c r="B1075" i="1"/>
  <c r="E1074" i="1"/>
  <c r="B1074" i="1"/>
  <c r="E1073" i="1"/>
  <c r="B1073" i="1"/>
  <c r="E1072" i="1"/>
  <c r="B1072" i="1"/>
  <c r="E1071" i="1"/>
  <c r="B1071" i="1"/>
  <c r="E1070" i="1"/>
  <c r="B1070" i="1"/>
  <c r="E1069" i="1"/>
  <c r="B1069" i="1"/>
  <c r="E1068" i="1"/>
  <c r="B1068" i="1"/>
  <c r="E1067" i="1"/>
  <c r="B1067" i="1"/>
  <c r="E1066" i="1"/>
  <c r="B1066" i="1"/>
  <c r="E1065" i="1"/>
  <c r="B1065" i="1"/>
  <c r="E1064" i="1"/>
  <c r="B1064" i="1"/>
  <c r="E1063" i="1"/>
  <c r="B1063" i="1"/>
  <c r="E1046" i="1"/>
  <c r="B1046" i="1"/>
  <c r="E1045" i="1"/>
  <c r="B1045" i="1"/>
  <c r="E1044" i="1"/>
  <c r="B1044" i="1"/>
  <c r="E1043" i="1"/>
  <c r="B1043" i="1"/>
  <c r="E1042" i="1"/>
  <c r="B1042" i="1"/>
  <c r="E1041" i="1"/>
  <c r="B1041" i="1"/>
  <c r="E1040" i="1"/>
  <c r="B1040" i="1"/>
  <c r="E1039" i="1"/>
  <c r="B1039" i="1"/>
  <c r="E1038" i="1"/>
  <c r="B1038" i="1"/>
  <c r="E1037" i="1"/>
  <c r="B1037" i="1"/>
  <c r="E1036" i="1"/>
  <c r="B1036" i="1"/>
  <c r="E1035" i="1"/>
  <c r="B1035" i="1"/>
  <c r="E1034" i="1"/>
  <c r="B1034" i="1"/>
  <c r="E1033" i="1"/>
  <c r="B1033" i="1"/>
  <c r="E1032" i="1"/>
  <c r="B1032" i="1"/>
  <c r="E1031" i="1"/>
  <c r="B1031" i="1"/>
  <c r="E1030" i="1"/>
  <c r="B1030" i="1"/>
  <c r="E1029" i="1"/>
  <c r="B1029" i="1"/>
  <c r="E1028" i="1"/>
  <c r="B1028" i="1"/>
  <c r="E1011" i="1"/>
  <c r="B1011" i="1"/>
  <c r="E1010" i="1"/>
  <c r="B1010" i="1"/>
  <c r="E1009" i="1"/>
  <c r="B1009" i="1"/>
  <c r="E1008" i="1"/>
  <c r="B1008" i="1"/>
  <c r="E1007" i="1"/>
  <c r="B1007" i="1"/>
  <c r="E1006" i="1"/>
  <c r="B1006" i="1"/>
  <c r="E1005" i="1"/>
  <c r="B1005" i="1"/>
  <c r="E1004" i="1"/>
  <c r="B1004" i="1"/>
  <c r="E1003" i="1"/>
  <c r="B1003" i="1"/>
  <c r="E1002" i="1"/>
  <c r="B1002" i="1"/>
  <c r="E1001" i="1"/>
  <c r="B1001" i="1"/>
  <c r="E1000" i="1"/>
  <c r="B1000" i="1"/>
  <c r="E999" i="1"/>
  <c r="B999" i="1"/>
  <c r="E998" i="1"/>
  <c r="B998" i="1"/>
  <c r="E997" i="1"/>
  <c r="B997" i="1"/>
  <c r="E996" i="1"/>
  <c r="B996" i="1"/>
  <c r="E995" i="1"/>
  <c r="B995" i="1"/>
  <c r="E994" i="1"/>
  <c r="B994" i="1"/>
  <c r="E993" i="1"/>
  <c r="B993" i="1"/>
  <c r="E976" i="1"/>
  <c r="B976" i="1"/>
  <c r="E975" i="1"/>
  <c r="B975" i="1"/>
  <c r="E974" i="1"/>
  <c r="B974" i="1"/>
  <c r="E973" i="1"/>
  <c r="B973" i="1"/>
  <c r="E972" i="1"/>
  <c r="B972" i="1"/>
  <c r="E971" i="1"/>
  <c r="B971" i="1"/>
  <c r="E970" i="1"/>
  <c r="B970" i="1"/>
  <c r="E969" i="1"/>
  <c r="B969" i="1"/>
  <c r="E968" i="1"/>
  <c r="B968" i="1"/>
  <c r="E967" i="1"/>
  <c r="B967" i="1"/>
  <c r="E966" i="1"/>
  <c r="B966" i="1"/>
  <c r="E965" i="1"/>
  <c r="B965" i="1"/>
  <c r="E964" i="1"/>
  <c r="B964" i="1"/>
  <c r="E963" i="1"/>
  <c r="B963" i="1"/>
  <c r="E962" i="1"/>
  <c r="B962" i="1"/>
  <c r="E961" i="1"/>
  <c r="B961" i="1"/>
  <c r="E960" i="1"/>
  <c r="B960" i="1"/>
  <c r="E959" i="1"/>
  <c r="B959" i="1"/>
  <c r="E958" i="1"/>
  <c r="B958" i="1"/>
  <c r="E941" i="1"/>
  <c r="B941" i="1"/>
  <c r="E940" i="1"/>
  <c r="B940" i="1"/>
  <c r="E939" i="1"/>
  <c r="B939" i="1"/>
  <c r="E938" i="1"/>
  <c r="B938" i="1"/>
  <c r="E937" i="1"/>
  <c r="B937" i="1"/>
  <c r="E936" i="1"/>
  <c r="B936" i="1"/>
  <c r="E935" i="1"/>
  <c r="B935" i="1"/>
  <c r="E934" i="1"/>
  <c r="B934" i="1"/>
  <c r="E933" i="1"/>
  <c r="B933" i="1"/>
  <c r="E932" i="1"/>
  <c r="B932" i="1"/>
  <c r="E931" i="1"/>
  <c r="B931" i="1"/>
  <c r="E930" i="1"/>
  <c r="B930" i="1"/>
  <c r="E929" i="1"/>
  <c r="B929" i="1"/>
  <c r="E928" i="1"/>
  <c r="B928" i="1"/>
  <c r="E927" i="1"/>
  <c r="B927" i="1"/>
  <c r="E926" i="1"/>
  <c r="B926" i="1"/>
  <c r="E925" i="1"/>
  <c r="B925" i="1"/>
  <c r="E924" i="1"/>
  <c r="B924" i="1"/>
  <c r="E923" i="1"/>
  <c r="B923" i="1"/>
  <c r="E906" i="1"/>
  <c r="B906" i="1"/>
  <c r="E905" i="1"/>
  <c r="B905" i="1"/>
  <c r="E904" i="1"/>
  <c r="B904" i="1"/>
  <c r="E903" i="1"/>
  <c r="B903" i="1"/>
  <c r="E902" i="1"/>
  <c r="B902" i="1"/>
  <c r="E901" i="1"/>
  <c r="B901" i="1"/>
  <c r="E900" i="1"/>
  <c r="B900" i="1"/>
  <c r="E899" i="1"/>
  <c r="B899" i="1"/>
  <c r="E898" i="1"/>
  <c r="B898" i="1"/>
  <c r="E897" i="1"/>
  <c r="B897" i="1"/>
  <c r="E896" i="1"/>
  <c r="B896" i="1"/>
  <c r="E895" i="1"/>
  <c r="B895" i="1"/>
  <c r="E894" i="1"/>
  <c r="B894" i="1"/>
  <c r="E893" i="1"/>
  <c r="B893" i="1"/>
  <c r="E892" i="1"/>
  <c r="B892" i="1"/>
  <c r="E891" i="1"/>
  <c r="B891" i="1"/>
  <c r="E890" i="1"/>
  <c r="B890" i="1"/>
  <c r="E889" i="1"/>
  <c r="B889" i="1"/>
  <c r="E888" i="1"/>
  <c r="B888" i="1"/>
  <c r="E871" i="1"/>
  <c r="B871" i="1"/>
  <c r="E870" i="1"/>
  <c r="B870" i="1"/>
  <c r="E869" i="1"/>
  <c r="B869" i="1"/>
  <c r="E868" i="1"/>
  <c r="B868" i="1"/>
  <c r="E867" i="1"/>
  <c r="B867" i="1"/>
  <c r="E866" i="1"/>
  <c r="B866" i="1"/>
  <c r="E865" i="1"/>
  <c r="B865" i="1"/>
  <c r="E864" i="1"/>
  <c r="B864" i="1"/>
  <c r="E863" i="1"/>
  <c r="B863" i="1"/>
  <c r="E862" i="1"/>
  <c r="B862" i="1"/>
  <c r="E861" i="1"/>
  <c r="B861" i="1"/>
  <c r="E860" i="1"/>
  <c r="B860" i="1"/>
  <c r="E859" i="1"/>
  <c r="B859" i="1"/>
  <c r="E858" i="1"/>
  <c r="B858" i="1"/>
  <c r="E857" i="1"/>
  <c r="B857" i="1"/>
  <c r="E856" i="1"/>
  <c r="B856" i="1"/>
  <c r="E855" i="1"/>
  <c r="B855" i="1"/>
  <c r="E854" i="1"/>
  <c r="B854" i="1"/>
  <c r="E853" i="1"/>
  <c r="B853" i="1"/>
  <c r="E836" i="1"/>
  <c r="B836" i="1"/>
  <c r="E835" i="1"/>
  <c r="B835" i="1"/>
  <c r="E834" i="1"/>
  <c r="B834" i="1"/>
  <c r="E833" i="1"/>
  <c r="B833" i="1"/>
  <c r="E832" i="1"/>
  <c r="B832" i="1"/>
  <c r="E831" i="1"/>
  <c r="B831" i="1"/>
  <c r="E830" i="1"/>
  <c r="B830" i="1"/>
  <c r="E829" i="1"/>
  <c r="B829" i="1"/>
  <c r="E828" i="1"/>
  <c r="B828" i="1"/>
  <c r="E827" i="1"/>
  <c r="B827" i="1"/>
  <c r="E826" i="1"/>
  <c r="B826" i="1"/>
  <c r="E825" i="1"/>
  <c r="B825" i="1"/>
  <c r="E824" i="1"/>
  <c r="B824" i="1"/>
  <c r="E823" i="1"/>
  <c r="B823" i="1"/>
  <c r="E822" i="1"/>
  <c r="B822" i="1"/>
  <c r="E821" i="1"/>
  <c r="B821" i="1"/>
  <c r="E820" i="1"/>
  <c r="B820" i="1"/>
  <c r="E819" i="1"/>
  <c r="B819" i="1"/>
  <c r="E818" i="1"/>
  <c r="B818" i="1"/>
  <c r="E801" i="1"/>
  <c r="B801" i="1"/>
  <c r="E800" i="1"/>
  <c r="B800" i="1"/>
  <c r="E799" i="1"/>
  <c r="B799" i="1"/>
  <c r="E798" i="1"/>
  <c r="B798" i="1"/>
  <c r="E797" i="1"/>
  <c r="B797" i="1"/>
  <c r="E796" i="1"/>
  <c r="B796" i="1"/>
  <c r="E795" i="1"/>
  <c r="B795" i="1"/>
  <c r="E794" i="1"/>
  <c r="B794" i="1"/>
  <c r="E793" i="1"/>
  <c r="B793" i="1"/>
  <c r="E792" i="1"/>
  <c r="B792" i="1"/>
  <c r="E791" i="1"/>
  <c r="B791" i="1"/>
  <c r="E790" i="1"/>
  <c r="B790" i="1"/>
  <c r="E789" i="1"/>
  <c r="B789" i="1"/>
  <c r="E788" i="1"/>
  <c r="B788" i="1"/>
  <c r="E787" i="1"/>
  <c r="B787" i="1"/>
  <c r="E786" i="1"/>
  <c r="B786" i="1"/>
  <c r="E785" i="1"/>
  <c r="B785" i="1"/>
  <c r="E784" i="1"/>
  <c r="B784" i="1"/>
  <c r="E783" i="1"/>
  <c r="B783" i="1"/>
  <c r="E766" i="1"/>
  <c r="B766" i="1"/>
  <c r="E765" i="1"/>
  <c r="B765" i="1"/>
  <c r="E764" i="1"/>
  <c r="B764" i="1"/>
  <c r="E763" i="1"/>
  <c r="B763" i="1"/>
  <c r="E762" i="1"/>
  <c r="B762" i="1"/>
  <c r="E761" i="1"/>
  <c r="B761" i="1"/>
  <c r="E760" i="1"/>
  <c r="B760" i="1"/>
  <c r="E759" i="1"/>
  <c r="B759" i="1"/>
  <c r="E758" i="1"/>
  <c r="B758" i="1"/>
  <c r="E757" i="1"/>
  <c r="B757" i="1"/>
  <c r="E756" i="1"/>
  <c r="B756" i="1"/>
  <c r="E755" i="1"/>
  <c r="B755" i="1"/>
  <c r="E754" i="1"/>
  <c r="B754" i="1"/>
  <c r="E753" i="1"/>
  <c r="B753" i="1"/>
  <c r="E752" i="1"/>
  <c r="B752" i="1"/>
  <c r="E751" i="1"/>
  <c r="B751" i="1"/>
  <c r="E750" i="1"/>
  <c r="B750" i="1"/>
  <c r="E749" i="1"/>
  <c r="B749" i="1"/>
  <c r="E748" i="1"/>
  <c r="B748" i="1"/>
  <c r="E731" i="1"/>
  <c r="B731" i="1"/>
  <c r="E730" i="1"/>
  <c r="B730" i="1"/>
  <c r="E729" i="1"/>
  <c r="B729" i="1"/>
  <c r="E728" i="1"/>
  <c r="B728" i="1"/>
  <c r="E727" i="1"/>
  <c r="B727" i="1"/>
  <c r="E726" i="1"/>
  <c r="B726" i="1"/>
  <c r="E725" i="1"/>
  <c r="B725" i="1"/>
  <c r="E724" i="1"/>
  <c r="B724" i="1"/>
  <c r="E723" i="1"/>
  <c r="B723" i="1"/>
  <c r="E722" i="1"/>
  <c r="B722" i="1"/>
  <c r="E721" i="1"/>
  <c r="B721" i="1"/>
  <c r="E720" i="1"/>
  <c r="B720" i="1"/>
  <c r="E719" i="1"/>
  <c r="B719" i="1"/>
  <c r="E718" i="1"/>
  <c r="B718" i="1"/>
  <c r="E717" i="1"/>
  <c r="B717" i="1"/>
  <c r="E716" i="1"/>
  <c r="B716" i="1"/>
  <c r="E715" i="1"/>
  <c r="B715" i="1"/>
  <c r="E714" i="1"/>
  <c r="B714" i="1"/>
  <c r="E713" i="1"/>
  <c r="B713" i="1"/>
  <c r="E696" i="1"/>
  <c r="B696" i="1"/>
  <c r="E695" i="1"/>
  <c r="B695" i="1"/>
  <c r="E694" i="1"/>
  <c r="B694" i="1"/>
  <c r="E693" i="1"/>
  <c r="B693" i="1"/>
  <c r="E692" i="1"/>
  <c r="B692" i="1"/>
  <c r="E691" i="1"/>
  <c r="B691" i="1"/>
  <c r="E690" i="1"/>
  <c r="B690" i="1"/>
  <c r="E689" i="1"/>
  <c r="B689" i="1"/>
  <c r="E688" i="1"/>
  <c r="B688" i="1"/>
  <c r="E687" i="1"/>
  <c r="B687" i="1"/>
  <c r="E686" i="1"/>
  <c r="B686" i="1"/>
  <c r="E685" i="1"/>
  <c r="B685" i="1"/>
  <c r="E684" i="1"/>
  <c r="B684" i="1"/>
  <c r="E683" i="1"/>
  <c r="B683" i="1"/>
  <c r="E682" i="1"/>
  <c r="B682" i="1"/>
  <c r="E681" i="1"/>
  <c r="B681" i="1"/>
  <c r="E680" i="1"/>
  <c r="B680" i="1"/>
  <c r="E679" i="1"/>
  <c r="B679" i="1"/>
  <c r="E678" i="1"/>
  <c r="B678" i="1"/>
  <c r="E661" i="1"/>
  <c r="B661" i="1"/>
  <c r="E660" i="1"/>
  <c r="B660" i="1"/>
  <c r="E659" i="1"/>
  <c r="B659" i="1"/>
  <c r="E658" i="1"/>
  <c r="B658" i="1"/>
  <c r="E657" i="1"/>
  <c r="B657" i="1"/>
  <c r="E656" i="1"/>
  <c r="B656" i="1"/>
  <c r="E655" i="1"/>
  <c r="B655" i="1"/>
  <c r="E654" i="1"/>
  <c r="B654" i="1"/>
  <c r="E653" i="1"/>
  <c r="B653" i="1"/>
  <c r="E652" i="1"/>
  <c r="B652" i="1"/>
  <c r="E651" i="1"/>
  <c r="B651" i="1"/>
  <c r="E650" i="1"/>
  <c r="B650" i="1"/>
  <c r="E649" i="1"/>
  <c r="B649" i="1"/>
  <c r="E648" i="1"/>
  <c r="B648" i="1"/>
  <c r="E647" i="1"/>
  <c r="B647" i="1"/>
  <c r="E646" i="1"/>
  <c r="B646" i="1"/>
  <c r="E645" i="1"/>
  <c r="B645" i="1"/>
  <c r="E644" i="1"/>
  <c r="B644" i="1"/>
  <c r="E643" i="1"/>
  <c r="B643" i="1"/>
  <c r="E626" i="1"/>
  <c r="B626" i="1"/>
  <c r="E625" i="1"/>
  <c r="B625" i="1"/>
  <c r="E624" i="1"/>
  <c r="B624" i="1"/>
  <c r="E623" i="1"/>
  <c r="B623" i="1"/>
  <c r="E622" i="1"/>
  <c r="B622" i="1"/>
  <c r="E621" i="1"/>
  <c r="B621" i="1"/>
  <c r="E620" i="1"/>
  <c r="B620" i="1"/>
  <c r="E619" i="1"/>
  <c r="B619" i="1"/>
  <c r="E618" i="1"/>
  <c r="B618" i="1"/>
  <c r="E617" i="1"/>
  <c r="B617" i="1"/>
  <c r="E616" i="1"/>
  <c r="B616" i="1"/>
  <c r="E615" i="1"/>
  <c r="B615" i="1"/>
  <c r="E614" i="1"/>
  <c r="B614" i="1"/>
  <c r="E613" i="1"/>
  <c r="B613" i="1"/>
  <c r="E612" i="1"/>
  <c r="B612" i="1"/>
  <c r="E611" i="1"/>
  <c r="B611" i="1"/>
  <c r="E610" i="1"/>
  <c r="B610" i="1"/>
  <c r="E609" i="1"/>
  <c r="B609" i="1"/>
  <c r="E608" i="1"/>
  <c r="B608" i="1"/>
  <c r="E591" i="1"/>
  <c r="B591" i="1"/>
  <c r="E590" i="1"/>
  <c r="B590" i="1"/>
  <c r="E589" i="1"/>
  <c r="B589" i="1"/>
  <c r="E588" i="1"/>
  <c r="B588" i="1"/>
  <c r="E587" i="1"/>
  <c r="B587" i="1"/>
  <c r="E586" i="1"/>
  <c r="B586" i="1"/>
  <c r="E585" i="1"/>
  <c r="B585" i="1"/>
  <c r="E584" i="1"/>
  <c r="B584" i="1"/>
  <c r="E583" i="1"/>
  <c r="B583" i="1"/>
  <c r="E582" i="1"/>
  <c r="B582" i="1"/>
  <c r="E581" i="1"/>
  <c r="B581" i="1"/>
  <c r="E580" i="1"/>
  <c r="B580" i="1"/>
  <c r="E579" i="1"/>
  <c r="B579" i="1"/>
  <c r="E578" i="1"/>
  <c r="B578" i="1"/>
  <c r="E577" i="1"/>
  <c r="B577" i="1"/>
  <c r="E576" i="1"/>
  <c r="B576" i="1"/>
  <c r="E575" i="1"/>
  <c r="B575" i="1"/>
  <c r="E574" i="1"/>
  <c r="B574" i="1"/>
  <c r="E573" i="1"/>
  <c r="B573" i="1"/>
  <c r="E556" i="1"/>
  <c r="B556" i="1"/>
  <c r="E555" i="1"/>
  <c r="B555" i="1"/>
  <c r="E554" i="1"/>
  <c r="B554" i="1"/>
  <c r="E553" i="1"/>
  <c r="B553" i="1"/>
  <c r="E552" i="1"/>
  <c r="B552" i="1"/>
  <c r="E551" i="1"/>
  <c r="B551" i="1"/>
  <c r="E550" i="1"/>
  <c r="B550" i="1"/>
  <c r="E549" i="1"/>
  <c r="B549" i="1"/>
  <c r="E548" i="1"/>
  <c r="B548" i="1"/>
  <c r="E547" i="1"/>
  <c r="E546" i="1"/>
  <c r="B546" i="1"/>
  <c r="E545" i="1"/>
  <c r="B545" i="1"/>
  <c r="E544" i="1"/>
  <c r="B544" i="1"/>
  <c r="E543" i="1"/>
  <c r="B543" i="1"/>
  <c r="E542" i="1"/>
  <c r="B542" i="1"/>
  <c r="E541" i="1"/>
  <c r="B541" i="1"/>
  <c r="E540" i="1"/>
  <c r="B540" i="1"/>
  <c r="E539" i="1"/>
  <c r="B539" i="1"/>
  <c r="E538" i="1"/>
  <c r="B538" i="1"/>
  <c r="E521" i="1"/>
  <c r="B521" i="1"/>
  <c r="E520" i="1"/>
  <c r="B520" i="1"/>
  <c r="E519" i="1"/>
  <c r="B519" i="1"/>
  <c r="E518" i="1"/>
  <c r="B518" i="1"/>
  <c r="E517" i="1"/>
  <c r="B517" i="1"/>
  <c r="E516" i="1"/>
  <c r="B516" i="1"/>
  <c r="E515" i="1"/>
  <c r="B515" i="1"/>
  <c r="E514" i="1"/>
  <c r="B514" i="1"/>
  <c r="E513" i="1"/>
  <c r="B513" i="1"/>
  <c r="E512" i="1"/>
  <c r="B512" i="1"/>
  <c r="E511" i="1"/>
  <c r="B511" i="1"/>
  <c r="E510" i="1"/>
  <c r="B510" i="1"/>
  <c r="E509" i="1"/>
  <c r="B509" i="1"/>
  <c r="E508" i="1"/>
  <c r="B508" i="1"/>
  <c r="E507" i="1"/>
  <c r="B507" i="1"/>
  <c r="E506" i="1"/>
  <c r="B506" i="1"/>
  <c r="E505" i="1"/>
  <c r="B505" i="1"/>
  <c r="E504" i="1"/>
  <c r="B504" i="1"/>
  <c r="E503" i="1"/>
  <c r="B503" i="1"/>
  <c r="E486" i="1"/>
  <c r="B486" i="1"/>
  <c r="E485" i="1"/>
  <c r="B485" i="1"/>
  <c r="E484" i="1"/>
  <c r="B484" i="1"/>
  <c r="E483" i="1"/>
  <c r="B483" i="1"/>
  <c r="E482" i="1"/>
  <c r="B482" i="1"/>
  <c r="E481" i="1"/>
  <c r="B481" i="1"/>
  <c r="E480" i="1"/>
  <c r="B480" i="1"/>
  <c r="E479" i="1"/>
  <c r="B479" i="1"/>
  <c r="E478" i="1"/>
  <c r="B478" i="1"/>
  <c r="E477" i="1"/>
  <c r="B477" i="1"/>
  <c r="E476" i="1"/>
  <c r="B476" i="1"/>
  <c r="E475" i="1"/>
  <c r="B475" i="1"/>
  <c r="E474" i="1"/>
  <c r="B474" i="1"/>
  <c r="E473" i="1"/>
  <c r="B473" i="1"/>
  <c r="E472" i="1"/>
  <c r="B472" i="1"/>
  <c r="E471" i="1"/>
  <c r="B471" i="1"/>
  <c r="E470" i="1"/>
  <c r="B470" i="1"/>
  <c r="E469" i="1"/>
  <c r="B469" i="1"/>
  <c r="E468" i="1"/>
  <c r="B468" i="1"/>
  <c r="E451" i="1"/>
  <c r="B451" i="1"/>
  <c r="E450" i="1"/>
  <c r="B450" i="1"/>
  <c r="E449" i="1"/>
  <c r="B449" i="1"/>
  <c r="E448" i="1"/>
  <c r="B448" i="1"/>
  <c r="E447" i="1"/>
  <c r="B447" i="1"/>
  <c r="E446" i="1"/>
  <c r="B446" i="1"/>
  <c r="E445" i="1"/>
  <c r="B445" i="1"/>
  <c r="E444" i="1"/>
  <c r="B444" i="1"/>
  <c r="E443" i="1"/>
  <c r="B443" i="1"/>
  <c r="E442" i="1"/>
  <c r="B442" i="1"/>
  <c r="E441" i="1"/>
  <c r="B441" i="1"/>
  <c r="E440" i="1"/>
  <c r="B440" i="1"/>
  <c r="E439" i="1"/>
  <c r="B439" i="1"/>
  <c r="E438" i="1"/>
  <c r="B438" i="1"/>
  <c r="E437" i="1"/>
  <c r="B437" i="1"/>
  <c r="E436" i="1"/>
  <c r="B436" i="1"/>
  <c r="E435" i="1"/>
  <c r="B435" i="1"/>
  <c r="E434" i="1"/>
  <c r="B434" i="1"/>
  <c r="E433" i="1"/>
  <c r="B433" i="1"/>
  <c r="E416" i="1"/>
  <c r="B416" i="1"/>
  <c r="E415" i="1"/>
  <c r="B415" i="1"/>
  <c r="E414" i="1"/>
  <c r="B414" i="1"/>
  <c r="E413" i="1"/>
  <c r="B413" i="1"/>
  <c r="E412" i="1"/>
  <c r="B412" i="1"/>
  <c r="E411" i="1"/>
  <c r="B411" i="1"/>
  <c r="E410" i="1"/>
  <c r="B410" i="1"/>
  <c r="E409" i="1"/>
  <c r="B409" i="1"/>
  <c r="E408" i="1"/>
  <c r="B408" i="1"/>
  <c r="E407" i="1"/>
  <c r="B407" i="1"/>
  <c r="E406" i="1"/>
  <c r="B406" i="1"/>
  <c r="E405" i="1"/>
  <c r="B405" i="1"/>
  <c r="E404" i="1"/>
  <c r="B404" i="1"/>
  <c r="E403" i="1"/>
  <c r="B403" i="1"/>
  <c r="E402" i="1"/>
  <c r="B402" i="1"/>
  <c r="E401" i="1"/>
  <c r="B401" i="1"/>
  <c r="E400" i="1"/>
  <c r="B400" i="1"/>
  <c r="E399" i="1"/>
  <c r="B399" i="1"/>
  <c r="E398" i="1"/>
  <c r="B398" i="1"/>
  <c r="E381" i="1"/>
  <c r="B381" i="1"/>
  <c r="E380" i="1"/>
  <c r="B380" i="1"/>
  <c r="E379" i="1"/>
  <c r="B379" i="1"/>
  <c r="E378" i="1"/>
  <c r="B378" i="1"/>
  <c r="E377" i="1"/>
  <c r="B377" i="1"/>
  <c r="E376" i="1"/>
  <c r="B376" i="1"/>
  <c r="E375" i="1"/>
  <c r="B375" i="1"/>
  <c r="E374" i="1"/>
  <c r="B374" i="1"/>
  <c r="E373" i="1"/>
  <c r="B373" i="1"/>
  <c r="E372" i="1"/>
  <c r="B372" i="1"/>
  <c r="E371" i="1"/>
  <c r="B371" i="1"/>
  <c r="E370" i="1"/>
  <c r="B370" i="1"/>
  <c r="E369" i="1"/>
  <c r="B369" i="1"/>
  <c r="E368" i="1"/>
  <c r="B368" i="1"/>
  <c r="E367" i="1"/>
  <c r="B367" i="1"/>
  <c r="E366" i="1"/>
  <c r="B366" i="1"/>
  <c r="E365" i="1"/>
  <c r="B365" i="1"/>
  <c r="E364" i="1"/>
  <c r="B364" i="1"/>
  <c r="E363" i="1"/>
  <c r="B363" i="1"/>
  <c r="E346" i="1"/>
  <c r="B346" i="1"/>
  <c r="E345" i="1"/>
  <c r="B345" i="1"/>
  <c r="E344" i="1"/>
  <c r="B344" i="1"/>
  <c r="E343" i="1"/>
  <c r="B343" i="1"/>
  <c r="E342" i="1"/>
  <c r="B342" i="1"/>
  <c r="E341" i="1"/>
  <c r="B341" i="1"/>
  <c r="E340" i="1"/>
  <c r="B340" i="1"/>
  <c r="E339" i="1"/>
  <c r="B339" i="1"/>
  <c r="E338" i="1"/>
  <c r="B338" i="1"/>
  <c r="E337" i="1"/>
  <c r="B337" i="1"/>
  <c r="E336" i="1"/>
  <c r="B336" i="1"/>
  <c r="E335" i="1"/>
  <c r="B335" i="1"/>
  <c r="E334" i="1"/>
  <c r="B334" i="1"/>
  <c r="E333" i="1"/>
  <c r="B333" i="1"/>
  <c r="E332" i="1"/>
  <c r="B332" i="1"/>
  <c r="E331" i="1"/>
  <c r="B331" i="1"/>
  <c r="E330" i="1"/>
  <c r="B330" i="1"/>
  <c r="E329" i="1"/>
  <c r="B329" i="1"/>
  <c r="E328" i="1"/>
  <c r="B328" i="1"/>
  <c r="E311" i="1"/>
  <c r="B311" i="1"/>
  <c r="E310" i="1"/>
  <c r="B310" i="1"/>
  <c r="E309" i="1"/>
  <c r="B309" i="1"/>
  <c r="E308" i="1"/>
  <c r="B308" i="1"/>
  <c r="E307" i="1"/>
  <c r="B307" i="1"/>
  <c r="E306" i="1"/>
  <c r="B306" i="1"/>
  <c r="E305" i="1"/>
  <c r="B305" i="1"/>
  <c r="E304" i="1"/>
  <c r="B304" i="1"/>
  <c r="E303" i="1"/>
  <c r="B303" i="1"/>
  <c r="E302" i="1"/>
  <c r="B302" i="1"/>
  <c r="E301" i="1"/>
  <c r="B301" i="1"/>
  <c r="E300" i="1"/>
  <c r="B300" i="1"/>
  <c r="E299" i="1"/>
  <c r="B299" i="1"/>
  <c r="E298" i="1"/>
  <c r="B298" i="1"/>
  <c r="E297" i="1"/>
  <c r="B297" i="1"/>
  <c r="E296" i="1"/>
  <c r="B296" i="1"/>
  <c r="E295" i="1"/>
  <c r="B295" i="1"/>
  <c r="E294" i="1"/>
  <c r="B294" i="1"/>
  <c r="E293" i="1"/>
  <c r="B293" i="1"/>
  <c r="E276" i="1"/>
  <c r="B276" i="1"/>
  <c r="E275" i="1"/>
  <c r="B275" i="1"/>
  <c r="E274" i="1"/>
  <c r="B274" i="1"/>
  <c r="E273" i="1"/>
  <c r="B273" i="1"/>
  <c r="E272" i="1"/>
  <c r="B272" i="1"/>
  <c r="E271" i="1"/>
  <c r="B271" i="1"/>
  <c r="E270" i="1"/>
  <c r="B270" i="1"/>
  <c r="E269" i="1"/>
  <c r="B269" i="1"/>
  <c r="E268" i="1"/>
  <c r="B268" i="1"/>
  <c r="E267" i="1"/>
  <c r="B267" i="1"/>
  <c r="E266" i="1"/>
  <c r="B266" i="1"/>
  <c r="E265" i="1"/>
  <c r="B265" i="1"/>
  <c r="E264" i="1"/>
  <c r="B264" i="1"/>
  <c r="E263" i="1"/>
  <c r="B263" i="1"/>
  <c r="E262" i="1"/>
  <c r="B262" i="1"/>
  <c r="E261" i="1"/>
  <c r="B261" i="1"/>
  <c r="E260" i="1"/>
  <c r="B260" i="1"/>
  <c r="E259" i="1"/>
  <c r="B259" i="1"/>
  <c r="E258" i="1"/>
  <c r="B258" i="1"/>
  <c r="E241" i="1"/>
  <c r="B241" i="1"/>
  <c r="E240" i="1"/>
  <c r="B240" i="1"/>
  <c r="E239" i="1"/>
  <c r="B239" i="1"/>
  <c r="E238" i="1"/>
  <c r="B238" i="1"/>
  <c r="E237" i="1"/>
  <c r="B237" i="1"/>
  <c r="E236" i="1"/>
  <c r="B236" i="1"/>
  <c r="E235" i="1"/>
  <c r="B235" i="1"/>
  <c r="E234" i="1"/>
  <c r="B234" i="1"/>
  <c r="E233" i="1"/>
  <c r="B233" i="1"/>
  <c r="E232" i="1"/>
  <c r="B232" i="1"/>
  <c r="E231" i="1"/>
  <c r="B231" i="1"/>
  <c r="E230" i="1"/>
  <c r="B230" i="1"/>
  <c r="E229" i="1"/>
  <c r="B229" i="1"/>
  <c r="E228" i="1"/>
  <c r="B228" i="1"/>
  <c r="E227" i="1"/>
  <c r="B227" i="1"/>
  <c r="E226" i="1"/>
  <c r="B226" i="1"/>
  <c r="E225" i="1"/>
  <c r="B225" i="1"/>
  <c r="E224" i="1"/>
  <c r="B224" i="1"/>
  <c r="E223" i="1"/>
  <c r="B223" i="1"/>
  <c r="E206" i="1"/>
  <c r="B206" i="1"/>
  <c r="E205" i="1"/>
  <c r="B205" i="1"/>
  <c r="E204" i="1"/>
  <c r="B204" i="1"/>
  <c r="E203" i="1"/>
  <c r="B203" i="1"/>
  <c r="E202" i="1"/>
  <c r="B202" i="1"/>
  <c r="E201" i="1"/>
  <c r="B201" i="1"/>
  <c r="E200" i="1"/>
  <c r="B200" i="1"/>
  <c r="E199" i="1"/>
  <c r="B199" i="1"/>
  <c r="E198" i="1"/>
  <c r="B198" i="1"/>
  <c r="E197" i="1"/>
  <c r="B197" i="1"/>
  <c r="E196" i="1"/>
  <c r="B196" i="1"/>
  <c r="E195" i="1"/>
  <c r="B195" i="1"/>
  <c r="E194" i="1"/>
  <c r="B194" i="1"/>
  <c r="E193" i="1"/>
  <c r="B193" i="1"/>
  <c r="E192" i="1"/>
  <c r="B192" i="1"/>
  <c r="E191" i="1"/>
  <c r="B191" i="1"/>
  <c r="E190" i="1"/>
  <c r="B190" i="1"/>
  <c r="E189" i="1"/>
  <c r="B189" i="1"/>
  <c r="E188" i="1"/>
  <c r="B188" i="1"/>
  <c r="E171" i="1"/>
  <c r="B171" i="1"/>
  <c r="E170" i="1"/>
  <c r="B170" i="1"/>
  <c r="E169" i="1"/>
  <c r="B169" i="1"/>
  <c r="E168" i="1"/>
  <c r="B168" i="1"/>
  <c r="E167" i="1"/>
  <c r="B167" i="1"/>
  <c r="E166" i="1"/>
  <c r="B166" i="1"/>
  <c r="E165" i="1"/>
  <c r="B165" i="1"/>
  <c r="E164" i="1"/>
  <c r="B164" i="1"/>
  <c r="E163" i="1"/>
  <c r="B163" i="1"/>
  <c r="E162" i="1"/>
  <c r="B162" i="1"/>
  <c r="E161" i="1"/>
  <c r="B161" i="1"/>
  <c r="E160" i="1"/>
  <c r="B160" i="1"/>
  <c r="E159" i="1"/>
  <c r="B159" i="1"/>
  <c r="E158" i="1"/>
  <c r="B158" i="1"/>
  <c r="E157" i="1"/>
  <c r="B157" i="1"/>
  <c r="E156" i="1"/>
  <c r="B156" i="1"/>
  <c r="E155" i="1"/>
  <c r="B155" i="1"/>
  <c r="E154" i="1"/>
  <c r="B154" i="1"/>
  <c r="E153" i="1"/>
  <c r="B153" i="1"/>
  <c r="E136" i="1"/>
  <c r="B136" i="1"/>
  <c r="E135" i="1"/>
  <c r="B135" i="1"/>
  <c r="E134" i="1"/>
  <c r="B134" i="1"/>
  <c r="E133" i="1"/>
  <c r="B133" i="1"/>
  <c r="E132" i="1"/>
  <c r="B132" i="1"/>
  <c r="E131" i="1"/>
  <c r="B131" i="1"/>
  <c r="E130" i="1"/>
  <c r="B130" i="1"/>
  <c r="E129" i="1"/>
  <c r="B129" i="1"/>
  <c r="E128" i="1"/>
  <c r="B128" i="1"/>
  <c r="E127" i="1"/>
  <c r="B127" i="1"/>
  <c r="E126" i="1"/>
  <c r="B126" i="1"/>
  <c r="E125" i="1"/>
  <c r="B125" i="1"/>
  <c r="E124" i="1"/>
  <c r="B124" i="1"/>
  <c r="E123" i="1"/>
  <c r="B123" i="1"/>
  <c r="E122" i="1"/>
  <c r="B122" i="1"/>
  <c r="E121" i="1"/>
  <c r="B121" i="1"/>
  <c r="E120" i="1"/>
  <c r="B120" i="1"/>
  <c r="E119" i="1"/>
  <c r="B119" i="1"/>
  <c r="E118" i="1"/>
  <c r="B118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D38" i="1"/>
  <c r="D37" i="1"/>
  <c r="I11" i="5"/>
  <c r="I12" i="5"/>
  <c r="I10" i="5"/>
  <c r="I10" i="4"/>
  <c r="D26" i="1"/>
  <c r="D27" i="1"/>
  <c r="D17" i="1"/>
  <c r="D18" i="1"/>
  <c r="D21" i="1"/>
  <c r="D22" i="1"/>
  <c r="D24" i="1"/>
  <c r="D25" i="1"/>
  <c r="D19" i="1"/>
  <c r="D30" i="1"/>
  <c r="D33" i="1"/>
  <c r="D34" i="1"/>
  <c r="D12" i="1"/>
  <c r="D15" i="1"/>
  <c r="D9" i="1"/>
  <c r="I30" i="9" l="1"/>
</calcChain>
</file>

<file path=xl/sharedStrings.xml><?xml version="1.0" encoding="utf-8"?>
<sst xmlns="http://schemas.openxmlformats.org/spreadsheetml/2006/main" count="1846" uniqueCount="352">
  <si>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</si>
  <si>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</si>
  <si>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</si>
  <si>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</si>
  <si>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</si>
  <si>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</si>
  <si>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</si>
  <si>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</si>
  <si>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</si>
  <si>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</si>
  <si>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</si>
  <si>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</si>
  <si>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</si>
  <si>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</si>
  <si>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</si>
  <si>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</si>
  <si>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</si>
  <si>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</si>
  <si>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</si>
  <si>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</si>
  <si>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</si>
  <si>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</si>
  <si>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ALIMENTOS</t>
  </si>
  <si>
    <t>25- Direccion Provincial de Gestion Administracion y RRHH</t>
  </si>
  <si>
    <t>ALTA</t>
  </si>
  <si>
    <t>S/E</t>
  </si>
  <si>
    <t>Especificidades Item N° 3:</t>
  </si>
  <si>
    <t>45- Ministerio de Desarrollo Social y Deporte.-</t>
  </si>
  <si>
    <t>2.1.1-482.69</t>
  </si>
  <si>
    <t>2.1.1-435.60</t>
  </si>
  <si>
    <t>2.1.1-6547.56</t>
  </si>
  <si>
    <t>2.1.1-6546.4</t>
  </si>
  <si>
    <t>2.1.1-6547.17</t>
  </si>
  <si>
    <t>2.1.1-6546.46</t>
  </si>
  <si>
    <t>2.1.1-6546.100</t>
  </si>
  <si>
    <t>2.1.1</t>
  </si>
  <si>
    <t>HARINAS; TIPO: MAIZ, PRESENTACION: ENVASE X 1 Kg, MATERIAL ENVASE: PAPEL, CERTICADO FORESTAL (GFS): SIN, ELEM. TRANSPORTE: SIN, MATERIAL ELEM. TRANSPORTE: SIN, LIBRE DE GLUTEN: NO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</si>
  <si>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</si>
  <si>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LEGUMBRES; VARIEDAD: POROTO BLANCO OVAL, ESTADO: SECO, PRESENTACION: BOLSA, PESO: 500 GR</t>
  </si>
  <si>
    <t>VERDURAS Y HORTALIZAS; VARIEDAD: TOMATE PERITA, ESTADO: TRITURADO, PRESENTACION: BOTELLA, PESO: 950 GR</t>
  </si>
  <si>
    <t>LEGUMBRES; VARIEDAD: ARVEJA, ESTADO: REMOJADO EN CONSERVA, PRESENTACION: LATA, PESO: 350 GR</t>
  </si>
  <si>
    <t>VERDURAS Y HORTALIZAS; VARIEDAD: CEBOLLA, ESTADO: NATURAL, PRESENTACION: GRANEL, PESO: SIN VALOR</t>
  </si>
  <si>
    <t>VERDURAS Y HORTALIZAS; ESTADO: NATURAL, PRESENTACION: GRANEL, VARIEDAD: PAPA BLANCA, PESO: SIN VALOR</t>
  </si>
  <si>
    <t>2.1.1-6546.403</t>
  </si>
  <si>
    <t>2.1.1-6546.95</t>
  </si>
  <si>
    <t>2.1.1-6546.401</t>
  </si>
  <si>
    <t>2.1.1-6546.47</t>
  </si>
  <si>
    <t>2.1.1-6546.162</t>
  </si>
  <si>
    <t>2.1.1-541.7</t>
  </si>
  <si>
    <t>2.1.1-541.49</t>
  </si>
  <si>
    <t>VERDURAS Y HORTALIZAS; VARIEDAD: ZANAHORIA, ESTADO: NATURAL, PRESENTACION: BOLSA, PESO: NO CORRESPONDE, ELEM. TRANSPORTE: SIN, MATERIAL ELEM. TRANSPORTE: SIN, LIBRE DE GLUTEN: SI, ORGANICO: NO</t>
  </si>
  <si>
    <t>VERDURAS Y HORTALIZAS; VARIEDAD: MORRON VERDE, ESTADO: NATURAL, PRESENTACION: GRANEL, PESO: SIN VALOR</t>
  </si>
  <si>
    <t>VERDURAS Y HORTALIZAS; VARIEDAD: AJO, ESTADO: NATURAL, PRESENTACION: UNIDAD, PESO: NO CORRESPONDE, ELEM. TRANSPORTE: SIN, MATERIAL ELEM. TRANSPORTE: SIN, LIBRE DE GLUTEN: SI, ORGANICO: NO</t>
  </si>
  <si>
    <t>VERDURAS Y HORTALIZAS; VARIEDAD: CEBOLLA DE VERDEO, ESTADO: NATURAL, PRESENTACION: GRANEL, PESO: SIN VALOR</t>
  </si>
  <si>
    <t>VERDURAS Y HORTALIZAS; VARIEDAD: ZAPALLO CRIOLLO, ESTADO: NATURAL, PRESENTACION: UNIDAD, PESO: SIN VALOR</t>
  </si>
  <si>
    <t>CARNES; ESPECIE: VACUNA, CORTE: PICADA ESPECIAL, TIPO: VACUNA</t>
  </si>
  <si>
    <t>CARNES; ESPECIE: VACUNA, CORTE: NALGA, TIPO: VACUNA</t>
  </si>
  <si>
    <t>2.1.1-489.132</t>
  </si>
  <si>
    <t>2.1.1-489.66</t>
  </si>
  <si>
    <t>2.1.1-489.67</t>
  </si>
  <si>
    <t>2.1.1-489.109</t>
  </si>
  <si>
    <t>2.1.1-514.15</t>
  </si>
  <si>
    <t>ESPECIAS; TIPO: PIMIENTA BLANCA, PRESENTACION: ENVASE X 1 Kg</t>
  </si>
  <si>
    <t>ESPECIAS; TIPO: OREGANO, PRESENTACION: BOLSA DE 1 Kg</t>
  </si>
  <si>
    <t>ESPECIAS; TIPO: PIMENTON, PRESENTACION: BOLSA DE 1 Kg</t>
  </si>
  <si>
    <t>ESPECIAS; TIPO: PROVENZAL, PRESENTACION: PAQUETE X 1 Kg</t>
  </si>
  <si>
    <t>SAL DE MESA; CONSISTENCIA: GRUESA, ENVASE: BOLSA, PESO: 1 Kg, TIPO: SIN VALOR</t>
  </si>
  <si>
    <t>2.5.6-798.8</t>
  </si>
  <si>
    <t>COMBUSTIBLES Y LUBRICANTES</t>
  </si>
  <si>
    <t>2.5.6</t>
  </si>
  <si>
    <t>GAS EN GARRAFA; CAPACIDAD: 10 Kg</t>
  </si>
  <si>
    <t>ELEMENTOS DE LIMPIEZA</t>
  </si>
  <si>
    <t>2.9.1</t>
  </si>
  <si>
    <t>2.1.1-6546.148</t>
  </si>
  <si>
    <t>VERDURAS Y HORTALIZAS; VARIEDAD: ZAPALLITO LARGO, ESTADO: NATURAL, PRESENTACION: CAJON, PESO: SIN VALOR</t>
  </si>
  <si>
    <t>2.1.1-669.32</t>
  </si>
  <si>
    <t>PANES; PRESENTACION: UNIDAD, TIPO: BAGUETTE</t>
  </si>
  <si>
    <t xml:space="preserve">UNIDAD </t>
  </si>
  <si>
    <t>KG</t>
  </si>
  <si>
    <t>LITROS</t>
  </si>
  <si>
    <t>2.1.1-621.3</t>
  </si>
  <si>
    <t>AVES; PRESENTACION: TROZADO SIN PIEL, ESPECIE: POLLO, EVISCERADO: SIN VALOR, TIPO: POLLO</t>
  </si>
  <si>
    <t>GARRAFA X 10 KGS. TIPO COMERCIAL</t>
  </si>
  <si>
    <t>2.9.1-6951.30</t>
  </si>
  <si>
    <t>2.9.1-6951.12</t>
  </si>
  <si>
    <t>2.9.1-4784.51</t>
  </si>
  <si>
    <t>LIMPIADORES; TIPO: LAVANDINA, PRESENTACION: ENVASE X 5 L</t>
  </si>
  <si>
    <t>LIMPIADORES; PRESENTACION: ENVASE X 5 L, TIPO: DETERGENTE</t>
  </si>
  <si>
    <t>LIMPIADORES MULTIUSO; COMPUESTOS BIODEGRADABLES: SI, PRESENTACION: ENVASE X 5 L, TIPO: DESENGRASANTE</t>
  </si>
  <si>
    <t>PRESENTACION EN BIDONES PLASTICOS POR 5LTS.</t>
  </si>
  <si>
    <t>2.1.1-6539.8</t>
  </si>
  <si>
    <t>2.1.1-6539.19</t>
  </si>
  <si>
    <t>2.1.1-6539.30</t>
  </si>
  <si>
    <t>2.1.1-6539.32</t>
  </si>
  <si>
    <t>FRUTAS; VARIEDAD: NARANJA ESPECIAL, ESTADO: NATURAL, PRESENTACION: CAJON, PESO: SIN VALOR</t>
  </si>
  <si>
    <t>FRUTAS; ESTADO: NATURAL, VARIEDAD: MANZANA RED ELEGIDA, PRESENTACION: CAJON, PESO: SIN VALOR</t>
  </si>
  <si>
    <t>FRUTAS; VARIEDAD: BANANA, PRESENTACION: CAJON, ESTADO: NATURAL, PESO: SIN VALOR</t>
  </si>
  <si>
    <t>FRUTAS; VARIEDAD: PERA AMARILLA, ESTADO: NATURAL, PRESENTACION: CAJON, PESO: SIN VALOR</t>
  </si>
  <si>
    <t>SEMANAL</t>
  </si>
  <si>
    <t>COMEDOR</t>
  </si>
  <si>
    <t>DOMICILIO DE ENTREGA</t>
  </si>
  <si>
    <t>60 DIAS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</si>
  <si>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</si>
  <si>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</si>
  <si>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</si>
  <si>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</si>
  <si>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</si>
  <si>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</si>
  <si>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</si>
  <si>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</si>
  <si>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</si>
  <si>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</si>
  <si>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</si>
  <si>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</si>
  <si>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</si>
  <si>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</si>
  <si>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</si>
  <si>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</si>
  <si>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</si>
  <si>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</si>
  <si>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</si>
  <si>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</si>
  <si>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</si>
  <si>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</si>
  <si>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</si>
  <si>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</si>
  <si>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</si>
  <si>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</si>
  <si>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</si>
  <si>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24 KG</t>
  </si>
  <si>
    <t>18 KG</t>
  </si>
  <si>
    <t>35 KG</t>
  </si>
  <si>
    <t>41 KG</t>
  </si>
  <si>
    <t>33 KG</t>
  </si>
  <si>
    <t>15 KG</t>
  </si>
  <si>
    <t>20 KG</t>
  </si>
  <si>
    <t>30 KG</t>
  </si>
  <si>
    <t>45 KG</t>
  </si>
  <si>
    <t>53 KG</t>
  </si>
  <si>
    <t>38 KG</t>
  </si>
  <si>
    <t>27 KG</t>
  </si>
  <si>
    <t>26 KG</t>
  </si>
  <si>
    <t>25 KG</t>
  </si>
  <si>
    <t>11 KG</t>
  </si>
  <si>
    <t>14 KG</t>
  </si>
  <si>
    <t>13 KG</t>
  </si>
  <si>
    <t>22 KG</t>
  </si>
  <si>
    <t>39 KG</t>
  </si>
  <si>
    <t>28 KG</t>
  </si>
  <si>
    <t>19 KG</t>
  </si>
  <si>
    <t>32 KG</t>
  </si>
  <si>
    <t>46 KG</t>
  </si>
  <si>
    <t>54 KG</t>
  </si>
  <si>
    <t>44 KG</t>
  </si>
  <si>
    <t>40 KG</t>
  </si>
  <si>
    <t>60 KG</t>
  </si>
  <si>
    <t>70 KG</t>
  </si>
  <si>
    <t>50 KG</t>
  </si>
  <si>
    <t>36 KG</t>
  </si>
  <si>
    <t>34 KG</t>
  </si>
  <si>
    <t>21 KG</t>
  </si>
  <si>
    <t>9 KG</t>
  </si>
  <si>
    <t>12 KG</t>
  </si>
  <si>
    <t>23 KG</t>
  </si>
  <si>
    <t>16 KG</t>
  </si>
  <si>
    <t>64 KG</t>
  </si>
  <si>
    <t>76 KG</t>
  </si>
  <si>
    <t>62 KG</t>
  </si>
  <si>
    <t>56 KG</t>
  </si>
  <si>
    <t>84 KG</t>
  </si>
  <si>
    <t>98 KG</t>
  </si>
  <si>
    <t>48 KG</t>
  </si>
  <si>
    <t>47 KG</t>
  </si>
  <si>
    <t>81 KG</t>
  </si>
  <si>
    <t>95 KG</t>
  </si>
  <si>
    <t>77 KG</t>
  </si>
  <si>
    <t>42 KG</t>
  </si>
  <si>
    <t>105 KG</t>
  </si>
  <si>
    <t>123 KG</t>
  </si>
  <si>
    <t>88 KG</t>
  </si>
  <si>
    <t>63 KG</t>
  </si>
  <si>
    <t>59 KG</t>
  </si>
  <si>
    <t>51 KG</t>
  </si>
  <si>
    <t>29 KG</t>
  </si>
  <si>
    <t>66 KG</t>
  </si>
  <si>
    <t>55 KG</t>
  </si>
  <si>
    <t>37 KG</t>
  </si>
  <si>
    <t>10 KG</t>
  </si>
  <si>
    <t>17 KG</t>
  </si>
  <si>
    <t>49 KG</t>
  </si>
  <si>
    <t>31 KG</t>
  </si>
  <si>
    <t>92 KG</t>
  </si>
  <si>
    <t>108 KG</t>
  </si>
  <si>
    <t>52 KG</t>
  </si>
  <si>
    <t>80 KG</t>
  </si>
  <si>
    <t>120 KG</t>
  </si>
  <si>
    <t>140 KG</t>
  </si>
  <si>
    <t>100 KG</t>
  </si>
  <si>
    <t>72 KG</t>
  </si>
  <si>
    <t>69 KG</t>
  </si>
  <si>
    <t>67 KG</t>
  </si>
  <si>
    <t>QUINCENAL</t>
  </si>
  <si>
    <t>2 KG</t>
  </si>
  <si>
    <t>SEMANAL INTERCALANDO CON ITEM 29</t>
  </si>
  <si>
    <t>SEMANAL INTERCALANDO CON ITEM 30</t>
  </si>
  <si>
    <t>SEMANAL INTERCALANDO CON ITEM 28</t>
  </si>
  <si>
    <t>SEMANAL INTERCALANDO CON ITEM 27</t>
  </si>
  <si>
    <t>AV. RIVIERA DEL VALLE ENTRE FLORIDA Y SANTA FE</t>
  </si>
  <si>
    <t>Bº RIVERA DEL VALLE ENTRE VILLA EUMELIA Y MONTE CRISTO</t>
  </si>
  <si>
    <t>Bº MUNICIPAL 35VV. NORTE C/14</t>
  </si>
  <si>
    <t>CLUB DEPORTIVO CHACARITA</t>
  </si>
  <si>
    <t>CALLE DR.DERMIDIO GALINDEZ C/2660</t>
  </si>
  <si>
    <t>LA MORO</t>
  </si>
  <si>
    <t>MAIPU NORTE 1º ETAPA MZA "H" Bº MI JARDIN</t>
  </si>
  <si>
    <t>PAPA FRANCISCO</t>
  </si>
  <si>
    <t>ENTRE AV.TEREBINTO Y AV.SAN JUAN LOTE "2" MZA. "B"</t>
  </si>
  <si>
    <t>E.P.C - 100 V.V NORTE</t>
  </si>
  <si>
    <t>Bº VV NORTE C/48 ENTRE ESPAÑA Y FRANCIA</t>
  </si>
  <si>
    <t>Bº SANTA MARTA MZA. "S" LOTE "M" C/39</t>
  </si>
  <si>
    <t>LA LUCIERNAGA</t>
  </si>
  <si>
    <t>Bº 20 V.V NORTE C/3</t>
  </si>
  <si>
    <t>VALLE VIEJO - SUMALAO</t>
  </si>
  <si>
    <t>PADRE SEGURA S/N</t>
  </si>
  <si>
    <t>Bº LAS VIAS OESTE LOTE 42</t>
  </si>
  <si>
    <t>SAN JOSE OBRERO</t>
  </si>
  <si>
    <t>Bº SAN JOSE OBRERO. PJE. SANDOVAL S/Nº</t>
  </si>
  <si>
    <t>VIRGEN DE LUJAN</t>
  </si>
  <si>
    <t>Bº OJO DE AGUA C/DR.TEODULFO BARRIONUEVO S/Nº</t>
  </si>
  <si>
    <t>RENACER</t>
  </si>
  <si>
    <t>Bº VIRGEN MORENITA</t>
  </si>
  <si>
    <t>CENTRO VECINAL MI JARDIN</t>
  </si>
  <si>
    <t>C/ LOS TULIPANES ENTRE FLOR DE CEREZO Y HOLANDA MZA.27 Bº MI JARDIN</t>
  </si>
  <si>
    <t>LA VIEJA ESQUINA</t>
  </si>
  <si>
    <t>B° CRISTO REY PJE CAPATAZ VILLAFAÑEZ Y ARMANDO CORREA</t>
  </si>
  <si>
    <t>GAUCHITO GIL</t>
  </si>
  <si>
    <t>B° 26 VIVIENDAS CASA N° 3</t>
  </si>
  <si>
    <t>2.1.1-439.67</t>
  </si>
  <si>
    <t>ACEITES COMESTIBLES; TIPO: GIRASOL, PRESENTACION: ENVASE X 900 CM3, MATERIAL ENVASE: PLASTICO 1 (PET), ELEM. TRANSPORTE: SIN, MATERIAL ELEM. TRANSPORTE : SIN, LIBRE DE GLUTEN: NO</t>
  </si>
  <si>
    <t>LEGUMBRES; VARIEDAD: LENTEJA, ESTADO: NATURAL, PRESENTACION: BOLSA PLASTICA, PESO: 500 GR</t>
  </si>
  <si>
    <t>2.1.1-6547.22</t>
  </si>
  <si>
    <t>MAIZ; TIPO: BLANCO PISADO, PRESENTACION: ENVASE X 500 GR, FORMA DE PRESENTACION: SIN VALOR</t>
  </si>
  <si>
    <t>2.1.1-2616.9</t>
  </si>
  <si>
    <t>SAL DE MESA; CONSISTENCIA: FINA, PESO: 500 GR, TIPO: SIN VALOR, ENVASE: PAQUETE</t>
  </si>
  <si>
    <t>2.1.1-514.2</t>
  </si>
  <si>
    <t>7 KG</t>
  </si>
  <si>
    <t>8 KG</t>
  </si>
  <si>
    <t>*SE REALIZA LA ENTREGA DE 20 UNIDADES POR SEMANA (1 POR CADA COMEDOR) LO QUE HACE UNA SUMA DE 80 UNIDADES MENSUALES  QUE REPRESENTAN UN TOTAL DE 240 UNIDADES TRIMESTRALES</t>
  </si>
  <si>
    <t>JIREH LOTEO SUSSEX</t>
  </si>
  <si>
    <t>B° LA RIVERA CASA N° 28</t>
  </si>
  <si>
    <t>Bº SAN CARLOS OESTE AV. BONIFACIO COBACHO N° 670</t>
  </si>
  <si>
    <t xml:space="preserve">UNA SONRISA </t>
  </si>
  <si>
    <t xml:space="preserve">C.I.F Nº1 </t>
  </si>
  <si>
    <t>ESFUERZO PROPIO</t>
  </si>
  <si>
    <t xml:space="preserve">C.I.F - RIVERA DEL VALLE </t>
  </si>
  <si>
    <t xml:space="preserve">HOGAR DE CRISTO </t>
  </si>
  <si>
    <t xml:space="preserve">NUESTRO FUTURO </t>
  </si>
  <si>
    <t>CORAZONES FELICES</t>
  </si>
  <si>
    <t>LOTEO PARQUE SUR MZ 1 LOTE N° 21</t>
  </si>
  <si>
    <t>TRIMESTRE</t>
  </si>
  <si>
    <t>FRUTAS; VARIEDAD: BANANA, ESTADO: NATURAL, PRESENTACION: GRANEL, PESO: SIN VALOR</t>
  </si>
  <si>
    <t>2.1.1-6539.29</t>
  </si>
  <si>
    <t>YOGHURT; CAPACIDAD: 1 L, SABOR: FRUTILLA, TIPO: ENTERO, ENVASE: SACHET, AGREGADO: SIN VALOR, CONSISTENCIA: BEBIBLE, PRESENTACION: SACHET X 1 L</t>
  </si>
  <si>
    <t>2.1.1-456.22</t>
  </si>
  <si>
    <t>INSTITUCION</t>
  </si>
  <si>
    <t>2.1.1-6546.1</t>
  </si>
  <si>
    <t>VERDURAS Y HORTALIZAS; VARIEDAD: TOMATE PERITA, ESTADO: NATURAL, PRESENTACION: GRANEL, PESO: SIN VALOR</t>
  </si>
  <si>
    <t>2.1.1-6546.150</t>
  </si>
  <si>
    <t>VERDURAS Y HORTALIZAS; ESTADO: NATURAL, PESO: SIN VALOR, VARIEDAD: ZAPALLITO REDONDO, PRESENTACION: GRANEL</t>
  </si>
  <si>
    <t>2.1.1-6539.7</t>
  </si>
  <si>
    <t>FRUTAS; ESTADO: NATURAL, VARIEDAD: NARANJA PARA JUGO, PRESENTACION: A GRANEL, PESO: SIN VALOR</t>
  </si>
  <si>
    <t>2.1.1-542.205</t>
  </si>
  <si>
    <t>QUESOS; TIPO: CREMOSO, PRESENTACION: ENVASE X 4 Kg, ELEM. TRANSPORTE: SIN, MATERIAL ELEM. TRANSPORTE: SIN, MATERIAL ENVASE: BOLSA TERMOCONTRAIBLE, CERTIFICADO FORESTAL (GFS): SIN, LIBRE DE GLUTEN: SI</t>
  </si>
  <si>
    <t>2.1.1-542.207</t>
  </si>
  <si>
    <t>QUESOS; TIPO: SARDO, PRESENTACION: HORMA X 3 Kg, ELEM. TRANSPORTE: SIN, MATERIAL ELEM. TRANSPORTE: SIN, MATERIAL ENVASE: SIN, CERTIFICADO FORESTAL (GFS): SIN, LIBRE DE GLUTEN: NO</t>
  </si>
  <si>
    <t>2.1.1-434.12</t>
  </si>
  <si>
    <t>MARGARINAS; TIPO: VEGETAL, ENVASE: PAPEL, PESO UNITARIO: PAPEL X 500 GR, PRESENTACION: PAPEL X 500 GR</t>
  </si>
  <si>
    <t>2.1.1-6546.158</t>
  </si>
  <si>
    <t>VERDURAS Y HORTALIZAS; ESTADO: NATURAL, VARIEDAD: ZAPALLO ANCO, PRESENTACION: GRANEL, PESO: SIN VALOR</t>
  </si>
  <si>
    <t>CAF  Nº 1 - 1.000 vv</t>
  </si>
  <si>
    <t xml:space="preserve">Barro Libertador II Peatonal 16 Avenida Ahumada y Barros esquina </t>
  </si>
  <si>
    <t>CAF Nº II - EPI</t>
  </si>
  <si>
    <t>Avenida Virgen del Valle Norte esquina Calle Los Tilos</t>
  </si>
  <si>
    <t>NIÑARY</t>
  </si>
  <si>
    <t>KUSICUNA</t>
  </si>
  <si>
    <t>WAWA WASI</t>
  </si>
  <si>
    <t>Calle Araucarias esquina Las Orquides Barrio Los Ceibos</t>
  </si>
  <si>
    <t>Caseros Nº 1001 Barrio Centro (Casa Cuna)</t>
  </si>
  <si>
    <t>Calle Francia entre España y Av. San Juan Bautista Casa Nº 47 Bº 100 vv Norte</t>
  </si>
  <si>
    <t>2.1.1-6546.34</t>
  </si>
  <si>
    <t>VERDURAS Y HORTALIZAS; VARIEDAD: ACELGA, ESTADO: EN HOJA, PRESENTACION: ATADO, PESO: SIN VALOR</t>
  </si>
  <si>
    <t xml:space="preserve">*SE REALIZA LA ENTREGA DE 5  UNIDADES POR SEMANA ( DISTRIBUIDOS SEGÚN DETALLE PARA CADA COMEDOR)   LO QUE HACE UNA SUMA DE  20 UNIDADES MENSUALES  QUE REPRESENTA UN TOTAL DE 60 UNIDADES TRIMESTRALES </t>
  </si>
  <si>
    <t>90 DIAS</t>
  </si>
  <si>
    <t>CEBOLLA BLANCA X KILOGRAMOS</t>
  </si>
  <si>
    <t xml:space="preserve">TOMATE PERITA X KILOGRAMO </t>
  </si>
  <si>
    <t>BOLSA X 1 KILOGRAMO - PESO APROXIMADO POR CADA ZANHORIA 100 GRS</t>
  </si>
  <si>
    <t>ZAPALLO ANCO -PESO APROXIMADO POR UNIDAD 1,500 GRAMOS</t>
  </si>
  <si>
    <t xml:space="preserve">ZAPALLITO VERDE REDONDO TIERNO </t>
  </si>
  <si>
    <t xml:space="preserve">               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</si>
  <si>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                  DOMICILIO DE ENTREGA</t>
  </si>
  <si>
    <t xml:space="preserve">ACELGA EN HOJA - ATADO X 500 GRS APROXIMADO </t>
  </si>
  <si>
    <t>2.1.1-6539.16</t>
  </si>
  <si>
    <t>FRUTAS; VARIEDAD: MANZANA RED DELICIOSA, ESTADO: NATURAL, PRESENTACION: GRANEL, PESO: SIN VALOR</t>
  </si>
  <si>
    <t xml:space="preserve">NARANJA CRIOLLA PARA JUGO PESO APROXIMADO POR NARANJA 200 GRS </t>
  </si>
  <si>
    <t>2.1.1-6539.31</t>
  </si>
  <si>
    <t>FRUTAS; VARIEDAD: PERA AMARILLA, PRESENTACION: GRANEL, ESTADO: NATURAL, PESO: SIN VALOR</t>
  </si>
  <si>
    <t xml:space="preserve">PERA AMARILLA PESO 166,66 GRS APROXIMADO X PERA </t>
  </si>
  <si>
    <t>SACHET</t>
  </si>
  <si>
    <t>YOGHURT BEBIBLE SABOR FRUTILLA - SACHET X 1 LITRO</t>
  </si>
  <si>
    <t>2.1.1-483.33</t>
  </si>
  <si>
    <t>HUEVO DE GALLINA; TAMAÑO: MEDIANOS, COLOR: BLANCOS, PRESENTACION: 30</t>
  </si>
  <si>
    <t>MAPLE</t>
  </si>
  <si>
    <t>HUEVOS DE GALLINA TAMAÑO MEDIANO - MAPLE X 30 UNIDADES</t>
  </si>
  <si>
    <t xml:space="preserve">MORRON VERDE - PESO APROXIMADO 200 GRS POR CADA MORRON </t>
  </si>
  <si>
    <t>MARGARINA VEGETAL ENVASE X 500 GRS</t>
  </si>
  <si>
    <t>MANZANA  - PESO APROXIMADO POR MANZANA 200 GRS</t>
  </si>
  <si>
    <t xml:space="preserve"> BANANA PESO  APROXIMADO 200 GRS POR CADA BANANA </t>
  </si>
  <si>
    <t xml:space="preserve">QUESOS SARDO PIEZA X 3 KILOGRAMOS APROXIMADOS </t>
  </si>
  <si>
    <t>QUESO CREMOSO; PIEZA X 4 KILOGRAMOS APROXIMADOS</t>
  </si>
  <si>
    <t xml:space="preserve">45- Ministerio de Desarrollo Social </t>
  </si>
  <si>
    <t xml:space="preserve">                                                                                                                                         DOMICILIO DE ENTREGA</t>
  </si>
  <si>
    <t>*SE REALIZA LA ENTREGA DE 120 KG POR SEMANA ( DISTRIBUIDOS SEGÚN DETALLE PARA CADA INSTITUCION)   LO QUE HACE UNA SUMA DE 480  KG MENSUALES  QUE REPRESENTA UN TOTAL DE 1440 KG TRIMESTRALES</t>
  </si>
  <si>
    <t>*SE REALIZA LA ENTREGA DE 40 KG POR SEMANA ( DISTRIBUIDOS SEGÚN DETALLE PARA CADA INSTITUCION)   LO QUE HACE UNA SUMA DE 160 KG MENSUALES  QUE REPRESENTA UN TOTAL DE 480 KG TRIMESTRALES</t>
  </si>
  <si>
    <t>*SE REALIZA LA ENTREGA DE 36 KG POR SEMANA ( DISTRIBUIDOS SEGÚN DETALLE PARA CADA INSTITUCION)   LO QUE HACE UNA SUMA DE 144 KG MENSUALES  QUE REPRESENTA UN TOTAL DE 432 KG TRIMESTRALES</t>
  </si>
  <si>
    <t>*SE REALIZA LA ENTREGA DE 32 KG POR SEMANA ( DISTRIBUIDOS SEGÚN DETALLE PARA CADA COMEDOR)   LO QUE HACE UNA SUMA DE 128 KG MENSUALES  QUE REPRESENTA UN TOTAL DE 384 KG TRIMESTRALES</t>
  </si>
  <si>
    <t>*SE REALIZA LA ENTREGA DE 39 KG POR SEMANA ( DISTRIBUIDOS SEGÚN DETALLE PARA CADA COMEDOR)   LO QUE HACE UNA SUMA DE 156 KG MENSUALES  QUE REPRESENTA UN TOTAL DE 468 KG TRIMESTRALES</t>
  </si>
  <si>
    <t>*SE REALIZA LA ENTREGA DE 12 UNIDADES POR SEMANA  ( DISTRIBUIDOS SEGÚN DETALLE PARA CADA COMEDOR)   LO QUE HACE UNA SUMA DE 48 UNIDADES MENSUALES QUE REPRESENTA UN TOTAL DE 144 UNIDADES TRIMESTRALES</t>
  </si>
  <si>
    <t>2.1.1-669.64</t>
  </si>
  <si>
    <t>PANES; TIPO: FRANCES, PRESENTACION: ENVASE X 1 Kg</t>
  </si>
  <si>
    <t>2.1.1-669.34</t>
  </si>
  <si>
    <t>PANES; TIPO: GALLETA C/GRASA, PRESENTACION: GRANEL</t>
  </si>
  <si>
    <t xml:space="preserve">PAN FRANCES X KG </t>
  </si>
  <si>
    <t>PAN CON GRASA X KG</t>
  </si>
  <si>
    <t xml:space="preserve"> PAPA BLANCA CEPILLADA X KG </t>
  </si>
  <si>
    <t>ZAPALLO CRIOLLO X KG</t>
  </si>
  <si>
    <t>AJO - PESO APROXIMADO 120 GRS X UNIDAD</t>
  </si>
  <si>
    <t>*SE REALIZA LA ENTREGA DE 20 MAPLES POR SEMANA ( DISTRIBUIDOS SEGÚN DETALLE PARA CADA COMEDOR)   LO QUE HACE UNA SUMA DE 80 UNIDADES MENSUALES  QUE REPRESENTA UN TOTAL DE 240 UNIDADES TRIMESTRALES</t>
  </si>
  <si>
    <t xml:space="preserve">LA ENTREGA DEL PRODUCTO SE REALIZARA DE LUNES A VIERNES EN EL HORARIO DE 07:30 A 08:00 (QUEDAN EXCEPTUADOS LOS DIAS NO HABILES Feriados, Sabados y Domingos) </t>
  </si>
  <si>
    <t>LA ENTREGA DE LOS ALIMENTOS PERECEDEROS SE DEBERA REALIZAR LOS DIAS LUNES EN EL HORARIO DE 07:30 A 08:30 (QUEDAN EXCEPTUADOS LOS DIAS NO HABILES Feriados; Sabado y Domingos)</t>
  </si>
  <si>
    <t>BOLSA</t>
  </si>
  <si>
    <t>ATADO</t>
  </si>
  <si>
    <t>HORMA</t>
  </si>
  <si>
    <t>45 DIAS</t>
  </si>
  <si>
    <t>*SE REALIZA LA ENTREGA DE 20 BOLSAS POR SEMANA ( DISTRIBUIDOS SEGÚN DETALLE PARA CADA COMEDOR)   LO QUE HACE UNA SUMA DE 80 BOLSAS MENSUALES  QUE REPRESENTA UN TOTAL DE 240 BOLSAS TRIMESTRALES</t>
  </si>
  <si>
    <t>*SE REALIZA LA ENTREGA DE 28 ATADOS  POR SEMANA ( DISTRIBUIDOS SEGÚN DETALLE PARA CADA COMEDOR)   LO QUE HACE UNA SUMA DE 112  ATADOS  MENSUALES  QUE REPRESENTA UN TOTAL DE 336 BOLSAS TRIMESTRALES</t>
  </si>
  <si>
    <t>*SE REALIZA LA ENTREGA DE 4  HORMAS POR SEMANA ( DISTRIBUIDOS SEGÚN DETALLE PARA CADA COMEDOR)   LO QUE HACE UNA SUMA DE  16 HORMAS MENSUALES  QUE REPRESENTA UN TOTAL DE 48 HORMAS TRIMESTRALES</t>
  </si>
  <si>
    <t>*SE REALIZA LA ENTREGA DE 5 HORMAS POR SEMANA ( DISTRIBUIDOS SEGÚN DETALLE PARA CADA COMEDOR)   LO QUE HACE UNA SUMA DE  20 HORMAS MENSUALES  QUE REPRESENTA UN TOTAL DE 60 HORMAS TRIMESTRALES</t>
  </si>
  <si>
    <t>*SE REALIZA LA ENTREGA DE 70 SACHET POR SEMANA ( DISTRIBUIDOS SEGÚN DETALLE PARA CADA COMEDOR)   LO QUE HACE UNA SUMA DE 280 SACHET MENSUALES  QUE REPRESENTA UN TOTAL DE 840 SACHET TRIMESTRALES</t>
  </si>
  <si>
    <t>*SE REALIZA LA ENTREGA DE 42 UNIDADES POR SEMANA  ( DISTRIBUIDOS SEGÚN DETALLE PARA CADA COMEDOR)   LO QUE HACE UNA SUMA DE 168 UNIDADES MENSUALES QUE REPRESENTA UN TOTAL DE 504 UNIDADES TRIMESTRALES</t>
  </si>
  <si>
    <t>3º (TERCERO)</t>
  </si>
  <si>
    <t>*SE REALIZA LA ENTREGA DE 7 KG POR DIA (DISTRIBUIDOS SEGÚN DETALLE PARA CADA INSTITUCION)  RESULTANDO 35 KG POR SEMANA LO QUE HACE UNA SUMA DE 140 KG MENSUALES  QUE REPRESENTAN UN TOTAL DE 420 KG TRIMESTRALES</t>
  </si>
  <si>
    <t>*SE REALIZA LA ENTREGA DE 6 KG POR DIA  DE LUNES A VIERNES (DISTRIBUIDOS SEGÚN DETALLE PARA CADA INSTITUCION)  RESULTANDO 30 KG POR SEMANA LO QUE HACE UNA SUMA DE 120 KG MENSUALES  QUE REPRESENTAN UN TOTAL DE 360 KG TRIMESTRALES</t>
  </si>
  <si>
    <t>Especificidades Item Nº 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</si>
</sst>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_-;\-* #,##0_-;_-* &quot;-&quot;_-;_-@_-"/>
    <numFmt numFmtId="165" formatCode="_-* #,##0.00&quot; €&quot;_-;\-* #,##0.00&quot; €&quot;_-;_-* \-??&quot; €&quot;_-;_-@_-"/>
    <numFmt numFmtId="166" formatCode="[$$-2C0A]\ #,##0.00;[$$-2C0A]&quot; -&quot;#,##0.00"/>
  </numFmts>
  <fonts count="4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9"/>
      <color rgb="FFFF0000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FF0000"/>
      <name val="Times New Roman"/>
      <family val="1"/>
    </font>
    <font>
      <u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2"/>
      <name val="Arial"/>
      <family val="2"/>
    </font>
    <font>
      <b/>
      <sz val="9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165" fontId="4" fillId="0" borderId="0" applyBorder="0" applyProtection="0"/>
    <xf numFmtId="0" fontId="2" fillId="0" borderId="1" applyProtection="0"/>
    <xf numFmtId="0" fontId="3" fillId="2" borderId="0" applyBorder="0" applyProtection="0"/>
    <xf numFmtId="0" fontId="19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7" borderId="0" applyNumberFormat="0" applyBorder="0" applyAlignment="0" applyProtection="0"/>
    <xf numFmtId="0" fontId="24" fillId="9" borderId="45" applyNumberFormat="0" applyAlignment="0" applyProtection="0"/>
    <xf numFmtId="0" fontId="25" fillId="10" borderId="46" applyNumberFormat="0" applyAlignment="0" applyProtection="0"/>
    <xf numFmtId="0" fontId="26" fillId="10" borderId="45" applyNumberFormat="0" applyAlignment="0" applyProtection="0"/>
    <xf numFmtId="0" fontId="27" fillId="0" borderId="47" applyNumberFormat="0" applyFill="0" applyAlignment="0" applyProtection="0"/>
    <xf numFmtId="0" fontId="28" fillId="11" borderId="48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50" applyNumberFormat="0" applyFill="0" applyAlignment="0" applyProtection="0"/>
    <xf numFmtId="0" fontId="3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2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33" fillId="0" borderId="51" applyNumberFormat="0" applyFill="0" applyAlignment="0" applyProtection="0"/>
    <xf numFmtId="0" fontId="34" fillId="8" borderId="0" applyNumberFormat="0" applyBorder="0" applyAlignment="0" applyProtection="0"/>
    <xf numFmtId="0" fontId="1" fillId="12" borderId="49" applyNumberFormat="0" applyFont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32" fillId="28" borderId="0" applyNumberFormat="0" applyBorder="0" applyAlignment="0" applyProtection="0"/>
    <xf numFmtId="0" fontId="32" fillId="32" borderId="0" applyNumberFormat="0" applyBorder="0" applyAlignment="0" applyProtection="0"/>
    <xf numFmtId="0" fontId="32" fillId="36" borderId="0" applyNumberFormat="0" applyBorder="0" applyAlignment="0" applyProtection="0"/>
  </cellStyleXfs>
  <cellXfs count="233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2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0" xfId="0" applyFont="1" applyBorder="1"/>
    <xf numFmtId="0" fontId="5" fillId="0" borderId="13" xfId="0" applyFont="1" applyBorder="1"/>
    <xf numFmtId="0" fontId="12" fillId="0" borderId="12" xfId="0" applyFont="1" applyBorder="1" applyAlignment="1">
      <alignment horizontal="left" indent="3"/>
    </xf>
    <xf numFmtId="0" fontId="5" fillId="0" borderId="12" xfId="0" applyFont="1" applyBorder="1" applyAlignment="1">
      <alignment horizontal="left" indent="3"/>
    </xf>
    <xf numFmtId="0" fontId="5" fillId="0" borderId="0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left" indent="3"/>
    </xf>
    <xf numFmtId="0" fontId="5" fillId="0" borderId="15" xfId="0" applyFont="1" applyBorder="1"/>
    <xf numFmtId="0" fontId="5" fillId="0" borderId="16" xfId="0" applyFont="1" applyBorder="1"/>
    <xf numFmtId="0" fontId="13" fillId="3" borderId="0" xfId="0" applyFont="1" applyFill="1" applyAlignment="1">
      <alignment horizontal="left" wrapText="1" indent="1"/>
    </xf>
    <xf numFmtId="0" fontId="9" fillId="0" borderId="0" xfId="0" applyFont="1" applyAlignment="1">
      <alignment horizontal="left" wrapText="1"/>
    </xf>
    <xf numFmtId="0" fontId="0" fillId="0" borderId="5" xfId="0" applyBorder="1"/>
    <xf numFmtId="0" fontId="9" fillId="0" borderId="9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0" fillId="0" borderId="8" xfId="0" applyBorder="1"/>
    <xf numFmtId="0" fontId="9" fillId="0" borderId="10" xfId="0" applyFont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 applyAlignment="1">
      <alignment horizontal="center"/>
    </xf>
    <xf numFmtId="164" fontId="0" fillId="0" borderId="5" xfId="0" applyNumberFormat="1" applyBorder="1" applyAlignment="1"/>
    <xf numFmtId="0" fontId="9" fillId="0" borderId="34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11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37" xfId="0" applyBorder="1" applyAlignment="1">
      <alignment horizontal="right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/>
    <xf numFmtId="0" fontId="0" fillId="0" borderId="8" xfId="0" applyBorder="1" applyAlignment="1">
      <alignment horizontal="center"/>
    </xf>
    <xf numFmtId="164" fontId="0" fillId="0" borderId="8" xfId="0" applyNumberFormat="1" applyBorder="1" applyAlignment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5" fillId="0" borderId="1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0" fontId="0" fillId="4" borderId="3" xfId="0" applyFill="1" applyBorder="1"/>
    <xf numFmtId="0" fontId="11" fillId="4" borderId="24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/>
    </xf>
    <xf numFmtId="3" fontId="14" fillId="4" borderId="3" xfId="0" applyNumberFormat="1" applyFont="1" applyFill="1" applyBorder="1" applyAlignment="1">
      <alignment horizontal="right" vertical="center"/>
    </xf>
    <xf numFmtId="166" fontId="10" fillId="5" borderId="28" xfId="1" applyNumberFormat="1" applyFont="1" applyFill="1" applyBorder="1" applyAlignment="1" applyProtection="1">
      <alignment horizontal="right" vertical="center" wrapText="1"/>
    </xf>
    <xf numFmtId="166" fontId="10" fillId="5" borderId="29" xfId="1" applyNumberFormat="1" applyFont="1" applyFill="1" applyBorder="1" applyAlignment="1" applyProtection="1">
      <alignment horizontal="right" vertical="center" wrapText="1"/>
    </xf>
    <xf numFmtId="0" fontId="10" fillId="4" borderId="32" xfId="0" applyFont="1" applyFill="1" applyBorder="1" applyAlignment="1">
      <alignment horizontal="center" vertical="center"/>
    </xf>
    <xf numFmtId="0" fontId="0" fillId="4" borderId="5" xfId="0" applyFill="1" applyBorder="1"/>
    <xf numFmtId="0" fontId="11" fillId="4" borderId="5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/>
    </xf>
    <xf numFmtId="3" fontId="14" fillId="4" borderId="5" xfId="0" applyNumberFormat="1" applyFont="1" applyFill="1" applyBorder="1" applyAlignment="1">
      <alignment horizontal="right" vertical="center"/>
    </xf>
    <xf numFmtId="166" fontId="10" fillId="5" borderId="5" xfId="1" applyNumberFormat="1" applyFont="1" applyFill="1" applyBorder="1" applyAlignment="1" applyProtection="1">
      <alignment horizontal="right" vertical="center" wrapText="1"/>
    </xf>
    <xf numFmtId="166" fontId="10" fillId="5" borderId="6" xfId="1" applyNumberFormat="1" applyFont="1" applyFill="1" applyBorder="1" applyAlignment="1" applyProtection="1">
      <alignment horizontal="right" vertical="center" wrapText="1"/>
    </xf>
    <xf numFmtId="0" fontId="4" fillId="4" borderId="5" xfId="0" applyFont="1" applyFill="1" applyBorder="1"/>
    <xf numFmtId="0" fontId="10" fillId="4" borderId="2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 vertical="center" wrapText="1"/>
    </xf>
    <xf numFmtId="0" fontId="0" fillId="4" borderId="21" xfId="0" applyFont="1" applyFill="1" applyBorder="1" applyAlignment="1">
      <alignment horizontal="center"/>
    </xf>
    <xf numFmtId="3" fontId="14" fillId="4" borderId="21" xfId="0" applyNumberFormat="1" applyFont="1" applyFill="1" applyBorder="1" applyAlignment="1">
      <alignment horizontal="right" vertical="center"/>
    </xf>
    <xf numFmtId="0" fontId="0" fillId="4" borderId="0" xfId="0" applyFill="1" applyBorder="1"/>
    <xf numFmtId="3" fontId="14" fillId="4" borderId="23" xfId="0" applyNumberFormat="1" applyFont="1" applyFill="1" applyBorder="1" applyAlignment="1">
      <alignment horizontal="right" vertical="center"/>
    </xf>
    <xf numFmtId="166" fontId="10" fillId="5" borderId="22" xfId="1" applyNumberFormat="1" applyFont="1" applyFill="1" applyBorder="1" applyAlignment="1" applyProtection="1">
      <alignment horizontal="right" vertical="center" wrapText="1"/>
    </xf>
    <xf numFmtId="166" fontId="10" fillId="5" borderId="33" xfId="1" applyNumberFormat="1" applyFont="1" applyFill="1" applyBorder="1" applyAlignment="1" applyProtection="1">
      <alignment horizontal="right" vertical="center" wrapText="1"/>
    </xf>
    <xf numFmtId="0" fontId="4" fillId="4" borderId="21" xfId="0" applyFont="1" applyFill="1" applyBorder="1" applyAlignment="1">
      <alignment horizontal="center"/>
    </xf>
    <xf numFmtId="3" fontId="14" fillId="4" borderId="5" xfId="0" applyNumberFormat="1" applyFont="1" applyFill="1" applyBorder="1" applyAlignment="1">
      <alignment horizontal="right"/>
    </xf>
    <xf numFmtId="0" fontId="10" fillId="4" borderId="42" xfId="0" applyFont="1" applyFill="1" applyBorder="1" applyAlignment="1">
      <alignment horizontal="center" vertical="center"/>
    </xf>
    <xf numFmtId="0" fontId="0" fillId="4" borderId="8" xfId="0" applyFill="1" applyBorder="1"/>
    <xf numFmtId="0" fontId="11" fillId="4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/>
    </xf>
    <xf numFmtId="3" fontId="14" fillId="4" borderId="8" xfId="0" applyNumberFormat="1" applyFont="1" applyFill="1" applyBorder="1" applyAlignment="1">
      <alignment horizontal="right"/>
    </xf>
    <xf numFmtId="166" fontId="10" fillId="5" borderId="30" xfId="1" applyNumberFormat="1" applyFont="1" applyFill="1" applyBorder="1" applyAlignment="1" applyProtection="1">
      <alignment horizontal="right" vertical="center" wrapText="1"/>
    </xf>
    <xf numFmtId="166" fontId="10" fillId="5" borderId="31" xfId="1" applyNumberFormat="1" applyFont="1" applyFill="1" applyBorder="1" applyAlignment="1" applyProtection="1">
      <alignment horizontal="right" vertical="center" wrapText="1"/>
    </xf>
    <xf numFmtId="0" fontId="5" fillId="5" borderId="0" xfId="0" applyFont="1" applyFill="1" applyBorder="1" applyAlignment="1">
      <alignment horizontal="center"/>
    </xf>
    <xf numFmtId="0" fontId="5" fillId="5" borderId="13" xfId="0" applyFont="1" applyFill="1" applyBorder="1" applyAlignment="1"/>
    <xf numFmtId="166" fontId="10" fillId="5" borderId="37" xfId="1" applyNumberFormat="1" applyFont="1" applyFill="1" applyBorder="1" applyAlignment="1" applyProtection="1">
      <alignment horizontal="right" vertical="center" wrapText="1"/>
    </xf>
    <xf numFmtId="166" fontId="10" fillId="5" borderId="38" xfId="1" applyNumberFormat="1" applyFont="1" applyFill="1" applyBorder="1" applyAlignment="1" applyProtection="1">
      <alignment horizontal="right" vertical="center" wrapText="1"/>
    </xf>
    <xf numFmtId="166" fontId="10" fillId="5" borderId="3" xfId="1" applyNumberFormat="1" applyFont="1" applyFill="1" applyBorder="1" applyAlignment="1" applyProtection="1">
      <alignment horizontal="right" vertical="center" wrapText="1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/>
    <xf numFmtId="0" fontId="5" fillId="5" borderId="15" xfId="0" applyFont="1" applyFill="1" applyBorder="1" applyAlignment="1">
      <alignment horizontal="center"/>
    </xf>
    <xf numFmtId="0" fontId="5" fillId="5" borderId="16" xfId="0" applyFont="1" applyFill="1" applyBorder="1" applyAlignment="1"/>
    <xf numFmtId="0" fontId="5" fillId="5" borderId="5" xfId="0" applyFont="1" applyFill="1" applyBorder="1" applyAlignment="1">
      <alignment horizontal="center"/>
    </xf>
    <xf numFmtId="0" fontId="5" fillId="5" borderId="5" xfId="0" applyFont="1" applyFill="1" applyBorder="1" applyAlignment="1"/>
    <xf numFmtId="0" fontId="5" fillId="5" borderId="21" xfId="0" applyFont="1" applyFill="1" applyBorder="1" applyAlignment="1">
      <alignment horizontal="center"/>
    </xf>
    <xf numFmtId="0" fontId="5" fillId="5" borderId="21" xfId="0" applyFont="1" applyFill="1" applyBorder="1" applyAlignment="1"/>
    <xf numFmtId="0" fontId="5" fillId="5" borderId="22" xfId="0" applyFont="1" applyFill="1" applyBorder="1" applyAlignment="1">
      <alignment horizontal="center"/>
    </xf>
    <xf numFmtId="0" fontId="5" fillId="5" borderId="22" xfId="0" applyFont="1" applyFill="1" applyBorder="1" applyAlignment="1"/>
    <xf numFmtId="0" fontId="5" fillId="0" borderId="0" xfId="0" applyFont="1" applyFill="1"/>
    <xf numFmtId="166" fontId="16" fillId="3" borderId="3" xfId="1" applyNumberFormat="1" applyFont="1" applyFill="1" applyBorder="1" applyAlignment="1" applyProtection="1">
      <alignment horizontal="right" vertical="center" wrapText="1"/>
    </xf>
    <xf numFmtId="166" fontId="16" fillId="3" borderId="5" xfId="1" applyNumberFormat="1" applyFont="1" applyFill="1" applyBorder="1" applyAlignment="1" applyProtection="1">
      <alignment horizontal="right" vertical="center" wrapText="1"/>
    </xf>
    <xf numFmtId="166" fontId="16" fillId="3" borderId="30" xfId="1" applyNumberFormat="1" applyFont="1" applyFill="1" applyBorder="1" applyAlignment="1" applyProtection="1">
      <alignment horizontal="right" vertical="center" wrapText="1"/>
    </xf>
    <xf numFmtId="166" fontId="10" fillId="3" borderId="29" xfId="1" applyNumberFormat="1" applyFont="1" applyFill="1" applyBorder="1" applyAlignment="1" applyProtection="1">
      <alignment horizontal="right" vertical="center" wrapText="1"/>
    </xf>
    <xf numFmtId="166" fontId="10" fillId="3" borderId="6" xfId="1" applyNumberFormat="1" applyFont="1" applyFill="1" applyBorder="1" applyAlignment="1" applyProtection="1">
      <alignment horizontal="right" vertical="center" wrapText="1"/>
    </xf>
    <xf numFmtId="166" fontId="10" fillId="3" borderId="31" xfId="1" applyNumberFormat="1" applyFont="1" applyFill="1" applyBorder="1" applyAlignment="1" applyProtection="1">
      <alignment horizontal="right" vertical="center" wrapText="1"/>
    </xf>
    <xf numFmtId="166" fontId="15" fillId="0" borderId="0" xfId="0" applyNumberFormat="1" applyFont="1"/>
    <xf numFmtId="0" fontId="4" fillId="0" borderId="18" xfId="0" applyFont="1" applyFill="1" applyBorder="1" applyAlignment="1">
      <alignment horizontal="center"/>
    </xf>
    <xf numFmtId="0" fontId="4" fillId="0" borderId="18" xfId="0" applyFont="1" applyBorder="1"/>
    <xf numFmtId="0" fontId="35" fillId="0" borderId="0" xfId="0" applyFont="1" applyFill="1"/>
    <xf numFmtId="0" fontId="4" fillId="0" borderId="18" xfId="0" applyFont="1" applyFill="1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18" xfId="36" applyFont="1" applyBorder="1" applyAlignment="1">
      <alignment wrapText="1"/>
    </xf>
    <xf numFmtId="0" fontId="4" fillId="0" borderId="0" xfId="0" applyFont="1"/>
    <xf numFmtId="0" fontId="4" fillId="0" borderId="18" xfId="36" applyFont="1" applyBorder="1"/>
    <xf numFmtId="0" fontId="4" fillId="0" borderId="18" xfId="0" applyFont="1" applyBorder="1" applyAlignment="1">
      <alignment horizontal="left" wrapText="1"/>
    </xf>
    <xf numFmtId="0" fontId="4" fillId="0" borderId="18" xfId="0" applyFont="1" applyBorder="1" applyAlignment="1">
      <alignment wrapText="1"/>
    </xf>
    <xf numFmtId="0" fontId="4" fillId="0" borderId="53" xfId="0" applyFont="1" applyFill="1" applyBorder="1" applyAlignment="1">
      <alignment horizontal="center"/>
    </xf>
    <xf numFmtId="0" fontId="4" fillId="0" borderId="15" xfId="0" applyFont="1" applyFill="1" applyBorder="1"/>
    <xf numFmtId="0" fontId="15" fillId="0" borderId="17" xfId="0" applyFont="1" applyFill="1" applyBorder="1" applyAlignment="1">
      <alignment horizontal="center" vertical="center" wrapText="1"/>
    </xf>
    <xf numFmtId="0" fontId="4" fillId="0" borderId="0" xfId="0" applyFont="1" applyFill="1"/>
    <xf numFmtId="3" fontId="14" fillId="0" borderId="18" xfId="0" applyNumberFormat="1" applyFont="1" applyFill="1" applyBorder="1" applyAlignment="1">
      <alignment horizontal="center" vertical="center"/>
    </xf>
    <xf numFmtId="166" fontId="17" fillId="0" borderId="18" xfId="1" applyNumberFormat="1" applyFont="1" applyFill="1" applyBorder="1" applyAlignment="1" applyProtection="1">
      <alignment horizontal="center" vertical="center" wrapText="1"/>
    </xf>
    <xf numFmtId="3" fontId="14" fillId="0" borderId="52" xfId="0" applyNumberFormat="1" applyFont="1" applyFill="1" applyBorder="1" applyAlignment="1">
      <alignment horizontal="center" vertical="center"/>
    </xf>
    <xf numFmtId="166" fontId="17" fillId="0" borderId="52" xfId="1" applyNumberFormat="1" applyFont="1" applyFill="1" applyBorder="1" applyAlignment="1" applyProtection="1">
      <alignment horizontal="center" vertical="center" wrapText="1"/>
    </xf>
    <xf numFmtId="3" fontId="14" fillId="0" borderId="53" xfId="0" applyNumberFormat="1" applyFont="1" applyFill="1" applyBorder="1" applyAlignment="1">
      <alignment horizontal="center" vertical="center"/>
    </xf>
    <xf numFmtId="166" fontId="17" fillId="0" borderId="53" xfId="1" applyNumberFormat="1" applyFont="1" applyFill="1" applyBorder="1" applyAlignment="1" applyProtection="1">
      <alignment horizontal="center" vertical="center" wrapText="1"/>
    </xf>
    <xf numFmtId="0" fontId="36" fillId="0" borderId="9" xfId="0" applyFont="1" applyFill="1" applyBorder="1"/>
    <xf numFmtId="0" fontId="4" fillId="0" borderId="10" xfId="0" applyFont="1" applyFill="1" applyBorder="1"/>
    <xf numFmtId="0" fontId="4" fillId="0" borderId="11" xfId="0" applyFont="1" applyFill="1" applyBorder="1"/>
    <xf numFmtId="0" fontId="4" fillId="0" borderId="12" xfId="0" applyFont="1" applyFill="1" applyBorder="1"/>
    <xf numFmtId="0" fontId="4" fillId="0" borderId="0" xfId="0" applyFont="1" applyFill="1" applyBorder="1"/>
    <xf numFmtId="0" fontId="4" fillId="0" borderId="13" xfId="0" applyFont="1" applyFill="1" applyBorder="1"/>
    <xf numFmtId="0" fontId="36" fillId="0" borderId="12" xfId="0" applyFont="1" applyFill="1" applyBorder="1" applyAlignment="1">
      <alignment horizontal="left" indent="3"/>
    </xf>
    <xf numFmtId="0" fontId="4" fillId="0" borderId="17" xfId="0" applyFont="1" applyFill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4" fillId="0" borderId="22" xfId="0" applyFont="1" applyFill="1" applyBorder="1"/>
    <xf numFmtId="0" fontId="4" fillId="0" borderId="5" xfId="0" applyFont="1" applyFill="1" applyBorder="1" applyAlignment="1">
      <alignment horizontal="center"/>
    </xf>
    <xf numFmtId="0" fontId="4" fillId="0" borderId="5" xfId="0" applyFont="1" applyFill="1" applyBorder="1"/>
    <xf numFmtId="0" fontId="4" fillId="0" borderId="12" xfId="0" applyFont="1" applyFill="1" applyBorder="1" applyAlignment="1">
      <alignment horizontal="left" indent="3"/>
    </xf>
    <xf numFmtId="0" fontId="4" fillId="0" borderId="13" xfId="0" applyFont="1" applyFill="1" applyBorder="1" applyAlignment="1">
      <alignment horizontal="center" wrapText="1"/>
    </xf>
    <xf numFmtId="0" fontId="4" fillId="0" borderId="14" xfId="0" applyFont="1" applyFill="1" applyBorder="1" applyAlignment="1">
      <alignment horizontal="left" indent="3"/>
    </xf>
    <xf numFmtId="0" fontId="4" fillId="0" borderId="15" xfId="0" applyFont="1" applyFill="1" applyBorder="1" applyAlignment="1">
      <alignment horizontal="center"/>
    </xf>
    <xf numFmtId="0" fontId="4" fillId="0" borderId="16" xfId="0" applyFont="1" applyFill="1" applyBorder="1"/>
    <xf numFmtId="0" fontId="4" fillId="0" borderId="0" xfId="0" applyFont="1" applyFill="1" applyAlignment="1">
      <alignment horizontal="center"/>
    </xf>
    <xf numFmtId="0" fontId="4" fillId="0" borderId="17" xfId="0" applyFont="1" applyFill="1" applyBorder="1" applyAlignment="1">
      <alignment horizontal="left"/>
    </xf>
    <xf numFmtId="0" fontId="4" fillId="0" borderId="1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 wrapText="1"/>
    </xf>
    <xf numFmtId="0" fontId="4" fillId="0" borderId="17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center" wrapText="1"/>
    </xf>
    <xf numFmtId="0" fontId="38" fillId="0" borderId="0" xfId="0" applyFont="1" applyFill="1" applyAlignment="1">
      <alignment horizontal="left" wrapText="1" indent="1"/>
    </xf>
    <xf numFmtId="0" fontId="14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left" wrapText="1"/>
    </xf>
    <xf numFmtId="0" fontId="14" fillId="0" borderId="17" xfId="0" applyFont="1" applyFill="1" applyBorder="1" applyAlignment="1">
      <alignment horizontal="center" vertical="center" wrapText="1"/>
    </xf>
    <xf numFmtId="0" fontId="37" fillId="0" borderId="18" xfId="0" applyFont="1" applyFill="1" applyBorder="1" applyAlignment="1">
      <alignment horizontal="center"/>
    </xf>
    <xf numFmtId="166" fontId="41" fillId="0" borderId="18" xfId="1" applyNumberFormat="1" applyFont="1" applyFill="1" applyBorder="1" applyAlignment="1" applyProtection="1">
      <alignment horizontal="center" vertical="center" wrapText="1"/>
    </xf>
    <xf numFmtId="166" fontId="41" fillId="0" borderId="52" xfId="1" applyNumberFormat="1" applyFont="1" applyFill="1" applyBorder="1" applyAlignment="1" applyProtection="1">
      <alignment horizontal="center" vertical="center" wrapText="1"/>
    </xf>
    <xf numFmtId="166" fontId="41" fillId="0" borderId="53" xfId="1" applyNumberFormat="1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3" xfId="0" applyFont="1" applyFill="1" applyBorder="1" applyAlignment="1">
      <alignment horizontal="center" wrapText="1"/>
    </xf>
    <xf numFmtId="0" fontId="4" fillId="0" borderId="22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4" fillId="0" borderId="1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57" xfId="0" applyFont="1" applyBorder="1"/>
    <xf numFmtId="0" fontId="4" fillId="0" borderId="58" xfId="0" applyFont="1" applyBorder="1"/>
    <xf numFmtId="0" fontId="0" fillId="4" borderId="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4" fillId="0" borderId="53" xfId="0" applyFont="1" applyBorder="1"/>
    <xf numFmtId="0" fontId="4" fillId="0" borderId="53" xfId="0" applyFont="1" applyFill="1" applyBorder="1" applyAlignment="1">
      <alignment horizontal="center" wrapText="1"/>
    </xf>
    <xf numFmtId="1" fontId="4" fillId="0" borderId="5" xfId="0" applyNumberFormat="1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 vertical="center" wrapText="1"/>
    </xf>
    <xf numFmtId="0" fontId="13" fillId="3" borderId="0" xfId="0" applyFont="1" applyFill="1" applyBorder="1" applyAlignment="1">
      <alignment horizontal="left" wrapText="1" indent="1"/>
    </xf>
    <xf numFmtId="0" fontId="5" fillId="3" borderId="19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wrapText="1"/>
    </xf>
    <xf numFmtId="0" fontId="5" fillId="5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14" fillId="0" borderId="36" xfId="0" applyFont="1" applyFill="1" applyBorder="1" applyAlignment="1">
      <alignment horizontal="center" vertical="center" wrapText="1"/>
    </xf>
    <xf numFmtId="0" fontId="14" fillId="0" borderId="20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wrapText="1"/>
    </xf>
    <xf numFmtId="0" fontId="14" fillId="0" borderId="13" xfId="0" applyFont="1" applyFill="1" applyBorder="1" applyAlignment="1">
      <alignment horizontal="center" wrapText="1"/>
    </xf>
    <xf numFmtId="0" fontId="14" fillId="0" borderId="19" xfId="0" applyFont="1" applyFill="1" applyBorder="1" applyAlignment="1">
      <alignment horizontal="center" vertical="center"/>
    </xf>
    <xf numFmtId="0" fontId="14" fillId="0" borderId="36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55" xfId="0" applyFont="1" applyFill="1" applyBorder="1" applyAlignment="1">
      <alignment horizontal="center"/>
    </xf>
    <xf numFmtId="0" fontId="4" fillId="0" borderId="56" xfId="0" applyFont="1" applyFill="1" applyBorder="1" applyAlignment="1">
      <alignment horizontal="center"/>
    </xf>
    <xf numFmtId="0" fontId="40" fillId="0" borderId="0" xfId="0" applyFont="1" applyFill="1" applyBorder="1" applyAlignment="1">
      <alignment horizontal="center"/>
    </xf>
    <xf numFmtId="0" fontId="39" fillId="0" borderId="0" xfId="0" applyFont="1" applyFill="1" applyBorder="1" applyAlignment="1">
      <alignment horizontal="left" vertical="center" wrapText="1"/>
    </xf>
    <xf numFmtId="0" fontId="38" fillId="0" borderId="0" xfId="0" applyFont="1" applyFill="1" applyBorder="1" applyAlignment="1">
      <alignment horizontal="left" wrapText="1" indent="1"/>
    </xf>
    <xf numFmtId="0" fontId="4" fillId="0" borderId="40" xfId="0" applyFont="1" applyFill="1" applyBorder="1" applyAlignment="1">
      <alignment horizontal="center"/>
    </xf>
    <xf numFmtId="0" fontId="4" fillId="0" borderId="23" xfId="0" applyFont="1" applyFill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54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center"/>
    </xf>
    <xf numFmtId="0" fontId="5" fillId="5" borderId="22" xfId="0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0" fontId="15" fillId="5" borderId="19" xfId="0" applyFont="1" applyFill="1" applyBorder="1" applyAlignment="1">
      <alignment horizontal="left" wrapText="1"/>
    </xf>
    <xf numFmtId="0" fontId="15" fillId="5" borderId="36" xfId="0" applyFont="1" applyFill="1" applyBorder="1" applyAlignment="1">
      <alignment horizontal="left" wrapText="1"/>
    </xf>
    <xf numFmtId="0" fontId="15" fillId="5" borderId="20" xfId="0" applyFont="1" applyFill="1" applyBorder="1" applyAlignment="1">
      <alignment horizontal="left" wrapText="1"/>
    </xf>
  </cellXfs>
  <cellStyles count="46">
    <cellStyle name="20% - Énfasis1" xfId="19" builtinId="30" customBuiltin="1"/>
    <cellStyle name="20% - Énfasis2" xfId="22" builtinId="34" customBuiltin="1"/>
    <cellStyle name="20% - Énfasis3" xfId="25" builtinId="38" customBuiltin="1"/>
    <cellStyle name="20% - Énfasis4" xfId="28" builtinId="42" customBuiltin="1"/>
    <cellStyle name="20% - Énfasis5" xfId="31" builtinId="46" customBuiltin="1"/>
    <cellStyle name="20% - Énfasis6" xfId="34" builtinId="50" customBuiltin="1"/>
    <cellStyle name="40% - Énfasis1" xfId="20" builtinId="31" customBuiltin="1"/>
    <cellStyle name="40% - Énfasis2" xfId="23" builtinId="35" customBuiltin="1"/>
    <cellStyle name="40% - Énfasis3" xfId="26" builtinId="39" customBuiltin="1"/>
    <cellStyle name="40% - Énfasis4" xfId="29" builtinId="43" customBuiltin="1"/>
    <cellStyle name="40% - Énfasis5" xfId="32" builtinId="47" customBuiltin="1"/>
    <cellStyle name="40% - Énfasis6" xfId="35" builtinId="51" customBuiltin="1"/>
    <cellStyle name="60% - Énfasis1 2" xfId="40"/>
    <cellStyle name="60% - Énfasis2 2" xfId="41"/>
    <cellStyle name="60% - Énfasis3 2" xfId="42"/>
    <cellStyle name="60% - Énfasis4 2" xfId="43"/>
    <cellStyle name="60% - Énfasis5 2" xfId="44"/>
    <cellStyle name="60% - Énfasis6 2" xfId="45"/>
    <cellStyle name="Buena" xfId="8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2"/>
    <cellStyle name="Encabezado 1 2" xfId="37"/>
    <cellStyle name="Encabezado 4" xfId="7" builtinId="19" customBuiltin="1"/>
    <cellStyle name="Énfasis1" xfId="18" builtinId="29" customBuiltin="1"/>
    <cellStyle name="Énfasis2" xfId="21" builtinId="33" customBuiltin="1"/>
    <cellStyle name="Énfasis3" xfId="24" builtinId="37" customBuiltin="1"/>
    <cellStyle name="Énfasis4" xfId="27" builtinId="41" customBuiltin="1"/>
    <cellStyle name="Énfasis5" xfId="30" builtinId="45" customBuiltin="1"/>
    <cellStyle name="Énfasis6" xfId="33" builtinId="49" customBuiltin="1"/>
    <cellStyle name="Entrada" xfId="10" builtinId="20" customBuiltin="1"/>
    <cellStyle name="Incorrecto" xfId="9" builtinId="27" customBuiltin="1"/>
    <cellStyle name="Moneda" xfId="1" builtinId="4"/>
    <cellStyle name="Neutral 1" xfId="3"/>
    <cellStyle name="Neutral 2" xfId="38"/>
    <cellStyle name="Normal" xfId="0" builtinId="0"/>
    <cellStyle name="Normal 2" xfId="36"/>
    <cellStyle name="Notas 2" xfId="39"/>
    <cellStyle name="Salida" xfId="11" builtinId="21" customBuiltin="1"/>
    <cellStyle name="Texto de advertencia" xfId="15" builtinId="11" customBuiltin="1"/>
    <cellStyle name="Texto explicativo" xfId="16" builtinId="53" customBuiltin="1"/>
    <cellStyle name="Título" xfId="4" builtinId="15" customBuiltin="1"/>
    <cellStyle name="Título 2" xfId="5" builtinId="17" customBuiltin="1"/>
    <cellStyle name="Título 3" xfId="6" builtinId="18" customBuiltin="1"/>
    <cellStyle name="Total" xfId="17" builtinId="25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arrolloHumano\Downloads\escrit\COMEDORES\COMEDORES%20EMERGENTES\COMESORES%20DESDE%2025-06-20\LISTA%20COMEDORES%20EMERG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EDORES EMERGENTES"/>
      <sheetName val="Hoja1"/>
      <sheetName val="UNA SONRISA"/>
      <sheetName val="C.I.F. Nº 1"/>
      <sheetName val="C.I.F"/>
      <sheetName val="COMEDOR ESFUERZO PROPIO"/>
      <sheetName val="ANGELITOS "/>
      <sheetName val="LA CHACARITA"/>
      <sheetName val="LA MORO"/>
      <sheetName val="PAPA FRANCISCO"/>
      <sheetName val="EPC NORTE"/>
      <sheetName val="HOGAR DE CRISTO"/>
      <sheetName val="LA LUCIERNAGA"/>
      <sheetName val="CLUB SUMALAO "/>
      <sheetName val="NUESTRO FUTURO LAS VIAS"/>
      <sheetName val="SAN JOSE OBRERO"/>
      <sheetName val="VIRGEN DE LUJAN"/>
      <sheetName val="RENACER"/>
      <sheetName val="CENTRO VECINAL MI JARDIN"/>
      <sheetName val="karina"/>
    </sheetNames>
    <sheetDataSet>
      <sheetData sheetId="0">
        <row r="3">
          <cell r="B3" t="str">
            <v>UNA SONRISA AV. LOS COBACHO</v>
          </cell>
          <cell r="G3" t="str">
            <v>Bº SAN CARLOS OESTE AV. Bonifacio cobacho 670</v>
          </cell>
        </row>
        <row r="4">
          <cell r="B4" t="str">
            <v>C.I.F Nº1 - RIVERA DEL VALLE Y FLORIDA</v>
          </cell>
          <cell r="G4" t="str">
            <v>AV. RIVIERA DEL VALLE ENTRE FLORIDA Y SANTA FE</v>
          </cell>
        </row>
        <row r="5">
          <cell r="B5" t="str">
            <v>C.I.F - RIVERA DEL VALLE - DILORENZO</v>
          </cell>
          <cell r="G5" t="str">
            <v>Bº RIVERA DEL VALLE ENTRE VILLA EUMELIA Y MONTE CRISTO</v>
          </cell>
        </row>
        <row r="6">
          <cell r="B6" t="str">
            <v>ESFUERZO PROPIO- Bº ALTOS DE CHOYA</v>
          </cell>
          <cell r="G6" t="str">
            <v>Bº MUNICIPAL 35VV. NORTE C/14</v>
          </cell>
        </row>
        <row r="7">
          <cell r="B7" t="str">
            <v>ANGELITOS - LOTEO SUSSEX</v>
          </cell>
          <cell r="G7" t="str">
            <v>Bº LOTEO SUSEX MZA.Nº 4 LOTE Nº3</v>
          </cell>
        </row>
        <row r="8">
          <cell r="B8" t="str">
            <v>CLUB DEPORTIVO CHACARITA</v>
          </cell>
          <cell r="G8" t="str">
            <v>CALLE DR.DERMIDIO GALINDEZ C/2660</v>
          </cell>
        </row>
        <row r="9">
          <cell r="B9" t="str">
            <v>LA MORO</v>
          </cell>
          <cell r="G9" t="str">
            <v>MAIPU NORTE 1º ETAPA MZA "H" Bº MI JARDIN</v>
          </cell>
        </row>
        <row r="10">
          <cell r="B10" t="str">
            <v>PAPA FRANCISCO</v>
          </cell>
          <cell r="G10" t="str">
            <v>ENTRE AV.TEREBINTO Y AV.SAN JUAN LOTE "2" MZA. "B"</v>
          </cell>
        </row>
        <row r="11">
          <cell r="B11" t="str">
            <v>E.P.C - 100 V.V NORTE</v>
          </cell>
          <cell r="G11" t="str">
            <v>Bº VV NORTE C/48 ENTRE ESPAÑA Y FRANCIA</v>
          </cell>
        </row>
        <row r="12">
          <cell r="B12" t="str">
            <v>HOGAR DE CRISTO - PADRE RAUL CONTRERAS</v>
          </cell>
          <cell r="G12" t="str">
            <v>Bº SANTA MARTA MZA. "S" LOTE "M" C/39</v>
          </cell>
        </row>
        <row r="13">
          <cell r="B13" t="str">
            <v>LA LUCIERNAGA</v>
          </cell>
          <cell r="G13" t="str">
            <v>Bº 20 V.V NORTE C/3</v>
          </cell>
        </row>
        <row r="14">
          <cell r="B14" t="str">
            <v>VALLE VIEJO - SUMALAO</v>
          </cell>
          <cell r="G14" t="str">
            <v>PADRE SEGURA S/N</v>
          </cell>
        </row>
        <row r="15">
          <cell r="B15" t="str">
            <v>NUESTRO FUTURO - LAS VIAS</v>
          </cell>
          <cell r="G15" t="str">
            <v>Bº LAS VIAS OESTE LOTE 42</v>
          </cell>
        </row>
        <row r="16">
          <cell r="B16" t="str">
            <v>SAN JOSE OBRERO</v>
          </cell>
          <cell r="G16" t="str">
            <v>Bº SAN JOSE OBRERO. PJE. SANDOVAL S/Nº</v>
          </cell>
        </row>
        <row r="17">
          <cell r="B17" t="str">
            <v>VIRGEN DE LUJAN</v>
          </cell>
          <cell r="G17" t="str">
            <v>Bº OJO DE AGUA C/DR.TEODULFO BARRIONUEVO S/Nº</v>
          </cell>
        </row>
        <row r="18">
          <cell r="B18" t="str">
            <v>RENACER</v>
          </cell>
          <cell r="G18" t="str">
            <v>Bº VIRGEN MORENITA</v>
          </cell>
        </row>
        <row r="19">
          <cell r="B19" t="str">
            <v>CENTRO VECINAL MI JARDIN</v>
          </cell>
          <cell r="G19" t="str">
            <v>C/ LOS TULIPANES ENTRE FLOR DE CEREZO Y HOLANDA MZA.27 Bº MI JARDIN</v>
          </cell>
        </row>
        <row r="20">
          <cell r="B20" t="str">
            <v>LA VIEJA ESQUINA</v>
          </cell>
          <cell r="G20" t="str">
            <v>B° CRISTO REY PJE CAPATAZ VILLAFAÑEZ Y ARMANDO CORREA</v>
          </cell>
        </row>
        <row r="21">
          <cell r="B21" t="str">
            <v>GAUCHITO GIL</v>
          </cell>
          <cell r="G21" t="str">
            <v>B° 26 VIVIENDAS CASA N° 3</v>
          </cell>
        </row>
        <row r="22">
          <cell r="B22" t="str">
            <v>LOS TOLDOS</v>
          </cell>
          <cell r="G22" t="str">
            <v>LOTEO PARQUE SUR CALLE S/NOMBRE S/N°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workbookViewId="0">
      <selection sqref="A1:XFD1048576"/>
    </sheetView>
  </sheetViews>
  <sheetFormatPr baseColWidth="10" defaultColWidth="11" defaultRowHeight="12.75" x14ac:dyDescent="0.2"/>
  <cols>
    <col min="1" max="1" width="4.5703125" style="1" customWidth="1"/>
    <col min="2" max="2" width="19.85546875" style="1" customWidth="1"/>
    <col min="3" max="3" width="32.42578125" style="1" customWidth="1"/>
    <col min="4" max="4" width="10.42578125" style="1" customWidth="1"/>
    <col min="5" max="5" width="68.8554687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184" t="s">
        <v>0</v>
      </c>
      <c r="C2" s="184"/>
      <c r="D2" s="184"/>
      <c r="E2" s="184"/>
      <c r="F2" s="184"/>
      <c r="G2" s="184"/>
      <c r="H2" s="184"/>
    </row>
    <row r="4" spans="1:9" ht="18" customHeight="1" x14ac:dyDescent="0.25">
      <c r="A4" s="185" t="s">
        <v>1</v>
      </c>
      <c r="B4" s="185"/>
      <c r="C4" s="186" t="s">
        <v>27</v>
      </c>
      <c r="D4" s="186"/>
      <c r="E4" s="186"/>
      <c r="F4" s="2"/>
      <c r="G4" s="3"/>
      <c r="H4" s="2"/>
    </row>
    <row r="5" spans="1:9" ht="18" customHeight="1" x14ac:dyDescent="0.25">
      <c r="A5" s="185" t="s">
        <v>2</v>
      </c>
      <c r="B5" s="185"/>
      <c r="C5" s="186" t="s">
        <v>23</v>
      </c>
      <c r="D5" s="186"/>
      <c r="E5" s="186"/>
      <c r="F5" s="2"/>
      <c r="G5" s="3"/>
      <c r="H5" s="2"/>
    </row>
    <row r="6" spans="1:9" ht="16.5" customHeight="1" x14ac:dyDescent="0.25">
      <c r="A6" s="185" t="s">
        <v>3</v>
      </c>
      <c r="B6" s="185"/>
      <c r="C6" s="20">
        <v>2020</v>
      </c>
      <c r="D6" s="21"/>
      <c r="E6" s="21"/>
      <c r="F6" s="2"/>
      <c r="G6" s="3"/>
      <c r="H6" s="2"/>
    </row>
    <row r="7" spans="1:9" ht="16.5" customHeight="1" x14ac:dyDescent="0.25">
      <c r="A7" s="185" t="s">
        <v>4</v>
      </c>
      <c r="B7" s="185"/>
      <c r="C7" s="20">
        <v>3</v>
      </c>
      <c r="D7" s="21"/>
      <c r="E7" s="21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23" t="s">
        <v>5</v>
      </c>
      <c r="B9" s="32" t="s">
        <v>6</v>
      </c>
      <c r="C9" s="32" t="s">
        <v>7</v>
      </c>
      <c r="D9" s="28" t="s">
        <v>8</v>
      </c>
      <c r="E9" s="32" t="s">
        <v>9</v>
      </c>
      <c r="F9" s="24" t="s">
        <v>10</v>
      </c>
      <c r="G9" s="25" t="s">
        <v>11</v>
      </c>
      <c r="H9" s="25" t="s">
        <v>12</v>
      </c>
      <c r="I9" s="26" t="s">
        <v>13</v>
      </c>
    </row>
    <row r="10" spans="1:9" ht="13.5" thickBot="1" x14ac:dyDescent="0.25">
      <c r="A10" s="33">
        <v>28</v>
      </c>
      <c r="B10" s="34" t="s">
        <v>67</v>
      </c>
      <c r="C10" s="35" t="s">
        <v>68</v>
      </c>
      <c r="D10" s="36" t="s">
        <v>69</v>
      </c>
      <c r="E10" s="35" t="s">
        <v>70</v>
      </c>
      <c r="F10" s="37" t="s">
        <v>14</v>
      </c>
      <c r="G10" s="38">
        <v>240</v>
      </c>
      <c r="H10" s="90">
        <v>450</v>
      </c>
      <c r="I10" s="91">
        <f>+G10*H10</f>
        <v>108000</v>
      </c>
    </row>
    <row r="12" spans="1:9" ht="13.5" thickBot="1" x14ac:dyDescent="0.25"/>
    <row r="13" spans="1:9" x14ac:dyDescent="0.2">
      <c r="B13" s="7" t="s">
        <v>15</v>
      </c>
      <c r="C13" s="8"/>
      <c r="D13" s="8"/>
      <c r="E13" s="9"/>
    </row>
    <row r="14" spans="1:9" ht="5.25" customHeight="1" x14ac:dyDescent="0.2">
      <c r="B14" s="10"/>
      <c r="C14" s="11"/>
      <c r="D14" s="11"/>
      <c r="E14" s="12"/>
    </row>
    <row r="15" spans="1:9" x14ac:dyDescent="0.2">
      <c r="B15" s="13" t="s">
        <v>16</v>
      </c>
      <c r="C15" s="11"/>
      <c r="D15" s="11"/>
      <c r="E15" s="12"/>
    </row>
    <row r="16" spans="1:9" ht="25.5" customHeight="1" x14ac:dyDescent="0.2">
      <c r="B16" s="192" t="s">
        <v>82</v>
      </c>
      <c r="C16" s="193"/>
      <c r="D16" s="193"/>
      <c r="E16" s="194"/>
    </row>
    <row r="17" spans="2:5" ht="13.5" thickBot="1" x14ac:dyDescent="0.25">
      <c r="B17" s="13" t="s">
        <v>17</v>
      </c>
      <c r="C17" s="11"/>
      <c r="D17" s="11"/>
      <c r="E17" s="12"/>
    </row>
    <row r="18" spans="2:5" ht="13.5" thickBot="1" x14ac:dyDescent="0.25">
      <c r="B18" s="187" t="s">
        <v>98</v>
      </c>
      <c r="C18" s="191"/>
      <c r="D18" s="191"/>
      <c r="E18" s="188"/>
    </row>
    <row r="19" spans="2:5" ht="13.5" thickBot="1" x14ac:dyDescent="0.25">
      <c r="B19" s="187" t="s">
        <v>99</v>
      </c>
      <c r="C19" s="188"/>
      <c r="D19" s="49" t="s">
        <v>11</v>
      </c>
      <c r="E19" s="49" t="s">
        <v>100</v>
      </c>
    </row>
    <row r="20" spans="2:5" x14ac:dyDescent="0.2">
      <c r="B20" s="189" t="str">
        <f>'[1]COMEDORES EMERGENTES'!$B$3</f>
        <v>UNA SONRISA AV. LOS COBACHO</v>
      </c>
      <c r="C20" s="190"/>
      <c r="D20" s="88">
        <v>1</v>
      </c>
      <c r="E20" s="89" t="str">
        <f>'[1]COMEDORES EMERGENTES'!$G$3</f>
        <v>Bº SAN CARLOS OESTE AV. Bonifacio cobacho 670</v>
      </c>
    </row>
    <row r="21" spans="2:5" x14ac:dyDescent="0.2">
      <c r="B21" s="182" t="str">
        <f>'[1]COMEDORES EMERGENTES'!$B$4</f>
        <v>C.I.F Nº1 - RIVERA DEL VALLE Y FLORIDA</v>
      </c>
      <c r="C21" s="183"/>
      <c r="D21" s="88">
        <v>1</v>
      </c>
      <c r="E21" s="89" t="str">
        <f>'[1]COMEDORES EMERGENTES'!$G$4</f>
        <v>AV. RIVIERA DEL VALLE ENTRE FLORIDA Y SANTA FE</v>
      </c>
    </row>
    <row r="22" spans="2:5" x14ac:dyDescent="0.2">
      <c r="B22" s="182" t="str">
        <f>'[1]COMEDORES EMERGENTES'!$B$5</f>
        <v>C.I.F - RIVERA DEL VALLE - DILORENZO</v>
      </c>
      <c r="C22" s="183"/>
      <c r="D22" s="88">
        <v>1</v>
      </c>
      <c r="E22" s="89" t="str">
        <f>'[1]COMEDORES EMERGENTES'!$G$5</f>
        <v>Bº RIVERA DEL VALLE ENTRE VILLA EUMELIA Y MONTE CRISTO</v>
      </c>
    </row>
    <row r="23" spans="2:5" x14ac:dyDescent="0.2">
      <c r="B23" s="182" t="str">
        <f>'[1]COMEDORES EMERGENTES'!$B$6</f>
        <v>ESFUERZO PROPIO- Bº ALTOS DE CHOYA</v>
      </c>
      <c r="C23" s="183"/>
      <c r="D23" s="88">
        <v>1</v>
      </c>
      <c r="E23" s="89" t="str">
        <f>'[1]COMEDORES EMERGENTES'!$G$6</f>
        <v>Bº MUNICIPAL 35VV. NORTE C/14</v>
      </c>
    </row>
    <row r="24" spans="2:5" x14ac:dyDescent="0.2">
      <c r="B24" s="182" t="str">
        <f>'[1]COMEDORES EMERGENTES'!$B$7</f>
        <v>ANGELITOS - LOTEO SUSSEX</v>
      </c>
      <c r="C24" s="183"/>
      <c r="D24" s="88">
        <v>1</v>
      </c>
      <c r="E24" s="89" t="str">
        <f>'[1]COMEDORES EMERGENTES'!$G$7</f>
        <v>Bº LOTEO SUSEX MZA.Nº 4 LOTE Nº3</v>
      </c>
    </row>
    <row r="25" spans="2:5" x14ac:dyDescent="0.2">
      <c r="B25" s="182" t="str">
        <f>'[1]COMEDORES EMERGENTES'!$B$8</f>
        <v>CLUB DEPORTIVO CHACARITA</v>
      </c>
      <c r="C25" s="183"/>
      <c r="D25" s="88">
        <v>1</v>
      </c>
      <c r="E25" s="89" t="str">
        <f>'[1]COMEDORES EMERGENTES'!$G$8</f>
        <v>CALLE DR.DERMIDIO GALINDEZ C/2660</v>
      </c>
    </row>
    <row r="26" spans="2:5" x14ac:dyDescent="0.2">
      <c r="B26" s="182" t="str">
        <f>'[1]COMEDORES EMERGENTES'!$B$9</f>
        <v>LA MORO</v>
      </c>
      <c r="C26" s="183"/>
      <c r="D26" s="88">
        <v>1</v>
      </c>
      <c r="E26" s="89" t="str">
        <f>'[1]COMEDORES EMERGENTES'!$G$9</f>
        <v>MAIPU NORTE 1º ETAPA MZA "H" Bº MI JARDIN</v>
      </c>
    </row>
    <row r="27" spans="2:5" x14ac:dyDescent="0.2">
      <c r="B27" s="182" t="str">
        <f>'[1]COMEDORES EMERGENTES'!$B$10</f>
        <v>PAPA FRANCISCO</v>
      </c>
      <c r="C27" s="183"/>
      <c r="D27" s="88">
        <v>1</v>
      </c>
      <c r="E27" s="89" t="str">
        <f>'[1]COMEDORES EMERGENTES'!$G$10</f>
        <v>ENTRE AV.TEREBINTO Y AV.SAN JUAN LOTE "2" MZA. "B"</v>
      </c>
    </row>
    <row r="28" spans="2:5" x14ac:dyDescent="0.2">
      <c r="B28" s="182" t="str">
        <f>'[1]COMEDORES EMERGENTES'!$B$11</f>
        <v>E.P.C - 100 V.V NORTE</v>
      </c>
      <c r="C28" s="183"/>
      <c r="D28" s="88">
        <v>1</v>
      </c>
      <c r="E28" s="89" t="str">
        <f>'[1]COMEDORES EMERGENTES'!$G$11</f>
        <v>Bº VV NORTE C/48 ENTRE ESPAÑA Y FRANCIA</v>
      </c>
    </row>
    <row r="29" spans="2:5" x14ac:dyDescent="0.2">
      <c r="B29" s="182" t="str">
        <f>'[1]COMEDORES EMERGENTES'!$B$12</f>
        <v>HOGAR DE CRISTO - PADRE RAUL CONTRERAS</v>
      </c>
      <c r="C29" s="183"/>
      <c r="D29" s="88">
        <v>1</v>
      </c>
      <c r="E29" s="89" t="str">
        <f>'[1]COMEDORES EMERGENTES'!$G$12</f>
        <v>Bº SANTA MARTA MZA. "S" LOTE "M" C/39</v>
      </c>
    </row>
    <row r="30" spans="2:5" x14ac:dyDescent="0.2">
      <c r="B30" s="182" t="str">
        <f>'[1]COMEDORES EMERGENTES'!$B$13</f>
        <v>LA LUCIERNAGA</v>
      </c>
      <c r="C30" s="183"/>
      <c r="D30" s="88">
        <v>1</v>
      </c>
      <c r="E30" s="89" t="str">
        <f>'[1]COMEDORES EMERGENTES'!$G$13</f>
        <v>Bº 20 V.V NORTE C/3</v>
      </c>
    </row>
    <row r="31" spans="2:5" x14ac:dyDescent="0.2">
      <c r="B31" s="182" t="str">
        <f>'[1]COMEDORES EMERGENTES'!$B$14</f>
        <v>VALLE VIEJO - SUMALAO</v>
      </c>
      <c r="C31" s="183"/>
      <c r="D31" s="88">
        <v>1</v>
      </c>
      <c r="E31" s="89" t="str">
        <f>'[1]COMEDORES EMERGENTES'!$G$14</f>
        <v>PADRE SEGURA S/N</v>
      </c>
    </row>
    <row r="32" spans="2:5" x14ac:dyDescent="0.2">
      <c r="B32" s="182" t="str">
        <f>'[1]COMEDORES EMERGENTES'!$B$15</f>
        <v>NUESTRO FUTURO - LAS VIAS</v>
      </c>
      <c r="C32" s="183"/>
      <c r="D32" s="88">
        <v>1</v>
      </c>
      <c r="E32" s="89" t="str">
        <f>'[1]COMEDORES EMERGENTES'!$G$15</f>
        <v>Bº LAS VIAS OESTE LOTE 42</v>
      </c>
    </row>
    <row r="33" spans="2:5" x14ac:dyDescent="0.2">
      <c r="B33" s="182" t="str">
        <f>'[1]COMEDORES EMERGENTES'!$B$16</f>
        <v>SAN JOSE OBRERO</v>
      </c>
      <c r="C33" s="183"/>
      <c r="D33" s="88">
        <v>1</v>
      </c>
      <c r="E33" s="89" t="str">
        <f>'[1]COMEDORES EMERGENTES'!$G$16</f>
        <v>Bº SAN JOSE OBRERO. PJE. SANDOVAL S/Nº</v>
      </c>
    </row>
    <row r="34" spans="2:5" x14ac:dyDescent="0.2">
      <c r="B34" s="182" t="str">
        <f>'[1]COMEDORES EMERGENTES'!$B$17</f>
        <v>VIRGEN DE LUJAN</v>
      </c>
      <c r="C34" s="183"/>
      <c r="D34" s="88">
        <v>1</v>
      </c>
      <c r="E34" s="89" t="str">
        <f>'[1]COMEDORES EMERGENTES'!$G$17</f>
        <v>Bº OJO DE AGUA C/DR.TEODULFO BARRIONUEVO S/Nº</v>
      </c>
    </row>
    <row r="35" spans="2:5" x14ac:dyDescent="0.2">
      <c r="B35" s="182" t="str">
        <f>'[1]COMEDORES EMERGENTES'!$B$18</f>
        <v>RENACER</v>
      </c>
      <c r="C35" s="183"/>
      <c r="D35" s="88">
        <v>1</v>
      </c>
      <c r="E35" s="89" t="str">
        <f>'[1]COMEDORES EMERGENTES'!$G$18</f>
        <v>Bº VIRGEN MORENITA</v>
      </c>
    </row>
    <row r="36" spans="2:5" x14ac:dyDescent="0.2">
      <c r="B36" s="182" t="str">
        <f>'[1]COMEDORES EMERGENTES'!$B$19</f>
        <v>CENTRO VECINAL MI JARDIN</v>
      </c>
      <c r="C36" s="183"/>
      <c r="D36" s="88">
        <v>1</v>
      </c>
      <c r="E36" s="89" t="str">
        <f>'[1]COMEDORES EMERGENTES'!$G$19</f>
        <v>C/ LOS TULIPANES ENTRE FLOR DE CEREZO Y HOLANDA MZA.27 Bº MI JARDIN</v>
      </c>
    </row>
    <row r="37" spans="2:5" x14ac:dyDescent="0.2">
      <c r="B37" s="182" t="str">
        <f>'[1]COMEDORES EMERGENTES'!$B$20</f>
        <v>LA VIEJA ESQUINA</v>
      </c>
      <c r="C37" s="183"/>
      <c r="D37" s="88">
        <v>1</v>
      </c>
      <c r="E37" s="89" t="str">
        <f>'[1]COMEDORES EMERGENTES'!$G$20</f>
        <v>B° CRISTO REY PJE CAPATAZ VILLAFAÑEZ Y ARMANDO CORREA</v>
      </c>
    </row>
    <row r="38" spans="2:5" x14ac:dyDescent="0.2">
      <c r="B38" s="182" t="str">
        <f>'[1]COMEDORES EMERGENTES'!$B$21</f>
        <v>GAUCHITO GIL</v>
      </c>
      <c r="C38" s="183"/>
      <c r="D38" s="88">
        <v>1</v>
      </c>
      <c r="E38" s="89" t="str">
        <f>'[1]COMEDORES EMERGENTES'!$G$21</f>
        <v>B° 26 VIVIENDAS CASA N° 3</v>
      </c>
    </row>
    <row r="39" spans="2:5" x14ac:dyDescent="0.2">
      <c r="B39" s="182" t="str">
        <f>'[1]COMEDORES EMERGENTES'!$B$22</f>
        <v>LOS TOLDOS</v>
      </c>
      <c r="C39" s="183"/>
      <c r="D39" s="88">
        <v>1</v>
      </c>
      <c r="E39" s="89" t="str">
        <f>'[1]COMEDORES EMERGENTES'!$G$22</f>
        <v>LOTEO PARQUE SUR CALLE S/NOMBRE S/N°</v>
      </c>
    </row>
    <row r="40" spans="2:5" x14ac:dyDescent="0.2">
      <c r="B40" s="13" t="s">
        <v>20</v>
      </c>
      <c r="C40" s="11"/>
      <c r="D40" s="11"/>
      <c r="E40" s="12"/>
    </row>
    <row r="41" spans="2:5" x14ac:dyDescent="0.2">
      <c r="B41" s="179" t="s">
        <v>25</v>
      </c>
      <c r="C41" s="180"/>
      <c r="D41" s="180"/>
      <c r="E41" s="181"/>
    </row>
    <row r="42" spans="2:5" ht="13.5" thickBot="1" x14ac:dyDescent="0.25">
      <c r="B42" s="17"/>
      <c r="C42" s="18"/>
      <c r="D42" s="18"/>
      <c r="E42" s="19"/>
    </row>
  </sheetData>
  <mergeCells count="31">
    <mergeCell ref="B22:C22"/>
    <mergeCell ref="B38:C38"/>
    <mergeCell ref="B18:E18"/>
    <mergeCell ref="B16:E16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A6:B6"/>
    <mergeCell ref="A7:B7"/>
    <mergeCell ref="B19:C19"/>
    <mergeCell ref="B20:C20"/>
    <mergeCell ref="B21:C21"/>
    <mergeCell ref="B2:H2"/>
    <mergeCell ref="A4:B4"/>
    <mergeCell ref="C4:E4"/>
    <mergeCell ref="A5:B5"/>
    <mergeCell ref="C5:E5"/>
    <mergeCell ref="B41:E41"/>
    <mergeCell ref="B33:C33"/>
    <mergeCell ref="B34:C34"/>
    <mergeCell ref="B35:C35"/>
    <mergeCell ref="B36:C36"/>
    <mergeCell ref="B37:C37"/>
    <mergeCell ref="B39:C39"/>
  </mergeCells>
  <pageMargins left="0.43307086614173229" right="0.51181102362204722" top="0.31496062992125984" bottom="0.74803149606299213" header="0.31496062992125984" footer="0.31496062992125984"/>
  <pageSetup paperSize="5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8"/>
  <sheetViews>
    <sheetView workbookViewId="0">
      <selection sqref="A1:XFD1048576"/>
    </sheetView>
  </sheetViews>
  <sheetFormatPr baseColWidth="10" defaultColWidth="11" defaultRowHeight="12.75" x14ac:dyDescent="0.2"/>
  <cols>
    <col min="1" max="1" width="3.5703125" style="1" customWidth="1"/>
    <col min="2" max="2" width="19.28515625" style="1" customWidth="1"/>
    <col min="3" max="3" width="29.28515625" style="1" customWidth="1"/>
    <col min="4" max="4" width="8.85546875" style="1" customWidth="1"/>
    <col min="5" max="5" width="110.140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184" t="s">
        <v>0</v>
      </c>
      <c r="C2" s="184"/>
      <c r="D2" s="184"/>
      <c r="E2" s="184"/>
      <c r="F2" s="184"/>
      <c r="G2" s="184"/>
      <c r="H2" s="184"/>
    </row>
    <row r="4" spans="1:9" ht="18" customHeight="1" x14ac:dyDescent="0.25">
      <c r="A4" s="185" t="s">
        <v>1</v>
      </c>
      <c r="B4" s="185"/>
      <c r="C4" s="186" t="s">
        <v>27</v>
      </c>
      <c r="D4" s="186"/>
      <c r="E4" s="186"/>
      <c r="F4" s="2"/>
      <c r="G4" s="3"/>
      <c r="H4" s="2"/>
    </row>
    <row r="5" spans="1:9" ht="18" customHeight="1" x14ac:dyDescent="0.25">
      <c r="A5" s="185" t="s">
        <v>2</v>
      </c>
      <c r="B5" s="185"/>
      <c r="C5" s="186" t="s">
        <v>23</v>
      </c>
      <c r="D5" s="186"/>
      <c r="E5" s="186"/>
      <c r="F5" s="2"/>
      <c r="G5" s="3"/>
      <c r="H5" s="2"/>
    </row>
    <row r="6" spans="1:9" ht="16.5" customHeight="1" x14ac:dyDescent="0.25">
      <c r="A6" s="185" t="s">
        <v>3</v>
      </c>
      <c r="B6" s="185"/>
      <c r="C6" s="20">
        <v>2020</v>
      </c>
      <c r="D6" s="21"/>
      <c r="E6" s="21"/>
      <c r="F6" s="2"/>
      <c r="G6" s="3"/>
      <c r="H6" s="2"/>
    </row>
    <row r="7" spans="1:9" ht="16.5" customHeight="1" x14ac:dyDescent="0.25">
      <c r="A7" s="185" t="s">
        <v>4</v>
      </c>
      <c r="B7" s="185"/>
      <c r="C7" s="20">
        <v>3</v>
      </c>
      <c r="D7" s="21"/>
      <c r="E7" s="21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23" t="s">
        <v>5</v>
      </c>
      <c r="B9" s="32" t="s">
        <v>6</v>
      </c>
      <c r="C9" s="23" t="s">
        <v>7</v>
      </c>
      <c r="D9" s="23" t="s">
        <v>8</v>
      </c>
      <c r="E9" s="32" t="s">
        <v>9</v>
      </c>
      <c r="F9" s="24" t="s">
        <v>10</v>
      </c>
      <c r="G9" s="25" t="s">
        <v>11</v>
      </c>
      <c r="H9" s="25" t="s">
        <v>12</v>
      </c>
      <c r="I9" s="26" t="s">
        <v>13</v>
      </c>
    </row>
    <row r="10" spans="1:9" x14ac:dyDescent="0.2">
      <c r="A10" s="4">
        <v>1</v>
      </c>
      <c r="B10" s="29" t="s">
        <v>83</v>
      </c>
      <c r="C10" s="43" t="s">
        <v>71</v>
      </c>
      <c r="D10" s="46" t="s">
        <v>72</v>
      </c>
      <c r="E10" s="29" t="s">
        <v>86</v>
      </c>
      <c r="F10" s="39" t="s">
        <v>79</v>
      </c>
      <c r="G10" s="40">
        <v>240</v>
      </c>
      <c r="H10" s="92">
        <v>175</v>
      </c>
      <c r="I10" s="61">
        <f>+H10*G10</f>
        <v>42000</v>
      </c>
    </row>
    <row r="11" spans="1:9" x14ac:dyDescent="0.2">
      <c r="A11" s="5">
        <v>2</v>
      </c>
      <c r="B11" s="22" t="s">
        <v>84</v>
      </c>
      <c r="C11" s="44" t="s">
        <v>71</v>
      </c>
      <c r="D11" s="47" t="s">
        <v>72</v>
      </c>
      <c r="E11" s="22" t="s">
        <v>87</v>
      </c>
      <c r="F11" s="30" t="s">
        <v>79</v>
      </c>
      <c r="G11" s="31">
        <v>240</v>
      </c>
      <c r="H11" s="67">
        <v>225</v>
      </c>
      <c r="I11" s="68">
        <f>+H11*G11</f>
        <v>54000</v>
      </c>
    </row>
    <row r="12" spans="1:9" ht="13.5" thickBot="1" x14ac:dyDescent="0.25">
      <c r="A12" s="6">
        <v>3</v>
      </c>
      <c r="B12" s="27" t="s">
        <v>85</v>
      </c>
      <c r="C12" s="45" t="s">
        <v>71</v>
      </c>
      <c r="D12" s="48" t="s">
        <v>72</v>
      </c>
      <c r="E12" s="27" t="s">
        <v>88</v>
      </c>
      <c r="F12" s="41" t="s">
        <v>79</v>
      </c>
      <c r="G12" s="42">
        <v>240</v>
      </c>
      <c r="H12" s="86">
        <v>320</v>
      </c>
      <c r="I12" s="87">
        <f>+H12*G12</f>
        <v>76800</v>
      </c>
    </row>
    <row r="15" spans="1:9" x14ac:dyDescent="0.2">
      <c r="B15" s="7" t="s">
        <v>15</v>
      </c>
      <c r="C15" s="8"/>
      <c r="D15" s="8"/>
      <c r="E15" s="9"/>
    </row>
    <row r="16" spans="1:9" ht="5.25" customHeight="1" x14ac:dyDescent="0.2">
      <c r="B16" s="10"/>
      <c r="C16" s="11"/>
      <c r="D16" s="11"/>
      <c r="E16" s="12"/>
    </row>
    <row r="17" spans="2:5" x14ac:dyDescent="0.2">
      <c r="B17" s="13" t="s">
        <v>16</v>
      </c>
      <c r="C17" s="11"/>
      <c r="D17" s="11"/>
      <c r="E17" s="12"/>
    </row>
    <row r="18" spans="2:5" ht="25.5" customHeight="1" x14ac:dyDescent="0.2">
      <c r="B18" s="13"/>
      <c r="C18" s="193" t="s">
        <v>89</v>
      </c>
      <c r="D18" s="193"/>
      <c r="E18" s="194"/>
    </row>
    <row r="19" spans="2:5" ht="13.5" thickBot="1" x14ac:dyDescent="0.25">
      <c r="B19" s="13" t="s">
        <v>17</v>
      </c>
      <c r="C19" s="11"/>
      <c r="D19" s="11"/>
      <c r="E19" s="12"/>
    </row>
    <row r="20" spans="2:5" ht="13.5" thickBot="1" x14ac:dyDescent="0.25">
      <c r="B20" s="187" t="s">
        <v>98</v>
      </c>
      <c r="C20" s="191"/>
      <c r="D20" s="191"/>
      <c r="E20" s="188"/>
    </row>
    <row r="21" spans="2:5" ht="13.5" thickBot="1" x14ac:dyDescent="0.25">
      <c r="B21" s="187" t="s">
        <v>99</v>
      </c>
      <c r="C21" s="188"/>
      <c r="D21" s="49" t="s">
        <v>11</v>
      </c>
      <c r="E21" s="49" t="s">
        <v>100</v>
      </c>
    </row>
    <row r="22" spans="2:5" x14ac:dyDescent="0.2">
      <c r="B22" s="189" t="str">
        <f>'[1]COMEDORES EMERGENTES'!$B$3</f>
        <v>UNA SONRISA AV. LOS COBACHO</v>
      </c>
      <c r="C22" s="190"/>
      <c r="D22" s="88">
        <v>1</v>
      </c>
      <c r="E22" s="89" t="str">
        <f>'[1]COMEDORES EMERGENTES'!$G$3</f>
        <v>Bº SAN CARLOS OESTE AV. Bonifacio cobacho 670</v>
      </c>
    </row>
    <row r="23" spans="2:5" x14ac:dyDescent="0.2">
      <c r="B23" s="182" t="str">
        <f>'[1]COMEDORES EMERGENTES'!$B$4</f>
        <v>C.I.F Nº1 - RIVERA DEL VALLE Y FLORIDA</v>
      </c>
      <c r="C23" s="183"/>
      <c r="D23" s="88">
        <v>1</v>
      </c>
      <c r="E23" s="89" t="str">
        <f>'[1]COMEDORES EMERGENTES'!$G$4</f>
        <v>AV. RIVIERA DEL VALLE ENTRE FLORIDA Y SANTA FE</v>
      </c>
    </row>
    <row r="24" spans="2:5" x14ac:dyDescent="0.2">
      <c r="B24" s="182" t="str">
        <f>'[1]COMEDORES EMERGENTES'!$B$5</f>
        <v>C.I.F - RIVERA DEL VALLE - DILORENZO</v>
      </c>
      <c r="C24" s="183"/>
      <c r="D24" s="88">
        <v>1</v>
      </c>
      <c r="E24" s="89" t="str">
        <f>'[1]COMEDORES EMERGENTES'!$G$5</f>
        <v>Bº RIVERA DEL VALLE ENTRE VILLA EUMELIA Y MONTE CRISTO</v>
      </c>
    </row>
    <row r="25" spans="2:5" x14ac:dyDescent="0.2">
      <c r="B25" s="182" t="str">
        <f>'[1]COMEDORES EMERGENTES'!$B$6</f>
        <v>ESFUERZO PROPIO- Bº ALTOS DE CHOYA</v>
      </c>
      <c r="C25" s="183"/>
      <c r="D25" s="88">
        <v>1</v>
      </c>
      <c r="E25" s="89" t="str">
        <f>'[1]COMEDORES EMERGENTES'!$G$6</f>
        <v>Bº MUNICIPAL 35VV. NORTE C/14</v>
      </c>
    </row>
    <row r="26" spans="2:5" x14ac:dyDescent="0.2">
      <c r="B26" s="182" t="str">
        <f>'[1]COMEDORES EMERGENTES'!$B$7</f>
        <v>ANGELITOS - LOTEO SUSSEX</v>
      </c>
      <c r="C26" s="183"/>
      <c r="D26" s="88">
        <v>1</v>
      </c>
      <c r="E26" s="89" t="str">
        <f>'[1]COMEDORES EMERGENTES'!$G$7</f>
        <v>Bº LOTEO SUSEX MZA.Nº 4 LOTE Nº3</v>
      </c>
    </row>
    <row r="27" spans="2:5" x14ac:dyDescent="0.2">
      <c r="B27" s="182" t="str">
        <f>'[1]COMEDORES EMERGENTES'!$B$8</f>
        <v>CLUB DEPORTIVO CHACARITA</v>
      </c>
      <c r="C27" s="183"/>
      <c r="D27" s="88">
        <v>1</v>
      </c>
      <c r="E27" s="89" t="str">
        <f>'[1]COMEDORES EMERGENTES'!$G$8</f>
        <v>CALLE DR.DERMIDIO GALINDEZ C/2660</v>
      </c>
    </row>
    <row r="28" spans="2:5" x14ac:dyDescent="0.2">
      <c r="B28" s="182" t="str">
        <f>'[1]COMEDORES EMERGENTES'!$B$9</f>
        <v>LA MORO</v>
      </c>
      <c r="C28" s="183"/>
      <c r="D28" s="88">
        <v>1</v>
      </c>
      <c r="E28" s="89" t="str">
        <f>'[1]COMEDORES EMERGENTES'!$G$9</f>
        <v>MAIPU NORTE 1º ETAPA MZA "H" Bº MI JARDIN</v>
      </c>
    </row>
    <row r="29" spans="2:5" x14ac:dyDescent="0.2">
      <c r="B29" s="182" t="str">
        <f>'[1]COMEDORES EMERGENTES'!$B$10</f>
        <v>PAPA FRANCISCO</v>
      </c>
      <c r="C29" s="183"/>
      <c r="D29" s="88">
        <v>1</v>
      </c>
      <c r="E29" s="89" t="str">
        <f>'[1]COMEDORES EMERGENTES'!$G$10</f>
        <v>ENTRE AV.TEREBINTO Y AV.SAN JUAN LOTE "2" MZA. "B"</v>
      </c>
    </row>
    <row r="30" spans="2:5" x14ac:dyDescent="0.2">
      <c r="B30" s="182" t="str">
        <f>'[1]COMEDORES EMERGENTES'!$B$11</f>
        <v>E.P.C - 100 V.V NORTE</v>
      </c>
      <c r="C30" s="183"/>
      <c r="D30" s="88">
        <v>1</v>
      </c>
      <c r="E30" s="89" t="str">
        <f>'[1]COMEDORES EMERGENTES'!$G$11</f>
        <v>Bº VV NORTE C/48 ENTRE ESPAÑA Y FRANCIA</v>
      </c>
    </row>
    <row r="31" spans="2:5" x14ac:dyDescent="0.2">
      <c r="B31" s="182" t="str">
        <f>'[1]COMEDORES EMERGENTES'!$B$12</f>
        <v>HOGAR DE CRISTO - PADRE RAUL CONTRERAS</v>
      </c>
      <c r="C31" s="183"/>
      <c r="D31" s="88">
        <v>1</v>
      </c>
      <c r="E31" s="89" t="str">
        <f>'[1]COMEDORES EMERGENTES'!$G$12</f>
        <v>Bº SANTA MARTA MZA. "S" LOTE "M" C/39</v>
      </c>
    </row>
    <row r="32" spans="2:5" x14ac:dyDescent="0.2">
      <c r="B32" s="182" t="str">
        <f>'[1]COMEDORES EMERGENTES'!$B$13</f>
        <v>LA LUCIERNAGA</v>
      </c>
      <c r="C32" s="183"/>
      <c r="D32" s="88">
        <v>1</v>
      </c>
      <c r="E32" s="89" t="str">
        <f>'[1]COMEDORES EMERGENTES'!$G$13</f>
        <v>Bº 20 V.V NORTE C/3</v>
      </c>
    </row>
    <row r="33" spans="2:5" x14ac:dyDescent="0.2">
      <c r="B33" s="182" t="str">
        <f>'[1]COMEDORES EMERGENTES'!$B$14</f>
        <v>VALLE VIEJO - SUMALAO</v>
      </c>
      <c r="C33" s="183"/>
      <c r="D33" s="88">
        <v>1</v>
      </c>
      <c r="E33" s="89" t="str">
        <f>'[1]COMEDORES EMERGENTES'!$G$14</f>
        <v>PADRE SEGURA S/N</v>
      </c>
    </row>
    <row r="34" spans="2:5" x14ac:dyDescent="0.2">
      <c r="B34" s="182" t="str">
        <f>'[1]COMEDORES EMERGENTES'!$B$15</f>
        <v>NUESTRO FUTURO - LAS VIAS</v>
      </c>
      <c r="C34" s="183"/>
      <c r="D34" s="88">
        <v>1</v>
      </c>
      <c r="E34" s="89" t="str">
        <f>'[1]COMEDORES EMERGENTES'!$G$15</f>
        <v>Bº LAS VIAS OESTE LOTE 42</v>
      </c>
    </row>
    <row r="35" spans="2:5" x14ac:dyDescent="0.2">
      <c r="B35" s="182" t="str">
        <f>'[1]COMEDORES EMERGENTES'!$B$16</f>
        <v>SAN JOSE OBRERO</v>
      </c>
      <c r="C35" s="183"/>
      <c r="D35" s="88">
        <v>1</v>
      </c>
      <c r="E35" s="89" t="str">
        <f>'[1]COMEDORES EMERGENTES'!$G$16</f>
        <v>Bº SAN JOSE OBRERO. PJE. SANDOVAL S/Nº</v>
      </c>
    </row>
    <row r="36" spans="2:5" x14ac:dyDescent="0.2">
      <c r="B36" s="182" t="str">
        <f>'[1]COMEDORES EMERGENTES'!$B$17</f>
        <v>VIRGEN DE LUJAN</v>
      </c>
      <c r="C36" s="183"/>
      <c r="D36" s="88">
        <v>1</v>
      </c>
      <c r="E36" s="89" t="str">
        <f>'[1]COMEDORES EMERGENTES'!$G$17</f>
        <v>Bº OJO DE AGUA C/DR.TEODULFO BARRIONUEVO S/Nº</v>
      </c>
    </row>
    <row r="37" spans="2:5" x14ac:dyDescent="0.2">
      <c r="B37" s="182" t="str">
        <f>'[1]COMEDORES EMERGENTES'!$B$18</f>
        <v>RENACER</v>
      </c>
      <c r="C37" s="183"/>
      <c r="D37" s="88">
        <v>1</v>
      </c>
      <c r="E37" s="89" t="str">
        <f>'[1]COMEDORES EMERGENTES'!$G$18</f>
        <v>Bº VIRGEN MORENITA</v>
      </c>
    </row>
    <row r="38" spans="2:5" x14ac:dyDescent="0.2">
      <c r="B38" s="182" t="str">
        <f>'[1]COMEDORES EMERGENTES'!$B$19</f>
        <v>CENTRO VECINAL MI JARDIN</v>
      </c>
      <c r="C38" s="183"/>
      <c r="D38" s="88">
        <v>1</v>
      </c>
      <c r="E38" s="89" t="str">
        <f>'[1]COMEDORES EMERGENTES'!$G$19</f>
        <v>C/ LOS TULIPANES ENTRE FLOR DE CEREZO Y HOLANDA MZA.27 Bº MI JARDIN</v>
      </c>
    </row>
    <row r="39" spans="2:5" x14ac:dyDescent="0.2">
      <c r="B39" s="182" t="str">
        <f>'[1]COMEDORES EMERGENTES'!$B$20</f>
        <v>LA VIEJA ESQUINA</v>
      </c>
      <c r="C39" s="183"/>
      <c r="D39" s="88">
        <v>1</v>
      </c>
      <c r="E39" s="89" t="str">
        <f>'[1]COMEDORES EMERGENTES'!$G$20</f>
        <v>B° CRISTO REY PJE CAPATAZ VILLAFAÑEZ Y ARMANDO CORREA</v>
      </c>
    </row>
    <row r="40" spans="2:5" x14ac:dyDescent="0.2">
      <c r="B40" s="182" t="str">
        <f>'[1]COMEDORES EMERGENTES'!$B$21</f>
        <v>GAUCHITO GIL</v>
      </c>
      <c r="C40" s="183"/>
      <c r="D40" s="88">
        <v>1</v>
      </c>
      <c r="E40" s="89" t="str">
        <f>'[1]COMEDORES EMERGENTES'!$G$21</f>
        <v>B° 26 VIVIENDAS CASA N° 3</v>
      </c>
    </row>
    <row r="41" spans="2:5" x14ac:dyDescent="0.2">
      <c r="B41" s="182" t="str">
        <f>'[1]COMEDORES EMERGENTES'!$B$22</f>
        <v>LOS TOLDOS</v>
      </c>
      <c r="C41" s="183"/>
      <c r="D41" s="88">
        <v>1</v>
      </c>
      <c r="E41" s="89" t="str">
        <f>'[1]COMEDORES EMERGENTES'!$G$22</f>
        <v>LOTEO PARQUE SUR CALLE S/NOMBRE S/N°</v>
      </c>
    </row>
    <row r="42" spans="2:5" x14ac:dyDescent="0.2">
      <c r="B42" s="13" t="s">
        <v>18</v>
      </c>
      <c r="C42" s="11"/>
      <c r="D42" s="11"/>
      <c r="E42" s="12"/>
    </row>
    <row r="43" spans="2:5" x14ac:dyDescent="0.2">
      <c r="B43" s="14"/>
      <c r="C43" s="195" t="s">
        <v>24</v>
      </c>
      <c r="D43" s="195"/>
      <c r="E43" s="195"/>
    </row>
    <row r="44" spans="2:5" x14ac:dyDescent="0.2">
      <c r="B44" s="13" t="s">
        <v>19</v>
      </c>
      <c r="C44" s="15"/>
      <c r="D44" s="15"/>
      <c r="E44" s="16"/>
    </row>
    <row r="45" spans="2:5" x14ac:dyDescent="0.2">
      <c r="B45" s="14"/>
      <c r="C45" s="195" t="s">
        <v>101</v>
      </c>
      <c r="D45" s="195"/>
      <c r="E45" s="195"/>
    </row>
    <row r="46" spans="2:5" x14ac:dyDescent="0.2">
      <c r="B46" s="13" t="s">
        <v>20</v>
      </c>
      <c r="C46" s="11"/>
      <c r="D46" s="11"/>
      <c r="E46" s="12"/>
    </row>
    <row r="47" spans="2:5" x14ac:dyDescent="0.2">
      <c r="B47" s="13"/>
      <c r="C47" s="181" t="s">
        <v>25</v>
      </c>
      <c r="D47" s="181"/>
      <c r="E47" s="181"/>
    </row>
    <row r="48" spans="2:5" ht="13.5" thickBot="1" x14ac:dyDescent="0.25">
      <c r="B48" s="17"/>
      <c r="C48" s="18"/>
      <c r="D48" s="18"/>
      <c r="E48" s="19"/>
    </row>
    <row r="50" spans="2:5" x14ac:dyDescent="0.2">
      <c r="B50" s="7" t="s">
        <v>21</v>
      </c>
      <c r="C50" s="8"/>
      <c r="D50" s="8"/>
      <c r="E50" s="9"/>
    </row>
    <row r="51" spans="2:5" x14ac:dyDescent="0.2">
      <c r="B51" s="10"/>
      <c r="C51" s="11"/>
      <c r="D51" s="11"/>
      <c r="E51" s="12"/>
    </row>
    <row r="52" spans="2:5" x14ac:dyDescent="0.2">
      <c r="B52" s="13" t="s">
        <v>16</v>
      </c>
      <c r="C52" s="11"/>
      <c r="D52" s="11"/>
      <c r="E52" s="12"/>
    </row>
    <row r="53" spans="2:5" ht="25.5" customHeight="1" x14ac:dyDescent="0.2">
      <c r="B53" s="13"/>
      <c r="C53" s="193" t="s">
        <v>89</v>
      </c>
      <c r="D53" s="193"/>
      <c r="E53" s="194"/>
    </row>
    <row r="54" spans="2:5" ht="13.5" thickBot="1" x14ac:dyDescent="0.25">
      <c r="B54" s="13" t="s">
        <v>17</v>
      </c>
      <c r="C54" s="11"/>
      <c r="D54" s="11"/>
      <c r="E54" s="12"/>
    </row>
    <row r="55" spans="2:5" ht="13.5" thickBot="1" x14ac:dyDescent="0.25">
      <c r="B55" s="187" t="s">
        <v>98</v>
      </c>
      <c r="C55" s="191"/>
      <c r="D55" s="191"/>
      <c r="E55" s="188"/>
    </row>
    <row r="56" spans="2:5" ht="13.5" thickBot="1" x14ac:dyDescent="0.25">
      <c r="B56" s="187" t="s">
        <v>99</v>
      </c>
      <c r="C56" s="188"/>
      <c r="D56" s="49" t="s">
        <v>11</v>
      </c>
      <c r="E56" s="49" t="s">
        <v>100</v>
      </c>
    </row>
    <row r="57" spans="2:5" x14ac:dyDescent="0.2">
      <c r="B57" s="189" t="str">
        <f>'[1]COMEDORES EMERGENTES'!$B$3</f>
        <v>UNA SONRISA AV. LOS COBACHO</v>
      </c>
      <c r="C57" s="190"/>
      <c r="D57" s="88">
        <v>1</v>
      </c>
      <c r="E57" s="89" t="str">
        <f>'[1]COMEDORES EMERGENTES'!$G$3</f>
        <v>Bº SAN CARLOS OESTE AV. Bonifacio cobacho 670</v>
      </c>
    </row>
    <row r="58" spans="2:5" x14ac:dyDescent="0.2">
      <c r="B58" s="182" t="str">
        <f>'[1]COMEDORES EMERGENTES'!$B$4</f>
        <v>C.I.F Nº1 - RIVERA DEL VALLE Y FLORIDA</v>
      </c>
      <c r="C58" s="183"/>
      <c r="D58" s="88">
        <v>1</v>
      </c>
      <c r="E58" s="89" t="str">
        <f>'[1]COMEDORES EMERGENTES'!$G$4</f>
        <v>AV. RIVIERA DEL VALLE ENTRE FLORIDA Y SANTA FE</v>
      </c>
    </row>
    <row r="59" spans="2:5" x14ac:dyDescent="0.2">
      <c r="B59" s="182" t="str">
        <f>'[1]COMEDORES EMERGENTES'!$B$5</f>
        <v>C.I.F - RIVERA DEL VALLE - DILORENZO</v>
      </c>
      <c r="C59" s="183"/>
      <c r="D59" s="88">
        <v>1</v>
      </c>
      <c r="E59" s="89" t="str">
        <f>'[1]COMEDORES EMERGENTES'!$G$5</f>
        <v>Bº RIVERA DEL VALLE ENTRE VILLA EUMELIA Y MONTE CRISTO</v>
      </c>
    </row>
    <row r="60" spans="2:5" x14ac:dyDescent="0.2">
      <c r="B60" s="182" t="str">
        <f>'[1]COMEDORES EMERGENTES'!$B$6</f>
        <v>ESFUERZO PROPIO- Bº ALTOS DE CHOYA</v>
      </c>
      <c r="C60" s="183"/>
      <c r="D60" s="88">
        <v>1</v>
      </c>
      <c r="E60" s="89" t="str">
        <f>'[1]COMEDORES EMERGENTES'!$G$6</f>
        <v>Bº MUNICIPAL 35VV. NORTE C/14</v>
      </c>
    </row>
    <row r="61" spans="2:5" x14ac:dyDescent="0.2">
      <c r="B61" s="182" t="str">
        <f>'[1]COMEDORES EMERGENTES'!$B$7</f>
        <v>ANGELITOS - LOTEO SUSSEX</v>
      </c>
      <c r="C61" s="183"/>
      <c r="D61" s="88">
        <v>1</v>
      </c>
      <c r="E61" s="89" t="str">
        <f>'[1]COMEDORES EMERGENTES'!$G$7</f>
        <v>Bº LOTEO SUSEX MZA.Nº 4 LOTE Nº3</v>
      </c>
    </row>
    <row r="62" spans="2:5" x14ac:dyDescent="0.2">
      <c r="B62" s="182" t="str">
        <f>'[1]COMEDORES EMERGENTES'!$B$8</f>
        <v>CLUB DEPORTIVO CHACARITA</v>
      </c>
      <c r="C62" s="183"/>
      <c r="D62" s="88">
        <v>1</v>
      </c>
      <c r="E62" s="89" t="str">
        <f>'[1]COMEDORES EMERGENTES'!$G$8</f>
        <v>CALLE DR.DERMIDIO GALINDEZ C/2660</v>
      </c>
    </row>
    <row r="63" spans="2:5" x14ac:dyDescent="0.2">
      <c r="B63" s="182" t="str">
        <f>'[1]COMEDORES EMERGENTES'!$B$9</f>
        <v>LA MORO</v>
      </c>
      <c r="C63" s="183"/>
      <c r="D63" s="88">
        <v>1</v>
      </c>
      <c r="E63" s="89" t="str">
        <f>'[1]COMEDORES EMERGENTES'!$G$9</f>
        <v>MAIPU NORTE 1º ETAPA MZA "H" Bº MI JARDIN</v>
      </c>
    </row>
    <row r="64" spans="2:5" x14ac:dyDescent="0.2">
      <c r="B64" s="182" t="str">
        <f>'[1]COMEDORES EMERGENTES'!$B$10</f>
        <v>PAPA FRANCISCO</v>
      </c>
      <c r="C64" s="183"/>
      <c r="D64" s="88">
        <v>1</v>
      </c>
      <c r="E64" s="89" t="str">
        <f>'[1]COMEDORES EMERGENTES'!$G$10</f>
        <v>ENTRE AV.TEREBINTO Y AV.SAN JUAN LOTE "2" MZA. "B"</v>
      </c>
    </row>
    <row r="65" spans="2:5" x14ac:dyDescent="0.2">
      <c r="B65" s="182" t="str">
        <f>'[1]COMEDORES EMERGENTES'!$B$11</f>
        <v>E.P.C - 100 V.V NORTE</v>
      </c>
      <c r="C65" s="183"/>
      <c r="D65" s="88">
        <v>1</v>
      </c>
      <c r="E65" s="89" t="str">
        <f>'[1]COMEDORES EMERGENTES'!$G$11</f>
        <v>Bº VV NORTE C/48 ENTRE ESPAÑA Y FRANCIA</v>
      </c>
    </row>
    <row r="66" spans="2:5" x14ac:dyDescent="0.2">
      <c r="B66" s="182" t="str">
        <f>'[1]COMEDORES EMERGENTES'!$B$12</f>
        <v>HOGAR DE CRISTO - PADRE RAUL CONTRERAS</v>
      </c>
      <c r="C66" s="183"/>
      <c r="D66" s="88">
        <v>1</v>
      </c>
      <c r="E66" s="89" t="str">
        <f>'[1]COMEDORES EMERGENTES'!$G$12</f>
        <v>Bº SANTA MARTA MZA. "S" LOTE "M" C/39</v>
      </c>
    </row>
    <row r="67" spans="2:5" x14ac:dyDescent="0.2">
      <c r="B67" s="182" t="str">
        <f>'[1]COMEDORES EMERGENTES'!$B$13</f>
        <v>LA LUCIERNAGA</v>
      </c>
      <c r="C67" s="183"/>
      <c r="D67" s="88">
        <v>1</v>
      </c>
      <c r="E67" s="89" t="str">
        <f>'[1]COMEDORES EMERGENTES'!$G$13</f>
        <v>Bº 20 V.V NORTE C/3</v>
      </c>
    </row>
    <row r="68" spans="2:5" x14ac:dyDescent="0.2">
      <c r="B68" s="182" t="str">
        <f>'[1]COMEDORES EMERGENTES'!$B$14</f>
        <v>VALLE VIEJO - SUMALAO</v>
      </c>
      <c r="C68" s="183"/>
      <c r="D68" s="88">
        <v>1</v>
      </c>
      <c r="E68" s="89" t="str">
        <f>'[1]COMEDORES EMERGENTES'!$G$14</f>
        <v>PADRE SEGURA S/N</v>
      </c>
    </row>
    <row r="69" spans="2:5" x14ac:dyDescent="0.2">
      <c r="B69" s="182" t="str">
        <f>'[1]COMEDORES EMERGENTES'!$B$15</f>
        <v>NUESTRO FUTURO - LAS VIAS</v>
      </c>
      <c r="C69" s="183"/>
      <c r="D69" s="88">
        <v>1</v>
      </c>
      <c r="E69" s="89" t="str">
        <f>'[1]COMEDORES EMERGENTES'!$G$15</f>
        <v>Bº LAS VIAS OESTE LOTE 42</v>
      </c>
    </row>
    <row r="70" spans="2:5" x14ac:dyDescent="0.2">
      <c r="B70" s="182" t="str">
        <f>'[1]COMEDORES EMERGENTES'!$B$16</f>
        <v>SAN JOSE OBRERO</v>
      </c>
      <c r="C70" s="183"/>
      <c r="D70" s="88">
        <v>1</v>
      </c>
      <c r="E70" s="89" t="str">
        <f>'[1]COMEDORES EMERGENTES'!$G$16</f>
        <v>Bº SAN JOSE OBRERO. PJE. SANDOVAL S/Nº</v>
      </c>
    </row>
    <row r="71" spans="2:5" x14ac:dyDescent="0.2">
      <c r="B71" s="182" t="str">
        <f>'[1]COMEDORES EMERGENTES'!$B$17</f>
        <v>VIRGEN DE LUJAN</v>
      </c>
      <c r="C71" s="183"/>
      <c r="D71" s="88">
        <v>1</v>
      </c>
      <c r="E71" s="89" t="str">
        <f>'[1]COMEDORES EMERGENTES'!$G$17</f>
        <v>Bº OJO DE AGUA C/DR.TEODULFO BARRIONUEVO S/Nº</v>
      </c>
    </row>
    <row r="72" spans="2:5" x14ac:dyDescent="0.2">
      <c r="B72" s="182" t="str">
        <f>'[1]COMEDORES EMERGENTES'!$B$18</f>
        <v>RENACER</v>
      </c>
      <c r="C72" s="183"/>
      <c r="D72" s="88">
        <v>1</v>
      </c>
      <c r="E72" s="89" t="str">
        <f>'[1]COMEDORES EMERGENTES'!$G$18</f>
        <v>Bº VIRGEN MORENITA</v>
      </c>
    </row>
    <row r="73" spans="2:5" x14ac:dyDescent="0.2">
      <c r="B73" s="182" t="str">
        <f>'[1]COMEDORES EMERGENTES'!$B$19</f>
        <v>CENTRO VECINAL MI JARDIN</v>
      </c>
      <c r="C73" s="183"/>
      <c r="D73" s="88">
        <v>1</v>
      </c>
      <c r="E73" s="89" t="str">
        <f>'[1]COMEDORES EMERGENTES'!$G$19</f>
        <v>C/ LOS TULIPANES ENTRE FLOR DE CEREZO Y HOLANDA MZA.27 Bº MI JARDIN</v>
      </c>
    </row>
    <row r="74" spans="2:5" x14ac:dyDescent="0.2">
      <c r="B74" s="182" t="str">
        <f>'[1]COMEDORES EMERGENTES'!$B$20</f>
        <v>LA VIEJA ESQUINA</v>
      </c>
      <c r="C74" s="183"/>
      <c r="D74" s="88">
        <v>1</v>
      </c>
      <c r="E74" s="89" t="str">
        <f>'[1]COMEDORES EMERGENTES'!$G$20</f>
        <v>B° CRISTO REY PJE CAPATAZ VILLAFAÑEZ Y ARMANDO CORREA</v>
      </c>
    </row>
    <row r="75" spans="2:5" x14ac:dyDescent="0.2">
      <c r="B75" s="182" t="str">
        <f>'[1]COMEDORES EMERGENTES'!$B$21</f>
        <v>GAUCHITO GIL</v>
      </c>
      <c r="C75" s="183"/>
      <c r="D75" s="88">
        <v>1</v>
      </c>
      <c r="E75" s="89" t="str">
        <f>'[1]COMEDORES EMERGENTES'!$G$21</f>
        <v>B° 26 VIVIENDAS CASA N° 3</v>
      </c>
    </row>
    <row r="76" spans="2:5" x14ac:dyDescent="0.2">
      <c r="B76" s="182" t="str">
        <f>'[1]COMEDORES EMERGENTES'!$B$22</f>
        <v>LOS TOLDOS</v>
      </c>
      <c r="C76" s="183"/>
      <c r="D76" s="88">
        <v>1</v>
      </c>
      <c r="E76" s="89" t="str">
        <f>'[1]COMEDORES EMERGENTES'!$G$22</f>
        <v>LOTEO PARQUE SUR CALLE S/NOMBRE S/N°</v>
      </c>
    </row>
    <row r="77" spans="2:5" x14ac:dyDescent="0.2">
      <c r="B77" s="13" t="s">
        <v>18</v>
      </c>
      <c r="C77" s="11"/>
      <c r="D77" s="11"/>
      <c r="E77" s="12"/>
    </row>
    <row r="78" spans="2:5" x14ac:dyDescent="0.2">
      <c r="B78" s="14"/>
      <c r="C78" s="195" t="s">
        <v>24</v>
      </c>
      <c r="D78" s="195"/>
      <c r="E78" s="195"/>
    </row>
    <row r="79" spans="2:5" x14ac:dyDescent="0.2">
      <c r="B79" s="13" t="s">
        <v>19</v>
      </c>
      <c r="C79" s="15"/>
      <c r="D79" s="15"/>
      <c r="E79" s="16"/>
    </row>
    <row r="80" spans="2:5" x14ac:dyDescent="0.2">
      <c r="B80" s="14"/>
      <c r="C80" s="195" t="s">
        <v>101</v>
      </c>
      <c r="D80" s="195"/>
      <c r="E80" s="195"/>
    </row>
    <row r="81" spans="2:5" x14ac:dyDescent="0.2">
      <c r="B81" s="13" t="s">
        <v>20</v>
      </c>
      <c r="C81" s="11"/>
      <c r="D81" s="11"/>
      <c r="E81" s="12"/>
    </row>
    <row r="82" spans="2:5" x14ac:dyDescent="0.2">
      <c r="B82" s="13"/>
      <c r="C82" s="181" t="s">
        <v>25</v>
      </c>
      <c r="D82" s="181"/>
      <c r="E82" s="181"/>
    </row>
    <row r="83" spans="2:5" ht="13.5" thickBot="1" x14ac:dyDescent="0.25">
      <c r="B83" s="17"/>
      <c r="C83" s="18"/>
      <c r="D83" s="18"/>
      <c r="E83" s="19"/>
    </row>
    <row r="84" spans="2:5" ht="13.5" thickBot="1" x14ac:dyDescent="0.25"/>
    <row r="85" spans="2:5" x14ac:dyDescent="0.2">
      <c r="B85" s="7" t="s">
        <v>26</v>
      </c>
      <c r="C85" s="8"/>
      <c r="D85" s="8"/>
      <c r="E85" s="9"/>
    </row>
    <row r="86" spans="2:5" x14ac:dyDescent="0.2">
      <c r="B86" s="10"/>
      <c r="C86" s="11"/>
      <c r="D86" s="11"/>
      <c r="E86" s="12"/>
    </row>
    <row r="87" spans="2:5" x14ac:dyDescent="0.2">
      <c r="B87" s="13" t="s">
        <v>16</v>
      </c>
      <c r="C87" s="11"/>
      <c r="D87" s="11"/>
      <c r="E87" s="12"/>
    </row>
    <row r="88" spans="2:5" ht="25.5" customHeight="1" x14ac:dyDescent="0.2">
      <c r="B88" s="13"/>
      <c r="C88" s="193" t="s">
        <v>89</v>
      </c>
      <c r="D88" s="193"/>
      <c r="E88" s="194"/>
    </row>
    <row r="89" spans="2:5" ht="13.5" thickBot="1" x14ac:dyDescent="0.25">
      <c r="B89" s="13" t="s">
        <v>17</v>
      </c>
      <c r="C89" s="11"/>
      <c r="D89" s="11"/>
      <c r="E89" s="12"/>
    </row>
    <row r="90" spans="2:5" ht="13.5" thickBot="1" x14ac:dyDescent="0.25">
      <c r="B90" s="187" t="s">
        <v>98</v>
      </c>
      <c r="C90" s="191"/>
      <c r="D90" s="191"/>
      <c r="E90" s="188"/>
    </row>
    <row r="91" spans="2:5" ht="13.5" thickBot="1" x14ac:dyDescent="0.25">
      <c r="B91" s="187" t="s">
        <v>99</v>
      </c>
      <c r="C91" s="188"/>
      <c r="D91" s="49" t="s">
        <v>11</v>
      </c>
      <c r="E91" s="49" t="s">
        <v>100</v>
      </c>
    </row>
    <row r="92" spans="2:5" x14ac:dyDescent="0.2">
      <c r="B92" s="189" t="str">
        <f>'[1]COMEDORES EMERGENTES'!$B$3</f>
        <v>UNA SONRISA AV. LOS COBACHO</v>
      </c>
      <c r="C92" s="190"/>
      <c r="D92" s="88">
        <v>1</v>
      </c>
      <c r="E92" s="89" t="str">
        <f>'[1]COMEDORES EMERGENTES'!$G$3</f>
        <v>Bº SAN CARLOS OESTE AV. Bonifacio cobacho 670</v>
      </c>
    </row>
    <row r="93" spans="2:5" x14ac:dyDescent="0.2">
      <c r="B93" s="182" t="str">
        <f>'[1]COMEDORES EMERGENTES'!$B$4</f>
        <v>C.I.F Nº1 - RIVERA DEL VALLE Y FLORIDA</v>
      </c>
      <c r="C93" s="183"/>
      <c r="D93" s="88">
        <v>1</v>
      </c>
      <c r="E93" s="89" t="str">
        <f>'[1]COMEDORES EMERGENTES'!$G$4</f>
        <v>AV. RIVIERA DEL VALLE ENTRE FLORIDA Y SANTA FE</v>
      </c>
    </row>
    <row r="94" spans="2:5" x14ac:dyDescent="0.2">
      <c r="B94" s="182" t="str">
        <f>'[1]COMEDORES EMERGENTES'!$B$5</f>
        <v>C.I.F - RIVERA DEL VALLE - DILORENZO</v>
      </c>
      <c r="C94" s="183"/>
      <c r="D94" s="88">
        <v>1</v>
      </c>
      <c r="E94" s="89" t="str">
        <f>'[1]COMEDORES EMERGENTES'!$G$5</f>
        <v>Bº RIVERA DEL VALLE ENTRE VILLA EUMELIA Y MONTE CRISTO</v>
      </c>
    </row>
    <row r="95" spans="2:5" x14ac:dyDescent="0.2">
      <c r="B95" s="182" t="str">
        <f>'[1]COMEDORES EMERGENTES'!$B$6</f>
        <v>ESFUERZO PROPIO- Bº ALTOS DE CHOYA</v>
      </c>
      <c r="C95" s="183"/>
      <c r="D95" s="88">
        <v>1</v>
      </c>
      <c r="E95" s="89" t="str">
        <f>'[1]COMEDORES EMERGENTES'!$G$6</f>
        <v>Bº MUNICIPAL 35VV. NORTE C/14</v>
      </c>
    </row>
    <row r="96" spans="2:5" x14ac:dyDescent="0.2">
      <c r="B96" s="182" t="str">
        <f>'[1]COMEDORES EMERGENTES'!$B$7</f>
        <v>ANGELITOS - LOTEO SUSSEX</v>
      </c>
      <c r="C96" s="183"/>
      <c r="D96" s="88">
        <v>1</v>
      </c>
      <c r="E96" s="89" t="str">
        <f>'[1]COMEDORES EMERGENTES'!$G$7</f>
        <v>Bº LOTEO SUSEX MZA.Nº 4 LOTE Nº3</v>
      </c>
    </row>
    <row r="97" spans="2:5" x14ac:dyDescent="0.2">
      <c r="B97" s="182" t="str">
        <f>'[1]COMEDORES EMERGENTES'!$B$8</f>
        <v>CLUB DEPORTIVO CHACARITA</v>
      </c>
      <c r="C97" s="183"/>
      <c r="D97" s="88">
        <v>1</v>
      </c>
      <c r="E97" s="89" t="str">
        <f>'[1]COMEDORES EMERGENTES'!$G$8</f>
        <v>CALLE DR.DERMIDIO GALINDEZ C/2660</v>
      </c>
    </row>
    <row r="98" spans="2:5" x14ac:dyDescent="0.2">
      <c r="B98" s="182" t="str">
        <f>'[1]COMEDORES EMERGENTES'!$B$9</f>
        <v>LA MORO</v>
      </c>
      <c r="C98" s="183"/>
      <c r="D98" s="88">
        <v>1</v>
      </c>
      <c r="E98" s="89" t="str">
        <f>'[1]COMEDORES EMERGENTES'!$G$9</f>
        <v>MAIPU NORTE 1º ETAPA MZA "H" Bº MI JARDIN</v>
      </c>
    </row>
    <row r="99" spans="2:5" x14ac:dyDescent="0.2">
      <c r="B99" s="182" t="str">
        <f>'[1]COMEDORES EMERGENTES'!$B$10</f>
        <v>PAPA FRANCISCO</v>
      </c>
      <c r="C99" s="183"/>
      <c r="D99" s="88">
        <v>1</v>
      </c>
      <c r="E99" s="89" t="str">
        <f>'[1]COMEDORES EMERGENTES'!$G$10</f>
        <v>ENTRE AV.TEREBINTO Y AV.SAN JUAN LOTE "2" MZA. "B"</v>
      </c>
    </row>
    <row r="100" spans="2:5" x14ac:dyDescent="0.2">
      <c r="B100" s="182" t="str">
        <f>'[1]COMEDORES EMERGENTES'!$B$11</f>
        <v>E.P.C - 100 V.V NORTE</v>
      </c>
      <c r="C100" s="183"/>
      <c r="D100" s="88">
        <v>1</v>
      </c>
      <c r="E100" s="89" t="str">
        <f>'[1]COMEDORES EMERGENTES'!$G$11</f>
        <v>Bº VV NORTE C/48 ENTRE ESPAÑA Y FRANCIA</v>
      </c>
    </row>
    <row r="101" spans="2:5" x14ac:dyDescent="0.2">
      <c r="B101" s="182" t="str">
        <f>'[1]COMEDORES EMERGENTES'!$B$12</f>
        <v>HOGAR DE CRISTO - PADRE RAUL CONTRERAS</v>
      </c>
      <c r="C101" s="183"/>
      <c r="D101" s="88">
        <v>1</v>
      </c>
      <c r="E101" s="89" t="str">
        <f>'[1]COMEDORES EMERGENTES'!$G$12</f>
        <v>Bº SANTA MARTA MZA. "S" LOTE "M" C/39</v>
      </c>
    </row>
    <row r="102" spans="2:5" x14ac:dyDescent="0.2">
      <c r="B102" s="182" t="str">
        <f>'[1]COMEDORES EMERGENTES'!$B$13</f>
        <v>LA LUCIERNAGA</v>
      </c>
      <c r="C102" s="183"/>
      <c r="D102" s="88">
        <v>1</v>
      </c>
      <c r="E102" s="89" t="str">
        <f>'[1]COMEDORES EMERGENTES'!$G$13</f>
        <v>Bº 20 V.V NORTE C/3</v>
      </c>
    </row>
    <row r="103" spans="2:5" x14ac:dyDescent="0.2">
      <c r="B103" s="182" t="str">
        <f>'[1]COMEDORES EMERGENTES'!$B$14</f>
        <v>VALLE VIEJO - SUMALAO</v>
      </c>
      <c r="C103" s="183"/>
      <c r="D103" s="88">
        <v>1</v>
      </c>
      <c r="E103" s="89" t="str">
        <f>'[1]COMEDORES EMERGENTES'!$G$14</f>
        <v>PADRE SEGURA S/N</v>
      </c>
    </row>
    <row r="104" spans="2:5" x14ac:dyDescent="0.2">
      <c r="B104" s="182" t="str">
        <f>'[1]COMEDORES EMERGENTES'!$B$15</f>
        <v>NUESTRO FUTURO - LAS VIAS</v>
      </c>
      <c r="C104" s="183"/>
      <c r="D104" s="88">
        <v>1</v>
      </c>
      <c r="E104" s="89" t="str">
        <f>'[1]COMEDORES EMERGENTES'!$G$15</f>
        <v>Bº LAS VIAS OESTE LOTE 42</v>
      </c>
    </row>
    <row r="105" spans="2:5" x14ac:dyDescent="0.2">
      <c r="B105" s="182" t="str">
        <f>'[1]COMEDORES EMERGENTES'!$B$16</f>
        <v>SAN JOSE OBRERO</v>
      </c>
      <c r="C105" s="183"/>
      <c r="D105" s="88">
        <v>1</v>
      </c>
      <c r="E105" s="89" t="str">
        <f>'[1]COMEDORES EMERGENTES'!$G$16</f>
        <v>Bº SAN JOSE OBRERO. PJE. SANDOVAL S/Nº</v>
      </c>
    </row>
    <row r="106" spans="2:5" x14ac:dyDescent="0.2">
      <c r="B106" s="182" t="str">
        <f>'[1]COMEDORES EMERGENTES'!$B$17</f>
        <v>VIRGEN DE LUJAN</v>
      </c>
      <c r="C106" s="183"/>
      <c r="D106" s="88">
        <v>1</v>
      </c>
      <c r="E106" s="89" t="str">
        <f>'[1]COMEDORES EMERGENTES'!$G$17</f>
        <v>Bº OJO DE AGUA C/DR.TEODULFO BARRIONUEVO S/Nº</v>
      </c>
    </row>
    <row r="107" spans="2:5" x14ac:dyDescent="0.2">
      <c r="B107" s="182" t="str">
        <f>'[1]COMEDORES EMERGENTES'!$B$18</f>
        <v>RENACER</v>
      </c>
      <c r="C107" s="183"/>
      <c r="D107" s="88">
        <v>1</v>
      </c>
      <c r="E107" s="89" t="str">
        <f>'[1]COMEDORES EMERGENTES'!$G$18</f>
        <v>Bº VIRGEN MORENITA</v>
      </c>
    </row>
    <row r="108" spans="2:5" x14ac:dyDescent="0.2">
      <c r="B108" s="182" t="str">
        <f>'[1]COMEDORES EMERGENTES'!$B$19</f>
        <v>CENTRO VECINAL MI JARDIN</v>
      </c>
      <c r="C108" s="183"/>
      <c r="D108" s="88">
        <v>1</v>
      </c>
      <c r="E108" s="89" t="str">
        <f>'[1]COMEDORES EMERGENTES'!$G$19</f>
        <v>C/ LOS TULIPANES ENTRE FLOR DE CEREZO Y HOLANDA MZA.27 Bº MI JARDIN</v>
      </c>
    </row>
    <row r="109" spans="2:5" x14ac:dyDescent="0.2">
      <c r="B109" s="182" t="str">
        <f>'[1]COMEDORES EMERGENTES'!$B$20</f>
        <v>LA VIEJA ESQUINA</v>
      </c>
      <c r="C109" s="183"/>
      <c r="D109" s="88">
        <v>1</v>
      </c>
      <c r="E109" s="89" t="str">
        <f>'[1]COMEDORES EMERGENTES'!$G$20</f>
        <v>B° CRISTO REY PJE CAPATAZ VILLAFAÑEZ Y ARMANDO CORREA</v>
      </c>
    </row>
    <row r="110" spans="2:5" x14ac:dyDescent="0.2">
      <c r="B110" s="182" t="str">
        <f>'[1]COMEDORES EMERGENTES'!$B$21</f>
        <v>GAUCHITO GIL</v>
      </c>
      <c r="C110" s="183"/>
      <c r="D110" s="88">
        <v>1</v>
      </c>
      <c r="E110" s="89" t="str">
        <f>'[1]COMEDORES EMERGENTES'!$G$21</f>
        <v>B° 26 VIVIENDAS CASA N° 3</v>
      </c>
    </row>
    <row r="111" spans="2:5" x14ac:dyDescent="0.2">
      <c r="B111" s="182" t="str">
        <f>'[1]COMEDORES EMERGENTES'!$B$22</f>
        <v>LOS TOLDOS</v>
      </c>
      <c r="C111" s="183"/>
      <c r="D111" s="88">
        <v>1</v>
      </c>
      <c r="E111" s="89" t="str">
        <f>'[1]COMEDORES EMERGENTES'!$G$22</f>
        <v>LOTEO PARQUE SUR CALLE S/NOMBRE S/N°</v>
      </c>
    </row>
    <row r="112" spans="2:5" x14ac:dyDescent="0.2">
      <c r="B112" s="13" t="s">
        <v>18</v>
      </c>
      <c r="C112" s="11"/>
      <c r="D112" s="11"/>
      <c r="E112" s="12"/>
    </row>
    <row r="113" spans="2:5" x14ac:dyDescent="0.2">
      <c r="B113" s="14"/>
      <c r="C113" s="195" t="s">
        <v>24</v>
      </c>
      <c r="D113" s="195"/>
      <c r="E113" s="195"/>
    </row>
    <row r="114" spans="2:5" x14ac:dyDescent="0.2">
      <c r="B114" s="13" t="s">
        <v>19</v>
      </c>
      <c r="C114" s="15"/>
      <c r="D114" s="15"/>
      <c r="E114" s="16"/>
    </row>
    <row r="115" spans="2:5" x14ac:dyDescent="0.2">
      <c r="B115" s="14"/>
      <c r="C115" s="195" t="s">
        <v>101</v>
      </c>
      <c r="D115" s="195"/>
      <c r="E115" s="195"/>
    </row>
    <row r="116" spans="2:5" x14ac:dyDescent="0.2">
      <c r="B116" s="13" t="s">
        <v>20</v>
      </c>
      <c r="C116" s="11"/>
      <c r="D116" s="11"/>
      <c r="E116" s="12"/>
    </row>
    <row r="117" spans="2:5" x14ac:dyDescent="0.2">
      <c r="B117" s="13"/>
      <c r="C117" s="181" t="s">
        <v>25</v>
      </c>
      <c r="D117" s="181"/>
      <c r="E117" s="181"/>
    </row>
    <row r="118" spans="2:5" ht="13.5" thickBot="1" x14ac:dyDescent="0.25">
      <c r="B118" s="17"/>
      <c r="C118" s="18"/>
      <c r="D118" s="18"/>
      <c r="E118" s="19"/>
    </row>
  </sheetData>
  <mergeCells count="85">
    <mergeCell ref="A6:B6"/>
    <mergeCell ref="B2:H2"/>
    <mergeCell ref="A4:B4"/>
    <mergeCell ref="C4:E4"/>
    <mergeCell ref="A5:B5"/>
    <mergeCell ref="C5:E5"/>
    <mergeCell ref="A7:B7"/>
    <mergeCell ref="C18:E18"/>
    <mergeCell ref="C43:E43"/>
    <mergeCell ref="C45:E45"/>
    <mergeCell ref="C47:E47"/>
    <mergeCell ref="B20:E20"/>
    <mergeCell ref="B21:C21"/>
    <mergeCell ref="B22:C22"/>
    <mergeCell ref="B23:C23"/>
    <mergeCell ref="B41:C41"/>
    <mergeCell ref="B24:C24"/>
    <mergeCell ref="B25:C25"/>
    <mergeCell ref="B26:C26"/>
    <mergeCell ref="B27:C27"/>
    <mergeCell ref="B28:C28"/>
    <mergeCell ref="B29:C29"/>
    <mergeCell ref="C117:E117"/>
    <mergeCell ref="C82:E82"/>
    <mergeCell ref="C88:E88"/>
    <mergeCell ref="C113:E113"/>
    <mergeCell ref="C115:E115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11:C111"/>
    <mergeCell ref="B101:C101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55:E55"/>
    <mergeCell ref="B56:C56"/>
    <mergeCell ref="B57:C57"/>
    <mergeCell ref="C53:E53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90:E90"/>
    <mergeCell ref="B91:C91"/>
    <mergeCell ref="C80:E80"/>
    <mergeCell ref="C78:E78"/>
    <mergeCell ref="B76:C76"/>
    <mergeCell ref="B107:C107"/>
    <mergeCell ref="B108:C108"/>
    <mergeCell ref="B109:C109"/>
    <mergeCell ref="B110:C110"/>
    <mergeCell ref="B102:C102"/>
    <mergeCell ref="B103:C103"/>
    <mergeCell ref="B104:C104"/>
    <mergeCell ref="B105:C105"/>
    <mergeCell ref="B106:C106"/>
  </mergeCells>
  <pageMargins left="0.23622047244094491" right="0.23622047244094491" top="0.23622047244094491" bottom="0.31496062992125984" header="0.19685039370078741" footer="0.31496062992125984"/>
  <pageSetup paperSize="5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9"/>
  <sheetViews>
    <sheetView topLeftCell="D1" workbookViewId="0">
      <selection activeCell="E38" sqref="E38"/>
    </sheetView>
  </sheetViews>
  <sheetFormatPr baseColWidth="10" defaultColWidth="11" defaultRowHeight="12.75" x14ac:dyDescent="0.2"/>
  <cols>
    <col min="1" max="1" width="4.5703125" style="1" customWidth="1"/>
    <col min="2" max="2" width="15.5703125" style="1" customWidth="1"/>
    <col min="3" max="3" width="32.42578125" style="1" customWidth="1"/>
    <col min="4" max="4" width="10" style="54" customWidth="1"/>
    <col min="5" max="5" width="168.28515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1" spans="1:9" ht="27" x14ac:dyDescent="0.35">
      <c r="B1" s="184" t="s">
        <v>0</v>
      </c>
      <c r="C1" s="184"/>
      <c r="D1" s="184"/>
      <c r="E1" s="184"/>
      <c r="F1" s="184"/>
      <c r="G1" s="184"/>
      <c r="H1" s="184"/>
    </row>
    <row r="2" spans="1:9" ht="6" customHeight="1" x14ac:dyDescent="0.2"/>
    <row r="3" spans="1:9" ht="16.5" customHeight="1" x14ac:dyDescent="0.25">
      <c r="A3" s="185" t="s">
        <v>1</v>
      </c>
      <c r="B3" s="185"/>
      <c r="C3" s="186" t="s">
        <v>27</v>
      </c>
      <c r="D3" s="186"/>
      <c r="E3" s="186"/>
      <c r="F3" s="2"/>
      <c r="G3" s="3"/>
      <c r="H3" s="2"/>
    </row>
    <row r="4" spans="1:9" ht="17.25" customHeight="1" x14ac:dyDescent="0.25">
      <c r="A4" s="185" t="s">
        <v>2</v>
      </c>
      <c r="B4" s="185"/>
      <c r="C4" s="186" t="s">
        <v>23</v>
      </c>
      <c r="D4" s="186"/>
      <c r="E4" s="186"/>
      <c r="F4" s="2"/>
      <c r="G4" s="3"/>
      <c r="H4" s="2"/>
    </row>
    <row r="5" spans="1:9" ht="15" customHeight="1" x14ac:dyDescent="0.25">
      <c r="A5" s="185" t="s">
        <v>3</v>
      </c>
      <c r="B5" s="185"/>
      <c r="C5" s="20">
        <v>2020</v>
      </c>
      <c r="D5" s="50"/>
      <c r="E5" s="21"/>
      <c r="F5" s="2"/>
      <c r="G5" s="3"/>
      <c r="H5" s="2"/>
    </row>
    <row r="6" spans="1:9" ht="16.5" customHeight="1" x14ac:dyDescent="0.25">
      <c r="A6" s="185" t="s">
        <v>4</v>
      </c>
      <c r="B6" s="185"/>
      <c r="C6" s="20">
        <v>3</v>
      </c>
      <c r="D6" s="50"/>
      <c r="E6" s="21"/>
      <c r="F6" s="2"/>
      <c r="G6" s="3"/>
      <c r="H6" s="2"/>
    </row>
    <row r="7" spans="1:9" ht="7.5" customHeight="1" thickBot="1" x14ac:dyDescent="0.25">
      <c r="B7" s="2"/>
      <c r="C7" s="3"/>
      <c r="D7" s="3"/>
      <c r="E7" s="2"/>
      <c r="F7" s="2"/>
      <c r="G7" s="3"/>
      <c r="H7" s="2"/>
    </row>
    <row r="8" spans="1:9" ht="39" thickBot="1" x14ac:dyDescent="0.25">
      <c r="A8" s="23" t="s">
        <v>5</v>
      </c>
      <c r="B8" s="32" t="s">
        <v>6</v>
      </c>
      <c r="C8" s="32" t="s">
        <v>7</v>
      </c>
      <c r="D8" s="28" t="s">
        <v>8</v>
      </c>
      <c r="E8" s="32" t="s">
        <v>9</v>
      </c>
      <c r="F8" s="24" t="s">
        <v>10</v>
      </c>
      <c r="G8" s="25" t="s">
        <v>11</v>
      </c>
      <c r="H8" s="25" t="s">
        <v>12</v>
      </c>
      <c r="I8" s="26" t="s">
        <v>13</v>
      </c>
    </row>
    <row r="9" spans="1:9" ht="15.75" customHeight="1" x14ac:dyDescent="0.2">
      <c r="A9" s="55">
        <v>1</v>
      </c>
      <c r="B9" s="56" t="s">
        <v>28</v>
      </c>
      <c r="C9" s="56" t="s">
        <v>22</v>
      </c>
      <c r="D9" s="57" t="str">
        <f>LEFT(B9,5)</f>
        <v>2.1.1</v>
      </c>
      <c r="E9" s="56" t="s">
        <v>36</v>
      </c>
      <c r="F9" s="58" t="s">
        <v>77</v>
      </c>
      <c r="G9" s="59">
        <v>7164</v>
      </c>
      <c r="H9" s="60"/>
      <c r="I9" s="61"/>
    </row>
    <row r="10" spans="1:9" x14ac:dyDescent="0.2">
      <c r="A10" s="62">
        <v>2</v>
      </c>
      <c r="B10" s="63" t="s">
        <v>29</v>
      </c>
      <c r="C10" s="63" t="s">
        <v>22</v>
      </c>
      <c r="D10" s="64" t="s">
        <v>35</v>
      </c>
      <c r="E10" s="63" t="s">
        <v>37</v>
      </c>
      <c r="F10" s="65" t="s">
        <v>77</v>
      </c>
      <c r="G10" s="66">
        <v>5232</v>
      </c>
      <c r="H10" s="67"/>
      <c r="I10" s="68"/>
    </row>
    <row r="11" spans="1:9" x14ac:dyDescent="0.2">
      <c r="A11" s="62">
        <v>3</v>
      </c>
      <c r="B11" s="69" t="s">
        <v>239</v>
      </c>
      <c r="C11" s="69" t="s">
        <v>22</v>
      </c>
      <c r="D11" s="70" t="s">
        <v>35</v>
      </c>
      <c r="E11" s="69" t="s">
        <v>238</v>
      </c>
      <c r="F11" s="71" t="s">
        <v>77</v>
      </c>
      <c r="G11" s="66">
        <v>9504</v>
      </c>
      <c r="H11" s="67"/>
      <c r="I11" s="68"/>
    </row>
    <row r="12" spans="1:9" x14ac:dyDescent="0.2">
      <c r="A12" s="62">
        <v>4</v>
      </c>
      <c r="B12" s="69" t="s">
        <v>241</v>
      </c>
      <c r="C12" s="69" t="s">
        <v>22</v>
      </c>
      <c r="D12" s="72" t="str">
        <f>LEFT(B12,5)</f>
        <v>2.1.1</v>
      </c>
      <c r="E12" s="69" t="s">
        <v>240</v>
      </c>
      <c r="F12" s="71" t="s">
        <v>77</v>
      </c>
      <c r="G12" s="66">
        <v>9504</v>
      </c>
      <c r="H12" s="67"/>
      <c r="I12" s="68"/>
    </row>
    <row r="13" spans="1:9" x14ac:dyDescent="0.2">
      <c r="A13" s="62">
        <v>5</v>
      </c>
      <c r="B13" s="63" t="s">
        <v>30</v>
      </c>
      <c r="C13" s="63" t="s">
        <v>22</v>
      </c>
      <c r="D13" s="64" t="s">
        <v>35</v>
      </c>
      <c r="E13" s="63" t="s">
        <v>38</v>
      </c>
      <c r="F13" s="65" t="s">
        <v>77</v>
      </c>
      <c r="G13" s="66">
        <v>4284</v>
      </c>
      <c r="H13" s="67"/>
      <c r="I13" s="68"/>
    </row>
    <row r="14" spans="1:9" x14ac:dyDescent="0.2">
      <c r="A14" s="62">
        <v>6</v>
      </c>
      <c r="B14" s="63" t="s">
        <v>31</v>
      </c>
      <c r="C14" s="63" t="s">
        <v>22</v>
      </c>
      <c r="D14" s="64" t="s">
        <v>35</v>
      </c>
      <c r="E14" s="63" t="s">
        <v>39</v>
      </c>
      <c r="F14" s="65" t="s">
        <v>77</v>
      </c>
      <c r="G14" s="66">
        <v>12828</v>
      </c>
      <c r="H14" s="67"/>
      <c r="I14" s="68"/>
    </row>
    <row r="15" spans="1:9" x14ac:dyDescent="0.2">
      <c r="A15" s="62">
        <v>7</v>
      </c>
      <c r="B15" s="63" t="s">
        <v>32</v>
      </c>
      <c r="C15" s="63" t="s">
        <v>22</v>
      </c>
      <c r="D15" s="64" t="str">
        <f t="shared" ref="D15:D34" si="0">LEFT(B15,5)</f>
        <v>2.1.1</v>
      </c>
      <c r="E15" s="63" t="s">
        <v>40</v>
      </c>
      <c r="F15" s="65" t="s">
        <v>77</v>
      </c>
      <c r="G15" s="66">
        <v>8544</v>
      </c>
      <c r="H15" s="67"/>
      <c r="I15" s="68"/>
    </row>
    <row r="16" spans="1:9" x14ac:dyDescent="0.2">
      <c r="A16" s="62">
        <v>8</v>
      </c>
      <c r="B16" s="69" t="s">
        <v>236</v>
      </c>
      <c r="C16" s="63" t="s">
        <v>22</v>
      </c>
      <c r="D16" s="64" t="s">
        <v>35</v>
      </c>
      <c r="E16" s="63" t="s">
        <v>237</v>
      </c>
      <c r="F16" s="65" t="s">
        <v>77</v>
      </c>
      <c r="G16" s="66">
        <v>2412</v>
      </c>
      <c r="H16" s="67"/>
      <c r="I16" s="68"/>
    </row>
    <row r="17" spans="1:9" x14ac:dyDescent="0.2">
      <c r="A17" s="62">
        <v>9</v>
      </c>
      <c r="B17" s="63" t="s">
        <v>33</v>
      </c>
      <c r="C17" s="63" t="s">
        <v>22</v>
      </c>
      <c r="D17" s="64" t="str">
        <f t="shared" si="0"/>
        <v>2.1.1</v>
      </c>
      <c r="E17" s="63" t="s">
        <v>41</v>
      </c>
      <c r="F17" s="65" t="s">
        <v>78</v>
      </c>
      <c r="G17" s="66">
        <v>13296</v>
      </c>
      <c r="H17" s="67"/>
      <c r="I17" s="68"/>
    </row>
    <row r="18" spans="1:9" x14ac:dyDescent="0.2">
      <c r="A18" s="62">
        <v>10</v>
      </c>
      <c r="B18" s="63" t="s">
        <v>34</v>
      </c>
      <c r="C18" s="63" t="s">
        <v>22</v>
      </c>
      <c r="D18" s="64" t="str">
        <f t="shared" si="0"/>
        <v>2.1.1</v>
      </c>
      <c r="E18" s="63" t="s">
        <v>42</v>
      </c>
      <c r="F18" s="65" t="s">
        <v>78</v>
      </c>
      <c r="G18" s="66">
        <v>16668</v>
      </c>
      <c r="H18" s="67"/>
      <c r="I18" s="68"/>
    </row>
    <row r="19" spans="1:9" x14ac:dyDescent="0.2">
      <c r="A19" s="62">
        <v>11</v>
      </c>
      <c r="B19" s="63" t="s">
        <v>43</v>
      </c>
      <c r="C19" s="63" t="s">
        <v>22</v>
      </c>
      <c r="D19" s="64" t="str">
        <f t="shared" si="0"/>
        <v>2.1.1</v>
      </c>
      <c r="E19" s="63" t="s">
        <v>50</v>
      </c>
      <c r="F19" s="73" t="s">
        <v>78</v>
      </c>
      <c r="G19" s="74">
        <v>10464</v>
      </c>
      <c r="H19" s="67"/>
      <c r="I19" s="68"/>
    </row>
    <row r="20" spans="1:9" x14ac:dyDescent="0.2">
      <c r="A20" s="62">
        <v>12</v>
      </c>
      <c r="B20" s="63" t="s">
        <v>44</v>
      </c>
      <c r="C20" s="63" t="s">
        <v>22</v>
      </c>
      <c r="D20" s="64" t="s">
        <v>35</v>
      </c>
      <c r="E20" s="63" t="s">
        <v>51</v>
      </c>
      <c r="F20" s="65" t="s">
        <v>14</v>
      </c>
      <c r="G20" s="66">
        <v>14256</v>
      </c>
      <c r="H20" s="67"/>
      <c r="I20" s="68"/>
    </row>
    <row r="21" spans="1:9" x14ac:dyDescent="0.2">
      <c r="A21" s="62">
        <v>13</v>
      </c>
      <c r="B21" s="63" t="s">
        <v>45</v>
      </c>
      <c r="C21" s="63" t="s">
        <v>22</v>
      </c>
      <c r="D21" s="64" t="str">
        <f>LEFT(B21,5)</f>
        <v>2.1.1</v>
      </c>
      <c r="E21" s="63" t="s">
        <v>52</v>
      </c>
      <c r="F21" s="65" t="s">
        <v>14</v>
      </c>
      <c r="G21" s="66">
        <v>1440</v>
      </c>
      <c r="H21" s="67"/>
      <c r="I21" s="68"/>
    </row>
    <row r="22" spans="1:9" x14ac:dyDescent="0.2">
      <c r="A22" s="62">
        <v>14</v>
      </c>
      <c r="B22" s="75" t="s">
        <v>73</v>
      </c>
      <c r="C22" s="75" t="s">
        <v>22</v>
      </c>
      <c r="D22" s="64" t="str">
        <f t="shared" si="0"/>
        <v>2.1.1</v>
      </c>
      <c r="E22" s="75" t="s">
        <v>74</v>
      </c>
      <c r="F22" s="65" t="s">
        <v>78</v>
      </c>
      <c r="G22" s="66">
        <v>4752</v>
      </c>
      <c r="H22" s="67"/>
      <c r="I22" s="68"/>
    </row>
    <row r="23" spans="1:9" x14ac:dyDescent="0.2">
      <c r="A23" s="62">
        <v>15</v>
      </c>
      <c r="B23" s="63" t="s">
        <v>46</v>
      </c>
      <c r="C23" s="63" t="s">
        <v>22</v>
      </c>
      <c r="D23" s="64" t="s">
        <v>35</v>
      </c>
      <c r="E23" s="63" t="s">
        <v>53</v>
      </c>
      <c r="F23" s="65" t="s">
        <v>14</v>
      </c>
      <c r="G23" s="66">
        <v>2856</v>
      </c>
      <c r="H23" s="67"/>
      <c r="I23" s="68"/>
    </row>
    <row r="24" spans="1:9" x14ac:dyDescent="0.2">
      <c r="A24" s="62">
        <v>16</v>
      </c>
      <c r="B24" s="63" t="s">
        <v>47</v>
      </c>
      <c r="C24" s="63" t="s">
        <v>22</v>
      </c>
      <c r="D24" s="64" t="str">
        <f>LEFT(B24,5)</f>
        <v>2.1.1</v>
      </c>
      <c r="E24" s="63" t="s">
        <v>54</v>
      </c>
      <c r="F24" s="65" t="s">
        <v>78</v>
      </c>
      <c r="G24" s="66">
        <v>9504</v>
      </c>
      <c r="H24" s="67"/>
      <c r="I24" s="68"/>
    </row>
    <row r="25" spans="1:9" x14ac:dyDescent="0.2">
      <c r="A25" s="62">
        <v>17</v>
      </c>
      <c r="B25" s="63" t="s">
        <v>48</v>
      </c>
      <c r="C25" s="63" t="s">
        <v>22</v>
      </c>
      <c r="D25" s="64" t="str">
        <f t="shared" si="0"/>
        <v>2.1.1</v>
      </c>
      <c r="E25" s="63" t="s">
        <v>55</v>
      </c>
      <c r="F25" s="65" t="s">
        <v>78</v>
      </c>
      <c r="G25" s="66">
        <v>4752</v>
      </c>
      <c r="H25" s="67"/>
      <c r="I25" s="68"/>
    </row>
    <row r="26" spans="1:9" x14ac:dyDescent="0.2">
      <c r="A26" s="62">
        <v>18</v>
      </c>
      <c r="B26" s="63" t="s">
        <v>49</v>
      </c>
      <c r="C26" s="63" t="s">
        <v>22</v>
      </c>
      <c r="D26" s="64" t="str">
        <f t="shared" si="0"/>
        <v>2.1.1</v>
      </c>
      <c r="E26" s="63" t="s">
        <v>56</v>
      </c>
      <c r="F26" s="65" t="s">
        <v>78</v>
      </c>
      <c r="G26" s="66">
        <v>8544</v>
      </c>
      <c r="H26" s="67"/>
      <c r="I26" s="68"/>
    </row>
    <row r="27" spans="1:9" x14ac:dyDescent="0.2">
      <c r="A27" s="62">
        <v>19</v>
      </c>
      <c r="B27" s="63" t="s">
        <v>80</v>
      </c>
      <c r="C27" s="63" t="s">
        <v>22</v>
      </c>
      <c r="D27" s="64" t="str">
        <f t="shared" si="0"/>
        <v>2.1.1</v>
      </c>
      <c r="E27" s="63" t="s">
        <v>81</v>
      </c>
      <c r="F27" s="65" t="s">
        <v>78</v>
      </c>
      <c r="G27" s="66">
        <v>7164</v>
      </c>
      <c r="H27" s="67"/>
      <c r="I27" s="68"/>
    </row>
    <row r="28" spans="1:9" x14ac:dyDescent="0.2">
      <c r="A28" s="62">
        <v>20</v>
      </c>
      <c r="B28" s="63" t="s">
        <v>75</v>
      </c>
      <c r="C28" s="63" t="s">
        <v>22</v>
      </c>
      <c r="D28" s="64" t="s">
        <v>35</v>
      </c>
      <c r="E28" s="63" t="s">
        <v>76</v>
      </c>
      <c r="F28" s="65" t="s">
        <v>78</v>
      </c>
      <c r="G28" s="66">
        <v>19008</v>
      </c>
      <c r="H28" s="67"/>
      <c r="I28" s="68"/>
    </row>
    <row r="29" spans="1:9" x14ac:dyDescent="0.2">
      <c r="A29" s="62">
        <v>21</v>
      </c>
      <c r="B29" s="63" t="s">
        <v>57</v>
      </c>
      <c r="C29" s="63" t="s">
        <v>22</v>
      </c>
      <c r="D29" s="64" t="s">
        <v>35</v>
      </c>
      <c r="E29" s="63" t="s">
        <v>62</v>
      </c>
      <c r="F29" s="65" t="s">
        <v>78</v>
      </c>
      <c r="G29" s="76">
        <v>120</v>
      </c>
      <c r="H29" s="67"/>
      <c r="I29" s="68"/>
    </row>
    <row r="30" spans="1:9" x14ac:dyDescent="0.2">
      <c r="A30" s="62">
        <v>22</v>
      </c>
      <c r="B30" s="63" t="s">
        <v>58</v>
      </c>
      <c r="C30" s="63" t="s">
        <v>22</v>
      </c>
      <c r="D30" s="64" t="str">
        <f t="shared" si="0"/>
        <v>2.1.1</v>
      </c>
      <c r="E30" s="63" t="s">
        <v>63</v>
      </c>
      <c r="F30" s="65" t="s">
        <v>78</v>
      </c>
      <c r="G30" s="66">
        <v>120</v>
      </c>
      <c r="H30" s="67"/>
      <c r="I30" s="68"/>
    </row>
    <row r="31" spans="1:9" x14ac:dyDescent="0.2">
      <c r="A31" s="62">
        <v>23</v>
      </c>
      <c r="B31" s="63" t="s">
        <v>59</v>
      </c>
      <c r="C31" s="63" t="s">
        <v>22</v>
      </c>
      <c r="D31" s="64" t="s">
        <v>35</v>
      </c>
      <c r="E31" s="63" t="s">
        <v>64</v>
      </c>
      <c r="F31" s="65" t="s">
        <v>78</v>
      </c>
      <c r="G31" s="66">
        <v>120</v>
      </c>
      <c r="H31" s="67"/>
      <c r="I31" s="68"/>
    </row>
    <row r="32" spans="1:9" x14ac:dyDescent="0.2">
      <c r="A32" s="62">
        <v>24</v>
      </c>
      <c r="B32" s="63" t="s">
        <v>60</v>
      </c>
      <c r="C32" s="63" t="s">
        <v>22</v>
      </c>
      <c r="D32" s="64" t="s">
        <v>35</v>
      </c>
      <c r="E32" s="63" t="s">
        <v>65</v>
      </c>
      <c r="F32" s="65" t="s">
        <v>78</v>
      </c>
      <c r="G32" s="66">
        <v>120</v>
      </c>
      <c r="H32" s="67"/>
      <c r="I32" s="68"/>
    </row>
    <row r="33" spans="1:9" x14ac:dyDescent="0.2">
      <c r="A33" s="62">
        <v>25</v>
      </c>
      <c r="B33" s="69" t="s">
        <v>243</v>
      </c>
      <c r="C33" s="69" t="s">
        <v>22</v>
      </c>
      <c r="D33" s="72" t="str">
        <f>LEFT(B33,5)</f>
        <v>2.1.1</v>
      </c>
      <c r="E33" s="69" t="s">
        <v>242</v>
      </c>
      <c r="F33" s="71" t="s">
        <v>14</v>
      </c>
      <c r="G33" s="66">
        <v>492</v>
      </c>
      <c r="H33" s="67"/>
      <c r="I33" s="68"/>
    </row>
    <row r="34" spans="1:9" x14ac:dyDescent="0.2">
      <c r="A34" s="62">
        <v>26</v>
      </c>
      <c r="B34" s="63" t="s">
        <v>61</v>
      </c>
      <c r="C34" s="63" t="s">
        <v>22</v>
      </c>
      <c r="D34" s="64" t="str">
        <f t="shared" si="0"/>
        <v>2.1.1</v>
      </c>
      <c r="E34" s="63" t="s">
        <v>66</v>
      </c>
      <c r="F34" s="65" t="s">
        <v>78</v>
      </c>
      <c r="G34" s="66">
        <v>270</v>
      </c>
      <c r="H34" s="77"/>
      <c r="I34" s="78"/>
    </row>
    <row r="35" spans="1:9" x14ac:dyDescent="0.2">
      <c r="A35" s="62">
        <v>27</v>
      </c>
      <c r="B35" s="63" t="s">
        <v>90</v>
      </c>
      <c r="C35" s="63" t="s">
        <v>22</v>
      </c>
      <c r="D35" s="64" t="s">
        <v>35</v>
      </c>
      <c r="E35" s="63" t="s">
        <v>94</v>
      </c>
      <c r="F35" s="79" t="s">
        <v>14</v>
      </c>
      <c r="G35" s="80">
        <v>23760</v>
      </c>
      <c r="H35" s="67"/>
      <c r="I35" s="68"/>
    </row>
    <row r="36" spans="1:9" x14ac:dyDescent="0.2">
      <c r="A36" s="62">
        <v>28</v>
      </c>
      <c r="B36" s="63" t="s">
        <v>91</v>
      </c>
      <c r="C36" s="63" t="s">
        <v>22</v>
      </c>
      <c r="D36" s="64" t="s">
        <v>35</v>
      </c>
      <c r="E36" s="63" t="s">
        <v>95</v>
      </c>
      <c r="F36" s="79" t="s">
        <v>14</v>
      </c>
      <c r="G36" s="80">
        <v>23760</v>
      </c>
      <c r="H36" s="67"/>
      <c r="I36" s="68"/>
    </row>
    <row r="37" spans="1:9" x14ac:dyDescent="0.2">
      <c r="A37" s="62">
        <v>29</v>
      </c>
      <c r="B37" s="63" t="s">
        <v>92</v>
      </c>
      <c r="C37" s="63" t="s">
        <v>22</v>
      </c>
      <c r="D37" s="64" t="str">
        <f>LEFT(B37,5)</f>
        <v>2.1.1</v>
      </c>
      <c r="E37" s="63" t="s">
        <v>96</v>
      </c>
      <c r="F37" s="79" t="s">
        <v>14</v>
      </c>
      <c r="G37" s="80">
        <v>23760</v>
      </c>
      <c r="H37" s="67"/>
      <c r="I37" s="68"/>
    </row>
    <row r="38" spans="1:9" ht="13.5" thickBot="1" x14ac:dyDescent="0.25">
      <c r="A38" s="81">
        <v>30</v>
      </c>
      <c r="B38" s="82" t="s">
        <v>93</v>
      </c>
      <c r="C38" s="82" t="s">
        <v>22</v>
      </c>
      <c r="D38" s="83" t="str">
        <f>LEFT(B38,5)</f>
        <v>2.1.1</v>
      </c>
      <c r="E38" s="82" t="s">
        <v>97</v>
      </c>
      <c r="F38" s="84" t="s">
        <v>14</v>
      </c>
      <c r="G38" s="85">
        <v>23760</v>
      </c>
      <c r="H38" s="86"/>
      <c r="I38" s="87"/>
    </row>
    <row r="41" spans="1:9" x14ac:dyDescent="0.2">
      <c r="B41" s="7" t="s">
        <v>15</v>
      </c>
      <c r="C41" s="8"/>
      <c r="D41" s="51"/>
      <c r="E41" s="9"/>
    </row>
    <row r="42" spans="1:9" ht="5.25" customHeight="1" x14ac:dyDescent="0.2">
      <c r="B42" s="10"/>
      <c r="C42" s="11"/>
      <c r="D42" s="52"/>
      <c r="E42" s="12"/>
    </row>
    <row r="43" spans="1:9" x14ac:dyDescent="0.2">
      <c r="B43" s="13" t="s">
        <v>16</v>
      </c>
      <c r="C43" s="11"/>
      <c r="D43" s="52"/>
      <c r="E43" s="12"/>
    </row>
    <row r="44" spans="1:9" ht="25.5" customHeight="1" x14ac:dyDescent="0.2">
      <c r="B44" s="13"/>
      <c r="C44" s="195"/>
      <c r="D44" s="195"/>
      <c r="E44" s="195"/>
    </row>
    <row r="45" spans="1:9" ht="13.5" thickBot="1" x14ac:dyDescent="0.25">
      <c r="B45" s="13" t="s">
        <v>17</v>
      </c>
      <c r="C45" s="11"/>
      <c r="D45" s="52"/>
      <c r="E45" s="12"/>
    </row>
    <row r="46" spans="1:9" ht="13.5" thickBot="1" x14ac:dyDescent="0.25">
      <c r="B46" s="187" t="s">
        <v>98</v>
      </c>
      <c r="C46" s="191"/>
      <c r="D46" s="191"/>
      <c r="E46" s="188"/>
    </row>
    <row r="47" spans="1:9" ht="13.5" thickBot="1" x14ac:dyDescent="0.25">
      <c r="B47" s="187" t="s">
        <v>99</v>
      </c>
      <c r="C47" s="188"/>
      <c r="D47" s="49" t="s">
        <v>11</v>
      </c>
      <c r="E47" s="49" t="s">
        <v>100</v>
      </c>
    </row>
    <row r="48" spans="1:9" x14ac:dyDescent="0.2">
      <c r="B48" s="189" t="str">
        <f>'[1]COMEDORES EMERGENTES'!$B$3</f>
        <v>UNA SONRISA AV. LOS COBACHO</v>
      </c>
      <c r="C48" s="190"/>
      <c r="D48" s="93" t="s">
        <v>129</v>
      </c>
      <c r="E48" s="94" t="str">
        <f>'[1]COMEDORES EMERGENTES'!$G$3</f>
        <v>Bº SAN CARLOS OESTE AV. Bonifacio cobacho 670</v>
      </c>
    </row>
    <row r="49" spans="2:5" x14ac:dyDescent="0.2">
      <c r="B49" s="182" t="str">
        <f>'[1]COMEDORES EMERGENTES'!$B$4</f>
        <v>C.I.F Nº1 - RIVERA DEL VALLE Y FLORIDA</v>
      </c>
      <c r="C49" s="183"/>
      <c r="D49" s="88" t="s">
        <v>131</v>
      </c>
      <c r="E49" s="89" t="str">
        <f>'[1]COMEDORES EMERGENTES'!$G$4</f>
        <v>AV. RIVIERA DEL VALLE ENTRE FLORIDA Y SANTA FE</v>
      </c>
    </row>
    <row r="50" spans="2:5" x14ac:dyDescent="0.2">
      <c r="B50" s="182" t="str">
        <f>'[1]COMEDORES EMERGENTES'!$B$5</f>
        <v>C.I.F - RIVERA DEL VALLE - DILORENZO</v>
      </c>
      <c r="C50" s="183"/>
      <c r="D50" s="88" t="s">
        <v>132</v>
      </c>
      <c r="E50" s="89" t="str">
        <f>'[1]COMEDORES EMERGENTES'!$G$5</f>
        <v>Bº RIVERA DEL VALLE ENTRE VILLA EUMELIA Y MONTE CRISTO</v>
      </c>
    </row>
    <row r="51" spans="2:5" x14ac:dyDescent="0.2">
      <c r="B51" s="182" t="str">
        <f>'[1]COMEDORES EMERGENTES'!$B$6</f>
        <v>ESFUERZO PROPIO- Bº ALTOS DE CHOYA</v>
      </c>
      <c r="C51" s="183"/>
      <c r="D51" s="88" t="s">
        <v>133</v>
      </c>
      <c r="E51" s="89" t="str">
        <f>'[1]COMEDORES EMERGENTES'!$G$6</f>
        <v>Bº MUNICIPAL 35VV. NORTE C/14</v>
      </c>
    </row>
    <row r="52" spans="2:5" x14ac:dyDescent="0.2">
      <c r="B52" s="182" t="str">
        <f>'[1]COMEDORES EMERGENTES'!$B$7</f>
        <v>ANGELITOS - LOTEO SUSSEX</v>
      </c>
      <c r="C52" s="183"/>
      <c r="D52" s="88" t="s">
        <v>134</v>
      </c>
      <c r="E52" s="89" t="str">
        <f>'[1]COMEDORES EMERGENTES'!$G$7</f>
        <v>Bº LOTEO SUSEX MZA.Nº 4 LOTE Nº3</v>
      </c>
    </row>
    <row r="53" spans="2:5" x14ac:dyDescent="0.2">
      <c r="B53" s="182" t="str">
        <f>'[1]COMEDORES EMERGENTES'!$B$8</f>
        <v>CLUB DEPORTIVO CHACARITA</v>
      </c>
      <c r="C53" s="183"/>
      <c r="D53" s="88" t="s">
        <v>135</v>
      </c>
      <c r="E53" s="89" t="str">
        <f>'[1]COMEDORES EMERGENTES'!$G$8</f>
        <v>CALLE DR.DERMIDIO GALINDEZ C/2660</v>
      </c>
    </row>
    <row r="54" spans="2:5" x14ac:dyDescent="0.2">
      <c r="B54" s="182" t="str">
        <f>'[1]COMEDORES EMERGENTES'!$B$9</f>
        <v>LA MORO</v>
      </c>
      <c r="C54" s="183"/>
      <c r="D54" s="88" t="s">
        <v>130</v>
      </c>
      <c r="E54" s="89" t="str">
        <f>'[1]COMEDORES EMERGENTES'!$G$9</f>
        <v>MAIPU NORTE 1º ETAPA MZA "H" Bº MI JARDIN</v>
      </c>
    </row>
    <row r="55" spans="2:5" x14ac:dyDescent="0.2">
      <c r="B55" s="182" t="str">
        <f>'[1]COMEDORES EMERGENTES'!$B$10</f>
        <v>PAPA FRANCISCO</v>
      </c>
      <c r="C55" s="183"/>
      <c r="D55" s="88" t="s">
        <v>136</v>
      </c>
      <c r="E55" s="89" t="str">
        <f>'[1]COMEDORES EMERGENTES'!$G$10</f>
        <v>ENTRE AV.TEREBINTO Y AV.SAN JUAN LOTE "2" MZA. "B"</v>
      </c>
    </row>
    <row r="56" spans="2:5" x14ac:dyDescent="0.2">
      <c r="B56" s="182" t="str">
        <f>'[1]COMEDORES EMERGENTES'!$B$11</f>
        <v>E.P.C - 100 V.V NORTE</v>
      </c>
      <c r="C56" s="183"/>
      <c r="D56" s="88" t="s">
        <v>137</v>
      </c>
      <c r="E56" s="89" t="str">
        <f>'[1]COMEDORES EMERGENTES'!$G$11</f>
        <v>Bº VV NORTE C/48 ENTRE ESPAÑA Y FRANCIA</v>
      </c>
    </row>
    <row r="57" spans="2:5" x14ac:dyDescent="0.2">
      <c r="B57" s="182" t="str">
        <f>'[1]COMEDORES EMERGENTES'!$B$12</f>
        <v>HOGAR DE CRISTO - PADRE RAUL CONTRERAS</v>
      </c>
      <c r="C57" s="183"/>
      <c r="D57" s="88" t="s">
        <v>137</v>
      </c>
      <c r="E57" s="89" t="str">
        <f>'[1]COMEDORES EMERGENTES'!$G$12</f>
        <v>Bº SANTA MARTA MZA. "S" LOTE "M" C/39</v>
      </c>
    </row>
    <row r="58" spans="2:5" x14ac:dyDescent="0.2">
      <c r="B58" s="182" t="str">
        <f>'[1]COMEDORES EMERGENTES'!$B$13</f>
        <v>LA LUCIERNAGA</v>
      </c>
      <c r="C58" s="183"/>
      <c r="D58" s="88" t="s">
        <v>136</v>
      </c>
      <c r="E58" s="89" t="str">
        <f>'[1]COMEDORES EMERGENTES'!$G$13</f>
        <v>Bº 20 V.V NORTE C/3</v>
      </c>
    </row>
    <row r="59" spans="2:5" x14ac:dyDescent="0.2">
      <c r="B59" s="182" t="str">
        <f>'[1]COMEDORES EMERGENTES'!$B$14</f>
        <v>VALLE VIEJO - SUMALAO</v>
      </c>
      <c r="C59" s="183"/>
      <c r="D59" s="88" t="s">
        <v>138</v>
      </c>
      <c r="E59" s="89" t="str">
        <f>'[1]COMEDORES EMERGENTES'!$G$14</f>
        <v>PADRE SEGURA S/N</v>
      </c>
    </row>
    <row r="60" spans="2:5" x14ac:dyDescent="0.2">
      <c r="B60" s="182" t="str">
        <f>'[1]COMEDORES EMERGENTES'!$B$15</f>
        <v>NUESTRO FUTURO - LAS VIAS</v>
      </c>
      <c r="C60" s="183"/>
      <c r="D60" s="88" t="s">
        <v>136</v>
      </c>
      <c r="E60" s="89" t="str">
        <f>'[1]COMEDORES EMERGENTES'!$G$15</f>
        <v>Bº LAS VIAS OESTE LOTE 42</v>
      </c>
    </row>
    <row r="61" spans="2:5" x14ac:dyDescent="0.2">
      <c r="B61" s="182" t="str">
        <f>'[1]COMEDORES EMERGENTES'!$B$16</f>
        <v>SAN JOSE OBRERO</v>
      </c>
      <c r="C61" s="183"/>
      <c r="D61" s="88" t="s">
        <v>135</v>
      </c>
      <c r="E61" s="89" t="str">
        <f>'[1]COMEDORES EMERGENTES'!$G$16</f>
        <v>Bº SAN JOSE OBRERO. PJE. SANDOVAL S/Nº</v>
      </c>
    </row>
    <row r="62" spans="2:5" x14ac:dyDescent="0.2">
      <c r="B62" s="182" t="str">
        <f>'[1]COMEDORES EMERGENTES'!$B$17</f>
        <v>VIRGEN DE LUJAN</v>
      </c>
      <c r="C62" s="183"/>
      <c r="D62" s="88" t="s">
        <v>136</v>
      </c>
      <c r="E62" s="89" t="str">
        <f>'[1]COMEDORES EMERGENTES'!$G$17</f>
        <v>Bº OJO DE AGUA C/DR.TEODULFO BARRIONUEVO S/Nº</v>
      </c>
    </row>
    <row r="63" spans="2:5" x14ac:dyDescent="0.2">
      <c r="B63" s="182" t="str">
        <f>'[1]COMEDORES EMERGENTES'!$B$18</f>
        <v>RENACER</v>
      </c>
      <c r="C63" s="183"/>
      <c r="D63" s="88" t="s">
        <v>139</v>
      </c>
      <c r="E63" s="89" t="str">
        <f>'[1]COMEDORES EMERGENTES'!$G$18</f>
        <v>Bº VIRGEN MORENITA</v>
      </c>
    </row>
    <row r="64" spans="2:5" x14ac:dyDescent="0.2">
      <c r="B64" s="182" t="str">
        <f>'[1]COMEDORES EMERGENTES'!$B$19</f>
        <v>CENTRO VECINAL MI JARDIN</v>
      </c>
      <c r="C64" s="183"/>
      <c r="D64" s="88" t="s">
        <v>140</v>
      </c>
      <c r="E64" s="89" t="str">
        <f>'[1]COMEDORES EMERGENTES'!$G$19</f>
        <v>C/ LOS TULIPANES ENTRE FLOR DE CEREZO Y HOLANDA MZA.27 Bº MI JARDIN</v>
      </c>
    </row>
    <row r="65" spans="2:5" x14ac:dyDescent="0.2">
      <c r="B65" s="182" t="str">
        <f>'[1]COMEDORES EMERGENTES'!$B$20</f>
        <v>LA VIEJA ESQUINA</v>
      </c>
      <c r="C65" s="183"/>
      <c r="D65" s="88" t="s">
        <v>141</v>
      </c>
      <c r="E65" s="89" t="str">
        <f>'[1]COMEDORES EMERGENTES'!$G$20</f>
        <v>B° CRISTO REY PJE CAPATAZ VILLAFAÑEZ Y ARMANDO CORREA</v>
      </c>
    </row>
    <row r="66" spans="2:5" x14ac:dyDescent="0.2">
      <c r="B66" s="182" t="str">
        <f>'[1]COMEDORES EMERGENTES'!$B$21</f>
        <v>GAUCHITO GIL</v>
      </c>
      <c r="C66" s="183"/>
      <c r="D66" s="88" t="s">
        <v>142</v>
      </c>
      <c r="E66" s="89" t="str">
        <f>'[1]COMEDORES EMERGENTES'!$G$21</f>
        <v>B° 26 VIVIENDAS CASA N° 3</v>
      </c>
    </row>
    <row r="67" spans="2:5" ht="13.5" thickBot="1" x14ac:dyDescent="0.25">
      <c r="B67" s="196" t="str">
        <f>'[1]COMEDORES EMERGENTES'!$B$22</f>
        <v>LOS TOLDOS</v>
      </c>
      <c r="C67" s="197"/>
      <c r="D67" s="95" t="s">
        <v>162</v>
      </c>
      <c r="E67" s="96" t="str">
        <f>'[1]COMEDORES EMERGENTES'!$G$22</f>
        <v>LOTEO PARQUE SUR CALLE S/NOMBRE S/N°</v>
      </c>
    </row>
    <row r="68" spans="2:5" x14ac:dyDescent="0.2">
      <c r="B68" s="13" t="s">
        <v>18</v>
      </c>
      <c r="C68" s="11"/>
      <c r="D68" s="52"/>
      <c r="E68" s="12"/>
    </row>
    <row r="69" spans="2:5" ht="12.75" customHeight="1" x14ac:dyDescent="0.2">
      <c r="B69" s="14"/>
      <c r="C69" s="195" t="s">
        <v>24</v>
      </c>
      <c r="D69" s="195"/>
      <c r="E69" s="195"/>
    </row>
    <row r="70" spans="2:5" x14ac:dyDescent="0.2">
      <c r="B70" s="13" t="s">
        <v>19</v>
      </c>
      <c r="C70" s="15"/>
      <c r="D70" s="15"/>
      <c r="E70" s="16"/>
    </row>
    <row r="71" spans="2:5" ht="14.25" customHeight="1" x14ac:dyDescent="0.2">
      <c r="B71" s="14"/>
      <c r="C71" s="195" t="s">
        <v>101</v>
      </c>
      <c r="D71" s="195"/>
      <c r="E71" s="195"/>
    </row>
    <row r="72" spans="2:5" x14ac:dyDescent="0.2">
      <c r="B72" s="13" t="s">
        <v>20</v>
      </c>
      <c r="C72" s="11"/>
      <c r="D72" s="52"/>
      <c r="E72" s="12"/>
    </row>
    <row r="73" spans="2:5" ht="11.25" customHeight="1" x14ac:dyDescent="0.2">
      <c r="B73" s="13"/>
      <c r="C73" s="181" t="s">
        <v>25</v>
      </c>
      <c r="D73" s="181"/>
      <c r="E73" s="181"/>
    </row>
    <row r="74" spans="2:5" x14ac:dyDescent="0.2">
      <c r="B74" s="17"/>
      <c r="C74" s="18"/>
      <c r="D74" s="53"/>
      <c r="E74" s="19"/>
    </row>
    <row r="75" spans="2:5" ht="13.5" thickBot="1" x14ac:dyDescent="0.25"/>
    <row r="76" spans="2:5" x14ac:dyDescent="0.2">
      <c r="B76" s="7" t="s">
        <v>21</v>
      </c>
      <c r="C76" s="8"/>
      <c r="D76" s="51"/>
      <c r="E76" s="9"/>
    </row>
    <row r="77" spans="2:5" ht="5.25" customHeight="1" x14ac:dyDescent="0.2">
      <c r="B77" s="10"/>
      <c r="C77" s="11"/>
      <c r="D77" s="52"/>
      <c r="E77" s="12"/>
    </row>
    <row r="78" spans="2:5" x14ac:dyDescent="0.2">
      <c r="B78" s="13" t="s">
        <v>16</v>
      </c>
      <c r="C78" s="11"/>
      <c r="D78" s="52"/>
      <c r="E78" s="12"/>
    </row>
    <row r="79" spans="2:5" ht="25.5" customHeight="1" x14ac:dyDescent="0.2">
      <c r="B79" s="13"/>
      <c r="C79" s="195"/>
      <c r="D79" s="195"/>
      <c r="E79" s="195"/>
    </row>
    <row r="80" spans="2:5" ht="13.5" thickBot="1" x14ac:dyDescent="0.25">
      <c r="B80" s="13" t="s">
        <v>17</v>
      </c>
      <c r="C80" s="11"/>
      <c r="D80" s="52"/>
      <c r="E80" s="12"/>
    </row>
    <row r="81" spans="2:5" ht="13.5" thickBot="1" x14ac:dyDescent="0.25">
      <c r="B81" s="187" t="s">
        <v>98</v>
      </c>
      <c r="C81" s="191"/>
      <c r="D81" s="191"/>
      <c r="E81" s="188"/>
    </row>
    <row r="82" spans="2:5" ht="13.5" thickBot="1" x14ac:dyDescent="0.25">
      <c r="B82" s="187" t="s">
        <v>99</v>
      </c>
      <c r="C82" s="188"/>
      <c r="D82" s="49" t="s">
        <v>11</v>
      </c>
      <c r="E82" s="49" t="s">
        <v>100</v>
      </c>
    </row>
    <row r="83" spans="2:5" x14ac:dyDescent="0.2">
      <c r="B83" s="189" t="str">
        <f>'[1]COMEDORES EMERGENTES'!$B$3</f>
        <v>UNA SONRISA AV. LOS COBACHO</v>
      </c>
      <c r="C83" s="190"/>
      <c r="D83" s="93" t="s">
        <v>130</v>
      </c>
      <c r="E83" s="94" t="str">
        <f>'[1]COMEDORES EMERGENTES'!$G$3</f>
        <v>Bº SAN CARLOS OESTE AV. Bonifacio cobacho 670</v>
      </c>
    </row>
    <row r="84" spans="2:5" x14ac:dyDescent="0.2">
      <c r="B84" s="182" t="str">
        <f>'[1]COMEDORES EMERGENTES'!$B$4</f>
        <v>C.I.F Nº1 - RIVERA DEL VALLE Y FLORIDA</v>
      </c>
      <c r="C84" s="183"/>
      <c r="D84" s="88" t="s">
        <v>142</v>
      </c>
      <c r="E84" s="89" t="str">
        <f>'[1]COMEDORES EMERGENTES'!$G$4</f>
        <v>AV. RIVIERA DEL VALLE ENTRE FLORIDA Y SANTA FE</v>
      </c>
    </row>
    <row r="85" spans="2:5" x14ac:dyDescent="0.2">
      <c r="B85" s="182" t="str">
        <f>'[1]COMEDORES EMERGENTES'!$B$5</f>
        <v>C.I.F - RIVERA DEL VALLE - DILORENZO</v>
      </c>
      <c r="C85" s="183"/>
      <c r="D85" s="88" t="s">
        <v>136</v>
      </c>
      <c r="E85" s="89" t="str">
        <f>'[1]COMEDORES EMERGENTES'!$G$5</f>
        <v>Bº RIVERA DEL VALLE ENTRE VILLA EUMELIA Y MONTE CRISTO</v>
      </c>
    </row>
    <row r="86" spans="2:5" x14ac:dyDescent="0.2">
      <c r="B86" s="182" t="str">
        <f>'[1]COMEDORES EMERGENTES'!$B$6</f>
        <v>ESFUERZO PROPIO- Bº ALTOS DE CHOYA</v>
      </c>
      <c r="C86" s="183"/>
      <c r="D86" s="88" t="s">
        <v>129</v>
      </c>
      <c r="E86" s="89" t="str">
        <f>'[1]COMEDORES EMERGENTES'!$G$6</f>
        <v>Bº MUNICIPAL 35VV. NORTE C/14</v>
      </c>
    </row>
    <row r="87" spans="2:5" x14ac:dyDescent="0.2">
      <c r="B87" s="182" t="str">
        <f>'[1]COMEDORES EMERGENTES'!$B$7</f>
        <v>ANGELITOS - LOTEO SUSSEX</v>
      </c>
      <c r="C87" s="183"/>
      <c r="D87" s="88" t="s">
        <v>143</v>
      </c>
      <c r="E87" s="89" t="str">
        <f>'[1]COMEDORES EMERGENTES'!$G$7</f>
        <v>Bº LOTEO SUSEX MZA.Nº 4 LOTE Nº3</v>
      </c>
    </row>
    <row r="88" spans="2:5" x14ac:dyDescent="0.2">
      <c r="B88" s="182" t="str">
        <f>'[1]COMEDORES EMERGENTES'!$B$8</f>
        <v>CLUB DEPORTIVO CHACARITA</v>
      </c>
      <c r="C88" s="183"/>
      <c r="D88" s="88" t="s">
        <v>144</v>
      </c>
      <c r="E88" s="89" t="str">
        <f>'[1]COMEDORES EMERGENTES'!$G$8</f>
        <v>CALLE DR.DERMIDIO GALINDEZ C/2660</v>
      </c>
    </row>
    <row r="89" spans="2:5" x14ac:dyDescent="0.2">
      <c r="B89" s="182" t="str">
        <f>'[1]COMEDORES EMERGENTES'!$B$9</f>
        <v>LA MORO</v>
      </c>
      <c r="C89" s="183"/>
      <c r="D89" s="88" t="s">
        <v>145</v>
      </c>
      <c r="E89" s="89" t="str">
        <f>'[1]COMEDORES EMERGENTES'!$G$9</f>
        <v>MAIPU NORTE 1º ETAPA MZA "H" Bº MI JARDIN</v>
      </c>
    </row>
    <row r="90" spans="2:5" x14ac:dyDescent="0.2">
      <c r="B90" s="182" t="str">
        <f>'[1]COMEDORES EMERGENTES'!$B$10</f>
        <v>PAPA FRANCISCO</v>
      </c>
      <c r="C90" s="183"/>
      <c r="D90" s="88" t="s">
        <v>146</v>
      </c>
      <c r="E90" s="89" t="str">
        <f>'[1]COMEDORES EMERGENTES'!$G$10</f>
        <v>ENTRE AV.TEREBINTO Y AV.SAN JUAN LOTE "2" MZA. "B"</v>
      </c>
    </row>
    <row r="91" spans="2:5" x14ac:dyDescent="0.2">
      <c r="B91" s="182" t="str">
        <f>'[1]COMEDORES EMERGENTES'!$B$11</f>
        <v>E.P.C - 100 V.V NORTE</v>
      </c>
      <c r="C91" s="183"/>
      <c r="D91" s="88" t="s">
        <v>133</v>
      </c>
      <c r="E91" s="89" t="str">
        <f>'[1]COMEDORES EMERGENTES'!$G$11</f>
        <v>Bº VV NORTE C/48 ENTRE ESPAÑA Y FRANCIA</v>
      </c>
    </row>
    <row r="92" spans="2:5" x14ac:dyDescent="0.2">
      <c r="B92" s="182" t="str">
        <f>'[1]COMEDORES EMERGENTES'!$B$12</f>
        <v>HOGAR DE CRISTO - PADRE RAUL CONTRERAS</v>
      </c>
      <c r="C92" s="183"/>
      <c r="D92" s="88" t="s">
        <v>133</v>
      </c>
      <c r="E92" s="89" t="str">
        <f>'[1]COMEDORES EMERGENTES'!$G$12</f>
        <v>Bº SANTA MARTA MZA. "S" LOTE "M" C/39</v>
      </c>
    </row>
    <row r="93" spans="2:5" x14ac:dyDescent="0.2">
      <c r="B93" s="182" t="str">
        <f>'[1]COMEDORES EMERGENTES'!$B$13</f>
        <v>LA LUCIERNAGA</v>
      </c>
      <c r="C93" s="183"/>
      <c r="D93" s="88" t="s">
        <v>146</v>
      </c>
      <c r="E93" s="89" t="str">
        <f>'[1]COMEDORES EMERGENTES'!$G$13</f>
        <v>Bº 20 V.V NORTE C/3</v>
      </c>
    </row>
    <row r="94" spans="2:5" x14ac:dyDescent="0.2">
      <c r="B94" s="182" t="str">
        <f>'[1]COMEDORES EMERGENTES'!$B$14</f>
        <v>VALLE VIEJO - SUMALAO</v>
      </c>
      <c r="C94" s="183"/>
      <c r="D94" s="88" t="s">
        <v>147</v>
      </c>
      <c r="E94" s="89" t="str">
        <f>'[1]COMEDORES EMERGENTES'!$G$14</f>
        <v>PADRE SEGURA S/N</v>
      </c>
    </row>
    <row r="95" spans="2:5" x14ac:dyDescent="0.2">
      <c r="B95" s="182" t="str">
        <f>'[1]COMEDORES EMERGENTES'!$B$15</f>
        <v>NUESTRO FUTURO - LAS VIAS</v>
      </c>
      <c r="C95" s="183"/>
      <c r="D95" s="88" t="s">
        <v>146</v>
      </c>
      <c r="E95" s="89" t="str">
        <f>'[1]COMEDORES EMERGENTES'!$G$15</f>
        <v>Bº LAS VIAS OESTE LOTE 42</v>
      </c>
    </row>
    <row r="96" spans="2:5" x14ac:dyDescent="0.2">
      <c r="B96" s="182" t="str">
        <f>'[1]COMEDORES EMERGENTES'!$B$16</f>
        <v>SAN JOSE OBRERO</v>
      </c>
      <c r="C96" s="183"/>
      <c r="D96" s="88" t="s">
        <v>144</v>
      </c>
      <c r="E96" s="89" t="str">
        <f>'[1]COMEDORES EMERGENTES'!$G$16</f>
        <v>Bº SAN JOSE OBRERO. PJE. SANDOVAL S/Nº</v>
      </c>
    </row>
    <row r="97" spans="2:5" x14ac:dyDescent="0.2">
      <c r="B97" s="182" t="str">
        <f>'[1]COMEDORES EMERGENTES'!$B$17</f>
        <v>VIRGEN DE LUJAN</v>
      </c>
      <c r="C97" s="183"/>
      <c r="D97" s="88" t="s">
        <v>146</v>
      </c>
      <c r="E97" s="89" t="str">
        <f>'[1]COMEDORES EMERGENTES'!$G$17</f>
        <v>Bº OJO DE AGUA C/DR.TEODULFO BARRIONUEVO S/Nº</v>
      </c>
    </row>
    <row r="98" spans="2:5" x14ac:dyDescent="0.2">
      <c r="B98" s="182" t="str">
        <f>'[1]COMEDORES EMERGENTES'!$B$18</f>
        <v>RENACER</v>
      </c>
      <c r="C98" s="183"/>
      <c r="D98" s="88" t="s">
        <v>148</v>
      </c>
      <c r="E98" s="89" t="str">
        <f>'[1]COMEDORES EMERGENTES'!$G$18</f>
        <v>Bº VIRGEN MORENITA</v>
      </c>
    </row>
    <row r="99" spans="2:5" x14ac:dyDescent="0.2">
      <c r="B99" s="182" t="str">
        <f>'[1]COMEDORES EMERGENTES'!$B$19</f>
        <v>CENTRO VECINAL MI JARDIN</v>
      </c>
      <c r="C99" s="183"/>
      <c r="D99" s="88" t="s">
        <v>135</v>
      </c>
      <c r="E99" s="89" t="str">
        <f>'[1]COMEDORES EMERGENTES'!$G$19</f>
        <v>C/ LOS TULIPANES ENTRE FLOR DE CEREZO Y HOLANDA MZA.27 Bº MI JARDIN</v>
      </c>
    </row>
    <row r="100" spans="2:5" x14ac:dyDescent="0.2">
      <c r="B100" s="182" t="str">
        <f>'[1]COMEDORES EMERGENTES'!$B$20</f>
        <v>LA VIEJA ESQUINA</v>
      </c>
      <c r="C100" s="183"/>
      <c r="D100" s="88" t="s">
        <v>149</v>
      </c>
      <c r="E100" s="89" t="str">
        <f>'[1]COMEDORES EMERGENTES'!$G$20</f>
        <v>B° CRISTO REY PJE CAPATAZ VILLAFAÑEZ Y ARMANDO CORREA</v>
      </c>
    </row>
    <row r="101" spans="2:5" x14ac:dyDescent="0.2">
      <c r="B101" s="182" t="str">
        <f>'[1]COMEDORES EMERGENTES'!$B$21</f>
        <v>GAUCHITO GIL</v>
      </c>
      <c r="C101" s="183"/>
      <c r="D101" s="88" t="s">
        <v>130</v>
      </c>
      <c r="E101" s="89" t="str">
        <f>'[1]COMEDORES EMERGENTES'!$G$21</f>
        <v>B° 26 VIVIENDAS CASA N° 3</v>
      </c>
    </row>
    <row r="102" spans="2:5" ht="13.5" thickBot="1" x14ac:dyDescent="0.25">
      <c r="B102" s="196" t="str">
        <f>'[1]COMEDORES EMERGENTES'!$B$22</f>
        <v>LOS TOLDOS</v>
      </c>
      <c r="C102" s="197"/>
      <c r="D102" s="95" t="s">
        <v>161</v>
      </c>
      <c r="E102" s="96" t="str">
        <f>'[1]COMEDORES EMERGENTES'!$G$22</f>
        <v>LOTEO PARQUE SUR CALLE S/NOMBRE S/N°</v>
      </c>
    </row>
    <row r="103" spans="2:5" x14ac:dyDescent="0.2">
      <c r="B103" s="13" t="s">
        <v>18</v>
      </c>
      <c r="C103" s="11"/>
      <c r="D103" s="52"/>
      <c r="E103" s="12"/>
    </row>
    <row r="104" spans="2:5" ht="12.75" customHeight="1" x14ac:dyDescent="0.2">
      <c r="B104" s="14"/>
      <c r="C104" s="195" t="s">
        <v>24</v>
      </c>
      <c r="D104" s="195"/>
      <c r="E104" s="195"/>
    </row>
    <row r="105" spans="2:5" x14ac:dyDescent="0.2">
      <c r="B105" s="13" t="s">
        <v>19</v>
      </c>
      <c r="C105" s="15"/>
      <c r="D105" s="15"/>
      <c r="E105" s="16"/>
    </row>
    <row r="106" spans="2:5" ht="14.25" customHeight="1" x14ac:dyDescent="0.2">
      <c r="B106" s="14"/>
      <c r="C106" s="195" t="s">
        <v>101</v>
      </c>
      <c r="D106" s="195"/>
      <c r="E106" s="195"/>
    </row>
    <row r="107" spans="2:5" x14ac:dyDescent="0.2">
      <c r="B107" s="13" t="s">
        <v>20</v>
      </c>
      <c r="C107" s="11"/>
      <c r="D107" s="52"/>
      <c r="E107" s="12"/>
    </row>
    <row r="108" spans="2:5" ht="11.25" customHeight="1" x14ac:dyDescent="0.2">
      <c r="B108" s="13"/>
      <c r="C108" s="181" t="s">
        <v>25</v>
      </c>
      <c r="D108" s="181"/>
      <c r="E108" s="181"/>
    </row>
    <row r="109" spans="2:5" ht="13.5" thickBot="1" x14ac:dyDescent="0.25">
      <c r="B109" s="17"/>
      <c r="C109" s="18"/>
      <c r="D109" s="53"/>
      <c r="E109" s="19"/>
    </row>
    <row r="110" spans="2:5" ht="13.5" thickBot="1" x14ac:dyDescent="0.25"/>
    <row r="111" spans="2:5" x14ac:dyDescent="0.2">
      <c r="B111" s="7" t="s">
        <v>26</v>
      </c>
      <c r="C111" s="8"/>
      <c r="D111" s="51"/>
      <c r="E111" s="9"/>
    </row>
    <row r="112" spans="2:5" ht="5.25" customHeight="1" x14ac:dyDescent="0.2">
      <c r="B112" s="10"/>
      <c r="C112" s="11"/>
      <c r="D112" s="52"/>
      <c r="E112" s="12"/>
    </row>
    <row r="113" spans="2:5" x14ac:dyDescent="0.2">
      <c r="B113" s="13" t="s">
        <v>16</v>
      </c>
      <c r="C113" s="11"/>
      <c r="D113" s="52"/>
      <c r="E113" s="12"/>
    </row>
    <row r="114" spans="2:5" ht="25.5" customHeight="1" x14ac:dyDescent="0.2">
      <c r="B114" s="13"/>
      <c r="C114" s="193"/>
      <c r="D114" s="193"/>
      <c r="E114" s="194"/>
    </row>
    <row r="115" spans="2:5" ht="13.5" thickBot="1" x14ac:dyDescent="0.25">
      <c r="B115" s="13" t="s">
        <v>17</v>
      </c>
      <c r="C115" s="11"/>
      <c r="D115" s="52"/>
      <c r="E115" s="12"/>
    </row>
    <row r="116" spans="2:5" ht="13.5" thickBot="1" x14ac:dyDescent="0.25">
      <c r="B116" s="187" t="s">
        <v>98</v>
      </c>
      <c r="C116" s="191"/>
      <c r="D116" s="191"/>
      <c r="E116" s="188"/>
    </row>
    <row r="117" spans="2:5" ht="13.5" thickBot="1" x14ac:dyDescent="0.25">
      <c r="B117" s="187" t="s">
        <v>99</v>
      </c>
      <c r="C117" s="188"/>
      <c r="D117" s="49" t="s">
        <v>11</v>
      </c>
      <c r="E117" s="49" t="s">
        <v>100</v>
      </c>
    </row>
    <row r="118" spans="2:5" x14ac:dyDescent="0.2">
      <c r="B118" s="189" t="str">
        <f>'[1]COMEDORES EMERGENTES'!$B$3</f>
        <v>UNA SONRISA AV. LOS COBACHO</v>
      </c>
      <c r="C118" s="190"/>
      <c r="D118" s="93" t="s">
        <v>150</v>
      </c>
      <c r="E118" s="94" t="str">
        <f>'[1]COMEDORES EMERGENTES'!$G$3</f>
        <v>Bº SAN CARLOS OESTE AV. Bonifacio cobacho 670</v>
      </c>
    </row>
    <row r="119" spans="2:5" x14ac:dyDescent="0.2">
      <c r="B119" s="182" t="str">
        <f>'[1]COMEDORES EMERGENTES'!$B$4</f>
        <v>C.I.F Nº1 - RIVERA DEL VALLE Y FLORIDA</v>
      </c>
      <c r="C119" s="183"/>
      <c r="D119" s="88" t="s">
        <v>151</v>
      </c>
      <c r="E119" s="89" t="str">
        <f>'[1]COMEDORES EMERGENTES'!$G$4</f>
        <v>AV. RIVIERA DEL VALLE ENTRE FLORIDA Y SANTA FE</v>
      </c>
    </row>
    <row r="120" spans="2:5" x14ac:dyDescent="0.2">
      <c r="B120" s="182" t="str">
        <f>'[1]COMEDORES EMERGENTES'!$B$5</f>
        <v>C.I.F - RIVERA DEL VALLE - DILORENZO</v>
      </c>
      <c r="C120" s="183"/>
      <c r="D120" s="88" t="s">
        <v>152</v>
      </c>
      <c r="E120" s="89" t="str">
        <f>'[1]COMEDORES EMERGENTES'!$G$5</f>
        <v>Bº RIVERA DEL VALLE ENTRE VILLA EUMELIA Y MONTE CRISTO</v>
      </c>
    </row>
    <row r="121" spans="2:5" x14ac:dyDescent="0.2">
      <c r="B121" s="182" t="str">
        <f>'[1]COMEDORES EMERGENTES'!$B$6</f>
        <v>ESFUERZO PROPIO- Bº ALTOS DE CHOYA</v>
      </c>
      <c r="C121" s="183"/>
      <c r="D121" s="88" t="s">
        <v>153</v>
      </c>
      <c r="E121" s="89" t="str">
        <f>'[1]COMEDORES EMERGENTES'!$G$6</f>
        <v>Bº MUNICIPAL 35VV. NORTE C/14</v>
      </c>
    </row>
    <row r="122" spans="2:5" x14ac:dyDescent="0.2">
      <c r="B122" s="182" t="str">
        <f>'[1]COMEDORES EMERGENTES'!$B$7</f>
        <v>ANGELITOS - LOTEO SUSSEX</v>
      </c>
      <c r="C122" s="183"/>
      <c r="D122" s="88" t="s">
        <v>135</v>
      </c>
      <c r="E122" s="89" t="str">
        <f>'[1]COMEDORES EMERGENTES'!$G$7</f>
        <v>Bº LOTEO SUSEX MZA.Nº 4 LOTE Nº3</v>
      </c>
    </row>
    <row r="123" spans="2:5" x14ac:dyDescent="0.2">
      <c r="B123" s="182" t="str">
        <f>'[1]COMEDORES EMERGENTES'!$B$8</f>
        <v>CLUB DEPORTIVO CHACARITA</v>
      </c>
      <c r="C123" s="183"/>
      <c r="D123" s="88" t="s">
        <v>141</v>
      </c>
      <c r="E123" s="89" t="str">
        <f>'[1]COMEDORES EMERGENTES'!$G$8</f>
        <v>CALLE DR.DERMIDIO GALINDEZ C/2660</v>
      </c>
    </row>
    <row r="124" spans="2:5" x14ac:dyDescent="0.2">
      <c r="B124" s="182" t="str">
        <f>'[1]COMEDORES EMERGENTES'!$B$9</f>
        <v>LA MORO</v>
      </c>
      <c r="C124" s="183"/>
      <c r="D124" s="88" t="s">
        <v>129</v>
      </c>
      <c r="E124" s="89" t="str">
        <f>'[1]COMEDORES EMERGENTES'!$G$9</f>
        <v>MAIPU NORTE 1º ETAPA MZA "H" Bº MI JARDIN</v>
      </c>
    </row>
    <row r="125" spans="2:5" x14ac:dyDescent="0.2">
      <c r="B125" s="182" t="str">
        <f>'[1]COMEDORES EMERGENTES'!$B$10</f>
        <v>PAPA FRANCISCO</v>
      </c>
      <c r="C125" s="183"/>
      <c r="D125" s="88" t="s">
        <v>154</v>
      </c>
      <c r="E125" s="89" t="str">
        <f>'[1]COMEDORES EMERGENTES'!$G$10</f>
        <v>ENTRE AV.TEREBINTO Y AV.SAN JUAN LOTE "2" MZA. "B"</v>
      </c>
    </row>
    <row r="126" spans="2:5" x14ac:dyDescent="0.2">
      <c r="B126" s="182" t="str">
        <f>'[1]COMEDORES EMERGENTES'!$B$11</f>
        <v>E.P.C - 100 V.V NORTE</v>
      </c>
      <c r="C126" s="183"/>
      <c r="D126" s="88" t="s">
        <v>155</v>
      </c>
      <c r="E126" s="89" t="str">
        <f>'[1]COMEDORES EMERGENTES'!$G$11</f>
        <v>Bº VV NORTE C/48 ENTRE ESPAÑA Y FRANCIA</v>
      </c>
    </row>
    <row r="127" spans="2:5" x14ac:dyDescent="0.2">
      <c r="B127" s="182" t="str">
        <f>'[1]COMEDORES EMERGENTES'!$B$12</f>
        <v>HOGAR DE CRISTO - PADRE RAUL CONTRERAS</v>
      </c>
      <c r="C127" s="183"/>
      <c r="D127" s="88" t="s">
        <v>155</v>
      </c>
      <c r="E127" s="89" t="str">
        <f>'[1]COMEDORES EMERGENTES'!$G$12</f>
        <v>Bº SANTA MARTA MZA. "S" LOTE "M" C/39</v>
      </c>
    </row>
    <row r="128" spans="2:5" x14ac:dyDescent="0.2">
      <c r="B128" s="182" t="str">
        <f>'[1]COMEDORES EMERGENTES'!$B$13</f>
        <v>LA LUCIERNAGA</v>
      </c>
      <c r="C128" s="183"/>
      <c r="D128" s="88" t="s">
        <v>154</v>
      </c>
      <c r="E128" s="89" t="str">
        <f>'[1]COMEDORES EMERGENTES'!$G$13</f>
        <v>Bº 20 V.V NORTE C/3</v>
      </c>
    </row>
    <row r="129" spans="2:5" x14ac:dyDescent="0.2">
      <c r="B129" s="182" t="str">
        <f>'[1]COMEDORES EMERGENTES'!$B$14</f>
        <v>VALLE VIEJO - SUMALAO</v>
      </c>
      <c r="C129" s="183"/>
      <c r="D129" s="88" t="s">
        <v>156</v>
      </c>
      <c r="E129" s="89" t="str">
        <f>'[1]COMEDORES EMERGENTES'!$G$14</f>
        <v>PADRE SEGURA S/N</v>
      </c>
    </row>
    <row r="130" spans="2:5" x14ac:dyDescent="0.2">
      <c r="B130" s="182" t="str">
        <f>'[1]COMEDORES EMERGENTES'!$B$15</f>
        <v>NUESTRO FUTURO - LAS VIAS</v>
      </c>
      <c r="C130" s="183"/>
      <c r="D130" s="88" t="s">
        <v>154</v>
      </c>
      <c r="E130" s="89" t="str">
        <f>'[1]COMEDORES EMERGENTES'!$G$15</f>
        <v>Bº LAS VIAS OESTE LOTE 42</v>
      </c>
    </row>
    <row r="131" spans="2:5" x14ac:dyDescent="0.2">
      <c r="B131" s="182" t="str">
        <f>'[1]COMEDORES EMERGENTES'!$B$16</f>
        <v>SAN JOSE OBRERO</v>
      </c>
      <c r="C131" s="183"/>
      <c r="D131" s="88" t="s">
        <v>141</v>
      </c>
      <c r="E131" s="89" t="str">
        <f>'[1]COMEDORES EMERGENTES'!$G$16</f>
        <v>Bº SAN JOSE OBRERO. PJE. SANDOVAL S/Nº</v>
      </c>
    </row>
    <row r="132" spans="2:5" x14ac:dyDescent="0.2">
      <c r="B132" s="182" t="str">
        <f>'[1]COMEDORES EMERGENTES'!$B$17</f>
        <v>VIRGEN DE LUJAN</v>
      </c>
      <c r="C132" s="183"/>
      <c r="D132" s="88" t="s">
        <v>154</v>
      </c>
      <c r="E132" s="89" t="str">
        <f>'[1]COMEDORES EMERGENTES'!$G$17</f>
        <v>Bº OJO DE AGUA C/DR.TEODULFO BARRIONUEVO S/Nº</v>
      </c>
    </row>
    <row r="133" spans="2:5" x14ac:dyDescent="0.2">
      <c r="B133" s="182" t="str">
        <f>'[1]COMEDORES EMERGENTES'!$B$18</f>
        <v>RENACER</v>
      </c>
      <c r="C133" s="183"/>
      <c r="D133" s="88" t="s">
        <v>157</v>
      </c>
      <c r="E133" s="89" t="str">
        <f>'[1]COMEDORES EMERGENTES'!$G$18</f>
        <v>Bº VIRGEN MORENITA</v>
      </c>
    </row>
    <row r="134" spans="2:5" x14ac:dyDescent="0.2">
      <c r="B134" s="182" t="str">
        <f>'[1]COMEDORES EMERGENTES'!$B$19</f>
        <v>CENTRO VECINAL MI JARDIN</v>
      </c>
      <c r="C134" s="183"/>
      <c r="D134" s="88" t="s">
        <v>158</v>
      </c>
      <c r="E134" s="89" t="str">
        <f>'[1]COMEDORES EMERGENTES'!$G$19</f>
        <v>C/ LOS TULIPANES ENTRE FLOR DE CEREZO Y HOLANDA MZA.27 Bº MI JARDIN</v>
      </c>
    </row>
    <row r="135" spans="2:5" x14ac:dyDescent="0.2">
      <c r="B135" s="182" t="str">
        <f>'[1]COMEDORES EMERGENTES'!$B$20</f>
        <v>LA VIEJA ESQUINA</v>
      </c>
      <c r="C135" s="183"/>
      <c r="D135" s="88" t="s">
        <v>159</v>
      </c>
      <c r="E135" s="89" t="str">
        <f>'[1]COMEDORES EMERGENTES'!$G$20</f>
        <v>B° CRISTO REY PJE CAPATAZ VILLAFAÑEZ Y ARMANDO CORREA</v>
      </c>
    </row>
    <row r="136" spans="2:5" x14ac:dyDescent="0.2">
      <c r="B136" s="182" t="str">
        <f>'[1]COMEDORES EMERGENTES'!$B$21</f>
        <v>GAUCHITO GIL</v>
      </c>
      <c r="C136" s="183"/>
      <c r="D136" s="88" t="s">
        <v>159</v>
      </c>
      <c r="E136" s="89" t="str">
        <f>'[1]COMEDORES EMERGENTES'!$G$21</f>
        <v>B° 26 VIVIENDAS CASA N° 3</v>
      </c>
    </row>
    <row r="137" spans="2:5" ht="13.5" thickBot="1" x14ac:dyDescent="0.25">
      <c r="B137" s="196" t="str">
        <f>'[1]COMEDORES EMERGENTES'!$B$22</f>
        <v>LOS TOLDOS</v>
      </c>
      <c r="C137" s="197"/>
      <c r="D137" s="95" t="s">
        <v>164</v>
      </c>
      <c r="E137" s="96" t="str">
        <f>'[1]COMEDORES EMERGENTES'!$G$22</f>
        <v>LOTEO PARQUE SUR CALLE S/NOMBRE S/N°</v>
      </c>
    </row>
    <row r="138" spans="2:5" x14ac:dyDescent="0.2">
      <c r="B138" s="13" t="s">
        <v>18</v>
      </c>
      <c r="C138" s="11"/>
      <c r="D138" s="52"/>
      <c r="E138" s="12"/>
    </row>
    <row r="139" spans="2:5" ht="12.75" customHeight="1" x14ac:dyDescent="0.2">
      <c r="B139" s="14"/>
      <c r="C139" s="195" t="s">
        <v>24</v>
      </c>
      <c r="D139" s="195"/>
      <c r="E139" s="195"/>
    </row>
    <row r="140" spans="2:5" x14ac:dyDescent="0.2">
      <c r="B140" s="13" t="s">
        <v>19</v>
      </c>
      <c r="C140" s="15"/>
      <c r="D140" s="15"/>
      <c r="E140" s="16"/>
    </row>
    <row r="141" spans="2:5" ht="14.25" customHeight="1" x14ac:dyDescent="0.2">
      <c r="B141" s="14"/>
      <c r="C141" s="195" t="s">
        <v>101</v>
      </c>
      <c r="D141" s="195"/>
      <c r="E141" s="195"/>
    </row>
    <row r="142" spans="2:5" x14ac:dyDescent="0.2">
      <c r="B142" s="13" t="s">
        <v>20</v>
      </c>
      <c r="C142" s="11"/>
      <c r="D142" s="52"/>
      <c r="E142" s="12"/>
    </row>
    <row r="143" spans="2:5" ht="11.25" customHeight="1" x14ac:dyDescent="0.2">
      <c r="B143" s="13"/>
      <c r="C143" s="181" t="s">
        <v>25</v>
      </c>
      <c r="D143" s="181"/>
      <c r="E143" s="181"/>
    </row>
    <row r="144" spans="2:5" ht="13.5" thickBot="1" x14ac:dyDescent="0.25">
      <c r="B144" s="17"/>
      <c r="C144" s="18"/>
      <c r="D144" s="53"/>
      <c r="E144" s="19"/>
    </row>
    <row r="145" spans="2:5" ht="13.5" thickBot="1" x14ac:dyDescent="0.25"/>
    <row r="146" spans="2:5" x14ac:dyDescent="0.2">
      <c r="B146" s="7" t="s">
        <v>102</v>
      </c>
      <c r="C146" s="8"/>
      <c r="D146" s="51"/>
      <c r="E146" s="9"/>
    </row>
    <row r="147" spans="2:5" ht="5.25" customHeight="1" x14ac:dyDescent="0.2">
      <c r="B147" s="10"/>
      <c r="C147" s="11"/>
      <c r="D147" s="52"/>
      <c r="E147" s="12"/>
    </row>
    <row r="148" spans="2:5" x14ac:dyDescent="0.2">
      <c r="B148" s="13" t="s">
        <v>16</v>
      </c>
      <c r="C148" s="11"/>
      <c r="D148" s="52"/>
      <c r="E148" s="12"/>
    </row>
    <row r="149" spans="2:5" ht="25.5" customHeight="1" x14ac:dyDescent="0.2">
      <c r="B149" s="13"/>
      <c r="C149" s="193"/>
      <c r="D149" s="193"/>
      <c r="E149" s="194"/>
    </row>
    <row r="150" spans="2:5" ht="13.5" thickBot="1" x14ac:dyDescent="0.25">
      <c r="B150" s="13" t="s">
        <v>17</v>
      </c>
      <c r="C150" s="11"/>
      <c r="D150" s="52"/>
      <c r="E150" s="12"/>
    </row>
    <row r="151" spans="2:5" ht="13.5" thickBot="1" x14ac:dyDescent="0.25">
      <c r="B151" s="187" t="s">
        <v>98</v>
      </c>
      <c r="C151" s="191"/>
      <c r="D151" s="191"/>
      <c r="E151" s="188"/>
    </row>
    <row r="152" spans="2:5" ht="13.5" thickBot="1" x14ac:dyDescent="0.25">
      <c r="B152" s="187" t="s">
        <v>99</v>
      </c>
      <c r="C152" s="188"/>
      <c r="D152" s="49" t="s">
        <v>11</v>
      </c>
      <c r="E152" s="49" t="s">
        <v>100</v>
      </c>
    </row>
    <row r="153" spans="2:5" x14ac:dyDescent="0.2">
      <c r="B153" s="189" t="str">
        <f>'[1]COMEDORES EMERGENTES'!$B$3</f>
        <v>UNA SONRISA AV. LOS COBACHO</v>
      </c>
      <c r="C153" s="190"/>
      <c r="D153" s="93" t="s">
        <v>150</v>
      </c>
      <c r="E153" s="94" t="str">
        <f>'[1]COMEDORES EMERGENTES'!$G$3</f>
        <v>Bº SAN CARLOS OESTE AV. Bonifacio cobacho 670</v>
      </c>
    </row>
    <row r="154" spans="2:5" x14ac:dyDescent="0.2">
      <c r="B154" s="182" t="str">
        <f>'[1]COMEDORES EMERGENTES'!$B$4</f>
        <v>C.I.F Nº1 - RIVERA DEL VALLE Y FLORIDA</v>
      </c>
      <c r="C154" s="183"/>
      <c r="D154" s="88" t="s">
        <v>151</v>
      </c>
      <c r="E154" s="89" t="str">
        <f>'[1]COMEDORES EMERGENTES'!$G$4</f>
        <v>AV. RIVIERA DEL VALLE ENTRE FLORIDA Y SANTA FE</v>
      </c>
    </row>
    <row r="155" spans="2:5" x14ac:dyDescent="0.2">
      <c r="B155" s="182" t="str">
        <f>'[1]COMEDORES EMERGENTES'!$B$5</f>
        <v>C.I.F - RIVERA DEL VALLE - DILORENZO</v>
      </c>
      <c r="C155" s="183"/>
      <c r="D155" s="88" t="s">
        <v>152</v>
      </c>
      <c r="E155" s="89" t="str">
        <f>'[1]COMEDORES EMERGENTES'!$G$5</f>
        <v>Bº RIVERA DEL VALLE ENTRE VILLA EUMELIA Y MONTE CRISTO</v>
      </c>
    </row>
    <row r="156" spans="2:5" x14ac:dyDescent="0.2">
      <c r="B156" s="182" t="str">
        <f>'[1]COMEDORES EMERGENTES'!$B$6</f>
        <v>ESFUERZO PROPIO- Bº ALTOS DE CHOYA</v>
      </c>
      <c r="C156" s="183"/>
      <c r="D156" s="88" t="s">
        <v>153</v>
      </c>
      <c r="E156" s="89" t="str">
        <f>'[1]COMEDORES EMERGENTES'!$G$6</f>
        <v>Bº MUNICIPAL 35VV. NORTE C/14</v>
      </c>
    </row>
    <row r="157" spans="2:5" x14ac:dyDescent="0.2">
      <c r="B157" s="182" t="str">
        <f>'[1]COMEDORES EMERGENTES'!$B$7</f>
        <v>ANGELITOS - LOTEO SUSSEX</v>
      </c>
      <c r="C157" s="183"/>
      <c r="D157" s="88" t="s">
        <v>135</v>
      </c>
      <c r="E157" s="89" t="str">
        <f>'[1]COMEDORES EMERGENTES'!$G$7</f>
        <v>Bº LOTEO SUSEX MZA.Nº 4 LOTE Nº3</v>
      </c>
    </row>
    <row r="158" spans="2:5" x14ac:dyDescent="0.2">
      <c r="B158" s="182" t="str">
        <f>'[1]COMEDORES EMERGENTES'!$B$8</f>
        <v>CLUB DEPORTIVO CHACARITA</v>
      </c>
      <c r="C158" s="183"/>
      <c r="D158" s="88" t="s">
        <v>141</v>
      </c>
      <c r="E158" s="89" t="str">
        <f>'[1]COMEDORES EMERGENTES'!$G$8</f>
        <v>CALLE DR.DERMIDIO GALINDEZ C/2660</v>
      </c>
    </row>
    <row r="159" spans="2:5" x14ac:dyDescent="0.2">
      <c r="B159" s="182" t="str">
        <f>'[1]COMEDORES EMERGENTES'!$B$9</f>
        <v>LA MORO</v>
      </c>
      <c r="C159" s="183"/>
      <c r="D159" s="88" t="s">
        <v>129</v>
      </c>
      <c r="E159" s="89" t="str">
        <f>'[1]COMEDORES EMERGENTES'!$G$9</f>
        <v>MAIPU NORTE 1º ETAPA MZA "H" Bº MI JARDIN</v>
      </c>
    </row>
    <row r="160" spans="2:5" x14ac:dyDescent="0.2">
      <c r="B160" s="182" t="str">
        <f>'[1]COMEDORES EMERGENTES'!$B$10</f>
        <v>PAPA FRANCISCO</v>
      </c>
      <c r="C160" s="183"/>
      <c r="D160" s="88" t="s">
        <v>154</v>
      </c>
      <c r="E160" s="89" t="str">
        <f>'[1]COMEDORES EMERGENTES'!$G$10</f>
        <v>ENTRE AV.TEREBINTO Y AV.SAN JUAN LOTE "2" MZA. "B"</v>
      </c>
    </row>
    <row r="161" spans="2:5" x14ac:dyDescent="0.2">
      <c r="B161" s="182" t="str">
        <f>'[1]COMEDORES EMERGENTES'!$B$11</f>
        <v>E.P.C - 100 V.V NORTE</v>
      </c>
      <c r="C161" s="183"/>
      <c r="D161" s="88" t="s">
        <v>155</v>
      </c>
      <c r="E161" s="89" t="str">
        <f>'[1]COMEDORES EMERGENTES'!$G$11</f>
        <v>Bº VV NORTE C/48 ENTRE ESPAÑA Y FRANCIA</v>
      </c>
    </row>
    <row r="162" spans="2:5" x14ac:dyDescent="0.2">
      <c r="B162" s="182" t="str">
        <f>'[1]COMEDORES EMERGENTES'!$B$12</f>
        <v>HOGAR DE CRISTO - PADRE RAUL CONTRERAS</v>
      </c>
      <c r="C162" s="183"/>
      <c r="D162" s="88" t="s">
        <v>155</v>
      </c>
      <c r="E162" s="89" t="str">
        <f>'[1]COMEDORES EMERGENTES'!$G$12</f>
        <v>Bº SANTA MARTA MZA. "S" LOTE "M" C/39</v>
      </c>
    </row>
    <row r="163" spans="2:5" x14ac:dyDescent="0.2">
      <c r="B163" s="182" t="str">
        <f>'[1]COMEDORES EMERGENTES'!$B$13</f>
        <v>LA LUCIERNAGA</v>
      </c>
      <c r="C163" s="183"/>
      <c r="D163" s="88" t="s">
        <v>154</v>
      </c>
      <c r="E163" s="89" t="str">
        <f>'[1]COMEDORES EMERGENTES'!$G$13</f>
        <v>Bº 20 V.V NORTE C/3</v>
      </c>
    </row>
    <row r="164" spans="2:5" x14ac:dyDescent="0.2">
      <c r="B164" s="182" t="str">
        <f>'[1]COMEDORES EMERGENTES'!$B$14</f>
        <v>VALLE VIEJO - SUMALAO</v>
      </c>
      <c r="C164" s="183"/>
      <c r="D164" s="88" t="s">
        <v>156</v>
      </c>
      <c r="E164" s="89" t="str">
        <f>'[1]COMEDORES EMERGENTES'!$G$14</f>
        <v>PADRE SEGURA S/N</v>
      </c>
    </row>
    <row r="165" spans="2:5" x14ac:dyDescent="0.2">
      <c r="B165" s="182" t="str">
        <f>'[1]COMEDORES EMERGENTES'!$B$15</f>
        <v>NUESTRO FUTURO - LAS VIAS</v>
      </c>
      <c r="C165" s="183"/>
      <c r="D165" s="88" t="s">
        <v>154</v>
      </c>
      <c r="E165" s="89" t="str">
        <f>'[1]COMEDORES EMERGENTES'!$G$15</f>
        <v>Bº LAS VIAS OESTE LOTE 42</v>
      </c>
    </row>
    <row r="166" spans="2:5" x14ac:dyDescent="0.2">
      <c r="B166" s="182" t="str">
        <f>'[1]COMEDORES EMERGENTES'!$B$16</f>
        <v>SAN JOSE OBRERO</v>
      </c>
      <c r="C166" s="183"/>
      <c r="D166" s="88" t="s">
        <v>141</v>
      </c>
      <c r="E166" s="89" t="str">
        <f>'[1]COMEDORES EMERGENTES'!$G$16</f>
        <v>Bº SAN JOSE OBRERO. PJE. SANDOVAL S/Nº</v>
      </c>
    </row>
    <row r="167" spans="2:5" x14ac:dyDescent="0.2">
      <c r="B167" s="182" t="str">
        <f>'[1]COMEDORES EMERGENTES'!$B$17</f>
        <v>VIRGEN DE LUJAN</v>
      </c>
      <c r="C167" s="183"/>
      <c r="D167" s="88" t="s">
        <v>154</v>
      </c>
      <c r="E167" s="89" t="str">
        <f>'[1]COMEDORES EMERGENTES'!$G$17</f>
        <v>Bº OJO DE AGUA C/DR.TEODULFO BARRIONUEVO S/Nº</v>
      </c>
    </row>
    <row r="168" spans="2:5" x14ac:dyDescent="0.2">
      <c r="B168" s="182" t="str">
        <f>'[1]COMEDORES EMERGENTES'!$B$18</f>
        <v>RENACER</v>
      </c>
      <c r="C168" s="183"/>
      <c r="D168" s="88" t="s">
        <v>157</v>
      </c>
      <c r="E168" s="89" t="str">
        <f>'[1]COMEDORES EMERGENTES'!$G$18</f>
        <v>Bº VIRGEN MORENITA</v>
      </c>
    </row>
    <row r="169" spans="2:5" x14ac:dyDescent="0.2">
      <c r="B169" s="182" t="str">
        <f>'[1]COMEDORES EMERGENTES'!$B$19</f>
        <v>CENTRO VECINAL MI JARDIN</v>
      </c>
      <c r="C169" s="183"/>
      <c r="D169" s="88" t="s">
        <v>158</v>
      </c>
      <c r="E169" s="89" t="str">
        <f>'[1]COMEDORES EMERGENTES'!$G$19</f>
        <v>C/ LOS TULIPANES ENTRE FLOR DE CEREZO Y HOLANDA MZA.27 Bº MI JARDIN</v>
      </c>
    </row>
    <row r="170" spans="2:5" x14ac:dyDescent="0.2">
      <c r="B170" s="182" t="str">
        <f>'[1]COMEDORES EMERGENTES'!$B$20</f>
        <v>LA VIEJA ESQUINA</v>
      </c>
      <c r="C170" s="183"/>
      <c r="D170" s="88" t="s">
        <v>159</v>
      </c>
      <c r="E170" s="89" t="str">
        <f>'[1]COMEDORES EMERGENTES'!$G$20</f>
        <v>B° CRISTO REY PJE CAPATAZ VILLAFAÑEZ Y ARMANDO CORREA</v>
      </c>
    </row>
    <row r="171" spans="2:5" x14ac:dyDescent="0.2">
      <c r="B171" s="182" t="str">
        <f>'[1]COMEDORES EMERGENTES'!$B$21</f>
        <v>GAUCHITO GIL</v>
      </c>
      <c r="C171" s="183"/>
      <c r="D171" s="88" t="s">
        <v>159</v>
      </c>
      <c r="E171" s="89" t="str">
        <f>'[1]COMEDORES EMERGENTES'!$G$21</f>
        <v>B° 26 VIVIENDAS CASA N° 3</v>
      </c>
    </row>
    <row r="172" spans="2:5" ht="13.5" thickBot="1" x14ac:dyDescent="0.25">
      <c r="B172" s="196" t="str">
        <f>'[1]COMEDORES EMERGENTES'!$B$22</f>
        <v>LOS TOLDOS</v>
      </c>
      <c r="C172" s="197"/>
      <c r="D172" s="95" t="s">
        <v>164</v>
      </c>
      <c r="E172" s="96" t="str">
        <f>'[1]COMEDORES EMERGENTES'!$G$22</f>
        <v>LOTEO PARQUE SUR CALLE S/NOMBRE S/N°</v>
      </c>
    </row>
    <row r="173" spans="2:5" x14ac:dyDescent="0.2">
      <c r="B173" s="13" t="s">
        <v>18</v>
      </c>
      <c r="C173" s="11"/>
      <c r="D173" s="52"/>
      <c r="E173" s="12"/>
    </row>
    <row r="174" spans="2:5" ht="12.75" customHeight="1" x14ac:dyDescent="0.2">
      <c r="B174" s="14"/>
      <c r="C174" s="195" t="s">
        <v>24</v>
      </c>
      <c r="D174" s="195"/>
      <c r="E174" s="195"/>
    </row>
    <row r="175" spans="2:5" x14ac:dyDescent="0.2">
      <c r="B175" s="13" t="s">
        <v>19</v>
      </c>
      <c r="C175" s="15"/>
      <c r="D175" s="15"/>
      <c r="E175" s="16"/>
    </row>
    <row r="176" spans="2:5" ht="14.25" customHeight="1" x14ac:dyDescent="0.2">
      <c r="B176" s="14"/>
      <c r="C176" s="195" t="s">
        <v>101</v>
      </c>
      <c r="D176" s="195"/>
      <c r="E176" s="195"/>
    </row>
    <row r="177" spans="2:5" x14ac:dyDescent="0.2">
      <c r="B177" s="13" t="s">
        <v>20</v>
      </c>
      <c r="C177" s="11"/>
      <c r="D177" s="52"/>
      <c r="E177" s="12"/>
    </row>
    <row r="178" spans="2:5" ht="11.25" customHeight="1" x14ac:dyDescent="0.2">
      <c r="B178" s="13"/>
      <c r="C178" s="181" t="s">
        <v>25</v>
      </c>
      <c r="D178" s="181"/>
      <c r="E178" s="181"/>
    </row>
    <row r="179" spans="2:5" ht="13.5" thickBot="1" x14ac:dyDescent="0.25">
      <c r="B179" s="17"/>
      <c r="C179" s="18"/>
      <c r="D179" s="53"/>
      <c r="E179" s="19"/>
    </row>
    <row r="180" spans="2:5" ht="13.5" thickBot="1" x14ac:dyDescent="0.25"/>
    <row r="181" spans="2:5" x14ac:dyDescent="0.2">
      <c r="B181" s="7" t="s">
        <v>103</v>
      </c>
      <c r="C181" s="8"/>
      <c r="D181" s="51"/>
      <c r="E181" s="9"/>
    </row>
    <row r="182" spans="2:5" ht="5.25" customHeight="1" x14ac:dyDescent="0.2">
      <c r="B182" s="10"/>
      <c r="C182" s="11"/>
      <c r="D182" s="52"/>
      <c r="E182" s="12"/>
    </row>
    <row r="183" spans="2:5" x14ac:dyDescent="0.2">
      <c r="B183" s="13" t="s">
        <v>16</v>
      </c>
      <c r="C183" s="11"/>
      <c r="D183" s="52"/>
      <c r="E183" s="12"/>
    </row>
    <row r="184" spans="2:5" ht="25.5" customHeight="1" x14ac:dyDescent="0.2">
      <c r="B184" s="13"/>
      <c r="C184" s="195"/>
      <c r="D184" s="195"/>
      <c r="E184" s="195"/>
    </row>
    <row r="185" spans="2:5" ht="13.5" thickBot="1" x14ac:dyDescent="0.25">
      <c r="B185" s="13" t="s">
        <v>17</v>
      </c>
      <c r="C185" s="11"/>
      <c r="D185" s="52"/>
      <c r="E185" s="12"/>
    </row>
    <row r="186" spans="2:5" ht="13.5" thickBot="1" x14ac:dyDescent="0.25">
      <c r="B186" s="187" t="s">
        <v>98</v>
      </c>
      <c r="C186" s="191"/>
      <c r="D186" s="191"/>
      <c r="E186" s="188"/>
    </row>
    <row r="187" spans="2:5" ht="13.5" thickBot="1" x14ac:dyDescent="0.25">
      <c r="B187" s="187" t="s">
        <v>99</v>
      </c>
      <c r="C187" s="188"/>
      <c r="D187" s="49" t="s">
        <v>11</v>
      </c>
      <c r="E187" s="49" t="s">
        <v>100</v>
      </c>
    </row>
    <row r="188" spans="2:5" x14ac:dyDescent="0.2">
      <c r="B188" s="189" t="str">
        <f>'[1]COMEDORES EMERGENTES'!$B$3</f>
        <v>UNA SONRISA AV. LOS COBACHO</v>
      </c>
      <c r="C188" s="190"/>
      <c r="D188" s="93" t="s">
        <v>144</v>
      </c>
      <c r="E188" s="94" t="str">
        <f>'[1]COMEDORES EMERGENTES'!$G$3</f>
        <v>Bº SAN CARLOS OESTE AV. Bonifacio cobacho 670</v>
      </c>
    </row>
    <row r="189" spans="2:5" x14ac:dyDescent="0.2">
      <c r="B189" s="182" t="str">
        <f>'[1]COMEDORES EMERGENTES'!$B$4</f>
        <v>C.I.F Nº1 - RIVERA DEL VALLE Y FLORIDA</v>
      </c>
      <c r="C189" s="183"/>
      <c r="D189" s="88" t="s">
        <v>160</v>
      </c>
      <c r="E189" s="89" t="str">
        <f>'[1]COMEDORES EMERGENTES'!$G$4</f>
        <v>AV. RIVIERA DEL VALLE ENTRE FLORIDA Y SANTA FE</v>
      </c>
    </row>
    <row r="190" spans="2:5" x14ac:dyDescent="0.2">
      <c r="B190" s="182" t="str">
        <f>'[1]COMEDORES EMERGENTES'!$B$5</f>
        <v>C.I.F - RIVERA DEL VALLE - DILORENZO</v>
      </c>
      <c r="C190" s="183"/>
      <c r="D190" s="88" t="s">
        <v>129</v>
      </c>
      <c r="E190" s="89" t="str">
        <f>'[1]COMEDORES EMERGENTES'!$G$5</f>
        <v>Bº RIVERA DEL VALLE ENTRE VILLA EUMELIA Y MONTE CRISTO</v>
      </c>
    </row>
    <row r="191" spans="2:5" x14ac:dyDescent="0.2">
      <c r="B191" s="182" t="str">
        <f>'[1]COMEDORES EMERGENTES'!$B$6</f>
        <v>ESFUERZO PROPIO- Bº ALTOS DE CHOYA</v>
      </c>
      <c r="C191" s="183"/>
      <c r="D191" s="88" t="s">
        <v>135</v>
      </c>
      <c r="E191" s="89" t="str">
        <f>'[1]COMEDORES EMERGENTES'!$G$6</f>
        <v>Bº MUNICIPAL 35VV. NORTE C/14</v>
      </c>
    </row>
    <row r="192" spans="2:5" x14ac:dyDescent="0.2">
      <c r="B192" s="182" t="str">
        <f>'[1]COMEDORES EMERGENTES'!$B$7</f>
        <v>ANGELITOS - LOTEO SUSSEX</v>
      </c>
      <c r="C192" s="183"/>
      <c r="D192" s="88" t="s">
        <v>161</v>
      </c>
      <c r="E192" s="89" t="str">
        <f>'[1]COMEDORES EMERGENTES'!$G$7</f>
        <v>Bº LOTEO SUSEX MZA.Nº 4 LOTE Nº3</v>
      </c>
    </row>
    <row r="193" spans="2:5" x14ac:dyDescent="0.2">
      <c r="B193" s="182" t="str">
        <f>'[1]COMEDORES EMERGENTES'!$B$8</f>
        <v>CLUB DEPORTIVO CHACARITA</v>
      </c>
      <c r="C193" s="183"/>
      <c r="D193" s="88" t="s">
        <v>162</v>
      </c>
      <c r="E193" s="89" t="str">
        <f>'[1]COMEDORES EMERGENTES'!$G$8</f>
        <v>CALLE DR.DERMIDIO GALINDEZ C/2660</v>
      </c>
    </row>
    <row r="194" spans="2:5" x14ac:dyDescent="0.2">
      <c r="B194" s="182" t="str">
        <f>'[1]COMEDORES EMERGENTES'!$B$9</f>
        <v>LA MORO</v>
      </c>
      <c r="C194" s="183"/>
      <c r="D194" s="88" t="s">
        <v>143</v>
      </c>
      <c r="E194" s="89" t="str">
        <f>'[1]COMEDORES EMERGENTES'!$G$9</f>
        <v>MAIPU NORTE 1º ETAPA MZA "H" Bº MI JARDIN</v>
      </c>
    </row>
    <row r="195" spans="2:5" x14ac:dyDescent="0.2">
      <c r="B195" s="182" t="str">
        <f>'[1]COMEDORES EMERGENTES'!$B$10</f>
        <v>PAPA FRANCISCO</v>
      </c>
      <c r="C195" s="183"/>
      <c r="D195" s="88" t="s">
        <v>130</v>
      </c>
      <c r="E195" s="89" t="str">
        <f>'[1]COMEDORES EMERGENTES'!$G$10</f>
        <v>ENTRE AV.TEREBINTO Y AV.SAN JUAN LOTE "2" MZA. "B"</v>
      </c>
    </row>
    <row r="196" spans="2:5" x14ac:dyDescent="0.2">
      <c r="B196" s="182" t="str">
        <f>'[1]COMEDORES EMERGENTES'!$B$11</f>
        <v>E.P.C - 100 V.V NORTE</v>
      </c>
      <c r="C196" s="183"/>
      <c r="D196" s="88" t="s">
        <v>140</v>
      </c>
      <c r="E196" s="89" t="str">
        <f>'[1]COMEDORES EMERGENTES'!$G$11</f>
        <v>Bº VV NORTE C/48 ENTRE ESPAÑA Y FRANCIA</v>
      </c>
    </row>
    <row r="197" spans="2:5" x14ac:dyDescent="0.2">
      <c r="B197" s="182" t="str">
        <f>'[1]COMEDORES EMERGENTES'!$B$12</f>
        <v>HOGAR DE CRISTO - PADRE RAUL CONTRERAS</v>
      </c>
      <c r="C197" s="183"/>
      <c r="D197" s="88" t="s">
        <v>140</v>
      </c>
      <c r="E197" s="89" t="str">
        <f>'[1]COMEDORES EMERGENTES'!$G$12</f>
        <v>Bº SANTA MARTA MZA. "S" LOTE "M" C/39</v>
      </c>
    </row>
    <row r="198" spans="2:5" x14ac:dyDescent="0.2">
      <c r="B198" s="182" t="str">
        <f>'[1]COMEDORES EMERGENTES'!$B$13</f>
        <v>LA LUCIERNAGA</v>
      </c>
      <c r="C198" s="183"/>
      <c r="D198" s="88" t="s">
        <v>130</v>
      </c>
      <c r="E198" s="89" t="str">
        <f>'[1]COMEDORES EMERGENTES'!$G$13</f>
        <v>Bº 20 V.V NORTE C/3</v>
      </c>
    </row>
    <row r="199" spans="2:5" x14ac:dyDescent="0.2">
      <c r="B199" s="182" t="str">
        <f>'[1]COMEDORES EMERGENTES'!$B$14</f>
        <v>VALLE VIEJO - SUMALAO</v>
      </c>
      <c r="C199" s="183"/>
      <c r="D199" s="88" t="s">
        <v>150</v>
      </c>
      <c r="E199" s="89" t="str">
        <f>'[1]COMEDORES EMERGENTES'!$G$14</f>
        <v>PADRE SEGURA S/N</v>
      </c>
    </row>
    <row r="200" spans="2:5" x14ac:dyDescent="0.2">
      <c r="B200" s="182" t="str">
        <f>'[1]COMEDORES EMERGENTES'!$B$15</f>
        <v>NUESTRO FUTURO - LAS VIAS</v>
      </c>
      <c r="C200" s="183"/>
      <c r="D200" s="88" t="s">
        <v>130</v>
      </c>
      <c r="E200" s="89" t="str">
        <f>'[1]COMEDORES EMERGENTES'!$G$15</f>
        <v>Bº LAS VIAS OESTE LOTE 42</v>
      </c>
    </row>
    <row r="201" spans="2:5" x14ac:dyDescent="0.2">
      <c r="B201" s="182" t="str">
        <f>'[1]COMEDORES EMERGENTES'!$B$16</f>
        <v>SAN JOSE OBRERO</v>
      </c>
      <c r="C201" s="183"/>
      <c r="D201" s="88" t="s">
        <v>162</v>
      </c>
      <c r="E201" s="89" t="str">
        <f>'[1]COMEDORES EMERGENTES'!$G$16</f>
        <v>Bº SAN JOSE OBRERO. PJE. SANDOVAL S/Nº</v>
      </c>
    </row>
    <row r="202" spans="2:5" x14ac:dyDescent="0.2">
      <c r="B202" s="182" t="str">
        <f>'[1]COMEDORES EMERGENTES'!$B$17</f>
        <v>VIRGEN DE LUJAN</v>
      </c>
      <c r="C202" s="183"/>
      <c r="D202" s="88" t="s">
        <v>130</v>
      </c>
      <c r="E202" s="89" t="str">
        <f>'[1]COMEDORES EMERGENTES'!$G$17</f>
        <v>Bº OJO DE AGUA C/DR.TEODULFO BARRIONUEVO S/Nº</v>
      </c>
    </row>
    <row r="203" spans="2:5" x14ac:dyDescent="0.2">
      <c r="B203" s="182" t="str">
        <f>'[1]COMEDORES EMERGENTES'!$B$18</f>
        <v>RENACER</v>
      </c>
      <c r="C203" s="183"/>
      <c r="D203" s="88" t="s">
        <v>163</v>
      </c>
      <c r="E203" s="89" t="str">
        <f>'[1]COMEDORES EMERGENTES'!$G$18</f>
        <v>Bº VIRGEN MORENITA</v>
      </c>
    </row>
    <row r="204" spans="2:5" x14ac:dyDescent="0.2">
      <c r="B204" s="182" t="str">
        <f>'[1]COMEDORES EMERGENTES'!$B$19</f>
        <v>CENTRO VECINAL MI JARDIN</v>
      </c>
      <c r="C204" s="183"/>
      <c r="D204" s="88" t="s">
        <v>164</v>
      </c>
      <c r="E204" s="89" t="str">
        <f>'[1]COMEDORES EMERGENTES'!$G$19</f>
        <v>C/ LOS TULIPANES ENTRE FLOR DE CEREZO Y HOLANDA MZA.27 Bº MI JARDIN</v>
      </c>
    </row>
    <row r="205" spans="2:5" x14ac:dyDescent="0.2">
      <c r="B205" s="182" t="str">
        <f>'[1]COMEDORES EMERGENTES'!$B$20</f>
        <v>LA VIEJA ESQUINA</v>
      </c>
      <c r="C205" s="183"/>
      <c r="D205" s="88" t="s">
        <v>134</v>
      </c>
      <c r="E205" s="89" t="str">
        <f>'[1]COMEDORES EMERGENTES'!$G$20</f>
        <v>B° CRISTO REY PJE CAPATAZ VILLAFAÑEZ Y ARMANDO CORREA</v>
      </c>
    </row>
    <row r="206" spans="2:5" x14ac:dyDescent="0.2">
      <c r="B206" s="182" t="str">
        <f>'[1]COMEDORES EMERGENTES'!$B$21</f>
        <v>GAUCHITO GIL</v>
      </c>
      <c r="C206" s="183"/>
      <c r="D206" s="88" t="s">
        <v>134</v>
      </c>
      <c r="E206" s="89" t="str">
        <f>'[1]COMEDORES EMERGENTES'!$G$21</f>
        <v>B° 26 VIVIENDAS CASA N° 3</v>
      </c>
    </row>
    <row r="207" spans="2:5" ht="13.5" thickBot="1" x14ac:dyDescent="0.25">
      <c r="B207" s="196" t="str">
        <f>'[1]COMEDORES EMERGENTES'!$B$22</f>
        <v>LOS TOLDOS</v>
      </c>
      <c r="C207" s="197"/>
      <c r="D207" s="95" t="s">
        <v>244</v>
      </c>
      <c r="E207" s="96" t="str">
        <f>'[1]COMEDORES EMERGENTES'!$G$22</f>
        <v>LOTEO PARQUE SUR CALLE S/NOMBRE S/N°</v>
      </c>
    </row>
    <row r="208" spans="2:5" x14ac:dyDescent="0.2">
      <c r="B208" s="13" t="s">
        <v>18</v>
      </c>
      <c r="C208" s="11"/>
      <c r="D208" s="52"/>
      <c r="E208" s="12"/>
    </row>
    <row r="209" spans="2:5" ht="12.75" customHeight="1" x14ac:dyDescent="0.2">
      <c r="B209" s="14"/>
      <c r="C209" s="195" t="s">
        <v>24</v>
      </c>
      <c r="D209" s="195"/>
      <c r="E209" s="195"/>
    </row>
    <row r="210" spans="2:5" x14ac:dyDescent="0.2">
      <c r="B210" s="13" t="s">
        <v>19</v>
      </c>
      <c r="C210" s="15"/>
      <c r="D210" s="15"/>
      <c r="E210" s="16"/>
    </row>
    <row r="211" spans="2:5" ht="14.25" customHeight="1" x14ac:dyDescent="0.2">
      <c r="B211" s="14"/>
      <c r="C211" s="195" t="s">
        <v>101</v>
      </c>
      <c r="D211" s="195"/>
      <c r="E211" s="195"/>
    </row>
    <row r="212" spans="2:5" x14ac:dyDescent="0.2">
      <c r="B212" s="13" t="s">
        <v>20</v>
      </c>
      <c r="C212" s="11"/>
      <c r="D212" s="52"/>
      <c r="E212" s="12"/>
    </row>
    <row r="213" spans="2:5" ht="11.25" customHeight="1" x14ac:dyDescent="0.2">
      <c r="B213" s="13"/>
      <c r="C213" s="181" t="s">
        <v>25</v>
      </c>
      <c r="D213" s="181"/>
      <c r="E213" s="181"/>
    </row>
    <row r="214" spans="2:5" ht="13.5" thickBot="1" x14ac:dyDescent="0.25">
      <c r="B214" s="17"/>
      <c r="C214" s="18"/>
      <c r="D214" s="53"/>
      <c r="E214" s="19"/>
    </row>
    <row r="215" spans="2:5" ht="13.5" thickBot="1" x14ac:dyDescent="0.25"/>
    <row r="216" spans="2:5" x14ac:dyDescent="0.2">
      <c r="B216" s="7" t="s">
        <v>104</v>
      </c>
      <c r="C216" s="8"/>
      <c r="D216" s="51"/>
      <c r="E216" s="9"/>
    </row>
    <row r="217" spans="2:5" ht="5.25" customHeight="1" x14ac:dyDescent="0.2">
      <c r="B217" s="10"/>
      <c r="C217" s="11"/>
      <c r="D217" s="52"/>
      <c r="E217" s="12"/>
    </row>
    <row r="218" spans="2:5" x14ac:dyDescent="0.2">
      <c r="B218" s="13" t="s">
        <v>16</v>
      </c>
      <c r="C218" s="11"/>
      <c r="D218" s="52"/>
      <c r="E218" s="12"/>
    </row>
    <row r="219" spans="2:5" ht="25.5" customHeight="1" x14ac:dyDescent="0.2">
      <c r="B219" s="13"/>
      <c r="C219" s="195"/>
      <c r="D219" s="195"/>
      <c r="E219" s="195"/>
    </row>
    <row r="220" spans="2:5" ht="13.5" thickBot="1" x14ac:dyDescent="0.25">
      <c r="B220" s="13" t="s">
        <v>17</v>
      </c>
      <c r="C220" s="11"/>
      <c r="D220" s="52"/>
      <c r="E220" s="12"/>
    </row>
    <row r="221" spans="2:5" ht="13.5" thickBot="1" x14ac:dyDescent="0.25">
      <c r="B221" s="187" t="s">
        <v>98</v>
      </c>
      <c r="C221" s="191"/>
      <c r="D221" s="191"/>
      <c r="E221" s="188"/>
    </row>
    <row r="222" spans="2:5" ht="13.5" thickBot="1" x14ac:dyDescent="0.25">
      <c r="B222" s="187" t="s">
        <v>99</v>
      </c>
      <c r="C222" s="188"/>
      <c r="D222" s="49" t="s">
        <v>11</v>
      </c>
      <c r="E222" s="49" t="s">
        <v>100</v>
      </c>
    </row>
    <row r="223" spans="2:5" x14ac:dyDescent="0.2">
      <c r="B223" s="189" t="str">
        <f>'[1]COMEDORES EMERGENTES'!$B$3</f>
        <v>UNA SONRISA AV. LOS COBACHO</v>
      </c>
      <c r="C223" s="190"/>
      <c r="D223" s="93">
        <v>43</v>
      </c>
      <c r="E223" s="94" t="str">
        <f>'[1]COMEDORES EMERGENTES'!$G$3</f>
        <v>Bº SAN CARLOS OESTE AV. Bonifacio cobacho 670</v>
      </c>
    </row>
    <row r="224" spans="2:5" x14ac:dyDescent="0.2">
      <c r="B224" s="182" t="str">
        <f>'[1]COMEDORES EMERGENTES'!$B$4</f>
        <v>C.I.F Nº1 - RIVERA DEL VALLE Y FLORIDA</v>
      </c>
      <c r="C224" s="183"/>
      <c r="D224" s="88">
        <v>62</v>
      </c>
      <c r="E224" s="89" t="str">
        <f>'[1]COMEDORES EMERGENTES'!$G$4</f>
        <v>AV. RIVIERA DEL VALLE ENTRE FLORIDA Y SANTA FE</v>
      </c>
    </row>
    <row r="225" spans="2:5" x14ac:dyDescent="0.2">
      <c r="B225" s="182" t="str">
        <f>'[1]COMEDORES EMERGENTES'!$B$5</f>
        <v>C.I.F - RIVERA DEL VALLE - DILORENZO</v>
      </c>
      <c r="C225" s="183"/>
      <c r="D225" s="88">
        <v>73</v>
      </c>
      <c r="E225" s="89" t="str">
        <f>'[1]COMEDORES EMERGENTES'!$G$5</f>
        <v>Bº RIVERA DEL VALLE ENTRE VILLA EUMELIA Y MONTE CRISTO</v>
      </c>
    </row>
    <row r="226" spans="2:5" x14ac:dyDescent="0.2">
      <c r="B226" s="182" t="str">
        <f>'[1]COMEDORES EMERGENTES'!$B$6</f>
        <v>ESFUERZO PROPIO- Bº ALTOS DE CHOYA</v>
      </c>
      <c r="C226" s="183"/>
      <c r="D226" s="88">
        <v>59</v>
      </c>
      <c r="E226" s="89" t="str">
        <f>'[1]COMEDORES EMERGENTES'!$G$6</f>
        <v>Bº MUNICIPAL 35VV. NORTE C/14</v>
      </c>
    </row>
    <row r="227" spans="2:5" x14ac:dyDescent="0.2">
      <c r="B227" s="182" t="str">
        <f>'[1]COMEDORES EMERGENTES'!$B$7</f>
        <v>ANGELITOS - LOTEO SUSSEX</v>
      </c>
      <c r="C227" s="183"/>
      <c r="D227" s="88">
        <v>27</v>
      </c>
      <c r="E227" s="89" t="str">
        <f>'[1]COMEDORES EMERGENTES'!$G$7</f>
        <v>Bº LOTEO SUSEX MZA.Nº 4 LOTE Nº3</v>
      </c>
    </row>
    <row r="228" spans="2:5" x14ac:dyDescent="0.2">
      <c r="B228" s="182" t="str">
        <f>'[1]COMEDORES EMERGENTES'!$B$8</f>
        <v>CLUB DEPORTIVO CHACARITA</v>
      </c>
      <c r="C228" s="183"/>
      <c r="D228" s="88">
        <v>35</v>
      </c>
      <c r="E228" s="89" t="str">
        <f>'[1]COMEDORES EMERGENTES'!$G$8</f>
        <v>CALLE DR.DERMIDIO GALINDEZ C/2660</v>
      </c>
    </row>
    <row r="229" spans="2:5" x14ac:dyDescent="0.2">
      <c r="B229" s="182" t="str">
        <f>'[1]COMEDORES EMERGENTES'!$B$9</f>
        <v>LA MORO</v>
      </c>
      <c r="C229" s="183"/>
      <c r="D229" s="88">
        <v>32</v>
      </c>
      <c r="E229" s="89" t="str">
        <f>'[1]COMEDORES EMERGENTES'!$G$9</f>
        <v>MAIPU NORTE 1º ETAPA MZA "H" Bº MI JARDIN</v>
      </c>
    </row>
    <row r="230" spans="2:5" x14ac:dyDescent="0.2">
      <c r="B230" s="182" t="str">
        <f>'[1]COMEDORES EMERGENTES'!$B$10</f>
        <v>PAPA FRANCISCO</v>
      </c>
      <c r="C230" s="183"/>
      <c r="D230" s="88">
        <v>54</v>
      </c>
      <c r="E230" s="89" t="str">
        <f>'[1]COMEDORES EMERGENTES'!$G$10</f>
        <v>ENTRE AV.TEREBINTO Y AV.SAN JUAN LOTE "2" MZA. "B"</v>
      </c>
    </row>
    <row r="231" spans="2:5" x14ac:dyDescent="0.2">
      <c r="B231" s="182" t="str">
        <f>'[1]COMEDORES EMERGENTES'!$B$11</f>
        <v>E.P.C - 100 V.V NORTE</v>
      </c>
      <c r="C231" s="183"/>
      <c r="D231" s="88">
        <v>81</v>
      </c>
      <c r="E231" s="89" t="str">
        <f>'[1]COMEDORES EMERGENTES'!$G$11</f>
        <v>Bº VV NORTE C/48 ENTRE ESPAÑA Y FRANCIA</v>
      </c>
    </row>
    <row r="232" spans="2:5" x14ac:dyDescent="0.2">
      <c r="B232" s="182" t="str">
        <f>'[1]COMEDORES EMERGENTES'!$B$12</f>
        <v>HOGAR DE CRISTO - PADRE RAUL CONTRERAS</v>
      </c>
      <c r="C232" s="183"/>
      <c r="D232" s="88">
        <v>81</v>
      </c>
      <c r="E232" s="89" t="str">
        <f>'[1]COMEDORES EMERGENTES'!$G$12</f>
        <v>Bº SANTA MARTA MZA. "S" LOTE "M" C/39</v>
      </c>
    </row>
    <row r="233" spans="2:5" x14ac:dyDescent="0.2">
      <c r="B233" s="182" t="str">
        <f>'[1]COMEDORES EMERGENTES'!$B$13</f>
        <v>LA LUCIERNAGA</v>
      </c>
      <c r="C233" s="183"/>
      <c r="D233" s="88">
        <v>54</v>
      </c>
      <c r="E233" s="89" t="str">
        <f>'[1]COMEDORES EMERGENTES'!$G$13</f>
        <v>Bº 20 V.V NORTE C/3</v>
      </c>
    </row>
    <row r="234" spans="2:5" x14ac:dyDescent="0.2">
      <c r="B234" s="182" t="str">
        <f>'[1]COMEDORES EMERGENTES'!$B$14</f>
        <v>VALLE VIEJO - SUMALAO</v>
      </c>
      <c r="C234" s="183"/>
      <c r="D234" s="88">
        <v>95</v>
      </c>
      <c r="E234" s="89" t="str">
        <f>'[1]COMEDORES EMERGENTES'!$G$14</f>
        <v>PADRE SEGURA S/N</v>
      </c>
    </row>
    <row r="235" spans="2:5" x14ac:dyDescent="0.2">
      <c r="B235" s="182" t="str">
        <f>'[1]COMEDORES EMERGENTES'!$B$15</f>
        <v>NUESTRO FUTURO - LAS VIAS</v>
      </c>
      <c r="C235" s="183"/>
      <c r="D235" s="88">
        <v>54</v>
      </c>
      <c r="E235" s="89" t="str">
        <f>'[1]COMEDORES EMERGENTES'!$G$15</f>
        <v>Bº LAS VIAS OESTE LOTE 42</v>
      </c>
    </row>
    <row r="236" spans="2:5" x14ac:dyDescent="0.2">
      <c r="B236" s="182" t="str">
        <f>'[1]COMEDORES EMERGENTES'!$B$16</f>
        <v>SAN JOSE OBRERO</v>
      </c>
      <c r="C236" s="183"/>
      <c r="D236" s="88">
        <v>35</v>
      </c>
      <c r="E236" s="89" t="str">
        <f>'[1]COMEDORES EMERGENTES'!$G$16</f>
        <v>Bº SAN JOSE OBRERO. PJE. SANDOVAL S/Nº</v>
      </c>
    </row>
    <row r="237" spans="2:5" x14ac:dyDescent="0.2">
      <c r="B237" s="182" t="str">
        <f>'[1]COMEDORES EMERGENTES'!$B$17</f>
        <v>VIRGEN DE LUJAN</v>
      </c>
      <c r="C237" s="183"/>
      <c r="D237" s="88">
        <v>54</v>
      </c>
      <c r="E237" s="89" t="str">
        <f>'[1]COMEDORES EMERGENTES'!$G$17</f>
        <v>Bº OJO DE AGUA C/DR.TEODULFO BARRIONUEVO S/Nº</v>
      </c>
    </row>
    <row r="238" spans="2:5" x14ac:dyDescent="0.2">
      <c r="B238" s="182" t="str">
        <f>'[1]COMEDORES EMERGENTES'!$B$18</f>
        <v>RENACER</v>
      </c>
      <c r="C238" s="183"/>
      <c r="D238" s="88">
        <v>68</v>
      </c>
      <c r="E238" s="89" t="str">
        <f>'[1]COMEDORES EMERGENTES'!$G$18</f>
        <v>Bº VIRGEN MORENITA</v>
      </c>
    </row>
    <row r="239" spans="2:5" x14ac:dyDescent="0.2">
      <c r="B239" s="182" t="str">
        <f>'[1]COMEDORES EMERGENTES'!$B$19</f>
        <v>CENTRO VECINAL MI JARDIN</v>
      </c>
      <c r="C239" s="183"/>
      <c r="D239" s="88">
        <v>49</v>
      </c>
      <c r="E239" s="89" t="str">
        <f>'[1]COMEDORES EMERGENTES'!$G$19</f>
        <v>C/ LOS TULIPANES ENTRE FLOR DE CEREZO Y HOLANDA MZA.27 Bº MI JARDIN</v>
      </c>
    </row>
    <row r="240" spans="2:5" x14ac:dyDescent="0.2">
      <c r="B240" s="182" t="str">
        <f>'[1]COMEDORES EMERGENTES'!$B$20</f>
        <v>LA VIEJA ESQUINA</v>
      </c>
      <c r="C240" s="183"/>
      <c r="D240" s="88">
        <v>46</v>
      </c>
      <c r="E240" s="89" t="str">
        <f>'[1]COMEDORES EMERGENTES'!$G$20</f>
        <v>B° CRISTO REY PJE CAPATAZ VILLAFAÑEZ Y ARMANDO CORREA</v>
      </c>
    </row>
    <row r="241" spans="2:5" x14ac:dyDescent="0.2">
      <c r="B241" s="182" t="str">
        <f>'[1]COMEDORES EMERGENTES'!$B$21</f>
        <v>GAUCHITO GIL</v>
      </c>
      <c r="C241" s="183"/>
      <c r="D241" s="88">
        <v>45</v>
      </c>
      <c r="E241" s="89" t="str">
        <f>'[1]COMEDORES EMERGENTES'!$G$21</f>
        <v>B° 26 VIVIENDAS CASA N° 3</v>
      </c>
    </row>
    <row r="242" spans="2:5" ht="13.5" thickBot="1" x14ac:dyDescent="0.25">
      <c r="B242" s="196" t="str">
        <f>'[1]COMEDORES EMERGENTES'!$B$22</f>
        <v>LOS TOLDOS</v>
      </c>
      <c r="C242" s="197"/>
      <c r="D242" s="95">
        <v>22</v>
      </c>
      <c r="E242" s="96" t="str">
        <f>'[1]COMEDORES EMERGENTES'!$G$22</f>
        <v>LOTEO PARQUE SUR CALLE S/NOMBRE S/N°</v>
      </c>
    </row>
    <row r="243" spans="2:5" x14ac:dyDescent="0.2">
      <c r="B243" s="13" t="s">
        <v>18</v>
      </c>
      <c r="C243" s="11"/>
      <c r="D243" s="52"/>
      <c r="E243" s="12"/>
    </row>
    <row r="244" spans="2:5" ht="12.75" customHeight="1" x14ac:dyDescent="0.2">
      <c r="B244" s="14"/>
      <c r="C244" s="195" t="s">
        <v>24</v>
      </c>
      <c r="D244" s="195"/>
      <c r="E244" s="195"/>
    </row>
    <row r="245" spans="2:5" x14ac:dyDescent="0.2">
      <c r="B245" s="13" t="s">
        <v>19</v>
      </c>
      <c r="C245" s="15"/>
      <c r="D245" s="15"/>
      <c r="E245" s="16"/>
    </row>
    <row r="246" spans="2:5" ht="14.25" customHeight="1" x14ac:dyDescent="0.2">
      <c r="B246" s="14"/>
      <c r="C246" s="195" t="s">
        <v>101</v>
      </c>
      <c r="D246" s="195"/>
      <c r="E246" s="195"/>
    </row>
    <row r="247" spans="2:5" x14ac:dyDescent="0.2">
      <c r="B247" s="13" t="s">
        <v>20</v>
      </c>
      <c r="C247" s="11"/>
      <c r="D247" s="52"/>
      <c r="E247" s="12"/>
    </row>
    <row r="248" spans="2:5" ht="11.25" customHeight="1" x14ac:dyDescent="0.2">
      <c r="B248" s="13"/>
      <c r="C248" s="181" t="s">
        <v>25</v>
      </c>
      <c r="D248" s="181"/>
      <c r="E248" s="181"/>
    </row>
    <row r="249" spans="2:5" ht="13.5" thickBot="1" x14ac:dyDescent="0.25">
      <c r="B249" s="17"/>
      <c r="C249" s="18"/>
      <c r="D249" s="53"/>
      <c r="E249" s="19"/>
    </row>
    <row r="250" spans="2:5" ht="13.5" thickBot="1" x14ac:dyDescent="0.25"/>
    <row r="251" spans="2:5" x14ac:dyDescent="0.2">
      <c r="B251" s="7" t="s">
        <v>105</v>
      </c>
      <c r="C251" s="8"/>
      <c r="D251" s="51"/>
      <c r="E251" s="9"/>
    </row>
    <row r="252" spans="2:5" ht="5.25" customHeight="1" x14ac:dyDescent="0.2">
      <c r="B252" s="10"/>
      <c r="C252" s="11"/>
      <c r="D252" s="52"/>
      <c r="E252" s="12"/>
    </row>
    <row r="253" spans="2:5" x14ac:dyDescent="0.2">
      <c r="B253" s="13" t="s">
        <v>16</v>
      </c>
      <c r="C253" s="11"/>
      <c r="D253" s="52"/>
      <c r="E253" s="12"/>
    </row>
    <row r="254" spans="2:5" ht="25.5" customHeight="1" x14ac:dyDescent="0.2">
      <c r="B254" s="13"/>
      <c r="C254" s="195"/>
      <c r="D254" s="195"/>
      <c r="E254" s="195"/>
    </row>
    <row r="255" spans="2:5" ht="13.5" thickBot="1" x14ac:dyDescent="0.25">
      <c r="B255" s="13" t="s">
        <v>17</v>
      </c>
      <c r="C255" s="11"/>
      <c r="D255" s="52"/>
      <c r="E255" s="12"/>
    </row>
    <row r="256" spans="2:5" ht="13.5" thickBot="1" x14ac:dyDescent="0.25">
      <c r="B256" s="187" t="s">
        <v>98</v>
      </c>
      <c r="C256" s="191"/>
      <c r="D256" s="191"/>
      <c r="E256" s="188"/>
    </row>
    <row r="257" spans="2:5" ht="13.5" thickBot="1" x14ac:dyDescent="0.25">
      <c r="B257" s="187" t="s">
        <v>99</v>
      </c>
      <c r="C257" s="188"/>
      <c r="D257" s="49" t="s">
        <v>11</v>
      </c>
      <c r="E257" s="49" t="s">
        <v>100</v>
      </c>
    </row>
    <row r="258" spans="2:5" x14ac:dyDescent="0.2">
      <c r="B258" s="189" t="str">
        <f>'[1]COMEDORES EMERGENTES'!$B$3</f>
        <v>UNA SONRISA AV. LOS COBACHO</v>
      </c>
      <c r="C258" s="190"/>
      <c r="D258" s="93">
        <v>29</v>
      </c>
      <c r="E258" s="94" t="str">
        <f>'[1]COMEDORES EMERGENTES'!$G$3</f>
        <v>Bº SAN CARLOS OESTE AV. Bonifacio cobacho 670</v>
      </c>
    </row>
    <row r="259" spans="2:5" x14ac:dyDescent="0.2">
      <c r="B259" s="182" t="str">
        <f>'[1]COMEDORES EMERGENTES'!$B$4</f>
        <v>C.I.F Nº1 - RIVERA DEL VALLE Y FLORIDA</v>
      </c>
      <c r="C259" s="183"/>
      <c r="D259" s="88">
        <v>41</v>
      </c>
      <c r="E259" s="89" t="str">
        <f>'[1]COMEDORES EMERGENTES'!$G$4</f>
        <v>AV. RIVIERA DEL VALLE ENTRE FLORIDA Y SANTA FE</v>
      </c>
    </row>
    <row r="260" spans="2:5" x14ac:dyDescent="0.2">
      <c r="B260" s="182" t="str">
        <f>'[1]COMEDORES EMERGENTES'!$B$5</f>
        <v>C.I.F - RIVERA DEL VALLE - DILORENZO</v>
      </c>
      <c r="C260" s="183"/>
      <c r="D260" s="88">
        <v>49</v>
      </c>
      <c r="E260" s="89" t="str">
        <f>'[1]COMEDORES EMERGENTES'!$G$5</f>
        <v>Bº RIVERA DEL VALLE ENTRE VILLA EUMELIA Y MONTE CRISTO</v>
      </c>
    </row>
    <row r="261" spans="2:5" x14ac:dyDescent="0.2">
      <c r="B261" s="182" t="str">
        <f>'[1]COMEDORES EMERGENTES'!$B$6</f>
        <v>ESFUERZO PROPIO- Bº ALTOS DE CHOYA</v>
      </c>
      <c r="C261" s="183"/>
      <c r="D261" s="88">
        <v>40</v>
      </c>
      <c r="E261" s="89" t="str">
        <f>'[1]COMEDORES EMERGENTES'!$G$6</f>
        <v>Bº MUNICIPAL 35VV. NORTE C/14</v>
      </c>
    </row>
    <row r="262" spans="2:5" x14ac:dyDescent="0.2">
      <c r="B262" s="182" t="str">
        <f>'[1]COMEDORES EMERGENTES'!$B$7</f>
        <v>ANGELITOS - LOTEO SUSSEX</v>
      </c>
      <c r="C262" s="183"/>
      <c r="D262" s="88">
        <v>18</v>
      </c>
      <c r="E262" s="89" t="str">
        <f>'[1]COMEDORES EMERGENTES'!$G$7</f>
        <v>Bº LOTEO SUSEX MZA.Nº 4 LOTE Nº3</v>
      </c>
    </row>
    <row r="263" spans="2:5" x14ac:dyDescent="0.2">
      <c r="B263" s="182" t="str">
        <f>'[1]COMEDORES EMERGENTES'!$B$8</f>
        <v>CLUB DEPORTIVO CHACARITA</v>
      </c>
      <c r="C263" s="183"/>
      <c r="D263" s="88">
        <v>23</v>
      </c>
      <c r="E263" s="89" t="str">
        <f>'[1]COMEDORES EMERGENTES'!$G$8</f>
        <v>CALLE DR.DERMIDIO GALINDEZ C/2660</v>
      </c>
    </row>
    <row r="264" spans="2:5" x14ac:dyDescent="0.2">
      <c r="B264" s="182" t="str">
        <f>'[1]COMEDORES EMERGENTES'!$B$9</f>
        <v>LA MORO</v>
      </c>
      <c r="C264" s="183"/>
      <c r="D264" s="88">
        <v>22</v>
      </c>
      <c r="E264" s="89" t="str">
        <f>'[1]COMEDORES EMERGENTES'!$G$9</f>
        <v>MAIPU NORTE 1º ETAPA MZA "H" Bº MI JARDIN</v>
      </c>
    </row>
    <row r="265" spans="2:5" x14ac:dyDescent="0.2">
      <c r="B265" s="182" t="str">
        <f>'[1]COMEDORES EMERGENTES'!$B$10</f>
        <v>PAPA FRANCISCO</v>
      </c>
      <c r="C265" s="183"/>
      <c r="D265" s="88">
        <v>36</v>
      </c>
      <c r="E265" s="89" t="str">
        <f>'[1]COMEDORES EMERGENTES'!$G$10</f>
        <v>ENTRE AV.TEREBINTO Y AV.SAN JUAN LOTE "2" MZA. "B"</v>
      </c>
    </row>
    <row r="266" spans="2:5" x14ac:dyDescent="0.2">
      <c r="B266" s="182" t="str">
        <f>'[1]COMEDORES EMERGENTES'!$B$11</f>
        <v>E.P.C - 100 V.V NORTE</v>
      </c>
      <c r="C266" s="183"/>
      <c r="D266" s="88">
        <v>54</v>
      </c>
      <c r="E266" s="89" t="str">
        <f>'[1]COMEDORES EMERGENTES'!$G$11</f>
        <v>Bº VV NORTE C/48 ENTRE ESPAÑA Y FRANCIA</v>
      </c>
    </row>
    <row r="267" spans="2:5" x14ac:dyDescent="0.2">
      <c r="B267" s="182" t="str">
        <f>'[1]COMEDORES EMERGENTES'!$B$12</f>
        <v>HOGAR DE CRISTO - PADRE RAUL CONTRERAS</v>
      </c>
      <c r="C267" s="183"/>
      <c r="D267" s="88">
        <v>54</v>
      </c>
      <c r="E267" s="89" t="str">
        <f>'[1]COMEDORES EMERGENTES'!$G$12</f>
        <v>Bº SANTA MARTA MZA. "S" LOTE "M" C/39</v>
      </c>
    </row>
    <row r="268" spans="2:5" x14ac:dyDescent="0.2">
      <c r="B268" s="182" t="str">
        <f>'[1]COMEDORES EMERGENTES'!$B$13</f>
        <v>LA LUCIERNAGA</v>
      </c>
      <c r="C268" s="183"/>
      <c r="D268" s="88">
        <v>36</v>
      </c>
      <c r="E268" s="89" t="str">
        <f>'[1]COMEDORES EMERGENTES'!$G$13</f>
        <v>Bº 20 V.V NORTE C/3</v>
      </c>
    </row>
    <row r="269" spans="2:5" x14ac:dyDescent="0.2">
      <c r="B269" s="182" t="str">
        <f>'[1]COMEDORES EMERGENTES'!$B$14</f>
        <v>VALLE VIEJO - SUMALAO</v>
      </c>
      <c r="C269" s="183"/>
      <c r="D269" s="88">
        <v>63</v>
      </c>
      <c r="E269" s="89" t="str">
        <f>'[1]COMEDORES EMERGENTES'!$G$14</f>
        <v>PADRE SEGURA S/N</v>
      </c>
    </row>
    <row r="270" spans="2:5" x14ac:dyDescent="0.2">
      <c r="B270" s="182" t="str">
        <f>'[1]COMEDORES EMERGENTES'!$B$15</f>
        <v>NUESTRO FUTURO - LAS VIAS</v>
      </c>
      <c r="C270" s="183"/>
      <c r="D270" s="88">
        <v>36</v>
      </c>
      <c r="E270" s="89" t="str">
        <f>'[1]COMEDORES EMERGENTES'!$G$15</f>
        <v>Bº LAS VIAS OESTE LOTE 42</v>
      </c>
    </row>
    <row r="271" spans="2:5" x14ac:dyDescent="0.2">
      <c r="B271" s="182" t="str">
        <f>'[1]COMEDORES EMERGENTES'!$B$16</f>
        <v>SAN JOSE OBRERO</v>
      </c>
      <c r="C271" s="183"/>
      <c r="D271" s="88">
        <v>23</v>
      </c>
      <c r="E271" s="89" t="str">
        <f>'[1]COMEDORES EMERGENTES'!$G$16</f>
        <v>Bº SAN JOSE OBRERO. PJE. SANDOVAL S/Nº</v>
      </c>
    </row>
    <row r="272" spans="2:5" x14ac:dyDescent="0.2">
      <c r="B272" s="182" t="str">
        <f>'[1]COMEDORES EMERGENTES'!$B$17</f>
        <v>VIRGEN DE LUJAN</v>
      </c>
      <c r="C272" s="183"/>
      <c r="D272" s="88">
        <v>36</v>
      </c>
      <c r="E272" s="89" t="str">
        <f>'[1]COMEDORES EMERGENTES'!$G$17</f>
        <v>Bº OJO DE AGUA C/DR.TEODULFO BARRIONUEVO S/Nº</v>
      </c>
    </row>
    <row r="273" spans="2:5" x14ac:dyDescent="0.2">
      <c r="B273" s="182" t="str">
        <f>'[1]COMEDORES EMERGENTES'!$B$18</f>
        <v>RENACER</v>
      </c>
      <c r="C273" s="183"/>
      <c r="D273" s="88">
        <v>45</v>
      </c>
      <c r="E273" s="89" t="str">
        <f>'[1]COMEDORES EMERGENTES'!$G$18</f>
        <v>Bº VIRGEN MORENITA</v>
      </c>
    </row>
    <row r="274" spans="2:5" x14ac:dyDescent="0.2">
      <c r="B274" s="182" t="str">
        <f>'[1]COMEDORES EMERGENTES'!$B$19</f>
        <v>CENTRO VECINAL MI JARDIN</v>
      </c>
      <c r="C274" s="183"/>
      <c r="D274" s="88">
        <v>32</v>
      </c>
      <c r="E274" s="89" t="str">
        <f>'[1]COMEDORES EMERGENTES'!$G$19</f>
        <v>C/ LOS TULIPANES ENTRE FLOR DE CEREZO Y HOLANDA MZA.27 Bº MI JARDIN</v>
      </c>
    </row>
    <row r="275" spans="2:5" x14ac:dyDescent="0.2">
      <c r="B275" s="182" t="str">
        <f>'[1]COMEDORES EMERGENTES'!$B$20</f>
        <v>LA VIEJA ESQUINA</v>
      </c>
      <c r="C275" s="183"/>
      <c r="D275" s="88">
        <v>31</v>
      </c>
      <c r="E275" s="89" t="str">
        <f>'[1]COMEDORES EMERGENTES'!$G$20</f>
        <v>B° CRISTO REY PJE CAPATAZ VILLAFAÑEZ Y ARMANDO CORREA</v>
      </c>
    </row>
    <row r="276" spans="2:5" x14ac:dyDescent="0.2">
      <c r="B276" s="182" t="str">
        <f>'[1]COMEDORES EMERGENTES'!$B$21</f>
        <v>GAUCHITO GIL</v>
      </c>
      <c r="C276" s="183"/>
      <c r="D276" s="88">
        <v>30</v>
      </c>
      <c r="E276" s="89" t="str">
        <f>'[1]COMEDORES EMERGENTES'!$G$21</f>
        <v>B° 26 VIVIENDAS CASA N° 3</v>
      </c>
    </row>
    <row r="277" spans="2:5" ht="13.5" thickBot="1" x14ac:dyDescent="0.25">
      <c r="B277" s="196" t="str">
        <f>'[1]COMEDORES EMERGENTES'!$B$22</f>
        <v>LOS TOLDOS</v>
      </c>
      <c r="C277" s="197"/>
      <c r="D277" s="95">
        <v>14</v>
      </c>
      <c r="E277" s="96" t="str">
        <f>'[1]COMEDORES EMERGENTES'!$G$22</f>
        <v>LOTEO PARQUE SUR CALLE S/NOMBRE S/N°</v>
      </c>
    </row>
    <row r="278" spans="2:5" x14ac:dyDescent="0.2">
      <c r="B278" s="13" t="s">
        <v>18</v>
      </c>
      <c r="C278" s="11"/>
      <c r="D278" s="52"/>
      <c r="E278" s="12"/>
    </row>
    <row r="279" spans="2:5" ht="12.75" customHeight="1" x14ac:dyDescent="0.2">
      <c r="B279" s="14"/>
      <c r="C279" s="195" t="s">
        <v>24</v>
      </c>
      <c r="D279" s="195"/>
      <c r="E279" s="195"/>
    </row>
    <row r="280" spans="2:5" x14ac:dyDescent="0.2">
      <c r="B280" s="13" t="s">
        <v>19</v>
      </c>
      <c r="C280" s="15"/>
      <c r="D280" s="15"/>
      <c r="E280" s="16"/>
    </row>
    <row r="281" spans="2:5" ht="14.25" customHeight="1" x14ac:dyDescent="0.2">
      <c r="B281" s="14"/>
      <c r="C281" s="195" t="s">
        <v>101</v>
      </c>
      <c r="D281" s="195"/>
      <c r="E281" s="195"/>
    </row>
    <row r="282" spans="2:5" x14ac:dyDescent="0.2">
      <c r="B282" s="13" t="s">
        <v>20</v>
      </c>
      <c r="C282" s="11"/>
      <c r="D282" s="52"/>
      <c r="E282" s="12"/>
    </row>
    <row r="283" spans="2:5" ht="11.25" customHeight="1" x14ac:dyDescent="0.2">
      <c r="B283" s="13"/>
      <c r="C283" s="181" t="s">
        <v>25</v>
      </c>
      <c r="D283" s="181"/>
      <c r="E283" s="181"/>
    </row>
    <row r="284" spans="2:5" ht="13.5" thickBot="1" x14ac:dyDescent="0.25">
      <c r="B284" s="17"/>
      <c r="C284" s="18"/>
      <c r="D284" s="53"/>
      <c r="E284" s="19"/>
    </row>
    <row r="285" spans="2:5" ht="13.5" thickBot="1" x14ac:dyDescent="0.25"/>
    <row r="286" spans="2:5" x14ac:dyDescent="0.2">
      <c r="B286" s="7" t="s">
        <v>106</v>
      </c>
      <c r="C286" s="8"/>
      <c r="D286" s="51"/>
      <c r="E286" s="9"/>
    </row>
    <row r="287" spans="2:5" ht="5.25" customHeight="1" x14ac:dyDescent="0.2">
      <c r="B287" s="10"/>
      <c r="C287" s="11"/>
      <c r="D287" s="52"/>
      <c r="E287" s="12"/>
    </row>
    <row r="288" spans="2:5" x14ac:dyDescent="0.2">
      <c r="B288" s="13" t="s">
        <v>16</v>
      </c>
      <c r="C288" s="11"/>
      <c r="D288" s="52"/>
      <c r="E288" s="12"/>
    </row>
    <row r="289" spans="2:5" ht="25.5" customHeight="1" x14ac:dyDescent="0.2">
      <c r="B289" s="13"/>
      <c r="C289" s="193"/>
      <c r="D289" s="193"/>
      <c r="E289" s="194"/>
    </row>
    <row r="290" spans="2:5" ht="13.5" thickBot="1" x14ac:dyDescent="0.25">
      <c r="B290" s="13" t="s">
        <v>17</v>
      </c>
      <c r="C290" s="11"/>
      <c r="D290" s="52"/>
      <c r="E290" s="12"/>
    </row>
    <row r="291" spans="2:5" ht="13.5" thickBot="1" x14ac:dyDescent="0.25">
      <c r="B291" s="187" t="s">
        <v>98</v>
      </c>
      <c r="C291" s="191"/>
      <c r="D291" s="191"/>
      <c r="E291" s="188"/>
    </row>
    <row r="292" spans="2:5" ht="13.5" thickBot="1" x14ac:dyDescent="0.25">
      <c r="B292" s="187" t="s">
        <v>99</v>
      </c>
      <c r="C292" s="188"/>
      <c r="D292" s="49" t="s">
        <v>11</v>
      </c>
      <c r="E292" s="49" t="s">
        <v>100</v>
      </c>
    </row>
    <row r="293" spans="2:5" x14ac:dyDescent="0.2">
      <c r="B293" s="189" t="str">
        <f>'[1]COMEDORES EMERGENTES'!$B$3</f>
        <v>UNA SONRISA AV. LOS COBACHO</v>
      </c>
      <c r="C293" s="190"/>
      <c r="D293" s="93">
        <v>8</v>
      </c>
      <c r="E293" s="94" t="str">
        <f>'[1]COMEDORES EMERGENTES'!$G$3</f>
        <v>Bº SAN CARLOS OESTE AV. Bonifacio cobacho 670</v>
      </c>
    </row>
    <row r="294" spans="2:5" x14ac:dyDescent="0.2">
      <c r="B294" s="182" t="str">
        <f>'[1]COMEDORES EMERGENTES'!$B$4</f>
        <v>C.I.F Nº1 - RIVERA DEL VALLE Y FLORIDA</v>
      </c>
      <c r="C294" s="183"/>
      <c r="D294" s="88">
        <v>12</v>
      </c>
      <c r="E294" s="89" t="str">
        <f>'[1]COMEDORES EMERGENTES'!$G$4</f>
        <v>AV. RIVIERA DEL VALLE ENTRE FLORIDA Y SANTA FE</v>
      </c>
    </row>
    <row r="295" spans="2:5" x14ac:dyDescent="0.2">
      <c r="B295" s="182" t="str">
        <f>'[1]COMEDORES EMERGENTES'!$B$5</f>
        <v>C.I.F - RIVERA DEL VALLE - DILORENZO</v>
      </c>
      <c r="C295" s="183"/>
      <c r="D295" s="88">
        <v>14</v>
      </c>
      <c r="E295" s="89" t="str">
        <f>'[1]COMEDORES EMERGENTES'!$G$5</f>
        <v>Bº RIVERA DEL VALLE ENTRE VILLA EUMELIA Y MONTE CRISTO</v>
      </c>
    </row>
    <row r="296" spans="2:5" x14ac:dyDescent="0.2">
      <c r="B296" s="182" t="str">
        <f>'[1]COMEDORES EMERGENTES'!$B$6</f>
        <v>ESFUERZO PROPIO- Bº ALTOS DE CHOYA</v>
      </c>
      <c r="C296" s="183"/>
      <c r="D296" s="88">
        <v>11</v>
      </c>
      <c r="E296" s="89" t="str">
        <f>'[1]COMEDORES EMERGENTES'!$G$6</f>
        <v>Bº MUNICIPAL 35VV. NORTE C/14</v>
      </c>
    </row>
    <row r="297" spans="2:5" x14ac:dyDescent="0.2">
      <c r="B297" s="182" t="str">
        <f>'[1]COMEDORES EMERGENTES'!$B$7</f>
        <v>ANGELITOS - LOTEO SUSSEX</v>
      </c>
      <c r="C297" s="183"/>
      <c r="D297" s="88">
        <v>5</v>
      </c>
      <c r="E297" s="89" t="str">
        <f>'[1]COMEDORES EMERGENTES'!$G$7</f>
        <v>Bº LOTEO SUSEX MZA.Nº 4 LOTE Nº3</v>
      </c>
    </row>
    <row r="298" spans="2:5" x14ac:dyDescent="0.2">
      <c r="B298" s="182" t="str">
        <f>'[1]COMEDORES EMERGENTES'!$B$8</f>
        <v>CLUB DEPORTIVO CHACARITA</v>
      </c>
      <c r="C298" s="183"/>
      <c r="D298" s="88">
        <v>7</v>
      </c>
      <c r="E298" s="89" t="str">
        <f>'[1]COMEDORES EMERGENTES'!$G$8</f>
        <v>CALLE DR.DERMIDIO GALINDEZ C/2660</v>
      </c>
    </row>
    <row r="299" spans="2:5" x14ac:dyDescent="0.2">
      <c r="B299" s="182" t="str">
        <f>'[1]COMEDORES EMERGENTES'!$B$9</f>
        <v>LA MORO</v>
      </c>
      <c r="C299" s="183"/>
      <c r="D299" s="88">
        <v>6</v>
      </c>
      <c r="E299" s="89" t="str">
        <f>'[1]COMEDORES EMERGENTES'!$G$9</f>
        <v>MAIPU NORTE 1º ETAPA MZA "H" Bº MI JARDIN</v>
      </c>
    </row>
    <row r="300" spans="2:5" x14ac:dyDescent="0.2">
      <c r="B300" s="182" t="str">
        <f>'[1]COMEDORES EMERGENTES'!$B$10</f>
        <v>PAPA FRANCISCO</v>
      </c>
      <c r="C300" s="183"/>
      <c r="D300" s="88">
        <v>10</v>
      </c>
      <c r="E300" s="89" t="str">
        <f>'[1]COMEDORES EMERGENTES'!$G$10</f>
        <v>ENTRE AV.TEREBINTO Y AV.SAN JUAN LOTE "2" MZA. "B"</v>
      </c>
    </row>
    <row r="301" spans="2:5" x14ac:dyDescent="0.2">
      <c r="B301" s="182" t="str">
        <f>'[1]COMEDORES EMERGENTES'!$B$11</f>
        <v>E.P.C - 100 V.V NORTE</v>
      </c>
      <c r="C301" s="183"/>
      <c r="D301" s="88">
        <v>15</v>
      </c>
      <c r="E301" s="89" t="str">
        <f>'[1]COMEDORES EMERGENTES'!$G$11</f>
        <v>Bº VV NORTE C/48 ENTRE ESPAÑA Y FRANCIA</v>
      </c>
    </row>
    <row r="302" spans="2:5" x14ac:dyDescent="0.2">
      <c r="B302" s="182" t="str">
        <f>'[1]COMEDORES EMERGENTES'!$B$12</f>
        <v>HOGAR DE CRISTO - PADRE RAUL CONTRERAS</v>
      </c>
      <c r="C302" s="183"/>
      <c r="D302" s="88">
        <v>15</v>
      </c>
      <c r="E302" s="89" t="str">
        <f>'[1]COMEDORES EMERGENTES'!$G$12</f>
        <v>Bº SANTA MARTA MZA. "S" LOTE "M" C/39</v>
      </c>
    </row>
    <row r="303" spans="2:5" x14ac:dyDescent="0.2">
      <c r="B303" s="182" t="str">
        <f>'[1]COMEDORES EMERGENTES'!$B$13</f>
        <v>LA LUCIERNAGA</v>
      </c>
      <c r="C303" s="183"/>
      <c r="D303" s="88">
        <v>10</v>
      </c>
      <c r="E303" s="89" t="str">
        <f>'[1]COMEDORES EMERGENTES'!$G$13</f>
        <v>Bº 20 V.V NORTE C/3</v>
      </c>
    </row>
    <row r="304" spans="2:5" x14ac:dyDescent="0.2">
      <c r="B304" s="182" t="str">
        <f>'[1]COMEDORES EMERGENTES'!$B$14</f>
        <v>VALLE VIEJO - SUMALAO</v>
      </c>
      <c r="C304" s="183"/>
      <c r="D304" s="88">
        <v>18</v>
      </c>
      <c r="E304" s="89" t="str">
        <f>'[1]COMEDORES EMERGENTES'!$G$14</f>
        <v>PADRE SEGURA S/N</v>
      </c>
    </row>
    <row r="305" spans="2:5" x14ac:dyDescent="0.2">
      <c r="B305" s="182" t="str">
        <f>'[1]COMEDORES EMERGENTES'!$B$15</f>
        <v>NUESTRO FUTURO - LAS VIAS</v>
      </c>
      <c r="C305" s="183"/>
      <c r="D305" s="88">
        <v>10</v>
      </c>
      <c r="E305" s="89" t="str">
        <f>'[1]COMEDORES EMERGENTES'!$G$15</f>
        <v>Bº LAS VIAS OESTE LOTE 42</v>
      </c>
    </row>
    <row r="306" spans="2:5" x14ac:dyDescent="0.2">
      <c r="B306" s="182" t="str">
        <f>'[1]COMEDORES EMERGENTES'!$B$16</f>
        <v>SAN JOSE OBRERO</v>
      </c>
      <c r="C306" s="183"/>
      <c r="D306" s="88">
        <v>7</v>
      </c>
      <c r="E306" s="89" t="str">
        <f>'[1]COMEDORES EMERGENTES'!$G$16</f>
        <v>Bº SAN JOSE OBRERO. PJE. SANDOVAL S/Nº</v>
      </c>
    </row>
    <row r="307" spans="2:5" x14ac:dyDescent="0.2">
      <c r="B307" s="182" t="str">
        <f>'[1]COMEDORES EMERGENTES'!$B$17</f>
        <v>VIRGEN DE LUJAN</v>
      </c>
      <c r="C307" s="183"/>
      <c r="D307" s="88">
        <v>10</v>
      </c>
      <c r="E307" s="89" t="str">
        <f>'[1]COMEDORES EMERGENTES'!$G$17</f>
        <v>Bº OJO DE AGUA C/DR.TEODULFO BARRIONUEVO S/Nº</v>
      </c>
    </row>
    <row r="308" spans="2:5" x14ac:dyDescent="0.2">
      <c r="B308" s="182" t="str">
        <f>'[1]COMEDORES EMERGENTES'!$B$18</f>
        <v>RENACER</v>
      </c>
      <c r="C308" s="183"/>
      <c r="D308" s="88">
        <v>13</v>
      </c>
      <c r="E308" s="89" t="str">
        <f>'[1]COMEDORES EMERGENTES'!$G$18</f>
        <v>Bº VIRGEN MORENITA</v>
      </c>
    </row>
    <row r="309" spans="2:5" x14ac:dyDescent="0.2">
      <c r="B309" s="182" t="str">
        <f>'[1]COMEDORES EMERGENTES'!$B$19</f>
        <v>CENTRO VECINAL MI JARDIN</v>
      </c>
      <c r="C309" s="183"/>
      <c r="D309" s="88">
        <v>9</v>
      </c>
      <c r="E309" s="89" t="str">
        <f>'[1]COMEDORES EMERGENTES'!$G$19</f>
        <v>C/ LOS TULIPANES ENTRE FLOR DE CEREZO Y HOLANDA MZA.27 Bº MI JARDIN</v>
      </c>
    </row>
    <row r="310" spans="2:5" x14ac:dyDescent="0.2">
      <c r="B310" s="182" t="str">
        <f>'[1]COMEDORES EMERGENTES'!$B$20</f>
        <v>LA VIEJA ESQUINA</v>
      </c>
      <c r="C310" s="183"/>
      <c r="D310" s="88">
        <v>9</v>
      </c>
      <c r="E310" s="89" t="str">
        <f>'[1]COMEDORES EMERGENTES'!$G$20</f>
        <v>B° CRISTO REY PJE CAPATAZ VILLAFAÑEZ Y ARMANDO CORREA</v>
      </c>
    </row>
    <row r="311" spans="2:5" x14ac:dyDescent="0.2">
      <c r="B311" s="182" t="str">
        <f>'[1]COMEDORES EMERGENTES'!$B$21</f>
        <v>GAUCHITO GIL</v>
      </c>
      <c r="C311" s="183"/>
      <c r="D311" s="88">
        <v>8</v>
      </c>
      <c r="E311" s="89" t="str">
        <f>'[1]COMEDORES EMERGENTES'!$G$21</f>
        <v>B° 26 VIVIENDAS CASA N° 3</v>
      </c>
    </row>
    <row r="312" spans="2:5" ht="13.5" thickBot="1" x14ac:dyDescent="0.25">
      <c r="B312" s="196" t="str">
        <f>'[1]COMEDORES EMERGENTES'!$B$22</f>
        <v>LOS TOLDOS</v>
      </c>
      <c r="C312" s="197"/>
      <c r="D312" s="95">
        <v>4</v>
      </c>
      <c r="E312" s="96" t="str">
        <f>'[1]COMEDORES EMERGENTES'!$G$22</f>
        <v>LOTEO PARQUE SUR CALLE S/NOMBRE S/N°</v>
      </c>
    </row>
    <row r="313" spans="2:5" x14ac:dyDescent="0.2">
      <c r="B313" s="13" t="s">
        <v>18</v>
      </c>
      <c r="C313" s="11"/>
      <c r="D313" s="52"/>
      <c r="E313" s="12"/>
    </row>
    <row r="314" spans="2:5" ht="12.75" customHeight="1" x14ac:dyDescent="0.2">
      <c r="B314" s="14"/>
      <c r="C314" s="195" t="s">
        <v>24</v>
      </c>
      <c r="D314" s="195"/>
      <c r="E314" s="195"/>
    </row>
    <row r="315" spans="2:5" x14ac:dyDescent="0.2">
      <c r="B315" s="13" t="s">
        <v>19</v>
      </c>
      <c r="C315" s="15"/>
      <c r="D315" s="15"/>
      <c r="E315" s="16"/>
    </row>
    <row r="316" spans="2:5" ht="14.25" customHeight="1" x14ac:dyDescent="0.2">
      <c r="B316" s="14"/>
      <c r="C316" s="195" t="s">
        <v>101</v>
      </c>
      <c r="D316" s="195"/>
      <c r="E316" s="195"/>
    </row>
    <row r="317" spans="2:5" x14ac:dyDescent="0.2">
      <c r="B317" s="13" t="s">
        <v>20</v>
      </c>
      <c r="C317" s="11"/>
      <c r="D317" s="52"/>
      <c r="E317" s="12"/>
    </row>
    <row r="318" spans="2:5" ht="11.25" customHeight="1" x14ac:dyDescent="0.2">
      <c r="B318" s="13"/>
      <c r="C318" s="181" t="s">
        <v>25</v>
      </c>
      <c r="D318" s="181"/>
      <c r="E318" s="181"/>
    </row>
    <row r="319" spans="2:5" ht="13.5" thickBot="1" x14ac:dyDescent="0.25">
      <c r="B319" s="17"/>
      <c r="C319" s="18"/>
      <c r="D319" s="53"/>
      <c r="E319" s="19"/>
    </row>
    <row r="320" spans="2:5" ht="13.5" thickBot="1" x14ac:dyDescent="0.25"/>
    <row r="321" spans="2:5" x14ac:dyDescent="0.2">
      <c r="B321" s="7" t="s">
        <v>107</v>
      </c>
      <c r="C321" s="8"/>
      <c r="D321" s="51"/>
      <c r="E321" s="9"/>
    </row>
    <row r="322" spans="2:5" ht="5.25" customHeight="1" x14ac:dyDescent="0.2">
      <c r="B322" s="10"/>
      <c r="C322" s="11"/>
      <c r="D322" s="52"/>
      <c r="E322" s="12"/>
    </row>
    <row r="323" spans="2:5" x14ac:dyDescent="0.2">
      <c r="B323" s="13" t="s">
        <v>16</v>
      </c>
      <c r="C323" s="11"/>
      <c r="D323" s="52"/>
      <c r="E323" s="12"/>
    </row>
    <row r="324" spans="2:5" ht="25.5" customHeight="1" x14ac:dyDescent="0.2">
      <c r="B324" s="13"/>
      <c r="C324" s="195"/>
      <c r="D324" s="195"/>
      <c r="E324" s="195"/>
    </row>
    <row r="325" spans="2:5" ht="13.5" thickBot="1" x14ac:dyDescent="0.25">
      <c r="B325" s="13" t="s">
        <v>17</v>
      </c>
      <c r="C325" s="11"/>
      <c r="D325" s="52"/>
      <c r="E325" s="12"/>
    </row>
    <row r="326" spans="2:5" ht="13.5" thickBot="1" x14ac:dyDescent="0.25">
      <c r="B326" s="187" t="s">
        <v>98</v>
      </c>
      <c r="C326" s="191"/>
      <c r="D326" s="191"/>
      <c r="E326" s="188"/>
    </row>
    <row r="327" spans="2:5" ht="13.5" thickBot="1" x14ac:dyDescent="0.25">
      <c r="B327" s="187" t="s">
        <v>99</v>
      </c>
      <c r="C327" s="188"/>
      <c r="D327" s="49" t="s">
        <v>11</v>
      </c>
      <c r="E327" s="49" t="s">
        <v>100</v>
      </c>
    </row>
    <row r="328" spans="2:5" x14ac:dyDescent="0.2">
      <c r="B328" s="189" t="str">
        <f>'[1]COMEDORES EMERGENTES'!$B$3</f>
        <v>UNA SONRISA AV. LOS COBACHO</v>
      </c>
      <c r="C328" s="190"/>
      <c r="D328" s="93" t="s">
        <v>137</v>
      </c>
      <c r="E328" s="94" t="str">
        <f>'[1]COMEDORES EMERGENTES'!$G$3</f>
        <v>Bº SAN CARLOS OESTE AV. Bonifacio cobacho 670</v>
      </c>
    </row>
    <row r="329" spans="2:5" x14ac:dyDescent="0.2">
      <c r="B329" s="182" t="str">
        <f>'[1]COMEDORES EMERGENTES'!$B$4</f>
        <v>C.I.F Nº1 - RIVERA DEL VALLE Y FLORIDA</v>
      </c>
      <c r="C329" s="183"/>
      <c r="D329" s="88" t="s">
        <v>165</v>
      </c>
      <c r="E329" s="89" t="str">
        <f>'[1]COMEDORES EMERGENTES'!$G$4</f>
        <v>AV. RIVIERA DEL VALLE ENTRE FLORIDA Y SANTA FE</v>
      </c>
    </row>
    <row r="330" spans="2:5" x14ac:dyDescent="0.2">
      <c r="B330" s="182" t="str">
        <f>'[1]COMEDORES EMERGENTES'!$B$5</f>
        <v>C.I.F - RIVERA DEL VALLE - DILORENZO</v>
      </c>
      <c r="C330" s="183"/>
      <c r="D330" s="88" t="s">
        <v>166</v>
      </c>
      <c r="E330" s="89" t="str">
        <f>'[1]COMEDORES EMERGENTES'!$G$5</f>
        <v>Bº RIVERA DEL VALLE ENTRE VILLA EUMELIA Y MONTE CRISTO</v>
      </c>
    </row>
    <row r="331" spans="2:5" x14ac:dyDescent="0.2">
      <c r="B331" s="182" t="str">
        <f>'[1]COMEDORES EMERGENTES'!$B$6</f>
        <v>ESFUERZO PROPIO- Bº ALTOS DE CHOYA</v>
      </c>
      <c r="C331" s="183"/>
      <c r="D331" s="88" t="s">
        <v>167</v>
      </c>
      <c r="E331" s="89" t="str">
        <f>'[1]COMEDORES EMERGENTES'!$G$6</f>
        <v>Bº MUNICIPAL 35VV. NORTE C/14</v>
      </c>
    </row>
    <row r="332" spans="2:5" x14ac:dyDescent="0.2">
      <c r="B332" s="182" t="str">
        <f>'[1]COMEDORES EMERGENTES'!$B$7</f>
        <v>ANGELITOS - LOTEO SUSSEX</v>
      </c>
      <c r="C332" s="183"/>
      <c r="D332" s="88" t="s">
        <v>148</v>
      </c>
      <c r="E332" s="89" t="str">
        <f>'[1]COMEDORES EMERGENTES'!$G$7</f>
        <v>Bº LOTEO SUSEX MZA.Nº 4 LOTE Nº3</v>
      </c>
    </row>
    <row r="333" spans="2:5" x14ac:dyDescent="0.2">
      <c r="B333" s="182" t="str">
        <f>'[1]COMEDORES EMERGENTES'!$B$8</f>
        <v>CLUB DEPORTIVO CHACARITA</v>
      </c>
      <c r="C333" s="183"/>
      <c r="D333" s="88" t="s">
        <v>158</v>
      </c>
      <c r="E333" s="89" t="str">
        <f>'[1]COMEDORES EMERGENTES'!$G$8</f>
        <v>CALLE DR.DERMIDIO GALINDEZ C/2660</v>
      </c>
    </row>
    <row r="334" spans="2:5" x14ac:dyDescent="0.2">
      <c r="B334" s="182" t="str">
        <f>'[1]COMEDORES EMERGENTES'!$B$9</f>
        <v>LA MORO</v>
      </c>
      <c r="C334" s="183"/>
      <c r="D334" s="88" t="s">
        <v>159</v>
      </c>
      <c r="E334" s="89" t="str">
        <f>'[1]COMEDORES EMERGENTES'!$G$9</f>
        <v>MAIPU NORTE 1º ETAPA MZA "H" Bº MI JARDIN</v>
      </c>
    </row>
    <row r="335" spans="2:5" x14ac:dyDescent="0.2">
      <c r="B335" s="182" t="str">
        <f>'[1]COMEDORES EMERGENTES'!$B$10</f>
        <v>PAPA FRANCISCO</v>
      </c>
      <c r="C335" s="183"/>
      <c r="D335" s="88" t="s">
        <v>168</v>
      </c>
      <c r="E335" s="89" t="str">
        <f>'[1]COMEDORES EMERGENTES'!$G$10</f>
        <v>ENTRE AV.TEREBINTO Y AV.SAN JUAN LOTE "2" MZA. "B"</v>
      </c>
    </row>
    <row r="336" spans="2:5" x14ac:dyDescent="0.2">
      <c r="B336" s="182" t="str">
        <f>'[1]COMEDORES EMERGENTES'!$B$11</f>
        <v>E.P.C - 100 V.V NORTE</v>
      </c>
      <c r="C336" s="183"/>
      <c r="D336" s="88" t="s">
        <v>169</v>
      </c>
      <c r="E336" s="89" t="str">
        <f>'[1]COMEDORES EMERGENTES'!$G$11</f>
        <v>Bº VV NORTE C/48 ENTRE ESPAÑA Y FRANCIA</v>
      </c>
    </row>
    <row r="337" spans="2:5" x14ac:dyDescent="0.2">
      <c r="B337" s="182" t="str">
        <f>'[1]COMEDORES EMERGENTES'!$B$12</f>
        <v>HOGAR DE CRISTO - PADRE RAUL CONTRERAS</v>
      </c>
      <c r="C337" s="183"/>
      <c r="D337" s="88" t="s">
        <v>169</v>
      </c>
      <c r="E337" s="89" t="str">
        <f>'[1]COMEDORES EMERGENTES'!$G$12</f>
        <v>Bº SANTA MARTA MZA. "S" LOTE "M" C/39</v>
      </c>
    </row>
    <row r="338" spans="2:5" x14ac:dyDescent="0.2">
      <c r="B338" s="182" t="str">
        <f>'[1]COMEDORES EMERGENTES'!$B$13</f>
        <v>LA LUCIERNAGA</v>
      </c>
      <c r="C338" s="183"/>
      <c r="D338" s="88" t="s">
        <v>168</v>
      </c>
      <c r="E338" s="89" t="str">
        <f>'[1]COMEDORES EMERGENTES'!$G$13</f>
        <v>Bº 20 V.V NORTE C/3</v>
      </c>
    </row>
    <row r="339" spans="2:5" x14ac:dyDescent="0.2">
      <c r="B339" s="182" t="str">
        <f>'[1]COMEDORES EMERGENTES'!$B$14</f>
        <v>VALLE VIEJO - SUMALAO</v>
      </c>
      <c r="C339" s="183"/>
      <c r="D339" s="88" t="s">
        <v>170</v>
      </c>
      <c r="E339" s="89" t="str">
        <f>'[1]COMEDORES EMERGENTES'!$G$14</f>
        <v>PADRE SEGURA S/N</v>
      </c>
    </row>
    <row r="340" spans="2:5" x14ac:dyDescent="0.2">
      <c r="B340" s="182" t="str">
        <f>'[1]COMEDORES EMERGENTES'!$B$15</f>
        <v>NUESTRO FUTURO - LAS VIAS</v>
      </c>
      <c r="C340" s="183"/>
      <c r="D340" s="88" t="s">
        <v>168</v>
      </c>
      <c r="E340" s="89" t="str">
        <f>'[1]COMEDORES EMERGENTES'!$G$15</f>
        <v>Bº LAS VIAS OESTE LOTE 42</v>
      </c>
    </row>
    <row r="341" spans="2:5" x14ac:dyDescent="0.2">
      <c r="B341" s="182" t="str">
        <f>'[1]COMEDORES EMERGENTES'!$B$16</f>
        <v>SAN JOSE OBRERO</v>
      </c>
      <c r="C341" s="183"/>
      <c r="D341" s="88" t="s">
        <v>158</v>
      </c>
      <c r="E341" s="89" t="str">
        <f>'[1]COMEDORES EMERGENTES'!$G$16</f>
        <v>Bº SAN JOSE OBRERO. PJE. SANDOVAL S/Nº</v>
      </c>
    </row>
    <row r="342" spans="2:5" x14ac:dyDescent="0.2">
      <c r="B342" s="182" t="str">
        <f>'[1]COMEDORES EMERGENTES'!$B$17</f>
        <v>VIRGEN DE LUJAN</v>
      </c>
      <c r="C342" s="183"/>
      <c r="D342" s="88" t="s">
        <v>168</v>
      </c>
      <c r="E342" s="89" t="str">
        <f>'[1]COMEDORES EMERGENTES'!$G$17</f>
        <v>Bº OJO DE AGUA C/DR.TEODULFO BARRIONUEVO S/Nº</v>
      </c>
    </row>
    <row r="343" spans="2:5" x14ac:dyDescent="0.2">
      <c r="B343" s="182" t="str">
        <f>'[1]COMEDORES EMERGENTES'!$B$18</f>
        <v>RENACER</v>
      </c>
      <c r="C343" s="183"/>
      <c r="D343" s="88" t="s">
        <v>156</v>
      </c>
      <c r="E343" s="89" t="str">
        <f>'[1]COMEDORES EMERGENTES'!$G$18</f>
        <v>Bº VIRGEN MORENITA</v>
      </c>
    </row>
    <row r="344" spans="2:5" x14ac:dyDescent="0.2">
      <c r="B344" s="182" t="str">
        <f>'[1]COMEDORES EMERGENTES'!$B$19</f>
        <v>CENTRO VECINAL MI JARDIN</v>
      </c>
      <c r="C344" s="183"/>
      <c r="D344" s="88" t="s">
        <v>157</v>
      </c>
      <c r="E344" s="89" t="str">
        <f>'[1]COMEDORES EMERGENTES'!$G$19</f>
        <v>C/ LOS TULIPANES ENTRE FLOR DE CEREZO Y HOLANDA MZA.27 Bº MI JARDIN</v>
      </c>
    </row>
    <row r="345" spans="2:5" x14ac:dyDescent="0.2">
      <c r="B345" s="182" t="str">
        <f>'[1]COMEDORES EMERGENTES'!$B$20</f>
        <v>LA VIEJA ESQUINA</v>
      </c>
      <c r="C345" s="183"/>
      <c r="D345" s="88" t="s">
        <v>171</v>
      </c>
      <c r="E345" s="89" t="str">
        <f>'[1]COMEDORES EMERGENTES'!$G$20</f>
        <v>B° CRISTO REY PJE CAPATAZ VILLAFAÑEZ Y ARMANDO CORREA</v>
      </c>
    </row>
    <row r="346" spans="2:5" x14ac:dyDescent="0.2">
      <c r="B346" s="182" t="str">
        <f>'[1]COMEDORES EMERGENTES'!$B$21</f>
        <v>GAUCHITO GIL</v>
      </c>
      <c r="C346" s="183"/>
      <c r="D346" s="88" t="s">
        <v>172</v>
      </c>
      <c r="E346" s="89" t="str">
        <f>'[1]COMEDORES EMERGENTES'!$G$21</f>
        <v>B° 26 VIVIENDAS CASA N° 3</v>
      </c>
    </row>
    <row r="347" spans="2:5" ht="13.5" thickBot="1" x14ac:dyDescent="0.25">
      <c r="B347" s="196" t="str">
        <f>'[1]COMEDORES EMERGENTES'!$B$22</f>
        <v>LOS TOLDOS</v>
      </c>
      <c r="C347" s="197"/>
      <c r="D347" s="95" t="s">
        <v>146</v>
      </c>
      <c r="E347" s="96" t="str">
        <f>'[1]COMEDORES EMERGENTES'!$G$22</f>
        <v>LOTEO PARQUE SUR CALLE S/NOMBRE S/N°</v>
      </c>
    </row>
    <row r="348" spans="2:5" x14ac:dyDescent="0.2">
      <c r="B348" s="13" t="s">
        <v>18</v>
      </c>
      <c r="C348" s="11"/>
      <c r="D348" s="52"/>
      <c r="E348" s="12"/>
    </row>
    <row r="349" spans="2:5" ht="12.75" customHeight="1" x14ac:dyDescent="0.2">
      <c r="B349" s="14"/>
      <c r="C349" s="195" t="s">
        <v>24</v>
      </c>
      <c r="D349" s="195"/>
      <c r="E349" s="195"/>
    </row>
    <row r="350" spans="2:5" x14ac:dyDescent="0.2">
      <c r="B350" s="13" t="s">
        <v>19</v>
      </c>
      <c r="C350" s="15"/>
      <c r="D350" s="15"/>
      <c r="E350" s="16"/>
    </row>
    <row r="351" spans="2:5" ht="14.25" customHeight="1" x14ac:dyDescent="0.2">
      <c r="B351" s="14"/>
      <c r="C351" s="195" t="s">
        <v>101</v>
      </c>
      <c r="D351" s="195"/>
      <c r="E351" s="195"/>
    </row>
    <row r="352" spans="2:5" x14ac:dyDescent="0.2">
      <c r="B352" s="13" t="s">
        <v>20</v>
      </c>
      <c r="C352" s="11"/>
      <c r="D352" s="52"/>
      <c r="E352" s="12"/>
    </row>
    <row r="353" spans="2:5" ht="11.25" customHeight="1" x14ac:dyDescent="0.2">
      <c r="B353" s="13"/>
      <c r="C353" s="181" t="s">
        <v>25</v>
      </c>
      <c r="D353" s="181"/>
      <c r="E353" s="181"/>
    </row>
    <row r="354" spans="2:5" ht="13.5" thickBot="1" x14ac:dyDescent="0.25">
      <c r="B354" s="17"/>
      <c r="C354" s="18"/>
      <c r="D354" s="53"/>
      <c r="E354" s="19"/>
    </row>
    <row r="355" spans="2:5" ht="13.5" thickBot="1" x14ac:dyDescent="0.25"/>
    <row r="356" spans="2:5" x14ac:dyDescent="0.2">
      <c r="B356" s="7" t="s">
        <v>108</v>
      </c>
      <c r="C356" s="8"/>
      <c r="D356" s="51"/>
      <c r="E356" s="9"/>
    </row>
    <row r="357" spans="2:5" ht="5.25" customHeight="1" x14ac:dyDescent="0.2">
      <c r="B357" s="10"/>
      <c r="C357" s="11"/>
      <c r="D357" s="52"/>
      <c r="E357" s="12"/>
    </row>
    <row r="358" spans="2:5" x14ac:dyDescent="0.2">
      <c r="B358" s="13" t="s">
        <v>16</v>
      </c>
      <c r="C358" s="11"/>
      <c r="D358" s="52"/>
      <c r="E358" s="12"/>
    </row>
    <row r="359" spans="2:5" ht="25.5" customHeight="1" x14ac:dyDescent="0.2">
      <c r="B359" s="13"/>
      <c r="C359" s="195"/>
      <c r="D359" s="195"/>
      <c r="E359" s="195"/>
    </row>
    <row r="360" spans="2:5" ht="13.5" thickBot="1" x14ac:dyDescent="0.25">
      <c r="B360" s="13" t="s">
        <v>17</v>
      </c>
      <c r="C360" s="11"/>
      <c r="D360" s="52"/>
      <c r="E360" s="12"/>
    </row>
    <row r="361" spans="2:5" ht="13.5" thickBot="1" x14ac:dyDescent="0.25">
      <c r="B361" s="187" t="s">
        <v>98</v>
      </c>
      <c r="C361" s="191"/>
      <c r="D361" s="191"/>
      <c r="E361" s="188"/>
    </row>
    <row r="362" spans="2:5" ht="13.5" thickBot="1" x14ac:dyDescent="0.25">
      <c r="B362" s="187" t="s">
        <v>99</v>
      </c>
      <c r="C362" s="188"/>
      <c r="D362" s="49" t="s">
        <v>11</v>
      </c>
      <c r="E362" s="49" t="s">
        <v>100</v>
      </c>
    </row>
    <row r="363" spans="2:5" x14ac:dyDescent="0.2">
      <c r="B363" s="189" t="str">
        <f>'[1]COMEDORES EMERGENTES'!$B$3</f>
        <v>UNA SONRISA AV. LOS COBACHO</v>
      </c>
      <c r="C363" s="190"/>
      <c r="D363" s="93" t="s">
        <v>168</v>
      </c>
      <c r="E363" s="94" t="str">
        <f>'[1]COMEDORES EMERGENTES'!$G$3</f>
        <v>Bº SAN CARLOS OESTE AV. Bonifacio cobacho 670</v>
      </c>
    </row>
    <row r="364" spans="2:5" x14ac:dyDescent="0.2">
      <c r="B364" s="182" t="str">
        <f>'[1]COMEDORES EMERGENTES'!$B$4</f>
        <v>C.I.F Nº1 - RIVERA DEL VALLE Y FLORIDA</v>
      </c>
      <c r="C364" s="183"/>
      <c r="D364" s="88" t="s">
        <v>173</v>
      </c>
      <c r="E364" s="89" t="str">
        <f>'[1]COMEDORES EMERGENTES'!$G$4</f>
        <v>AV. RIVIERA DEL VALLE ENTRE FLORIDA Y SANTA FE</v>
      </c>
    </row>
    <row r="365" spans="2:5" x14ac:dyDescent="0.2">
      <c r="B365" s="182" t="str">
        <f>'[1]COMEDORES EMERGENTES'!$B$5</f>
        <v>C.I.F - RIVERA DEL VALLE - DILORENZO</v>
      </c>
      <c r="C365" s="183"/>
      <c r="D365" s="88" t="s">
        <v>174</v>
      </c>
      <c r="E365" s="89" t="str">
        <f>'[1]COMEDORES EMERGENTES'!$G$5</f>
        <v>Bº RIVERA DEL VALLE ENTRE VILLA EUMELIA Y MONTE CRISTO</v>
      </c>
    </row>
    <row r="366" spans="2:5" x14ac:dyDescent="0.2">
      <c r="B366" s="182" t="str">
        <f>'[1]COMEDORES EMERGENTES'!$B$6</f>
        <v>ESFUERZO PROPIO- Bº ALTOS DE CHOYA</v>
      </c>
      <c r="C366" s="183"/>
      <c r="D366" s="88" t="s">
        <v>175</v>
      </c>
      <c r="E366" s="89" t="str">
        <f>'[1]COMEDORES EMERGENTES'!$G$6</f>
        <v>Bº MUNICIPAL 35VV. NORTE C/14</v>
      </c>
    </row>
    <row r="367" spans="2:5" x14ac:dyDescent="0.2">
      <c r="B367" s="182" t="str">
        <f>'[1]COMEDORES EMERGENTES'!$B$7</f>
        <v>ANGELITOS - LOTEO SUSSEX</v>
      </c>
      <c r="C367" s="183"/>
      <c r="D367" s="88" t="s">
        <v>131</v>
      </c>
      <c r="E367" s="89" t="str">
        <f>'[1]COMEDORES EMERGENTES'!$G$7</f>
        <v>Bº LOTEO SUSEX MZA.Nº 4 LOTE Nº3</v>
      </c>
    </row>
    <row r="368" spans="2:5" x14ac:dyDescent="0.2">
      <c r="B368" s="182" t="str">
        <f>'[1]COMEDORES EMERGENTES'!$B$8</f>
        <v>CLUB DEPORTIVO CHACARITA</v>
      </c>
      <c r="C368" s="183"/>
      <c r="D368" s="88" t="s">
        <v>151</v>
      </c>
      <c r="E368" s="89" t="str">
        <f>'[1]COMEDORES EMERGENTES'!$G$8</f>
        <v>CALLE DR.DERMIDIO GALINDEZ C/2660</v>
      </c>
    </row>
    <row r="369" spans="2:5" x14ac:dyDescent="0.2">
      <c r="B369" s="182" t="str">
        <f>'[1]COMEDORES EMERGENTES'!$B$9</f>
        <v>LA MORO</v>
      </c>
      <c r="C369" s="183"/>
      <c r="D369" s="88" t="s">
        <v>176</v>
      </c>
      <c r="E369" s="89" t="str">
        <f>'[1]COMEDORES EMERGENTES'!$G$9</f>
        <v>MAIPU NORTE 1º ETAPA MZA "H" Bº MI JARDIN</v>
      </c>
    </row>
    <row r="370" spans="2:5" x14ac:dyDescent="0.2">
      <c r="B370" s="182" t="str">
        <f>'[1]COMEDORES EMERGENTES'!$B$10</f>
        <v>PAPA FRANCISCO</v>
      </c>
      <c r="C370" s="183"/>
      <c r="D370" s="88" t="s">
        <v>156</v>
      </c>
      <c r="E370" s="89" t="str">
        <f>'[1]COMEDORES EMERGENTES'!$G$10</f>
        <v>ENTRE AV.TEREBINTO Y AV.SAN JUAN LOTE "2" MZA. "B"</v>
      </c>
    </row>
    <row r="371" spans="2:5" x14ac:dyDescent="0.2">
      <c r="B371" s="182" t="str">
        <f>'[1]COMEDORES EMERGENTES'!$B$11</f>
        <v>E.P.C - 100 V.V NORTE</v>
      </c>
      <c r="C371" s="183"/>
      <c r="D371" s="88" t="s">
        <v>177</v>
      </c>
      <c r="E371" s="89" t="str">
        <f>'[1]COMEDORES EMERGENTES'!$G$11</f>
        <v>Bº VV NORTE C/48 ENTRE ESPAÑA Y FRANCIA</v>
      </c>
    </row>
    <row r="372" spans="2:5" x14ac:dyDescent="0.2">
      <c r="B372" s="182" t="str">
        <f>'[1]COMEDORES EMERGENTES'!$B$12</f>
        <v>HOGAR DE CRISTO - PADRE RAUL CONTRERAS</v>
      </c>
      <c r="C372" s="183"/>
      <c r="D372" s="88" t="s">
        <v>177</v>
      </c>
      <c r="E372" s="89" t="str">
        <f>'[1]COMEDORES EMERGENTES'!$G$12</f>
        <v>Bº SANTA MARTA MZA. "S" LOTE "M" C/39</v>
      </c>
    </row>
    <row r="373" spans="2:5" x14ac:dyDescent="0.2">
      <c r="B373" s="182" t="str">
        <f>'[1]COMEDORES EMERGENTES'!$B$13</f>
        <v>LA LUCIERNAGA</v>
      </c>
      <c r="C373" s="183"/>
      <c r="D373" s="88" t="s">
        <v>156</v>
      </c>
      <c r="E373" s="89" t="str">
        <f>'[1]COMEDORES EMERGENTES'!$G$13</f>
        <v>Bº 20 V.V NORTE C/3</v>
      </c>
    </row>
    <row r="374" spans="2:5" x14ac:dyDescent="0.2">
      <c r="B374" s="182" t="str">
        <f>'[1]COMEDORES EMERGENTES'!$B$14</f>
        <v>VALLE VIEJO - SUMALAO</v>
      </c>
      <c r="C374" s="183"/>
      <c r="D374" s="88" t="s">
        <v>178</v>
      </c>
      <c r="E374" s="89" t="str">
        <f>'[1]COMEDORES EMERGENTES'!$G$14</f>
        <v>PADRE SEGURA S/N</v>
      </c>
    </row>
    <row r="375" spans="2:5" x14ac:dyDescent="0.2">
      <c r="B375" s="182" t="str">
        <f>'[1]COMEDORES EMERGENTES'!$B$15</f>
        <v>NUESTRO FUTURO - LAS VIAS</v>
      </c>
      <c r="C375" s="183"/>
      <c r="D375" s="88" t="s">
        <v>156</v>
      </c>
      <c r="E375" s="89" t="str">
        <f>'[1]COMEDORES EMERGENTES'!$G$15</f>
        <v>Bº LAS VIAS OESTE LOTE 42</v>
      </c>
    </row>
    <row r="376" spans="2:5" x14ac:dyDescent="0.2">
      <c r="B376" s="182" t="str">
        <f>'[1]COMEDORES EMERGENTES'!$B$16</f>
        <v>SAN JOSE OBRERO</v>
      </c>
      <c r="C376" s="183"/>
      <c r="D376" s="88" t="s">
        <v>151</v>
      </c>
      <c r="E376" s="89" t="str">
        <f>'[1]COMEDORES EMERGENTES'!$G$16</f>
        <v>Bº SAN JOSE OBRERO. PJE. SANDOVAL S/Nº</v>
      </c>
    </row>
    <row r="377" spans="2:5" x14ac:dyDescent="0.2">
      <c r="B377" s="182" t="str">
        <f>'[1]COMEDORES EMERGENTES'!$B$17</f>
        <v>VIRGEN DE LUJAN</v>
      </c>
      <c r="C377" s="183"/>
      <c r="D377" s="88" t="s">
        <v>156</v>
      </c>
      <c r="E377" s="89" t="str">
        <f>'[1]COMEDORES EMERGENTES'!$G$17</f>
        <v>Bº OJO DE AGUA C/DR.TEODULFO BARRIONUEVO S/Nº</v>
      </c>
    </row>
    <row r="378" spans="2:5" x14ac:dyDescent="0.2">
      <c r="B378" s="182" t="str">
        <f>'[1]COMEDORES EMERGENTES'!$B$18</f>
        <v>RENACER</v>
      </c>
      <c r="C378" s="183"/>
      <c r="D378" s="88" t="s">
        <v>179</v>
      </c>
      <c r="E378" s="89" t="str">
        <f>'[1]COMEDORES EMERGENTES'!$G$18</f>
        <v>Bº VIRGEN MORENITA</v>
      </c>
    </row>
    <row r="379" spans="2:5" x14ac:dyDescent="0.2">
      <c r="B379" s="182" t="str">
        <f>'[1]COMEDORES EMERGENTES'!$B$19</f>
        <v>CENTRO VECINAL MI JARDIN</v>
      </c>
      <c r="C379" s="183"/>
      <c r="D379" s="88" t="s">
        <v>180</v>
      </c>
      <c r="E379" s="89" t="str">
        <f>'[1]COMEDORES EMERGENTES'!$G$19</f>
        <v>C/ LOS TULIPANES ENTRE FLOR DE CEREZO Y HOLANDA MZA.27 Bº MI JARDIN</v>
      </c>
    </row>
    <row r="380" spans="2:5" x14ac:dyDescent="0.2">
      <c r="B380" s="182" t="str">
        <f>'[1]COMEDORES EMERGENTES'!$B$20</f>
        <v>LA VIEJA ESQUINA</v>
      </c>
      <c r="C380" s="183"/>
      <c r="D380" s="88" t="s">
        <v>155</v>
      </c>
      <c r="E380" s="89" t="str">
        <f>'[1]COMEDORES EMERGENTES'!$G$20</f>
        <v>B° CRISTO REY PJE CAPATAZ VILLAFAÑEZ Y ARMANDO CORREA</v>
      </c>
    </row>
    <row r="381" spans="2:5" x14ac:dyDescent="0.2">
      <c r="B381" s="182" t="str">
        <f>'[1]COMEDORES EMERGENTES'!$B$21</f>
        <v>GAUCHITO GIL</v>
      </c>
      <c r="C381" s="183"/>
      <c r="D381" s="88" t="s">
        <v>181</v>
      </c>
      <c r="E381" s="89" t="str">
        <f>'[1]COMEDORES EMERGENTES'!$G$21</f>
        <v>B° 26 VIVIENDAS CASA N° 3</v>
      </c>
    </row>
    <row r="382" spans="2:5" ht="13.5" thickBot="1" x14ac:dyDescent="0.25">
      <c r="B382" s="196" t="str">
        <f>'[1]COMEDORES EMERGENTES'!$B$22</f>
        <v>LOS TOLDOS</v>
      </c>
      <c r="C382" s="197"/>
      <c r="D382" s="95" t="s">
        <v>148</v>
      </c>
      <c r="E382" s="96" t="str">
        <f>'[1]COMEDORES EMERGENTES'!$G$22</f>
        <v>LOTEO PARQUE SUR CALLE S/NOMBRE S/N°</v>
      </c>
    </row>
    <row r="383" spans="2:5" x14ac:dyDescent="0.2">
      <c r="B383" s="13" t="s">
        <v>18</v>
      </c>
      <c r="C383" s="11"/>
      <c r="D383" s="52"/>
      <c r="E383" s="12"/>
    </row>
    <row r="384" spans="2:5" ht="12.75" customHeight="1" x14ac:dyDescent="0.2">
      <c r="B384" s="14"/>
      <c r="C384" s="195" t="s">
        <v>24</v>
      </c>
      <c r="D384" s="195"/>
      <c r="E384" s="195"/>
    </row>
    <row r="385" spans="2:5" x14ac:dyDescent="0.2">
      <c r="B385" s="13" t="s">
        <v>19</v>
      </c>
      <c r="C385" s="15"/>
      <c r="D385" s="15"/>
      <c r="E385" s="16"/>
    </row>
    <row r="386" spans="2:5" ht="14.25" customHeight="1" x14ac:dyDescent="0.2">
      <c r="B386" s="14"/>
      <c r="C386" s="195" t="s">
        <v>101</v>
      </c>
      <c r="D386" s="195"/>
      <c r="E386" s="195"/>
    </row>
    <row r="387" spans="2:5" x14ac:dyDescent="0.2">
      <c r="B387" s="13" t="s">
        <v>20</v>
      </c>
      <c r="C387" s="11"/>
      <c r="D387" s="52"/>
      <c r="E387" s="12"/>
    </row>
    <row r="388" spans="2:5" ht="11.25" customHeight="1" x14ac:dyDescent="0.2">
      <c r="B388" s="13"/>
      <c r="C388" s="181" t="s">
        <v>25</v>
      </c>
      <c r="D388" s="181"/>
      <c r="E388" s="181"/>
    </row>
    <row r="389" spans="2:5" ht="13.5" thickBot="1" x14ac:dyDescent="0.25">
      <c r="B389" s="17"/>
      <c r="C389" s="18"/>
      <c r="D389" s="53"/>
      <c r="E389" s="19"/>
    </row>
    <row r="390" spans="2:5" ht="13.5" thickBot="1" x14ac:dyDescent="0.25"/>
    <row r="391" spans="2:5" x14ac:dyDescent="0.2">
      <c r="B391" s="7" t="s">
        <v>109</v>
      </c>
      <c r="C391" s="8"/>
      <c r="D391" s="51"/>
      <c r="E391" s="9"/>
    </row>
    <row r="392" spans="2:5" ht="5.25" customHeight="1" x14ac:dyDescent="0.2">
      <c r="B392" s="10"/>
      <c r="C392" s="11"/>
      <c r="D392" s="52"/>
      <c r="E392" s="12"/>
    </row>
    <row r="393" spans="2:5" x14ac:dyDescent="0.2">
      <c r="B393" s="13" t="s">
        <v>16</v>
      </c>
      <c r="C393" s="11"/>
      <c r="D393" s="52"/>
      <c r="E393" s="12"/>
    </row>
    <row r="394" spans="2:5" ht="25.5" customHeight="1" x14ac:dyDescent="0.2">
      <c r="B394" s="13"/>
      <c r="C394" s="195"/>
      <c r="D394" s="195"/>
      <c r="E394" s="195"/>
    </row>
    <row r="395" spans="2:5" ht="13.5" thickBot="1" x14ac:dyDescent="0.25">
      <c r="B395" s="13" t="s">
        <v>17</v>
      </c>
      <c r="C395" s="11"/>
      <c r="D395" s="52"/>
      <c r="E395" s="12"/>
    </row>
    <row r="396" spans="2:5" ht="13.5" thickBot="1" x14ac:dyDescent="0.25">
      <c r="B396" s="187" t="s">
        <v>98</v>
      </c>
      <c r="C396" s="191"/>
      <c r="D396" s="191"/>
      <c r="E396" s="188"/>
    </row>
    <row r="397" spans="2:5" ht="13.5" thickBot="1" x14ac:dyDescent="0.25">
      <c r="B397" s="187" t="s">
        <v>99</v>
      </c>
      <c r="C397" s="188"/>
      <c r="D397" s="49" t="s">
        <v>11</v>
      </c>
      <c r="E397" s="49" t="s">
        <v>100</v>
      </c>
    </row>
    <row r="398" spans="2:5" x14ac:dyDescent="0.2">
      <c r="B398" s="189" t="str">
        <f>'[1]COMEDORES EMERGENTES'!$B$3</f>
        <v>UNA SONRISA AV. LOS COBACHO</v>
      </c>
      <c r="C398" s="190"/>
      <c r="D398" s="93" t="s">
        <v>131</v>
      </c>
      <c r="E398" s="94" t="str">
        <f>'[1]COMEDORES EMERGENTES'!$G$3</f>
        <v>Bº SAN CARLOS OESTE AV. Bonifacio cobacho 670</v>
      </c>
    </row>
    <row r="399" spans="2:5" x14ac:dyDescent="0.2">
      <c r="B399" s="182" t="str">
        <f>'[1]COMEDORES EMERGENTES'!$B$4</f>
        <v>C.I.F Nº1 - RIVERA DEL VALLE Y FLORIDA</v>
      </c>
      <c r="C399" s="183"/>
      <c r="D399" s="88" t="s">
        <v>182</v>
      </c>
      <c r="E399" s="89" t="str">
        <f>'[1]COMEDORES EMERGENTES'!$G$4</f>
        <v>AV. RIVIERA DEL VALLE ENTRE FLORIDA Y SANTA FE</v>
      </c>
    </row>
    <row r="400" spans="2:5" x14ac:dyDescent="0.2">
      <c r="B400" s="182" t="str">
        <f>'[1]COMEDORES EMERGENTES'!$B$5</f>
        <v>C.I.F - RIVERA DEL VALLE - DILORENZO</v>
      </c>
      <c r="C400" s="183"/>
      <c r="D400" s="88" t="s">
        <v>181</v>
      </c>
      <c r="E400" s="89" t="str">
        <f>'[1]COMEDORES EMERGENTES'!$G$5</f>
        <v>Bº RIVERA DEL VALLE ENTRE VILLA EUMELIA Y MONTE CRISTO</v>
      </c>
    </row>
    <row r="401" spans="2:5" x14ac:dyDescent="0.2">
      <c r="B401" s="182" t="str">
        <f>'[1]COMEDORES EMERGENTES'!$B$6</f>
        <v>ESFUERZO PROPIO- Bº ALTOS DE CHOYA</v>
      </c>
      <c r="C401" s="183"/>
      <c r="D401" s="88" t="s">
        <v>171</v>
      </c>
      <c r="E401" s="89" t="str">
        <f>'[1]COMEDORES EMERGENTES'!$G$6</f>
        <v>Bº MUNICIPAL 35VV. NORTE C/14</v>
      </c>
    </row>
    <row r="402" spans="2:5" x14ac:dyDescent="0.2">
      <c r="B402" s="182" t="str">
        <f>'[1]COMEDORES EMERGENTES'!$B$7</f>
        <v>ANGELITOS - LOTEO SUSSEX</v>
      </c>
      <c r="C402" s="183"/>
      <c r="D402" s="88" t="s">
        <v>146</v>
      </c>
      <c r="E402" s="89" t="str">
        <f>'[1]COMEDORES EMERGENTES'!$G$7</f>
        <v>Bº LOTEO SUSEX MZA.Nº 4 LOTE Nº3</v>
      </c>
    </row>
    <row r="403" spans="2:5" x14ac:dyDescent="0.2">
      <c r="B403" s="182" t="str">
        <f>'[1]COMEDORES EMERGENTES'!$B$8</f>
        <v>CLUB DEPORTIVO CHACARITA</v>
      </c>
      <c r="C403" s="183"/>
      <c r="D403" s="88" t="s">
        <v>183</v>
      </c>
      <c r="E403" s="89" t="str">
        <f>'[1]COMEDORES EMERGENTES'!$G$8</f>
        <v>CALLE DR.DERMIDIO GALINDEZ C/2660</v>
      </c>
    </row>
    <row r="404" spans="2:5" x14ac:dyDescent="0.2">
      <c r="B404" s="182" t="str">
        <f>'[1]COMEDORES EMERGENTES'!$B$9</f>
        <v>LA MORO</v>
      </c>
      <c r="C404" s="183"/>
      <c r="D404" s="88" t="s">
        <v>141</v>
      </c>
      <c r="E404" s="89" t="str">
        <f>'[1]COMEDORES EMERGENTES'!$G$9</f>
        <v>MAIPU NORTE 1º ETAPA MZA "H" Bº MI JARDIN</v>
      </c>
    </row>
    <row r="405" spans="2:5" x14ac:dyDescent="0.2">
      <c r="B405" s="182" t="str">
        <f>'[1]COMEDORES EMERGENTES'!$B$10</f>
        <v>PAPA FRANCISCO</v>
      </c>
      <c r="C405" s="183"/>
      <c r="D405" s="88" t="s">
        <v>153</v>
      </c>
      <c r="E405" s="89" t="str">
        <f>'[1]COMEDORES EMERGENTES'!$G$10</f>
        <v>ENTRE AV.TEREBINTO Y AV.SAN JUAN LOTE "2" MZA. "B"</v>
      </c>
    </row>
    <row r="406" spans="2:5" x14ac:dyDescent="0.2">
      <c r="B406" s="182" t="str">
        <f>'[1]COMEDORES EMERGENTES'!$B$11</f>
        <v>E.P.C - 100 V.V NORTE</v>
      </c>
      <c r="C406" s="183"/>
      <c r="D406" s="88" t="s">
        <v>184</v>
      </c>
      <c r="E406" s="89" t="str">
        <f>'[1]COMEDORES EMERGENTES'!$G$11</f>
        <v>Bº VV NORTE C/48 ENTRE ESPAÑA Y FRANCIA</v>
      </c>
    </row>
    <row r="407" spans="2:5" x14ac:dyDescent="0.2">
      <c r="B407" s="182" t="str">
        <f>'[1]COMEDORES EMERGENTES'!$B$12</f>
        <v>HOGAR DE CRISTO - PADRE RAUL CONTRERAS</v>
      </c>
      <c r="C407" s="183"/>
      <c r="D407" s="88" t="s">
        <v>184</v>
      </c>
      <c r="E407" s="89" t="str">
        <f>'[1]COMEDORES EMERGENTES'!$G$12</f>
        <v>Bº SANTA MARTA MZA. "S" LOTE "M" C/39</v>
      </c>
    </row>
    <row r="408" spans="2:5" x14ac:dyDescent="0.2">
      <c r="B408" s="182" t="str">
        <f>'[1]COMEDORES EMERGENTES'!$B$13</f>
        <v>LA LUCIERNAGA</v>
      </c>
      <c r="C408" s="183"/>
      <c r="D408" s="88" t="s">
        <v>153</v>
      </c>
      <c r="E408" s="89" t="str">
        <f>'[1]COMEDORES EMERGENTES'!$G$13</f>
        <v>Bº 20 V.V NORTE C/3</v>
      </c>
    </row>
    <row r="409" spans="2:5" x14ac:dyDescent="0.2">
      <c r="B409" s="182" t="str">
        <f>'[1]COMEDORES EMERGENTES'!$B$14</f>
        <v>VALLE VIEJO - SUMALAO</v>
      </c>
      <c r="C409" s="183"/>
      <c r="D409" s="88" t="s">
        <v>175</v>
      </c>
      <c r="E409" s="89" t="str">
        <f>'[1]COMEDORES EMERGENTES'!$G$14</f>
        <v>PADRE SEGURA S/N</v>
      </c>
    </row>
    <row r="410" spans="2:5" x14ac:dyDescent="0.2">
      <c r="B410" s="182" t="str">
        <f>'[1]COMEDORES EMERGENTES'!$B$15</f>
        <v>NUESTRO FUTURO - LAS VIAS</v>
      </c>
      <c r="C410" s="183"/>
      <c r="D410" s="88" t="s">
        <v>153</v>
      </c>
      <c r="E410" s="89" t="str">
        <f>'[1]COMEDORES EMERGENTES'!$G$15</f>
        <v>Bº LAS VIAS OESTE LOTE 42</v>
      </c>
    </row>
    <row r="411" spans="2:5" x14ac:dyDescent="0.2">
      <c r="B411" s="182" t="str">
        <f>'[1]COMEDORES EMERGENTES'!$B$16</f>
        <v>SAN JOSE OBRERO</v>
      </c>
      <c r="C411" s="183"/>
      <c r="D411" s="88" t="s">
        <v>183</v>
      </c>
      <c r="E411" s="89" t="str">
        <f>'[1]COMEDORES EMERGENTES'!$G$16</f>
        <v>Bº SAN JOSE OBRERO. PJE. SANDOVAL S/Nº</v>
      </c>
    </row>
    <row r="412" spans="2:5" x14ac:dyDescent="0.2">
      <c r="B412" s="182" t="str">
        <f>'[1]COMEDORES EMERGENTES'!$B$17</f>
        <v>VIRGEN DE LUJAN</v>
      </c>
      <c r="C412" s="183"/>
      <c r="D412" s="88" t="s">
        <v>153</v>
      </c>
      <c r="E412" s="89" t="str">
        <f>'[1]COMEDORES EMERGENTES'!$G$17</f>
        <v>Bº OJO DE AGUA C/DR.TEODULFO BARRIONUEVO S/Nº</v>
      </c>
    </row>
    <row r="413" spans="2:5" x14ac:dyDescent="0.2">
      <c r="B413" s="182" t="str">
        <f>'[1]COMEDORES EMERGENTES'!$B$18</f>
        <v>RENACER</v>
      </c>
      <c r="C413" s="183"/>
      <c r="D413" s="88" t="s">
        <v>185</v>
      </c>
      <c r="E413" s="89" t="str">
        <f>'[1]COMEDORES EMERGENTES'!$G$18</f>
        <v>Bº VIRGEN MORENITA</v>
      </c>
    </row>
    <row r="414" spans="2:5" x14ac:dyDescent="0.2">
      <c r="B414" s="182" t="str">
        <f>'[1]COMEDORES EMERGENTES'!$B$19</f>
        <v>CENTRO VECINAL MI JARDIN</v>
      </c>
      <c r="C414" s="183"/>
      <c r="D414" s="88" t="s">
        <v>154</v>
      </c>
      <c r="E414" s="89" t="str">
        <f>'[1]COMEDORES EMERGENTES'!$G$19</f>
        <v>C/ LOS TULIPANES ENTRE FLOR DE CEREZO Y HOLANDA MZA.27 Bº MI JARDIN</v>
      </c>
    </row>
    <row r="415" spans="2:5" x14ac:dyDescent="0.2">
      <c r="B415" s="182" t="str">
        <f>'[1]COMEDORES EMERGENTES'!$B$20</f>
        <v>LA VIEJA ESQUINA</v>
      </c>
      <c r="C415" s="183"/>
      <c r="D415" s="88" t="s">
        <v>139</v>
      </c>
      <c r="E415" s="89" t="str">
        <f>'[1]COMEDORES EMERGENTES'!$G$20</f>
        <v>B° CRISTO REY PJE CAPATAZ VILLAFAÑEZ Y ARMANDO CORREA</v>
      </c>
    </row>
    <row r="416" spans="2:5" x14ac:dyDescent="0.2">
      <c r="B416" s="182" t="str">
        <f>'[1]COMEDORES EMERGENTES'!$B$21</f>
        <v>GAUCHITO GIL</v>
      </c>
      <c r="C416" s="183"/>
      <c r="D416" s="88" t="s">
        <v>186</v>
      </c>
      <c r="E416" s="89" t="str">
        <f>'[1]COMEDORES EMERGENTES'!$G$21</f>
        <v>B° 26 VIVIENDAS CASA N° 3</v>
      </c>
    </row>
    <row r="417" spans="2:5" ht="13.5" thickBot="1" x14ac:dyDescent="0.25">
      <c r="B417" s="196" t="str">
        <f>'[1]COMEDORES EMERGENTES'!$B$22</f>
        <v>LOS TOLDOS</v>
      </c>
      <c r="C417" s="197"/>
      <c r="D417" s="95" t="s">
        <v>130</v>
      </c>
      <c r="E417" s="96" t="str">
        <f>'[1]COMEDORES EMERGENTES'!$G$22</f>
        <v>LOTEO PARQUE SUR CALLE S/NOMBRE S/N°</v>
      </c>
    </row>
    <row r="418" spans="2:5" x14ac:dyDescent="0.2">
      <c r="B418" s="13" t="s">
        <v>18</v>
      </c>
      <c r="C418" s="11"/>
      <c r="D418" s="52"/>
      <c r="E418" s="12"/>
    </row>
    <row r="419" spans="2:5" ht="12.75" customHeight="1" x14ac:dyDescent="0.2">
      <c r="B419" s="14"/>
      <c r="C419" s="195" t="s">
        <v>24</v>
      </c>
      <c r="D419" s="195"/>
      <c r="E419" s="195"/>
    </row>
    <row r="420" spans="2:5" x14ac:dyDescent="0.2">
      <c r="B420" s="13" t="s">
        <v>19</v>
      </c>
      <c r="C420" s="15"/>
      <c r="D420" s="15"/>
      <c r="E420" s="16"/>
    </row>
    <row r="421" spans="2:5" ht="14.25" customHeight="1" x14ac:dyDescent="0.2">
      <c r="B421" s="14"/>
      <c r="C421" s="195" t="s">
        <v>101</v>
      </c>
      <c r="D421" s="195"/>
      <c r="E421" s="195"/>
    </row>
    <row r="422" spans="2:5" x14ac:dyDescent="0.2">
      <c r="B422" s="13" t="s">
        <v>20</v>
      </c>
      <c r="C422" s="11"/>
      <c r="D422" s="52"/>
      <c r="E422" s="12"/>
    </row>
    <row r="423" spans="2:5" ht="11.25" customHeight="1" x14ac:dyDescent="0.2">
      <c r="B423" s="13"/>
      <c r="C423" s="181" t="s">
        <v>25</v>
      </c>
      <c r="D423" s="181"/>
      <c r="E423" s="181"/>
    </row>
    <row r="424" spans="2:5" ht="13.5" thickBot="1" x14ac:dyDescent="0.25">
      <c r="B424" s="17"/>
      <c r="C424" s="18"/>
      <c r="D424" s="53"/>
      <c r="E424" s="19"/>
    </row>
    <row r="425" spans="2:5" ht="13.5" thickBot="1" x14ac:dyDescent="0.25"/>
    <row r="426" spans="2:5" x14ac:dyDescent="0.2">
      <c r="B426" s="7" t="s">
        <v>110</v>
      </c>
      <c r="C426" s="8"/>
      <c r="D426" s="51"/>
      <c r="E426" s="9"/>
    </row>
    <row r="427" spans="2:5" x14ac:dyDescent="0.2">
      <c r="B427" s="10"/>
      <c r="C427" s="11"/>
      <c r="D427" s="52"/>
      <c r="E427" s="12"/>
    </row>
    <row r="428" spans="2:5" x14ac:dyDescent="0.2">
      <c r="B428" s="13" t="s">
        <v>16</v>
      </c>
      <c r="C428" s="11"/>
      <c r="D428" s="52"/>
      <c r="E428" s="12"/>
    </row>
    <row r="429" spans="2:5" ht="25.5" customHeight="1" x14ac:dyDescent="0.2">
      <c r="B429" s="13"/>
      <c r="C429" s="195"/>
      <c r="D429" s="195"/>
      <c r="E429" s="195"/>
    </row>
    <row r="430" spans="2:5" ht="13.5" thickBot="1" x14ac:dyDescent="0.25">
      <c r="B430" s="13" t="s">
        <v>17</v>
      </c>
      <c r="C430" s="11"/>
      <c r="D430" s="52"/>
      <c r="E430" s="12"/>
    </row>
    <row r="431" spans="2:5" ht="13.5" thickBot="1" x14ac:dyDescent="0.25">
      <c r="B431" s="187" t="s">
        <v>98</v>
      </c>
      <c r="C431" s="191"/>
      <c r="D431" s="191"/>
      <c r="E431" s="188"/>
    </row>
    <row r="432" spans="2:5" ht="13.5" thickBot="1" x14ac:dyDescent="0.25">
      <c r="B432" s="187" t="s">
        <v>99</v>
      </c>
      <c r="C432" s="188"/>
      <c r="D432" s="49" t="s">
        <v>11</v>
      </c>
      <c r="E432" s="49" t="s">
        <v>100</v>
      </c>
    </row>
    <row r="433" spans="2:5" x14ac:dyDescent="0.2">
      <c r="B433" s="189" t="str">
        <f>'[1]COMEDORES EMERGENTES'!$B$3</f>
        <v>UNA SONRISA AV. LOS COBACHO</v>
      </c>
      <c r="C433" s="190"/>
      <c r="D433" s="93">
        <v>48</v>
      </c>
      <c r="E433" s="94" t="str">
        <f>'[1]COMEDORES EMERGENTES'!$G$3</f>
        <v>Bº SAN CARLOS OESTE AV. Bonifacio cobacho 670</v>
      </c>
    </row>
    <row r="434" spans="2:5" x14ac:dyDescent="0.2">
      <c r="B434" s="182" t="str">
        <f>'[1]COMEDORES EMERGENTES'!$B$4</f>
        <v>C.I.F Nº1 - RIVERA DEL VALLE Y FLORIDA</v>
      </c>
      <c r="C434" s="183"/>
      <c r="D434" s="88">
        <v>69</v>
      </c>
      <c r="E434" s="89" t="str">
        <f>'[1]COMEDORES EMERGENTES'!$G$4</f>
        <v>AV. RIVIERA DEL VALLE ENTRE FLORIDA Y SANTA FE</v>
      </c>
    </row>
    <row r="435" spans="2:5" x14ac:dyDescent="0.2">
      <c r="B435" s="182" t="str">
        <f>'[1]COMEDORES EMERGENTES'!$B$5</f>
        <v>C.I.F - RIVERA DEL VALLE - DILORENZO</v>
      </c>
      <c r="C435" s="183"/>
      <c r="D435" s="88">
        <v>81</v>
      </c>
      <c r="E435" s="89" t="str">
        <f>'[1]COMEDORES EMERGENTES'!$G$5</f>
        <v>Bº RIVERA DEL VALLE ENTRE VILLA EUMELIA Y MONTE CRISTO</v>
      </c>
    </row>
    <row r="436" spans="2:5" x14ac:dyDescent="0.2">
      <c r="B436" s="182" t="str">
        <f>'[1]COMEDORES EMERGENTES'!$B$6</f>
        <v>ESFUERZO PROPIO- Bº ALTOS DE CHOYA</v>
      </c>
      <c r="C436" s="183"/>
      <c r="D436" s="88">
        <v>66</v>
      </c>
      <c r="E436" s="89" t="str">
        <f>'[1]COMEDORES EMERGENTES'!$G$6</f>
        <v>Bº MUNICIPAL 35VV. NORTE C/14</v>
      </c>
    </row>
    <row r="437" spans="2:5" x14ac:dyDescent="0.2">
      <c r="B437" s="182" t="str">
        <f>'[1]COMEDORES EMERGENTES'!$B$7</f>
        <v>ANGELITOS - LOTEO SUSSEX</v>
      </c>
      <c r="C437" s="183"/>
      <c r="D437" s="88">
        <v>30</v>
      </c>
      <c r="E437" s="89" t="str">
        <f>'[1]COMEDORES EMERGENTES'!$G$7</f>
        <v>Bº LOTEO SUSEX MZA.Nº 4 LOTE Nº3</v>
      </c>
    </row>
    <row r="438" spans="2:5" x14ac:dyDescent="0.2">
      <c r="B438" s="182" t="str">
        <f>'[1]COMEDORES EMERGENTES'!$B$8</f>
        <v>CLUB DEPORTIVO CHACARITA</v>
      </c>
      <c r="C438" s="183"/>
      <c r="D438" s="88">
        <v>39</v>
      </c>
      <c r="E438" s="89" t="str">
        <f>'[1]COMEDORES EMERGENTES'!$G$8</f>
        <v>CALLE DR.DERMIDIO GALINDEZ C/2660</v>
      </c>
    </row>
    <row r="439" spans="2:5" x14ac:dyDescent="0.2">
      <c r="B439" s="182" t="str">
        <f>'[1]COMEDORES EMERGENTES'!$B$9</f>
        <v>LA MORO</v>
      </c>
      <c r="C439" s="183"/>
      <c r="D439" s="88">
        <v>36</v>
      </c>
      <c r="E439" s="89" t="str">
        <f>'[1]COMEDORES EMERGENTES'!$G$9</f>
        <v>MAIPU NORTE 1º ETAPA MZA "H" Bº MI JARDIN</v>
      </c>
    </row>
    <row r="440" spans="2:5" x14ac:dyDescent="0.2">
      <c r="B440" s="182" t="str">
        <f>'[1]COMEDORES EMERGENTES'!$B$10</f>
        <v>PAPA FRANCISCO</v>
      </c>
      <c r="C440" s="183"/>
      <c r="D440" s="88">
        <v>60</v>
      </c>
      <c r="E440" s="89" t="str">
        <f>'[1]COMEDORES EMERGENTES'!$G$10</f>
        <v>ENTRE AV.TEREBINTO Y AV.SAN JUAN LOTE "2" MZA. "B"</v>
      </c>
    </row>
    <row r="441" spans="2:5" x14ac:dyDescent="0.2">
      <c r="B441" s="182" t="str">
        <f>'[1]COMEDORES EMERGENTES'!$B$11</f>
        <v>E.P.C - 100 V.V NORTE</v>
      </c>
      <c r="C441" s="183"/>
      <c r="D441" s="88">
        <v>90</v>
      </c>
      <c r="E441" s="89" t="str">
        <f>'[1]COMEDORES EMERGENTES'!$G$11</f>
        <v>Bº VV NORTE C/48 ENTRE ESPAÑA Y FRANCIA</v>
      </c>
    </row>
    <row r="442" spans="2:5" x14ac:dyDescent="0.2">
      <c r="B442" s="182" t="str">
        <f>'[1]COMEDORES EMERGENTES'!$B$12</f>
        <v>HOGAR DE CRISTO - PADRE RAUL CONTRERAS</v>
      </c>
      <c r="C442" s="183"/>
      <c r="D442" s="88">
        <v>90</v>
      </c>
      <c r="E442" s="89" t="str">
        <f>'[1]COMEDORES EMERGENTES'!$G$12</f>
        <v>Bº SANTA MARTA MZA. "S" LOTE "M" C/39</v>
      </c>
    </row>
    <row r="443" spans="2:5" x14ac:dyDescent="0.2">
      <c r="B443" s="182" t="str">
        <f>'[1]COMEDORES EMERGENTES'!$B$13</f>
        <v>LA LUCIERNAGA</v>
      </c>
      <c r="C443" s="183"/>
      <c r="D443" s="88">
        <v>60</v>
      </c>
      <c r="E443" s="89" t="str">
        <f>'[1]COMEDORES EMERGENTES'!$G$13</f>
        <v>Bº 20 V.V NORTE C/3</v>
      </c>
    </row>
    <row r="444" spans="2:5" x14ac:dyDescent="0.2">
      <c r="B444" s="182" t="str">
        <f>'[1]COMEDORES EMERGENTES'!$B$14</f>
        <v>VALLE VIEJO - SUMALAO</v>
      </c>
      <c r="C444" s="183"/>
      <c r="D444" s="88">
        <v>105</v>
      </c>
      <c r="E444" s="89" t="str">
        <f>'[1]COMEDORES EMERGENTES'!$G$14</f>
        <v>PADRE SEGURA S/N</v>
      </c>
    </row>
    <row r="445" spans="2:5" x14ac:dyDescent="0.2">
      <c r="B445" s="182" t="str">
        <f>'[1]COMEDORES EMERGENTES'!$B$15</f>
        <v>NUESTRO FUTURO - LAS VIAS</v>
      </c>
      <c r="C445" s="183"/>
      <c r="D445" s="88">
        <v>60</v>
      </c>
      <c r="E445" s="89" t="str">
        <f>'[1]COMEDORES EMERGENTES'!$G$15</f>
        <v>Bº LAS VIAS OESTE LOTE 42</v>
      </c>
    </row>
    <row r="446" spans="2:5" x14ac:dyDescent="0.2">
      <c r="B446" s="182" t="str">
        <f>'[1]COMEDORES EMERGENTES'!$B$16</f>
        <v>SAN JOSE OBRERO</v>
      </c>
      <c r="C446" s="183"/>
      <c r="D446" s="88">
        <v>39</v>
      </c>
      <c r="E446" s="89" t="str">
        <f>'[1]COMEDORES EMERGENTES'!$G$16</f>
        <v>Bº SAN JOSE OBRERO. PJE. SANDOVAL S/Nº</v>
      </c>
    </row>
    <row r="447" spans="2:5" x14ac:dyDescent="0.2">
      <c r="B447" s="182" t="str">
        <f>'[1]COMEDORES EMERGENTES'!$B$17</f>
        <v>VIRGEN DE LUJAN</v>
      </c>
      <c r="C447" s="183"/>
      <c r="D447" s="88">
        <v>60</v>
      </c>
      <c r="E447" s="89" t="str">
        <f>'[1]COMEDORES EMERGENTES'!$G$17</f>
        <v>Bº OJO DE AGUA C/DR.TEODULFO BARRIONUEVO S/Nº</v>
      </c>
    </row>
    <row r="448" spans="2:5" x14ac:dyDescent="0.2">
      <c r="B448" s="182" t="str">
        <f>'[1]COMEDORES EMERGENTES'!$B$18</f>
        <v>RENACER</v>
      </c>
      <c r="C448" s="183"/>
      <c r="D448" s="88">
        <v>75</v>
      </c>
      <c r="E448" s="89" t="str">
        <f>'[1]COMEDORES EMERGENTES'!$G$18</f>
        <v>Bº VIRGEN MORENITA</v>
      </c>
    </row>
    <row r="449" spans="2:5" x14ac:dyDescent="0.2">
      <c r="B449" s="182" t="str">
        <f>'[1]COMEDORES EMERGENTES'!$B$19</f>
        <v>CENTRO VECINAL MI JARDIN</v>
      </c>
      <c r="C449" s="183"/>
      <c r="D449" s="88">
        <v>54</v>
      </c>
      <c r="E449" s="89" t="str">
        <f>'[1]COMEDORES EMERGENTES'!$G$19</f>
        <v>C/ LOS TULIPANES ENTRE FLOR DE CEREZO Y HOLANDA MZA.27 Bº MI JARDIN</v>
      </c>
    </row>
    <row r="450" spans="2:5" x14ac:dyDescent="0.2">
      <c r="B450" s="182" t="str">
        <f>'[1]COMEDORES EMERGENTES'!$B$20</f>
        <v>LA VIEJA ESQUINA</v>
      </c>
      <c r="C450" s="183"/>
      <c r="D450" s="88">
        <v>52</v>
      </c>
      <c r="E450" s="89" t="str">
        <f>'[1]COMEDORES EMERGENTES'!$G$20</f>
        <v>B° CRISTO REY PJE CAPATAZ VILLAFAÑEZ Y ARMANDO CORREA</v>
      </c>
    </row>
    <row r="451" spans="2:5" x14ac:dyDescent="0.2">
      <c r="B451" s="182" t="str">
        <f>'[1]COMEDORES EMERGENTES'!$B$21</f>
        <v>GAUCHITO GIL</v>
      </c>
      <c r="C451" s="183"/>
      <c r="D451" s="88">
        <v>50</v>
      </c>
      <c r="E451" s="89" t="str">
        <f>'[1]COMEDORES EMERGENTES'!$G$21</f>
        <v>B° 26 VIVIENDAS CASA N° 3</v>
      </c>
    </row>
    <row r="452" spans="2:5" ht="13.5" thickBot="1" x14ac:dyDescent="0.25">
      <c r="B452" s="196" t="str">
        <f>'[1]COMEDORES EMERGENTES'!$B$22</f>
        <v>LOS TOLDOS</v>
      </c>
      <c r="C452" s="197"/>
      <c r="D452" s="95">
        <v>24</v>
      </c>
      <c r="E452" s="96" t="str">
        <f>'[1]COMEDORES EMERGENTES'!$G$22</f>
        <v>LOTEO PARQUE SUR CALLE S/NOMBRE S/N°</v>
      </c>
    </row>
    <row r="453" spans="2:5" x14ac:dyDescent="0.2">
      <c r="B453" s="13" t="s">
        <v>18</v>
      </c>
      <c r="C453" s="11"/>
      <c r="D453" s="52"/>
      <c r="E453" s="12"/>
    </row>
    <row r="454" spans="2:5" x14ac:dyDescent="0.2">
      <c r="B454" s="14"/>
      <c r="C454" s="195" t="s">
        <v>24</v>
      </c>
      <c r="D454" s="195"/>
      <c r="E454" s="195"/>
    </row>
    <row r="455" spans="2:5" x14ac:dyDescent="0.2">
      <c r="B455" s="13" t="s">
        <v>19</v>
      </c>
      <c r="C455" s="15"/>
      <c r="D455" s="15"/>
      <c r="E455" s="16"/>
    </row>
    <row r="456" spans="2:5" x14ac:dyDescent="0.2">
      <c r="B456" s="14"/>
      <c r="C456" s="195" t="s">
        <v>101</v>
      </c>
      <c r="D456" s="195"/>
      <c r="E456" s="195"/>
    </row>
    <row r="457" spans="2:5" x14ac:dyDescent="0.2">
      <c r="B457" s="13" t="s">
        <v>20</v>
      </c>
      <c r="C457" s="11"/>
      <c r="D457" s="52"/>
      <c r="E457" s="12"/>
    </row>
    <row r="458" spans="2:5" x14ac:dyDescent="0.2">
      <c r="B458" s="13"/>
      <c r="C458" s="181" t="s">
        <v>25</v>
      </c>
      <c r="D458" s="181"/>
      <c r="E458" s="181"/>
    </row>
    <row r="459" spans="2:5" ht="13.5" thickBot="1" x14ac:dyDescent="0.25">
      <c r="B459" s="17"/>
      <c r="C459" s="18"/>
      <c r="D459" s="53"/>
      <c r="E459" s="19"/>
    </row>
    <row r="460" spans="2:5" ht="13.5" thickBot="1" x14ac:dyDescent="0.25"/>
    <row r="461" spans="2:5" x14ac:dyDescent="0.2">
      <c r="B461" s="7" t="s">
        <v>111</v>
      </c>
      <c r="C461" s="8"/>
      <c r="D461" s="51"/>
      <c r="E461" s="9"/>
    </row>
    <row r="462" spans="2:5" x14ac:dyDescent="0.2">
      <c r="B462" s="10"/>
      <c r="C462" s="11"/>
      <c r="D462" s="52"/>
      <c r="E462" s="12"/>
    </row>
    <row r="463" spans="2:5" x14ac:dyDescent="0.2">
      <c r="B463" s="13" t="s">
        <v>16</v>
      </c>
      <c r="C463" s="11"/>
      <c r="D463" s="52"/>
      <c r="E463" s="12"/>
    </row>
    <row r="464" spans="2:5" ht="25.5" customHeight="1" x14ac:dyDescent="0.2">
      <c r="B464" s="13"/>
      <c r="C464" s="195"/>
      <c r="D464" s="195"/>
      <c r="E464" s="195"/>
    </row>
    <row r="465" spans="2:5" ht="13.5" thickBot="1" x14ac:dyDescent="0.25">
      <c r="B465" s="13" t="s">
        <v>17</v>
      </c>
      <c r="C465" s="11"/>
      <c r="D465" s="52"/>
      <c r="E465" s="12"/>
    </row>
    <row r="466" spans="2:5" ht="13.5" thickBot="1" x14ac:dyDescent="0.25">
      <c r="B466" s="187" t="s">
        <v>98</v>
      </c>
      <c r="C466" s="191"/>
      <c r="D466" s="191"/>
      <c r="E466" s="188"/>
    </row>
    <row r="467" spans="2:5" ht="13.5" thickBot="1" x14ac:dyDescent="0.25">
      <c r="B467" s="187" t="s">
        <v>99</v>
      </c>
      <c r="C467" s="188"/>
      <c r="D467" s="49" t="s">
        <v>11</v>
      </c>
      <c r="E467" s="49" t="s">
        <v>100</v>
      </c>
    </row>
    <row r="468" spans="2:5" x14ac:dyDescent="0.2">
      <c r="B468" s="189" t="str">
        <f>'[1]COMEDORES EMERGENTES'!$B$3</f>
        <v>UNA SONRISA AV. LOS COBACHO</v>
      </c>
      <c r="C468" s="190"/>
      <c r="D468" s="93">
        <v>5</v>
      </c>
      <c r="E468" s="94" t="str">
        <f>'[1]COMEDORES EMERGENTES'!$G$3</f>
        <v>Bº SAN CARLOS OESTE AV. Bonifacio cobacho 670</v>
      </c>
    </row>
    <row r="469" spans="2:5" x14ac:dyDescent="0.2">
      <c r="B469" s="182" t="str">
        <f>'[1]COMEDORES EMERGENTES'!$B$4</f>
        <v>C.I.F Nº1 - RIVERA DEL VALLE Y FLORIDA</v>
      </c>
      <c r="C469" s="183"/>
      <c r="D469" s="88">
        <v>7</v>
      </c>
      <c r="E469" s="89" t="str">
        <f>'[1]COMEDORES EMERGENTES'!$G$4</f>
        <v>AV. RIVIERA DEL VALLE ENTRE FLORIDA Y SANTA FE</v>
      </c>
    </row>
    <row r="470" spans="2:5" x14ac:dyDescent="0.2">
      <c r="B470" s="182" t="str">
        <f>'[1]COMEDORES EMERGENTES'!$B$5</f>
        <v>C.I.F - RIVERA DEL VALLE - DILORENZO</v>
      </c>
      <c r="C470" s="183"/>
      <c r="D470" s="88">
        <v>8</v>
      </c>
      <c r="E470" s="89" t="str">
        <f>'[1]COMEDORES EMERGENTES'!$G$5</f>
        <v>Bº RIVERA DEL VALLE ENTRE VILLA EUMELIA Y MONTE CRISTO</v>
      </c>
    </row>
    <row r="471" spans="2:5" x14ac:dyDescent="0.2">
      <c r="B471" s="182" t="str">
        <f>'[1]COMEDORES EMERGENTES'!$B$6</f>
        <v>ESFUERZO PROPIO- Bº ALTOS DE CHOYA</v>
      </c>
      <c r="C471" s="183"/>
      <c r="D471" s="88">
        <v>7</v>
      </c>
      <c r="E471" s="89" t="str">
        <f>'[1]COMEDORES EMERGENTES'!$G$6</f>
        <v>Bº MUNICIPAL 35VV. NORTE C/14</v>
      </c>
    </row>
    <row r="472" spans="2:5" x14ac:dyDescent="0.2">
      <c r="B472" s="182" t="str">
        <f>'[1]COMEDORES EMERGENTES'!$B$7</f>
        <v>ANGELITOS - LOTEO SUSSEX</v>
      </c>
      <c r="C472" s="183"/>
      <c r="D472" s="88">
        <v>3</v>
      </c>
      <c r="E472" s="89" t="str">
        <f>'[1]COMEDORES EMERGENTES'!$G$7</f>
        <v>Bº LOTEO SUSEX MZA.Nº 4 LOTE Nº3</v>
      </c>
    </row>
    <row r="473" spans="2:5" x14ac:dyDescent="0.2">
      <c r="B473" s="182" t="str">
        <f>'[1]COMEDORES EMERGENTES'!$B$8</f>
        <v>CLUB DEPORTIVO CHACARITA</v>
      </c>
      <c r="C473" s="183"/>
      <c r="D473" s="88">
        <v>4</v>
      </c>
      <c r="E473" s="89" t="str">
        <f>'[1]COMEDORES EMERGENTES'!$G$8</f>
        <v>CALLE DR.DERMIDIO GALINDEZ C/2660</v>
      </c>
    </row>
    <row r="474" spans="2:5" x14ac:dyDescent="0.2">
      <c r="B474" s="182" t="str">
        <f>'[1]COMEDORES EMERGENTES'!$B$9</f>
        <v>LA MORO</v>
      </c>
      <c r="C474" s="183"/>
      <c r="D474" s="88">
        <v>4</v>
      </c>
      <c r="E474" s="89" t="str">
        <f>'[1]COMEDORES EMERGENTES'!$G$9</f>
        <v>MAIPU NORTE 1º ETAPA MZA "H" Bº MI JARDIN</v>
      </c>
    </row>
    <row r="475" spans="2:5" x14ac:dyDescent="0.2">
      <c r="B475" s="182" t="str">
        <f>'[1]COMEDORES EMERGENTES'!$B$10</f>
        <v>PAPA FRANCISCO</v>
      </c>
      <c r="C475" s="183"/>
      <c r="D475" s="88">
        <v>6</v>
      </c>
      <c r="E475" s="89" t="str">
        <f>'[1]COMEDORES EMERGENTES'!$G$10</f>
        <v>ENTRE AV.TEREBINTO Y AV.SAN JUAN LOTE "2" MZA. "B"</v>
      </c>
    </row>
    <row r="476" spans="2:5" x14ac:dyDescent="0.2">
      <c r="B476" s="182" t="str">
        <f>'[1]COMEDORES EMERGENTES'!$B$11</f>
        <v>E.P.C - 100 V.V NORTE</v>
      </c>
      <c r="C476" s="183"/>
      <c r="D476" s="88">
        <v>9</v>
      </c>
      <c r="E476" s="89" t="str">
        <f>'[1]COMEDORES EMERGENTES'!$G$11</f>
        <v>Bº VV NORTE C/48 ENTRE ESPAÑA Y FRANCIA</v>
      </c>
    </row>
    <row r="477" spans="2:5" x14ac:dyDescent="0.2">
      <c r="B477" s="182" t="str">
        <f>'[1]COMEDORES EMERGENTES'!$B$12</f>
        <v>HOGAR DE CRISTO - PADRE RAUL CONTRERAS</v>
      </c>
      <c r="C477" s="183"/>
      <c r="D477" s="88">
        <v>9</v>
      </c>
      <c r="E477" s="89" t="str">
        <f>'[1]COMEDORES EMERGENTES'!$G$12</f>
        <v>Bº SANTA MARTA MZA. "S" LOTE "M" C/39</v>
      </c>
    </row>
    <row r="478" spans="2:5" x14ac:dyDescent="0.2">
      <c r="B478" s="182" t="str">
        <f>'[1]COMEDORES EMERGENTES'!$B$13</f>
        <v>LA LUCIERNAGA</v>
      </c>
      <c r="C478" s="183"/>
      <c r="D478" s="88">
        <v>6</v>
      </c>
      <c r="E478" s="89" t="str">
        <f>'[1]COMEDORES EMERGENTES'!$G$13</f>
        <v>Bº 20 V.V NORTE C/3</v>
      </c>
    </row>
    <row r="479" spans="2:5" x14ac:dyDescent="0.2">
      <c r="B479" s="182" t="str">
        <f>'[1]COMEDORES EMERGENTES'!$B$14</f>
        <v>VALLE VIEJO - SUMALAO</v>
      </c>
      <c r="C479" s="183"/>
      <c r="D479" s="88">
        <v>11</v>
      </c>
      <c r="E479" s="89" t="str">
        <f>'[1]COMEDORES EMERGENTES'!$G$14</f>
        <v>PADRE SEGURA S/N</v>
      </c>
    </row>
    <row r="480" spans="2:5" x14ac:dyDescent="0.2">
      <c r="B480" s="182" t="str">
        <f>'[1]COMEDORES EMERGENTES'!$B$15</f>
        <v>NUESTRO FUTURO - LAS VIAS</v>
      </c>
      <c r="C480" s="183"/>
      <c r="D480" s="88">
        <v>6</v>
      </c>
      <c r="E480" s="89" t="str">
        <f>'[1]COMEDORES EMERGENTES'!$G$15</f>
        <v>Bº LAS VIAS OESTE LOTE 42</v>
      </c>
    </row>
    <row r="481" spans="2:5" x14ac:dyDescent="0.2">
      <c r="B481" s="182" t="str">
        <f>'[1]COMEDORES EMERGENTES'!$B$16</f>
        <v>SAN JOSE OBRERO</v>
      </c>
      <c r="C481" s="183"/>
      <c r="D481" s="88">
        <v>4</v>
      </c>
      <c r="E481" s="89" t="str">
        <f>'[1]COMEDORES EMERGENTES'!$G$16</f>
        <v>Bº SAN JOSE OBRERO. PJE. SANDOVAL S/Nº</v>
      </c>
    </row>
    <row r="482" spans="2:5" x14ac:dyDescent="0.2">
      <c r="B482" s="182" t="str">
        <f>'[1]COMEDORES EMERGENTES'!$B$17</f>
        <v>VIRGEN DE LUJAN</v>
      </c>
      <c r="C482" s="183"/>
      <c r="D482" s="88">
        <v>6</v>
      </c>
      <c r="E482" s="89" t="str">
        <f>'[1]COMEDORES EMERGENTES'!$G$17</f>
        <v>Bº OJO DE AGUA C/DR.TEODULFO BARRIONUEVO S/Nº</v>
      </c>
    </row>
    <row r="483" spans="2:5" x14ac:dyDescent="0.2">
      <c r="B483" s="182" t="str">
        <f>'[1]COMEDORES EMERGENTES'!$B$18</f>
        <v>RENACER</v>
      </c>
      <c r="C483" s="183"/>
      <c r="D483" s="88">
        <v>8</v>
      </c>
      <c r="E483" s="89" t="str">
        <f>'[1]COMEDORES EMERGENTES'!$G$18</f>
        <v>Bº VIRGEN MORENITA</v>
      </c>
    </row>
    <row r="484" spans="2:5" x14ac:dyDescent="0.2">
      <c r="B484" s="182" t="str">
        <f>'[1]COMEDORES EMERGENTES'!$B$19</f>
        <v>CENTRO VECINAL MI JARDIN</v>
      </c>
      <c r="C484" s="183"/>
      <c r="D484" s="88">
        <v>5</v>
      </c>
      <c r="E484" s="89" t="str">
        <f>'[1]COMEDORES EMERGENTES'!$G$19</f>
        <v>C/ LOS TULIPANES ENTRE FLOR DE CEREZO Y HOLANDA MZA.27 Bº MI JARDIN</v>
      </c>
    </row>
    <row r="485" spans="2:5" x14ac:dyDescent="0.2">
      <c r="B485" s="182" t="str">
        <f>'[1]COMEDORES EMERGENTES'!$B$20</f>
        <v>LA VIEJA ESQUINA</v>
      </c>
      <c r="C485" s="183"/>
      <c r="D485" s="88">
        <v>5</v>
      </c>
      <c r="E485" s="89" t="str">
        <f>'[1]COMEDORES EMERGENTES'!$G$20</f>
        <v>B° CRISTO REY PJE CAPATAZ VILLAFAÑEZ Y ARMANDO CORREA</v>
      </c>
    </row>
    <row r="486" spans="2:5" x14ac:dyDescent="0.2">
      <c r="B486" s="182" t="str">
        <f>'[1]COMEDORES EMERGENTES'!$B$21</f>
        <v>GAUCHITO GIL</v>
      </c>
      <c r="C486" s="183"/>
      <c r="D486" s="88">
        <v>5</v>
      </c>
      <c r="E486" s="89" t="str">
        <f>'[1]COMEDORES EMERGENTES'!$G$21</f>
        <v>B° 26 VIVIENDAS CASA N° 3</v>
      </c>
    </row>
    <row r="487" spans="2:5" ht="13.5" thickBot="1" x14ac:dyDescent="0.25">
      <c r="B487" s="196" t="str">
        <f>'[1]COMEDORES EMERGENTES'!$B$22</f>
        <v>LOS TOLDOS</v>
      </c>
      <c r="C487" s="197"/>
      <c r="D487" s="95">
        <v>2</v>
      </c>
      <c r="E487" s="96" t="str">
        <f>'[1]COMEDORES EMERGENTES'!$G$22</f>
        <v>LOTEO PARQUE SUR CALLE S/NOMBRE S/N°</v>
      </c>
    </row>
    <row r="488" spans="2:5" x14ac:dyDescent="0.2">
      <c r="B488" s="13" t="s">
        <v>18</v>
      </c>
      <c r="C488" s="11"/>
      <c r="D488" s="52"/>
      <c r="E488" s="12"/>
    </row>
    <row r="489" spans="2:5" x14ac:dyDescent="0.2">
      <c r="B489" s="14"/>
      <c r="C489" s="195" t="s">
        <v>24</v>
      </c>
      <c r="D489" s="195"/>
      <c r="E489" s="195"/>
    </row>
    <row r="490" spans="2:5" x14ac:dyDescent="0.2">
      <c r="B490" s="13" t="s">
        <v>19</v>
      </c>
      <c r="C490" s="15"/>
      <c r="D490" s="15"/>
      <c r="E490" s="16"/>
    </row>
    <row r="491" spans="2:5" x14ac:dyDescent="0.2">
      <c r="B491" s="14"/>
      <c r="C491" s="195" t="s">
        <v>101</v>
      </c>
      <c r="D491" s="195"/>
      <c r="E491" s="195"/>
    </row>
    <row r="492" spans="2:5" x14ac:dyDescent="0.2">
      <c r="B492" s="13" t="s">
        <v>20</v>
      </c>
      <c r="C492" s="11"/>
      <c r="D492" s="52"/>
      <c r="E492" s="12"/>
    </row>
    <row r="493" spans="2:5" x14ac:dyDescent="0.2">
      <c r="B493" s="13"/>
      <c r="C493" s="181" t="s">
        <v>25</v>
      </c>
      <c r="D493" s="181"/>
      <c r="E493" s="181"/>
    </row>
    <row r="494" spans="2:5" ht="13.5" thickBot="1" x14ac:dyDescent="0.25">
      <c r="B494" s="17"/>
      <c r="C494" s="18"/>
      <c r="D494" s="53"/>
      <c r="E494" s="19"/>
    </row>
    <row r="495" spans="2:5" ht="13.5" thickBot="1" x14ac:dyDescent="0.25"/>
    <row r="496" spans="2:5" x14ac:dyDescent="0.2">
      <c r="B496" s="7" t="s">
        <v>112</v>
      </c>
      <c r="C496" s="8"/>
      <c r="D496" s="51"/>
      <c r="E496" s="9"/>
    </row>
    <row r="497" spans="2:5" x14ac:dyDescent="0.2">
      <c r="B497" s="10"/>
      <c r="C497" s="11"/>
      <c r="D497" s="52"/>
      <c r="E497" s="12"/>
    </row>
    <row r="498" spans="2:5" x14ac:dyDescent="0.2">
      <c r="B498" s="13" t="s">
        <v>16</v>
      </c>
      <c r="C498" s="11"/>
      <c r="D498" s="52"/>
      <c r="E498" s="12"/>
    </row>
    <row r="499" spans="2:5" ht="25.5" customHeight="1" x14ac:dyDescent="0.2">
      <c r="B499" s="13"/>
      <c r="C499" s="195"/>
      <c r="D499" s="195"/>
      <c r="E499" s="195"/>
    </row>
    <row r="500" spans="2:5" ht="13.5" thickBot="1" x14ac:dyDescent="0.25">
      <c r="B500" s="13" t="s">
        <v>17</v>
      </c>
      <c r="C500" s="11"/>
      <c r="D500" s="52"/>
      <c r="E500" s="12"/>
    </row>
    <row r="501" spans="2:5" ht="13.5" thickBot="1" x14ac:dyDescent="0.25">
      <c r="B501" s="187" t="s">
        <v>98</v>
      </c>
      <c r="C501" s="191"/>
      <c r="D501" s="191"/>
      <c r="E501" s="188"/>
    </row>
    <row r="502" spans="2:5" ht="13.5" thickBot="1" x14ac:dyDescent="0.25">
      <c r="B502" s="187" t="s">
        <v>99</v>
      </c>
      <c r="C502" s="188"/>
      <c r="D502" s="49" t="s">
        <v>11</v>
      </c>
      <c r="E502" s="49" t="s">
        <v>100</v>
      </c>
    </row>
    <row r="503" spans="2:5" x14ac:dyDescent="0.2">
      <c r="B503" s="189" t="str">
        <f>'[1]COMEDORES EMERGENTES'!$B$3</f>
        <v>UNA SONRISA AV. LOS COBACHO</v>
      </c>
      <c r="C503" s="190"/>
      <c r="D503" s="93" t="s">
        <v>164</v>
      </c>
      <c r="E503" s="94" t="str">
        <f>'[1]COMEDORES EMERGENTES'!$G$3</f>
        <v>Bº SAN CARLOS OESTE AV. Bonifacio cobacho 670</v>
      </c>
    </row>
    <row r="504" spans="2:5" x14ac:dyDescent="0.2">
      <c r="B504" s="182" t="str">
        <f>'[1]COMEDORES EMERGENTES'!$B$4</f>
        <v>C.I.F Nº1 - RIVERA DEL VALLE Y FLORIDA</v>
      </c>
      <c r="C504" s="183"/>
      <c r="D504" s="88" t="s">
        <v>163</v>
      </c>
      <c r="E504" s="89" t="str">
        <f>'[1]COMEDORES EMERGENTES'!$G$4</f>
        <v>AV. RIVIERA DEL VALLE ENTRE FLORIDA Y SANTA FE</v>
      </c>
    </row>
    <row r="505" spans="2:5" x14ac:dyDescent="0.2">
      <c r="B505" s="182" t="str">
        <f>'[1]COMEDORES EMERGENTES'!$B$5</f>
        <v>C.I.F - RIVERA DEL VALLE - DILORENZO</v>
      </c>
      <c r="C505" s="183"/>
      <c r="D505" s="88" t="s">
        <v>140</v>
      </c>
      <c r="E505" s="89" t="str">
        <f>'[1]COMEDORES EMERGENTES'!$G$5</f>
        <v>Bº RIVERA DEL VALLE ENTRE VILLA EUMELIA Y MONTE CRISTO</v>
      </c>
    </row>
    <row r="506" spans="2:5" x14ac:dyDescent="0.2">
      <c r="B506" s="182" t="str">
        <f>'[1]COMEDORES EMERGENTES'!$B$6</f>
        <v>ESFUERZO PROPIO- Bº ALTOS DE CHOYA</v>
      </c>
      <c r="C506" s="183"/>
      <c r="D506" s="88" t="s">
        <v>146</v>
      </c>
      <c r="E506" s="89" t="str">
        <f>'[1]COMEDORES EMERGENTES'!$G$6</f>
        <v>Bº MUNICIPAL 35VV. NORTE C/14</v>
      </c>
    </row>
    <row r="507" spans="2:5" x14ac:dyDescent="0.2">
      <c r="B507" s="182" t="str">
        <f>'[1]COMEDORES EMERGENTES'!$B$7</f>
        <v>ANGELITOS - LOTEO SUSSEX</v>
      </c>
      <c r="C507" s="183"/>
      <c r="D507" s="88" t="s">
        <v>187</v>
      </c>
      <c r="E507" s="89" t="str">
        <f>'[1]COMEDORES EMERGENTES'!$G$7</f>
        <v>Bº LOTEO SUSEX MZA.Nº 4 LOTE Nº3</v>
      </c>
    </row>
    <row r="508" spans="2:5" x14ac:dyDescent="0.2">
      <c r="B508" s="182" t="str">
        <f>'[1]COMEDORES EMERGENTES'!$B$8</f>
        <v>CLUB DEPORTIVO CHACARITA</v>
      </c>
      <c r="C508" s="183"/>
      <c r="D508" s="88" t="s">
        <v>145</v>
      </c>
      <c r="E508" s="89" t="str">
        <f>'[1]COMEDORES EMERGENTES'!$G$8</f>
        <v>CALLE DR.DERMIDIO GALINDEZ C/2660</v>
      </c>
    </row>
    <row r="509" spans="2:5" x14ac:dyDescent="0.2">
      <c r="B509" s="182" t="str">
        <f>'[1]COMEDORES EMERGENTES'!$B$9</f>
        <v>LA MORO</v>
      </c>
      <c r="C509" s="183"/>
      <c r="D509" s="88" t="s">
        <v>162</v>
      </c>
      <c r="E509" s="89" t="str">
        <f>'[1]COMEDORES EMERGENTES'!$G$9</f>
        <v>MAIPU NORTE 1º ETAPA MZA "H" Bº MI JARDIN</v>
      </c>
    </row>
    <row r="510" spans="2:5" x14ac:dyDescent="0.2">
      <c r="B510" s="182" t="str">
        <f>'[1]COMEDORES EMERGENTES'!$B$10</f>
        <v>PAPA FRANCISCO</v>
      </c>
      <c r="C510" s="183"/>
      <c r="D510" s="88" t="s">
        <v>135</v>
      </c>
      <c r="E510" s="89" t="str">
        <f>'[1]COMEDORES EMERGENTES'!$G$10</f>
        <v>ENTRE AV.TEREBINTO Y AV.SAN JUAN LOTE "2" MZA. "B"</v>
      </c>
    </row>
    <row r="511" spans="2:5" x14ac:dyDescent="0.2">
      <c r="B511" s="182" t="str">
        <f>'[1]COMEDORES EMERGENTES'!$B$11</f>
        <v>E.P.C - 100 V.V NORTE</v>
      </c>
      <c r="C511" s="183"/>
      <c r="D511" s="88" t="s">
        <v>136</v>
      </c>
      <c r="E511" s="89" t="str">
        <f>'[1]COMEDORES EMERGENTES'!$G$11</f>
        <v>Bº VV NORTE C/48 ENTRE ESPAÑA Y FRANCIA</v>
      </c>
    </row>
    <row r="512" spans="2:5" x14ac:dyDescent="0.2">
      <c r="B512" s="182" t="str">
        <f>'[1]COMEDORES EMERGENTES'!$B$12</f>
        <v>HOGAR DE CRISTO - PADRE RAUL CONTRERAS</v>
      </c>
      <c r="C512" s="183"/>
      <c r="D512" s="88" t="s">
        <v>136</v>
      </c>
      <c r="E512" s="89" t="str">
        <f>'[1]COMEDORES EMERGENTES'!$G$12</f>
        <v>Bº SANTA MARTA MZA. "S" LOTE "M" C/39</v>
      </c>
    </row>
    <row r="513" spans="2:5" x14ac:dyDescent="0.2">
      <c r="B513" s="182" t="str">
        <f>'[1]COMEDORES EMERGENTES'!$B$13</f>
        <v>LA LUCIERNAGA</v>
      </c>
      <c r="C513" s="183"/>
      <c r="D513" s="88" t="s">
        <v>135</v>
      </c>
      <c r="E513" s="89" t="str">
        <f>'[1]COMEDORES EMERGENTES'!$G$13</f>
        <v>Bº 20 V.V NORTE C/3</v>
      </c>
    </row>
    <row r="514" spans="2:5" x14ac:dyDescent="0.2">
      <c r="B514" s="182" t="str">
        <f>'[1]COMEDORES EMERGENTES'!$B$14</f>
        <v>VALLE VIEJO - SUMALAO</v>
      </c>
      <c r="C514" s="183"/>
      <c r="D514" s="88" t="s">
        <v>131</v>
      </c>
      <c r="E514" s="89" t="str">
        <f>'[1]COMEDORES EMERGENTES'!$G$14</f>
        <v>PADRE SEGURA S/N</v>
      </c>
    </row>
    <row r="515" spans="2:5" x14ac:dyDescent="0.2">
      <c r="B515" s="182" t="str">
        <f>'[1]COMEDORES EMERGENTES'!$B$15</f>
        <v>NUESTRO FUTURO - LAS VIAS</v>
      </c>
      <c r="C515" s="183"/>
      <c r="D515" s="88" t="s">
        <v>135</v>
      </c>
      <c r="E515" s="89" t="str">
        <f>'[1]COMEDORES EMERGENTES'!$G$15</f>
        <v>Bº LAS VIAS OESTE LOTE 42</v>
      </c>
    </row>
    <row r="516" spans="2:5" x14ac:dyDescent="0.2">
      <c r="B516" s="182" t="str">
        <f>'[1]COMEDORES EMERGENTES'!$B$16</f>
        <v>SAN JOSE OBRERO</v>
      </c>
      <c r="C516" s="183"/>
      <c r="D516" s="88" t="s">
        <v>145</v>
      </c>
      <c r="E516" s="89" t="str">
        <f>'[1]COMEDORES EMERGENTES'!$G$16</f>
        <v>Bº SAN JOSE OBRERO. PJE. SANDOVAL S/Nº</v>
      </c>
    </row>
    <row r="517" spans="2:5" x14ac:dyDescent="0.2">
      <c r="B517" s="182" t="str">
        <f>'[1]COMEDORES EMERGENTES'!$B$17</f>
        <v>VIRGEN DE LUJAN</v>
      </c>
      <c r="C517" s="183"/>
      <c r="D517" s="88" t="s">
        <v>135</v>
      </c>
      <c r="E517" s="89" t="str">
        <f>'[1]COMEDORES EMERGENTES'!$G$17</f>
        <v>Bº OJO DE AGUA C/DR.TEODULFO BARRIONUEVO S/Nº</v>
      </c>
    </row>
    <row r="518" spans="2:5" x14ac:dyDescent="0.2">
      <c r="B518" s="182" t="str">
        <f>'[1]COMEDORES EMERGENTES'!$B$18</f>
        <v>RENACER</v>
      </c>
      <c r="C518" s="183"/>
      <c r="D518" s="88" t="s">
        <v>142</v>
      </c>
      <c r="E518" s="89" t="str">
        <f>'[1]COMEDORES EMERGENTES'!$G$18</f>
        <v>Bº VIRGEN MORENITA</v>
      </c>
    </row>
    <row r="519" spans="2:5" x14ac:dyDescent="0.2">
      <c r="B519" s="182" t="str">
        <f>'[1]COMEDORES EMERGENTES'!$B$19</f>
        <v>CENTRO VECINAL MI JARDIN</v>
      </c>
      <c r="C519" s="183"/>
      <c r="D519" s="88" t="s">
        <v>130</v>
      </c>
      <c r="E519" s="89" t="str">
        <f>'[1]COMEDORES EMERGENTES'!$G$19</f>
        <v>C/ LOS TULIPANES ENTRE FLOR DE CEREZO Y HOLANDA MZA.27 Bº MI JARDIN</v>
      </c>
    </row>
    <row r="520" spans="2:5" x14ac:dyDescent="0.2">
      <c r="B520" s="182" t="str">
        <f>'[1]COMEDORES EMERGENTES'!$B$20</f>
        <v>LA VIEJA ESQUINA</v>
      </c>
      <c r="C520" s="183"/>
      <c r="D520" s="88" t="s">
        <v>188</v>
      </c>
      <c r="E520" s="89" t="str">
        <f>'[1]COMEDORES EMERGENTES'!$G$20</f>
        <v>B° CRISTO REY PJE CAPATAZ VILLAFAÑEZ Y ARMANDO CORREA</v>
      </c>
    </row>
    <row r="521" spans="2:5" x14ac:dyDescent="0.2">
      <c r="B521" s="182" t="str">
        <f>'[1]COMEDORES EMERGENTES'!$B$21</f>
        <v>GAUCHITO GIL</v>
      </c>
      <c r="C521" s="183"/>
      <c r="D521" s="88" t="s">
        <v>188</v>
      </c>
      <c r="E521" s="89" t="str">
        <f>'[1]COMEDORES EMERGENTES'!$G$21</f>
        <v>B° 26 VIVIENDAS CASA N° 3</v>
      </c>
    </row>
    <row r="522" spans="2:5" ht="13.5" thickBot="1" x14ac:dyDescent="0.25">
      <c r="B522" s="196" t="str">
        <f>'[1]COMEDORES EMERGENTES'!$B$22</f>
        <v>LOS TOLDOS</v>
      </c>
      <c r="C522" s="197"/>
      <c r="D522" s="95" t="s">
        <v>245</v>
      </c>
      <c r="E522" s="96" t="str">
        <f>'[1]COMEDORES EMERGENTES'!$G$22</f>
        <v>LOTEO PARQUE SUR CALLE S/NOMBRE S/N°</v>
      </c>
    </row>
    <row r="523" spans="2:5" x14ac:dyDescent="0.2">
      <c r="B523" s="13" t="s">
        <v>18</v>
      </c>
      <c r="C523" s="11"/>
      <c r="D523" s="52"/>
      <c r="E523" s="12"/>
    </row>
    <row r="524" spans="2:5" x14ac:dyDescent="0.2">
      <c r="B524" s="14"/>
      <c r="C524" s="195" t="s">
        <v>24</v>
      </c>
      <c r="D524" s="195"/>
      <c r="E524" s="195"/>
    </row>
    <row r="525" spans="2:5" x14ac:dyDescent="0.2">
      <c r="B525" s="13" t="s">
        <v>19</v>
      </c>
      <c r="C525" s="15"/>
      <c r="D525" s="15"/>
      <c r="E525" s="16"/>
    </row>
    <row r="526" spans="2:5" x14ac:dyDescent="0.2">
      <c r="B526" s="14"/>
      <c r="C526" s="195" t="s">
        <v>101</v>
      </c>
      <c r="D526" s="195"/>
      <c r="E526" s="195"/>
    </row>
    <row r="527" spans="2:5" x14ac:dyDescent="0.2">
      <c r="B527" s="13" t="s">
        <v>20</v>
      </c>
      <c r="C527" s="11"/>
      <c r="D527" s="52"/>
      <c r="E527" s="12"/>
    </row>
    <row r="528" spans="2:5" x14ac:dyDescent="0.2">
      <c r="B528" s="13"/>
      <c r="C528" s="181" t="s">
        <v>25</v>
      </c>
      <c r="D528" s="181"/>
      <c r="E528" s="181"/>
    </row>
    <row r="529" spans="2:5" ht="13.5" thickBot="1" x14ac:dyDescent="0.25">
      <c r="B529" s="17"/>
      <c r="C529" s="18"/>
      <c r="D529" s="53"/>
      <c r="E529" s="19"/>
    </row>
    <row r="530" spans="2:5" ht="13.5" thickBot="1" x14ac:dyDescent="0.25"/>
    <row r="531" spans="2:5" x14ac:dyDescent="0.2">
      <c r="B531" s="7" t="s">
        <v>113</v>
      </c>
      <c r="C531" s="8"/>
      <c r="D531" s="51"/>
      <c r="E531" s="9"/>
    </row>
    <row r="532" spans="2:5" x14ac:dyDescent="0.2">
      <c r="B532" s="10"/>
      <c r="C532" s="11"/>
      <c r="D532" s="52"/>
      <c r="E532" s="12"/>
    </row>
    <row r="533" spans="2:5" x14ac:dyDescent="0.2">
      <c r="B533" s="13" t="s">
        <v>16</v>
      </c>
      <c r="C533" s="11"/>
      <c r="D533" s="52"/>
      <c r="E533" s="12"/>
    </row>
    <row r="534" spans="2:5" ht="25.5" customHeight="1" x14ac:dyDescent="0.2">
      <c r="B534" s="13"/>
      <c r="C534" s="195"/>
      <c r="D534" s="195"/>
      <c r="E534" s="195"/>
    </row>
    <row r="535" spans="2:5" ht="13.5" thickBot="1" x14ac:dyDescent="0.25">
      <c r="B535" s="13" t="s">
        <v>17</v>
      </c>
      <c r="C535" s="11"/>
      <c r="D535" s="52"/>
      <c r="E535" s="12"/>
    </row>
    <row r="536" spans="2:5" ht="13.5" thickBot="1" x14ac:dyDescent="0.25">
      <c r="B536" s="187" t="s">
        <v>98</v>
      </c>
      <c r="C536" s="191"/>
      <c r="D536" s="191"/>
      <c r="E536" s="188"/>
    </row>
    <row r="537" spans="2:5" ht="13.5" thickBot="1" x14ac:dyDescent="0.25">
      <c r="B537" s="187" t="s">
        <v>99</v>
      </c>
      <c r="C537" s="188"/>
      <c r="D537" s="49" t="s">
        <v>11</v>
      </c>
      <c r="E537" s="49" t="s">
        <v>100</v>
      </c>
    </row>
    <row r="538" spans="2:5" x14ac:dyDescent="0.2">
      <c r="B538" s="189" t="str">
        <f>'[1]COMEDORES EMERGENTES'!$B$3</f>
        <v>UNA SONRISA AV. LOS COBACHO</v>
      </c>
      <c r="C538" s="190"/>
      <c r="D538" s="93">
        <v>10</v>
      </c>
      <c r="E538" s="94" t="str">
        <f>'[1]COMEDORES EMERGENTES'!$G$3</f>
        <v>Bº SAN CARLOS OESTE AV. Bonifacio cobacho 670</v>
      </c>
    </row>
    <row r="539" spans="2:5" x14ac:dyDescent="0.2">
      <c r="B539" s="182" t="str">
        <f>'[1]COMEDORES EMERGENTES'!$B$4</f>
        <v>C.I.F Nº1 - RIVERA DEL VALLE Y FLORIDA</v>
      </c>
      <c r="C539" s="183"/>
      <c r="D539" s="88">
        <v>14</v>
      </c>
      <c r="E539" s="89" t="str">
        <f>'[1]COMEDORES EMERGENTES'!$G$4</f>
        <v>AV. RIVIERA DEL VALLE ENTRE FLORIDA Y SANTA FE</v>
      </c>
    </row>
    <row r="540" spans="2:5" x14ac:dyDescent="0.2">
      <c r="B540" s="182" t="str">
        <f>'[1]COMEDORES EMERGENTES'!$B$5</f>
        <v>C.I.F - RIVERA DEL VALLE - DILORENZO</v>
      </c>
      <c r="C540" s="183"/>
      <c r="D540" s="88">
        <v>16</v>
      </c>
      <c r="E540" s="89" t="str">
        <f>'[1]COMEDORES EMERGENTES'!$G$5</f>
        <v>Bº RIVERA DEL VALLE ENTRE VILLA EUMELIA Y MONTE CRISTO</v>
      </c>
    </row>
    <row r="541" spans="2:5" x14ac:dyDescent="0.2">
      <c r="B541" s="182" t="str">
        <f>'[1]COMEDORES EMERGENTES'!$B$6</f>
        <v>ESFUERZO PROPIO- Bº ALTOS DE CHOYA</v>
      </c>
      <c r="C541" s="183"/>
      <c r="D541" s="88">
        <v>13</v>
      </c>
      <c r="E541" s="89" t="str">
        <f>'[1]COMEDORES EMERGENTES'!$G$6</f>
        <v>Bº MUNICIPAL 35VV. NORTE C/14</v>
      </c>
    </row>
    <row r="542" spans="2:5" x14ac:dyDescent="0.2">
      <c r="B542" s="182" t="str">
        <f>'[1]COMEDORES EMERGENTES'!$B$7</f>
        <v>ANGELITOS - LOTEO SUSSEX</v>
      </c>
      <c r="C542" s="183"/>
      <c r="D542" s="88">
        <v>6</v>
      </c>
      <c r="E542" s="89" t="str">
        <f>'[1]COMEDORES EMERGENTES'!$G$7</f>
        <v>Bº LOTEO SUSEX MZA.Nº 4 LOTE Nº3</v>
      </c>
    </row>
    <row r="543" spans="2:5" x14ac:dyDescent="0.2">
      <c r="B543" s="182" t="str">
        <f>'[1]COMEDORES EMERGENTES'!$B$8</f>
        <v>CLUB DEPORTIVO CHACARITA</v>
      </c>
      <c r="C543" s="183"/>
      <c r="D543" s="88">
        <v>8</v>
      </c>
      <c r="E543" s="89" t="str">
        <f>'[1]COMEDORES EMERGENTES'!$G$8</f>
        <v>CALLE DR.DERMIDIO GALINDEZ C/2660</v>
      </c>
    </row>
    <row r="544" spans="2:5" x14ac:dyDescent="0.2">
      <c r="B544" s="182" t="str">
        <f>'[1]COMEDORES EMERGENTES'!$B$9</f>
        <v>LA MORO</v>
      </c>
      <c r="C544" s="183"/>
      <c r="D544" s="88">
        <v>7</v>
      </c>
      <c r="E544" s="89" t="str">
        <f>'[1]COMEDORES EMERGENTES'!$G$9</f>
        <v>MAIPU NORTE 1º ETAPA MZA "H" Bº MI JARDIN</v>
      </c>
    </row>
    <row r="545" spans="2:5" x14ac:dyDescent="0.2">
      <c r="B545" s="182" t="str">
        <f>'[1]COMEDORES EMERGENTES'!$B$10</f>
        <v>PAPA FRANCISCO</v>
      </c>
      <c r="C545" s="183"/>
      <c r="D545" s="88">
        <v>12</v>
      </c>
      <c r="E545" s="89" t="str">
        <f>'[1]COMEDORES EMERGENTES'!$G$10</f>
        <v>ENTRE AV.TEREBINTO Y AV.SAN JUAN LOTE "2" MZA. "B"</v>
      </c>
    </row>
    <row r="546" spans="2:5" x14ac:dyDescent="0.2">
      <c r="B546" s="182" t="str">
        <f>'[1]COMEDORES EMERGENTES'!$B$11</f>
        <v>E.P.C - 100 V.V NORTE</v>
      </c>
      <c r="C546" s="183"/>
      <c r="D546" s="88">
        <v>18</v>
      </c>
      <c r="E546" s="89" t="str">
        <f>'[1]COMEDORES EMERGENTES'!$G$11</f>
        <v>Bº VV NORTE C/48 ENTRE ESPAÑA Y FRANCIA</v>
      </c>
    </row>
    <row r="547" spans="2:5" x14ac:dyDescent="0.2">
      <c r="B547" s="182" t="str">
        <f>'[1]COMEDORES EMERGENTES'!$B$12</f>
        <v>HOGAR DE CRISTO - PADRE RAUL CONTRERAS</v>
      </c>
      <c r="C547" s="183"/>
      <c r="D547" s="88">
        <v>18</v>
      </c>
      <c r="E547" s="89" t="str">
        <f>'[1]COMEDORES EMERGENTES'!$G$12</f>
        <v>Bº SANTA MARTA MZA. "S" LOTE "M" C/39</v>
      </c>
    </row>
    <row r="548" spans="2:5" x14ac:dyDescent="0.2">
      <c r="B548" s="182" t="str">
        <f>'[1]COMEDORES EMERGENTES'!$B$13</f>
        <v>LA LUCIERNAGA</v>
      </c>
      <c r="C548" s="183"/>
      <c r="D548" s="88">
        <v>12</v>
      </c>
      <c r="E548" s="89" t="str">
        <f>'[1]COMEDORES EMERGENTES'!$G$13</f>
        <v>Bº 20 V.V NORTE C/3</v>
      </c>
    </row>
    <row r="549" spans="2:5" x14ac:dyDescent="0.2">
      <c r="B549" s="182" t="str">
        <f>'[1]COMEDORES EMERGENTES'!$B$14</f>
        <v>VALLE VIEJO - SUMALAO</v>
      </c>
      <c r="C549" s="183"/>
      <c r="D549" s="88">
        <v>21</v>
      </c>
      <c r="E549" s="89" t="str">
        <f>'[1]COMEDORES EMERGENTES'!$G$14</f>
        <v>PADRE SEGURA S/N</v>
      </c>
    </row>
    <row r="550" spans="2:5" x14ac:dyDescent="0.2">
      <c r="B550" s="182" t="str">
        <f>'[1]COMEDORES EMERGENTES'!$B$15</f>
        <v>NUESTRO FUTURO - LAS VIAS</v>
      </c>
      <c r="C550" s="183"/>
      <c r="D550" s="88">
        <v>12</v>
      </c>
      <c r="E550" s="89" t="str">
        <f>'[1]COMEDORES EMERGENTES'!$G$15</f>
        <v>Bº LAS VIAS OESTE LOTE 42</v>
      </c>
    </row>
    <row r="551" spans="2:5" x14ac:dyDescent="0.2">
      <c r="B551" s="182" t="str">
        <f>'[1]COMEDORES EMERGENTES'!$B$16</f>
        <v>SAN JOSE OBRERO</v>
      </c>
      <c r="C551" s="183"/>
      <c r="D551" s="88">
        <v>8</v>
      </c>
      <c r="E551" s="89" t="str">
        <f>'[1]COMEDORES EMERGENTES'!$G$16</f>
        <v>Bº SAN JOSE OBRERO. PJE. SANDOVAL S/Nº</v>
      </c>
    </row>
    <row r="552" spans="2:5" x14ac:dyDescent="0.2">
      <c r="B552" s="182" t="str">
        <f>'[1]COMEDORES EMERGENTES'!$B$17</f>
        <v>VIRGEN DE LUJAN</v>
      </c>
      <c r="C552" s="183"/>
      <c r="D552" s="88">
        <v>12</v>
      </c>
      <c r="E552" s="89" t="str">
        <f>'[1]COMEDORES EMERGENTES'!$G$17</f>
        <v>Bº OJO DE AGUA C/DR.TEODULFO BARRIONUEVO S/Nº</v>
      </c>
    </row>
    <row r="553" spans="2:5" x14ac:dyDescent="0.2">
      <c r="B553" s="182" t="str">
        <f>'[1]COMEDORES EMERGENTES'!$B$18</f>
        <v>RENACER</v>
      </c>
      <c r="C553" s="183"/>
      <c r="D553" s="88">
        <v>15</v>
      </c>
      <c r="E553" s="89" t="str">
        <f>'[1]COMEDORES EMERGENTES'!$G$18</f>
        <v>Bº VIRGEN MORENITA</v>
      </c>
    </row>
    <row r="554" spans="2:5" x14ac:dyDescent="0.2">
      <c r="B554" s="182" t="str">
        <f>'[1]COMEDORES EMERGENTES'!$B$19</f>
        <v>CENTRO VECINAL MI JARDIN</v>
      </c>
      <c r="C554" s="183"/>
      <c r="D554" s="88">
        <v>11</v>
      </c>
      <c r="E554" s="89" t="str">
        <f>'[1]COMEDORES EMERGENTES'!$G$19</f>
        <v>C/ LOS TULIPANES ENTRE FLOR DE CEREZO Y HOLANDA MZA.27 Bº MI JARDIN</v>
      </c>
    </row>
    <row r="555" spans="2:5" x14ac:dyDescent="0.2">
      <c r="B555" s="182" t="str">
        <f>'[1]COMEDORES EMERGENTES'!$B$20</f>
        <v>LA VIEJA ESQUINA</v>
      </c>
      <c r="C555" s="183"/>
      <c r="D555" s="88">
        <v>10</v>
      </c>
      <c r="E555" s="89" t="str">
        <f>'[1]COMEDORES EMERGENTES'!$G$20</f>
        <v>B° CRISTO REY PJE CAPATAZ VILLAFAÑEZ Y ARMANDO CORREA</v>
      </c>
    </row>
    <row r="556" spans="2:5" x14ac:dyDescent="0.2">
      <c r="B556" s="182" t="str">
        <f>'[1]COMEDORES EMERGENTES'!$B$21</f>
        <v>GAUCHITO GIL</v>
      </c>
      <c r="C556" s="183"/>
      <c r="D556" s="88">
        <v>10</v>
      </c>
      <c r="E556" s="89" t="str">
        <f>'[1]COMEDORES EMERGENTES'!$G$21</f>
        <v>B° 26 VIVIENDAS CASA N° 3</v>
      </c>
    </row>
    <row r="557" spans="2:5" ht="13.5" thickBot="1" x14ac:dyDescent="0.25">
      <c r="B557" s="196" t="str">
        <f>'[1]COMEDORES EMERGENTES'!$B$22</f>
        <v>LOS TOLDOS</v>
      </c>
      <c r="C557" s="197"/>
      <c r="D557" s="95">
        <v>5</v>
      </c>
      <c r="E557" s="96" t="str">
        <f>'[1]COMEDORES EMERGENTES'!$G$22</f>
        <v>LOTEO PARQUE SUR CALLE S/NOMBRE S/N°</v>
      </c>
    </row>
    <row r="558" spans="2:5" x14ac:dyDescent="0.2">
      <c r="B558" s="13" t="s">
        <v>18</v>
      </c>
      <c r="C558" s="11"/>
      <c r="D558" s="52"/>
      <c r="E558" s="12"/>
    </row>
    <row r="559" spans="2:5" x14ac:dyDescent="0.2">
      <c r="B559" s="14"/>
      <c r="C559" s="195" t="s">
        <v>24</v>
      </c>
      <c r="D559" s="195"/>
      <c r="E559" s="195"/>
    </row>
    <row r="560" spans="2:5" x14ac:dyDescent="0.2">
      <c r="B560" s="13" t="s">
        <v>19</v>
      </c>
      <c r="C560" s="15"/>
      <c r="D560" s="15"/>
      <c r="E560" s="16"/>
    </row>
    <row r="561" spans="2:5" x14ac:dyDescent="0.2">
      <c r="B561" s="14"/>
      <c r="C561" s="195" t="s">
        <v>101</v>
      </c>
      <c r="D561" s="195"/>
      <c r="E561" s="195"/>
    </row>
    <row r="562" spans="2:5" x14ac:dyDescent="0.2">
      <c r="B562" s="13" t="s">
        <v>20</v>
      </c>
      <c r="C562" s="11"/>
      <c r="D562" s="52"/>
      <c r="E562" s="12"/>
    </row>
    <row r="563" spans="2:5" x14ac:dyDescent="0.2">
      <c r="B563" s="13"/>
      <c r="C563" s="181" t="s">
        <v>25</v>
      </c>
      <c r="D563" s="181"/>
      <c r="E563" s="181"/>
    </row>
    <row r="564" spans="2:5" ht="13.5" thickBot="1" x14ac:dyDescent="0.25">
      <c r="B564" s="17"/>
      <c r="C564" s="18"/>
      <c r="D564" s="53"/>
      <c r="E564" s="19"/>
    </row>
    <row r="565" spans="2:5" ht="13.5" thickBot="1" x14ac:dyDescent="0.25"/>
    <row r="566" spans="2:5" x14ac:dyDescent="0.2">
      <c r="B566" s="7" t="s">
        <v>114</v>
      </c>
      <c r="C566" s="8"/>
      <c r="D566" s="51"/>
      <c r="E566" s="9"/>
    </row>
    <row r="567" spans="2:5" x14ac:dyDescent="0.2">
      <c r="B567" s="10"/>
      <c r="C567" s="11"/>
      <c r="D567" s="52"/>
      <c r="E567" s="12"/>
    </row>
    <row r="568" spans="2:5" x14ac:dyDescent="0.2">
      <c r="B568" s="13" t="s">
        <v>16</v>
      </c>
      <c r="C568" s="11"/>
      <c r="D568" s="52"/>
      <c r="E568" s="12"/>
    </row>
    <row r="569" spans="2:5" ht="25.5" customHeight="1" x14ac:dyDescent="0.2">
      <c r="B569" s="13"/>
      <c r="C569" s="195"/>
      <c r="D569" s="195"/>
      <c r="E569" s="195"/>
    </row>
    <row r="570" spans="2:5" ht="13.5" thickBot="1" x14ac:dyDescent="0.25">
      <c r="B570" s="13" t="s">
        <v>17</v>
      </c>
      <c r="C570" s="11"/>
      <c r="D570" s="52"/>
      <c r="E570" s="12"/>
    </row>
    <row r="571" spans="2:5" ht="13.5" thickBot="1" x14ac:dyDescent="0.25">
      <c r="B571" s="187" t="s">
        <v>98</v>
      </c>
      <c r="C571" s="191"/>
      <c r="D571" s="191"/>
      <c r="E571" s="188"/>
    </row>
    <row r="572" spans="2:5" ht="13.5" thickBot="1" x14ac:dyDescent="0.25">
      <c r="B572" s="187" t="s">
        <v>99</v>
      </c>
      <c r="C572" s="188"/>
      <c r="D572" s="49" t="s">
        <v>11</v>
      </c>
      <c r="E572" s="49" t="s">
        <v>100</v>
      </c>
    </row>
    <row r="573" spans="2:5" x14ac:dyDescent="0.2">
      <c r="B573" s="189" t="str">
        <f>'[1]COMEDORES EMERGENTES'!$B$3</f>
        <v>UNA SONRISA AV. LOS COBACHO</v>
      </c>
      <c r="C573" s="190"/>
      <c r="D573" s="93" t="s">
        <v>150</v>
      </c>
      <c r="E573" s="94" t="str">
        <f>'[1]COMEDORES EMERGENTES'!$G$3</f>
        <v>Bº SAN CARLOS OESTE AV. Bonifacio cobacho 670</v>
      </c>
    </row>
    <row r="574" spans="2:5" x14ac:dyDescent="0.2">
      <c r="B574" s="182" t="str">
        <f>'[1]COMEDORES EMERGENTES'!$B$4</f>
        <v>C.I.F Nº1 - RIVERA DEL VALLE Y FLORIDA</v>
      </c>
      <c r="C574" s="183"/>
      <c r="D574" s="88" t="s">
        <v>151</v>
      </c>
      <c r="E574" s="89" t="str">
        <f>'[1]COMEDORES EMERGENTES'!$G$4</f>
        <v>AV. RIVIERA DEL VALLE ENTRE FLORIDA Y SANTA FE</v>
      </c>
    </row>
    <row r="575" spans="2:5" x14ac:dyDescent="0.2">
      <c r="B575" s="182" t="str">
        <f>'[1]COMEDORES EMERGENTES'!$B$5</f>
        <v>C.I.F - RIVERA DEL VALLE - DILORENZO</v>
      </c>
      <c r="C575" s="183"/>
      <c r="D575" s="88" t="s">
        <v>152</v>
      </c>
      <c r="E575" s="89" t="str">
        <f>'[1]COMEDORES EMERGENTES'!$G$5</f>
        <v>Bº RIVERA DEL VALLE ENTRE VILLA EUMELIA Y MONTE CRISTO</v>
      </c>
    </row>
    <row r="576" spans="2:5" x14ac:dyDescent="0.2">
      <c r="B576" s="182" t="str">
        <f>'[1]COMEDORES EMERGENTES'!$B$6</f>
        <v>ESFUERZO PROPIO- Bº ALTOS DE CHOYA</v>
      </c>
      <c r="C576" s="183"/>
      <c r="D576" s="88" t="s">
        <v>153</v>
      </c>
      <c r="E576" s="89" t="str">
        <f>'[1]COMEDORES EMERGENTES'!$G$6</f>
        <v>Bº MUNICIPAL 35VV. NORTE C/14</v>
      </c>
    </row>
    <row r="577" spans="2:5" x14ac:dyDescent="0.2">
      <c r="B577" s="182" t="str">
        <f>'[1]COMEDORES EMERGENTES'!$B$7</f>
        <v>ANGELITOS - LOTEO SUSSEX</v>
      </c>
      <c r="C577" s="183"/>
      <c r="D577" s="88" t="s">
        <v>135</v>
      </c>
      <c r="E577" s="89" t="str">
        <f>'[1]COMEDORES EMERGENTES'!$G$7</f>
        <v>Bº LOTEO SUSEX MZA.Nº 4 LOTE Nº3</v>
      </c>
    </row>
    <row r="578" spans="2:5" x14ac:dyDescent="0.2">
      <c r="B578" s="182" t="str">
        <f>'[1]COMEDORES EMERGENTES'!$B$8</f>
        <v>CLUB DEPORTIVO CHACARITA</v>
      </c>
      <c r="C578" s="183"/>
      <c r="D578" s="88" t="s">
        <v>141</v>
      </c>
      <c r="E578" s="89" t="str">
        <f>'[1]COMEDORES EMERGENTES'!$G$8</f>
        <v>CALLE DR.DERMIDIO GALINDEZ C/2660</v>
      </c>
    </row>
    <row r="579" spans="2:5" x14ac:dyDescent="0.2">
      <c r="B579" s="182" t="str">
        <f>'[1]COMEDORES EMERGENTES'!$B$9</f>
        <v>LA MORO</v>
      </c>
      <c r="C579" s="183"/>
      <c r="D579" s="88" t="s">
        <v>129</v>
      </c>
      <c r="E579" s="89" t="str">
        <f>'[1]COMEDORES EMERGENTES'!$G$9</f>
        <v>MAIPU NORTE 1º ETAPA MZA "H" Bº MI JARDIN</v>
      </c>
    </row>
    <row r="580" spans="2:5" x14ac:dyDescent="0.2">
      <c r="B580" s="182" t="str">
        <f>'[1]COMEDORES EMERGENTES'!$B$10</f>
        <v>PAPA FRANCISCO</v>
      </c>
      <c r="C580" s="183"/>
      <c r="D580" s="88" t="s">
        <v>154</v>
      </c>
      <c r="E580" s="89" t="str">
        <f>'[1]COMEDORES EMERGENTES'!$G$10</f>
        <v>ENTRE AV.TEREBINTO Y AV.SAN JUAN LOTE "2" MZA. "B"</v>
      </c>
    </row>
    <row r="581" spans="2:5" x14ac:dyDescent="0.2">
      <c r="B581" s="182" t="str">
        <f>'[1]COMEDORES EMERGENTES'!$B$11</f>
        <v>E.P.C - 100 V.V NORTE</v>
      </c>
      <c r="C581" s="183"/>
      <c r="D581" s="88" t="s">
        <v>155</v>
      </c>
      <c r="E581" s="89" t="str">
        <f>'[1]COMEDORES EMERGENTES'!$G$11</f>
        <v>Bº VV NORTE C/48 ENTRE ESPAÑA Y FRANCIA</v>
      </c>
    </row>
    <row r="582" spans="2:5" x14ac:dyDescent="0.2">
      <c r="B582" s="182" t="str">
        <f>'[1]COMEDORES EMERGENTES'!$B$12</f>
        <v>HOGAR DE CRISTO - PADRE RAUL CONTRERAS</v>
      </c>
      <c r="C582" s="183"/>
      <c r="D582" s="88" t="s">
        <v>155</v>
      </c>
      <c r="E582" s="89" t="str">
        <f>'[1]COMEDORES EMERGENTES'!$G$12</f>
        <v>Bº SANTA MARTA MZA. "S" LOTE "M" C/39</v>
      </c>
    </row>
    <row r="583" spans="2:5" x14ac:dyDescent="0.2">
      <c r="B583" s="182" t="str">
        <f>'[1]COMEDORES EMERGENTES'!$B$13</f>
        <v>LA LUCIERNAGA</v>
      </c>
      <c r="C583" s="183"/>
      <c r="D583" s="88" t="s">
        <v>154</v>
      </c>
      <c r="E583" s="89" t="str">
        <f>'[1]COMEDORES EMERGENTES'!$G$13</f>
        <v>Bº 20 V.V NORTE C/3</v>
      </c>
    </row>
    <row r="584" spans="2:5" x14ac:dyDescent="0.2">
      <c r="B584" s="182" t="str">
        <f>'[1]COMEDORES EMERGENTES'!$B$14</f>
        <v>VALLE VIEJO - SUMALAO</v>
      </c>
      <c r="C584" s="183"/>
      <c r="D584" s="88" t="s">
        <v>156</v>
      </c>
      <c r="E584" s="89" t="str">
        <f>'[1]COMEDORES EMERGENTES'!$G$14</f>
        <v>PADRE SEGURA S/N</v>
      </c>
    </row>
    <row r="585" spans="2:5" x14ac:dyDescent="0.2">
      <c r="B585" s="182" t="str">
        <f>'[1]COMEDORES EMERGENTES'!$B$15</f>
        <v>NUESTRO FUTURO - LAS VIAS</v>
      </c>
      <c r="C585" s="183"/>
      <c r="D585" s="88" t="s">
        <v>154</v>
      </c>
      <c r="E585" s="89" t="str">
        <f>'[1]COMEDORES EMERGENTES'!$G$15</f>
        <v>Bº LAS VIAS OESTE LOTE 42</v>
      </c>
    </row>
    <row r="586" spans="2:5" x14ac:dyDescent="0.2">
      <c r="B586" s="182" t="str">
        <f>'[1]COMEDORES EMERGENTES'!$B$16</f>
        <v>SAN JOSE OBRERO</v>
      </c>
      <c r="C586" s="183"/>
      <c r="D586" s="88" t="s">
        <v>141</v>
      </c>
      <c r="E586" s="89" t="str">
        <f>'[1]COMEDORES EMERGENTES'!$G$16</f>
        <v>Bº SAN JOSE OBRERO. PJE. SANDOVAL S/Nº</v>
      </c>
    </row>
    <row r="587" spans="2:5" x14ac:dyDescent="0.2">
      <c r="B587" s="182" t="str">
        <f>'[1]COMEDORES EMERGENTES'!$B$17</f>
        <v>VIRGEN DE LUJAN</v>
      </c>
      <c r="C587" s="183"/>
      <c r="D587" s="88" t="s">
        <v>154</v>
      </c>
      <c r="E587" s="89" t="str">
        <f>'[1]COMEDORES EMERGENTES'!$G$17</f>
        <v>Bº OJO DE AGUA C/DR.TEODULFO BARRIONUEVO S/Nº</v>
      </c>
    </row>
    <row r="588" spans="2:5" x14ac:dyDescent="0.2">
      <c r="B588" s="182" t="str">
        <f>'[1]COMEDORES EMERGENTES'!$B$18</f>
        <v>RENACER</v>
      </c>
      <c r="C588" s="183"/>
      <c r="D588" s="88" t="s">
        <v>157</v>
      </c>
      <c r="E588" s="89" t="str">
        <f>'[1]COMEDORES EMERGENTES'!$G$18</f>
        <v>Bº VIRGEN MORENITA</v>
      </c>
    </row>
    <row r="589" spans="2:5" x14ac:dyDescent="0.2">
      <c r="B589" s="182" t="str">
        <f>'[1]COMEDORES EMERGENTES'!$B$19</f>
        <v>CENTRO VECINAL MI JARDIN</v>
      </c>
      <c r="C589" s="183"/>
      <c r="D589" s="88" t="s">
        <v>158</v>
      </c>
      <c r="E589" s="89" t="str">
        <f>'[1]COMEDORES EMERGENTES'!$G$19</f>
        <v>C/ LOS TULIPANES ENTRE FLOR DE CEREZO Y HOLANDA MZA.27 Bº MI JARDIN</v>
      </c>
    </row>
    <row r="590" spans="2:5" x14ac:dyDescent="0.2">
      <c r="B590" s="182" t="str">
        <f>'[1]COMEDORES EMERGENTES'!$B$20</f>
        <v>LA VIEJA ESQUINA</v>
      </c>
      <c r="C590" s="183"/>
      <c r="D590" s="88" t="s">
        <v>159</v>
      </c>
      <c r="E590" s="89" t="str">
        <f>'[1]COMEDORES EMERGENTES'!$G$20</f>
        <v>B° CRISTO REY PJE CAPATAZ VILLAFAÑEZ Y ARMANDO CORREA</v>
      </c>
    </row>
    <row r="591" spans="2:5" x14ac:dyDescent="0.2">
      <c r="B591" s="182" t="str">
        <f>'[1]COMEDORES EMERGENTES'!$B$21</f>
        <v>GAUCHITO GIL</v>
      </c>
      <c r="C591" s="183"/>
      <c r="D591" s="88" t="s">
        <v>159</v>
      </c>
      <c r="E591" s="89" t="str">
        <f>'[1]COMEDORES EMERGENTES'!$G$21</f>
        <v>B° 26 VIVIENDAS CASA N° 3</v>
      </c>
    </row>
    <row r="592" spans="2:5" ht="13.5" thickBot="1" x14ac:dyDescent="0.25">
      <c r="B592" s="196" t="str">
        <f>'[1]COMEDORES EMERGENTES'!$B$22</f>
        <v>LOS TOLDOS</v>
      </c>
      <c r="C592" s="197"/>
      <c r="D592" s="95" t="s">
        <v>164</v>
      </c>
      <c r="E592" s="96" t="str">
        <f>'[1]COMEDORES EMERGENTES'!$G$22</f>
        <v>LOTEO PARQUE SUR CALLE S/NOMBRE S/N°</v>
      </c>
    </row>
    <row r="593" spans="2:5" x14ac:dyDescent="0.2">
      <c r="B593" s="13" t="s">
        <v>18</v>
      </c>
      <c r="C593" s="11"/>
      <c r="D593" s="52"/>
      <c r="E593" s="12"/>
    </row>
    <row r="594" spans="2:5" x14ac:dyDescent="0.2">
      <c r="B594" s="14"/>
      <c r="C594" s="195" t="s">
        <v>24</v>
      </c>
      <c r="D594" s="195"/>
      <c r="E594" s="195"/>
    </row>
    <row r="595" spans="2:5" x14ac:dyDescent="0.2">
      <c r="B595" s="13" t="s">
        <v>19</v>
      </c>
      <c r="C595" s="15"/>
      <c r="D595" s="15"/>
      <c r="E595" s="16"/>
    </row>
    <row r="596" spans="2:5" x14ac:dyDescent="0.2">
      <c r="B596" s="14"/>
      <c r="C596" s="195" t="s">
        <v>101</v>
      </c>
      <c r="D596" s="195"/>
      <c r="E596" s="195"/>
    </row>
    <row r="597" spans="2:5" x14ac:dyDescent="0.2">
      <c r="B597" s="13" t="s">
        <v>20</v>
      </c>
      <c r="C597" s="11"/>
      <c r="D597" s="52"/>
      <c r="E597" s="12"/>
    </row>
    <row r="598" spans="2:5" x14ac:dyDescent="0.2">
      <c r="B598" s="13"/>
      <c r="C598" s="181" t="s">
        <v>25</v>
      </c>
      <c r="D598" s="181"/>
      <c r="E598" s="181"/>
    </row>
    <row r="599" spans="2:5" ht="13.5" thickBot="1" x14ac:dyDescent="0.25">
      <c r="B599" s="17"/>
      <c r="C599" s="18"/>
      <c r="D599" s="53"/>
      <c r="E599" s="19"/>
    </row>
    <row r="600" spans="2:5" ht="13.5" thickBot="1" x14ac:dyDescent="0.25"/>
    <row r="601" spans="2:5" x14ac:dyDescent="0.2">
      <c r="B601" s="7" t="s">
        <v>115</v>
      </c>
      <c r="C601" s="8"/>
      <c r="D601" s="51"/>
      <c r="E601" s="9"/>
    </row>
    <row r="602" spans="2:5" x14ac:dyDescent="0.2">
      <c r="B602" s="10"/>
      <c r="C602" s="11"/>
      <c r="D602" s="52"/>
      <c r="E602" s="12"/>
    </row>
    <row r="603" spans="2:5" x14ac:dyDescent="0.2">
      <c r="B603" s="13" t="s">
        <v>16</v>
      </c>
      <c r="C603" s="11"/>
      <c r="D603" s="52"/>
      <c r="E603" s="12"/>
    </row>
    <row r="604" spans="2:5" ht="25.5" customHeight="1" x14ac:dyDescent="0.2">
      <c r="B604" s="13"/>
      <c r="C604" s="195"/>
      <c r="D604" s="195"/>
      <c r="E604" s="195"/>
    </row>
    <row r="605" spans="2:5" ht="13.5" thickBot="1" x14ac:dyDescent="0.25">
      <c r="B605" s="13" t="s">
        <v>17</v>
      </c>
      <c r="C605" s="11"/>
      <c r="D605" s="52"/>
      <c r="E605" s="12"/>
    </row>
    <row r="606" spans="2:5" ht="13.5" thickBot="1" x14ac:dyDescent="0.25">
      <c r="B606" s="187" t="s">
        <v>98</v>
      </c>
      <c r="C606" s="191"/>
      <c r="D606" s="191"/>
      <c r="E606" s="188"/>
    </row>
    <row r="607" spans="2:5" ht="13.5" thickBot="1" x14ac:dyDescent="0.25">
      <c r="B607" s="187" t="s">
        <v>99</v>
      </c>
      <c r="C607" s="188"/>
      <c r="D607" s="49" t="s">
        <v>11</v>
      </c>
      <c r="E607" s="49" t="s">
        <v>100</v>
      </c>
    </row>
    <row r="608" spans="2:5" x14ac:dyDescent="0.2">
      <c r="B608" s="189" t="str">
        <f>'[1]COMEDORES EMERGENTES'!$B$3</f>
        <v>UNA SONRISA AV. LOS COBACHO</v>
      </c>
      <c r="C608" s="190"/>
      <c r="D608" s="93" t="s">
        <v>164</v>
      </c>
      <c r="E608" s="94" t="str">
        <f>'[1]COMEDORES EMERGENTES'!$G$3</f>
        <v>Bº SAN CARLOS OESTE AV. Bonifacio cobacho 670</v>
      </c>
    </row>
    <row r="609" spans="2:5" x14ac:dyDescent="0.2">
      <c r="B609" s="182" t="str">
        <f>'[1]COMEDORES EMERGENTES'!$B$4</f>
        <v>C.I.F Nº1 - RIVERA DEL VALLE Y FLORIDA</v>
      </c>
      <c r="C609" s="183"/>
      <c r="D609" s="88" t="s">
        <v>163</v>
      </c>
      <c r="E609" s="89" t="str">
        <f>'[1]COMEDORES EMERGENTES'!$G$4</f>
        <v>AV. RIVIERA DEL VALLE ENTRE FLORIDA Y SANTA FE</v>
      </c>
    </row>
    <row r="610" spans="2:5" x14ac:dyDescent="0.2">
      <c r="B610" s="182" t="str">
        <f>'[1]COMEDORES EMERGENTES'!$B$5</f>
        <v>C.I.F - RIVERA DEL VALLE - DILORENZO</v>
      </c>
      <c r="C610" s="183"/>
      <c r="D610" s="88" t="s">
        <v>140</v>
      </c>
      <c r="E610" s="89" t="str">
        <f>'[1]COMEDORES EMERGENTES'!$G$5</f>
        <v>Bº RIVERA DEL VALLE ENTRE VILLA EUMELIA Y MONTE CRISTO</v>
      </c>
    </row>
    <row r="611" spans="2:5" x14ac:dyDescent="0.2">
      <c r="B611" s="182" t="str">
        <f>'[1]COMEDORES EMERGENTES'!$B$6</f>
        <v>ESFUERZO PROPIO- Bº ALTOS DE CHOYA</v>
      </c>
      <c r="C611" s="183"/>
      <c r="D611" s="88" t="s">
        <v>146</v>
      </c>
      <c r="E611" s="89" t="str">
        <f>'[1]COMEDORES EMERGENTES'!$G$6</f>
        <v>Bº MUNICIPAL 35VV. NORTE C/14</v>
      </c>
    </row>
    <row r="612" spans="2:5" x14ac:dyDescent="0.2">
      <c r="B612" s="182" t="str">
        <f>'[1]COMEDORES EMERGENTES'!$B$7</f>
        <v>ANGELITOS - LOTEO SUSSEX</v>
      </c>
      <c r="C612" s="183"/>
      <c r="D612" s="88" t="s">
        <v>187</v>
      </c>
      <c r="E612" s="89" t="str">
        <f>'[1]COMEDORES EMERGENTES'!$G$7</f>
        <v>Bº LOTEO SUSEX MZA.Nº 4 LOTE Nº3</v>
      </c>
    </row>
    <row r="613" spans="2:5" x14ac:dyDescent="0.2">
      <c r="B613" s="182" t="str">
        <f>'[1]COMEDORES EMERGENTES'!$B$8</f>
        <v>CLUB DEPORTIVO CHACARITA</v>
      </c>
      <c r="C613" s="183"/>
      <c r="D613" s="88" t="s">
        <v>145</v>
      </c>
      <c r="E613" s="89" t="str">
        <f>'[1]COMEDORES EMERGENTES'!$G$8</f>
        <v>CALLE DR.DERMIDIO GALINDEZ C/2660</v>
      </c>
    </row>
    <row r="614" spans="2:5" x14ac:dyDescent="0.2">
      <c r="B614" s="182" t="str">
        <f>'[1]COMEDORES EMERGENTES'!$B$9</f>
        <v>LA MORO</v>
      </c>
      <c r="C614" s="183"/>
      <c r="D614" s="88" t="s">
        <v>162</v>
      </c>
      <c r="E614" s="89" t="str">
        <f>'[1]COMEDORES EMERGENTES'!$G$9</f>
        <v>MAIPU NORTE 1º ETAPA MZA "H" Bº MI JARDIN</v>
      </c>
    </row>
    <row r="615" spans="2:5" x14ac:dyDescent="0.2">
      <c r="B615" s="182" t="str">
        <f>'[1]COMEDORES EMERGENTES'!$B$10</f>
        <v>PAPA FRANCISCO</v>
      </c>
      <c r="C615" s="183"/>
      <c r="D615" s="88" t="s">
        <v>135</v>
      </c>
      <c r="E615" s="89" t="str">
        <f>'[1]COMEDORES EMERGENTES'!$G$10</f>
        <v>ENTRE AV.TEREBINTO Y AV.SAN JUAN LOTE "2" MZA. "B"</v>
      </c>
    </row>
    <row r="616" spans="2:5" x14ac:dyDescent="0.2">
      <c r="B616" s="182" t="str">
        <f>'[1]COMEDORES EMERGENTES'!$B$11</f>
        <v>E.P.C - 100 V.V NORTE</v>
      </c>
      <c r="C616" s="183"/>
      <c r="D616" s="88" t="s">
        <v>136</v>
      </c>
      <c r="E616" s="89" t="str">
        <f>'[1]COMEDORES EMERGENTES'!$G$11</f>
        <v>Bº VV NORTE C/48 ENTRE ESPAÑA Y FRANCIA</v>
      </c>
    </row>
    <row r="617" spans="2:5" x14ac:dyDescent="0.2">
      <c r="B617" s="182" t="str">
        <f>'[1]COMEDORES EMERGENTES'!$B$12</f>
        <v>HOGAR DE CRISTO - PADRE RAUL CONTRERAS</v>
      </c>
      <c r="C617" s="183"/>
      <c r="D617" s="88" t="s">
        <v>136</v>
      </c>
      <c r="E617" s="89" t="str">
        <f>'[1]COMEDORES EMERGENTES'!$G$12</f>
        <v>Bº SANTA MARTA MZA. "S" LOTE "M" C/39</v>
      </c>
    </row>
    <row r="618" spans="2:5" x14ac:dyDescent="0.2">
      <c r="B618" s="182" t="str">
        <f>'[1]COMEDORES EMERGENTES'!$B$13</f>
        <v>LA LUCIERNAGA</v>
      </c>
      <c r="C618" s="183"/>
      <c r="D618" s="88" t="s">
        <v>135</v>
      </c>
      <c r="E618" s="89" t="str">
        <f>'[1]COMEDORES EMERGENTES'!$G$13</f>
        <v>Bº 20 V.V NORTE C/3</v>
      </c>
    </row>
    <row r="619" spans="2:5" x14ac:dyDescent="0.2">
      <c r="B619" s="182" t="str">
        <f>'[1]COMEDORES EMERGENTES'!$B$14</f>
        <v>VALLE VIEJO - SUMALAO</v>
      </c>
      <c r="C619" s="183"/>
      <c r="D619" s="88" t="s">
        <v>131</v>
      </c>
      <c r="E619" s="89" t="str">
        <f>'[1]COMEDORES EMERGENTES'!$G$14</f>
        <v>PADRE SEGURA S/N</v>
      </c>
    </row>
    <row r="620" spans="2:5" x14ac:dyDescent="0.2">
      <c r="B620" s="182" t="str">
        <f>'[1]COMEDORES EMERGENTES'!$B$15</f>
        <v>NUESTRO FUTURO - LAS VIAS</v>
      </c>
      <c r="C620" s="183"/>
      <c r="D620" s="88" t="s">
        <v>135</v>
      </c>
      <c r="E620" s="89" t="str">
        <f>'[1]COMEDORES EMERGENTES'!$G$15</f>
        <v>Bº LAS VIAS OESTE LOTE 42</v>
      </c>
    </row>
    <row r="621" spans="2:5" x14ac:dyDescent="0.2">
      <c r="B621" s="182" t="str">
        <f>'[1]COMEDORES EMERGENTES'!$B$16</f>
        <v>SAN JOSE OBRERO</v>
      </c>
      <c r="C621" s="183"/>
      <c r="D621" s="88" t="s">
        <v>145</v>
      </c>
      <c r="E621" s="89" t="str">
        <f>'[1]COMEDORES EMERGENTES'!$G$16</f>
        <v>Bº SAN JOSE OBRERO. PJE. SANDOVAL S/Nº</v>
      </c>
    </row>
    <row r="622" spans="2:5" x14ac:dyDescent="0.2">
      <c r="B622" s="182" t="str">
        <f>'[1]COMEDORES EMERGENTES'!$B$17</f>
        <v>VIRGEN DE LUJAN</v>
      </c>
      <c r="C622" s="183"/>
      <c r="D622" s="88" t="s">
        <v>135</v>
      </c>
      <c r="E622" s="89" t="str">
        <f>'[1]COMEDORES EMERGENTES'!$G$17</f>
        <v>Bº OJO DE AGUA C/DR.TEODULFO BARRIONUEVO S/Nº</v>
      </c>
    </row>
    <row r="623" spans="2:5" x14ac:dyDescent="0.2">
      <c r="B623" s="182" t="str">
        <f>'[1]COMEDORES EMERGENTES'!$B$18</f>
        <v>RENACER</v>
      </c>
      <c r="C623" s="183"/>
      <c r="D623" s="88" t="s">
        <v>142</v>
      </c>
      <c r="E623" s="89" t="str">
        <f>'[1]COMEDORES EMERGENTES'!$G$18</f>
        <v>Bº VIRGEN MORENITA</v>
      </c>
    </row>
    <row r="624" spans="2:5" x14ac:dyDescent="0.2">
      <c r="B624" s="182" t="str">
        <f>'[1]COMEDORES EMERGENTES'!$B$19</f>
        <v>CENTRO VECINAL MI JARDIN</v>
      </c>
      <c r="C624" s="183"/>
      <c r="D624" s="88" t="s">
        <v>130</v>
      </c>
      <c r="E624" s="89" t="str">
        <f>'[1]COMEDORES EMERGENTES'!$G$19</f>
        <v>C/ LOS TULIPANES ENTRE FLOR DE CEREZO Y HOLANDA MZA.27 Bº MI JARDIN</v>
      </c>
    </row>
    <row r="625" spans="2:5" x14ac:dyDescent="0.2">
      <c r="B625" s="182" t="str">
        <f>'[1]COMEDORES EMERGENTES'!$B$20</f>
        <v>LA VIEJA ESQUINA</v>
      </c>
      <c r="C625" s="183"/>
      <c r="D625" s="88" t="s">
        <v>188</v>
      </c>
      <c r="E625" s="89" t="str">
        <f>'[1]COMEDORES EMERGENTES'!$G$20</f>
        <v>B° CRISTO REY PJE CAPATAZ VILLAFAÑEZ Y ARMANDO CORREA</v>
      </c>
    </row>
    <row r="626" spans="2:5" x14ac:dyDescent="0.2">
      <c r="B626" s="182" t="str">
        <f>'[1]COMEDORES EMERGENTES'!$B$21</f>
        <v>GAUCHITO GIL</v>
      </c>
      <c r="C626" s="183"/>
      <c r="D626" s="88" t="s">
        <v>188</v>
      </c>
      <c r="E626" s="89" t="str">
        <f>'[1]COMEDORES EMERGENTES'!$G$21</f>
        <v>B° 26 VIVIENDAS CASA N° 3</v>
      </c>
    </row>
    <row r="627" spans="2:5" ht="13.5" thickBot="1" x14ac:dyDescent="0.25">
      <c r="B627" s="196" t="str">
        <f>'[1]COMEDORES EMERGENTES'!$B$22</f>
        <v>LOS TOLDOS</v>
      </c>
      <c r="C627" s="197"/>
      <c r="D627" s="95" t="s">
        <v>245</v>
      </c>
      <c r="E627" s="96" t="str">
        <f>'[1]COMEDORES EMERGENTES'!$G$22</f>
        <v>LOTEO PARQUE SUR CALLE S/NOMBRE S/N°</v>
      </c>
    </row>
    <row r="628" spans="2:5" x14ac:dyDescent="0.2">
      <c r="B628" s="13" t="s">
        <v>18</v>
      </c>
      <c r="C628" s="11"/>
      <c r="D628" s="52"/>
      <c r="E628" s="12"/>
    </row>
    <row r="629" spans="2:5" x14ac:dyDescent="0.2">
      <c r="B629" s="14"/>
      <c r="C629" s="195" t="s">
        <v>24</v>
      </c>
      <c r="D629" s="195"/>
      <c r="E629" s="195"/>
    </row>
    <row r="630" spans="2:5" x14ac:dyDescent="0.2">
      <c r="B630" s="13" t="s">
        <v>19</v>
      </c>
      <c r="C630" s="15"/>
      <c r="D630" s="15"/>
      <c r="E630" s="16"/>
    </row>
    <row r="631" spans="2:5" x14ac:dyDescent="0.2">
      <c r="B631" s="14"/>
      <c r="C631" s="195" t="s">
        <v>101</v>
      </c>
      <c r="D631" s="195"/>
      <c r="E631" s="195"/>
    </row>
    <row r="632" spans="2:5" x14ac:dyDescent="0.2">
      <c r="B632" s="13" t="s">
        <v>20</v>
      </c>
      <c r="C632" s="11"/>
      <c r="D632" s="52"/>
      <c r="E632" s="12"/>
    </row>
    <row r="633" spans="2:5" x14ac:dyDescent="0.2">
      <c r="B633" s="13"/>
      <c r="C633" s="181" t="s">
        <v>25</v>
      </c>
      <c r="D633" s="181"/>
      <c r="E633" s="181"/>
    </row>
    <row r="634" spans="2:5" ht="13.5" thickBot="1" x14ac:dyDescent="0.25">
      <c r="B634" s="17"/>
      <c r="C634" s="18"/>
      <c r="D634" s="53"/>
      <c r="E634" s="19"/>
    </row>
    <row r="635" spans="2:5" ht="13.5" thickBot="1" x14ac:dyDescent="0.25"/>
    <row r="636" spans="2:5" x14ac:dyDescent="0.2">
      <c r="B636" s="7" t="s">
        <v>116</v>
      </c>
      <c r="C636" s="8"/>
      <c r="D636" s="51"/>
      <c r="E636" s="9"/>
    </row>
    <row r="637" spans="2:5" x14ac:dyDescent="0.2">
      <c r="B637" s="10"/>
      <c r="C637" s="11"/>
      <c r="D637" s="52"/>
      <c r="E637" s="12"/>
    </row>
    <row r="638" spans="2:5" x14ac:dyDescent="0.2">
      <c r="B638" s="13" t="s">
        <v>16</v>
      </c>
      <c r="C638" s="11"/>
      <c r="D638" s="52"/>
      <c r="E638" s="12"/>
    </row>
    <row r="639" spans="2:5" ht="25.5" customHeight="1" x14ac:dyDescent="0.2">
      <c r="B639" s="13"/>
      <c r="C639" s="195"/>
      <c r="D639" s="195"/>
      <c r="E639" s="195"/>
    </row>
    <row r="640" spans="2:5" ht="13.5" thickBot="1" x14ac:dyDescent="0.25">
      <c r="B640" s="13" t="s">
        <v>17</v>
      </c>
      <c r="C640" s="11"/>
      <c r="D640" s="52"/>
      <c r="E640" s="12"/>
    </row>
    <row r="641" spans="2:5" ht="13.5" thickBot="1" x14ac:dyDescent="0.25">
      <c r="B641" s="187" t="s">
        <v>98</v>
      </c>
      <c r="C641" s="191"/>
      <c r="D641" s="191"/>
      <c r="E641" s="188"/>
    </row>
    <row r="642" spans="2:5" ht="13.5" thickBot="1" x14ac:dyDescent="0.25">
      <c r="B642" s="187" t="s">
        <v>99</v>
      </c>
      <c r="C642" s="188"/>
      <c r="D642" s="49" t="s">
        <v>11</v>
      </c>
      <c r="E642" s="49" t="s">
        <v>100</v>
      </c>
    </row>
    <row r="643" spans="2:5" x14ac:dyDescent="0.2">
      <c r="B643" s="189" t="str">
        <f>'[1]COMEDORES EMERGENTES'!$B$3</f>
        <v>UNA SONRISA AV. LOS COBACHO</v>
      </c>
      <c r="C643" s="190"/>
      <c r="D643" s="93" t="s">
        <v>183</v>
      </c>
      <c r="E643" s="94" t="str">
        <f>'[1]COMEDORES EMERGENTES'!$G$3</f>
        <v>Bº SAN CARLOS OESTE AV. Bonifacio cobacho 670</v>
      </c>
    </row>
    <row r="644" spans="2:5" x14ac:dyDescent="0.2">
      <c r="B644" s="182" t="str">
        <f>'[1]COMEDORES EMERGENTES'!$B$4</f>
        <v>C.I.F Nº1 - RIVERA DEL VALLE Y FLORIDA</v>
      </c>
      <c r="C644" s="183"/>
      <c r="D644" s="88" t="s">
        <v>132</v>
      </c>
      <c r="E644" s="89" t="str">
        <f>'[1]COMEDORES EMERGENTES'!$G$4</f>
        <v>AV. RIVIERA DEL VALLE ENTRE FLORIDA Y SANTA FE</v>
      </c>
    </row>
    <row r="645" spans="2:5" x14ac:dyDescent="0.2">
      <c r="B645" s="182" t="str">
        <f>'[1]COMEDORES EMERGENTES'!$B$5</f>
        <v>C.I.F - RIVERA DEL VALLE - DILORENZO</v>
      </c>
      <c r="C645" s="183"/>
      <c r="D645" s="88" t="s">
        <v>189</v>
      </c>
      <c r="E645" s="89" t="str">
        <f>'[1]COMEDORES EMERGENTES'!$G$5</f>
        <v>Bº RIVERA DEL VALLE ENTRE VILLA EUMELIA Y MONTE CRISTO</v>
      </c>
    </row>
    <row r="646" spans="2:5" x14ac:dyDescent="0.2">
      <c r="B646" s="182" t="str">
        <f>'[1]COMEDORES EMERGENTES'!$B$6</f>
        <v>ESFUERZO PROPIO- Bº ALTOS DE CHOYA</v>
      </c>
      <c r="C646" s="183"/>
      <c r="D646" s="88" t="s">
        <v>154</v>
      </c>
      <c r="E646" s="89" t="str">
        <f>'[1]COMEDORES EMERGENTES'!$G$6</f>
        <v>Bº MUNICIPAL 35VV. NORTE C/14</v>
      </c>
    </row>
    <row r="647" spans="2:5" x14ac:dyDescent="0.2">
      <c r="B647" s="182" t="str">
        <f>'[1]COMEDORES EMERGENTES'!$B$7</f>
        <v>ANGELITOS - LOTEO SUSSEX</v>
      </c>
      <c r="C647" s="183"/>
      <c r="D647" s="88" t="s">
        <v>130</v>
      </c>
      <c r="E647" s="89" t="str">
        <f>'[1]COMEDORES EMERGENTES'!$G$7</f>
        <v>Bº LOTEO SUSEX MZA.Nº 4 LOTE Nº3</v>
      </c>
    </row>
    <row r="648" spans="2:5" x14ac:dyDescent="0.2">
      <c r="B648" s="182" t="str">
        <f>'[1]COMEDORES EMERGENTES'!$B$8</f>
        <v>CLUB DEPORTIVO CHACARITA</v>
      </c>
      <c r="C648" s="183"/>
      <c r="D648" s="88" t="s">
        <v>163</v>
      </c>
      <c r="E648" s="89" t="str">
        <f>'[1]COMEDORES EMERGENTES'!$G$8</f>
        <v>CALLE DR.DERMIDIO GALINDEZ C/2660</v>
      </c>
    </row>
    <row r="649" spans="2:5" x14ac:dyDescent="0.2">
      <c r="B649" s="182" t="str">
        <f>'[1]COMEDORES EMERGENTES'!$B$9</f>
        <v>LA MORO</v>
      </c>
      <c r="C649" s="183"/>
      <c r="D649" s="88" t="s">
        <v>146</v>
      </c>
      <c r="E649" s="89" t="str">
        <f>'[1]COMEDORES EMERGENTES'!$G$9</f>
        <v>MAIPU NORTE 1º ETAPA MZA "H" Bº MI JARDIN</v>
      </c>
    </row>
    <row r="650" spans="2:5" x14ac:dyDescent="0.2">
      <c r="B650" s="182" t="str">
        <f>'[1]COMEDORES EMERGENTES'!$B$10</f>
        <v>PAPA FRANCISCO</v>
      </c>
      <c r="C650" s="183"/>
      <c r="D650" s="88" t="s">
        <v>158</v>
      </c>
      <c r="E650" s="89" t="str">
        <f>'[1]COMEDORES EMERGENTES'!$G$10</f>
        <v>ENTRE AV.TEREBINTO Y AV.SAN JUAN LOTE "2" MZA. "B"</v>
      </c>
    </row>
    <row r="651" spans="2:5" x14ac:dyDescent="0.2">
      <c r="B651" s="182" t="str">
        <f>'[1]COMEDORES EMERGENTES'!$B$11</f>
        <v>E.P.C - 100 V.V NORTE</v>
      </c>
      <c r="C651" s="183"/>
      <c r="D651" s="88" t="s">
        <v>152</v>
      </c>
      <c r="E651" s="89" t="str">
        <f>'[1]COMEDORES EMERGENTES'!$G$11</f>
        <v>Bº VV NORTE C/48 ENTRE ESPAÑA Y FRANCIA</v>
      </c>
    </row>
    <row r="652" spans="2:5" x14ac:dyDescent="0.2">
      <c r="B652" s="182" t="str">
        <f>'[1]COMEDORES EMERGENTES'!$B$12</f>
        <v>HOGAR DE CRISTO - PADRE RAUL CONTRERAS</v>
      </c>
      <c r="C652" s="183"/>
      <c r="D652" s="88" t="s">
        <v>152</v>
      </c>
      <c r="E652" s="89" t="str">
        <f>'[1]COMEDORES EMERGENTES'!$G$12</f>
        <v>Bº SANTA MARTA MZA. "S" LOTE "M" C/39</v>
      </c>
    </row>
    <row r="653" spans="2:5" x14ac:dyDescent="0.2">
      <c r="B653" s="182" t="str">
        <f>'[1]COMEDORES EMERGENTES'!$B$13</f>
        <v>LA LUCIERNAGA</v>
      </c>
      <c r="C653" s="183"/>
      <c r="D653" s="88" t="s">
        <v>158</v>
      </c>
      <c r="E653" s="89" t="str">
        <f>'[1]COMEDORES EMERGENTES'!$G$13</f>
        <v>Bº 20 V.V NORTE C/3</v>
      </c>
    </row>
    <row r="654" spans="2:5" x14ac:dyDescent="0.2">
      <c r="B654" s="182" t="str">
        <f>'[1]COMEDORES EMERGENTES'!$B$14</f>
        <v>VALLE VIEJO - SUMALAO</v>
      </c>
      <c r="C654" s="183"/>
      <c r="D654" s="88" t="s">
        <v>180</v>
      </c>
      <c r="E654" s="89" t="str">
        <f>'[1]COMEDORES EMERGENTES'!$G$14</f>
        <v>PADRE SEGURA S/N</v>
      </c>
    </row>
    <row r="655" spans="2:5" x14ac:dyDescent="0.2">
      <c r="B655" s="182" t="str">
        <f>'[1]COMEDORES EMERGENTES'!$B$15</f>
        <v>NUESTRO FUTURO - LAS VIAS</v>
      </c>
      <c r="C655" s="183"/>
      <c r="D655" s="88" t="s">
        <v>158</v>
      </c>
      <c r="E655" s="89" t="str">
        <f>'[1]COMEDORES EMERGENTES'!$G$15</f>
        <v>Bº LAS VIAS OESTE LOTE 42</v>
      </c>
    </row>
    <row r="656" spans="2:5" x14ac:dyDescent="0.2">
      <c r="B656" s="182" t="str">
        <f>'[1]COMEDORES EMERGENTES'!$B$16</f>
        <v>SAN JOSE OBRERO</v>
      </c>
      <c r="C656" s="183"/>
      <c r="D656" s="88" t="s">
        <v>163</v>
      </c>
      <c r="E656" s="89" t="str">
        <f>'[1]COMEDORES EMERGENTES'!$G$16</f>
        <v>Bº SAN JOSE OBRERO. PJE. SANDOVAL S/Nº</v>
      </c>
    </row>
    <row r="657" spans="2:5" x14ac:dyDescent="0.2">
      <c r="B657" s="182" t="str">
        <f>'[1]COMEDORES EMERGENTES'!$B$17</f>
        <v>VIRGEN DE LUJAN</v>
      </c>
      <c r="C657" s="183"/>
      <c r="D657" s="88" t="s">
        <v>158</v>
      </c>
      <c r="E657" s="89" t="str">
        <f>'[1]COMEDORES EMERGENTES'!$G$17</f>
        <v>Bº OJO DE AGUA C/DR.TEODULFO BARRIONUEVO S/Nº</v>
      </c>
    </row>
    <row r="658" spans="2:5" x14ac:dyDescent="0.2">
      <c r="B658" s="182" t="str">
        <f>'[1]COMEDORES EMERGENTES'!$B$18</f>
        <v>RENACER</v>
      </c>
      <c r="C658" s="183"/>
      <c r="D658" s="88" t="s">
        <v>137</v>
      </c>
      <c r="E658" s="89" t="str">
        <f>'[1]COMEDORES EMERGENTES'!$G$18</f>
        <v>Bº VIRGEN MORENITA</v>
      </c>
    </row>
    <row r="659" spans="2:5" x14ac:dyDescent="0.2">
      <c r="B659" s="182" t="str">
        <f>'[1]COMEDORES EMERGENTES'!$B$19</f>
        <v>CENTRO VECINAL MI JARDIN</v>
      </c>
      <c r="C659" s="183"/>
      <c r="D659" s="88" t="s">
        <v>150</v>
      </c>
      <c r="E659" s="89" t="str">
        <f>'[1]COMEDORES EMERGENTES'!$G$19</f>
        <v>C/ LOS TULIPANES ENTRE FLOR DE CEREZO Y HOLANDA MZA.27 Bº MI JARDIN</v>
      </c>
    </row>
    <row r="660" spans="2:5" x14ac:dyDescent="0.2">
      <c r="B660" s="182" t="str">
        <f>'[1]COMEDORES EMERGENTES'!$B$20</f>
        <v>LA VIEJA ESQUINA</v>
      </c>
      <c r="C660" s="183"/>
      <c r="D660" s="88" t="s">
        <v>190</v>
      </c>
      <c r="E660" s="89" t="str">
        <f>'[1]COMEDORES EMERGENTES'!$G$20</f>
        <v>B° CRISTO REY PJE CAPATAZ VILLAFAÑEZ Y ARMANDO CORREA</v>
      </c>
    </row>
    <row r="661" spans="2:5" x14ac:dyDescent="0.2">
      <c r="B661" s="182" t="str">
        <f>'[1]COMEDORES EMERGENTES'!$B$21</f>
        <v>GAUCHITO GIL</v>
      </c>
      <c r="C661" s="183"/>
      <c r="D661" s="88" t="s">
        <v>136</v>
      </c>
      <c r="E661" s="89" t="str">
        <f>'[1]COMEDORES EMERGENTES'!$G$21</f>
        <v>B° 26 VIVIENDAS CASA N° 3</v>
      </c>
    </row>
    <row r="662" spans="2:5" ht="13.5" thickBot="1" x14ac:dyDescent="0.25">
      <c r="B662" s="196" t="str">
        <f>'[1]COMEDORES EMERGENTES'!$B$22</f>
        <v>LOS TOLDOS</v>
      </c>
      <c r="C662" s="197"/>
      <c r="D662" s="95" t="s">
        <v>144</v>
      </c>
      <c r="E662" s="96" t="str">
        <f>'[1]COMEDORES EMERGENTES'!$G$22</f>
        <v>LOTEO PARQUE SUR CALLE S/NOMBRE S/N°</v>
      </c>
    </row>
    <row r="663" spans="2:5" x14ac:dyDescent="0.2">
      <c r="B663" s="13" t="s">
        <v>18</v>
      </c>
      <c r="C663" s="11"/>
      <c r="D663" s="52"/>
      <c r="E663" s="12"/>
    </row>
    <row r="664" spans="2:5" x14ac:dyDescent="0.2">
      <c r="B664" s="14"/>
      <c r="C664" s="195" t="s">
        <v>24</v>
      </c>
      <c r="D664" s="195"/>
      <c r="E664" s="195"/>
    </row>
    <row r="665" spans="2:5" x14ac:dyDescent="0.2">
      <c r="B665" s="13" t="s">
        <v>19</v>
      </c>
      <c r="C665" s="15"/>
      <c r="D665" s="15"/>
      <c r="E665" s="16"/>
    </row>
    <row r="666" spans="2:5" x14ac:dyDescent="0.2">
      <c r="B666" s="14"/>
      <c r="C666" s="195" t="s">
        <v>101</v>
      </c>
      <c r="D666" s="195"/>
      <c r="E666" s="195"/>
    </row>
    <row r="667" spans="2:5" x14ac:dyDescent="0.2">
      <c r="B667" s="13" t="s">
        <v>20</v>
      </c>
      <c r="C667" s="11"/>
      <c r="D667" s="52"/>
      <c r="E667" s="12"/>
    </row>
    <row r="668" spans="2:5" x14ac:dyDescent="0.2">
      <c r="B668" s="13"/>
      <c r="C668" s="181" t="s">
        <v>25</v>
      </c>
      <c r="D668" s="181"/>
      <c r="E668" s="181"/>
    </row>
    <row r="669" spans="2:5" ht="13.5" thickBot="1" x14ac:dyDescent="0.25">
      <c r="B669" s="17"/>
      <c r="C669" s="18"/>
      <c r="D669" s="53"/>
      <c r="E669" s="19"/>
    </row>
    <row r="670" spans="2:5" ht="13.5" thickBot="1" x14ac:dyDescent="0.25"/>
    <row r="671" spans="2:5" x14ac:dyDescent="0.2">
      <c r="B671" s="7" t="s">
        <v>117</v>
      </c>
      <c r="C671" s="8"/>
      <c r="D671" s="51"/>
      <c r="E671" s="9"/>
    </row>
    <row r="672" spans="2:5" x14ac:dyDescent="0.2">
      <c r="B672" s="10"/>
      <c r="C672" s="11"/>
      <c r="D672" s="52"/>
      <c r="E672" s="12"/>
    </row>
    <row r="673" spans="2:5" x14ac:dyDescent="0.2">
      <c r="B673" s="13" t="s">
        <v>16</v>
      </c>
      <c r="C673" s="11"/>
      <c r="D673" s="52"/>
      <c r="E673" s="12"/>
    </row>
    <row r="674" spans="2:5" ht="25.5" customHeight="1" x14ac:dyDescent="0.2">
      <c r="B674" s="13"/>
      <c r="C674" s="195"/>
      <c r="D674" s="195"/>
      <c r="E674" s="195"/>
    </row>
    <row r="675" spans="2:5" ht="13.5" thickBot="1" x14ac:dyDescent="0.25">
      <c r="B675" s="13" t="s">
        <v>17</v>
      </c>
      <c r="C675" s="11"/>
      <c r="D675" s="52"/>
      <c r="E675" s="12"/>
    </row>
    <row r="676" spans="2:5" ht="13.5" thickBot="1" x14ac:dyDescent="0.25">
      <c r="B676" s="187" t="s">
        <v>98</v>
      </c>
      <c r="C676" s="191"/>
      <c r="D676" s="191"/>
      <c r="E676" s="188"/>
    </row>
    <row r="677" spans="2:5" ht="13.5" thickBot="1" x14ac:dyDescent="0.25">
      <c r="B677" s="187" t="s">
        <v>99</v>
      </c>
      <c r="C677" s="188"/>
      <c r="D677" s="49" t="s">
        <v>11</v>
      </c>
      <c r="E677" s="49" t="s">
        <v>100</v>
      </c>
    </row>
    <row r="678" spans="2:5" x14ac:dyDescent="0.2">
      <c r="B678" s="189" t="str">
        <f>'[1]COMEDORES EMERGENTES'!$B$3</f>
        <v>UNA SONRISA AV. LOS COBACHO</v>
      </c>
      <c r="C678" s="190"/>
      <c r="D678" s="93" t="s">
        <v>129</v>
      </c>
      <c r="E678" s="94" t="str">
        <f>'[1]COMEDORES EMERGENTES'!$G$3</f>
        <v>Bº SAN CARLOS OESTE AV. Bonifacio cobacho 670</v>
      </c>
    </row>
    <row r="679" spans="2:5" x14ac:dyDescent="0.2">
      <c r="B679" s="182" t="str">
        <f>'[1]COMEDORES EMERGENTES'!$B$4</f>
        <v>C.I.F Nº1 - RIVERA DEL VALLE Y FLORIDA</v>
      </c>
      <c r="C679" s="183"/>
      <c r="D679" s="88" t="s">
        <v>131</v>
      </c>
      <c r="E679" s="89" t="str">
        <f>'[1]COMEDORES EMERGENTES'!$G$4</f>
        <v>AV. RIVIERA DEL VALLE ENTRE FLORIDA Y SANTA FE</v>
      </c>
    </row>
    <row r="680" spans="2:5" x14ac:dyDescent="0.2">
      <c r="B680" s="182" t="str">
        <f>'[1]COMEDORES EMERGENTES'!$B$5</f>
        <v>C.I.F - RIVERA DEL VALLE - DILORENZO</v>
      </c>
      <c r="C680" s="183"/>
      <c r="D680" s="88" t="s">
        <v>132</v>
      </c>
      <c r="E680" s="89" t="str">
        <f>'[1]COMEDORES EMERGENTES'!$G$5</f>
        <v>Bº RIVERA DEL VALLE ENTRE VILLA EUMELIA Y MONTE CRISTO</v>
      </c>
    </row>
    <row r="681" spans="2:5" x14ac:dyDescent="0.2">
      <c r="B681" s="182" t="str">
        <f>'[1]COMEDORES EMERGENTES'!$B$6</f>
        <v>ESFUERZO PROPIO- Bº ALTOS DE CHOYA</v>
      </c>
      <c r="C681" s="183"/>
      <c r="D681" s="88" t="s">
        <v>133</v>
      </c>
      <c r="E681" s="89" t="str">
        <f>'[1]COMEDORES EMERGENTES'!$G$6</f>
        <v>Bº MUNICIPAL 35VV. NORTE C/14</v>
      </c>
    </row>
    <row r="682" spans="2:5" x14ac:dyDescent="0.2">
      <c r="B682" s="182" t="str">
        <f>'[1]COMEDORES EMERGENTES'!$B$7</f>
        <v>ANGELITOS - LOTEO SUSSEX</v>
      </c>
      <c r="C682" s="183"/>
      <c r="D682" s="88" t="s">
        <v>134</v>
      </c>
      <c r="E682" s="89" t="str">
        <f>'[1]COMEDORES EMERGENTES'!$G$7</f>
        <v>Bº LOTEO SUSEX MZA.Nº 4 LOTE Nº3</v>
      </c>
    </row>
    <row r="683" spans="2:5" x14ac:dyDescent="0.2">
      <c r="B683" s="182" t="str">
        <f>'[1]COMEDORES EMERGENTES'!$B$8</f>
        <v>CLUB DEPORTIVO CHACARITA</v>
      </c>
      <c r="C683" s="183"/>
      <c r="D683" s="88" t="s">
        <v>135</v>
      </c>
      <c r="E683" s="89" t="str">
        <f>'[1]COMEDORES EMERGENTES'!$G$8</f>
        <v>CALLE DR.DERMIDIO GALINDEZ C/2660</v>
      </c>
    </row>
    <row r="684" spans="2:5" x14ac:dyDescent="0.2">
      <c r="B684" s="182" t="str">
        <f>'[1]COMEDORES EMERGENTES'!$B$9</f>
        <v>LA MORO</v>
      </c>
      <c r="C684" s="183"/>
      <c r="D684" s="88" t="s">
        <v>130</v>
      </c>
      <c r="E684" s="89" t="str">
        <f>'[1]COMEDORES EMERGENTES'!$G$9</f>
        <v>MAIPU NORTE 1º ETAPA MZA "H" Bº MI JARDIN</v>
      </c>
    </row>
    <row r="685" spans="2:5" x14ac:dyDescent="0.2">
      <c r="B685" s="182" t="str">
        <f>'[1]COMEDORES EMERGENTES'!$B$10</f>
        <v>PAPA FRANCISCO</v>
      </c>
      <c r="C685" s="183"/>
      <c r="D685" s="88" t="s">
        <v>136</v>
      </c>
      <c r="E685" s="89" t="str">
        <f>'[1]COMEDORES EMERGENTES'!$G$10</f>
        <v>ENTRE AV.TEREBINTO Y AV.SAN JUAN LOTE "2" MZA. "B"</v>
      </c>
    </row>
    <row r="686" spans="2:5" x14ac:dyDescent="0.2">
      <c r="B686" s="182" t="str">
        <f>'[1]COMEDORES EMERGENTES'!$B$11</f>
        <v>E.P.C - 100 V.V NORTE</v>
      </c>
      <c r="C686" s="183"/>
      <c r="D686" s="88" t="s">
        <v>137</v>
      </c>
      <c r="E686" s="89" t="str">
        <f>'[1]COMEDORES EMERGENTES'!$G$11</f>
        <v>Bº VV NORTE C/48 ENTRE ESPAÑA Y FRANCIA</v>
      </c>
    </row>
    <row r="687" spans="2:5" x14ac:dyDescent="0.2">
      <c r="B687" s="182" t="str">
        <f>'[1]COMEDORES EMERGENTES'!$B$12</f>
        <v>HOGAR DE CRISTO - PADRE RAUL CONTRERAS</v>
      </c>
      <c r="C687" s="183"/>
      <c r="D687" s="88" t="s">
        <v>137</v>
      </c>
      <c r="E687" s="89" t="str">
        <f>'[1]COMEDORES EMERGENTES'!$G$12</f>
        <v>Bº SANTA MARTA MZA. "S" LOTE "M" C/39</v>
      </c>
    </row>
    <row r="688" spans="2:5" x14ac:dyDescent="0.2">
      <c r="B688" s="182" t="str">
        <f>'[1]COMEDORES EMERGENTES'!$B$13</f>
        <v>LA LUCIERNAGA</v>
      </c>
      <c r="C688" s="183"/>
      <c r="D688" s="88" t="s">
        <v>136</v>
      </c>
      <c r="E688" s="89" t="str">
        <f>'[1]COMEDORES EMERGENTES'!$G$13</f>
        <v>Bº 20 V.V NORTE C/3</v>
      </c>
    </row>
    <row r="689" spans="2:5" x14ac:dyDescent="0.2">
      <c r="B689" s="182" t="str">
        <f>'[1]COMEDORES EMERGENTES'!$B$14</f>
        <v>VALLE VIEJO - SUMALAO</v>
      </c>
      <c r="C689" s="183"/>
      <c r="D689" s="88" t="s">
        <v>138</v>
      </c>
      <c r="E689" s="89" t="str">
        <f>'[1]COMEDORES EMERGENTES'!$G$14</f>
        <v>PADRE SEGURA S/N</v>
      </c>
    </row>
    <row r="690" spans="2:5" x14ac:dyDescent="0.2">
      <c r="B690" s="182" t="str">
        <f>'[1]COMEDORES EMERGENTES'!$B$15</f>
        <v>NUESTRO FUTURO - LAS VIAS</v>
      </c>
      <c r="C690" s="183"/>
      <c r="D690" s="88" t="s">
        <v>136</v>
      </c>
      <c r="E690" s="89" t="str">
        <f>'[1]COMEDORES EMERGENTES'!$G$15</f>
        <v>Bº LAS VIAS OESTE LOTE 42</v>
      </c>
    </row>
    <row r="691" spans="2:5" x14ac:dyDescent="0.2">
      <c r="B691" s="182" t="str">
        <f>'[1]COMEDORES EMERGENTES'!$B$16</f>
        <v>SAN JOSE OBRERO</v>
      </c>
      <c r="C691" s="183"/>
      <c r="D691" s="88" t="s">
        <v>135</v>
      </c>
      <c r="E691" s="89" t="str">
        <f>'[1]COMEDORES EMERGENTES'!$G$16</f>
        <v>Bº SAN JOSE OBRERO. PJE. SANDOVAL S/Nº</v>
      </c>
    </row>
    <row r="692" spans="2:5" x14ac:dyDescent="0.2">
      <c r="B692" s="182" t="str">
        <f>'[1]COMEDORES EMERGENTES'!$B$17</f>
        <v>VIRGEN DE LUJAN</v>
      </c>
      <c r="C692" s="183"/>
      <c r="D692" s="88" t="s">
        <v>136</v>
      </c>
      <c r="E692" s="89" t="str">
        <f>'[1]COMEDORES EMERGENTES'!$G$17</f>
        <v>Bº OJO DE AGUA C/DR.TEODULFO BARRIONUEVO S/Nº</v>
      </c>
    </row>
    <row r="693" spans="2:5" x14ac:dyDescent="0.2">
      <c r="B693" s="182" t="str">
        <f>'[1]COMEDORES EMERGENTES'!$B$18</f>
        <v>RENACER</v>
      </c>
      <c r="C693" s="183"/>
      <c r="D693" s="88" t="s">
        <v>139</v>
      </c>
      <c r="E693" s="89" t="str">
        <f>'[1]COMEDORES EMERGENTES'!$G$18</f>
        <v>Bº VIRGEN MORENITA</v>
      </c>
    </row>
    <row r="694" spans="2:5" x14ac:dyDescent="0.2">
      <c r="B694" s="182" t="str">
        <f>'[1]COMEDORES EMERGENTES'!$B$19</f>
        <v>CENTRO VECINAL MI JARDIN</v>
      </c>
      <c r="C694" s="183"/>
      <c r="D694" s="88" t="s">
        <v>140</v>
      </c>
      <c r="E694" s="89" t="str">
        <f>'[1]COMEDORES EMERGENTES'!$G$19</f>
        <v>C/ LOS TULIPANES ENTRE FLOR DE CEREZO Y HOLANDA MZA.27 Bº MI JARDIN</v>
      </c>
    </row>
    <row r="695" spans="2:5" x14ac:dyDescent="0.2">
      <c r="B695" s="182" t="str">
        <f>'[1]COMEDORES EMERGENTES'!$B$20</f>
        <v>LA VIEJA ESQUINA</v>
      </c>
      <c r="C695" s="183"/>
      <c r="D695" s="88" t="s">
        <v>141</v>
      </c>
      <c r="E695" s="89" t="str">
        <f>'[1]COMEDORES EMERGENTES'!$G$20</f>
        <v>B° CRISTO REY PJE CAPATAZ VILLAFAÑEZ Y ARMANDO CORREA</v>
      </c>
    </row>
    <row r="696" spans="2:5" x14ac:dyDescent="0.2">
      <c r="B696" s="182" t="str">
        <f>'[1]COMEDORES EMERGENTES'!$B$21</f>
        <v>GAUCHITO GIL</v>
      </c>
      <c r="C696" s="183"/>
      <c r="D696" s="88" t="s">
        <v>142</v>
      </c>
      <c r="E696" s="89" t="str">
        <f>'[1]COMEDORES EMERGENTES'!$G$21</f>
        <v>B° 26 VIVIENDAS CASA N° 3</v>
      </c>
    </row>
    <row r="697" spans="2:5" ht="13.5" thickBot="1" x14ac:dyDescent="0.25">
      <c r="B697" s="196" t="str">
        <f>'[1]COMEDORES EMERGENTES'!$B$22</f>
        <v>LOS TOLDOS</v>
      </c>
      <c r="C697" s="197"/>
      <c r="D697" s="95" t="s">
        <v>162</v>
      </c>
      <c r="E697" s="96" t="str">
        <f>'[1]COMEDORES EMERGENTES'!$G$22</f>
        <v>LOTEO PARQUE SUR CALLE S/NOMBRE S/N°</v>
      </c>
    </row>
    <row r="698" spans="2:5" x14ac:dyDescent="0.2">
      <c r="B698" s="13" t="s">
        <v>18</v>
      </c>
      <c r="C698" s="11"/>
      <c r="D698" s="52"/>
      <c r="E698" s="12"/>
    </row>
    <row r="699" spans="2:5" x14ac:dyDescent="0.2">
      <c r="B699" s="14"/>
      <c r="C699" s="195" t="s">
        <v>24</v>
      </c>
      <c r="D699" s="195"/>
      <c r="E699" s="195"/>
    </row>
    <row r="700" spans="2:5" x14ac:dyDescent="0.2">
      <c r="B700" s="13" t="s">
        <v>19</v>
      </c>
      <c r="C700" s="15"/>
      <c r="D700" s="15"/>
      <c r="E700" s="16"/>
    </row>
    <row r="701" spans="2:5" x14ac:dyDescent="0.2">
      <c r="B701" s="14"/>
      <c r="C701" s="195" t="s">
        <v>101</v>
      </c>
      <c r="D701" s="195"/>
      <c r="E701" s="195"/>
    </row>
    <row r="702" spans="2:5" x14ac:dyDescent="0.2">
      <c r="B702" s="13" t="s">
        <v>20</v>
      </c>
      <c r="C702" s="11"/>
      <c r="D702" s="52"/>
      <c r="E702" s="12"/>
    </row>
    <row r="703" spans="2:5" x14ac:dyDescent="0.2">
      <c r="B703" s="13"/>
      <c r="C703" s="181" t="s">
        <v>25</v>
      </c>
      <c r="D703" s="181"/>
      <c r="E703" s="181"/>
    </row>
    <row r="704" spans="2:5" ht="13.5" thickBot="1" x14ac:dyDescent="0.25">
      <c r="B704" s="17"/>
      <c r="C704" s="18"/>
      <c r="D704" s="53"/>
      <c r="E704" s="19"/>
    </row>
    <row r="705" spans="2:5" ht="13.5" thickBot="1" x14ac:dyDescent="0.25"/>
    <row r="706" spans="2:5" x14ac:dyDescent="0.2">
      <c r="B706" s="7" t="s">
        <v>118</v>
      </c>
      <c r="C706" s="8"/>
      <c r="D706" s="51"/>
      <c r="E706" s="9"/>
    </row>
    <row r="707" spans="2:5" x14ac:dyDescent="0.2">
      <c r="B707" s="10"/>
      <c r="C707" s="11"/>
      <c r="D707" s="52"/>
      <c r="E707" s="12"/>
    </row>
    <row r="708" spans="2:5" x14ac:dyDescent="0.2">
      <c r="B708" s="13" t="s">
        <v>16</v>
      </c>
      <c r="C708" s="11"/>
      <c r="D708" s="52"/>
      <c r="E708" s="12"/>
    </row>
    <row r="709" spans="2:5" ht="25.5" customHeight="1" x14ac:dyDescent="0.2">
      <c r="B709" s="13"/>
      <c r="C709" s="195"/>
      <c r="D709" s="195"/>
      <c r="E709" s="195"/>
    </row>
    <row r="710" spans="2:5" ht="13.5" thickBot="1" x14ac:dyDescent="0.25">
      <c r="B710" s="13" t="s">
        <v>17</v>
      </c>
      <c r="C710" s="11"/>
      <c r="D710" s="52"/>
      <c r="E710" s="12"/>
    </row>
    <row r="711" spans="2:5" ht="13.5" thickBot="1" x14ac:dyDescent="0.25">
      <c r="B711" s="187" t="s">
        <v>98</v>
      </c>
      <c r="C711" s="191"/>
      <c r="D711" s="191"/>
      <c r="E711" s="188"/>
    </row>
    <row r="712" spans="2:5" ht="13.5" thickBot="1" x14ac:dyDescent="0.25">
      <c r="B712" s="187" t="s">
        <v>99</v>
      </c>
      <c r="C712" s="188"/>
      <c r="D712" s="49" t="s">
        <v>11</v>
      </c>
      <c r="E712" s="49" t="s">
        <v>100</v>
      </c>
    </row>
    <row r="713" spans="2:5" x14ac:dyDescent="0.2">
      <c r="B713" s="189" t="str">
        <f>'[1]COMEDORES EMERGENTES'!$B$3</f>
        <v>UNA SONRISA AV. LOS COBACHO</v>
      </c>
      <c r="C713" s="190"/>
      <c r="D713" s="93" t="s">
        <v>165</v>
      </c>
      <c r="E713" s="94" t="str">
        <f>'[1]COMEDORES EMERGENTES'!$G$3</f>
        <v>Bº SAN CARLOS OESTE AV. Bonifacio cobacho 670</v>
      </c>
    </row>
    <row r="714" spans="2:5" x14ac:dyDescent="0.2">
      <c r="B714" s="182" t="str">
        <f>'[1]COMEDORES EMERGENTES'!$B$4</f>
        <v>C.I.F Nº1 - RIVERA DEL VALLE Y FLORIDA</v>
      </c>
      <c r="C714" s="183"/>
      <c r="D714" s="88" t="s">
        <v>191</v>
      </c>
      <c r="E714" s="89" t="str">
        <f>'[1]COMEDORES EMERGENTES'!$G$4</f>
        <v>AV. RIVIERA DEL VALLE ENTRE FLORIDA Y SANTA FE</v>
      </c>
    </row>
    <row r="715" spans="2:5" x14ac:dyDescent="0.2">
      <c r="B715" s="182" t="str">
        <f>'[1]COMEDORES EMERGENTES'!$B$5</f>
        <v>C.I.F - RIVERA DEL VALLE - DILORENZO</v>
      </c>
      <c r="C715" s="183"/>
      <c r="D715" s="88" t="s">
        <v>192</v>
      </c>
      <c r="E715" s="89" t="str">
        <f>'[1]COMEDORES EMERGENTES'!$G$5</f>
        <v>Bº RIVERA DEL VALLE ENTRE VILLA EUMELIA Y MONTE CRISTO</v>
      </c>
    </row>
    <row r="716" spans="2:5" x14ac:dyDescent="0.2">
      <c r="B716" s="182" t="str">
        <f>'[1]COMEDORES EMERGENTES'!$B$6</f>
        <v>ESFUERZO PROPIO- Bº ALTOS DE CHOYA</v>
      </c>
      <c r="C716" s="183"/>
      <c r="D716" s="88" t="s">
        <v>179</v>
      </c>
      <c r="E716" s="89" t="str">
        <f>'[1]COMEDORES EMERGENTES'!$G$6</f>
        <v>Bº MUNICIPAL 35VV. NORTE C/14</v>
      </c>
    </row>
    <row r="717" spans="2:5" x14ac:dyDescent="0.2">
      <c r="B717" s="182" t="str">
        <f>'[1]COMEDORES EMERGENTES'!$B$7</f>
        <v>ANGELITOS - LOTEO SUSSEX</v>
      </c>
      <c r="C717" s="183"/>
      <c r="D717" s="88" t="s">
        <v>154</v>
      </c>
      <c r="E717" s="89" t="str">
        <f>'[1]COMEDORES EMERGENTES'!$G$7</f>
        <v>Bº LOTEO SUSEX MZA.Nº 4 LOTE Nº3</v>
      </c>
    </row>
    <row r="718" spans="2:5" x14ac:dyDescent="0.2">
      <c r="B718" s="182" t="str">
        <f>'[1]COMEDORES EMERGENTES'!$B$8</f>
        <v>CLUB DEPORTIVO CHACARITA</v>
      </c>
      <c r="C718" s="183"/>
      <c r="D718" s="88" t="s">
        <v>193</v>
      </c>
      <c r="E718" s="89" t="str">
        <f>'[1]COMEDORES EMERGENTES'!$G$8</f>
        <v>CALLE DR.DERMIDIO GALINDEZ C/2660</v>
      </c>
    </row>
    <row r="719" spans="2:5" x14ac:dyDescent="0.2">
      <c r="B719" s="182" t="str">
        <f>'[1]COMEDORES EMERGENTES'!$B$9</f>
        <v>LA MORO</v>
      </c>
      <c r="C719" s="183"/>
      <c r="D719" s="88" t="s">
        <v>171</v>
      </c>
      <c r="E719" s="89" t="str">
        <f>'[1]COMEDORES EMERGENTES'!$G$9</f>
        <v>MAIPU NORTE 1º ETAPA MZA "H" Bº MI JARDIN</v>
      </c>
    </row>
    <row r="720" spans="2:5" x14ac:dyDescent="0.2">
      <c r="B720" s="182" t="str">
        <f>'[1]COMEDORES EMERGENTES'!$B$10</f>
        <v>PAPA FRANCISCO</v>
      </c>
      <c r="C720" s="183"/>
      <c r="D720" s="88" t="s">
        <v>194</v>
      </c>
      <c r="E720" s="89" t="str">
        <f>'[1]COMEDORES EMERGENTES'!$G$10</f>
        <v>ENTRE AV.TEREBINTO Y AV.SAN JUAN LOTE "2" MZA. "B"</v>
      </c>
    </row>
    <row r="721" spans="2:5" x14ac:dyDescent="0.2">
      <c r="B721" s="182" t="str">
        <f>'[1]COMEDORES EMERGENTES'!$B$11</f>
        <v>E.P.C - 100 V.V NORTE</v>
      </c>
      <c r="C721" s="183"/>
      <c r="D721" s="88" t="s">
        <v>195</v>
      </c>
      <c r="E721" s="89" t="str">
        <f>'[1]COMEDORES EMERGENTES'!$G$11</f>
        <v>Bº VV NORTE C/48 ENTRE ESPAÑA Y FRANCIA</v>
      </c>
    </row>
    <row r="722" spans="2:5" x14ac:dyDescent="0.2">
      <c r="B722" s="182" t="str">
        <f>'[1]COMEDORES EMERGENTES'!$B$12</f>
        <v>HOGAR DE CRISTO - PADRE RAUL CONTRERAS</v>
      </c>
      <c r="C722" s="183"/>
      <c r="D722" s="88" t="s">
        <v>195</v>
      </c>
      <c r="E722" s="89" t="str">
        <f>'[1]COMEDORES EMERGENTES'!$G$12</f>
        <v>Bº SANTA MARTA MZA. "S" LOTE "M" C/39</v>
      </c>
    </row>
    <row r="723" spans="2:5" x14ac:dyDescent="0.2">
      <c r="B723" s="182" t="str">
        <f>'[1]COMEDORES EMERGENTES'!$B$13</f>
        <v>LA LUCIERNAGA</v>
      </c>
      <c r="C723" s="183"/>
      <c r="D723" s="88" t="s">
        <v>194</v>
      </c>
      <c r="E723" s="89" t="str">
        <f>'[1]COMEDORES EMERGENTES'!$G$13</f>
        <v>Bº 20 V.V NORTE C/3</v>
      </c>
    </row>
    <row r="724" spans="2:5" x14ac:dyDescent="0.2">
      <c r="B724" s="182" t="str">
        <f>'[1]COMEDORES EMERGENTES'!$B$14</f>
        <v>VALLE VIEJO - SUMALAO</v>
      </c>
      <c r="C724" s="183"/>
      <c r="D724" s="88" t="s">
        <v>196</v>
      </c>
      <c r="E724" s="89" t="str">
        <f>'[1]COMEDORES EMERGENTES'!$G$14</f>
        <v>PADRE SEGURA S/N</v>
      </c>
    </row>
    <row r="725" spans="2:5" x14ac:dyDescent="0.2">
      <c r="B725" s="182" t="str">
        <f>'[1]COMEDORES EMERGENTES'!$B$15</f>
        <v>NUESTRO FUTURO - LAS VIAS</v>
      </c>
      <c r="C725" s="183"/>
      <c r="D725" s="88" t="s">
        <v>194</v>
      </c>
      <c r="E725" s="89" t="str">
        <f>'[1]COMEDORES EMERGENTES'!$G$15</f>
        <v>Bº LAS VIAS OESTE LOTE 42</v>
      </c>
    </row>
    <row r="726" spans="2:5" x14ac:dyDescent="0.2">
      <c r="B726" s="182" t="str">
        <f>'[1]COMEDORES EMERGENTES'!$B$16</f>
        <v>SAN JOSE OBRERO</v>
      </c>
      <c r="C726" s="183"/>
      <c r="D726" s="88" t="s">
        <v>193</v>
      </c>
      <c r="E726" s="89" t="str">
        <f>'[1]COMEDORES EMERGENTES'!$G$16</f>
        <v>Bº SAN JOSE OBRERO. PJE. SANDOVAL S/Nº</v>
      </c>
    </row>
    <row r="727" spans="2:5" x14ac:dyDescent="0.2">
      <c r="B727" s="182" t="str">
        <f>'[1]COMEDORES EMERGENTES'!$B$17</f>
        <v>VIRGEN DE LUJAN</v>
      </c>
      <c r="C727" s="183"/>
      <c r="D727" s="88" t="s">
        <v>194</v>
      </c>
      <c r="E727" s="89" t="str">
        <f>'[1]COMEDORES EMERGENTES'!$G$17</f>
        <v>Bº OJO DE AGUA C/DR.TEODULFO BARRIONUEVO S/Nº</v>
      </c>
    </row>
    <row r="728" spans="2:5" x14ac:dyDescent="0.2">
      <c r="B728" s="182" t="str">
        <f>'[1]COMEDORES EMERGENTES'!$B$18</f>
        <v>RENACER</v>
      </c>
      <c r="C728" s="183"/>
      <c r="D728" s="88" t="s">
        <v>197</v>
      </c>
      <c r="E728" s="89" t="str">
        <f>'[1]COMEDORES EMERGENTES'!$G$18</f>
        <v>Bº VIRGEN MORENITA</v>
      </c>
    </row>
    <row r="729" spans="2:5" x14ac:dyDescent="0.2">
      <c r="B729" s="182" t="str">
        <f>'[1]COMEDORES EMERGENTES'!$B$19</f>
        <v>CENTRO VECINAL MI JARDIN</v>
      </c>
      <c r="C729" s="183"/>
      <c r="D729" s="88" t="s">
        <v>198</v>
      </c>
      <c r="E729" s="89" t="str">
        <f>'[1]COMEDORES EMERGENTES'!$G$19</f>
        <v>C/ LOS TULIPANES ENTRE FLOR DE CEREZO Y HOLANDA MZA.27 Bº MI JARDIN</v>
      </c>
    </row>
    <row r="730" spans="2:5" x14ac:dyDescent="0.2">
      <c r="B730" s="182" t="str">
        <f>'[1]COMEDORES EMERGENTES'!$B$20</f>
        <v>LA VIEJA ESQUINA</v>
      </c>
      <c r="C730" s="183"/>
      <c r="D730" s="88" t="s">
        <v>199</v>
      </c>
      <c r="E730" s="89" t="str">
        <f>'[1]COMEDORES EMERGENTES'!$G$20</f>
        <v>B° CRISTO REY PJE CAPATAZ VILLAFAÑEZ Y ARMANDO CORREA</v>
      </c>
    </row>
    <row r="731" spans="2:5" x14ac:dyDescent="0.2">
      <c r="B731" s="182" t="str">
        <f>'[1]COMEDORES EMERGENTES'!$B$21</f>
        <v>GAUCHITO GIL</v>
      </c>
      <c r="C731" s="183"/>
      <c r="D731" s="88" t="s">
        <v>200</v>
      </c>
      <c r="E731" s="89" t="str">
        <f>'[1]COMEDORES EMERGENTES'!$G$21</f>
        <v>B° 26 VIVIENDAS CASA N° 3</v>
      </c>
    </row>
    <row r="732" spans="2:5" ht="13.5" thickBot="1" x14ac:dyDescent="0.25">
      <c r="B732" s="196" t="str">
        <f>'[1]COMEDORES EMERGENTES'!$B$22</f>
        <v>LOS TOLDOS</v>
      </c>
      <c r="C732" s="197"/>
      <c r="D732" s="95" t="s">
        <v>150</v>
      </c>
      <c r="E732" s="96" t="str">
        <f>'[1]COMEDORES EMERGENTES'!$G$22</f>
        <v>LOTEO PARQUE SUR CALLE S/NOMBRE S/N°</v>
      </c>
    </row>
    <row r="733" spans="2:5" x14ac:dyDescent="0.2">
      <c r="B733" s="13" t="s">
        <v>18</v>
      </c>
      <c r="C733" s="11"/>
      <c r="D733" s="52"/>
      <c r="E733" s="12"/>
    </row>
    <row r="734" spans="2:5" x14ac:dyDescent="0.2">
      <c r="B734" s="14"/>
      <c r="C734" s="195" t="s">
        <v>24</v>
      </c>
      <c r="D734" s="195"/>
      <c r="E734" s="195"/>
    </row>
    <row r="735" spans="2:5" x14ac:dyDescent="0.2">
      <c r="B735" s="13" t="s">
        <v>19</v>
      </c>
      <c r="C735" s="15"/>
      <c r="D735" s="15"/>
      <c r="E735" s="16"/>
    </row>
    <row r="736" spans="2:5" x14ac:dyDescent="0.2">
      <c r="B736" s="14"/>
      <c r="C736" s="195" t="s">
        <v>101</v>
      </c>
      <c r="D736" s="195"/>
      <c r="E736" s="195"/>
    </row>
    <row r="737" spans="2:5" x14ac:dyDescent="0.2">
      <c r="B737" s="13" t="s">
        <v>20</v>
      </c>
      <c r="C737" s="11"/>
      <c r="D737" s="52"/>
      <c r="E737" s="12"/>
    </row>
    <row r="738" spans="2:5" x14ac:dyDescent="0.2">
      <c r="B738" s="13"/>
      <c r="C738" s="181" t="s">
        <v>25</v>
      </c>
      <c r="D738" s="181"/>
      <c r="E738" s="181"/>
    </row>
    <row r="739" spans="2:5" ht="13.5" thickBot="1" x14ac:dyDescent="0.25">
      <c r="B739" s="17"/>
      <c r="C739" s="18"/>
      <c r="D739" s="53"/>
      <c r="E739" s="19"/>
    </row>
    <row r="740" spans="2:5" ht="13.5" thickBot="1" x14ac:dyDescent="0.25"/>
    <row r="741" spans="2:5" x14ac:dyDescent="0.2">
      <c r="B741" s="7" t="s">
        <v>119</v>
      </c>
      <c r="C741" s="8"/>
      <c r="D741" s="51"/>
      <c r="E741" s="9"/>
    </row>
    <row r="742" spans="2:5" x14ac:dyDescent="0.2">
      <c r="B742" s="10"/>
      <c r="C742" s="11"/>
      <c r="D742" s="52"/>
      <c r="E742" s="12"/>
    </row>
    <row r="743" spans="2:5" x14ac:dyDescent="0.2">
      <c r="B743" s="13" t="s">
        <v>16</v>
      </c>
      <c r="C743" s="11"/>
      <c r="D743" s="52"/>
      <c r="E743" s="12"/>
    </row>
    <row r="744" spans="2:5" ht="25.5" customHeight="1" x14ac:dyDescent="0.2">
      <c r="B744" s="13"/>
      <c r="C744" s="195"/>
      <c r="D744" s="195"/>
      <c r="E744" s="195"/>
    </row>
    <row r="745" spans="2:5" ht="13.5" thickBot="1" x14ac:dyDescent="0.25">
      <c r="B745" s="13" t="s">
        <v>17</v>
      </c>
      <c r="C745" s="11"/>
      <c r="D745" s="52"/>
      <c r="E745" s="12"/>
    </row>
    <row r="746" spans="2:5" ht="13.5" thickBot="1" x14ac:dyDescent="0.25">
      <c r="B746" s="187" t="s">
        <v>201</v>
      </c>
      <c r="C746" s="191"/>
      <c r="D746" s="191"/>
      <c r="E746" s="188"/>
    </row>
    <row r="747" spans="2:5" ht="13.5" thickBot="1" x14ac:dyDescent="0.25">
      <c r="B747" s="187" t="s">
        <v>99</v>
      </c>
      <c r="C747" s="188"/>
      <c r="D747" s="49" t="s">
        <v>11</v>
      </c>
      <c r="E747" s="49" t="s">
        <v>100</v>
      </c>
    </row>
    <row r="748" spans="2:5" x14ac:dyDescent="0.2">
      <c r="B748" s="189" t="str">
        <f>'[1]COMEDORES EMERGENTES'!$B$3</f>
        <v>UNA SONRISA AV. LOS COBACHO</v>
      </c>
      <c r="C748" s="190"/>
      <c r="D748" s="93" t="s">
        <v>202</v>
      </c>
      <c r="E748" s="94" t="str">
        <f>'[1]COMEDORES EMERGENTES'!$G$3</f>
        <v>Bº SAN CARLOS OESTE AV. Bonifacio cobacho 670</v>
      </c>
    </row>
    <row r="749" spans="2:5" x14ac:dyDescent="0.2">
      <c r="B749" s="182" t="str">
        <f>'[1]COMEDORES EMERGENTES'!$B$4</f>
        <v>C.I.F Nº1 - RIVERA DEL VALLE Y FLORIDA</v>
      </c>
      <c r="C749" s="183"/>
      <c r="D749" s="88" t="s">
        <v>202</v>
      </c>
      <c r="E749" s="89" t="str">
        <f>'[1]COMEDORES EMERGENTES'!$G$4</f>
        <v>AV. RIVIERA DEL VALLE ENTRE FLORIDA Y SANTA FE</v>
      </c>
    </row>
    <row r="750" spans="2:5" x14ac:dyDescent="0.2">
      <c r="B750" s="182" t="str">
        <f>'[1]COMEDORES EMERGENTES'!$B$5</f>
        <v>C.I.F - RIVERA DEL VALLE - DILORENZO</v>
      </c>
      <c r="C750" s="183"/>
      <c r="D750" s="88" t="s">
        <v>202</v>
      </c>
      <c r="E750" s="89" t="str">
        <f>'[1]COMEDORES EMERGENTES'!$G$5</f>
        <v>Bº RIVERA DEL VALLE ENTRE VILLA EUMELIA Y MONTE CRISTO</v>
      </c>
    </row>
    <row r="751" spans="2:5" x14ac:dyDescent="0.2">
      <c r="B751" s="182" t="str">
        <f>'[1]COMEDORES EMERGENTES'!$B$6</f>
        <v>ESFUERZO PROPIO- Bº ALTOS DE CHOYA</v>
      </c>
      <c r="C751" s="183"/>
      <c r="D751" s="88" t="s">
        <v>202</v>
      </c>
      <c r="E751" s="89" t="str">
        <f>'[1]COMEDORES EMERGENTES'!$G$6</f>
        <v>Bº MUNICIPAL 35VV. NORTE C/14</v>
      </c>
    </row>
    <row r="752" spans="2:5" x14ac:dyDescent="0.2">
      <c r="B752" s="182" t="str">
        <f>'[1]COMEDORES EMERGENTES'!$B$7</f>
        <v>ANGELITOS - LOTEO SUSSEX</v>
      </c>
      <c r="C752" s="183"/>
      <c r="D752" s="88" t="s">
        <v>202</v>
      </c>
      <c r="E752" s="89" t="str">
        <f>'[1]COMEDORES EMERGENTES'!$G$7</f>
        <v>Bº LOTEO SUSEX MZA.Nº 4 LOTE Nº3</v>
      </c>
    </row>
    <row r="753" spans="2:5" x14ac:dyDescent="0.2">
      <c r="B753" s="182" t="str">
        <f>'[1]COMEDORES EMERGENTES'!$B$8</f>
        <v>CLUB DEPORTIVO CHACARITA</v>
      </c>
      <c r="C753" s="183"/>
      <c r="D753" s="88" t="s">
        <v>202</v>
      </c>
      <c r="E753" s="89" t="str">
        <f>'[1]COMEDORES EMERGENTES'!$G$8</f>
        <v>CALLE DR.DERMIDIO GALINDEZ C/2660</v>
      </c>
    </row>
    <row r="754" spans="2:5" x14ac:dyDescent="0.2">
      <c r="B754" s="182" t="str">
        <f>'[1]COMEDORES EMERGENTES'!$B$9</f>
        <v>LA MORO</v>
      </c>
      <c r="C754" s="183"/>
      <c r="D754" s="88" t="s">
        <v>202</v>
      </c>
      <c r="E754" s="89" t="str">
        <f>'[1]COMEDORES EMERGENTES'!$G$9</f>
        <v>MAIPU NORTE 1º ETAPA MZA "H" Bº MI JARDIN</v>
      </c>
    </row>
    <row r="755" spans="2:5" x14ac:dyDescent="0.2">
      <c r="B755" s="182" t="str">
        <f>'[1]COMEDORES EMERGENTES'!$B$10</f>
        <v>PAPA FRANCISCO</v>
      </c>
      <c r="C755" s="183"/>
      <c r="D755" s="88" t="s">
        <v>202</v>
      </c>
      <c r="E755" s="89" t="str">
        <f>'[1]COMEDORES EMERGENTES'!$G$10</f>
        <v>ENTRE AV.TEREBINTO Y AV.SAN JUAN LOTE "2" MZA. "B"</v>
      </c>
    </row>
    <row r="756" spans="2:5" x14ac:dyDescent="0.2">
      <c r="B756" s="182" t="str">
        <f>'[1]COMEDORES EMERGENTES'!$B$11</f>
        <v>E.P.C - 100 V.V NORTE</v>
      </c>
      <c r="C756" s="183"/>
      <c r="D756" s="88" t="s">
        <v>202</v>
      </c>
      <c r="E756" s="89" t="str">
        <f>'[1]COMEDORES EMERGENTES'!$G$11</f>
        <v>Bº VV NORTE C/48 ENTRE ESPAÑA Y FRANCIA</v>
      </c>
    </row>
    <row r="757" spans="2:5" x14ac:dyDescent="0.2">
      <c r="B757" s="182" t="str">
        <f>'[1]COMEDORES EMERGENTES'!$B$12</f>
        <v>HOGAR DE CRISTO - PADRE RAUL CONTRERAS</v>
      </c>
      <c r="C757" s="183"/>
      <c r="D757" s="88" t="s">
        <v>202</v>
      </c>
      <c r="E757" s="89" t="str">
        <f>'[1]COMEDORES EMERGENTES'!$G$12</f>
        <v>Bº SANTA MARTA MZA. "S" LOTE "M" C/39</v>
      </c>
    </row>
    <row r="758" spans="2:5" x14ac:dyDescent="0.2">
      <c r="B758" s="182" t="str">
        <f>'[1]COMEDORES EMERGENTES'!$B$13</f>
        <v>LA LUCIERNAGA</v>
      </c>
      <c r="C758" s="183"/>
      <c r="D758" s="88" t="s">
        <v>202</v>
      </c>
      <c r="E758" s="89" t="str">
        <f>'[1]COMEDORES EMERGENTES'!$G$13</f>
        <v>Bº 20 V.V NORTE C/3</v>
      </c>
    </row>
    <row r="759" spans="2:5" x14ac:dyDescent="0.2">
      <c r="B759" s="182" t="str">
        <f>'[1]COMEDORES EMERGENTES'!$B$14</f>
        <v>VALLE VIEJO - SUMALAO</v>
      </c>
      <c r="C759" s="183"/>
      <c r="D759" s="88" t="s">
        <v>202</v>
      </c>
      <c r="E759" s="89" t="str">
        <f>'[1]COMEDORES EMERGENTES'!$G$14</f>
        <v>PADRE SEGURA S/N</v>
      </c>
    </row>
    <row r="760" spans="2:5" x14ac:dyDescent="0.2">
      <c r="B760" s="182" t="str">
        <f>'[1]COMEDORES EMERGENTES'!$B$15</f>
        <v>NUESTRO FUTURO - LAS VIAS</v>
      </c>
      <c r="C760" s="183"/>
      <c r="D760" s="88" t="s">
        <v>202</v>
      </c>
      <c r="E760" s="89" t="str">
        <f>'[1]COMEDORES EMERGENTES'!$G$15</f>
        <v>Bº LAS VIAS OESTE LOTE 42</v>
      </c>
    </row>
    <row r="761" spans="2:5" x14ac:dyDescent="0.2">
      <c r="B761" s="182" t="str">
        <f>'[1]COMEDORES EMERGENTES'!$B$16</f>
        <v>SAN JOSE OBRERO</v>
      </c>
      <c r="C761" s="183"/>
      <c r="D761" s="88" t="s">
        <v>202</v>
      </c>
      <c r="E761" s="89" t="str">
        <f>'[1]COMEDORES EMERGENTES'!$G$16</f>
        <v>Bº SAN JOSE OBRERO. PJE. SANDOVAL S/Nº</v>
      </c>
    </row>
    <row r="762" spans="2:5" x14ac:dyDescent="0.2">
      <c r="B762" s="182" t="str">
        <f>'[1]COMEDORES EMERGENTES'!$B$17</f>
        <v>VIRGEN DE LUJAN</v>
      </c>
      <c r="C762" s="183"/>
      <c r="D762" s="88" t="s">
        <v>202</v>
      </c>
      <c r="E762" s="89" t="str">
        <f>'[1]COMEDORES EMERGENTES'!$G$17</f>
        <v>Bº OJO DE AGUA C/DR.TEODULFO BARRIONUEVO S/Nº</v>
      </c>
    </row>
    <row r="763" spans="2:5" x14ac:dyDescent="0.2">
      <c r="B763" s="182" t="str">
        <f>'[1]COMEDORES EMERGENTES'!$B$18</f>
        <v>RENACER</v>
      </c>
      <c r="C763" s="183"/>
      <c r="D763" s="88" t="s">
        <v>202</v>
      </c>
      <c r="E763" s="89" t="str">
        <f>'[1]COMEDORES EMERGENTES'!$G$18</f>
        <v>Bº VIRGEN MORENITA</v>
      </c>
    </row>
    <row r="764" spans="2:5" x14ac:dyDescent="0.2">
      <c r="B764" s="182" t="str">
        <f>'[1]COMEDORES EMERGENTES'!$B$19</f>
        <v>CENTRO VECINAL MI JARDIN</v>
      </c>
      <c r="C764" s="183"/>
      <c r="D764" s="88" t="s">
        <v>202</v>
      </c>
      <c r="E764" s="89" t="str">
        <f>'[1]COMEDORES EMERGENTES'!$G$19</f>
        <v>C/ LOS TULIPANES ENTRE FLOR DE CEREZO Y HOLANDA MZA.27 Bº MI JARDIN</v>
      </c>
    </row>
    <row r="765" spans="2:5" x14ac:dyDescent="0.2">
      <c r="B765" s="182" t="str">
        <f>'[1]COMEDORES EMERGENTES'!$B$20</f>
        <v>LA VIEJA ESQUINA</v>
      </c>
      <c r="C765" s="183"/>
      <c r="D765" s="88" t="s">
        <v>202</v>
      </c>
      <c r="E765" s="89" t="str">
        <f>'[1]COMEDORES EMERGENTES'!$G$20</f>
        <v>B° CRISTO REY PJE CAPATAZ VILLAFAÑEZ Y ARMANDO CORREA</v>
      </c>
    </row>
    <row r="766" spans="2:5" x14ac:dyDescent="0.2">
      <c r="B766" s="182" t="str">
        <f>'[1]COMEDORES EMERGENTES'!$B$21</f>
        <v>GAUCHITO GIL</v>
      </c>
      <c r="C766" s="183"/>
      <c r="D766" s="88" t="s">
        <v>202</v>
      </c>
      <c r="E766" s="89" t="str">
        <f>'[1]COMEDORES EMERGENTES'!$G$21</f>
        <v>B° 26 VIVIENDAS CASA N° 3</v>
      </c>
    </row>
    <row r="767" spans="2:5" ht="13.5" thickBot="1" x14ac:dyDescent="0.25">
      <c r="B767" s="196" t="str">
        <f>'[1]COMEDORES EMERGENTES'!$B$22</f>
        <v>LOS TOLDOS</v>
      </c>
      <c r="C767" s="197"/>
      <c r="D767" s="95" t="s">
        <v>202</v>
      </c>
      <c r="E767" s="96" t="str">
        <f>'[1]COMEDORES EMERGENTES'!$G$22</f>
        <v>LOTEO PARQUE SUR CALLE S/NOMBRE S/N°</v>
      </c>
    </row>
    <row r="768" spans="2:5" x14ac:dyDescent="0.2">
      <c r="B768" s="13" t="s">
        <v>18</v>
      </c>
      <c r="C768" s="11"/>
      <c r="D768" s="52"/>
      <c r="E768" s="12"/>
    </row>
    <row r="769" spans="2:5" x14ac:dyDescent="0.2">
      <c r="B769" s="14"/>
      <c r="C769" s="195" t="s">
        <v>24</v>
      </c>
      <c r="D769" s="195"/>
      <c r="E769" s="195"/>
    </row>
    <row r="770" spans="2:5" x14ac:dyDescent="0.2">
      <c r="B770" s="13" t="s">
        <v>19</v>
      </c>
      <c r="C770" s="15"/>
      <c r="D770" s="15"/>
      <c r="E770" s="16"/>
    </row>
    <row r="771" spans="2:5" x14ac:dyDescent="0.2">
      <c r="B771" s="14"/>
      <c r="C771" s="195" t="s">
        <v>101</v>
      </c>
      <c r="D771" s="195"/>
      <c r="E771" s="195"/>
    </row>
    <row r="772" spans="2:5" x14ac:dyDescent="0.2">
      <c r="B772" s="13" t="s">
        <v>20</v>
      </c>
      <c r="C772" s="11"/>
      <c r="D772" s="52"/>
      <c r="E772" s="12"/>
    </row>
    <row r="773" spans="2:5" x14ac:dyDescent="0.2">
      <c r="B773" s="13"/>
      <c r="C773" s="181" t="s">
        <v>25</v>
      </c>
      <c r="D773" s="181"/>
      <c r="E773" s="181"/>
    </row>
    <row r="774" spans="2:5" ht="13.5" thickBot="1" x14ac:dyDescent="0.25">
      <c r="B774" s="17"/>
      <c r="C774" s="18"/>
      <c r="D774" s="53"/>
      <c r="E774" s="19"/>
    </row>
    <row r="775" spans="2:5" ht="13.5" thickBot="1" x14ac:dyDescent="0.25"/>
    <row r="776" spans="2:5" x14ac:dyDescent="0.2">
      <c r="B776" s="7" t="s">
        <v>120</v>
      </c>
      <c r="C776" s="8"/>
      <c r="D776" s="51"/>
      <c r="E776" s="9"/>
    </row>
    <row r="777" spans="2:5" x14ac:dyDescent="0.2">
      <c r="B777" s="10"/>
      <c r="C777" s="11"/>
      <c r="D777" s="52"/>
      <c r="E777" s="12"/>
    </row>
    <row r="778" spans="2:5" x14ac:dyDescent="0.2">
      <c r="B778" s="13" t="s">
        <v>16</v>
      </c>
      <c r="C778" s="11"/>
      <c r="D778" s="52"/>
      <c r="E778" s="12"/>
    </row>
    <row r="779" spans="2:5" ht="25.5" customHeight="1" x14ac:dyDescent="0.2">
      <c r="B779" s="13"/>
      <c r="C779" s="195"/>
      <c r="D779" s="195"/>
      <c r="E779" s="195"/>
    </row>
    <row r="780" spans="2:5" ht="13.5" thickBot="1" x14ac:dyDescent="0.25">
      <c r="B780" s="13" t="s">
        <v>17</v>
      </c>
      <c r="C780" s="11"/>
      <c r="D780" s="52"/>
      <c r="E780" s="12"/>
    </row>
    <row r="781" spans="2:5" ht="13.5" thickBot="1" x14ac:dyDescent="0.25">
      <c r="B781" s="187" t="s">
        <v>201</v>
      </c>
      <c r="C781" s="191"/>
      <c r="D781" s="191"/>
      <c r="E781" s="188"/>
    </row>
    <row r="782" spans="2:5" ht="13.5" thickBot="1" x14ac:dyDescent="0.25">
      <c r="B782" s="187" t="s">
        <v>99</v>
      </c>
      <c r="C782" s="188"/>
      <c r="D782" s="49" t="s">
        <v>11</v>
      </c>
      <c r="E782" s="49" t="s">
        <v>100</v>
      </c>
    </row>
    <row r="783" spans="2:5" x14ac:dyDescent="0.2">
      <c r="B783" s="189" t="str">
        <f>'[1]COMEDORES EMERGENTES'!$B$3</f>
        <v>UNA SONRISA AV. LOS COBACHO</v>
      </c>
      <c r="C783" s="190"/>
      <c r="D783" s="93" t="s">
        <v>202</v>
      </c>
      <c r="E783" s="94" t="str">
        <f>'[1]COMEDORES EMERGENTES'!$G$3</f>
        <v>Bº SAN CARLOS OESTE AV. Bonifacio cobacho 670</v>
      </c>
    </row>
    <row r="784" spans="2:5" x14ac:dyDescent="0.2">
      <c r="B784" s="182" t="str">
        <f>'[1]COMEDORES EMERGENTES'!$B$4</f>
        <v>C.I.F Nº1 - RIVERA DEL VALLE Y FLORIDA</v>
      </c>
      <c r="C784" s="183"/>
      <c r="D784" s="88" t="s">
        <v>202</v>
      </c>
      <c r="E784" s="89" t="str">
        <f>'[1]COMEDORES EMERGENTES'!$G$4</f>
        <v>AV. RIVIERA DEL VALLE ENTRE FLORIDA Y SANTA FE</v>
      </c>
    </row>
    <row r="785" spans="2:5" x14ac:dyDescent="0.2">
      <c r="B785" s="182" t="str">
        <f>'[1]COMEDORES EMERGENTES'!$B$5</f>
        <v>C.I.F - RIVERA DEL VALLE - DILORENZO</v>
      </c>
      <c r="C785" s="183"/>
      <c r="D785" s="88" t="s">
        <v>202</v>
      </c>
      <c r="E785" s="89" t="str">
        <f>'[1]COMEDORES EMERGENTES'!$G$5</f>
        <v>Bº RIVERA DEL VALLE ENTRE VILLA EUMELIA Y MONTE CRISTO</v>
      </c>
    </row>
    <row r="786" spans="2:5" x14ac:dyDescent="0.2">
      <c r="B786" s="182" t="str">
        <f>'[1]COMEDORES EMERGENTES'!$B$6</f>
        <v>ESFUERZO PROPIO- Bº ALTOS DE CHOYA</v>
      </c>
      <c r="C786" s="183"/>
      <c r="D786" s="88" t="s">
        <v>202</v>
      </c>
      <c r="E786" s="89" t="str">
        <f>'[1]COMEDORES EMERGENTES'!$G$6</f>
        <v>Bº MUNICIPAL 35VV. NORTE C/14</v>
      </c>
    </row>
    <row r="787" spans="2:5" x14ac:dyDescent="0.2">
      <c r="B787" s="182" t="str">
        <f>'[1]COMEDORES EMERGENTES'!$B$7</f>
        <v>ANGELITOS - LOTEO SUSSEX</v>
      </c>
      <c r="C787" s="183"/>
      <c r="D787" s="88" t="s">
        <v>202</v>
      </c>
      <c r="E787" s="89" t="str">
        <f>'[1]COMEDORES EMERGENTES'!$G$7</f>
        <v>Bº LOTEO SUSEX MZA.Nº 4 LOTE Nº3</v>
      </c>
    </row>
    <row r="788" spans="2:5" x14ac:dyDescent="0.2">
      <c r="B788" s="182" t="str">
        <f>'[1]COMEDORES EMERGENTES'!$B$8</f>
        <v>CLUB DEPORTIVO CHACARITA</v>
      </c>
      <c r="C788" s="183"/>
      <c r="D788" s="88" t="s">
        <v>202</v>
      </c>
      <c r="E788" s="89" t="str">
        <f>'[1]COMEDORES EMERGENTES'!$G$8</f>
        <v>CALLE DR.DERMIDIO GALINDEZ C/2660</v>
      </c>
    </row>
    <row r="789" spans="2:5" x14ac:dyDescent="0.2">
      <c r="B789" s="182" t="str">
        <f>'[1]COMEDORES EMERGENTES'!$B$9</f>
        <v>LA MORO</v>
      </c>
      <c r="C789" s="183"/>
      <c r="D789" s="88" t="s">
        <v>202</v>
      </c>
      <c r="E789" s="89" t="str">
        <f>'[1]COMEDORES EMERGENTES'!$G$9</f>
        <v>MAIPU NORTE 1º ETAPA MZA "H" Bº MI JARDIN</v>
      </c>
    </row>
    <row r="790" spans="2:5" x14ac:dyDescent="0.2">
      <c r="B790" s="182" t="str">
        <f>'[1]COMEDORES EMERGENTES'!$B$10</f>
        <v>PAPA FRANCISCO</v>
      </c>
      <c r="C790" s="183"/>
      <c r="D790" s="88" t="s">
        <v>202</v>
      </c>
      <c r="E790" s="89" t="str">
        <f>'[1]COMEDORES EMERGENTES'!$G$10</f>
        <v>ENTRE AV.TEREBINTO Y AV.SAN JUAN LOTE "2" MZA. "B"</v>
      </c>
    </row>
    <row r="791" spans="2:5" x14ac:dyDescent="0.2">
      <c r="B791" s="182" t="str">
        <f>'[1]COMEDORES EMERGENTES'!$B$11</f>
        <v>E.P.C - 100 V.V NORTE</v>
      </c>
      <c r="C791" s="183"/>
      <c r="D791" s="88" t="s">
        <v>202</v>
      </c>
      <c r="E791" s="89" t="str">
        <f>'[1]COMEDORES EMERGENTES'!$G$11</f>
        <v>Bº VV NORTE C/48 ENTRE ESPAÑA Y FRANCIA</v>
      </c>
    </row>
    <row r="792" spans="2:5" x14ac:dyDescent="0.2">
      <c r="B792" s="182" t="str">
        <f>'[1]COMEDORES EMERGENTES'!$B$12</f>
        <v>HOGAR DE CRISTO - PADRE RAUL CONTRERAS</v>
      </c>
      <c r="C792" s="183"/>
      <c r="D792" s="88" t="s">
        <v>202</v>
      </c>
      <c r="E792" s="89" t="str">
        <f>'[1]COMEDORES EMERGENTES'!$G$12</f>
        <v>Bº SANTA MARTA MZA. "S" LOTE "M" C/39</v>
      </c>
    </row>
    <row r="793" spans="2:5" x14ac:dyDescent="0.2">
      <c r="B793" s="182" t="str">
        <f>'[1]COMEDORES EMERGENTES'!$B$13</f>
        <v>LA LUCIERNAGA</v>
      </c>
      <c r="C793" s="183"/>
      <c r="D793" s="88" t="s">
        <v>202</v>
      </c>
      <c r="E793" s="89" t="str">
        <f>'[1]COMEDORES EMERGENTES'!$G$13</f>
        <v>Bº 20 V.V NORTE C/3</v>
      </c>
    </row>
    <row r="794" spans="2:5" x14ac:dyDescent="0.2">
      <c r="B794" s="182" t="str">
        <f>'[1]COMEDORES EMERGENTES'!$B$14</f>
        <v>VALLE VIEJO - SUMALAO</v>
      </c>
      <c r="C794" s="183"/>
      <c r="D794" s="88" t="s">
        <v>202</v>
      </c>
      <c r="E794" s="89" t="str">
        <f>'[1]COMEDORES EMERGENTES'!$G$14</f>
        <v>PADRE SEGURA S/N</v>
      </c>
    </row>
    <row r="795" spans="2:5" x14ac:dyDescent="0.2">
      <c r="B795" s="182" t="str">
        <f>'[1]COMEDORES EMERGENTES'!$B$15</f>
        <v>NUESTRO FUTURO - LAS VIAS</v>
      </c>
      <c r="C795" s="183"/>
      <c r="D795" s="88" t="s">
        <v>202</v>
      </c>
      <c r="E795" s="89" t="str">
        <f>'[1]COMEDORES EMERGENTES'!$G$15</f>
        <v>Bº LAS VIAS OESTE LOTE 42</v>
      </c>
    </row>
    <row r="796" spans="2:5" x14ac:dyDescent="0.2">
      <c r="B796" s="182" t="str">
        <f>'[1]COMEDORES EMERGENTES'!$B$16</f>
        <v>SAN JOSE OBRERO</v>
      </c>
      <c r="C796" s="183"/>
      <c r="D796" s="88" t="s">
        <v>202</v>
      </c>
      <c r="E796" s="89" t="str">
        <f>'[1]COMEDORES EMERGENTES'!$G$16</f>
        <v>Bº SAN JOSE OBRERO. PJE. SANDOVAL S/Nº</v>
      </c>
    </row>
    <row r="797" spans="2:5" x14ac:dyDescent="0.2">
      <c r="B797" s="182" t="str">
        <f>'[1]COMEDORES EMERGENTES'!$B$17</f>
        <v>VIRGEN DE LUJAN</v>
      </c>
      <c r="C797" s="183"/>
      <c r="D797" s="88" t="s">
        <v>202</v>
      </c>
      <c r="E797" s="89" t="str">
        <f>'[1]COMEDORES EMERGENTES'!$G$17</f>
        <v>Bº OJO DE AGUA C/DR.TEODULFO BARRIONUEVO S/Nº</v>
      </c>
    </row>
    <row r="798" spans="2:5" x14ac:dyDescent="0.2">
      <c r="B798" s="182" t="str">
        <f>'[1]COMEDORES EMERGENTES'!$B$18</f>
        <v>RENACER</v>
      </c>
      <c r="C798" s="183"/>
      <c r="D798" s="88" t="s">
        <v>202</v>
      </c>
      <c r="E798" s="89" t="str">
        <f>'[1]COMEDORES EMERGENTES'!$G$18</f>
        <v>Bº VIRGEN MORENITA</v>
      </c>
    </row>
    <row r="799" spans="2:5" x14ac:dyDescent="0.2">
      <c r="B799" s="182" t="str">
        <f>'[1]COMEDORES EMERGENTES'!$B$19</f>
        <v>CENTRO VECINAL MI JARDIN</v>
      </c>
      <c r="C799" s="183"/>
      <c r="D799" s="88" t="s">
        <v>202</v>
      </c>
      <c r="E799" s="89" t="str">
        <f>'[1]COMEDORES EMERGENTES'!$G$19</f>
        <v>C/ LOS TULIPANES ENTRE FLOR DE CEREZO Y HOLANDA MZA.27 Bº MI JARDIN</v>
      </c>
    </row>
    <row r="800" spans="2:5" x14ac:dyDescent="0.2">
      <c r="B800" s="182" t="str">
        <f>'[1]COMEDORES EMERGENTES'!$B$20</f>
        <v>LA VIEJA ESQUINA</v>
      </c>
      <c r="C800" s="183"/>
      <c r="D800" s="88" t="s">
        <v>202</v>
      </c>
      <c r="E800" s="89" t="str">
        <f>'[1]COMEDORES EMERGENTES'!$G$20</f>
        <v>B° CRISTO REY PJE CAPATAZ VILLAFAÑEZ Y ARMANDO CORREA</v>
      </c>
    </row>
    <row r="801" spans="2:5" x14ac:dyDescent="0.2">
      <c r="B801" s="182" t="str">
        <f>'[1]COMEDORES EMERGENTES'!$B$21</f>
        <v>GAUCHITO GIL</v>
      </c>
      <c r="C801" s="183"/>
      <c r="D801" s="88" t="s">
        <v>202</v>
      </c>
      <c r="E801" s="89" t="str">
        <f>'[1]COMEDORES EMERGENTES'!$G$21</f>
        <v>B° 26 VIVIENDAS CASA N° 3</v>
      </c>
    </row>
    <row r="802" spans="2:5" ht="13.5" thickBot="1" x14ac:dyDescent="0.25">
      <c r="B802" s="196" t="str">
        <f>'[1]COMEDORES EMERGENTES'!$B$22</f>
        <v>LOS TOLDOS</v>
      </c>
      <c r="C802" s="197"/>
      <c r="D802" s="95" t="s">
        <v>202</v>
      </c>
      <c r="E802" s="96" t="str">
        <f>'[1]COMEDORES EMERGENTES'!$G$22</f>
        <v>LOTEO PARQUE SUR CALLE S/NOMBRE S/N°</v>
      </c>
    </row>
    <row r="803" spans="2:5" x14ac:dyDescent="0.2">
      <c r="B803" s="13" t="s">
        <v>18</v>
      </c>
      <c r="C803" s="11"/>
      <c r="D803" s="52"/>
      <c r="E803" s="12"/>
    </row>
    <row r="804" spans="2:5" x14ac:dyDescent="0.2">
      <c r="B804" s="14"/>
      <c r="C804" s="195" t="s">
        <v>24</v>
      </c>
      <c r="D804" s="195"/>
      <c r="E804" s="195"/>
    </row>
    <row r="805" spans="2:5" x14ac:dyDescent="0.2">
      <c r="B805" s="13" t="s">
        <v>19</v>
      </c>
      <c r="C805" s="15"/>
      <c r="D805" s="15"/>
      <c r="E805" s="16"/>
    </row>
    <row r="806" spans="2:5" x14ac:dyDescent="0.2">
      <c r="B806" s="14"/>
      <c r="C806" s="195" t="s">
        <v>101</v>
      </c>
      <c r="D806" s="195"/>
      <c r="E806" s="195"/>
    </row>
    <row r="807" spans="2:5" x14ac:dyDescent="0.2">
      <c r="B807" s="13" t="s">
        <v>20</v>
      </c>
      <c r="C807" s="11"/>
      <c r="D807" s="52"/>
      <c r="E807" s="12"/>
    </row>
    <row r="808" spans="2:5" x14ac:dyDescent="0.2">
      <c r="B808" s="13"/>
      <c r="C808" s="181" t="s">
        <v>25</v>
      </c>
      <c r="D808" s="181"/>
      <c r="E808" s="181"/>
    </row>
    <row r="809" spans="2:5" ht="13.5" thickBot="1" x14ac:dyDescent="0.25">
      <c r="B809" s="17"/>
      <c r="C809" s="18"/>
      <c r="D809" s="53"/>
      <c r="E809" s="19"/>
    </row>
    <row r="810" spans="2:5" ht="13.5" thickBot="1" x14ac:dyDescent="0.25"/>
    <row r="811" spans="2:5" x14ac:dyDescent="0.2">
      <c r="B811" s="7" t="s">
        <v>121</v>
      </c>
      <c r="C811" s="8"/>
      <c r="D811" s="51"/>
      <c r="E811" s="9"/>
    </row>
    <row r="812" spans="2:5" x14ac:dyDescent="0.2">
      <c r="B812" s="10"/>
      <c r="C812" s="11"/>
      <c r="D812" s="52"/>
      <c r="E812" s="12"/>
    </row>
    <row r="813" spans="2:5" x14ac:dyDescent="0.2">
      <c r="B813" s="13" t="s">
        <v>16</v>
      </c>
      <c r="C813" s="11"/>
      <c r="D813" s="52"/>
      <c r="E813" s="12"/>
    </row>
    <row r="814" spans="2:5" ht="25.5" customHeight="1" x14ac:dyDescent="0.2">
      <c r="B814" s="13"/>
      <c r="C814" s="195"/>
      <c r="D814" s="195"/>
      <c r="E814" s="195"/>
    </row>
    <row r="815" spans="2:5" ht="13.5" thickBot="1" x14ac:dyDescent="0.25">
      <c r="B815" s="13" t="s">
        <v>17</v>
      </c>
      <c r="C815" s="11"/>
      <c r="D815" s="52"/>
      <c r="E815" s="12"/>
    </row>
    <row r="816" spans="2:5" ht="13.5" thickBot="1" x14ac:dyDescent="0.25">
      <c r="B816" s="187" t="s">
        <v>201</v>
      </c>
      <c r="C816" s="191"/>
      <c r="D816" s="191"/>
      <c r="E816" s="188"/>
    </row>
    <row r="817" spans="2:5" ht="13.5" thickBot="1" x14ac:dyDescent="0.25">
      <c r="B817" s="187" t="s">
        <v>99</v>
      </c>
      <c r="C817" s="188"/>
      <c r="D817" s="49" t="s">
        <v>11</v>
      </c>
      <c r="E817" s="49" t="s">
        <v>100</v>
      </c>
    </row>
    <row r="818" spans="2:5" x14ac:dyDescent="0.2">
      <c r="B818" s="189" t="str">
        <f>'[1]COMEDORES EMERGENTES'!$B$3</f>
        <v>UNA SONRISA AV. LOS COBACHO</v>
      </c>
      <c r="C818" s="190"/>
      <c r="D818" s="93" t="s">
        <v>202</v>
      </c>
      <c r="E818" s="94" t="str">
        <f>'[1]COMEDORES EMERGENTES'!$G$3</f>
        <v>Bº SAN CARLOS OESTE AV. Bonifacio cobacho 670</v>
      </c>
    </row>
    <row r="819" spans="2:5" x14ac:dyDescent="0.2">
      <c r="B819" s="182" t="str">
        <f>'[1]COMEDORES EMERGENTES'!$B$4</f>
        <v>C.I.F Nº1 - RIVERA DEL VALLE Y FLORIDA</v>
      </c>
      <c r="C819" s="183"/>
      <c r="D819" s="88" t="s">
        <v>202</v>
      </c>
      <c r="E819" s="89" t="str">
        <f>'[1]COMEDORES EMERGENTES'!$G$4</f>
        <v>AV. RIVIERA DEL VALLE ENTRE FLORIDA Y SANTA FE</v>
      </c>
    </row>
    <row r="820" spans="2:5" x14ac:dyDescent="0.2">
      <c r="B820" s="182" t="str">
        <f>'[1]COMEDORES EMERGENTES'!$B$5</f>
        <v>C.I.F - RIVERA DEL VALLE - DILORENZO</v>
      </c>
      <c r="C820" s="183"/>
      <c r="D820" s="88" t="s">
        <v>202</v>
      </c>
      <c r="E820" s="89" t="str">
        <f>'[1]COMEDORES EMERGENTES'!$G$5</f>
        <v>Bº RIVERA DEL VALLE ENTRE VILLA EUMELIA Y MONTE CRISTO</v>
      </c>
    </row>
    <row r="821" spans="2:5" x14ac:dyDescent="0.2">
      <c r="B821" s="182" t="str">
        <f>'[1]COMEDORES EMERGENTES'!$B$6</f>
        <v>ESFUERZO PROPIO- Bº ALTOS DE CHOYA</v>
      </c>
      <c r="C821" s="183"/>
      <c r="D821" s="88" t="s">
        <v>202</v>
      </c>
      <c r="E821" s="89" t="str">
        <f>'[1]COMEDORES EMERGENTES'!$G$6</f>
        <v>Bº MUNICIPAL 35VV. NORTE C/14</v>
      </c>
    </row>
    <row r="822" spans="2:5" x14ac:dyDescent="0.2">
      <c r="B822" s="182" t="str">
        <f>'[1]COMEDORES EMERGENTES'!$B$7</f>
        <v>ANGELITOS - LOTEO SUSSEX</v>
      </c>
      <c r="C822" s="183"/>
      <c r="D822" s="88" t="s">
        <v>202</v>
      </c>
      <c r="E822" s="89" t="str">
        <f>'[1]COMEDORES EMERGENTES'!$G$7</f>
        <v>Bº LOTEO SUSEX MZA.Nº 4 LOTE Nº3</v>
      </c>
    </row>
    <row r="823" spans="2:5" x14ac:dyDescent="0.2">
      <c r="B823" s="182" t="str">
        <f>'[1]COMEDORES EMERGENTES'!$B$8</f>
        <v>CLUB DEPORTIVO CHACARITA</v>
      </c>
      <c r="C823" s="183"/>
      <c r="D823" s="88" t="s">
        <v>202</v>
      </c>
      <c r="E823" s="89" t="str">
        <f>'[1]COMEDORES EMERGENTES'!$G$8</f>
        <v>CALLE DR.DERMIDIO GALINDEZ C/2660</v>
      </c>
    </row>
    <row r="824" spans="2:5" x14ac:dyDescent="0.2">
      <c r="B824" s="182" t="str">
        <f>'[1]COMEDORES EMERGENTES'!$B$9</f>
        <v>LA MORO</v>
      </c>
      <c r="C824" s="183"/>
      <c r="D824" s="88" t="s">
        <v>202</v>
      </c>
      <c r="E824" s="89" t="str">
        <f>'[1]COMEDORES EMERGENTES'!$G$9</f>
        <v>MAIPU NORTE 1º ETAPA MZA "H" Bº MI JARDIN</v>
      </c>
    </row>
    <row r="825" spans="2:5" x14ac:dyDescent="0.2">
      <c r="B825" s="182" t="str">
        <f>'[1]COMEDORES EMERGENTES'!$B$10</f>
        <v>PAPA FRANCISCO</v>
      </c>
      <c r="C825" s="183"/>
      <c r="D825" s="88" t="s">
        <v>202</v>
      </c>
      <c r="E825" s="89" t="str">
        <f>'[1]COMEDORES EMERGENTES'!$G$10</f>
        <v>ENTRE AV.TEREBINTO Y AV.SAN JUAN LOTE "2" MZA. "B"</v>
      </c>
    </row>
    <row r="826" spans="2:5" x14ac:dyDescent="0.2">
      <c r="B826" s="182" t="str">
        <f>'[1]COMEDORES EMERGENTES'!$B$11</f>
        <v>E.P.C - 100 V.V NORTE</v>
      </c>
      <c r="C826" s="183"/>
      <c r="D826" s="88" t="s">
        <v>202</v>
      </c>
      <c r="E826" s="89" t="str">
        <f>'[1]COMEDORES EMERGENTES'!$G$11</f>
        <v>Bº VV NORTE C/48 ENTRE ESPAÑA Y FRANCIA</v>
      </c>
    </row>
    <row r="827" spans="2:5" x14ac:dyDescent="0.2">
      <c r="B827" s="182" t="str">
        <f>'[1]COMEDORES EMERGENTES'!$B$12</f>
        <v>HOGAR DE CRISTO - PADRE RAUL CONTRERAS</v>
      </c>
      <c r="C827" s="183"/>
      <c r="D827" s="88" t="s">
        <v>202</v>
      </c>
      <c r="E827" s="89" t="str">
        <f>'[1]COMEDORES EMERGENTES'!$G$12</f>
        <v>Bº SANTA MARTA MZA. "S" LOTE "M" C/39</v>
      </c>
    </row>
    <row r="828" spans="2:5" x14ac:dyDescent="0.2">
      <c r="B828" s="182" t="str">
        <f>'[1]COMEDORES EMERGENTES'!$B$13</f>
        <v>LA LUCIERNAGA</v>
      </c>
      <c r="C828" s="183"/>
      <c r="D828" s="88" t="s">
        <v>202</v>
      </c>
      <c r="E828" s="89" t="str">
        <f>'[1]COMEDORES EMERGENTES'!$G$13</f>
        <v>Bº 20 V.V NORTE C/3</v>
      </c>
    </row>
    <row r="829" spans="2:5" x14ac:dyDescent="0.2">
      <c r="B829" s="182" t="str">
        <f>'[1]COMEDORES EMERGENTES'!$B$14</f>
        <v>VALLE VIEJO - SUMALAO</v>
      </c>
      <c r="C829" s="183"/>
      <c r="D829" s="88" t="s">
        <v>202</v>
      </c>
      <c r="E829" s="89" t="str">
        <f>'[1]COMEDORES EMERGENTES'!$G$14</f>
        <v>PADRE SEGURA S/N</v>
      </c>
    </row>
    <row r="830" spans="2:5" x14ac:dyDescent="0.2">
      <c r="B830" s="182" t="str">
        <f>'[1]COMEDORES EMERGENTES'!$B$15</f>
        <v>NUESTRO FUTURO - LAS VIAS</v>
      </c>
      <c r="C830" s="183"/>
      <c r="D830" s="88" t="s">
        <v>202</v>
      </c>
      <c r="E830" s="89" t="str">
        <f>'[1]COMEDORES EMERGENTES'!$G$15</f>
        <v>Bº LAS VIAS OESTE LOTE 42</v>
      </c>
    </row>
    <row r="831" spans="2:5" x14ac:dyDescent="0.2">
      <c r="B831" s="182" t="str">
        <f>'[1]COMEDORES EMERGENTES'!$B$16</f>
        <v>SAN JOSE OBRERO</v>
      </c>
      <c r="C831" s="183"/>
      <c r="D831" s="88" t="s">
        <v>202</v>
      </c>
      <c r="E831" s="89" t="str">
        <f>'[1]COMEDORES EMERGENTES'!$G$16</f>
        <v>Bº SAN JOSE OBRERO. PJE. SANDOVAL S/Nº</v>
      </c>
    </row>
    <row r="832" spans="2:5" x14ac:dyDescent="0.2">
      <c r="B832" s="182" t="str">
        <f>'[1]COMEDORES EMERGENTES'!$B$17</f>
        <v>VIRGEN DE LUJAN</v>
      </c>
      <c r="C832" s="183"/>
      <c r="D832" s="88" t="s">
        <v>202</v>
      </c>
      <c r="E832" s="89" t="str">
        <f>'[1]COMEDORES EMERGENTES'!$G$17</f>
        <v>Bº OJO DE AGUA C/DR.TEODULFO BARRIONUEVO S/Nº</v>
      </c>
    </row>
    <row r="833" spans="2:5" x14ac:dyDescent="0.2">
      <c r="B833" s="182" t="str">
        <f>'[1]COMEDORES EMERGENTES'!$B$18</f>
        <v>RENACER</v>
      </c>
      <c r="C833" s="183"/>
      <c r="D833" s="88" t="s">
        <v>202</v>
      </c>
      <c r="E833" s="89" t="str">
        <f>'[1]COMEDORES EMERGENTES'!$G$18</f>
        <v>Bº VIRGEN MORENITA</v>
      </c>
    </row>
    <row r="834" spans="2:5" x14ac:dyDescent="0.2">
      <c r="B834" s="182" t="str">
        <f>'[1]COMEDORES EMERGENTES'!$B$19</f>
        <v>CENTRO VECINAL MI JARDIN</v>
      </c>
      <c r="C834" s="183"/>
      <c r="D834" s="88" t="s">
        <v>202</v>
      </c>
      <c r="E834" s="89" t="str">
        <f>'[1]COMEDORES EMERGENTES'!$G$19</f>
        <v>C/ LOS TULIPANES ENTRE FLOR DE CEREZO Y HOLANDA MZA.27 Bº MI JARDIN</v>
      </c>
    </row>
    <row r="835" spans="2:5" x14ac:dyDescent="0.2">
      <c r="B835" s="182" t="str">
        <f>'[1]COMEDORES EMERGENTES'!$B$20</f>
        <v>LA VIEJA ESQUINA</v>
      </c>
      <c r="C835" s="183"/>
      <c r="D835" s="88" t="s">
        <v>202</v>
      </c>
      <c r="E835" s="89" t="str">
        <f>'[1]COMEDORES EMERGENTES'!$G$20</f>
        <v>B° CRISTO REY PJE CAPATAZ VILLAFAÑEZ Y ARMANDO CORREA</v>
      </c>
    </row>
    <row r="836" spans="2:5" x14ac:dyDescent="0.2">
      <c r="B836" s="182" t="str">
        <f>'[1]COMEDORES EMERGENTES'!$B$21</f>
        <v>GAUCHITO GIL</v>
      </c>
      <c r="C836" s="183"/>
      <c r="D836" s="88" t="s">
        <v>202</v>
      </c>
      <c r="E836" s="89" t="str">
        <f>'[1]COMEDORES EMERGENTES'!$G$21</f>
        <v>B° 26 VIVIENDAS CASA N° 3</v>
      </c>
    </row>
    <row r="837" spans="2:5" ht="13.5" thickBot="1" x14ac:dyDescent="0.25">
      <c r="B837" s="196" t="str">
        <f>'[1]COMEDORES EMERGENTES'!$B$22</f>
        <v>LOS TOLDOS</v>
      </c>
      <c r="C837" s="197"/>
      <c r="D837" s="95" t="s">
        <v>202</v>
      </c>
      <c r="E837" s="96" t="str">
        <f>'[1]COMEDORES EMERGENTES'!$G$22</f>
        <v>LOTEO PARQUE SUR CALLE S/NOMBRE S/N°</v>
      </c>
    </row>
    <row r="838" spans="2:5" x14ac:dyDescent="0.2">
      <c r="B838" s="13" t="s">
        <v>18</v>
      </c>
      <c r="C838" s="11"/>
      <c r="D838" s="52"/>
      <c r="E838" s="12"/>
    </row>
    <row r="839" spans="2:5" x14ac:dyDescent="0.2">
      <c r="B839" s="14"/>
      <c r="C839" s="195" t="s">
        <v>24</v>
      </c>
      <c r="D839" s="195"/>
      <c r="E839" s="195"/>
    </row>
    <row r="840" spans="2:5" x14ac:dyDescent="0.2">
      <c r="B840" s="13" t="s">
        <v>19</v>
      </c>
      <c r="C840" s="15"/>
      <c r="D840" s="15"/>
      <c r="E840" s="16"/>
    </row>
    <row r="841" spans="2:5" x14ac:dyDescent="0.2">
      <c r="B841" s="14"/>
      <c r="C841" s="195" t="s">
        <v>101</v>
      </c>
      <c r="D841" s="195"/>
      <c r="E841" s="195"/>
    </row>
    <row r="842" spans="2:5" x14ac:dyDescent="0.2">
      <c r="B842" s="13" t="s">
        <v>20</v>
      </c>
      <c r="C842" s="11"/>
      <c r="D842" s="52"/>
      <c r="E842" s="12"/>
    </row>
    <row r="843" spans="2:5" x14ac:dyDescent="0.2">
      <c r="B843" s="13"/>
      <c r="C843" s="181" t="s">
        <v>25</v>
      </c>
      <c r="D843" s="181"/>
      <c r="E843" s="181"/>
    </row>
    <row r="844" spans="2:5" ht="13.5" thickBot="1" x14ac:dyDescent="0.25">
      <c r="B844" s="17"/>
      <c r="C844" s="18"/>
      <c r="D844" s="53"/>
      <c r="E844" s="19"/>
    </row>
    <row r="845" spans="2:5" ht="13.5" thickBot="1" x14ac:dyDescent="0.25"/>
    <row r="846" spans="2:5" x14ac:dyDescent="0.2">
      <c r="B846" s="7" t="s">
        <v>122</v>
      </c>
      <c r="C846" s="8"/>
      <c r="D846" s="51"/>
      <c r="E846" s="9"/>
    </row>
    <row r="847" spans="2:5" x14ac:dyDescent="0.2">
      <c r="B847" s="10"/>
      <c r="C847" s="11"/>
      <c r="D847" s="52"/>
      <c r="E847" s="12"/>
    </row>
    <row r="848" spans="2:5" x14ac:dyDescent="0.2">
      <c r="B848" s="13" t="s">
        <v>16</v>
      </c>
      <c r="C848" s="11"/>
      <c r="D848" s="52"/>
      <c r="E848" s="12"/>
    </row>
    <row r="849" spans="2:5" ht="25.5" customHeight="1" x14ac:dyDescent="0.2">
      <c r="B849" s="13"/>
      <c r="C849" s="195"/>
      <c r="D849" s="195"/>
      <c r="E849" s="195"/>
    </row>
    <row r="850" spans="2:5" ht="13.5" thickBot="1" x14ac:dyDescent="0.25">
      <c r="B850" s="13" t="s">
        <v>17</v>
      </c>
      <c r="C850" s="11"/>
      <c r="D850" s="52"/>
      <c r="E850" s="12"/>
    </row>
    <row r="851" spans="2:5" ht="13.5" thickBot="1" x14ac:dyDescent="0.25">
      <c r="B851" s="187" t="s">
        <v>201</v>
      </c>
      <c r="C851" s="191"/>
      <c r="D851" s="191"/>
      <c r="E851" s="188"/>
    </row>
    <row r="852" spans="2:5" ht="13.5" thickBot="1" x14ac:dyDescent="0.25">
      <c r="B852" s="187" t="s">
        <v>99</v>
      </c>
      <c r="C852" s="188"/>
      <c r="D852" s="49" t="s">
        <v>11</v>
      </c>
      <c r="E852" s="49" t="s">
        <v>100</v>
      </c>
    </row>
    <row r="853" spans="2:5" x14ac:dyDescent="0.2">
      <c r="B853" s="189" t="str">
        <f>'[1]COMEDORES EMERGENTES'!$B$3</f>
        <v>UNA SONRISA AV. LOS COBACHO</v>
      </c>
      <c r="C853" s="190"/>
      <c r="D853" s="93" t="s">
        <v>202</v>
      </c>
      <c r="E853" s="94" t="str">
        <f>'[1]COMEDORES EMERGENTES'!$G$3</f>
        <v>Bº SAN CARLOS OESTE AV. Bonifacio cobacho 670</v>
      </c>
    </row>
    <row r="854" spans="2:5" x14ac:dyDescent="0.2">
      <c r="B854" s="182" t="str">
        <f>'[1]COMEDORES EMERGENTES'!$B$4</f>
        <v>C.I.F Nº1 - RIVERA DEL VALLE Y FLORIDA</v>
      </c>
      <c r="C854" s="183"/>
      <c r="D854" s="88" t="s">
        <v>202</v>
      </c>
      <c r="E854" s="89" t="str">
        <f>'[1]COMEDORES EMERGENTES'!$G$4</f>
        <v>AV. RIVIERA DEL VALLE ENTRE FLORIDA Y SANTA FE</v>
      </c>
    </row>
    <row r="855" spans="2:5" x14ac:dyDescent="0.2">
      <c r="B855" s="182" t="str">
        <f>'[1]COMEDORES EMERGENTES'!$B$5</f>
        <v>C.I.F - RIVERA DEL VALLE - DILORENZO</v>
      </c>
      <c r="C855" s="183"/>
      <c r="D855" s="88" t="s">
        <v>202</v>
      </c>
      <c r="E855" s="89" t="str">
        <f>'[1]COMEDORES EMERGENTES'!$G$5</f>
        <v>Bº RIVERA DEL VALLE ENTRE VILLA EUMELIA Y MONTE CRISTO</v>
      </c>
    </row>
    <row r="856" spans="2:5" x14ac:dyDescent="0.2">
      <c r="B856" s="182" t="str">
        <f>'[1]COMEDORES EMERGENTES'!$B$6</f>
        <v>ESFUERZO PROPIO- Bº ALTOS DE CHOYA</v>
      </c>
      <c r="C856" s="183"/>
      <c r="D856" s="88" t="s">
        <v>202</v>
      </c>
      <c r="E856" s="89" t="str">
        <f>'[1]COMEDORES EMERGENTES'!$G$6</f>
        <v>Bº MUNICIPAL 35VV. NORTE C/14</v>
      </c>
    </row>
    <row r="857" spans="2:5" x14ac:dyDescent="0.2">
      <c r="B857" s="182" t="str">
        <f>'[1]COMEDORES EMERGENTES'!$B$7</f>
        <v>ANGELITOS - LOTEO SUSSEX</v>
      </c>
      <c r="C857" s="183"/>
      <c r="D857" s="88" t="s">
        <v>202</v>
      </c>
      <c r="E857" s="89" t="str">
        <f>'[1]COMEDORES EMERGENTES'!$G$7</f>
        <v>Bº LOTEO SUSEX MZA.Nº 4 LOTE Nº3</v>
      </c>
    </row>
    <row r="858" spans="2:5" x14ac:dyDescent="0.2">
      <c r="B858" s="182" t="str">
        <f>'[1]COMEDORES EMERGENTES'!$B$8</f>
        <v>CLUB DEPORTIVO CHACARITA</v>
      </c>
      <c r="C858" s="183"/>
      <c r="D858" s="88" t="s">
        <v>202</v>
      </c>
      <c r="E858" s="89" t="str">
        <f>'[1]COMEDORES EMERGENTES'!$G$8</f>
        <v>CALLE DR.DERMIDIO GALINDEZ C/2660</v>
      </c>
    </row>
    <row r="859" spans="2:5" x14ac:dyDescent="0.2">
      <c r="B859" s="182" t="str">
        <f>'[1]COMEDORES EMERGENTES'!$B$9</f>
        <v>LA MORO</v>
      </c>
      <c r="C859" s="183"/>
      <c r="D859" s="88" t="s">
        <v>202</v>
      </c>
      <c r="E859" s="89" t="str">
        <f>'[1]COMEDORES EMERGENTES'!$G$9</f>
        <v>MAIPU NORTE 1º ETAPA MZA "H" Bº MI JARDIN</v>
      </c>
    </row>
    <row r="860" spans="2:5" x14ac:dyDescent="0.2">
      <c r="B860" s="182" t="str">
        <f>'[1]COMEDORES EMERGENTES'!$B$10</f>
        <v>PAPA FRANCISCO</v>
      </c>
      <c r="C860" s="183"/>
      <c r="D860" s="88" t="s">
        <v>202</v>
      </c>
      <c r="E860" s="89" t="str">
        <f>'[1]COMEDORES EMERGENTES'!$G$10</f>
        <v>ENTRE AV.TEREBINTO Y AV.SAN JUAN LOTE "2" MZA. "B"</v>
      </c>
    </row>
    <row r="861" spans="2:5" x14ac:dyDescent="0.2">
      <c r="B861" s="182" t="str">
        <f>'[1]COMEDORES EMERGENTES'!$B$11</f>
        <v>E.P.C - 100 V.V NORTE</v>
      </c>
      <c r="C861" s="183"/>
      <c r="D861" s="88" t="s">
        <v>202</v>
      </c>
      <c r="E861" s="89" t="str">
        <f>'[1]COMEDORES EMERGENTES'!$G$11</f>
        <v>Bº VV NORTE C/48 ENTRE ESPAÑA Y FRANCIA</v>
      </c>
    </row>
    <row r="862" spans="2:5" x14ac:dyDescent="0.2">
      <c r="B862" s="182" t="str">
        <f>'[1]COMEDORES EMERGENTES'!$B$12</f>
        <v>HOGAR DE CRISTO - PADRE RAUL CONTRERAS</v>
      </c>
      <c r="C862" s="183"/>
      <c r="D862" s="88" t="s">
        <v>202</v>
      </c>
      <c r="E862" s="89" t="str">
        <f>'[1]COMEDORES EMERGENTES'!$G$12</f>
        <v>Bº SANTA MARTA MZA. "S" LOTE "M" C/39</v>
      </c>
    </row>
    <row r="863" spans="2:5" x14ac:dyDescent="0.2">
      <c r="B863" s="182" t="str">
        <f>'[1]COMEDORES EMERGENTES'!$B$13</f>
        <v>LA LUCIERNAGA</v>
      </c>
      <c r="C863" s="183"/>
      <c r="D863" s="88" t="s">
        <v>202</v>
      </c>
      <c r="E863" s="89" t="str">
        <f>'[1]COMEDORES EMERGENTES'!$G$13</f>
        <v>Bº 20 V.V NORTE C/3</v>
      </c>
    </row>
    <row r="864" spans="2:5" x14ac:dyDescent="0.2">
      <c r="B864" s="182" t="str">
        <f>'[1]COMEDORES EMERGENTES'!$B$14</f>
        <v>VALLE VIEJO - SUMALAO</v>
      </c>
      <c r="C864" s="183"/>
      <c r="D864" s="88" t="s">
        <v>202</v>
      </c>
      <c r="E864" s="89" t="str">
        <f>'[1]COMEDORES EMERGENTES'!$G$14</f>
        <v>PADRE SEGURA S/N</v>
      </c>
    </row>
    <row r="865" spans="2:5" x14ac:dyDescent="0.2">
      <c r="B865" s="182" t="str">
        <f>'[1]COMEDORES EMERGENTES'!$B$15</f>
        <v>NUESTRO FUTURO - LAS VIAS</v>
      </c>
      <c r="C865" s="183"/>
      <c r="D865" s="88" t="s">
        <v>202</v>
      </c>
      <c r="E865" s="89" t="str">
        <f>'[1]COMEDORES EMERGENTES'!$G$15</f>
        <v>Bº LAS VIAS OESTE LOTE 42</v>
      </c>
    </row>
    <row r="866" spans="2:5" x14ac:dyDescent="0.2">
      <c r="B866" s="182" t="str">
        <f>'[1]COMEDORES EMERGENTES'!$B$16</f>
        <v>SAN JOSE OBRERO</v>
      </c>
      <c r="C866" s="183"/>
      <c r="D866" s="88" t="s">
        <v>202</v>
      </c>
      <c r="E866" s="89" t="str">
        <f>'[1]COMEDORES EMERGENTES'!$G$16</f>
        <v>Bº SAN JOSE OBRERO. PJE. SANDOVAL S/Nº</v>
      </c>
    </row>
    <row r="867" spans="2:5" x14ac:dyDescent="0.2">
      <c r="B867" s="182" t="str">
        <f>'[1]COMEDORES EMERGENTES'!$B$17</f>
        <v>VIRGEN DE LUJAN</v>
      </c>
      <c r="C867" s="183"/>
      <c r="D867" s="88" t="s">
        <v>202</v>
      </c>
      <c r="E867" s="89" t="str">
        <f>'[1]COMEDORES EMERGENTES'!$G$17</f>
        <v>Bº OJO DE AGUA C/DR.TEODULFO BARRIONUEVO S/Nº</v>
      </c>
    </row>
    <row r="868" spans="2:5" x14ac:dyDescent="0.2">
      <c r="B868" s="182" t="str">
        <f>'[1]COMEDORES EMERGENTES'!$B$18</f>
        <v>RENACER</v>
      </c>
      <c r="C868" s="183"/>
      <c r="D868" s="88" t="s">
        <v>202</v>
      </c>
      <c r="E868" s="89" t="str">
        <f>'[1]COMEDORES EMERGENTES'!$G$18</f>
        <v>Bº VIRGEN MORENITA</v>
      </c>
    </row>
    <row r="869" spans="2:5" x14ac:dyDescent="0.2">
      <c r="B869" s="182" t="str">
        <f>'[1]COMEDORES EMERGENTES'!$B$19</f>
        <v>CENTRO VECINAL MI JARDIN</v>
      </c>
      <c r="C869" s="183"/>
      <c r="D869" s="88" t="s">
        <v>202</v>
      </c>
      <c r="E869" s="89" t="str">
        <f>'[1]COMEDORES EMERGENTES'!$G$19</f>
        <v>C/ LOS TULIPANES ENTRE FLOR DE CEREZO Y HOLANDA MZA.27 Bº MI JARDIN</v>
      </c>
    </row>
    <row r="870" spans="2:5" x14ac:dyDescent="0.2">
      <c r="B870" s="182" t="str">
        <f>'[1]COMEDORES EMERGENTES'!$B$20</f>
        <v>LA VIEJA ESQUINA</v>
      </c>
      <c r="C870" s="183"/>
      <c r="D870" s="88" t="s">
        <v>202</v>
      </c>
      <c r="E870" s="89" t="str">
        <f>'[1]COMEDORES EMERGENTES'!$G$20</f>
        <v>B° CRISTO REY PJE CAPATAZ VILLAFAÑEZ Y ARMANDO CORREA</v>
      </c>
    </row>
    <row r="871" spans="2:5" x14ac:dyDescent="0.2">
      <c r="B871" s="182" t="str">
        <f>'[1]COMEDORES EMERGENTES'!$B$21</f>
        <v>GAUCHITO GIL</v>
      </c>
      <c r="C871" s="183"/>
      <c r="D871" s="88" t="s">
        <v>202</v>
      </c>
      <c r="E871" s="89" t="str">
        <f>'[1]COMEDORES EMERGENTES'!$G$21</f>
        <v>B° 26 VIVIENDAS CASA N° 3</v>
      </c>
    </row>
    <row r="872" spans="2:5" ht="13.5" thickBot="1" x14ac:dyDescent="0.25">
      <c r="B872" s="196" t="str">
        <f>'[1]COMEDORES EMERGENTES'!$B$22</f>
        <v>LOS TOLDOS</v>
      </c>
      <c r="C872" s="197"/>
      <c r="D872" s="95" t="s">
        <v>202</v>
      </c>
      <c r="E872" s="96" t="str">
        <f>'[1]COMEDORES EMERGENTES'!$G$22</f>
        <v>LOTEO PARQUE SUR CALLE S/NOMBRE S/N°</v>
      </c>
    </row>
    <row r="873" spans="2:5" x14ac:dyDescent="0.2">
      <c r="B873" s="13" t="s">
        <v>18</v>
      </c>
      <c r="C873" s="11"/>
      <c r="D873" s="52"/>
      <c r="E873" s="12"/>
    </row>
    <row r="874" spans="2:5" x14ac:dyDescent="0.2">
      <c r="B874" s="14"/>
      <c r="C874" s="195" t="s">
        <v>24</v>
      </c>
      <c r="D874" s="195"/>
      <c r="E874" s="195"/>
    </row>
    <row r="875" spans="2:5" x14ac:dyDescent="0.2">
      <c r="B875" s="13" t="s">
        <v>19</v>
      </c>
      <c r="C875" s="15"/>
      <c r="D875" s="15"/>
      <c r="E875" s="16"/>
    </row>
    <row r="876" spans="2:5" x14ac:dyDescent="0.2">
      <c r="B876" s="14"/>
      <c r="C876" s="195" t="s">
        <v>101</v>
      </c>
      <c r="D876" s="195"/>
      <c r="E876" s="195"/>
    </row>
    <row r="877" spans="2:5" x14ac:dyDescent="0.2">
      <c r="B877" s="13" t="s">
        <v>20</v>
      </c>
      <c r="C877" s="11"/>
      <c r="D877" s="52"/>
      <c r="E877" s="12"/>
    </row>
    <row r="878" spans="2:5" x14ac:dyDescent="0.2">
      <c r="B878" s="13"/>
      <c r="C878" s="181" t="s">
        <v>25</v>
      </c>
      <c r="D878" s="181"/>
      <c r="E878" s="181"/>
    </row>
    <row r="879" spans="2:5" ht="13.5" thickBot="1" x14ac:dyDescent="0.25">
      <c r="B879" s="17"/>
      <c r="C879" s="18"/>
      <c r="D879" s="53"/>
      <c r="E879" s="19"/>
    </row>
    <row r="880" spans="2:5" ht="13.5" thickBot="1" x14ac:dyDescent="0.25"/>
    <row r="881" spans="2:5" x14ac:dyDescent="0.2">
      <c r="B881" s="7" t="s">
        <v>123</v>
      </c>
      <c r="C881" s="8"/>
      <c r="D881" s="51"/>
      <c r="E881" s="9"/>
    </row>
    <row r="882" spans="2:5" x14ac:dyDescent="0.2">
      <c r="B882" s="10"/>
      <c r="C882" s="11"/>
      <c r="D882" s="52"/>
      <c r="E882" s="12"/>
    </row>
    <row r="883" spans="2:5" x14ac:dyDescent="0.2">
      <c r="B883" s="13" t="s">
        <v>16</v>
      </c>
      <c r="C883" s="11"/>
      <c r="D883" s="52"/>
      <c r="E883" s="12"/>
    </row>
    <row r="884" spans="2:5" ht="25.5" customHeight="1" x14ac:dyDescent="0.2">
      <c r="B884" s="13"/>
      <c r="C884" s="193"/>
      <c r="D884" s="193"/>
      <c r="E884" s="194"/>
    </row>
    <row r="885" spans="2:5" ht="13.5" thickBot="1" x14ac:dyDescent="0.25">
      <c r="B885" s="13" t="s">
        <v>17</v>
      </c>
      <c r="C885" s="11"/>
      <c r="D885" s="52"/>
      <c r="E885" s="12"/>
    </row>
    <row r="886" spans="2:5" ht="13.5" thickBot="1" x14ac:dyDescent="0.25">
      <c r="B886" s="187" t="s">
        <v>98</v>
      </c>
      <c r="C886" s="191"/>
      <c r="D886" s="191"/>
      <c r="E886" s="188"/>
    </row>
    <row r="887" spans="2:5" ht="13.5" thickBot="1" x14ac:dyDescent="0.25">
      <c r="B887" s="187" t="s">
        <v>99</v>
      </c>
      <c r="C887" s="188"/>
      <c r="D887" s="49" t="s">
        <v>11</v>
      </c>
      <c r="E887" s="49" t="s">
        <v>100</v>
      </c>
    </row>
    <row r="888" spans="2:5" x14ac:dyDescent="0.2">
      <c r="B888" s="189" t="str">
        <f>'[1]COMEDORES EMERGENTES'!$B$3</f>
        <v>UNA SONRISA AV. LOS COBACHO</v>
      </c>
      <c r="C888" s="190"/>
      <c r="D888" s="93">
        <v>2</v>
      </c>
      <c r="E888" s="94" t="str">
        <f>'[1]COMEDORES EMERGENTES'!$G$3</f>
        <v>Bº SAN CARLOS OESTE AV. Bonifacio cobacho 670</v>
      </c>
    </row>
    <row r="889" spans="2:5" x14ac:dyDescent="0.2">
      <c r="B889" s="182" t="str">
        <f>'[1]COMEDORES EMERGENTES'!$B$4</f>
        <v>C.I.F Nº1 - RIVERA DEL VALLE Y FLORIDA</v>
      </c>
      <c r="C889" s="183"/>
      <c r="D889" s="88">
        <v>2</v>
      </c>
      <c r="E889" s="89" t="str">
        <f>'[1]COMEDORES EMERGENTES'!$G$4</f>
        <v>AV. RIVIERA DEL VALLE ENTRE FLORIDA Y SANTA FE</v>
      </c>
    </row>
    <row r="890" spans="2:5" x14ac:dyDescent="0.2">
      <c r="B890" s="182" t="str">
        <f>'[1]COMEDORES EMERGENTES'!$B$5</f>
        <v>C.I.F - RIVERA DEL VALLE - DILORENZO</v>
      </c>
      <c r="C890" s="183"/>
      <c r="D890" s="88">
        <v>3</v>
      </c>
      <c r="E890" s="89" t="str">
        <f>'[1]COMEDORES EMERGENTES'!$G$5</f>
        <v>Bº RIVERA DEL VALLE ENTRE VILLA EUMELIA Y MONTE CRISTO</v>
      </c>
    </row>
    <row r="891" spans="2:5" x14ac:dyDescent="0.2">
      <c r="B891" s="182" t="str">
        <f>'[1]COMEDORES EMERGENTES'!$B$6</f>
        <v>ESFUERZO PROPIO- Bº ALTOS DE CHOYA</v>
      </c>
      <c r="C891" s="183"/>
      <c r="D891" s="88">
        <v>2</v>
      </c>
      <c r="E891" s="89" t="str">
        <f>'[1]COMEDORES EMERGENTES'!$G$6</f>
        <v>Bº MUNICIPAL 35VV. NORTE C/14</v>
      </c>
    </row>
    <row r="892" spans="2:5" x14ac:dyDescent="0.2">
      <c r="B892" s="182" t="str">
        <f>'[1]COMEDORES EMERGENTES'!$B$7</f>
        <v>ANGELITOS - LOTEO SUSSEX</v>
      </c>
      <c r="C892" s="183"/>
      <c r="D892" s="88">
        <v>1</v>
      </c>
      <c r="E892" s="89" t="str">
        <f>'[1]COMEDORES EMERGENTES'!$G$7</f>
        <v>Bº LOTEO SUSEX MZA.Nº 4 LOTE Nº3</v>
      </c>
    </row>
    <row r="893" spans="2:5" x14ac:dyDescent="0.2">
      <c r="B893" s="182" t="str">
        <f>'[1]COMEDORES EMERGENTES'!$B$8</f>
        <v>CLUB DEPORTIVO CHACARITA</v>
      </c>
      <c r="C893" s="183"/>
      <c r="D893" s="88">
        <v>1</v>
      </c>
      <c r="E893" s="89" t="str">
        <f>'[1]COMEDORES EMERGENTES'!$G$8</f>
        <v>CALLE DR.DERMIDIO GALINDEZ C/2660</v>
      </c>
    </row>
    <row r="894" spans="2:5" x14ac:dyDescent="0.2">
      <c r="B894" s="182" t="str">
        <f>'[1]COMEDORES EMERGENTES'!$B$9</f>
        <v>LA MORO</v>
      </c>
      <c r="C894" s="183"/>
      <c r="D894" s="88">
        <v>1</v>
      </c>
      <c r="E894" s="89" t="str">
        <f>'[1]COMEDORES EMERGENTES'!$G$9</f>
        <v>MAIPU NORTE 1º ETAPA MZA "H" Bº MI JARDIN</v>
      </c>
    </row>
    <row r="895" spans="2:5" x14ac:dyDescent="0.2">
      <c r="B895" s="182" t="str">
        <f>'[1]COMEDORES EMERGENTES'!$B$10</f>
        <v>PAPA FRANCISCO</v>
      </c>
      <c r="C895" s="183"/>
      <c r="D895" s="88">
        <v>2</v>
      </c>
      <c r="E895" s="89" t="str">
        <f>'[1]COMEDORES EMERGENTES'!$G$10</f>
        <v>ENTRE AV.TEREBINTO Y AV.SAN JUAN LOTE "2" MZA. "B"</v>
      </c>
    </row>
    <row r="896" spans="2:5" x14ac:dyDescent="0.2">
      <c r="B896" s="182" t="str">
        <f>'[1]COMEDORES EMERGENTES'!$B$11</f>
        <v>E.P.C - 100 V.V NORTE</v>
      </c>
      <c r="C896" s="183"/>
      <c r="D896" s="88">
        <v>3</v>
      </c>
      <c r="E896" s="89" t="str">
        <f>'[1]COMEDORES EMERGENTES'!$G$11</f>
        <v>Bº VV NORTE C/48 ENTRE ESPAÑA Y FRANCIA</v>
      </c>
    </row>
    <row r="897" spans="2:5" x14ac:dyDescent="0.2">
      <c r="B897" s="182" t="str">
        <f>'[1]COMEDORES EMERGENTES'!$B$12</f>
        <v>HOGAR DE CRISTO - PADRE RAUL CONTRERAS</v>
      </c>
      <c r="C897" s="183"/>
      <c r="D897" s="88">
        <v>3</v>
      </c>
      <c r="E897" s="89" t="str">
        <f>'[1]COMEDORES EMERGENTES'!$G$12</f>
        <v>Bº SANTA MARTA MZA. "S" LOTE "M" C/39</v>
      </c>
    </row>
    <row r="898" spans="2:5" x14ac:dyDescent="0.2">
      <c r="B898" s="182" t="str">
        <f>'[1]COMEDORES EMERGENTES'!$B$13</f>
        <v>LA LUCIERNAGA</v>
      </c>
      <c r="C898" s="183"/>
      <c r="D898" s="88">
        <v>2</v>
      </c>
      <c r="E898" s="89" t="str">
        <f>'[1]COMEDORES EMERGENTES'!$G$13</f>
        <v>Bº 20 V.V NORTE C/3</v>
      </c>
    </row>
    <row r="899" spans="2:5" x14ac:dyDescent="0.2">
      <c r="B899" s="182" t="str">
        <f>'[1]COMEDORES EMERGENTES'!$B$14</f>
        <v>VALLE VIEJO - SUMALAO</v>
      </c>
      <c r="C899" s="183"/>
      <c r="D899" s="88">
        <v>4</v>
      </c>
      <c r="E899" s="89" t="str">
        <f>'[1]COMEDORES EMERGENTES'!$G$14</f>
        <v>PADRE SEGURA S/N</v>
      </c>
    </row>
    <row r="900" spans="2:5" x14ac:dyDescent="0.2">
      <c r="B900" s="182" t="str">
        <f>'[1]COMEDORES EMERGENTES'!$B$15</f>
        <v>NUESTRO FUTURO - LAS VIAS</v>
      </c>
      <c r="C900" s="183"/>
      <c r="D900" s="88">
        <v>2</v>
      </c>
      <c r="E900" s="89" t="str">
        <f>'[1]COMEDORES EMERGENTES'!$G$15</f>
        <v>Bº LAS VIAS OESTE LOTE 42</v>
      </c>
    </row>
    <row r="901" spans="2:5" x14ac:dyDescent="0.2">
      <c r="B901" s="182" t="str">
        <f>'[1]COMEDORES EMERGENTES'!$B$16</f>
        <v>SAN JOSE OBRERO</v>
      </c>
      <c r="C901" s="183"/>
      <c r="D901" s="88">
        <v>1</v>
      </c>
      <c r="E901" s="89" t="str">
        <f>'[1]COMEDORES EMERGENTES'!$G$16</f>
        <v>Bº SAN JOSE OBRERO. PJE. SANDOVAL S/Nº</v>
      </c>
    </row>
    <row r="902" spans="2:5" x14ac:dyDescent="0.2">
      <c r="B902" s="182" t="str">
        <f>'[1]COMEDORES EMERGENTES'!$B$17</f>
        <v>VIRGEN DE LUJAN</v>
      </c>
      <c r="C902" s="183"/>
      <c r="D902" s="88">
        <v>2</v>
      </c>
      <c r="E902" s="89" t="str">
        <f>'[1]COMEDORES EMERGENTES'!$G$17</f>
        <v>Bº OJO DE AGUA C/DR.TEODULFO BARRIONUEVO S/Nº</v>
      </c>
    </row>
    <row r="903" spans="2:5" x14ac:dyDescent="0.2">
      <c r="B903" s="182" t="str">
        <f>'[1]COMEDORES EMERGENTES'!$B$18</f>
        <v>RENACER</v>
      </c>
      <c r="C903" s="183"/>
      <c r="D903" s="88">
        <v>3</v>
      </c>
      <c r="E903" s="89" t="str">
        <f>'[1]COMEDORES EMERGENTES'!$G$18</f>
        <v>Bº VIRGEN MORENITA</v>
      </c>
    </row>
    <row r="904" spans="2:5" x14ac:dyDescent="0.2">
      <c r="B904" s="182" t="str">
        <f>'[1]COMEDORES EMERGENTES'!$B$19</f>
        <v>CENTRO VECINAL MI JARDIN</v>
      </c>
      <c r="C904" s="183"/>
      <c r="D904" s="88">
        <v>2</v>
      </c>
      <c r="E904" s="89" t="str">
        <f>'[1]COMEDORES EMERGENTES'!$G$19</f>
        <v>C/ LOS TULIPANES ENTRE FLOR DE CEREZO Y HOLANDA MZA.27 Bº MI JARDIN</v>
      </c>
    </row>
    <row r="905" spans="2:5" x14ac:dyDescent="0.2">
      <c r="B905" s="182" t="str">
        <f>'[1]COMEDORES EMERGENTES'!$B$20</f>
        <v>LA VIEJA ESQUINA</v>
      </c>
      <c r="C905" s="183"/>
      <c r="D905" s="88">
        <v>2</v>
      </c>
      <c r="E905" s="89" t="str">
        <f>'[1]COMEDORES EMERGENTES'!$G$20</f>
        <v>B° CRISTO REY PJE CAPATAZ VILLAFAÑEZ Y ARMANDO CORREA</v>
      </c>
    </row>
    <row r="906" spans="2:5" x14ac:dyDescent="0.2">
      <c r="B906" s="182" t="str">
        <f>'[1]COMEDORES EMERGENTES'!$B$21</f>
        <v>GAUCHITO GIL</v>
      </c>
      <c r="C906" s="183"/>
      <c r="D906" s="88">
        <v>2</v>
      </c>
      <c r="E906" s="89" t="str">
        <f>'[1]COMEDORES EMERGENTES'!$G$21</f>
        <v>B° 26 VIVIENDAS CASA N° 3</v>
      </c>
    </row>
    <row r="907" spans="2:5" ht="13.5" thickBot="1" x14ac:dyDescent="0.25">
      <c r="B907" s="196" t="str">
        <f>'[1]COMEDORES EMERGENTES'!$B$22</f>
        <v>LOS TOLDOS</v>
      </c>
      <c r="C907" s="197"/>
      <c r="D907" s="95">
        <v>1</v>
      </c>
      <c r="E907" s="96" t="str">
        <f>'[1]COMEDORES EMERGENTES'!$G$22</f>
        <v>LOTEO PARQUE SUR CALLE S/NOMBRE S/N°</v>
      </c>
    </row>
    <row r="908" spans="2:5" x14ac:dyDescent="0.2">
      <c r="B908" s="13" t="s">
        <v>18</v>
      </c>
      <c r="C908" s="11"/>
      <c r="D908" s="52"/>
      <c r="E908" s="12"/>
    </row>
    <row r="909" spans="2:5" x14ac:dyDescent="0.2">
      <c r="B909" s="14"/>
      <c r="C909" s="195" t="s">
        <v>24</v>
      </c>
      <c r="D909" s="195"/>
      <c r="E909" s="195"/>
    </row>
    <row r="910" spans="2:5" x14ac:dyDescent="0.2">
      <c r="B910" s="13" t="s">
        <v>19</v>
      </c>
      <c r="C910" s="15"/>
      <c r="D910" s="15"/>
      <c r="E910" s="16"/>
    </row>
    <row r="911" spans="2:5" x14ac:dyDescent="0.2">
      <c r="B911" s="14"/>
      <c r="C911" s="195" t="s">
        <v>101</v>
      </c>
      <c r="D911" s="195"/>
      <c r="E911" s="195"/>
    </row>
    <row r="912" spans="2:5" x14ac:dyDescent="0.2">
      <c r="B912" s="13" t="s">
        <v>20</v>
      </c>
      <c r="C912" s="11"/>
      <c r="D912" s="52"/>
      <c r="E912" s="12"/>
    </row>
    <row r="913" spans="2:5" x14ac:dyDescent="0.2">
      <c r="B913" s="13"/>
      <c r="C913" s="181" t="s">
        <v>25</v>
      </c>
      <c r="D913" s="181"/>
      <c r="E913" s="181"/>
    </row>
    <row r="914" spans="2:5" ht="13.5" thickBot="1" x14ac:dyDescent="0.25">
      <c r="B914" s="17"/>
      <c r="C914" s="18"/>
      <c r="D914" s="53"/>
      <c r="E914" s="19"/>
    </row>
    <row r="915" spans="2:5" ht="13.5" thickBot="1" x14ac:dyDescent="0.25"/>
    <row r="916" spans="2:5" x14ac:dyDescent="0.2">
      <c r="B916" s="7" t="s">
        <v>124</v>
      </c>
      <c r="C916" s="8"/>
      <c r="D916" s="51"/>
      <c r="E916" s="9"/>
    </row>
    <row r="917" spans="2:5" x14ac:dyDescent="0.2">
      <c r="B917" s="10"/>
      <c r="C917" s="11"/>
      <c r="D917" s="52"/>
      <c r="E917" s="12"/>
    </row>
    <row r="918" spans="2:5" x14ac:dyDescent="0.2">
      <c r="B918" s="13" t="s">
        <v>16</v>
      </c>
      <c r="C918" s="11"/>
      <c r="D918" s="52"/>
      <c r="E918" s="12"/>
    </row>
    <row r="919" spans="2:5" ht="25.5" customHeight="1" x14ac:dyDescent="0.2">
      <c r="B919" s="13"/>
      <c r="C919" s="195"/>
      <c r="D919" s="195"/>
      <c r="E919" s="195"/>
    </row>
    <row r="920" spans="2:5" ht="13.5" thickBot="1" x14ac:dyDescent="0.25">
      <c r="B920" s="13" t="s">
        <v>17</v>
      </c>
      <c r="C920" s="11"/>
      <c r="D920" s="52"/>
      <c r="E920" s="12"/>
    </row>
    <row r="921" spans="2:5" ht="13.5" thickBot="1" x14ac:dyDescent="0.25">
      <c r="B921" s="187" t="s">
        <v>98</v>
      </c>
      <c r="C921" s="191"/>
      <c r="D921" s="191"/>
      <c r="E921" s="188"/>
    </row>
    <row r="922" spans="2:5" ht="13.5" thickBot="1" x14ac:dyDescent="0.25">
      <c r="B922" s="187" t="s">
        <v>99</v>
      </c>
      <c r="C922" s="188"/>
      <c r="D922" s="49" t="s">
        <v>11</v>
      </c>
      <c r="E922" s="49" t="s">
        <v>100</v>
      </c>
    </row>
    <row r="923" spans="2:5" x14ac:dyDescent="0.2">
      <c r="B923" s="189" t="str">
        <f>'[1]COMEDORES EMERGENTES'!$B$3</f>
        <v>UNA SONRISA AV. LOS COBACHO</v>
      </c>
      <c r="C923" s="190"/>
      <c r="D923" s="93">
        <v>1</v>
      </c>
      <c r="E923" s="94" t="str">
        <f>'[1]COMEDORES EMERGENTES'!$G$3</f>
        <v>Bº SAN CARLOS OESTE AV. Bonifacio cobacho 670</v>
      </c>
    </row>
    <row r="924" spans="2:5" x14ac:dyDescent="0.2">
      <c r="B924" s="182" t="str">
        <f>'[1]COMEDORES EMERGENTES'!$B$4</f>
        <v>C.I.F Nº1 - RIVERA DEL VALLE Y FLORIDA</v>
      </c>
      <c r="C924" s="183"/>
      <c r="D924" s="88">
        <v>1</v>
      </c>
      <c r="E924" s="89" t="str">
        <f>'[1]COMEDORES EMERGENTES'!$G$4</f>
        <v>AV. RIVIERA DEL VALLE ENTRE FLORIDA Y SANTA FE</v>
      </c>
    </row>
    <row r="925" spans="2:5" x14ac:dyDescent="0.2">
      <c r="B925" s="182" t="str">
        <f>'[1]COMEDORES EMERGENTES'!$B$5</f>
        <v>C.I.F - RIVERA DEL VALLE - DILORENZO</v>
      </c>
      <c r="C925" s="183"/>
      <c r="D925" s="88">
        <v>1</v>
      </c>
      <c r="E925" s="89" t="str">
        <f>'[1]COMEDORES EMERGENTES'!$G$5</f>
        <v>Bº RIVERA DEL VALLE ENTRE VILLA EUMELIA Y MONTE CRISTO</v>
      </c>
    </row>
    <row r="926" spans="2:5" x14ac:dyDescent="0.2">
      <c r="B926" s="182" t="str">
        <f>'[1]COMEDORES EMERGENTES'!$B$6</f>
        <v>ESFUERZO PROPIO- Bº ALTOS DE CHOYA</v>
      </c>
      <c r="C926" s="183"/>
      <c r="D926" s="88">
        <v>1</v>
      </c>
      <c r="E926" s="89" t="str">
        <f>'[1]COMEDORES EMERGENTES'!$G$6</f>
        <v>Bº MUNICIPAL 35VV. NORTE C/14</v>
      </c>
    </row>
    <row r="927" spans="2:5" x14ac:dyDescent="0.2">
      <c r="B927" s="182" t="str">
        <f>'[1]COMEDORES EMERGENTES'!$B$7</f>
        <v>ANGELITOS - LOTEO SUSSEX</v>
      </c>
      <c r="C927" s="183"/>
      <c r="D927" s="88">
        <v>1</v>
      </c>
      <c r="E927" s="89" t="str">
        <f>'[1]COMEDORES EMERGENTES'!$G$7</f>
        <v>Bº LOTEO SUSEX MZA.Nº 4 LOTE Nº3</v>
      </c>
    </row>
    <row r="928" spans="2:5" x14ac:dyDescent="0.2">
      <c r="B928" s="182" t="str">
        <f>'[1]COMEDORES EMERGENTES'!$B$8</f>
        <v>CLUB DEPORTIVO CHACARITA</v>
      </c>
      <c r="C928" s="183"/>
      <c r="D928" s="88">
        <v>1</v>
      </c>
      <c r="E928" s="89" t="str">
        <f>'[1]COMEDORES EMERGENTES'!$G$8</f>
        <v>CALLE DR.DERMIDIO GALINDEZ C/2660</v>
      </c>
    </row>
    <row r="929" spans="2:5" x14ac:dyDescent="0.2">
      <c r="B929" s="182" t="str">
        <f>'[1]COMEDORES EMERGENTES'!$B$9</f>
        <v>LA MORO</v>
      </c>
      <c r="C929" s="183"/>
      <c r="D929" s="88">
        <v>1</v>
      </c>
      <c r="E929" s="89" t="str">
        <f>'[1]COMEDORES EMERGENTES'!$G$9</f>
        <v>MAIPU NORTE 1º ETAPA MZA "H" Bº MI JARDIN</v>
      </c>
    </row>
    <row r="930" spans="2:5" x14ac:dyDescent="0.2">
      <c r="B930" s="182" t="str">
        <f>'[1]COMEDORES EMERGENTES'!$B$10</f>
        <v>PAPA FRANCISCO</v>
      </c>
      <c r="C930" s="183"/>
      <c r="D930" s="88">
        <v>1</v>
      </c>
      <c r="E930" s="89" t="str">
        <f>'[1]COMEDORES EMERGENTES'!$G$10</f>
        <v>ENTRE AV.TEREBINTO Y AV.SAN JUAN LOTE "2" MZA. "B"</v>
      </c>
    </row>
    <row r="931" spans="2:5" x14ac:dyDescent="0.2">
      <c r="B931" s="182" t="str">
        <f>'[1]COMEDORES EMERGENTES'!$B$11</f>
        <v>E.P.C - 100 V.V NORTE</v>
      </c>
      <c r="C931" s="183"/>
      <c r="D931" s="88">
        <v>2</v>
      </c>
      <c r="E931" s="89" t="str">
        <f>'[1]COMEDORES EMERGENTES'!$G$11</f>
        <v>Bº VV NORTE C/48 ENTRE ESPAÑA Y FRANCIA</v>
      </c>
    </row>
    <row r="932" spans="2:5" x14ac:dyDescent="0.2">
      <c r="B932" s="182" t="str">
        <f>'[1]COMEDORES EMERGENTES'!$B$12</f>
        <v>HOGAR DE CRISTO - PADRE RAUL CONTRERAS</v>
      </c>
      <c r="C932" s="183"/>
      <c r="D932" s="88">
        <v>2</v>
      </c>
      <c r="E932" s="89" t="str">
        <f>'[1]COMEDORES EMERGENTES'!$G$12</f>
        <v>Bº SANTA MARTA MZA. "S" LOTE "M" C/39</v>
      </c>
    </row>
    <row r="933" spans="2:5" x14ac:dyDescent="0.2">
      <c r="B933" s="182" t="str">
        <f>'[1]COMEDORES EMERGENTES'!$B$13</f>
        <v>LA LUCIERNAGA</v>
      </c>
      <c r="C933" s="183"/>
      <c r="D933" s="88">
        <v>1</v>
      </c>
      <c r="E933" s="89" t="str">
        <f>'[1]COMEDORES EMERGENTES'!$G$13</f>
        <v>Bº 20 V.V NORTE C/3</v>
      </c>
    </row>
    <row r="934" spans="2:5" x14ac:dyDescent="0.2">
      <c r="B934" s="182" t="str">
        <f>'[1]COMEDORES EMERGENTES'!$B$14</f>
        <v>VALLE VIEJO - SUMALAO</v>
      </c>
      <c r="C934" s="183"/>
      <c r="D934" s="88">
        <v>2</v>
      </c>
      <c r="E934" s="89" t="str">
        <f>'[1]COMEDORES EMERGENTES'!$G$14</f>
        <v>PADRE SEGURA S/N</v>
      </c>
    </row>
    <row r="935" spans="2:5" x14ac:dyDescent="0.2">
      <c r="B935" s="182" t="str">
        <f>'[1]COMEDORES EMERGENTES'!$B$15</f>
        <v>NUESTRO FUTURO - LAS VIAS</v>
      </c>
      <c r="C935" s="183"/>
      <c r="D935" s="88">
        <v>1</v>
      </c>
      <c r="E935" s="89" t="str">
        <f>'[1]COMEDORES EMERGENTES'!$G$15</f>
        <v>Bº LAS VIAS OESTE LOTE 42</v>
      </c>
    </row>
    <row r="936" spans="2:5" x14ac:dyDescent="0.2">
      <c r="B936" s="182" t="str">
        <f>'[1]COMEDORES EMERGENTES'!$B$16</f>
        <v>SAN JOSE OBRERO</v>
      </c>
      <c r="C936" s="183"/>
      <c r="D936" s="88">
        <v>1</v>
      </c>
      <c r="E936" s="89" t="str">
        <f>'[1]COMEDORES EMERGENTES'!$G$16</f>
        <v>Bº SAN JOSE OBRERO. PJE. SANDOVAL S/Nº</v>
      </c>
    </row>
    <row r="937" spans="2:5" x14ac:dyDescent="0.2">
      <c r="B937" s="182" t="str">
        <f>'[1]COMEDORES EMERGENTES'!$B$17</f>
        <v>VIRGEN DE LUJAN</v>
      </c>
      <c r="C937" s="183"/>
      <c r="D937" s="88">
        <v>1</v>
      </c>
      <c r="E937" s="89" t="str">
        <f>'[1]COMEDORES EMERGENTES'!$G$17</f>
        <v>Bº OJO DE AGUA C/DR.TEODULFO BARRIONUEVO S/Nº</v>
      </c>
    </row>
    <row r="938" spans="2:5" x14ac:dyDescent="0.2">
      <c r="B938" s="182" t="str">
        <f>'[1]COMEDORES EMERGENTES'!$B$18</f>
        <v>RENACER</v>
      </c>
      <c r="C938" s="183"/>
      <c r="D938" s="88">
        <v>1</v>
      </c>
      <c r="E938" s="89" t="str">
        <f>'[1]COMEDORES EMERGENTES'!$G$18</f>
        <v>Bº VIRGEN MORENITA</v>
      </c>
    </row>
    <row r="939" spans="2:5" x14ac:dyDescent="0.2">
      <c r="B939" s="182" t="str">
        <f>'[1]COMEDORES EMERGENTES'!$B$19</f>
        <v>CENTRO VECINAL MI JARDIN</v>
      </c>
      <c r="C939" s="183"/>
      <c r="D939" s="88">
        <v>1</v>
      </c>
      <c r="E939" s="89" t="str">
        <f>'[1]COMEDORES EMERGENTES'!$G$19</f>
        <v>C/ LOS TULIPANES ENTRE FLOR DE CEREZO Y HOLANDA MZA.27 Bº MI JARDIN</v>
      </c>
    </row>
    <row r="940" spans="2:5" x14ac:dyDescent="0.2">
      <c r="B940" s="182" t="str">
        <f>'[1]COMEDORES EMERGENTES'!$B$20</f>
        <v>LA VIEJA ESQUINA</v>
      </c>
      <c r="C940" s="183"/>
      <c r="D940" s="88">
        <v>1</v>
      </c>
      <c r="E940" s="89" t="str">
        <f>'[1]COMEDORES EMERGENTES'!$G$20</f>
        <v>B° CRISTO REY PJE CAPATAZ VILLAFAÑEZ Y ARMANDO CORREA</v>
      </c>
    </row>
    <row r="941" spans="2:5" x14ac:dyDescent="0.2">
      <c r="B941" s="182" t="str">
        <f>'[1]COMEDORES EMERGENTES'!$B$21</f>
        <v>GAUCHITO GIL</v>
      </c>
      <c r="C941" s="183"/>
      <c r="D941" s="88">
        <v>1</v>
      </c>
      <c r="E941" s="89" t="str">
        <f>'[1]COMEDORES EMERGENTES'!$G$21</f>
        <v>B° 26 VIVIENDAS CASA N° 3</v>
      </c>
    </row>
    <row r="942" spans="2:5" ht="13.5" thickBot="1" x14ac:dyDescent="0.25">
      <c r="B942" s="196" t="str">
        <f>'[1]COMEDORES EMERGENTES'!$B$22</f>
        <v>LOS TOLDOS</v>
      </c>
      <c r="C942" s="197"/>
      <c r="D942" s="95">
        <v>1</v>
      </c>
      <c r="E942" s="96" t="str">
        <f>'[1]COMEDORES EMERGENTES'!$G$22</f>
        <v>LOTEO PARQUE SUR CALLE S/NOMBRE S/N°</v>
      </c>
    </row>
    <row r="943" spans="2:5" x14ac:dyDescent="0.2">
      <c r="B943" s="13" t="s">
        <v>18</v>
      </c>
      <c r="C943" s="11"/>
      <c r="D943" s="52"/>
      <c r="E943" s="12"/>
    </row>
    <row r="944" spans="2:5" x14ac:dyDescent="0.2">
      <c r="B944" s="14"/>
      <c r="C944" s="195" t="s">
        <v>24</v>
      </c>
      <c r="D944" s="195"/>
      <c r="E944" s="195"/>
    </row>
    <row r="945" spans="2:5" x14ac:dyDescent="0.2">
      <c r="B945" s="13" t="s">
        <v>19</v>
      </c>
      <c r="C945" s="15"/>
      <c r="D945" s="15"/>
      <c r="E945" s="16"/>
    </row>
    <row r="946" spans="2:5" x14ac:dyDescent="0.2">
      <c r="B946" s="14"/>
      <c r="C946" s="195" t="s">
        <v>101</v>
      </c>
      <c r="D946" s="195"/>
      <c r="E946" s="195"/>
    </row>
    <row r="947" spans="2:5" x14ac:dyDescent="0.2">
      <c r="B947" s="13" t="s">
        <v>20</v>
      </c>
      <c r="C947" s="11"/>
      <c r="D947" s="52"/>
      <c r="E947" s="12"/>
    </row>
    <row r="948" spans="2:5" x14ac:dyDescent="0.2">
      <c r="B948" s="13"/>
      <c r="C948" s="181" t="s">
        <v>25</v>
      </c>
      <c r="D948" s="181"/>
      <c r="E948" s="181"/>
    </row>
    <row r="949" spans="2:5" ht="13.5" thickBot="1" x14ac:dyDescent="0.25">
      <c r="B949" s="17"/>
      <c r="C949" s="18"/>
      <c r="D949" s="53"/>
      <c r="E949" s="19"/>
    </row>
    <row r="950" spans="2:5" ht="13.5" thickBot="1" x14ac:dyDescent="0.25"/>
    <row r="951" spans="2:5" x14ac:dyDescent="0.2">
      <c r="B951" s="7" t="s">
        <v>125</v>
      </c>
      <c r="C951" s="8"/>
      <c r="D951" s="51"/>
      <c r="E951" s="9"/>
    </row>
    <row r="952" spans="2:5" x14ac:dyDescent="0.2">
      <c r="B952" s="10"/>
      <c r="C952" s="11"/>
      <c r="D952" s="52"/>
      <c r="E952" s="12"/>
    </row>
    <row r="953" spans="2:5" x14ac:dyDescent="0.2">
      <c r="B953" s="13" t="s">
        <v>16</v>
      </c>
      <c r="C953" s="11"/>
      <c r="D953" s="52"/>
      <c r="E953" s="12"/>
    </row>
    <row r="954" spans="2:5" ht="25.5" customHeight="1" x14ac:dyDescent="0.2">
      <c r="B954" s="13"/>
      <c r="C954" s="195"/>
      <c r="D954" s="195"/>
      <c r="E954" s="195"/>
    </row>
    <row r="955" spans="2:5" ht="13.5" thickBot="1" x14ac:dyDescent="0.25">
      <c r="B955" s="13" t="s">
        <v>17</v>
      </c>
      <c r="C955" s="11"/>
      <c r="D955" s="52"/>
      <c r="E955" s="12"/>
    </row>
    <row r="956" spans="2:5" ht="13.5" thickBot="1" x14ac:dyDescent="0.25">
      <c r="B956" s="187" t="s">
        <v>203</v>
      </c>
      <c r="C956" s="191"/>
      <c r="D956" s="191"/>
      <c r="E956" s="188"/>
    </row>
    <row r="957" spans="2:5" ht="13.5" thickBot="1" x14ac:dyDescent="0.25">
      <c r="B957" s="187" t="s">
        <v>99</v>
      </c>
      <c r="C957" s="188"/>
      <c r="D957" s="49" t="s">
        <v>11</v>
      </c>
      <c r="E957" s="49" t="s">
        <v>100</v>
      </c>
    </row>
    <row r="958" spans="2:5" x14ac:dyDescent="0.2">
      <c r="B958" s="189" t="str">
        <f>'[1]COMEDORES EMERGENTES'!$B$3</f>
        <v>UNA SONRISA AV. LOS COBACHO</v>
      </c>
      <c r="C958" s="190"/>
      <c r="D958" s="93">
        <v>160</v>
      </c>
      <c r="E958" s="94" t="str">
        <f>'[1]COMEDORES EMERGENTES'!$G$3</f>
        <v>Bº SAN CARLOS OESTE AV. Bonifacio cobacho 670</v>
      </c>
    </row>
    <row r="959" spans="2:5" x14ac:dyDescent="0.2">
      <c r="B959" s="182" t="str">
        <f>'[1]COMEDORES EMERGENTES'!$B$4</f>
        <v>C.I.F Nº1 - RIVERA DEL VALLE Y FLORIDA</v>
      </c>
      <c r="C959" s="183"/>
      <c r="D959" s="88">
        <v>230</v>
      </c>
      <c r="E959" s="89" t="str">
        <f>'[1]COMEDORES EMERGENTES'!$G$4</f>
        <v>AV. RIVIERA DEL VALLE ENTRE FLORIDA Y SANTA FE</v>
      </c>
    </row>
    <row r="960" spans="2:5" x14ac:dyDescent="0.2">
      <c r="B960" s="182" t="str">
        <f>'[1]COMEDORES EMERGENTES'!$B$5</f>
        <v>C.I.F - RIVERA DEL VALLE - DILORENZO</v>
      </c>
      <c r="C960" s="183"/>
      <c r="D960" s="88">
        <v>270</v>
      </c>
      <c r="E960" s="89" t="str">
        <f>'[1]COMEDORES EMERGENTES'!$G$5</f>
        <v>Bº RIVERA DEL VALLE ENTRE VILLA EUMELIA Y MONTE CRISTO</v>
      </c>
    </row>
    <row r="961" spans="2:5" x14ac:dyDescent="0.2">
      <c r="B961" s="182" t="str">
        <f>'[1]COMEDORES EMERGENTES'!$B$6</f>
        <v>ESFUERZO PROPIO- Bº ALTOS DE CHOYA</v>
      </c>
      <c r="C961" s="183"/>
      <c r="D961" s="88">
        <v>220</v>
      </c>
      <c r="E961" s="89" t="str">
        <f>'[1]COMEDORES EMERGENTES'!$G$6</f>
        <v>Bº MUNICIPAL 35VV. NORTE C/14</v>
      </c>
    </row>
    <row r="962" spans="2:5" x14ac:dyDescent="0.2">
      <c r="B962" s="182" t="str">
        <f>'[1]COMEDORES EMERGENTES'!$B$7</f>
        <v>ANGELITOS - LOTEO SUSSEX</v>
      </c>
      <c r="C962" s="183"/>
      <c r="D962" s="88">
        <v>100</v>
      </c>
      <c r="E962" s="89" t="str">
        <f>'[1]COMEDORES EMERGENTES'!$G$7</f>
        <v>Bº LOTEO SUSEX MZA.Nº 4 LOTE Nº3</v>
      </c>
    </row>
    <row r="963" spans="2:5" x14ac:dyDescent="0.2">
      <c r="B963" s="182" t="str">
        <f>'[1]COMEDORES EMERGENTES'!$B$8</f>
        <v>CLUB DEPORTIVO CHACARITA</v>
      </c>
      <c r="C963" s="183"/>
      <c r="D963" s="88">
        <v>130</v>
      </c>
      <c r="E963" s="89" t="str">
        <f>'[1]COMEDORES EMERGENTES'!$G$8</f>
        <v>CALLE DR.DERMIDIO GALINDEZ C/2660</v>
      </c>
    </row>
    <row r="964" spans="2:5" x14ac:dyDescent="0.2">
      <c r="B964" s="182" t="str">
        <f>'[1]COMEDORES EMERGENTES'!$B$9</f>
        <v>LA MORO</v>
      </c>
      <c r="C964" s="183"/>
      <c r="D964" s="88">
        <v>120</v>
      </c>
      <c r="E964" s="89" t="str">
        <f>'[1]COMEDORES EMERGENTES'!$G$9</f>
        <v>MAIPU NORTE 1º ETAPA MZA "H" Bº MI JARDIN</v>
      </c>
    </row>
    <row r="965" spans="2:5" x14ac:dyDescent="0.2">
      <c r="B965" s="182" t="str">
        <f>'[1]COMEDORES EMERGENTES'!$B$10</f>
        <v>PAPA FRANCISCO</v>
      </c>
      <c r="C965" s="183"/>
      <c r="D965" s="88">
        <v>200</v>
      </c>
      <c r="E965" s="89" t="str">
        <f>'[1]COMEDORES EMERGENTES'!$G$10</f>
        <v>ENTRE AV.TEREBINTO Y AV.SAN JUAN LOTE "2" MZA. "B"</v>
      </c>
    </row>
    <row r="966" spans="2:5" x14ac:dyDescent="0.2">
      <c r="B966" s="182" t="str">
        <f>'[1]COMEDORES EMERGENTES'!$B$11</f>
        <v>E.P.C - 100 V.V NORTE</v>
      </c>
      <c r="C966" s="183"/>
      <c r="D966" s="88">
        <v>300</v>
      </c>
      <c r="E966" s="89" t="str">
        <f>'[1]COMEDORES EMERGENTES'!$G$11</f>
        <v>Bº VV NORTE C/48 ENTRE ESPAÑA Y FRANCIA</v>
      </c>
    </row>
    <row r="967" spans="2:5" x14ac:dyDescent="0.2">
      <c r="B967" s="182" t="str">
        <f>'[1]COMEDORES EMERGENTES'!$B$12</f>
        <v>HOGAR DE CRISTO - PADRE RAUL CONTRERAS</v>
      </c>
      <c r="C967" s="183"/>
      <c r="D967" s="88">
        <v>300</v>
      </c>
      <c r="E967" s="89" t="str">
        <f>'[1]COMEDORES EMERGENTES'!$G$12</f>
        <v>Bº SANTA MARTA MZA. "S" LOTE "M" C/39</v>
      </c>
    </row>
    <row r="968" spans="2:5" x14ac:dyDescent="0.2">
      <c r="B968" s="182" t="str">
        <f>'[1]COMEDORES EMERGENTES'!$B$13</f>
        <v>LA LUCIERNAGA</v>
      </c>
      <c r="C968" s="183"/>
      <c r="D968" s="88">
        <v>200</v>
      </c>
      <c r="E968" s="89" t="str">
        <f>'[1]COMEDORES EMERGENTES'!$G$13</f>
        <v>Bº 20 V.V NORTE C/3</v>
      </c>
    </row>
    <row r="969" spans="2:5" x14ac:dyDescent="0.2">
      <c r="B969" s="182" t="str">
        <f>'[1]COMEDORES EMERGENTES'!$B$14</f>
        <v>VALLE VIEJO - SUMALAO</v>
      </c>
      <c r="C969" s="183"/>
      <c r="D969" s="88">
        <v>350</v>
      </c>
      <c r="E969" s="89" t="str">
        <f>'[1]COMEDORES EMERGENTES'!$G$14</f>
        <v>PADRE SEGURA S/N</v>
      </c>
    </row>
    <row r="970" spans="2:5" x14ac:dyDescent="0.2">
      <c r="B970" s="182" t="str">
        <f>'[1]COMEDORES EMERGENTES'!$B$15</f>
        <v>NUESTRO FUTURO - LAS VIAS</v>
      </c>
      <c r="C970" s="183"/>
      <c r="D970" s="88">
        <v>200</v>
      </c>
      <c r="E970" s="89" t="str">
        <f>'[1]COMEDORES EMERGENTES'!$G$15</f>
        <v>Bº LAS VIAS OESTE LOTE 42</v>
      </c>
    </row>
    <row r="971" spans="2:5" x14ac:dyDescent="0.2">
      <c r="B971" s="182" t="str">
        <f>'[1]COMEDORES EMERGENTES'!$B$16</f>
        <v>SAN JOSE OBRERO</v>
      </c>
      <c r="C971" s="183"/>
      <c r="D971" s="88">
        <v>130</v>
      </c>
      <c r="E971" s="89" t="str">
        <f>'[1]COMEDORES EMERGENTES'!$G$16</f>
        <v>Bº SAN JOSE OBRERO. PJE. SANDOVAL S/Nº</v>
      </c>
    </row>
    <row r="972" spans="2:5" x14ac:dyDescent="0.2">
      <c r="B972" s="182" t="str">
        <f>'[1]COMEDORES EMERGENTES'!$B$17</f>
        <v>VIRGEN DE LUJAN</v>
      </c>
      <c r="C972" s="183"/>
      <c r="D972" s="88">
        <v>200</v>
      </c>
      <c r="E972" s="89" t="str">
        <f>'[1]COMEDORES EMERGENTES'!$G$17</f>
        <v>Bº OJO DE AGUA C/DR.TEODULFO BARRIONUEVO S/Nº</v>
      </c>
    </row>
    <row r="973" spans="2:5" x14ac:dyDescent="0.2">
      <c r="B973" s="182" t="str">
        <f>'[1]COMEDORES EMERGENTES'!$B$18</f>
        <v>RENACER</v>
      </c>
      <c r="C973" s="183"/>
      <c r="D973" s="88">
        <v>250</v>
      </c>
      <c r="E973" s="89" t="str">
        <f>'[1]COMEDORES EMERGENTES'!$G$18</f>
        <v>Bº VIRGEN MORENITA</v>
      </c>
    </row>
    <row r="974" spans="2:5" x14ac:dyDescent="0.2">
      <c r="B974" s="182" t="str">
        <f>'[1]COMEDORES EMERGENTES'!$B$19</f>
        <v>CENTRO VECINAL MI JARDIN</v>
      </c>
      <c r="C974" s="183"/>
      <c r="D974" s="88">
        <v>180</v>
      </c>
      <c r="E974" s="89" t="str">
        <f>'[1]COMEDORES EMERGENTES'!$G$19</f>
        <v>C/ LOS TULIPANES ENTRE FLOR DE CEREZO Y HOLANDA MZA.27 Bº MI JARDIN</v>
      </c>
    </row>
    <row r="975" spans="2:5" x14ac:dyDescent="0.2">
      <c r="B975" s="182" t="str">
        <f>'[1]COMEDORES EMERGENTES'!$B$20</f>
        <v>LA VIEJA ESQUINA</v>
      </c>
      <c r="C975" s="183"/>
      <c r="D975" s="88">
        <v>172</v>
      </c>
      <c r="E975" s="89" t="str">
        <f>'[1]COMEDORES EMERGENTES'!$G$20</f>
        <v>B° CRISTO REY PJE CAPATAZ VILLAFAÑEZ Y ARMANDO CORREA</v>
      </c>
    </row>
    <row r="976" spans="2:5" x14ac:dyDescent="0.2">
      <c r="B976" s="182" t="str">
        <f>'[1]COMEDORES EMERGENTES'!$B$21</f>
        <v>GAUCHITO GIL</v>
      </c>
      <c r="C976" s="183"/>
      <c r="D976" s="88">
        <v>168</v>
      </c>
      <c r="E976" s="89" t="str">
        <f>'[1]COMEDORES EMERGENTES'!$G$21</f>
        <v>B° 26 VIVIENDAS CASA N° 3</v>
      </c>
    </row>
    <row r="977" spans="2:5" ht="13.5" thickBot="1" x14ac:dyDescent="0.25">
      <c r="B977" s="196" t="str">
        <f>'[1]COMEDORES EMERGENTES'!$B$22</f>
        <v>LOS TOLDOS</v>
      </c>
      <c r="C977" s="197"/>
      <c r="D977" s="95">
        <v>80</v>
      </c>
      <c r="E977" s="96" t="str">
        <f>'[1]COMEDORES EMERGENTES'!$G$22</f>
        <v>LOTEO PARQUE SUR CALLE S/NOMBRE S/N°</v>
      </c>
    </row>
    <row r="978" spans="2:5" x14ac:dyDescent="0.2">
      <c r="B978" s="13" t="s">
        <v>18</v>
      </c>
      <c r="C978" s="11"/>
      <c r="D978" s="52"/>
      <c r="E978" s="12"/>
    </row>
    <row r="979" spans="2:5" x14ac:dyDescent="0.2">
      <c r="B979" s="14"/>
      <c r="C979" s="195" t="s">
        <v>24</v>
      </c>
      <c r="D979" s="195"/>
      <c r="E979" s="195"/>
    </row>
    <row r="980" spans="2:5" x14ac:dyDescent="0.2">
      <c r="B980" s="13" t="s">
        <v>19</v>
      </c>
      <c r="C980" s="15"/>
      <c r="D980" s="15"/>
      <c r="E980" s="16"/>
    </row>
    <row r="981" spans="2:5" x14ac:dyDescent="0.2">
      <c r="B981" s="14"/>
      <c r="C981" s="195" t="s">
        <v>101</v>
      </c>
      <c r="D981" s="195"/>
      <c r="E981" s="195"/>
    </row>
    <row r="982" spans="2:5" x14ac:dyDescent="0.2">
      <c r="B982" s="13" t="s">
        <v>20</v>
      </c>
      <c r="C982" s="11"/>
      <c r="D982" s="52"/>
      <c r="E982" s="12"/>
    </row>
    <row r="983" spans="2:5" x14ac:dyDescent="0.2">
      <c r="B983" s="13"/>
      <c r="C983" s="181" t="s">
        <v>25</v>
      </c>
      <c r="D983" s="181"/>
      <c r="E983" s="181"/>
    </row>
    <row r="984" spans="2:5" ht="13.5" thickBot="1" x14ac:dyDescent="0.25">
      <c r="B984" s="17"/>
      <c r="C984" s="18"/>
      <c r="D984" s="53"/>
      <c r="E984" s="19"/>
    </row>
    <row r="985" spans="2:5" ht="13.5" thickBot="1" x14ac:dyDescent="0.25"/>
    <row r="986" spans="2:5" x14ac:dyDescent="0.2">
      <c r="B986" s="7" t="s">
        <v>126</v>
      </c>
      <c r="C986" s="8"/>
      <c r="D986" s="51"/>
      <c r="E986" s="9"/>
    </row>
    <row r="987" spans="2:5" x14ac:dyDescent="0.2">
      <c r="B987" s="10"/>
      <c r="C987" s="11"/>
      <c r="D987" s="52"/>
      <c r="E987" s="12"/>
    </row>
    <row r="988" spans="2:5" x14ac:dyDescent="0.2">
      <c r="B988" s="13" t="s">
        <v>16</v>
      </c>
      <c r="C988" s="11"/>
      <c r="D988" s="52"/>
      <c r="E988" s="12"/>
    </row>
    <row r="989" spans="2:5" ht="30" customHeight="1" x14ac:dyDescent="0.2">
      <c r="B989" s="13"/>
      <c r="C989" s="195"/>
      <c r="D989" s="195"/>
      <c r="E989" s="195"/>
    </row>
    <row r="990" spans="2:5" ht="13.5" thickBot="1" x14ac:dyDescent="0.25">
      <c r="B990" s="13" t="s">
        <v>17</v>
      </c>
      <c r="C990" s="11"/>
      <c r="D990" s="52"/>
      <c r="E990" s="12"/>
    </row>
    <row r="991" spans="2:5" ht="13.5" thickBot="1" x14ac:dyDescent="0.25">
      <c r="B991" s="187" t="s">
        <v>204</v>
      </c>
      <c r="C991" s="191"/>
      <c r="D991" s="191"/>
      <c r="E991" s="188"/>
    </row>
    <row r="992" spans="2:5" ht="13.5" thickBot="1" x14ac:dyDescent="0.25">
      <c r="B992" s="187" t="s">
        <v>99</v>
      </c>
      <c r="C992" s="188"/>
      <c r="D992" s="49" t="s">
        <v>11</v>
      </c>
      <c r="E992" s="49" t="s">
        <v>100</v>
      </c>
    </row>
    <row r="993" spans="2:5" x14ac:dyDescent="0.2">
      <c r="B993" s="189" t="str">
        <f>'[1]COMEDORES EMERGENTES'!$B$3</f>
        <v>UNA SONRISA AV. LOS COBACHO</v>
      </c>
      <c r="C993" s="190"/>
      <c r="D993" s="93">
        <v>160</v>
      </c>
      <c r="E993" s="94" t="str">
        <f>'[1]COMEDORES EMERGENTES'!$G$3</f>
        <v>Bº SAN CARLOS OESTE AV. Bonifacio cobacho 670</v>
      </c>
    </row>
    <row r="994" spans="2:5" x14ac:dyDescent="0.2">
      <c r="B994" s="182" t="str">
        <f>'[1]COMEDORES EMERGENTES'!$B$4</f>
        <v>C.I.F Nº1 - RIVERA DEL VALLE Y FLORIDA</v>
      </c>
      <c r="C994" s="183"/>
      <c r="D994" s="88">
        <v>230</v>
      </c>
      <c r="E994" s="89" t="str">
        <f>'[1]COMEDORES EMERGENTES'!$G$4</f>
        <v>AV. RIVIERA DEL VALLE ENTRE FLORIDA Y SANTA FE</v>
      </c>
    </row>
    <row r="995" spans="2:5" x14ac:dyDescent="0.2">
      <c r="B995" s="182" t="str">
        <f>'[1]COMEDORES EMERGENTES'!$B$5</f>
        <v>C.I.F - RIVERA DEL VALLE - DILORENZO</v>
      </c>
      <c r="C995" s="183"/>
      <c r="D995" s="88">
        <v>270</v>
      </c>
      <c r="E995" s="89" t="str">
        <f>'[1]COMEDORES EMERGENTES'!$G$5</f>
        <v>Bº RIVERA DEL VALLE ENTRE VILLA EUMELIA Y MONTE CRISTO</v>
      </c>
    </row>
    <row r="996" spans="2:5" x14ac:dyDescent="0.2">
      <c r="B996" s="182" t="str">
        <f>'[1]COMEDORES EMERGENTES'!$B$6</f>
        <v>ESFUERZO PROPIO- Bº ALTOS DE CHOYA</v>
      </c>
      <c r="C996" s="183"/>
      <c r="D996" s="88">
        <v>220</v>
      </c>
      <c r="E996" s="89" t="str">
        <f>'[1]COMEDORES EMERGENTES'!$G$6</f>
        <v>Bº MUNICIPAL 35VV. NORTE C/14</v>
      </c>
    </row>
    <row r="997" spans="2:5" x14ac:dyDescent="0.2">
      <c r="B997" s="182" t="str">
        <f>'[1]COMEDORES EMERGENTES'!$B$7</f>
        <v>ANGELITOS - LOTEO SUSSEX</v>
      </c>
      <c r="C997" s="183"/>
      <c r="D997" s="88">
        <v>100</v>
      </c>
      <c r="E997" s="89" t="str">
        <f>'[1]COMEDORES EMERGENTES'!$G$7</f>
        <v>Bº LOTEO SUSEX MZA.Nº 4 LOTE Nº3</v>
      </c>
    </row>
    <row r="998" spans="2:5" x14ac:dyDescent="0.2">
      <c r="B998" s="182" t="str">
        <f>'[1]COMEDORES EMERGENTES'!$B$8</f>
        <v>CLUB DEPORTIVO CHACARITA</v>
      </c>
      <c r="C998" s="183"/>
      <c r="D998" s="88">
        <v>130</v>
      </c>
      <c r="E998" s="89" t="str">
        <f>'[1]COMEDORES EMERGENTES'!$G$8</f>
        <v>CALLE DR.DERMIDIO GALINDEZ C/2660</v>
      </c>
    </row>
    <row r="999" spans="2:5" x14ac:dyDescent="0.2">
      <c r="B999" s="182" t="str">
        <f>'[1]COMEDORES EMERGENTES'!$B$9</f>
        <v>LA MORO</v>
      </c>
      <c r="C999" s="183"/>
      <c r="D999" s="88">
        <v>120</v>
      </c>
      <c r="E999" s="89" t="str">
        <f>'[1]COMEDORES EMERGENTES'!$G$9</f>
        <v>MAIPU NORTE 1º ETAPA MZA "H" Bº MI JARDIN</v>
      </c>
    </row>
    <row r="1000" spans="2:5" x14ac:dyDescent="0.2">
      <c r="B1000" s="182" t="str">
        <f>'[1]COMEDORES EMERGENTES'!$B$10</f>
        <v>PAPA FRANCISCO</v>
      </c>
      <c r="C1000" s="183"/>
      <c r="D1000" s="88">
        <v>200</v>
      </c>
      <c r="E1000" s="89" t="str">
        <f>'[1]COMEDORES EMERGENTES'!$G$10</f>
        <v>ENTRE AV.TEREBINTO Y AV.SAN JUAN LOTE "2" MZA. "B"</v>
      </c>
    </row>
    <row r="1001" spans="2:5" x14ac:dyDescent="0.2">
      <c r="B1001" s="182" t="str">
        <f>'[1]COMEDORES EMERGENTES'!$B$11</f>
        <v>E.P.C - 100 V.V NORTE</v>
      </c>
      <c r="C1001" s="183"/>
      <c r="D1001" s="88">
        <v>300</v>
      </c>
      <c r="E1001" s="89" t="str">
        <f>'[1]COMEDORES EMERGENTES'!$G$11</f>
        <v>Bº VV NORTE C/48 ENTRE ESPAÑA Y FRANCIA</v>
      </c>
    </row>
    <row r="1002" spans="2:5" x14ac:dyDescent="0.2">
      <c r="B1002" s="182" t="str">
        <f>'[1]COMEDORES EMERGENTES'!$B$12</f>
        <v>HOGAR DE CRISTO - PADRE RAUL CONTRERAS</v>
      </c>
      <c r="C1002" s="183"/>
      <c r="D1002" s="88">
        <v>300</v>
      </c>
      <c r="E1002" s="89" t="str">
        <f>'[1]COMEDORES EMERGENTES'!$G$12</f>
        <v>Bº SANTA MARTA MZA. "S" LOTE "M" C/39</v>
      </c>
    </row>
    <row r="1003" spans="2:5" x14ac:dyDescent="0.2">
      <c r="B1003" s="182" t="str">
        <f>'[1]COMEDORES EMERGENTES'!$B$13</f>
        <v>LA LUCIERNAGA</v>
      </c>
      <c r="C1003" s="183"/>
      <c r="D1003" s="88">
        <v>200</v>
      </c>
      <c r="E1003" s="89" t="str">
        <f>'[1]COMEDORES EMERGENTES'!$G$13</f>
        <v>Bº 20 V.V NORTE C/3</v>
      </c>
    </row>
    <row r="1004" spans="2:5" x14ac:dyDescent="0.2">
      <c r="B1004" s="182" t="str">
        <f>'[1]COMEDORES EMERGENTES'!$B$14</f>
        <v>VALLE VIEJO - SUMALAO</v>
      </c>
      <c r="C1004" s="183"/>
      <c r="D1004" s="88">
        <v>350</v>
      </c>
      <c r="E1004" s="89" t="str">
        <f>'[1]COMEDORES EMERGENTES'!$G$14</f>
        <v>PADRE SEGURA S/N</v>
      </c>
    </row>
    <row r="1005" spans="2:5" x14ac:dyDescent="0.2">
      <c r="B1005" s="182" t="str">
        <f>'[1]COMEDORES EMERGENTES'!$B$15</f>
        <v>NUESTRO FUTURO - LAS VIAS</v>
      </c>
      <c r="C1005" s="183"/>
      <c r="D1005" s="88">
        <v>200</v>
      </c>
      <c r="E1005" s="89" t="str">
        <f>'[1]COMEDORES EMERGENTES'!$G$15</f>
        <v>Bº LAS VIAS OESTE LOTE 42</v>
      </c>
    </row>
    <row r="1006" spans="2:5" x14ac:dyDescent="0.2">
      <c r="B1006" s="182" t="str">
        <f>'[1]COMEDORES EMERGENTES'!$B$16</f>
        <v>SAN JOSE OBRERO</v>
      </c>
      <c r="C1006" s="183"/>
      <c r="D1006" s="88">
        <v>130</v>
      </c>
      <c r="E1006" s="89" t="str">
        <f>'[1]COMEDORES EMERGENTES'!$G$16</f>
        <v>Bº SAN JOSE OBRERO. PJE. SANDOVAL S/Nº</v>
      </c>
    </row>
    <row r="1007" spans="2:5" x14ac:dyDescent="0.2">
      <c r="B1007" s="182" t="str">
        <f>'[1]COMEDORES EMERGENTES'!$B$17</f>
        <v>VIRGEN DE LUJAN</v>
      </c>
      <c r="C1007" s="183"/>
      <c r="D1007" s="88">
        <v>200</v>
      </c>
      <c r="E1007" s="89" t="str">
        <f>'[1]COMEDORES EMERGENTES'!$G$17</f>
        <v>Bº OJO DE AGUA C/DR.TEODULFO BARRIONUEVO S/Nº</v>
      </c>
    </row>
    <row r="1008" spans="2:5" x14ac:dyDescent="0.2">
      <c r="B1008" s="182" t="str">
        <f>'[1]COMEDORES EMERGENTES'!$B$18</f>
        <v>RENACER</v>
      </c>
      <c r="C1008" s="183"/>
      <c r="D1008" s="88">
        <v>250</v>
      </c>
      <c r="E1008" s="89" t="str">
        <f>'[1]COMEDORES EMERGENTES'!$G$18</f>
        <v>Bº VIRGEN MORENITA</v>
      </c>
    </row>
    <row r="1009" spans="2:5" x14ac:dyDescent="0.2">
      <c r="B1009" s="182" t="str">
        <f>'[1]COMEDORES EMERGENTES'!$B$19</f>
        <v>CENTRO VECINAL MI JARDIN</v>
      </c>
      <c r="C1009" s="183"/>
      <c r="D1009" s="88">
        <v>180</v>
      </c>
      <c r="E1009" s="89" t="str">
        <f>'[1]COMEDORES EMERGENTES'!$G$19</f>
        <v>C/ LOS TULIPANES ENTRE FLOR DE CEREZO Y HOLANDA MZA.27 Bº MI JARDIN</v>
      </c>
    </row>
    <row r="1010" spans="2:5" x14ac:dyDescent="0.2">
      <c r="B1010" s="182" t="str">
        <f>'[1]COMEDORES EMERGENTES'!$B$20</f>
        <v>LA VIEJA ESQUINA</v>
      </c>
      <c r="C1010" s="183"/>
      <c r="D1010" s="88">
        <v>172</v>
      </c>
      <c r="E1010" s="89" t="str">
        <f>'[1]COMEDORES EMERGENTES'!$G$20</f>
        <v>B° CRISTO REY PJE CAPATAZ VILLAFAÑEZ Y ARMANDO CORREA</v>
      </c>
    </row>
    <row r="1011" spans="2:5" x14ac:dyDescent="0.2">
      <c r="B1011" s="182" t="str">
        <f>'[1]COMEDORES EMERGENTES'!$B$21</f>
        <v>GAUCHITO GIL</v>
      </c>
      <c r="C1011" s="183"/>
      <c r="D1011" s="88">
        <v>168</v>
      </c>
      <c r="E1011" s="89" t="str">
        <f>'[1]COMEDORES EMERGENTES'!$G$21</f>
        <v>B° 26 VIVIENDAS CASA N° 3</v>
      </c>
    </row>
    <row r="1012" spans="2:5" ht="13.5" thickBot="1" x14ac:dyDescent="0.25">
      <c r="B1012" s="196" t="str">
        <f>'[1]COMEDORES EMERGENTES'!$B$22</f>
        <v>LOS TOLDOS</v>
      </c>
      <c r="C1012" s="197"/>
      <c r="D1012" s="95">
        <v>80</v>
      </c>
      <c r="E1012" s="96" t="str">
        <f>'[1]COMEDORES EMERGENTES'!$G$22</f>
        <v>LOTEO PARQUE SUR CALLE S/NOMBRE S/N°</v>
      </c>
    </row>
    <row r="1013" spans="2:5" x14ac:dyDescent="0.2">
      <c r="B1013" s="13" t="s">
        <v>18</v>
      </c>
      <c r="C1013" s="11"/>
      <c r="D1013" s="52"/>
      <c r="E1013" s="12"/>
    </row>
    <row r="1014" spans="2:5" x14ac:dyDescent="0.2">
      <c r="B1014" s="14"/>
      <c r="C1014" s="195" t="s">
        <v>24</v>
      </c>
      <c r="D1014" s="195"/>
      <c r="E1014" s="195"/>
    </row>
    <row r="1015" spans="2:5" x14ac:dyDescent="0.2">
      <c r="B1015" s="13" t="s">
        <v>19</v>
      </c>
      <c r="C1015" s="15"/>
      <c r="D1015" s="15"/>
      <c r="E1015" s="16"/>
    </row>
    <row r="1016" spans="2:5" x14ac:dyDescent="0.2">
      <c r="B1016" s="14"/>
      <c r="C1016" s="195" t="s">
        <v>101</v>
      </c>
      <c r="D1016" s="195"/>
      <c r="E1016" s="195"/>
    </row>
    <row r="1017" spans="2:5" x14ac:dyDescent="0.2">
      <c r="B1017" s="13" t="s">
        <v>20</v>
      </c>
      <c r="C1017" s="11"/>
      <c r="D1017" s="52"/>
      <c r="E1017" s="12"/>
    </row>
    <row r="1018" spans="2:5" x14ac:dyDescent="0.2">
      <c r="B1018" s="13"/>
      <c r="C1018" s="181" t="s">
        <v>25</v>
      </c>
      <c r="D1018" s="181"/>
      <c r="E1018" s="181"/>
    </row>
    <row r="1019" spans="2:5" ht="13.5" thickBot="1" x14ac:dyDescent="0.25">
      <c r="B1019" s="17"/>
      <c r="C1019" s="18"/>
      <c r="D1019" s="53"/>
      <c r="E1019" s="19"/>
    </row>
    <row r="1020" spans="2:5" ht="13.5" thickBot="1" x14ac:dyDescent="0.25"/>
    <row r="1021" spans="2:5" x14ac:dyDescent="0.2">
      <c r="B1021" s="7" t="s">
        <v>127</v>
      </c>
      <c r="C1021" s="8"/>
      <c r="D1021" s="51"/>
      <c r="E1021" s="9"/>
    </row>
    <row r="1022" spans="2:5" x14ac:dyDescent="0.2">
      <c r="B1022" s="10"/>
      <c r="C1022" s="11"/>
      <c r="D1022" s="52"/>
      <c r="E1022" s="12"/>
    </row>
    <row r="1023" spans="2:5" x14ac:dyDescent="0.2">
      <c r="B1023" s="13" t="s">
        <v>16</v>
      </c>
      <c r="C1023" s="11"/>
      <c r="D1023" s="52"/>
      <c r="E1023" s="12"/>
    </row>
    <row r="1024" spans="2:5" ht="25.5" customHeight="1" x14ac:dyDescent="0.2">
      <c r="B1024" s="13"/>
      <c r="C1024" s="195"/>
      <c r="D1024" s="195"/>
      <c r="E1024" s="195"/>
    </row>
    <row r="1025" spans="2:5" ht="13.5" thickBot="1" x14ac:dyDescent="0.25">
      <c r="B1025" s="13" t="s">
        <v>17</v>
      </c>
      <c r="C1025" s="11"/>
      <c r="D1025" s="52"/>
      <c r="E1025" s="12"/>
    </row>
    <row r="1026" spans="2:5" ht="13.5" thickBot="1" x14ac:dyDescent="0.25">
      <c r="B1026" s="187" t="s">
        <v>206</v>
      </c>
      <c r="C1026" s="191"/>
      <c r="D1026" s="191"/>
      <c r="E1026" s="188"/>
    </row>
    <row r="1027" spans="2:5" ht="13.5" thickBot="1" x14ac:dyDescent="0.25">
      <c r="B1027" s="187" t="s">
        <v>99</v>
      </c>
      <c r="C1027" s="188"/>
      <c r="D1027" s="49" t="s">
        <v>11</v>
      </c>
      <c r="E1027" s="49" t="s">
        <v>100</v>
      </c>
    </row>
    <row r="1028" spans="2:5" x14ac:dyDescent="0.2">
      <c r="B1028" s="189" t="str">
        <f>'[1]COMEDORES EMERGENTES'!$B$3</f>
        <v>UNA SONRISA AV. LOS COBACHO</v>
      </c>
      <c r="C1028" s="190"/>
      <c r="D1028" s="93">
        <v>160</v>
      </c>
      <c r="E1028" s="94" t="str">
        <f>'[1]COMEDORES EMERGENTES'!$G$3</f>
        <v>Bº SAN CARLOS OESTE AV. Bonifacio cobacho 670</v>
      </c>
    </row>
    <row r="1029" spans="2:5" x14ac:dyDescent="0.2">
      <c r="B1029" s="182" t="str">
        <f>'[1]COMEDORES EMERGENTES'!$B$4</f>
        <v>C.I.F Nº1 - RIVERA DEL VALLE Y FLORIDA</v>
      </c>
      <c r="C1029" s="183"/>
      <c r="D1029" s="88">
        <v>230</v>
      </c>
      <c r="E1029" s="89" t="str">
        <f>'[1]COMEDORES EMERGENTES'!$G$4</f>
        <v>AV. RIVIERA DEL VALLE ENTRE FLORIDA Y SANTA FE</v>
      </c>
    </row>
    <row r="1030" spans="2:5" x14ac:dyDescent="0.2">
      <c r="B1030" s="182" t="str">
        <f>'[1]COMEDORES EMERGENTES'!$B$5</f>
        <v>C.I.F - RIVERA DEL VALLE - DILORENZO</v>
      </c>
      <c r="C1030" s="183"/>
      <c r="D1030" s="88">
        <v>270</v>
      </c>
      <c r="E1030" s="89" t="str">
        <f>'[1]COMEDORES EMERGENTES'!$G$5</f>
        <v>Bº RIVERA DEL VALLE ENTRE VILLA EUMELIA Y MONTE CRISTO</v>
      </c>
    </row>
    <row r="1031" spans="2:5" x14ac:dyDescent="0.2">
      <c r="B1031" s="182" t="str">
        <f>'[1]COMEDORES EMERGENTES'!$B$6</f>
        <v>ESFUERZO PROPIO- Bº ALTOS DE CHOYA</v>
      </c>
      <c r="C1031" s="183"/>
      <c r="D1031" s="88">
        <v>220</v>
      </c>
      <c r="E1031" s="89" t="str">
        <f>'[1]COMEDORES EMERGENTES'!$G$6</f>
        <v>Bº MUNICIPAL 35VV. NORTE C/14</v>
      </c>
    </row>
    <row r="1032" spans="2:5" x14ac:dyDescent="0.2">
      <c r="B1032" s="182" t="str">
        <f>'[1]COMEDORES EMERGENTES'!$B$7</f>
        <v>ANGELITOS - LOTEO SUSSEX</v>
      </c>
      <c r="C1032" s="183"/>
      <c r="D1032" s="88">
        <v>100</v>
      </c>
      <c r="E1032" s="89" t="str">
        <f>'[1]COMEDORES EMERGENTES'!$G$7</f>
        <v>Bº LOTEO SUSEX MZA.Nº 4 LOTE Nº3</v>
      </c>
    </row>
    <row r="1033" spans="2:5" x14ac:dyDescent="0.2">
      <c r="B1033" s="182" t="str">
        <f>'[1]COMEDORES EMERGENTES'!$B$8</f>
        <v>CLUB DEPORTIVO CHACARITA</v>
      </c>
      <c r="C1033" s="183"/>
      <c r="D1033" s="88">
        <v>130</v>
      </c>
      <c r="E1033" s="89" t="str">
        <f>'[1]COMEDORES EMERGENTES'!$G$8</f>
        <v>CALLE DR.DERMIDIO GALINDEZ C/2660</v>
      </c>
    </row>
    <row r="1034" spans="2:5" x14ac:dyDescent="0.2">
      <c r="B1034" s="182" t="str">
        <f>'[1]COMEDORES EMERGENTES'!$B$9</f>
        <v>LA MORO</v>
      </c>
      <c r="C1034" s="183"/>
      <c r="D1034" s="88">
        <v>120</v>
      </c>
      <c r="E1034" s="89" t="str">
        <f>'[1]COMEDORES EMERGENTES'!$G$9</f>
        <v>MAIPU NORTE 1º ETAPA MZA "H" Bº MI JARDIN</v>
      </c>
    </row>
    <row r="1035" spans="2:5" x14ac:dyDescent="0.2">
      <c r="B1035" s="182" t="str">
        <f>'[1]COMEDORES EMERGENTES'!$B$10</f>
        <v>PAPA FRANCISCO</v>
      </c>
      <c r="C1035" s="183"/>
      <c r="D1035" s="88">
        <v>200</v>
      </c>
      <c r="E1035" s="89" t="str">
        <f>'[1]COMEDORES EMERGENTES'!$G$10</f>
        <v>ENTRE AV.TEREBINTO Y AV.SAN JUAN LOTE "2" MZA. "B"</v>
      </c>
    </row>
    <row r="1036" spans="2:5" x14ac:dyDescent="0.2">
      <c r="B1036" s="182" t="str">
        <f>'[1]COMEDORES EMERGENTES'!$B$11</f>
        <v>E.P.C - 100 V.V NORTE</v>
      </c>
      <c r="C1036" s="183"/>
      <c r="D1036" s="88">
        <v>300</v>
      </c>
      <c r="E1036" s="89" t="str">
        <f>'[1]COMEDORES EMERGENTES'!$G$11</f>
        <v>Bº VV NORTE C/48 ENTRE ESPAÑA Y FRANCIA</v>
      </c>
    </row>
    <row r="1037" spans="2:5" x14ac:dyDescent="0.2">
      <c r="B1037" s="182" t="str">
        <f>'[1]COMEDORES EMERGENTES'!$B$12</f>
        <v>HOGAR DE CRISTO - PADRE RAUL CONTRERAS</v>
      </c>
      <c r="C1037" s="183"/>
      <c r="D1037" s="88">
        <v>300</v>
      </c>
      <c r="E1037" s="89" t="str">
        <f>'[1]COMEDORES EMERGENTES'!$G$12</f>
        <v>Bº SANTA MARTA MZA. "S" LOTE "M" C/39</v>
      </c>
    </row>
    <row r="1038" spans="2:5" x14ac:dyDescent="0.2">
      <c r="B1038" s="182" t="str">
        <f>'[1]COMEDORES EMERGENTES'!$B$13</f>
        <v>LA LUCIERNAGA</v>
      </c>
      <c r="C1038" s="183"/>
      <c r="D1038" s="88">
        <v>200</v>
      </c>
      <c r="E1038" s="89" t="str">
        <f>'[1]COMEDORES EMERGENTES'!$G$13</f>
        <v>Bº 20 V.V NORTE C/3</v>
      </c>
    </row>
    <row r="1039" spans="2:5" x14ac:dyDescent="0.2">
      <c r="B1039" s="182" t="str">
        <f>'[1]COMEDORES EMERGENTES'!$B$14</f>
        <v>VALLE VIEJO - SUMALAO</v>
      </c>
      <c r="C1039" s="183"/>
      <c r="D1039" s="88">
        <v>350</v>
      </c>
      <c r="E1039" s="89" t="str">
        <f>'[1]COMEDORES EMERGENTES'!$G$14</f>
        <v>PADRE SEGURA S/N</v>
      </c>
    </row>
    <row r="1040" spans="2:5" x14ac:dyDescent="0.2">
      <c r="B1040" s="182" t="str">
        <f>'[1]COMEDORES EMERGENTES'!$B$15</f>
        <v>NUESTRO FUTURO - LAS VIAS</v>
      </c>
      <c r="C1040" s="183"/>
      <c r="D1040" s="88">
        <v>200</v>
      </c>
      <c r="E1040" s="89" t="str">
        <f>'[1]COMEDORES EMERGENTES'!$G$15</f>
        <v>Bº LAS VIAS OESTE LOTE 42</v>
      </c>
    </row>
    <row r="1041" spans="2:5" x14ac:dyDescent="0.2">
      <c r="B1041" s="182" t="str">
        <f>'[1]COMEDORES EMERGENTES'!$B$16</f>
        <v>SAN JOSE OBRERO</v>
      </c>
      <c r="C1041" s="183"/>
      <c r="D1041" s="88">
        <v>130</v>
      </c>
      <c r="E1041" s="89" t="str">
        <f>'[1]COMEDORES EMERGENTES'!$G$16</f>
        <v>Bº SAN JOSE OBRERO. PJE. SANDOVAL S/Nº</v>
      </c>
    </row>
    <row r="1042" spans="2:5" x14ac:dyDescent="0.2">
      <c r="B1042" s="182" t="str">
        <f>'[1]COMEDORES EMERGENTES'!$B$17</f>
        <v>VIRGEN DE LUJAN</v>
      </c>
      <c r="C1042" s="183"/>
      <c r="D1042" s="88">
        <v>200</v>
      </c>
      <c r="E1042" s="89" t="str">
        <f>'[1]COMEDORES EMERGENTES'!$G$17</f>
        <v>Bº OJO DE AGUA C/DR.TEODULFO BARRIONUEVO S/Nº</v>
      </c>
    </row>
    <row r="1043" spans="2:5" x14ac:dyDescent="0.2">
      <c r="B1043" s="182" t="str">
        <f>'[1]COMEDORES EMERGENTES'!$B$18</f>
        <v>RENACER</v>
      </c>
      <c r="C1043" s="183"/>
      <c r="D1043" s="88">
        <v>250</v>
      </c>
      <c r="E1043" s="89" t="str">
        <f>'[1]COMEDORES EMERGENTES'!$G$18</f>
        <v>Bº VIRGEN MORENITA</v>
      </c>
    </row>
    <row r="1044" spans="2:5" x14ac:dyDescent="0.2">
      <c r="B1044" s="182" t="str">
        <f>'[1]COMEDORES EMERGENTES'!$B$19</f>
        <v>CENTRO VECINAL MI JARDIN</v>
      </c>
      <c r="C1044" s="183"/>
      <c r="D1044" s="88">
        <v>180</v>
      </c>
      <c r="E1044" s="89" t="str">
        <f>'[1]COMEDORES EMERGENTES'!$G$19</f>
        <v>C/ LOS TULIPANES ENTRE FLOR DE CEREZO Y HOLANDA MZA.27 Bº MI JARDIN</v>
      </c>
    </row>
    <row r="1045" spans="2:5" x14ac:dyDescent="0.2">
      <c r="B1045" s="182" t="str">
        <f>'[1]COMEDORES EMERGENTES'!$B$20</f>
        <v>LA VIEJA ESQUINA</v>
      </c>
      <c r="C1045" s="183"/>
      <c r="D1045" s="88">
        <v>172</v>
      </c>
      <c r="E1045" s="89" t="str">
        <f>'[1]COMEDORES EMERGENTES'!$G$20</f>
        <v>B° CRISTO REY PJE CAPATAZ VILLAFAÑEZ Y ARMANDO CORREA</v>
      </c>
    </row>
    <row r="1046" spans="2:5" x14ac:dyDescent="0.2">
      <c r="B1046" s="182" t="str">
        <f>'[1]COMEDORES EMERGENTES'!$B$21</f>
        <v>GAUCHITO GIL</v>
      </c>
      <c r="C1046" s="183"/>
      <c r="D1046" s="88">
        <v>168</v>
      </c>
      <c r="E1046" s="89" t="str">
        <f>'[1]COMEDORES EMERGENTES'!$G$21</f>
        <v>B° 26 VIVIENDAS CASA N° 3</v>
      </c>
    </row>
    <row r="1047" spans="2:5" ht="13.5" thickBot="1" x14ac:dyDescent="0.25">
      <c r="B1047" s="196" t="str">
        <f>'[1]COMEDORES EMERGENTES'!$B$22</f>
        <v>LOS TOLDOS</v>
      </c>
      <c r="C1047" s="197"/>
      <c r="D1047" s="95">
        <v>80</v>
      </c>
      <c r="E1047" s="96" t="str">
        <f>'[1]COMEDORES EMERGENTES'!$G$22</f>
        <v>LOTEO PARQUE SUR CALLE S/NOMBRE S/N°</v>
      </c>
    </row>
    <row r="1048" spans="2:5" x14ac:dyDescent="0.2">
      <c r="B1048" s="13" t="s">
        <v>18</v>
      </c>
      <c r="C1048" s="11"/>
      <c r="D1048" s="52"/>
      <c r="E1048" s="12"/>
    </row>
    <row r="1049" spans="2:5" x14ac:dyDescent="0.2">
      <c r="B1049" s="14"/>
      <c r="C1049" s="195" t="s">
        <v>24</v>
      </c>
      <c r="D1049" s="195"/>
      <c r="E1049" s="195"/>
    </row>
    <row r="1050" spans="2:5" x14ac:dyDescent="0.2">
      <c r="B1050" s="13" t="s">
        <v>19</v>
      </c>
      <c r="C1050" s="15"/>
      <c r="D1050" s="15"/>
      <c r="E1050" s="16"/>
    </row>
    <row r="1051" spans="2:5" x14ac:dyDescent="0.2">
      <c r="B1051" s="14"/>
      <c r="C1051" s="195" t="s">
        <v>101</v>
      </c>
      <c r="D1051" s="195"/>
      <c r="E1051" s="195"/>
    </row>
    <row r="1052" spans="2:5" x14ac:dyDescent="0.2">
      <c r="B1052" s="13" t="s">
        <v>20</v>
      </c>
      <c r="C1052" s="11"/>
      <c r="D1052" s="52"/>
      <c r="E1052" s="12"/>
    </row>
    <row r="1053" spans="2:5" x14ac:dyDescent="0.2">
      <c r="B1053" s="13"/>
      <c r="C1053" s="181" t="s">
        <v>25</v>
      </c>
      <c r="D1053" s="181"/>
      <c r="E1053" s="181"/>
    </row>
    <row r="1054" spans="2:5" ht="13.5" thickBot="1" x14ac:dyDescent="0.25">
      <c r="B1054" s="17"/>
      <c r="C1054" s="18"/>
      <c r="D1054" s="53"/>
      <c r="E1054" s="19"/>
    </row>
    <row r="1055" spans="2:5" ht="13.5" thickBot="1" x14ac:dyDescent="0.25"/>
    <row r="1056" spans="2:5" x14ac:dyDescent="0.2">
      <c r="B1056" s="7" t="s">
        <v>128</v>
      </c>
      <c r="C1056" s="8"/>
      <c r="D1056" s="51"/>
      <c r="E1056" s="9"/>
    </row>
    <row r="1057" spans="2:5" x14ac:dyDescent="0.2">
      <c r="B1057" s="10"/>
      <c r="C1057" s="11"/>
      <c r="D1057" s="52"/>
      <c r="E1057" s="12"/>
    </row>
    <row r="1058" spans="2:5" x14ac:dyDescent="0.2">
      <c r="B1058" s="13" t="s">
        <v>16</v>
      </c>
      <c r="C1058" s="11"/>
      <c r="D1058" s="52"/>
      <c r="E1058" s="12"/>
    </row>
    <row r="1059" spans="2:5" ht="25.5" customHeight="1" x14ac:dyDescent="0.2">
      <c r="B1059" s="13"/>
      <c r="C1059" s="195"/>
      <c r="D1059" s="195"/>
      <c r="E1059" s="195"/>
    </row>
    <row r="1060" spans="2:5" ht="13.5" thickBot="1" x14ac:dyDescent="0.25">
      <c r="B1060" s="13" t="s">
        <v>17</v>
      </c>
      <c r="C1060" s="11"/>
      <c r="D1060" s="52"/>
      <c r="E1060" s="12"/>
    </row>
    <row r="1061" spans="2:5" ht="13.5" thickBot="1" x14ac:dyDescent="0.25">
      <c r="B1061" s="187" t="s">
        <v>205</v>
      </c>
      <c r="C1061" s="191"/>
      <c r="D1061" s="191"/>
      <c r="E1061" s="188"/>
    </row>
    <row r="1062" spans="2:5" ht="13.5" thickBot="1" x14ac:dyDescent="0.25">
      <c r="B1062" s="187" t="s">
        <v>99</v>
      </c>
      <c r="C1062" s="188"/>
      <c r="D1062" s="49" t="s">
        <v>11</v>
      </c>
      <c r="E1062" s="49" t="s">
        <v>100</v>
      </c>
    </row>
    <row r="1063" spans="2:5" x14ac:dyDescent="0.2">
      <c r="B1063" s="189" t="str">
        <f>'[1]COMEDORES EMERGENTES'!$B$3</f>
        <v>UNA SONRISA AV. LOS COBACHO</v>
      </c>
      <c r="C1063" s="190"/>
      <c r="D1063" s="93">
        <v>160</v>
      </c>
      <c r="E1063" s="94" t="str">
        <f>'[1]COMEDORES EMERGENTES'!$G$3</f>
        <v>Bº SAN CARLOS OESTE AV. Bonifacio cobacho 670</v>
      </c>
    </row>
    <row r="1064" spans="2:5" x14ac:dyDescent="0.2">
      <c r="B1064" s="182" t="str">
        <f>'[1]COMEDORES EMERGENTES'!$B$4</f>
        <v>C.I.F Nº1 - RIVERA DEL VALLE Y FLORIDA</v>
      </c>
      <c r="C1064" s="183"/>
      <c r="D1064" s="88">
        <v>230</v>
      </c>
      <c r="E1064" s="89" t="str">
        <f>'[1]COMEDORES EMERGENTES'!$G$4</f>
        <v>AV. RIVIERA DEL VALLE ENTRE FLORIDA Y SANTA FE</v>
      </c>
    </row>
    <row r="1065" spans="2:5" x14ac:dyDescent="0.2">
      <c r="B1065" s="182" t="str">
        <f>'[1]COMEDORES EMERGENTES'!$B$5</f>
        <v>C.I.F - RIVERA DEL VALLE - DILORENZO</v>
      </c>
      <c r="C1065" s="183"/>
      <c r="D1065" s="88">
        <v>270</v>
      </c>
      <c r="E1065" s="89" t="str">
        <f>'[1]COMEDORES EMERGENTES'!$G$5</f>
        <v>Bº RIVERA DEL VALLE ENTRE VILLA EUMELIA Y MONTE CRISTO</v>
      </c>
    </row>
    <row r="1066" spans="2:5" x14ac:dyDescent="0.2">
      <c r="B1066" s="182" t="str">
        <f>'[1]COMEDORES EMERGENTES'!$B$6</f>
        <v>ESFUERZO PROPIO- Bº ALTOS DE CHOYA</v>
      </c>
      <c r="C1066" s="183"/>
      <c r="D1066" s="88">
        <v>220</v>
      </c>
      <c r="E1066" s="89" t="str">
        <f>'[1]COMEDORES EMERGENTES'!$G$6</f>
        <v>Bº MUNICIPAL 35VV. NORTE C/14</v>
      </c>
    </row>
    <row r="1067" spans="2:5" x14ac:dyDescent="0.2">
      <c r="B1067" s="182" t="str">
        <f>'[1]COMEDORES EMERGENTES'!$B$7</f>
        <v>ANGELITOS - LOTEO SUSSEX</v>
      </c>
      <c r="C1067" s="183"/>
      <c r="D1067" s="88">
        <v>100</v>
      </c>
      <c r="E1067" s="89" t="str">
        <f>'[1]COMEDORES EMERGENTES'!$G$7</f>
        <v>Bº LOTEO SUSEX MZA.Nº 4 LOTE Nº3</v>
      </c>
    </row>
    <row r="1068" spans="2:5" x14ac:dyDescent="0.2">
      <c r="B1068" s="182" t="str">
        <f>'[1]COMEDORES EMERGENTES'!$B$8</f>
        <v>CLUB DEPORTIVO CHACARITA</v>
      </c>
      <c r="C1068" s="183"/>
      <c r="D1068" s="88">
        <v>130</v>
      </c>
      <c r="E1068" s="89" t="str">
        <f>'[1]COMEDORES EMERGENTES'!$G$8</f>
        <v>CALLE DR.DERMIDIO GALINDEZ C/2660</v>
      </c>
    </row>
    <row r="1069" spans="2:5" x14ac:dyDescent="0.2">
      <c r="B1069" s="182" t="str">
        <f>'[1]COMEDORES EMERGENTES'!$B$9</f>
        <v>LA MORO</v>
      </c>
      <c r="C1069" s="183"/>
      <c r="D1069" s="88">
        <v>120</v>
      </c>
      <c r="E1069" s="89" t="str">
        <f>'[1]COMEDORES EMERGENTES'!$G$9</f>
        <v>MAIPU NORTE 1º ETAPA MZA "H" Bº MI JARDIN</v>
      </c>
    </row>
    <row r="1070" spans="2:5" x14ac:dyDescent="0.2">
      <c r="B1070" s="182" t="str">
        <f>'[1]COMEDORES EMERGENTES'!$B$10</f>
        <v>PAPA FRANCISCO</v>
      </c>
      <c r="C1070" s="183"/>
      <c r="D1070" s="88">
        <v>200</v>
      </c>
      <c r="E1070" s="89" t="str">
        <f>'[1]COMEDORES EMERGENTES'!$G$10</f>
        <v>ENTRE AV.TEREBINTO Y AV.SAN JUAN LOTE "2" MZA. "B"</v>
      </c>
    </row>
    <row r="1071" spans="2:5" x14ac:dyDescent="0.2">
      <c r="B1071" s="182" t="str">
        <f>'[1]COMEDORES EMERGENTES'!$B$11</f>
        <v>E.P.C - 100 V.V NORTE</v>
      </c>
      <c r="C1071" s="183"/>
      <c r="D1071" s="88">
        <v>300</v>
      </c>
      <c r="E1071" s="89" t="str">
        <f>'[1]COMEDORES EMERGENTES'!$G$11</f>
        <v>Bº VV NORTE C/48 ENTRE ESPAÑA Y FRANCIA</v>
      </c>
    </row>
    <row r="1072" spans="2:5" x14ac:dyDescent="0.2">
      <c r="B1072" s="182" t="str">
        <f>'[1]COMEDORES EMERGENTES'!$B$12</f>
        <v>HOGAR DE CRISTO - PADRE RAUL CONTRERAS</v>
      </c>
      <c r="C1072" s="183"/>
      <c r="D1072" s="88">
        <v>300</v>
      </c>
      <c r="E1072" s="89" t="str">
        <f>'[1]COMEDORES EMERGENTES'!$G$12</f>
        <v>Bº SANTA MARTA MZA. "S" LOTE "M" C/39</v>
      </c>
    </row>
    <row r="1073" spans="2:5" x14ac:dyDescent="0.2">
      <c r="B1073" s="182" t="str">
        <f>'[1]COMEDORES EMERGENTES'!$B$13</f>
        <v>LA LUCIERNAGA</v>
      </c>
      <c r="C1073" s="183"/>
      <c r="D1073" s="88">
        <v>200</v>
      </c>
      <c r="E1073" s="89" t="str">
        <f>'[1]COMEDORES EMERGENTES'!$G$13</f>
        <v>Bº 20 V.V NORTE C/3</v>
      </c>
    </row>
    <row r="1074" spans="2:5" x14ac:dyDescent="0.2">
      <c r="B1074" s="182" t="str">
        <f>'[1]COMEDORES EMERGENTES'!$B$14</f>
        <v>VALLE VIEJO - SUMALAO</v>
      </c>
      <c r="C1074" s="183"/>
      <c r="D1074" s="88">
        <v>350</v>
      </c>
      <c r="E1074" s="89" t="str">
        <f>'[1]COMEDORES EMERGENTES'!$G$14</f>
        <v>PADRE SEGURA S/N</v>
      </c>
    </row>
    <row r="1075" spans="2:5" x14ac:dyDescent="0.2">
      <c r="B1075" s="182" t="str">
        <f>'[1]COMEDORES EMERGENTES'!$B$15</f>
        <v>NUESTRO FUTURO - LAS VIAS</v>
      </c>
      <c r="C1075" s="183"/>
      <c r="D1075" s="88">
        <v>200</v>
      </c>
      <c r="E1075" s="89" t="str">
        <f>'[1]COMEDORES EMERGENTES'!$G$15</f>
        <v>Bº LAS VIAS OESTE LOTE 42</v>
      </c>
    </row>
    <row r="1076" spans="2:5" x14ac:dyDescent="0.2">
      <c r="B1076" s="182" t="str">
        <f>'[1]COMEDORES EMERGENTES'!$B$16</f>
        <v>SAN JOSE OBRERO</v>
      </c>
      <c r="C1076" s="183"/>
      <c r="D1076" s="88">
        <v>130</v>
      </c>
      <c r="E1076" s="89" t="str">
        <f>'[1]COMEDORES EMERGENTES'!$G$16</f>
        <v>Bº SAN JOSE OBRERO. PJE. SANDOVAL S/Nº</v>
      </c>
    </row>
    <row r="1077" spans="2:5" x14ac:dyDescent="0.2">
      <c r="B1077" s="182" t="str">
        <f>'[1]COMEDORES EMERGENTES'!$B$17</f>
        <v>VIRGEN DE LUJAN</v>
      </c>
      <c r="C1077" s="183"/>
      <c r="D1077" s="88">
        <v>200</v>
      </c>
      <c r="E1077" s="89" t="str">
        <f>'[1]COMEDORES EMERGENTES'!$G$17</f>
        <v>Bº OJO DE AGUA C/DR.TEODULFO BARRIONUEVO S/Nº</v>
      </c>
    </row>
    <row r="1078" spans="2:5" x14ac:dyDescent="0.2">
      <c r="B1078" s="182" t="str">
        <f>'[1]COMEDORES EMERGENTES'!$B$18</f>
        <v>RENACER</v>
      </c>
      <c r="C1078" s="183"/>
      <c r="D1078" s="88">
        <v>250</v>
      </c>
      <c r="E1078" s="89" t="str">
        <f>'[1]COMEDORES EMERGENTES'!$G$18</f>
        <v>Bº VIRGEN MORENITA</v>
      </c>
    </row>
    <row r="1079" spans="2:5" x14ac:dyDescent="0.2">
      <c r="B1079" s="182" t="str">
        <f>'[1]COMEDORES EMERGENTES'!$B$19</f>
        <v>CENTRO VECINAL MI JARDIN</v>
      </c>
      <c r="C1079" s="183"/>
      <c r="D1079" s="88">
        <v>180</v>
      </c>
      <c r="E1079" s="89" t="str">
        <f>'[1]COMEDORES EMERGENTES'!$G$19</f>
        <v>C/ LOS TULIPANES ENTRE FLOR DE CEREZO Y HOLANDA MZA.27 Bº MI JARDIN</v>
      </c>
    </row>
    <row r="1080" spans="2:5" x14ac:dyDescent="0.2">
      <c r="B1080" s="182" t="str">
        <f>'[1]COMEDORES EMERGENTES'!$B$20</f>
        <v>LA VIEJA ESQUINA</v>
      </c>
      <c r="C1080" s="183"/>
      <c r="D1080" s="88">
        <v>172</v>
      </c>
      <c r="E1080" s="89" t="str">
        <f>'[1]COMEDORES EMERGENTES'!$G$20</f>
        <v>B° CRISTO REY PJE CAPATAZ VILLAFAÑEZ Y ARMANDO CORREA</v>
      </c>
    </row>
    <row r="1081" spans="2:5" x14ac:dyDescent="0.2">
      <c r="B1081" s="182" t="str">
        <f>'[1]COMEDORES EMERGENTES'!$B$21</f>
        <v>GAUCHITO GIL</v>
      </c>
      <c r="C1081" s="183"/>
      <c r="D1081" s="88">
        <v>168</v>
      </c>
      <c r="E1081" s="89" t="str">
        <f>'[1]COMEDORES EMERGENTES'!$G$21</f>
        <v>B° 26 VIVIENDAS CASA N° 3</v>
      </c>
    </row>
    <row r="1082" spans="2:5" ht="13.5" thickBot="1" x14ac:dyDescent="0.25">
      <c r="B1082" s="196" t="str">
        <f>'[1]COMEDORES EMERGENTES'!$B$22</f>
        <v>LOS TOLDOS</v>
      </c>
      <c r="C1082" s="197"/>
      <c r="D1082" s="95">
        <v>80</v>
      </c>
      <c r="E1082" s="96" t="str">
        <f>'[1]COMEDORES EMERGENTES'!$G$22</f>
        <v>LOTEO PARQUE SUR CALLE S/NOMBRE S/N°</v>
      </c>
    </row>
    <row r="1083" spans="2:5" x14ac:dyDescent="0.2">
      <c r="B1083" s="13" t="s">
        <v>18</v>
      </c>
      <c r="C1083" s="11"/>
      <c r="D1083" s="52"/>
      <c r="E1083" s="12"/>
    </row>
    <row r="1084" spans="2:5" x14ac:dyDescent="0.2">
      <c r="B1084" s="14"/>
      <c r="C1084" s="195" t="s">
        <v>24</v>
      </c>
      <c r="D1084" s="195"/>
      <c r="E1084" s="195"/>
    </row>
    <row r="1085" spans="2:5" x14ac:dyDescent="0.2">
      <c r="B1085" s="13" t="s">
        <v>19</v>
      </c>
      <c r="C1085" s="15"/>
      <c r="D1085" s="15"/>
      <c r="E1085" s="16"/>
    </row>
    <row r="1086" spans="2:5" x14ac:dyDescent="0.2">
      <c r="B1086" s="14"/>
      <c r="C1086" s="195" t="s">
        <v>101</v>
      </c>
      <c r="D1086" s="195"/>
      <c r="E1086" s="195"/>
    </row>
    <row r="1087" spans="2:5" x14ac:dyDescent="0.2">
      <c r="B1087" s="13" t="s">
        <v>20</v>
      </c>
      <c r="C1087" s="11"/>
      <c r="D1087" s="52"/>
      <c r="E1087" s="12"/>
    </row>
    <row r="1088" spans="2:5" x14ac:dyDescent="0.2">
      <c r="B1088" s="13"/>
      <c r="C1088" s="181" t="s">
        <v>25</v>
      </c>
      <c r="D1088" s="181"/>
      <c r="E1088" s="181"/>
    </row>
    <row r="1089" spans="2:5" ht="13.5" thickBot="1" x14ac:dyDescent="0.25">
      <c r="B1089" s="17"/>
      <c r="C1089" s="18"/>
      <c r="D1089" s="53"/>
      <c r="E1089" s="19"/>
    </row>
  </sheetData>
  <mergeCells count="787">
    <mergeCell ref="C1086:E1086"/>
    <mergeCell ref="C1088:E1088"/>
    <mergeCell ref="C289:E289"/>
    <mergeCell ref="B1079:C1079"/>
    <mergeCell ref="B1080:C1080"/>
    <mergeCell ref="B1081:C1081"/>
    <mergeCell ref="C1084:E1084"/>
    <mergeCell ref="B1074:C1074"/>
    <mergeCell ref="B1075:C1075"/>
    <mergeCell ref="B1076:C1076"/>
    <mergeCell ref="B1077:C1077"/>
    <mergeCell ref="B1078:C1078"/>
    <mergeCell ref="B1069:C1069"/>
    <mergeCell ref="B1070:C1070"/>
    <mergeCell ref="B1071:C1071"/>
    <mergeCell ref="B1072:C1072"/>
    <mergeCell ref="B1073:C1073"/>
    <mergeCell ref="B1064:C1064"/>
    <mergeCell ref="B1065:C1065"/>
    <mergeCell ref="B1066:C1066"/>
    <mergeCell ref="B1067:C1067"/>
    <mergeCell ref="B1068:C1068"/>
    <mergeCell ref="C1053:E1053"/>
    <mergeCell ref="C1059:E1059"/>
    <mergeCell ref="B1061:E1061"/>
    <mergeCell ref="B1062:C1062"/>
    <mergeCell ref="B1063:C1063"/>
    <mergeCell ref="B1045:C1045"/>
    <mergeCell ref="B1046:C1046"/>
    <mergeCell ref="C1049:E1049"/>
    <mergeCell ref="C1051:E1051"/>
    <mergeCell ref="B1047:C1047"/>
    <mergeCell ref="B1040:C1040"/>
    <mergeCell ref="B1041:C1041"/>
    <mergeCell ref="B1042:C1042"/>
    <mergeCell ref="B1043:C1043"/>
    <mergeCell ref="B1044:C1044"/>
    <mergeCell ref="B1035:C1035"/>
    <mergeCell ref="B1036:C1036"/>
    <mergeCell ref="B1037:C1037"/>
    <mergeCell ref="B1038:C1038"/>
    <mergeCell ref="B1039:C1039"/>
    <mergeCell ref="B1030:C1030"/>
    <mergeCell ref="B1031:C1031"/>
    <mergeCell ref="B1032:C1032"/>
    <mergeCell ref="B1033:C1033"/>
    <mergeCell ref="B1034:C1034"/>
    <mergeCell ref="C1024:E1024"/>
    <mergeCell ref="B1026:E1026"/>
    <mergeCell ref="B1027:C1027"/>
    <mergeCell ref="B1028:C1028"/>
    <mergeCell ref="B1029:C1029"/>
    <mergeCell ref="B1011:C1011"/>
    <mergeCell ref="C1014:E1014"/>
    <mergeCell ref="C1016:E1016"/>
    <mergeCell ref="C1018:E1018"/>
    <mergeCell ref="B1006:C1006"/>
    <mergeCell ref="B1007:C1007"/>
    <mergeCell ref="B1008:C1008"/>
    <mergeCell ref="B1009:C1009"/>
    <mergeCell ref="B1010:C1010"/>
    <mergeCell ref="B1012:C1012"/>
    <mergeCell ref="B1001:C1001"/>
    <mergeCell ref="B1002:C1002"/>
    <mergeCell ref="B1003:C1003"/>
    <mergeCell ref="B1004:C1004"/>
    <mergeCell ref="B1005:C1005"/>
    <mergeCell ref="B996:C996"/>
    <mergeCell ref="B997:C997"/>
    <mergeCell ref="B998:C998"/>
    <mergeCell ref="B999:C999"/>
    <mergeCell ref="B1000:C1000"/>
    <mergeCell ref="B991:E991"/>
    <mergeCell ref="B992:C992"/>
    <mergeCell ref="B993:C993"/>
    <mergeCell ref="B994:C994"/>
    <mergeCell ref="B995:C995"/>
    <mergeCell ref="C979:E979"/>
    <mergeCell ref="C981:E981"/>
    <mergeCell ref="C983:E983"/>
    <mergeCell ref="C989:E989"/>
    <mergeCell ref="B972:C972"/>
    <mergeCell ref="B973:C973"/>
    <mergeCell ref="B974:C974"/>
    <mergeCell ref="B975:C975"/>
    <mergeCell ref="B976:C976"/>
    <mergeCell ref="B967:C967"/>
    <mergeCell ref="B968:C968"/>
    <mergeCell ref="B969:C969"/>
    <mergeCell ref="B970:C970"/>
    <mergeCell ref="B971:C971"/>
    <mergeCell ref="B962:C962"/>
    <mergeCell ref="B963:C963"/>
    <mergeCell ref="B964:C964"/>
    <mergeCell ref="B965:C965"/>
    <mergeCell ref="B966:C966"/>
    <mergeCell ref="B957:C957"/>
    <mergeCell ref="B958:C958"/>
    <mergeCell ref="B959:C959"/>
    <mergeCell ref="B960:C960"/>
    <mergeCell ref="B961:C961"/>
    <mergeCell ref="C944:E944"/>
    <mergeCell ref="C946:E946"/>
    <mergeCell ref="C948:E948"/>
    <mergeCell ref="C954:E954"/>
    <mergeCell ref="B956:E956"/>
    <mergeCell ref="B938:C938"/>
    <mergeCell ref="B939:C939"/>
    <mergeCell ref="B940:C940"/>
    <mergeCell ref="B941:C941"/>
    <mergeCell ref="B942:C942"/>
    <mergeCell ref="B933:C933"/>
    <mergeCell ref="B934:C934"/>
    <mergeCell ref="B935:C935"/>
    <mergeCell ref="B936:C936"/>
    <mergeCell ref="B937:C937"/>
    <mergeCell ref="B928:C928"/>
    <mergeCell ref="B929:C929"/>
    <mergeCell ref="B930:C930"/>
    <mergeCell ref="B931:C931"/>
    <mergeCell ref="B932:C932"/>
    <mergeCell ref="B923:C923"/>
    <mergeCell ref="B924:C924"/>
    <mergeCell ref="B925:C925"/>
    <mergeCell ref="B926:C926"/>
    <mergeCell ref="B927:C927"/>
    <mergeCell ref="C911:E911"/>
    <mergeCell ref="C913:E913"/>
    <mergeCell ref="C919:E919"/>
    <mergeCell ref="B921:E921"/>
    <mergeCell ref="B922:C922"/>
    <mergeCell ref="B904:C904"/>
    <mergeCell ref="B905:C905"/>
    <mergeCell ref="B906:C906"/>
    <mergeCell ref="C909:E909"/>
    <mergeCell ref="B899:C899"/>
    <mergeCell ref="B900:C900"/>
    <mergeCell ref="B901:C901"/>
    <mergeCell ref="B902:C902"/>
    <mergeCell ref="B903:C903"/>
    <mergeCell ref="B907:C907"/>
    <mergeCell ref="B894:C894"/>
    <mergeCell ref="B895:C895"/>
    <mergeCell ref="B896:C896"/>
    <mergeCell ref="B897:C897"/>
    <mergeCell ref="B898:C898"/>
    <mergeCell ref="B889:C889"/>
    <mergeCell ref="B890:C890"/>
    <mergeCell ref="B891:C891"/>
    <mergeCell ref="B892:C892"/>
    <mergeCell ref="B893:C893"/>
    <mergeCell ref="C878:E878"/>
    <mergeCell ref="C884:E884"/>
    <mergeCell ref="B886:E886"/>
    <mergeCell ref="B887:C887"/>
    <mergeCell ref="B888:C888"/>
    <mergeCell ref="B870:C870"/>
    <mergeCell ref="B871:C871"/>
    <mergeCell ref="C874:E874"/>
    <mergeCell ref="C876:E876"/>
    <mergeCell ref="B872:C872"/>
    <mergeCell ref="B865:C865"/>
    <mergeCell ref="B866:C866"/>
    <mergeCell ref="B867:C867"/>
    <mergeCell ref="B868:C868"/>
    <mergeCell ref="B869:C869"/>
    <mergeCell ref="B860:C860"/>
    <mergeCell ref="B861:C861"/>
    <mergeCell ref="B862:C862"/>
    <mergeCell ref="B863:C863"/>
    <mergeCell ref="B864:C864"/>
    <mergeCell ref="B855:C855"/>
    <mergeCell ref="B856:C856"/>
    <mergeCell ref="B857:C857"/>
    <mergeCell ref="B858:C858"/>
    <mergeCell ref="B859:C859"/>
    <mergeCell ref="C849:E849"/>
    <mergeCell ref="B851:E851"/>
    <mergeCell ref="B852:C852"/>
    <mergeCell ref="B853:C853"/>
    <mergeCell ref="B854:C854"/>
    <mergeCell ref="B836:C836"/>
    <mergeCell ref="C839:E839"/>
    <mergeCell ref="C841:E841"/>
    <mergeCell ref="C843:E843"/>
    <mergeCell ref="B831:C831"/>
    <mergeCell ref="B832:C832"/>
    <mergeCell ref="B833:C833"/>
    <mergeCell ref="B834:C834"/>
    <mergeCell ref="B835:C835"/>
    <mergeCell ref="B837:C837"/>
    <mergeCell ref="B802:C802"/>
    <mergeCell ref="B826:C826"/>
    <mergeCell ref="B827:C827"/>
    <mergeCell ref="B828:C828"/>
    <mergeCell ref="B829:C829"/>
    <mergeCell ref="B830:C830"/>
    <mergeCell ref="B821:C821"/>
    <mergeCell ref="B822:C822"/>
    <mergeCell ref="B823:C823"/>
    <mergeCell ref="B824:C824"/>
    <mergeCell ref="B825:C825"/>
    <mergeCell ref="B816:E816"/>
    <mergeCell ref="B817:C817"/>
    <mergeCell ref="B818:C818"/>
    <mergeCell ref="B819:C819"/>
    <mergeCell ref="B820:C820"/>
    <mergeCell ref="C804:E804"/>
    <mergeCell ref="C806:E806"/>
    <mergeCell ref="C808:E808"/>
    <mergeCell ref="C814:E814"/>
    <mergeCell ref="B797:C797"/>
    <mergeCell ref="B798:C798"/>
    <mergeCell ref="B799:C799"/>
    <mergeCell ref="B800:C800"/>
    <mergeCell ref="B801:C801"/>
    <mergeCell ref="B792:C792"/>
    <mergeCell ref="B793:C793"/>
    <mergeCell ref="B794:C794"/>
    <mergeCell ref="B795:C795"/>
    <mergeCell ref="B796:C796"/>
    <mergeCell ref="B787:C787"/>
    <mergeCell ref="B788:C788"/>
    <mergeCell ref="B789:C789"/>
    <mergeCell ref="B790:C790"/>
    <mergeCell ref="B791:C791"/>
    <mergeCell ref="B782:C782"/>
    <mergeCell ref="B783:C783"/>
    <mergeCell ref="B784:C784"/>
    <mergeCell ref="B785:C785"/>
    <mergeCell ref="B786:C786"/>
    <mergeCell ref="C769:E769"/>
    <mergeCell ref="C771:E771"/>
    <mergeCell ref="C773:E773"/>
    <mergeCell ref="C779:E779"/>
    <mergeCell ref="B781:E781"/>
    <mergeCell ref="B763:C763"/>
    <mergeCell ref="B764:C764"/>
    <mergeCell ref="B765:C765"/>
    <mergeCell ref="B766:C766"/>
    <mergeCell ref="B767:C767"/>
    <mergeCell ref="B758:C758"/>
    <mergeCell ref="B759:C759"/>
    <mergeCell ref="B760:C760"/>
    <mergeCell ref="B761:C761"/>
    <mergeCell ref="B762:C762"/>
    <mergeCell ref="B753:C753"/>
    <mergeCell ref="B754:C754"/>
    <mergeCell ref="B755:C755"/>
    <mergeCell ref="B756:C756"/>
    <mergeCell ref="B757:C757"/>
    <mergeCell ref="B748:C748"/>
    <mergeCell ref="B749:C749"/>
    <mergeCell ref="B750:C750"/>
    <mergeCell ref="B751:C751"/>
    <mergeCell ref="B752:C752"/>
    <mergeCell ref="C736:E736"/>
    <mergeCell ref="C738:E738"/>
    <mergeCell ref="C744:E744"/>
    <mergeCell ref="B746:E746"/>
    <mergeCell ref="B747:C747"/>
    <mergeCell ref="B729:C729"/>
    <mergeCell ref="B730:C730"/>
    <mergeCell ref="B731:C731"/>
    <mergeCell ref="C734:E734"/>
    <mergeCell ref="B724:C724"/>
    <mergeCell ref="B725:C725"/>
    <mergeCell ref="B726:C726"/>
    <mergeCell ref="B727:C727"/>
    <mergeCell ref="B728:C728"/>
    <mergeCell ref="B732:C732"/>
    <mergeCell ref="B719:C719"/>
    <mergeCell ref="B720:C720"/>
    <mergeCell ref="B721:C721"/>
    <mergeCell ref="B722:C722"/>
    <mergeCell ref="B723:C723"/>
    <mergeCell ref="B714:C714"/>
    <mergeCell ref="B715:C715"/>
    <mergeCell ref="B716:C716"/>
    <mergeCell ref="B717:C717"/>
    <mergeCell ref="B718:C718"/>
    <mergeCell ref="C703:E703"/>
    <mergeCell ref="C709:E709"/>
    <mergeCell ref="B711:E711"/>
    <mergeCell ref="B712:C712"/>
    <mergeCell ref="B713:C713"/>
    <mergeCell ref="B695:C695"/>
    <mergeCell ref="B696:C696"/>
    <mergeCell ref="C699:E699"/>
    <mergeCell ref="C701:E701"/>
    <mergeCell ref="B697:C697"/>
    <mergeCell ref="B690:C690"/>
    <mergeCell ref="B691:C691"/>
    <mergeCell ref="B692:C692"/>
    <mergeCell ref="B693:C693"/>
    <mergeCell ref="B694:C694"/>
    <mergeCell ref="B685:C685"/>
    <mergeCell ref="B686:C686"/>
    <mergeCell ref="B687:C687"/>
    <mergeCell ref="B688:C688"/>
    <mergeCell ref="B689:C689"/>
    <mergeCell ref="B680:C680"/>
    <mergeCell ref="B681:C681"/>
    <mergeCell ref="B682:C682"/>
    <mergeCell ref="B683:C683"/>
    <mergeCell ref="B684:C684"/>
    <mergeCell ref="C674:E674"/>
    <mergeCell ref="B676:E676"/>
    <mergeCell ref="B677:C677"/>
    <mergeCell ref="B678:C678"/>
    <mergeCell ref="B679:C679"/>
    <mergeCell ref="B661:C661"/>
    <mergeCell ref="C664:E664"/>
    <mergeCell ref="C666:E666"/>
    <mergeCell ref="C668:E668"/>
    <mergeCell ref="B656:C656"/>
    <mergeCell ref="B657:C657"/>
    <mergeCell ref="B658:C658"/>
    <mergeCell ref="B659:C659"/>
    <mergeCell ref="B660:C660"/>
    <mergeCell ref="B662:C662"/>
    <mergeCell ref="B627:C627"/>
    <mergeCell ref="B651:C651"/>
    <mergeCell ref="B652:C652"/>
    <mergeCell ref="B653:C653"/>
    <mergeCell ref="B654:C654"/>
    <mergeCell ref="B655:C655"/>
    <mergeCell ref="B646:C646"/>
    <mergeCell ref="B647:C647"/>
    <mergeCell ref="B648:C648"/>
    <mergeCell ref="B649:C649"/>
    <mergeCell ref="B650:C650"/>
    <mergeCell ref="B641:E641"/>
    <mergeCell ref="B642:C642"/>
    <mergeCell ref="B643:C643"/>
    <mergeCell ref="B644:C644"/>
    <mergeCell ref="B645:C645"/>
    <mergeCell ref="C629:E629"/>
    <mergeCell ref="C631:E631"/>
    <mergeCell ref="C633:E633"/>
    <mergeCell ref="C639:E639"/>
    <mergeCell ref="B622:C622"/>
    <mergeCell ref="B623:C623"/>
    <mergeCell ref="B624:C624"/>
    <mergeCell ref="B625:C625"/>
    <mergeCell ref="B626:C626"/>
    <mergeCell ref="B617:C617"/>
    <mergeCell ref="B618:C618"/>
    <mergeCell ref="B619:C619"/>
    <mergeCell ref="B620:C620"/>
    <mergeCell ref="B621:C621"/>
    <mergeCell ref="B612:C612"/>
    <mergeCell ref="B613:C613"/>
    <mergeCell ref="B614:C614"/>
    <mergeCell ref="B615:C615"/>
    <mergeCell ref="B616:C616"/>
    <mergeCell ref="B607:C607"/>
    <mergeCell ref="B608:C608"/>
    <mergeCell ref="B609:C609"/>
    <mergeCell ref="B610:C610"/>
    <mergeCell ref="B611:C611"/>
    <mergeCell ref="C594:E594"/>
    <mergeCell ref="C596:E596"/>
    <mergeCell ref="C598:E598"/>
    <mergeCell ref="C604:E604"/>
    <mergeCell ref="B606:E606"/>
    <mergeCell ref="B588:C588"/>
    <mergeCell ref="B589:C589"/>
    <mergeCell ref="B590:C590"/>
    <mergeCell ref="B591:C591"/>
    <mergeCell ref="B592:C592"/>
    <mergeCell ref="B583:C583"/>
    <mergeCell ref="B584:C584"/>
    <mergeCell ref="B585:C585"/>
    <mergeCell ref="B586:C586"/>
    <mergeCell ref="B587:C587"/>
    <mergeCell ref="B578:C578"/>
    <mergeCell ref="B579:C579"/>
    <mergeCell ref="B580:C580"/>
    <mergeCell ref="B581:C581"/>
    <mergeCell ref="B582:C582"/>
    <mergeCell ref="B573:C573"/>
    <mergeCell ref="B574:C574"/>
    <mergeCell ref="B575:C575"/>
    <mergeCell ref="B576:C576"/>
    <mergeCell ref="B577:C577"/>
    <mergeCell ref="C561:E561"/>
    <mergeCell ref="C563:E563"/>
    <mergeCell ref="C569:E569"/>
    <mergeCell ref="B571:E571"/>
    <mergeCell ref="B572:C572"/>
    <mergeCell ref="B554:C554"/>
    <mergeCell ref="B555:C555"/>
    <mergeCell ref="B556:C556"/>
    <mergeCell ref="C559:E559"/>
    <mergeCell ref="B549:C549"/>
    <mergeCell ref="B550:C550"/>
    <mergeCell ref="B551:C551"/>
    <mergeCell ref="B552:C552"/>
    <mergeCell ref="B553:C553"/>
    <mergeCell ref="B544:C544"/>
    <mergeCell ref="B545:C545"/>
    <mergeCell ref="B546:C546"/>
    <mergeCell ref="B547:C547"/>
    <mergeCell ref="B548:C548"/>
    <mergeCell ref="B539:C539"/>
    <mergeCell ref="B540:C540"/>
    <mergeCell ref="B541:C541"/>
    <mergeCell ref="B542:C542"/>
    <mergeCell ref="B543:C543"/>
    <mergeCell ref="C528:E528"/>
    <mergeCell ref="C534:E534"/>
    <mergeCell ref="B536:E536"/>
    <mergeCell ref="B537:C537"/>
    <mergeCell ref="B538:C538"/>
    <mergeCell ref="B520:C520"/>
    <mergeCell ref="B521:C521"/>
    <mergeCell ref="C524:E524"/>
    <mergeCell ref="C526:E526"/>
    <mergeCell ref="B515:C515"/>
    <mergeCell ref="B516:C516"/>
    <mergeCell ref="B517:C517"/>
    <mergeCell ref="B518:C518"/>
    <mergeCell ref="B519:C519"/>
    <mergeCell ref="B510:C510"/>
    <mergeCell ref="B511:C511"/>
    <mergeCell ref="B512:C512"/>
    <mergeCell ref="B513:C513"/>
    <mergeCell ref="B514:C514"/>
    <mergeCell ref="B505:C505"/>
    <mergeCell ref="B506:C506"/>
    <mergeCell ref="B507:C507"/>
    <mergeCell ref="B508:C508"/>
    <mergeCell ref="B509:C509"/>
    <mergeCell ref="C499:E499"/>
    <mergeCell ref="B501:E501"/>
    <mergeCell ref="B502:C502"/>
    <mergeCell ref="B503:C503"/>
    <mergeCell ref="B504:C504"/>
    <mergeCell ref="B486:C486"/>
    <mergeCell ref="C489:E489"/>
    <mergeCell ref="C491:E491"/>
    <mergeCell ref="C493:E493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E466"/>
    <mergeCell ref="B467:C467"/>
    <mergeCell ref="B468:C468"/>
    <mergeCell ref="B469:C469"/>
    <mergeCell ref="B470:C470"/>
    <mergeCell ref="C454:E454"/>
    <mergeCell ref="C456:E456"/>
    <mergeCell ref="C458:E458"/>
    <mergeCell ref="C464:E464"/>
    <mergeCell ref="B447:C447"/>
    <mergeCell ref="B448:C448"/>
    <mergeCell ref="B449:C449"/>
    <mergeCell ref="B450:C450"/>
    <mergeCell ref="B451:C451"/>
    <mergeCell ref="B442:C442"/>
    <mergeCell ref="B443:C443"/>
    <mergeCell ref="B444:C444"/>
    <mergeCell ref="B445:C445"/>
    <mergeCell ref="B446:C446"/>
    <mergeCell ref="B437:C437"/>
    <mergeCell ref="B438:C438"/>
    <mergeCell ref="B439:C439"/>
    <mergeCell ref="B440:C440"/>
    <mergeCell ref="B441:C441"/>
    <mergeCell ref="B432:C432"/>
    <mergeCell ref="B433:C433"/>
    <mergeCell ref="B434:C434"/>
    <mergeCell ref="B435:C435"/>
    <mergeCell ref="B436:C436"/>
    <mergeCell ref="C419:E419"/>
    <mergeCell ref="C421:E421"/>
    <mergeCell ref="C423:E423"/>
    <mergeCell ref="C429:E429"/>
    <mergeCell ref="B431:E431"/>
    <mergeCell ref="B413:C413"/>
    <mergeCell ref="B414:C414"/>
    <mergeCell ref="B415:C415"/>
    <mergeCell ref="B416:C416"/>
    <mergeCell ref="B408:C408"/>
    <mergeCell ref="B409:C409"/>
    <mergeCell ref="B410:C410"/>
    <mergeCell ref="B411:C411"/>
    <mergeCell ref="B412:C412"/>
    <mergeCell ref="B403:C403"/>
    <mergeCell ref="B404:C404"/>
    <mergeCell ref="B405:C405"/>
    <mergeCell ref="B406:C406"/>
    <mergeCell ref="B407:C407"/>
    <mergeCell ref="B398:C398"/>
    <mergeCell ref="B399:C399"/>
    <mergeCell ref="B400:C400"/>
    <mergeCell ref="B401:C401"/>
    <mergeCell ref="B402:C402"/>
    <mergeCell ref="C386:E386"/>
    <mergeCell ref="C388:E388"/>
    <mergeCell ref="C394:E394"/>
    <mergeCell ref="B396:E396"/>
    <mergeCell ref="B397:C397"/>
    <mergeCell ref="B379:C379"/>
    <mergeCell ref="B380:C380"/>
    <mergeCell ref="B381:C381"/>
    <mergeCell ref="C384:E384"/>
    <mergeCell ref="B374:C374"/>
    <mergeCell ref="B375:C375"/>
    <mergeCell ref="B376:C376"/>
    <mergeCell ref="B377:C377"/>
    <mergeCell ref="B378:C378"/>
    <mergeCell ref="B369:C369"/>
    <mergeCell ref="B370:C370"/>
    <mergeCell ref="B371:C371"/>
    <mergeCell ref="B372:C372"/>
    <mergeCell ref="B373:C373"/>
    <mergeCell ref="B364:C364"/>
    <mergeCell ref="B365:C365"/>
    <mergeCell ref="B366:C366"/>
    <mergeCell ref="B367:C367"/>
    <mergeCell ref="B368:C368"/>
    <mergeCell ref="C353:E353"/>
    <mergeCell ref="C359:E359"/>
    <mergeCell ref="B361:E361"/>
    <mergeCell ref="B362:C362"/>
    <mergeCell ref="B363:C363"/>
    <mergeCell ref="B345:C345"/>
    <mergeCell ref="B346:C346"/>
    <mergeCell ref="C349:E349"/>
    <mergeCell ref="C351:E351"/>
    <mergeCell ref="B340:C340"/>
    <mergeCell ref="B341:C341"/>
    <mergeCell ref="B342:C342"/>
    <mergeCell ref="B343:C343"/>
    <mergeCell ref="B344:C344"/>
    <mergeCell ref="B335:C335"/>
    <mergeCell ref="B336:C336"/>
    <mergeCell ref="B337:C337"/>
    <mergeCell ref="B338:C338"/>
    <mergeCell ref="B339:C339"/>
    <mergeCell ref="B330:C330"/>
    <mergeCell ref="B331:C331"/>
    <mergeCell ref="B332:C332"/>
    <mergeCell ref="B333:C333"/>
    <mergeCell ref="B334:C334"/>
    <mergeCell ref="C324:E324"/>
    <mergeCell ref="B326:E326"/>
    <mergeCell ref="B327:C327"/>
    <mergeCell ref="B328:C328"/>
    <mergeCell ref="B329:C329"/>
    <mergeCell ref="B311:C311"/>
    <mergeCell ref="C314:E314"/>
    <mergeCell ref="C316:E316"/>
    <mergeCell ref="C318:E318"/>
    <mergeCell ref="B306:C306"/>
    <mergeCell ref="B307:C307"/>
    <mergeCell ref="B308:C308"/>
    <mergeCell ref="B309:C309"/>
    <mergeCell ref="B310:C310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E291"/>
    <mergeCell ref="B292:C292"/>
    <mergeCell ref="B293:C293"/>
    <mergeCell ref="B294:C294"/>
    <mergeCell ref="B295:C295"/>
    <mergeCell ref="C279:E279"/>
    <mergeCell ref="C281:E281"/>
    <mergeCell ref="C283:E283"/>
    <mergeCell ref="B301:C301"/>
    <mergeCell ref="B272:C272"/>
    <mergeCell ref="B273:C273"/>
    <mergeCell ref="B274:C274"/>
    <mergeCell ref="B275:C275"/>
    <mergeCell ref="B276:C276"/>
    <mergeCell ref="B267:C267"/>
    <mergeCell ref="B268:C268"/>
    <mergeCell ref="B269:C269"/>
    <mergeCell ref="B270:C270"/>
    <mergeCell ref="B271:C271"/>
    <mergeCell ref="B262:C262"/>
    <mergeCell ref="B263:C263"/>
    <mergeCell ref="B264:C264"/>
    <mergeCell ref="B265:C265"/>
    <mergeCell ref="B266:C266"/>
    <mergeCell ref="B257:C257"/>
    <mergeCell ref="B258:C258"/>
    <mergeCell ref="B259:C259"/>
    <mergeCell ref="B260:C260"/>
    <mergeCell ref="B261:C261"/>
    <mergeCell ref="C244:E244"/>
    <mergeCell ref="C246:E246"/>
    <mergeCell ref="C248:E248"/>
    <mergeCell ref="C254:E254"/>
    <mergeCell ref="B256:E256"/>
    <mergeCell ref="B238:C238"/>
    <mergeCell ref="B239:C239"/>
    <mergeCell ref="B240:C240"/>
    <mergeCell ref="B241:C241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B223:C223"/>
    <mergeCell ref="B224:C224"/>
    <mergeCell ref="B225:C225"/>
    <mergeCell ref="B226:C226"/>
    <mergeCell ref="B227:C227"/>
    <mergeCell ref="C211:E211"/>
    <mergeCell ref="C213:E213"/>
    <mergeCell ref="C219:E219"/>
    <mergeCell ref="B221:E221"/>
    <mergeCell ref="B222:C222"/>
    <mergeCell ref="B204:C204"/>
    <mergeCell ref="B205:C205"/>
    <mergeCell ref="B206:C206"/>
    <mergeCell ref="C209:E209"/>
    <mergeCell ref="B199:C199"/>
    <mergeCell ref="B200:C200"/>
    <mergeCell ref="B201:C201"/>
    <mergeCell ref="B202:C202"/>
    <mergeCell ref="B203:C203"/>
    <mergeCell ref="B194:C194"/>
    <mergeCell ref="B195:C195"/>
    <mergeCell ref="B196:C196"/>
    <mergeCell ref="B197:C197"/>
    <mergeCell ref="B198:C198"/>
    <mergeCell ref="B189:C189"/>
    <mergeCell ref="B190:C190"/>
    <mergeCell ref="B191:C191"/>
    <mergeCell ref="B192:C192"/>
    <mergeCell ref="B193:C193"/>
    <mergeCell ref="C178:E178"/>
    <mergeCell ref="C184:E184"/>
    <mergeCell ref="B186:E186"/>
    <mergeCell ref="B187:C187"/>
    <mergeCell ref="B188:C188"/>
    <mergeCell ref="B170:C170"/>
    <mergeCell ref="B171:C171"/>
    <mergeCell ref="C174:E174"/>
    <mergeCell ref="C176:E176"/>
    <mergeCell ref="B165:C165"/>
    <mergeCell ref="B166:C166"/>
    <mergeCell ref="B167:C167"/>
    <mergeCell ref="B168:C168"/>
    <mergeCell ref="B169:C169"/>
    <mergeCell ref="B160:C160"/>
    <mergeCell ref="B161:C161"/>
    <mergeCell ref="B162:C162"/>
    <mergeCell ref="B163:C163"/>
    <mergeCell ref="B164:C164"/>
    <mergeCell ref="B156:C156"/>
    <mergeCell ref="B157:C157"/>
    <mergeCell ref="B158:C158"/>
    <mergeCell ref="B159:C159"/>
    <mergeCell ref="C149:E149"/>
    <mergeCell ref="B151:E151"/>
    <mergeCell ref="B152:C152"/>
    <mergeCell ref="B153:C153"/>
    <mergeCell ref="B154:C154"/>
    <mergeCell ref="B155:C155"/>
    <mergeCell ref="C79:E79"/>
    <mergeCell ref="B85:C85"/>
    <mergeCell ref="B128:C128"/>
    <mergeCell ref="B129:C129"/>
    <mergeCell ref="B130:C130"/>
    <mergeCell ref="B131:C131"/>
    <mergeCell ref="B132:C132"/>
    <mergeCell ref="C104:E104"/>
    <mergeCell ref="C106:E106"/>
    <mergeCell ref="C108:E108"/>
    <mergeCell ref="B116:E116"/>
    <mergeCell ref="B123:C123"/>
    <mergeCell ref="B124:C124"/>
    <mergeCell ref="B125:C125"/>
    <mergeCell ref="B126:C126"/>
    <mergeCell ref="B127:C127"/>
    <mergeCell ref="B86:C86"/>
    <mergeCell ref="B87:C87"/>
    <mergeCell ref="B88:C88"/>
    <mergeCell ref="B94:C94"/>
    <mergeCell ref="B95:C95"/>
    <mergeCell ref="B96:C96"/>
    <mergeCell ref="B97:C97"/>
    <mergeCell ref="B98:C98"/>
    <mergeCell ref="B57:C57"/>
    <mergeCell ref="B67:C67"/>
    <mergeCell ref="B89:C89"/>
    <mergeCell ref="B90:C90"/>
    <mergeCell ref="B91:C91"/>
    <mergeCell ref="B92:C92"/>
    <mergeCell ref="B93:C93"/>
    <mergeCell ref="B46:E46"/>
    <mergeCell ref="B81:E81"/>
    <mergeCell ref="B82:C82"/>
    <mergeCell ref="B83:C83"/>
    <mergeCell ref="B84:C84"/>
    <mergeCell ref="B63:C63"/>
    <mergeCell ref="B64:C64"/>
    <mergeCell ref="B65:C65"/>
    <mergeCell ref="B66:C66"/>
    <mergeCell ref="B58:C58"/>
    <mergeCell ref="B59:C59"/>
    <mergeCell ref="B60:C60"/>
    <mergeCell ref="B61:C61"/>
    <mergeCell ref="B62:C62"/>
    <mergeCell ref="C69:E69"/>
    <mergeCell ref="C71:E71"/>
    <mergeCell ref="C73:E73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1:H1"/>
    <mergeCell ref="A3:B3"/>
    <mergeCell ref="C3:E3"/>
    <mergeCell ref="A4:B4"/>
    <mergeCell ref="C4:E4"/>
    <mergeCell ref="A5:B5"/>
    <mergeCell ref="A6:B6"/>
    <mergeCell ref="C44:E44"/>
    <mergeCell ref="B47:C47"/>
    <mergeCell ref="B99:C99"/>
    <mergeCell ref="B100:C100"/>
    <mergeCell ref="B101:C101"/>
    <mergeCell ref="C114:E114"/>
    <mergeCell ref="B117:C117"/>
    <mergeCell ref="B118:C118"/>
    <mergeCell ref="B119:C119"/>
    <mergeCell ref="B120:C120"/>
    <mergeCell ref="B121:C121"/>
    <mergeCell ref="B122:C122"/>
    <mergeCell ref="B102:C102"/>
    <mergeCell ref="B1082:C1082"/>
    <mergeCell ref="C139:E139"/>
    <mergeCell ref="C141:E141"/>
    <mergeCell ref="B133:C133"/>
    <mergeCell ref="B134:C134"/>
    <mergeCell ref="B135:C135"/>
    <mergeCell ref="B136:C136"/>
    <mergeCell ref="C143:E143"/>
    <mergeCell ref="B977:C977"/>
    <mergeCell ref="B137:C137"/>
    <mergeCell ref="B172:C172"/>
    <mergeCell ref="B207:C207"/>
    <mergeCell ref="B242:C242"/>
    <mergeCell ref="B277:C277"/>
    <mergeCell ref="B312:C312"/>
    <mergeCell ref="B347:C347"/>
    <mergeCell ref="B382:C382"/>
    <mergeCell ref="B417:C417"/>
    <mergeCell ref="B452:C452"/>
    <mergeCell ref="B487:C487"/>
    <mergeCell ref="B522:C522"/>
    <mergeCell ref="B557:C557"/>
  </mergeCells>
  <pageMargins left="0" right="0" top="0.21" bottom="0" header="0.18" footer="0.21"/>
  <pageSetup paperSize="5" scale="60" firstPageNumber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02"/>
  <sheetViews>
    <sheetView tabSelected="1" zoomScale="90" zoomScaleNormal="90" workbookViewId="0">
      <selection activeCell="E21" sqref="E21"/>
    </sheetView>
  </sheetViews>
  <sheetFormatPr baseColWidth="10" defaultColWidth="11" defaultRowHeight="12.75" x14ac:dyDescent="0.2"/>
  <cols>
    <col min="1" max="1" width="4.5703125" style="54" customWidth="1"/>
    <col min="2" max="2" width="15.5703125" style="1" customWidth="1"/>
    <col min="3" max="3" width="33.7109375" style="1" customWidth="1"/>
    <col min="4" max="4" width="11.7109375" style="54" bestFit="1" customWidth="1"/>
    <col min="5" max="5" width="214.28515625" style="1" customWidth="1"/>
    <col min="6" max="6" width="15.85546875" style="1" customWidth="1"/>
    <col min="7" max="7" width="16.85546875" style="1" customWidth="1"/>
    <col min="8" max="8" width="17.28515625" style="1" customWidth="1"/>
    <col min="9" max="9" width="18.5703125" style="1" customWidth="1"/>
    <col min="10" max="16384" width="11" style="1"/>
  </cols>
  <sheetData>
    <row r="1" spans="1:9" s="103" customFormat="1" ht="27.75" x14ac:dyDescent="0.4">
      <c r="A1" s="148"/>
      <c r="B1" s="215" t="s">
        <v>0</v>
      </c>
      <c r="C1" s="215"/>
      <c r="D1" s="215"/>
      <c r="E1" s="215"/>
      <c r="F1" s="215"/>
      <c r="G1" s="215"/>
      <c r="H1" s="215"/>
    </row>
    <row r="2" spans="1:9" s="103" customFormat="1" ht="6" customHeight="1" x14ac:dyDescent="0.2">
      <c r="A2" s="148"/>
      <c r="B2" s="124"/>
      <c r="C2" s="124"/>
      <c r="D2" s="148"/>
      <c r="E2" s="124"/>
      <c r="F2" s="124"/>
      <c r="G2" s="124"/>
      <c r="H2" s="124"/>
    </row>
    <row r="3" spans="1:9" s="103" customFormat="1" ht="16.5" customHeight="1" x14ac:dyDescent="0.25">
      <c r="A3" s="216" t="s">
        <v>1</v>
      </c>
      <c r="B3" s="216"/>
      <c r="C3" s="217" t="s">
        <v>318</v>
      </c>
      <c r="D3" s="217"/>
      <c r="E3" s="217"/>
      <c r="F3" s="155"/>
      <c r="G3" s="156"/>
      <c r="H3" s="155"/>
    </row>
    <row r="4" spans="1:9" s="103" customFormat="1" ht="17.25" customHeight="1" x14ac:dyDescent="0.25">
      <c r="A4" s="216" t="s">
        <v>2</v>
      </c>
      <c r="B4" s="216"/>
      <c r="C4" s="217" t="s">
        <v>23</v>
      </c>
      <c r="D4" s="217"/>
      <c r="E4" s="217"/>
      <c r="F4" s="155"/>
      <c r="G4" s="156"/>
      <c r="H4" s="155"/>
    </row>
    <row r="5" spans="1:9" s="103" customFormat="1" ht="15" customHeight="1" x14ac:dyDescent="0.25">
      <c r="A5" s="216" t="s">
        <v>3</v>
      </c>
      <c r="B5" s="216"/>
      <c r="C5" s="157">
        <v>2022</v>
      </c>
      <c r="D5" s="158"/>
      <c r="E5" s="159"/>
      <c r="F5" s="155"/>
      <c r="G5" s="156"/>
      <c r="H5" s="155"/>
    </row>
    <row r="6" spans="1:9" s="103" customFormat="1" ht="16.5" customHeight="1" x14ac:dyDescent="0.25">
      <c r="A6" s="216" t="s">
        <v>258</v>
      </c>
      <c r="B6" s="216"/>
      <c r="C6" s="157" t="s">
        <v>348</v>
      </c>
      <c r="D6" s="158"/>
      <c r="E6" s="159"/>
      <c r="F6" s="155"/>
      <c r="G6" s="156"/>
      <c r="H6" s="155"/>
    </row>
    <row r="7" spans="1:9" s="103" customFormat="1" ht="7.5" customHeight="1" thickBot="1" x14ac:dyDescent="0.25">
      <c r="A7" s="148"/>
      <c r="B7" s="155"/>
      <c r="C7" s="156"/>
      <c r="D7" s="156"/>
      <c r="E7" s="155"/>
      <c r="F7" s="155"/>
      <c r="G7" s="156"/>
      <c r="H7" s="155"/>
    </row>
    <row r="8" spans="1:9" s="103" customFormat="1" ht="39" thickBot="1" x14ac:dyDescent="0.25">
      <c r="A8" s="160" t="s">
        <v>5</v>
      </c>
      <c r="B8" s="160" t="s">
        <v>6</v>
      </c>
      <c r="C8" s="160" t="s">
        <v>7</v>
      </c>
      <c r="D8" s="160" t="s">
        <v>8</v>
      </c>
      <c r="E8" s="160" t="s">
        <v>9</v>
      </c>
      <c r="F8" s="160" t="s">
        <v>10</v>
      </c>
      <c r="G8" s="160" t="s">
        <v>11</v>
      </c>
      <c r="H8" s="160" t="s">
        <v>12</v>
      </c>
      <c r="I8" s="123" t="s">
        <v>13</v>
      </c>
    </row>
    <row r="9" spans="1:9" s="113" customFormat="1" ht="24.95" customHeight="1" x14ac:dyDescent="0.2">
      <c r="A9" s="161">
        <v>1</v>
      </c>
      <c r="B9" s="112" t="s">
        <v>34</v>
      </c>
      <c r="C9" s="115" t="s">
        <v>22</v>
      </c>
      <c r="D9" s="115" t="s">
        <v>35</v>
      </c>
      <c r="E9" s="112" t="s">
        <v>42</v>
      </c>
      <c r="F9" s="174" t="s">
        <v>78</v>
      </c>
      <c r="G9" s="125">
        <v>1440</v>
      </c>
      <c r="H9" s="162">
        <v>135</v>
      </c>
      <c r="I9" s="126">
        <f t="shared" ref="I9:I27" si="0">G9*H9</f>
        <v>194400</v>
      </c>
    </row>
    <row r="10" spans="1:9" s="113" customFormat="1" ht="24.95" customHeight="1" x14ac:dyDescent="0.2">
      <c r="A10" s="161">
        <v>2</v>
      </c>
      <c r="B10" s="112" t="s">
        <v>33</v>
      </c>
      <c r="C10" s="115" t="s">
        <v>22</v>
      </c>
      <c r="D10" s="115" t="s">
        <v>35</v>
      </c>
      <c r="E10" s="112" t="s">
        <v>41</v>
      </c>
      <c r="F10" s="174" t="s">
        <v>78</v>
      </c>
      <c r="G10" s="125">
        <v>480</v>
      </c>
      <c r="H10" s="162">
        <v>340</v>
      </c>
      <c r="I10" s="126">
        <f t="shared" si="0"/>
        <v>163200</v>
      </c>
    </row>
    <row r="11" spans="1:9" s="113" customFormat="1" ht="24.95" customHeight="1" x14ac:dyDescent="0.2">
      <c r="A11" s="161">
        <v>3</v>
      </c>
      <c r="B11" s="172" t="s">
        <v>264</v>
      </c>
      <c r="C11" s="115" t="s">
        <v>22</v>
      </c>
      <c r="D11" s="115" t="s">
        <v>35</v>
      </c>
      <c r="E11" s="112" t="s">
        <v>265</v>
      </c>
      <c r="F11" s="174" t="s">
        <v>78</v>
      </c>
      <c r="G11" s="125">
        <v>432</v>
      </c>
      <c r="H11" s="162">
        <v>200</v>
      </c>
      <c r="I11" s="126">
        <f t="shared" si="0"/>
        <v>86400</v>
      </c>
    </row>
    <row r="12" spans="1:9" s="103" customFormat="1" ht="30" customHeight="1" x14ac:dyDescent="0.2">
      <c r="A12" s="161">
        <v>4</v>
      </c>
      <c r="B12" s="118" t="s">
        <v>43</v>
      </c>
      <c r="C12" s="115" t="s">
        <v>22</v>
      </c>
      <c r="D12" s="114" t="s">
        <v>35</v>
      </c>
      <c r="E12" s="116" t="s">
        <v>50</v>
      </c>
      <c r="F12" s="174" t="s">
        <v>338</v>
      </c>
      <c r="G12" s="125">
        <v>240</v>
      </c>
      <c r="H12" s="162">
        <v>140</v>
      </c>
      <c r="I12" s="126">
        <f t="shared" si="0"/>
        <v>33600</v>
      </c>
    </row>
    <row r="13" spans="1:9" s="103" customFormat="1" ht="24.95" customHeight="1" x14ac:dyDescent="0.2">
      <c r="A13" s="161">
        <v>5</v>
      </c>
      <c r="B13" s="112" t="s">
        <v>276</v>
      </c>
      <c r="C13" s="115" t="s">
        <v>22</v>
      </c>
      <c r="D13" s="115" t="s">
        <v>35</v>
      </c>
      <c r="E13" s="173" t="s">
        <v>277</v>
      </c>
      <c r="F13" s="174" t="s">
        <v>78</v>
      </c>
      <c r="G13" s="125">
        <v>384</v>
      </c>
      <c r="H13" s="162">
        <v>185</v>
      </c>
      <c r="I13" s="126">
        <f t="shared" si="0"/>
        <v>71040</v>
      </c>
    </row>
    <row r="14" spans="1:9" s="113" customFormat="1" ht="24.95" customHeight="1" x14ac:dyDescent="0.2">
      <c r="A14" s="161">
        <v>6</v>
      </c>
      <c r="B14" s="112" t="s">
        <v>47</v>
      </c>
      <c r="C14" s="115" t="s">
        <v>22</v>
      </c>
      <c r="D14" s="115" t="s">
        <v>35</v>
      </c>
      <c r="E14" s="112" t="s">
        <v>54</v>
      </c>
      <c r="F14" s="174" t="s">
        <v>78</v>
      </c>
      <c r="G14" s="125">
        <v>384</v>
      </c>
      <c r="H14" s="162">
        <v>295</v>
      </c>
      <c r="I14" s="126">
        <f t="shared" si="0"/>
        <v>113280</v>
      </c>
    </row>
    <row r="15" spans="1:9" s="113" customFormat="1" ht="24.95" customHeight="1" x14ac:dyDescent="0.2">
      <c r="A15" s="161">
        <v>7</v>
      </c>
      <c r="B15" s="112" t="s">
        <v>266</v>
      </c>
      <c r="C15" s="115" t="s">
        <v>22</v>
      </c>
      <c r="D15" s="115" t="s">
        <v>35</v>
      </c>
      <c r="E15" s="112" t="s">
        <v>267</v>
      </c>
      <c r="F15" s="174" t="s">
        <v>78</v>
      </c>
      <c r="G15" s="125">
        <v>384</v>
      </c>
      <c r="H15" s="162">
        <v>430</v>
      </c>
      <c r="I15" s="126">
        <f t="shared" si="0"/>
        <v>165120</v>
      </c>
    </row>
    <row r="16" spans="1:9" s="103" customFormat="1" ht="24.95" customHeight="1" x14ac:dyDescent="0.2">
      <c r="A16" s="161">
        <v>8</v>
      </c>
      <c r="B16" s="112" t="s">
        <v>288</v>
      </c>
      <c r="C16" s="115" t="s">
        <v>22</v>
      </c>
      <c r="D16" s="115" t="s">
        <v>35</v>
      </c>
      <c r="E16" s="112" t="s">
        <v>289</v>
      </c>
      <c r="F16" s="174" t="s">
        <v>339</v>
      </c>
      <c r="G16" s="125">
        <v>336</v>
      </c>
      <c r="H16" s="162">
        <v>60</v>
      </c>
      <c r="I16" s="126">
        <f t="shared" si="0"/>
        <v>20160</v>
      </c>
    </row>
    <row r="17" spans="1:9" s="113" customFormat="1" ht="24.95" customHeight="1" x14ac:dyDescent="0.2">
      <c r="A17" s="161">
        <v>9</v>
      </c>
      <c r="B17" s="112" t="s">
        <v>300</v>
      </c>
      <c r="C17" s="115" t="s">
        <v>22</v>
      </c>
      <c r="D17" s="115" t="s">
        <v>35</v>
      </c>
      <c r="E17" s="112" t="s">
        <v>301</v>
      </c>
      <c r="F17" s="174" t="s">
        <v>78</v>
      </c>
      <c r="G17" s="125">
        <v>468</v>
      </c>
      <c r="H17" s="162">
        <v>310</v>
      </c>
      <c r="I17" s="126">
        <f t="shared" si="0"/>
        <v>145080</v>
      </c>
    </row>
    <row r="18" spans="1:9" s="113" customFormat="1" ht="24.95" customHeight="1" x14ac:dyDescent="0.2">
      <c r="A18" s="161">
        <v>10</v>
      </c>
      <c r="B18" s="112" t="s">
        <v>268</v>
      </c>
      <c r="C18" s="115" t="s">
        <v>22</v>
      </c>
      <c r="D18" s="115" t="s">
        <v>35</v>
      </c>
      <c r="E18" s="112" t="s">
        <v>269</v>
      </c>
      <c r="F18" s="174" t="s">
        <v>78</v>
      </c>
      <c r="G18" s="125">
        <v>468</v>
      </c>
      <c r="H18" s="162">
        <v>150</v>
      </c>
      <c r="I18" s="126">
        <f t="shared" si="0"/>
        <v>70200</v>
      </c>
    </row>
    <row r="19" spans="1:9" s="113" customFormat="1" ht="24.95" customHeight="1" x14ac:dyDescent="0.2">
      <c r="A19" s="161">
        <v>11</v>
      </c>
      <c r="B19" s="112" t="s">
        <v>260</v>
      </c>
      <c r="C19" s="115" t="s">
        <v>22</v>
      </c>
      <c r="D19" s="115" t="s">
        <v>35</v>
      </c>
      <c r="E19" s="112" t="s">
        <v>259</v>
      </c>
      <c r="F19" s="174" t="s">
        <v>78</v>
      </c>
      <c r="G19" s="125">
        <v>468</v>
      </c>
      <c r="H19" s="162">
        <v>235</v>
      </c>
      <c r="I19" s="126">
        <f t="shared" si="0"/>
        <v>109980</v>
      </c>
    </row>
    <row r="20" spans="1:9" s="113" customFormat="1" ht="24.95" customHeight="1" x14ac:dyDescent="0.2">
      <c r="A20" s="161">
        <v>12</v>
      </c>
      <c r="B20" s="112" t="s">
        <v>303</v>
      </c>
      <c r="C20" s="111" t="s">
        <v>22</v>
      </c>
      <c r="D20" s="114" t="s">
        <v>35</v>
      </c>
      <c r="E20" s="119" t="s">
        <v>304</v>
      </c>
      <c r="F20" s="174" t="s">
        <v>78</v>
      </c>
      <c r="G20" s="125">
        <v>468</v>
      </c>
      <c r="H20" s="162">
        <v>285</v>
      </c>
      <c r="I20" s="126">
        <f t="shared" si="0"/>
        <v>133380</v>
      </c>
    </row>
    <row r="21" spans="1:9" s="113" customFormat="1" ht="24.95" customHeight="1" x14ac:dyDescent="0.2">
      <c r="A21" s="161">
        <v>13</v>
      </c>
      <c r="B21" s="112" t="s">
        <v>272</v>
      </c>
      <c r="C21" s="111" t="s">
        <v>22</v>
      </c>
      <c r="D21" s="114" t="s">
        <v>35</v>
      </c>
      <c r="E21" s="112" t="s">
        <v>273</v>
      </c>
      <c r="F21" s="174" t="s">
        <v>340</v>
      </c>
      <c r="G21" s="125">
        <v>48</v>
      </c>
      <c r="H21" s="162">
        <v>5995</v>
      </c>
      <c r="I21" s="126">
        <f t="shared" si="0"/>
        <v>287760</v>
      </c>
    </row>
    <row r="22" spans="1:9" s="113" customFormat="1" ht="32.25" customHeight="1" x14ac:dyDescent="0.2">
      <c r="A22" s="161">
        <v>14</v>
      </c>
      <c r="B22" s="112" t="s">
        <v>270</v>
      </c>
      <c r="C22" s="111" t="s">
        <v>22</v>
      </c>
      <c r="D22" s="114" t="s">
        <v>35</v>
      </c>
      <c r="E22" s="120" t="s">
        <v>271</v>
      </c>
      <c r="F22" s="174" t="s">
        <v>340</v>
      </c>
      <c r="G22" s="125">
        <v>60</v>
      </c>
      <c r="H22" s="162">
        <v>4775</v>
      </c>
      <c r="I22" s="126">
        <f t="shared" si="0"/>
        <v>286500</v>
      </c>
    </row>
    <row r="23" spans="1:9" s="113" customFormat="1" ht="24.95" customHeight="1" x14ac:dyDescent="0.2">
      <c r="A23" s="161">
        <v>15</v>
      </c>
      <c r="B23" s="112" t="s">
        <v>274</v>
      </c>
      <c r="C23" s="111" t="s">
        <v>22</v>
      </c>
      <c r="D23" s="114" t="s">
        <v>35</v>
      </c>
      <c r="E23" s="112" t="s">
        <v>275</v>
      </c>
      <c r="F23" s="174" t="s">
        <v>14</v>
      </c>
      <c r="G23" s="125">
        <v>60</v>
      </c>
      <c r="H23" s="162">
        <v>450</v>
      </c>
      <c r="I23" s="126">
        <f t="shared" si="0"/>
        <v>27000</v>
      </c>
    </row>
    <row r="24" spans="1:9" s="113" customFormat="1" ht="24.95" customHeight="1" x14ac:dyDescent="0.2">
      <c r="A24" s="161">
        <v>16</v>
      </c>
      <c r="B24" s="112" t="s">
        <v>262</v>
      </c>
      <c r="C24" s="115" t="s">
        <v>22</v>
      </c>
      <c r="D24" s="115" t="s">
        <v>35</v>
      </c>
      <c r="E24" s="112" t="s">
        <v>261</v>
      </c>
      <c r="F24" s="174" t="s">
        <v>306</v>
      </c>
      <c r="G24" s="125">
        <v>840</v>
      </c>
      <c r="H24" s="162">
        <v>235</v>
      </c>
      <c r="I24" s="126">
        <f t="shared" si="0"/>
        <v>197400</v>
      </c>
    </row>
    <row r="25" spans="1:9" s="113" customFormat="1" ht="24.95" customHeight="1" x14ac:dyDescent="0.2">
      <c r="A25" s="161">
        <v>17</v>
      </c>
      <c r="B25" s="112" t="s">
        <v>308</v>
      </c>
      <c r="C25" s="115" t="s">
        <v>22</v>
      </c>
      <c r="D25" s="115" t="s">
        <v>35</v>
      </c>
      <c r="E25" s="112" t="s">
        <v>309</v>
      </c>
      <c r="F25" s="174" t="s">
        <v>310</v>
      </c>
      <c r="G25" s="125">
        <v>240</v>
      </c>
      <c r="H25" s="162">
        <v>975</v>
      </c>
      <c r="I25" s="126">
        <f t="shared" si="0"/>
        <v>234000</v>
      </c>
    </row>
    <row r="26" spans="1:9" s="113" customFormat="1" ht="24.95" customHeight="1" x14ac:dyDescent="0.2">
      <c r="A26" s="161">
        <v>18</v>
      </c>
      <c r="B26" s="112" t="s">
        <v>44</v>
      </c>
      <c r="C26" s="115" t="s">
        <v>22</v>
      </c>
      <c r="D26" s="115" t="s">
        <v>35</v>
      </c>
      <c r="E26" s="173" t="s">
        <v>51</v>
      </c>
      <c r="F26" s="174" t="s">
        <v>14</v>
      </c>
      <c r="G26" s="125">
        <v>504</v>
      </c>
      <c r="H26" s="162">
        <v>80</v>
      </c>
      <c r="I26" s="126">
        <f t="shared" si="0"/>
        <v>40320</v>
      </c>
    </row>
    <row r="27" spans="1:9" s="113" customFormat="1" ht="24.95" customHeight="1" x14ac:dyDescent="0.2">
      <c r="A27" s="161">
        <v>19</v>
      </c>
      <c r="B27" s="112" t="s">
        <v>45</v>
      </c>
      <c r="C27" s="111" t="s">
        <v>22</v>
      </c>
      <c r="D27" s="114" t="s">
        <v>35</v>
      </c>
      <c r="E27" s="112" t="s">
        <v>52</v>
      </c>
      <c r="F27" s="174" t="s">
        <v>14</v>
      </c>
      <c r="G27" s="127">
        <v>144</v>
      </c>
      <c r="H27" s="163">
        <v>75</v>
      </c>
      <c r="I27" s="128">
        <f t="shared" si="0"/>
        <v>10800</v>
      </c>
    </row>
    <row r="28" spans="1:9" s="103" customFormat="1" ht="24.95" customHeight="1" x14ac:dyDescent="0.2">
      <c r="A28" s="161">
        <v>20</v>
      </c>
      <c r="B28" s="112" t="s">
        <v>326</v>
      </c>
      <c r="C28" s="111" t="s">
        <v>22</v>
      </c>
      <c r="D28" s="114" t="s">
        <v>35</v>
      </c>
      <c r="E28" s="112" t="s">
        <v>327</v>
      </c>
      <c r="F28" s="174" t="s">
        <v>78</v>
      </c>
      <c r="G28" s="125">
        <v>420</v>
      </c>
      <c r="H28" s="162">
        <v>360</v>
      </c>
      <c r="I28" s="126">
        <f>G28*H28</f>
        <v>151200</v>
      </c>
    </row>
    <row r="29" spans="1:9" s="103" customFormat="1" ht="24.95" customHeight="1" thickBot="1" x14ac:dyDescent="0.25">
      <c r="A29" s="161">
        <v>21</v>
      </c>
      <c r="B29" s="176" t="s">
        <v>328</v>
      </c>
      <c r="C29" s="121" t="s">
        <v>22</v>
      </c>
      <c r="D29" s="177" t="s">
        <v>35</v>
      </c>
      <c r="E29" s="176" t="s">
        <v>329</v>
      </c>
      <c r="F29" s="175" t="s">
        <v>78</v>
      </c>
      <c r="G29" s="129">
        <v>360</v>
      </c>
      <c r="H29" s="164">
        <v>360</v>
      </c>
      <c r="I29" s="130">
        <f>G29*H29</f>
        <v>129600</v>
      </c>
    </row>
    <row r="30" spans="1:9" x14ac:dyDescent="0.2">
      <c r="A30" s="165"/>
      <c r="B30" s="117"/>
      <c r="C30" s="117"/>
      <c r="D30" s="165"/>
      <c r="E30" s="117"/>
      <c r="F30" s="117"/>
      <c r="G30" s="117"/>
      <c r="H30" s="117"/>
      <c r="I30" s="110">
        <f>SUM(I9:I29)</f>
        <v>2670420</v>
      </c>
    </row>
    <row r="31" spans="1:9" s="103" customFormat="1" x14ac:dyDescent="0.2">
      <c r="A31" s="148"/>
      <c r="B31" s="124"/>
      <c r="C31" s="124"/>
      <c r="D31" s="148"/>
      <c r="E31" s="124"/>
      <c r="F31" s="124"/>
      <c r="G31" s="124"/>
      <c r="H31" s="124"/>
    </row>
    <row r="32" spans="1:9" s="103" customFormat="1" x14ac:dyDescent="0.2">
      <c r="A32" s="148"/>
      <c r="B32" s="124"/>
      <c r="C32" s="124"/>
      <c r="D32" s="148"/>
      <c r="E32" s="124"/>
      <c r="F32" s="124"/>
      <c r="G32" s="124"/>
      <c r="H32" s="124"/>
    </row>
    <row r="33" spans="1:8" s="103" customFormat="1" x14ac:dyDescent="0.2">
      <c r="A33" s="148"/>
      <c r="B33" s="124"/>
      <c r="C33" s="124"/>
      <c r="D33" s="148"/>
      <c r="E33" s="124"/>
      <c r="F33" s="124"/>
      <c r="G33" s="124"/>
      <c r="H33" s="124"/>
    </row>
    <row r="34" spans="1:8" s="103" customFormat="1" ht="13.5" thickBot="1" x14ac:dyDescent="0.25">
      <c r="A34" s="148"/>
      <c r="B34" s="124"/>
      <c r="C34" s="124"/>
      <c r="D34" s="148"/>
      <c r="E34" s="124"/>
      <c r="F34" s="124"/>
      <c r="G34" s="124"/>
      <c r="H34" s="124"/>
    </row>
    <row r="35" spans="1:8" s="103" customFormat="1" x14ac:dyDescent="0.2">
      <c r="A35" s="148"/>
      <c r="B35" s="131" t="s">
        <v>15</v>
      </c>
      <c r="C35" s="132"/>
      <c r="D35" s="150"/>
      <c r="E35" s="133"/>
      <c r="F35" s="124"/>
      <c r="G35" s="124"/>
      <c r="H35" s="124"/>
    </row>
    <row r="36" spans="1:8" s="103" customFormat="1" x14ac:dyDescent="0.2">
      <c r="A36" s="148"/>
      <c r="B36" s="134"/>
      <c r="C36" s="135"/>
      <c r="D36" s="151"/>
      <c r="E36" s="136"/>
      <c r="F36" s="124"/>
      <c r="G36" s="124"/>
      <c r="H36" s="124"/>
    </row>
    <row r="37" spans="1:8" s="103" customFormat="1" x14ac:dyDescent="0.2">
      <c r="A37" s="148"/>
      <c r="B37" s="137" t="s">
        <v>16</v>
      </c>
      <c r="C37" s="135"/>
      <c r="D37" s="151"/>
      <c r="E37" s="136"/>
      <c r="F37" s="124"/>
      <c r="G37" s="124"/>
      <c r="H37" s="124"/>
    </row>
    <row r="38" spans="1:8" s="103" customFormat="1" ht="20.25" customHeight="1" x14ac:dyDescent="0.2">
      <c r="A38" s="148"/>
      <c r="B38" s="137"/>
      <c r="C38" s="202" t="s">
        <v>332</v>
      </c>
      <c r="D38" s="202"/>
      <c r="E38" s="202"/>
      <c r="F38" s="124"/>
      <c r="G38" s="124"/>
      <c r="H38" s="124"/>
    </row>
    <row r="39" spans="1:8" s="103" customFormat="1" ht="13.5" thickBot="1" x14ac:dyDescent="0.25">
      <c r="A39" s="148"/>
      <c r="B39" s="137" t="s">
        <v>17</v>
      </c>
      <c r="C39" s="135"/>
      <c r="D39" s="151"/>
      <c r="E39" s="136"/>
      <c r="F39" s="124"/>
      <c r="G39" s="124"/>
      <c r="H39" s="124"/>
    </row>
    <row r="40" spans="1:8" s="103" customFormat="1" ht="22.5" customHeight="1" thickBot="1" x14ac:dyDescent="0.25">
      <c r="A40" s="148"/>
      <c r="B40" s="204" t="s">
        <v>337</v>
      </c>
      <c r="C40" s="205"/>
      <c r="D40" s="205"/>
      <c r="E40" s="206"/>
      <c r="F40" s="124"/>
      <c r="G40" s="124"/>
      <c r="H40" s="124"/>
    </row>
    <row r="41" spans="1:8" s="103" customFormat="1" ht="13.5" thickBot="1" x14ac:dyDescent="0.25">
      <c r="A41" s="148"/>
      <c r="B41" s="207" t="s">
        <v>263</v>
      </c>
      <c r="C41" s="208"/>
      <c r="D41" s="138" t="s">
        <v>11</v>
      </c>
      <c r="E41" s="138" t="s">
        <v>100</v>
      </c>
      <c r="F41" s="124"/>
      <c r="G41" s="124"/>
      <c r="H41" s="124"/>
    </row>
    <row r="42" spans="1:8" s="103" customFormat="1" x14ac:dyDescent="0.2">
      <c r="A42" s="148"/>
      <c r="B42" s="220" t="s">
        <v>278</v>
      </c>
      <c r="C42" s="220"/>
      <c r="D42" s="139">
        <v>40</v>
      </c>
      <c r="E42" s="140" t="s">
        <v>279</v>
      </c>
      <c r="F42" s="124"/>
      <c r="G42" s="124"/>
      <c r="H42" s="124"/>
    </row>
    <row r="43" spans="1:8" s="103" customFormat="1" x14ac:dyDescent="0.2">
      <c r="A43" s="148"/>
      <c r="B43" s="212" t="s">
        <v>280</v>
      </c>
      <c r="C43" s="212"/>
      <c r="D43" s="141">
        <v>20</v>
      </c>
      <c r="E43" s="142" t="s">
        <v>281</v>
      </c>
      <c r="F43" s="124"/>
      <c r="G43" s="124"/>
      <c r="H43" s="124"/>
    </row>
    <row r="44" spans="1:8" s="103" customFormat="1" x14ac:dyDescent="0.2">
      <c r="A44" s="148"/>
      <c r="B44" s="212" t="s">
        <v>282</v>
      </c>
      <c r="C44" s="212"/>
      <c r="D44" s="141">
        <v>40</v>
      </c>
      <c r="E44" s="142" t="s">
        <v>285</v>
      </c>
      <c r="F44" s="124"/>
      <c r="G44" s="124"/>
      <c r="H44" s="124"/>
    </row>
    <row r="45" spans="1:8" s="103" customFormat="1" x14ac:dyDescent="0.2">
      <c r="A45" s="148"/>
      <c r="B45" s="212" t="s">
        <v>283</v>
      </c>
      <c r="C45" s="212"/>
      <c r="D45" s="141">
        <v>0</v>
      </c>
      <c r="E45" s="142" t="s">
        <v>287</v>
      </c>
      <c r="F45" s="124"/>
      <c r="G45" s="124"/>
      <c r="H45" s="124"/>
    </row>
    <row r="46" spans="1:8" s="103" customFormat="1" x14ac:dyDescent="0.2">
      <c r="A46" s="148"/>
      <c r="B46" s="212" t="s">
        <v>284</v>
      </c>
      <c r="C46" s="212"/>
      <c r="D46" s="141">
        <v>20</v>
      </c>
      <c r="E46" s="142" t="s">
        <v>286</v>
      </c>
      <c r="F46" s="124"/>
      <c r="G46" s="124"/>
      <c r="H46" s="124"/>
    </row>
    <row r="47" spans="1:8" s="103" customFormat="1" ht="13.5" thickBot="1" x14ac:dyDescent="0.25">
      <c r="A47" s="148"/>
      <c r="B47" s="218"/>
      <c r="C47" s="219"/>
      <c r="D47" s="141"/>
      <c r="E47" s="142"/>
      <c r="F47" s="124"/>
      <c r="G47" s="124"/>
      <c r="H47" s="124"/>
    </row>
    <row r="48" spans="1:8" s="103" customFormat="1" ht="26.25" customHeight="1" thickBot="1" x14ac:dyDescent="0.25">
      <c r="A48" s="148"/>
      <c r="B48" s="199" t="s">
        <v>320</v>
      </c>
      <c r="C48" s="200"/>
      <c r="D48" s="200"/>
      <c r="E48" s="201"/>
      <c r="F48" s="124"/>
      <c r="G48" s="124"/>
      <c r="H48" s="124"/>
    </row>
    <row r="49" spans="1:8" s="103" customFormat="1" x14ac:dyDescent="0.2">
      <c r="A49" s="148"/>
      <c r="B49" s="137" t="s">
        <v>18</v>
      </c>
      <c r="C49" s="135"/>
      <c r="D49" s="151"/>
      <c r="E49" s="136"/>
      <c r="F49" s="124"/>
      <c r="G49" s="124"/>
      <c r="H49" s="124"/>
    </row>
    <row r="50" spans="1:8" s="103" customFormat="1" x14ac:dyDescent="0.2">
      <c r="A50" s="148"/>
      <c r="B50" s="143"/>
      <c r="C50" s="202" t="s">
        <v>24</v>
      </c>
      <c r="D50" s="202"/>
      <c r="E50" s="202"/>
      <c r="F50" s="124"/>
      <c r="G50" s="124"/>
      <c r="H50" s="124"/>
    </row>
    <row r="51" spans="1:8" s="103" customFormat="1" x14ac:dyDescent="0.2">
      <c r="A51" s="148"/>
      <c r="B51" s="137" t="s">
        <v>19</v>
      </c>
      <c r="C51" s="153"/>
      <c r="D51" s="153"/>
      <c r="E51" s="144"/>
      <c r="F51" s="124"/>
      <c r="G51" s="124"/>
      <c r="H51" s="124"/>
    </row>
    <row r="52" spans="1:8" s="103" customFormat="1" x14ac:dyDescent="0.2">
      <c r="A52" s="148"/>
      <c r="B52" s="143"/>
      <c r="C52" s="202" t="s">
        <v>341</v>
      </c>
      <c r="D52" s="202"/>
      <c r="E52" s="202"/>
      <c r="F52" s="124"/>
      <c r="G52" s="124"/>
      <c r="H52" s="124"/>
    </row>
    <row r="53" spans="1:8" s="103" customFormat="1" x14ac:dyDescent="0.2">
      <c r="A53" s="148"/>
      <c r="B53" s="137" t="s">
        <v>20</v>
      </c>
      <c r="C53" s="135"/>
      <c r="D53" s="151"/>
      <c r="E53" s="136"/>
      <c r="F53" s="124"/>
      <c r="G53" s="124"/>
      <c r="H53" s="124"/>
    </row>
    <row r="54" spans="1:8" s="103" customFormat="1" x14ac:dyDescent="0.2">
      <c r="A54" s="148"/>
      <c r="B54" s="137"/>
      <c r="C54" s="198" t="s">
        <v>25</v>
      </c>
      <c r="D54" s="198"/>
      <c r="E54" s="198"/>
      <c r="F54" s="124"/>
      <c r="G54" s="124"/>
      <c r="H54" s="124"/>
    </row>
    <row r="55" spans="1:8" s="103" customFormat="1" ht="13.5" thickBot="1" x14ac:dyDescent="0.25">
      <c r="A55" s="148"/>
      <c r="B55" s="145"/>
      <c r="C55" s="122"/>
      <c r="D55" s="146"/>
      <c r="E55" s="147"/>
      <c r="F55" s="124"/>
      <c r="G55" s="124"/>
      <c r="H55" s="124"/>
    </row>
    <row r="56" spans="1:8" s="103" customFormat="1" ht="13.5" thickBot="1" x14ac:dyDescent="0.25">
      <c r="A56" s="148"/>
      <c r="B56" s="124"/>
      <c r="C56" s="124"/>
      <c r="D56" s="148"/>
      <c r="E56" s="124"/>
      <c r="F56" s="124"/>
      <c r="G56" s="124"/>
      <c r="H56" s="124"/>
    </row>
    <row r="57" spans="1:8" s="103" customFormat="1" x14ac:dyDescent="0.2">
      <c r="A57" s="148"/>
      <c r="B57" s="131" t="s">
        <v>21</v>
      </c>
      <c r="C57" s="132"/>
      <c r="D57" s="150"/>
      <c r="E57" s="133"/>
      <c r="F57" s="124"/>
      <c r="G57" s="124"/>
      <c r="H57" s="124"/>
    </row>
    <row r="58" spans="1:8" s="103" customFormat="1" x14ac:dyDescent="0.2">
      <c r="A58" s="148"/>
      <c r="B58" s="134"/>
      <c r="C58" s="135"/>
      <c r="D58" s="151"/>
      <c r="E58" s="136"/>
      <c r="F58" s="124"/>
      <c r="G58" s="124"/>
      <c r="H58" s="124"/>
    </row>
    <row r="59" spans="1:8" s="103" customFormat="1" x14ac:dyDescent="0.2">
      <c r="A59" s="148"/>
      <c r="B59" s="137" t="s">
        <v>16</v>
      </c>
      <c r="C59" s="135"/>
      <c r="D59" s="151"/>
      <c r="E59" s="136"/>
      <c r="F59" s="124"/>
      <c r="G59" s="124"/>
      <c r="H59" s="124"/>
    </row>
    <row r="60" spans="1:8" s="103" customFormat="1" ht="19.5" customHeight="1" x14ac:dyDescent="0.2">
      <c r="A60" s="148"/>
      <c r="B60" s="137"/>
      <c r="C60" s="202" t="s">
        <v>292</v>
      </c>
      <c r="D60" s="202"/>
      <c r="E60" s="202"/>
      <c r="F60" s="124"/>
      <c r="G60" s="124"/>
      <c r="H60" s="124"/>
    </row>
    <row r="61" spans="1:8" s="103" customFormat="1" ht="13.5" thickBot="1" x14ac:dyDescent="0.25">
      <c r="A61" s="148"/>
      <c r="B61" s="137" t="s">
        <v>17</v>
      </c>
      <c r="C61" s="135"/>
      <c r="D61" s="151"/>
      <c r="E61" s="136"/>
      <c r="F61" s="124"/>
      <c r="G61" s="124"/>
      <c r="H61" s="124"/>
    </row>
    <row r="62" spans="1:8" s="103" customFormat="1" ht="23.25" customHeight="1" thickBot="1" x14ac:dyDescent="0.25">
      <c r="A62" s="148"/>
      <c r="B62" s="204" t="s">
        <v>337</v>
      </c>
      <c r="C62" s="205"/>
      <c r="D62" s="205"/>
      <c r="E62" s="206"/>
      <c r="F62" s="124"/>
      <c r="G62" s="124"/>
      <c r="H62" s="124"/>
    </row>
    <row r="63" spans="1:8" s="103" customFormat="1" ht="13.5" thickBot="1" x14ac:dyDescent="0.25">
      <c r="A63" s="148"/>
      <c r="B63" s="207" t="s">
        <v>263</v>
      </c>
      <c r="C63" s="208"/>
      <c r="D63" s="138" t="s">
        <v>11</v>
      </c>
      <c r="E63" s="149" t="s">
        <v>298</v>
      </c>
      <c r="F63" s="124"/>
      <c r="G63" s="124"/>
      <c r="H63" s="124"/>
    </row>
    <row r="64" spans="1:8" s="103" customFormat="1" x14ac:dyDescent="0.2">
      <c r="A64" s="148"/>
      <c r="B64" s="221" t="s">
        <v>278</v>
      </c>
      <c r="C64" s="222"/>
      <c r="D64" s="139">
        <v>12</v>
      </c>
      <c r="E64" s="140" t="s">
        <v>279</v>
      </c>
      <c r="F64" s="124"/>
      <c r="G64" s="124"/>
      <c r="H64" s="124"/>
    </row>
    <row r="65" spans="1:8" s="103" customFormat="1" x14ac:dyDescent="0.2">
      <c r="A65" s="148"/>
      <c r="B65" s="218" t="s">
        <v>280</v>
      </c>
      <c r="C65" s="219"/>
      <c r="D65" s="141">
        <v>8</v>
      </c>
      <c r="E65" s="142" t="s">
        <v>281</v>
      </c>
      <c r="F65" s="124"/>
      <c r="G65" s="124"/>
      <c r="H65" s="124"/>
    </row>
    <row r="66" spans="1:8" s="103" customFormat="1" x14ac:dyDescent="0.2">
      <c r="A66" s="148"/>
      <c r="B66" s="218" t="s">
        <v>282</v>
      </c>
      <c r="C66" s="219"/>
      <c r="D66" s="141">
        <v>12</v>
      </c>
      <c r="E66" s="142" t="s">
        <v>285</v>
      </c>
      <c r="F66" s="124"/>
      <c r="G66" s="124"/>
      <c r="H66" s="124"/>
    </row>
    <row r="67" spans="1:8" s="103" customFormat="1" x14ac:dyDescent="0.2">
      <c r="A67" s="148"/>
      <c r="B67" s="218" t="s">
        <v>283</v>
      </c>
      <c r="C67" s="219"/>
      <c r="D67" s="141">
        <v>0</v>
      </c>
      <c r="E67" s="142" t="s">
        <v>287</v>
      </c>
      <c r="F67" s="124"/>
      <c r="G67" s="124"/>
      <c r="H67" s="124"/>
    </row>
    <row r="68" spans="1:8" s="103" customFormat="1" x14ac:dyDescent="0.2">
      <c r="A68" s="148"/>
      <c r="B68" s="218" t="s">
        <v>284</v>
      </c>
      <c r="C68" s="219"/>
      <c r="D68" s="141">
        <v>8</v>
      </c>
      <c r="E68" s="142" t="s">
        <v>286</v>
      </c>
      <c r="F68" s="124"/>
      <c r="G68" s="124"/>
      <c r="H68" s="124"/>
    </row>
    <row r="69" spans="1:8" s="103" customFormat="1" ht="13.5" thickBot="1" x14ac:dyDescent="0.25">
      <c r="A69" s="148"/>
      <c r="B69" s="218"/>
      <c r="C69" s="219"/>
      <c r="D69" s="141"/>
      <c r="E69" s="142"/>
      <c r="F69" s="124"/>
      <c r="G69" s="124"/>
      <c r="H69" s="124"/>
    </row>
    <row r="70" spans="1:8" s="103" customFormat="1" ht="26.25" customHeight="1" thickBot="1" x14ac:dyDescent="0.25">
      <c r="A70" s="148"/>
      <c r="B70" s="199" t="s">
        <v>321</v>
      </c>
      <c r="C70" s="200"/>
      <c r="D70" s="200"/>
      <c r="E70" s="201"/>
      <c r="F70" s="124"/>
      <c r="G70" s="124"/>
      <c r="H70" s="124"/>
    </row>
    <row r="71" spans="1:8" s="103" customFormat="1" x14ac:dyDescent="0.2">
      <c r="A71" s="148"/>
      <c r="B71" s="137" t="s">
        <v>18</v>
      </c>
      <c r="C71" s="135"/>
      <c r="D71" s="151"/>
      <c r="E71" s="136"/>
      <c r="F71" s="124"/>
      <c r="G71" s="124"/>
      <c r="H71" s="124"/>
    </row>
    <row r="72" spans="1:8" s="103" customFormat="1" x14ac:dyDescent="0.2">
      <c r="A72" s="148"/>
      <c r="B72" s="143"/>
      <c r="C72" s="202" t="s">
        <v>24</v>
      </c>
      <c r="D72" s="202"/>
      <c r="E72" s="202"/>
      <c r="F72" s="124"/>
      <c r="G72" s="124"/>
      <c r="H72" s="124"/>
    </row>
    <row r="73" spans="1:8" s="103" customFormat="1" x14ac:dyDescent="0.2">
      <c r="A73" s="148"/>
      <c r="B73" s="137" t="s">
        <v>19</v>
      </c>
      <c r="C73" s="153"/>
      <c r="D73" s="153"/>
      <c r="E73" s="144"/>
      <c r="F73" s="124"/>
      <c r="G73" s="124"/>
      <c r="H73" s="124"/>
    </row>
    <row r="74" spans="1:8" s="103" customFormat="1" x14ac:dyDescent="0.2">
      <c r="A74" s="148"/>
      <c r="B74" s="143"/>
      <c r="C74" s="202" t="s">
        <v>341</v>
      </c>
      <c r="D74" s="202"/>
      <c r="E74" s="202"/>
      <c r="F74" s="124"/>
      <c r="G74" s="124"/>
      <c r="H74" s="124"/>
    </row>
    <row r="75" spans="1:8" s="103" customFormat="1" x14ac:dyDescent="0.2">
      <c r="A75" s="148"/>
      <c r="B75" s="137" t="s">
        <v>20</v>
      </c>
      <c r="C75" s="135"/>
      <c r="D75" s="151"/>
      <c r="E75" s="136"/>
      <c r="F75" s="124"/>
      <c r="G75" s="124"/>
      <c r="H75" s="124"/>
    </row>
    <row r="76" spans="1:8" s="103" customFormat="1" x14ac:dyDescent="0.2">
      <c r="A76" s="148"/>
      <c r="B76" s="137"/>
      <c r="C76" s="198" t="s">
        <v>25</v>
      </c>
      <c r="D76" s="198"/>
      <c r="E76" s="198"/>
      <c r="F76" s="124"/>
      <c r="G76" s="124"/>
      <c r="H76" s="124"/>
    </row>
    <row r="77" spans="1:8" s="103" customFormat="1" ht="13.5" thickBot="1" x14ac:dyDescent="0.25">
      <c r="A77" s="148"/>
      <c r="B77" s="145"/>
      <c r="C77" s="122"/>
      <c r="D77" s="146"/>
      <c r="E77" s="147"/>
      <c r="F77" s="124"/>
      <c r="G77" s="124"/>
      <c r="H77" s="124"/>
    </row>
    <row r="78" spans="1:8" s="103" customFormat="1" ht="13.5" thickBot="1" x14ac:dyDescent="0.25">
      <c r="A78" s="148"/>
      <c r="B78" s="124"/>
      <c r="C78" s="124"/>
      <c r="D78" s="148"/>
      <c r="E78" s="124"/>
      <c r="F78" s="124"/>
      <c r="G78" s="124"/>
      <c r="H78" s="124"/>
    </row>
    <row r="79" spans="1:8" s="103" customFormat="1" x14ac:dyDescent="0.2">
      <c r="A79" s="148"/>
      <c r="B79" s="131" t="s">
        <v>26</v>
      </c>
      <c r="C79" s="132"/>
      <c r="D79" s="150"/>
      <c r="E79" s="133"/>
      <c r="F79" s="124"/>
      <c r="G79" s="124"/>
      <c r="H79" s="124"/>
    </row>
    <row r="80" spans="1:8" s="103" customFormat="1" x14ac:dyDescent="0.2">
      <c r="A80" s="148"/>
      <c r="B80" s="134"/>
      <c r="C80" s="135"/>
      <c r="D80" s="151"/>
      <c r="E80" s="136"/>
      <c r="F80" s="124"/>
      <c r="G80" s="124"/>
      <c r="H80" s="124"/>
    </row>
    <row r="81" spans="1:9" s="103" customFormat="1" x14ac:dyDescent="0.2">
      <c r="A81" s="148"/>
      <c r="B81" s="137" t="s">
        <v>16</v>
      </c>
      <c r="C81" s="135"/>
      <c r="D81" s="151"/>
      <c r="E81" s="136"/>
      <c r="F81" s="124"/>
      <c r="G81" s="124"/>
      <c r="H81" s="124"/>
    </row>
    <row r="82" spans="1:9" s="113" customFormat="1" ht="18" customHeight="1" x14ac:dyDescent="0.2">
      <c r="A82" s="148"/>
      <c r="B82" s="137"/>
      <c r="C82" s="223" t="s">
        <v>293</v>
      </c>
      <c r="D82" s="223"/>
      <c r="E82" s="224"/>
      <c r="F82" s="124"/>
      <c r="G82" s="124"/>
      <c r="H82" s="124"/>
      <c r="I82" s="103"/>
    </row>
    <row r="83" spans="1:9" s="103" customFormat="1" ht="13.5" thickBot="1" x14ac:dyDescent="0.25">
      <c r="A83" s="148"/>
      <c r="B83" s="137" t="s">
        <v>17</v>
      </c>
      <c r="C83" s="135"/>
      <c r="D83" s="151"/>
      <c r="E83" s="136"/>
      <c r="F83" s="124"/>
      <c r="G83" s="124"/>
      <c r="H83" s="124"/>
    </row>
    <row r="84" spans="1:9" s="103" customFormat="1" ht="30.75" customHeight="1" thickBot="1" x14ac:dyDescent="0.25">
      <c r="A84" s="148"/>
      <c r="B84" s="204" t="s">
        <v>337</v>
      </c>
      <c r="C84" s="205"/>
      <c r="D84" s="205"/>
      <c r="E84" s="206"/>
      <c r="F84" s="124"/>
      <c r="G84" s="124"/>
      <c r="H84" s="124"/>
    </row>
    <row r="85" spans="1:9" s="103" customFormat="1" ht="13.5" thickBot="1" x14ac:dyDescent="0.25">
      <c r="A85" s="148"/>
      <c r="B85" s="207" t="s">
        <v>263</v>
      </c>
      <c r="C85" s="208"/>
      <c r="D85" s="138" t="s">
        <v>11</v>
      </c>
      <c r="E85" s="149" t="s">
        <v>298</v>
      </c>
      <c r="F85" s="124"/>
      <c r="G85" s="124"/>
      <c r="H85" s="124"/>
    </row>
    <row r="86" spans="1:9" s="103" customFormat="1" x14ac:dyDescent="0.2">
      <c r="A86" s="148"/>
      <c r="B86" s="220" t="s">
        <v>278</v>
      </c>
      <c r="C86" s="220"/>
      <c r="D86" s="139">
        <v>10</v>
      </c>
      <c r="E86" s="140" t="s">
        <v>279</v>
      </c>
      <c r="F86" s="124"/>
      <c r="G86" s="124"/>
      <c r="H86" s="124"/>
    </row>
    <row r="87" spans="1:9" s="103" customFormat="1" x14ac:dyDescent="0.2">
      <c r="A87" s="148"/>
      <c r="B87" s="212" t="s">
        <v>280</v>
      </c>
      <c r="C87" s="212"/>
      <c r="D87" s="141">
        <v>8</v>
      </c>
      <c r="E87" s="142" t="s">
        <v>281</v>
      </c>
      <c r="F87" s="124"/>
      <c r="G87" s="124"/>
      <c r="H87" s="124"/>
    </row>
    <row r="88" spans="1:9" s="103" customFormat="1" x14ac:dyDescent="0.2">
      <c r="A88" s="148"/>
      <c r="B88" s="212" t="s">
        <v>282</v>
      </c>
      <c r="C88" s="212"/>
      <c r="D88" s="141">
        <v>10</v>
      </c>
      <c r="E88" s="142" t="s">
        <v>285</v>
      </c>
      <c r="F88" s="124"/>
      <c r="G88" s="124"/>
      <c r="H88" s="124"/>
    </row>
    <row r="89" spans="1:9" s="103" customFormat="1" x14ac:dyDescent="0.2">
      <c r="A89" s="148"/>
      <c r="B89" s="212" t="s">
        <v>283</v>
      </c>
      <c r="C89" s="212"/>
      <c r="D89" s="141">
        <v>0</v>
      </c>
      <c r="E89" s="142" t="s">
        <v>287</v>
      </c>
      <c r="F89" s="124"/>
      <c r="G89" s="124"/>
      <c r="H89" s="124"/>
    </row>
    <row r="90" spans="1:9" s="103" customFormat="1" x14ac:dyDescent="0.2">
      <c r="A90" s="148"/>
      <c r="B90" s="212" t="s">
        <v>284</v>
      </c>
      <c r="C90" s="212"/>
      <c r="D90" s="141">
        <v>8</v>
      </c>
      <c r="E90" s="142" t="s">
        <v>286</v>
      </c>
      <c r="F90" s="124"/>
      <c r="G90" s="124"/>
      <c r="H90" s="124"/>
    </row>
    <row r="91" spans="1:9" s="103" customFormat="1" ht="13.5" thickBot="1" x14ac:dyDescent="0.25">
      <c r="A91" s="148"/>
      <c r="B91" s="218"/>
      <c r="C91" s="219"/>
      <c r="D91" s="141"/>
      <c r="E91" s="142"/>
      <c r="F91" s="124"/>
      <c r="G91" s="124"/>
      <c r="H91" s="124"/>
    </row>
    <row r="92" spans="1:9" s="103" customFormat="1" ht="26.25" customHeight="1" thickBot="1" x14ac:dyDescent="0.25">
      <c r="A92" s="148"/>
      <c r="B92" s="199" t="s">
        <v>322</v>
      </c>
      <c r="C92" s="200"/>
      <c r="D92" s="200"/>
      <c r="E92" s="201"/>
      <c r="F92" s="124"/>
      <c r="G92" s="124"/>
      <c r="H92" s="124"/>
    </row>
    <row r="93" spans="1:9" s="103" customFormat="1" x14ac:dyDescent="0.2">
      <c r="A93" s="148"/>
      <c r="B93" s="137" t="s">
        <v>18</v>
      </c>
      <c r="C93" s="135"/>
      <c r="D93" s="151"/>
      <c r="E93" s="136"/>
      <c r="F93" s="124"/>
      <c r="G93" s="124"/>
      <c r="H93" s="124"/>
    </row>
    <row r="94" spans="1:9" s="103" customFormat="1" x14ac:dyDescent="0.2">
      <c r="A94" s="148"/>
      <c r="B94" s="143"/>
      <c r="C94" s="202" t="s">
        <v>24</v>
      </c>
      <c r="D94" s="202"/>
      <c r="E94" s="202"/>
      <c r="F94" s="124"/>
      <c r="G94" s="124"/>
      <c r="H94" s="124"/>
    </row>
    <row r="95" spans="1:9" s="103" customFormat="1" x14ac:dyDescent="0.2">
      <c r="A95" s="148"/>
      <c r="B95" s="137" t="s">
        <v>19</v>
      </c>
      <c r="C95" s="153"/>
      <c r="D95" s="153"/>
      <c r="E95" s="144"/>
      <c r="F95" s="124"/>
      <c r="G95" s="124"/>
      <c r="H95" s="124"/>
    </row>
    <row r="96" spans="1:9" s="103" customFormat="1" x14ac:dyDescent="0.2">
      <c r="A96" s="148"/>
      <c r="B96" s="143"/>
      <c r="C96" s="202" t="s">
        <v>341</v>
      </c>
      <c r="D96" s="202"/>
      <c r="E96" s="202"/>
      <c r="F96" s="124"/>
      <c r="G96" s="124"/>
      <c r="H96" s="124"/>
    </row>
    <row r="97" spans="1:9" s="103" customFormat="1" x14ac:dyDescent="0.2">
      <c r="A97" s="148"/>
      <c r="B97" s="137" t="s">
        <v>20</v>
      </c>
      <c r="C97" s="135"/>
      <c r="D97" s="151"/>
      <c r="E97" s="136"/>
      <c r="F97" s="124"/>
      <c r="G97" s="124"/>
      <c r="H97" s="124"/>
    </row>
    <row r="98" spans="1:9" s="103" customFormat="1" x14ac:dyDescent="0.2">
      <c r="A98" s="148"/>
      <c r="B98" s="137"/>
      <c r="C98" s="198" t="s">
        <v>25</v>
      </c>
      <c r="D98" s="198"/>
      <c r="E98" s="198"/>
      <c r="F98" s="124"/>
      <c r="G98" s="124"/>
      <c r="H98" s="124"/>
    </row>
    <row r="99" spans="1:9" s="103" customFormat="1" ht="13.5" thickBot="1" x14ac:dyDescent="0.25">
      <c r="A99" s="148"/>
      <c r="B99" s="145"/>
      <c r="C99" s="122"/>
      <c r="D99" s="146"/>
      <c r="E99" s="147"/>
      <c r="F99" s="124"/>
      <c r="G99" s="124"/>
      <c r="H99" s="124"/>
    </row>
    <row r="100" spans="1:9" s="103" customFormat="1" ht="13.5" thickBot="1" x14ac:dyDescent="0.25">
      <c r="A100" s="148"/>
      <c r="B100" s="124"/>
      <c r="C100" s="124"/>
      <c r="D100" s="148"/>
      <c r="E100" s="124"/>
      <c r="F100" s="124"/>
      <c r="G100" s="124"/>
      <c r="H100" s="124"/>
    </row>
    <row r="101" spans="1:9" s="103" customFormat="1" x14ac:dyDescent="0.2">
      <c r="A101" s="148"/>
      <c r="B101" s="131" t="s">
        <v>102</v>
      </c>
      <c r="C101" s="132"/>
      <c r="D101" s="150"/>
      <c r="E101" s="133"/>
      <c r="F101" s="124"/>
      <c r="G101" s="124"/>
      <c r="H101" s="124"/>
    </row>
    <row r="102" spans="1:9" s="103" customFormat="1" x14ac:dyDescent="0.2">
      <c r="A102" s="148"/>
      <c r="B102" s="134"/>
      <c r="C102" s="135"/>
      <c r="D102" s="151"/>
      <c r="E102" s="136"/>
      <c r="F102" s="124"/>
      <c r="G102" s="124"/>
      <c r="H102" s="124"/>
    </row>
    <row r="103" spans="1:9" s="103" customFormat="1" x14ac:dyDescent="0.2">
      <c r="A103" s="148"/>
      <c r="B103" s="137" t="s">
        <v>16</v>
      </c>
      <c r="C103" s="135"/>
      <c r="D103" s="151"/>
      <c r="E103" s="136"/>
      <c r="F103" s="124"/>
      <c r="G103" s="124"/>
      <c r="H103" s="124"/>
    </row>
    <row r="104" spans="1:9" s="113" customFormat="1" ht="21" customHeight="1" x14ac:dyDescent="0.2">
      <c r="A104" s="148"/>
      <c r="B104" s="137"/>
      <c r="C104" s="202" t="s">
        <v>294</v>
      </c>
      <c r="D104" s="202"/>
      <c r="E104" s="202"/>
      <c r="F104" s="124"/>
      <c r="G104" s="124"/>
      <c r="H104" s="124"/>
      <c r="I104" s="103"/>
    </row>
    <row r="105" spans="1:9" s="103" customFormat="1" ht="13.5" thickBot="1" x14ac:dyDescent="0.25">
      <c r="A105" s="148"/>
      <c r="B105" s="137" t="s">
        <v>17</v>
      </c>
      <c r="C105" s="135"/>
      <c r="D105" s="151"/>
      <c r="E105" s="136"/>
      <c r="F105" s="124"/>
      <c r="G105" s="124"/>
      <c r="H105" s="124"/>
    </row>
    <row r="106" spans="1:9" s="103" customFormat="1" ht="21.75" customHeight="1" thickBot="1" x14ac:dyDescent="0.25">
      <c r="A106" s="148"/>
      <c r="B106" s="204" t="s">
        <v>337</v>
      </c>
      <c r="C106" s="205"/>
      <c r="D106" s="205"/>
      <c r="E106" s="206"/>
      <c r="F106" s="124"/>
      <c r="G106" s="124"/>
      <c r="H106" s="124"/>
    </row>
    <row r="107" spans="1:9" s="103" customFormat="1" ht="13.5" thickBot="1" x14ac:dyDescent="0.25">
      <c r="A107" s="148"/>
      <c r="B107" s="207" t="s">
        <v>263</v>
      </c>
      <c r="C107" s="208"/>
      <c r="D107" s="138" t="s">
        <v>11</v>
      </c>
      <c r="E107" s="149" t="s">
        <v>297</v>
      </c>
      <c r="F107" s="124"/>
      <c r="G107" s="124"/>
      <c r="H107" s="124"/>
    </row>
    <row r="108" spans="1:9" s="103" customFormat="1" x14ac:dyDescent="0.2">
      <c r="A108" s="148"/>
      <c r="B108" s="220" t="s">
        <v>278</v>
      </c>
      <c r="C108" s="220"/>
      <c r="D108" s="139">
        <v>6</v>
      </c>
      <c r="E108" s="140" t="s">
        <v>279</v>
      </c>
      <c r="F108" s="124"/>
      <c r="G108" s="124"/>
      <c r="H108" s="124"/>
    </row>
    <row r="109" spans="1:9" s="103" customFormat="1" x14ac:dyDescent="0.2">
      <c r="A109" s="148"/>
      <c r="B109" s="212" t="s">
        <v>280</v>
      </c>
      <c r="C109" s="212"/>
      <c r="D109" s="141">
        <v>4</v>
      </c>
      <c r="E109" s="142" t="s">
        <v>281</v>
      </c>
      <c r="F109" s="124"/>
      <c r="G109" s="124"/>
      <c r="H109" s="124"/>
    </row>
    <row r="110" spans="1:9" s="103" customFormat="1" x14ac:dyDescent="0.2">
      <c r="A110" s="148"/>
      <c r="B110" s="212" t="s">
        <v>282</v>
      </c>
      <c r="C110" s="212"/>
      <c r="D110" s="141">
        <v>6</v>
      </c>
      <c r="E110" s="142" t="s">
        <v>285</v>
      </c>
      <c r="F110" s="124"/>
      <c r="G110" s="124"/>
      <c r="H110" s="124"/>
    </row>
    <row r="111" spans="1:9" s="103" customFormat="1" x14ac:dyDescent="0.2">
      <c r="A111" s="148"/>
      <c r="B111" s="212" t="s">
        <v>283</v>
      </c>
      <c r="C111" s="212"/>
      <c r="D111" s="141">
        <v>0</v>
      </c>
      <c r="E111" s="142" t="s">
        <v>287</v>
      </c>
      <c r="F111" s="124"/>
      <c r="G111" s="124"/>
      <c r="H111" s="124"/>
    </row>
    <row r="112" spans="1:9" s="103" customFormat="1" x14ac:dyDescent="0.2">
      <c r="A112" s="148"/>
      <c r="B112" s="212" t="s">
        <v>284</v>
      </c>
      <c r="C112" s="212"/>
      <c r="D112" s="141">
        <v>4</v>
      </c>
      <c r="E112" s="142" t="s">
        <v>286</v>
      </c>
      <c r="F112" s="124"/>
      <c r="G112" s="124"/>
      <c r="H112" s="124"/>
    </row>
    <row r="113" spans="1:9" s="103" customFormat="1" ht="13.5" thickBot="1" x14ac:dyDescent="0.25">
      <c r="A113" s="148"/>
      <c r="B113" s="218"/>
      <c r="C113" s="219"/>
      <c r="D113" s="141"/>
      <c r="E113" s="142"/>
      <c r="F113" s="124"/>
      <c r="G113" s="124"/>
      <c r="H113" s="124"/>
    </row>
    <row r="114" spans="1:9" s="103" customFormat="1" ht="26.25" customHeight="1" thickBot="1" x14ac:dyDescent="0.25">
      <c r="A114" s="148"/>
      <c r="B114" s="199" t="s">
        <v>342</v>
      </c>
      <c r="C114" s="200"/>
      <c r="D114" s="200"/>
      <c r="E114" s="201"/>
      <c r="F114" s="124"/>
      <c r="G114" s="124"/>
      <c r="H114" s="124"/>
    </row>
    <row r="115" spans="1:9" s="103" customFormat="1" x14ac:dyDescent="0.2">
      <c r="A115" s="148"/>
      <c r="B115" s="137" t="s">
        <v>18</v>
      </c>
      <c r="C115" s="135"/>
      <c r="D115" s="151"/>
      <c r="E115" s="136"/>
      <c r="F115" s="124"/>
      <c r="G115" s="124"/>
      <c r="H115" s="124"/>
    </row>
    <row r="116" spans="1:9" s="103" customFormat="1" x14ac:dyDescent="0.2">
      <c r="A116" s="148"/>
      <c r="B116" s="143"/>
      <c r="C116" s="202" t="s">
        <v>24</v>
      </c>
      <c r="D116" s="202"/>
      <c r="E116" s="202"/>
      <c r="F116" s="124"/>
      <c r="G116" s="124"/>
      <c r="H116" s="124"/>
    </row>
    <row r="117" spans="1:9" s="103" customFormat="1" x14ac:dyDescent="0.2">
      <c r="A117" s="148"/>
      <c r="B117" s="137" t="s">
        <v>19</v>
      </c>
      <c r="C117" s="153"/>
      <c r="D117" s="153"/>
      <c r="E117" s="144"/>
      <c r="F117" s="124"/>
      <c r="G117" s="124"/>
      <c r="H117" s="124"/>
    </row>
    <row r="118" spans="1:9" s="103" customFormat="1" x14ac:dyDescent="0.2">
      <c r="A118" s="148"/>
      <c r="B118" s="143"/>
      <c r="C118" s="202" t="s">
        <v>341</v>
      </c>
      <c r="D118" s="202"/>
      <c r="E118" s="202"/>
      <c r="F118" s="124"/>
      <c r="G118" s="124"/>
      <c r="H118" s="124"/>
    </row>
    <row r="119" spans="1:9" s="103" customFormat="1" x14ac:dyDescent="0.2">
      <c r="A119" s="148"/>
      <c r="B119" s="137" t="s">
        <v>20</v>
      </c>
      <c r="C119" s="135"/>
      <c r="D119" s="151"/>
      <c r="E119" s="136"/>
      <c r="F119" s="124"/>
      <c r="G119" s="124"/>
      <c r="H119" s="124"/>
    </row>
    <row r="120" spans="1:9" s="103" customFormat="1" x14ac:dyDescent="0.2">
      <c r="A120" s="148"/>
      <c r="B120" s="137"/>
      <c r="C120" s="198" t="s">
        <v>25</v>
      </c>
      <c r="D120" s="198"/>
      <c r="E120" s="198"/>
      <c r="F120" s="124"/>
      <c r="G120" s="124"/>
      <c r="H120" s="124"/>
    </row>
    <row r="121" spans="1:9" s="103" customFormat="1" ht="13.5" thickBot="1" x14ac:dyDescent="0.25">
      <c r="A121" s="148"/>
      <c r="B121" s="145"/>
      <c r="C121" s="122"/>
      <c r="D121" s="146"/>
      <c r="E121" s="147"/>
      <c r="F121" s="124"/>
      <c r="G121" s="124"/>
      <c r="H121" s="124"/>
    </row>
    <row r="122" spans="1:9" s="103" customFormat="1" ht="13.5" thickBot="1" x14ac:dyDescent="0.25">
      <c r="A122" s="148"/>
      <c r="B122" s="124"/>
      <c r="C122" s="124"/>
      <c r="D122" s="148"/>
      <c r="E122" s="124"/>
      <c r="F122" s="124"/>
      <c r="G122" s="124"/>
      <c r="H122" s="124"/>
    </row>
    <row r="123" spans="1:9" s="103" customFormat="1" x14ac:dyDescent="0.2">
      <c r="A123" s="148"/>
      <c r="B123" s="131" t="s">
        <v>351</v>
      </c>
      <c r="C123" s="132"/>
      <c r="D123" s="150"/>
      <c r="E123" s="133"/>
      <c r="F123" s="124"/>
      <c r="G123" s="124"/>
      <c r="H123" s="124"/>
    </row>
    <row r="124" spans="1:9" s="103" customFormat="1" x14ac:dyDescent="0.2">
      <c r="A124" s="148"/>
      <c r="B124" s="134"/>
      <c r="C124" s="135"/>
      <c r="D124" s="151"/>
      <c r="E124" s="136"/>
      <c r="F124" s="124"/>
      <c r="G124" s="124"/>
      <c r="H124" s="124"/>
    </row>
    <row r="125" spans="1:9" s="103" customFormat="1" x14ac:dyDescent="0.2">
      <c r="A125" s="148"/>
      <c r="B125" s="137" t="s">
        <v>16</v>
      </c>
      <c r="C125" s="135"/>
      <c r="D125" s="151"/>
      <c r="E125" s="136"/>
      <c r="F125" s="124"/>
      <c r="G125" s="124"/>
      <c r="H125" s="124"/>
    </row>
    <row r="126" spans="1:9" s="113" customFormat="1" x14ac:dyDescent="0.2">
      <c r="A126" s="148"/>
      <c r="B126" s="137"/>
      <c r="C126" s="202" t="s">
        <v>295</v>
      </c>
      <c r="D126" s="202"/>
      <c r="E126" s="202"/>
      <c r="F126" s="124"/>
      <c r="G126" s="124"/>
      <c r="H126" s="124"/>
      <c r="I126" s="103"/>
    </row>
    <row r="127" spans="1:9" s="103" customFormat="1" ht="13.5" thickBot="1" x14ac:dyDescent="0.25">
      <c r="A127" s="148"/>
      <c r="B127" s="137" t="s">
        <v>17</v>
      </c>
      <c r="C127" s="135"/>
      <c r="D127" s="151"/>
      <c r="E127" s="136"/>
      <c r="F127" s="124"/>
      <c r="G127" s="124"/>
      <c r="H127" s="124"/>
    </row>
    <row r="128" spans="1:9" s="103" customFormat="1" ht="20.25" customHeight="1" thickBot="1" x14ac:dyDescent="0.25">
      <c r="A128" s="148"/>
      <c r="B128" s="204" t="s">
        <v>337</v>
      </c>
      <c r="C128" s="205"/>
      <c r="D128" s="205"/>
      <c r="E128" s="206"/>
      <c r="F128" s="124"/>
      <c r="G128" s="124"/>
      <c r="H128" s="124"/>
    </row>
    <row r="129" spans="1:8" s="103" customFormat="1" ht="12.75" customHeight="1" thickBot="1" x14ac:dyDescent="0.25">
      <c r="A129" s="148"/>
      <c r="B129" s="207" t="s">
        <v>263</v>
      </c>
      <c r="C129" s="208"/>
      <c r="D129" s="138" t="s">
        <v>11</v>
      </c>
      <c r="E129" s="138" t="s">
        <v>100</v>
      </c>
      <c r="F129" s="124"/>
      <c r="G129" s="124"/>
      <c r="H129" s="124"/>
    </row>
    <row r="130" spans="1:8" s="103" customFormat="1" x14ac:dyDescent="0.2">
      <c r="A130" s="148"/>
      <c r="B130" s="220" t="s">
        <v>278</v>
      </c>
      <c r="C130" s="220"/>
      <c r="D130" s="139">
        <v>8</v>
      </c>
      <c r="E130" s="140" t="s">
        <v>279</v>
      </c>
      <c r="F130" s="124"/>
      <c r="G130" s="124"/>
      <c r="H130" s="124"/>
    </row>
    <row r="131" spans="1:8" s="103" customFormat="1" x14ac:dyDescent="0.2">
      <c r="A131" s="148"/>
      <c r="B131" s="212" t="s">
        <v>280</v>
      </c>
      <c r="C131" s="212"/>
      <c r="D131" s="141">
        <v>8</v>
      </c>
      <c r="E131" s="142" t="s">
        <v>281</v>
      </c>
      <c r="F131" s="124"/>
      <c r="G131" s="124"/>
      <c r="H131" s="124"/>
    </row>
    <row r="132" spans="1:8" s="103" customFormat="1" x14ac:dyDescent="0.2">
      <c r="A132" s="148"/>
      <c r="B132" s="212" t="s">
        <v>282</v>
      </c>
      <c r="C132" s="212"/>
      <c r="D132" s="141">
        <v>8</v>
      </c>
      <c r="E132" s="142" t="s">
        <v>285</v>
      </c>
      <c r="F132" s="124"/>
      <c r="G132" s="124"/>
      <c r="H132" s="124"/>
    </row>
    <row r="133" spans="1:8" s="103" customFormat="1" x14ac:dyDescent="0.2">
      <c r="A133" s="148"/>
      <c r="B133" s="212" t="s">
        <v>283</v>
      </c>
      <c r="C133" s="212"/>
      <c r="D133" s="141">
        <v>0</v>
      </c>
      <c r="E133" s="142" t="s">
        <v>287</v>
      </c>
      <c r="F133" s="124"/>
      <c r="G133" s="124"/>
      <c r="H133" s="124"/>
    </row>
    <row r="134" spans="1:8" s="103" customFormat="1" x14ac:dyDescent="0.2">
      <c r="A134" s="148"/>
      <c r="B134" s="212" t="s">
        <v>284</v>
      </c>
      <c r="C134" s="212"/>
      <c r="D134" s="141">
        <v>8</v>
      </c>
      <c r="E134" s="142" t="s">
        <v>286</v>
      </c>
      <c r="F134" s="124"/>
      <c r="G134" s="124"/>
      <c r="H134" s="124"/>
    </row>
    <row r="135" spans="1:8" s="103" customFormat="1" ht="13.5" thickBot="1" x14ac:dyDescent="0.25">
      <c r="A135" s="148"/>
      <c r="B135" s="218"/>
      <c r="C135" s="219"/>
      <c r="D135" s="141"/>
      <c r="E135" s="142"/>
      <c r="F135" s="124"/>
      <c r="G135" s="124"/>
      <c r="H135" s="124"/>
    </row>
    <row r="136" spans="1:8" s="103" customFormat="1" ht="26.25" customHeight="1" thickBot="1" x14ac:dyDescent="0.25">
      <c r="A136" s="148"/>
      <c r="B136" s="199" t="s">
        <v>323</v>
      </c>
      <c r="C136" s="200"/>
      <c r="D136" s="200"/>
      <c r="E136" s="201"/>
      <c r="F136" s="124"/>
      <c r="G136" s="124"/>
      <c r="H136" s="124"/>
    </row>
    <row r="137" spans="1:8" s="103" customFormat="1" x14ac:dyDescent="0.2">
      <c r="A137" s="148"/>
      <c r="B137" s="137" t="s">
        <v>18</v>
      </c>
      <c r="C137" s="135"/>
      <c r="D137" s="151"/>
      <c r="E137" s="136"/>
      <c r="F137" s="124"/>
      <c r="G137" s="124"/>
      <c r="H137" s="124"/>
    </row>
    <row r="138" spans="1:8" s="103" customFormat="1" x14ac:dyDescent="0.2">
      <c r="A138" s="148"/>
      <c r="B138" s="143"/>
      <c r="C138" s="202" t="s">
        <v>24</v>
      </c>
      <c r="D138" s="202"/>
      <c r="E138" s="202"/>
      <c r="F138" s="124"/>
      <c r="G138" s="124"/>
      <c r="H138" s="124"/>
    </row>
    <row r="139" spans="1:8" s="103" customFormat="1" x14ac:dyDescent="0.2">
      <c r="A139" s="148"/>
      <c r="B139" s="137" t="s">
        <v>19</v>
      </c>
      <c r="C139" s="153"/>
      <c r="D139" s="153"/>
      <c r="E139" s="144"/>
      <c r="F139" s="124"/>
      <c r="G139" s="124"/>
      <c r="H139" s="124"/>
    </row>
    <row r="140" spans="1:8" s="103" customFormat="1" x14ac:dyDescent="0.2">
      <c r="A140" s="148"/>
      <c r="B140" s="143"/>
      <c r="C140" s="202" t="s">
        <v>341</v>
      </c>
      <c r="D140" s="202"/>
      <c r="E140" s="202"/>
      <c r="F140" s="124"/>
      <c r="G140" s="124"/>
      <c r="H140" s="124"/>
    </row>
    <row r="141" spans="1:8" s="103" customFormat="1" x14ac:dyDescent="0.2">
      <c r="A141" s="148"/>
      <c r="B141" s="137" t="s">
        <v>20</v>
      </c>
      <c r="C141" s="135"/>
      <c r="D141" s="151"/>
      <c r="E141" s="136"/>
      <c r="F141" s="124"/>
      <c r="G141" s="124"/>
      <c r="H141" s="124"/>
    </row>
    <row r="142" spans="1:8" s="103" customFormat="1" x14ac:dyDescent="0.2">
      <c r="A142" s="148"/>
      <c r="B142" s="137"/>
      <c r="C142" s="198" t="s">
        <v>25</v>
      </c>
      <c r="D142" s="198"/>
      <c r="E142" s="198"/>
      <c r="F142" s="124"/>
      <c r="G142" s="124"/>
      <c r="H142" s="124"/>
    </row>
    <row r="143" spans="1:8" s="103" customFormat="1" ht="13.5" thickBot="1" x14ac:dyDescent="0.25">
      <c r="A143" s="148"/>
      <c r="B143" s="145"/>
      <c r="C143" s="122"/>
      <c r="D143" s="146"/>
      <c r="E143" s="147"/>
      <c r="F143" s="124"/>
      <c r="G143" s="124"/>
      <c r="H143" s="124"/>
    </row>
    <row r="144" spans="1:8" s="103" customFormat="1" ht="13.5" thickBot="1" x14ac:dyDescent="0.25">
      <c r="A144" s="148"/>
      <c r="B144" s="124"/>
      <c r="C144" s="124"/>
      <c r="D144" s="148"/>
      <c r="E144" s="124"/>
      <c r="F144" s="124"/>
      <c r="G144" s="124"/>
      <c r="H144" s="124"/>
    </row>
    <row r="145" spans="1:8" s="103" customFormat="1" x14ac:dyDescent="0.2">
      <c r="A145" s="148"/>
      <c r="B145" s="131" t="s">
        <v>104</v>
      </c>
      <c r="C145" s="132"/>
      <c r="D145" s="150"/>
      <c r="E145" s="133"/>
      <c r="F145" s="124"/>
      <c r="G145" s="124"/>
      <c r="H145" s="124"/>
    </row>
    <row r="146" spans="1:8" s="103" customFormat="1" x14ac:dyDescent="0.2">
      <c r="A146" s="148"/>
      <c r="B146" s="134"/>
      <c r="C146" s="135"/>
      <c r="D146" s="151"/>
      <c r="E146" s="136"/>
      <c r="F146" s="124"/>
      <c r="G146" s="124"/>
      <c r="H146" s="124"/>
    </row>
    <row r="147" spans="1:8" s="103" customFormat="1" x14ac:dyDescent="0.2">
      <c r="A147" s="148"/>
      <c r="B147" s="137" t="s">
        <v>16</v>
      </c>
      <c r="C147" s="135"/>
      <c r="D147" s="151"/>
      <c r="E147" s="136"/>
      <c r="F147" s="124"/>
      <c r="G147" s="124"/>
      <c r="H147" s="124"/>
    </row>
    <row r="148" spans="1:8" s="103" customFormat="1" x14ac:dyDescent="0.2">
      <c r="A148" s="148"/>
      <c r="B148" s="137"/>
      <c r="C148" s="202" t="s">
        <v>333</v>
      </c>
      <c r="D148" s="202"/>
      <c r="E148" s="202"/>
      <c r="F148" s="124"/>
      <c r="G148" s="124"/>
      <c r="H148" s="124"/>
    </row>
    <row r="149" spans="1:8" s="103" customFormat="1" ht="13.5" thickBot="1" x14ac:dyDescent="0.25">
      <c r="A149" s="148"/>
      <c r="B149" s="137" t="s">
        <v>17</v>
      </c>
      <c r="C149" s="135"/>
      <c r="D149" s="151"/>
      <c r="E149" s="136"/>
      <c r="F149" s="124"/>
      <c r="G149" s="124"/>
      <c r="H149" s="124"/>
    </row>
    <row r="150" spans="1:8" s="103" customFormat="1" ht="21.75" customHeight="1" thickBot="1" x14ac:dyDescent="0.25">
      <c r="A150" s="148"/>
      <c r="B150" s="204" t="s">
        <v>337</v>
      </c>
      <c r="C150" s="205"/>
      <c r="D150" s="205"/>
      <c r="E150" s="206"/>
      <c r="F150" s="124"/>
      <c r="G150" s="124"/>
      <c r="H150" s="124"/>
    </row>
    <row r="151" spans="1:8" s="103" customFormat="1" ht="13.5" thickBot="1" x14ac:dyDescent="0.25">
      <c r="A151" s="148"/>
      <c r="B151" s="207" t="s">
        <v>263</v>
      </c>
      <c r="C151" s="208"/>
      <c r="D151" s="138" t="s">
        <v>11</v>
      </c>
      <c r="E151" s="138" t="s">
        <v>100</v>
      </c>
      <c r="F151" s="124"/>
      <c r="G151" s="124"/>
      <c r="H151" s="124"/>
    </row>
    <row r="152" spans="1:8" s="103" customFormat="1" x14ac:dyDescent="0.2">
      <c r="A152" s="148"/>
      <c r="B152" s="220" t="s">
        <v>278</v>
      </c>
      <c r="C152" s="220"/>
      <c r="D152" s="139">
        <v>8</v>
      </c>
      <c r="E152" s="140" t="s">
        <v>279</v>
      </c>
      <c r="F152" s="124"/>
      <c r="G152" s="124"/>
      <c r="H152" s="124"/>
    </row>
    <row r="153" spans="1:8" s="103" customFormat="1" x14ac:dyDescent="0.2">
      <c r="A153" s="148"/>
      <c r="B153" s="212" t="s">
        <v>280</v>
      </c>
      <c r="C153" s="212"/>
      <c r="D153" s="141">
        <v>8</v>
      </c>
      <c r="E153" s="142" t="s">
        <v>281</v>
      </c>
      <c r="F153" s="124"/>
      <c r="G153" s="124"/>
      <c r="H153" s="124"/>
    </row>
    <row r="154" spans="1:8" s="103" customFormat="1" x14ac:dyDescent="0.2">
      <c r="A154" s="148"/>
      <c r="B154" s="212" t="s">
        <v>282</v>
      </c>
      <c r="C154" s="212"/>
      <c r="D154" s="141">
        <v>8</v>
      </c>
      <c r="E154" s="142" t="s">
        <v>285</v>
      </c>
      <c r="F154" s="124"/>
      <c r="G154" s="124"/>
      <c r="H154" s="124"/>
    </row>
    <row r="155" spans="1:8" s="103" customFormat="1" x14ac:dyDescent="0.2">
      <c r="A155" s="148"/>
      <c r="B155" s="212" t="s">
        <v>283</v>
      </c>
      <c r="C155" s="212"/>
      <c r="D155" s="141">
        <v>0</v>
      </c>
      <c r="E155" s="142" t="s">
        <v>287</v>
      </c>
      <c r="F155" s="124"/>
      <c r="G155" s="124"/>
      <c r="H155" s="124"/>
    </row>
    <row r="156" spans="1:8" s="103" customFormat="1" x14ac:dyDescent="0.2">
      <c r="A156" s="148"/>
      <c r="B156" s="212" t="s">
        <v>284</v>
      </c>
      <c r="C156" s="212"/>
      <c r="D156" s="141">
        <v>8</v>
      </c>
      <c r="E156" s="142" t="s">
        <v>286</v>
      </c>
      <c r="F156" s="124"/>
      <c r="G156" s="124"/>
      <c r="H156" s="124"/>
    </row>
    <row r="157" spans="1:8" s="103" customFormat="1" ht="13.5" thickBot="1" x14ac:dyDescent="0.25">
      <c r="A157" s="148"/>
      <c r="B157" s="218"/>
      <c r="C157" s="219"/>
      <c r="D157" s="141"/>
      <c r="E157" s="142"/>
      <c r="F157" s="124"/>
      <c r="G157" s="124"/>
      <c r="H157" s="124"/>
    </row>
    <row r="158" spans="1:8" s="103" customFormat="1" ht="26.25" customHeight="1" thickBot="1" x14ac:dyDescent="0.25">
      <c r="A158" s="148"/>
      <c r="B158" s="199" t="s">
        <v>323</v>
      </c>
      <c r="C158" s="200"/>
      <c r="D158" s="200"/>
      <c r="E158" s="201"/>
      <c r="F158" s="124"/>
      <c r="G158" s="124"/>
      <c r="H158" s="124"/>
    </row>
    <row r="159" spans="1:8" s="103" customFormat="1" x14ac:dyDescent="0.2">
      <c r="A159" s="148"/>
      <c r="B159" s="137" t="s">
        <v>18</v>
      </c>
      <c r="C159" s="135"/>
      <c r="D159" s="151"/>
      <c r="E159" s="136"/>
      <c r="F159" s="124"/>
      <c r="G159" s="124"/>
      <c r="H159" s="124"/>
    </row>
    <row r="160" spans="1:8" s="103" customFormat="1" x14ac:dyDescent="0.2">
      <c r="A160" s="148"/>
      <c r="B160" s="143"/>
      <c r="C160" s="202" t="s">
        <v>24</v>
      </c>
      <c r="D160" s="202"/>
      <c r="E160" s="202"/>
      <c r="F160" s="124"/>
      <c r="G160" s="124"/>
      <c r="H160" s="124"/>
    </row>
    <row r="161" spans="1:8" s="103" customFormat="1" x14ac:dyDescent="0.2">
      <c r="A161" s="148"/>
      <c r="B161" s="137" t="s">
        <v>19</v>
      </c>
      <c r="C161" s="153"/>
      <c r="D161" s="153"/>
      <c r="E161" s="144"/>
      <c r="F161" s="124"/>
      <c r="G161" s="124"/>
      <c r="H161" s="124"/>
    </row>
    <row r="162" spans="1:8" s="103" customFormat="1" x14ac:dyDescent="0.2">
      <c r="A162" s="148"/>
      <c r="B162" s="143"/>
      <c r="C162" s="202" t="s">
        <v>341</v>
      </c>
      <c r="D162" s="202"/>
      <c r="E162" s="202"/>
      <c r="F162" s="124"/>
      <c r="G162" s="124"/>
      <c r="H162" s="124"/>
    </row>
    <row r="163" spans="1:8" s="103" customFormat="1" x14ac:dyDescent="0.2">
      <c r="A163" s="148"/>
      <c r="B163" s="137" t="s">
        <v>20</v>
      </c>
      <c r="C163" s="135"/>
      <c r="D163" s="151"/>
      <c r="E163" s="136"/>
      <c r="F163" s="124"/>
      <c r="G163" s="124"/>
      <c r="H163" s="124"/>
    </row>
    <row r="164" spans="1:8" s="103" customFormat="1" x14ac:dyDescent="0.2">
      <c r="A164" s="148"/>
      <c r="B164" s="137"/>
      <c r="C164" s="198" t="s">
        <v>25</v>
      </c>
      <c r="D164" s="198"/>
      <c r="E164" s="198"/>
      <c r="F164" s="124"/>
      <c r="G164" s="124"/>
      <c r="H164" s="124"/>
    </row>
    <row r="165" spans="1:8" s="103" customFormat="1" ht="13.5" thickBot="1" x14ac:dyDescent="0.25">
      <c r="A165" s="148"/>
      <c r="B165" s="145"/>
      <c r="C165" s="122"/>
      <c r="D165" s="146"/>
      <c r="E165" s="147"/>
      <c r="F165" s="124"/>
      <c r="G165" s="124"/>
      <c r="H165" s="124"/>
    </row>
    <row r="166" spans="1:8" s="103" customFormat="1" ht="13.5" thickBot="1" x14ac:dyDescent="0.25">
      <c r="A166" s="148"/>
      <c r="B166" s="124"/>
      <c r="C166" s="124"/>
      <c r="D166" s="148"/>
      <c r="E166" s="124"/>
      <c r="F166" s="124"/>
      <c r="G166" s="124"/>
      <c r="H166" s="124"/>
    </row>
    <row r="167" spans="1:8" s="103" customFormat="1" x14ac:dyDescent="0.2">
      <c r="A167" s="148"/>
      <c r="B167" s="131" t="s">
        <v>105</v>
      </c>
      <c r="C167" s="132"/>
      <c r="D167" s="150"/>
      <c r="E167" s="133"/>
      <c r="F167" s="124"/>
      <c r="G167" s="124"/>
      <c r="H167" s="124"/>
    </row>
    <row r="168" spans="1:8" s="103" customFormat="1" x14ac:dyDescent="0.2">
      <c r="A168" s="148"/>
      <c r="B168" s="134"/>
      <c r="C168" s="225" t="s">
        <v>296</v>
      </c>
      <c r="D168" s="225"/>
      <c r="E168" s="198"/>
      <c r="F168" s="124"/>
      <c r="G168" s="124"/>
      <c r="H168" s="124"/>
    </row>
    <row r="169" spans="1:8" s="103" customFormat="1" x14ac:dyDescent="0.2">
      <c r="A169" s="148"/>
      <c r="B169" s="137" t="s">
        <v>16</v>
      </c>
      <c r="C169" s="135"/>
      <c r="D169" s="151"/>
      <c r="E169" s="136"/>
      <c r="F169" s="124"/>
      <c r="G169" s="124"/>
      <c r="H169" s="124"/>
    </row>
    <row r="170" spans="1:8" s="103" customFormat="1" x14ac:dyDescent="0.2">
      <c r="A170" s="148"/>
      <c r="B170" s="137"/>
      <c r="C170" s="202"/>
      <c r="D170" s="202"/>
      <c r="E170" s="202"/>
      <c r="F170" s="124"/>
      <c r="G170" s="124"/>
      <c r="H170" s="124"/>
    </row>
    <row r="171" spans="1:8" s="103" customFormat="1" ht="13.5" thickBot="1" x14ac:dyDescent="0.25">
      <c r="A171" s="148"/>
      <c r="B171" s="137" t="s">
        <v>17</v>
      </c>
      <c r="C171" s="135"/>
      <c r="D171" s="151"/>
      <c r="E171" s="136"/>
      <c r="F171" s="124"/>
      <c r="G171" s="124"/>
      <c r="H171" s="124"/>
    </row>
    <row r="172" spans="1:8" s="103" customFormat="1" ht="22.5" customHeight="1" thickBot="1" x14ac:dyDescent="0.25">
      <c r="A172" s="148"/>
      <c r="B172" s="204" t="s">
        <v>337</v>
      </c>
      <c r="C172" s="205"/>
      <c r="D172" s="205"/>
      <c r="E172" s="206"/>
      <c r="F172" s="124"/>
      <c r="G172" s="124"/>
      <c r="H172" s="124"/>
    </row>
    <row r="173" spans="1:8" s="103" customFormat="1" ht="13.5" thickBot="1" x14ac:dyDescent="0.25">
      <c r="A173" s="148"/>
      <c r="B173" s="207" t="s">
        <v>263</v>
      </c>
      <c r="C173" s="208"/>
      <c r="D173" s="138" t="s">
        <v>11</v>
      </c>
      <c r="E173" s="138" t="s">
        <v>100</v>
      </c>
      <c r="F173" s="124"/>
      <c r="G173" s="124"/>
      <c r="H173" s="124"/>
    </row>
    <row r="174" spans="1:8" s="103" customFormat="1" x14ac:dyDescent="0.2">
      <c r="A174" s="148"/>
      <c r="B174" s="220" t="s">
        <v>278</v>
      </c>
      <c r="C174" s="220"/>
      <c r="D174" s="139">
        <v>8</v>
      </c>
      <c r="E174" s="140" t="s">
        <v>279</v>
      </c>
      <c r="F174" s="124"/>
      <c r="G174" s="124"/>
      <c r="H174" s="124"/>
    </row>
    <row r="175" spans="1:8" s="103" customFormat="1" x14ac:dyDescent="0.2">
      <c r="A175" s="148"/>
      <c r="B175" s="212" t="s">
        <v>280</v>
      </c>
      <c r="C175" s="212"/>
      <c r="D175" s="141">
        <v>8</v>
      </c>
      <c r="E175" s="142" t="s">
        <v>281</v>
      </c>
      <c r="F175" s="124"/>
      <c r="G175" s="124"/>
      <c r="H175" s="124"/>
    </row>
    <row r="176" spans="1:8" s="103" customFormat="1" x14ac:dyDescent="0.2">
      <c r="A176" s="148"/>
      <c r="B176" s="212" t="s">
        <v>282</v>
      </c>
      <c r="C176" s="212"/>
      <c r="D176" s="141">
        <v>8</v>
      </c>
      <c r="E176" s="142" t="s">
        <v>285</v>
      </c>
      <c r="F176" s="124"/>
      <c r="G176" s="124"/>
      <c r="H176" s="124"/>
    </row>
    <row r="177" spans="1:8" s="103" customFormat="1" x14ac:dyDescent="0.2">
      <c r="A177" s="148"/>
      <c r="B177" s="212" t="s">
        <v>283</v>
      </c>
      <c r="C177" s="212"/>
      <c r="D177" s="141">
        <v>0</v>
      </c>
      <c r="E177" s="142" t="s">
        <v>287</v>
      </c>
      <c r="F177" s="124"/>
      <c r="G177" s="124"/>
      <c r="H177" s="124"/>
    </row>
    <row r="178" spans="1:8" s="103" customFormat="1" x14ac:dyDescent="0.2">
      <c r="A178" s="148"/>
      <c r="B178" s="212" t="s">
        <v>284</v>
      </c>
      <c r="C178" s="212"/>
      <c r="D178" s="141">
        <v>8</v>
      </c>
      <c r="E178" s="142" t="s">
        <v>286</v>
      </c>
      <c r="F178" s="124"/>
      <c r="G178" s="124"/>
      <c r="H178" s="124"/>
    </row>
    <row r="179" spans="1:8" s="103" customFormat="1" ht="13.5" thickBot="1" x14ac:dyDescent="0.25">
      <c r="A179" s="148"/>
      <c r="B179" s="218"/>
      <c r="C179" s="219"/>
      <c r="D179" s="141"/>
      <c r="E179" s="142"/>
      <c r="F179" s="124"/>
      <c r="G179" s="124"/>
      <c r="H179" s="124"/>
    </row>
    <row r="180" spans="1:8" s="103" customFormat="1" ht="26.25" customHeight="1" thickBot="1" x14ac:dyDescent="0.25">
      <c r="A180" s="148"/>
      <c r="B180" s="199" t="s">
        <v>323</v>
      </c>
      <c r="C180" s="200"/>
      <c r="D180" s="200"/>
      <c r="E180" s="201"/>
      <c r="F180" s="124"/>
      <c r="G180" s="124"/>
      <c r="H180" s="124"/>
    </row>
    <row r="181" spans="1:8" s="103" customFormat="1" x14ac:dyDescent="0.2">
      <c r="A181" s="148"/>
      <c r="B181" s="137" t="s">
        <v>18</v>
      </c>
      <c r="C181" s="135"/>
      <c r="D181" s="151"/>
      <c r="E181" s="136"/>
      <c r="F181" s="124"/>
      <c r="G181" s="124"/>
      <c r="H181" s="124"/>
    </row>
    <row r="182" spans="1:8" s="103" customFormat="1" x14ac:dyDescent="0.2">
      <c r="A182" s="148"/>
      <c r="B182" s="143"/>
      <c r="C182" s="202" t="s">
        <v>24</v>
      </c>
      <c r="D182" s="202"/>
      <c r="E182" s="202"/>
      <c r="F182" s="124"/>
      <c r="G182" s="124"/>
      <c r="H182" s="124"/>
    </row>
    <row r="183" spans="1:8" s="103" customFormat="1" x14ac:dyDescent="0.2">
      <c r="A183" s="148"/>
      <c r="B183" s="137" t="s">
        <v>19</v>
      </c>
      <c r="C183" s="153"/>
      <c r="D183" s="153"/>
      <c r="E183" s="144"/>
      <c r="F183" s="124"/>
      <c r="G183" s="124"/>
      <c r="H183" s="124"/>
    </row>
    <row r="184" spans="1:8" s="103" customFormat="1" x14ac:dyDescent="0.2">
      <c r="A184" s="148"/>
      <c r="B184" s="143"/>
      <c r="C184" s="202" t="s">
        <v>341</v>
      </c>
      <c r="D184" s="202"/>
      <c r="E184" s="202"/>
      <c r="F184" s="124"/>
      <c r="G184" s="124"/>
      <c r="H184" s="124"/>
    </row>
    <row r="185" spans="1:8" s="103" customFormat="1" x14ac:dyDescent="0.2">
      <c r="A185" s="148"/>
      <c r="B185" s="137" t="s">
        <v>20</v>
      </c>
      <c r="C185" s="135"/>
      <c r="D185" s="151"/>
      <c r="E185" s="136"/>
      <c r="F185" s="124"/>
      <c r="G185" s="124"/>
      <c r="H185" s="124"/>
    </row>
    <row r="186" spans="1:8" s="103" customFormat="1" x14ac:dyDescent="0.2">
      <c r="A186" s="148"/>
      <c r="B186" s="137"/>
      <c r="C186" s="198" t="s">
        <v>25</v>
      </c>
      <c r="D186" s="198"/>
      <c r="E186" s="198"/>
      <c r="F186" s="124"/>
      <c r="G186" s="124"/>
      <c r="H186" s="124"/>
    </row>
    <row r="187" spans="1:8" s="103" customFormat="1" ht="13.5" thickBot="1" x14ac:dyDescent="0.25">
      <c r="A187" s="148"/>
      <c r="B187" s="145"/>
      <c r="C187" s="122"/>
      <c r="D187" s="146"/>
      <c r="E187" s="147"/>
      <c r="F187" s="124"/>
      <c r="G187" s="124"/>
      <c r="H187" s="124"/>
    </row>
    <row r="188" spans="1:8" s="103" customFormat="1" ht="13.5" thickBot="1" x14ac:dyDescent="0.25">
      <c r="A188" s="148"/>
      <c r="B188" s="124"/>
      <c r="C188" s="124"/>
      <c r="D188" s="148"/>
      <c r="E188" s="124"/>
      <c r="F188" s="124"/>
      <c r="G188" s="124"/>
      <c r="H188" s="124"/>
    </row>
    <row r="189" spans="1:8" s="103" customFormat="1" x14ac:dyDescent="0.2">
      <c r="A189" s="148"/>
      <c r="B189" s="131" t="s">
        <v>106</v>
      </c>
      <c r="C189" s="132"/>
      <c r="D189" s="150"/>
      <c r="E189" s="133"/>
      <c r="F189" s="124"/>
      <c r="G189" s="124"/>
      <c r="H189" s="124"/>
    </row>
    <row r="190" spans="1:8" s="103" customFormat="1" x14ac:dyDescent="0.2">
      <c r="A190" s="148"/>
      <c r="B190" s="134"/>
      <c r="C190" s="135"/>
      <c r="D190" s="151"/>
      <c r="E190" s="136"/>
      <c r="F190" s="124"/>
      <c r="G190" s="124"/>
      <c r="H190" s="124"/>
    </row>
    <row r="191" spans="1:8" s="103" customFormat="1" x14ac:dyDescent="0.2">
      <c r="A191" s="148"/>
      <c r="B191" s="137" t="s">
        <v>16</v>
      </c>
      <c r="C191" s="135"/>
      <c r="D191" s="151"/>
      <c r="E191" s="136"/>
      <c r="F191" s="124"/>
      <c r="G191" s="124"/>
      <c r="H191" s="124"/>
    </row>
    <row r="192" spans="1:8" s="103" customFormat="1" x14ac:dyDescent="0.2">
      <c r="A192" s="148"/>
      <c r="B192" s="137"/>
      <c r="C192" s="202" t="s">
        <v>299</v>
      </c>
      <c r="D192" s="202"/>
      <c r="E192" s="202"/>
      <c r="F192" s="124"/>
      <c r="G192" s="124"/>
      <c r="H192" s="124"/>
    </row>
    <row r="193" spans="1:8" s="103" customFormat="1" ht="13.5" thickBot="1" x14ac:dyDescent="0.25">
      <c r="A193" s="148"/>
      <c r="B193" s="137" t="s">
        <v>17</v>
      </c>
      <c r="C193" s="135"/>
      <c r="D193" s="151"/>
      <c r="E193" s="136"/>
      <c r="F193" s="124"/>
      <c r="G193" s="124"/>
      <c r="H193" s="124"/>
    </row>
    <row r="194" spans="1:8" s="103" customFormat="1" ht="30" customHeight="1" thickBot="1" x14ac:dyDescent="0.25">
      <c r="A194" s="148"/>
      <c r="B194" s="204" t="s">
        <v>337</v>
      </c>
      <c r="C194" s="205"/>
      <c r="D194" s="205"/>
      <c r="E194" s="206"/>
      <c r="F194" s="124"/>
      <c r="G194" s="124"/>
      <c r="H194" s="124"/>
    </row>
    <row r="195" spans="1:8" s="103" customFormat="1" ht="13.5" thickBot="1" x14ac:dyDescent="0.25">
      <c r="A195" s="148"/>
      <c r="B195" s="207" t="s">
        <v>263</v>
      </c>
      <c r="C195" s="208"/>
      <c r="D195" s="138" t="s">
        <v>11</v>
      </c>
      <c r="E195" s="138" t="s">
        <v>100</v>
      </c>
      <c r="F195" s="124"/>
      <c r="G195" s="124"/>
      <c r="H195" s="124"/>
    </row>
    <row r="196" spans="1:8" s="103" customFormat="1" x14ac:dyDescent="0.2">
      <c r="A196" s="148"/>
      <c r="B196" s="220" t="s">
        <v>278</v>
      </c>
      <c r="C196" s="220"/>
      <c r="D196" s="139">
        <v>8</v>
      </c>
      <c r="E196" s="140" t="s">
        <v>279</v>
      </c>
      <c r="F196" s="124"/>
      <c r="G196" s="124"/>
      <c r="H196" s="124"/>
    </row>
    <row r="197" spans="1:8" s="103" customFormat="1" x14ac:dyDescent="0.2">
      <c r="A197" s="148"/>
      <c r="B197" s="212" t="s">
        <v>280</v>
      </c>
      <c r="C197" s="212"/>
      <c r="D197" s="141">
        <v>6</v>
      </c>
      <c r="E197" s="142" t="s">
        <v>281</v>
      </c>
      <c r="F197" s="124"/>
      <c r="G197" s="124"/>
      <c r="H197" s="124"/>
    </row>
    <row r="198" spans="1:8" s="103" customFormat="1" x14ac:dyDescent="0.2">
      <c r="A198" s="148"/>
      <c r="B198" s="212" t="s">
        <v>282</v>
      </c>
      <c r="C198" s="212"/>
      <c r="D198" s="141">
        <v>8</v>
      </c>
      <c r="E198" s="142" t="s">
        <v>285</v>
      </c>
      <c r="F198" s="124"/>
      <c r="G198" s="124"/>
      <c r="H198" s="124"/>
    </row>
    <row r="199" spans="1:8" s="103" customFormat="1" x14ac:dyDescent="0.2">
      <c r="A199" s="148"/>
      <c r="B199" s="212" t="s">
        <v>283</v>
      </c>
      <c r="C199" s="212"/>
      <c r="D199" s="141">
        <v>0</v>
      </c>
      <c r="E199" s="142" t="s">
        <v>287</v>
      </c>
      <c r="F199" s="124"/>
      <c r="G199" s="124"/>
      <c r="H199" s="124"/>
    </row>
    <row r="200" spans="1:8" s="103" customFormat="1" x14ac:dyDescent="0.2">
      <c r="A200" s="148"/>
      <c r="B200" s="212" t="s">
        <v>284</v>
      </c>
      <c r="C200" s="212"/>
      <c r="D200" s="141">
        <v>6</v>
      </c>
      <c r="E200" s="142" t="s">
        <v>286</v>
      </c>
      <c r="F200" s="124"/>
      <c r="G200" s="124"/>
      <c r="H200" s="124"/>
    </row>
    <row r="201" spans="1:8" s="103" customFormat="1" ht="13.5" thickBot="1" x14ac:dyDescent="0.25">
      <c r="A201" s="148"/>
      <c r="B201" s="218"/>
      <c r="C201" s="219"/>
      <c r="D201" s="141"/>
      <c r="E201" s="142"/>
      <c r="F201" s="124"/>
      <c r="G201" s="124"/>
      <c r="H201" s="124"/>
    </row>
    <row r="202" spans="1:8" s="103" customFormat="1" ht="26.25" customHeight="1" thickBot="1" x14ac:dyDescent="0.25">
      <c r="A202" s="148"/>
      <c r="B202" s="199" t="s">
        <v>343</v>
      </c>
      <c r="C202" s="200"/>
      <c r="D202" s="200"/>
      <c r="E202" s="201"/>
      <c r="F202" s="124"/>
      <c r="G202" s="124"/>
      <c r="H202" s="124"/>
    </row>
    <row r="203" spans="1:8" s="103" customFormat="1" x14ac:dyDescent="0.2">
      <c r="A203" s="148"/>
      <c r="B203" s="137" t="s">
        <v>18</v>
      </c>
      <c r="C203" s="135"/>
      <c r="D203" s="151"/>
      <c r="E203" s="136"/>
      <c r="F203" s="124"/>
      <c r="G203" s="124"/>
      <c r="H203" s="124"/>
    </row>
    <row r="204" spans="1:8" s="103" customFormat="1" x14ac:dyDescent="0.2">
      <c r="A204" s="148"/>
      <c r="B204" s="143"/>
      <c r="C204" s="202" t="s">
        <v>24</v>
      </c>
      <c r="D204" s="202"/>
      <c r="E204" s="202"/>
      <c r="F204" s="124"/>
      <c r="G204" s="124"/>
      <c r="H204" s="124"/>
    </row>
    <row r="205" spans="1:8" s="103" customFormat="1" x14ac:dyDescent="0.2">
      <c r="A205" s="148"/>
      <c r="B205" s="137" t="s">
        <v>19</v>
      </c>
      <c r="C205" s="153"/>
      <c r="D205" s="153"/>
      <c r="E205" s="144"/>
      <c r="F205" s="124"/>
      <c r="G205" s="124"/>
      <c r="H205" s="124"/>
    </row>
    <row r="206" spans="1:8" s="103" customFormat="1" x14ac:dyDescent="0.2">
      <c r="A206" s="148"/>
      <c r="B206" s="143"/>
      <c r="C206" s="202" t="s">
        <v>341</v>
      </c>
      <c r="D206" s="202"/>
      <c r="E206" s="202"/>
      <c r="F206" s="124"/>
      <c r="G206" s="124"/>
      <c r="H206" s="124"/>
    </row>
    <row r="207" spans="1:8" s="103" customFormat="1" x14ac:dyDescent="0.2">
      <c r="A207" s="148"/>
      <c r="B207" s="137" t="s">
        <v>20</v>
      </c>
      <c r="C207" s="135"/>
      <c r="D207" s="151"/>
      <c r="E207" s="136"/>
      <c r="F207" s="124"/>
      <c r="G207" s="124"/>
      <c r="H207" s="124"/>
    </row>
    <row r="208" spans="1:8" s="103" customFormat="1" x14ac:dyDescent="0.2">
      <c r="A208" s="148"/>
      <c r="B208" s="137"/>
      <c r="C208" s="198" t="s">
        <v>25</v>
      </c>
      <c r="D208" s="198"/>
      <c r="E208" s="198"/>
      <c r="F208" s="124"/>
      <c r="G208" s="124"/>
      <c r="H208" s="124"/>
    </row>
    <row r="209" spans="1:8" s="103" customFormat="1" ht="13.5" thickBot="1" x14ac:dyDescent="0.25">
      <c r="A209" s="148"/>
      <c r="B209" s="145"/>
      <c r="C209" s="122"/>
      <c r="D209" s="146"/>
      <c r="E209" s="147"/>
      <c r="F209" s="124"/>
      <c r="G209" s="124"/>
      <c r="H209" s="124"/>
    </row>
    <row r="210" spans="1:8" s="103" customFormat="1" ht="13.5" thickBot="1" x14ac:dyDescent="0.25">
      <c r="A210" s="148"/>
      <c r="B210" s="124"/>
      <c r="C210" s="124"/>
      <c r="D210" s="148"/>
      <c r="E210" s="124"/>
      <c r="F210" s="124"/>
      <c r="G210" s="124"/>
      <c r="H210" s="124"/>
    </row>
    <row r="211" spans="1:8" s="103" customFormat="1" x14ac:dyDescent="0.2">
      <c r="A211" s="148"/>
      <c r="B211" s="131" t="s">
        <v>107</v>
      </c>
      <c r="C211" s="132"/>
      <c r="D211" s="150"/>
      <c r="E211" s="133"/>
      <c r="F211" s="124"/>
      <c r="G211" s="124"/>
      <c r="H211" s="124"/>
    </row>
    <row r="212" spans="1:8" s="103" customFormat="1" x14ac:dyDescent="0.2">
      <c r="A212" s="148"/>
      <c r="B212" s="134"/>
      <c r="C212" s="135"/>
      <c r="D212" s="151"/>
      <c r="E212" s="136"/>
      <c r="F212" s="124"/>
      <c r="G212" s="124"/>
      <c r="H212" s="124"/>
    </row>
    <row r="213" spans="1:8" s="103" customFormat="1" x14ac:dyDescent="0.2">
      <c r="A213" s="148"/>
      <c r="B213" s="137" t="s">
        <v>16</v>
      </c>
      <c r="C213" s="135"/>
      <c r="D213" s="151"/>
      <c r="E213" s="136"/>
      <c r="F213" s="124"/>
      <c r="G213" s="124"/>
      <c r="H213" s="124"/>
    </row>
    <row r="214" spans="1:8" s="103" customFormat="1" x14ac:dyDescent="0.2">
      <c r="A214" s="148"/>
      <c r="B214" s="137"/>
      <c r="C214" s="202" t="s">
        <v>314</v>
      </c>
      <c r="D214" s="202"/>
      <c r="E214" s="202"/>
      <c r="F214" s="124"/>
      <c r="G214" s="124"/>
      <c r="H214" s="124"/>
    </row>
    <row r="215" spans="1:8" s="103" customFormat="1" ht="13.5" thickBot="1" x14ac:dyDescent="0.25">
      <c r="A215" s="148"/>
      <c r="B215" s="137" t="s">
        <v>17</v>
      </c>
      <c r="C215" s="135"/>
      <c r="D215" s="151"/>
      <c r="E215" s="136"/>
      <c r="F215" s="124"/>
      <c r="G215" s="124"/>
      <c r="H215" s="124"/>
    </row>
    <row r="216" spans="1:8" s="103" customFormat="1" ht="26.25" customHeight="1" thickBot="1" x14ac:dyDescent="0.25">
      <c r="A216" s="148"/>
      <c r="B216" s="204" t="s">
        <v>337</v>
      </c>
      <c r="C216" s="205"/>
      <c r="D216" s="205"/>
      <c r="E216" s="206"/>
      <c r="F216" s="124"/>
      <c r="G216" s="124"/>
      <c r="H216" s="124"/>
    </row>
    <row r="217" spans="1:8" s="103" customFormat="1" ht="13.5" thickBot="1" x14ac:dyDescent="0.25">
      <c r="A217" s="148"/>
      <c r="B217" s="207" t="s">
        <v>263</v>
      </c>
      <c r="C217" s="208"/>
      <c r="D217" s="138" t="s">
        <v>11</v>
      </c>
      <c r="E217" s="138" t="s">
        <v>100</v>
      </c>
      <c r="F217" s="124"/>
      <c r="G217" s="124"/>
      <c r="H217" s="124"/>
    </row>
    <row r="218" spans="1:8" s="103" customFormat="1" x14ac:dyDescent="0.2">
      <c r="A218" s="148"/>
      <c r="B218" s="220" t="s">
        <v>278</v>
      </c>
      <c r="C218" s="220"/>
      <c r="D218" s="139">
        <v>10</v>
      </c>
      <c r="E218" s="140" t="s">
        <v>279</v>
      </c>
      <c r="F218" s="124"/>
      <c r="G218" s="124"/>
      <c r="H218" s="124"/>
    </row>
    <row r="219" spans="1:8" s="103" customFormat="1" x14ac:dyDescent="0.2">
      <c r="A219" s="148"/>
      <c r="B219" s="212" t="s">
        <v>280</v>
      </c>
      <c r="C219" s="212"/>
      <c r="D219" s="141">
        <v>8</v>
      </c>
      <c r="E219" s="142" t="s">
        <v>281</v>
      </c>
      <c r="F219" s="124"/>
      <c r="G219" s="124"/>
      <c r="H219" s="124"/>
    </row>
    <row r="220" spans="1:8" s="103" customFormat="1" x14ac:dyDescent="0.2">
      <c r="A220" s="148"/>
      <c r="B220" s="212" t="s">
        <v>282</v>
      </c>
      <c r="C220" s="212"/>
      <c r="D220" s="141">
        <v>10</v>
      </c>
      <c r="E220" s="142" t="s">
        <v>285</v>
      </c>
      <c r="F220" s="124"/>
      <c r="G220" s="124"/>
      <c r="H220" s="124"/>
    </row>
    <row r="221" spans="1:8" s="103" customFormat="1" x14ac:dyDescent="0.2">
      <c r="A221" s="148"/>
      <c r="B221" s="212" t="s">
        <v>283</v>
      </c>
      <c r="C221" s="212"/>
      <c r="D221" s="141">
        <v>3</v>
      </c>
      <c r="E221" s="142" t="s">
        <v>287</v>
      </c>
      <c r="F221" s="124"/>
      <c r="G221" s="124"/>
      <c r="H221" s="124"/>
    </row>
    <row r="222" spans="1:8" s="103" customFormat="1" x14ac:dyDescent="0.2">
      <c r="A222" s="148"/>
      <c r="B222" s="212" t="s">
        <v>284</v>
      </c>
      <c r="C222" s="212"/>
      <c r="D222" s="141">
        <v>8</v>
      </c>
      <c r="E222" s="142" t="s">
        <v>286</v>
      </c>
      <c r="F222" s="124"/>
      <c r="G222" s="124"/>
      <c r="H222" s="124"/>
    </row>
    <row r="223" spans="1:8" s="103" customFormat="1" ht="13.5" thickBot="1" x14ac:dyDescent="0.25">
      <c r="A223" s="148"/>
      <c r="B223" s="218"/>
      <c r="C223" s="219"/>
      <c r="D223" s="141"/>
      <c r="E223" s="142"/>
      <c r="F223" s="124"/>
      <c r="G223" s="124"/>
      <c r="H223" s="124"/>
    </row>
    <row r="224" spans="1:8" s="103" customFormat="1" ht="25.5" customHeight="1" thickBot="1" x14ac:dyDescent="0.25">
      <c r="A224" s="148"/>
      <c r="B224" s="199" t="s">
        <v>324</v>
      </c>
      <c r="C224" s="200"/>
      <c r="D224" s="200"/>
      <c r="E224" s="201"/>
      <c r="F224" s="124"/>
      <c r="G224" s="124"/>
      <c r="H224" s="124"/>
    </row>
    <row r="225" spans="1:9" s="103" customFormat="1" x14ac:dyDescent="0.2">
      <c r="A225" s="148"/>
      <c r="B225" s="137" t="s">
        <v>18</v>
      </c>
      <c r="C225" s="135"/>
      <c r="D225" s="151"/>
      <c r="E225" s="136"/>
      <c r="F225" s="124"/>
      <c r="G225" s="124"/>
      <c r="H225" s="124"/>
    </row>
    <row r="226" spans="1:9" s="103" customFormat="1" x14ac:dyDescent="0.2">
      <c r="A226" s="148"/>
      <c r="B226" s="143"/>
      <c r="C226" s="202" t="s">
        <v>24</v>
      </c>
      <c r="D226" s="202"/>
      <c r="E226" s="202"/>
      <c r="F226" s="124"/>
      <c r="G226" s="124"/>
      <c r="H226" s="124"/>
    </row>
    <row r="227" spans="1:9" s="103" customFormat="1" x14ac:dyDescent="0.2">
      <c r="A227" s="148"/>
      <c r="B227" s="137" t="s">
        <v>19</v>
      </c>
      <c r="C227" s="153"/>
      <c r="D227" s="153"/>
      <c r="E227" s="144"/>
      <c r="F227" s="124"/>
      <c r="G227" s="124"/>
      <c r="H227" s="124"/>
    </row>
    <row r="228" spans="1:9" s="103" customFormat="1" x14ac:dyDescent="0.2">
      <c r="A228" s="148"/>
      <c r="B228" s="143"/>
      <c r="C228" s="202" t="s">
        <v>291</v>
      </c>
      <c r="D228" s="202"/>
      <c r="E228" s="202"/>
      <c r="F228" s="124"/>
      <c r="G228" s="124"/>
      <c r="H228" s="124"/>
    </row>
    <row r="229" spans="1:9" s="103" customFormat="1" x14ac:dyDescent="0.2">
      <c r="A229" s="148"/>
      <c r="B229" s="137" t="s">
        <v>20</v>
      </c>
      <c r="C229" s="135"/>
      <c r="D229" s="151"/>
      <c r="E229" s="136"/>
      <c r="F229" s="124"/>
      <c r="G229" s="124"/>
      <c r="H229" s="124"/>
    </row>
    <row r="230" spans="1:9" s="103" customFormat="1" x14ac:dyDescent="0.2">
      <c r="A230" s="148"/>
      <c r="B230" s="137"/>
      <c r="C230" s="198" t="s">
        <v>25</v>
      </c>
      <c r="D230" s="198"/>
      <c r="E230" s="198"/>
      <c r="F230" s="124"/>
      <c r="G230" s="124"/>
      <c r="H230" s="124"/>
    </row>
    <row r="231" spans="1:9" s="103" customFormat="1" ht="13.5" thickBot="1" x14ac:dyDescent="0.25">
      <c r="A231" s="148"/>
      <c r="B231" s="145"/>
      <c r="C231" s="122"/>
      <c r="D231" s="146"/>
      <c r="E231" s="147"/>
      <c r="F231" s="124"/>
      <c r="G231" s="124"/>
      <c r="H231" s="124"/>
    </row>
    <row r="232" spans="1:9" s="103" customFormat="1" ht="13.5" thickBot="1" x14ac:dyDescent="0.25">
      <c r="A232" s="148"/>
      <c r="B232" s="124"/>
      <c r="C232" s="124"/>
      <c r="D232" s="148"/>
      <c r="E232" s="124"/>
      <c r="F232" s="124"/>
      <c r="G232" s="124"/>
      <c r="H232" s="124"/>
    </row>
    <row r="233" spans="1:9" s="103" customFormat="1" x14ac:dyDescent="0.2">
      <c r="A233" s="148"/>
      <c r="B233" s="131" t="s">
        <v>108</v>
      </c>
      <c r="C233" s="132"/>
      <c r="D233" s="150"/>
      <c r="E233" s="133"/>
      <c r="F233" s="124"/>
      <c r="G233" s="124"/>
      <c r="H233" s="124"/>
    </row>
    <row r="234" spans="1:9" s="103" customFormat="1" x14ac:dyDescent="0.2">
      <c r="A234" s="148"/>
      <c r="B234" s="134"/>
      <c r="C234" s="135"/>
      <c r="D234" s="151"/>
      <c r="E234" s="136"/>
      <c r="F234" s="124"/>
      <c r="G234" s="124"/>
      <c r="H234" s="124"/>
    </row>
    <row r="235" spans="1:9" s="103" customFormat="1" x14ac:dyDescent="0.2">
      <c r="A235" s="148"/>
      <c r="B235" s="137" t="s">
        <v>16</v>
      </c>
      <c r="C235" s="135"/>
      <c r="D235" s="151"/>
      <c r="E235" s="136"/>
      <c r="F235" s="124"/>
      <c r="G235" s="124"/>
      <c r="H235" s="124"/>
    </row>
    <row r="236" spans="1:9" s="113" customFormat="1" x14ac:dyDescent="0.2">
      <c r="A236" s="148"/>
      <c r="B236" s="137"/>
      <c r="C236" s="202" t="s">
        <v>302</v>
      </c>
      <c r="D236" s="202"/>
      <c r="E236" s="202"/>
      <c r="F236" s="124"/>
      <c r="G236" s="124"/>
      <c r="H236" s="124"/>
      <c r="I236" s="103"/>
    </row>
    <row r="237" spans="1:9" s="103" customFormat="1" ht="13.5" thickBot="1" x14ac:dyDescent="0.25">
      <c r="A237" s="148"/>
      <c r="B237" s="137" t="s">
        <v>17</v>
      </c>
      <c r="C237" s="135"/>
      <c r="D237" s="151"/>
      <c r="E237" s="136"/>
      <c r="F237" s="124"/>
      <c r="G237" s="124"/>
      <c r="H237" s="124"/>
    </row>
    <row r="238" spans="1:9" s="103" customFormat="1" ht="27.75" customHeight="1" thickBot="1" x14ac:dyDescent="0.25">
      <c r="A238" s="148"/>
      <c r="B238" s="204" t="s">
        <v>337</v>
      </c>
      <c r="C238" s="205"/>
      <c r="D238" s="205"/>
      <c r="E238" s="206"/>
      <c r="F238" s="124"/>
      <c r="G238" s="124"/>
      <c r="H238" s="124"/>
    </row>
    <row r="239" spans="1:9" s="103" customFormat="1" ht="12.75" customHeight="1" thickBot="1" x14ac:dyDescent="0.25">
      <c r="A239" s="148"/>
      <c r="B239" s="207" t="s">
        <v>263</v>
      </c>
      <c r="C239" s="208"/>
      <c r="D239" s="138" t="s">
        <v>11</v>
      </c>
      <c r="E239" s="138" t="s">
        <v>100</v>
      </c>
      <c r="F239" s="124"/>
      <c r="G239" s="124"/>
      <c r="H239" s="124"/>
    </row>
    <row r="240" spans="1:9" s="103" customFormat="1" x14ac:dyDescent="0.2">
      <c r="A240" s="148"/>
      <c r="B240" s="220" t="s">
        <v>278</v>
      </c>
      <c r="C240" s="220"/>
      <c r="D240" s="139">
        <v>10</v>
      </c>
      <c r="E240" s="140" t="s">
        <v>279</v>
      </c>
      <c r="F240" s="124"/>
      <c r="G240" s="124"/>
      <c r="H240" s="124"/>
    </row>
    <row r="241" spans="1:8" s="103" customFormat="1" x14ac:dyDescent="0.2">
      <c r="A241" s="148"/>
      <c r="B241" s="212" t="s">
        <v>280</v>
      </c>
      <c r="C241" s="212"/>
      <c r="D241" s="141">
        <v>8</v>
      </c>
      <c r="E241" s="142" t="s">
        <v>281</v>
      </c>
      <c r="F241" s="124"/>
      <c r="G241" s="124"/>
      <c r="H241" s="124"/>
    </row>
    <row r="242" spans="1:8" s="103" customFormat="1" x14ac:dyDescent="0.2">
      <c r="A242" s="148"/>
      <c r="B242" s="212" t="s">
        <v>282</v>
      </c>
      <c r="C242" s="212"/>
      <c r="D242" s="141">
        <v>10</v>
      </c>
      <c r="E242" s="142" t="s">
        <v>285</v>
      </c>
      <c r="F242" s="124"/>
      <c r="G242" s="124"/>
      <c r="H242" s="124"/>
    </row>
    <row r="243" spans="1:8" s="103" customFormat="1" x14ac:dyDescent="0.2">
      <c r="A243" s="148"/>
      <c r="B243" s="212" t="s">
        <v>283</v>
      </c>
      <c r="C243" s="212"/>
      <c r="D243" s="141">
        <v>3</v>
      </c>
      <c r="E243" s="142" t="s">
        <v>287</v>
      </c>
      <c r="F243" s="124"/>
      <c r="G243" s="124"/>
      <c r="H243" s="124"/>
    </row>
    <row r="244" spans="1:8" s="103" customFormat="1" x14ac:dyDescent="0.2">
      <c r="A244" s="148"/>
      <c r="B244" s="212" t="s">
        <v>284</v>
      </c>
      <c r="C244" s="212"/>
      <c r="D244" s="141">
        <v>8</v>
      </c>
      <c r="E244" s="142" t="s">
        <v>286</v>
      </c>
      <c r="F244" s="124"/>
      <c r="G244" s="124"/>
      <c r="H244" s="124"/>
    </row>
    <row r="245" spans="1:8" s="103" customFormat="1" ht="13.5" thickBot="1" x14ac:dyDescent="0.25">
      <c r="A245" s="148"/>
      <c r="B245" s="218"/>
      <c r="C245" s="219"/>
      <c r="D245" s="141"/>
      <c r="E245" s="142"/>
      <c r="F245" s="124"/>
      <c r="G245" s="124"/>
      <c r="H245" s="124"/>
    </row>
    <row r="246" spans="1:8" s="103" customFormat="1" ht="26.25" customHeight="1" thickBot="1" x14ac:dyDescent="0.25">
      <c r="A246" s="148"/>
      <c r="B246" s="199" t="s">
        <v>324</v>
      </c>
      <c r="C246" s="200"/>
      <c r="D246" s="200"/>
      <c r="E246" s="201"/>
      <c r="F246" s="124"/>
      <c r="G246" s="124"/>
      <c r="H246" s="124"/>
    </row>
    <row r="247" spans="1:8" s="103" customFormat="1" x14ac:dyDescent="0.2">
      <c r="A247" s="148"/>
      <c r="B247" s="137" t="s">
        <v>18</v>
      </c>
      <c r="C247" s="135"/>
      <c r="D247" s="151"/>
      <c r="E247" s="136"/>
      <c r="F247" s="124"/>
      <c r="G247" s="124"/>
      <c r="H247" s="124"/>
    </row>
    <row r="248" spans="1:8" s="103" customFormat="1" x14ac:dyDescent="0.2">
      <c r="A248" s="148"/>
      <c r="B248" s="143"/>
      <c r="C248" s="202" t="s">
        <v>24</v>
      </c>
      <c r="D248" s="202"/>
      <c r="E248" s="202"/>
      <c r="F248" s="124"/>
      <c r="G248" s="124"/>
      <c r="H248" s="124"/>
    </row>
    <row r="249" spans="1:8" s="103" customFormat="1" x14ac:dyDescent="0.2">
      <c r="A249" s="148"/>
      <c r="B249" s="137" t="s">
        <v>19</v>
      </c>
      <c r="C249" s="153"/>
      <c r="D249" s="153"/>
      <c r="E249" s="144"/>
      <c r="F249" s="124"/>
      <c r="G249" s="124"/>
      <c r="H249" s="124"/>
    </row>
    <row r="250" spans="1:8" s="103" customFormat="1" x14ac:dyDescent="0.2">
      <c r="A250" s="148"/>
      <c r="B250" s="143"/>
      <c r="C250" s="202" t="s">
        <v>341</v>
      </c>
      <c r="D250" s="202"/>
      <c r="E250" s="202"/>
      <c r="F250" s="124"/>
      <c r="G250" s="124"/>
      <c r="H250" s="124"/>
    </row>
    <row r="251" spans="1:8" s="103" customFormat="1" x14ac:dyDescent="0.2">
      <c r="A251" s="148"/>
      <c r="B251" s="137" t="s">
        <v>20</v>
      </c>
      <c r="C251" s="135"/>
      <c r="D251" s="151"/>
      <c r="E251" s="136"/>
      <c r="F251" s="124"/>
      <c r="G251" s="124"/>
      <c r="H251" s="124"/>
    </row>
    <row r="252" spans="1:8" s="103" customFormat="1" x14ac:dyDescent="0.2">
      <c r="A252" s="148"/>
      <c r="B252" s="137"/>
      <c r="C252" s="198" t="s">
        <v>25</v>
      </c>
      <c r="D252" s="198"/>
      <c r="E252" s="198"/>
      <c r="F252" s="124"/>
      <c r="G252" s="124"/>
      <c r="H252" s="124"/>
    </row>
    <row r="253" spans="1:8" s="103" customFormat="1" ht="13.5" thickBot="1" x14ac:dyDescent="0.25">
      <c r="A253" s="148"/>
      <c r="B253" s="145"/>
      <c r="C253" s="122"/>
      <c r="D253" s="146"/>
      <c r="E253" s="147"/>
      <c r="F253" s="124"/>
      <c r="G253" s="124"/>
      <c r="H253" s="124"/>
    </row>
    <row r="254" spans="1:8" s="103" customFormat="1" ht="13.5" thickBot="1" x14ac:dyDescent="0.25">
      <c r="A254" s="148"/>
      <c r="B254" s="124"/>
      <c r="C254" s="124"/>
      <c r="D254" s="148"/>
      <c r="E254" s="124"/>
      <c r="F254" s="124"/>
      <c r="G254" s="124"/>
      <c r="H254" s="124"/>
    </row>
    <row r="255" spans="1:8" s="103" customFormat="1" x14ac:dyDescent="0.2">
      <c r="A255" s="148"/>
      <c r="B255" s="131" t="s">
        <v>109</v>
      </c>
      <c r="C255" s="132"/>
      <c r="D255" s="150"/>
      <c r="E255" s="133"/>
      <c r="F255" s="124"/>
      <c r="G255" s="124"/>
      <c r="H255" s="124"/>
    </row>
    <row r="256" spans="1:8" s="103" customFormat="1" x14ac:dyDescent="0.2">
      <c r="A256" s="148"/>
      <c r="B256" s="134"/>
      <c r="C256" s="135"/>
      <c r="D256" s="151"/>
      <c r="E256" s="136"/>
      <c r="F256" s="124"/>
      <c r="G256" s="124"/>
      <c r="H256" s="124"/>
    </row>
    <row r="257" spans="1:9" s="103" customFormat="1" x14ac:dyDescent="0.2">
      <c r="A257" s="148"/>
      <c r="B257" s="137" t="s">
        <v>16</v>
      </c>
      <c r="C257" s="135"/>
      <c r="D257" s="151"/>
      <c r="E257" s="136"/>
      <c r="F257" s="124"/>
      <c r="G257" s="124"/>
      <c r="H257" s="124"/>
    </row>
    <row r="258" spans="1:9" s="113" customFormat="1" x14ac:dyDescent="0.2">
      <c r="A258" s="148"/>
      <c r="B258" s="137"/>
      <c r="C258" s="202" t="s">
        <v>315</v>
      </c>
      <c r="D258" s="202"/>
      <c r="E258" s="202"/>
      <c r="F258" s="124"/>
      <c r="G258" s="124"/>
      <c r="H258" s="124"/>
      <c r="I258" s="103"/>
    </row>
    <row r="259" spans="1:9" s="103" customFormat="1" ht="13.5" thickBot="1" x14ac:dyDescent="0.25">
      <c r="A259" s="148"/>
      <c r="B259" s="137" t="s">
        <v>17</v>
      </c>
      <c r="C259" s="135"/>
      <c r="D259" s="151"/>
      <c r="E259" s="136"/>
      <c r="F259" s="124"/>
      <c r="G259" s="124"/>
      <c r="H259" s="124"/>
    </row>
    <row r="260" spans="1:9" s="103" customFormat="1" ht="29.25" customHeight="1" thickBot="1" x14ac:dyDescent="0.25">
      <c r="A260" s="148"/>
      <c r="B260" s="204" t="s">
        <v>337</v>
      </c>
      <c r="C260" s="205"/>
      <c r="D260" s="205"/>
      <c r="E260" s="206"/>
      <c r="F260" s="124"/>
      <c r="G260" s="124"/>
      <c r="H260" s="124"/>
    </row>
    <row r="261" spans="1:9" s="103" customFormat="1" ht="13.5" thickBot="1" x14ac:dyDescent="0.25">
      <c r="A261" s="148"/>
      <c r="B261" s="207" t="s">
        <v>263</v>
      </c>
      <c r="C261" s="208"/>
      <c r="D261" s="138" t="s">
        <v>11</v>
      </c>
      <c r="E261" s="138" t="s">
        <v>100</v>
      </c>
      <c r="F261" s="124"/>
      <c r="G261" s="124"/>
      <c r="H261" s="124"/>
    </row>
    <row r="262" spans="1:9" s="103" customFormat="1" x14ac:dyDescent="0.2">
      <c r="A262" s="148"/>
      <c r="B262" s="220" t="s">
        <v>278</v>
      </c>
      <c r="C262" s="220"/>
      <c r="D262" s="139">
        <v>10</v>
      </c>
      <c r="E262" s="140" t="s">
        <v>279</v>
      </c>
      <c r="F262" s="124"/>
      <c r="G262" s="124"/>
      <c r="H262" s="124"/>
    </row>
    <row r="263" spans="1:9" s="103" customFormat="1" x14ac:dyDescent="0.2">
      <c r="A263" s="148"/>
      <c r="B263" s="212" t="s">
        <v>280</v>
      </c>
      <c r="C263" s="212"/>
      <c r="D263" s="141">
        <v>8</v>
      </c>
      <c r="E263" s="142" t="s">
        <v>281</v>
      </c>
      <c r="F263" s="124"/>
      <c r="G263" s="124"/>
      <c r="H263" s="124"/>
    </row>
    <row r="264" spans="1:9" s="103" customFormat="1" x14ac:dyDescent="0.2">
      <c r="A264" s="148"/>
      <c r="B264" s="212" t="s">
        <v>282</v>
      </c>
      <c r="C264" s="212"/>
      <c r="D264" s="141">
        <v>10</v>
      </c>
      <c r="E264" s="142" t="s">
        <v>285</v>
      </c>
      <c r="F264" s="124"/>
      <c r="G264" s="124"/>
      <c r="H264" s="124"/>
    </row>
    <row r="265" spans="1:9" s="103" customFormat="1" x14ac:dyDescent="0.2">
      <c r="A265" s="148"/>
      <c r="B265" s="212" t="s">
        <v>283</v>
      </c>
      <c r="C265" s="212"/>
      <c r="D265" s="141">
        <v>3</v>
      </c>
      <c r="E265" s="142" t="s">
        <v>287</v>
      </c>
      <c r="F265" s="124"/>
      <c r="G265" s="124"/>
      <c r="H265" s="124"/>
    </row>
    <row r="266" spans="1:9" s="103" customFormat="1" x14ac:dyDescent="0.2">
      <c r="A266" s="148"/>
      <c r="B266" s="212" t="s">
        <v>284</v>
      </c>
      <c r="C266" s="212"/>
      <c r="D266" s="141">
        <v>8</v>
      </c>
      <c r="E266" s="142" t="s">
        <v>286</v>
      </c>
      <c r="F266" s="124"/>
      <c r="G266" s="124"/>
      <c r="H266" s="124"/>
    </row>
    <row r="267" spans="1:9" s="103" customFormat="1" ht="13.5" thickBot="1" x14ac:dyDescent="0.25">
      <c r="A267" s="148"/>
      <c r="B267" s="218"/>
      <c r="C267" s="219"/>
      <c r="D267" s="141"/>
      <c r="E267" s="142"/>
      <c r="F267" s="124"/>
      <c r="G267" s="124"/>
      <c r="H267" s="124"/>
    </row>
    <row r="268" spans="1:9" s="103" customFormat="1" ht="26.25" customHeight="1" thickBot="1" x14ac:dyDescent="0.25">
      <c r="A268" s="148"/>
      <c r="B268" s="199" t="s">
        <v>324</v>
      </c>
      <c r="C268" s="200"/>
      <c r="D268" s="200"/>
      <c r="E268" s="201"/>
      <c r="F268" s="124"/>
      <c r="G268" s="124"/>
      <c r="H268" s="124"/>
    </row>
    <row r="269" spans="1:9" s="103" customFormat="1" x14ac:dyDescent="0.2">
      <c r="A269" s="148"/>
      <c r="B269" s="137" t="s">
        <v>18</v>
      </c>
      <c r="C269" s="135"/>
      <c r="D269" s="151"/>
      <c r="E269" s="136"/>
      <c r="F269" s="124"/>
      <c r="G269" s="124"/>
      <c r="H269" s="124"/>
    </row>
    <row r="270" spans="1:9" s="103" customFormat="1" x14ac:dyDescent="0.2">
      <c r="A270" s="148"/>
      <c r="B270" s="143"/>
      <c r="C270" s="202" t="s">
        <v>24</v>
      </c>
      <c r="D270" s="202"/>
      <c r="E270" s="202"/>
      <c r="F270" s="124"/>
      <c r="G270" s="124"/>
      <c r="H270" s="124"/>
    </row>
    <row r="271" spans="1:9" s="103" customFormat="1" x14ac:dyDescent="0.2">
      <c r="A271" s="148"/>
      <c r="B271" s="137" t="s">
        <v>19</v>
      </c>
      <c r="C271" s="153"/>
      <c r="D271" s="153"/>
      <c r="E271" s="144"/>
      <c r="F271" s="124"/>
      <c r="G271" s="124"/>
      <c r="H271" s="124"/>
    </row>
    <row r="272" spans="1:9" s="103" customFormat="1" x14ac:dyDescent="0.2">
      <c r="A272" s="148"/>
      <c r="B272" s="143"/>
      <c r="C272" s="202" t="s">
        <v>341</v>
      </c>
      <c r="D272" s="202"/>
      <c r="E272" s="202"/>
      <c r="F272" s="124"/>
      <c r="G272" s="124"/>
      <c r="H272" s="124"/>
    </row>
    <row r="273" spans="1:9" s="103" customFormat="1" x14ac:dyDescent="0.2">
      <c r="A273" s="148"/>
      <c r="B273" s="137" t="s">
        <v>20</v>
      </c>
      <c r="C273" s="135"/>
      <c r="D273" s="151"/>
      <c r="E273" s="136"/>
      <c r="F273" s="124"/>
      <c r="G273" s="124"/>
      <c r="H273" s="124"/>
    </row>
    <row r="274" spans="1:9" s="103" customFormat="1" x14ac:dyDescent="0.2">
      <c r="A274" s="148"/>
      <c r="B274" s="137"/>
      <c r="C274" s="198" t="s">
        <v>25</v>
      </c>
      <c r="D274" s="198"/>
      <c r="E274" s="198"/>
      <c r="F274" s="124"/>
      <c r="G274" s="124"/>
      <c r="H274" s="124"/>
    </row>
    <row r="275" spans="1:9" s="103" customFormat="1" ht="13.5" thickBot="1" x14ac:dyDescent="0.25">
      <c r="A275" s="148"/>
      <c r="B275" s="145"/>
      <c r="C275" s="122"/>
      <c r="D275" s="146"/>
      <c r="E275" s="147"/>
      <c r="F275" s="124"/>
      <c r="G275" s="124"/>
      <c r="H275" s="124"/>
    </row>
    <row r="276" spans="1:9" s="103" customFormat="1" ht="13.5" thickBot="1" x14ac:dyDescent="0.25">
      <c r="A276" s="148"/>
      <c r="B276" s="124"/>
      <c r="C276" s="124"/>
      <c r="D276" s="148"/>
      <c r="E276" s="124"/>
      <c r="F276" s="124"/>
      <c r="G276" s="124"/>
      <c r="H276" s="124"/>
    </row>
    <row r="277" spans="1:9" s="103" customFormat="1" x14ac:dyDescent="0.2">
      <c r="A277" s="148"/>
      <c r="B277" s="131" t="s">
        <v>110</v>
      </c>
      <c r="C277" s="132"/>
      <c r="D277" s="150"/>
      <c r="E277" s="133"/>
      <c r="F277" s="124"/>
      <c r="G277" s="124"/>
      <c r="H277" s="124"/>
    </row>
    <row r="278" spans="1:9" s="103" customFormat="1" x14ac:dyDescent="0.2">
      <c r="A278" s="148"/>
      <c r="B278" s="134"/>
      <c r="C278" s="135"/>
      <c r="D278" s="151"/>
      <c r="E278" s="136"/>
      <c r="F278" s="124"/>
      <c r="G278" s="124"/>
      <c r="H278" s="124"/>
    </row>
    <row r="279" spans="1:9" s="103" customFormat="1" x14ac:dyDescent="0.2">
      <c r="A279" s="148"/>
      <c r="B279" s="137" t="s">
        <v>16</v>
      </c>
      <c r="C279" s="135"/>
      <c r="D279" s="151"/>
      <c r="E279" s="136"/>
      <c r="F279" s="124"/>
      <c r="G279" s="124"/>
      <c r="H279" s="124"/>
    </row>
    <row r="280" spans="1:9" s="113" customFormat="1" x14ac:dyDescent="0.2">
      <c r="A280" s="148"/>
      <c r="B280" s="137"/>
      <c r="C280" s="202" t="s">
        <v>305</v>
      </c>
      <c r="D280" s="202"/>
      <c r="E280" s="202"/>
      <c r="F280" s="124"/>
      <c r="G280" s="124"/>
      <c r="H280" s="124"/>
      <c r="I280" s="103"/>
    </row>
    <row r="281" spans="1:9" s="103" customFormat="1" ht="13.5" thickBot="1" x14ac:dyDescent="0.25">
      <c r="A281" s="148"/>
      <c r="B281" s="137" t="s">
        <v>17</v>
      </c>
      <c r="C281" s="135"/>
      <c r="D281" s="151"/>
      <c r="E281" s="136"/>
      <c r="F281" s="124"/>
      <c r="G281" s="124"/>
      <c r="H281" s="124"/>
    </row>
    <row r="282" spans="1:9" s="103" customFormat="1" ht="27.75" customHeight="1" thickBot="1" x14ac:dyDescent="0.25">
      <c r="A282" s="148"/>
      <c r="B282" s="204" t="s">
        <v>337</v>
      </c>
      <c r="C282" s="205"/>
      <c r="D282" s="205"/>
      <c r="E282" s="206"/>
      <c r="F282" s="124"/>
      <c r="G282" s="124"/>
      <c r="H282" s="124"/>
    </row>
    <row r="283" spans="1:9" s="103" customFormat="1" ht="13.5" thickBot="1" x14ac:dyDescent="0.25">
      <c r="A283" s="148"/>
      <c r="B283" s="207" t="s">
        <v>263</v>
      </c>
      <c r="C283" s="208"/>
      <c r="D283" s="138" t="s">
        <v>11</v>
      </c>
      <c r="E283" s="138" t="s">
        <v>100</v>
      </c>
      <c r="F283" s="124"/>
      <c r="G283" s="124"/>
      <c r="H283" s="124"/>
    </row>
    <row r="284" spans="1:9" s="103" customFormat="1" x14ac:dyDescent="0.2">
      <c r="A284" s="148"/>
      <c r="B284" s="220" t="s">
        <v>278</v>
      </c>
      <c r="C284" s="220"/>
      <c r="D284" s="139">
        <v>10</v>
      </c>
      <c r="E284" s="140" t="s">
        <v>279</v>
      </c>
      <c r="F284" s="124"/>
      <c r="G284" s="124"/>
      <c r="H284" s="124"/>
    </row>
    <row r="285" spans="1:9" s="103" customFormat="1" x14ac:dyDescent="0.2">
      <c r="A285" s="148"/>
      <c r="B285" s="212" t="s">
        <v>280</v>
      </c>
      <c r="C285" s="212"/>
      <c r="D285" s="141">
        <v>8</v>
      </c>
      <c r="E285" s="142" t="s">
        <v>281</v>
      </c>
      <c r="F285" s="124"/>
      <c r="G285" s="124"/>
      <c r="H285" s="124"/>
    </row>
    <row r="286" spans="1:9" s="103" customFormat="1" x14ac:dyDescent="0.2">
      <c r="A286" s="148"/>
      <c r="B286" s="212" t="s">
        <v>282</v>
      </c>
      <c r="C286" s="212"/>
      <c r="D286" s="141">
        <v>10</v>
      </c>
      <c r="E286" s="142" t="s">
        <v>285</v>
      </c>
      <c r="F286" s="124"/>
      <c r="G286" s="124"/>
      <c r="H286" s="124"/>
    </row>
    <row r="287" spans="1:9" s="103" customFormat="1" x14ac:dyDescent="0.2">
      <c r="A287" s="148"/>
      <c r="B287" s="212" t="s">
        <v>283</v>
      </c>
      <c r="C287" s="212"/>
      <c r="D287" s="141">
        <v>3</v>
      </c>
      <c r="E287" s="142" t="s">
        <v>287</v>
      </c>
      <c r="F287" s="124"/>
      <c r="G287" s="124"/>
      <c r="H287" s="124"/>
    </row>
    <row r="288" spans="1:9" s="103" customFormat="1" x14ac:dyDescent="0.2">
      <c r="A288" s="148"/>
      <c r="B288" s="212" t="s">
        <v>284</v>
      </c>
      <c r="C288" s="212"/>
      <c r="D288" s="141">
        <v>8</v>
      </c>
      <c r="E288" s="142" t="s">
        <v>286</v>
      </c>
      <c r="F288" s="124"/>
      <c r="G288" s="124"/>
      <c r="H288" s="124"/>
    </row>
    <row r="289" spans="1:9" s="103" customFormat="1" ht="13.5" thickBot="1" x14ac:dyDescent="0.25">
      <c r="A289" s="148"/>
      <c r="B289" s="218"/>
      <c r="C289" s="219"/>
      <c r="D289" s="141"/>
      <c r="E289" s="142"/>
      <c r="F289" s="124"/>
      <c r="G289" s="124"/>
      <c r="H289" s="124"/>
    </row>
    <row r="290" spans="1:9" s="103" customFormat="1" ht="26.25" customHeight="1" thickBot="1" x14ac:dyDescent="0.25">
      <c r="A290" s="148"/>
      <c r="B290" s="199" t="s">
        <v>324</v>
      </c>
      <c r="C290" s="200"/>
      <c r="D290" s="200"/>
      <c r="E290" s="201"/>
      <c r="F290" s="124"/>
      <c r="G290" s="124"/>
      <c r="H290" s="124"/>
    </row>
    <row r="291" spans="1:9" s="103" customFormat="1" x14ac:dyDescent="0.2">
      <c r="A291" s="148"/>
      <c r="B291" s="137" t="s">
        <v>18</v>
      </c>
      <c r="C291" s="135"/>
      <c r="D291" s="151"/>
      <c r="E291" s="136"/>
      <c r="F291" s="124"/>
      <c r="G291" s="124"/>
      <c r="H291" s="124"/>
    </row>
    <row r="292" spans="1:9" s="103" customFormat="1" x14ac:dyDescent="0.2">
      <c r="A292" s="148"/>
      <c r="B292" s="143"/>
      <c r="C292" s="202" t="s">
        <v>24</v>
      </c>
      <c r="D292" s="202"/>
      <c r="E292" s="202"/>
      <c r="F292" s="124"/>
      <c r="G292" s="124"/>
      <c r="H292" s="124"/>
    </row>
    <row r="293" spans="1:9" s="103" customFormat="1" x14ac:dyDescent="0.2">
      <c r="A293" s="148"/>
      <c r="B293" s="137" t="s">
        <v>19</v>
      </c>
      <c r="C293" s="153"/>
      <c r="D293" s="153"/>
      <c r="E293" s="144"/>
      <c r="F293" s="124"/>
      <c r="G293" s="124"/>
      <c r="H293" s="124"/>
    </row>
    <row r="294" spans="1:9" s="103" customFormat="1" x14ac:dyDescent="0.2">
      <c r="A294" s="148"/>
      <c r="B294" s="143"/>
      <c r="C294" s="202" t="s">
        <v>341</v>
      </c>
      <c r="D294" s="202"/>
      <c r="E294" s="202"/>
      <c r="F294" s="124"/>
      <c r="G294" s="124"/>
      <c r="H294" s="124"/>
    </row>
    <row r="295" spans="1:9" s="103" customFormat="1" x14ac:dyDescent="0.2">
      <c r="A295" s="148"/>
      <c r="B295" s="137" t="s">
        <v>20</v>
      </c>
      <c r="C295" s="135"/>
      <c r="D295" s="151"/>
      <c r="E295" s="136"/>
      <c r="F295" s="124"/>
      <c r="G295" s="124"/>
      <c r="H295" s="124"/>
    </row>
    <row r="296" spans="1:9" s="103" customFormat="1" x14ac:dyDescent="0.2">
      <c r="A296" s="148"/>
      <c r="B296" s="137"/>
      <c r="C296" s="198" t="s">
        <v>25</v>
      </c>
      <c r="D296" s="198"/>
      <c r="E296" s="198"/>
      <c r="F296" s="124"/>
      <c r="G296" s="124"/>
      <c r="H296" s="124"/>
    </row>
    <row r="297" spans="1:9" s="103" customFormat="1" ht="13.5" thickBot="1" x14ac:dyDescent="0.25">
      <c r="A297" s="148"/>
      <c r="B297" s="145"/>
      <c r="C297" s="122"/>
      <c r="D297" s="146"/>
      <c r="E297" s="147"/>
      <c r="F297" s="124"/>
      <c r="G297" s="124"/>
      <c r="H297" s="124"/>
    </row>
    <row r="298" spans="1:9" s="103" customFormat="1" x14ac:dyDescent="0.2">
      <c r="A298" s="148"/>
      <c r="B298" s="124"/>
      <c r="C298" s="124"/>
      <c r="D298" s="148"/>
      <c r="E298" s="124"/>
      <c r="F298" s="124"/>
      <c r="G298" s="124"/>
      <c r="H298" s="124"/>
    </row>
    <row r="299" spans="1:9" s="103" customFormat="1" ht="13.5" thickBot="1" x14ac:dyDescent="0.25">
      <c r="A299" s="148"/>
      <c r="B299" s="124"/>
      <c r="C299" s="124"/>
      <c r="D299" s="148"/>
      <c r="E299" s="124"/>
      <c r="F299" s="124"/>
      <c r="G299" s="124"/>
      <c r="H299" s="124"/>
    </row>
    <row r="300" spans="1:9" s="103" customFormat="1" x14ac:dyDescent="0.2">
      <c r="A300" s="148"/>
      <c r="B300" s="131" t="s">
        <v>111</v>
      </c>
      <c r="C300" s="132"/>
      <c r="D300" s="150"/>
      <c r="E300" s="133"/>
      <c r="F300" s="124"/>
      <c r="G300" s="124"/>
      <c r="H300" s="124"/>
    </row>
    <row r="301" spans="1:9" s="103" customFormat="1" x14ac:dyDescent="0.2">
      <c r="A301" s="148"/>
      <c r="B301" s="134"/>
      <c r="C301" s="135"/>
      <c r="D301" s="151"/>
      <c r="E301" s="136"/>
      <c r="F301" s="124"/>
      <c r="G301" s="124"/>
      <c r="H301" s="124"/>
    </row>
    <row r="302" spans="1:9" s="103" customFormat="1" x14ac:dyDescent="0.2">
      <c r="A302" s="148"/>
      <c r="B302" s="137" t="s">
        <v>16</v>
      </c>
      <c r="C302" s="135"/>
      <c r="D302" s="151"/>
      <c r="E302" s="136"/>
      <c r="F302" s="124"/>
      <c r="G302" s="124"/>
      <c r="H302" s="124"/>
    </row>
    <row r="303" spans="1:9" s="113" customFormat="1" x14ac:dyDescent="0.2">
      <c r="A303" s="148"/>
      <c r="B303" s="137"/>
      <c r="C303" s="202" t="s">
        <v>316</v>
      </c>
      <c r="D303" s="202"/>
      <c r="E303" s="202"/>
      <c r="F303" s="124"/>
      <c r="G303" s="124"/>
      <c r="H303" s="124"/>
      <c r="I303" s="103"/>
    </row>
    <row r="304" spans="1:9" s="103" customFormat="1" ht="13.5" thickBot="1" x14ac:dyDescent="0.25">
      <c r="A304" s="148"/>
      <c r="B304" s="137" t="s">
        <v>17</v>
      </c>
      <c r="C304" s="135"/>
      <c r="D304" s="151"/>
      <c r="E304" s="136"/>
      <c r="F304" s="124"/>
      <c r="G304" s="124"/>
      <c r="H304" s="124"/>
    </row>
    <row r="305" spans="1:8" s="103" customFormat="1" ht="22.5" customHeight="1" thickBot="1" x14ac:dyDescent="0.25">
      <c r="A305" s="148"/>
      <c r="B305" s="204" t="s">
        <v>337</v>
      </c>
      <c r="C305" s="205"/>
      <c r="D305" s="205"/>
      <c r="E305" s="206"/>
      <c r="F305" s="124"/>
      <c r="G305" s="124"/>
      <c r="H305" s="124"/>
    </row>
    <row r="306" spans="1:8" s="103" customFormat="1" ht="13.5" thickBot="1" x14ac:dyDescent="0.25">
      <c r="A306" s="148"/>
      <c r="B306" s="207" t="s">
        <v>263</v>
      </c>
      <c r="C306" s="208"/>
      <c r="D306" s="138" t="s">
        <v>11</v>
      </c>
      <c r="E306" s="138" t="s">
        <v>100</v>
      </c>
      <c r="F306" s="124"/>
      <c r="G306" s="124"/>
      <c r="H306" s="124"/>
    </row>
    <row r="307" spans="1:8" s="103" customFormat="1" x14ac:dyDescent="0.2">
      <c r="A307" s="148"/>
      <c r="B307" s="220" t="s">
        <v>278</v>
      </c>
      <c r="C307" s="220"/>
      <c r="D307" s="139">
        <v>1</v>
      </c>
      <c r="E307" s="140" t="s">
        <v>279</v>
      </c>
      <c r="F307" s="124"/>
      <c r="G307" s="124"/>
      <c r="H307" s="124"/>
    </row>
    <row r="308" spans="1:8" s="103" customFormat="1" x14ac:dyDescent="0.2">
      <c r="A308" s="148"/>
      <c r="B308" s="212" t="s">
        <v>280</v>
      </c>
      <c r="C308" s="212"/>
      <c r="D308" s="141">
        <v>1</v>
      </c>
      <c r="E308" s="142" t="s">
        <v>281</v>
      </c>
      <c r="F308" s="124"/>
      <c r="G308" s="124"/>
      <c r="H308" s="124"/>
    </row>
    <row r="309" spans="1:8" s="103" customFormat="1" x14ac:dyDescent="0.2">
      <c r="A309" s="148"/>
      <c r="B309" s="212" t="s">
        <v>282</v>
      </c>
      <c r="C309" s="212"/>
      <c r="D309" s="141">
        <v>1</v>
      </c>
      <c r="E309" s="142" t="s">
        <v>285</v>
      </c>
      <c r="F309" s="124"/>
      <c r="G309" s="124"/>
      <c r="H309" s="124"/>
    </row>
    <row r="310" spans="1:8" s="103" customFormat="1" x14ac:dyDescent="0.2">
      <c r="A310" s="148"/>
      <c r="B310" s="212" t="s">
        <v>283</v>
      </c>
      <c r="C310" s="212"/>
      <c r="D310" s="141">
        <v>0</v>
      </c>
      <c r="E310" s="142" t="s">
        <v>287</v>
      </c>
      <c r="F310" s="124"/>
      <c r="G310" s="124"/>
      <c r="H310" s="124"/>
    </row>
    <row r="311" spans="1:8" s="103" customFormat="1" x14ac:dyDescent="0.2">
      <c r="A311" s="148"/>
      <c r="B311" s="212" t="s">
        <v>284</v>
      </c>
      <c r="C311" s="212"/>
      <c r="D311" s="141">
        <v>1</v>
      </c>
      <c r="E311" s="142" t="s">
        <v>286</v>
      </c>
      <c r="F311" s="124"/>
      <c r="G311" s="124"/>
      <c r="H311" s="124"/>
    </row>
    <row r="312" spans="1:8" s="103" customFormat="1" ht="13.5" thickBot="1" x14ac:dyDescent="0.25">
      <c r="A312" s="148"/>
      <c r="B312" s="218"/>
      <c r="C312" s="219"/>
      <c r="D312" s="141"/>
      <c r="E312" s="142"/>
      <c r="F312" s="124"/>
      <c r="G312" s="124"/>
      <c r="H312" s="124"/>
    </row>
    <row r="313" spans="1:8" s="103" customFormat="1" ht="25.5" customHeight="1" thickBot="1" x14ac:dyDescent="0.25">
      <c r="A313" s="148"/>
      <c r="B313" s="199" t="s">
        <v>344</v>
      </c>
      <c r="C313" s="200"/>
      <c r="D313" s="200"/>
      <c r="E313" s="201"/>
      <c r="F313" s="124"/>
      <c r="G313" s="124"/>
      <c r="H313" s="124"/>
    </row>
    <row r="314" spans="1:8" s="103" customFormat="1" x14ac:dyDescent="0.2">
      <c r="A314" s="148"/>
      <c r="B314" s="137" t="s">
        <v>18</v>
      </c>
      <c r="C314" s="135"/>
      <c r="D314" s="151"/>
      <c r="E314" s="136"/>
      <c r="F314" s="124"/>
      <c r="G314" s="124"/>
      <c r="H314" s="124"/>
    </row>
    <row r="315" spans="1:8" s="103" customFormat="1" x14ac:dyDescent="0.2">
      <c r="A315" s="148"/>
      <c r="B315" s="143"/>
      <c r="C315" s="202" t="s">
        <v>24</v>
      </c>
      <c r="D315" s="202"/>
      <c r="E315" s="202"/>
      <c r="F315" s="124"/>
      <c r="G315" s="124"/>
      <c r="H315" s="124"/>
    </row>
    <row r="316" spans="1:8" s="103" customFormat="1" x14ac:dyDescent="0.2">
      <c r="A316" s="148"/>
      <c r="B316" s="137" t="s">
        <v>19</v>
      </c>
      <c r="C316" s="153"/>
      <c r="D316" s="153"/>
      <c r="E316" s="144"/>
      <c r="F316" s="124"/>
      <c r="G316" s="124"/>
      <c r="H316" s="124"/>
    </row>
    <row r="317" spans="1:8" s="103" customFormat="1" x14ac:dyDescent="0.2">
      <c r="A317" s="148"/>
      <c r="B317" s="143"/>
      <c r="C317" s="202" t="s">
        <v>341</v>
      </c>
      <c r="D317" s="202"/>
      <c r="E317" s="202"/>
      <c r="F317" s="124"/>
      <c r="G317" s="124"/>
      <c r="H317" s="124"/>
    </row>
    <row r="318" spans="1:8" s="103" customFormat="1" x14ac:dyDescent="0.2">
      <c r="A318" s="148"/>
      <c r="B318" s="137" t="s">
        <v>20</v>
      </c>
      <c r="C318" s="135"/>
      <c r="D318" s="151"/>
      <c r="E318" s="136"/>
      <c r="F318" s="124"/>
      <c r="G318" s="124"/>
      <c r="H318" s="124"/>
    </row>
    <row r="319" spans="1:8" s="103" customFormat="1" x14ac:dyDescent="0.2">
      <c r="A319" s="148"/>
      <c r="B319" s="137"/>
      <c r="C319" s="198" t="s">
        <v>25</v>
      </c>
      <c r="D319" s="198"/>
      <c r="E319" s="198"/>
      <c r="F319" s="124"/>
      <c r="G319" s="124"/>
      <c r="H319" s="124"/>
    </row>
    <row r="320" spans="1:8" s="103" customFormat="1" ht="13.5" thickBot="1" x14ac:dyDescent="0.25">
      <c r="A320" s="148"/>
      <c r="B320" s="145"/>
      <c r="C320" s="122"/>
      <c r="D320" s="146"/>
      <c r="E320" s="147"/>
      <c r="F320" s="124"/>
      <c r="G320" s="124"/>
      <c r="H320" s="124"/>
    </row>
    <row r="321" spans="1:8" s="103" customFormat="1" ht="13.5" thickBot="1" x14ac:dyDescent="0.25">
      <c r="A321" s="148"/>
      <c r="B321" s="124"/>
      <c r="C321" s="124"/>
      <c r="D321" s="148"/>
      <c r="E321" s="124"/>
      <c r="F321" s="124"/>
      <c r="G321" s="124"/>
      <c r="H321" s="124"/>
    </row>
    <row r="322" spans="1:8" s="103" customFormat="1" x14ac:dyDescent="0.2">
      <c r="A322" s="148"/>
      <c r="B322" s="131" t="s">
        <v>112</v>
      </c>
      <c r="C322" s="132"/>
      <c r="D322" s="150"/>
      <c r="E322" s="133"/>
      <c r="F322" s="124"/>
      <c r="G322" s="124"/>
      <c r="H322" s="124"/>
    </row>
    <row r="323" spans="1:8" s="103" customFormat="1" x14ac:dyDescent="0.2">
      <c r="A323" s="148"/>
      <c r="B323" s="134"/>
      <c r="C323" s="124"/>
      <c r="D323" s="148"/>
      <c r="E323" s="124"/>
      <c r="F323" s="124"/>
      <c r="G323" s="124"/>
      <c r="H323" s="124"/>
    </row>
    <row r="324" spans="1:8" s="103" customFormat="1" x14ac:dyDescent="0.2">
      <c r="A324" s="148"/>
      <c r="B324" s="137" t="s">
        <v>16</v>
      </c>
      <c r="C324" s="135"/>
      <c r="D324" s="151"/>
      <c r="E324" s="136"/>
      <c r="F324" s="124"/>
      <c r="G324" s="124"/>
      <c r="H324" s="124"/>
    </row>
    <row r="325" spans="1:8" s="103" customFormat="1" x14ac:dyDescent="0.2">
      <c r="A325" s="148"/>
      <c r="B325" s="137"/>
      <c r="C325" s="225" t="s">
        <v>317</v>
      </c>
      <c r="D325" s="225"/>
      <c r="E325" s="198"/>
      <c r="F325" s="124"/>
      <c r="G325" s="124"/>
      <c r="H325" s="124"/>
    </row>
    <row r="326" spans="1:8" s="103" customFormat="1" ht="13.5" thickBot="1" x14ac:dyDescent="0.25">
      <c r="A326" s="148"/>
      <c r="B326" s="137" t="s">
        <v>17</v>
      </c>
      <c r="C326" s="135"/>
      <c r="D326" s="151"/>
      <c r="E326" s="136"/>
      <c r="F326" s="124"/>
      <c r="G326" s="124"/>
      <c r="H326" s="124"/>
    </row>
    <row r="327" spans="1:8" s="103" customFormat="1" ht="24" customHeight="1" thickBot="1" x14ac:dyDescent="0.25">
      <c r="A327" s="148"/>
      <c r="B327" s="204" t="s">
        <v>337</v>
      </c>
      <c r="C327" s="205"/>
      <c r="D327" s="205"/>
      <c r="E327" s="206"/>
      <c r="F327" s="124"/>
      <c r="G327" s="124"/>
      <c r="H327" s="124"/>
    </row>
    <row r="328" spans="1:8" s="103" customFormat="1" ht="13.5" thickBot="1" x14ac:dyDescent="0.25">
      <c r="A328" s="148"/>
      <c r="B328" s="207" t="s">
        <v>263</v>
      </c>
      <c r="C328" s="208"/>
      <c r="D328" s="138" t="s">
        <v>11</v>
      </c>
      <c r="E328" s="138" t="s">
        <v>100</v>
      </c>
      <c r="F328" s="124"/>
      <c r="G328" s="124"/>
      <c r="H328" s="124"/>
    </row>
    <row r="329" spans="1:8" s="103" customFormat="1" x14ac:dyDescent="0.2">
      <c r="A329" s="148"/>
      <c r="B329" s="220" t="s">
        <v>278</v>
      </c>
      <c r="C329" s="220"/>
      <c r="D329" s="139">
        <v>1</v>
      </c>
      <c r="E329" s="140" t="s">
        <v>279</v>
      </c>
      <c r="F329" s="124"/>
      <c r="G329" s="124"/>
      <c r="H329" s="124"/>
    </row>
    <row r="330" spans="1:8" s="103" customFormat="1" x14ac:dyDescent="0.2">
      <c r="A330" s="148"/>
      <c r="B330" s="212" t="s">
        <v>280</v>
      </c>
      <c r="C330" s="212"/>
      <c r="D330" s="141">
        <v>1</v>
      </c>
      <c r="E330" s="142" t="s">
        <v>281</v>
      </c>
      <c r="F330" s="124"/>
      <c r="G330" s="124"/>
      <c r="H330" s="124"/>
    </row>
    <row r="331" spans="1:8" s="103" customFormat="1" x14ac:dyDescent="0.2">
      <c r="A331" s="148"/>
      <c r="B331" s="212" t="s">
        <v>282</v>
      </c>
      <c r="C331" s="212"/>
      <c r="D331" s="141">
        <v>1</v>
      </c>
      <c r="E331" s="142" t="s">
        <v>285</v>
      </c>
      <c r="F331" s="124"/>
      <c r="G331" s="124"/>
      <c r="H331" s="124"/>
    </row>
    <row r="332" spans="1:8" s="103" customFormat="1" x14ac:dyDescent="0.2">
      <c r="A332" s="148"/>
      <c r="B332" s="212" t="s">
        <v>283</v>
      </c>
      <c r="C332" s="212"/>
      <c r="D332" s="141">
        <v>1</v>
      </c>
      <c r="E332" s="142" t="s">
        <v>287</v>
      </c>
      <c r="F332" s="124"/>
      <c r="G332" s="124"/>
      <c r="H332" s="124"/>
    </row>
    <row r="333" spans="1:8" s="103" customFormat="1" x14ac:dyDescent="0.2">
      <c r="A333" s="148"/>
      <c r="B333" s="212" t="s">
        <v>284</v>
      </c>
      <c r="C333" s="212"/>
      <c r="D333" s="141">
        <v>1</v>
      </c>
      <c r="E333" s="142" t="s">
        <v>286</v>
      </c>
      <c r="F333" s="124"/>
      <c r="G333" s="124"/>
      <c r="H333" s="124"/>
    </row>
    <row r="334" spans="1:8" s="103" customFormat="1" ht="13.5" thickBot="1" x14ac:dyDescent="0.25">
      <c r="A334" s="148"/>
      <c r="B334" s="218"/>
      <c r="C334" s="219"/>
      <c r="D334" s="141"/>
      <c r="E334" s="142"/>
      <c r="F334" s="124"/>
      <c r="G334" s="124"/>
      <c r="H334" s="124"/>
    </row>
    <row r="335" spans="1:8" s="103" customFormat="1" ht="24" customHeight="1" thickBot="1" x14ac:dyDescent="0.25">
      <c r="A335" s="148"/>
      <c r="B335" s="199" t="s">
        <v>345</v>
      </c>
      <c r="C335" s="200"/>
      <c r="D335" s="200"/>
      <c r="E335" s="201"/>
      <c r="F335" s="124"/>
      <c r="G335" s="124"/>
      <c r="H335" s="124"/>
    </row>
    <row r="336" spans="1:8" s="103" customFormat="1" x14ac:dyDescent="0.2">
      <c r="A336" s="148"/>
      <c r="B336" s="137" t="s">
        <v>18</v>
      </c>
      <c r="C336" s="135"/>
      <c r="D336" s="151"/>
      <c r="E336" s="136"/>
      <c r="F336" s="124"/>
      <c r="G336" s="124"/>
      <c r="H336" s="124"/>
    </row>
    <row r="337" spans="1:9" s="103" customFormat="1" x14ac:dyDescent="0.2">
      <c r="A337" s="148"/>
      <c r="B337" s="143"/>
      <c r="C337" s="202" t="s">
        <v>24</v>
      </c>
      <c r="D337" s="202"/>
      <c r="E337" s="202"/>
      <c r="F337" s="124"/>
      <c r="G337" s="124"/>
      <c r="H337" s="124"/>
    </row>
    <row r="338" spans="1:9" s="103" customFormat="1" x14ac:dyDescent="0.2">
      <c r="A338" s="148"/>
      <c r="B338" s="137" t="s">
        <v>19</v>
      </c>
      <c r="C338" s="153"/>
      <c r="D338" s="153"/>
      <c r="E338" s="144"/>
      <c r="F338" s="124"/>
      <c r="G338" s="124"/>
      <c r="H338" s="124"/>
    </row>
    <row r="339" spans="1:9" s="103" customFormat="1" x14ac:dyDescent="0.2">
      <c r="A339" s="148"/>
      <c r="B339" s="143"/>
      <c r="C339" s="202" t="s">
        <v>341</v>
      </c>
      <c r="D339" s="202"/>
      <c r="E339" s="202"/>
      <c r="F339" s="124"/>
      <c r="G339" s="124"/>
      <c r="H339" s="124"/>
    </row>
    <row r="340" spans="1:9" s="103" customFormat="1" x14ac:dyDescent="0.2">
      <c r="A340" s="148"/>
      <c r="B340" s="137" t="s">
        <v>20</v>
      </c>
      <c r="C340" s="135"/>
      <c r="D340" s="151"/>
      <c r="E340" s="136"/>
      <c r="F340" s="124"/>
      <c r="G340" s="124"/>
      <c r="H340" s="124"/>
    </row>
    <row r="341" spans="1:9" s="103" customFormat="1" x14ac:dyDescent="0.2">
      <c r="A341" s="148"/>
      <c r="B341" s="137"/>
      <c r="C341" s="198" t="s">
        <v>25</v>
      </c>
      <c r="D341" s="198"/>
      <c r="E341" s="198"/>
      <c r="F341" s="124"/>
      <c r="G341" s="124"/>
      <c r="H341" s="124"/>
    </row>
    <row r="342" spans="1:9" s="103" customFormat="1" ht="13.5" thickBot="1" x14ac:dyDescent="0.25">
      <c r="A342" s="148"/>
      <c r="B342" s="145"/>
      <c r="C342" s="122"/>
      <c r="D342" s="146"/>
      <c r="E342" s="147"/>
      <c r="F342" s="124"/>
      <c r="G342" s="124"/>
      <c r="H342" s="124"/>
    </row>
    <row r="343" spans="1:9" s="103" customFormat="1" ht="13.5" thickBot="1" x14ac:dyDescent="0.25">
      <c r="A343" s="148"/>
      <c r="B343" s="124"/>
      <c r="C343" s="124"/>
      <c r="D343" s="148"/>
      <c r="E343" s="124"/>
      <c r="F343" s="124"/>
      <c r="G343" s="124"/>
      <c r="H343" s="124"/>
    </row>
    <row r="344" spans="1:9" s="103" customFormat="1" x14ac:dyDescent="0.2">
      <c r="A344" s="148"/>
      <c r="B344" s="131" t="s">
        <v>113</v>
      </c>
      <c r="C344" s="132"/>
      <c r="D344" s="150"/>
      <c r="E344" s="133"/>
      <c r="F344" s="124"/>
      <c r="G344" s="124"/>
      <c r="H344" s="124"/>
    </row>
    <row r="345" spans="1:9" s="103" customFormat="1" x14ac:dyDescent="0.2">
      <c r="A345" s="148"/>
      <c r="B345" s="134"/>
      <c r="C345" s="135"/>
      <c r="D345" s="151"/>
      <c r="E345" s="136"/>
      <c r="F345" s="124"/>
      <c r="G345" s="124"/>
      <c r="H345" s="124"/>
    </row>
    <row r="346" spans="1:9" s="103" customFormat="1" x14ac:dyDescent="0.2">
      <c r="A346" s="148"/>
      <c r="B346" s="137" t="s">
        <v>16</v>
      </c>
      <c r="C346" s="135"/>
      <c r="D346" s="151"/>
      <c r="E346" s="136"/>
      <c r="F346" s="124"/>
      <c r="G346" s="124"/>
      <c r="H346" s="124"/>
    </row>
    <row r="347" spans="1:9" s="113" customFormat="1" x14ac:dyDescent="0.2">
      <c r="A347" s="148"/>
      <c r="B347" s="137"/>
      <c r="C347" s="202" t="s">
        <v>313</v>
      </c>
      <c r="D347" s="202"/>
      <c r="E347" s="202"/>
      <c r="F347" s="124"/>
      <c r="G347" s="124"/>
      <c r="H347" s="124"/>
      <c r="I347" s="103"/>
    </row>
    <row r="348" spans="1:9" s="103" customFormat="1" ht="13.5" thickBot="1" x14ac:dyDescent="0.25">
      <c r="A348" s="148"/>
      <c r="B348" s="137" t="s">
        <v>17</v>
      </c>
      <c r="C348" s="135"/>
      <c r="D348" s="151"/>
      <c r="E348" s="136"/>
      <c r="F348" s="124"/>
      <c r="G348" s="124"/>
      <c r="H348" s="124"/>
    </row>
    <row r="349" spans="1:9" s="103" customFormat="1" ht="25.5" customHeight="1" thickBot="1" x14ac:dyDescent="0.25">
      <c r="A349" s="148"/>
      <c r="B349" s="204" t="s">
        <v>337</v>
      </c>
      <c r="C349" s="205"/>
      <c r="D349" s="205"/>
      <c r="E349" s="206"/>
      <c r="F349" s="124"/>
      <c r="G349" s="124"/>
      <c r="H349" s="124"/>
    </row>
    <row r="350" spans="1:9" s="103" customFormat="1" ht="13.5" thickBot="1" x14ac:dyDescent="0.25">
      <c r="A350" s="148"/>
      <c r="B350" s="207" t="s">
        <v>263</v>
      </c>
      <c r="C350" s="208"/>
      <c r="D350" s="138" t="s">
        <v>11</v>
      </c>
      <c r="E350" s="149" t="s">
        <v>298</v>
      </c>
      <c r="F350" s="124"/>
      <c r="G350" s="124"/>
      <c r="H350" s="124"/>
    </row>
    <row r="351" spans="1:9" s="103" customFormat="1" x14ac:dyDescent="0.2">
      <c r="A351" s="148"/>
      <c r="B351" s="220" t="s">
        <v>278</v>
      </c>
      <c r="C351" s="220"/>
      <c r="D351" s="139">
        <v>1</v>
      </c>
      <c r="E351" s="140" t="s">
        <v>279</v>
      </c>
      <c r="F351" s="124"/>
      <c r="G351" s="124"/>
      <c r="H351" s="124"/>
    </row>
    <row r="352" spans="1:9" s="103" customFormat="1" x14ac:dyDescent="0.2">
      <c r="A352" s="148"/>
      <c r="B352" s="212" t="s">
        <v>280</v>
      </c>
      <c r="C352" s="212"/>
      <c r="D352" s="141">
        <v>1</v>
      </c>
      <c r="E352" s="142" t="s">
        <v>281</v>
      </c>
      <c r="F352" s="124"/>
      <c r="G352" s="124"/>
      <c r="H352" s="124"/>
    </row>
    <row r="353" spans="1:8" s="103" customFormat="1" x14ac:dyDescent="0.2">
      <c r="A353" s="148"/>
      <c r="B353" s="212" t="s">
        <v>282</v>
      </c>
      <c r="C353" s="212"/>
      <c r="D353" s="141">
        <v>1</v>
      </c>
      <c r="E353" s="142" t="s">
        <v>285</v>
      </c>
      <c r="F353" s="124"/>
      <c r="G353" s="124"/>
      <c r="H353" s="124"/>
    </row>
    <row r="354" spans="1:8" s="103" customFormat="1" x14ac:dyDescent="0.2">
      <c r="A354" s="148"/>
      <c r="B354" s="212" t="s">
        <v>283</v>
      </c>
      <c r="C354" s="212"/>
      <c r="D354" s="141">
        <v>1</v>
      </c>
      <c r="E354" s="142" t="s">
        <v>287</v>
      </c>
      <c r="F354" s="124"/>
      <c r="G354" s="124"/>
      <c r="H354" s="124"/>
    </row>
    <row r="355" spans="1:8" s="103" customFormat="1" x14ac:dyDescent="0.2">
      <c r="A355" s="148"/>
      <c r="B355" s="212" t="s">
        <v>284</v>
      </c>
      <c r="C355" s="212"/>
      <c r="D355" s="141">
        <v>1</v>
      </c>
      <c r="E355" s="142" t="s">
        <v>286</v>
      </c>
      <c r="F355" s="124"/>
      <c r="G355" s="124"/>
      <c r="H355" s="124"/>
    </row>
    <row r="356" spans="1:8" s="103" customFormat="1" ht="13.5" thickBot="1" x14ac:dyDescent="0.25">
      <c r="A356" s="148"/>
      <c r="B356" s="218"/>
      <c r="C356" s="219"/>
      <c r="D356" s="141"/>
      <c r="E356" s="142"/>
      <c r="F356" s="124"/>
      <c r="G356" s="124"/>
      <c r="H356" s="124"/>
    </row>
    <row r="357" spans="1:8" s="103" customFormat="1" ht="24.75" customHeight="1" thickBot="1" x14ac:dyDescent="0.25">
      <c r="A357" s="148"/>
      <c r="B357" s="199" t="s">
        <v>290</v>
      </c>
      <c r="C357" s="200"/>
      <c r="D357" s="200"/>
      <c r="E357" s="201"/>
      <c r="F357" s="124"/>
      <c r="G357" s="124"/>
      <c r="H357" s="124"/>
    </row>
    <row r="358" spans="1:8" s="103" customFormat="1" x14ac:dyDescent="0.2">
      <c r="A358" s="148"/>
      <c r="B358" s="137" t="s">
        <v>18</v>
      </c>
      <c r="C358" s="135"/>
      <c r="D358" s="151"/>
      <c r="E358" s="136"/>
      <c r="F358" s="124"/>
      <c r="G358" s="124"/>
      <c r="H358" s="124"/>
    </row>
    <row r="359" spans="1:8" s="103" customFormat="1" x14ac:dyDescent="0.2">
      <c r="A359" s="148"/>
      <c r="B359" s="143"/>
      <c r="C359" s="202" t="s">
        <v>24</v>
      </c>
      <c r="D359" s="202"/>
      <c r="E359" s="202"/>
      <c r="F359" s="124"/>
      <c r="G359" s="124"/>
      <c r="H359" s="124"/>
    </row>
    <row r="360" spans="1:8" s="103" customFormat="1" x14ac:dyDescent="0.2">
      <c r="A360" s="148"/>
      <c r="B360" s="137" t="s">
        <v>19</v>
      </c>
      <c r="C360" s="153"/>
      <c r="D360" s="153"/>
      <c r="E360" s="144"/>
      <c r="F360" s="124"/>
      <c r="G360" s="124"/>
      <c r="H360" s="124"/>
    </row>
    <row r="361" spans="1:8" s="103" customFormat="1" x14ac:dyDescent="0.2">
      <c r="A361" s="148"/>
      <c r="B361" s="143"/>
      <c r="C361" s="202" t="s">
        <v>341</v>
      </c>
      <c r="D361" s="202"/>
      <c r="E361" s="202"/>
      <c r="F361" s="124"/>
      <c r="G361" s="124"/>
      <c r="H361" s="124"/>
    </row>
    <row r="362" spans="1:8" s="103" customFormat="1" x14ac:dyDescent="0.2">
      <c r="A362" s="148"/>
      <c r="B362" s="137" t="s">
        <v>20</v>
      </c>
      <c r="C362" s="135"/>
      <c r="D362" s="151"/>
      <c r="E362" s="136"/>
      <c r="F362" s="124"/>
      <c r="G362" s="124"/>
      <c r="H362" s="124"/>
    </row>
    <row r="363" spans="1:8" s="103" customFormat="1" x14ac:dyDescent="0.2">
      <c r="A363" s="148"/>
      <c r="B363" s="137"/>
      <c r="C363" s="198" t="s">
        <v>25</v>
      </c>
      <c r="D363" s="198"/>
      <c r="E363" s="198"/>
      <c r="F363" s="124"/>
      <c r="G363" s="124"/>
      <c r="H363" s="124"/>
    </row>
    <row r="364" spans="1:8" s="103" customFormat="1" ht="13.5" thickBot="1" x14ac:dyDescent="0.25">
      <c r="A364" s="148"/>
      <c r="B364" s="145"/>
      <c r="C364" s="122"/>
      <c r="D364" s="146"/>
      <c r="E364" s="147"/>
      <c r="F364" s="124"/>
      <c r="G364" s="124"/>
      <c r="H364" s="124"/>
    </row>
    <row r="365" spans="1:8" s="103" customFormat="1" x14ac:dyDescent="0.2">
      <c r="A365" s="148"/>
      <c r="B365" s="152"/>
      <c r="C365" s="135"/>
      <c r="D365" s="151"/>
      <c r="E365" s="135"/>
      <c r="F365" s="124"/>
      <c r="G365" s="124"/>
      <c r="H365" s="124"/>
    </row>
    <row r="366" spans="1:8" s="103" customFormat="1" ht="13.5" thickBot="1" x14ac:dyDescent="0.25">
      <c r="A366" s="148"/>
      <c r="B366" s="124"/>
      <c r="C366" s="124"/>
      <c r="D366" s="148"/>
      <c r="E366" s="124"/>
      <c r="F366" s="124"/>
      <c r="G366" s="124"/>
      <c r="H366" s="124"/>
    </row>
    <row r="367" spans="1:8" s="103" customFormat="1" x14ac:dyDescent="0.2">
      <c r="A367" s="148"/>
      <c r="B367" s="131" t="s">
        <v>114</v>
      </c>
      <c r="C367" s="132"/>
      <c r="D367" s="150"/>
      <c r="E367" s="133"/>
      <c r="F367" s="124"/>
      <c r="G367" s="124"/>
      <c r="H367" s="124"/>
    </row>
    <row r="368" spans="1:8" s="103" customFormat="1" x14ac:dyDescent="0.2">
      <c r="A368" s="148"/>
      <c r="B368" s="134"/>
      <c r="C368" s="135"/>
      <c r="D368" s="151"/>
      <c r="E368" s="136"/>
      <c r="F368" s="124"/>
      <c r="G368" s="124"/>
      <c r="H368" s="124"/>
    </row>
    <row r="369" spans="1:9" s="103" customFormat="1" x14ac:dyDescent="0.2">
      <c r="A369" s="148"/>
      <c r="B369" s="137" t="s">
        <v>16</v>
      </c>
      <c r="C369" s="135"/>
      <c r="D369" s="151"/>
      <c r="E369" s="136"/>
      <c r="F369" s="124"/>
      <c r="G369" s="124"/>
      <c r="H369" s="124"/>
    </row>
    <row r="370" spans="1:9" s="113" customFormat="1" x14ac:dyDescent="0.2">
      <c r="A370" s="148"/>
      <c r="B370" s="137"/>
      <c r="C370" s="202" t="s">
        <v>307</v>
      </c>
      <c r="D370" s="202"/>
      <c r="E370" s="202"/>
      <c r="F370" s="124"/>
      <c r="G370" s="124"/>
      <c r="H370" s="124"/>
      <c r="I370" s="103"/>
    </row>
    <row r="371" spans="1:9" s="103" customFormat="1" ht="13.5" thickBot="1" x14ac:dyDescent="0.25">
      <c r="A371" s="148"/>
      <c r="B371" s="137" t="s">
        <v>17</v>
      </c>
      <c r="C371" s="135"/>
      <c r="D371" s="151"/>
      <c r="E371" s="136"/>
      <c r="F371" s="124"/>
      <c r="G371" s="124"/>
      <c r="H371" s="124"/>
    </row>
    <row r="372" spans="1:9" s="103" customFormat="1" ht="23.25" customHeight="1" thickBot="1" x14ac:dyDescent="0.25">
      <c r="A372" s="148"/>
      <c r="B372" s="204" t="s">
        <v>337</v>
      </c>
      <c r="C372" s="205"/>
      <c r="D372" s="205"/>
      <c r="E372" s="206"/>
      <c r="F372" s="124"/>
      <c r="G372" s="124"/>
      <c r="H372" s="124"/>
    </row>
    <row r="373" spans="1:9" s="103" customFormat="1" ht="13.5" thickBot="1" x14ac:dyDescent="0.25">
      <c r="A373" s="148"/>
      <c r="B373" s="207" t="s">
        <v>263</v>
      </c>
      <c r="C373" s="208"/>
      <c r="D373" s="138" t="s">
        <v>11</v>
      </c>
      <c r="E373" s="138" t="s">
        <v>100</v>
      </c>
      <c r="F373" s="124"/>
      <c r="G373" s="124"/>
      <c r="H373" s="124"/>
    </row>
    <row r="374" spans="1:9" s="103" customFormat="1" x14ac:dyDescent="0.2">
      <c r="A374" s="148"/>
      <c r="B374" s="220" t="s">
        <v>278</v>
      </c>
      <c r="C374" s="220"/>
      <c r="D374" s="139">
        <v>20</v>
      </c>
      <c r="E374" s="140" t="s">
        <v>279</v>
      </c>
      <c r="F374" s="124"/>
      <c r="G374" s="124"/>
      <c r="H374" s="124"/>
    </row>
    <row r="375" spans="1:9" s="103" customFormat="1" x14ac:dyDescent="0.2">
      <c r="A375" s="148"/>
      <c r="B375" s="212" t="s">
        <v>280</v>
      </c>
      <c r="C375" s="212"/>
      <c r="D375" s="141">
        <v>10</v>
      </c>
      <c r="E375" s="142" t="s">
        <v>281</v>
      </c>
      <c r="F375" s="124"/>
      <c r="G375" s="124"/>
      <c r="H375" s="124"/>
    </row>
    <row r="376" spans="1:9" s="103" customFormat="1" x14ac:dyDescent="0.2">
      <c r="A376" s="148"/>
      <c r="B376" s="212" t="s">
        <v>282</v>
      </c>
      <c r="C376" s="212"/>
      <c r="D376" s="141">
        <v>20</v>
      </c>
      <c r="E376" s="142" t="s">
        <v>285</v>
      </c>
      <c r="F376" s="124"/>
      <c r="G376" s="124"/>
      <c r="H376" s="124"/>
    </row>
    <row r="377" spans="1:9" s="103" customFormat="1" x14ac:dyDescent="0.2">
      <c r="A377" s="148"/>
      <c r="B377" s="212" t="s">
        <v>283</v>
      </c>
      <c r="C377" s="212"/>
      <c r="D377" s="141">
        <v>10</v>
      </c>
      <c r="E377" s="142" t="s">
        <v>287</v>
      </c>
      <c r="F377" s="124"/>
      <c r="G377" s="124"/>
      <c r="H377" s="124"/>
    </row>
    <row r="378" spans="1:9" s="103" customFormat="1" x14ac:dyDescent="0.2">
      <c r="A378" s="148"/>
      <c r="B378" s="212" t="s">
        <v>284</v>
      </c>
      <c r="C378" s="212"/>
      <c r="D378" s="141">
        <v>10</v>
      </c>
      <c r="E378" s="142" t="s">
        <v>286</v>
      </c>
      <c r="F378" s="124"/>
      <c r="G378" s="124"/>
      <c r="H378" s="124"/>
    </row>
    <row r="379" spans="1:9" s="103" customFormat="1" ht="13.5" thickBot="1" x14ac:dyDescent="0.25">
      <c r="A379" s="148"/>
      <c r="B379" s="218"/>
      <c r="C379" s="219"/>
      <c r="D379" s="141"/>
      <c r="E379" s="142"/>
      <c r="F379" s="124"/>
      <c r="G379" s="124"/>
      <c r="H379" s="124"/>
    </row>
    <row r="380" spans="1:9" s="103" customFormat="1" ht="25.5" customHeight="1" thickBot="1" x14ac:dyDescent="0.25">
      <c r="A380" s="148"/>
      <c r="B380" s="199" t="s">
        <v>346</v>
      </c>
      <c r="C380" s="200"/>
      <c r="D380" s="200"/>
      <c r="E380" s="201"/>
      <c r="F380" s="124"/>
      <c r="G380" s="124"/>
      <c r="H380" s="124"/>
    </row>
    <row r="381" spans="1:9" s="103" customFormat="1" x14ac:dyDescent="0.2">
      <c r="A381" s="148"/>
      <c r="B381" s="137" t="s">
        <v>18</v>
      </c>
      <c r="C381" s="135"/>
      <c r="D381" s="151"/>
      <c r="E381" s="136"/>
      <c r="F381" s="124"/>
      <c r="G381" s="124"/>
      <c r="H381" s="124"/>
    </row>
    <row r="382" spans="1:9" s="103" customFormat="1" x14ac:dyDescent="0.2">
      <c r="A382" s="148"/>
      <c r="B382" s="143"/>
      <c r="C382" s="202" t="s">
        <v>24</v>
      </c>
      <c r="D382" s="202"/>
      <c r="E382" s="202"/>
      <c r="F382" s="124"/>
      <c r="G382" s="124"/>
      <c r="H382" s="124"/>
    </row>
    <row r="383" spans="1:9" s="103" customFormat="1" x14ac:dyDescent="0.2">
      <c r="A383" s="148"/>
      <c r="B383" s="137" t="s">
        <v>19</v>
      </c>
      <c r="C383" s="153"/>
      <c r="D383" s="153"/>
      <c r="E383" s="144"/>
      <c r="F383" s="124"/>
      <c r="G383" s="124"/>
      <c r="H383" s="124"/>
    </row>
    <row r="384" spans="1:9" s="103" customFormat="1" x14ac:dyDescent="0.2">
      <c r="A384" s="148"/>
      <c r="B384" s="143"/>
      <c r="C384" s="202" t="s">
        <v>341</v>
      </c>
      <c r="D384" s="202"/>
      <c r="E384" s="202"/>
      <c r="F384" s="124"/>
      <c r="G384" s="124"/>
      <c r="H384" s="124"/>
    </row>
    <row r="385" spans="1:9" s="103" customFormat="1" x14ac:dyDescent="0.2">
      <c r="A385" s="148"/>
      <c r="B385" s="137" t="s">
        <v>20</v>
      </c>
      <c r="C385" s="135"/>
      <c r="D385" s="151"/>
      <c r="E385" s="136"/>
      <c r="F385" s="124"/>
      <c r="G385" s="124"/>
      <c r="H385" s="124"/>
    </row>
    <row r="386" spans="1:9" s="103" customFormat="1" x14ac:dyDescent="0.2">
      <c r="A386" s="148"/>
      <c r="B386" s="137"/>
      <c r="C386" s="198" t="s">
        <v>25</v>
      </c>
      <c r="D386" s="198"/>
      <c r="E386" s="198"/>
      <c r="F386" s="124"/>
      <c r="G386" s="124"/>
      <c r="H386" s="124"/>
    </row>
    <row r="387" spans="1:9" s="103" customFormat="1" ht="13.5" thickBot="1" x14ac:dyDescent="0.25">
      <c r="A387" s="148"/>
      <c r="B387" s="145"/>
      <c r="C387" s="122"/>
      <c r="D387" s="146"/>
      <c r="E387" s="147"/>
      <c r="F387" s="124"/>
      <c r="G387" s="124"/>
      <c r="H387" s="124"/>
    </row>
    <row r="388" spans="1:9" s="103" customFormat="1" x14ac:dyDescent="0.2">
      <c r="A388" s="148"/>
      <c r="B388" s="152"/>
      <c r="C388" s="135"/>
      <c r="D388" s="151"/>
      <c r="E388" s="135"/>
      <c r="F388" s="124"/>
      <c r="G388" s="124"/>
      <c r="H388" s="124"/>
    </row>
    <row r="389" spans="1:9" s="103" customFormat="1" ht="13.5" thickBot="1" x14ac:dyDescent="0.25">
      <c r="A389" s="148"/>
      <c r="B389" s="124"/>
      <c r="C389" s="124"/>
      <c r="D389" s="148"/>
      <c r="E389" s="124"/>
      <c r="F389" s="124"/>
      <c r="G389" s="124"/>
      <c r="H389" s="124"/>
    </row>
    <row r="390" spans="1:9" s="103" customFormat="1" x14ac:dyDescent="0.2">
      <c r="A390" s="148"/>
      <c r="B390" s="131" t="s">
        <v>115</v>
      </c>
      <c r="C390" s="132"/>
      <c r="D390" s="150"/>
      <c r="E390" s="133"/>
      <c r="F390" s="124"/>
      <c r="G390" s="124"/>
      <c r="H390" s="124"/>
    </row>
    <row r="391" spans="1:9" s="103" customFormat="1" x14ac:dyDescent="0.2">
      <c r="A391" s="148"/>
      <c r="B391" s="134"/>
      <c r="C391" s="135"/>
      <c r="D391" s="151"/>
      <c r="E391" s="136"/>
      <c r="F391" s="124"/>
      <c r="G391" s="124"/>
      <c r="H391" s="124"/>
    </row>
    <row r="392" spans="1:9" s="103" customFormat="1" x14ac:dyDescent="0.2">
      <c r="A392" s="148"/>
      <c r="B392" s="137" t="s">
        <v>16</v>
      </c>
      <c r="C392" s="135"/>
      <c r="D392" s="151"/>
      <c r="E392" s="136"/>
      <c r="F392" s="124"/>
      <c r="G392" s="124"/>
      <c r="H392" s="124"/>
    </row>
    <row r="393" spans="1:9" s="113" customFormat="1" x14ac:dyDescent="0.2">
      <c r="A393" s="148"/>
      <c r="B393" s="137"/>
      <c r="C393" s="202" t="s">
        <v>311</v>
      </c>
      <c r="D393" s="202"/>
      <c r="E393" s="202"/>
      <c r="F393" s="124"/>
      <c r="G393" s="124"/>
      <c r="H393" s="124"/>
      <c r="I393" s="103"/>
    </row>
    <row r="394" spans="1:9" s="113" customFormat="1" ht="13.5" thickBot="1" x14ac:dyDescent="0.25">
      <c r="A394" s="148"/>
      <c r="B394" s="137" t="s">
        <v>17</v>
      </c>
      <c r="C394" s="135"/>
      <c r="D394" s="151"/>
      <c r="E394" s="136"/>
      <c r="F394" s="124"/>
      <c r="G394" s="124"/>
      <c r="H394" s="124"/>
      <c r="I394" s="103"/>
    </row>
    <row r="395" spans="1:9" s="103" customFormat="1" ht="29.25" customHeight="1" thickBot="1" x14ac:dyDescent="0.25">
      <c r="A395" s="148"/>
      <c r="B395" s="204" t="s">
        <v>337</v>
      </c>
      <c r="C395" s="205"/>
      <c r="D395" s="205"/>
      <c r="E395" s="206"/>
      <c r="F395" s="124"/>
      <c r="G395" s="124"/>
      <c r="H395" s="124"/>
    </row>
    <row r="396" spans="1:9" s="103" customFormat="1" ht="13.5" thickBot="1" x14ac:dyDescent="0.25">
      <c r="A396" s="148"/>
      <c r="B396" s="207" t="s">
        <v>263</v>
      </c>
      <c r="C396" s="208"/>
      <c r="D396" s="138" t="s">
        <v>11</v>
      </c>
      <c r="E396" s="138" t="s">
        <v>100</v>
      </c>
      <c r="F396" s="124"/>
      <c r="G396" s="124"/>
      <c r="H396" s="124"/>
    </row>
    <row r="397" spans="1:9" s="103" customFormat="1" x14ac:dyDescent="0.2">
      <c r="A397" s="148"/>
      <c r="B397" s="220" t="s">
        <v>278</v>
      </c>
      <c r="C397" s="220"/>
      <c r="D397" s="139">
        <v>4</v>
      </c>
      <c r="E397" s="140" t="s">
        <v>279</v>
      </c>
      <c r="F397" s="124"/>
      <c r="G397" s="124"/>
      <c r="H397" s="124"/>
    </row>
    <row r="398" spans="1:9" s="103" customFormat="1" x14ac:dyDescent="0.2">
      <c r="A398" s="148"/>
      <c r="B398" s="212" t="s">
        <v>280</v>
      </c>
      <c r="C398" s="212"/>
      <c r="D398" s="141">
        <v>4</v>
      </c>
      <c r="E398" s="142" t="s">
        <v>281</v>
      </c>
      <c r="F398" s="124"/>
      <c r="G398" s="124"/>
      <c r="H398" s="124"/>
    </row>
    <row r="399" spans="1:9" s="103" customFormat="1" x14ac:dyDescent="0.2">
      <c r="A399" s="148"/>
      <c r="B399" s="212" t="s">
        <v>282</v>
      </c>
      <c r="C399" s="212"/>
      <c r="D399" s="141">
        <v>4</v>
      </c>
      <c r="E399" s="142" t="s">
        <v>285</v>
      </c>
      <c r="F399" s="124"/>
      <c r="G399" s="124"/>
      <c r="H399" s="124"/>
    </row>
    <row r="400" spans="1:9" s="103" customFormat="1" x14ac:dyDescent="0.2">
      <c r="A400" s="148"/>
      <c r="B400" s="212" t="s">
        <v>283</v>
      </c>
      <c r="C400" s="212"/>
      <c r="D400" s="141">
        <v>4</v>
      </c>
      <c r="E400" s="142" t="s">
        <v>287</v>
      </c>
      <c r="F400" s="124"/>
      <c r="G400" s="124"/>
      <c r="H400" s="124"/>
    </row>
    <row r="401" spans="1:9" s="103" customFormat="1" x14ac:dyDescent="0.2">
      <c r="A401" s="148"/>
      <c r="B401" s="212" t="s">
        <v>284</v>
      </c>
      <c r="C401" s="212"/>
      <c r="D401" s="141">
        <v>4</v>
      </c>
      <c r="E401" s="142" t="s">
        <v>286</v>
      </c>
      <c r="F401" s="124"/>
      <c r="G401" s="124"/>
      <c r="H401" s="124"/>
    </row>
    <row r="402" spans="1:9" s="103" customFormat="1" ht="13.5" thickBot="1" x14ac:dyDescent="0.25">
      <c r="A402" s="148"/>
      <c r="B402" s="218"/>
      <c r="C402" s="219"/>
      <c r="D402" s="141"/>
      <c r="E402" s="142"/>
      <c r="F402" s="124"/>
      <c r="G402" s="124"/>
      <c r="H402" s="124"/>
    </row>
    <row r="403" spans="1:9" s="103" customFormat="1" ht="25.5" customHeight="1" thickBot="1" x14ac:dyDescent="0.25">
      <c r="A403" s="148"/>
      <c r="B403" s="199" t="s">
        <v>335</v>
      </c>
      <c r="C403" s="200"/>
      <c r="D403" s="200"/>
      <c r="E403" s="201"/>
      <c r="F403" s="124"/>
      <c r="G403" s="124"/>
      <c r="H403" s="124"/>
    </row>
    <row r="404" spans="1:9" s="103" customFormat="1" x14ac:dyDescent="0.2">
      <c r="A404" s="148"/>
      <c r="B404" s="137" t="s">
        <v>18</v>
      </c>
      <c r="C404" s="135"/>
      <c r="D404" s="151"/>
      <c r="E404" s="136"/>
      <c r="F404" s="124"/>
      <c r="G404" s="124"/>
      <c r="H404" s="124"/>
    </row>
    <row r="405" spans="1:9" s="103" customFormat="1" x14ac:dyDescent="0.2">
      <c r="A405" s="148"/>
      <c r="B405" s="143"/>
      <c r="C405" s="202" t="s">
        <v>24</v>
      </c>
      <c r="D405" s="202"/>
      <c r="E405" s="202"/>
      <c r="F405" s="124"/>
      <c r="G405" s="124"/>
      <c r="H405" s="124"/>
    </row>
    <row r="406" spans="1:9" s="103" customFormat="1" x14ac:dyDescent="0.2">
      <c r="A406" s="148"/>
      <c r="B406" s="137" t="s">
        <v>19</v>
      </c>
      <c r="C406" s="153"/>
      <c r="D406" s="153"/>
      <c r="E406" s="144"/>
      <c r="F406" s="124"/>
      <c r="G406" s="124"/>
      <c r="H406" s="124"/>
    </row>
    <row r="407" spans="1:9" s="103" customFormat="1" x14ac:dyDescent="0.2">
      <c r="A407" s="148"/>
      <c r="B407" s="143"/>
      <c r="C407" s="202" t="s">
        <v>341</v>
      </c>
      <c r="D407" s="202"/>
      <c r="E407" s="202"/>
      <c r="F407" s="124"/>
      <c r="G407" s="124"/>
      <c r="H407" s="124"/>
    </row>
    <row r="408" spans="1:9" s="103" customFormat="1" x14ac:dyDescent="0.2">
      <c r="A408" s="148"/>
      <c r="B408" s="137" t="s">
        <v>20</v>
      </c>
      <c r="C408" s="135"/>
      <c r="D408" s="151"/>
      <c r="E408" s="136"/>
      <c r="F408" s="124"/>
      <c r="G408" s="124"/>
      <c r="H408" s="124"/>
    </row>
    <row r="409" spans="1:9" s="103" customFormat="1" x14ac:dyDescent="0.2">
      <c r="A409" s="148"/>
      <c r="B409" s="137"/>
      <c r="C409" s="198" t="s">
        <v>25</v>
      </c>
      <c r="D409" s="198"/>
      <c r="E409" s="198"/>
      <c r="F409" s="124"/>
      <c r="G409" s="124"/>
      <c r="H409" s="124"/>
    </row>
    <row r="410" spans="1:9" s="103" customFormat="1" ht="13.5" thickBot="1" x14ac:dyDescent="0.25">
      <c r="A410" s="148"/>
      <c r="B410" s="145"/>
      <c r="C410" s="122"/>
      <c r="D410" s="146"/>
      <c r="E410" s="147"/>
      <c r="F410" s="124"/>
      <c r="G410" s="124"/>
      <c r="H410" s="124"/>
    </row>
    <row r="411" spans="1:9" s="103" customFormat="1" x14ac:dyDescent="0.2">
      <c r="A411" s="148"/>
      <c r="B411" s="152"/>
      <c r="C411" s="135"/>
      <c r="D411" s="151"/>
      <c r="E411" s="135"/>
      <c r="F411" s="124"/>
      <c r="G411" s="124"/>
      <c r="H411" s="124"/>
    </row>
    <row r="412" spans="1:9" s="103" customFormat="1" ht="13.5" thickBot="1" x14ac:dyDescent="0.25">
      <c r="A412" s="148"/>
      <c r="B412" s="124"/>
      <c r="C412" s="124"/>
      <c r="D412" s="148"/>
      <c r="E412" s="124"/>
      <c r="F412" s="124"/>
      <c r="G412" s="124"/>
      <c r="H412" s="124"/>
    </row>
    <row r="413" spans="1:9" s="103" customFormat="1" x14ac:dyDescent="0.2">
      <c r="A413" s="148"/>
      <c r="B413" s="131" t="s">
        <v>116</v>
      </c>
      <c r="C413" s="132"/>
      <c r="D413" s="150"/>
      <c r="E413" s="133"/>
      <c r="F413" s="124"/>
      <c r="G413" s="124"/>
      <c r="H413" s="124"/>
    </row>
    <row r="414" spans="1:9" s="103" customFormat="1" x14ac:dyDescent="0.2">
      <c r="A414" s="148"/>
      <c r="B414" s="134"/>
      <c r="C414" s="135"/>
      <c r="D414" s="151"/>
      <c r="E414" s="136"/>
      <c r="F414" s="124"/>
      <c r="G414" s="124"/>
      <c r="H414" s="124"/>
    </row>
    <row r="415" spans="1:9" s="103" customFormat="1" x14ac:dyDescent="0.2">
      <c r="A415" s="148"/>
      <c r="B415" s="137" t="s">
        <v>16</v>
      </c>
      <c r="C415" s="135"/>
      <c r="D415" s="151"/>
      <c r="E415" s="136"/>
      <c r="F415" s="124"/>
      <c r="G415" s="124"/>
      <c r="H415" s="124"/>
    </row>
    <row r="416" spans="1:9" s="113" customFormat="1" x14ac:dyDescent="0.2">
      <c r="A416" s="148"/>
      <c r="B416" s="137"/>
      <c r="C416" s="202" t="s">
        <v>312</v>
      </c>
      <c r="D416" s="202"/>
      <c r="E416" s="202"/>
      <c r="F416" s="124"/>
      <c r="G416" s="124"/>
      <c r="H416" s="124"/>
      <c r="I416" s="103"/>
    </row>
    <row r="417" spans="1:8" s="103" customFormat="1" ht="13.5" thickBot="1" x14ac:dyDescent="0.25">
      <c r="A417" s="148"/>
      <c r="B417" s="137" t="s">
        <v>17</v>
      </c>
      <c r="C417" s="135"/>
      <c r="D417" s="151"/>
      <c r="E417" s="136"/>
      <c r="F417" s="124"/>
      <c r="G417" s="124"/>
      <c r="H417" s="124"/>
    </row>
    <row r="418" spans="1:8" s="103" customFormat="1" ht="24" customHeight="1" thickBot="1" x14ac:dyDescent="0.25">
      <c r="A418" s="148"/>
      <c r="B418" s="204" t="s">
        <v>337</v>
      </c>
      <c r="C418" s="205"/>
      <c r="D418" s="205"/>
      <c r="E418" s="206"/>
      <c r="F418" s="124"/>
      <c r="G418" s="124"/>
      <c r="H418" s="124"/>
    </row>
    <row r="419" spans="1:8" s="103" customFormat="1" ht="13.5" thickBot="1" x14ac:dyDescent="0.25">
      <c r="A419" s="148"/>
      <c r="B419" s="207" t="s">
        <v>263</v>
      </c>
      <c r="C419" s="208"/>
      <c r="D419" s="138" t="s">
        <v>11</v>
      </c>
      <c r="E419" s="138" t="s">
        <v>100</v>
      </c>
      <c r="F419" s="124"/>
      <c r="G419" s="124"/>
      <c r="H419" s="124"/>
    </row>
    <row r="420" spans="1:8" s="103" customFormat="1" x14ac:dyDescent="0.2">
      <c r="A420" s="148"/>
      <c r="B420" s="220" t="s">
        <v>278</v>
      </c>
      <c r="C420" s="220"/>
      <c r="D420" s="139">
        <v>12</v>
      </c>
      <c r="E420" s="140" t="s">
        <v>279</v>
      </c>
      <c r="F420" s="124"/>
      <c r="G420" s="124"/>
      <c r="H420" s="124"/>
    </row>
    <row r="421" spans="1:8" s="103" customFormat="1" x14ac:dyDescent="0.2">
      <c r="A421" s="148"/>
      <c r="B421" s="212" t="s">
        <v>280</v>
      </c>
      <c r="C421" s="212"/>
      <c r="D421" s="141">
        <v>12</v>
      </c>
      <c r="E421" s="142" t="s">
        <v>281</v>
      </c>
      <c r="F421" s="124"/>
      <c r="G421" s="124"/>
      <c r="H421" s="124"/>
    </row>
    <row r="422" spans="1:8" s="103" customFormat="1" x14ac:dyDescent="0.2">
      <c r="A422" s="148"/>
      <c r="B422" s="212" t="s">
        <v>282</v>
      </c>
      <c r="C422" s="212"/>
      <c r="D422" s="141">
        <v>12</v>
      </c>
      <c r="E422" s="142" t="s">
        <v>285</v>
      </c>
      <c r="F422" s="124"/>
      <c r="G422" s="124"/>
      <c r="H422" s="124"/>
    </row>
    <row r="423" spans="1:8" s="103" customFormat="1" x14ac:dyDescent="0.2">
      <c r="A423" s="148"/>
      <c r="B423" s="212" t="s">
        <v>283</v>
      </c>
      <c r="C423" s="212"/>
      <c r="D423" s="141">
        <v>0</v>
      </c>
      <c r="E423" s="142" t="s">
        <v>287</v>
      </c>
      <c r="F423" s="124"/>
      <c r="G423" s="124"/>
      <c r="H423" s="124"/>
    </row>
    <row r="424" spans="1:8" s="103" customFormat="1" x14ac:dyDescent="0.2">
      <c r="A424" s="148"/>
      <c r="B424" s="212" t="s">
        <v>284</v>
      </c>
      <c r="C424" s="212"/>
      <c r="D424" s="141">
        <v>6</v>
      </c>
      <c r="E424" s="142" t="s">
        <v>286</v>
      </c>
      <c r="F424" s="124"/>
      <c r="G424" s="124"/>
      <c r="H424" s="124"/>
    </row>
    <row r="425" spans="1:8" s="103" customFormat="1" ht="13.5" thickBot="1" x14ac:dyDescent="0.25">
      <c r="A425" s="148"/>
      <c r="B425" s="218"/>
      <c r="C425" s="219"/>
      <c r="D425" s="141"/>
      <c r="E425" s="142"/>
      <c r="F425" s="124"/>
      <c r="G425" s="124"/>
      <c r="H425" s="124"/>
    </row>
    <row r="426" spans="1:8" s="103" customFormat="1" ht="25.5" customHeight="1" thickBot="1" x14ac:dyDescent="0.25">
      <c r="A426" s="148"/>
      <c r="B426" s="199" t="s">
        <v>347</v>
      </c>
      <c r="C426" s="200"/>
      <c r="D426" s="200"/>
      <c r="E426" s="201"/>
      <c r="F426" s="124"/>
      <c r="G426" s="124"/>
      <c r="H426" s="124"/>
    </row>
    <row r="427" spans="1:8" s="103" customFormat="1" x14ac:dyDescent="0.2">
      <c r="A427" s="148"/>
      <c r="B427" s="137" t="s">
        <v>18</v>
      </c>
      <c r="C427" s="135"/>
      <c r="D427" s="151"/>
      <c r="E427" s="136"/>
      <c r="F427" s="124"/>
      <c r="G427" s="124"/>
      <c r="H427" s="124"/>
    </row>
    <row r="428" spans="1:8" s="103" customFormat="1" x14ac:dyDescent="0.2">
      <c r="A428" s="148"/>
      <c r="B428" s="143"/>
      <c r="C428" s="202" t="s">
        <v>24</v>
      </c>
      <c r="D428" s="202"/>
      <c r="E428" s="202"/>
      <c r="F428" s="124"/>
      <c r="G428" s="124"/>
      <c r="H428" s="124"/>
    </row>
    <row r="429" spans="1:8" s="103" customFormat="1" x14ac:dyDescent="0.2">
      <c r="A429" s="148"/>
      <c r="B429" s="137" t="s">
        <v>19</v>
      </c>
      <c r="C429" s="153"/>
      <c r="D429" s="153"/>
      <c r="E429" s="144"/>
      <c r="F429" s="124"/>
      <c r="G429" s="124"/>
      <c r="H429" s="124"/>
    </row>
    <row r="430" spans="1:8" s="103" customFormat="1" x14ac:dyDescent="0.2">
      <c r="A430" s="148"/>
      <c r="B430" s="143"/>
      <c r="C430" s="202" t="s">
        <v>341</v>
      </c>
      <c r="D430" s="202"/>
      <c r="E430" s="202"/>
      <c r="F430" s="124"/>
      <c r="G430" s="124"/>
      <c r="H430" s="124"/>
    </row>
    <row r="431" spans="1:8" s="103" customFormat="1" x14ac:dyDescent="0.2">
      <c r="A431" s="148"/>
      <c r="B431" s="137" t="s">
        <v>20</v>
      </c>
      <c r="C431" s="135"/>
      <c r="D431" s="151"/>
      <c r="E431" s="136"/>
      <c r="F431" s="124"/>
      <c r="G431" s="124"/>
      <c r="H431" s="124"/>
    </row>
    <row r="432" spans="1:8" s="103" customFormat="1" x14ac:dyDescent="0.2">
      <c r="A432" s="148"/>
      <c r="B432" s="137"/>
      <c r="C432" s="198" t="s">
        <v>25</v>
      </c>
      <c r="D432" s="198"/>
      <c r="E432" s="198"/>
      <c r="F432" s="124"/>
      <c r="G432" s="124"/>
      <c r="H432" s="124"/>
    </row>
    <row r="433" spans="1:9" s="103" customFormat="1" ht="13.5" thickBot="1" x14ac:dyDescent="0.25">
      <c r="A433" s="148"/>
      <c r="B433" s="145"/>
      <c r="C433" s="122"/>
      <c r="D433" s="146"/>
      <c r="E433" s="147"/>
      <c r="F433" s="124"/>
      <c r="G433" s="124"/>
      <c r="H433" s="124"/>
    </row>
    <row r="434" spans="1:9" s="103" customFormat="1" x14ac:dyDescent="0.2">
      <c r="A434" s="148"/>
      <c r="B434" s="152"/>
      <c r="C434" s="135"/>
      <c r="D434" s="151"/>
      <c r="E434" s="135"/>
      <c r="F434" s="124"/>
      <c r="G434" s="124"/>
      <c r="H434" s="124"/>
    </row>
    <row r="435" spans="1:9" s="103" customFormat="1" ht="13.5" thickBot="1" x14ac:dyDescent="0.25">
      <c r="A435" s="148"/>
      <c r="B435" s="124"/>
      <c r="C435" s="124"/>
      <c r="D435" s="148"/>
      <c r="E435" s="124"/>
      <c r="F435" s="124"/>
      <c r="G435" s="124"/>
      <c r="H435" s="124"/>
    </row>
    <row r="436" spans="1:9" s="103" customFormat="1" x14ac:dyDescent="0.2">
      <c r="A436" s="148"/>
      <c r="B436" s="131" t="s">
        <v>117</v>
      </c>
      <c r="C436" s="132"/>
      <c r="D436" s="150"/>
      <c r="E436" s="133"/>
      <c r="F436" s="124"/>
      <c r="G436" s="124"/>
      <c r="H436" s="124"/>
    </row>
    <row r="437" spans="1:9" s="103" customFormat="1" x14ac:dyDescent="0.2">
      <c r="A437" s="148"/>
      <c r="B437" s="134"/>
      <c r="C437" s="135"/>
      <c r="D437" s="151"/>
      <c r="E437" s="136"/>
      <c r="F437" s="124"/>
      <c r="G437" s="124"/>
      <c r="H437" s="124"/>
    </row>
    <row r="438" spans="1:9" s="103" customFormat="1" x14ac:dyDescent="0.2">
      <c r="A438" s="148"/>
      <c r="B438" s="137" t="s">
        <v>16</v>
      </c>
      <c r="C438" s="135"/>
      <c r="D438" s="151"/>
      <c r="E438" s="136"/>
      <c r="F438" s="124"/>
      <c r="G438" s="124"/>
      <c r="H438" s="124"/>
    </row>
    <row r="439" spans="1:9" s="113" customFormat="1" x14ac:dyDescent="0.2">
      <c r="A439" s="148"/>
      <c r="B439" s="137"/>
      <c r="C439" s="223" t="s">
        <v>334</v>
      </c>
      <c r="D439" s="223"/>
      <c r="E439" s="224"/>
      <c r="F439" s="124"/>
      <c r="G439" s="124"/>
      <c r="H439" s="124"/>
      <c r="I439" s="103"/>
    </row>
    <row r="440" spans="1:9" s="103" customFormat="1" ht="13.5" thickBot="1" x14ac:dyDescent="0.25">
      <c r="A440" s="148"/>
      <c r="B440" s="137" t="s">
        <v>17</v>
      </c>
      <c r="C440" s="135"/>
      <c r="D440" s="151"/>
      <c r="E440" s="136"/>
      <c r="F440" s="124"/>
      <c r="G440" s="124"/>
      <c r="H440" s="124"/>
    </row>
    <row r="441" spans="1:9" s="103" customFormat="1" ht="26.25" customHeight="1" thickBot="1" x14ac:dyDescent="0.25">
      <c r="A441" s="148"/>
      <c r="B441" s="204" t="s">
        <v>337</v>
      </c>
      <c r="C441" s="205"/>
      <c r="D441" s="205"/>
      <c r="E441" s="206"/>
      <c r="F441" s="124"/>
      <c r="G441" s="124"/>
      <c r="H441" s="124"/>
    </row>
    <row r="442" spans="1:9" s="103" customFormat="1" ht="13.5" thickBot="1" x14ac:dyDescent="0.25">
      <c r="A442" s="148"/>
      <c r="B442" s="207" t="s">
        <v>263</v>
      </c>
      <c r="C442" s="208"/>
      <c r="D442" s="138" t="s">
        <v>11</v>
      </c>
      <c r="E442" s="138" t="s">
        <v>100</v>
      </c>
      <c r="F442" s="124"/>
      <c r="G442" s="124"/>
      <c r="H442" s="124"/>
    </row>
    <row r="443" spans="1:9" s="103" customFormat="1" x14ac:dyDescent="0.2">
      <c r="A443" s="148"/>
      <c r="B443" s="220" t="s">
        <v>278</v>
      </c>
      <c r="C443" s="220"/>
      <c r="D443" s="139">
        <v>3</v>
      </c>
      <c r="E443" s="140" t="s">
        <v>279</v>
      </c>
      <c r="F443" s="124"/>
      <c r="G443" s="124"/>
      <c r="H443" s="124"/>
    </row>
    <row r="444" spans="1:9" s="103" customFormat="1" x14ac:dyDescent="0.2">
      <c r="A444" s="148"/>
      <c r="B444" s="212" t="s">
        <v>280</v>
      </c>
      <c r="C444" s="212"/>
      <c r="D444" s="141">
        <v>3</v>
      </c>
      <c r="E444" s="142" t="s">
        <v>281</v>
      </c>
      <c r="F444" s="124"/>
      <c r="G444" s="124"/>
      <c r="H444" s="124"/>
    </row>
    <row r="445" spans="1:9" s="103" customFormat="1" x14ac:dyDescent="0.2">
      <c r="A445" s="148"/>
      <c r="B445" s="212" t="s">
        <v>282</v>
      </c>
      <c r="C445" s="212"/>
      <c r="D445" s="141">
        <v>3</v>
      </c>
      <c r="E445" s="142" t="s">
        <v>285</v>
      </c>
      <c r="F445" s="124"/>
      <c r="G445" s="124"/>
      <c r="H445" s="124"/>
    </row>
    <row r="446" spans="1:9" s="103" customFormat="1" x14ac:dyDescent="0.2">
      <c r="A446" s="148"/>
      <c r="B446" s="212" t="s">
        <v>283</v>
      </c>
      <c r="C446" s="212"/>
      <c r="D446" s="141">
        <v>0</v>
      </c>
      <c r="E446" s="142" t="s">
        <v>287</v>
      </c>
      <c r="F446" s="124"/>
      <c r="G446" s="124"/>
      <c r="H446" s="124"/>
    </row>
    <row r="447" spans="1:9" s="103" customFormat="1" x14ac:dyDescent="0.2">
      <c r="A447" s="148"/>
      <c r="B447" s="212" t="s">
        <v>284</v>
      </c>
      <c r="C447" s="212"/>
      <c r="D447" s="141">
        <v>3</v>
      </c>
      <c r="E447" s="142" t="s">
        <v>286</v>
      </c>
      <c r="F447" s="124"/>
      <c r="G447" s="124"/>
      <c r="H447" s="124"/>
    </row>
    <row r="448" spans="1:9" s="103" customFormat="1" ht="13.5" thickBot="1" x14ac:dyDescent="0.25">
      <c r="A448" s="148"/>
      <c r="B448" s="218"/>
      <c r="C448" s="219"/>
      <c r="D448" s="141"/>
      <c r="E448" s="142"/>
      <c r="F448" s="124"/>
      <c r="G448" s="124"/>
      <c r="H448" s="124"/>
    </row>
    <row r="449" spans="1:8" s="103" customFormat="1" ht="25.5" customHeight="1" thickBot="1" x14ac:dyDescent="0.25">
      <c r="A449" s="148"/>
      <c r="B449" s="199" t="s">
        <v>325</v>
      </c>
      <c r="C449" s="200"/>
      <c r="D449" s="200"/>
      <c r="E449" s="201"/>
      <c r="F449" s="124"/>
      <c r="G449" s="124"/>
      <c r="H449" s="124"/>
    </row>
    <row r="450" spans="1:8" s="103" customFormat="1" x14ac:dyDescent="0.2">
      <c r="A450" s="148"/>
      <c r="B450" s="137" t="s">
        <v>18</v>
      </c>
      <c r="C450" s="135"/>
      <c r="D450" s="151"/>
      <c r="E450" s="136"/>
      <c r="F450" s="124"/>
      <c r="G450" s="124"/>
      <c r="H450" s="124"/>
    </row>
    <row r="451" spans="1:8" s="103" customFormat="1" x14ac:dyDescent="0.2">
      <c r="A451" s="148"/>
      <c r="B451" s="143"/>
      <c r="C451" s="202" t="s">
        <v>24</v>
      </c>
      <c r="D451" s="202"/>
      <c r="E451" s="202"/>
      <c r="F451" s="124"/>
      <c r="G451" s="124"/>
      <c r="H451" s="124"/>
    </row>
    <row r="452" spans="1:8" s="103" customFormat="1" x14ac:dyDescent="0.2">
      <c r="A452" s="148"/>
      <c r="B452" s="137" t="s">
        <v>19</v>
      </c>
      <c r="C452" s="153"/>
      <c r="D452" s="153"/>
      <c r="E452" s="144"/>
      <c r="F452" s="124"/>
      <c r="G452" s="124"/>
      <c r="H452" s="124"/>
    </row>
    <row r="453" spans="1:8" s="103" customFormat="1" x14ac:dyDescent="0.2">
      <c r="A453" s="148"/>
      <c r="B453" s="143"/>
      <c r="C453" s="202" t="s">
        <v>341</v>
      </c>
      <c r="D453" s="202"/>
      <c r="E453" s="202"/>
      <c r="F453" s="124"/>
      <c r="G453" s="124"/>
      <c r="H453" s="124"/>
    </row>
    <row r="454" spans="1:8" s="103" customFormat="1" x14ac:dyDescent="0.2">
      <c r="A454" s="148"/>
      <c r="B454" s="137" t="s">
        <v>20</v>
      </c>
      <c r="C454" s="135"/>
      <c r="D454" s="151"/>
      <c r="E454" s="136"/>
      <c r="F454" s="124"/>
      <c r="G454" s="124"/>
      <c r="H454" s="124"/>
    </row>
    <row r="455" spans="1:8" s="103" customFormat="1" x14ac:dyDescent="0.2">
      <c r="A455" s="148"/>
      <c r="B455" s="137"/>
      <c r="C455" s="198" t="s">
        <v>25</v>
      </c>
      <c r="D455" s="198"/>
      <c r="E455" s="198"/>
      <c r="F455" s="124"/>
      <c r="G455" s="124"/>
      <c r="H455" s="124"/>
    </row>
    <row r="456" spans="1:8" s="103" customFormat="1" ht="13.5" thickBot="1" x14ac:dyDescent="0.25">
      <c r="A456" s="148"/>
      <c r="B456" s="145"/>
      <c r="C456" s="122"/>
      <c r="D456" s="146"/>
      <c r="E456" s="147"/>
      <c r="F456" s="124"/>
      <c r="G456" s="124"/>
      <c r="H456" s="124"/>
    </row>
    <row r="457" spans="1:8" s="103" customFormat="1" ht="13.5" thickBot="1" x14ac:dyDescent="0.25">
      <c r="A457" s="148"/>
      <c r="B457" s="152"/>
      <c r="C457" s="135"/>
      <c r="D457" s="151"/>
      <c r="E457" s="135"/>
      <c r="F457" s="124"/>
      <c r="G457" s="124"/>
      <c r="H457" s="124"/>
    </row>
    <row r="458" spans="1:8" x14ac:dyDescent="0.2">
      <c r="B458" s="131" t="s">
        <v>118</v>
      </c>
      <c r="C458" s="132"/>
      <c r="D458" s="170"/>
      <c r="E458" s="133"/>
    </row>
    <row r="459" spans="1:8" x14ac:dyDescent="0.2">
      <c r="B459" s="134"/>
      <c r="C459" s="135"/>
      <c r="D459" s="171"/>
      <c r="E459" s="136"/>
    </row>
    <row r="460" spans="1:8" x14ac:dyDescent="0.2">
      <c r="B460" s="137" t="s">
        <v>16</v>
      </c>
      <c r="C460" s="135"/>
      <c r="D460" s="171"/>
      <c r="E460" s="136"/>
    </row>
    <row r="461" spans="1:8" x14ac:dyDescent="0.2">
      <c r="B461" s="137"/>
      <c r="C461" s="226" t="s">
        <v>330</v>
      </c>
      <c r="D461" s="226"/>
      <c r="E461" s="203"/>
    </row>
    <row r="462" spans="1:8" ht="13.5" thickBot="1" x14ac:dyDescent="0.25">
      <c r="B462" s="137" t="s">
        <v>17</v>
      </c>
      <c r="C462" s="135"/>
      <c r="D462" s="171"/>
      <c r="E462" s="136"/>
    </row>
    <row r="463" spans="1:8" ht="24" customHeight="1" thickBot="1" x14ac:dyDescent="0.25">
      <c r="B463" s="204" t="s">
        <v>336</v>
      </c>
      <c r="C463" s="205"/>
      <c r="D463" s="205"/>
      <c r="E463" s="206"/>
    </row>
    <row r="464" spans="1:8" ht="13.5" thickBot="1" x14ac:dyDescent="0.25">
      <c r="B464" s="207" t="s">
        <v>263</v>
      </c>
      <c r="C464" s="208"/>
      <c r="D464" s="138" t="s">
        <v>11</v>
      </c>
      <c r="E464" s="154" t="s">
        <v>319</v>
      </c>
    </row>
    <row r="465" spans="2:5" x14ac:dyDescent="0.2">
      <c r="B465" s="209" t="s">
        <v>278</v>
      </c>
      <c r="C465" s="210"/>
      <c r="D465" s="167">
        <v>2</v>
      </c>
      <c r="E465" s="140" t="s">
        <v>279</v>
      </c>
    </row>
    <row r="466" spans="2:5" x14ac:dyDescent="0.2">
      <c r="B466" s="211" t="s">
        <v>280</v>
      </c>
      <c r="C466" s="212"/>
      <c r="D466" s="178">
        <v>2</v>
      </c>
      <c r="E466" s="142" t="s">
        <v>281</v>
      </c>
    </row>
    <row r="467" spans="2:5" x14ac:dyDescent="0.2">
      <c r="B467" s="211" t="s">
        <v>282</v>
      </c>
      <c r="C467" s="212"/>
      <c r="D467" s="168">
        <v>2</v>
      </c>
      <c r="E467" s="142" t="s">
        <v>285</v>
      </c>
    </row>
    <row r="468" spans="2:5" x14ac:dyDescent="0.2">
      <c r="B468" s="211" t="s">
        <v>283</v>
      </c>
      <c r="C468" s="212"/>
      <c r="D468" s="168">
        <v>0</v>
      </c>
      <c r="E468" s="142" t="s">
        <v>287</v>
      </c>
    </row>
    <row r="469" spans="2:5" x14ac:dyDescent="0.2">
      <c r="B469" s="211" t="s">
        <v>284</v>
      </c>
      <c r="C469" s="212"/>
      <c r="D469" s="168">
        <v>1</v>
      </c>
      <c r="E469" s="142" t="s">
        <v>286</v>
      </c>
    </row>
    <row r="470" spans="2:5" ht="13.5" thickBot="1" x14ac:dyDescent="0.25">
      <c r="B470" s="213"/>
      <c r="C470" s="214"/>
      <c r="D470" s="168"/>
      <c r="E470" s="142"/>
    </row>
    <row r="471" spans="2:5" ht="13.5" thickBot="1" x14ac:dyDescent="0.25">
      <c r="B471" s="199" t="s">
        <v>349</v>
      </c>
      <c r="C471" s="200"/>
      <c r="D471" s="200"/>
      <c r="E471" s="201"/>
    </row>
    <row r="472" spans="2:5" x14ac:dyDescent="0.2">
      <c r="B472" s="137" t="s">
        <v>18</v>
      </c>
      <c r="C472" s="135"/>
      <c r="D472" s="171"/>
      <c r="E472" s="136"/>
    </row>
    <row r="473" spans="2:5" x14ac:dyDescent="0.2">
      <c r="B473" s="143"/>
      <c r="C473" s="202" t="s">
        <v>24</v>
      </c>
      <c r="D473" s="202"/>
      <c r="E473" s="202"/>
    </row>
    <row r="474" spans="2:5" x14ac:dyDescent="0.2">
      <c r="B474" s="137" t="s">
        <v>19</v>
      </c>
      <c r="C474" s="169"/>
      <c r="D474" s="169"/>
      <c r="E474" s="166"/>
    </row>
    <row r="475" spans="2:5" x14ac:dyDescent="0.2">
      <c r="B475" s="143"/>
      <c r="C475" s="202" t="s">
        <v>341</v>
      </c>
      <c r="D475" s="202"/>
      <c r="E475" s="202"/>
    </row>
    <row r="476" spans="2:5" x14ac:dyDescent="0.2">
      <c r="B476" s="137" t="s">
        <v>20</v>
      </c>
      <c r="C476" s="135"/>
      <c r="D476" s="171"/>
      <c r="E476" s="136"/>
    </row>
    <row r="477" spans="2:5" x14ac:dyDescent="0.2">
      <c r="B477" s="137"/>
      <c r="C477" s="198" t="s">
        <v>25</v>
      </c>
      <c r="D477" s="198"/>
      <c r="E477" s="198"/>
    </row>
    <row r="478" spans="2:5" ht="13.5" thickBot="1" x14ac:dyDescent="0.25">
      <c r="B478" s="145"/>
      <c r="C478" s="122"/>
      <c r="D478" s="146"/>
      <c r="E478" s="147"/>
    </row>
    <row r="480" spans="2:5" ht="13.5" thickBot="1" x14ac:dyDescent="0.25"/>
    <row r="481" spans="2:5" x14ac:dyDescent="0.2">
      <c r="B481" s="131" t="s">
        <v>119</v>
      </c>
      <c r="C481" s="132"/>
      <c r="D481" s="170"/>
      <c r="E481" s="133"/>
    </row>
    <row r="482" spans="2:5" x14ac:dyDescent="0.2">
      <c r="B482" s="134"/>
      <c r="C482" s="135"/>
      <c r="D482" s="171"/>
      <c r="E482" s="136"/>
    </row>
    <row r="483" spans="2:5" x14ac:dyDescent="0.2">
      <c r="B483" s="137" t="s">
        <v>16</v>
      </c>
      <c r="C483" s="135"/>
      <c r="D483" s="171"/>
      <c r="E483" s="136"/>
    </row>
    <row r="484" spans="2:5" x14ac:dyDescent="0.2">
      <c r="B484" s="137"/>
      <c r="C484" s="203" t="s">
        <v>331</v>
      </c>
      <c r="D484" s="202"/>
      <c r="E484" s="202"/>
    </row>
    <row r="485" spans="2:5" ht="13.5" thickBot="1" x14ac:dyDescent="0.25">
      <c r="B485" s="137" t="s">
        <v>17</v>
      </c>
      <c r="C485" s="135"/>
      <c r="D485" s="171"/>
      <c r="E485" s="136"/>
    </row>
    <row r="486" spans="2:5" ht="22.5" customHeight="1" thickBot="1" x14ac:dyDescent="0.25">
      <c r="B486" s="204" t="s">
        <v>336</v>
      </c>
      <c r="C486" s="205"/>
      <c r="D486" s="205"/>
      <c r="E486" s="206"/>
    </row>
    <row r="487" spans="2:5" ht="13.5" thickBot="1" x14ac:dyDescent="0.25">
      <c r="B487" s="207" t="s">
        <v>263</v>
      </c>
      <c r="C487" s="208"/>
      <c r="D487" s="138" t="s">
        <v>11</v>
      </c>
      <c r="E487" s="154" t="s">
        <v>319</v>
      </c>
    </row>
    <row r="488" spans="2:5" x14ac:dyDescent="0.2">
      <c r="B488" s="209" t="s">
        <v>278</v>
      </c>
      <c r="C488" s="210"/>
      <c r="D488" s="167">
        <v>2</v>
      </c>
      <c r="E488" s="140" t="s">
        <v>279</v>
      </c>
    </row>
    <row r="489" spans="2:5" x14ac:dyDescent="0.2">
      <c r="B489" s="211" t="s">
        <v>280</v>
      </c>
      <c r="C489" s="212"/>
      <c r="D489" s="178">
        <v>1</v>
      </c>
      <c r="E489" s="142" t="s">
        <v>281</v>
      </c>
    </row>
    <row r="490" spans="2:5" x14ac:dyDescent="0.2">
      <c r="B490" s="211" t="s">
        <v>282</v>
      </c>
      <c r="C490" s="212"/>
      <c r="D490" s="168">
        <v>2</v>
      </c>
      <c r="E490" s="142" t="s">
        <v>285</v>
      </c>
    </row>
    <row r="491" spans="2:5" x14ac:dyDescent="0.2">
      <c r="B491" s="211" t="s">
        <v>283</v>
      </c>
      <c r="C491" s="212"/>
      <c r="D491" s="168">
        <v>0</v>
      </c>
      <c r="E491" s="142" t="s">
        <v>287</v>
      </c>
    </row>
    <row r="492" spans="2:5" x14ac:dyDescent="0.2">
      <c r="B492" s="211" t="s">
        <v>284</v>
      </c>
      <c r="C492" s="212"/>
      <c r="D492" s="168">
        <v>1</v>
      </c>
      <c r="E492" s="142" t="s">
        <v>286</v>
      </c>
    </row>
    <row r="493" spans="2:5" ht="13.5" thickBot="1" x14ac:dyDescent="0.25">
      <c r="B493" s="213"/>
      <c r="C493" s="214"/>
      <c r="D493" s="168"/>
      <c r="E493" s="142"/>
    </row>
    <row r="494" spans="2:5" ht="13.5" thickBot="1" x14ac:dyDescent="0.25">
      <c r="B494" s="199" t="s">
        <v>350</v>
      </c>
      <c r="C494" s="200"/>
      <c r="D494" s="200"/>
      <c r="E494" s="201"/>
    </row>
    <row r="495" spans="2:5" x14ac:dyDescent="0.2">
      <c r="B495" s="137" t="s">
        <v>18</v>
      </c>
      <c r="C495" s="135"/>
      <c r="D495" s="171"/>
      <c r="E495" s="136"/>
    </row>
    <row r="496" spans="2:5" x14ac:dyDescent="0.2">
      <c r="B496" s="143"/>
      <c r="C496" s="202" t="s">
        <v>24</v>
      </c>
      <c r="D496" s="202"/>
      <c r="E496" s="202"/>
    </row>
    <row r="497" spans="1:8" x14ac:dyDescent="0.2">
      <c r="B497" s="137" t="s">
        <v>19</v>
      </c>
      <c r="C497" s="169"/>
      <c r="D497" s="169"/>
      <c r="E497" s="166"/>
    </row>
    <row r="498" spans="1:8" x14ac:dyDescent="0.2">
      <c r="B498" s="143"/>
      <c r="C498" s="202" t="s">
        <v>341</v>
      </c>
      <c r="D498" s="202"/>
      <c r="E498" s="202"/>
    </row>
    <row r="499" spans="1:8" x14ac:dyDescent="0.2">
      <c r="B499" s="137" t="s">
        <v>20</v>
      </c>
      <c r="C499" s="135"/>
      <c r="D499" s="171"/>
      <c r="E499" s="136"/>
    </row>
    <row r="500" spans="1:8" x14ac:dyDescent="0.2">
      <c r="B500" s="137"/>
      <c r="C500" s="198" t="s">
        <v>25</v>
      </c>
      <c r="D500" s="198"/>
      <c r="E500" s="198"/>
    </row>
    <row r="501" spans="1:8" ht="13.5" thickBot="1" x14ac:dyDescent="0.25">
      <c r="B501" s="145"/>
      <c r="C501" s="122"/>
      <c r="D501" s="146"/>
      <c r="E501" s="147"/>
    </row>
    <row r="502" spans="1:8" s="103" customFormat="1" x14ac:dyDescent="0.2">
      <c r="A502" s="148"/>
      <c r="B502" s="124"/>
      <c r="C502" s="124"/>
      <c r="D502" s="148"/>
      <c r="E502" s="124"/>
      <c r="F502" s="124"/>
      <c r="G502" s="124"/>
      <c r="H502" s="124"/>
    </row>
  </sheetData>
  <mergeCells count="281">
    <mergeCell ref="B468:C468"/>
    <mergeCell ref="B469:C469"/>
    <mergeCell ref="B470:C470"/>
    <mergeCell ref="B490:C490"/>
    <mergeCell ref="B491:C491"/>
    <mergeCell ref="B492:C492"/>
    <mergeCell ref="B313:E313"/>
    <mergeCell ref="B335:E335"/>
    <mergeCell ref="B48:E48"/>
    <mergeCell ref="B70:E70"/>
    <mergeCell ref="B92:E92"/>
    <mergeCell ref="B114:E114"/>
    <mergeCell ref="B329:C329"/>
    <mergeCell ref="C451:E451"/>
    <mergeCell ref="C453:E453"/>
    <mergeCell ref="C455:E455"/>
    <mergeCell ref="C461:E461"/>
    <mergeCell ref="B463:E463"/>
    <mergeCell ref="B464:C464"/>
    <mergeCell ref="B465:C465"/>
    <mergeCell ref="B466:C466"/>
    <mergeCell ref="B467:C467"/>
    <mergeCell ref="C428:E428"/>
    <mergeCell ref="C430:E430"/>
    <mergeCell ref="B426:E426"/>
    <mergeCell ref="B445:C445"/>
    <mergeCell ref="B446:C446"/>
    <mergeCell ref="B447:C447"/>
    <mergeCell ref="B448:C448"/>
    <mergeCell ref="C432:E432"/>
    <mergeCell ref="C439:E439"/>
    <mergeCell ref="B441:E441"/>
    <mergeCell ref="B442:C442"/>
    <mergeCell ref="B443:C443"/>
    <mergeCell ref="B444:C444"/>
    <mergeCell ref="B449:E449"/>
    <mergeCell ref="C407:E407"/>
    <mergeCell ref="C409:E409"/>
    <mergeCell ref="C416:E416"/>
    <mergeCell ref="B403:E403"/>
    <mergeCell ref="B424:C424"/>
    <mergeCell ref="B425:C425"/>
    <mergeCell ref="B418:E418"/>
    <mergeCell ref="B419:C419"/>
    <mergeCell ref="B420:C420"/>
    <mergeCell ref="B421:C421"/>
    <mergeCell ref="B422:C422"/>
    <mergeCell ref="B423:C423"/>
    <mergeCell ref="B396:C396"/>
    <mergeCell ref="B380:E380"/>
    <mergeCell ref="B397:C397"/>
    <mergeCell ref="B398:C398"/>
    <mergeCell ref="B399:C399"/>
    <mergeCell ref="B400:C400"/>
    <mergeCell ref="B401:C401"/>
    <mergeCell ref="B402:C402"/>
    <mergeCell ref="C405:E405"/>
    <mergeCell ref="B376:C376"/>
    <mergeCell ref="B377:C377"/>
    <mergeCell ref="B378:C378"/>
    <mergeCell ref="B379:C379"/>
    <mergeCell ref="C382:E382"/>
    <mergeCell ref="C384:E384"/>
    <mergeCell ref="C386:E386"/>
    <mergeCell ref="C393:E393"/>
    <mergeCell ref="B395:E395"/>
    <mergeCell ref="B355:C355"/>
    <mergeCell ref="B356:C356"/>
    <mergeCell ref="C363:E363"/>
    <mergeCell ref="C370:E370"/>
    <mergeCell ref="B372:E372"/>
    <mergeCell ref="B373:C373"/>
    <mergeCell ref="B374:C374"/>
    <mergeCell ref="B375:C375"/>
    <mergeCell ref="C359:E359"/>
    <mergeCell ref="C361:E361"/>
    <mergeCell ref="B357:E357"/>
    <mergeCell ref="B349:E349"/>
    <mergeCell ref="B350:C350"/>
    <mergeCell ref="B351:C351"/>
    <mergeCell ref="B352:C352"/>
    <mergeCell ref="B353:C353"/>
    <mergeCell ref="B354:C354"/>
    <mergeCell ref="C337:E337"/>
    <mergeCell ref="C339:E339"/>
    <mergeCell ref="C341:E341"/>
    <mergeCell ref="C347:E347"/>
    <mergeCell ref="B330:C330"/>
    <mergeCell ref="B331:C331"/>
    <mergeCell ref="B332:C332"/>
    <mergeCell ref="B333:C333"/>
    <mergeCell ref="B334:C334"/>
    <mergeCell ref="C315:E315"/>
    <mergeCell ref="C317:E317"/>
    <mergeCell ref="C319:E319"/>
    <mergeCell ref="B327:E327"/>
    <mergeCell ref="B328:C328"/>
    <mergeCell ref="C325:E325"/>
    <mergeCell ref="B309:C309"/>
    <mergeCell ref="B310:C310"/>
    <mergeCell ref="B311:C311"/>
    <mergeCell ref="B312:C312"/>
    <mergeCell ref="C303:E303"/>
    <mergeCell ref="B305:E305"/>
    <mergeCell ref="B306:C306"/>
    <mergeCell ref="B307:C307"/>
    <mergeCell ref="B308:C308"/>
    <mergeCell ref="C294:E294"/>
    <mergeCell ref="C296:E296"/>
    <mergeCell ref="B290:E290"/>
    <mergeCell ref="B283:C283"/>
    <mergeCell ref="B268:E268"/>
    <mergeCell ref="B284:C284"/>
    <mergeCell ref="B285:C285"/>
    <mergeCell ref="B286:C286"/>
    <mergeCell ref="B287:C287"/>
    <mergeCell ref="B288:C288"/>
    <mergeCell ref="B289:C289"/>
    <mergeCell ref="C292:E292"/>
    <mergeCell ref="B264:C264"/>
    <mergeCell ref="B265:C265"/>
    <mergeCell ref="B266:C266"/>
    <mergeCell ref="B267:C267"/>
    <mergeCell ref="C270:E270"/>
    <mergeCell ref="C272:E272"/>
    <mergeCell ref="C274:E274"/>
    <mergeCell ref="C280:E280"/>
    <mergeCell ref="B282:E282"/>
    <mergeCell ref="B246:E246"/>
    <mergeCell ref="B244:C244"/>
    <mergeCell ref="B245:C245"/>
    <mergeCell ref="C252:E252"/>
    <mergeCell ref="C258:E258"/>
    <mergeCell ref="B260:E260"/>
    <mergeCell ref="B261:C261"/>
    <mergeCell ref="B262:C262"/>
    <mergeCell ref="B263:C263"/>
    <mergeCell ref="C248:E248"/>
    <mergeCell ref="C250:E250"/>
    <mergeCell ref="B224:E224"/>
    <mergeCell ref="B238:E238"/>
    <mergeCell ref="B239:C239"/>
    <mergeCell ref="B240:C240"/>
    <mergeCell ref="B241:C241"/>
    <mergeCell ref="B242:C242"/>
    <mergeCell ref="B243:C243"/>
    <mergeCell ref="C226:E226"/>
    <mergeCell ref="C228:E228"/>
    <mergeCell ref="C230:E230"/>
    <mergeCell ref="C236:E236"/>
    <mergeCell ref="B202:E202"/>
    <mergeCell ref="B218:C218"/>
    <mergeCell ref="B219:C219"/>
    <mergeCell ref="B220:C220"/>
    <mergeCell ref="B221:C221"/>
    <mergeCell ref="B222:C222"/>
    <mergeCell ref="B223:C223"/>
    <mergeCell ref="C204:E204"/>
    <mergeCell ref="C206:E206"/>
    <mergeCell ref="C208:E208"/>
    <mergeCell ref="C214:E214"/>
    <mergeCell ref="B216:E216"/>
    <mergeCell ref="B217:C217"/>
    <mergeCell ref="C182:E182"/>
    <mergeCell ref="C184:E184"/>
    <mergeCell ref="B180:E180"/>
    <mergeCell ref="B198:C198"/>
    <mergeCell ref="B199:C199"/>
    <mergeCell ref="B200:C200"/>
    <mergeCell ref="B201:C201"/>
    <mergeCell ref="C186:E186"/>
    <mergeCell ref="C192:E192"/>
    <mergeCell ref="B194:E194"/>
    <mergeCell ref="B195:C195"/>
    <mergeCell ref="B196:C196"/>
    <mergeCell ref="B197:C197"/>
    <mergeCell ref="C162:E162"/>
    <mergeCell ref="C164:E164"/>
    <mergeCell ref="C170:E170"/>
    <mergeCell ref="B158:E158"/>
    <mergeCell ref="C168:E168"/>
    <mergeCell ref="B178:C178"/>
    <mergeCell ref="B179:C179"/>
    <mergeCell ref="B172:E172"/>
    <mergeCell ref="B173:C173"/>
    <mergeCell ref="B174:C174"/>
    <mergeCell ref="B175:C175"/>
    <mergeCell ref="B176:C176"/>
    <mergeCell ref="B177:C177"/>
    <mergeCell ref="B151:C151"/>
    <mergeCell ref="B136:E136"/>
    <mergeCell ref="B152:C152"/>
    <mergeCell ref="B153:C153"/>
    <mergeCell ref="B154:C154"/>
    <mergeCell ref="B155:C155"/>
    <mergeCell ref="B156:C156"/>
    <mergeCell ref="B157:C157"/>
    <mergeCell ref="C160:E160"/>
    <mergeCell ref="B132:C132"/>
    <mergeCell ref="B133:C133"/>
    <mergeCell ref="B134:C134"/>
    <mergeCell ref="B135:C135"/>
    <mergeCell ref="C138:E138"/>
    <mergeCell ref="C140:E140"/>
    <mergeCell ref="C142:E142"/>
    <mergeCell ref="C148:E148"/>
    <mergeCell ref="B150:E150"/>
    <mergeCell ref="B112:C112"/>
    <mergeCell ref="B113:C113"/>
    <mergeCell ref="C120:E120"/>
    <mergeCell ref="C126:E126"/>
    <mergeCell ref="B128:E128"/>
    <mergeCell ref="B129:C129"/>
    <mergeCell ref="B130:C130"/>
    <mergeCell ref="B131:C131"/>
    <mergeCell ref="C116:E116"/>
    <mergeCell ref="C118:E118"/>
    <mergeCell ref="B106:E106"/>
    <mergeCell ref="B107:C107"/>
    <mergeCell ref="B108:C108"/>
    <mergeCell ref="B109:C109"/>
    <mergeCell ref="B110:C110"/>
    <mergeCell ref="B111:C111"/>
    <mergeCell ref="C94:E94"/>
    <mergeCell ref="C96:E96"/>
    <mergeCell ref="C98:E98"/>
    <mergeCell ref="C104:E104"/>
    <mergeCell ref="B86:C86"/>
    <mergeCell ref="B87:C87"/>
    <mergeCell ref="B88:C88"/>
    <mergeCell ref="B89:C89"/>
    <mergeCell ref="B90:C90"/>
    <mergeCell ref="B91:C91"/>
    <mergeCell ref="C72:E72"/>
    <mergeCell ref="C74:E74"/>
    <mergeCell ref="C76:E76"/>
    <mergeCell ref="C82:E82"/>
    <mergeCell ref="B84:E84"/>
    <mergeCell ref="B85:C85"/>
    <mergeCell ref="B66:C66"/>
    <mergeCell ref="B67:C67"/>
    <mergeCell ref="B68:C68"/>
    <mergeCell ref="B69:C69"/>
    <mergeCell ref="C54:E54"/>
    <mergeCell ref="C60:E60"/>
    <mergeCell ref="B62:E62"/>
    <mergeCell ref="B63:C63"/>
    <mergeCell ref="B64:C64"/>
    <mergeCell ref="B65:C65"/>
    <mergeCell ref="B47:C47"/>
    <mergeCell ref="B40:E40"/>
    <mergeCell ref="B41:C41"/>
    <mergeCell ref="B42:C42"/>
    <mergeCell ref="B43:C43"/>
    <mergeCell ref="B44:C44"/>
    <mergeCell ref="B45:C45"/>
    <mergeCell ref="C50:E50"/>
    <mergeCell ref="C52:E52"/>
    <mergeCell ref="B1:H1"/>
    <mergeCell ref="A3:B3"/>
    <mergeCell ref="C3:E3"/>
    <mergeCell ref="A4:B4"/>
    <mergeCell ref="C4:E4"/>
    <mergeCell ref="A5:B5"/>
    <mergeCell ref="A6:B6"/>
    <mergeCell ref="C38:E38"/>
    <mergeCell ref="B46:C46"/>
    <mergeCell ref="C500:E500"/>
    <mergeCell ref="B471:E471"/>
    <mergeCell ref="C473:E473"/>
    <mergeCell ref="C475:E475"/>
    <mergeCell ref="C477:E477"/>
    <mergeCell ref="C484:E484"/>
    <mergeCell ref="B486:E486"/>
    <mergeCell ref="B487:C487"/>
    <mergeCell ref="B488:C488"/>
    <mergeCell ref="B489:C489"/>
    <mergeCell ref="B493:C493"/>
    <mergeCell ref="B494:E494"/>
    <mergeCell ref="C496:E496"/>
    <mergeCell ref="C498:E498"/>
  </mergeCells>
  <phoneticPr fontId="18" type="noConversion"/>
  <pageMargins left="0.39370078740157483" right="0.31496062992125984" top="0.31496062992125984" bottom="0.31496062992125984" header="0.31496062992125984" footer="0.31496062992125984"/>
  <pageSetup paperSize="5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topLeftCell="A76" workbookViewId="0">
      <selection activeCell="H28" sqref="H28"/>
    </sheetView>
  </sheetViews>
  <sheetFormatPr baseColWidth="10" defaultColWidth="11" defaultRowHeight="12.75" x14ac:dyDescent="0.2"/>
  <cols>
    <col min="1" max="1" width="3.5703125" style="1" customWidth="1"/>
    <col min="2" max="2" width="19.28515625" style="1" customWidth="1"/>
    <col min="3" max="3" width="29.28515625" style="1" customWidth="1"/>
    <col min="4" max="4" width="8.85546875" style="1" customWidth="1"/>
    <col min="5" max="5" width="110.140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1" spans="1:9" ht="27" x14ac:dyDescent="0.35">
      <c r="B1" s="184" t="s">
        <v>0</v>
      </c>
      <c r="C1" s="184"/>
      <c r="D1" s="184"/>
      <c r="E1" s="184"/>
      <c r="F1" s="184"/>
      <c r="G1" s="184"/>
      <c r="H1" s="184"/>
    </row>
    <row r="2" spans="1:9" ht="8.25" customHeight="1" x14ac:dyDescent="0.2"/>
    <row r="3" spans="1:9" ht="18" customHeight="1" x14ac:dyDescent="0.25">
      <c r="A3" s="185" t="s">
        <v>1</v>
      </c>
      <c r="B3" s="185"/>
      <c r="C3" s="186" t="s">
        <v>27</v>
      </c>
      <c r="D3" s="186"/>
      <c r="E3" s="186"/>
      <c r="F3" s="2"/>
      <c r="G3" s="3"/>
      <c r="H3" s="2"/>
    </row>
    <row r="4" spans="1:9" ht="18" customHeight="1" x14ac:dyDescent="0.25">
      <c r="A4" s="185" t="s">
        <v>2</v>
      </c>
      <c r="B4" s="185"/>
      <c r="C4" s="186" t="s">
        <v>23</v>
      </c>
      <c r="D4" s="186"/>
      <c r="E4" s="186"/>
      <c r="F4" s="2"/>
      <c r="G4" s="3"/>
      <c r="H4" s="2"/>
    </row>
    <row r="5" spans="1:9" ht="16.5" customHeight="1" x14ac:dyDescent="0.25">
      <c r="A5" s="185" t="s">
        <v>3</v>
      </c>
      <c r="B5" s="185"/>
      <c r="C5" s="20">
        <v>2020</v>
      </c>
      <c r="D5" s="21"/>
      <c r="E5" s="21"/>
      <c r="F5" s="2"/>
      <c r="G5" s="3"/>
      <c r="H5" s="2"/>
    </row>
    <row r="6" spans="1:9" ht="16.5" customHeight="1" x14ac:dyDescent="0.25">
      <c r="A6" s="185" t="s">
        <v>4</v>
      </c>
      <c r="B6" s="185"/>
      <c r="C6" s="20">
        <v>4</v>
      </c>
      <c r="D6" s="21"/>
      <c r="E6" s="21"/>
      <c r="F6" s="2"/>
      <c r="G6" s="3"/>
      <c r="H6" s="2"/>
    </row>
    <row r="7" spans="1:9" ht="9" customHeight="1" thickBot="1" x14ac:dyDescent="0.25">
      <c r="B7" s="2"/>
      <c r="C7" s="3"/>
      <c r="D7" s="2"/>
      <c r="E7" s="2"/>
      <c r="F7" s="2"/>
      <c r="G7" s="3"/>
      <c r="H7" s="2"/>
    </row>
    <row r="8" spans="1:9" ht="39" thickBot="1" x14ac:dyDescent="0.25">
      <c r="A8" s="23" t="s">
        <v>5</v>
      </c>
      <c r="B8" s="32" t="s">
        <v>6</v>
      </c>
      <c r="C8" s="23" t="s">
        <v>7</v>
      </c>
      <c r="D8" s="23" t="s">
        <v>8</v>
      </c>
      <c r="E8" s="32" t="s">
        <v>9</v>
      </c>
      <c r="F8" s="24" t="s">
        <v>10</v>
      </c>
      <c r="G8" s="25" t="s">
        <v>11</v>
      </c>
      <c r="H8" s="25" t="s">
        <v>12</v>
      </c>
      <c r="I8" s="26" t="s">
        <v>13</v>
      </c>
    </row>
    <row r="9" spans="1:9" x14ac:dyDescent="0.2">
      <c r="A9" s="4">
        <v>1</v>
      </c>
      <c r="B9" s="29" t="s">
        <v>83</v>
      </c>
      <c r="C9" s="43" t="s">
        <v>71</v>
      </c>
      <c r="D9" s="46" t="s">
        <v>72</v>
      </c>
      <c r="E9" s="29" t="s">
        <v>86</v>
      </c>
      <c r="F9" s="39" t="s">
        <v>79</v>
      </c>
      <c r="G9" s="40">
        <v>240</v>
      </c>
      <c r="H9" s="104"/>
      <c r="I9" s="107">
        <f>G9*H9</f>
        <v>0</v>
      </c>
    </row>
    <row r="10" spans="1:9" x14ac:dyDescent="0.2">
      <c r="A10" s="5">
        <v>2</v>
      </c>
      <c r="B10" s="22" t="s">
        <v>84</v>
      </c>
      <c r="C10" s="44" t="s">
        <v>71</v>
      </c>
      <c r="D10" s="47" t="s">
        <v>72</v>
      </c>
      <c r="E10" s="22" t="s">
        <v>87</v>
      </c>
      <c r="F10" s="30" t="s">
        <v>79</v>
      </c>
      <c r="G10" s="31">
        <v>240</v>
      </c>
      <c r="H10" s="105"/>
      <c r="I10" s="108">
        <f>G10*H10</f>
        <v>0</v>
      </c>
    </row>
    <row r="11" spans="1:9" ht="13.5" thickBot="1" x14ac:dyDescent="0.25">
      <c r="A11" s="6">
        <v>3</v>
      </c>
      <c r="B11" s="27" t="s">
        <v>85</v>
      </c>
      <c r="C11" s="45" t="s">
        <v>71</v>
      </c>
      <c r="D11" s="48" t="s">
        <v>72</v>
      </c>
      <c r="E11" s="27" t="s">
        <v>88</v>
      </c>
      <c r="F11" s="41" t="s">
        <v>79</v>
      </c>
      <c r="G11" s="42">
        <v>240</v>
      </c>
      <c r="H11" s="106"/>
      <c r="I11" s="109">
        <f>G11*H11</f>
        <v>0</v>
      </c>
    </row>
    <row r="14" spans="1:9" x14ac:dyDescent="0.2">
      <c r="B14" s="7" t="s">
        <v>15</v>
      </c>
      <c r="C14" s="8"/>
      <c r="D14" s="8"/>
      <c r="E14" s="9"/>
    </row>
    <row r="15" spans="1:9" ht="5.25" customHeight="1" x14ac:dyDescent="0.2">
      <c r="B15" s="10"/>
      <c r="C15" s="11"/>
      <c r="D15" s="11"/>
      <c r="E15" s="12"/>
    </row>
    <row r="16" spans="1:9" x14ac:dyDescent="0.2">
      <c r="B16" s="13" t="s">
        <v>16</v>
      </c>
      <c r="C16" s="11"/>
      <c r="D16" s="11"/>
      <c r="E16" s="12"/>
    </row>
    <row r="17" spans="2:5" x14ac:dyDescent="0.2">
      <c r="B17" s="13"/>
      <c r="C17" s="193" t="s">
        <v>89</v>
      </c>
      <c r="D17" s="193"/>
      <c r="E17" s="194"/>
    </row>
    <row r="18" spans="2:5" ht="13.5" thickBot="1" x14ac:dyDescent="0.25">
      <c r="B18" s="13" t="s">
        <v>17</v>
      </c>
      <c r="C18" s="11"/>
      <c r="D18" s="11"/>
      <c r="E18" s="12"/>
    </row>
    <row r="19" spans="2:5" ht="13.5" thickBot="1" x14ac:dyDescent="0.25">
      <c r="B19" s="187" t="s">
        <v>98</v>
      </c>
      <c r="C19" s="191"/>
      <c r="D19" s="191"/>
      <c r="E19" s="188"/>
    </row>
    <row r="20" spans="2:5" ht="13.5" thickBot="1" x14ac:dyDescent="0.25">
      <c r="B20" s="187" t="s">
        <v>99</v>
      </c>
      <c r="C20" s="188"/>
      <c r="D20" s="49" t="s">
        <v>11</v>
      </c>
      <c r="E20" s="49" t="s">
        <v>100</v>
      </c>
    </row>
    <row r="21" spans="2:5" x14ac:dyDescent="0.2">
      <c r="B21" s="228" t="s">
        <v>250</v>
      </c>
      <c r="C21" s="228"/>
      <c r="D21" s="101">
        <v>1</v>
      </c>
      <c r="E21" s="102" t="s">
        <v>249</v>
      </c>
    </row>
    <row r="22" spans="2:5" x14ac:dyDescent="0.2">
      <c r="B22" s="227" t="s">
        <v>251</v>
      </c>
      <c r="C22" s="227"/>
      <c r="D22" s="97">
        <v>1</v>
      </c>
      <c r="E22" s="98" t="s">
        <v>207</v>
      </c>
    </row>
    <row r="23" spans="2:5" x14ac:dyDescent="0.2">
      <c r="B23" s="227" t="s">
        <v>253</v>
      </c>
      <c r="C23" s="227"/>
      <c r="D23" s="97">
        <v>1</v>
      </c>
      <c r="E23" s="98" t="s">
        <v>208</v>
      </c>
    </row>
    <row r="24" spans="2:5" x14ac:dyDescent="0.2">
      <c r="B24" s="227" t="s">
        <v>252</v>
      </c>
      <c r="C24" s="227"/>
      <c r="D24" s="97">
        <v>1</v>
      </c>
      <c r="E24" s="98" t="s">
        <v>209</v>
      </c>
    </row>
    <row r="25" spans="2:5" x14ac:dyDescent="0.2">
      <c r="B25" s="227" t="s">
        <v>247</v>
      </c>
      <c r="C25" s="227"/>
      <c r="D25" s="97">
        <v>1</v>
      </c>
      <c r="E25" s="98" t="s">
        <v>248</v>
      </c>
    </row>
    <row r="26" spans="2:5" x14ac:dyDescent="0.2">
      <c r="B26" s="227" t="s">
        <v>210</v>
      </c>
      <c r="C26" s="227"/>
      <c r="D26" s="97">
        <v>1</v>
      </c>
      <c r="E26" s="98" t="s">
        <v>211</v>
      </c>
    </row>
    <row r="27" spans="2:5" x14ac:dyDescent="0.2">
      <c r="B27" s="227" t="s">
        <v>212</v>
      </c>
      <c r="C27" s="227"/>
      <c r="D27" s="97">
        <v>1</v>
      </c>
      <c r="E27" s="98" t="s">
        <v>213</v>
      </c>
    </row>
    <row r="28" spans="2:5" x14ac:dyDescent="0.2">
      <c r="B28" s="227" t="s">
        <v>214</v>
      </c>
      <c r="C28" s="227"/>
      <c r="D28" s="97">
        <v>1</v>
      </c>
      <c r="E28" s="98" t="s">
        <v>215</v>
      </c>
    </row>
    <row r="29" spans="2:5" x14ac:dyDescent="0.2">
      <c r="B29" s="227" t="s">
        <v>216</v>
      </c>
      <c r="C29" s="227"/>
      <c r="D29" s="97">
        <v>1</v>
      </c>
      <c r="E29" s="98" t="s">
        <v>217</v>
      </c>
    </row>
    <row r="30" spans="2:5" x14ac:dyDescent="0.2">
      <c r="B30" s="227" t="s">
        <v>254</v>
      </c>
      <c r="C30" s="227"/>
      <c r="D30" s="97">
        <v>1</v>
      </c>
      <c r="E30" s="98" t="s">
        <v>218</v>
      </c>
    </row>
    <row r="31" spans="2:5" x14ac:dyDescent="0.2">
      <c r="B31" s="227" t="s">
        <v>219</v>
      </c>
      <c r="C31" s="227"/>
      <c r="D31" s="97">
        <v>1</v>
      </c>
      <c r="E31" s="98" t="s">
        <v>220</v>
      </c>
    </row>
    <row r="32" spans="2:5" x14ac:dyDescent="0.2">
      <c r="B32" s="227" t="s">
        <v>221</v>
      </c>
      <c r="C32" s="227"/>
      <c r="D32" s="97">
        <v>1</v>
      </c>
      <c r="E32" s="98" t="s">
        <v>222</v>
      </c>
    </row>
    <row r="33" spans="2:5" x14ac:dyDescent="0.2">
      <c r="B33" s="227" t="s">
        <v>255</v>
      </c>
      <c r="C33" s="227"/>
      <c r="D33" s="97">
        <v>1</v>
      </c>
      <c r="E33" s="98" t="s">
        <v>223</v>
      </c>
    </row>
    <row r="34" spans="2:5" x14ac:dyDescent="0.2">
      <c r="B34" s="227" t="s">
        <v>224</v>
      </c>
      <c r="C34" s="227"/>
      <c r="D34" s="97">
        <v>1</v>
      </c>
      <c r="E34" s="98" t="s">
        <v>225</v>
      </c>
    </row>
    <row r="35" spans="2:5" x14ac:dyDescent="0.2">
      <c r="B35" s="227" t="s">
        <v>226</v>
      </c>
      <c r="C35" s="227"/>
      <c r="D35" s="97">
        <v>1</v>
      </c>
      <c r="E35" s="98" t="s">
        <v>227</v>
      </c>
    </row>
    <row r="36" spans="2:5" x14ac:dyDescent="0.2">
      <c r="B36" s="227" t="s">
        <v>228</v>
      </c>
      <c r="C36" s="227"/>
      <c r="D36" s="97">
        <v>1</v>
      </c>
      <c r="E36" s="98" t="s">
        <v>229</v>
      </c>
    </row>
    <row r="37" spans="2:5" x14ac:dyDescent="0.2">
      <c r="B37" s="227" t="s">
        <v>230</v>
      </c>
      <c r="C37" s="227"/>
      <c r="D37" s="97">
        <v>1</v>
      </c>
      <c r="E37" s="98" t="s">
        <v>231</v>
      </c>
    </row>
    <row r="38" spans="2:5" x14ac:dyDescent="0.2">
      <c r="B38" s="227" t="s">
        <v>232</v>
      </c>
      <c r="C38" s="227"/>
      <c r="D38" s="97">
        <v>1</v>
      </c>
      <c r="E38" s="98" t="s">
        <v>233</v>
      </c>
    </row>
    <row r="39" spans="2:5" x14ac:dyDescent="0.2">
      <c r="B39" s="227" t="s">
        <v>234</v>
      </c>
      <c r="C39" s="227"/>
      <c r="D39" s="97">
        <v>1</v>
      </c>
      <c r="E39" s="98" t="s">
        <v>235</v>
      </c>
    </row>
    <row r="40" spans="2:5" ht="13.5" thickBot="1" x14ac:dyDescent="0.25">
      <c r="B40" s="229" t="s">
        <v>256</v>
      </c>
      <c r="C40" s="229"/>
      <c r="D40" s="99">
        <v>1</v>
      </c>
      <c r="E40" s="100" t="s">
        <v>257</v>
      </c>
    </row>
    <row r="41" spans="2:5" ht="24.75" customHeight="1" thickBot="1" x14ac:dyDescent="0.25">
      <c r="B41" s="230" t="s">
        <v>246</v>
      </c>
      <c r="C41" s="231"/>
      <c r="D41" s="231"/>
      <c r="E41" s="232"/>
    </row>
    <row r="42" spans="2:5" x14ac:dyDescent="0.2">
      <c r="B42" s="13" t="s">
        <v>18</v>
      </c>
      <c r="C42" s="11"/>
      <c r="D42" s="11"/>
      <c r="E42" s="12"/>
    </row>
    <row r="43" spans="2:5" x14ac:dyDescent="0.2">
      <c r="B43" s="14"/>
      <c r="C43" s="195" t="s">
        <v>24</v>
      </c>
      <c r="D43" s="195"/>
      <c r="E43" s="195"/>
    </row>
    <row r="44" spans="2:5" x14ac:dyDescent="0.2">
      <c r="B44" s="13" t="s">
        <v>19</v>
      </c>
      <c r="C44" s="15"/>
      <c r="D44" s="15"/>
      <c r="E44" s="16"/>
    </row>
    <row r="45" spans="2:5" x14ac:dyDescent="0.2">
      <c r="B45" s="14"/>
      <c r="C45" s="195" t="s">
        <v>101</v>
      </c>
      <c r="D45" s="195"/>
      <c r="E45" s="195"/>
    </row>
    <row r="46" spans="2:5" x14ac:dyDescent="0.2">
      <c r="B46" s="13" t="s">
        <v>20</v>
      </c>
      <c r="C46" s="11"/>
      <c r="D46" s="11"/>
      <c r="E46" s="12"/>
    </row>
    <row r="47" spans="2:5" x14ac:dyDescent="0.2">
      <c r="B47" s="13"/>
      <c r="C47" s="181" t="s">
        <v>25</v>
      </c>
      <c r="D47" s="181"/>
      <c r="E47" s="181"/>
    </row>
    <row r="48" spans="2:5" ht="13.5" thickBot="1" x14ac:dyDescent="0.25">
      <c r="B48" s="17"/>
      <c r="C48" s="18"/>
      <c r="D48" s="18"/>
      <c r="E48" s="19"/>
    </row>
    <row r="50" spans="2:5" x14ac:dyDescent="0.2">
      <c r="B50" s="7" t="s">
        <v>21</v>
      </c>
      <c r="C50" s="8"/>
      <c r="D50" s="8"/>
      <c r="E50" s="9"/>
    </row>
    <row r="51" spans="2:5" x14ac:dyDescent="0.2">
      <c r="B51" s="10"/>
      <c r="C51" s="11"/>
      <c r="D51" s="11"/>
      <c r="E51" s="12"/>
    </row>
    <row r="52" spans="2:5" x14ac:dyDescent="0.2">
      <c r="B52" s="13" t="s">
        <v>16</v>
      </c>
      <c r="C52" s="11"/>
      <c r="D52" s="11"/>
      <c r="E52" s="12"/>
    </row>
    <row r="53" spans="2:5" x14ac:dyDescent="0.2">
      <c r="B53" s="13"/>
      <c r="C53" s="193" t="s">
        <v>89</v>
      </c>
      <c r="D53" s="193"/>
      <c r="E53" s="194"/>
    </row>
    <row r="54" spans="2:5" ht="13.5" thickBot="1" x14ac:dyDescent="0.25">
      <c r="B54" s="13" t="s">
        <v>17</v>
      </c>
      <c r="C54" s="11"/>
      <c r="D54" s="11"/>
      <c r="E54" s="12"/>
    </row>
    <row r="55" spans="2:5" ht="13.5" thickBot="1" x14ac:dyDescent="0.25">
      <c r="B55" s="187" t="s">
        <v>98</v>
      </c>
      <c r="C55" s="191"/>
      <c r="D55" s="191"/>
      <c r="E55" s="188"/>
    </row>
    <row r="56" spans="2:5" ht="13.5" thickBot="1" x14ac:dyDescent="0.25">
      <c r="B56" s="187" t="s">
        <v>99</v>
      </c>
      <c r="C56" s="188"/>
      <c r="D56" s="49" t="s">
        <v>11</v>
      </c>
      <c r="E56" s="49" t="s">
        <v>100</v>
      </c>
    </row>
    <row r="57" spans="2:5" x14ac:dyDescent="0.2">
      <c r="B57" s="228" t="s">
        <v>250</v>
      </c>
      <c r="C57" s="228"/>
      <c r="D57" s="101">
        <v>1</v>
      </c>
      <c r="E57" s="102" t="s">
        <v>249</v>
      </c>
    </row>
    <row r="58" spans="2:5" x14ac:dyDescent="0.2">
      <c r="B58" s="227" t="s">
        <v>251</v>
      </c>
      <c r="C58" s="227"/>
      <c r="D58" s="97">
        <v>1</v>
      </c>
      <c r="E58" s="98" t="s">
        <v>207</v>
      </c>
    </row>
    <row r="59" spans="2:5" x14ac:dyDescent="0.2">
      <c r="B59" s="227" t="s">
        <v>253</v>
      </c>
      <c r="C59" s="227"/>
      <c r="D59" s="97">
        <v>1</v>
      </c>
      <c r="E59" s="98" t="s">
        <v>208</v>
      </c>
    </row>
    <row r="60" spans="2:5" x14ac:dyDescent="0.2">
      <c r="B60" s="227" t="s">
        <v>252</v>
      </c>
      <c r="C60" s="227"/>
      <c r="D60" s="97">
        <v>1</v>
      </c>
      <c r="E60" s="98" t="s">
        <v>209</v>
      </c>
    </row>
    <row r="61" spans="2:5" x14ac:dyDescent="0.2">
      <c r="B61" s="227" t="s">
        <v>247</v>
      </c>
      <c r="C61" s="227"/>
      <c r="D61" s="97">
        <v>1</v>
      </c>
      <c r="E61" s="98" t="s">
        <v>248</v>
      </c>
    </row>
    <row r="62" spans="2:5" x14ac:dyDescent="0.2">
      <c r="B62" s="227" t="s">
        <v>210</v>
      </c>
      <c r="C62" s="227"/>
      <c r="D62" s="97">
        <v>1</v>
      </c>
      <c r="E62" s="98" t="s">
        <v>211</v>
      </c>
    </row>
    <row r="63" spans="2:5" x14ac:dyDescent="0.2">
      <c r="B63" s="227" t="s">
        <v>212</v>
      </c>
      <c r="C63" s="227"/>
      <c r="D63" s="97">
        <v>1</v>
      </c>
      <c r="E63" s="98" t="s">
        <v>213</v>
      </c>
    </row>
    <row r="64" spans="2:5" x14ac:dyDescent="0.2">
      <c r="B64" s="227" t="s">
        <v>214</v>
      </c>
      <c r="C64" s="227"/>
      <c r="D64" s="97">
        <v>1</v>
      </c>
      <c r="E64" s="98" t="s">
        <v>215</v>
      </c>
    </row>
    <row r="65" spans="2:5" x14ac:dyDescent="0.2">
      <c r="B65" s="227" t="s">
        <v>216</v>
      </c>
      <c r="C65" s="227"/>
      <c r="D65" s="97">
        <v>1</v>
      </c>
      <c r="E65" s="98" t="s">
        <v>217</v>
      </c>
    </row>
    <row r="66" spans="2:5" x14ac:dyDescent="0.2">
      <c r="B66" s="227" t="s">
        <v>254</v>
      </c>
      <c r="C66" s="227"/>
      <c r="D66" s="97">
        <v>1</v>
      </c>
      <c r="E66" s="98" t="s">
        <v>218</v>
      </c>
    </row>
    <row r="67" spans="2:5" x14ac:dyDescent="0.2">
      <c r="B67" s="227" t="s">
        <v>219</v>
      </c>
      <c r="C67" s="227"/>
      <c r="D67" s="97">
        <v>1</v>
      </c>
      <c r="E67" s="98" t="s">
        <v>220</v>
      </c>
    </row>
    <row r="68" spans="2:5" x14ac:dyDescent="0.2">
      <c r="B68" s="227" t="s">
        <v>221</v>
      </c>
      <c r="C68" s="227"/>
      <c r="D68" s="97">
        <v>1</v>
      </c>
      <c r="E68" s="98" t="s">
        <v>222</v>
      </c>
    </row>
    <row r="69" spans="2:5" x14ac:dyDescent="0.2">
      <c r="B69" s="227" t="s">
        <v>255</v>
      </c>
      <c r="C69" s="227"/>
      <c r="D69" s="97">
        <v>1</v>
      </c>
      <c r="E69" s="98" t="s">
        <v>223</v>
      </c>
    </row>
    <row r="70" spans="2:5" x14ac:dyDescent="0.2">
      <c r="B70" s="227" t="s">
        <v>224</v>
      </c>
      <c r="C70" s="227"/>
      <c r="D70" s="97">
        <v>1</v>
      </c>
      <c r="E70" s="98" t="s">
        <v>225</v>
      </c>
    </row>
    <row r="71" spans="2:5" x14ac:dyDescent="0.2">
      <c r="B71" s="227" t="s">
        <v>226</v>
      </c>
      <c r="C71" s="227"/>
      <c r="D71" s="97">
        <v>1</v>
      </c>
      <c r="E71" s="98" t="s">
        <v>227</v>
      </c>
    </row>
    <row r="72" spans="2:5" x14ac:dyDescent="0.2">
      <c r="B72" s="227" t="s">
        <v>228</v>
      </c>
      <c r="C72" s="227"/>
      <c r="D72" s="97">
        <v>1</v>
      </c>
      <c r="E72" s="98" t="s">
        <v>229</v>
      </c>
    </row>
    <row r="73" spans="2:5" x14ac:dyDescent="0.2">
      <c r="B73" s="227" t="s">
        <v>230</v>
      </c>
      <c r="C73" s="227"/>
      <c r="D73" s="97">
        <v>1</v>
      </c>
      <c r="E73" s="98" t="s">
        <v>231</v>
      </c>
    </row>
    <row r="74" spans="2:5" x14ac:dyDescent="0.2">
      <c r="B74" s="227" t="s">
        <v>232</v>
      </c>
      <c r="C74" s="227"/>
      <c r="D74" s="97">
        <v>1</v>
      </c>
      <c r="E74" s="98" t="s">
        <v>233</v>
      </c>
    </row>
    <row r="75" spans="2:5" x14ac:dyDescent="0.2">
      <c r="B75" s="227" t="s">
        <v>234</v>
      </c>
      <c r="C75" s="227"/>
      <c r="D75" s="97">
        <v>1</v>
      </c>
      <c r="E75" s="98" t="s">
        <v>235</v>
      </c>
    </row>
    <row r="76" spans="2:5" ht="13.5" thickBot="1" x14ac:dyDescent="0.25">
      <c r="B76" s="227" t="s">
        <v>256</v>
      </c>
      <c r="C76" s="227"/>
      <c r="D76" s="97">
        <v>1</v>
      </c>
      <c r="E76" s="98" t="s">
        <v>257</v>
      </c>
    </row>
    <row r="77" spans="2:5" ht="24.75" customHeight="1" thickBot="1" x14ac:dyDescent="0.25">
      <c r="B77" s="230" t="s">
        <v>246</v>
      </c>
      <c r="C77" s="231"/>
      <c r="D77" s="231"/>
      <c r="E77" s="232"/>
    </row>
    <row r="78" spans="2:5" x14ac:dyDescent="0.2">
      <c r="B78" s="13" t="s">
        <v>18</v>
      </c>
      <c r="C78" s="11"/>
      <c r="D78" s="11"/>
      <c r="E78" s="12"/>
    </row>
    <row r="79" spans="2:5" x14ac:dyDescent="0.2">
      <c r="B79" s="14"/>
      <c r="C79" s="195" t="s">
        <v>24</v>
      </c>
      <c r="D79" s="195"/>
      <c r="E79" s="195"/>
    </row>
    <row r="80" spans="2:5" x14ac:dyDescent="0.2">
      <c r="B80" s="13" t="s">
        <v>19</v>
      </c>
      <c r="C80" s="15"/>
      <c r="D80" s="15"/>
      <c r="E80" s="16"/>
    </row>
    <row r="81" spans="2:5" x14ac:dyDescent="0.2">
      <c r="B81" s="14"/>
      <c r="C81" s="195" t="s">
        <v>101</v>
      </c>
      <c r="D81" s="195"/>
      <c r="E81" s="195"/>
    </row>
    <row r="82" spans="2:5" x14ac:dyDescent="0.2">
      <c r="B82" s="13" t="s">
        <v>20</v>
      </c>
      <c r="C82" s="11"/>
      <c r="D82" s="11"/>
      <c r="E82" s="12"/>
    </row>
    <row r="83" spans="2:5" x14ac:dyDescent="0.2">
      <c r="B83" s="13"/>
      <c r="C83" s="181" t="s">
        <v>25</v>
      </c>
      <c r="D83" s="181"/>
      <c r="E83" s="181"/>
    </row>
    <row r="84" spans="2:5" ht="13.5" thickBot="1" x14ac:dyDescent="0.25">
      <c r="B84" s="17"/>
      <c r="C84" s="18"/>
      <c r="D84" s="18"/>
      <c r="E84" s="19"/>
    </row>
    <row r="85" spans="2:5" ht="13.5" thickBot="1" x14ac:dyDescent="0.25"/>
    <row r="86" spans="2:5" x14ac:dyDescent="0.2">
      <c r="B86" s="7" t="s">
        <v>26</v>
      </c>
      <c r="C86" s="8"/>
      <c r="D86" s="8"/>
      <c r="E86" s="9"/>
    </row>
    <row r="87" spans="2:5" x14ac:dyDescent="0.2">
      <c r="B87" s="10"/>
      <c r="C87" s="11"/>
      <c r="D87" s="11"/>
      <c r="E87" s="12"/>
    </row>
    <row r="88" spans="2:5" x14ac:dyDescent="0.2">
      <c r="B88" s="13" t="s">
        <v>16</v>
      </c>
      <c r="C88" s="11"/>
      <c r="D88" s="11"/>
      <c r="E88" s="12"/>
    </row>
    <row r="89" spans="2:5" x14ac:dyDescent="0.2">
      <c r="B89" s="13"/>
      <c r="C89" s="193" t="s">
        <v>89</v>
      </c>
      <c r="D89" s="193"/>
      <c r="E89" s="194"/>
    </row>
    <row r="90" spans="2:5" ht="13.5" thickBot="1" x14ac:dyDescent="0.25">
      <c r="B90" s="13" t="s">
        <v>17</v>
      </c>
      <c r="C90" s="11"/>
      <c r="D90" s="11"/>
      <c r="E90" s="12"/>
    </row>
    <row r="91" spans="2:5" ht="13.5" thickBot="1" x14ac:dyDescent="0.25">
      <c r="B91" s="187" t="s">
        <v>98</v>
      </c>
      <c r="C91" s="191"/>
      <c r="D91" s="191"/>
      <c r="E91" s="188"/>
    </row>
    <row r="92" spans="2:5" ht="13.5" thickBot="1" x14ac:dyDescent="0.25">
      <c r="B92" s="187" t="s">
        <v>99</v>
      </c>
      <c r="C92" s="188"/>
      <c r="D92" s="49" t="s">
        <v>11</v>
      </c>
      <c r="E92" s="49" t="s">
        <v>100</v>
      </c>
    </row>
    <row r="93" spans="2:5" x14ac:dyDescent="0.2">
      <c r="B93" s="228" t="s">
        <v>250</v>
      </c>
      <c r="C93" s="228"/>
      <c r="D93" s="101">
        <v>1</v>
      </c>
      <c r="E93" s="102" t="s">
        <v>249</v>
      </c>
    </row>
    <row r="94" spans="2:5" x14ac:dyDescent="0.2">
      <c r="B94" s="227" t="s">
        <v>251</v>
      </c>
      <c r="C94" s="227"/>
      <c r="D94" s="97">
        <v>1</v>
      </c>
      <c r="E94" s="98" t="s">
        <v>207</v>
      </c>
    </row>
    <row r="95" spans="2:5" x14ac:dyDescent="0.2">
      <c r="B95" s="227" t="s">
        <v>253</v>
      </c>
      <c r="C95" s="227"/>
      <c r="D95" s="97">
        <v>1</v>
      </c>
      <c r="E95" s="98" t="s">
        <v>208</v>
      </c>
    </row>
    <row r="96" spans="2:5" x14ac:dyDescent="0.2">
      <c r="B96" s="227" t="s">
        <v>252</v>
      </c>
      <c r="C96" s="227"/>
      <c r="D96" s="97">
        <v>1</v>
      </c>
      <c r="E96" s="98" t="s">
        <v>209</v>
      </c>
    </row>
    <row r="97" spans="2:5" x14ac:dyDescent="0.2">
      <c r="B97" s="227" t="s">
        <v>247</v>
      </c>
      <c r="C97" s="227"/>
      <c r="D97" s="97">
        <v>1</v>
      </c>
      <c r="E97" s="98" t="s">
        <v>248</v>
      </c>
    </row>
    <row r="98" spans="2:5" x14ac:dyDescent="0.2">
      <c r="B98" s="227" t="s">
        <v>210</v>
      </c>
      <c r="C98" s="227"/>
      <c r="D98" s="97">
        <v>1</v>
      </c>
      <c r="E98" s="98" t="s">
        <v>211</v>
      </c>
    </row>
    <row r="99" spans="2:5" x14ac:dyDescent="0.2">
      <c r="B99" s="227" t="s">
        <v>212</v>
      </c>
      <c r="C99" s="227"/>
      <c r="D99" s="97">
        <v>1</v>
      </c>
      <c r="E99" s="98" t="s">
        <v>213</v>
      </c>
    </row>
    <row r="100" spans="2:5" x14ac:dyDescent="0.2">
      <c r="B100" s="227" t="s">
        <v>214</v>
      </c>
      <c r="C100" s="227"/>
      <c r="D100" s="97">
        <v>1</v>
      </c>
      <c r="E100" s="98" t="s">
        <v>215</v>
      </c>
    </row>
    <row r="101" spans="2:5" x14ac:dyDescent="0.2">
      <c r="B101" s="227" t="s">
        <v>216</v>
      </c>
      <c r="C101" s="227"/>
      <c r="D101" s="97">
        <v>1</v>
      </c>
      <c r="E101" s="98" t="s">
        <v>217</v>
      </c>
    </row>
    <row r="102" spans="2:5" x14ac:dyDescent="0.2">
      <c r="B102" s="227" t="s">
        <v>254</v>
      </c>
      <c r="C102" s="227"/>
      <c r="D102" s="97">
        <v>1</v>
      </c>
      <c r="E102" s="98" t="s">
        <v>218</v>
      </c>
    </row>
    <row r="103" spans="2:5" x14ac:dyDescent="0.2">
      <c r="B103" s="227" t="s">
        <v>219</v>
      </c>
      <c r="C103" s="227"/>
      <c r="D103" s="97">
        <v>1</v>
      </c>
      <c r="E103" s="98" t="s">
        <v>220</v>
      </c>
    </row>
    <row r="104" spans="2:5" x14ac:dyDescent="0.2">
      <c r="B104" s="227" t="s">
        <v>221</v>
      </c>
      <c r="C104" s="227"/>
      <c r="D104" s="97">
        <v>1</v>
      </c>
      <c r="E104" s="98" t="s">
        <v>222</v>
      </c>
    </row>
    <row r="105" spans="2:5" x14ac:dyDescent="0.2">
      <c r="B105" s="227" t="s">
        <v>255</v>
      </c>
      <c r="C105" s="227"/>
      <c r="D105" s="97">
        <v>1</v>
      </c>
      <c r="E105" s="98" t="s">
        <v>223</v>
      </c>
    </row>
    <row r="106" spans="2:5" x14ac:dyDescent="0.2">
      <c r="B106" s="227" t="s">
        <v>224</v>
      </c>
      <c r="C106" s="227"/>
      <c r="D106" s="97">
        <v>1</v>
      </c>
      <c r="E106" s="98" t="s">
        <v>225</v>
      </c>
    </row>
    <row r="107" spans="2:5" x14ac:dyDescent="0.2">
      <c r="B107" s="227" t="s">
        <v>226</v>
      </c>
      <c r="C107" s="227"/>
      <c r="D107" s="97">
        <v>1</v>
      </c>
      <c r="E107" s="98" t="s">
        <v>227</v>
      </c>
    </row>
    <row r="108" spans="2:5" x14ac:dyDescent="0.2">
      <c r="B108" s="227" t="s">
        <v>228</v>
      </c>
      <c r="C108" s="227"/>
      <c r="D108" s="97">
        <v>1</v>
      </c>
      <c r="E108" s="98" t="s">
        <v>229</v>
      </c>
    </row>
    <row r="109" spans="2:5" x14ac:dyDescent="0.2">
      <c r="B109" s="227" t="s">
        <v>230</v>
      </c>
      <c r="C109" s="227"/>
      <c r="D109" s="97">
        <v>1</v>
      </c>
      <c r="E109" s="98" t="s">
        <v>231</v>
      </c>
    </row>
    <row r="110" spans="2:5" x14ac:dyDescent="0.2">
      <c r="B110" s="227" t="s">
        <v>232</v>
      </c>
      <c r="C110" s="227"/>
      <c r="D110" s="97">
        <v>1</v>
      </c>
      <c r="E110" s="98" t="s">
        <v>233</v>
      </c>
    </row>
    <row r="111" spans="2:5" x14ac:dyDescent="0.2">
      <c r="B111" s="227" t="s">
        <v>234</v>
      </c>
      <c r="C111" s="227"/>
      <c r="D111" s="97">
        <v>1</v>
      </c>
      <c r="E111" s="98" t="s">
        <v>235</v>
      </c>
    </row>
    <row r="112" spans="2:5" ht="13.5" thickBot="1" x14ac:dyDescent="0.25">
      <c r="B112" s="229" t="s">
        <v>256</v>
      </c>
      <c r="C112" s="229"/>
      <c r="D112" s="99">
        <v>1</v>
      </c>
      <c r="E112" s="100" t="s">
        <v>257</v>
      </c>
    </row>
    <row r="113" spans="2:5" ht="24.75" customHeight="1" thickBot="1" x14ac:dyDescent="0.25">
      <c r="B113" s="230" t="s">
        <v>246</v>
      </c>
      <c r="C113" s="231"/>
      <c r="D113" s="231"/>
      <c r="E113" s="232"/>
    </row>
    <row r="114" spans="2:5" x14ac:dyDescent="0.2">
      <c r="B114" s="13" t="s">
        <v>18</v>
      </c>
      <c r="C114" s="11"/>
      <c r="D114" s="11"/>
      <c r="E114" s="12"/>
    </row>
    <row r="115" spans="2:5" x14ac:dyDescent="0.2">
      <c r="B115" s="14"/>
      <c r="C115" s="195" t="s">
        <v>24</v>
      </c>
      <c r="D115" s="195"/>
      <c r="E115" s="195"/>
    </row>
    <row r="116" spans="2:5" x14ac:dyDescent="0.2">
      <c r="B116" s="13" t="s">
        <v>19</v>
      </c>
      <c r="C116" s="15"/>
      <c r="D116" s="15"/>
      <c r="E116" s="16"/>
    </row>
    <row r="117" spans="2:5" x14ac:dyDescent="0.2">
      <c r="B117" s="14"/>
      <c r="C117" s="195" t="s">
        <v>101</v>
      </c>
      <c r="D117" s="195"/>
      <c r="E117" s="195"/>
    </row>
    <row r="118" spans="2:5" x14ac:dyDescent="0.2">
      <c r="B118" s="13" t="s">
        <v>20</v>
      </c>
      <c r="C118" s="11"/>
      <c r="D118" s="11"/>
      <c r="E118" s="12"/>
    </row>
    <row r="119" spans="2:5" x14ac:dyDescent="0.2">
      <c r="B119" s="13"/>
      <c r="C119" s="181" t="s">
        <v>25</v>
      </c>
      <c r="D119" s="181"/>
      <c r="E119" s="181"/>
    </row>
    <row r="120" spans="2:5" ht="13.5" thickBot="1" x14ac:dyDescent="0.25">
      <c r="B120" s="17"/>
      <c r="C120" s="18"/>
      <c r="D120" s="18"/>
      <c r="E120" s="19"/>
    </row>
  </sheetData>
  <mergeCells count="88">
    <mergeCell ref="C119:E119"/>
    <mergeCell ref="B109:C109"/>
    <mergeCell ref="B110:C110"/>
    <mergeCell ref="B111:C111"/>
    <mergeCell ref="B112:C112"/>
    <mergeCell ref="C115:E115"/>
    <mergeCell ref="C117:E117"/>
    <mergeCell ref="B105:C105"/>
    <mergeCell ref="B106:C106"/>
    <mergeCell ref="B41:E41"/>
    <mergeCell ref="B113:E113"/>
    <mergeCell ref="B77:E77"/>
    <mergeCell ref="B108:C108"/>
    <mergeCell ref="B97:C97"/>
    <mergeCell ref="B98:C98"/>
    <mergeCell ref="B99:C99"/>
    <mergeCell ref="B100:C100"/>
    <mergeCell ref="B101:C101"/>
    <mergeCell ref="B107:C107"/>
    <mergeCell ref="B96:C96"/>
    <mergeCell ref="B75:C75"/>
    <mergeCell ref="B76:C76"/>
    <mergeCell ref="C79:E79"/>
    <mergeCell ref="B102:C102"/>
    <mergeCell ref="B103:C103"/>
    <mergeCell ref="C81:E81"/>
    <mergeCell ref="C83:E83"/>
    <mergeCell ref="C89:E89"/>
    <mergeCell ref="B91:E91"/>
    <mergeCell ref="B92:C92"/>
    <mergeCell ref="B104:C104"/>
    <mergeCell ref="B74:C74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93:C93"/>
    <mergeCell ref="B94:C94"/>
    <mergeCell ref="B95:C95"/>
    <mergeCell ref="B62:C62"/>
    <mergeCell ref="C43:E43"/>
    <mergeCell ref="C45:E45"/>
    <mergeCell ref="C47:E47"/>
    <mergeCell ref="C53:E53"/>
    <mergeCell ref="B55:E55"/>
    <mergeCell ref="B56:C56"/>
    <mergeCell ref="B57:C57"/>
    <mergeCell ref="B58:C58"/>
    <mergeCell ref="B59:C59"/>
    <mergeCell ref="B60:C60"/>
    <mergeCell ref="B61:C61"/>
    <mergeCell ref="B40:C40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8:C28"/>
    <mergeCell ref="A6:B6"/>
    <mergeCell ref="C17:E17"/>
    <mergeCell ref="B19:E19"/>
    <mergeCell ref="B20:C20"/>
    <mergeCell ref="B21:C21"/>
    <mergeCell ref="B22:C22"/>
    <mergeCell ref="B23:C23"/>
    <mergeCell ref="B24:C24"/>
    <mergeCell ref="B25:C25"/>
    <mergeCell ref="B26:C26"/>
    <mergeCell ref="B27:C27"/>
    <mergeCell ref="A5:B5"/>
    <mergeCell ref="B1:H1"/>
    <mergeCell ref="A3:B3"/>
    <mergeCell ref="C3:E3"/>
    <mergeCell ref="A4:B4"/>
    <mergeCell ref="C4:E4"/>
  </mergeCells>
  <pageMargins left="0.41" right="0.44" top="0.33" bottom="0.33" header="0.31496062992125984" footer="0.31496062992125984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gas</vt:lpstr>
      <vt:lpstr>limpieza</vt:lpstr>
      <vt:lpstr>alimento</vt:lpstr>
      <vt:lpstr>ALIM-IMP</vt:lpstr>
      <vt:lpstr>LIM-IMP</vt:lpstr>
      <vt:lpstr>'ALIM-IMP'!Área_de_impresión</vt:lpstr>
      <vt:lpstr>limpieza!Área_de_impresión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DesarrolloHumano01</cp:lastModifiedBy>
  <cp:revision>2</cp:revision>
  <cp:lastPrinted>2022-08-23T10:55:57Z</cp:lastPrinted>
  <dcterms:created xsi:type="dcterms:W3CDTF">2020-07-17T23:44:49Z</dcterms:created>
  <dcterms:modified xsi:type="dcterms:W3CDTF">2022-11-17T12:00:20Z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