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1">NotaPedido!$A$1:$K$21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0" i="1"/>
  <c r="B15" i="2"/>
  <c r="B16" i="2"/>
  <c r="B17" i="2"/>
  <c r="B18" i="2"/>
  <c r="B19" i="2"/>
  <c r="B20" i="2"/>
  <c r="K17" i="2"/>
  <c r="K18" i="2"/>
  <c r="K19" i="2"/>
  <c r="K20" i="2"/>
  <c r="C16" i="2"/>
  <c r="C17" i="2"/>
  <c r="C18" i="2"/>
  <c r="C19" i="2"/>
  <c r="C20" i="2"/>
  <c r="J18" i="2"/>
  <c r="J19" i="2"/>
  <c r="J20" i="2"/>
  <c r="I17" i="2"/>
  <c r="I18" i="2"/>
  <c r="I19" i="2"/>
  <c r="I20" i="2"/>
  <c r="A25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8" i="1"/>
  <c r="I17" i="1"/>
  <c r="I16" i="1"/>
  <c r="I15" i="1"/>
  <c r="I14" i="1"/>
  <c r="I13" i="1"/>
  <c r="I12" i="1"/>
  <c r="I11" i="1"/>
  <c r="I10" i="1"/>
  <c r="J21" i="2" l="1"/>
  <c r="G6" i="3" l="1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<sst xmlns="http://schemas.openxmlformats.org/spreadsheetml/2006/main" count="124" uniqueCount="95">
  <si>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</si>
  <si>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</si>
  <si>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</si>
  <si>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</si>
  <si>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</si>
  <si>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</si>
  <si>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</si>
  <si>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</si>
  <si>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</si>
  <si>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</si>
  <si>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</si>
  <si>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</si>
  <si>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</si>
  <si>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</si>
  <si>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</si>
  <si>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</si>
  <si>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</si>
  <si>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</si>
  <si>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</si>
  <si>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</si>
  <si>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</si>
  <si>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</si>
  <si>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</si>
  <si>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</si>
  <si>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</si>
  <si>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</si>
  <si>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</si>
  <si>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</si>
  <si>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</si>
  <si>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</si>
  <si>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</si>
  <si>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</si>
  <si>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</si>
  <si>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</si>
  <si>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</si>
  <si>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</si>
  <si>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</si>
  <si>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</si>
  <si>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</si>
  <si>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</si>
  <si>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</si>
  <si>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</si>
  <si>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</si>
  <si>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</si>
  <si>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</si>
  <si>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</si>
  <si>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</si>
  <si>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</si>
  <si>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</si>
  <si>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</si>
  <si>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</si>
  <si>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</si>
  <si>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3.1</t>
  </si>
  <si>
    <t>1.1</t>
  </si>
  <si>
    <t>2.9.6-8875.296</t>
  </si>
  <si>
    <t>REPUESTOS</t>
  </si>
  <si>
    <t>REP. Y ACC. P/EQUIPO MEDICO; USO: EQUIPO ECG, MARCA EQUIPO: MINDRAY, ELEMENTO: CABLE TRONCAL 6PIN 3/5D MEC, MODELO: PM-7000</t>
  </si>
  <si>
    <t>UNIDAD</t>
  </si>
  <si>
    <t>2.9.6-8875.297</t>
  </si>
  <si>
    <t>REP. Y ACC. P/EQUIPO MEDICO; USO: EQUIPO ECG, MARCA EQUIPO: MINDRAY, ELEMENTO: SENSOR REUS SP02 P/DEDO ADU, MODELO: PM-7000</t>
  </si>
  <si>
    <t>2.9.6-8875.298</t>
  </si>
  <si>
    <t>REP. Y ACC. P/EQUIPO MEDICO; USO: EQUIPO ECG, MARCA EQUIPO: MINDRAY, ELEMENTO: MANGUERA P/PNI ADU/PED (3M)MEC, MODELO: PM-7000</t>
  </si>
  <si>
    <t>2.9.6-8875.300</t>
  </si>
  <si>
    <t>REP. Y ACC. P/EQUIPO MEDICO; USO: EQUIPO ECG, MARCA EQUIPO: MINDRAY, ELEMENTO: DRYLINE WATER ADU/PED 10 PACK, MODELO: PM-7000</t>
  </si>
  <si>
    <t>2.9.6-8875.301</t>
  </si>
  <si>
    <t>REP. Y ACC. P/EQUIPO MEDICO; USO: EQUIPO ECG, MARCA EQUIPO: MINDRAY, ELEMENTO: SAMPLING LINE ADU/PED 2.5M 25PK, MODELO: PM-7000</t>
  </si>
  <si>
    <t>2.9.6-8875.299</t>
  </si>
  <si>
    <t>REP. Y ACC. P/EQUIPO MEDICO; USO: EQUIPO ECG, MARCA EQUIPO: MINDRAY, ELEMENTO: SENSOR DE TEMP ADULTO DE PIEL, MODELO: PM-7000</t>
  </si>
  <si>
    <t>2.9.6-8875.309</t>
  </si>
  <si>
    <t>REP. Y ACC. P/EQUIPO MEDICO; USO: EQUIPO ECG, MARCA EQUIPO: MINDRAY, ELEMENTO: CABLE ECG 5D ADU SNAP IEC 0.6M, MODELO: PM-7000</t>
  </si>
  <si>
    <t>2.9.6-8875.310</t>
  </si>
  <si>
    <t>REP. Y ACC. P/EQUIPO MEDICO; USO: EQUIPO ECG, MARCA EQUIPO: MINDRAY, ELEMENTO: CABLE EXTENSION SP02 6PIN 2.5M, MODELO: PM-7000</t>
  </si>
  <si>
    <t>2.9.6-8875.311</t>
  </si>
  <si>
    <t>REP. Y ACC. P/EQUIPO MEDICO; USO: EQUIPO ECG, MARCA EQUIPO: MINDRAY, ELEMENTO: BRAZALETE ADULTO &lt;25-35 CM), MODELO: PM-7000</t>
  </si>
  <si>
    <t>Set de 5 latiguillos ECG para monitor Mindray modelo PM7000</t>
  </si>
  <si>
    <t>Cable Troncal ECG para monitor Mindray modelo PM7000</t>
  </si>
  <si>
    <t>Sensor SPO2 para monitor Mindray modelo PM7000</t>
  </si>
  <si>
    <t>Cable Extension SPO2 para monitor Mindray modelo PM7000</t>
  </si>
  <si>
    <t>Brazalete adulto para PNI para monitor Mindray modelo PM7000</t>
  </si>
  <si>
    <t>Manguera para PNI para monitor Mindray modelo PM7000</t>
  </si>
  <si>
    <t>Trampa de agua (Dryline water) para capnografia para monitor Mindray modelo PM7000</t>
  </si>
  <si>
    <t>Linea de muestra (sampling line) para capnografia para monitor Mindray modelo PM7000</t>
  </si>
  <si>
    <t>Sensor de temperatura para monitor Mindray modelo PM7000</t>
  </si>
  <si>
    <t>ESPECIFICACIONES TECNICAS</t>
  </si>
  <si>
    <t xml:space="preserve">PLAZO DE MANTENIMIENTO DE OFERTA: 45 DIAS HABILES </t>
  </si>
  <si>
    <t xml:space="preserve">PLAZO DE ENTREGA: 15 DIAS HABILES EN DEPARTAMENTO ELECTROMEDICINA - AVDA. ILLIA Y MARIANO MORENO - DE LUNES A VIERNES EN EL HORARIO DE 08 A 11 HORAS </t>
  </si>
  <si>
    <t>SI</t>
  </si>
  <si>
    <t>Repuestos y Accesorios</t>
  </si>
  <si>
    <t>237 - Direccion de Mantenimiento</t>
  </si>
  <si>
    <t>Departamento Electromedicina</t>
  </si>
  <si>
    <t>Adquisición de Repuestos para Monitores Mindray</t>
  </si>
  <si>
    <t>NOTA DE PEDIDO 141-2022</t>
  </si>
  <si>
    <t>DOCFI-2022-02203686-CAT-DMAN#HSJB</t>
  </si>
  <si>
    <t>Costo total estimado: PESOS UN MILLON TREINTA Y SIETE MIL CUATROCIENTOS VEINTE CON 90/100.----</t>
  </si>
  <si>
    <t>TOTAL DE PESOS:  UN MILLON TREINTA Y SIETE MIL CUATROCIENTOS VEINTE CON 90/100.----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</si>
</sst>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1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3" fillId="0" borderId="36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 wrapText="1"/>
    </xf>
    <xf numFmtId="0" fontId="23" fillId="0" borderId="6" xfId="0" applyFont="1" applyFill="1" applyBorder="1" applyAlignment="1">
      <alignment vertical="center" wrapText="1"/>
    </xf>
    <xf numFmtId="0" fontId="21" fillId="3" borderId="6" xfId="0" applyFont="1" applyFill="1" applyBorder="1" applyAlignment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right" vertical="center" wrapText="1"/>
    </xf>
    <xf numFmtId="0" fontId="22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4" fillId="4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166" fontId="4" fillId="4" borderId="11" xfId="1" applyNumberFormat="1" applyFont="1" applyFill="1" applyBorder="1" applyAlignment="1" applyProtection="1">
      <alignment horizontal="right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166" fontId="0" fillId="0" borderId="0" xfId="0" applyNumberFormat="1"/>
    <xf numFmtId="0" fontId="8" fillId="3" borderId="3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/>
    </xf>
    <xf numFmtId="0" fontId="15" fillId="5" borderId="40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 wrapText="1"/>
    </xf>
    <xf numFmtId="0" fontId="15" fillId="5" borderId="40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4" fillId="4" borderId="11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 indent="1"/>
    </xf>
    <xf numFmtId="167" fontId="7" fillId="0" borderId="6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3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14" xfId="0" applyBorder="1"/>
    <xf numFmtId="0" fontId="24" fillId="0" borderId="24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indent="1"/>
    </xf>
    <xf numFmtId="0" fontId="12" fillId="0" borderId="3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13" fillId="0" borderId="36" xfId="0" applyFont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1"/>
  <sheetViews>
    <sheetView tabSelected="1"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39" customWidth="1"/>
    <col min="2" max="2" width="17" style="39" customWidth="1"/>
    <col min="3" max="3" width="27.85546875" style="39" customWidth="1"/>
    <col min="4" max="4" width="8.42578125" style="39" customWidth="1"/>
    <col min="5" max="5" width="75" style="39" customWidth="1"/>
    <col min="6" max="6" width="11" style="39"/>
    <col min="7" max="7" width="11.85546875" style="39" customWidth="1"/>
    <col min="8" max="8" width="13.85546875" style="39" customWidth="1"/>
    <col min="9" max="9" width="12" style="39" customWidth="1"/>
    <col min="10" max="10" width="27.42578125" style="39" customWidth="1"/>
    <col min="11" max="16384" width="11" style="39"/>
  </cols>
  <sheetData>
    <row r="2" spans="1:10" ht="27" x14ac:dyDescent="0.35">
      <c r="B2" s="73" t="s">
        <v>0</v>
      </c>
      <c r="C2" s="73"/>
      <c r="D2" s="73"/>
      <c r="E2" s="73"/>
      <c r="F2" s="73"/>
      <c r="G2" s="73"/>
      <c r="H2" s="73"/>
    </row>
    <row r="4" spans="1:10" ht="18" customHeight="1" x14ac:dyDescent="0.25">
      <c r="A4" s="72" t="s">
        <v>1</v>
      </c>
      <c r="B4" s="72"/>
      <c r="C4" s="74" t="s">
        <v>50</v>
      </c>
      <c r="D4" s="74"/>
      <c r="E4" s="74"/>
      <c r="F4" s="40"/>
      <c r="G4" s="41"/>
      <c r="H4" s="40"/>
    </row>
    <row r="5" spans="1:10" ht="18" customHeight="1" x14ac:dyDescent="0.25">
      <c r="A5" s="72" t="s">
        <v>2</v>
      </c>
      <c r="B5" s="72"/>
      <c r="C5" s="74" t="s">
        <v>51</v>
      </c>
      <c r="D5" s="74"/>
      <c r="E5" s="74"/>
      <c r="F5" s="40"/>
      <c r="G5" s="41"/>
      <c r="H5" s="40"/>
    </row>
    <row r="6" spans="1:10" ht="16.5" customHeight="1" x14ac:dyDescent="0.25">
      <c r="A6" s="72" t="s">
        <v>3</v>
      </c>
      <c r="B6" s="72"/>
      <c r="C6" s="50">
        <v>2022</v>
      </c>
      <c r="D6" s="51"/>
      <c r="E6" s="51"/>
      <c r="F6" s="40"/>
      <c r="G6" s="41"/>
      <c r="H6" s="40"/>
    </row>
    <row r="7" spans="1:10" ht="16.5" customHeight="1" x14ac:dyDescent="0.25">
      <c r="A7" s="72" t="s">
        <v>4</v>
      </c>
      <c r="B7" s="72"/>
      <c r="C7" s="50">
        <v>4</v>
      </c>
      <c r="D7" s="51"/>
      <c r="E7" s="51"/>
      <c r="F7" s="40"/>
      <c r="G7" s="41"/>
      <c r="H7" s="40"/>
    </row>
    <row r="8" spans="1:10" ht="13.5" thickBot="1" x14ac:dyDescent="0.25">
      <c r="B8" s="40"/>
      <c r="C8" s="41"/>
      <c r="D8" s="40"/>
      <c r="E8" s="40"/>
      <c r="F8" s="40"/>
      <c r="G8" s="41"/>
      <c r="H8" s="40"/>
    </row>
    <row r="9" spans="1:10" ht="39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  <c r="J9" s="42" t="s">
        <v>83</v>
      </c>
    </row>
    <row r="10" spans="1:10" ht="51" customHeight="1" thickBot="1" x14ac:dyDescent="0.25">
      <c r="A10" s="43">
        <v>1</v>
      </c>
      <c r="B10" s="47" t="s">
        <v>68</v>
      </c>
      <c r="C10" s="44" t="s">
        <v>55</v>
      </c>
      <c r="D10" s="45" t="str">
        <f>LEFT(B10,5)</f>
        <v>2.9.6</v>
      </c>
      <c r="E10" s="46" t="s">
        <v>69</v>
      </c>
      <c r="F10" s="47" t="s">
        <v>57</v>
      </c>
      <c r="G10" s="47">
        <v>20</v>
      </c>
      <c r="H10" s="48">
        <v>7766.99</v>
      </c>
      <c r="I10" s="49">
        <f t="shared" ref="I10:I18" si="0">G10*H10</f>
        <v>155339.79999999999</v>
      </c>
      <c r="J10" s="46" t="s">
        <v>74</v>
      </c>
    </row>
    <row r="11" spans="1:10" ht="51" customHeight="1" thickBot="1" x14ac:dyDescent="0.25">
      <c r="A11" s="43">
        <v>2</v>
      </c>
      <c r="B11" s="47" t="s">
        <v>54</v>
      </c>
      <c r="C11" s="44" t="s">
        <v>55</v>
      </c>
      <c r="D11" s="45" t="str">
        <f t="shared" ref="D11:D18" si="1">LEFT(B11,5)</f>
        <v>2.9.6</v>
      </c>
      <c r="E11" s="46" t="s">
        <v>56</v>
      </c>
      <c r="F11" s="47" t="s">
        <v>57</v>
      </c>
      <c r="G11" s="47">
        <v>10</v>
      </c>
      <c r="H11" s="48">
        <v>8540</v>
      </c>
      <c r="I11" s="49">
        <f t="shared" si="0"/>
        <v>85400</v>
      </c>
      <c r="J11" s="46" t="s">
        <v>75</v>
      </c>
    </row>
    <row r="12" spans="1:10" ht="51" customHeight="1" thickBot="1" x14ac:dyDescent="0.25">
      <c r="A12" s="43">
        <v>3</v>
      </c>
      <c r="B12" s="47" t="s">
        <v>58</v>
      </c>
      <c r="C12" s="44" t="s">
        <v>55</v>
      </c>
      <c r="D12" s="45" t="str">
        <f t="shared" si="1"/>
        <v>2.9.6</v>
      </c>
      <c r="E12" s="46" t="s">
        <v>59</v>
      </c>
      <c r="F12" s="47" t="s">
        <v>57</v>
      </c>
      <c r="G12" s="47">
        <v>20</v>
      </c>
      <c r="H12" s="48">
        <v>12363.78</v>
      </c>
      <c r="I12" s="49">
        <f t="shared" si="0"/>
        <v>247275.6</v>
      </c>
      <c r="J12" s="46" t="s">
        <v>76</v>
      </c>
    </row>
    <row r="13" spans="1:10" ht="51" customHeight="1" thickBot="1" x14ac:dyDescent="0.25">
      <c r="A13" s="43">
        <v>4</v>
      </c>
      <c r="B13" s="47" t="s">
        <v>70</v>
      </c>
      <c r="C13" s="44" t="s">
        <v>55</v>
      </c>
      <c r="D13" s="45" t="str">
        <f t="shared" si="1"/>
        <v>2.9.6</v>
      </c>
      <c r="E13" s="46" t="s">
        <v>71</v>
      </c>
      <c r="F13" s="47" t="s">
        <v>57</v>
      </c>
      <c r="G13" s="47">
        <v>20</v>
      </c>
      <c r="H13" s="48">
        <v>5645.45</v>
      </c>
      <c r="I13" s="49">
        <f t="shared" si="0"/>
        <v>112909</v>
      </c>
      <c r="J13" s="46" t="s">
        <v>77</v>
      </c>
    </row>
    <row r="14" spans="1:10" ht="51" customHeight="1" thickBot="1" x14ac:dyDescent="0.25">
      <c r="A14" s="43">
        <v>5</v>
      </c>
      <c r="B14" s="47" t="s">
        <v>72</v>
      </c>
      <c r="C14" s="44" t="s">
        <v>55</v>
      </c>
      <c r="D14" s="45" t="str">
        <f t="shared" si="1"/>
        <v>2.9.6</v>
      </c>
      <c r="E14" s="46" t="s">
        <v>73</v>
      </c>
      <c r="F14" s="47" t="s">
        <v>57</v>
      </c>
      <c r="G14" s="47">
        <v>60</v>
      </c>
      <c r="H14" s="48">
        <v>2895.1</v>
      </c>
      <c r="I14" s="49">
        <f t="shared" si="0"/>
        <v>173706</v>
      </c>
      <c r="J14" s="46" t="s">
        <v>78</v>
      </c>
    </row>
    <row r="15" spans="1:10" ht="51" customHeight="1" thickBot="1" x14ac:dyDescent="0.25">
      <c r="A15" s="43">
        <v>6</v>
      </c>
      <c r="B15" s="47" t="s">
        <v>60</v>
      </c>
      <c r="C15" s="44" t="s">
        <v>55</v>
      </c>
      <c r="D15" s="45" t="str">
        <f t="shared" si="1"/>
        <v>2.9.6</v>
      </c>
      <c r="E15" s="46" t="s">
        <v>61</v>
      </c>
      <c r="F15" s="47" t="s">
        <v>57</v>
      </c>
      <c r="G15" s="47">
        <v>5</v>
      </c>
      <c r="H15" s="48">
        <v>5645.45</v>
      </c>
      <c r="I15" s="49">
        <f t="shared" si="0"/>
        <v>28227.25</v>
      </c>
      <c r="J15" s="46" t="s">
        <v>79</v>
      </c>
    </row>
    <row r="16" spans="1:10" ht="51" customHeight="1" thickBot="1" x14ac:dyDescent="0.25">
      <c r="A16" s="43">
        <v>7</v>
      </c>
      <c r="B16" s="47" t="s">
        <v>62</v>
      </c>
      <c r="C16" s="44" t="s">
        <v>55</v>
      </c>
      <c r="D16" s="45" t="str">
        <f t="shared" si="1"/>
        <v>2.9.6</v>
      </c>
      <c r="E16" s="46" t="s">
        <v>63</v>
      </c>
      <c r="F16" s="47" t="s">
        <v>57</v>
      </c>
      <c r="G16" s="47">
        <v>20</v>
      </c>
      <c r="H16" s="48">
        <v>5547.85</v>
      </c>
      <c r="I16" s="49">
        <f t="shared" si="0"/>
        <v>110957</v>
      </c>
      <c r="J16" s="46" t="s">
        <v>80</v>
      </c>
    </row>
    <row r="17" spans="1:10" ht="51" customHeight="1" thickBot="1" x14ac:dyDescent="0.25">
      <c r="A17" s="43">
        <v>8</v>
      </c>
      <c r="B17" s="47" t="s">
        <v>64</v>
      </c>
      <c r="C17" s="44" t="s">
        <v>55</v>
      </c>
      <c r="D17" s="45" t="str">
        <f t="shared" si="1"/>
        <v>2.9.6</v>
      </c>
      <c r="E17" s="46" t="s">
        <v>65</v>
      </c>
      <c r="F17" s="47" t="s">
        <v>57</v>
      </c>
      <c r="G17" s="47">
        <v>25</v>
      </c>
      <c r="H17" s="48">
        <v>1528.03</v>
      </c>
      <c r="I17" s="49">
        <f t="shared" si="0"/>
        <v>38200.75</v>
      </c>
      <c r="J17" s="46" t="s">
        <v>81</v>
      </c>
    </row>
    <row r="18" spans="1:10" ht="51" customHeight="1" thickBot="1" x14ac:dyDescent="0.25">
      <c r="A18" s="43">
        <v>9</v>
      </c>
      <c r="B18" s="47" t="s">
        <v>66</v>
      </c>
      <c r="C18" s="44" t="s">
        <v>55</v>
      </c>
      <c r="D18" s="45" t="str">
        <f t="shared" si="1"/>
        <v>2.9.6</v>
      </c>
      <c r="E18" s="46" t="s">
        <v>67</v>
      </c>
      <c r="F18" s="47" t="s">
        <v>57</v>
      </c>
      <c r="G18" s="47">
        <v>10</v>
      </c>
      <c r="H18" s="48">
        <v>8540.5499999999993</v>
      </c>
      <c r="I18" s="49">
        <f t="shared" si="0"/>
        <v>85405.5</v>
      </c>
      <c r="J18" s="46" t="s">
        <v>82</v>
      </c>
    </row>
    <row r="19" spans="1:10" ht="13.5" thickBot="1" x14ac:dyDescent="0.25"/>
    <row r="20" spans="1:10" ht="39.75" customHeight="1" thickBot="1" x14ac:dyDescent="0.25">
      <c r="C20" s="66" t="s">
        <v>84</v>
      </c>
      <c r="D20" s="67"/>
      <c r="E20" s="68"/>
    </row>
    <row r="21" spans="1:10" ht="48.75" customHeight="1" thickBot="1" x14ac:dyDescent="0.25">
      <c r="C21" s="69" t="s">
        <v>85</v>
      </c>
      <c r="D21" s="70"/>
      <c r="E21" s="71"/>
    </row>
  </sheetData>
  <mergeCells count="9">
    <mergeCell ref="C20:E20"/>
    <mergeCell ref="C21:E21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1"/>
  <sheetViews>
    <sheetView topLeftCell="A16" zoomScale="70" zoomScaleNormal="70" workbookViewId="0">
      <selection activeCell="A22" sqref="A2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28.140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52.15" customHeight="1" thickBot="1" x14ac:dyDescent="0.25">
      <c r="A1" s="83" t="s">
        <v>91</v>
      </c>
      <c r="B1" s="83"/>
      <c r="C1" s="83"/>
      <c r="D1" s="83"/>
      <c r="E1" s="83"/>
      <c r="F1" s="83"/>
      <c r="G1" s="83"/>
      <c r="H1" s="83"/>
      <c r="I1" s="83"/>
      <c r="J1" s="3" t="s">
        <v>14</v>
      </c>
      <c r="K1" s="65" t="s">
        <v>92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4" t="s">
        <v>47</v>
      </c>
      <c r="B3" s="84"/>
      <c r="C3" s="84"/>
      <c r="D3" s="85" t="str">
        <f>'Necesidades Trimestrales'!C4</f>
        <v>40 - Ministerio de Salud</v>
      </c>
      <c r="E3" s="85"/>
      <c r="F3" s="85"/>
      <c r="G3" s="85"/>
      <c r="H3" s="85"/>
      <c r="I3" s="85"/>
      <c r="J3" s="85"/>
      <c r="K3" s="85"/>
    </row>
    <row r="4" spans="1:11" ht="18.75" customHeight="1" thickBot="1" x14ac:dyDescent="0.25">
      <c r="A4" s="86" t="s">
        <v>48</v>
      </c>
      <c r="B4" s="86"/>
      <c r="C4" s="86"/>
      <c r="D4" s="85" t="str">
        <f>'Necesidades Trimestrales'!C5</f>
        <v>23 - Hospital Interzonal San Juan Bautista</v>
      </c>
      <c r="E4" s="85"/>
      <c r="F4" s="85"/>
      <c r="G4" s="85"/>
      <c r="H4" s="85"/>
      <c r="I4" s="85"/>
      <c r="J4" s="85"/>
      <c r="K4" s="85"/>
    </row>
    <row r="5" spans="1:11" ht="18.75" customHeight="1" thickBot="1" x14ac:dyDescent="0.25">
      <c r="A5" s="86" t="s">
        <v>26</v>
      </c>
      <c r="B5" s="86"/>
      <c r="C5" s="86"/>
      <c r="D5" s="85" t="s">
        <v>88</v>
      </c>
      <c r="E5" s="85"/>
      <c r="F5" s="85"/>
      <c r="G5" s="85"/>
      <c r="H5" s="85"/>
      <c r="I5" s="85"/>
      <c r="J5" s="85"/>
      <c r="K5" s="85"/>
    </row>
    <row r="6" spans="1:11" ht="16.5" customHeight="1" thickBot="1" x14ac:dyDescent="0.25">
      <c r="A6" s="84" t="s">
        <v>49</v>
      </c>
      <c r="B6" s="84"/>
      <c r="C6" s="84"/>
      <c r="D6" s="85" t="s">
        <v>89</v>
      </c>
      <c r="E6" s="85"/>
      <c r="F6" s="85"/>
      <c r="G6" s="85"/>
      <c r="H6" s="85"/>
      <c r="I6" s="85"/>
      <c r="J6" s="85"/>
      <c r="K6" s="85"/>
    </row>
    <row r="7" spans="1:11" ht="16.5" customHeight="1" x14ac:dyDescent="0.2">
      <c r="A7" s="86" t="s">
        <v>15</v>
      </c>
      <c r="B7" s="86"/>
      <c r="C7" s="86"/>
      <c r="D7" s="85" t="str">
        <f>'Necesidades Trimestrales'!C7 &amp; "° Trimestre - Año " &amp; 'Necesidades Trimestrales'!C6</f>
        <v>4° Trimestre - Año 2022</v>
      </c>
      <c r="E7" s="85"/>
      <c r="F7" s="85"/>
      <c r="G7" s="85"/>
      <c r="H7" s="85"/>
      <c r="I7" s="85"/>
      <c r="J7" s="85"/>
      <c r="K7" s="85"/>
    </row>
    <row r="8" spans="1:11" ht="16.5" customHeight="1" x14ac:dyDescent="0.2">
      <c r="A8" s="78" t="s">
        <v>16</v>
      </c>
      <c r="B8" s="78"/>
      <c r="C8" s="78"/>
      <c r="D8" s="79" t="s">
        <v>90</v>
      </c>
      <c r="E8" s="79"/>
      <c r="F8" s="79"/>
      <c r="G8" s="79"/>
      <c r="H8" s="79"/>
      <c r="I8" s="79"/>
      <c r="J8" s="79"/>
      <c r="K8" s="79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80" t="s">
        <v>17</v>
      </c>
      <c r="B10" s="81" t="s">
        <v>18</v>
      </c>
      <c r="C10" s="81" t="s">
        <v>19</v>
      </c>
      <c r="D10" s="81"/>
      <c r="E10" s="81"/>
      <c r="F10" s="81"/>
      <c r="G10" s="81"/>
      <c r="H10" s="81" t="s">
        <v>20</v>
      </c>
      <c r="I10" s="81" t="s">
        <v>21</v>
      </c>
      <c r="J10" s="81" t="s">
        <v>22</v>
      </c>
      <c r="K10" s="82" t="s">
        <v>23</v>
      </c>
    </row>
    <row r="11" spans="1:11" ht="24" customHeight="1" thickBot="1" x14ac:dyDescent="0.25">
      <c r="A11" s="80"/>
      <c r="B11" s="81"/>
      <c r="C11" s="81"/>
      <c r="D11" s="81"/>
      <c r="E11" s="81"/>
      <c r="F11" s="81"/>
      <c r="G11" s="81"/>
      <c r="H11" s="81"/>
      <c r="I11" s="81"/>
      <c r="J11" s="81"/>
      <c r="K11" s="82"/>
    </row>
    <row r="12" spans="1:11" ht="52.15" customHeight="1" thickBot="1" x14ac:dyDescent="0.25">
      <c r="A12" s="8">
        <v>1</v>
      </c>
      <c r="B12" s="52" t="str">
        <f>'Necesidades Trimestrales'!B10</f>
        <v>2.9.6-8875.309</v>
      </c>
      <c r="C12" s="75" t="str">
        <f>'Necesidades Trimestrales'!E10</f>
        <v>REP. Y ACC. P/EQUIPO MEDICO; USO: EQUIPO ECG, MARCA EQUIPO: MINDRAY, ELEMENTO: CABLE ECG 5D ADU SNAP IEC 0.6M, MODELO: PM-7000</v>
      </c>
      <c r="D12" s="75"/>
      <c r="E12" s="75"/>
      <c r="F12" s="75"/>
      <c r="G12" s="75"/>
      <c r="H12" s="53" t="s">
        <v>86</v>
      </c>
      <c r="I12" s="54" t="str">
        <f>'Necesidades Trimestrales'!F10</f>
        <v>UNIDAD</v>
      </c>
      <c r="J12" s="55">
        <f>'Necesidades Trimestrales'!H10</f>
        <v>7766.99</v>
      </c>
      <c r="K12" s="56">
        <f>'Necesidades Trimestrales'!G10</f>
        <v>20</v>
      </c>
    </row>
    <row r="13" spans="1:11" ht="52.15" customHeight="1" thickBot="1" x14ac:dyDescent="0.25">
      <c r="A13" s="8">
        <v>2</v>
      </c>
      <c r="B13" s="52" t="str">
        <f>'Necesidades Trimestrales'!B11</f>
        <v>2.9.6-8875.296</v>
      </c>
      <c r="C13" s="75" t="str">
        <f>'Necesidades Trimestrales'!E11</f>
        <v>REP. Y ACC. P/EQUIPO MEDICO; USO: EQUIPO ECG, MARCA EQUIPO: MINDRAY, ELEMENTO: CABLE TRONCAL 6PIN 3/5D MEC, MODELO: PM-7000</v>
      </c>
      <c r="D13" s="75"/>
      <c r="E13" s="75"/>
      <c r="F13" s="75"/>
      <c r="G13" s="75"/>
      <c r="H13" s="53" t="s">
        <v>86</v>
      </c>
      <c r="I13" s="54" t="str">
        <f>'Necesidades Trimestrales'!F11</f>
        <v>UNIDAD</v>
      </c>
      <c r="J13" s="55">
        <f>'Necesidades Trimestrales'!H11</f>
        <v>8540</v>
      </c>
      <c r="K13" s="56">
        <f>'Necesidades Trimestrales'!G11</f>
        <v>10</v>
      </c>
    </row>
    <row r="14" spans="1:11" ht="52.15" customHeight="1" thickBot="1" x14ac:dyDescent="0.25">
      <c r="A14" s="8">
        <v>3</v>
      </c>
      <c r="B14" s="52" t="str">
        <f>'Necesidades Trimestrales'!B12</f>
        <v>2.9.6-8875.297</v>
      </c>
      <c r="C14" s="75" t="str">
        <f>'Necesidades Trimestrales'!E12</f>
        <v>REP. Y ACC. P/EQUIPO MEDICO; USO: EQUIPO ECG, MARCA EQUIPO: MINDRAY, ELEMENTO: SENSOR REUS SP02 P/DEDO ADU, MODELO: PM-7000</v>
      </c>
      <c r="D14" s="75"/>
      <c r="E14" s="75"/>
      <c r="F14" s="75"/>
      <c r="G14" s="75"/>
      <c r="H14" s="53" t="s">
        <v>86</v>
      </c>
      <c r="I14" s="54" t="str">
        <f>'Necesidades Trimestrales'!F12</f>
        <v>UNIDAD</v>
      </c>
      <c r="J14" s="55">
        <f>'Necesidades Trimestrales'!H12</f>
        <v>12363.78</v>
      </c>
      <c r="K14" s="56">
        <f>'Necesidades Trimestrales'!G12</f>
        <v>20</v>
      </c>
    </row>
    <row r="15" spans="1:11" ht="52.15" customHeight="1" thickBot="1" x14ac:dyDescent="0.25">
      <c r="A15" s="8">
        <v>4</v>
      </c>
      <c r="B15" s="52" t="str">
        <f>'Necesidades Trimestrales'!B13</f>
        <v>2.9.6-8875.310</v>
      </c>
      <c r="C15" s="75" t="str">
        <f>'Necesidades Trimestrales'!E13</f>
        <v>REP. Y ACC. P/EQUIPO MEDICO; USO: EQUIPO ECG, MARCA EQUIPO: MINDRAY, ELEMENTO: CABLE EXTENSION SP02 6PIN 2.5M, MODELO: PM-7000</v>
      </c>
      <c r="D15" s="75"/>
      <c r="E15" s="75"/>
      <c r="F15" s="75"/>
      <c r="G15" s="75"/>
      <c r="H15" s="53" t="s">
        <v>86</v>
      </c>
      <c r="I15" s="54" t="str">
        <f>'Necesidades Trimestrales'!F13</f>
        <v>UNIDAD</v>
      </c>
      <c r="J15" s="55">
        <f>'Necesidades Trimestrales'!H13</f>
        <v>5645.45</v>
      </c>
      <c r="K15" s="56">
        <f>'Necesidades Trimestrales'!G13</f>
        <v>20</v>
      </c>
    </row>
    <row r="16" spans="1:11" ht="52.15" customHeight="1" thickBot="1" x14ac:dyDescent="0.25">
      <c r="A16" s="8">
        <v>5</v>
      </c>
      <c r="B16" s="52" t="str">
        <f>'Necesidades Trimestrales'!B14</f>
        <v>2.9.6-8875.311</v>
      </c>
      <c r="C16" s="75" t="str">
        <f>'Necesidades Trimestrales'!E14</f>
        <v>REP. Y ACC. P/EQUIPO MEDICO; USO: EQUIPO ECG, MARCA EQUIPO: MINDRAY, ELEMENTO: BRAZALETE ADULTO &lt;25-35 CM), MODELO: PM-7000</v>
      </c>
      <c r="D16" s="75"/>
      <c r="E16" s="75"/>
      <c r="F16" s="75"/>
      <c r="G16" s="75"/>
      <c r="H16" s="53" t="s">
        <v>86</v>
      </c>
      <c r="I16" s="54" t="str">
        <f>'Necesidades Trimestrales'!F14</f>
        <v>UNIDAD</v>
      </c>
      <c r="J16" s="55">
        <f>'Necesidades Trimestrales'!H14</f>
        <v>2895.1</v>
      </c>
      <c r="K16" s="56">
        <f>'Necesidades Trimestrales'!G14</f>
        <v>60</v>
      </c>
    </row>
    <row r="17" spans="1:1024" ht="52.15" customHeight="1" thickBot="1" x14ac:dyDescent="0.25">
      <c r="A17" s="8">
        <v>6</v>
      </c>
      <c r="B17" s="52" t="str">
        <f>'Necesidades Trimestrales'!B15</f>
        <v>2.9.6-8875.298</v>
      </c>
      <c r="C17" s="75" t="str">
        <f>'Necesidades Trimestrales'!E15</f>
        <v>REP. Y ACC. P/EQUIPO MEDICO; USO: EQUIPO ECG, MARCA EQUIPO: MINDRAY, ELEMENTO: MANGUERA P/PNI ADU/PED (3M)MEC, MODELO: PM-7000</v>
      </c>
      <c r="D17" s="75"/>
      <c r="E17" s="75"/>
      <c r="F17" s="75"/>
      <c r="G17" s="75"/>
      <c r="H17" s="53" t="s">
        <v>86</v>
      </c>
      <c r="I17" s="54" t="str">
        <f>'Necesidades Trimestrales'!F15</f>
        <v>UNIDAD</v>
      </c>
      <c r="J17" s="55">
        <f>'Necesidades Trimestrales'!H15</f>
        <v>5645.45</v>
      </c>
      <c r="K17" s="56">
        <f>'Necesidades Trimestrales'!G15</f>
        <v>5</v>
      </c>
    </row>
    <row r="18" spans="1:1024" ht="52.15" customHeight="1" thickBot="1" x14ac:dyDescent="0.25">
      <c r="A18" s="8">
        <v>7</v>
      </c>
      <c r="B18" s="52" t="str">
        <f>'Necesidades Trimestrales'!B16</f>
        <v>2.9.6-8875.300</v>
      </c>
      <c r="C18" s="75" t="str">
        <f>'Necesidades Trimestrales'!E16</f>
        <v>REP. Y ACC. P/EQUIPO MEDICO; USO: EQUIPO ECG, MARCA EQUIPO: MINDRAY, ELEMENTO: DRYLINE WATER ADU/PED 10 PACK, MODELO: PM-7000</v>
      </c>
      <c r="D18" s="75"/>
      <c r="E18" s="75"/>
      <c r="F18" s="75"/>
      <c r="G18" s="75"/>
      <c r="H18" s="53" t="s">
        <v>86</v>
      </c>
      <c r="I18" s="54" t="str">
        <f>'Necesidades Trimestrales'!F16</f>
        <v>UNIDAD</v>
      </c>
      <c r="J18" s="55">
        <f>'Necesidades Trimestrales'!H16</f>
        <v>5547.85</v>
      </c>
      <c r="K18" s="56">
        <f>'Necesidades Trimestrales'!G16</f>
        <v>20</v>
      </c>
    </row>
    <row r="19" spans="1:1024" ht="52.15" customHeight="1" thickBot="1" x14ac:dyDescent="0.25">
      <c r="A19" s="8">
        <v>8</v>
      </c>
      <c r="B19" s="52" t="str">
        <f>'Necesidades Trimestrales'!B17</f>
        <v>2.9.6-8875.301</v>
      </c>
      <c r="C19" s="75" t="str">
        <f>'Necesidades Trimestrales'!E17</f>
        <v>REP. Y ACC. P/EQUIPO MEDICO; USO: EQUIPO ECG, MARCA EQUIPO: MINDRAY, ELEMENTO: SAMPLING LINE ADU/PED 2.5M 25PK, MODELO: PM-7000</v>
      </c>
      <c r="D19" s="75"/>
      <c r="E19" s="75"/>
      <c r="F19" s="75"/>
      <c r="G19" s="75"/>
      <c r="H19" s="53" t="s">
        <v>86</v>
      </c>
      <c r="I19" s="54" t="str">
        <f>'Necesidades Trimestrales'!F17</f>
        <v>UNIDAD</v>
      </c>
      <c r="J19" s="55">
        <f>'Necesidades Trimestrales'!H17</f>
        <v>1528.03</v>
      </c>
      <c r="K19" s="56">
        <f>'Necesidades Trimestrales'!G17</f>
        <v>25</v>
      </c>
    </row>
    <row r="20" spans="1:1024" ht="52.15" customHeight="1" thickBot="1" x14ac:dyDescent="0.25">
      <c r="A20" s="8">
        <v>9</v>
      </c>
      <c r="B20" s="52" t="str">
        <f>'Necesidades Trimestrales'!B18</f>
        <v>2.9.6-8875.299</v>
      </c>
      <c r="C20" s="75" t="str">
        <f>'Necesidades Trimestrales'!E18</f>
        <v>REP. Y ACC. P/EQUIPO MEDICO; USO: EQUIPO ECG, MARCA EQUIPO: MINDRAY, ELEMENTO: SENSOR DE TEMP ADULTO DE PIEL, MODELO: PM-7000</v>
      </c>
      <c r="D20" s="75"/>
      <c r="E20" s="75"/>
      <c r="F20" s="75"/>
      <c r="G20" s="75"/>
      <c r="H20" s="53" t="s">
        <v>86</v>
      </c>
      <c r="I20" s="54" t="str">
        <f>'Necesidades Trimestrales'!F18</f>
        <v>UNIDAD</v>
      </c>
      <c r="J20" s="55">
        <f>'Necesidades Trimestrales'!H18</f>
        <v>8540.5499999999993</v>
      </c>
      <c r="K20" s="56">
        <f>'Necesidades Trimestrales'!G18</f>
        <v>10</v>
      </c>
    </row>
    <row r="21" spans="1:1024" ht="20.25" customHeight="1" thickBot="1" x14ac:dyDescent="0.25">
      <c r="A21" s="76" t="s">
        <v>93</v>
      </c>
      <c r="B21" s="76"/>
      <c r="C21" s="76"/>
      <c r="D21" s="76"/>
      <c r="E21" s="76"/>
      <c r="F21" s="76"/>
      <c r="G21" s="76"/>
      <c r="H21" s="76"/>
      <c r="I21" s="76"/>
      <c r="J21" s="77">
        <f>SUMPRODUCT(J12:J20,K12:K20)</f>
        <v>1037420.9</v>
      </c>
      <c r="K21" s="77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</sheetData>
  <mergeCells count="31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21:K21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21:I21"/>
    <mergeCell ref="C12:G12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0" zoomScale="130" zoomScaleNormal="130" workbookViewId="0">
      <selection activeCell="T16" sqref="T1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10" t="s">
        <v>3</v>
      </c>
      <c r="B1" s="110"/>
      <c r="C1" s="110"/>
      <c r="D1" s="111">
        <f>'Necesidades Trimestrales'!C6</f>
        <v>2022</v>
      </c>
      <c r="E1" s="111"/>
      <c r="F1" s="10"/>
      <c r="G1" s="10"/>
      <c r="H1" s="11"/>
      <c r="I1" s="11"/>
      <c r="J1" s="11"/>
      <c r="K1" s="11"/>
      <c r="L1" s="11"/>
      <c r="M1" s="11"/>
      <c r="N1" s="11"/>
      <c r="P1" s="112" t="s">
        <v>24</v>
      </c>
      <c r="Q1" s="112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2"/>
      <c r="Q2" s="112"/>
    </row>
    <row r="4" spans="1:17" s="12" customFormat="1" ht="18" customHeight="1" thickBot="1" x14ac:dyDescent="0.25">
      <c r="A4" s="113" t="s">
        <v>25</v>
      </c>
      <c r="B4" s="113"/>
      <c r="C4" s="113"/>
      <c r="D4" s="113"/>
      <c r="E4" s="113"/>
      <c r="F4" s="113"/>
      <c r="G4" s="108" t="str">
        <f>NotaPedido!D3</f>
        <v>40 - Ministerio de Salud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</row>
    <row r="5" spans="1:17" s="12" customFormat="1" ht="18" customHeight="1" thickBot="1" x14ac:dyDescent="0.25">
      <c r="A5" s="105" t="s">
        <v>48</v>
      </c>
      <c r="B5" s="106"/>
      <c r="C5" s="106"/>
      <c r="D5" s="106"/>
      <c r="E5" s="106"/>
      <c r="F5" s="107"/>
      <c r="G5" s="108" t="str">
        <f>NotaPedido!D4</f>
        <v>23 - Hospital Interzonal San Juan Bautista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</row>
    <row r="6" spans="1:17" s="12" customFormat="1" ht="18" customHeight="1" thickBot="1" x14ac:dyDescent="0.25">
      <c r="A6" s="105" t="s">
        <v>26</v>
      </c>
      <c r="B6" s="106"/>
      <c r="C6" s="106"/>
      <c r="D6" s="106"/>
      <c r="E6" s="106"/>
      <c r="F6" s="107"/>
      <c r="G6" s="108" t="str">
        <f>NotaPedido!D5</f>
        <v>237 - Direccion de Mantenimiento</v>
      </c>
      <c r="H6" s="108"/>
      <c r="I6" s="108"/>
      <c r="J6" s="108"/>
      <c r="K6" s="108"/>
      <c r="L6" s="108"/>
      <c r="M6" s="108"/>
      <c r="N6" s="108"/>
      <c r="O6" s="108"/>
      <c r="P6" s="108"/>
      <c r="Q6" s="108"/>
    </row>
    <row r="7" spans="1:17" s="12" customFormat="1" ht="18" customHeight="1" thickBot="1" x14ac:dyDescent="0.25">
      <c r="A7" s="105" t="s">
        <v>49</v>
      </c>
      <c r="B7" s="106"/>
      <c r="C7" s="106"/>
      <c r="D7" s="106"/>
      <c r="E7" s="106"/>
      <c r="F7" s="107"/>
      <c r="G7" s="108" t="str">
        <f>NotaPedido!D6</f>
        <v>Departamento Electromedicina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</row>
    <row r="8" spans="1:17" ht="18" customHeight="1" thickBot="1" x14ac:dyDescent="0.25">
      <c r="A8" s="109" t="s">
        <v>27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</row>
    <row r="9" spans="1:17" ht="18" customHeight="1" x14ac:dyDescent="0.2">
      <c r="A9" s="99" t="s">
        <v>28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1"/>
      <c r="P9" s="1"/>
      <c r="Q9" s="13"/>
    </row>
    <row r="10" spans="1:17" ht="54.75" customHeight="1" x14ac:dyDescent="0.2">
      <c r="A10" s="100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DOCFI-2022-02203686-CAT-DMAN#HSJB,  afectando la erogación resultante a los créditos presupuestarios aprobados a favor de esta Unidad Ejecutora, conforme al siguiente detalle: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01" t="s">
        <v>29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</row>
    <row r="13" spans="1:17" ht="15.75" customHeight="1" x14ac:dyDescent="0.2">
      <c r="A13" s="102" t="s">
        <v>30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3" t="s">
        <v>31</v>
      </c>
      <c r="P13" s="103"/>
      <c r="Q13" s="104" t="s">
        <v>32</v>
      </c>
    </row>
    <row r="14" spans="1:17" ht="15.75" customHeight="1" thickBot="1" x14ac:dyDescent="0.25">
      <c r="A14" s="18" t="s">
        <v>33</v>
      </c>
      <c r="B14" s="19" t="s">
        <v>34</v>
      </c>
      <c r="C14" s="19" t="s">
        <v>35</v>
      </c>
      <c r="D14" s="19" t="s">
        <v>36</v>
      </c>
      <c r="E14" s="19" t="s">
        <v>37</v>
      </c>
      <c r="F14" s="19" t="s">
        <v>38</v>
      </c>
      <c r="G14" s="20" t="s">
        <v>39</v>
      </c>
      <c r="H14" s="19" t="s">
        <v>40</v>
      </c>
      <c r="I14" s="19" t="s">
        <v>41</v>
      </c>
      <c r="J14" s="19" t="s">
        <v>42</v>
      </c>
      <c r="K14" s="19" t="s">
        <v>42</v>
      </c>
      <c r="L14" s="19" t="s">
        <v>43</v>
      </c>
      <c r="M14" s="21" t="s">
        <v>44</v>
      </c>
      <c r="N14" s="22" t="s">
        <v>45</v>
      </c>
      <c r="O14" s="103"/>
      <c r="P14" s="103"/>
      <c r="Q14" s="104"/>
    </row>
    <row r="15" spans="1:17" ht="17.25" customHeight="1" x14ac:dyDescent="0.2">
      <c r="A15" s="59">
        <v>33</v>
      </c>
      <c r="B15" s="60"/>
      <c r="C15" s="60"/>
      <c r="D15" s="60">
        <v>4</v>
      </c>
      <c r="E15" s="60"/>
      <c r="F15" s="60">
        <v>4901</v>
      </c>
      <c r="G15" s="60">
        <v>3</v>
      </c>
      <c r="H15" s="61" t="s">
        <v>52</v>
      </c>
      <c r="I15" s="62">
        <v>2</v>
      </c>
      <c r="J15" s="62">
        <v>9</v>
      </c>
      <c r="K15" s="62">
        <v>6</v>
      </c>
      <c r="L15" s="60"/>
      <c r="M15" s="63">
        <v>1</v>
      </c>
      <c r="N15" s="61" t="s">
        <v>53</v>
      </c>
      <c r="O15" s="96" t="s">
        <v>87</v>
      </c>
      <c r="P15" s="96"/>
      <c r="Q15" s="23">
        <v>1037420.9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57"/>
      <c r="I16" s="25"/>
      <c r="J16" s="25"/>
      <c r="K16" s="25"/>
      <c r="L16" s="25"/>
      <c r="M16" s="26"/>
      <c r="N16" s="58"/>
      <c r="O16" s="97"/>
      <c r="P16" s="97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57"/>
      <c r="I17" s="25"/>
      <c r="J17" s="25"/>
      <c r="K17" s="25"/>
      <c r="L17" s="25"/>
      <c r="M17" s="26"/>
      <c r="N17" s="58"/>
      <c r="O17" s="97"/>
      <c r="P17" s="97"/>
      <c r="Q17" s="28"/>
      <c r="S17" s="64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57"/>
      <c r="I18" s="25"/>
      <c r="J18" s="25"/>
      <c r="K18" s="25"/>
      <c r="L18" s="25"/>
      <c r="M18" s="26"/>
      <c r="N18" s="58"/>
      <c r="O18" s="98"/>
      <c r="P18" s="92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92"/>
      <c r="P19" s="92"/>
      <c r="Q19" s="28"/>
    </row>
    <row r="20" spans="1:19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93"/>
      <c r="P20" s="93"/>
      <c r="Q20" s="28"/>
      <c r="R20" s="1"/>
    </row>
    <row r="21" spans="1:19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94"/>
      <c r="P21" s="94"/>
      <c r="Q21" s="37"/>
    </row>
    <row r="22" spans="1:19" ht="31.5" customHeight="1" x14ac:dyDescent="0.2">
      <c r="A22" s="114" t="s">
        <v>94</v>
      </c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38">
        <f>SUM(Q15:Q21)</f>
        <v>1037420.9</v>
      </c>
    </row>
    <row r="23" spans="1:19" ht="18" customHeight="1" thickBot="1" x14ac:dyDescent="0.25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</row>
    <row r="24" spans="1:19" ht="17.25" customHeight="1" thickBot="1" x14ac:dyDescent="0.25">
      <c r="A24" s="87" t="s">
        <v>46</v>
      </c>
      <c r="B24" s="88"/>
      <c r="C24" s="88"/>
      <c r="D24" s="88"/>
      <c r="E24" s="88"/>
      <c r="F24" s="8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</row>
    <row r="25" spans="1:19" ht="18" customHeight="1" thickBot="1" x14ac:dyDescent="0.25">
      <c r="A25" s="91" t="str">
        <f>"Para la "&amp; NotaPedido!D8 &amp;" para ser destinados al " &amp; NotaPedido!D6 &amp;"  del HISJB del Ministerio de Salud."</f>
        <v>Para la Adquisición de Repuestos para Monitores Mindray para ser destinados al Departamento Electromedicina  del HISJB del Ministerio de Salud.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</row>
    <row r="26" spans="1:19" ht="15" customHeight="1" x14ac:dyDescent="0.2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2022-11-14T12:50:11Z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