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28830" windowHeight="6405" activeTab="2"/>
  </bookViews>
  <sheets>
    <sheet name="SAF 011" sheetId="1" r:id="rId1"/>
    <sheet name="ANEXO" sheetId="2" r:id="rId2"/>
    <sheet name="NP" sheetId="3" r:id="rId3"/>
    <sheet name="APG" sheetId="4" r:id="rId4"/>
  </sheets>
  <definedNames>
    <definedName name="_xlnm._FilterDatabase" localSheetId="0" hidden="1">'SAF 011'!$A$9:$BA$10</definedName>
  </definedNames>
  <calcPr calcId="144525"/>
</workbook>
</file>

<file path=xl/calcChain.xml><?xml version="1.0" encoding="utf-8"?>
<calcChain xmlns="http://schemas.openxmlformats.org/spreadsheetml/2006/main">
  <c r="B297" i="2" l="1"/>
  <c r="B296" i="2"/>
  <c r="B295" i="2"/>
  <c r="B294" i="2"/>
  <c r="B293" i="2"/>
  <c r="B292" i="2"/>
  <c r="B291" i="2"/>
  <c r="B290" i="2"/>
  <c r="B289" i="2"/>
  <c r="B288" i="2"/>
  <c r="B287" i="2"/>
  <c r="B286" i="2"/>
  <c r="B285" i="2"/>
  <c r="B298" i="2" s="1"/>
  <c r="A41" i="4" l="1"/>
  <c r="G5" i="4"/>
  <c r="G6" i="4"/>
  <c r="G7" i="4"/>
  <c r="G4" i="4"/>
  <c r="Q15" i="4"/>
  <c r="Q38" i="4" s="1"/>
  <c r="J14" i="3"/>
  <c r="K12" i="3"/>
  <c r="J12" i="3"/>
  <c r="I12" i="3"/>
  <c r="C12" i="3"/>
  <c r="B12" i="3"/>
  <c r="D4" i="3"/>
  <c r="D3" i="3"/>
  <c r="J10" i="1" l="1"/>
  <c r="AY10" i="1" l="1"/>
  <c r="AX10" i="1" l="1"/>
  <c r="AR10" i="1" l="1"/>
  <c r="AP10" i="1" l="1"/>
  <c r="AV10" i="1" l="1"/>
  <c r="AL10" i="1" l="1"/>
  <c r="AN10" i="1" l="1"/>
  <c r="AT10" i="1" l="1"/>
  <c r="AJ10" i="1"/>
  <c r="P10" i="1"/>
  <c r="AD10" i="1" l="1"/>
  <c r="X10" i="1" l="1"/>
  <c r="N10" i="1"/>
  <c r="AH10" i="1"/>
  <c r="R10" i="1"/>
  <c r="AB10" i="1"/>
  <c r="AF10" i="1" l="1"/>
  <c r="P11" i="1" l="1"/>
  <c r="BA10" i="1"/>
  <c r="BA11" i="1" s="1"/>
  <c r="V10" i="1"/>
</calcChain>
</file>

<file path=xl/sharedStrings.xml><?xml version="1.0" encoding="utf-8"?>
<sst xmlns="http://schemas.openxmlformats.org/spreadsheetml/2006/main" count="951" uniqueCount="755">
  <si>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</si>
  <si>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</si>
  <si>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</si>
  <si>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</si>
  <si>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</si>
  <si>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</si>
  <si>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</si>
  <si>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</si>
  <si>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</si>
  <si>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</si>
  <si>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</si>
  <si>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</si>
  <si>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</si>
  <si>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</si>
  <si>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</si>
  <si>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</si>
  <si>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</si>
  <si>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</si>
  <si>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</si>
  <si>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</si>
  <si>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</si>
  <si>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</si>
  <si>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</si>
  <si>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</si>
  <si>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</si>
  <si>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</si>
  <si>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</si>
  <si>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</si>
  <si>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</si>
  <si>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</si>
  <si>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</si>
  <si>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</si>
  <si>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</si>
  <si>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</si>
  <si>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</si>
  <si>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</si>
  <si>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</si>
  <si>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</si>
  <si>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</si>
  <si>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</si>
  <si>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</si>
  <si>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</si>
  <si>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</si>
  <si>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</si>
  <si>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</si>
  <si>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</si>
  <si>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</si>
  <si>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</si>
  <si>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COMBUSTIBLES Y LUBRICANTES</t>
  </si>
  <si>
    <t>2.5.6</t>
  </si>
  <si>
    <t>2.5.6-793.31</t>
  </si>
  <si>
    <t>GAS OIL; PRESENTACION: POR LITRO, USO: MOTORES DIESEL,COMERCIALIZACION: GRADO 3, DESTINO: DPTO. S.F.V. DE CATAMARCA</t>
  </si>
  <si>
    <t>LITROS</t>
  </si>
  <si>
    <t>TOTAL RUBRO COMBUSTIBLES</t>
  </si>
  <si>
    <t>TOTAL SAME</t>
  </si>
  <si>
    <t>EPIDEMIOLOGIA</t>
  </si>
  <si>
    <t>TOTAL EPIDEMIOLOGIA</t>
  </si>
  <si>
    <t>Se Entregarán Fraccionado bajo la forma de vales de 30 Lts. cada uno y cuando la cantidad adjudicada no permita la confección de dicho vale, para completar se emitirá uno por una cantidad menor hasta completar la cantidad solicitada</t>
  </si>
  <si>
    <t>TERCERO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</si>
  <si>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</si>
  <si>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</si>
  <si>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</si>
  <si>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</si>
  <si>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</si>
  <si>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</si>
  <si>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</si>
  <si>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</si>
  <si>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UAI</t>
  </si>
  <si>
    <t>TOTAL UAI</t>
  </si>
  <si>
    <t>ITEM 1</t>
  </si>
  <si>
    <t>DETALLE TECNICO Y ESPECIFICACIONES</t>
  </si>
  <si>
    <t>Plazos de entrega</t>
  </si>
  <si>
    <t>cinco (5) dias habiles</t>
  </si>
  <si>
    <t>Lugar de Entrega:</t>
  </si>
  <si>
    <t>SECRETARIA DE ADMINISTRACION - MS - CHACABUCO N° 169 - en el horario de 8:00hs a 12:00hs de lunes a viernes</t>
  </si>
  <si>
    <t>Calidad Minima esperada</t>
  </si>
  <si>
    <t>Mantenimiento</t>
  </si>
  <si>
    <t>cuarenta y cinco (45) días</t>
  </si>
  <si>
    <t>DIRECCION PROVINCIAL ASISTENCIA SANITARIA NIVEL I Y II</t>
  </si>
  <si>
    <t>Vehiculo</t>
  </si>
  <si>
    <t>Dominio</t>
  </si>
  <si>
    <t>Nº de Motor</t>
  </si>
  <si>
    <t>Nº Chasis</t>
  </si>
  <si>
    <t>Año</t>
  </si>
  <si>
    <t>TOYOTA HYLUX 4x4 CABINA DOBLE SR3.0 TDI. Camioneta.-</t>
  </si>
  <si>
    <t xml:space="preserve">OMA-771 </t>
  </si>
  <si>
    <t>1KDA586508</t>
  </si>
  <si>
    <t>8AJFZZ263F5027841</t>
  </si>
  <si>
    <t>Area Programatica Nº1</t>
  </si>
  <si>
    <t>Renault Master - Ambulancia.-</t>
  </si>
  <si>
    <t>GEU-277</t>
  </si>
  <si>
    <t>G9UA724C030714</t>
  </si>
  <si>
    <t>93YADCUE57J787157</t>
  </si>
  <si>
    <t>Renault Master- Ambulancia.-</t>
  </si>
  <si>
    <t>GUV-922</t>
  </si>
  <si>
    <t>G9UA724C035587</t>
  </si>
  <si>
    <t>93YADCUE58J896449</t>
  </si>
  <si>
    <t>Renault Master-PH3 DCI 120 L1H2  Ambulancia.-</t>
  </si>
  <si>
    <t>KNI-753</t>
  </si>
  <si>
    <t>G9UA754C268409</t>
  </si>
  <si>
    <t>93YADCUE6CJ897389</t>
  </si>
  <si>
    <t>Ford F-100  4x2 XL PLUS 3,9 D - Ambulacia.-</t>
  </si>
  <si>
    <t>ILC-099</t>
  </si>
  <si>
    <t>9EFFF22C99B859146</t>
  </si>
  <si>
    <t>Renault Master PH3 DCI 120 L1H2 - Ambulancia.-</t>
  </si>
  <si>
    <t>LAD-136</t>
  </si>
  <si>
    <t>G9UA754C270571</t>
  </si>
  <si>
    <t>93YADCUE6CJ969873</t>
  </si>
  <si>
    <t>Fiat Ducato. Ambulancia.-</t>
  </si>
  <si>
    <t>NHW-650</t>
  </si>
  <si>
    <t>93W245G84D2112772</t>
  </si>
  <si>
    <t>Mercedez Benz Sprinter Furgon.-</t>
  </si>
  <si>
    <t>GWJ-779</t>
  </si>
  <si>
    <t>8AC90036628A984192</t>
  </si>
  <si>
    <t>Renault Master MASTER PH3 DCI 120 - Ambulancia.-</t>
  </si>
  <si>
    <t>LAD-135</t>
  </si>
  <si>
    <t>G9UA650C244170</t>
  </si>
  <si>
    <t>93YADC1E6CJ140233</t>
  </si>
  <si>
    <t>Renault Master  DCI 120 - Ambulancia.-</t>
  </si>
  <si>
    <t>GJP-880</t>
  </si>
  <si>
    <t>G9UA724C026899</t>
  </si>
  <si>
    <t>93YADCUH56J706159</t>
  </si>
  <si>
    <t>Chevrolet  S-10. Camioneta.-</t>
  </si>
  <si>
    <t>GWJ-742</t>
  </si>
  <si>
    <t>M1A304122</t>
  </si>
  <si>
    <t>9BG124AJ08C11312</t>
  </si>
  <si>
    <t>Chevrolet Zafira. Camioneta.-</t>
  </si>
  <si>
    <t>HUD-575</t>
  </si>
  <si>
    <t>1N0006130</t>
  </si>
  <si>
    <t>9BGTT75F09C131088</t>
  </si>
  <si>
    <t>Fiat Ducato Amxicargo 2,3 JTD. Ambulancia.-</t>
  </si>
  <si>
    <t>AA-842-EL</t>
  </si>
  <si>
    <t>93W245G84H2160838</t>
  </si>
  <si>
    <t>AA-842-EI</t>
  </si>
  <si>
    <t>93W245G84H2160833</t>
  </si>
  <si>
    <t>Toyota Hilux 4x4 c/s DX 2,4 TDI M/T. Ambulancia</t>
  </si>
  <si>
    <t>AA-793-NE</t>
  </si>
  <si>
    <t>2GD-0137533</t>
  </si>
  <si>
    <t>8AJFB8CB5H1550878</t>
  </si>
  <si>
    <t>AE-041-BD</t>
  </si>
  <si>
    <t>M9TB870C262154</t>
  </si>
  <si>
    <t>93YMAFESCLJ213469</t>
  </si>
  <si>
    <t>Area Programatica Nº2</t>
  </si>
  <si>
    <t>Fiat Ducato Maxi cargo 2,3 JTD Furgon. Ambulancia.-</t>
  </si>
  <si>
    <t>AA-842-EH</t>
  </si>
  <si>
    <t>93W245G84H2160832</t>
  </si>
  <si>
    <t>AA-842-EF</t>
  </si>
  <si>
    <t>93W245G84H2160831</t>
  </si>
  <si>
    <t>Fiat Ducato 2,3. Ambulancia.-</t>
  </si>
  <si>
    <t>NSE-229</t>
  </si>
  <si>
    <t>7166125</t>
  </si>
  <si>
    <t>93W245G74D2109008</t>
  </si>
  <si>
    <t xml:space="preserve">Renault Master DCI120. Ambulancia - </t>
  </si>
  <si>
    <t>GUO-325</t>
  </si>
  <si>
    <t>G9UA7240035511</t>
  </si>
  <si>
    <t>93YADCUE58J896313</t>
  </si>
  <si>
    <t>Renault Master DCI120 - Ambulancia .-</t>
  </si>
  <si>
    <t>GJS-713</t>
  </si>
  <si>
    <t>G9UA724C030282</t>
  </si>
  <si>
    <t>93YADCUE57J787718</t>
  </si>
  <si>
    <t>Fiat iveco Daily. Ambulancia.-</t>
  </si>
  <si>
    <t>S/P</t>
  </si>
  <si>
    <t>93ZC4980158318123</t>
  </si>
  <si>
    <t>Ford Ranger XLC/C  4x4 2,8. Camioneta.-</t>
  </si>
  <si>
    <t>FYK-918</t>
  </si>
  <si>
    <t>B61618215</t>
  </si>
  <si>
    <t>8AFER13FX4J326463</t>
  </si>
  <si>
    <t>Area Programatica Nº3</t>
  </si>
  <si>
    <t>Chevrolet S10  2,8 TDI - Camioneta.-</t>
  </si>
  <si>
    <t>GDD-914</t>
  </si>
  <si>
    <t>M1A282868</t>
  </si>
  <si>
    <t>9BG138AJ07C413213</t>
  </si>
  <si>
    <t>Renautl Master 2,5 D - Ambulancia.-</t>
  </si>
  <si>
    <t>GJC-299</t>
  </si>
  <si>
    <t>J9UA724C030522</t>
  </si>
  <si>
    <t>93YADCUE57J787225</t>
  </si>
  <si>
    <t>Fiat Ducato Maxi cargo 2,3. Ambulancia</t>
  </si>
  <si>
    <t>AA-702-MN</t>
  </si>
  <si>
    <t>93W245G74H2161118</t>
  </si>
  <si>
    <t>Ford Transit 2,2 L 125 T350 TA C/AA - Ambulancia.-</t>
  </si>
  <si>
    <t>MNW-258</t>
  </si>
  <si>
    <t>CYRCDTT22471</t>
  </si>
  <si>
    <t>WFOXXPTTFDTT22471</t>
  </si>
  <si>
    <t>Mercedez Benz Sprinter - Ambulancia.-</t>
  </si>
  <si>
    <t>DCA-098</t>
  </si>
  <si>
    <t>8AC690311YA537631</t>
  </si>
  <si>
    <t>Chevrolet S10  2,8 T.I- Ambulancia.-</t>
  </si>
  <si>
    <t>ESH-451</t>
  </si>
  <si>
    <t>986124AC05C410447</t>
  </si>
  <si>
    <t>Area Programatica Nº 4</t>
  </si>
  <si>
    <t>Chevrolet S10 2,8 TDI SID 4x2 - Ambulancia.-</t>
  </si>
  <si>
    <t>GDD-918</t>
  </si>
  <si>
    <t>M1A282927</t>
  </si>
  <si>
    <t>9BG1384J07C413214</t>
  </si>
  <si>
    <t>Renault Master DCI 120- Ambulancia.-</t>
  </si>
  <si>
    <t>GEU-279</t>
  </si>
  <si>
    <t>G9UA724C030527</t>
  </si>
  <si>
    <t>93YADCUE7J787131</t>
  </si>
  <si>
    <t>Chevrolet S10  2,8 TDI - Ambulancia.-</t>
  </si>
  <si>
    <t>ESH-453</t>
  </si>
  <si>
    <t>9BG124ACOSC410400</t>
  </si>
  <si>
    <t>DCA-097</t>
  </si>
  <si>
    <t>632999105118976</t>
  </si>
  <si>
    <t xml:space="preserve">8AC690311 </t>
  </si>
  <si>
    <t>Ford Transit Furgon - Ambulancia.-</t>
  </si>
  <si>
    <t>MNW-259</t>
  </si>
  <si>
    <t>CYRCDTT23622</t>
  </si>
  <si>
    <t>WF0XXPTTFDTT2362</t>
  </si>
  <si>
    <t>Fiat Ducato Maxicargo 2,3 JTD. Ambulancia.-</t>
  </si>
  <si>
    <t>AA-842-EG</t>
  </si>
  <si>
    <t>93W245G84H2160827</t>
  </si>
  <si>
    <t>Renault Master. Ambulancia.-</t>
  </si>
  <si>
    <t>AD-484-QZ</t>
  </si>
  <si>
    <t>A4MH737Q004131</t>
  </si>
  <si>
    <t>8A18SRD04KL428948</t>
  </si>
  <si>
    <t>AD-939-YG</t>
  </si>
  <si>
    <t>H4MH737Q013096</t>
  </si>
  <si>
    <t>8A18SRD04LL935267</t>
  </si>
  <si>
    <t>Toyota Hilux 4x4 CS DX 2,4 TDI 6 MT- Ambulancia.-</t>
  </si>
  <si>
    <t>AE-677-LK</t>
  </si>
  <si>
    <t>2GD0900959</t>
  </si>
  <si>
    <t>8AJDB3CB5M5542258</t>
  </si>
  <si>
    <t>Area Programatica Nº5</t>
  </si>
  <si>
    <t>Fiat Ducato Ambulancia.-</t>
  </si>
  <si>
    <t>NHW-649</t>
  </si>
  <si>
    <t>93W245G84D2109862</t>
  </si>
  <si>
    <t>Ford Transit 2,2 L Ambulancia.-</t>
  </si>
  <si>
    <t>MBW-831</t>
  </si>
  <si>
    <t>CYRCCTC58021</t>
  </si>
  <si>
    <t>WF0XXPTTFCTC5802</t>
  </si>
  <si>
    <t>Toyota Hilux. Ambulancia.-</t>
  </si>
  <si>
    <t>AA-793-NF</t>
  </si>
  <si>
    <t>2GD-0106033</t>
  </si>
  <si>
    <t>8AJFB8CB2H1550532</t>
  </si>
  <si>
    <t>AA-842-EM</t>
  </si>
  <si>
    <t>93W245G84H2160779</t>
  </si>
  <si>
    <t>Iveco Daily - Ambulancia, Camion 3,5 Tn Modelo 4912-3300</t>
  </si>
  <si>
    <t>QAC-895</t>
  </si>
  <si>
    <t>37344093481</t>
  </si>
  <si>
    <t>93ZC4980158319325</t>
  </si>
  <si>
    <t>Chevrolet S10  - Ambulancia.-</t>
  </si>
  <si>
    <t>ESH-452</t>
  </si>
  <si>
    <t>40704192455</t>
  </si>
  <si>
    <t>9BG124AC05C410604</t>
  </si>
  <si>
    <t>AE-677-LJ</t>
  </si>
  <si>
    <t>2GD0875349</t>
  </si>
  <si>
    <t>8SJDB3CB2M5542069</t>
  </si>
  <si>
    <t>Area Programatica Nº6</t>
  </si>
  <si>
    <t>Renault Master 2,5 DCI Furgon corto. Ambulancia.-</t>
  </si>
  <si>
    <t>LOI-294</t>
  </si>
  <si>
    <t>69VA650C248593</t>
  </si>
  <si>
    <t>93YADCIE6DJ286241</t>
  </si>
  <si>
    <t>AA-842-EJ</t>
  </si>
  <si>
    <t>93W245G84H2160835</t>
  </si>
  <si>
    <t>AA-842-ED</t>
  </si>
  <si>
    <t>93W245G84H2160784</t>
  </si>
  <si>
    <t>Toyota Hilux 4X4 Pick-Up. Ambulancia.-</t>
  </si>
  <si>
    <t>AE-454-BB</t>
  </si>
  <si>
    <t>2GD-0753775</t>
  </si>
  <si>
    <t>8AJFB8CB9L1560130</t>
  </si>
  <si>
    <t>AE-454-BA</t>
  </si>
  <si>
    <t>2GD-0756654</t>
  </si>
  <si>
    <t>8AJFB8CB2L1560177</t>
  </si>
  <si>
    <t>Area Programatica Nº7</t>
  </si>
  <si>
    <t>Nissan Patrol - Ambulancia.-</t>
  </si>
  <si>
    <t>RD280716B</t>
  </si>
  <si>
    <t>VSKAYG260U0594208</t>
  </si>
  <si>
    <t>Ford Ranger  - Ambulancia</t>
  </si>
  <si>
    <t>MNW-255</t>
  </si>
  <si>
    <t>QW2PDJ102410</t>
  </si>
  <si>
    <t>8AFAR21J4DJ102410</t>
  </si>
  <si>
    <t>Fiat Ducato Maxi Cargo - Ambulancia</t>
  </si>
  <si>
    <t>NHW-647</t>
  </si>
  <si>
    <t>7167101</t>
  </si>
  <si>
    <t>93W245G84D1209434</t>
  </si>
  <si>
    <t>Renault Master 2,5 DCI - Ambulancia.-</t>
  </si>
  <si>
    <t>GUO-331</t>
  </si>
  <si>
    <t>G9UA724C035717</t>
  </si>
  <si>
    <t>93YADCUE58J896363</t>
  </si>
  <si>
    <t>Toyota Hilux - Ambulancia</t>
  </si>
  <si>
    <t>LBA-309</t>
  </si>
  <si>
    <t>KC5639076</t>
  </si>
  <si>
    <t>8AJCR2267C4017192</t>
  </si>
  <si>
    <t>Fiat Ducato Maxi Cargo 2,3 JPA- Ambulancia</t>
  </si>
  <si>
    <t>NYS-581</t>
  </si>
  <si>
    <t>93W245674EZ120871</t>
  </si>
  <si>
    <t>Fiat Ducato Maxi Cargo 2,3 JTD- Ambulancia</t>
  </si>
  <si>
    <t>AA-842-EB</t>
  </si>
  <si>
    <t>93W245G84H2160819</t>
  </si>
  <si>
    <t>AA-842-EC</t>
  </si>
  <si>
    <t>93W245G84H2160823</t>
  </si>
  <si>
    <t>AE-454-BC</t>
  </si>
  <si>
    <t>2GD-0754623</t>
  </si>
  <si>
    <t>8AJFB8CBXL1560170</t>
  </si>
  <si>
    <t>Peugeot Boxer Premiun 2.2 HDI 435MH 130. Ambulancia.-</t>
  </si>
  <si>
    <t>E/T</t>
  </si>
  <si>
    <t>10TRJN3381337</t>
  </si>
  <si>
    <t>VF3YDTMFBM2P20555</t>
  </si>
  <si>
    <t>Area Programatica Nº8</t>
  </si>
  <si>
    <t>Fiat Ducato Maxicargo L2B 2,3 TJ. Ambulancia.-</t>
  </si>
  <si>
    <t>NHW-648</t>
  </si>
  <si>
    <t>93W245G84D2109432</t>
  </si>
  <si>
    <t>Reanult Master  Ambulancia.-</t>
  </si>
  <si>
    <t>NXE-335</t>
  </si>
  <si>
    <t>M9TA876C016101</t>
  </si>
  <si>
    <t>93YMAFECAEJ262720</t>
  </si>
  <si>
    <t>Renault Kangoo  1,6. Camioneta-</t>
  </si>
  <si>
    <t>PEX-160</t>
  </si>
  <si>
    <t>K4MJ730Q160389</t>
  </si>
  <si>
    <t>8A1FC1315GL915416</t>
  </si>
  <si>
    <t>AA-842-EE</t>
  </si>
  <si>
    <t>7250752</t>
  </si>
  <si>
    <t>96W245G84H2160826</t>
  </si>
  <si>
    <t>Fiat Ducato Maxicargo L4H2. Ambulancia</t>
  </si>
  <si>
    <t>AD-964-PG</t>
  </si>
  <si>
    <t>F1AE3481D7279698</t>
  </si>
  <si>
    <t>3C6DFVDK9KE510986</t>
  </si>
  <si>
    <t>Area Programatica Nº9</t>
  </si>
  <si>
    <t>Ford Ranger CS 4x4 XL PLUS 2,8L D- Ambulancia.-</t>
  </si>
  <si>
    <t>FKA-420</t>
  </si>
  <si>
    <t>C35191571</t>
  </si>
  <si>
    <t>8AFER11H86J457138</t>
  </si>
  <si>
    <t>Fiat Ducato  - Ambulancia.-</t>
  </si>
  <si>
    <t>A236NZ2T16482713</t>
  </si>
  <si>
    <t>93W231F6031011212</t>
  </si>
  <si>
    <t>Fiat Ducato-Ambulancia.-</t>
  </si>
  <si>
    <t>MPH-695</t>
  </si>
  <si>
    <t>93W245G84D2102211</t>
  </si>
  <si>
    <t>Ford Transit- Ambulancia.-</t>
  </si>
  <si>
    <t>POD-622</t>
  </si>
  <si>
    <t>CY24FTD15384</t>
  </si>
  <si>
    <t>WF0BXKTTGFTD15384</t>
  </si>
  <si>
    <t>Ford Ranger  CS 4x4 XL PLUS 2,8 L D- Ambulancia.-</t>
  </si>
  <si>
    <t>FKA-417</t>
  </si>
  <si>
    <t>C35191955</t>
  </si>
  <si>
    <t>8AFER11H06J457148</t>
  </si>
  <si>
    <t>Toyota Hilux 4x4- Ambulancia.-</t>
  </si>
  <si>
    <t>AA-793-NH</t>
  </si>
  <si>
    <t>2GD0106226</t>
  </si>
  <si>
    <t>BAJFBBCB1H155</t>
  </si>
  <si>
    <t>AE-677-LI</t>
  </si>
  <si>
    <t>2GD0883798</t>
  </si>
  <si>
    <t>8AJD3CB4M5542249</t>
  </si>
  <si>
    <t>AE-414-KY</t>
  </si>
  <si>
    <t>2GD-0711512</t>
  </si>
  <si>
    <t>8AJFB8CB2L1560244</t>
  </si>
  <si>
    <t>Area Programatica Nº10</t>
  </si>
  <si>
    <t>Renault Master TDI 2,8 L1H1 - Ambulancia.-</t>
  </si>
  <si>
    <t>MPD-320</t>
  </si>
  <si>
    <t>G9UA650C26371</t>
  </si>
  <si>
    <t>93YADC1D6DJ54222</t>
  </si>
  <si>
    <t>Ford Transit 2,2 L 125 T 350. Furgon Ambulancia.-</t>
  </si>
  <si>
    <t>MBW-830</t>
  </si>
  <si>
    <t>CYRCCTC58015</t>
  </si>
  <si>
    <t>WF0XXPTTCTC58015</t>
  </si>
  <si>
    <t>M. Benz 415 CDIF3665. Ambulancia.-</t>
  </si>
  <si>
    <t>AA-683-ZG</t>
  </si>
  <si>
    <t>651955W0056914</t>
  </si>
  <si>
    <t>8ac906633ge118977</t>
  </si>
  <si>
    <t>Ford F-100  - Ambulancia.-</t>
  </si>
  <si>
    <t>5KAR20702</t>
  </si>
  <si>
    <t>8AFETNL23SJ001415</t>
  </si>
  <si>
    <t>Ford F-100  4x4. Ambulancia.-</t>
  </si>
  <si>
    <t>4025419</t>
  </si>
  <si>
    <t>9BFBTPJCXUDB0759</t>
  </si>
  <si>
    <t>Ford Ranger - Camioneta.-</t>
  </si>
  <si>
    <t>CJB-883</t>
  </si>
  <si>
    <t>C34224022</t>
  </si>
  <si>
    <t>8AFER13P97J066070</t>
  </si>
  <si>
    <t>Chevrolet S10 2,8 TL. Camioneta.-</t>
  </si>
  <si>
    <t>EHU-681</t>
  </si>
  <si>
    <t>9PGA38AC04C09415</t>
  </si>
  <si>
    <t>Renault Master L2H2 AA. Ambulancia.-</t>
  </si>
  <si>
    <t>AE-041-BC</t>
  </si>
  <si>
    <t>M9TB870C262203</t>
  </si>
  <si>
    <t>93YMAFESCLJ213466</t>
  </si>
  <si>
    <t>Area Programatica Nº11</t>
  </si>
  <si>
    <t>Toyota Hilux 4x4. Ambulancia.-</t>
  </si>
  <si>
    <t>ONU-072</t>
  </si>
  <si>
    <t>2KDA538356</t>
  </si>
  <si>
    <t>8AJDR22G7F4020209</t>
  </si>
  <si>
    <t>Ford Ranger 2 CS 4x4 XL Safety 2,2 LD. Ambulancia.-</t>
  </si>
  <si>
    <t>MBW-921</t>
  </si>
  <si>
    <t>QW2PDJ087769</t>
  </si>
  <si>
    <t>8AFAR21J5DJ087769</t>
  </si>
  <si>
    <t>Mercedez Benz Sprin 313/CDI3550 - Ambulancia.-</t>
  </si>
  <si>
    <t>HQV-792</t>
  </si>
  <si>
    <t>6119817009030</t>
  </si>
  <si>
    <t>8AC9036629E010752</t>
  </si>
  <si>
    <t>Toyota Hilux 4x2. Ambulancia.-</t>
  </si>
  <si>
    <t>OBG-976</t>
  </si>
  <si>
    <t>2KDA295631</t>
  </si>
  <si>
    <t>8AJCR3261E0017555</t>
  </si>
  <si>
    <t>FYK-920</t>
  </si>
  <si>
    <t>61198170018823</t>
  </si>
  <si>
    <t>8AC9036624A919749</t>
  </si>
  <si>
    <t>Renault Master 120 T - Ambulancia.-</t>
  </si>
  <si>
    <t>GUO-326</t>
  </si>
  <si>
    <t>G9UA724C0353</t>
  </si>
  <si>
    <t>93YADCUE58J896346</t>
  </si>
  <si>
    <t>K-009976</t>
  </si>
  <si>
    <t>LLAE17831</t>
  </si>
  <si>
    <t>KBIJLR12992</t>
  </si>
  <si>
    <t>Ford Ranger 4x4 2,8 XL Plus LD - Ambulancia.-</t>
  </si>
  <si>
    <t>FKA-416</t>
  </si>
  <si>
    <t>C35191696</t>
  </si>
  <si>
    <t>8AFER11H66J457137</t>
  </si>
  <si>
    <t>FKA-415</t>
  </si>
  <si>
    <t>FC35191569</t>
  </si>
  <si>
    <t>8AFER11H76J457146</t>
  </si>
  <si>
    <t>MBW-922</t>
  </si>
  <si>
    <t>QW2PDJ087773</t>
  </si>
  <si>
    <t>8AFAR21J7DJ087773</t>
  </si>
  <si>
    <t>K-018492</t>
  </si>
  <si>
    <t>GOAB12965</t>
  </si>
  <si>
    <t>KBIJGM04184</t>
  </si>
  <si>
    <t>8AFER11H06J457151</t>
  </si>
  <si>
    <t>9BFBTPH31/RDB43514</t>
  </si>
  <si>
    <t>Ford Ranger R Power Stoke 3,0 doble cabina. Camioneta.-</t>
  </si>
  <si>
    <t>C34263853</t>
  </si>
  <si>
    <t>8AFER13P99J198801</t>
  </si>
  <si>
    <t>AA-842-EN</t>
  </si>
  <si>
    <t>7250622</t>
  </si>
  <si>
    <t>93W245G84H2160775</t>
  </si>
  <si>
    <t>ANC-967</t>
  </si>
  <si>
    <t>RXAR188336</t>
  </si>
  <si>
    <t>8AFETNL20RJ089284</t>
  </si>
  <si>
    <t>Ford Ranger 4x4 2,8 XL doble cabina. Camioneta.-</t>
  </si>
  <si>
    <t>FYK-919</t>
  </si>
  <si>
    <t>B61617427</t>
  </si>
  <si>
    <t>8AFER13F84J325456</t>
  </si>
  <si>
    <t>Mitsubishi Doble Cabina - Camioneta.-</t>
  </si>
  <si>
    <t>4D56JB4848</t>
  </si>
  <si>
    <t>JMYJNK340WP003216</t>
  </si>
  <si>
    <t>K-009859</t>
  </si>
  <si>
    <t>RAAR16380</t>
  </si>
  <si>
    <t>KBIJHS13302</t>
  </si>
  <si>
    <t>Renault Kanggo II, Express confort 1,6 SCE. Ambulancia.-</t>
  </si>
  <si>
    <t>AC-885-QC</t>
  </si>
  <si>
    <t>H4MH737Q001009</t>
  </si>
  <si>
    <t>8A18SRD04JL333398</t>
  </si>
  <si>
    <t>AE-677-LG</t>
  </si>
  <si>
    <t>10TRJP1702135</t>
  </si>
  <si>
    <t>VF3YDTMFBM271918</t>
  </si>
  <si>
    <t>AE-262-PC</t>
  </si>
  <si>
    <t>H4MH737Q020390</t>
  </si>
  <si>
    <t>8A18SSRD04LL342980</t>
  </si>
  <si>
    <t>Area Programatica Nº12</t>
  </si>
  <si>
    <t>Toyota Hilux 4x4  - Ambulancia.-</t>
  </si>
  <si>
    <t>DCA-088</t>
  </si>
  <si>
    <t>3L4800423</t>
  </si>
  <si>
    <t>BAJ31LNA3X9102052</t>
  </si>
  <si>
    <t>Ford Ranger CS 4x4 XL 2,8 LD -Ambulancia.-</t>
  </si>
  <si>
    <t>FKA-421</t>
  </si>
  <si>
    <t>C35191968</t>
  </si>
  <si>
    <t>8AFER11H96J457147</t>
  </si>
  <si>
    <t>Ford Ranger CS 4x4 XL 2,8 LD - Ambulancia.-</t>
  </si>
  <si>
    <t>FKA-419</t>
  </si>
  <si>
    <t>C35191538</t>
  </si>
  <si>
    <t>8AFER11HX6J457139</t>
  </si>
  <si>
    <t>Renault Master R LIH2 - Ambulancia.-</t>
  </si>
  <si>
    <t>GUV-921</t>
  </si>
  <si>
    <t>G9UA724C035401</t>
  </si>
  <si>
    <t>93YADCEU58J896386</t>
  </si>
  <si>
    <t>F. Ranger DC 4x4 XL PLUS 3,0 - Camioneta.-</t>
  </si>
  <si>
    <t>JRW-547</t>
  </si>
  <si>
    <t>L1A008728</t>
  </si>
  <si>
    <t>8AFER13P3BJ390161</t>
  </si>
  <si>
    <t>NVI-344</t>
  </si>
  <si>
    <t>7163588</t>
  </si>
  <si>
    <t>93W244F74D2107660</t>
  </si>
  <si>
    <t>Fiat Ducato Maxi cargo 2,3 JTD. Ambulancia.-</t>
  </si>
  <si>
    <t>ODK-341</t>
  </si>
  <si>
    <t>7185078</t>
  </si>
  <si>
    <t>93W245G84E2119762</t>
  </si>
  <si>
    <t>Peugeot Boxer 350 MH 2,3 HDI Confort. Ambulancia.-</t>
  </si>
  <si>
    <t>OGC-878</t>
  </si>
  <si>
    <t>7196131</t>
  </si>
  <si>
    <t>936ZCXMNBE2126896</t>
  </si>
  <si>
    <t>AA-842-EA</t>
  </si>
  <si>
    <t>7252679</t>
  </si>
  <si>
    <t>93W245G84H2160841</t>
  </si>
  <si>
    <t>Toyota Hilux 4x4 C/S DX 2,4 TDI 6MT. Ambulancia</t>
  </si>
  <si>
    <t>AE-236-MM</t>
  </si>
  <si>
    <t>2GD-G153814</t>
  </si>
  <si>
    <t>8AJDB3CD7L1302720</t>
  </si>
  <si>
    <t>Fiat Ducato Maxicargo L4H2. Ambulancia.-</t>
  </si>
  <si>
    <t>AE-258-XT</t>
  </si>
  <si>
    <t>F1AE3481D7288562</t>
  </si>
  <si>
    <t>3C6DFVDK1LE129957</t>
  </si>
  <si>
    <t>AE-414-KX</t>
  </si>
  <si>
    <t>2GD-0756084</t>
  </si>
  <si>
    <t>8AJFB8CB5L1560173</t>
  </si>
  <si>
    <t>Area Programatica Nº13</t>
  </si>
  <si>
    <t>Ford F-100  4x2 ST- Ambulancia.-</t>
  </si>
  <si>
    <t>RYARL8887</t>
  </si>
  <si>
    <t>AFETNN21RJO89293</t>
  </si>
  <si>
    <t>Ford Ranger XL Plus - Ambulancia.-</t>
  </si>
  <si>
    <t>ABC-121</t>
  </si>
  <si>
    <t>C36190445</t>
  </si>
  <si>
    <t>8AFER10F56J4</t>
  </si>
  <si>
    <t>Fiat Ducato maxicargo 2,3 JTD - Ambulancia.-</t>
  </si>
  <si>
    <t>NHW-646</t>
  </si>
  <si>
    <t>93W245G84D2109591</t>
  </si>
  <si>
    <t>AA-842-EO</t>
  </si>
  <si>
    <t>93W245G84H2160825</t>
  </si>
  <si>
    <t>Area Programatica Nº14</t>
  </si>
  <si>
    <t>FKA-418</t>
  </si>
  <si>
    <t>C35191961</t>
  </si>
  <si>
    <t>Toyota Hilux 4x4 c/s. Ambulancia.-</t>
  </si>
  <si>
    <t>AA-793-NG</t>
  </si>
  <si>
    <t>2GD0137686</t>
  </si>
  <si>
    <t>8AJFB8CB3H1550880</t>
  </si>
  <si>
    <t>Ford Ranger 4x4  XL Plus 3,0 L - Ambulancia.-</t>
  </si>
  <si>
    <t>LBC-804</t>
  </si>
  <si>
    <t>L1A030321</t>
  </si>
  <si>
    <t>8AFER13P8CJ486509</t>
  </si>
  <si>
    <t>AE-414-KZ</t>
  </si>
  <si>
    <t>2GD-0711978</t>
  </si>
  <si>
    <t>8AJFB8CB0L1560257</t>
  </si>
  <si>
    <t>SECRETARIA DE SALUD MENTAL Y ADICCIONES</t>
  </si>
  <si>
    <t>Nº de Chasis</t>
  </si>
  <si>
    <t>Ford Ranger 3,0 TDI SC 4x2 Plus. Camioneta-</t>
  </si>
  <si>
    <t>INA-475</t>
  </si>
  <si>
    <t>8AFDR12P4AJ85846</t>
  </si>
  <si>
    <t>Chevrolet  S10 2,8 TDI 4x2 D/C  DLX EL. Camioneta.-</t>
  </si>
  <si>
    <t>FSI-818</t>
  </si>
  <si>
    <t>9BG138AC06C417378</t>
  </si>
  <si>
    <t>Crysler RAM laramie 1500 pick up 4x4 doble cabina. Camioneta.-</t>
  </si>
  <si>
    <t>AD-189-SN</t>
  </si>
  <si>
    <t>3C6RRBET7HG94960</t>
  </si>
  <si>
    <t>SECRETARIA DE PLANIFICACION Y GESTION EN SALUD</t>
  </si>
  <si>
    <t>Toyota Hilux SW4 4X4 SRX 2,8 TDI 6 M/T 7A. Camioneta.-</t>
  </si>
  <si>
    <t>AD-125-XM</t>
  </si>
  <si>
    <t>1GD-G029980</t>
  </si>
  <si>
    <t>8AJBA3FS8H026028</t>
  </si>
  <si>
    <t>Chevrolet Blazer DLX 2,8 TDI. Camioneta.-</t>
  </si>
  <si>
    <t>GRL-150</t>
  </si>
  <si>
    <t>M1A301900</t>
  </si>
  <si>
    <t>9BG116BJ08C407853</t>
  </si>
  <si>
    <t>DIRECCION PROVINCIAL DE VECTORES Y ZOONOSIS</t>
  </si>
  <si>
    <t>VW Caddy 1,9 SD. Furgon.-</t>
  </si>
  <si>
    <t>DMQ-710</t>
  </si>
  <si>
    <t>1Y635412</t>
  </si>
  <si>
    <t>8AWZZZ9EZYA520052</t>
  </si>
  <si>
    <t>Ford Rnger XL 3,0 TDI D/C 4x2 Plus. Camioneta.-</t>
  </si>
  <si>
    <t>GVM-697</t>
  </si>
  <si>
    <t>C34243556</t>
  </si>
  <si>
    <t>8AFER13P58J133751</t>
  </si>
  <si>
    <t>Ford Ranger XL T 3,0 TDI D/C 4x4 LIM. Camioneta.-</t>
  </si>
  <si>
    <t>GVU-547</t>
  </si>
  <si>
    <t>C34243362</t>
  </si>
  <si>
    <t>8AFER13P18J133746</t>
  </si>
  <si>
    <t>Ford Ranger XL T 3,0 TDI D/C 4x2 PLUS. Camioneta.-</t>
  </si>
  <si>
    <t>IPE-911</t>
  </si>
  <si>
    <t>D56289530</t>
  </si>
  <si>
    <t>8AFER10P6AJ299531</t>
  </si>
  <si>
    <t>Ford Ranger DC 4x2 XL Plus 3,0 D. Camioneta.-</t>
  </si>
  <si>
    <t>LCA-236</t>
  </si>
  <si>
    <t>L1A029545</t>
  </si>
  <si>
    <t>8AFDR12PXCJ490431</t>
  </si>
  <si>
    <t>Fiat Ducato. Minibus.-</t>
  </si>
  <si>
    <t>AD-266-ZZ</t>
  </si>
  <si>
    <t>93W245G84H2162641</t>
  </si>
  <si>
    <t>Ford Rnger XL 3,0 TDI D/C 4x2.-</t>
  </si>
  <si>
    <t>IPE-916</t>
  </si>
  <si>
    <t>D56290126</t>
  </si>
  <si>
    <t>8AFER10P7AJ299795</t>
  </si>
  <si>
    <t>Renault trafic. Furgon.-</t>
  </si>
  <si>
    <t>DNR-926</t>
  </si>
  <si>
    <t>FSQJ606C012115</t>
  </si>
  <si>
    <t>8A1T31JZZYL086918</t>
  </si>
  <si>
    <t>DIRECCION PROVINCIAL DE SALUD Y MEDIO AMBIENTE</t>
  </si>
  <si>
    <t>Ford Ranger XL 2,3 DC 4x2 Plus L/10. Camioneta.-</t>
  </si>
  <si>
    <t>INA-469</t>
  </si>
  <si>
    <t>8AFDR12P5AJ284799</t>
  </si>
  <si>
    <t>Ford Ranger XL T 3,0 TDI D/C 4x2 PLUS L. Camioneta.-</t>
  </si>
  <si>
    <t>IPE-910</t>
  </si>
  <si>
    <t>8AFER10P6AJ299528</t>
  </si>
  <si>
    <t>Chevrolet  S10 2,8 TDI 4x2 D/C Plus cabina doble. Camioneta.-</t>
  </si>
  <si>
    <t>FHF-893</t>
  </si>
  <si>
    <t>9BG138AC05C437033</t>
  </si>
  <si>
    <t>GUV-911</t>
  </si>
  <si>
    <t>9GB138AJ08C406146</t>
  </si>
  <si>
    <t>M. Benz K-1318. Camion.-</t>
  </si>
  <si>
    <t>HND-463</t>
  </si>
  <si>
    <t>9BM6490429B609643</t>
  </si>
  <si>
    <t>Secretaria de Asistencia en Salud Publica</t>
  </si>
  <si>
    <t>Chevrolet S10 2,8 TED 4X2 LS Pick up .-</t>
  </si>
  <si>
    <t>AC-091-RR</t>
  </si>
  <si>
    <t>HRUF171781023</t>
  </si>
  <si>
    <t>9BG148CK0JC414811</t>
  </si>
  <si>
    <t>Chevrolet Blazer DLX 2,8 TDI 4x4 L.-</t>
  </si>
  <si>
    <t>FXH-094</t>
  </si>
  <si>
    <t>M1A275990</t>
  </si>
  <si>
    <t>9BG116BJ07C406216</t>
  </si>
  <si>
    <t>Fiat Qubo 1,4 Active.-</t>
  </si>
  <si>
    <t>OJM-554</t>
  </si>
  <si>
    <t>10FSX16615615</t>
  </si>
  <si>
    <t>ZFA225000E6813590</t>
  </si>
  <si>
    <t>DIRECCION PROVINCIAL DEL SISTEMA DE ATENCION MEDICA DE EMERGENCIA</t>
  </si>
  <si>
    <t>Fiat Ducato Maxi Carga Multijet JTD Furgon. Ambulancia.-</t>
  </si>
  <si>
    <t>NUB-239</t>
  </si>
  <si>
    <t>93W245G74D2109186</t>
  </si>
  <si>
    <t>NWM-372</t>
  </si>
  <si>
    <t>93W245G74D2109552</t>
  </si>
  <si>
    <t>NYF-582</t>
  </si>
  <si>
    <t>93W245G74E2121568</t>
  </si>
  <si>
    <t>AA-658-GZ</t>
  </si>
  <si>
    <t>93W245G84H2161256</t>
  </si>
  <si>
    <t>Fiat Ducato Maxi Carga Multijet. Ambulancia.-</t>
  </si>
  <si>
    <t>AA-702-NG</t>
  </si>
  <si>
    <t>93W245G82H2160424</t>
  </si>
  <si>
    <t>MPH-712</t>
  </si>
  <si>
    <t>AB-518-CS</t>
  </si>
  <si>
    <t>93W245G84H2165048</t>
  </si>
  <si>
    <t>AB-518-CT</t>
  </si>
  <si>
    <t>93W245684H2165113</t>
  </si>
  <si>
    <t>Renault Master L2H2 AA. Amubulancia.-</t>
  </si>
  <si>
    <t>AD-993-OD</t>
  </si>
  <si>
    <t>M9TB870C260128</t>
  </si>
  <si>
    <t>93YMAFESCKJ625829</t>
  </si>
  <si>
    <t>AD-993-OC</t>
  </si>
  <si>
    <t>M9TB870C260095</t>
  </si>
  <si>
    <t>93YMAFESCKJ625788</t>
  </si>
  <si>
    <t>Ford Transit 2,2 TDCI. Furgon. Ambulancia.-</t>
  </si>
  <si>
    <t>LYY-038</t>
  </si>
  <si>
    <t>WF0XXPTTFCTC58018</t>
  </si>
  <si>
    <t>CYRCCTC58018</t>
  </si>
  <si>
    <t>Ford Transit 2,2 L 125 T350 TA C/AA. Furgon Larga. Neonatal. Ambuancia.-</t>
  </si>
  <si>
    <t>MNW-260</t>
  </si>
  <si>
    <t>CYRCDTS07184</t>
  </si>
  <si>
    <t>WFOXXPTTFDTS07184</t>
  </si>
  <si>
    <t>Mercedez Benz Sprinter 313, combi 3550 9+1. Combi. Ambulancia.-</t>
  </si>
  <si>
    <t>HQV-791</t>
  </si>
  <si>
    <t>8AC9036629E010749</t>
  </si>
  <si>
    <t>Frod Ranger XL 3,0 TDI DC 4x4 Plus L. Camioneta.-</t>
  </si>
  <si>
    <t>JRJ-105</t>
  </si>
  <si>
    <t>L1A008818</t>
  </si>
  <si>
    <t>8AFER13P48J398152</t>
  </si>
  <si>
    <t>Mercedez Benz 1114 Camion.-</t>
  </si>
  <si>
    <t>K-0022935</t>
  </si>
  <si>
    <t>38400712097854</t>
  </si>
  <si>
    <t>Citroen Jumper 435 L2H2 HDI 130 MT6 AM20. Ambulancia.-</t>
  </si>
  <si>
    <t>AE-677-KB</t>
  </si>
  <si>
    <t>10TRJN3091034</t>
  </si>
  <si>
    <t>VF7YDTMFBM2P34153</t>
  </si>
  <si>
    <t>AE-677-LH</t>
  </si>
  <si>
    <t>2GD0880326</t>
  </si>
  <si>
    <t>8AJDB3CB9M5542084</t>
  </si>
  <si>
    <t>DIR PROVINCIAL MATERNIDAD, INFANCIA Y ADOLESCENCIA</t>
  </si>
  <si>
    <t>JRJ-107</t>
  </si>
  <si>
    <t>L1A008610</t>
  </si>
  <si>
    <t>8AFER13P6BJ398167</t>
  </si>
  <si>
    <t xml:space="preserve"> DIRECCION PROVINCIAL BANCO DE SANGRE</t>
  </si>
  <si>
    <t>M. Benz Sprinter 313D Combi 3350 15+.-</t>
  </si>
  <si>
    <t>HLD-939</t>
  </si>
  <si>
    <t>AC9036629E000891</t>
  </si>
  <si>
    <t>MINISTERIO DE SALUD</t>
  </si>
  <si>
    <t>Renault Kangoo 1,5 FDI PH3 confort.-</t>
  </si>
  <si>
    <t>PIQ-518</t>
  </si>
  <si>
    <t>K9KV714D274629</t>
  </si>
  <si>
    <t>8A1FC1E15GL128692</t>
  </si>
  <si>
    <t>Toyota hylux AK-SW4-4x4 SRX 2,8 TDI. Camioneta.-</t>
  </si>
  <si>
    <t>AD-125-XL</t>
  </si>
  <si>
    <t>1GD-4378200</t>
  </si>
  <si>
    <t>8AJBA3FS8J0250098</t>
  </si>
  <si>
    <t>DIRECCION PROVINCIAL EPIDEMIOLOGIA</t>
  </si>
  <si>
    <t>INA-464</t>
  </si>
  <si>
    <t>D56285406</t>
  </si>
  <si>
    <t>8FDR12P0AJ285844</t>
  </si>
  <si>
    <t>PROGRAMA SUMAR</t>
  </si>
  <si>
    <t>Ford Ranger DC 4X4 L 2.2L. Camioneta.-</t>
  </si>
  <si>
    <t>AD-398-KY</t>
  </si>
  <si>
    <t>QJ2RKJ113446</t>
  </si>
  <si>
    <t>8AFAR23KXKJ113446</t>
  </si>
  <si>
    <t>DIRECCION PROVINCIAL DE ODONTOLOGIA</t>
  </si>
  <si>
    <t>M. Benz Sprinter.-</t>
  </si>
  <si>
    <t>GUV-910</t>
  </si>
  <si>
    <t>8AC9046638A983668</t>
  </si>
  <si>
    <t>SECRETARIA DE MEDICINA PREVENTIVA Y PROMOCION EN SALUD</t>
  </si>
  <si>
    <t>Ford Ranger 2,2 TDI DC 4x4 FDI PH3 confort. Camioneta.-</t>
  </si>
  <si>
    <t>AD-644-GA</t>
  </si>
  <si>
    <t>QJ2RKJ140722</t>
  </si>
  <si>
    <t>8AFAR23K0KJ40722</t>
  </si>
  <si>
    <t>Chevrolet  S10 2,8 TDI 4x2 D/C DLX EL. Camioneta.-</t>
  </si>
  <si>
    <t>GAJ-557</t>
  </si>
  <si>
    <t>M1T241375</t>
  </si>
  <si>
    <t>9BG138AC06C426943</t>
  </si>
  <si>
    <t>DIRECCION PROVINCIAL DE ASISTENCIA INTEGRAL A PERSONAS CON DISCAPACIDAD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</si>
  <si>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</si>
  <si>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</si>
  <si>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</si>
  <si>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</si>
  <si>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</si>
  <si>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</si>
  <si>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</si>
  <si>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</si>
  <si>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</si>
  <si>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</si>
  <si>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</si>
  <si>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</si>
  <si>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</si>
  <si>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</si>
  <si>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</si>
  <si>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</si>
  <si>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</si>
  <si>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</si>
  <si>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</si>
  <si>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</si>
  <si>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</si>
  <si>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</si>
  <si>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</si>
  <si>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</si>
  <si>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</si>
  <si>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</si>
  <si>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</si>
  <si>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</si>
  <si>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</si>
  <si>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</si>
  <si>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</si>
  <si>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</si>
  <si>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</si>
  <si>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</si>
  <si>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</si>
  <si>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</si>
  <si>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</si>
  <si>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XX/2022</t>
  </si>
  <si>
    <t>3° TRIMESTRE 2022</t>
  </si>
  <si>
    <t>1.1</t>
  </si>
  <si>
    <t>COMBUSTIBLES Y LURBICANTES</t>
  </si>
  <si>
    <t>Autorizo la realización de los  trámites correspondientes, a fin de proveer a  este Organismo los bienes que se detallan en Nota  de Pedido N° XX/2022 , afectando la erogación resultante a los créditos presupuestarios aprobados a favor de esta Unidad Ejecutora, conforme al siguiente detalle:</t>
  </si>
  <si>
    <t>SI</t>
  </si>
  <si>
    <t xml:space="preserve">SE ADJUNTA ANEXO CON LOS DOMINIOS Y MATRICULA DE LOS VEHICULOS PARA LOS QUE SE SOLICITA EL COMBUSTIBLE </t>
  </si>
  <si>
    <t>DEPENDENCIA</t>
  </si>
  <si>
    <t>CANT. LITROS</t>
  </si>
  <si>
    <t>SEC. DE MEDICINA PREVENTIVA Y PROMOCION EN SALUD</t>
  </si>
  <si>
    <t>DIR. PROV. BANCO DE SANGRE</t>
  </si>
  <si>
    <t>DIR. PROV. DE ODONTOLOGIA</t>
  </si>
  <si>
    <t>DIR. PROV. SAME</t>
  </si>
  <si>
    <t>DIR. PROV. MATERNIDAD, INFANCIA Y ADOLESCENCIA</t>
  </si>
  <si>
    <t>SEC. DE ASISTENCIA EN SALUD PUBLICA</t>
  </si>
  <si>
    <t>DIR. PROV. DE SALUD Y MEDIO AMBIENTE</t>
  </si>
  <si>
    <t>DIR. CONTROL DE VECTORES Y ZOONOSIS</t>
  </si>
  <si>
    <t>DIR. PROV. DE ATENCION INTEGRAL A PERS. CON DISCAP.</t>
  </si>
  <si>
    <t>SEC. DE PLANIFICACION Y GESTION EN SALUD</t>
  </si>
  <si>
    <t>SEC. DE SALUD MENTAL Y ADICCIONES</t>
  </si>
  <si>
    <t>DIR. PROV. DE ASIST. SANITARIA Y AREAS PROGR.</t>
  </si>
  <si>
    <t>DIR. PROV. DE EPIDEMIOLOGIA</t>
  </si>
  <si>
    <t>SEC. PRIV. MINISTERIO DE SALUD</t>
  </si>
  <si>
    <t>TOTAL MINISTERIO DE SALUD</t>
  </si>
  <si>
    <t>Costo total estimado: PESOS VEINTIUN MILLONES NOVECIENTOS NOVENTA Y NUEVE MIL DOSCIENTOS VEINTIDOS CON 00/100.-</t>
  </si>
  <si>
    <t>TOTAL DE PESOS: VEINTIUN MILLONES NOVECIENTOS NOVENTA Y NUEVE MIL DOSCIENTOS VEINTIDOS CON 00/100.-</t>
  </si>
  <si>
    <t>352 - MINISTERIO DE SALUD</t>
  </si>
  <si>
    <t>ADQ. DEL RUBRO COMBUSTIBLE (GAS OIL) PARA LAS DEPENDENCIAS DEL MINISTERIO DE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</si>
</sst>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_-* #,##0.00&quot; €&quot;_-;\-* #,##0.00&quot; €&quot;_-;_-* \-??&quot; €&quot;_-;_-@_-"/>
    <numFmt numFmtId="168" formatCode="dd\-mm\-yy;@"/>
    <numFmt numFmtId="169" formatCode="_(\$* #,##0.00_);_(\$* \(#,##0.00\);_(\$* \-??_);_(@_)"/>
    <numFmt numFmtId="170" formatCode="[$$-2C0A]\ #,##0.00;[$$-2C0A]&quot; -&quot;#,##0.0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4"/>
      <color indexed="8"/>
      <name val="Calibri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  <charset val="1"/>
    </font>
    <font>
      <b/>
      <i/>
      <sz val="14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i/>
      <sz val="12"/>
      <name val="Arial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9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7" fontId="8" fillId="0" borderId="0" applyBorder="0" applyProtection="0"/>
    <xf numFmtId="0" fontId="12" fillId="0" borderId="8" applyProtection="0"/>
    <xf numFmtId="0" fontId="13" fillId="4" borderId="0" applyBorder="0" applyProtection="0"/>
    <xf numFmtId="0" fontId="8" fillId="0" borderId="0"/>
    <xf numFmtId="0" fontId="8" fillId="0" borderId="0"/>
    <xf numFmtId="167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7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  <xf numFmtId="169" fontId="25" fillId="0" borderId="0" applyBorder="0" applyProtection="0"/>
  </cellStyleXfs>
  <cellXfs count="564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/>
    <xf numFmtId="166" fontId="7" fillId="2" borderId="2" xfId="2" applyNumberFormat="1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10" fillId="0" borderId="4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3" fontId="7" fillId="0" borderId="7" xfId="2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0" fillId="0" borderId="5" xfId="0" applyFont="1" applyBorder="1"/>
    <xf numFmtId="0" fontId="10" fillId="0" borderId="0" xfId="0" applyFont="1"/>
    <xf numFmtId="166" fontId="6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 wrapText="1"/>
    </xf>
    <xf numFmtId="165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Fill="1" applyBorder="1" applyAlignment="1">
      <alignment horizontal="center" vertical="center"/>
    </xf>
    <xf numFmtId="166" fontId="10" fillId="2" borderId="6" xfId="2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3" fontId="9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18" fillId="0" borderId="0" xfId="0" applyFont="1"/>
    <xf numFmtId="44" fontId="0" fillId="0" borderId="0" xfId="1" applyFont="1" applyAlignment="1">
      <alignment horizontal="center" vertical="center"/>
    </xf>
    <xf numFmtId="0" fontId="9" fillId="0" borderId="7" xfId="0" applyNumberFormat="1" applyFont="1" applyBorder="1" applyAlignment="1">
      <alignment horizontal="center" vertical="center"/>
    </xf>
    <xf numFmtId="166" fontId="9" fillId="0" borderId="7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166" fontId="4" fillId="0" borderId="4" xfId="1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0" fillId="0" borderId="12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" fillId="0" borderId="13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13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vertical="center"/>
    </xf>
    <xf numFmtId="0" fontId="3" fillId="0" borderId="13" xfId="5" applyFont="1" applyFill="1" applyBorder="1" applyAlignment="1">
      <alignment vertical="center"/>
    </xf>
    <xf numFmtId="0" fontId="20" fillId="0" borderId="12" xfId="5" applyFont="1" applyBorder="1" applyAlignment="1">
      <alignment horizontal="center" vertical="center" wrapText="1"/>
    </xf>
    <xf numFmtId="0" fontId="3" fillId="0" borderId="0" xfId="5" applyFont="1" applyBorder="1" applyAlignment="1">
      <alignment horizontal="center" vertical="center"/>
    </xf>
    <xf numFmtId="0" fontId="3" fillId="0" borderId="13" xfId="5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23" fillId="0" borderId="21" xfId="0" applyFont="1" applyFill="1" applyBorder="1" applyAlignment="1">
      <alignment vertical="center"/>
    </xf>
    <xf numFmtId="0" fontId="23" fillId="0" borderId="22" xfId="0" applyFont="1" applyFill="1" applyBorder="1" applyAlignment="1">
      <alignment horizontal="center" vertical="center"/>
    </xf>
    <xf numFmtId="1" fontId="23" fillId="0" borderId="23" xfId="0" applyNumberFormat="1" applyFont="1" applyFill="1" applyBorder="1" applyAlignment="1">
      <alignment horizontal="center" vertical="center"/>
    </xf>
    <xf numFmtId="0" fontId="23" fillId="0" borderId="12" xfId="0" applyFont="1" applyFill="1" applyBorder="1" applyAlignment="1">
      <alignment horizontal="center" vertical="center"/>
    </xf>
    <xf numFmtId="0" fontId="23" fillId="0" borderId="21" xfId="0" applyFont="1" applyFill="1" applyBorder="1" applyAlignment="1">
      <alignment horizontal="center" vertical="center"/>
    </xf>
    <xf numFmtId="0" fontId="23" fillId="0" borderId="23" xfId="0" applyFont="1" applyFill="1" applyBorder="1" applyAlignment="1">
      <alignment horizontal="center" vertical="center"/>
    </xf>
    <xf numFmtId="0" fontId="23" fillId="0" borderId="24" xfId="0" applyFont="1" applyFill="1" applyBorder="1" applyAlignment="1">
      <alignment horizontal="left" vertical="center" wrapText="1"/>
    </xf>
    <xf numFmtId="0" fontId="23" fillId="0" borderId="25" xfId="0" applyFont="1" applyFill="1" applyBorder="1" applyAlignment="1">
      <alignment horizontal="center" vertical="center"/>
    </xf>
    <xf numFmtId="1" fontId="23" fillId="0" borderId="12" xfId="0" applyNumberFormat="1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/>
    </xf>
    <xf numFmtId="0" fontId="23" fillId="0" borderId="27" xfId="0" applyFont="1" applyFill="1" applyBorder="1" applyAlignment="1">
      <alignment horizontal="left" vertical="center" wrapText="1"/>
    </xf>
    <xf numFmtId="0" fontId="23" fillId="0" borderId="28" xfId="0" applyFont="1" applyFill="1" applyBorder="1" applyAlignment="1">
      <alignment horizontal="center" vertical="center"/>
    </xf>
    <xf numFmtId="1" fontId="23" fillId="0" borderId="29" xfId="0" applyNumberFormat="1" applyFont="1" applyFill="1" applyBorder="1" applyAlignment="1">
      <alignment horizontal="center" vertical="center"/>
    </xf>
    <xf numFmtId="0" fontId="23" fillId="0" borderId="29" xfId="0" applyFont="1" applyFill="1" applyBorder="1" applyAlignment="1">
      <alignment horizontal="center" vertical="center"/>
    </xf>
    <xf numFmtId="0" fontId="23" fillId="0" borderId="27" xfId="0" applyFont="1" applyFill="1" applyBorder="1" applyAlignment="1">
      <alignment horizontal="center" vertical="center"/>
    </xf>
    <xf numFmtId="0" fontId="23" fillId="0" borderId="21" xfId="0" applyFont="1" applyFill="1" applyBorder="1" applyAlignment="1">
      <alignment vertical="center" wrapText="1"/>
    </xf>
    <xf numFmtId="0" fontId="23" fillId="0" borderId="27" xfId="0" applyFont="1" applyFill="1" applyBorder="1" applyAlignment="1">
      <alignment vertical="center"/>
    </xf>
    <xf numFmtId="0" fontId="23" fillId="0" borderId="27" xfId="0" applyFont="1" applyFill="1" applyBorder="1" applyAlignment="1">
      <alignment vertical="center" wrapText="1"/>
    </xf>
    <xf numFmtId="0" fontId="23" fillId="0" borderId="26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center" vertical="center"/>
    </xf>
    <xf numFmtId="0" fontId="23" fillId="0" borderId="30" xfId="0" applyFont="1" applyFill="1" applyBorder="1" applyAlignment="1">
      <alignment vertical="center"/>
    </xf>
    <xf numFmtId="0" fontId="23" fillId="0" borderId="31" xfId="0" applyFont="1" applyFill="1" applyBorder="1" applyAlignment="1">
      <alignment horizontal="center" vertical="center"/>
    </xf>
    <xf numFmtId="1" fontId="23" fillId="0" borderId="32" xfId="0" applyNumberFormat="1" applyFont="1" applyFill="1" applyBorder="1" applyAlignment="1">
      <alignment horizontal="center" vertical="center"/>
    </xf>
    <xf numFmtId="0" fontId="23" fillId="0" borderId="32" xfId="0" applyFont="1" applyFill="1" applyBorder="1" applyAlignment="1">
      <alignment horizontal="center" vertical="center"/>
    </xf>
    <xf numFmtId="0" fontId="23" fillId="0" borderId="3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vertical="center"/>
    </xf>
    <xf numFmtId="1" fontId="23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23" fillId="0" borderId="33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23" fillId="0" borderId="23" xfId="0" applyFont="1" applyFill="1" applyBorder="1" applyAlignment="1">
      <alignment horizontal="left" vertical="center" wrapText="1"/>
    </xf>
    <xf numFmtId="49" fontId="23" fillId="0" borderId="22" xfId="0" applyNumberFormat="1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0" fontId="23" fillId="0" borderId="29" xfId="0" applyFont="1" applyFill="1" applyBorder="1" applyAlignment="1">
      <alignment vertical="center"/>
    </xf>
    <xf numFmtId="49" fontId="23" fillId="0" borderId="28" xfId="0" applyNumberFormat="1" applyFont="1" applyFill="1" applyBorder="1" applyAlignment="1">
      <alignment horizontal="center" vertical="center"/>
    </xf>
    <xf numFmtId="49" fontId="23" fillId="0" borderId="27" xfId="0" applyNumberFormat="1" applyFont="1" applyFill="1" applyBorder="1" applyAlignment="1">
      <alignment horizontal="center" vertical="center"/>
    </xf>
    <xf numFmtId="0" fontId="23" fillId="0" borderId="35" xfId="0" applyFont="1" applyFill="1" applyBorder="1" applyAlignment="1">
      <alignment horizontal="center" vertical="center"/>
    </xf>
    <xf numFmtId="0" fontId="23" fillId="0" borderId="32" xfId="0" applyFont="1" applyFill="1" applyBorder="1" applyAlignment="1">
      <alignment vertical="center"/>
    </xf>
    <xf numFmtId="49" fontId="23" fillId="0" borderId="31" xfId="0" applyNumberFormat="1" applyFont="1" applyFill="1" applyBorder="1" applyAlignment="1">
      <alignment horizontal="center" vertical="center"/>
    </xf>
    <xf numFmtId="49" fontId="23" fillId="0" borderId="30" xfId="0" applyNumberFormat="1" applyFont="1" applyFill="1" applyBorder="1" applyAlignment="1">
      <alignment horizontal="center" vertical="center"/>
    </xf>
    <xf numFmtId="0" fontId="23" fillId="0" borderId="36" xfId="0" applyFont="1" applyFill="1" applyBorder="1" applyAlignment="1">
      <alignment horizontal="center" vertical="center"/>
    </xf>
    <xf numFmtId="0" fontId="24" fillId="0" borderId="33" xfId="0" applyFont="1" applyFill="1" applyBorder="1" applyAlignment="1">
      <alignment horizontal="center" vertical="center" wrapText="1"/>
    </xf>
    <xf numFmtId="0" fontId="23" fillId="0" borderId="37" xfId="0" applyFont="1" applyFill="1" applyBorder="1" applyAlignment="1">
      <alignment vertical="center"/>
    </xf>
    <xf numFmtId="0" fontId="23" fillId="0" borderId="37" xfId="0" applyFont="1" applyFill="1" applyBorder="1" applyAlignment="1">
      <alignment horizontal="center" vertical="center"/>
    </xf>
    <xf numFmtId="1" fontId="23" fillId="0" borderId="37" xfId="0" applyNumberFormat="1" applyFont="1" applyFill="1" applyBorder="1" applyAlignment="1">
      <alignment horizontal="center" vertical="center"/>
    </xf>
    <xf numFmtId="0" fontId="23" fillId="0" borderId="24" xfId="0" applyFont="1" applyFill="1" applyBorder="1" applyAlignment="1">
      <alignment vertical="center"/>
    </xf>
    <xf numFmtId="0" fontId="23" fillId="0" borderId="24" xfId="0" applyFont="1" applyFill="1" applyBorder="1" applyAlignment="1">
      <alignment horizontal="center" vertical="center"/>
    </xf>
    <xf numFmtId="1" fontId="23" fillId="0" borderId="24" xfId="0" applyNumberFormat="1" applyFont="1" applyFill="1" applyBorder="1" applyAlignment="1">
      <alignment horizontal="center" vertical="center"/>
    </xf>
    <xf numFmtId="1" fontId="23" fillId="0" borderId="27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vertical="center" wrapText="1"/>
    </xf>
    <xf numFmtId="49" fontId="23" fillId="0" borderId="24" xfId="0" applyNumberFormat="1" applyFont="1" applyFill="1" applyBorder="1" applyAlignment="1">
      <alignment horizontal="center" vertical="center"/>
    </xf>
    <xf numFmtId="0" fontId="23" fillId="0" borderId="24" xfId="0" applyFont="1" applyFill="1" applyBorder="1" applyAlignment="1">
      <alignment vertical="center" wrapText="1"/>
    </xf>
    <xf numFmtId="0" fontId="23" fillId="0" borderId="0" xfId="0" applyFont="1" applyFill="1" applyBorder="1" applyAlignment="1">
      <alignment horizontal="left" vertical="center" wrapText="1"/>
    </xf>
    <xf numFmtId="0" fontId="23" fillId="0" borderId="33" xfId="0" applyFont="1" applyFill="1" applyBorder="1" applyAlignment="1">
      <alignment vertical="center"/>
    </xf>
    <xf numFmtId="0" fontId="23" fillId="0" borderId="11" xfId="0" applyFont="1" applyFill="1" applyBorder="1" applyAlignment="1">
      <alignment horizontal="center" vertical="center"/>
    </xf>
    <xf numFmtId="0" fontId="23" fillId="0" borderId="35" xfId="0" applyFont="1" applyFill="1" applyBorder="1" applyAlignment="1">
      <alignment horizontal="center" vertical="center" wrapText="1"/>
    </xf>
    <xf numFmtId="49" fontId="23" fillId="0" borderId="27" xfId="0" applyNumberFormat="1" applyFont="1" applyFill="1" applyBorder="1" applyAlignment="1">
      <alignment horizontal="center" vertical="center" wrapText="1"/>
    </xf>
    <xf numFmtId="49" fontId="23" fillId="0" borderId="35" xfId="0" applyNumberFormat="1" applyFont="1" applyFill="1" applyBorder="1" applyAlignment="1">
      <alignment horizontal="center" vertical="center" wrapText="1"/>
    </xf>
    <xf numFmtId="0" fontId="23" fillId="0" borderId="27" xfId="0" applyFont="1" applyFill="1" applyBorder="1" applyAlignment="1">
      <alignment horizontal="center" vertical="center" wrapText="1"/>
    </xf>
    <xf numFmtId="49" fontId="23" fillId="0" borderId="35" xfId="0" applyNumberFormat="1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49" fontId="23" fillId="0" borderId="24" xfId="0" applyNumberFormat="1" applyFont="1" applyFill="1" applyBorder="1" applyAlignment="1">
      <alignment horizontal="center" vertical="center" wrapText="1"/>
    </xf>
    <xf numFmtId="49" fontId="23" fillId="0" borderId="38" xfId="0" applyNumberFormat="1" applyFont="1" applyFill="1" applyBorder="1" applyAlignment="1">
      <alignment horizontal="center" vertical="center" wrapText="1"/>
    </xf>
    <xf numFmtId="0" fontId="23" fillId="0" borderId="24" xfId="0" applyFont="1" applyFill="1" applyBorder="1" applyAlignment="1">
      <alignment horizontal="center" vertical="center" wrapText="1"/>
    </xf>
    <xf numFmtId="0" fontId="23" fillId="0" borderId="36" xfId="0" applyFont="1" applyFill="1" applyBorder="1" applyAlignment="1">
      <alignment horizontal="center" vertical="center" wrapText="1"/>
    </xf>
    <xf numFmtId="49" fontId="23" fillId="0" borderId="30" xfId="0" applyNumberFormat="1" applyFont="1" applyFill="1" applyBorder="1" applyAlignment="1">
      <alignment horizontal="center" vertical="center" wrapText="1"/>
    </xf>
    <xf numFmtId="49" fontId="23" fillId="0" borderId="36" xfId="0" applyNumberFormat="1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39" xfId="0" applyFont="1" applyFill="1" applyBorder="1" applyAlignment="1">
      <alignment vertical="center"/>
    </xf>
    <xf numFmtId="0" fontId="23" fillId="0" borderId="40" xfId="0" applyFont="1" applyFill="1" applyBorder="1" applyAlignment="1">
      <alignment horizontal="center" vertical="center"/>
    </xf>
    <xf numFmtId="0" fontId="23" fillId="0" borderId="41" xfId="0" applyFont="1" applyFill="1" applyBorder="1" applyAlignment="1">
      <alignment horizontal="left" vertical="center" wrapText="1"/>
    </xf>
    <xf numFmtId="0" fontId="23" fillId="0" borderId="37" xfId="0" applyFont="1" applyFill="1" applyBorder="1" applyAlignment="1">
      <alignment horizontal="center" vertical="center" wrapText="1"/>
    </xf>
    <xf numFmtId="49" fontId="23" fillId="0" borderId="42" xfId="0" applyNumberFormat="1" applyFont="1" applyFill="1" applyBorder="1" applyAlignment="1">
      <alignment horizontal="center" vertical="center" wrapText="1"/>
    </xf>
    <xf numFmtId="49" fontId="23" fillId="0" borderId="37" xfId="0" applyNumberFormat="1" applyFont="1" applyFill="1" applyBorder="1" applyAlignment="1">
      <alignment horizontal="center" vertical="center" wrapText="1"/>
    </xf>
    <xf numFmtId="0" fontId="23" fillId="0" borderId="35" xfId="0" applyFont="1" applyFill="1" applyBorder="1" applyAlignment="1">
      <alignment horizontal="left" vertical="center" wrapText="1"/>
    </xf>
    <xf numFmtId="49" fontId="23" fillId="0" borderId="28" xfId="0" applyNumberFormat="1" applyFont="1" applyFill="1" applyBorder="1" applyAlignment="1">
      <alignment horizontal="center" vertical="center" wrapText="1"/>
    </xf>
    <xf numFmtId="0" fontId="23" fillId="0" borderId="38" xfId="0" applyFont="1" applyFill="1" applyBorder="1" applyAlignment="1">
      <alignment horizontal="left" vertical="center" wrapText="1"/>
    </xf>
    <xf numFmtId="49" fontId="23" fillId="0" borderId="25" xfId="0" applyNumberFormat="1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23" fillId="0" borderId="26" xfId="0" applyFont="1" applyFill="1" applyBorder="1" applyAlignment="1">
      <alignment horizontal="center" vertical="center" wrapText="1"/>
    </xf>
    <xf numFmtId="0" fontId="23" fillId="0" borderId="43" xfId="0" applyFont="1" applyFill="1" applyBorder="1" applyAlignment="1">
      <alignment horizontal="left" vertical="center" wrapText="1"/>
    </xf>
    <xf numFmtId="0" fontId="23" fillId="0" borderId="43" xfId="0" applyFont="1" applyFill="1" applyBorder="1" applyAlignment="1">
      <alignment horizontal="center" vertical="center"/>
    </xf>
    <xf numFmtId="0" fontId="23" fillId="0" borderId="37" xfId="0" applyFont="1" applyFill="1" applyBorder="1" applyAlignment="1">
      <alignment horizontal="left" vertical="center" wrapText="1"/>
    </xf>
    <xf numFmtId="0" fontId="23" fillId="0" borderId="42" xfId="0" applyFont="1" applyFill="1" applyBorder="1" applyAlignment="1">
      <alignment horizontal="center" vertical="center"/>
    </xf>
    <xf numFmtId="49" fontId="23" fillId="0" borderId="25" xfId="0" applyNumberFormat="1" applyFont="1" applyFill="1" applyBorder="1" applyAlignment="1">
      <alignment horizontal="center" vertical="center"/>
    </xf>
    <xf numFmtId="0" fontId="23" fillId="0" borderId="30" xfId="0" applyFont="1" applyFill="1" applyBorder="1" applyAlignment="1">
      <alignment horizontal="left" vertical="center" wrapText="1"/>
    </xf>
    <xf numFmtId="0" fontId="23" fillId="0" borderId="33" xfId="0" applyFont="1" applyFill="1" applyBorder="1" applyAlignment="1">
      <alignment horizontal="left" vertical="center" wrapText="1"/>
    </xf>
    <xf numFmtId="0" fontId="23" fillId="0" borderId="41" xfId="0" applyNumberFormat="1" applyFont="1" applyFill="1" applyBorder="1" applyAlignment="1">
      <alignment horizontal="center" vertical="center"/>
    </xf>
    <xf numFmtId="49" fontId="23" fillId="0" borderId="44" xfId="0" applyNumberFormat="1" applyFont="1" applyFill="1" applyBorder="1" applyAlignment="1">
      <alignment horizontal="center" vertical="center"/>
    </xf>
    <xf numFmtId="49" fontId="23" fillId="0" borderId="29" xfId="0" applyNumberFormat="1" applyFont="1" applyFill="1" applyBorder="1" applyAlignment="1">
      <alignment horizontal="center" vertical="center"/>
    </xf>
    <xf numFmtId="1" fontId="23" fillId="0" borderId="38" xfId="0" applyNumberFormat="1" applyFont="1" applyFill="1" applyBorder="1" applyAlignment="1">
      <alignment horizontal="center" vertical="center"/>
    </xf>
    <xf numFmtId="0" fontId="23" fillId="0" borderId="39" xfId="0" applyFont="1" applyFill="1" applyBorder="1" applyAlignment="1">
      <alignment horizontal="center" vertical="center"/>
    </xf>
    <xf numFmtId="49" fontId="23" fillId="0" borderId="38" xfId="0" applyNumberFormat="1" applyFont="1" applyFill="1" applyBorder="1" applyAlignment="1">
      <alignment horizontal="center" vertical="center"/>
    </xf>
    <xf numFmtId="49" fontId="23" fillId="0" borderId="39" xfId="0" applyNumberFormat="1" applyFont="1" applyFill="1" applyBorder="1" applyAlignment="1">
      <alignment horizontal="center" vertical="center"/>
    </xf>
    <xf numFmtId="0" fontId="23" fillId="0" borderId="34" xfId="0" applyNumberFormat="1" applyFont="1" applyFill="1" applyBorder="1" applyAlignment="1">
      <alignment horizontal="center" vertical="center"/>
    </xf>
    <xf numFmtId="49" fontId="23" fillId="0" borderId="23" xfId="0" applyNumberFormat="1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/>
    </xf>
    <xf numFmtId="49" fontId="23" fillId="0" borderId="36" xfId="0" applyNumberFormat="1" applyFont="1" applyFill="1" applyBorder="1" applyAlignment="1">
      <alignment horizontal="center" vertical="center"/>
    </xf>
    <xf numFmtId="49" fontId="23" fillId="0" borderId="0" xfId="0" applyNumberFormat="1" applyFont="1" applyFill="1" applyBorder="1" applyAlignment="1">
      <alignment horizontal="center" vertical="center"/>
    </xf>
    <xf numFmtId="0" fontId="23" fillId="0" borderId="28" xfId="0" applyFont="1" applyFill="1" applyBorder="1" applyAlignment="1">
      <alignment horizontal="center" vertical="center" wrapText="1"/>
    </xf>
    <xf numFmtId="49" fontId="23" fillId="0" borderId="21" xfId="0" applyNumberFormat="1" applyFont="1" applyFill="1" applyBorder="1" applyAlignment="1">
      <alignment horizontal="center" vertical="center"/>
    </xf>
    <xf numFmtId="49" fontId="23" fillId="0" borderId="22" xfId="0" applyNumberFormat="1" applyFont="1" applyFill="1" applyBorder="1" applyAlignment="1">
      <alignment horizontal="center" vertical="center"/>
    </xf>
    <xf numFmtId="0" fontId="23" fillId="0" borderId="25" xfId="0" applyFont="1" applyFill="1" applyBorder="1" applyAlignment="1">
      <alignment horizontal="center" vertical="center" wrapText="1"/>
    </xf>
    <xf numFmtId="0" fontId="23" fillId="0" borderId="31" xfId="0" applyFont="1" applyFill="1" applyBorder="1" applyAlignment="1">
      <alignment horizontal="center" vertical="center" wrapText="1"/>
    </xf>
    <xf numFmtId="49" fontId="23" fillId="0" borderId="31" xfId="0" applyNumberFormat="1" applyFont="1" applyFill="1" applyBorder="1" applyAlignment="1">
      <alignment horizontal="center" vertical="center" wrapText="1"/>
    </xf>
    <xf numFmtId="0" fontId="23" fillId="0" borderId="24" xfId="0" applyNumberFormat="1" applyFont="1" applyFill="1" applyBorder="1" applyAlignment="1">
      <alignment horizontal="center" vertical="center"/>
    </xf>
    <xf numFmtId="0" fontId="23" fillId="0" borderId="24" xfId="0" applyFont="1" applyFill="1" applyBorder="1" applyAlignment="1">
      <alignment horizontal="left" vertical="center"/>
    </xf>
    <xf numFmtId="0" fontId="23" fillId="0" borderId="39" xfId="0" applyFont="1" applyFill="1" applyBorder="1" applyAlignment="1">
      <alignment horizontal="left" vertical="center"/>
    </xf>
    <xf numFmtId="0" fontId="23" fillId="0" borderId="0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 wrapText="1"/>
    </xf>
    <xf numFmtId="0" fontId="23" fillId="0" borderId="41" xfId="0" applyFont="1" applyFill="1" applyBorder="1" applyAlignment="1">
      <alignment horizontal="center" vertical="center"/>
    </xf>
    <xf numFmtId="49" fontId="23" fillId="0" borderId="41" xfId="0" applyNumberFormat="1" applyFont="1" applyFill="1" applyBorder="1" applyAlignment="1">
      <alignment horizontal="center" vertical="center"/>
    </xf>
    <xf numFmtId="0" fontId="23" fillId="0" borderId="29" xfId="0" applyFont="1" applyFill="1" applyBorder="1" applyAlignment="1">
      <alignment horizontal="left" vertical="center" wrapText="1"/>
    </xf>
    <xf numFmtId="0" fontId="23" fillId="0" borderId="32" xfId="0" applyFont="1" applyFill="1" applyBorder="1" applyAlignment="1">
      <alignment horizontal="left" vertical="center" wrapText="1"/>
    </xf>
    <xf numFmtId="0" fontId="23" fillId="0" borderId="15" xfId="0" applyFont="1" applyFill="1" applyBorder="1" applyAlignment="1">
      <alignment horizontal="center" vertical="center"/>
    </xf>
    <xf numFmtId="49" fontId="23" fillId="0" borderId="33" xfId="0" applyNumberFormat="1" applyFont="1" applyFill="1" applyBorder="1" applyAlignment="1">
      <alignment horizontal="center" vertical="center"/>
    </xf>
    <xf numFmtId="49" fontId="23" fillId="0" borderId="26" xfId="0" applyNumberFormat="1" applyFont="1" applyFill="1" applyBorder="1" applyAlignment="1">
      <alignment horizontal="center" vertical="center"/>
    </xf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5" fillId="0" borderId="0" xfId="5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1" fontId="0" fillId="0" borderId="36" xfId="0" applyNumberFormat="1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1" fontId="0" fillId="0" borderId="37" xfId="0" applyNumberFormat="1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1" fontId="0" fillId="0" borderId="27" xfId="0" applyNumberFormat="1" applyFill="1" applyBorder="1" applyAlignment="1">
      <alignment horizontal="center" vertical="center"/>
    </xf>
    <xf numFmtId="49" fontId="0" fillId="0" borderId="27" xfId="0" applyNumberFormat="1" applyFill="1" applyBorder="1" applyAlignment="1">
      <alignment horizontal="center" vertical="center"/>
    </xf>
    <xf numFmtId="1" fontId="0" fillId="0" borderId="30" xfId="0" applyNumberFormat="1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1" fontId="23" fillId="0" borderId="22" xfId="0" applyNumberFormat="1" applyFont="1" applyFill="1" applyBorder="1" applyAlignment="1">
      <alignment horizontal="center" vertical="center"/>
    </xf>
    <xf numFmtId="0" fontId="23" fillId="0" borderId="34" xfId="0" applyFont="1" applyFill="1" applyBorder="1" applyAlignment="1">
      <alignment horizontal="center" vertical="center"/>
    </xf>
    <xf numFmtId="1" fontId="23" fillId="0" borderId="28" xfId="0" applyNumberFormat="1" applyFont="1" applyFill="1" applyBorder="1" applyAlignment="1">
      <alignment horizontal="center" vertical="center"/>
    </xf>
    <xf numFmtId="0" fontId="28" fillId="0" borderId="28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35" xfId="0" applyFont="1" applyFill="1" applyBorder="1" applyAlignment="1">
      <alignment horizontal="center" vertical="center"/>
    </xf>
    <xf numFmtId="1" fontId="28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8" fillId="0" borderId="36" xfId="0" applyFont="1" applyFill="1" applyBorder="1" applyAlignment="1">
      <alignment horizontal="center" vertical="center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2" fillId="0" borderId="17" xfId="0" applyFont="1" applyBorder="1" applyAlignment="1">
      <alignment vertical="center" wrapText="1"/>
    </xf>
    <xf numFmtId="0" fontId="22" fillId="0" borderId="17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33" fillId="0" borderId="61" xfId="0" applyFont="1" applyBorder="1" applyAlignment="1">
      <alignment horizontal="center" vertical="center"/>
    </xf>
    <xf numFmtId="0" fontId="32" fillId="0" borderId="62" xfId="0" applyFont="1" applyBorder="1" applyAlignment="1">
      <alignment vertical="center"/>
    </xf>
    <xf numFmtId="0" fontId="32" fillId="0" borderId="63" xfId="0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2" fillId="0" borderId="13" xfId="0" applyFont="1" applyBorder="1" applyAlignment="1">
      <alignment vertical="center"/>
    </xf>
    <xf numFmtId="0" fontId="34" fillId="0" borderId="12" xfId="0" applyFont="1" applyBorder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33" fillId="0" borderId="0" xfId="0" applyFont="1" applyBorder="1" applyAlignment="1">
      <alignment horizontal="left" vertical="center" wrapText="1" indent="1"/>
    </xf>
    <xf numFmtId="0" fontId="33" fillId="0" borderId="13" xfId="0" applyFont="1" applyBorder="1" applyAlignment="1">
      <alignment horizontal="left" vertical="center" wrapText="1" indent="1"/>
    </xf>
    <xf numFmtId="0" fontId="36" fillId="0" borderId="45" xfId="0" applyFont="1" applyBorder="1" applyAlignment="1">
      <alignment horizontal="center" vertical="center"/>
    </xf>
    <xf numFmtId="0" fontId="37" fillId="0" borderId="46" xfId="0" applyFont="1" applyBorder="1" applyAlignment="1">
      <alignment horizontal="center" vertical="center"/>
    </xf>
    <xf numFmtId="0" fontId="37" fillId="0" borderId="46" xfId="0" applyFont="1" applyBorder="1" applyAlignment="1">
      <alignment horizontal="center" vertical="center" wrapText="1"/>
    </xf>
    <xf numFmtId="3" fontId="37" fillId="0" borderId="47" xfId="0" applyNumberFormat="1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3" fontId="37" fillId="0" borderId="49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/>
    <xf numFmtId="168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3" xfId="0" applyBorder="1"/>
    <xf numFmtId="0" fontId="0" fillId="0" borderId="62" xfId="0" applyBorder="1"/>
    <xf numFmtId="0" fontId="0" fillId="0" borderId="63" xfId="0" applyBorder="1"/>
    <xf numFmtId="0" fontId="0" fillId="0" borderId="63" xfId="0" applyBorder="1" applyAlignment="1">
      <alignment horizontal="left"/>
    </xf>
    <xf numFmtId="0" fontId="0" fillId="0" borderId="75" xfId="0" applyBorder="1"/>
    <xf numFmtId="0" fontId="43" fillId="0" borderId="78" xfId="0" applyFont="1" applyBorder="1" applyAlignment="1">
      <alignment horizontal="center" vertical="center"/>
    </xf>
    <xf numFmtId="0" fontId="43" fillId="0" borderId="79" xfId="0" applyFont="1" applyBorder="1" applyAlignment="1">
      <alignment horizontal="center" vertical="center"/>
    </xf>
    <xf numFmtId="0" fontId="43" fillId="0" borderId="79" xfId="0" applyFont="1" applyBorder="1" applyAlignment="1">
      <alignment horizontal="left" vertical="center"/>
    </xf>
    <xf numFmtId="0" fontId="43" fillId="0" borderId="80" xfId="0" applyFont="1" applyBorder="1" applyAlignment="1">
      <alignment horizontal="center" vertical="center"/>
    </xf>
    <xf numFmtId="0" fontId="43" fillId="0" borderId="81" xfId="0" applyFont="1" applyBorder="1" applyAlignment="1">
      <alignment horizontal="center" vertical="center"/>
    </xf>
    <xf numFmtId="0" fontId="0" fillId="0" borderId="82" xfId="0" applyFont="1" applyBorder="1" applyAlignment="1">
      <alignment horizontal="center" vertical="center"/>
    </xf>
    <xf numFmtId="0" fontId="0" fillId="0" borderId="83" xfId="0" applyFont="1" applyBorder="1" applyAlignment="1">
      <alignment horizontal="center" vertical="center"/>
    </xf>
    <xf numFmtId="0" fontId="0" fillId="0" borderId="84" xfId="0" applyFont="1" applyBorder="1" applyAlignment="1">
      <alignment horizontal="center" vertical="center"/>
    </xf>
    <xf numFmtId="170" fontId="0" fillId="0" borderId="85" xfId="33" applyNumberFormat="1" applyFont="1" applyBorder="1" applyAlignment="1" applyProtection="1">
      <alignment horizontal="center" vertical="center"/>
    </xf>
    <xf numFmtId="0" fontId="0" fillId="0" borderId="86" xfId="0" applyFont="1" applyBorder="1" applyAlignment="1">
      <alignment horizontal="center" vertical="center"/>
    </xf>
    <xf numFmtId="0" fontId="0" fillId="0" borderId="87" xfId="0" applyFont="1" applyBorder="1" applyAlignment="1">
      <alignment horizontal="center" vertical="center"/>
    </xf>
    <xf numFmtId="0" fontId="0" fillId="0" borderId="88" xfId="0" applyFont="1" applyBorder="1" applyAlignment="1">
      <alignment horizontal="center" vertical="center"/>
    </xf>
    <xf numFmtId="0" fontId="0" fillId="0" borderId="89" xfId="0" applyFont="1" applyBorder="1" applyAlignment="1">
      <alignment horizontal="center" vertical="center"/>
    </xf>
    <xf numFmtId="170" fontId="0" fillId="0" borderId="90" xfId="33" applyNumberFormat="1" applyFont="1" applyBorder="1" applyAlignment="1" applyProtection="1">
      <alignment horizontal="center" vertical="center"/>
    </xf>
    <xf numFmtId="0" fontId="41" fillId="0" borderId="86" xfId="0" applyFont="1" applyBorder="1" applyAlignment="1">
      <alignment horizontal="center" vertical="center"/>
    </xf>
    <xf numFmtId="0" fontId="41" fillId="0" borderId="87" xfId="0" applyFont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41" fillId="0" borderId="88" xfId="0" applyFont="1" applyBorder="1" applyAlignment="1">
      <alignment horizontal="center" vertical="center"/>
    </xf>
    <xf numFmtId="0" fontId="41" fillId="0" borderId="89" xfId="0" applyFont="1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170" fontId="0" fillId="0" borderId="94" xfId="33" applyNumberFormat="1" applyFont="1" applyBorder="1" applyAlignment="1" applyProtection="1">
      <alignment horizontal="center" vertical="center"/>
    </xf>
    <xf numFmtId="170" fontId="43" fillId="0" borderId="96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166" fontId="32" fillId="0" borderId="60" xfId="0" applyNumberFormat="1" applyFont="1" applyBorder="1" applyAlignment="1">
      <alignment horizontal="right" vertical="center"/>
    </xf>
    <xf numFmtId="166" fontId="32" fillId="0" borderId="0" xfId="0" applyNumberFormat="1" applyFont="1" applyBorder="1" applyAlignment="1">
      <alignment vertical="center"/>
    </xf>
    <xf numFmtId="166" fontId="33" fillId="0" borderId="0" xfId="0" applyNumberFormat="1" applyFont="1" applyBorder="1" applyAlignment="1">
      <alignment horizontal="left" vertical="center" wrapText="1" indent="1"/>
    </xf>
    <xf numFmtId="166" fontId="37" fillId="0" borderId="46" xfId="0" applyNumberFormat="1" applyFont="1" applyBorder="1" applyAlignment="1">
      <alignment horizontal="center" vertical="center" wrapText="1"/>
    </xf>
    <xf numFmtId="166" fontId="37" fillId="0" borderId="1" xfId="0" applyNumberFormat="1" applyFont="1" applyBorder="1" applyAlignment="1">
      <alignment horizontal="center" vertical="center" wrapText="1"/>
    </xf>
    <xf numFmtId="166" fontId="0" fillId="0" borderId="0" xfId="0" applyNumberFormat="1"/>
    <xf numFmtId="0" fontId="0" fillId="0" borderId="0" xfId="0" applyAlignment="1">
      <alignment vertical="center"/>
    </xf>
    <xf numFmtId="0" fontId="22" fillId="0" borderId="0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vertical="center"/>
    </xf>
    <xf numFmtId="0" fontId="23" fillId="0" borderId="0" xfId="0" applyFont="1" applyFill="1" applyAlignment="1">
      <alignment vertical="center"/>
    </xf>
    <xf numFmtId="0" fontId="22" fillId="0" borderId="18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3" fillId="0" borderId="9" xfId="0" applyFont="1" applyFill="1" applyBorder="1" applyAlignment="1">
      <alignment horizontal="left" vertical="center" wrapText="1"/>
    </xf>
    <xf numFmtId="0" fontId="23" fillId="0" borderId="31" xfId="0" applyFont="1" applyFill="1" applyBorder="1" applyAlignment="1">
      <alignment horizontal="left" vertical="center" wrapText="1"/>
    </xf>
    <xf numFmtId="0" fontId="23" fillId="0" borderId="35" xfId="0" applyFont="1" applyFill="1" applyBorder="1" applyAlignment="1">
      <alignment vertical="center"/>
    </xf>
    <xf numFmtId="0" fontId="23" fillId="0" borderId="26" xfId="0" applyFont="1" applyFill="1" applyBorder="1" applyAlignment="1">
      <alignment vertical="center"/>
    </xf>
    <xf numFmtId="0" fontId="23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vertical="center"/>
    </xf>
    <xf numFmtId="0" fontId="23" fillId="0" borderId="42" xfId="0" applyFont="1" applyFill="1" applyBorder="1" applyAlignment="1">
      <alignment vertical="center" wrapText="1"/>
    </xf>
    <xf numFmtId="0" fontId="23" fillId="0" borderId="28" xfId="0" applyFont="1" applyFill="1" applyBorder="1" applyAlignment="1">
      <alignment horizontal="left" vertical="center" wrapText="1"/>
    </xf>
    <xf numFmtId="0" fontId="23" fillId="0" borderId="25" xfId="0" applyFont="1" applyFill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/>
    </xf>
    <xf numFmtId="1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vertical="center"/>
    </xf>
    <xf numFmtId="3" fontId="0" fillId="0" borderId="49" xfId="0" applyNumberFormat="1" applyBorder="1" applyAlignment="1">
      <alignment vertical="center"/>
    </xf>
    <xf numFmtId="0" fontId="0" fillId="0" borderId="97" xfId="0" applyBorder="1" applyAlignment="1">
      <alignment vertical="center"/>
    </xf>
    <xf numFmtId="3" fontId="0" fillId="0" borderId="98" xfId="0" applyNumberFormat="1" applyBorder="1" applyAlignment="1">
      <alignment vertical="center"/>
    </xf>
    <xf numFmtId="0" fontId="2" fillId="0" borderId="3" xfId="0" applyFont="1" applyBorder="1" applyAlignment="1">
      <alignment vertical="center"/>
    </xf>
    <xf numFmtId="3" fontId="2" fillId="0" borderId="6" xfId="0" applyNumberFormat="1" applyFont="1" applyBorder="1" applyAlignment="1">
      <alignment vertical="center"/>
    </xf>
    <xf numFmtId="0" fontId="0" fillId="0" borderId="58" xfId="0" applyBorder="1" applyAlignment="1">
      <alignment vertical="center"/>
    </xf>
    <xf numFmtId="3" fontId="0" fillId="0" borderId="59" xfId="0" applyNumberForma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3" xfId="5" applyFont="1" applyFill="1" applyBorder="1" applyAlignment="1">
      <alignment horizontal="left" vertical="center" wrapText="1"/>
    </xf>
    <xf numFmtId="0" fontId="21" fillId="0" borderId="12" xfId="5" applyFont="1" applyFill="1" applyBorder="1" applyAlignment="1">
      <alignment horizontal="center" vertical="center" wrapText="1"/>
    </xf>
    <xf numFmtId="0" fontId="21" fillId="0" borderId="0" xfId="5" applyFont="1" applyFill="1" applyBorder="1" applyAlignment="1">
      <alignment horizontal="center" vertical="center" wrapText="1"/>
    </xf>
    <xf numFmtId="0" fontId="21" fillId="0" borderId="13" xfId="5" applyFont="1" applyFill="1" applyBorder="1" applyAlignment="1">
      <alignment horizontal="center" vertical="center" wrapText="1"/>
    </xf>
    <xf numFmtId="0" fontId="3" fillId="0" borderId="0" xfId="5" applyFont="1" applyBorder="1" applyAlignment="1">
      <alignment horizontal="left" vertical="center"/>
    </xf>
    <xf numFmtId="0" fontId="3" fillId="0" borderId="13" xfId="5" applyFont="1" applyBorder="1" applyAlignment="1">
      <alignment horizontal="left" vertical="center"/>
    </xf>
    <xf numFmtId="0" fontId="24" fillId="0" borderId="17" xfId="0" applyFont="1" applyFill="1" applyBorder="1" applyAlignment="1">
      <alignment horizontal="center" vertical="center"/>
    </xf>
    <xf numFmtId="0" fontId="24" fillId="0" borderId="18" xfId="0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horizontal="center" vertical="center"/>
    </xf>
    <xf numFmtId="0" fontId="22" fillId="0" borderId="17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left" vertical="center"/>
    </xf>
    <xf numFmtId="0" fontId="8" fillId="0" borderId="11" xfId="0" applyFont="1" applyFill="1" applyBorder="1" applyAlignment="1">
      <alignment horizontal="left" vertical="center"/>
    </xf>
    <xf numFmtId="0" fontId="0" fillId="0" borderId="9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8" fillId="0" borderId="29" xfId="0" applyFont="1" applyFill="1" applyBorder="1" applyAlignment="1">
      <alignment horizontal="left" vertical="center"/>
    </xf>
    <xf numFmtId="0" fontId="8" fillId="0" borderId="28" xfId="0" applyFont="1" applyFill="1" applyBorder="1" applyAlignment="1">
      <alignment horizontal="left" vertical="center"/>
    </xf>
    <xf numFmtId="0" fontId="8" fillId="0" borderId="35" xfId="0" applyFont="1" applyFill="1" applyBorder="1" applyAlignment="1">
      <alignment horizontal="left" vertical="center"/>
    </xf>
    <xf numFmtId="0" fontId="0" fillId="0" borderId="29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2" fillId="0" borderId="15" xfId="0" applyFont="1" applyFill="1" applyBorder="1" applyAlignment="1">
      <alignment horizontal="center" vertical="center" wrapText="1"/>
    </xf>
    <xf numFmtId="0" fontId="22" fillId="0" borderId="16" xfId="0" applyFont="1" applyFill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left" vertical="center"/>
    </xf>
    <xf numFmtId="0" fontId="0" fillId="0" borderId="31" xfId="0" applyFill="1" applyBorder="1" applyAlignment="1">
      <alignment horizontal="left" vertical="center"/>
    </xf>
    <xf numFmtId="0" fontId="0" fillId="0" borderId="36" xfId="0" applyFill="1" applyBorder="1" applyAlignment="1">
      <alignment horizontal="left" vertical="center"/>
    </xf>
    <xf numFmtId="0" fontId="0" fillId="0" borderId="32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26" fillId="0" borderId="17" xfId="0" applyFont="1" applyFill="1" applyBorder="1" applyAlignment="1">
      <alignment horizontal="center" vertical="center"/>
    </xf>
    <xf numFmtId="0" fontId="26" fillId="0" borderId="18" xfId="0" applyFont="1" applyFill="1" applyBorder="1" applyAlignment="1">
      <alignment horizontal="center" vertical="center"/>
    </xf>
    <xf numFmtId="0" fontId="26" fillId="0" borderId="19" xfId="0" applyFont="1" applyFill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6" fillId="0" borderId="9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11" xfId="0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9" xfId="0" applyFont="1" applyFill="1" applyBorder="1" applyAlignment="1">
      <alignment horizontal="center" vertical="center" wrapText="1"/>
    </xf>
    <xf numFmtId="0" fontId="22" fillId="0" borderId="11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8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49" xfId="0" applyFill="1" applyBorder="1" applyAlignment="1">
      <alignment horizontal="left" vertical="center"/>
    </xf>
    <xf numFmtId="0" fontId="0" fillId="0" borderId="48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left" vertical="center"/>
    </xf>
    <xf numFmtId="0" fontId="0" fillId="0" borderId="46" xfId="0" applyFill="1" applyBorder="1" applyAlignment="1">
      <alignment horizontal="left" vertical="center"/>
    </xf>
    <xf numFmtId="0" fontId="0" fillId="0" borderId="47" xfId="0" applyFill="1" applyBorder="1" applyAlignment="1">
      <alignment horizontal="left" vertical="center"/>
    </xf>
    <xf numFmtId="0" fontId="0" fillId="0" borderId="45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50" xfId="0" applyFill="1" applyBorder="1" applyAlignment="1">
      <alignment horizontal="left" vertical="center"/>
    </xf>
    <xf numFmtId="0" fontId="0" fillId="0" borderId="51" xfId="0" applyFill="1" applyBorder="1" applyAlignment="1">
      <alignment horizontal="left" vertical="center"/>
    </xf>
    <xf numFmtId="0" fontId="0" fillId="0" borderId="52" xfId="0" applyFill="1" applyBorder="1" applyAlignment="1">
      <alignment horizontal="left" vertical="center"/>
    </xf>
    <xf numFmtId="0" fontId="0" fillId="0" borderId="50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49" fontId="0" fillId="0" borderId="48" xfId="0" applyNumberFormat="1" applyFill="1" applyBorder="1" applyAlignment="1">
      <alignment horizontal="center" vertical="center"/>
    </xf>
    <xf numFmtId="49" fontId="0" fillId="0" borderId="49" xfId="0" applyNumberForma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53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48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55" xfId="0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26" fillId="0" borderId="16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0" fillId="0" borderId="45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1" fontId="0" fillId="0" borderId="45" xfId="0" applyNumberFormat="1" applyBorder="1" applyAlignment="1">
      <alignment horizontal="center" vertical="center"/>
    </xf>
    <xf numFmtId="1" fontId="0" fillId="0" borderId="47" xfId="0" applyNumberFormat="1" applyBorder="1" applyAlignment="1">
      <alignment horizontal="center" vertical="center"/>
    </xf>
    <xf numFmtId="0" fontId="0" fillId="0" borderId="4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1" fontId="0" fillId="0" borderId="48" xfId="0" applyNumberFormat="1" applyBorder="1" applyAlignment="1">
      <alignment horizontal="center" vertical="center"/>
    </xf>
    <xf numFmtId="1" fontId="0" fillId="0" borderId="49" xfId="0" applyNumberFormat="1" applyBorder="1" applyAlignment="1">
      <alignment horizontal="center" vertical="center"/>
    </xf>
    <xf numFmtId="0" fontId="0" fillId="0" borderId="50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43" xfId="0" applyFill="1" applyBorder="1" applyAlignment="1">
      <alignment horizontal="center" vertical="center"/>
    </xf>
    <xf numFmtId="0" fontId="0" fillId="0" borderId="56" xfId="0" applyFill="1" applyBorder="1" applyAlignment="1">
      <alignment horizontal="center" vertical="center"/>
    </xf>
    <xf numFmtId="0" fontId="0" fillId="0" borderId="58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54" xfId="0" applyFill="1" applyBorder="1" applyAlignment="1">
      <alignment horizontal="left" vertical="center" wrapText="1"/>
    </xf>
    <xf numFmtId="0" fontId="0" fillId="0" borderId="58" xfId="0" applyFill="1" applyBorder="1" applyAlignment="1">
      <alignment horizontal="center" vertical="center"/>
    </xf>
    <xf numFmtId="0" fontId="0" fillId="0" borderId="59" xfId="0" applyFill="1" applyBorder="1" applyAlignment="1">
      <alignment horizontal="center" vertical="center"/>
    </xf>
    <xf numFmtId="0" fontId="23" fillId="0" borderId="45" xfId="0" applyFont="1" applyFill="1" applyBorder="1" applyAlignment="1">
      <alignment horizontal="center" vertical="center"/>
    </xf>
    <xf numFmtId="0" fontId="23" fillId="0" borderId="47" xfId="0" applyFont="1" applyFill="1" applyBorder="1" applyAlignment="1">
      <alignment horizontal="center" vertical="center"/>
    </xf>
    <xf numFmtId="0" fontId="0" fillId="0" borderId="48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55" xfId="0" applyFill="1" applyBorder="1" applyAlignment="1">
      <alignment horizontal="left" vertical="center" wrapText="1"/>
    </xf>
    <xf numFmtId="0" fontId="23" fillId="0" borderId="48" xfId="0" applyFont="1" applyFill="1" applyBorder="1" applyAlignment="1">
      <alignment horizontal="center" vertical="center"/>
    </xf>
    <xf numFmtId="0" fontId="23" fillId="0" borderId="49" xfId="0" applyFont="1" applyFill="1" applyBorder="1" applyAlignment="1">
      <alignment horizontal="center" vertical="center"/>
    </xf>
    <xf numFmtId="1" fontId="0" fillId="0" borderId="50" xfId="0" applyNumberFormat="1" applyBorder="1" applyAlignment="1">
      <alignment horizontal="center" vertical="center"/>
    </xf>
    <xf numFmtId="1" fontId="0" fillId="0" borderId="52" xfId="0" applyNumberForma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8" fillId="0" borderId="48" xfId="0" applyFont="1" applyFill="1" applyBorder="1" applyAlignment="1">
      <alignment horizontal="center" vertical="center" wrapText="1"/>
    </xf>
    <xf numFmtId="0" fontId="28" fillId="0" borderId="49" xfId="0" applyFont="1" applyFill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7" fillId="0" borderId="48" xfId="0" applyFont="1" applyFill="1" applyBorder="1" applyAlignment="1">
      <alignment horizontal="center" vertical="center" wrapText="1"/>
    </xf>
    <xf numFmtId="0" fontId="27" fillId="0" borderId="49" xfId="0" applyFont="1" applyFill="1" applyBorder="1" applyAlignment="1">
      <alignment horizontal="center" vertical="center" wrapText="1"/>
    </xf>
    <xf numFmtId="0" fontId="28" fillId="0" borderId="48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 wrapText="1"/>
    </xf>
    <xf numFmtId="0" fontId="28" fillId="0" borderId="55" xfId="0" applyFont="1" applyFill="1" applyBorder="1" applyAlignment="1">
      <alignment horizontal="left" vertical="center" wrapText="1"/>
    </xf>
    <xf numFmtId="0" fontId="29" fillId="0" borderId="48" xfId="0" applyFont="1" applyFill="1" applyBorder="1" applyAlignment="1">
      <alignment horizontal="center" vertical="center"/>
    </xf>
    <xf numFmtId="0" fontId="29" fillId="0" borderId="49" xfId="0" applyFont="1" applyFill="1" applyBorder="1" applyAlignment="1">
      <alignment horizontal="center" vertical="center"/>
    </xf>
    <xf numFmtId="0" fontId="28" fillId="0" borderId="48" xfId="0" applyFont="1" applyFill="1" applyBorder="1" applyAlignment="1">
      <alignment horizontal="center" vertical="center"/>
    </xf>
    <xf numFmtId="0" fontId="28" fillId="0" borderId="49" xfId="0" applyFont="1" applyFill="1" applyBorder="1" applyAlignment="1">
      <alignment horizontal="center" vertical="center"/>
    </xf>
    <xf numFmtId="0" fontId="23" fillId="0" borderId="48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0" borderId="55" xfId="0" applyFont="1" applyBorder="1" applyAlignment="1">
      <alignment horizontal="left" vertical="center" wrapText="1"/>
    </xf>
    <xf numFmtId="0" fontId="23" fillId="0" borderId="48" xfId="0" applyFont="1" applyBorder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0" fontId="0" fillId="0" borderId="48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55" xfId="0" applyFont="1" applyFill="1" applyBorder="1" applyAlignment="1">
      <alignment horizontal="left" vertical="center" wrapText="1"/>
    </xf>
    <xf numFmtId="0" fontId="0" fillId="0" borderId="48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0" fontId="28" fillId="0" borderId="50" xfId="0" applyFont="1" applyFill="1" applyBorder="1" applyAlignment="1">
      <alignment horizontal="left" vertical="center" wrapText="1"/>
    </xf>
    <xf numFmtId="0" fontId="28" fillId="0" borderId="51" xfId="0" applyFont="1" applyFill="1" applyBorder="1" applyAlignment="1">
      <alignment horizontal="left" vertical="center" wrapText="1"/>
    </xf>
    <xf numFmtId="0" fontId="28" fillId="0" borderId="56" xfId="0" applyFont="1" applyFill="1" applyBorder="1" applyAlignment="1">
      <alignment horizontal="left" vertical="center" wrapText="1"/>
    </xf>
    <xf numFmtId="0" fontId="0" fillId="0" borderId="50" xfId="0" applyFill="1" applyBorder="1" applyAlignment="1">
      <alignment horizontal="center" vertical="center" wrapText="1"/>
    </xf>
    <xf numFmtId="0" fontId="0" fillId="0" borderId="52" xfId="0" applyFill="1" applyBorder="1" applyAlignment="1">
      <alignment horizontal="center" vertical="center" wrapText="1"/>
    </xf>
    <xf numFmtId="0" fontId="28" fillId="0" borderId="50" xfId="0" applyFont="1" applyFill="1" applyBorder="1" applyAlignment="1">
      <alignment horizontal="center" vertical="center"/>
    </xf>
    <xf numFmtId="0" fontId="28" fillId="0" borderId="52" xfId="0" applyFont="1" applyFill="1" applyBorder="1" applyAlignment="1">
      <alignment horizontal="center" vertical="center"/>
    </xf>
    <xf numFmtId="0" fontId="23" fillId="0" borderId="48" xfId="0" applyFont="1" applyFill="1" applyBorder="1" applyAlignment="1">
      <alignment horizontal="left" vertical="center"/>
    </xf>
    <xf numFmtId="0" fontId="23" fillId="0" borderId="1" xfId="0" applyFont="1" applyFill="1" applyBorder="1" applyAlignment="1">
      <alignment horizontal="left" vertical="center"/>
    </xf>
    <xf numFmtId="0" fontId="23" fillId="0" borderId="55" xfId="0" applyFont="1" applyFill="1" applyBorder="1" applyAlignment="1">
      <alignment horizontal="left" vertical="center"/>
    </xf>
    <xf numFmtId="49" fontId="23" fillId="0" borderId="48" xfId="0" applyNumberFormat="1" applyFont="1" applyFill="1" applyBorder="1" applyAlignment="1">
      <alignment horizontal="center" vertical="center"/>
    </xf>
    <xf numFmtId="49" fontId="23" fillId="0" borderId="49" xfId="0" applyNumberFormat="1" applyFont="1" applyFill="1" applyBorder="1" applyAlignment="1">
      <alignment horizontal="center" vertical="center"/>
    </xf>
    <xf numFmtId="0" fontId="30" fillId="0" borderId="17" xfId="5" applyFont="1" applyBorder="1" applyAlignment="1">
      <alignment horizontal="center" vertical="center"/>
    </xf>
    <xf numFmtId="0" fontId="30" fillId="0" borderId="18" xfId="5" applyFont="1" applyBorder="1" applyAlignment="1">
      <alignment horizontal="center" vertical="center"/>
    </xf>
    <xf numFmtId="0" fontId="30" fillId="0" borderId="19" xfId="5" applyFon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4" fillId="0" borderId="65" xfId="0" applyFont="1" applyBorder="1" applyAlignment="1">
      <alignment horizontal="left" vertical="center" wrapText="1"/>
    </xf>
    <xf numFmtId="0" fontId="33" fillId="0" borderId="20" xfId="0" applyFont="1" applyBorder="1" applyAlignment="1">
      <alignment horizontal="left" vertical="center" wrapText="1" indent="1"/>
    </xf>
    <xf numFmtId="0" fontId="31" fillId="0" borderId="9" xfId="0" applyFont="1" applyBorder="1" applyAlignment="1">
      <alignment horizontal="center" vertical="center"/>
    </xf>
    <xf numFmtId="0" fontId="34" fillId="0" borderId="64" xfId="0" applyFont="1" applyBorder="1" applyAlignment="1">
      <alignment horizontal="left" vertical="center" wrapText="1"/>
    </xf>
    <xf numFmtId="0" fontId="34" fillId="0" borderId="66" xfId="0" applyFont="1" applyBorder="1" applyAlignment="1">
      <alignment horizontal="left" vertical="center"/>
    </xf>
    <xf numFmtId="0" fontId="33" fillId="0" borderId="67" xfId="0" applyFont="1" applyBorder="1" applyAlignment="1">
      <alignment horizontal="left" vertical="center" wrapText="1" indent="1"/>
    </xf>
    <xf numFmtId="0" fontId="38" fillId="0" borderId="40" xfId="0" applyFont="1" applyBorder="1" applyAlignment="1">
      <alignment horizontal="left" vertical="center" wrapText="1" indent="1"/>
    </xf>
    <xf numFmtId="166" fontId="34" fillId="0" borderId="32" xfId="0" applyNumberFormat="1" applyFont="1" applyBorder="1" applyAlignment="1">
      <alignment horizontal="center" vertical="center"/>
    </xf>
    <xf numFmtId="166" fontId="34" fillId="0" borderId="36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4" fillId="0" borderId="46" xfId="0" applyFont="1" applyBorder="1" applyAlignment="1">
      <alignment horizontal="center" vertical="center" wrapText="1"/>
    </xf>
    <xf numFmtId="0" fontId="35" fillId="0" borderId="68" xfId="0" applyFont="1" applyBorder="1" applyAlignment="1">
      <alignment horizontal="center" vertical="center"/>
    </xf>
    <xf numFmtId="0" fontId="35" fillId="0" borderId="69" xfId="0" applyFont="1" applyBorder="1" applyAlignment="1">
      <alignment horizontal="center" vertical="center" wrapText="1"/>
    </xf>
    <xf numFmtId="166" fontId="35" fillId="0" borderId="69" xfId="0" applyNumberFormat="1" applyFont="1" applyBorder="1" applyAlignment="1">
      <alignment horizontal="center" vertical="center" wrapText="1"/>
    </xf>
    <xf numFmtId="0" fontId="41" fillId="0" borderId="74" xfId="0" applyFont="1" applyBorder="1" applyAlignment="1">
      <alignment horizontal="left"/>
    </xf>
    <xf numFmtId="0" fontId="0" fillId="0" borderId="17" xfId="0" applyFont="1" applyBorder="1" applyAlignment="1">
      <alignment horizontal="center"/>
    </xf>
    <xf numFmtId="3" fontId="39" fillId="0" borderId="19" xfId="0" applyNumberFormat="1" applyFont="1" applyBorder="1" applyAlignment="1">
      <alignment horizontal="center"/>
    </xf>
    <xf numFmtId="0" fontId="40" fillId="0" borderId="61" xfId="0" applyFont="1" applyBorder="1" applyAlignment="1">
      <alignment horizontal="center" vertical="center" wrapText="1"/>
    </xf>
    <xf numFmtId="0" fontId="25" fillId="0" borderId="71" xfId="0" applyFont="1" applyBorder="1"/>
    <xf numFmtId="0" fontId="41" fillId="0" borderId="72" xfId="0" applyFont="1" applyBorder="1" applyAlignment="1">
      <alignment horizontal="left" indent="1"/>
    </xf>
    <xf numFmtId="0" fontId="37" fillId="0" borderId="71" xfId="0" applyFont="1" applyBorder="1" applyAlignment="1">
      <alignment horizontal="left" vertical="center" wrapText="1"/>
    </xf>
    <xf numFmtId="0" fontId="42" fillId="0" borderId="73" xfId="0" applyFont="1" applyBorder="1" applyAlignment="1">
      <alignment horizontal="left"/>
    </xf>
    <xf numFmtId="0" fontId="0" fillId="0" borderId="89" xfId="0" applyFont="1" applyBorder="1" applyAlignment="1">
      <alignment horizontal="center" vertical="center"/>
    </xf>
    <xf numFmtId="49" fontId="41" fillId="0" borderId="26" xfId="0" applyNumberFormat="1" applyFont="1" applyBorder="1" applyAlignment="1">
      <alignment horizontal="justify" vertical="center" wrapText="1"/>
    </xf>
    <xf numFmtId="0" fontId="43" fillId="0" borderId="74" xfId="0" applyFont="1" applyBorder="1" applyAlignment="1">
      <alignment horizontal="center" vertical="center"/>
    </xf>
    <xf numFmtId="0" fontId="43" fillId="0" borderId="71" xfId="0" applyFont="1" applyBorder="1" applyAlignment="1">
      <alignment horizontal="center" vertical="center"/>
    </xf>
    <xf numFmtId="0" fontId="43" fillId="0" borderId="76" xfId="0" applyFont="1" applyBorder="1" applyAlignment="1">
      <alignment horizontal="center" vertical="center" wrapText="1"/>
    </xf>
    <xf numFmtId="0" fontId="43" fillId="0" borderId="77" xfId="0" applyFont="1" applyBorder="1" applyAlignment="1">
      <alignment horizontal="center" vertical="center"/>
    </xf>
    <xf numFmtId="0" fontId="0" fillId="0" borderId="83" xfId="0" applyFont="1" applyBorder="1" applyAlignment="1">
      <alignment horizontal="left" vertical="center" wrapText="1"/>
    </xf>
    <xf numFmtId="0" fontId="0" fillId="0" borderId="89" xfId="0" applyFont="1" applyBorder="1" applyAlignment="1">
      <alignment horizontal="left" vertical="center"/>
    </xf>
    <xf numFmtId="0" fontId="0" fillId="0" borderId="89" xfId="0" applyBorder="1" applyAlignment="1">
      <alignment horizontal="center"/>
    </xf>
    <xf numFmtId="0" fontId="39" fillId="0" borderId="20" xfId="0" applyFont="1" applyBorder="1" applyAlignment="1">
      <alignment vertical="center" wrapText="1"/>
    </xf>
    <xf numFmtId="0" fontId="41" fillId="0" borderId="77" xfId="0" applyFont="1" applyBorder="1" applyAlignment="1">
      <alignment vertical="center" wrapText="1"/>
    </xf>
    <xf numFmtId="0" fontId="41" fillId="0" borderId="40" xfId="0" applyFont="1" applyBorder="1" applyAlignment="1">
      <alignment horizontal="left" vertical="center" wrapText="1" indent="1"/>
    </xf>
    <xf numFmtId="0" fontId="0" fillId="0" borderId="89" xfId="0" applyBorder="1" applyAlignment="1">
      <alignment horizontal="left" vertical="center"/>
    </xf>
    <xf numFmtId="0" fontId="0" fillId="0" borderId="92" xfId="0" applyBorder="1" applyAlignment="1">
      <alignment horizontal="left" vertical="center"/>
    </xf>
    <xf numFmtId="0" fontId="39" fillId="0" borderId="95" xfId="0" applyFont="1" applyBorder="1" applyAlignment="1">
      <alignment horizontal="left" vertical="center" wrapText="1"/>
    </xf>
    <xf numFmtId="0" fontId="0" fillId="0" borderId="74" xfId="0" applyBorder="1"/>
  </cellXfs>
  <cellStyles count="34">
    <cellStyle name="Encabezado 1" xfId="10"/>
    <cellStyle name="Encabezado 1 2" xfId="15"/>
    <cellStyle name="Millares 2" xfId="20"/>
    <cellStyle name="Millares 2 2" xfId="26"/>
    <cellStyle name="Moneda" xfId="1" builtinId="4"/>
    <cellStyle name="Moneda 2" xfId="3"/>
    <cellStyle name="Moneda 2 2" xfId="16"/>
    <cellStyle name="Moneda 3" xfId="14"/>
    <cellStyle name="Moneda 4" xfId="21"/>
    <cellStyle name="Moneda 5" xfId="9"/>
    <cellStyle name="Moneda_AUTORIZACION Y NOTA DE PEDIDO" xfId="33"/>
    <cellStyle name="Neutral 1" xfId="11"/>
    <cellStyle name="Normal" xfId="0" builtinId="0"/>
    <cellStyle name="Normal 2" xfId="2"/>
    <cellStyle name="Normal 2 2" xfId="5"/>
    <cellStyle name="Normal 2 3" xfId="32"/>
    <cellStyle name="Normal 3" xfId="7"/>
    <cellStyle name="Normal 3 2" xfId="12"/>
    <cellStyle name="Normal 3 2 2" xfId="18"/>
    <cellStyle name="Normal 3 3" xfId="17"/>
    <cellStyle name="Normal 3 4" xfId="22"/>
    <cellStyle name="Normal 3 4 2" xfId="27"/>
    <cellStyle name="Normal 4" xfId="6"/>
    <cellStyle name="Normal 4 2" xfId="19"/>
    <cellStyle name="Normal 4 3" xfId="23"/>
    <cellStyle name="Normal 4 3 2" xfId="28"/>
    <cellStyle name="Normal 5" xfId="4"/>
    <cellStyle name="Normal 5 2" xfId="25"/>
    <cellStyle name="Normal 6" xfId="13"/>
    <cellStyle name="Normal 7" xfId="24"/>
    <cellStyle name="Normal 8" xfId="8"/>
    <cellStyle name="Normal 8 2" xfId="29"/>
    <cellStyle name="Normal 8 3" xfId="30"/>
    <cellStyle name="Normal 8 4" xfId="31"/>
  </cellStyles>
  <dxfs count="1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6"/>
  <sheetViews>
    <sheetView zoomScale="90" zoomScaleNormal="90" workbookViewId="0">
      <selection activeCell="BB15" sqref="BB15"/>
    </sheetView>
  </sheetViews>
  <sheetFormatPr baseColWidth="10" defaultRowHeight="15" x14ac:dyDescent="0.25"/>
  <cols>
    <col min="1" max="1" width="5.42578125" style="20" bestFit="1" customWidth="1"/>
    <col min="2" max="2" width="13.85546875" style="20" bestFit="1" customWidth="1"/>
    <col min="3" max="3" width="37" style="20" customWidth="1"/>
    <col min="4" max="4" width="5.5703125" style="20" customWidth="1"/>
    <col min="5" max="5" width="89.85546875" style="21" customWidth="1"/>
    <col min="6" max="6" width="15.5703125" style="20" bestFit="1" customWidth="1"/>
    <col min="7" max="7" width="17.140625" style="20" hidden="1" customWidth="1"/>
    <col min="8" max="8" width="10.85546875" style="20" hidden="1" customWidth="1"/>
    <col min="9" max="9" width="8" style="20" hidden="1" customWidth="1"/>
    <col min="10" max="10" width="14.5703125" style="43" hidden="1" customWidth="1"/>
    <col min="11" max="11" width="12.42578125" style="20" hidden="1" customWidth="1"/>
    <col min="12" max="12" width="15.85546875" style="20" hidden="1" customWidth="1"/>
    <col min="13" max="13" width="8.28515625" style="20" hidden="1" customWidth="1"/>
    <col min="14" max="14" width="14.140625" style="20" hidden="1" customWidth="1"/>
    <col min="15" max="15" width="5.42578125" style="20" hidden="1" customWidth="1"/>
    <col min="16" max="16" width="12.42578125" style="20" hidden="1" customWidth="1"/>
    <col min="17" max="17" width="14.7109375" style="20" hidden="1" customWidth="1"/>
    <col min="18" max="18" width="14.42578125" style="20" hidden="1" customWidth="1"/>
    <col min="19" max="19" width="10.5703125" style="22" hidden="1" customWidth="1"/>
    <col min="20" max="20" width="13.85546875" style="43" hidden="1" customWidth="1"/>
    <col min="21" max="21" width="14.7109375" style="20" hidden="1" customWidth="1"/>
    <col min="22" max="22" width="13.85546875" style="20" hidden="1" customWidth="1"/>
    <col min="23" max="23" width="6.7109375" style="20" hidden="1" customWidth="1"/>
    <col min="24" max="24" width="15.42578125" style="43" hidden="1" customWidth="1"/>
    <col min="25" max="25" width="10.140625" style="20" hidden="1" customWidth="1"/>
    <col min="26" max="26" width="13.85546875" style="20" hidden="1" customWidth="1"/>
    <col min="27" max="27" width="14.42578125" style="20" hidden="1" customWidth="1"/>
    <col min="28" max="28" width="15.5703125" style="43" hidden="1" customWidth="1"/>
    <col min="29" max="29" width="6.42578125" style="20" hidden="1" customWidth="1"/>
    <col min="30" max="30" width="15.42578125" style="20" hidden="1" customWidth="1"/>
    <col min="31" max="31" width="10.140625" style="20" hidden="1" customWidth="1"/>
    <col min="32" max="32" width="13.5703125" style="43" hidden="1" customWidth="1"/>
    <col min="33" max="33" width="12.140625" style="20" hidden="1" customWidth="1"/>
    <col min="34" max="34" width="14.140625" style="20" hidden="1" customWidth="1"/>
    <col min="35" max="35" width="10.5703125" style="20" hidden="1" customWidth="1"/>
    <col min="36" max="36" width="13.85546875" style="43" hidden="1" customWidth="1"/>
    <col min="37" max="37" width="7.7109375" style="20" hidden="1" customWidth="1"/>
    <col min="38" max="38" width="14.85546875" style="20" hidden="1" customWidth="1"/>
    <col min="39" max="39" width="6.5703125" style="20" hidden="1" customWidth="1"/>
    <col min="40" max="40" width="14.85546875" style="43" hidden="1" customWidth="1"/>
    <col min="41" max="41" width="14.85546875" style="20" hidden="1" customWidth="1"/>
    <col min="42" max="42" width="13.5703125" style="20" hidden="1" customWidth="1"/>
    <col min="43" max="43" width="13.85546875" style="20" hidden="1" customWidth="1"/>
    <col min="44" max="44" width="16.42578125" style="43" hidden="1" customWidth="1"/>
    <col min="45" max="45" width="15.28515625" style="28" hidden="1" customWidth="1"/>
    <col min="46" max="46" width="15.28515625" style="43" hidden="1" customWidth="1"/>
    <col min="47" max="47" width="7.28515625" style="28" hidden="1" customWidth="1"/>
    <col min="48" max="48" width="14.85546875" style="43" hidden="1" customWidth="1"/>
    <col min="49" max="49" width="13.85546875" style="28" hidden="1" customWidth="1"/>
    <col min="50" max="50" width="13.85546875" style="31" hidden="1" customWidth="1"/>
    <col min="51" max="51" width="11.28515625" style="22" bestFit="1" customWidth="1"/>
    <col min="52" max="52" width="13.85546875" style="43" customWidth="1"/>
    <col min="53" max="53" width="16.28515625" style="23" bestFit="1" customWidth="1"/>
    <col min="54" max="54" width="62" customWidth="1"/>
  </cols>
  <sheetData>
    <row r="1" spans="1:57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30"/>
      <c r="AT1" s="9"/>
      <c r="AU1" s="30"/>
      <c r="AV1" s="9"/>
      <c r="AW1" s="30"/>
      <c r="AX1" s="3"/>
      <c r="AY1" s="7"/>
      <c r="AZ1" s="8"/>
      <c r="BA1" s="9"/>
    </row>
    <row r="2" spans="1:57" s="53" customFormat="1" ht="18.75" x14ac:dyDescent="0.3">
      <c r="A2" s="51"/>
      <c r="B2" s="354" t="s">
        <v>0</v>
      </c>
      <c r="C2" s="354"/>
      <c r="D2" s="354"/>
      <c r="E2" s="354"/>
      <c r="F2" s="354"/>
      <c r="G2" s="354"/>
      <c r="H2" s="354"/>
      <c r="I2" s="354"/>
      <c r="J2" s="354"/>
      <c r="K2" s="354"/>
      <c r="L2" s="354"/>
      <c r="M2" s="354"/>
      <c r="N2" s="354"/>
      <c r="O2" s="354"/>
      <c r="P2" s="354"/>
      <c r="Q2" s="354"/>
      <c r="R2" s="354"/>
      <c r="S2" s="354"/>
      <c r="T2" s="354"/>
      <c r="U2" s="354"/>
      <c r="V2" s="354"/>
      <c r="W2" s="354"/>
      <c r="X2" s="354"/>
      <c r="Y2" s="354"/>
      <c r="Z2" s="354"/>
      <c r="AA2" s="354"/>
      <c r="AB2" s="354"/>
      <c r="AC2" s="354"/>
      <c r="AD2" s="354"/>
      <c r="AE2" s="354"/>
      <c r="AF2" s="354"/>
      <c r="AG2" s="354"/>
      <c r="AH2" s="354"/>
      <c r="AI2" s="354"/>
      <c r="AJ2" s="354"/>
      <c r="AK2" s="354"/>
      <c r="AL2" s="354"/>
      <c r="AM2" s="354"/>
      <c r="AN2" s="354"/>
      <c r="AO2" s="354"/>
      <c r="AP2" s="354"/>
      <c r="AQ2" s="354"/>
      <c r="AR2" s="354"/>
      <c r="AS2" s="354"/>
      <c r="AT2" s="354"/>
      <c r="AU2" s="354"/>
      <c r="AV2" s="354"/>
      <c r="AW2" s="354"/>
      <c r="AX2" s="354"/>
      <c r="AY2" s="354"/>
      <c r="AZ2" s="354"/>
      <c r="BA2" s="52"/>
    </row>
    <row r="3" spans="1:57" x14ac:dyDescent="0.25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30"/>
      <c r="AT3" s="9"/>
      <c r="AU3" s="30"/>
      <c r="AV3" s="9"/>
      <c r="AW3" s="30"/>
      <c r="AX3" s="3"/>
      <c r="AY3" s="7"/>
      <c r="AZ3" s="8"/>
      <c r="BA3" s="9"/>
    </row>
    <row r="4" spans="1:57" x14ac:dyDescent="0.25">
      <c r="A4" s="353" t="s">
        <v>1</v>
      </c>
      <c r="B4" s="353"/>
      <c r="C4" s="307" t="s">
        <v>2</v>
      </c>
      <c r="D4" s="307"/>
      <c r="E4" s="307"/>
      <c r="F4" s="10"/>
      <c r="G4" s="10"/>
      <c r="H4" s="10"/>
      <c r="I4" s="10"/>
      <c r="J4" s="42"/>
      <c r="K4" s="10"/>
      <c r="L4" s="10"/>
      <c r="M4" s="11"/>
      <c r="N4" s="12"/>
      <c r="O4" s="13"/>
      <c r="P4" s="10"/>
      <c r="Q4" s="11"/>
      <c r="R4" s="10"/>
      <c r="S4" s="13"/>
      <c r="T4" s="42"/>
      <c r="U4" s="11"/>
      <c r="V4" s="10"/>
      <c r="W4" s="13"/>
      <c r="X4" s="42"/>
      <c r="Y4" s="13"/>
      <c r="Z4" s="10"/>
      <c r="AA4" s="13"/>
      <c r="AB4" s="42"/>
      <c r="AC4" s="13"/>
      <c r="AD4" s="10"/>
      <c r="AE4" s="13"/>
      <c r="AF4" s="42"/>
      <c r="AG4" s="13"/>
      <c r="AH4" s="10"/>
      <c r="AI4" s="13"/>
      <c r="AJ4" s="42"/>
      <c r="AK4" s="13"/>
      <c r="AL4" s="10"/>
      <c r="AM4" s="13"/>
      <c r="AN4" s="42"/>
      <c r="AO4" s="13"/>
      <c r="AP4" s="10"/>
      <c r="AQ4" s="13"/>
      <c r="AR4" s="42"/>
      <c r="AS4" s="26"/>
      <c r="AT4" s="42"/>
      <c r="AU4" s="26"/>
      <c r="AV4" s="42"/>
      <c r="AW4" s="26"/>
      <c r="AX4" s="10"/>
      <c r="AY4" s="13"/>
      <c r="AZ4" s="8"/>
      <c r="BA4" s="9"/>
    </row>
    <row r="5" spans="1:57" ht="15" customHeight="1" x14ac:dyDescent="0.25">
      <c r="A5" s="353" t="s">
        <v>3</v>
      </c>
      <c r="B5" s="353"/>
      <c r="C5" s="307" t="s">
        <v>4</v>
      </c>
      <c r="D5" s="307"/>
      <c r="E5" s="307"/>
      <c r="F5" s="10"/>
      <c r="G5" s="10"/>
      <c r="H5" s="10"/>
      <c r="I5" s="10"/>
      <c r="J5" s="42"/>
      <c r="K5" s="10"/>
      <c r="L5" s="10"/>
      <c r="M5" s="11"/>
      <c r="N5" s="12"/>
      <c r="O5" s="13"/>
      <c r="P5" s="10"/>
      <c r="Q5" s="11"/>
      <c r="R5" s="10"/>
      <c r="S5" s="13"/>
      <c r="T5" s="42"/>
      <c r="U5" s="11"/>
      <c r="V5" s="10"/>
      <c r="W5" s="13"/>
      <c r="X5" s="42"/>
      <c r="Y5" s="13"/>
      <c r="Z5" s="10"/>
      <c r="AA5" s="13"/>
      <c r="AB5" s="42"/>
      <c r="AC5" s="13"/>
      <c r="AD5" s="10"/>
      <c r="AE5" s="13"/>
      <c r="AF5" s="42"/>
      <c r="AG5" s="13"/>
      <c r="AH5" s="10"/>
      <c r="AI5" s="13"/>
      <c r="AJ5" s="42"/>
      <c r="AK5" s="13"/>
      <c r="AL5" s="10"/>
      <c r="AM5" s="13"/>
      <c r="AN5" s="42"/>
      <c r="AO5" s="13"/>
      <c r="AP5" s="10"/>
      <c r="AQ5" s="13"/>
      <c r="AR5" s="42"/>
      <c r="AS5" s="26"/>
      <c r="AT5" s="42"/>
      <c r="AU5" s="26"/>
      <c r="AV5" s="42"/>
      <c r="AW5" s="26"/>
      <c r="AX5" s="10"/>
      <c r="AY5" s="13"/>
      <c r="AZ5" s="8"/>
      <c r="BA5" s="9"/>
    </row>
    <row r="6" spans="1:57" x14ac:dyDescent="0.25">
      <c r="A6" s="353" t="s">
        <v>5</v>
      </c>
      <c r="B6" s="353"/>
      <c r="C6" s="308">
        <v>2022</v>
      </c>
      <c r="D6" s="309"/>
      <c r="E6" s="308"/>
      <c r="F6" s="10"/>
      <c r="G6" s="10"/>
      <c r="H6" s="10"/>
      <c r="I6" s="10"/>
      <c r="J6" s="42"/>
      <c r="K6" s="10"/>
      <c r="L6" s="10"/>
      <c r="M6" s="11"/>
      <c r="N6" s="12"/>
      <c r="O6" s="13"/>
      <c r="P6" s="10"/>
      <c r="Q6" s="11"/>
      <c r="R6" s="10"/>
      <c r="S6" s="13"/>
      <c r="T6" s="42"/>
      <c r="U6" s="11"/>
      <c r="V6" s="10"/>
      <c r="W6" s="13"/>
      <c r="X6" s="42"/>
      <c r="Y6" s="13"/>
      <c r="Z6" s="10"/>
      <c r="AA6" s="13"/>
      <c r="AB6" s="42"/>
      <c r="AC6" s="13"/>
      <c r="AD6" s="10"/>
      <c r="AE6" s="13"/>
      <c r="AF6" s="42"/>
      <c r="AG6" s="13"/>
      <c r="AH6" s="10"/>
      <c r="AI6" s="13"/>
      <c r="AJ6" s="42"/>
      <c r="AK6" s="13"/>
      <c r="AL6" s="10"/>
      <c r="AM6" s="13"/>
      <c r="AN6" s="42"/>
      <c r="AO6" s="13"/>
      <c r="AP6" s="10"/>
      <c r="AQ6" s="13"/>
      <c r="AR6" s="42"/>
      <c r="AS6" s="26"/>
      <c r="AT6" s="42"/>
      <c r="AU6" s="26"/>
      <c r="AV6" s="42"/>
      <c r="AW6" s="26"/>
      <c r="AX6" s="10"/>
      <c r="AY6" s="13"/>
      <c r="AZ6" s="8"/>
      <c r="BA6" s="9"/>
    </row>
    <row r="7" spans="1:57" x14ac:dyDescent="0.25">
      <c r="A7" s="353" t="s">
        <v>6</v>
      </c>
      <c r="B7" s="353"/>
      <c r="C7" s="308" t="s">
        <v>58</v>
      </c>
      <c r="D7" s="309"/>
      <c r="E7" s="308"/>
      <c r="F7" s="10"/>
      <c r="G7" s="10"/>
      <c r="H7" s="10"/>
      <c r="I7" s="10"/>
      <c r="J7" s="42"/>
      <c r="K7" s="10"/>
      <c r="L7" s="10"/>
      <c r="M7" s="11"/>
      <c r="N7" s="12"/>
      <c r="O7" s="13"/>
      <c r="P7" s="10"/>
      <c r="Q7" s="11"/>
      <c r="R7" s="10"/>
      <c r="S7" s="13"/>
      <c r="T7" s="42"/>
      <c r="U7" s="11"/>
      <c r="V7" s="10"/>
      <c r="W7" s="13"/>
      <c r="X7" s="42"/>
      <c r="Y7" s="13"/>
      <c r="Z7" s="10"/>
      <c r="AA7" s="13"/>
      <c r="AB7" s="42"/>
      <c r="AC7" s="13"/>
      <c r="AD7" s="10"/>
      <c r="AE7" s="13"/>
      <c r="AF7" s="42"/>
      <c r="AG7" s="13"/>
      <c r="AH7" s="10"/>
      <c r="AI7" s="13"/>
      <c r="AJ7" s="42"/>
      <c r="AK7" s="13"/>
      <c r="AL7" s="10"/>
      <c r="AM7" s="13"/>
      <c r="AN7" s="42"/>
      <c r="AO7" s="13"/>
      <c r="AP7" s="10"/>
      <c r="AQ7" s="13"/>
      <c r="AR7" s="42"/>
      <c r="AS7" s="26"/>
      <c r="AT7" s="42"/>
      <c r="AU7" s="26"/>
      <c r="AV7" s="42"/>
      <c r="AW7" s="26"/>
      <c r="AX7" s="10"/>
      <c r="AY7" s="13"/>
      <c r="AZ7" s="8"/>
      <c r="BA7" s="9"/>
    </row>
    <row r="8" spans="1:57" ht="15.75" thickBot="1" x14ac:dyDescent="0.3">
      <c r="A8" s="3"/>
      <c r="B8" s="10"/>
      <c r="C8" s="10"/>
      <c r="D8" s="10"/>
      <c r="E8" s="14"/>
      <c r="F8" s="10"/>
      <c r="G8" s="10"/>
      <c r="H8" s="10"/>
      <c r="I8" s="10"/>
      <c r="J8" s="42"/>
      <c r="K8" s="10"/>
      <c r="L8" s="10"/>
      <c r="M8" s="11"/>
      <c r="N8" s="12"/>
      <c r="O8" s="13"/>
      <c r="P8" s="10"/>
      <c r="Q8" s="11"/>
      <c r="R8" s="10"/>
      <c r="S8" s="13"/>
      <c r="T8" s="42"/>
      <c r="U8" s="11"/>
      <c r="V8" s="10"/>
      <c r="W8" s="13"/>
      <c r="X8" s="42"/>
      <c r="Y8" s="13"/>
      <c r="Z8" s="10"/>
      <c r="AA8" s="13"/>
      <c r="AB8" s="42"/>
      <c r="AC8" s="13"/>
      <c r="AD8" s="10"/>
      <c r="AE8" s="13"/>
      <c r="AF8" s="42"/>
      <c r="AG8" s="13"/>
      <c r="AH8" s="10"/>
      <c r="AI8" s="13"/>
      <c r="AJ8" s="42"/>
      <c r="AK8" s="13"/>
      <c r="AL8" s="10"/>
      <c r="AM8" s="13"/>
      <c r="AN8" s="42"/>
      <c r="AO8" s="13"/>
      <c r="AP8" s="10"/>
      <c r="AQ8" s="13"/>
      <c r="AR8" s="42"/>
      <c r="AS8" s="26"/>
      <c r="AT8" s="42"/>
      <c r="AU8" s="26"/>
      <c r="AV8" s="42"/>
      <c r="AW8" s="26"/>
      <c r="AX8" s="10"/>
      <c r="AY8" s="13"/>
      <c r="AZ8" s="8"/>
      <c r="BA8" s="9"/>
    </row>
    <row r="9" spans="1:57" ht="51.75" thickBot="1" x14ac:dyDescent="0.3">
      <c r="A9" s="58" t="s">
        <v>7</v>
      </c>
      <c r="B9" s="59" t="s">
        <v>8</v>
      </c>
      <c r="C9" s="60" t="s">
        <v>9</v>
      </c>
      <c r="D9" s="59" t="s">
        <v>10</v>
      </c>
      <c r="E9" s="61" t="s">
        <v>11</v>
      </c>
      <c r="F9" s="60" t="s">
        <v>12</v>
      </c>
      <c r="G9" s="60" t="s">
        <v>13</v>
      </c>
      <c r="H9" s="60" t="s">
        <v>14</v>
      </c>
      <c r="I9" s="62" t="s">
        <v>15</v>
      </c>
      <c r="J9" s="63" t="s">
        <v>16</v>
      </c>
      <c r="K9" s="60" t="s">
        <v>17</v>
      </c>
      <c r="L9" s="60" t="s">
        <v>18</v>
      </c>
      <c r="M9" s="64" t="s">
        <v>19</v>
      </c>
      <c r="N9" s="65" t="s">
        <v>20</v>
      </c>
      <c r="O9" s="66" t="s">
        <v>21</v>
      </c>
      <c r="P9" s="60" t="s">
        <v>22</v>
      </c>
      <c r="Q9" s="64" t="s">
        <v>23</v>
      </c>
      <c r="R9" s="60" t="s">
        <v>24</v>
      </c>
      <c r="S9" s="66" t="s">
        <v>25</v>
      </c>
      <c r="T9" s="63" t="s">
        <v>26</v>
      </c>
      <c r="U9" s="64" t="s">
        <v>27</v>
      </c>
      <c r="V9" s="60" t="s">
        <v>28</v>
      </c>
      <c r="W9" s="66" t="s">
        <v>29</v>
      </c>
      <c r="X9" s="63" t="s">
        <v>54</v>
      </c>
      <c r="Y9" s="66" t="s">
        <v>67</v>
      </c>
      <c r="Z9" s="60" t="s">
        <v>68</v>
      </c>
      <c r="AA9" s="66" t="s">
        <v>30</v>
      </c>
      <c r="AB9" s="63" t="s">
        <v>31</v>
      </c>
      <c r="AC9" s="67" t="s">
        <v>32</v>
      </c>
      <c r="AD9" s="60" t="s">
        <v>33</v>
      </c>
      <c r="AE9" s="66" t="s">
        <v>34</v>
      </c>
      <c r="AF9" s="63" t="s">
        <v>35</v>
      </c>
      <c r="AG9" s="66" t="s">
        <v>36</v>
      </c>
      <c r="AH9" s="60" t="s">
        <v>37</v>
      </c>
      <c r="AI9" s="66" t="s">
        <v>61</v>
      </c>
      <c r="AJ9" s="63" t="s">
        <v>62</v>
      </c>
      <c r="AK9" s="66" t="s">
        <v>65</v>
      </c>
      <c r="AL9" s="60" t="s">
        <v>66</v>
      </c>
      <c r="AM9" s="67" t="s">
        <v>38</v>
      </c>
      <c r="AN9" s="63" t="s">
        <v>39</v>
      </c>
      <c r="AO9" s="67" t="s">
        <v>40</v>
      </c>
      <c r="AP9" s="60" t="s">
        <v>41</v>
      </c>
      <c r="AQ9" s="66" t="s">
        <v>42</v>
      </c>
      <c r="AR9" s="63" t="s">
        <v>43</v>
      </c>
      <c r="AS9" s="68" t="s">
        <v>55</v>
      </c>
      <c r="AT9" s="63" t="s">
        <v>56</v>
      </c>
      <c r="AU9" s="68" t="s">
        <v>59</v>
      </c>
      <c r="AV9" s="63" t="s">
        <v>60</v>
      </c>
      <c r="AW9" s="68" t="s">
        <v>63</v>
      </c>
      <c r="AX9" s="60" t="s">
        <v>64</v>
      </c>
      <c r="AY9" s="66" t="s">
        <v>44</v>
      </c>
      <c r="AZ9" s="69" t="s">
        <v>45</v>
      </c>
      <c r="BA9" s="63" t="s">
        <v>46</v>
      </c>
      <c r="BB9" s="70" t="s">
        <v>47</v>
      </c>
      <c r="BC9" s="24"/>
    </row>
    <row r="10" spans="1:57" s="19" customFormat="1" ht="51.75" thickBot="1" x14ac:dyDescent="0.25">
      <c r="A10" s="44">
        <v>1</v>
      </c>
      <c r="B10" s="15" t="s">
        <v>50</v>
      </c>
      <c r="C10" s="15" t="s">
        <v>48</v>
      </c>
      <c r="D10" s="15" t="s">
        <v>49</v>
      </c>
      <c r="E10" s="45" t="s">
        <v>51</v>
      </c>
      <c r="F10" s="44" t="s">
        <v>52</v>
      </c>
      <c r="G10" s="34"/>
      <c r="H10" s="34"/>
      <c r="I10" s="34">
        <v>1400</v>
      </c>
      <c r="J10" s="36">
        <f>+I10*AZ10</f>
        <v>264600</v>
      </c>
      <c r="K10" s="36"/>
      <c r="L10" s="34"/>
      <c r="M10" s="34">
        <v>1200</v>
      </c>
      <c r="N10" s="36">
        <f>+M10*AZ10</f>
        <v>226800</v>
      </c>
      <c r="O10" s="34"/>
      <c r="P10" s="36">
        <f>+O10*AZ10</f>
        <v>0</v>
      </c>
      <c r="Q10" s="34"/>
      <c r="R10" s="36">
        <f>+Q10*AZ10</f>
        <v>0</v>
      </c>
      <c r="S10" s="50"/>
      <c r="T10" s="36"/>
      <c r="U10" s="44">
        <v>2000</v>
      </c>
      <c r="V10" s="46">
        <f>+U10*AZ10</f>
        <v>378000</v>
      </c>
      <c r="W10" s="34">
        <v>15000</v>
      </c>
      <c r="X10" s="36">
        <f>+W10*AZ10</f>
        <v>2835000</v>
      </c>
      <c r="Y10" s="34"/>
      <c r="Z10" s="34"/>
      <c r="AA10" s="34">
        <v>3000</v>
      </c>
      <c r="AB10" s="36">
        <f>+AA10*AZ10</f>
        <v>567000</v>
      </c>
      <c r="AC10" s="34">
        <v>3500</v>
      </c>
      <c r="AD10" s="36">
        <f>+AC10*AZ10</f>
        <v>661500</v>
      </c>
      <c r="AE10" s="34">
        <v>1300</v>
      </c>
      <c r="AF10" s="36">
        <f>+AE10*AZ10</f>
        <v>245700</v>
      </c>
      <c r="AG10" s="34">
        <v>1200</v>
      </c>
      <c r="AH10" s="36">
        <f>+AG10*AZ10</f>
        <v>226800</v>
      </c>
      <c r="AI10" s="34">
        <v>800</v>
      </c>
      <c r="AJ10" s="36">
        <f>+AI10*AZ10</f>
        <v>151200</v>
      </c>
      <c r="AK10" s="34"/>
      <c r="AL10" s="36">
        <f>+AK10*AZ10</f>
        <v>0</v>
      </c>
      <c r="AM10" s="34">
        <v>2000</v>
      </c>
      <c r="AN10" s="36">
        <f>+AM10*AZ10</f>
        <v>378000</v>
      </c>
      <c r="AO10" s="34">
        <v>800</v>
      </c>
      <c r="AP10" s="36">
        <f>+AO10*AZ10</f>
        <v>151200</v>
      </c>
      <c r="AQ10" s="34">
        <v>80998</v>
      </c>
      <c r="AR10" s="36">
        <f>+AQ10*AZ10</f>
        <v>15308622</v>
      </c>
      <c r="AS10" s="35">
        <v>700</v>
      </c>
      <c r="AT10" s="36">
        <f>+AS10*AZ10</f>
        <v>132300</v>
      </c>
      <c r="AU10" s="35">
        <v>2100</v>
      </c>
      <c r="AV10" s="36">
        <f>+AU10*AZ10</f>
        <v>396900</v>
      </c>
      <c r="AW10" s="55">
        <v>400</v>
      </c>
      <c r="AX10" s="56">
        <f>+AW10*AZ10</f>
        <v>75600</v>
      </c>
      <c r="AY10" s="29">
        <f t="shared" ref="AY10" si="0">+AQ10+AO10+AM10+AK10+AI10+AG10+AE10+AC10+AA10+Y10+W10+U10+S10+Q10+O10+M10+K10+I10+AS10+G10+AU10+AW10</f>
        <v>116398</v>
      </c>
      <c r="AZ10" s="47">
        <v>189</v>
      </c>
      <c r="BA10" s="25">
        <f>+AY10*AZ10</f>
        <v>21999222</v>
      </c>
      <c r="BB10" s="57" t="s">
        <v>57</v>
      </c>
      <c r="BC10" s="39"/>
      <c r="BD10" s="39"/>
      <c r="BE10" s="39"/>
    </row>
    <row r="11" spans="1:57" s="41" customFormat="1" ht="13.5" thickBot="1" x14ac:dyDescent="0.25">
      <c r="A11" s="37"/>
      <c r="B11" s="49"/>
      <c r="C11" s="17"/>
      <c r="D11" s="17"/>
      <c r="E11" s="16" t="s">
        <v>53</v>
      </c>
      <c r="F11" s="17"/>
      <c r="G11" s="17"/>
      <c r="H11" s="17"/>
      <c r="I11" s="17"/>
      <c r="J11" s="38"/>
      <c r="K11" s="17"/>
      <c r="L11" s="17"/>
      <c r="M11" s="17"/>
      <c r="N11" s="17"/>
      <c r="O11" s="17"/>
      <c r="P11" s="38">
        <f t="shared" ref="P11" si="1">+O11*AZ11</f>
        <v>0</v>
      </c>
      <c r="Q11" s="17"/>
      <c r="R11" s="17"/>
      <c r="S11" s="18"/>
      <c r="T11" s="38"/>
      <c r="U11" s="17"/>
      <c r="V11" s="17"/>
      <c r="W11" s="17"/>
      <c r="X11" s="38"/>
      <c r="Y11" s="17"/>
      <c r="Z11" s="17"/>
      <c r="AA11" s="17"/>
      <c r="AB11" s="38"/>
      <c r="AC11" s="17"/>
      <c r="AD11" s="17"/>
      <c r="AE11" s="17"/>
      <c r="AF11" s="38"/>
      <c r="AG11" s="17"/>
      <c r="AH11" s="17"/>
      <c r="AI11" s="17"/>
      <c r="AJ11" s="38"/>
      <c r="AK11" s="17"/>
      <c r="AL11" s="17"/>
      <c r="AM11" s="17"/>
      <c r="AN11" s="38"/>
      <c r="AO11" s="17"/>
      <c r="AP11" s="17"/>
      <c r="AQ11" s="17"/>
      <c r="AR11" s="38"/>
      <c r="AS11" s="27"/>
      <c r="AT11" s="38"/>
      <c r="AU11" s="27"/>
      <c r="AV11" s="38"/>
      <c r="AW11" s="33"/>
      <c r="AX11" s="32"/>
      <c r="AY11" s="29"/>
      <c r="AZ11" s="38"/>
      <c r="BA11" s="48">
        <f>+SUM(BA10:BA10)</f>
        <v>21999222</v>
      </c>
      <c r="BB11" s="40"/>
    </row>
    <row r="13" spans="1:57" ht="15.75" thickBot="1" x14ac:dyDescent="0.3">
      <c r="N13" s="43"/>
      <c r="V13" s="43"/>
      <c r="AD13" s="54"/>
      <c r="AH13" s="43"/>
      <c r="AP13" s="54"/>
      <c r="AX13" s="54"/>
    </row>
    <row r="14" spans="1:57" ht="18.75" x14ac:dyDescent="0.25">
      <c r="C14" s="355" t="s">
        <v>69</v>
      </c>
      <c r="D14" s="356"/>
      <c r="E14" s="357"/>
    </row>
    <row r="15" spans="1:57" ht="67.5" customHeight="1" x14ac:dyDescent="0.25">
      <c r="C15" s="71" t="s">
        <v>70</v>
      </c>
      <c r="D15" s="358" t="s">
        <v>57</v>
      </c>
      <c r="E15" s="359"/>
    </row>
    <row r="16" spans="1:57" x14ac:dyDescent="0.25">
      <c r="C16" s="71"/>
      <c r="D16" s="72"/>
      <c r="E16" s="73"/>
    </row>
    <row r="17" spans="3:5" x14ac:dyDescent="0.25">
      <c r="C17" s="360" t="s">
        <v>733</v>
      </c>
      <c r="D17" s="361"/>
      <c r="E17" s="362"/>
    </row>
    <row r="18" spans="3:5" x14ac:dyDescent="0.25">
      <c r="C18" s="71"/>
      <c r="D18" s="72"/>
      <c r="E18" s="73"/>
    </row>
    <row r="19" spans="3:5" x14ac:dyDescent="0.25">
      <c r="C19" s="71" t="s">
        <v>71</v>
      </c>
      <c r="D19" s="74" t="s">
        <v>72</v>
      </c>
      <c r="E19" s="75"/>
    </row>
    <row r="20" spans="3:5" x14ac:dyDescent="0.25">
      <c r="C20" s="71"/>
      <c r="D20" s="76"/>
      <c r="E20" s="75"/>
    </row>
    <row r="21" spans="3:5" ht="44.25" customHeight="1" x14ac:dyDescent="0.25">
      <c r="C21" s="71" t="s">
        <v>73</v>
      </c>
      <c r="D21" s="358" t="s">
        <v>74</v>
      </c>
      <c r="E21" s="359"/>
    </row>
    <row r="22" spans="3:5" x14ac:dyDescent="0.25">
      <c r="C22" s="71"/>
      <c r="D22" s="77"/>
      <c r="E22" s="78"/>
    </row>
    <row r="23" spans="3:5" x14ac:dyDescent="0.25">
      <c r="C23" s="79" t="s">
        <v>75</v>
      </c>
      <c r="D23" s="80"/>
      <c r="E23" s="81"/>
    </row>
    <row r="24" spans="3:5" x14ac:dyDescent="0.25">
      <c r="C24" s="79"/>
      <c r="D24" s="80"/>
      <c r="E24" s="81"/>
    </row>
    <row r="25" spans="3:5" x14ac:dyDescent="0.25">
      <c r="C25" s="79" t="s">
        <v>76</v>
      </c>
      <c r="D25" s="363" t="s">
        <v>77</v>
      </c>
      <c r="E25" s="364"/>
    </row>
    <row r="26" spans="3:5" ht="15.75" thickBot="1" x14ac:dyDescent="0.3">
      <c r="C26" s="82"/>
      <c r="D26" s="83"/>
      <c r="E26" s="84"/>
    </row>
  </sheetData>
  <mergeCells count="10">
    <mergeCell ref="C14:E14"/>
    <mergeCell ref="D15:E15"/>
    <mergeCell ref="C17:E17"/>
    <mergeCell ref="D21:E21"/>
    <mergeCell ref="D25:E25"/>
    <mergeCell ref="A7:B7"/>
    <mergeCell ref="B2:AZ2"/>
    <mergeCell ref="A4:B4"/>
    <mergeCell ref="A5:B5"/>
    <mergeCell ref="A6:B6"/>
  </mergeCells>
  <conditionalFormatting sqref="B11">
    <cfRule type="duplicateValues" dxfId="13" priority="208"/>
  </conditionalFormatting>
  <conditionalFormatting sqref="E11">
    <cfRule type="duplicateValues" dxfId="12" priority="209"/>
  </conditionalFormatting>
  <conditionalFormatting sqref="E11">
    <cfRule type="duplicateValues" dxfId="11" priority="210"/>
    <cfRule type="duplicateValues" dxfId="10" priority="211"/>
  </conditionalFormatting>
  <conditionalFormatting sqref="E11 B11">
    <cfRule type="duplicateValues" dxfId="9" priority="212"/>
  </conditionalFormatting>
  <conditionalFormatting sqref="E11">
    <cfRule type="duplicateValues" dxfId="8" priority="213"/>
  </conditionalFormatting>
  <conditionalFormatting sqref="B1:B9 E1:E9">
    <cfRule type="duplicateValues" dxfId="7" priority="239"/>
  </conditionalFormatting>
  <conditionalFormatting sqref="E1:E9 B1:B9">
    <cfRule type="duplicateValues" dxfId="6" priority="240"/>
  </conditionalFormatting>
  <conditionalFormatting sqref="B1:B9">
    <cfRule type="duplicateValues" dxfId="5" priority="578"/>
  </conditionalFormatting>
  <conditionalFormatting sqref="E1:E9">
    <cfRule type="duplicateValues" dxfId="4" priority="579"/>
  </conditionalFormatting>
  <conditionalFormatting sqref="E1:E9">
    <cfRule type="duplicateValues" dxfId="3" priority="580"/>
    <cfRule type="duplicateValues" dxfId="2" priority="581"/>
  </conditionalFormatting>
  <conditionalFormatting sqref="C15:C25">
    <cfRule type="duplicateValues" dxfId="1" priority="1"/>
  </conditionalFormatting>
  <conditionalFormatting sqref="C15:C25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8"/>
  <sheetViews>
    <sheetView topLeftCell="A274" workbookViewId="0">
      <selection activeCell="D287" sqref="D287"/>
    </sheetView>
  </sheetViews>
  <sheetFormatPr baseColWidth="10" defaultRowHeight="15" x14ac:dyDescent="0.25"/>
  <cols>
    <col min="1" max="1" width="50.7109375" style="317" customWidth="1"/>
    <col min="2" max="2" width="14.28515625" style="317" customWidth="1"/>
    <col min="3" max="3" width="19.28515625" style="317" bestFit="1" customWidth="1"/>
    <col min="4" max="4" width="20.85546875" style="317" bestFit="1" customWidth="1"/>
    <col min="5" max="6" width="11.42578125" style="317"/>
    <col min="7" max="7" width="20.140625" style="317" bestFit="1" customWidth="1"/>
    <col min="8" max="16384" width="11.42578125" style="317"/>
  </cols>
  <sheetData>
    <row r="1" spans="1:10" ht="19.5" thickBot="1" x14ac:dyDescent="0.3">
      <c r="A1" s="368" t="s">
        <v>78</v>
      </c>
      <c r="B1" s="369"/>
      <c r="C1" s="369"/>
      <c r="D1" s="369"/>
      <c r="E1" s="370"/>
      <c r="F1" s="318"/>
      <c r="G1" s="318"/>
      <c r="H1" s="319"/>
      <c r="I1" s="320"/>
      <c r="J1" s="320"/>
    </row>
    <row r="2" spans="1:10" ht="19.5" thickBot="1" x14ac:dyDescent="0.3">
      <c r="A2" s="248"/>
      <c r="B2" s="321"/>
      <c r="C2" s="321"/>
      <c r="D2" s="321"/>
      <c r="E2" s="249"/>
      <c r="F2" s="318"/>
      <c r="G2" s="318"/>
      <c r="H2" s="319"/>
      <c r="I2" s="320"/>
      <c r="J2" s="320"/>
    </row>
    <row r="3" spans="1:10" ht="15.75" thickBot="1" x14ac:dyDescent="0.3">
      <c r="A3" s="85" t="s">
        <v>79</v>
      </c>
      <c r="B3" s="85" t="s">
        <v>80</v>
      </c>
      <c r="C3" s="85" t="s">
        <v>81</v>
      </c>
      <c r="D3" s="85" t="s">
        <v>82</v>
      </c>
      <c r="E3" s="85" t="s">
        <v>83</v>
      </c>
      <c r="F3" s="320"/>
      <c r="G3" s="320"/>
      <c r="H3" s="320"/>
      <c r="I3" s="320"/>
      <c r="J3" s="320"/>
    </row>
    <row r="4" spans="1:10" x14ac:dyDescent="0.25">
      <c r="A4" s="322" t="s">
        <v>84</v>
      </c>
      <c r="B4" s="323" t="s">
        <v>85</v>
      </c>
      <c r="C4" s="323" t="s">
        <v>86</v>
      </c>
      <c r="D4" s="323" t="s">
        <v>87</v>
      </c>
      <c r="E4" s="323">
        <v>2015</v>
      </c>
      <c r="F4" s="320"/>
      <c r="G4" s="320"/>
      <c r="H4" s="320"/>
      <c r="I4" s="320"/>
      <c r="J4" s="320"/>
    </row>
    <row r="5" spans="1:10" ht="15.75" thickBot="1" x14ac:dyDescent="0.3">
      <c r="A5" s="324"/>
      <c r="B5" s="324"/>
      <c r="C5" s="324"/>
      <c r="D5" s="320"/>
      <c r="E5" s="320"/>
      <c r="F5" s="320"/>
      <c r="G5" s="320"/>
      <c r="H5" s="320"/>
      <c r="I5" s="320"/>
      <c r="J5" s="320"/>
    </row>
    <row r="6" spans="1:10" ht="15.75" thickBot="1" x14ac:dyDescent="0.3">
      <c r="A6" s="371" t="s">
        <v>88</v>
      </c>
      <c r="B6" s="372"/>
      <c r="C6" s="372"/>
      <c r="D6" s="372"/>
      <c r="E6" s="373"/>
      <c r="F6" s="320"/>
      <c r="G6" s="320"/>
      <c r="H6" s="320"/>
      <c r="I6" s="320"/>
      <c r="J6" s="320"/>
    </row>
    <row r="7" spans="1:10" ht="15.75" thickBot="1" x14ac:dyDescent="0.3">
      <c r="A7" s="320"/>
      <c r="B7" s="320"/>
      <c r="C7" s="320"/>
      <c r="D7" s="320"/>
      <c r="E7" s="320"/>
      <c r="F7" s="320"/>
      <c r="G7" s="320"/>
      <c r="H7" s="320"/>
      <c r="I7" s="320"/>
      <c r="J7" s="320"/>
    </row>
    <row r="8" spans="1:10" ht="15.75" thickBot="1" x14ac:dyDescent="0.3">
      <c r="A8" s="85" t="s">
        <v>79</v>
      </c>
      <c r="B8" s="85" t="s">
        <v>80</v>
      </c>
      <c r="C8" s="85" t="s">
        <v>81</v>
      </c>
      <c r="D8" s="85" t="s">
        <v>82</v>
      </c>
      <c r="E8" s="85" t="s">
        <v>83</v>
      </c>
      <c r="F8" s="320"/>
      <c r="G8" s="320"/>
      <c r="H8" s="320"/>
      <c r="I8" s="320"/>
      <c r="J8" s="320"/>
    </row>
    <row r="9" spans="1:10" x14ac:dyDescent="0.25">
      <c r="A9" s="86" t="s">
        <v>89</v>
      </c>
      <c r="B9" s="87" t="s">
        <v>90</v>
      </c>
      <c r="C9" s="88" t="s">
        <v>91</v>
      </c>
      <c r="D9" s="89" t="s">
        <v>92</v>
      </c>
      <c r="E9" s="90">
        <v>2007</v>
      </c>
      <c r="F9" s="320"/>
      <c r="G9" s="320"/>
      <c r="H9" s="320"/>
      <c r="I9" s="320"/>
      <c r="J9" s="320"/>
    </row>
    <row r="10" spans="1:10" x14ac:dyDescent="0.25">
      <c r="A10" s="86" t="s">
        <v>93</v>
      </c>
      <c r="B10" s="87" t="s">
        <v>94</v>
      </c>
      <c r="C10" s="91" t="s">
        <v>95</v>
      </c>
      <c r="D10" s="91" t="s">
        <v>96</v>
      </c>
      <c r="E10" s="90">
        <v>2008</v>
      </c>
      <c r="F10" s="320"/>
      <c r="G10" s="320"/>
      <c r="H10" s="320"/>
      <c r="I10" s="320"/>
      <c r="J10" s="320"/>
    </row>
    <row r="11" spans="1:10" x14ac:dyDescent="0.25">
      <c r="A11" s="92" t="s">
        <v>97</v>
      </c>
      <c r="B11" s="93" t="s">
        <v>98</v>
      </c>
      <c r="C11" s="94" t="s">
        <v>99</v>
      </c>
      <c r="D11" s="89" t="s">
        <v>100</v>
      </c>
      <c r="E11" s="95">
        <v>2011</v>
      </c>
      <c r="F11" s="320"/>
      <c r="G11" s="320"/>
      <c r="H11" s="320"/>
      <c r="I11" s="320"/>
      <c r="J11" s="320"/>
    </row>
    <row r="12" spans="1:10" x14ac:dyDescent="0.25">
      <c r="A12" s="96" t="s">
        <v>101</v>
      </c>
      <c r="B12" s="97" t="s">
        <v>102</v>
      </c>
      <c r="C12" s="98">
        <v>36071580</v>
      </c>
      <c r="D12" s="99" t="s">
        <v>103</v>
      </c>
      <c r="E12" s="100">
        <v>2010</v>
      </c>
      <c r="F12" s="320"/>
      <c r="G12" s="320"/>
      <c r="H12" s="320"/>
      <c r="I12" s="320"/>
      <c r="J12" s="320"/>
    </row>
    <row r="13" spans="1:10" x14ac:dyDescent="0.25">
      <c r="A13" s="101" t="s">
        <v>104</v>
      </c>
      <c r="B13" s="97" t="s">
        <v>105</v>
      </c>
      <c r="C13" s="98" t="s">
        <v>106</v>
      </c>
      <c r="D13" s="99" t="s">
        <v>107</v>
      </c>
      <c r="E13" s="100">
        <v>2012</v>
      </c>
      <c r="F13" s="320"/>
      <c r="G13" s="320"/>
      <c r="H13" s="320"/>
      <c r="I13" s="320"/>
      <c r="J13" s="320"/>
    </row>
    <row r="14" spans="1:10" x14ac:dyDescent="0.25">
      <c r="A14" s="102" t="s">
        <v>108</v>
      </c>
      <c r="B14" s="97" t="s">
        <v>109</v>
      </c>
      <c r="C14" s="98">
        <v>7173538</v>
      </c>
      <c r="D14" s="99" t="s">
        <v>110</v>
      </c>
      <c r="E14" s="100">
        <v>2013</v>
      </c>
      <c r="F14" s="320"/>
      <c r="G14" s="320"/>
      <c r="H14" s="320"/>
      <c r="I14" s="320"/>
      <c r="J14" s="320"/>
    </row>
    <row r="15" spans="1:10" x14ac:dyDescent="0.25">
      <c r="A15" s="102" t="s">
        <v>111</v>
      </c>
      <c r="B15" s="97" t="s">
        <v>112</v>
      </c>
      <c r="C15" s="98">
        <v>61198170074458</v>
      </c>
      <c r="D15" s="99" t="s">
        <v>113</v>
      </c>
      <c r="E15" s="100">
        <v>2008</v>
      </c>
      <c r="F15" s="320"/>
      <c r="G15" s="320"/>
      <c r="H15" s="320"/>
      <c r="I15" s="320"/>
      <c r="J15" s="320"/>
    </row>
    <row r="16" spans="1:10" x14ac:dyDescent="0.25">
      <c r="A16" s="103" t="s">
        <v>114</v>
      </c>
      <c r="B16" s="97" t="s">
        <v>115</v>
      </c>
      <c r="C16" s="98" t="s">
        <v>116</v>
      </c>
      <c r="D16" s="99" t="s">
        <v>117</v>
      </c>
      <c r="E16" s="100">
        <v>2012</v>
      </c>
      <c r="F16" s="320"/>
      <c r="G16" s="320"/>
      <c r="H16" s="320"/>
      <c r="I16" s="320"/>
      <c r="J16" s="320"/>
    </row>
    <row r="17" spans="1:10" x14ac:dyDescent="0.25">
      <c r="A17" s="101" t="s">
        <v>118</v>
      </c>
      <c r="B17" s="97" t="s">
        <v>119</v>
      </c>
      <c r="C17" s="99" t="s">
        <v>120</v>
      </c>
      <c r="D17" s="99" t="s">
        <v>121</v>
      </c>
      <c r="E17" s="100">
        <v>2007</v>
      </c>
      <c r="F17" s="320"/>
      <c r="G17" s="320"/>
      <c r="H17" s="320"/>
      <c r="I17" s="320"/>
      <c r="J17" s="320"/>
    </row>
    <row r="18" spans="1:10" x14ac:dyDescent="0.25">
      <c r="A18" s="102" t="s">
        <v>122</v>
      </c>
      <c r="B18" s="97" t="s">
        <v>123</v>
      </c>
      <c r="C18" s="98" t="s">
        <v>124</v>
      </c>
      <c r="D18" s="99" t="s">
        <v>125</v>
      </c>
      <c r="E18" s="100">
        <v>2008</v>
      </c>
      <c r="F18" s="320"/>
      <c r="G18" s="320"/>
      <c r="H18" s="320"/>
      <c r="I18" s="320"/>
      <c r="J18" s="320"/>
    </row>
    <row r="19" spans="1:10" x14ac:dyDescent="0.25">
      <c r="A19" s="102" t="s">
        <v>126</v>
      </c>
      <c r="B19" s="97" t="s">
        <v>127</v>
      </c>
      <c r="C19" s="98" t="s">
        <v>128</v>
      </c>
      <c r="D19" s="99" t="s">
        <v>129</v>
      </c>
      <c r="E19" s="100">
        <v>2008</v>
      </c>
      <c r="F19" s="320"/>
      <c r="G19" s="320"/>
      <c r="H19" s="320"/>
      <c r="I19" s="320"/>
      <c r="J19" s="320"/>
    </row>
    <row r="20" spans="1:10" x14ac:dyDescent="0.25">
      <c r="A20" s="96" t="s">
        <v>130</v>
      </c>
      <c r="B20" s="97" t="s">
        <v>131</v>
      </c>
      <c r="C20" s="98">
        <v>7250765</v>
      </c>
      <c r="D20" s="99" t="s">
        <v>132</v>
      </c>
      <c r="E20" s="100">
        <v>2016</v>
      </c>
      <c r="F20" s="320"/>
      <c r="G20" s="320"/>
      <c r="H20" s="320"/>
      <c r="I20" s="320"/>
      <c r="J20" s="320"/>
    </row>
    <row r="21" spans="1:10" x14ac:dyDescent="0.25">
      <c r="A21" s="104" t="s">
        <v>130</v>
      </c>
      <c r="B21" s="105" t="s">
        <v>133</v>
      </c>
      <c r="C21" s="94">
        <v>7250728</v>
      </c>
      <c r="D21" s="89" t="s">
        <v>134</v>
      </c>
      <c r="E21" s="95">
        <v>2016</v>
      </c>
      <c r="F21" s="320"/>
      <c r="G21" s="320"/>
      <c r="H21" s="320"/>
      <c r="I21" s="320"/>
      <c r="J21" s="320"/>
    </row>
    <row r="22" spans="1:10" x14ac:dyDescent="0.25">
      <c r="A22" s="96" t="s">
        <v>135</v>
      </c>
      <c r="B22" s="97" t="s">
        <v>136</v>
      </c>
      <c r="C22" s="98" t="s">
        <v>137</v>
      </c>
      <c r="D22" s="99" t="s">
        <v>138</v>
      </c>
      <c r="E22" s="100">
        <v>2017</v>
      </c>
      <c r="F22" s="320"/>
      <c r="G22" s="320"/>
      <c r="H22" s="320"/>
      <c r="I22" s="320"/>
      <c r="J22" s="320"/>
    </row>
    <row r="23" spans="1:10" ht="15.75" thickBot="1" x14ac:dyDescent="0.3">
      <c r="A23" s="106" t="s">
        <v>93</v>
      </c>
      <c r="B23" s="107" t="s">
        <v>139</v>
      </c>
      <c r="C23" s="108" t="s">
        <v>140</v>
      </c>
      <c r="D23" s="109" t="s">
        <v>141</v>
      </c>
      <c r="E23" s="110">
        <v>2020</v>
      </c>
      <c r="F23" s="320"/>
      <c r="G23" s="320"/>
      <c r="H23" s="320"/>
      <c r="I23" s="320"/>
      <c r="J23" s="320"/>
    </row>
    <row r="24" spans="1:10" ht="15.75" thickBot="1" x14ac:dyDescent="0.3">
      <c r="A24" s="111"/>
      <c r="B24" s="105"/>
      <c r="C24" s="112"/>
      <c r="D24" s="105"/>
      <c r="E24" s="105"/>
      <c r="F24" s="320"/>
      <c r="G24" s="320"/>
      <c r="H24" s="320"/>
      <c r="I24" s="320"/>
      <c r="J24" s="320"/>
    </row>
    <row r="25" spans="1:10" ht="15.75" thickBot="1" x14ac:dyDescent="0.3">
      <c r="A25" s="371" t="s">
        <v>142</v>
      </c>
      <c r="B25" s="372"/>
      <c r="C25" s="372"/>
      <c r="D25" s="372"/>
      <c r="E25" s="373"/>
      <c r="F25" s="320"/>
      <c r="G25" s="320"/>
      <c r="H25" s="320"/>
      <c r="I25" s="320"/>
      <c r="J25" s="320"/>
    </row>
    <row r="26" spans="1:10" ht="15.75" thickBot="1" x14ac:dyDescent="0.3">
      <c r="A26" s="320"/>
      <c r="B26" s="320"/>
      <c r="C26" s="113"/>
      <c r="D26" s="113"/>
      <c r="E26" s="320"/>
      <c r="F26" s="320"/>
      <c r="G26" s="320"/>
      <c r="H26" s="320"/>
      <c r="I26" s="320"/>
      <c r="J26" s="320"/>
    </row>
    <row r="27" spans="1:10" ht="15.75" thickBot="1" x14ac:dyDescent="0.3">
      <c r="A27" s="85" t="s">
        <v>79</v>
      </c>
      <c r="B27" s="85" t="s">
        <v>80</v>
      </c>
      <c r="C27" s="85" t="s">
        <v>81</v>
      </c>
      <c r="D27" s="114" t="s">
        <v>82</v>
      </c>
      <c r="E27" s="85" t="s">
        <v>83</v>
      </c>
      <c r="F27" s="320"/>
      <c r="G27" s="320"/>
      <c r="H27" s="320"/>
      <c r="I27" s="320"/>
      <c r="J27" s="320"/>
    </row>
    <row r="28" spans="1:10" x14ac:dyDescent="0.25">
      <c r="A28" s="325" t="s">
        <v>143</v>
      </c>
      <c r="B28" s="115" t="s">
        <v>144</v>
      </c>
      <c r="C28" s="116">
        <v>7250726</v>
      </c>
      <c r="D28" s="115" t="s">
        <v>145</v>
      </c>
      <c r="E28" s="115">
        <v>2016</v>
      </c>
      <c r="F28" s="320"/>
      <c r="G28" s="320"/>
      <c r="H28" s="320"/>
      <c r="I28" s="320"/>
      <c r="J28" s="320"/>
    </row>
    <row r="29" spans="1:10" x14ac:dyDescent="0.25">
      <c r="A29" s="96" t="s">
        <v>143</v>
      </c>
      <c r="B29" s="100" t="s">
        <v>146</v>
      </c>
      <c r="C29" s="99">
        <v>7250640</v>
      </c>
      <c r="D29" s="100" t="s">
        <v>147</v>
      </c>
      <c r="E29" s="100">
        <v>2016</v>
      </c>
      <c r="F29" s="320"/>
      <c r="G29" s="320"/>
      <c r="H29" s="320"/>
      <c r="I29" s="320"/>
      <c r="J29" s="320"/>
    </row>
    <row r="30" spans="1:10" x14ac:dyDescent="0.25">
      <c r="A30" s="117" t="s">
        <v>148</v>
      </c>
      <c r="B30" s="90" t="s">
        <v>149</v>
      </c>
      <c r="C30" s="118" t="s">
        <v>150</v>
      </c>
      <c r="D30" s="90" t="s">
        <v>151</v>
      </c>
      <c r="E30" s="119">
        <v>2014</v>
      </c>
      <c r="F30" s="320"/>
      <c r="G30" s="320"/>
      <c r="H30" s="320"/>
      <c r="I30" s="320"/>
      <c r="J30" s="320"/>
    </row>
    <row r="31" spans="1:10" x14ac:dyDescent="0.25">
      <c r="A31" s="120" t="s">
        <v>152</v>
      </c>
      <c r="B31" s="100" t="s">
        <v>153</v>
      </c>
      <c r="C31" s="121" t="s">
        <v>154</v>
      </c>
      <c r="D31" s="122" t="s">
        <v>155</v>
      </c>
      <c r="E31" s="123">
        <v>2007</v>
      </c>
      <c r="F31" s="320"/>
      <c r="G31" s="320"/>
      <c r="H31" s="320"/>
      <c r="I31" s="320"/>
      <c r="J31" s="320"/>
    </row>
    <row r="32" spans="1:10" x14ac:dyDescent="0.25">
      <c r="A32" s="120" t="s">
        <v>156</v>
      </c>
      <c r="B32" s="100" t="s">
        <v>157</v>
      </c>
      <c r="C32" s="121" t="s">
        <v>158</v>
      </c>
      <c r="D32" s="122" t="s">
        <v>159</v>
      </c>
      <c r="E32" s="123">
        <v>2007</v>
      </c>
      <c r="F32" s="320"/>
      <c r="G32" s="320"/>
      <c r="H32" s="320"/>
      <c r="I32" s="320"/>
      <c r="J32" s="320"/>
    </row>
    <row r="33" spans="1:10" x14ac:dyDescent="0.25">
      <c r="A33" s="120" t="s">
        <v>160</v>
      </c>
      <c r="B33" s="100" t="s">
        <v>161</v>
      </c>
      <c r="C33" s="97">
        <v>37344067044</v>
      </c>
      <c r="D33" s="122" t="s">
        <v>162</v>
      </c>
      <c r="E33" s="123">
        <v>2005</v>
      </c>
      <c r="F33" s="320"/>
      <c r="G33" s="320"/>
      <c r="H33" s="320"/>
      <c r="I33" s="320"/>
      <c r="J33" s="320"/>
    </row>
    <row r="34" spans="1:10" ht="15.75" thickBot="1" x14ac:dyDescent="0.3">
      <c r="A34" s="124" t="s">
        <v>163</v>
      </c>
      <c r="B34" s="110" t="s">
        <v>164</v>
      </c>
      <c r="C34" s="125" t="s">
        <v>165</v>
      </c>
      <c r="D34" s="126" t="s">
        <v>166</v>
      </c>
      <c r="E34" s="127">
        <v>2007</v>
      </c>
      <c r="F34" s="320"/>
      <c r="G34" s="320"/>
      <c r="H34" s="320"/>
      <c r="I34" s="320"/>
      <c r="J34" s="320"/>
    </row>
    <row r="35" spans="1:10" ht="15.75" thickBot="1" x14ac:dyDescent="0.3">
      <c r="A35" s="320"/>
      <c r="B35" s="320"/>
      <c r="C35" s="320"/>
      <c r="D35" s="320"/>
      <c r="E35" s="320"/>
      <c r="F35" s="320"/>
      <c r="G35" s="320"/>
      <c r="H35" s="320"/>
      <c r="I35" s="320"/>
      <c r="J35" s="320"/>
    </row>
    <row r="36" spans="1:10" ht="15.75" thickBot="1" x14ac:dyDescent="0.3">
      <c r="A36" s="371" t="s">
        <v>167</v>
      </c>
      <c r="B36" s="372"/>
      <c r="C36" s="372"/>
      <c r="D36" s="372"/>
      <c r="E36" s="373"/>
      <c r="F36" s="320"/>
      <c r="G36" s="320"/>
      <c r="H36" s="320"/>
      <c r="I36" s="320"/>
      <c r="J36" s="320"/>
    </row>
    <row r="37" spans="1:10" ht="15.75" thickBot="1" x14ac:dyDescent="0.3">
      <c r="A37" s="320"/>
      <c r="B37" s="324"/>
      <c r="C37" s="320"/>
      <c r="D37" s="320"/>
      <c r="E37" s="320"/>
      <c r="F37" s="320"/>
      <c r="G37" s="320"/>
      <c r="H37" s="320"/>
      <c r="I37" s="320"/>
      <c r="J37" s="320"/>
    </row>
    <row r="38" spans="1:10" ht="15.75" thickBot="1" x14ac:dyDescent="0.3">
      <c r="A38" s="128" t="s">
        <v>79</v>
      </c>
      <c r="B38" s="128" t="s">
        <v>80</v>
      </c>
      <c r="C38" s="128" t="s">
        <v>81</v>
      </c>
      <c r="D38" s="128" t="s">
        <v>82</v>
      </c>
      <c r="E38" s="128" t="s">
        <v>83</v>
      </c>
      <c r="F38" s="320"/>
      <c r="G38" s="320"/>
      <c r="H38" s="320"/>
      <c r="I38" s="320"/>
      <c r="J38" s="320"/>
    </row>
    <row r="39" spans="1:10" x14ac:dyDescent="0.25">
      <c r="A39" s="129" t="s">
        <v>168</v>
      </c>
      <c r="B39" s="130" t="s">
        <v>169</v>
      </c>
      <c r="C39" s="131" t="s">
        <v>170</v>
      </c>
      <c r="D39" s="130" t="s">
        <v>171</v>
      </c>
      <c r="E39" s="130">
        <v>2007</v>
      </c>
      <c r="F39" s="320"/>
      <c r="G39" s="320"/>
      <c r="H39" s="320"/>
      <c r="I39" s="320"/>
      <c r="J39" s="320"/>
    </row>
    <row r="40" spans="1:10" x14ac:dyDescent="0.25">
      <c r="A40" s="132" t="s">
        <v>172</v>
      </c>
      <c r="B40" s="133" t="s">
        <v>173</v>
      </c>
      <c r="C40" s="134" t="s">
        <v>174</v>
      </c>
      <c r="D40" s="133" t="s">
        <v>175</v>
      </c>
      <c r="E40" s="133">
        <v>2007</v>
      </c>
      <c r="F40" s="320"/>
      <c r="G40" s="320"/>
      <c r="H40" s="320"/>
      <c r="I40" s="320"/>
      <c r="J40" s="320"/>
    </row>
    <row r="41" spans="1:10" x14ac:dyDescent="0.25">
      <c r="A41" s="103" t="s">
        <v>176</v>
      </c>
      <c r="B41" s="100" t="s">
        <v>177</v>
      </c>
      <c r="C41" s="100">
        <v>7251288</v>
      </c>
      <c r="D41" s="135" t="s">
        <v>178</v>
      </c>
      <c r="E41" s="100">
        <v>2016</v>
      </c>
      <c r="F41" s="320"/>
      <c r="G41" s="320"/>
      <c r="H41" s="320"/>
      <c r="I41" s="320"/>
      <c r="J41" s="320"/>
    </row>
    <row r="42" spans="1:10" x14ac:dyDescent="0.25">
      <c r="A42" s="103" t="s">
        <v>179</v>
      </c>
      <c r="B42" s="100" t="s">
        <v>180</v>
      </c>
      <c r="C42" s="100" t="s">
        <v>181</v>
      </c>
      <c r="D42" s="135" t="s">
        <v>182</v>
      </c>
      <c r="E42" s="100">
        <v>2013</v>
      </c>
      <c r="F42" s="320"/>
      <c r="G42" s="320"/>
      <c r="H42" s="320"/>
      <c r="I42" s="320"/>
      <c r="J42" s="320"/>
    </row>
    <row r="43" spans="1:10" x14ac:dyDescent="0.25">
      <c r="A43" s="132" t="s">
        <v>183</v>
      </c>
      <c r="B43" s="133" t="s">
        <v>184</v>
      </c>
      <c r="C43" s="133">
        <v>10520880</v>
      </c>
      <c r="D43" s="134" t="s">
        <v>185</v>
      </c>
      <c r="E43" s="133">
        <v>1998</v>
      </c>
      <c r="F43" s="320"/>
      <c r="G43" s="320"/>
      <c r="H43" s="320"/>
      <c r="I43" s="320"/>
      <c r="J43" s="320"/>
    </row>
    <row r="44" spans="1:10" ht="15.75" thickBot="1" x14ac:dyDescent="0.3">
      <c r="A44" s="106" t="s">
        <v>186</v>
      </c>
      <c r="B44" s="110" t="s">
        <v>187</v>
      </c>
      <c r="C44" s="110">
        <v>40704192268</v>
      </c>
      <c r="D44" s="110" t="s">
        <v>188</v>
      </c>
      <c r="E44" s="110">
        <v>2014</v>
      </c>
      <c r="F44" s="320"/>
      <c r="G44" s="320"/>
      <c r="H44" s="320"/>
      <c r="I44" s="320"/>
      <c r="J44" s="320"/>
    </row>
    <row r="45" spans="1:10" ht="15.75" thickBot="1" x14ac:dyDescent="0.3">
      <c r="A45" s="320"/>
      <c r="B45" s="320"/>
      <c r="C45" s="320"/>
      <c r="D45" s="320"/>
      <c r="E45" s="320"/>
      <c r="F45" s="320"/>
      <c r="G45" s="320"/>
      <c r="H45" s="320"/>
      <c r="I45" s="320"/>
      <c r="J45" s="320"/>
    </row>
    <row r="46" spans="1:10" ht="15.75" thickBot="1" x14ac:dyDescent="0.3">
      <c r="A46" s="371" t="s">
        <v>189</v>
      </c>
      <c r="B46" s="372"/>
      <c r="C46" s="372"/>
      <c r="D46" s="372"/>
      <c r="E46" s="373"/>
      <c r="F46" s="320"/>
      <c r="G46" s="320"/>
      <c r="H46" s="320"/>
      <c r="I46" s="320"/>
      <c r="J46" s="320"/>
    </row>
    <row r="47" spans="1:10" ht="15.75" thickBot="1" x14ac:dyDescent="0.3">
      <c r="A47" s="320"/>
      <c r="B47" s="320"/>
      <c r="C47" s="320"/>
      <c r="D47" s="320"/>
      <c r="E47" s="320"/>
      <c r="F47" s="320"/>
      <c r="G47" s="320"/>
      <c r="H47" s="320"/>
      <c r="I47" s="320"/>
      <c r="J47" s="320"/>
    </row>
    <row r="48" spans="1:10" ht="15.75" thickBot="1" x14ac:dyDescent="0.3">
      <c r="A48" s="128" t="s">
        <v>79</v>
      </c>
      <c r="B48" s="128" t="s">
        <v>80</v>
      </c>
      <c r="C48" s="128" t="s">
        <v>81</v>
      </c>
      <c r="D48" s="128" t="s">
        <v>82</v>
      </c>
      <c r="E48" s="128" t="s">
        <v>83</v>
      </c>
      <c r="F48" s="320"/>
      <c r="G48" s="320"/>
      <c r="H48" s="320"/>
      <c r="I48" s="320"/>
      <c r="J48" s="320"/>
    </row>
    <row r="49" spans="1:10" x14ac:dyDescent="0.25">
      <c r="A49" s="136" t="s">
        <v>190</v>
      </c>
      <c r="B49" s="115" t="s">
        <v>191</v>
      </c>
      <c r="C49" s="115" t="s">
        <v>192</v>
      </c>
      <c r="D49" s="115" t="s">
        <v>193</v>
      </c>
      <c r="E49" s="115">
        <v>2007</v>
      </c>
      <c r="F49" s="320"/>
      <c r="G49" s="320"/>
      <c r="H49" s="320"/>
      <c r="I49" s="320"/>
      <c r="J49" s="320"/>
    </row>
    <row r="50" spans="1:10" x14ac:dyDescent="0.25">
      <c r="A50" s="96" t="s">
        <v>194</v>
      </c>
      <c r="B50" s="100" t="s">
        <v>195</v>
      </c>
      <c r="C50" s="100" t="s">
        <v>196</v>
      </c>
      <c r="D50" s="100" t="s">
        <v>197</v>
      </c>
      <c r="E50" s="100">
        <v>2007</v>
      </c>
      <c r="F50" s="320"/>
      <c r="G50" s="320"/>
      <c r="H50" s="320"/>
      <c r="I50" s="320"/>
      <c r="J50" s="320"/>
    </row>
    <row r="51" spans="1:10" x14ac:dyDescent="0.25">
      <c r="A51" s="96" t="s">
        <v>198</v>
      </c>
      <c r="B51" s="100" t="s">
        <v>199</v>
      </c>
      <c r="C51" s="100">
        <v>40704192255</v>
      </c>
      <c r="D51" s="100" t="s">
        <v>200</v>
      </c>
      <c r="E51" s="100">
        <v>1999</v>
      </c>
      <c r="F51" s="320"/>
      <c r="G51" s="320"/>
      <c r="H51" s="320"/>
      <c r="I51" s="320"/>
      <c r="J51" s="320"/>
    </row>
    <row r="52" spans="1:10" x14ac:dyDescent="0.25">
      <c r="A52" s="92" t="s">
        <v>183</v>
      </c>
      <c r="B52" s="133" t="s">
        <v>201</v>
      </c>
      <c r="C52" s="137" t="s">
        <v>202</v>
      </c>
      <c r="D52" s="133" t="s">
        <v>203</v>
      </c>
      <c r="E52" s="133">
        <v>2000</v>
      </c>
      <c r="F52" s="320"/>
      <c r="G52" s="320"/>
      <c r="H52" s="320"/>
      <c r="I52" s="320"/>
      <c r="J52" s="320"/>
    </row>
    <row r="53" spans="1:10" x14ac:dyDescent="0.25">
      <c r="A53" s="138" t="s">
        <v>204</v>
      </c>
      <c r="B53" s="133" t="s">
        <v>205</v>
      </c>
      <c r="C53" s="133" t="s">
        <v>206</v>
      </c>
      <c r="D53" s="133" t="s">
        <v>207</v>
      </c>
      <c r="E53" s="133">
        <v>2013</v>
      </c>
      <c r="F53" s="320"/>
      <c r="G53" s="320"/>
      <c r="H53" s="320"/>
      <c r="I53" s="320"/>
      <c r="J53" s="320"/>
    </row>
    <row r="54" spans="1:10" x14ac:dyDescent="0.25">
      <c r="A54" s="92" t="s">
        <v>208</v>
      </c>
      <c r="B54" s="133" t="s">
        <v>209</v>
      </c>
      <c r="C54" s="133">
        <v>7250638</v>
      </c>
      <c r="D54" s="133" t="s">
        <v>210</v>
      </c>
      <c r="E54" s="133">
        <v>2016</v>
      </c>
      <c r="F54" s="320"/>
      <c r="G54" s="320"/>
      <c r="H54" s="320"/>
      <c r="I54" s="320"/>
      <c r="J54" s="320"/>
    </row>
    <row r="55" spans="1:10" x14ac:dyDescent="0.25">
      <c r="A55" s="92" t="s">
        <v>211</v>
      </c>
      <c r="B55" s="133" t="s">
        <v>212</v>
      </c>
      <c r="C55" s="133" t="s">
        <v>213</v>
      </c>
      <c r="D55" s="133" t="s">
        <v>214</v>
      </c>
      <c r="E55" s="133">
        <v>2018</v>
      </c>
      <c r="F55" s="320"/>
      <c r="G55" s="320"/>
      <c r="H55" s="320"/>
      <c r="I55" s="320"/>
      <c r="J55" s="320"/>
    </row>
    <row r="56" spans="1:10" x14ac:dyDescent="0.25">
      <c r="A56" s="92" t="s">
        <v>211</v>
      </c>
      <c r="B56" s="133" t="s">
        <v>215</v>
      </c>
      <c r="C56" s="133" t="s">
        <v>216</v>
      </c>
      <c r="D56" s="133" t="s">
        <v>217</v>
      </c>
      <c r="E56" s="133">
        <v>2018</v>
      </c>
      <c r="F56" s="320"/>
      <c r="G56" s="320"/>
      <c r="H56" s="320"/>
      <c r="I56" s="320"/>
      <c r="J56" s="320"/>
    </row>
    <row r="57" spans="1:10" ht="15.75" thickBot="1" x14ac:dyDescent="0.3">
      <c r="A57" s="326" t="s">
        <v>218</v>
      </c>
      <c r="B57" s="110" t="s">
        <v>219</v>
      </c>
      <c r="C57" s="107" t="s">
        <v>220</v>
      </c>
      <c r="D57" s="110" t="s">
        <v>221</v>
      </c>
      <c r="E57" s="110">
        <v>2021</v>
      </c>
      <c r="F57" s="320"/>
      <c r="G57" s="320"/>
      <c r="H57" s="320"/>
      <c r="I57" s="320"/>
      <c r="J57" s="320"/>
    </row>
    <row r="58" spans="1:10" x14ac:dyDescent="0.25">
      <c r="A58" s="139"/>
      <c r="B58" s="105"/>
      <c r="C58" s="105"/>
      <c r="D58" s="105"/>
      <c r="E58" s="105"/>
      <c r="F58" s="320"/>
      <c r="G58" s="320"/>
      <c r="H58" s="320"/>
      <c r="I58" s="320"/>
      <c r="J58" s="320"/>
    </row>
    <row r="59" spans="1:10" ht="15.75" thickBot="1" x14ac:dyDescent="0.3">
      <c r="A59" s="320"/>
      <c r="B59" s="320"/>
      <c r="C59" s="320"/>
      <c r="D59" s="320"/>
      <c r="E59" s="320"/>
      <c r="F59" s="320"/>
      <c r="G59" s="320"/>
      <c r="H59" s="320"/>
      <c r="I59" s="320"/>
      <c r="J59" s="320"/>
    </row>
    <row r="60" spans="1:10" ht="15.75" thickBot="1" x14ac:dyDescent="0.3">
      <c r="A60" s="365" t="s">
        <v>222</v>
      </c>
      <c r="B60" s="366"/>
      <c r="C60" s="366"/>
      <c r="D60" s="366"/>
      <c r="E60" s="367"/>
      <c r="F60" s="320"/>
      <c r="G60" s="320"/>
      <c r="H60" s="320"/>
      <c r="I60" s="320"/>
      <c r="J60" s="320"/>
    </row>
    <row r="61" spans="1:10" ht="15.75" thickBot="1" x14ac:dyDescent="0.3">
      <c r="A61" s="320"/>
      <c r="B61" s="320"/>
      <c r="C61" s="320"/>
      <c r="D61" s="320"/>
      <c r="E61" s="320"/>
      <c r="F61" s="320"/>
      <c r="G61" s="320"/>
      <c r="H61" s="320"/>
      <c r="I61" s="320"/>
      <c r="J61" s="320"/>
    </row>
    <row r="62" spans="1:10" ht="15.75" thickBot="1" x14ac:dyDescent="0.3">
      <c r="A62" s="85" t="s">
        <v>79</v>
      </c>
      <c r="B62" s="85" t="s">
        <v>80</v>
      </c>
      <c r="C62" s="85" t="s">
        <v>81</v>
      </c>
      <c r="D62" s="85" t="s">
        <v>82</v>
      </c>
      <c r="E62" s="85" t="s">
        <v>83</v>
      </c>
      <c r="F62" s="320"/>
      <c r="G62" s="320"/>
      <c r="H62" s="320"/>
      <c r="I62" s="320"/>
      <c r="J62" s="320"/>
    </row>
    <row r="63" spans="1:10" x14ac:dyDescent="0.25">
      <c r="A63" s="140" t="s">
        <v>223</v>
      </c>
      <c r="B63" s="141" t="s">
        <v>224</v>
      </c>
      <c r="C63" s="115">
        <v>7167190</v>
      </c>
      <c r="D63" s="141" t="s">
        <v>225</v>
      </c>
      <c r="E63" s="115">
        <v>2013</v>
      </c>
      <c r="F63" s="320"/>
      <c r="G63" s="320"/>
      <c r="H63" s="320"/>
      <c r="I63" s="320"/>
      <c r="J63" s="320"/>
    </row>
    <row r="64" spans="1:10" x14ac:dyDescent="0.25">
      <c r="A64" s="96" t="s">
        <v>226</v>
      </c>
      <c r="B64" s="142" t="s">
        <v>227</v>
      </c>
      <c r="C64" s="143" t="s">
        <v>228</v>
      </c>
      <c r="D64" s="144" t="s">
        <v>229</v>
      </c>
      <c r="E64" s="145">
        <v>2013</v>
      </c>
      <c r="F64" s="320"/>
      <c r="G64" s="320"/>
      <c r="H64" s="320"/>
      <c r="I64" s="320"/>
      <c r="J64" s="320"/>
    </row>
    <row r="65" spans="1:10" x14ac:dyDescent="0.25">
      <c r="A65" s="102" t="s">
        <v>230</v>
      </c>
      <c r="B65" s="123" t="s">
        <v>231</v>
      </c>
      <c r="C65" s="100" t="s">
        <v>232</v>
      </c>
      <c r="D65" s="327" t="s">
        <v>233</v>
      </c>
      <c r="E65" s="100">
        <v>2016</v>
      </c>
      <c r="F65" s="320"/>
      <c r="G65" s="320"/>
      <c r="H65" s="320"/>
      <c r="I65" s="320"/>
      <c r="J65" s="320"/>
    </row>
    <row r="66" spans="1:10" x14ac:dyDescent="0.25">
      <c r="A66" s="328" t="s">
        <v>223</v>
      </c>
      <c r="B66" s="329" t="s">
        <v>234</v>
      </c>
      <c r="C66" s="95">
        <v>7250657</v>
      </c>
      <c r="D66" s="330" t="s">
        <v>235</v>
      </c>
      <c r="E66" s="95">
        <v>2016</v>
      </c>
      <c r="F66" s="320"/>
      <c r="G66" s="320"/>
      <c r="H66" s="320"/>
      <c r="I66" s="320"/>
      <c r="J66" s="320"/>
    </row>
    <row r="67" spans="1:10" ht="25.5" x14ac:dyDescent="0.25">
      <c r="A67" s="96" t="s">
        <v>236</v>
      </c>
      <c r="B67" s="123" t="s">
        <v>237</v>
      </c>
      <c r="C67" s="122" t="s">
        <v>238</v>
      </c>
      <c r="D67" s="146" t="s">
        <v>239</v>
      </c>
      <c r="E67" s="100">
        <v>2006</v>
      </c>
      <c r="F67" s="320"/>
      <c r="G67" s="320"/>
      <c r="H67" s="320"/>
      <c r="I67" s="320"/>
      <c r="J67" s="320"/>
    </row>
    <row r="68" spans="1:10" x14ac:dyDescent="0.25">
      <c r="A68" s="92" t="s">
        <v>240</v>
      </c>
      <c r="B68" s="147" t="s">
        <v>241</v>
      </c>
      <c r="C68" s="148" t="s">
        <v>242</v>
      </c>
      <c r="D68" s="149" t="s">
        <v>243</v>
      </c>
      <c r="E68" s="150">
        <v>2004</v>
      </c>
      <c r="F68" s="320"/>
      <c r="G68" s="320"/>
      <c r="H68" s="320"/>
      <c r="I68" s="320"/>
      <c r="J68" s="320"/>
    </row>
    <row r="69" spans="1:10" ht="15.75" thickBot="1" x14ac:dyDescent="0.3">
      <c r="A69" s="172" t="s">
        <v>218</v>
      </c>
      <c r="B69" s="151" t="s">
        <v>244</v>
      </c>
      <c r="C69" s="152" t="s">
        <v>245</v>
      </c>
      <c r="D69" s="153" t="s">
        <v>246</v>
      </c>
      <c r="E69" s="154">
        <v>2021</v>
      </c>
      <c r="F69" s="320"/>
      <c r="G69" s="320"/>
      <c r="H69" s="320"/>
      <c r="I69" s="320"/>
      <c r="J69" s="320"/>
    </row>
    <row r="70" spans="1:10" x14ac:dyDescent="0.25">
      <c r="A70" s="320"/>
      <c r="B70" s="320"/>
      <c r="C70" s="320"/>
      <c r="D70" s="320"/>
      <c r="E70" s="320"/>
      <c r="F70" s="320"/>
      <c r="G70" s="320"/>
      <c r="H70" s="320"/>
      <c r="I70" s="320"/>
      <c r="J70" s="320"/>
    </row>
    <row r="71" spans="1:10" ht="15.75" thickBot="1" x14ac:dyDescent="0.3">
      <c r="A71" s="320"/>
      <c r="B71" s="320"/>
      <c r="C71" s="320"/>
      <c r="D71" s="320"/>
      <c r="E71" s="320"/>
      <c r="F71" s="320"/>
      <c r="G71" s="320"/>
      <c r="H71" s="320"/>
      <c r="I71" s="320"/>
      <c r="J71" s="320"/>
    </row>
    <row r="72" spans="1:10" ht="15.75" thickBot="1" x14ac:dyDescent="0.3">
      <c r="A72" s="365" t="s">
        <v>247</v>
      </c>
      <c r="B72" s="366"/>
      <c r="C72" s="366"/>
      <c r="D72" s="366"/>
      <c r="E72" s="367"/>
      <c r="F72" s="320"/>
      <c r="G72" s="320"/>
      <c r="H72" s="320"/>
      <c r="I72" s="320"/>
      <c r="J72" s="320"/>
    </row>
    <row r="73" spans="1:10" ht="15.75" thickBot="1" x14ac:dyDescent="0.3">
      <c r="A73" s="320"/>
      <c r="B73" s="324"/>
      <c r="C73" s="320"/>
      <c r="D73" s="320"/>
      <c r="E73" s="320"/>
      <c r="F73" s="320"/>
      <c r="G73" s="320"/>
      <c r="H73" s="320"/>
      <c r="I73" s="320"/>
      <c r="J73" s="320"/>
    </row>
    <row r="74" spans="1:10" ht="15.75" thickBot="1" x14ac:dyDescent="0.3">
      <c r="A74" s="85" t="s">
        <v>79</v>
      </c>
      <c r="B74" s="85" t="s">
        <v>80</v>
      </c>
      <c r="C74" s="85" t="s">
        <v>81</v>
      </c>
      <c r="D74" s="85" t="s">
        <v>82</v>
      </c>
      <c r="E74" s="85" t="s">
        <v>83</v>
      </c>
      <c r="F74" s="320"/>
      <c r="G74" s="320"/>
      <c r="H74" s="320"/>
      <c r="I74" s="320"/>
      <c r="J74" s="320"/>
    </row>
    <row r="75" spans="1:10" x14ac:dyDescent="0.25">
      <c r="A75" s="117" t="s">
        <v>248</v>
      </c>
      <c r="B75" s="90" t="s">
        <v>249</v>
      </c>
      <c r="C75" s="87" t="s">
        <v>250</v>
      </c>
      <c r="D75" s="90" t="s">
        <v>251</v>
      </c>
      <c r="E75" s="90">
        <v>2012</v>
      </c>
      <c r="F75" s="320"/>
      <c r="G75" s="320"/>
      <c r="H75" s="320"/>
      <c r="I75" s="320"/>
      <c r="J75" s="320"/>
    </row>
    <row r="76" spans="1:10" x14ac:dyDescent="0.25">
      <c r="A76" s="120" t="s">
        <v>208</v>
      </c>
      <c r="B76" s="100" t="s">
        <v>252</v>
      </c>
      <c r="C76" s="97">
        <v>7250764</v>
      </c>
      <c r="D76" s="100" t="s">
        <v>253</v>
      </c>
      <c r="E76" s="100">
        <v>2016</v>
      </c>
      <c r="F76" s="320"/>
      <c r="G76" s="320"/>
      <c r="H76" s="320"/>
      <c r="I76" s="320"/>
      <c r="J76" s="320"/>
    </row>
    <row r="77" spans="1:10" x14ac:dyDescent="0.25">
      <c r="A77" s="155" t="s">
        <v>208</v>
      </c>
      <c r="B77" s="133" t="s">
        <v>254</v>
      </c>
      <c r="C77" s="93">
        <v>7250709</v>
      </c>
      <c r="D77" s="133" t="s">
        <v>255</v>
      </c>
      <c r="E77" s="133">
        <v>2016</v>
      </c>
      <c r="F77" s="320"/>
      <c r="G77" s="320"/>
      <c r="H77" s="320"/>
      <c r="I77" s="320"/>
      <c r="J77" s="320"/>
    </row>
    <row r="78" spans="1:10" x14ac:dyDescent="0.25">
      <c r="A78" s="120" t="s">
        <v>256</v>
      </c>
      <c r="B78" s="100" t="s">
        <v>257</v>
      </c>
      <c r="C78" s="97" t="s">
        <v>258</v>
      </c>
      <c r="D78" s="100" t="s">
        <v>259</v>
      </c>
      <c r="E78" s="100">
        <v>2020</v>
      </c>
      <c r="F78" s="320"/>
      <c r="G78" s="320"/>
      <c r="H78" s="320"/>
      <c r="I78" s="320"/>
      <c r="J78" s="320"/>
    </row>
    <row r="79" spans="1:10" ht="15.75" thickBot="1" x14ac:dyDescent="0.3">
      <c r="A79" s="106" t="s">
        <v>256</v>
      </c>
      <c r="B79" s="156" t="s">
        <v>260</v>
      </c>
      <c r="C79" s="201" t="s">
        <v>261</v>
      </c>
      <c r="D79" s="156" t="s">
        <v>262</v>
      </c>
      <c r="E79" s="156">
        <v>2020</v>
      </c>
      <c r="F79" s="320"/>
      <c r="G79" s="320"/>
      <c r="H79" s="320"/>
      <c r="I79" s="320"/>
      <c r="J79" s="320"/>
    </row>
    <row r="80" spans="1:10" x14ac:dyDescent="0.25">
      <c r="A80" s="320"/>
      <c r="B80" s="320"/>
      <c r="C80" s="320"/>
      <c r="D80" s="320"/>
      <c r="E80" s="320"/>
      <c r="F80" s="320"/>
      <c r="G80" s="320"/>
      <c r="H80" s="320"/>
      <c r="I80" s="320"/>
      <c r="J80" s="320"/>
    </row>
    <row r="81" spans="1:10" ht="15.75" thickBot="1" x14ac:dyDescent="0.3">
      <c r="A81" s="320"/>
      <c r="B81" s="320"/>
      <c r="C81" s="320"/>
      <c r="D81" s="320"/>
      <c r="E81" s="320"/>
      <c r="F81" s="320"/>
      <c r="G81" s="320"/>
      <c r="H81" s="320"/>
      <c r="I81" s="320"/>
      <c r="J81" s="320"/>
    </row>
    <row r="82" spans="1:10" ht="15.75" thickBot="1" x14ac:dyDescent="0.3">
      <c r="A82" s="365" t="s">
        <v>263</v>
      </c>
      <c r="B82" s="366"/>
      <c r="C82" s="366"/>
      <c r="D82" s="366"/>
      <c r="E82" s="367"/>
      <c r="F82" s="320"/>
      <c r="G82" s="320"/>
      <c r="H82" s="320"/>
      <c r="I82" s="320"/>
      <c r="J82" s="320"/>
    </row>
    <row r="83" spans="1:10" ht="15.75" thickBot="1" x14ac:dyDescent="0.3">
      <c r="A83" s="320"/>
      <c r="B83" s="320"/>
      <c r="C83" s="324"/>
      <c r="D83" s="320"/>
      <c r="E83" s="320"/>
      <c r="F83" s="320"/>
      <c r="G83" s="320"/>
      <c r="H83" s="320"/>
      <c r="I83" s="320"/>
      <c r="J83" s="320"/>
    </row>
    <row r="84" spans="1:10" ht="15.75" thickBot="1" x14ac:dyDescent="0.3">
      <c r="A84" s="128" t="s">
        <v>79</v>
      </c>
      <c r="B84" s="128" t="s">
        <v>80</v>
      </c>
      <c r="C84" s="128" t="s">
        <v>81</v>
      </c>
      <c r="D84" s="128" t="s">
        <v>82</v>
      </c>
      <c r="E84" s="128" t="s">
        <v>83</v>
      </c>
      <c r="F84" s="320"/>
      <c r="G84" s="320"/>
      <c r="H84" s="320"/>
      <c r="I84" s="320"/>
      <c r="J84" s="320"/>
    </row>
    <row r="85" spans="1:10" x14ac:dyDescent="0.25">
      <c r="A85" s="157" t="s">
        <v>264</v>
      </c>
      <c r="B85" s="158" t="s">
        <v>161</v>
      </c>
      <c r="C85" s="159" t="s">
        <v>265</v>
      </c>
      <c r="D85" s="160" t="s">
        <v>266</v>
      </c>
      <c r="E85" s="158">
        <v>1997</v>
      </c>
      <c r="F85" s="320"/>
      <c r="G85" s="320"/>
      <c r="H85" s="320"/>
      <c r="I85" s="320"/>
      <c r="J85" s="320"/>
    </row>
    <row r="86" spans="1:10" x14ac:dyDescent="0.25">
      <c r="A86" s="161" t="s">
        <v>267</v>
      </c>
      <c r="B86" s="145" t="s">
        <v>268</v>
      </c>
      <c r="C86" s="162" t="s">
        <v>269</v>
      </c>
      <c r="D86" s="143" t="s">
        <v>270</v>
      </c>
      <c r="E86" s="145">
        <v>2013</v>
      </c>
      <c r="F86" s="320"/>
      <c r="G86" s="320"/>
      <c r="H86" s="320"/>
      <c r="I86" s="320"/>
      <c r="J86" s="320"/>
    </row>
    <row r="87" spans="1:10" x14ac:dyDescent="0.25">
      <c r="A87" s="163" t="s">
        <v>271</v>
      </c>
      <c r="B87" s="150" t="s">
        <v>272</v>
      </c>
      <c r="C87" s="164" t="s">
        <v>273</v>
      </c>
      <c r="D87" s="148" t="s">
        <v>274</v>
      </c>
      <c r="E87" s="150">
        <v>2013</v>
      </c>
      <c r="F87" s="320"/>
      <c r="G87" s="320"/>
      <c r="H87" s="320"/>
      <c r="I87" s="320"/>
      <c r="J87" s="320"/>
    </row>
    <row r="88" spans="1:10" x14ac:dyDescent="0.25">
      <c r="A88" s="163" t="s">
        <v>275</v>
      </c>
      <c r="B88" s="150" t="s">
        <v>276</v>
      </c>
      <c r="C88" s="164" t="s">
        <v>277</v>
      </c>
      <c r="D88" s="148" t="s">
        <v>278</v>
      </c>
      <c r="E88" s="150">
        <v>2007</v>
      </c>
      <c r="F88" s="320"/>
      <c r="G88" s="320"/>
      <c r="H88" s="320"/>
      <c r="I88" s="320"/>
      <c r="J88" s="320"/>
    </row>
    <row r="89" spans="1:10" x14ac:dyDescent="0.25">
      <c r="A89" s="161" t="s">
        <v>279</v>
      </c>
      <c r="B89" s="145" t="s">
        <v>280</v>
      </c>
      <c r="C89" s="162" t="s">
        <v>281</v>
      </c>
      <c r="D89" s="143" t="s">
        <v>282</v>
      </c>
      <c r="E89" s="145">
        <v>2012</v>
      </c>
      <c r="F89" s="320"/>
      <c r="G89" s="320"/>
      <c r="H89" s="320"/>
      <c r="I89" s="320"/>
      <c r="J89" s="320"/>
    </row>
    <row r="90" spans="1:10" x14ac:dyDescent="0.25">
      <c r="A90" s="163" t="s">
        <v>283</v>
      </c>
      <c r="B90" s="150" t="s">
        <v>284</v>
      </c>
      <c r="C90" s="93">
        <v>7187302</v>
      </c>
      <c r="D90" s="148" t="s">
        <v>285</v>
      </c>
      <c r="E90" s="150">
        <v>2014</v>
      </c>
      <c r="F90" s="320"/>
      <c r="G90" s="320"/>
      <c r="H90" s="320"/>
      <c r="I90" s="320"/>
      <c r="J90" s="320"/>
    </row>
    <row r="91" spans="1:10" x14ac:dyDescent="0.25">
      <c r="A91" s="161" t="s">
        <v>286</v>
      </c>
      <c r="B91" s="145" t="s">
        <v>287</v>
      </c>
      <c r="C91" s="97">
        <v>7250706</v>
      </c>
      <c r="D91" s="143" t="s">
        <v>288</v>
      </c>
      <c r="E91" s="145">
        <v>2016</v>
      </c>
      <c r="F91" s="320"/>
      <c r="G91" s="320"/>
      <c r="H91" s="320"/>
      <c r="I91" s="320"/>
      <c r="J91" s="320"/>
    </row>
    <row r="92" spans="1:10" x14ac:dyDescent="0.25">
      <c r="A92" s="165" t="s">
        <v>286</v>
      </c>
      <c r="B92" s="166" t="s">
        <v>289</v>
      </c>
      <c r="C92" s="105">
        <v>7250703</v>
      </c>
      <c r="D92" s="148" t="s">
        <v>290</v>
      </c>
      <c r="E92" s="166">
        <v>2016</v>
      </c>
      <c r="F92" s="320"/>
      <c r="G92" s="320"/>
      <c r="H92" s="320"/>
      <c r="I92" s="320"/>
      <c r="J92" s="320"/>
    </row>
    <row r="93" spans="1:10" x14ac:dyDescent="0.25">
      <c r="A93" s="120" t="s">
        <v>256</v>
      </c>
      <c r="B93" s="133" t="s">
        <v>291</v>
      </c>
      <c r="C93" s="93" t="s">
        <v>292</v>
      </c>
      <c r="D93" s="133" t="s">
        <v>293</v>
      </c>
      <c r="E93" s="133">
        <v>2020</v>
      </c>
      <c r="F93" s="320"/>
      <c r="G93" s="320"/>
      <c r="H93" s="320"/>
      <c r="I93" s="320"/>
      <c r="J93" s="320"/>
    </row>
    <row r="94" spans="1:10" ht="26.25" thickBot="1" x14ac:dyDescent="0.3">
      <c r="A94" s="167" t="s">
        <v>294</v>
      </c>
      <c r="B94" s="154" t="s">
        <v>295</v>
      </c>
      <c r="C94" s="168" t="s">
        <v>296</v>
      </c>
      <c r="D94" s="152" t="s">
        <v>297</v>
      </c>
      <c r="E94" s="154">
        <v>2020</v>
      </c>
      <c r="F94" s="320"/>
      <c r="G94" s="320"/>
      <c r="H94" s="320"/>
      <c r="I94" s="320"/>
      <c r="J94" s="320"/>
    </row>
    <row r="95" spans="1:10" x14ac:dyDescent="0.25">
      <c r="A95" s="320"/>
      <c r="B95" s="320"/>
      <c r="C95" s="320"/>
      <c r="D95" s="320"/>
      <c r="E95" s="320"/>
      <c r="F95" s="320"/>
      <c r="G95" s="320"/>
      <c r="H95" s="320"/>
      <c r="I95" s="320"/>
      <c r="J95" s="320"/>
    </row>
    <row r="96" spans="1:10" ht="15.75" thickBot="1" x14ac:dyDescent="0.3">
      <c r="A96" s="320"/>
      <c r="B96" s="320"/>
      <c r="C96" s="320"/>
      <c r="D96" s="320"/>
      <c r="E96" s="320"/>
      <c r="F96" s="320"/>
      <c r="G96" s="320"/>
      <c r="H96" s="320"/>
      <c r="I96" s="320"/>
      <c r="J96" s="320"/>
    </row>
    <row r="97" spans="1:10" ht="15.75" thickBot="1" x14ac:dyDescent="0.3">
      <c r="A97" s="365" t="s">
        <v>298</v>
      </c>
      <c r="B97" s="366"/>
      <c r="C97" s="366"/>
      <c r="D97" s="366"/>
      <c r="E97" s="367"/>
      <c r="F97" s="320"/>
      <c r="G97" s="320"/>
      <c r="H97" s="320"/>
      <c r="I97" s="320"/>
      <c r="J97" s="320"/>
    </row>
    <row r="98" spans="1:10" ht="15.75" thickBot="1" x14ac:dyDescent="0.3">
      <c r="A98" s="320"/>
      <c r="B98" s="320"/>
      <c r="C98" s="320"/>
      <c r="D98" s="320"/>
      <c r="E98" s="320"/>
      <c r="F98" s="320"/>
      <c r="G98" s="320"/>
      <c r="H98" s="320"/>
      <c r="I98" s="320"/>
      <c r="J98" s="320"/>
    </row>
    <row r="99" spans="1:10" ht="15.75" thickBot="1" x14ac:dyDescent="0.3">
      <c r="A99" s="85" t="s">
        <v>79</v>
      </c>
      <c r="B99" s="85" t="s">
        <v>80</v>
      </c>
      <c r="C99" s="85" t="s">
        <v>81</v>
      </c>
      <c r="D99" s="85" t="s">
        <v>82</v>
      </c>
      <c r="E99" s="85" t="s">
        <v>83</v>
      </c>
      <c r="F99" s="320"/>
      <c r="G99" s="320"/>
      <c r="H99" s="320"/>
      <c r="I99" s="320"/>
      <c r="J99" s="320"/>
    </row>
    <row r="100" spans="1:10" x14ac:dyDescent="0.25">
      <c r="A100" s="169" t="s">
        <v>299</v>
      </c>
      <c r="B100" s="170" t="s">
        <v>300</v>
      </c>
      <c r="C100" s="130">
        <v>7167125</v>
      </c>
      <c r="D100" s="170" t="s">
        <v>301</v>
      </c>
      <c r="E100" s="130">
        <v>2014</v>
      </c>
      <c r="F100" s="320"/>
      <c r="G100" s="320"/>
      <c r="H100" s="320"/>
      <c r="I100" s="320"/>
      <c r="J100" s="320"/>
    </row>
    <row r="101" spans="1:10" x14ac:dyDescent="0.25">
      <c r="A101" s="92" t="s">
        <v>302</v>
      </c>
      <c r="B101" s="93" t="s">
        <v>303</v>
      </c>
      <c r="C101" s="137" t="s">
        <v>304</v>
      </c>
      <c r="D101" s="171" t="s">
        <v>305</v>
      </c>
      <c r="E101" s="133">
        <v>2014</v>
      </c>
      <c r="F101" s="320"/>
      <c r="G101" s="320"/>
      <c r="H101" s="320"/>
      <c r="I101" s="320"/>
      <c r="J101" s="320"/>
    </row>
    <row r="102" spans="1:10" x14ac:dyDescent="0.25">
      <c r="A102" s="96" t="s">
        <v>306</v>
      </c>
      <c r="B102" s="97" t="s">
        <v>307</v>
      </c>
      <c r="C102" s="122" t="s">
        <v>308</v>
      </c>
      <c r="D102" s="97" t="s">
        <v>309</v>
      </c>
      <c r="E102" s="100">
        <v>2015</v>
      </c>
      <c r="F102" s="320"/>
      <c r="G102" s="320"/>
      <c r="H102" s="320"/>
      <c r="I102" s="320"/>
      <c r="J102" s="320"/>
    </row>
    <row r="103" spans="1:10" x14ac:dyDescent="0.25">
      <c r="A103" s="92" t="s">
        <v>299</v>
      </c>
      <c r="B103" s="93" t="s">
        <v>310</v>
      </c>
      <c r="C103" s="137" t="s">
        <v>311</v>
      </c>
      <c r="D103" s="171" t="s">
        <v>312</v>
      </c>
      <c r="E103" s="133">
        <v>2016</v>
      </c>
      <c r="F103" s="320"/>
      <c r="G103" s="320"/>
      <c r="H103" s="320"/>
      <c r="I103" s="320"/>
      <c r="J103" s="320"/>
    </row>
    <row r="104" spans="1:10" ht="15.75" thickBot="1" x14ac:dyDescent="0.3">
      <c r="A104" s="172" t="s">
        <v>313</v>
      </c>
      <c r="B104" s="107" t="s">
        <v>314</v>
      </c>
      <c r="C104" s="126" t="s">
        <v>315</v>
      </c>
      <c r="D104" s="125" t="s">
        <v>316</v>
      </c>
      <c r="E104" s="110">
        <v>2019</v>
      </c>
      <c r="F104" s="320"/>
      <c r="G104" s="320"/>
      <c r="H104" s="320"/>
      <c r="I104" s="320"/>
      <c r="J104" s="320"/>
    </row>
    <row r="105" spans="1:10" x14ac:dyDescent="0.25">
      <c r="A105" s="320"/>
      <c r="B105" s="320"/>
      <c r="C105" s="320"/>
      <c r="D105" s="320"/>
      <c r="E105" s="320"/>
      <c r="F105" s="320"/>
      <c r="G105" s="320"/>
      <c r="H105" s="320"/>
      <c r="I105" s="320"/>
      <c r="J105" s="320"/>
    </row>
    <row r="106" spans="1:10" ht="15.75" thickBot="1" x14ac:dyDescent="0.3">
      <c r="A106" s="111"/>
      <c r="B106" s="105"/>
      <c r="C106" s="185"/>
      <c r="D106" s="185"/>
      <c r="E106" s="105"/>
      <c r="F106" s="320"/>
      <c r="G106" s="320"/>
      <c r="H106" s="320"/>
      <c r="I106" s="320"/>
      <c r="J106" s="320"/>
    </row>
    <row r="107" spans="1:10" ht="15.75" thickBot="1" x14ac:dyDescent="0.3">
      <c r="A107" s="365" t="s">
        <v>317</v>
      </c>
      <c r="B107" s="366"/>
      <c r="C107" s="366"/>
      <c r="D107" s="366"/>
      <c r="E107" s="367"/>
      <c r="F107" s="320"/>
      <c r="G107" s="320"/>
      <c r="H107" s="320"/>
      <c r="I107" s="320"/>
      <c r="J107" s="320"/>
    </row>
    <row r="108" spans="1:10" ht="15.75" thickBot="1" x14ac:dyDescent="0.3">
      <c r="A108" s="320"/>
      <c r="B108" s="320"/>
      <c r="C108" s="320"/>
      <c r="D108" s="320"/>
      <c r="E108" s="320"/>
      <c r="F108" s="320"/>
      <c r="G108" s="320"/>
      <c r="H108" s="320"/>
      <c r="I108" s="320"/>
      <c r="J108" s="320"/>
    </row>
    <row r="109" spans="1:10" ht="15.75" thickBot="1" x14ac:dyDescent="0.3">
      <c r="A109" s="85" t="s">
        <v>79</v>
      </c>
      <c r="B109" s="85" t="s">
        <v>80</v>
      </c>
      <c r="C109" s="85" t="s">
        <v>81</v>
      </c>
      <c r="D109" s="85" t="s">
        <v>82</v>
      </c>
      <c r="E109" s="85" t="s">
        <v>83</v>
      </c>
      <c r="F109" s="320"/>
      <c r="G109" s="320"/>
      <c r="H109" s="320"/>
      <c r="I109" s="320"/>
      <c r="J109" s="320"/>
    </row>
    <row r="110" spans="1:10" x14ac:dyDescent="0.25">
      <c r="A110" s="331" t="s">
        <v>318</v>
      </c>
      <c r="B110" s="130" t="s">
        <v>319</v>
      </c>
      <c r="C110" s="170" t="s">
        <v>320</v>
      </c>
      <c r="D110" s="130" t="s">
        <v>321</v>
      </c>
      <c r="E110" s="130">
        <v>2007</v>
      </c>
      <c r="F110" s="320"/>
      <c r="G110" s="320"/>
      <c r="H110" s="320"/>
      <c r="I110" s="320"/>
      <c r="J110" s="320"/>
    </row>
    <row r="111" spans="1:10" x14ac:dyDescent="0.25">
      <c r="A111" s="332" t="s">
        <v>322</v>
      </c>
      <c r="B111" s="100" t="s">
        <v>295</v>
      </c>
      <c r="C111" s="97" t="s">
        <v>323</v>
      </c>
      <c r="D111" s="100" t="s">
        <v>324</v>
      </c>
      <c r="E111" s="100">
        <v>2003</v>
      </c>
      <c r="F111" s="320"/>
      <c r="G111" s="320"/>
      <c r="H111" s="320"/>
      <c r="I111" s="320"/>
      <c r="J111" s="320"/>
    </row>
    <row r="112" spans="1:10" x14ac:dyDescent="0.25">
      <c r="A112" s="139" t="s">
        <v>325</v>
      </c>
      <c r="B112" s="95" t="s">
        <v>326</v>
      </c>
      <c r="C112" s="105">
        <v>7155140</v>
      </c>
      <c r="D112" s="328" t="s">
        <v>327</v>
      </c>
      <c r="E112" s="95">
        <v>2013</v>
      </c>
      <c r="F112" s="320"/>
      <c r="G112" s="320"/>
      <c r="H112" s="320"/>
      <c r="I112" s="320"/>
      <c r="J112" s="320"/>
    </row>
    <row r="113" spans="1:10" x14ac:dyDescent="0.25">
      <c r="A113" s="332" t="s">
        <v>328</v>
      </c>
      <c r="B113" s="100" t="s">
        <v>329</v>
      </c>
      <c r="C113" s="97" t="s">
        <v>330</v>
      </c>
      <c r="D113" s="102" t="s">
        <v>331</v>
      </c>
      <c r="E113" s="100">
        <v>2016</v>
      </c>
      <c r="F113" s="320"/>
      <c r="G113" s="320"/>
      <c r="H113" s="320"/>
      <c r="I113" s="320"/>
      <c r="J113" s="320"/>
    </row>
    <row r="114" spans="1:10" x14ac:dyDescent="0.25">
      <c r="A114" s="332" t="s">
        <v>332</v>
      </c>
      <c r="B114" s="100" t="s">
        <v>333</v>
      </c>
      <c r="C114" s="97" t="s">
        <v>334</v>
      </c>
      <c r="D114" s="100" t="s">
        <v>335</v>
      </c>
      <c r="E114" s="100">
        <v>2006</v>
      </c>
      <c r="F114" s="320"/>
      <c r="G114" s="320"/>
      <c r="H114" s="320"/>
      <c r="I114" s="320"/>
      <c r="J114" s="320"/>
    </row>
    <row r="115" spans="1:10" x14ac:dyDescent="0.25">
      <c r="A115" s="333" t="s">
        <v>336</v>
      </c>
      <c r="B115" s="133" t="s">
        <v>337</v>
      </c>
      <c r="C115" s="93" t="s">
        <v>338</v>
      </c>
      <c r="D115" s="133" t="s">
        <v>339</v>
      </c>
      <c r="E115" s="133">
        <v>2017</v>
      </c>
      <c r="F115" s="320"/>
      <c r="G115" s="320"/>
      <c r="H115" s="320"/>
      <c r="I115" s="320"/>
      <c r="J115" s="320"/>
    </row>
    <row r="116" spans="1:10" x14ac:dyDescent="0.25">
      <c r="A116" s="333" t="s">
        <v>218</v>
      </c>
      <c r="B116" s="133" t="s">
        <v>340</v>
      </c>
      <c r="C116" s="93" t="s">
        <v>341</v>
      </c>
      <c r="D116" s="133" t="s">
        <v>342</v>
      </c>
      <c r="E116" s="133">
        <v>2021</v>
      </c>
      <c r="F116" s="320"/>
      <c r="G116" s="320"/>
      <c r="H116" s="320"/>
      <c r="I116" s="320"/>
      <c r="J116" s="320"/>
    </row>
    <row r="117" spans="1:10" ht="15.75" thickBot="1" x14ac:dyDescent="0.3">
      <c r="A117" s="106" t="s">
        <v>256</v>
      </c>
      <c r="B117" s="110" t="s">
        <v>343</v>
      </c>
      <c r="C117" s="107" t="s">
        <v>344</v>
      </c>
      <c r="D117" s="110" t="s">
        <v>345</v>
      </c>
      <c r="E117" s="110">
        <v>2020</v>
      </c>
      <c r="F117" s="320"/>
      <c r="G117" s="320"/>
      <c r="H117" s="320"/>
      <c r="I117" s="320"/>
      <c r="J117" s="320"/>
    </row>
    <row r="118" spans="1:10" ht="15.75" thickBot="1" x14ac:dyDescent="0.3">
      <c r="A118" s="139"/>
      <c r="B118" s="105"/>
      <c r="C118" s="105"/>
      <c r="D118" s="105"/>
      <c r="E118" s="105"/>
      <c r="F118" s="320"/>
      <c r="G118" s="320"/>
      <c r="H118" s="320"/>
      <c r="I118" s="320"/>
      <c r="J118" s="320"/>
    </row>
    <row r="119" spans="1:10" ht="15.75" thickBot="1" x14ac:dyDescent="0.3">
      <c r="A119" s="365" t="s">
        <v>346</v>
      </c>
      <c r="B119" s="366"/>
      <c r="C119" s="366"/>
      <c r="D119" s="366"/>
      <c r="E119" s="367"/>
      <c r="F119" s="320"/>
      <c r="G119" s="320"/>
      <c r="H119" s="320"/>
      <c r="I119" s="320"/>
      <c r="J119" s="320"/>
    </row>
    <row r="120" spans="1:10" ht="15.75" thickBot="1" x14ac:dyDescent="0.3">
      <c r="A120" s="320"/>
      <c r="B120" s="320"/>
      <c r="C120" s="324"/>
      <c r="D120" s="320"/>
      <c r="E120" s="320"/>
      <c r="F120" s="320"/>
      <c r="G120" s="320"/>
      <c r="H120" s="320"/>
      <c r="I120" s="320"/>
      <c r="J120" s="320"/>
    </row>
    <row r="121" spans="1:10" ht="15.75" thickBot="1" x14ac:dyDescent="0.3">
      <c r="A121" s="85" t="s">
        <v>79</v>
      </c>
      <c r="B121" s="85" t="s">
        <v>80</v>
      </c>
      <c r="C121" s="85" t="s">
        <v>81</v>
      </c>
      <c r="D121" s="85" t="s">
        <v>82</v>
      </c>
      <c r="E121" s="85" t="s">
        <v>83</v>
      </c>
      <c r="F121" s="320"/>
      <c r="G121" s="320"/>
      <c r="H121" s="320"/>
      <c r="I121" s="320"/>
      <c r="J121" s="320"/>
    </row>
    <row r="122" spans="1:10" x14ac:dyDescent="0.25">
      <c r="A122" s="173" t="s">
        <v>347</v>
      </c>
      <c r="B122" s="130" t="s">
        <v>348</v>
      </c>
      <c r="C122" s="174" t="s">
        <v>349</v>
      </c>
      <c r="D122" s="175" t="s">
        <v>350</v>
      </c>
      <c r="E122" s="130">
        <v>2013</v>
      </c>
      <c r="F122" s="320"/>
      <c r="G122" s="320"/>
      <c r="H122" s="320"/>
      <c r="I122" s="320"/>
      <c r="J122" s="320"/>
    </row>
    <row r="123" spans="1:10" x14ac:dyDescent="0.25">
      <c r="A123" s="96" t="s">
        <v>351</v>
      </c>
      <c r="B123" s="100" t="s">
        <v>352</v>
      </c>
      <c r="C123" s="146" t="s">
        <v>353</v>
      </c>
      <c r="D123" s="176" t="s">
        <v>354</v>
      </c>
      <c r="E123" s="100">
        <v>2013</v>
      </c>
      <c r="F123" s="320"/>
      <c r="G123" s="320"/>
      <c r="H123" s="320"/>
      <c r="I123" s="320"/>
      <c r="J123" s="320"/>
    </row>
    <row r="124" spans="1:10" x14ac:dyDescent="0.25">
      <c r="A124" s="92" t="s">
        <v>355</v>
      </c>
      <c r="B124" s="133" t="s">
        <v>356</v>
      </c>
      <c r="C124" s="177" t="s">
        <v>357</v>
      </c>
      <c r="D124" s="178" t="s">
        <v>358</v>
      </c>
      <c r="E124" s="133">
        <v>2016</v>
      </c>
      <c r="F124" s="320"/>
      <c r="G124" s="320"/>
      <c r="H124" s="320"/>
      <c r="I124" s="320"/>
      <c r="J124" s="320"/>
    </row>
    <row r="125" spans="1:10" x14ac:dyDescent="0.25">
      <c r="A125" s="132" t="s">
        <v>359</v>
      </c>
      <c r="B125" s="133" t="s">
        <v>295</v>
      </c>
      <c r="C125" s="179" t="s">
        <v>360</v>
      </c>
      <c r="D125" s="180" t="s">
        <v>361</v>
      </c>
      <c r="E125" s="133">
        <v>1995</v>
      </c>
      <c r="F125" s="320"/>
      <c r="G125" s="320"/>
      <c r="H125" s="320"/>
      <c r="I125" s="320"/>
      <c r="J125" s="320"/>
    </row>
    <row r="126" spans="1:10" x14ac:dyDescent="0.25">
      <c r="A126" s="102" t="s">
        <v>362</v>
      </c>
      <c r="B126" s="133" t="s">
        <v>295</v>
      </c>
      <c r="C126" s="122" t="s">
        <v>363</v>
      </c>
      <c r="D126" s="176" t="s">
        <v>364</v>
      </c>
      <c r="E126" s="100">
        <v>1997</v>
      </c>
      <c r="F126" s="320"/>
      <c r="G126" s="320"/>
      <c r="H126" s="320"/>
      <c r="I126" s="320"/>
      <c r="J126" s="320"/>
    </row>
    <row r="127" spans="1:10" x14ac:dyDescent="0.25">
      <c r="A127" s="86" t="s">
        <v>365</v>
      </c>
      <c r="B127" s="100" t="s">
        <v>366</v>
      </c>
      <c r="C127" s="181" t="s">
        <v>367</v>
      </c>
      <c r="D127" s="182" t="s">
        <v>368</v>
      </c>
      <c r="E127" s="90">
        <v>2007</v>
      </c>
      <c r="F127" s="320"/>
      <c r="G127" s="320"/>
      <c r="H127" s="320"/>
      <c r="I127" s="320"/>
      <c r="J127" s="320"/>
    </row>
    <row r="128" spans="1:10" x14ac:dyDescent="0.25">
      <c r="A128" s="132" t="s">
        <v>369</v>
      </c>
      <c r="B128" s="133" t="s">
        <v>370</v>
      </c>
      <c r="C128" s="183">
        <v>40704149219</v>
      </c>
      <c r="D128" s="180" t="s">
        <v>371</v>
      </c>
      <c r="E128" s="133">
        <v>2006</v>
      </c>
      <c r="F128" s="320"/>
      <c r="G128" s="320"/>
      <c r="H128" s="320"/>
      <c r="I128" s="320"/>
      <c r="J128" s="320"/>
    </row>
    <row r="129" spans="1:10" ht="15.75" thickBot="1" x14ac:dyDescent="0.3">
      <c r="A129" s="106" t="s">
        <v>372</v>
      </c>
      <c r="B129" s="110" t="s">
        <v>373</v>
      </c>
      <c r="C129" s="184" t="s">
        <v>374</v>
      </c>
      <c r="D129" s="125" t="s">
        <v>375</v>
      </c>
      <c r="E129" s="110">
        <v>2020</v>
      </c>
      <c r="F129" s="320"/>
      <c r="G129" s="320"/>
      <c r="H129" s="320"/>
      <c r="I129" s="320"/>
      <c r="J129" s="320"/>
    </row>
    <row r="130" spans="1:10" x14ac:dyDescent="0.25">
      <c r="A130" s="139"/>
      <c r="B130" s="105"/>
      <c r="C130" s="105"/>
      <c r="D130" s="105"/>
      <c r="E130" s="105"/>
      <c r="F130" s="320"/>
      <c r="G130" s="320"/>
      <c r="H130" s="320"/>
      <c r="I130" s="320"/>
      <c r="J130" s="320"/>
    </row>
    <row r="131" spans="1:10" ht="15.75" thickBot="1" x14ac:dyDescent="0.3">
      <c r="A131" s="139"/>
      <c r="B131" s="105"/>
      <c r="C131" s="105"/>
      <c r="D131" s="105"/>
      <c r="E131" s="105"/>
      <c r="F131" s="320"/>
      <c r="G131" s="320"/>
      <c r="H131" s="320"/>
      <c r="I131" s="320"/>
      <c r="J131" s="320"/>
    </row>
    <row r="132" spans="1:10" ht="15.75" thickBot="1" x14ac:dyDescent="0.3">
      <c r="A132" s="365" t="s">
        <v>376</v>
      </c>
      <c r="B132" s="366"/>
      <c r="C132" s="366"/>
      <c r="D132" s="366"/>
      <c r="E132" s="367"/>
      <c r="F132" s="320"/>
      <c r="G132" s="320"/>
      <c r="H132" s="320"/>
      <c r="I132" s="320"/>
      <c r="J132" s="320"/>
    </row>
    <row r="133" spans="1:10" ht="15.75" thickBot="1" x14ac:dyDescent="0.3">
      <c r="A133" s="111"/>
      <c r="B133" s="111"/>
      <c r="C133" s="105"/>
      <c r="D133" s="185"/>
      <c r="E133" s="185"/>
      <c r="F133" s="320"/>
      <c r="G133" s="320"/>
      <c r="H133" s="320"/>
      <c r="I133" s="320"/>
      <c r="J133" s="320"/>
    </row>
    <row r="134" spans="1:10" x14ac:dyDescent="0.25">
      <c r="A134" s="140" t="s">
        <v>377</v>
      </c>
      <c r="B134" s="116" t="s">
        <v>378</v>
      </c>
      <c r="C134" s="115" t="s">
        <v>379</v>
      </c>
      <c r="D134" s="116" t="s">
        <v>380</v>
      </c>
      <c r="E134" s="115">
        <v>2015</v>
      </c>
      <c r="F134" s="320"/>
      <c r="G134" s="320"/>
      <c r="H134" s="320"/>
      <c r="I134" s="320"/>
      <c r="J134" s="320"/>
    </row>
    <row r="135" spans="1:10" x14ac:dyDescent="0.25">
      <c r="A135" s="132" t="s">
        <v>381</v>
      </c>
      <c r="B135" s="93" t="s">
        <v>382</v>
      </c>
      <c r="C135" s="137" t="s">
        <v>383</v>
      </c>
      <c r="D135" s="171" t="s">
        <v>384</v>
      </c>
      <c r="E135" s="133">
        <v>2013</v>
      </c>
      <c r="F135" s="320"/>
      <c r="G135" s="320"/>
      <c r="H135" s="320"/>
      <c r="I135" s="320"/>
      <c r="J135" s="320"/>
    </row>
    <row r="136" spans="1:10" x14ac:dyDescent="0.25">
      <c r="A136" s="92" t="s">
        <v>385</v>
      </c>
      <c r="B136" s="93" t="s">
        <v>386</v>
      </c>
      <c r="C136" s="137" t="s">
        <v>387</v>
      </c>
      <c r="D136" s="171" t="s">
        <v>388</v>
      </c>
      <c r="E136" s="133">
        <v>2008</v>
      </c>
      <c r="F136" s="320"/>
      <c r="G136" s="320"/>
      <c r="H136" s="320"/>
      <c r="I136" s="320"/>
      <c r="J136" s="320"/>
    </row>
    <row r="137" spans="1:10" x14ac:dyDescent="0.25">
      <c r="A137" s="96" t="s">
        <v>389</v>
      </c>
      <c r="B137" s="186" t="s">
        <v>390</v>
      </c>
      <c r="C137" s="145" t="s">
        <v>391</v>
      </c>
      <c r="D137" s="186" t="s">
        <v>392</v>
      </c>
      <c r="E137" s="145">
        <v>2014</v>
      </c>
      <c r="F137" s="320"/>
      <c r="G137" s="320"/>
      <c r="H137" s="320"/>
      <c r="I137" s="320"/>
      <c r="J137" s="320"/>
    </row>
    <row r="138" spans="1:10" x14ac:dyDescent="0.25">
      <c r="A138" s="96" t="s">
        <v>385</v>
      </c>
      <c r="B138" s="97" t="s">
        <v>393</v>
      </c>
      <c r="C138" s="122" t="s">
        <v>394</v>
      </c>
      <c r="D138" s="121" t="s">
        <v>395</v>
      </c>
      <c r="E138" s="100">
        <v>2004</v>
      </c>
      <c r="F138" s="320"/>
      <c r="G138" s="320"/>
      <c r="H138" s="320"/>
      <c r="I138" s="320"/>
      <c r="J138" s="320"/>
    </row>
    <row r="139" spans="1:10" x14ac:dyDescent="0.25">
      <c r="A139" s="102" t="s">
        <v>396</v>
      </c>
      <c r="B139" s="97" t="s">
        <v>397</v>
      </c>
      <c r="C139" s="122" t="s">
        <v>398</v>
      </c>
      <c r="D139" s="121" t="s">
        <v>399</v>
      </c>
      <c r="E139" s="100">
        <v>2008</v>
      </c>
      <c r="F139" s="320"/>
      <c r="G139" s="320"/>
      <c r="H139" s="320"/>
      <c r="I139" s="320"/>
      <c r="J139" s="320"/>
    </row>
    <row r="140" spans="1:10" x14ac:dyDescent="0.25">
      <c r="A140" s="102" t="s">
        <v>359</v>
      </c>
      <c r="B140" s="97" t="s">
        <v>400</v>
      </c>
      <c r="C140" s="122" t="s">
        <v>401</v>
      </c>
      <c r="D140" s="121" t="s">
        <v>402</v>
      </c>
      <c r="E140" s="100">
        <v>1990</v>
      </c>
      <c r="F140" s="320"/>
      <c r="G140" s="320"/>
      <c r="H140" s="320"/>
      <c r="I140" s="320"/>
      <c r="J140" s="320"/>
    </row>
    <row r="141" spans="1:10" x14ac:dyDescent="0.25">
      <c r="A141" s="92" t="s">
        <v>403</v>
      </c>
      <c r="B141" s="93" t="s">
        <v>404</v>
      </c>
      <c r="C141" s="137" t="s">
        <v>405</v>
      </c>
      <c r="D141" s="171" t="s">
        <v>406</v>
      </c>
      <c r="E141" s="133">
        <v>2005</v>
      </c>
      <c r="F141" s="320"/>
      <c r="G141" s="320"/>
      <c r="H141" s="320"/>
      <c r="I141" s="320"/>
      <c r="J141" s="320"/>
    </row>
    <row r="142" spans="1:10" x14ac:dyDescent="0.25">
      <c r="A142" s="96" t="s">
        <v>403</v>
      </c>
      <c r="B142" s="97" t="s">
        <v>407</v>
      </c>
      <c r="C142" s="122" t="s">
        <v>408</v>
      </c>
      <c r="D142" s="121" t="s">
        <v>409</v>
      </c>
      <c r="E142" s="100">
        <v>2005</v>
      </c>
      <c r="F142" s="320"/>
      <c r="G142" s="320"/>
      <c r="H142" s="320"/>
      <c r="I142" s="320"/>
      <c r="J142" s="320"/>
    </row>
    <row r="143" spans="1:10" x14ac:dyDescent="0.25">
      <c r="A143" s="132" t="s">
        <v>381</v>
      </c>
      <c r="B143" s="93" t="s">
        <v>410</v>
      </c>
      <c r="C143" s="137" t="s">
        <v>411</v>
      </c>
      <c r="D143" s="171" t="s">
        <v>412</v>
      </c>
      <c r="E143" s="133">
        <v>2013</v>
      </c>
      <c r="F143" s="320"/>
      <c r="G143" s="320"/>
      <c r="H143" s="320"/>
      <c r="I143" s="320"/>
      <c r="J143" s="320"/>
    </row>
    <row r="144" spans="1:10" x14ac:dyDescent="0.25">
      <c r="A144" s="102" t="s">
        <v>359</v>
      </c>
      <c r="B144" s="97" t="s">
        <v>413</v>
      </c>
      <c r="C144" s="122" t="s">
        <v>414</v>
      </c>
      <c r="D144" s="121" t="s">
        <v>415</v>
      </c>
      <c r="E144" s="100">
        <v>1985</v>
      </c>
      <c r="F144" s="320"/>
      <c r="G144" s="320"/>
      <c r="H144" s="320"/>
      <c r="I144" s="320"/>
      <c r="J144" s="320"/>
    </row>
    <row r="145" spans="1:10" x14ac:dyDescent="0.25">
      <c r="A145" s="86" t="s">
        <v>359</v>
      </c>
      <c r="B145" s="87" t="s">
        <v>295</v>
      </c>
      <c r="C145" s="187" t="s">
        <v>416</v>
      </c>
      <c r="D145" s="188" t="s">
        <v>417</v>
      </c>
      <c r="E145" s="90">
        <v>1994</v>
      </c>
      <c r="F145" s="320"/>
      <c r="G145" s="320"/>
      <c r="H145" s="320"/>
      <c r="I145" s="320"/>
      <c r="J145" s="320"/>
    </row>
    <row r="146" spans="1:10" x14ac:dyDescent="0.25">
      <c r="A146" s="103" t="s">
        <v>418</v>
      </c>
      <c r="B146" s="97" t="s">
        <v>295</v>
      </c>
      <c r="C146" s="122" t="s">
        <v>419</v>
      </c>
      <c r="D146" s="121" t="s">
        <v>420</v>
      </c>
      <c r="E146" s="100">
        <v>2008</v>
      </c>
      <c r="F146" s="320"/>
      <c r="G146" s="320"/>
      <c r="H146" s="320"/>
      <c r="I146" s="320"/>
      <c r="J146" s="320"/>
    </row>
    <row r="147" spans="1:10" x14ac:dyDescent="0.25">
      <c r="A147" s="193" t="s">
        <v>299</v>
      </c>
      <c r="B147" s="93" t="s">
        <v>421</v>
      </c>
      <c r="C147" s="137" t="s">
        <v>422</v>
      </c>
      <c r="D147" s="171" t="s">
        <v>423</v>
      </c>
      <c r="E147" s="133">
        <v>2016</v>
      </c>
      <c r="F147" s="320"/>
      <c r="G147" s="320"/>
      <c r="H147" s="320"/>
      <c r="I147" s="320"/>
      <c r="J147" s="320"/>
    </row>
    <row r="148" spans="1:10" x14ac:dyDescent="0.25">
      <c r="A148" s="132" t="s">
        <v>359</v>
      </c>
      <c r="B148" s="93" t="s">
        <v>424</v>
      </c>
      <c r="C148" s="137" t="s">
        <v>425</v>
      </c>
      <c r="D148" s="171" t="s">
        <v>426</v>
      </c>
      <c r="E148" s="133">
        <v>1995</v>
      </c>
      <c r="F148" s="320"/>
      <c r="G148" s="320"/>
      <c r="H148" s="320"/>
      <c r="I148" s="320"/>
      <c r="J148" s="320"/>
    </row>
    <row r="149" spans="1:10" x14ac:dyDescent="0.25">
      <c r="A149" s="102" t="s">
        <v>427</v>
      </c>
      <c r="B149" s="97" t="s">
        <v>428</v>
      </c>
      <c r="C149" s="122" t="s">
        <v>429</v>
      </c>
      <c r="D149" s="121" t="s">
        <v>430</v>
      </c>
      <c r="E149" s="100">
        <v>2003</v>
      </c>
      <c r="F149" s="320"/>
      <c r="G149" s="320"/>
      <c r="H149" s="320"/>
      <c r="I149" s="320"/>
      <c r="J149" s="320"/>
    </row>
    <row r="150" spans="1:10" x14ac:dyDescent="0.25">
      <c r="A150" s="102" t="s">
        <v>431</v>
      </c>
      <c r="B150" s="97" t="s">
        <v>295</v>
      </c>
      <c r="C150" s="122" t="s">
        <v>432</v>
      </c>
      <c r="D150" s="121" t="s">
        <v>433</v>
      </c>
      <c r="E150" s="100">
        <v>1998</v>
      </c>
      <c r="F150" s="320"/>
      <c r="G150" s="320"/>
      <c r="H150" s="320"/>
      <c r="I150" s="320"/>
      <c r="J150" s="320"/>
    </row>
    <row r="151" spans="1:10" x14ac:dyDescent="0.25">
      <c r="A151" s="132" t="s">
        <v>359</v>
      </c>
      <c r="B151" s="93" t="s">
        <v>434</v>
      </c>
      <c r="C151" s="137" t="s">
        <v>435</v>
      </c>
      <c r="D151" s="171" t="s">
        <v>436</v>
      </c>
      <c r="E151" s="133">
        <v>1989</v>
      </c>
      <c r="F151" s="320"/>
      <c r="G151" s="320"/>
      <c r="H151" s="320"/>
      <c r="I151" s="320"/>
      <c r="J151" s="320"/>
    </row>
    <row r="152" spans="1:10" x14ac:dyDescent="0.25">
      <c r="A152" s="96" t="s">
        <v>437</v>
      </c>
      <c r="B152" s="93" t="s">
        <v>438</v>
      </c>
      <c r="C152" s="137" t="s">
        <v>439</v>
      </c>
      <c r="D152" s="171" t="s">
        <v>440</v>
      </c>
      <c r="E152" s="133">
        <v>2017</v>
      </c>
      <c r="F152" s="320"/>
      <c r="G152" s="320"/>
      <c r="H152" s="320"/>
      <c r="I152" s="320"/>
      <c r="J152" s="320"/>
    </row>
    <row r="153" spans="1:10" x14ac:dyDescent="0.25">
      <c r="A153" s="104" t="s">
        <v>294</v>
      </c>
      <c r="B153" s="189" t="s">
        <v>441</v>
      </c>
      <c r="C153" s="133" t="s">
        <v>442</v>
      </c>
      <c r="D153" s="164" t="s">
        <v>443</v>
      </c>
      <c r="E153" s="150">
        <v>2021</v>
      </c>
      <c r="F153" s="320"/>
      <c r="G153" s="320"/>
      <c r="H153" s="320"/>
      <c r="I153" s="320"/>
      <c r="J153" s="320"/>
    </row>
    <row r="154" spans="1:10" ht="15.75" thickBot="1" x14ac:dyDescent="0.3">
      <c r="A154" s="172" t="s">
        <v>437</v>
      </c>
      <c r="B154" s="190" t="s">
        <v>444</v>
      </c>
      <c r="C154" s="110" t="s">
        <v>445</v>
      </c>
      <c r="D154" s="191" t="s">
        <v>446</v>
      </c>
      <c r="E154" s="154">
        <v>2020</v>
      </c>
      <c r="F154" s="320"/>
      <c r="G154" s="320"/>
      <c r="H154" s="320"/>
      <c r="I154" s="320"/>
      <c r="J154" s="320"/>
    </row>
    <row r="155" spans="1:10" ht="15.75" thickBot="1" x14ac:dyDescent="0.3">
      <c r="A155" s="320"/>
      <c r="B155" s="320"/>
      <c r="C155" s="320"/>
      <c r="D155" s="320"/>
      <c r="E155" s="320"/>
      <c r="F155" s="320"/>
      <c r="G155" s="320"/>
      <c r="H155" s="320"/>
      <c r="I155" s="320"/>
      <c r="J155" s="320"/>
    </row>
    <row r="156" spans="1:10" ht="15.75" thickBot="1" x14ac:dyDescent="0.3">
      <c r="A156" s="365" t="s">
        <v>447</v>
      </c>
      <c r="B156" s="366"/>
      <c r="C156" s="366"/>
      <c r="D156" s="366"/>
      <c r="E156" s="367"/>
      <c r="F156" s="320"/>
      <c r="G156" s="320"/>
      <c r="H156" s="320"/>
      <c r="I156" s="320"/>
      <c r="J156" s="320"/>
    </row>
    <row r="157" spans="1:10" ht="15.75" thickBot="1" x14ac:dyDescent="0.3">
      <c r="A157" s="320"/>
      <c r="B157" s="320"/>
      <c r="C157" s="320"/>
      <c r="D157" s="320"/>
      <c r="E157" s="320"/>
      <c r="F157" s="320"/>
      <c r="G157" s="320"/>
      <c r="H157" s="320"/>
      <c r="I157" s="320"/>
      <c r="J157" s="320"/>
    </row>
    <row r="158" spans="1:10" ht="15.75" thickBot="1" x14ac:dyDescent="0.3">
      <c r="A158" s="85" t="s">
        <v>79</v>
      </c>
      <c r="B158" s="85" t="s">
        <v>80</v>
      </c>
      <c r="C158" s="85" t="s">
        <v>81</v>
      </c>
      <c r="D158" s="85" t="s">
        <v>82</v>
      </c>
      <c r="E158" s="85" t="s">
        <v>83</v>
      </c>
      <c r="F158" s="320"/>
      <c r="G158" s="320"/>
      <c r="H158" s="320"/>
      <c r="I158" s="320"/>
      <c r="J158" s="320"/>
    </row>
    <row r="159" spans="1:10" x14ac:dyDescent="0.25">
      <c r="A159" s="92" t="s">
        <v>448</v>
      </c>
      <c r="B159" s="189" t="s">
        <v>449</v>
      </c>
      <c r="C159" s="148" t="s">
        <v>450</v>
      </c>
      <c r="D159" s="164" t="s">
        <v>451</v>
      </c>
      <c r="E159" s="150">
        <v>2000</v>
      </c>
      <c r="F159" s="320"/>
      <c r="G159" s="320"/>
      <c r="H159" s="320"/>
      <c r="I159" s="320"/>
      <c r="J159" s="320"/>
    </row>
    <row r="160" spans="1:10" x14ac:dyDescent="0.25">
      <c r="A160" s="96" t="s">
        <v>452</v>
      </c>
      <c r="B160" s="186" t="s">
        <v>453</v>
      </c>
      <c r="C160" s="145" t="s">
        <v>454</v>
      </c>
      <c r="D160" s="186" t="s">
        <v>455</v>
      </c>
      <c r="E160" s="145">
        <v>2006</v>
      </c>
      <c r="F160" s="320"/>
      <c r="G160" s="320"/>
      <c r="H160" s="320"/>
      <c r="I160" s="320"/>
      <c r="J160" s="320"/>
    </row>
    <row r="161" spans="1:10" x14ac:dyDescent="0.25">
      <c r="A161" s="132" t="s">
        <v>456</v>
      </c>
      <c r="B161" s="93" t="s">
        <v>457</v>
      </c>
      <c r="C161" s="192" t="s">
        <v>458</v>
      </c>
      <c r="D161" s="171" t="s">
        <v>459</v>
      </c>
      <c r="E161" s="133">
        <v>2006</v>
      </c>
      <c r="F161" s="320"/>
      <c r="G161" s="320"/>
      <c r="H161" s="320"/>
      <c r="I161" s="320"/>
      <c r="J161" s="320"/>
    </row>
    <row r="162" spans="1:10" x14ac:dyDescent="0.25">
      <c r="A162" s="96" t="s">
        <v>460</v>
      </c>
      <c r="B162" s="186" t="s">
        <v>461</v>
      </c>
      <c r="C162" s="145" t="s">
        <v>462</v>
      </c>
      <c r="D162" s="186" t="s">
        <v>463</v>
      </c>
      <c r="E162" s="145">
        <v>2007</v>
      </c>
      <c r="F162" s="320"/>
      <c r="G162" s="320"/>
      <c r="H162" s="320"/>
      <c r="I162" s="320"/>
      <c r="J162" s="320"/>
    </row>
    <row r="163" spans="1:10" x14ac:dyDescent="0.25">
      <c r="A163" s="92" t="s">
        <v>464</v>
      </c>
      <c r="B163" s="93" t="s">
        <v>465</v>
      </c>
      <c r="C163" s="133" t="s">
        <v>466</v>
      </c>
      <c r="D163" s="93" t="s">
        <v>467</v>
      </c>
      <c r="E163" s="133">
        <v>2011</v>
      </c>
      <c r="F163" s="320"/>
      <c r="G163" s="320"/>
      <c r="H163" s="320"/>
      <c r="I163" s="320"/>
      <c r="J163" s="320"/>
    </row>
    <row r="164" spans="1:10" x14ac:dyDescent="0.25">
      <c r="A164" s="92" t="s">
        <v>148</v>
      </c>
      <c r="B164" s="189" t="s">
        <v>468</v>
      </c>
      <c r="C164" s="148" t="s">
        <v>469</v>
      </c>
      <c r="D164" s="164" t="s">
        <v>470</v>
      </c>
      <c r="E164" s="150">
        <v>2013</v>
      </c>
      <c r="F164" s="320"/>
      <c r="G164" s="320"/>
      <c r="H164" s="320"/>
      <c r="I164" s="320"/>
      <c r="J164" s="320"/>
    </row>
    <row r="165" spans="1:10" x14ac:dyDescent="0.25">
      <c r="A165" s="96" t="s">
        <v>471</v>
      </c>
      <c r="B165" s="186" t="s">
        <v>472</v>
      </c>
      <c r="C165" s="143" t="s">
        <v>473</v>
      </c>
      <c r="D165" s="162" t="s">
        <v>474</v>
      </c>
      <c r="E165" s="145">
        <v>2014</v>
      </c>
      <c r="F165" s="320"/>
      <c r="G165" s="320"/>
      <c r="H165" s="320"/>
      <c r="I165" s="320"/>
      <c r="J165" s="320"/>
    </row>
    <row r="166" spans="1:10" x14ac:dyDescent="0.25">
      <c r="A166" s="92" t="s">
        <v>475</v>
      </c>
      <c r="B166" s="189" t="s">
        <v>476</v>
      </c>
      <c r="C166" s="148" t="s">
        <v>477</v>
      </c>
      <c r="D166" s="164" t="s">
        <v>478</v>
      </c>
      <c r="E166" s="150">
        <v>2014</v>
      </c>
      <c r="F166" s="320"/>
      <c r="G166" s="320"/>
      <c r="H166" s="320"/>
      <c r="I166" s="320"/>
      <c r="J166" s="320"/>
    </row>
    <row r="167" spans="1:10" x14ac:dyDescent="0.25">
      <c r="A167" s="193" t="s">
        <v>299</v>
      </c>
      <c r="B167" s="133" t="s">
        <v>479</v>
      </c>
      <c r="C167" s="137" t="s">
        <v>480</v>
      </c>
      <c r="D167" s="137" t="s">
        <v>481</v>
      </c>
      <c r="E167" s="133">
        <v>2016</v>
      </c>
      <c r="F167" s="320"/>
      <c r="G167" s="320"/>
      <c r="H167" s="320"/>
      <c r="I167" s="320"/>
      <c r="J167" s="320"/>
    </row>
    <row r="168" spans="1:10" x14ac:dyDescent="0.25">
      <c r="A168" s="194" t="s">
        <v>482</v>
      </c>
      <c r="B168" s="133" t="s">
        <v>483</v>
      </c>
      <c r="C168" s="171" t="s">
        <v>484</v>
      </c>
      <c r="D168" s="137" t="s">
        <v>485</v>
      </c>
      <c r="E168" s="133">
        <v>2020</v>
      </c>
      <c r="F168" s="320"/>
      <c r="G168" s="320"/>
      <c r="H168" s="320"/>
      <c r="I168" s="320"/>
      <c r="J168" s="320"/>
    </row>
    <row r="169" spans="1:10" x14ac:dyDescent="0.25">
      <c r="A169" s="194" t="s">
        <v>486</v>
      </c>
      <c r="B169" s="133" t="s">
        <v>487</v>
      </c>
      <c r="C169" s="171" t="s">
        <v>488</v>
      </c>
      <c r="D169" s="137" t="s">
        <v>489</v>
      </c>
      <c r="E169" s="133">
        <v>2020</v>
      </c>
      <c r="F169" s="320"/>
      <c r="G169" s="320"/>
      <c r="H169" s="320"/>
      <c r="I169" s="320"/>
      <c r="J169" s="320"/>
    </row>
    <row r="170" spans="1:10" ht="15.75" thickBot="1" x14ac:dyDescent="0.3">
      <c r="A170" s="106" t="s">
        <v>256</v>
      </c>
      <c r="B170" s="110" t="s">
        <v>490</v>
      </c>
      <c r="C170" s="107" t="s">
        <v>491</v>
      </c>
      <c r="D170" s="110" t="s">
        <v>492</v>
      </c>
      <c r="E170" s="110">
        <v>2020</v>
      </c>
      <c r="F170" s="320"/>
      <c r="G170" s="320"/>
      <c r="H170" s="320"/>
      <c r="I170" s="320"/>
      <c r="J170" s="320"/>
    </row>
    <row r="171" spans="1:10" ht="15.75" thickBot="1" x14ac:dyDescent="0.3">
      <c r="A171" s="139"/>
      <c r="B171" s="105"/>
      <c r="C171" s="195"/>
      <c r="D171" s="196"/>
      <c r="E171" s="105"/>
      <c r="F171" s="320"/>
      <c r="G171" s="320"/>
      <c r="H171" s="320"/>
      <c r="I171" s="320"/>
      <c r="J171" s="320"/>
    </row>
    <row r="172" spans="1:10" ht="15.75" thickBot="1" x14ac:dyDescent="0.3">
      <c r="A172" s="365" t="s">
        <v>493</v>
      </c>
      <c r="B172" s="366"/>
      <c r="C172" s="366"/>
      <c r="D172" s="366"/>
      <c r="E172" s="367"/>
      <c r="F172" s="320"/>
      <c r="G172" s="320"/>
      <c r="H172" s="320"/>
      <c r="I172" s="320"/>
      <c r="J172" s="320"/>
    </row>
    <row r="173" spans="1:10" ht="15.75" thickBot="1" x14ac:dyDescent="0.3">
      <c r="A173" s="320"/>
      <c r="B173" s="320"/>
      <c r="C173" s="324"/>
      <c r="D173" s="320"/>
      <c r="E173" s="320"/>
      <c r="F173" s="320"/>
      <c r="G173" s="320"/>
      <c r="H173" s="320"/>
      <c r="I173" s="320"/>
      <c r="J173" s="320"/>
    </row>
    <row r="174" spans="1:10" ht="15.75" thickBot="1" x14ac:dyDescent="0.3">
      <c r="A174" s="85" t="s">
        <v>79</v>
      </c>
      <c r="B174" s="85" t="s">
        <v>80</v>
      </c>
      <c r="C174" s="85" t="s">
        <v>81</v>
      </c>
      <c r="D174" s="85" t="s">
        <v>82</v>
      </c>
      <c r="E174" s="85" t="s">
        <v>83</v>
      </c>
      <c r="F174" s="320"/>
      <c r="G174" s="320"/>
      <c r="H174" s="320"/>
      <c r="I174" s="320"/>
      <c r="J174" s="320"/>
    </row>
    <row r="175" spans="1:10" x14ac:dyDescent="0.25">
      <c r="A175" s="129" t="s">
        <v>494</v>
      </c>
      <c r="B175" s="197" t="s">
        <v>161</v>
      </c>
      <c r="C175" s="198" t="s">
        <v>495</v>
      </c>
      <c r="D175" s="130" t="s">
        <v>496</v>
      </c>
      <c r="E175" s="130">
        <v>1995</v>
      </c>
      <c r="F175" s="320"/>
      <c r="G175" s="320"/>
      <c r="H175" s="320"/>
      <c r="I175" s="320"/>
      <c r="J175" s="320"/>
    </row>
    <row r="176" spans="1:10" x14ac:dyDescent="0.25">
      <c r="A176" s="199" t="s">
        <v>497</v>
      </c>
      <c r="B176" s="100" t="s">
        <v>498</v>
      </c>
      <c r="C176" s="123" t="s">
        <v>499</v>
      </c>
      <c r="D176" s="100" t="s">
        <v>500</v>
      </c>
      <c r="E176" s="100">
        <v>2005</v>
      </c>
      <c r="F176" s="320"/>
      <c r="G176" s="320"/>
      <c r="H176" s="320"/>
      <c r="I176" s="320"/>
      <c r="J176" s="320"/>
    </row>
    <row r="177" spans="1:10" x14ac:dyDescent="0.25">
      <c r="A177" s="199" t="s">
        <v>501</v>
      </c>
      <c r="B177" s="100" t="s">
        <v>502</v>
      </c>
      <c r="C177" s="97">
        <v>7167242</v>
      </c>
      <c r="D177" s="100" t="s">
        <v>503</v>
      </c>
      <c r="E177" s="100">
        <v>2013</v>
      </c>
      <c r="F177" s="320"/>
      <c r="G177" s="320"/>
      <c r="H177" s="320"/>
      <c r="I177" s="320"/>
      <c r="J177" s="320"/>
    </row>
    <row r="178" spans="1:10" ht="15.75" thickBot="1" x14ac:dyDescent="0.3">
      <c r="A178" s="200" t="s">
        <v>501</v>
      </c>
      <c r="B178" s="156" t="s">
        <v>504</v>
      </c>
      <c r="C178" s="201">
        <v>7250753</v>
      </c>
      <c r="D178" s="156" t="s">
        <v>505</v>
      </c>
      <c r="E178" s="156">
        <v>2016</v>
      </c>
      <c r="F178" s="320"/>
      <c r="G178" s="320"/>
      <c r="H178" s="320"/>
      <c r="I178" s="320"/>
      <c r="J178" s="320"/>
    </row>
    <row r="179" spans="1:10" ht="15.75" thickBot="1" x14ac:dyDescent="0.3">
      <c r="A179" s="320"/>
      <c r="B179" s="320"/>
      <c r="C179" s="320"/>
      <c r="D179" s="320"/>
      <c r="E179" s="320"/>
      <c r="F179" s="320"/>
      <c r="G179" s="320"/>
      <c r="H179" s="320"/>
      <c r="I179" s="320"/>
      <c r="J179" s="320"/>
    </row>
    <row r="180" spans="1:10" ht="15.75" thickBot="1" x14ac:dyDescent="0.3">
      <c r="A180" s="365" t="s">
        <v>506</v>
      </c>
      <c r="B180" s="366"/>
      <c r="C180" s="366"/>
      <c r="D180" s="366"/>
      <c r="E180" s="367"/>
      <c r="F180" s="320"/>
      <c r="G180" s="320"/>
      <c r="H180" s="320"/>
      <c r="I180" s="320"/>
      <c r="J180" s="320"/>
    </row>
    <row r="181" spans="1:10" ht="15.75" thickBot="1" x14ac:dyDescent="0.3">
      <c r="A181" s="111"/>
      <c r="B181" s="111"/>
      <c r="C181" s="105"/>
      <c r="D181" s="185"/>
      <c r="E181" s="185"/>
      <c r="F181" s="320"/>
      <c r="G181" s="320"/>
      <c r="H181" s="320"/>
      <c r="I181" s="320"/>
      <c r="J181" s="320"/>
    </row>
    <row r="182" spans="1:10" ht="15.75" thickBot="1" x14ac:dyDescent="0.3">
      <c r="A182" s="85" t="s">
        <v>79</v>
      </c>
      <c r="B182" s="85" t="s">
        <v>80</v>
      </c>
      <c r="C182" s="85" t="s">
        <v>81</v>
      </c>
      <c r="D182" s="85" t="s">
        <v>82</v>
      </c>
      <c r="E182" s="85" t="s">
        <v>83</v>
      </c>
      <c r="F182" s="320"/>
      <c r="G182" s="320"/>
      <c r="H182" s="320"/>
      <c r="I182" s="320"/>
      <c r="J182" s="320"/>
    </row>
    <row r="183" spans="1:10" x14ac:dyDescent="0.25">
      <c r="A183" s="173" t="s">
        <v>403</v>
      </c>
      <c r="B183" s="115" t="s">
        <v>507</v>
      </c>
      <c r="C183" s="202" t="s">
        <v>508</v>
      </c>
      <c r="D183" s="202" t="s">
        <v>416</v>
      </c>
      <c r="E183" s="115">
        <v>2006</v>
      </c>
      <c r="F183" s="320"/>
      <c r="G183" s="320"/>
      <c r="H183" s="320"/>
      <c r="I183" s="320"/>
      <c r="J183" s="320"/>
    </row>
    <row r="184" spans="1:10" x14ac:dyDescent="0.25">
      <c r="A184" s="96" t="s">
        <v>509</v>
      </c>
      <c r="B184" s="100" t="s">
        <v>510</v>
      </c>
      <c r="C184" s="122" t="s">
        <v>511</v>
      </c>
      <c r="D184" s="122" t="s">
        <v>512</v>
      </c>
      <c r="E184" s="100">
        <v>2016</v>
      </c>
      <c r="F184" s="320"/>
      <c r="G184" s="320"/>
      <c r="H184" s="320"/>
      <c r="I184" s="320"/>
      <c r="J184" s="320"/>
    </row>
    <row r="185" spans="1:10" x14ac:dyDescent="0.25">
      <c r="A185" s="104" t="s">
        <v>513</v>
      </c>
      <c r="B185" s="95" t="s">
        <v>514</v>
      </c>
      <c r="C185" s="203" t="s">
        <v>515</v>
      </c>
      <c r="D185" s="203" t="s">
        <v>516</v>
      </c>
      <c r="E185" s="95">
        <v>2012</v>
      </c>
      <c r="F185" s="320"/>
      <c r="G185" s="320"/>
      <c r="H185" s="320"/>
      <c r="I185" s="320"/>
      <c r="J185" s="320"/>
    </row>
    <row r="186" spans="1:10" x14ac:dyDescent="0.25">
      <c r="A186" s="92" t="s">
        <v>286</v>
      </c>
      <c r="B186" s="150" t="s">
        <v>289</v>
      </c>
      <c r="C186" s="93">
        <v>7250703</v>
      </c>
      <c r="D186" s="148" t="s">
        <v>290</v>
      </c>
      <c r="E186" s="150">
        <v>2016</v>
      </c>
      <c r="F186" s="320"/>
      <c r="G186" s="320"/>
      <c r="H186" s="320"/>
      <c r="I186" s="320"/>
      <c r="J186" s="320"/>
    </row>
    <row r="187" spans="1:10" ht="15.75" thickBot="1" x14ac:dyDescent="0.3">
      <c r="A187" s="106" t="s">
        <v>256</v>
      </c>
      <c r="B187" s="110" t="s">
        <v>517</v>
      </c>
      <c r="C187" s="107" t="s">
        <v>518</v>
      </c>
      <c r="D187" s="110" t="s">
        <v>519</v>
      </c>
      <c r="E187" s="110">
        <v>2020</v>
      </c>
      <c r="F187" s="320"/>
      <c r="G187" s="320"/>
      <c r="H187" s="320"/>
      <c r="I187" s="320"/>
      <c r="J187" s="320"/>
    </row>
    <row r="188" spans="1:10" x14ac:dyDescent="0.25">
      <c r="A188" s="320"/>
      <c r="B188" s="320"/>
      <c r="C188" s="320"/>
      <c r="D188" s="320"/>
      <c r="E188" s="320"/>
      <c r="F188" s="320"/>
      <c r="G188" s="320"/>
      <c r="H188" s="320"/>
      <c r="I188" s="320"/>
      <c r="J188" s="320"/>
    </row>
    <row r="189" spans="1:10" ht="19.5" thickBot="1" x14ac:dyDescent="0.3">
      <c r="A189" s="389" t="s">
        <v>520</v>
      </c>
      <c r="B189" s="389"/>
      <c r="C189" s="389"/>
      <c r="D189" s="389"/>
      <c r="E189" s="389"/>
      <c r="F189" s="389"/>
      <c r="G189" s="390"/>
      <c r="H189" s="319"/>
      <c r="I189" s="320"/>
      <c r="J189" s="320"/>
    </row>
    <row r="190" spans="1:10" ht="19.5" thickBot="1" x14ac:dyDescent="0.3">
      <c r="A190" s="391" t="s">
        <v>79</v>
      </c>
      <c r="B190" s="392"/>
      <c r="C190" s="392"/>
      <c r="D190" s="393"/>
      <c r="E190" s="391" t="s">
        <v>80</v>
      </c>
      <c r="F190" s="393"/>
      <c r="G190" s="204" t="s">
        <v>521</v>
      </c>
      <c r="H190" s="205" t="s">
        <v>83</v>
      </c>
      <c r="I190" s="320"/>
      <c r="J190" s="320"/>
    </row>
    <row r="191" spans="1:10" x14ac:dyDescent="0.25">
      <c r="A191" s="374" t="s">
        <v>522</v>
      </c>
      <c r="B191" s="375"/>
      <c r="C191" s="375"/>
      <c r="D191" s="376"/>
      <c r="E191" s="377" t="s">
        <v>523</v>
      </c>
      <c r="F191" s="378"/>
      <c r="G191" s="206" t="s">
        <v>524</v>
      </c>
      <c r="H191" s="207">
        <v>2009</v>
      </c>
      <c r="I191" s="320"/>
      <c r="J191" s="320"/>
    </row>
    <row r="192" spans="1:10" x14ac:dyDescent="0.25">
      <c r="A192" s="379" t="s">
        <v>525</v>
      </c>
      <c r="B192" s="380"/>
      <c r="C192" s="380"/>
      <c r="D192" s="381"/>
      <c r="E192" s="382" t="s">
        <v>526</v>
      </c>
      <c r="F192" s="383"/>
      <c r="G192" s="208" t="s">
        <v>527</v>
      </c>
      <c r="H192" s="209">
        <v>2005</v>
      </c>
      <c r="I192" s="320"/>
      <c r="J192" s="320"/>
    </row>
    <row r="193" spans="1:10" ht="15.75" thickBot="1" x14ac:dyDescent="0.3">
      <c r="A193" s="384" t="s">
        <v>528</v>
      </c>
      <c r="B193" s="385"/>
      <c r="C193" s="385"/>
      <c r="D193" s="386"/>
      <c r="E193" s="387" t="s">
        <v>529</v>
      </c>
      <c r="F193" s="388"/>
      <c r="G193" s="210" t="s">
        <v>530</v>
      </c>
      <c r="H193" s="211">
        <v>2017</v>
      </c>
      <c r="I193" s="320"/>
      <c r="J193" s="320"/>
    </row>
    <row r="194" spans="1:10" ht="15.75" thickBot="1" x14ac:dyDescent="0.3">
      <c r="A194" s="320"/>
      <c r="B194" s="320"/>
      <c r="C194" s="320"/>
      <c r="D194" s="320"/>
      <c r="E194" s="320"/>
      <c r="F194" s="320"/>
      <c r="G194" s="320"/>
      <c r="H194" s="320"/>
      <c r="I194" s="320"/>
      <c r="J194" s="320"/>
    </row>
    <row r="195" spans="1:10" ht="19.5" thickBot="1" x14ac:dyDescent="0.3">
      <c r="A195" s="212"/>
      <c r="B195" s="212"/>
      <c r="C195" s="405" t="s">
        <v>531</v>
      </c>
      <c r="D195" s="406"/>
      <c r="E195" s="406"/>
      <c r="F195" s="406"/>
      <c r="G195" s="407"/>
      <c r="H195" s="212"/>
      <c r="I195" s="212"/>
      <c r="J195" s="212"/>
    </row>
    <row r="196" spans="1:10" ht="19.5" thickBot="1" x14ac:dyDescent="0.3">
      <c r="A196" s="408" t="s">
        <v>79</v>
      </c>
      <c r="B196" s="409"/>
      <c r="C196" s="409"/>
      <c r="D196" s="410"/>
      <c r="E196" s="411" t="s">
        <v>80</v>
      </c>
      <c r="F196" s="412"/>
      <c r="G196" s="205" t="s">
        <v>81</v>
      </c>
      <c r="H196" s="408" t="s">
        <v>521</v>
      </c>
      <c r="I196" s="410"/>
      <c r="J196" s="205" t="s">
        <v>83</v>
      </c>
    </row>
    <row r="197" spans="1:10" x14ac:dyDescent="0.25">
      <c r="A197" s="413" t="s">
        <v>532</v>
      </c>
      <c r="B197" s="414"/>
      <c r="C197" s="414"/>
      <c r="D197" s="415"/>
      <c r="E197" s="377" t="s">
        <v>533</v>
      </c>
      <c r="F197" s="378"/>
      <c r="G197" s="213" t="s">
        <v>534</v>
      </c>
      <c r="H197" s="416" t="s">
        <v>535</v>
      </c>
      <c r="I197" s="417"/>
      <c r="J197" s="213">
        <v>2018</v>
      </c>
    </row>
    <row r="198" spans="1:10" ht="15.75" thickBot="1" x14ac:dyDescent="0.3">
      <c r="A198" s="394" t="s">
        <v>536</v>
      </c>
      <c r="B198" s="395"/>
      <c r="C198" s="395"/>
      <c r="D198" s="396"/>
      <c r="E198" s="397" t="s">
        <v>537</v>
      </c>
      <c r="F198" s="398"/>
      <c r="G198" s="214" t="s">
        <v>538</v>
      </c>
      <c r="H198" s="397" t="s">
        <v>539</v>
      </c>
      <c r="I198" s="398"/>
      <c r="J198" s="215">
        <v>2007</v>
      </c>
    </row>
    <row r="199" spans="1:10" x14ac:dyDescent="0.25">
      <c r="A199" s="320"/>
      <c r="B199" s="320"/>
      <c r="C199" s="320"/>
      <c r="D199" s="320"/>
      <c r="E199" s="320"/>
      <c r="F199" s="320"/>
      <c r="G199" s="320"/>
      <c r="H199" s="320"/>
      <c r="I199" s="320"/>
      <c r="J199" s="320"/>
    </row>
    <row r="200" spans="1:10" ht="15.75" thickBot="1" x14ac:dyDescent="0.3">
      <c r="A200" s="320"/>
      <c r="B200" s="320"/>
      <c r="C200" s="320"/>
      <c r="D200" s="320"/>
      <c r="E200" s="320"/>
      <c r="F200" s="320"/>
      <c r="G200" s="320"/>
      <c r="H200" s="320"/>
      <c r="I200" s="320"/>
      <c r="J200" s="320"/>
    </row>
    <row r="201" spans="1:10" ht="19.5" thickBot="1" x14ac:dyDescent="0.3">
      <c r="A201" s="212"/>
      <c r="B201" s="212"/>
      <c r="C201" s="399" t="s">
        <v>540</v>
      </c>
      <c r="D201" s="400"/>
      <c r="E201" s="400"/>
      <c r="F201" s="400"/>
      <c r="G201" s="401"/>
      <c r="H201" s="212"/>
      <c r="I201" s="212"/>
      <c r="J201" s="212"/>
    </row>
    <row r="202" spans="1:10" ht="19.5" thickBot="1" x14ac:dyDescent="0.3">
      <c r="A202" s="402" t="s">
        <v>79</v>
      </c>
      <c r="B202" s="403"/>
      <c r="C202" s="403"/>
      <c r="D202" s="404"/>
      <c r="E202" s="368" t="s">
        <v>80</v>
      </c>
      <c r="F202" s="370"/>
      <c r="G202" s="205" t="s">
        <v>81</v>
      </c>
      <c r="H202" s="391" t="s">
        <v>521</v>
      </c>
      <c r="I202" s="393"/>
      <c r="J202" s="205" t="s">
        <v>83</v>
      </c>
    </row>
    <row r="203" spans="1:10" x14ac:dyDescent="0.25">
      <c r="A203" s="423" t="s">
        <v>541</v>
      </c>
      <c r="B203" s="424"/>
      <c r="C203" s="424"/>
      <c r="D203" s="425"/>
      <c r="E203" s="426" t="s">
        <v>542</v>
      </c>
      <c r="F203" s="427"/>
      <c r="G203" s="216" t="s">
        <v>543</v>
      </c>
      <c r="H203" s="426" t="s">
        <v>544</v>
      </c>
      <c r="I203" s="427"/>
      <c r="J203" s="217">
        <v>2000</v>
      </c>
    </row>
    <row r="204" spans="1:10" x14ac:dyDescent="0.25">
      <c r="A204" s="418" t="s">
        <v>545</v>
      </c>
      <c r="B204" s="419"/>
      <c r="C204" s="419"/>
      <c r="D204" s="420"/>
      <c r="E204" s="421" t="s">
        <v>546</v>
      </c>
      <c r="F204" s="422"/>
      <c r="G204" s="218" t="s">
        <v>547</v>
      </c>
      <c r="H204" s="421" t="s">
        <v>548</v>
      </c>
      <c r="I204" s="422"/>
      <c r="J204" s="209">
        <v>2007</v>
      </c>
    </row>
    <row r="205" spans="1:10" x14ac:dyDescent="0.25">
      <c r="A205" s="418" t="s">
        <v>549</v>
      </c>
      <c r="B205" s="419"/>
      <c r="C205" s="419"/>
      <c r="D205" s="420"/>
      <c r="E205" s="421" t="s">
        <v>550</v>
      </c>
      <c r="F205" s="422"/>
      <c r="G205" s="218" t="s">
        <v>551</v>
      </c>
      <c r="H205" s="421" t="s">
        <v>552</v>
      </c>
      <c r="I205" s="422"/>
      <c r="J205" s="209">
        <v>2007</v>
      </c>
    </row>
    <row r="206" spans="1:10" x14ac:dyDescent="0.25">
      <c r="A206" s="418" t="s">
        <v>553</v>
      </c>
      <c r="B206" s="419"/>
      <c r="C206" s="419"/>
      <c r="D206" s="420"/>
      <c r="E206" s="421" t="s">
        <v>554</v>
      </c>
      <c r="F206" s="422"/>
      <c r="G206" s="218" t="s">
        <v>555</v>
      </c>
      <c r="H206" s="421" t="s">
        <v>556</v>
      </c>
      <c r="I206" s="422"/>
      <c r="J206" s="209">
        <v>2010</v>
      </c>
    </row>
    <row r="207" spans="1:10" x14ac:dyDescent="0.25">
      <c r="A207" s="418" t="s">
        <v>557</v>
      </c>
      <c r="B207" s="419"/>
      <c r="C207" s="419"/>
      <c r="D207" s="420"/>
      <c r="E207" s="421" t="s">
        <v>558</v>
      </c>
      <c r="F207" s="422"/>
      <c r="G207" s="219" t="s">
        <v>559</v>
      </c>
      <c r="H207" s="433" t="s">
        <v>560</v>
      </c>
      <c r="I207" s="434"/>
      <c r="J207" s="209">
        <v>2012</v>
      </c>
    </row>
    <row r="208" spans="1:10" x14ac:dyDescent="0.25">
      <c r="A208" s="418" t="s">
        <v>561</v>
      </c>
      <c r="B208" s="419"/>
      <c r="C208" s="419"/>
      <c r="D208" s="420"/>
      <c r="E208" s="421" t="s">
        <v>562</v>
      </c>
      <c r="F208" s="422"/>
      <c r="G208" s="218">
        <v>7253701</v>
      </c>
      <c r="H208" s="421" t="s">
        <v>563</v>
      </c>
      <c r="I208" s="422"/>
      <c r="J208" s="209">
        <v>2017</v>
      </c>
    </row>
    <row r="209" spans="1:10" x14ac:dyDescent="0.25">
      <c r="A209" s="418" t="s">
        <v>564</v>
      </c>
      <c r="B209" s="419"/>
      <c r="C209" s="419"/>
      <c r="D209" s="420"/>
      <c r="E209" s="421" t="s">
        <v>565</v>
      </c>
      <c r="F209" s="422"/>
      <c r="G209" s="218" t="s">
        <v>566</v>
      </c>
      <c r="H209" s="421" t="s">
        <v>567</v>
      </c>
      <c r="I209" s="422"/>
      <c r="J209" s="209">
        <v>2010</v>
      </c>
    </row>
    <row r="210" spans="1:10" ht="15.75" thickBot="1" x14ac:dyDescent="0.3">
      <c r="A210" s="428" t="s">
        <v>568</v>
      </c>
      <c r="B210" s="429"/>
      <c r="C210" s="429"/>
      <c r="D210" s="430"/>
      <c r="E210" s="431" t="s">
        <v>569</v>
      </c>
      <c r="F210" s="432"/>
      <c r="G210" s="220" t="s">
        <v>570</v>
      </c>
      <c r="H210" s="431" t="s">
        <v>571</v>
      </c>
      <c r="I210" s="432"/>
      <c r="J210" s="221">
        <v>1999</v>
      </c>
    </row>
    <row r="211" spans="1:10" ht="15.75" thickBot="1" x14ac:dyDescent="0.3">
      <c r="A211" s="320"/>
      <c r="B211" s="320"/>
      <c r="C211" s="320"/>
      <c r="D211" s="320"/>
      <c r="E211" s="320"/>
      <c r="F211" s="320"/>
      <c r="G211" s="320"/>
      <c r="H211" s="320"/>
      <c r="I211" s="320"/>
      <c r="J211" s="320"/>
    </row>
    <row r="212" spans="1:10" ht="19.5" thickBot="1" x14ac:dyDescent="0.3">
      <c r="A212" s="212"/>
      <c r="B212" s="212"/>
      <c r="C212" s="399" t="s">
        <v>572</v>
      </c>
      <c r="D212" s="400"/>
      <c r="E212" s="400"/>
      <c r="F212" s="400"/>
      <c r="G212" s="401"/>
      <c r="H212" s="212"/>
      <c r="I212" s="212"/>
      <c r="J212" s="212"/>
    </row>
    <row r="213" spans="1:10" ht="19.5" thickBot="1" x14ac:dyDescent="0.3">
      <c r="A213" s="391" t="s">
        <v>79</v>
      </c>
      <c r="B213" s="392"/>
      <c r="C213" s="392"/>
      <c r="D213" s="392"/>
      <c r="E213" s="435" t="s">
        <v>80</v>
      </c>
      <c r="F213" s="436"/>
      <c r="G213" s="205" t="s">
        <v>521</v>
      </c>
      <c r="H213" s="205" t="s">
        <v>83</v>
      </c>
      <c r="I213" s="212"/>
      <c r="J213" s="212"/>
    </row>
    <row r="214" spans="1:10" x14ac:dyDescent="0.25">
      <c r="A214" s="437" t="s">
        <v>573</v>
      </c>
      <c r="B214" s="438"/>
      <c r="C214" s="438"/>
      <c r="D214" s="439"/>
      <c r="E214" s="440" t="s">
        <v>574</v>
      </c>
      <c r="F214" s="441"/>
      <c r="G214" s="222" t="s">
        <v>575</v>
      </c>
      <c r="H214" s="223">
        <v>2010</v>
      </c>
      <c r="I214" s="212"/>
      <c r="J214" s="212"/>
    </row>
    <row r="215" spans="1:10" x14ac:dyDescent="0.25">
      <c r="A215" s="442" t="s">
        <v>576</v>
      </c>
      <c r="B215" s="443"/>
      <c r="C215" s="443"/>
      <c r="D215" s="444"/>
      <c r="E215" s="445" t="s">
        <v>577</v>
      </c>
      <c r="F215" s="446"/>
      <c r="G215" s="224" t="s">
        <v>578</v>
      </c>
      <c r="H215" s="225">
        <v>2010</v>
      </c>
      <c r="I215" s="212"/>
      <c r="J215" s="212"/>
    </row>
    <row r="216" spans="1:10" x14ac:dyDescent="0.25">
      <c r="A216" s="442" t="s">
        <v>579</v>
      </c>
      <c r="B216" s="443"/>
      <c r="C216" s="443"/>
      <c r="D216" s="444"/>
      <c r="E216" s="445" t="s">
        <v>580</v>
      </c>
      <c r="F216" s="446"/>
      <c r="G216" s="224" t="s">
        <v>581</v>
      </c>
      <c r="H216" s="225">
        <v>2005</v>
      </c>
      <c r="I216" s="212"/>
      <c r="J216" s="212"/>
    </row>
    <row r="217" spans="1:10" x14ac:dyDescent="0.25">
      <c r="A217" s="442" t="s">
        <v>579</v>
      </c>
      <c r="B217" s="443"/>
      <c r="C217" s="443"/>
      <c r="D217" s="444"/>
      <c r="E217" s="445" t="s">
        <v>582</v>
      </c>
      <c r="F217" s="446"/>
      <c r="G217" s="224" t="s">
        <v>583</v>
      </c>
      <c r="H217" s="225">
        <v>2007</v>
      </c>
      <c r="I217" s="212"/>
      <c r="J217" s="212"/>
    </row>
    <row r="218" spans="1:10" ht="15.75" thickBot="1" x14ac:dyDescent="0.3">
      <c r="A218" s="460" t="s">
        <v>584</v>
      </c>
      <c r="B218" s="461"/>
      <c r="C218" s="461"/>
      <c r="D218" s="462"/>
      <c r="E218" s="463" t="s">
        <v>585</v>
      </c>
      <c r="F218" s="464"/>
      <c r="G218" s="226" t="s">
        <v>586</v>
      </c>
      <c r="H218" s="227">
        <v>2008</v>
      </c>
      <c r="I218" s="212"/>
      <c r="J218" s="212"/>
    </row>
    <row r="219" spans="1:10" x14ac:dyDescent="0.25">
      <c r="A219" s="320"/>
      <c r="B219" s="320"/>
      <c r="C219" s="320"/>
      <c r="D219" s="320"/>
      <c r="E219" s="320"/>
      <c r="F219" s="320"/>
      <c r="G219" s="320"/>
      <c r="H219" s="320"/>
      <c r="I219" s="320"/>
      <c r="J219" s="320"/>
    </row>
    <row r="220" spans="1:10" ht="19.5" thickBot="1" x14ac:dyDescent="0.3">
      <c r="A220" s="447" t="s">
        <v>587</v>
      </c>
      <c r="B220" s="447"/>
      <c r="C220" s="447"/>
      <c r="D220" s="447"/>
      <c r="E220" s="447"/>
      <c r="F220" s="447"/>
      <c r="G220" s="447"/>
      <c r="H220" s="448"/>
      <c r="I220" s="212"/>
      <c r="J220" s="212"/>
    </row>
    <row r="221" spans="1:10" ht="19.5" thickBot="1" x14ac:dyDescent="0.3">
      <c r="A221" s="435" t="s">
        <v>79</v>
      </c>
      <c r="B221" s="449"/>
      <c r="C221" s="436"/>
      <c r="D221" s="228" t="s">
        <v>80</v>
      </c>
      <c r="E221" s="435" t="s">
        <v>81</v>
      </c>
      <c r="F221" s="436"/>
      <c r="G221" s="205" t="s">
        <v>521</v>
      </c>
      <c r="H221" s="205" t="s">
        <v>83</v>
      </c>
      <c r="I221" s="212"/>
      <c r="J221" s="212"/>
    </row>
    <row r="222" spans="1:10" x14ac:dyDescent="0.25">
      <c r="A222" s="450" t="s">
        <v>588</v>
      </c>
      <c r="B222" s="451"/>
      <c r="C222" s="452"/>
      <c r="D222" s="217" t="s">
        <v>589</v>
      </c>
      <c r="E222" s="453" t="s">
        <v>590</v>
      </c>
      <c r="F222" s="454"/>
      <c r="G222" s="222" t="s">
        <v>591</v>
      </c>
      <c r="H222" s="222">
        <v>2017</v>
      </c>
      <c r="I222" s="212"/>
      <c r="J222" s="212"/>
    </row>
    <row r="223" spans="1:10" x14ac:dyDescent="0.25">
      <c r="A223" s="455" t="s">
        <v>592</v>
      </c>
      <c r="B223" s="456"/>
      <c r="C223" s="457"/>
      <c r="D223" s="209" t="s">
        <v>593</v>
      </c>
      <c r="E223" s="458" t="s">
        <v>594</v>
      </c>
      <c r="F223" s="459"/>
      <c r="G223" s="224" t="s">
        <v>595</v>
      </c>
      <c r="H223" s="224">
        <v>2007</v>
      </c>
      <c r="I223" s="212"/>
      <c r="J223" s="212"/>
    </row>
    <row r="224" spans="1:10" ht="15.75" thickBot="1" x14ac:dyDescent="0.3">
      <c r="A224" s="460" t="s">
        <v>596</v>
      </c>
      <c r="B224" s="461"/>
      <c r="C224" s="462"/>
      <c r="D224" s="221" t="s">
        <v>597</v>
      </c>
      <c r="E224" s="477" t="s">
        <v>598</v>
      </c>
      <c r="F224" s="478"/>
      <c r="G224" s="226" t="s">
        <v>599</v>
      </c>
      <c r="H224" s="226">
        <v>2014</v>
      </c>
      <c r="I224" s="212"/>
      <c r="J224" s="212"/>
    </row>
    <row r="225" spans="1:10" x14ac:dyDescent="0.25">
      <c r="A225" s="320"/>
      <c r="B225" s="320"/>
      <c r="C225" s="320"/>
      <c r="D225" s="320"/>
      <c r="E225" s="320"/>
      <c r="F225" s="320"/>
      <c r="G225" s="320"/>
      <c r="H225" s="320"/>
      <c r="I225" s="320"/>
      <c r="J225" s="320"/>
    </row>
    <row r="226" spans="1:10" ht="19.5" thickBot="1" x14ac:dyDescent="0.3">
      <c r="A226" s="447" t="s">
        <v>600</v>
      </c>
      <c r="B226" s="447"/>
      <c r="C226" s="447"/>
      <c r="D226" s="447"/>
      <c r="E226" s="447"/>
      <c r="F226" s="447"/>
      <c r="G226" s="448"/>
      <c r="H226" s="212"/>
      <c r="I226" s="212"/>
      <c r="J226" s="212"/>
    </row>
    <row r="227" spans="1:10" ht="19.5" thickBot="1" x14ac:dyDescent="0.3">
      <c r="A227" s="435" t="s">
        <v>79</v>
      </c>
      <c r="B227" s="449"/>
      <c r="C227" s="449"/>
      <c r="D227" s="479"/>
      <c r="E227" s="435" t="s">
        <v>80</v>
      </c>
      <c r="F227" s="436"/>
      <c r="G227" s="229" t="s">
        <v>81</v>
      </c>
      <c r="H227" s="480" t="s">
        <v>521</v>
      </c>
      <c r="I227" s="481"/>
      <c r="J227" s="205" t="s">
        <v>83</v>
      </c>
    </row>
    <row r="228" spans="1:10" x14ac:dyDescent="0.25">
      <c r="A228" s="465" t="s">
        <v>601</v>
      </c>
      <c r="B228" s="466"/>
      <c r="C228" s="466"/>
      <c r="D228" s="467"/>
      <c r="E228" s="468" t="s">
        <v>602</v>
      </c>
      <c r="F228" s="469"/>
      <c r="G228" s="230">
        <v>7166186</v>
      </c>
      <c r="H228" s="470" t="s">
        <v>603</v>
      </c>
      <c r="I228" s="471"/>
      <c r="J228" s="231">
        <v>2014</v>
      </c>
    </row>
    <row r="229" spans="1:10" x14ac:dyDescent="0.25">
      <c r="A229" s="472" t="s">
        <v>601</v>
      </c>
      <c r="B229" s="473"/>
      <c r="C229" s="473"/>
      <c r="D229" s="474"/>
      <c r="E229" s="421" t="s">
        <v>604</v>
      </c>
      <c r="F229" s="422"/>
      <c r="G229" s="232">
        <v>7167174</v>
      </c>
      <c r="H229" s="475" t="s">
        <v>605</v>
      </c>
      <c r="I229" s="476"/>
      <c r="J229" s="123">
        <v>2014</v>
      </c>
    </row>
    <row r="230" spans="1:10" x14ac:dyDescent="0.25">
      <c r="A230" s="472" t="s">
        <v>601</v>
      </c>
      <c r="B230" s="473"/>
      <c r="C230" s="473"/>
      <c r="D230" s="474"/>
      <c r="E230" s="421" t="s">
        <v>606</v>
      </c>
      <c r="F230" s="422"/>
      <c r="G230" s="232">
        <v>7188314</v>
      </c>
      <c r="H230" s="475" t="s">
        <v>607</v>
      </c>
      <c r="I230" s="476"/>
      <c r="J230" s="123">
        <v>2014</v>
      </c>
    </row>
    <row r="231" spans="1:10" x14ac:dyDescent="0.25">
      <c r="A231" s="472" t="s">
        <v>601</v>
      </c>
      <c r="B231" s="473"/>
      <c r="C231" s="473"/>
      <c r="D231" s="474"/>
      <c r="E231" s="486" t="s">
        <v>608</v>
      </c>
      <c r="F231" s="487"/>
      <c r="G231" s="233">
        <v>72497599</v>
      </c>
      <c r="H231" s="484" t="s">
        <v>609</v>
      </c>
      <c r="I231" s="485"/>
      <c r="J231" s="234">
        <v>2017</v>
      </c>
    </row>
    <row r="232" spans="1:10" x14ac:dyDescent="0.25">
      <c r="A232" s="472" t="s">
        <v>610</v>
      </c>
      <c r="B232" s="473"/>
      <c r="C232" s="473"/>
      <c r="D232" s="474"/>
      <c r="E232" s="482" t="s">
        <v>611</v>
      </c>
      <c r="F232" s="483"/>
      <c r="G232" s="233">
        <v>72497500</v>
      </c>
      <c r="H232" s="484" t="s">
        <v>612</v>
      </c>
      <c r="I232" s="485"/>
      <c r="J232" s="234">
        <v>2017</v>
      </c>
    </row>
    <row r="233" spans="1:10" x14ac:dyDescent="0.25">
      <c r="A233" s="472" t="s">
        <v>601</v>
      </c>
      <c r="B233" s="473"/>
      <c r="C233" s="473"/>
      <c r="D233" s="474"/>
      <c r="E233" s="421" t="s">
        <v>613</v>
      </c>
      <c r="F233" s="422"/>
      <c r="G233" s="235">
        <v>7155140</v>
      </c>
      <c r="H233" s="421" t="s">
        <v>327</v>
      </c>
      <c r="I233" s="422"/>
      <c r="J233" s="123">
        <v>2013</v>
      </c>
    </row>
    <row r="234" spans="1:10" x14ac:dyDescent="0.25">
      <c r="A234" s="472" t="s">
        <v>601</v>
      </c>
      <c r="B234" s="473"/>
      <c r="C234" s="473"/>
      <c r="D234" s="474"/>
      <c r="E234" s="421" t="s">
        <v>614</v>
      </c>
      <c r="F234" s="422"/>
      <c r="G234" s="235">
        <v>7257521</v>
      </c>
      <c r="H234" s="421" t="s">
        <v>615</v>
      </c>
      <c r="I234" s="422"/>
      <c r="J234" s="123">
        <v>2017</v>
      </c>
    </row>
    <row r="235" spans="1:10" x14ac:dyDescent="0.25">
      <c r="A235" s="472" t="s">
        <v>601</v>
      </c>
      <c r="B235" s="473"/>
      <c r="C235" s="473"/>
      <c r="D235" s="474"/>
      <c r="E235" s="421" t="s">
        <v>616</v>
      </c>
      <c r="F235" s="422"/>
      <c r="G235" s="235">
        <v>7257618</v>
      </c>
      <c r="H235" s="421" t="s">
        <v>617</v>
      </c>
      <c r="I235" s="422"/>
      <c r="J235" s="123">
        <v>2017</v>
      </c>
    </row>
    <row r="236" spans="1:10" x14ac:dyDescent="0.25">
      <c r="A236" s="472" t="s">
        <v>618</v>
      </c>
      <c r="B236" s="473"/>
      <c r="C236" s="473"/>
      <c r="D236" s="474"/>
      <c r="E236" s="421" t="s">
        <v>619</v>
      </c>
      <c r="F236" s="422"/>
      <c r="G236" s="235" t="s">
        <v>620</v>
      </c>
      <c r="H236" s="421" t="s">
        <v>621</v>
      </c>
      <c r="I236" s="422"/>
      <c r="J236" s="123">
        <v>2019</v>
      </c>
    </row>
    <row r="237" spans="1:10" x14ac:dyDescent="0.25">
      <c r="A237" s="472" t="s">
        <v>618</v>
      </c>
      <c r="B237" s="473"/>
      <c r="C237" s="473"/>
      <c r="D237" s="474"/>
      <c r="E237" s="421" t="s">
        <v>622</v>
      </c>
      <c r="F237" s="422"/>
      <c r="G237" s="235" t="s">
        <v>623</v>
      </c>
      <c r="H237" s="421" t="s">
        <v>624</v>
      </c>
      <c r="I237" s="422"/>
      <c r="J237" s="123">
        <v>2019</v>
      </c>
    </row>
    <row r="238" spans="1:10" x14ac:dyDescent="0.25">
      <c r="A238" s="500" t="s">
        <v>625</v>
      </c>
      <c r="B238" s="501"/>
      <c r="C238" s="501"/>
      <c r="D238" s="502"/>
      <c r="E238" s="503" t="s">
        <v>626</v>
      </c>
      <c r="F238" s="504"/>
      <c r="G238" s="235" t="s">
        <v>627</v>
      </c>
      <c r="H238" s="475" t="s">
        <v>628</v>
      </c>
      <c r="I238" s="476"/>
      <c r="J238" s="123">
        <v>2013</v>
      </c>
    </row>
    <row r="239" spans="1:10" x14ac:dyDescent="0.25">
      <c r="A239" s="488" t="s">
        <v>629</v>
      </c>
      <c r="B239" s="489"/>
      <c r="C239" s="489"/>
      <c r="D239" s="490"/>
      <c r="E239" s="491" t="s">
        <v>630</v>
      </c>
      <c r="F239" s="492"/>
      <c r="G239" s="236" t="s">
        <v>631</v>
      </c>
      <c r="H239" s="493" t="s">
        <v>632</v>
      </c>
      <c r="I239" s="494"/>
      <c r="J239" s="237">
        <v>2013</v>
      </c>
    </row>
    <row r="240" spans="1:10" x14ac:dyDescent="0.25">
      <c r="A240" s="488" t="s">
        <v>633</v>
      </c>
      <c r="B240" s="489"/>
      <c r="C240" s="489"/>
      <c r="D240" s="490"/>
      <c r="E240" s="491" t="s">
        <v>634</v>
      </c>
      <c r="F240" s="492"/>
      <c r="G240" s="238">
        <v>61198170090932</v>
      </c>
      <c r="H240" s="493" t="s">
        <v>635</v>
      </c>
      <c r="I240" s="494"/>
      <c r="J240" s="237">
        <v>2008</v>
      </c>
    </row>
    <row r="241" spans="1:10" x14ac:dyDescent="0.25">
      <c r="A241" s="495" t="s">
        <v>636</v>
      </c>
      <c r="B241" s="496"/>
      <c r="C241" s="496"/>
      <c r="D241" s="497"/>
      <c r="E241" s="421" t="s">
        <v>637</v>
      </c>
      <c r="F241" s="422"/>
      <c r="G241" s="239" t="s">
        <v>638</v>
      </c>
      <c r="H241" s="498" t="s">
        <v>639</v>
      </c>
      <c r="I241" s="499"/>
      <c r="J241" s="240">
        <v>2011</v>
      </c>
    </row>
    <row r="242" spans="1:10" x14ac:dyDescent="0.25">
      <c r="A242" s="512" t="s">
        <v>640</v>
      </c>
      <c r="B242" s="513"/>
      <c r="C242" s="513"/>
      <c r="D242" s="514"/>
      <c r="E242" s="503" t="s">
        <v>641</v>
      </c>
      <c r="F242" s="504"/>
      <c r="G242" s="232">
        <v>37290710141314</v>
      </c>
      <c r="H242" s="515" t="s">
        <v>642</v>
      </c>
      <c r="I242" s="516"/>
      <c r="J242" s="123">
        <v>1993</v>
      </c>
    </row>
    <row r="243" spans="1:10" x14ac:dyDescent="0.25">
      <c r="A243" s="488" t="s">
        <v>643</v>
      </c>
      <c r="B243" s="489"/>
      <c r="C243" s="489"/>
      <c r="D243" s="490"/>
      <c r="E243" s="491" t="s">
        <v>644</v>
      </c>
      <c r="F243" s="492"/>
      <c r="G243" s="238" t="s">
        <v>645</v>
      </c>
      <c r="H243" s="493" t="s">
        <v>646</v>
      </c>
      <c r="I243" s="494"/>
      <c r="J243" s="237">
        <v>2020</v>
      </c>
    </row>
    <row r="244" spans="1:10" ht="15.75" thickBot="1" x14ac:dyDescent="0.3">
      <c r="A244" s="505" t="s">
        <v>218</v>
      </c>
      <c r="B244" s="506"/>
      <c r="C244" s="506"/>
      <c r="D244" s="507"/>
      <c r="E244" s="508" t="s">
        <v>647</v>
      </c>
      <c r="F244" s="509"/>
      <c r="G244" s="241" t="s">
        <v>648</v>
      </c>
      <c r="H244" s="510" t="s">
        <v>649</v>
      </c>
      <c r="I244" s="511"/>
      <c r="J244" s="242">
        <v>2021</v>
      </c>
    </row>
    <row r="245" spans="1:10" ht="15.75" thickBot="1" x14ac:dyDescent="0.3">
      <c r="A245" s="320"/>
      <c r="B245" s="320"/>
      <c r="C245" s="320"/>
      <c r="D245" s="320"/>
      <c r="E245" s="320"/>
      <c r="F245" s="320"/>
      <c r="G245" s="320"/>
      <c r="H245" s="320"/>
      <c r="I245" s="320"/>
      <c r="J245" s="320"/>
    </row>
    <row r="246" spans="1:10" ht="19.5" thickBot="1" x14ac:dyDescent="0.3">
      <c r="A246" s="399" t="s">
        <v>650</v>
      </c>
      <c r="B246" s="400"/>
      <c r="C246" s="400"/>
      <c r="D246" s="400"/>
      <c r="E246" s="400"/>
      <c r="F246" s="400"/>
      <c r="G246" s="400"/>
      <c r="H246" s="400"/>
      <c r="I246" s="401"/>
    </row>
    <row r="247" spans="1:10" ht="38.25" thickBot="1" x14ac:dyDescent="0.3">
      <c r="A247" s="243" t="s">
        <v>79</v>
      </c>
      <c r="B247" s="244"/>
      <c r="C247" s="204"/>
      <c r="D247" s="243" t="s">
        <v>80</v>
      </c>
      <c r="E247" s="204"/>
      <c r="F247" s="205" t="s">
        <v>81</v>
      </c>
      <c r="G247" s="243" t="s">
        <v>521</v>
      </c>
      <c r="H247" s="204"/>
      <c r="I247" s="205" t="s">
        <v>83</v>
      </c>
    </row>
    <row r="248" spans="1:10" ht="15.75" thickBot="1" x14ac:dyDescent="0.3">
      <c r="A248" s="334" t="s">
        <v>636</v>
      </c>
      <c r="B248" s="250"/>
      <c r="C248" s="251"/>
      <c r="D248" s="252" t="s">
        <v>651</v>
      </c>
      <c r="E248" s="246"/>
      <c r="F248" s="335" t="s">
        <v>652</v>
      </c>
      <c r="G248" s="252" t="s">
        <v>653</v>
      </c>
      <c r="H248" s="246"/>
      <c r="I248" s="336">
        <v>2011</v>
      </c>
    </row>
    <row r="249" spans="1:10" ht="15.75" thickBot="1" x14ac:dyDescent="0.3">
      <c r="A249" s="212"/>
      <c r="B249" s="337"/>
      <c r="C249" s="250"/>
      <c r="D249" s="250"/>
      <c r="E249" s="338"/>
      <c r="F249" s="338"/>
      <c r="G249" s="339"/>
      <c r="H249" s="340"/>
      <c r="I249" s="340"/>
      <c r="J249" s="340"/>
    </row>
    <row r="250" spans="1:10" ht="19.5" thickBot="1" x14ac:dyDescent="0.3">
      <c r="A250" s="212"/>
      <c r="B250" s="212"/>
      <c r="C250" s="399" t="s">
        <v>654</v>
      </c>
      <c r="D250" s="400"/>
      <c r="E250" s="400"/>
      <c r="F250" s="400"/>
      <c r="G250" s="401"/>
      <c r="H250" s="212"/>
      <c r="I250" s="212"/>
      <c r="J250" s="212"/>
    </row>
    <row r="251" spans="1:10" ht="19.5" thickBot="1" x14ac:dyDescent="0.3">
      <c r="A251" s="391" t="s">
        <v>79</v>
      </c>
      <c r="B251" s="392"/>
      <c r="C251" s="392"/>
      <c r="D251" s="393"/>
      <c r="E251" s="391" t="s">
        <v>80</v>
      </c>
      <c r="F251" s="393"/>
      <c r="G251" s="204" t="s">
        <v>81</v>
      </c>
      <c r="H251" s="391" t="s">
        <v>521</v>
      </c>
      <c r="I251" s="393"/>
      <c r="J251" s="204" t="s">
        <v>83</v>
      </c>
    </row>
    <row r="252" spans="1:10" ht="15.75" thickBot="1" x14ac:dyDescent="0.3">
      <c r="A252" s="520" t="s">
        <v>655</v>
      </c>
      <c r="B252" s="521"/>
      <c r="C252" s="521"/>
      <c r="D252" s="522"/>
      <c r="E252" s="523" t="s">
        <v>656</v>
      </c>
      <c r="F252" s="524"/>
      <c r="G252" s="245">
        <v>61198170084869</v>
      </c>
      <c r="H252" s="523" t="s">
        <v>657</v>
      </c>
      <c r="I252" s="524"/>
      <c r="J252" s="246">
        <v>2006</v>
      </c>
    </row>
    <row r="253" spans="1:10" x14ac:dyDescent="0.25">
      <c r="A253" s="320"/>
      <c r="B253" s="320"/>
      <c r="C253" s="320"/>
      <c r="D253" s="320"/>
      <c r="E253" s="320"/>
      <c r="F253" s="320"/>
      <c r="G253" s="320"/>
      <c r="H253" s="320"/>
      <c r="I253" s="320"/>
      <c r="J253" s="320"/>
    </row>
    <row r="254" spans="1:10" ht="15.75" thickBot="1" x14ac:dyDescent="0.3"/>
    <row r="255" spans="1:10" ht="15.75" thickBot="1" x14ac:dyDescent="0.3">
      <c r="A255" s="517" t="s">
        <v>658</v>
      </c>
      <c r="B255" s="518"/>
      <c r="C255" s="518"/>
      <c r="D255" s="518"/>
      <c r="E255" s="519"/>
    </row>
    <row r="256" spans="1:10" ht="19.5" thickBot="1" x14ac:dyDescent="0.3">
      <c r="A256" s="247" t="s">
        <v>79</v>
      </c>
      <c r="B256" s="247" t="s">
        <v>80</v>
      </c>
      <c r="C256" s="244" t="s">
        <v>81</v>
      </c>
      <c r="D256" s="247" t="s">
        <v>521</v>
      </c>
      <c r="E256" s="204" t="s">
        <v>83</v>
      </c>
    </row>
    <row r="257" spans="1:6" x14ac:dyDescent="0.25">
      <c r="A257" s="322" t="s">
        <v>659</v>
      </c>
      <c r="B257" s="323" t="s">
        <v>660</v>
      </c>
      <c r="C257" s="323" t="s">
        <v>661</v>
      </c>
      <c r="D257" s="323" t="s">
        <v>662</v>
      </c>
      <c r="E257" s="323">
        <v>2015</v>
      </c>
    </row>
    <row r="258" spans="1:6" x14ac:dyDescent="0.25">
      <c r="A258" s="322" t="s">
        <v>663</v>
      </c>
      <c r="B258" s="323" t="s">
        <v>664</v>
      </c>
      <c r="C258" s="323" t="s">
        <v>665</v>
      </c>
      <c r="D258" s="323" t="s">
        <v>666</v>
      </c>
      <c r="E258" s="323">
        <v>2018</v>
      </c>
    </row>
    <row r="259" spans="1:6" ht="15.75" thickBot="1" x14ac:dyDescent="0.3">
      <c r="B259" s="341"/>
    </row>
    <row r="260" spans="1:6" ht="15.75" thickBot="1" x14ac:dyDescent="0.3">
      <c r="A260" s="517" t="s">
        <v>667</v>
      </c>
      <c r="B260" s="518"/>
      <c r="C260" s="518"/>
      <c r="D260" s="518"/>
      <c r="E260" s="519"/>
    </row>
    <row r="261" spans="1:6" ht="19.5" thickBot="1" x14ac:dyDescent="0.3">
      <c r="A261" s="247" t="s">
        <v>79</v>
      </c>
      <c r="B261" s="247" t="s">
        <v>80</v>
      </c>
      <c r="C261" s="244" t="s">
        <v>81</v>
      </c>
      <c r="D261" s="247" t="s">
        <v>521</v>
      </c>
      <c r="E261" s="204" t="s">
        <v>83</v>
      </c>
    </row>
    <row r="262" spans="1:6" x14ac:dyDescent="0.25">
      <c r="A262" s="322" t="s">
        <v>553</v>
      </c>
      <c r="B262" s="323" t="s">
        <v>668</v>
      </c>
      <c r="C262" s="323" t="s">
        <v>669</v>
      </c>
      <c r="D262" s="323" t="s">
        <v>670</v>
      </c>
      <c r="E262" s="323">
        <v>2009</v>
      </c>
    </row>
    <row r="263" spans="1:6" ht="15.75" thickBot="1" x14ac:dyDescent="0.3"/>
    <row r="264" spans="1:6" ht="15.75" thickBot="1" x14ac:dyDescent="0.3">
      <c r="A264" s="517" t="s">
        <v>671</v>
      </c>
      <c r="B264" s="518"/>
      <c r="C264" s="518"/>
      <c r="D264" s="518"/>
      <c r="E264" s="519"/>
    </row>
    <row r="265" spans="1:6" ht="19.5" thickBot="1" x14ac:dyDescent="0.3">
      <c r="A265" s="247" t="s">
        <v>79</v>
      </c>
      <c r="B265" s="247" t="s">
        <v>80</v>
      </c>
      <c r="C265" s="244" t="s">
        <v>81</v>
      </c>
      <c r="D265" s="247" t="s">
        <v>521</v>
      </c>
      <c r="E265" s="204" t="s">
        <v>83</v>
      </c>
    </row>
    <row r="266" spans="1:6" x14ac:dyDescent="0.25">
      <c r="A266" s="322" t="s">
        <v>672</v>
      </c>
      <c r="B266" s="323" t="s">
        <v>673</v>
      </c>
      <c r="C266" s="323" t="s">
        <v>674</v>
      </c>
      <c r="D266" s="323" t="s">
        <v>675</v>
      </c>
      <c r="E266" s="323">
        <v>2018</v>
      </c>
      <c r="F266" s="340"/>
    </row>
    <row r="267" spans="1:6" ht="15.75" thickBot="1" x14ac:dyDescent="0.3"/>
    <row r="268" spans="1:6" ht="15.75" thickBot="1" x14ac:dyDescent="0.3">
      <c r="A268" s="517" t="s">
        <v>676</v>
      </c>
      <c r="B268" s="518"/>
      <c r="C268" s="518"/>
      <c r="D268" s="518"/>
      <c r="E268" s="519"/>
    </row>
    <row r="269" spans="1:6" ht="19.5" thickBot="1" x14ac:dyDescent="0.3">
      <c r="A269" s="247" t="s">
        <v>79</v>
      </c>
      <c r="B269" s="247" t="s">
        <v>80</v>
      </c>
      <c r="C269" s="244" t="s">
        <v>81</v>
      </c>
      <c r="D269" s="247" t="s">
        <v>521</v>
      </c>
      <c r="E269" s="204" t="s">
        <v>83</v>
      </c>
    </row>
    <row r="270" spans="1:6" x14ac:dyDescent="0.25">
      <c r="A270" s="322" t="s">
        <v>677</v>
      </c>
      <c r="B270" s="323" t="s">
        <v>678</v>
      </c>
      <c r="C270" s="342">
        <v>61198170074409</v>
      </c>
      <c r="D270" s="323" t="s">
        <v>679</v>
      </c>
      <c r="E270" s="323">
        <v>2008</v>
      </c>
    </row>
    <row r="271" spans="1:6" ht="15.75" thickBot="1" x14ac:dyDescent="0.3"/>
    <row r="272" spans="1:6" ht="15.75" thickBot="1" x14ac:dyDescent="0.3">
      <c r="A272" s="517" t="s">
        <v>680</v>
      </c>
      <c r="B272" s="518"/>
      <c r="C272" s="518"/>
      <c r="D272" s="518"/>
      <c r="E272" s="519"/>
    </row>
    <row r="273" spans="1:6" ht="19.5" thickBot="1" x14ac:dyDescent="0.3">
      <c r="A273" s="247" t="s">
        <v>79</v>
      </c>
      <c r="B273" s="247" t="s">
        <v>80</v>
      </c>
      <c r="C273" s="244" t="s">
        <v>81</v>
      </c>
      <c r="D273" s="247" t="s">
        <v>521</v>
      </c>
      <c r="E273" s="204" t="s">
        <v>83</v>
      </c>
    </row>
    <row r="274" spans="1:6" x14ac:dyDescent="0.25">
      <c r="A274" s="322" t="s">
        <v>681</v>
      </c>
      <c r="B274" s="323" t="s">
        <v>682</v>
      </c>
      <c r="C274" s="323" t="s">
        <v>683</v>
      </c>
      <c r="D274" s="323" t="s">
        <v>684</v>
      </c>
      <c r="E274" s="323">
        <v>2019</v>
      </c>
    </row>
    <row r="275" spans="1:6" ht="15.75" thickBot="1" x14ac:dyDescent="0.3"/>
    <row r="276" spans="1:6" ht="15.75" thickBot="1" x14ac:dyDescent="0.3">
      <c r="A276" s="517" t="s">
        <v>689</v>
      </c>
      <c r="B276" s="518"/>
      <c r="C276" s="518"/>
      <c r="D276" s="518"/>
      <c r="E276" s="519"/>
    </row>
    <row r="277" spans="1:6" ht="19.5" thickBot="1" x14ac:dyDescent="0.3">
      <c r="A277" s="247" t="s">
        <v>79</v>
      </c>
      <c r="B277" s="247" t="s">
        <v>80</v>
      </c>
      <c r="C277" s="244" t="s">
        <v>81</v>
      </c>
      <c r="D277" s="247" t="s">
        <v>521</v>
      </c>
      <c r="E277" s="204" t="s">
        <v>83</v>
      </c>
    </row>
    <row r="278" spans="1:6" x14ac:dyDescent="0.25">
      <c r="A278" s="322" t="s">
        <v>685</v>
      </c>
      <c r="B278" s="323" t="s">
        <v>686</v>
      </c>
      <c r="C278" s="323" t="s">
        <v>687</v>
      </c>
      <c r="D278" s="323" t="s">
        <v>688</v>
      </c>
      <c r="E278" s="343">
        <v>2007</v>
      </c>
      <c r="F278" s="340"/>
    </row>
    <row r="281" spans="1:6" ht="15.75" thickBot="1" x14ac:dyDescent="0.3"/>
    <row r="282" spans="1:6" ht="15.75" thickBot="1" x14ac:dyDescent="0.3">
      <c r="A282" s="352" t="s">
        <v>734</v>
      </c>
      <c r="B282" s="70" t="s">
        <v>735</v>
      </c>
    </row>
    <row r="283" spans="1:6" x14ac:dyDescent="0.25">
      <c r="A283" s="350" t="s">
        <v>736</v>
      </c>
      <c r="B283" s="351">
        <v>1400</v>
      </c>
    </row>
    <row r="284" spans="1:6" x14ac:dyDescent="0.25">
      <c r="A284" s="344" t="s">
        <v>737</v>
      </c>
      <c r="B284" s="345">
        <v>1200</v>
      </c>
    </row>
    <row r="285" spans="1:6" x14ac:dyDescent="0.25">
      <c r="A285" s="344" t="s">
        <v>738</v>
      </c>
      <c r="B285" s="345">
        <f>'SAF 011'!U10</f>
        <v>2000</v>
      </c>
    </row>
    <row r="286" spans="1:6" x14ac:dyDescent="0.25">
      <c r="A286" s="344" t="s">
        <v>739</v>
      </c>
      <c r="B286" s="345">
        <f>'SAF 011'!W10</f>
        <v>15000</v>
      </c>
    </row>
    <row r="287" spans="1:6" x14ac:dyDescent="0.25">
      <c r="A287" s="344" t="s">
        <v>740</v>
      </c>
      <c r="B287" s="345">
        <f>'SAF 011'!AA10</f>
        <v>3000</v>
      </c>
    </row>
    <row r="288" spans="1:6" x14ac:dyDescent="0.25">
      <c r="A288" s="344" t="s">
        <v>741</v>
      </c>
      <c r="B288" s="345">
        <f>'SAF 011'!AC10</f>
        <v>3500</v>
      </c>
    </row>
    <row r="289" spans="1:2" x14ac:dyDescent="0.25">
      <c r="A289" s="344" t="s">
        <v>742</v>
      </c>
      <c r="B289" s="345">
        <f>'SAF 011'!AE10</f>
        <v>1300</v>
      </c>
    </row>
    <row r="290" spans="1:2" x14ac:dyDescent="0.25">
      <c r="A290" s="344" t="s">
        <v>743</v>
      </c>
      <c r="B290" s="345">
        <f>'SAF 011'!AG10</f>
        <v>1200</v>
      </c>
    </row>
    <row r="291" spans="1:2" x14ac:dyDescent="0.25">
      <c r="A291" s="344" t="s">
        <v>744</v>
      </c>
      <c r="B291" s="345">
        <f>'SAF 011'!AI10</f>
        <v>800</v>
      </c>
    </row>
    <row r="292" spans="1:2" x14ac:dyDescent="0.25">
      <c r="A292" s="344" t="s">
        <v>745</v>
      </c>
      <c r="B292" s="345">
        <f>'SAF 011'!AM10</f>
        <v>2000</v>
      </c>
    </row>
    <row r="293" spans="1:2" x14ac:dyDescent="0.25">
      <c r="A293" s="344" t="s">
        <v>746</v>
      </c>
      <c r="B293" s="345">
        <f>'SAF 011'!AO10</f>
        <v>800</v>
      </c>
    </row>
    <row r="294" spans="1:2" x14ac:dyDescent="0.25">
      <c r="A294" s="344" t="s">
        <v>747</v>
      </c>
      <c r="B294" s="345">
        <f>'SAF 011'!AQ10</f>
        <v>80998</v>
      </c>
    </row>
    <row r="295" spans="1:2" x14ac:dyDescent="0.25">
      <c r="A295" s="344" t="s">
        <v>748</v>
      </c>
      <c r="B295" s="345">
        <f>'SAF 011'!AS10</f>
        <v>700</v>
      </c>
    </row>
    <row r="296" spans="1:2" x14ac:dyDescent="0.25">
      <c r="A296" s="344" t="s">
        <v>749</v>
      </c>
      <c r="B296" s="345">
        <f>'SAF 011'!AU10</f>
        <v>2100</v>
      </c>
    </row>
    <row r="297" spans="1:2" ht="15.75" thickBot="1" x14ac:dyDescent="0.3">
      <c r="A297" s="346" t="s">
        <v>671</v>
      </c>
      <c r="B297" s="347">
        <f>'SAF 011'!AW10</f>
        <v>400</v>
      </c>
    </row>
    <row r="298" spans="1:2" ht="15.75" thickBot="1" x14ac:dyDescent="0.3">
      <c r="A298" s="348" t="s">
        <v>750</v>
      </c>
      <c r="B298" s="349">
        <f>SUM(B283:B297)</f>
        <v>116398</v>
      </c>
    </row>
  </sheetData>
  <mergeCells count="153">
    <mergeCell ref="A268:E268"/>
    <mergeCell ref="A272:E272"/>
    <mergeCell ref="A276:E276"/>
    <mergeCell ref="A252:D252"/>
    <mergeCell ref="E252:F252"/>
    <mergeCell ref="H252:I252"/>
    <mergeCell ref="A255:E255"/>
    <mergeCell ref="A260:E260"/>
    <mergeCell ref="A264:E264"/>
    <mergeCell ref="A244:D244"/>
    <mergeCell ref="E244:F244"/>
    <mergeCell ref="H244:I244"/>
    <mergeCell ref="A246:I246"/>
    <mergeCell ref="C250:G250"/>
    <mergeCell ref="A251:D251"/>
    <mergeCell ref="E251:F251"/>
    <mergeCell ref="H251:I251"/>
    <mergeCell ref="A242:D242"/>
    <mergeCell ref="E242:F242"/>
    <mergeCell ref="H242:I242"/>
    <mergeCell ref="A243:D243"/>
    <mergeCell ref="E243:F243"/>
    <mergeCell ref="H243:I243"/>
    <mergeCell ref="A240:D240"/>
    <mergeCell ref="E240:F240"/>
    <mergeCell ref="H240:I240"/>
    <mergeCell ref="A241:D241"/>
    <mergeCell ref="E241:F241"/>
    <mergeCell ref="H241:I241"/>
    <mergeCell ref="A238:D238"/>
    <mergeCell ref="E238:F238"/>
    <mergeCell ref="H238:I238"/>
    <mergeCell ref="A239:D239"/>
    <mergeCell ref="E239:F239"/>
    <mergeCell ref="H239:I239"/>
    <mergeCell ref="A236:D236"/>
    <mergeCell ref="E236:F236"/>
    <mergeCell ref="H236:I236"/>
    <mergeCell ref="A237:D237"/>
    <mergeCell ref="E237:F237"/>
    <mergeCell ref="H237:I237"/>
    <mergeCell ref="A234:D234"/>
    <mergeCell ref="E234:F234"/>
    <mergeCell ref="H234:I234"/>
    <mergeCell ref="A235:D235"/>
    <mergeCell ref="E235:F235"/>
    <mergeCell ref="H235:I235"/>
    <mergeCell ref="A232:D232"/>
    <mergeCell ref="E232:F232"/>
    <mergeCell ref="H232:I232"/>
    <mergeCell ref="A233:D233"/>
    <mergeCell ref="E233:F233"/>
    <mergeCell ref="H233:I233"/>
    <mergeCell ref="A230:D230"/>
    <mergeCell ref="E230:F230"/>
    <mergeCell ref="H230:I230"/>
    <mergeCell ref="A231:D231"/>
    <mergeCell ref="E231:F231"/>
    <mergeCell ref="H231:I231"/>
    <mergeCell ref="A228:D228"/>
    <mergeCell ref="E228:F228"/>
    <mergeCell ref="H228:I228"/>
    <mergeCell ref="A229:D229"/>
    <mergeCell ref="E229:F229"/>
    <mergeCell ref="H229:I229"/>
    <mergeCell ref="A224:C224"/>
    <mergeCell ref="E224:F224"/>
    <mergeCell ref="A226:G226"/>
    <mergeCell ref="A227:D227"/>
    <mergeCell ref="E227:F227"/>
    <mergeCell ref="H227:I227"/>
    <mergeCell ref="A220:H220"/>
    <mergeCell ref="A221:C221"/>
    <mergeCell ref="E221:F221"/>
    <mergeCell ref="A222:C222"/>
    <mergeCell ref="E222:F222"/>
    <mergeCell ref="A223:C223"/>
    <mergeCell ref="E223:F223"/>
    <mergeCell ref="A216:D216"/>
    <mergeCell ref="E216:F216"/>
    <mergeCell ref="A217:D217"/>
    <mergeCell ref="E217:F217"/>
    <mergeCell ref="A218:D218"/>
    <mergeCell ref="E218:F218"/>
    <mergeCell ref="C212:G212"/>
    <mergeCell ref="A213:D213"/>
    <mergeCell ref="E213:F213"/>
    <mergeCell ref="A214:D214"/>
    <mergeCell ref="E214:F214"/>
    <mergeCell ref="A215:D215"/>
    <mergeCell ref="E215:F215"/>
    <mergeCell ref="A209:D209"/>
    <mergeCell ref="E209:F209"/>
    <mergeCell ref="H209:I209"/>
    <mergeCell ref="A210:D210"/>
    <mergeCell ref="E210:F210"/>
    <mergeCell ref="H210:I210"/>
    <mergeCell ref="A207:D207"/>
    <mergeCell ref="E207:F207"/>
    <mergeCell ref="H207:I207"/>
    <mergeCell ref="A208:D208"/>
    <mergeCell ref="E208:F208"/>
    <mergeCell ref="H208:I208"/>
    <mergeCell ref="A205:D205"/>
    <mergeCell ref="E205:F205"/>
    <mergeCell ref="H205:I205"/>
    <mergeCell ref="A206:D206"/>
    <mergeCell ref="E206:F206"/>
    <mergeCell ref="H206:I206"/>
    <mergeCell ref="A203:D203"/>
    <mergeCell ref="E203:F203"/>
    <mergeCell ref="H203:I203"/>
    <mergeCell ref="A204:D204"/>
    <mergeCell ref="E204:F204"/>
    <mergeCell ref="H204:I204"/>
    <mergeCell ref="A198:D198"/>
    <mergeCell ref="E198:F198"/>
    <mergeCell ref="H198:I198"/>
    <mergeCell ref="C201:G201"/>
    <mergeCell ref="A202:D202"/>
    <mergeCell ref="E202:F202"/>
    <mergeCell ref="H202:I202"/>
    <mergeCell ref="C195:G195"/>
    <mergeCell ref="A196:D196"/>
    <mergeCell ref="E196:F196"/>
    <mergeCell ref="H196:I196"/>
    <mergeCell ref="A197:D197"/>
    <mergeCell ref="E197:F197"/>
    <mergeCell ref="H197:I197"/>
    <mergeCell ref="A191:D191"/>
    <mergeCell ref="E191:F191"/>
    <mergeCell ref="A192:D192"/>
    <mergeCell ref="E192:F192"/>
    <mergeCell ref="A193:D193"/>
    <mergeCell ref="E193:F193"/>
    <mergeCell ref="A156:E156"/>
    <mergeCell ref="A172:E172"/>
    <mergeCell ref="A180:E180"/>
    <mergeCell ref="A189:G189"/>
    <mergeCell ref="A190:D190"/>
    <mergeCell ref="E190:F190"/>
    <mergeCell ref="A72:E72"/>
    <mergeCell ref="A82:E82"/>
    <mergeCell ref="A97:E97"/>
    <mergeCell ref="A107:E107"/>
    <mergeCell ref="A119:E119"/>
    <mergeCell ref="A132:E132"/>
    <mergeCell ref="A1:E1"/>
    <mergeCell ref="A6:E6"/>
    <mergeCell ref="A25:E25"/>
    <mergeCell ref="A36:E36"/>
    <mergeCell ref="A46:E46"/>
    <mergeCell ref="A60:E6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D8" sqref="D8:K8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4.85546875" customWidth="1"/>
    <col min="8" max="8" width="9.28515625" customWidth="1"/>
    <col min="9" max="9" width="15.5703125" customWidth="1"/>
    <col min="10" max="10" width="14.7109375" style="316" customWidth="1"/>
    <col min="11" max="11" width="15.5703125" customWidth="1"/>
  </cols>
  <sheetData>
    <row r="1" spans="1:11" ht="30.75" thickBot="1" x14ac:dyDescent="0.3">
      <c r="A1" s="527" t="s">
        <v>690</v>
      </c>
      <c r="B1" s="527"/>
      <c r="C1" s="527"/>
      <c r="D1" s="527"/>
      <c r="E1" s="527"/>
      <c r="F1" s="527"/>
      <c r="G1" s="527"/>
      <c r="H1" s="527"/>
      <c r="I1" s="527"/>
      <c r="J1" s="311" t="s">
        <v>691</v>
      </c>
      <c r="K1" s="253" t="s">
        <v>727</v>
      </c>
    </row>
    <row r="2" spans="1:11" ht="16.5" thickBot="1" x14ac:dyDescent="0.3">
      <c r="A2" s="254"/>
      <c r="B2" s="255"/>
      <c r="C2" s="255"/>
      <c r="D2" s="256"/>
      <c r="E2" s="256"/>
      <c r="F2" s="256"/>
      <c r="G2" s="256"/>
      <c r="H2" s="256"/>
      <c r="I2" s="256"/>
      <c r="J2" s="312"/>
      <c r="K2" s="257"/>
    </row>
    <row r="3" spans="1:11" ht="16.5" thickBot="1" x14ac:dyDescent="0.3">
      <c r="A3" s="528" t="s">
        <v>692</v>
      </c>
      <c r="B3" s="528"/>
      <c r="C3" s="528"/>
      <c r="D3" s="526" t="str">
        <f>'SAF 011'!C4</f>
        <v>040 - MINISTERIO DE SALUD</v>
      </c>
      <c r="E3" s="526"/>
      <c r="F3" s="526"/>
      <c r="G3" s="526"/>
      <c r="H3" s="526"/>
      <c r="I3" s="526"/>
      <c r="J3" s="526"/>
      <c r="K3" s="526"/>
    </row>
    <row r="4" spans="1:11" ht="16.5" thickBot="1" x14ac:dyDescent="0.3">
      <c r="A4" s="525" t="s">
        <v>693</v>
      </c>
      <c r="B4" s="525"/>
      <c r="C4" s="525"/>
      <c r="D4" s="526" t="str">
        <f>'SAF 011'!C5</f>
        <v>011 - DIRECCION PROVINCIAL DE ADMINISTRACION - MINISTERIO DE SALUD</v>
      </c>
      <c r="E4" s="526"/>
      <c r="F4" s="526"/>
      <c r="G4" s="526"/>
      <c r="H4" s="526"/>
      <c r="I4" s="526"/>
      <c r="J4" s="526"/>
      <c r="K4" s="526"/>
    </row>
    <row r="5" spans="1:11" ht="16.5" thickBot="1" x14ac:dyDescent="0.3">
      <c r="A5" s="525" t="s">
        <v>694</v>
      </c>
      <c r="B5" s="525"/>
      <c r="C5" s="525"/>
      <c r="D5" s="526" t="s">
        <v>753</v>
      </c>
      <c r="E5" s="526"/>
      <c r="F5" s="526"/>
      <c r="G5" s="526"/>
      <c r="H5" s="526"/>
      <c r="I5" s="526"/>
      <c r="J5" s="526"/>
      <c r="K5" s="526"/>
    </row>
    <row r="6" spans="1:11" ht="16.5" thickBot="1" x14ac:dyDescent="0.3">
      <c r="A6" s="528" t="s">
        <v>695</v>
      </c>
      <c r="B6" s="528"/>
      <c r="C6" s="528"/>
      <c r="D6" s="526" t="s">
        <v>753</v>
      </c>
      <c r="E6" s="526"/>
      <c r="F6" s="526"/>
      <c r="G6" s="526"/>
      <c r="H6" s="526"/>
      <c r="I6" s="526"/>
      <c r="J6" s="526"/>
      <c r="K6" s="526"/>
    </row>
    <row r="7" spans="1:11" ht="16.5" thickBot="1" x14ac:dyDescent="0.3">
      <c r="A7" s="525" t="s">
        <v>696</v>
      </c>
      <c r="B7" s="525"/>
      <c r="C7" s="525"/>
      <c r="D7" s="526" t="s">
        <v>728</v>
      </c>
      <c r="E7" s="526"/>
      <c r="F7" s="526"/>
      <c r="G7" s="526"/>
      <c r="H7" s="526"/>
      <c r="I7" s="526"/>
      <c r="J7" s="526"/>
      <c r="K7" s="526"/>
    </row>
    <row r="8" spans="1:11" ht="16.5" thickBot="1" x14ac:dyDescent="0.3">
      <c r="A8" s="529" t="s">
        <v>697</v>
      </c>
      <c r="B8" s="529"/>
      <c r="C8" s="529"/>
      <c r="D8" s="530" t="s">
        <v>754</v>
      </c>
      <c r="E8" s="530"/>
      <c r="F8" s="530"/>
      <c r="G8" s="530"/>
      <c r="H8" s="530"/>
      <c r="I8" s="530"/>
      <c r="J8" s="530"/>
      <c r="K8" s="530"/>
    </row>
    <row r="9" spans="1:11" ht="16.5" thickBot="1" x14ac:dyDescent="0.3">
      <c r="A9" s="258"/>
      <c r="B9" s="259"/>
      <c r="C9" s="259"/>
      <c r="D9" s="260"/>
      <c r="E9" s="260"/>
      <c r="F9" s="260"/>
      <c r="G9" s="260"/>
      <c r="H9" s="260"/>
      <c r="I9" s="260"/>
      <c r="J9" s="313"/>
      <c r="K9" s="261"/>
    </row>
    <row r="10" spans="1:11" ht="15.75" thickBot="1" x14ac:dyDescent="0.3">
      <c r="A10" s="537" t="s">
        <v>698</v>
      </c>
      <c r="B10" s="538" t="s">
        <v>699</v>
      </c>
      <c r="C10" s="538" t="s">
        <v>700</v>
      </c>
      <c r="D10" s="538"/>
      <c r="E10" s="538"/>
      <c r="F10" s="538"/>
      <c r="G10" s="538"/>
      <c r="H10" s="538" t="s">
        <v>701</v>
      </c>
      <c r="I10" s="538" t="s">
        <v>702</v>
      </c>
      <c r="J10" s="539" t="s">
        <v>703</v>
      </c>
      <c r="K10" s="535" t="s">
        <v>704</v>
      </c>
    </row>
    <row r="11" spans="1:11" ht="46.5" customHeight="1" thickBot="1" x14ac:dyDescent="0.3">
      <c r="A11" s="537"/>
      <c r="B11" s="538"/>
      <c r="C11" s="538"/>
      <c r="D11" s="538"/>
      <c r="E11" s="538"/>
      <c r="F11" s="538"/>
      <c r="G11" s="538"/>
      <c r="H11" s="538"/>
      <c r="I11" s="538"/>
      <c r="J11" s="539"/>
      <c r="K11" s="535"/>
    </row>
    <row r="12" spans="1:11" ht="40.5" customHeight="1" x14ac:dyDescent="0.25">
      <c r="A12" s="262">
        <v>1</v>
      </c>
      <c r="B12" s="310" t="str">
        <f>'SAF 011'!B10</f>
        <v>2.5.6-793.31</v>
      </c>
      <c r="C12" s="536" t="str">
        <f>'SAF 011'!E10</f>
        <v>GAS OIL; PRESENTACION: POR LITRO, USO: MOTORES DIESEL,COMERCIALIZACION: GRADO 3, DESTINO: DPTO. S.F.V. DE CATAMARCA</v>
      </c>
      <c r="D12" s="536"/>
      <c r="E12" s="536"/>
      <c r="F12" s="536"/>
      <c r="G12" s="536"/>
      <c r="H12" s="263" t="s">
        <v>732</v>
      </c>
      <c r="I12" s="264" t="str">
        <f>'SAF 011'!F10</f>
        <v>LITROS</v>
      </c>
      <c r="J12" s="314">
        <f>'SAF 011'!AZ10</f>
        <v>189</v>
      </c>
      <c r="K12" s="265">
        <f>'SAF 011'!AY10</f>
        <v>116398</v>
      </c>
    </row>
    <row r="13" spans="1:11" ht="15.75" x14ac:dyDescent="0.25">
      <c r="A13" s="266"/>
      <c r="B13" s="267"/>
      <c r="C13" s="534"/>
      <c r="D13" s="534"/>
      <c r="E13" s="534"/>
      <c r="F13" s="534"/>
      <c r="G13" s="534"/>
      <c r="H13" s="268"/>
      <c r="I13" s="269"/>
      <c r="J13" s="315"/>
      <c r="K13" s="270"/>
    </row>
    <row r="14" spans="1:11" ht="19.5" thickBot="1" x14ac:dyDescent="0.3">
      <c r="A14" s="531" t="s">
        <v>751</v>
      </c>
      <c r="B14" s="531"/>
      <c r="C14" s="531"/>
      <c r="D14" s="531"/>
      <c r="E14" s="531"/>
      <c r="F14" s="531"/>
      <c r="G14" s="531"/>
      <c r="H14" s="531"/>
      <c r="I14" s="531"/>
      <c r="J14" s="532">
        <f>+J12*K12</f>
        <v>21999222</v>
      </c>
      <c r="K14" s="533"/>
    </row>
  </sheetData>
  <mergeCells count="24">
    <mergeCell ref="A14:I14"/>
    <mergeCell ref="J14:K14"/>
    <mergeCell ref="C13:G13"/>
    <mergeCell ref="K10:K11"/>
    <mergeCell ref="C12:G12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4" workbookViewId="0">
      <selection activeCell="Q38" sqref="Q38"/>
    </sheetView>
  </sheetViews>
  <sheetFormatPr baseColWidth="10" defaultRowHeight="15" x14ac:dyDescent="0.25"/>
  <cols>
    <col min="1" max="5" width="4.42578125" customWidth="1"/>
    <col min="6" max="6" width="6.855468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541" t="s">
        <v>5</v>
      </c>
      <c r="B1" s="541"/>
      <c r="C1" s="541"/>
      <c r="D1" s="542">
        <v>2022</v>
      </c>
      <c r="E1" s="542"/>
      <c r="F1" s="271"/>
      <c r="G1" s="271"/>
      <c r="H1" s="272"/>
      <c r="I1" s="272"/>
      <c r="J1" s="272"/>
      <c r="K1" s="272"/>
      <c r="L1" s="272"/>
      <c r="M1" s="272"/>
      <c r="N1" s="272"/>
      <c r="O1" s="273"/>
      <c r="P1" s="543" t="s">
        <v>705</v>
      </c>
      <c r="Q1" s="543"/>
    </row>
    <row r="2" spans="1:17" ht="15.75" thickBot="1" x14ac:dyDescent="0.3">
      <c r="A2" s="274"/>
      <c r="B2" s="275"/>
      <c r="C2" s="275"/>
      <c r="D2" s="275"/>
      <c r="E2" s="275"/>
      <c r="F2" s="275"/>
      <c r="G2" s="276"/>
      <c r="H2" s="277"/>
      <c r="I2" s="277"/>
      <c r="J2" s="277"/>
      <c r="K2" s="277"/>
      <c r="L2" s="277"/>
      <c r="M2" s="277"/>
      <c r="N2" s="277"/>
      <c r="O2" s="275"/>
      <c r="P2" s="543"/>
      <c r="Q2" s="543"/>
    </row>
    <row r="3" spans="1:17" ht="15.75" thickBot="1" x14ac:dyDescent="0.3">
      <c r="A3" s="274"/>
      <c r="B3" s="275"/>
      <c r="C3" s="275"/>
      <c r="D3" s="275"/>
      <c r="E3" s="275"/>
      <c r="F3" s="275"/>
      <c r="G3" s="276"/>
      <c r="H3" s="275"/>
      <c r="I3" s="275"/>
      <c r="J3" s="275"/>
      <c r="K3" s="275"/>
      <c r="L3" s="275"/>
      <c r="M3" s="275"/>
      <c r="N3" s="275"/>
      <c r="O3" s="275"/>
      <c r="P3" s="275"/>
      <c r="Q3" s="278"/>
    </row>
    <row r="4" spans="1:17" ht="15.75" thickBot="1" x14ac:dyDescent="0.3">
      <c r="A4" s="544" t="s">
        <v>706</v>
      </c>
      <c r="B4" s="544"/>
      <c r="C4" s="544"/>
      <c r="D4" s="544"/>
      <c r="E4" s="544"/>
      <c r="F4" s="544"/>
      <c r="G4" s="545" t="str">
        <f>NP!D3</f>
        <v>040 - MINISTERIO DE SALUD</v>
      </c>
      <c r="H4" s="545"/>
      <c r="I4" s="545"/>
      <c r="J4" s="545"/>
      <c r="K4" s="545"/>
      <c r="L4" s="545"/>
      <c r="M4" s="545"/>
      <c r="N4" s="545"/>
      <c r="O4" s="545"/>
      <c r="P4" s="545"/>
      <c r="Q4" s="545"/>
    </row>
    <row r="5" spans="1:17" ht="15.75" thickBot="1" x14ac:dyDescent="0.3">
      <c r="A5" s="546" t="s">
        <v>693</v>
      </c>
      <c r="B5" s="546"/>
      <c r="C5" s="546"/>
      <c r="D5" s="546"/>
      <c r="E5" s="546"/>
      <c r="F5" s="546"/>
      <c r="G5" s="545" t="str">
        <f>NP!D4</f>
        <v>011 - DIRECCION PROVINCIAL DE ADMINISTRACION - MINISTERIO DE SALUD</v>
      </c>
      <c r="H5" s="545"/>
      <c r="I5" s="545"/>
      <c r="J5" s="545"/>
      <c r="K5" s="545"/>
      <c r="L5" s="545"/>
      <c r="M5" s="545"/>
      <c r="N5" s="545"/>
      <c r="O5" s="545"/>
      <c r="P5" s="545"/>
      <c r="Q5" s="545"/>
    </row>
    <row r="6" spans="1:17" ht="15.75" thickBot="1" x14ac:dyDescent="0.3">
      <c r="A6" s="546" t="s">
        <v>694</v>
      </c>
      <c r="B6" s="546"/>
      <c r="C6" s="546"/>
      <c r="D6" s="546"/>
      <c r="E6" s="546"/>
      <c r="F6" s="546"/>
      <c r="G6" s="545" t="str">
        <f>NP!D5</f>
        <v>352 - MINISTERIO DE SALUD</v>
      </c>
      <c r="H6" s="545"/>
      <c r="I6" s="545"/>
      <c r="J6" s="545"/>
      <c r="K6" s="545"/>
      <c r="L6" s="545"/>
      <c r="M6" s="545"/>
      <c r="N6" s="545"/>
      <c r="O6" s="545"/>
      <c r="P6" s="545"/>
      <c r="Q6" s="545"/>
    </row>
    <row r="7" spans="1:17" ht="15.75" thickBot="1" x14ac:dyDescent="0.3">
      <c r="A7" s="546" t="s">
        <v>695</v>
      </c>
      <c r="B7" s="546"/>
      <c r="C7" s="546"/>
      <c r="D7" s="546"/>
      <c r="E7" s="546"/>
      <c r="F7" s="546"/>
      <c r="G7" s="545" t="str">
        <f>NP!D6</f>
        <v>352 - MINISTERIO DE SALUD</v>
      </c>
      <c r="H7" s="545"/>
      <c r="I7" s="545"/>
      <c r="J7" s="545"/>
      <c r="K7" s="545"/>
      <c r="L7" s="545"/>
      <c r="M7" s="545"/>
      <c r="N7" s="545"/>
      <c r="O7" s="545"/>
      <c r="P7" s="545"/>
      <c r="Q7" s="545"/>
    </row>
    <row r="8" spans="1:17" ht="15.75" thickBot="1" x14ac:dyDescent="0.3">
      <c r="A8" s="547" t="s">
        <v>707</v>
      </c>
      <c r="B8" s="547"/>
      <c r="C8" s="547"/>
      <c r="D8" s="547"/>
      <c r="E8" s="547"/>
      <c r="F8" s="547"/>
      <c r="G8" s="547"/>
      <c r="H8" s="547"/>
      <c r="I8" s="547"/>
      <c r="J8" s="547"/>
      <c r="K8" s="547"/>
      <c r="L8" s="547"/>
      <c r="M8" s="547"/>
      <c r="N8" s="547"/>
      <c r="O8" s="547"/>
      <c r="P8" s="547"/>
      <c r="Q8" s="547"/>
    </row>
    <row r="9" spans="1:17" x14ac:dyDescent="0.25">
      <c r="A9" s="540" t="s">
        <v>708</v>
      </c>
      <c r="B9" s="540"/>
      <c r="C9" s="540"/>
      <c r="D9" s="540"/>
      <c r="E9" s="540"/>
      <c r="F9" s="540"/>
      <c r="G9" s="540"/>
      <c r="H9" s="540"/>
      <c r="I9" s="540"/>
      <c r="J9" s="540"/>
      <c r="K9" s="540"/>
      <c r="L9" s="540"/>
      <c r="M9" s="540"/>
      <c r="N9" s="540"/>
      <c r="O9" s="540"/>
      <c r="P9" s="540"/>
      <c r="Q9" s="540"/>
    </row>
    <row r="10" spans="1:17" ht="59.25" customHeight="1" x14ac:dyDescent="0.25">
      <c r="A10" s="549" t="s">
        <v>731</v>
      </c>
      <c r="B10" s="549"/>
      <c r="C10" s="549"/>
      <c r="D10" s="549"/>
      <c r="E10" s="549"/>
      <c r="F10" s="549"/>
      <c r="G10" s="549"/>
      <c r="H10" s="549"/>
      <c r="I10" s="549"/>
      <c r="J10" s="549"/>
      <c r="K10" s="549"/>
      <c r="L10" s="549"/>
      <c r="M10" s="549"/>
      <c r="N10" s="549"/>
      <c r="O10" s="549"/>
      <c r="P10" s="549"/>
      <c r="Q10" s="549"/>
    </row>
    <row r="11" spans="1:17" ht="15.75" thickBot="1" x14ac:dyDescent="0.3">
      <c r="A11" s="279"/>
      <c r="B11" s="280"/>
      <c r="C11" s="280"/>
      <c r="D11" s="280"/>
      <c r="E11" s="280"/>
      <c r="F11" s="280"/>
      <c r="G11" s="281"/>
      <c r="H11" s="280"/>
      <c r="I11" s="280"/>
      <c r="J11" s="280"/>
      <c r="K11" s="280"/>
      <c r="L11" s="280"/>
      <c r="M11" s="280"/>
      <c r="N11" s="280"/>
      <c r="O11" s="280"/>
      <c r="P11" s="280"/>
      <c r="Q11" s="282"/>
    </row>
    <row r="12" spans="1:17" ht="15.75" thickBot="1" x14ac:dyDescent="0.3">
      <c r="A12" s="550" t="s">
        <v>709</v>
      </c>
      <c r="B12" s="550"/>
      <c r="C12" s="550"/>
      <c r="D12" s="550"/>
      <c r="E12" s="550"/>
      <c r="F12" s="550"/>
      <c r="G12" s="550"/>
      <c r="H12" s="550"/>
      <c r="I12" s="550"/>
      <c r="J12" s="550"/>
      <c r="K12" s="550"/>
      <c r="L12" s="550"/>
      <c r="M12" s="550"/>
      <c r="N12" s="550"/>
      <c r="O12" s="550"/>
      <c r="P12" s="550"/>
      <c r="Q12" s="550"/>
    </row>
    <row r="13" spans="1:17" ht="15.75" thickBot="1" x14ac:dyDescent="0.3">
      <c r="A13" s="551" t="s">
        <v>710</v>
      </c>
      <c r="B13" s="551"/>
      <c r="C13" s="551"/>
      <c r="D13" s="551"/>
      <c r="E13" s="551"/>
      <c r="F13" s="551"/>
      <c r="G13" s="551"/>
      <c r="H13" s="551"/>
      <c r="I13" s="551"/>
      <c r="J13" s="551"/>
      <c r="K13" s="551"/>
      <c r="L13" s="551"/>
      <c r="M13" s="551"/>
      <c r="N13" s="551"/>
      <c r="O13" s="552" t="s">
        <v>711</v>
      </c>
      <c r="P13" s="552"/>
      <c r="Q13" s="553" t="s">
        <v>712</v>
      </c>
    </row>
    <row r="14" spans="1:17" ht="15.75" thickBot="1" x14ac:dyDescent="0.3">
      <c r="A14" s="283" t="s">
        <v>713</v>
      </c>
      <c r="B14" s="284" t="s">
        <v>714</v>
      </c>
      <c r="C14" s="284" t="s">
        <v>715</v>
      </c>
      <c r="D14" s="284" t="s">
        <v>716</v>
      </c>
      <c r="E14" s="284" t="s">
        <v>717</v>
      </c>
      <c r="F14" s="284" t="s">
        <v>718</v>
      </c>
      <c r="G14" s="285" t="s">
        <v>719</v>
      </c>
      <c r="H14" s="284" t="s">
        <v>720</v>
      </c>
      <c r="I14" s="284" t="s">
        <v>721</v>
      </c>
      <c r="J14" s="284" t="s">
        <v>722</v>
      </c>
      <c r="K14" s="284" t="s">
        <v>722</v>
      </c>
      <c r="L14" s="284" t="s">
        <v>723</v>
      </c>
      <c r="M14" s="286" t="s">
        <v>724</v>
      </c>
      <c r="N14" s="287" t="s">
        <v>725</v>
      </c>
      <c r="O14" s="552"/>
      <c r="P14" s="552"/>
      <c r="Q14" s="553"/>
    </row>
    <row r="15" spans="1:17" x14ac:dyDescent="0.25">
      <c r="A15" s="288">
        <v>1</v>
      </c>
      <c r="B15" s="289"/>
      <c r="C15" s="289"/>
      <c r="D15" s="289">
        <v>1</v>
      </c>
      <c r="E15" s="289"/>
      <c r="F15" s="289">
        <v>4901</v>
      </c>
      <c r="G15" s="289">
        <v>3</v>
      </c>
      <c r="H15" s="289">
        <v>1</v>
      </c>
      <c r="I15" s="289">
        <v>2</v>
      </c>
      <c r="J15" s="289">
        <v>5</v>
      </c>
      <c r="K15" s="289">
        <v>6</v>
      </c>
      <c r="L15" s="289"/>
      <c r="M15" s="290">
        <v>1</v>
      </c>
      <c r="N15" s="289" t="s">
        <v>729</v>
      </c>
      <c r="O15" s="554" t="s">
        <v>730</v>
      </c>
      <c r="P15" s="554"/>
      <c r="Q15" s="291">
        <f>NP!J14</f>
        <v>21999222</v>
      </c>
    </row>
    <row r="16" spans="1:17" x14ac:dyDescent="0.25">
      <c r="A16" s="292"/>
      <c r="B16" s="293"/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4"/>
      <c r="N16" s="295"/>
      <c r="O16" s="555"/>
      <c r="P16" s="555"/>
      <c r="Q16" s="296"/>
    </row>
    <row r="17" spans="1:17" x14ac:dyDescent="0.25">
      <c r="A17" s="292"/>
      <c r="B17" s="293"/>
      <c r="C17" s="293"/>
      <c r="D17" s="293"/>
      <c r="E17" s="293"/>
      <c r="F17" s="293"/>
      <c r="G17" s="293"/>
      <c r="H17" s="293"/>
      <c r="I17" s="293"/>
      <c r="J17" s="293"/>
      <c r="K17" s="293"/>
      <c r="L17" s="293"/>
      <c r="M17" s="294"/>
      <c r="N17" s="295"/>
      <c r="O17" s="556"/>
      <c r="P17" s="556"/>
      <c r="Q17" s="296"/>
    </row>
    <row r="18" spans="1:17" x14ac:dyDescent="0.25">
      <c r="A18" s="292"/>
      <c r="B18" s="293"/>
      <c r="C18" s="293"/>
      <c r="D18" s="293"/>
      <c r="E18" s="293"/>
      <c r="F18" s="293"/>
      <c r="G18" s="293"/>
      <c r="H18" s="293"/>
      <c r="I18" s="293"/>
      <c r="J18" s="293"/>
      <c r="K18" s="293"/>
      <c r="L18" s="293"/>
      <c r="M18" s="294"/>
      <c r="N18" s="295"/>
      <c r="O18" s="548"/>
      <c r="P18" s="548"/>
      <c r="Q18" s="296"/>
    </row>
    <row r="19" spans="1:17" x14ac:dyDescent="0.25">
      <c r="A19" s="292"/>
      <c r="B19" s="293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4"/>
      <c r="N19" s="295"/>
      <c r="O19" s="548"/>
      <c r="P19" s="548"/>
      <c r="Q19" s="296"/>
    </row>
    <row r="20" spans="1:17" x14ac:dyDescent="0.25">
      <c r="A20" s="292"/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4"/>
      <c r="N20" s="295"/>
      <c r="O20" s="548"/>
      <c r="P20" s="548"/>
      <c r="Q20" s="296"/>
    </row>
    <row r="21" spans="1:17" x14ac:dyDescent="0.25">
      <c r="A21" s="292"/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4"/>
      <c r="N21" s="295"/>
      <c r="O21" s="548"/>
      <c r="P21" s="548"/>
      <c r="Q21" s="296"/>
    </row>
    <row r="22" spans="1:17" x14ac:dyDescent="0.25">
      <c r="A22" s="292"/>
      <c r="B22" s="293"/>
      <c r="C22" s="293"/>
      <c r="D22" s="293"/>
      <c r="E22" s="293"/>
      <c r="F22" s="293"/>
      <c r="G22" s="293"/>
      <c r="H22" s="293"/>
      <c r="I22" s="293"/>
      <c r="J22" s="293"/>
      <c r="K22" s="293"/>
      <c r="L22" s="293"/>
      <c r="M22" s="294"/>
      <c r="N22" s="295"/>
      <c r="O22" s="548"/>
      <c r="P22" s="548"/>
      <c r="Q22" s="296"/>
    </row>
    <row r="23" spans="1:17" x14ac:dyDescent="0.25">
      <c r="A23" s="292"/>
      <c r="B23" s="293"/>
      <c r="C23" s="293"/>
      <c r="D23" s="293"/>
      <c r="E23" s="293"/>
      <c r="F23" s="293"/>
      <c r="G23" s="293"/>
      <c r="H23" s="293"/>
      <c r="I23" s="293"/>
      <c r="J23" s="293"/>
      <c r="K23" s="293"/>
      <c r="L23" s="293"/>
      <c r="M23" s="294"/>
      <c r="N23" s="295"/>
      <c r="O23" s="548"/>
      <c r="P23" s="548"/>
      <c r="Q23" s="296"/>
    </row>
    <row r="24" spans="1:17" x14ac:dyDescent="0.25">
      <c r="A24" s="292"/>
      <c r="B24" s="293"/>
      <c r="C24" s="293"/>
      <c r="D24" s="293"/>
      <c r="E24" s="293"/>
      <c r="F24" s="293"/>
      <c r="G24" s="293"/>
      <c r="H24" s="293"/>
      <c r="I24" s="293"/>
      <c r="J24" s="293"/>
      <c r="K24" s="293"/>
      <c r="L24" s="293"/>
      <c r="M24" s="294"/>
      <c r="N24" s="295"/>
      <c r="O24" s="548"/>
      <c r="P24" s="548"/>
      <c r="Q24" s="296"/>
    </row>
    <row r="25" spans="1:17" x14ac:dyDescent="0.25">
      <c r="A25" s="292"/>
      <c r="B25" s="293"/>
      <c r="C25" s="293"/>
      <c r="D25" s="293"/>
      <c r="E25" s="293"/>
      <c r="F25" s="293"/>
      <c r="G25" s="293"/>
      <c r="H25" s="293"/>
      <c r="I25" s="293"/>
      <c r="J25" s="293"/>
      <c r="K25" s="293"/>
      <c r="L25" s="293"/>
      <c r="M25" s="294"/>
      <c r="N25" s="295"/>
      <c r="O25" s="548"/>
      <c r="P25" s="548"/>
      <c r="Q25" s="296"/>
    </row>
    <row r="26" spans="1:17" x14ac:dyDescent="0.25">
      <c r="A26" s="292"/>
      <c r="B26" s="293"/>
      <c r="C26" s="293"/>
      <c r="D26" s="293"/>
      <c r="E26" s="293"/>
      <c r="F26" s="293"/>
      <c r="G26" s="293"/>
      <c r="H26" s="293"/>
      <c r="I26" s="293"/>
      <c r="J26" s="293"/>
      <c r="K26" s="293"/>
      <c r="L26" s="293"/>
      <c r="M26" s="294"/>
      <c r="N26" s="295"/>
      <c r="O26" s="548"/>
      <c r="P26" s="548"/>
      <c r="Q26" s="296"/>
    </row>
    <row r="27" spans="1:17" x14ac:dyDescent="0.25">
      <c r="A27" s="292"/>
      <c r="B27" s="293"/>
      <c r="C27" s="293"/>
      <c r="D27" s="293"/>
      <c r="E27" s="293"/>
      <c r="F27" s="293"/>
      <c r="G27" s="293"/>
      <c r="H27" s="293"/>
      <c r="I27" s="293"/>
      <c r="J27" s="293"/>
      <c r="K27" s="293"/>
      <c r="L27" s="293"/>
      <c r="M27" s="294"/>
      <c r="N27" s="295"/>
      <c r="O27" s="548"/>
      <c r="P27" s="548"/>
      <c r="Q27" s="296"/>
    </row>
    <row r="28" spans="1:17" x14ac:dyDescent="0.25">
      <c r="A28" s="292"/>
      <c r="B28" s="293"/>
      <c r="C28" s="293"/>
      <c r="D28" s="293"/>
      <c r="E28" s="293"/>
      <c r="F28" s="293"/>
      <c r="G28" s="293"/>
      <c r="H28" s="293"/>
      <c r="I28" s="293"/>
      <c r="J28" s="293"/>
      <c r="K28" s="293"/>
      <c r="L28" s="293"/>
      <c r="M28" s="294"/>
      <c r="N28" s="295"/>
      <c r="O28" s="548"/>
      <c r="P28" s="548"/>
      <c r="Q28" s="296"/>
    </row>
    <row r="29" spans="1:17" x14ac:dyDescent="0.25">
      <c r="A29" s="292"/>
      <c r="B29" s="293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4"/>
      <c r="N29" s="295"/>
      <c r="O29" s="548"/>
      <c r="P29" s="548"/>
      <c r="Q29" s="296"/>
    </row>
    <row r="30" spans="1:17" x14ac:dyDescent="0.25">
      <c r="A30" s="292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4"/>
      <c r="N30" s="295"/>
      <c r="O30" s="548"/>
      <c r="P30" s="548"/>
      <c r="Q30" s="296"/>
    </row>
    <row r="31" spans="1:17" x14ac:dyDescent="0.25">
      <c r="A31" s="292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4"/>
      <c r="N31" s="295"/>
      <c r="O31" s="548"/>
      <c r="P31" s="548"/>
      <c r="Q31" s="296"/>
    </row>
    <row r="32" spans="1:17" x14ac:dyDescent="0.25">
      <c r="A32" s="292"/>
      <c r="B32" s="293"/>
      <c r="C32" s="293"/>
      <c r="D32" s="293"/>
      <c r="E32" s="293"/>
      <c r="F32" s="295"/>
      <c r="G32" s="293"/>
      <c r="H32" s="293"/>
      <c r="I32" s="293"/>
      <c r="J32" s="293"/>
      <c r="K32" s="293"/>
      <c r="L32" s="293"/>
      <c r="M32" s="294"/>
      <c r="N32" s="295"/>
      <c r="O32" s="555"/>
      <c r="P32" s="555"/>
      <c r="Q32" s="296"/>
    </row>
    <row r="33" spans="1:17" x14ac:dyDescent="0.25">
      <c r="A33" s="292"/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4"/>
      <c r="N33" s="295"/>
      <c r="O33" s="555"/>
      <c r="P33" s="555"/>
      <c r="Q33" s="296"/>
    </row>
    <row r="34" spans="1:17" x14ac:dyDescent="0.25">
      <c r="A34" s="292"/>
      <c r="B34" s="293"/>
      <c r="C34" s="293"/>
      <c r="D34" s="293"/>
      <c r="E34" s="293"/>
      <c r="F34" s="295"/>
      <c r="G34" s="293"/>
      <c r="H34" s="293"/>
      <c r="I34" s="293"/>
      <c r="J34" s="293"/>
      <c r="K34" s="293"/>
      <c r="L34" s="293"/>
      <c r="M34" s="294"/>
      <c r="N34" s="295"/>
      <c r="O34" s="555"/>
      <c r="P34" s="555"/>
      <c r="Q34" s="296"/>
    </row>
    <row r="35" spans="1:17" x14ac:dyDescent="0.25">
      <c r="A35" s="292"/>
      <c r="B35" s="293"/>
      <c r="C35" s="293"/>
      <c r="D35" s="293"/>
      <c r="E35" s="293"/>
      <c r="F35" s="295"/>
      <c r="G35" s="293"/>
      <c r="H35" s="293"/>
      <c r="I35" s="293"/>
      <c r="J35" s="293"/>
      <c r="K35" s="293"/>
      <c r="L35" s="293"/>
      <c r="M35" s="294"/>
      <c r="N35" s="295"/>
      <c r="O35" s="555"/>
      <c r="P35" s="555"/>
      <c r="Q35" s="296"/>
    </row>
    <row r="36" spans="1:17" x14ac:dyDescent="0.25">
      <c r="A36" s="297"/>
      <c r="B36" s="298"/>
      <c r="C36" s="298"/>
      <c r="D36" s="298"/>
      <c r="E36" s="298"/>
      <c r="F36" s="299"/>
      <c r="G36" s="298"/>
      <c r="H36" s="298"/>
      <c r="I36" s="298"/>
      <c r="J36" s="298"/>
      <c r="K36" s="298"/>
      <c r="L36" s="298"/>
      <c r="M36" s="300"/>
      <c r="N36" s="301"/>
      <c r="O36" s="560"/>
      <c r="P36" s="560"/>
      <c r="Q36" s="296"/>
    </row>
    <row r="37" spans="1:17" ht="15.75" thickBot="1" x14ac:dyDescent="0.3">
      <c r="A37" s="302"/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4"/>
      <c r="N37" s="303"/>
      <c r="O37" s="561"/>
      <c r="P37" s="561"/>
      <c r="Q37" s="305"/>
    </row>
    <row r="38" spans="1:17" ht="42.75" customHeight="1" thickBot="1" x14ac:dyDescent="0.3">
      <c r="A38" s="562" t="s">
        <v>752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306">
        <f>SUM(Q15:Q37)</f>
        <v>21999222</v>
      </c>
    </row>
    <row r="39" spans="1:17" ht="15.75" thickBot="1" x14ac:dyDescent="0.3">
      <c r="A39" s="563"/>
      <c r="B39" s="563"/>
      <c r="C39" s="563"/>
      <c r="D39" s="563"/>
      <c r="E39" s="563"/>
      <c r="F39" s="563"/>
      <c r="G39" s="563"/>
      <c r="H39" s="563"/>
      <c r="I39" s="563"/>
      <c r="J39" s="563"/>
      <c r="K39" s="563"/>
      <c r="L39" s="563"/>
      <c r="M39" s="563"/>
      <c r="N39" s="563"/>
      <c r="O39" s="563"/>
      <c r="P39" s="563"/>
      <c r="Q39" s="563"/>
    </row>
    <row r="40" spans="1:17" ht="15.75" thickBot="1" x14ac:dyDescent="0.3">
      <c r="A40" s="557" t="s">
        <v>726</v>
      </c>
      <c r="B40" s="557"/>
      <c r="C40" s="557"/>
      <c r="D40" s="557"/>
      <c r="E40" s="557"/>
      <c r="F40" s="557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</row>
    <row r="41" spans="1:17" ht="15.75" thickBot="1" x14ac:dyDescent="0.3">
      <c r="A41" s="559" t="str">
        <f>NP!D8</f>
        <v>ADQ. DEL RUBRO COMBUSTIBLE (GAS OIL) PARA LAS DEPENDENCIAS DEL MINISTERIO DE SALUD</v>
      </c>
      <c r="B41" s="559"/>
      <c r="C41" s="559"/>
      <c r="D41" s="559"/>
      <c r="E41" s="559"/>
      <c r="F41" s="559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/>
    </row>
    <row r="42" spans="1:17" ht="15.75" thickBot="1" x14ac:dyDescent="0.3">
      <c r="A42" s="559"/>
      <c r="B42" s="559"/>
      <c r="C42" s="559"/>
      <c r="D42" s="559"/>
      <c r="E42" s="559"/>
      <c r="F42" s="559"/>
      <c r="G42" s="559"/>
      <c r="H42" s="559"/>
      <c r="I42" s="559"/>
      <c r="J42" s="559"/>
      <c r="K42" s="559"/>
      <c r="L42" s="559"/>
      <c r="M42" s="559"/>
      <c r="N42" s="559"/>
      <c r="O42" s="559"/>
      <c r="P42" s="559"/>
      <c r="Q42" s="559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SAF 011</vt:lpstr>
      <vt:lpstr>ANEXO</vt:lpstr>
      <vt:lpstr>NP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2021-11-12T17:27:33Z</dcterms:created>
  <dcterms:modified xsi:type="dcterms:W3CDTF">2022-07-25T19:31:47Z</dcterms:modified>
</cp:coreProperties>
</file>