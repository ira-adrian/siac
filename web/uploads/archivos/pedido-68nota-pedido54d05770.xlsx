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88586-CAT-DPPR#MHP\"/>
    </mc:Choice>
  </mc:AlternateContent>
  <xr:revisionPtr revIDLastSave="0" documentId="8_{8639F53D-DD0F-416F-AA22-9722C66264E0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NotaPedido'!$A$1:$K$14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3" l="1"/>
  <c r="E17" i="3"/>
  <c r="B13" i="2" l="1"/>
  <c r="C13" i="2"/>
  <c r="O15" i="3"/>
  <c r="I11" i="1"/>
  <c r="I10" i="1"/>
  <c r="I12" i="1" s="1"/>
  <c r="J14" i="2" l="1"/>
  <c r="J13" i="2"/>
  <c r="K13" i="2"/>
  <c r="K12" i="2"/>
  <c r="B12" i="2"/>
  <c r="C12" i="2"/>
  <c r="Q15" i="3" l="1"/>
  <c r="Q16" i="3" s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<sst xmlns="http://schemas.openxmlformats.org/spreadsheetml/2006/main" count="91" uniqueCount="80">
  <si>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</si>
  <si>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</si>
  <si>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</si>
  <si>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</si>
  <si>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</si>
  <si>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</si>
  <si>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</si>
  <si>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</si>
  <si>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</si>
  <si>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</si>
  <si>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</si>
  <si>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</si>
  <si>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</si>
  <si>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</si>
  <si>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</si>
  <si>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</si>
  <si>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2.1.1-478.47</t>
  </si>
  <si>
    <t>ALIMENTOS</t>
  </si>
  <si>
    <t>2.1.1</t>
  </si>
  <si>
    <t>AGUA MINERAL; TIPO: SIN GASIFICAR, PRESENTACION: BIDON X 20 L, MATERIAL ENVASE: POLICARBONATO, TIPO ENVASE: RETORNABLE, ELEM. TRANSPORTE: SIN, MATERIAL ELEM. TRANSPORTE: SIN</t>
  </si>
  <si>
    <t>UNIDAD</t>
  </si>
  <si>
    <t>2.1.1-478.68</t>
  </si>
  <si>
    <t>AGUA MINERAL; TIPO: SIN GASIFICAR, PRESENTACION: SEGUN PLIEGO, MATERIAL ENVASE: PLASTICO (PVC), TIPO ENVASE: NO RETORNABLE, ELEM. TRANSPORTE: SIN, MATERIAL ELEM. TRANSPORTE: PLASTICO</t>
  </si>
  <si>
    <t>Especificidades de los Items.</t>
  </si>
  <si>
    <t>Descripcion item 1: debe incluir el uso de dispenser 100 Dispenser  de agua fria y caliente sin cargo incluyendo el mantenimiento de los mismos,   hasta 30 dias posteriores a la ultima entrega de bidones .-</t>
  </si>
  <si>
    <r>
      <rPr>
        <u/>
        <sz val="10"/>
        <rFont val="Century Gothic"/>
        <family val="2"/>
      </rPr>
      <t>Descripcion item 2:</t>
    </r>
    <r>
      <rPr>
        <sz val="10"/>
        <rFont val="Century Gothic"/>
        <family val="2"/>
      </rPr>
      <t xml:space="preserve"> presentacion por 6,5 Litros</t>
    </r>
  </si>
  <si>
    <t>Plazos y lugares de entrega</t>
  </si>
  <si>
    <t>a) LUGAR DE ENTREGA: Departamento Logística, sito en Av. Felix Avellaneda RP N° 33  KM 2., SUMALAO - VALLE VIEJO. De 08 a 12 horas. 
b) FORMA DE LA ENTREGA: Durante 3 meses  se procedera a la entrega y pago de 1000 bidones mensuales,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</si>
  <si>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</si>
  <si>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r>
      <t xml:space="preserve">Que Cumpla con lo Solicitado de Forma Integra. </t>
    </r>
    <r>
      <rPr>
        <b/>
        <u/>
        <sz val="10"/>
        <rFont val="Century Gothic"/>
        <family val="2"/>
      </rPr>
      <t/>
    </r>
  </si>
  <si>
    <t>Mantenimiento</t>
  </si>
  <si>
    <t>30 dias</t>
  </si>
  <si>
    <t>Garantia</t>
  </si>
  <si>
    <t>NOTA DE PEDIDO</t>
  </si>
  <si>
    <t>N°</t>
  </si>
  <si>
    <t>16/2021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</si>
  <si>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</si>
  <si>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</si>
  <si>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</si>
  <si>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</si>
  <si>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</si>
  <si>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 - Departamento Logística</t>
  </si>
  <si>
    <t>PERIODO UTILIZACIÓN:</t>
  </si>
  <si>
    <t>2do trimestre Año 2021.-</t>
  </si>
  <si>
    <t>OBJETO:</t>
  </si>
  <si>
    <t>Adquisición de agua destinadas a dependencias policiales.-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</si>
  <si>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</si>
  <si>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</si>
  <si>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</si>
  <si>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</si>
  <si>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</si>
  <si>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</si>
  <si>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</si>
  <si>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</si>
  <si>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Costo total estimado: </t>
  </si>
  <si>
    <t>Dos Millones Seiscientos Veinte Mil Ochocientos con 00/100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</si>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</sst>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\ #,##0;[Red]&quot;$&quot;\ \-#,##0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_(\$* #,##0.00_);_(\$* \(#,##0.00\);_(\$* \-??_);_(@_)"/>
    <numFmt numFmtId="168" formatCode="_-* #,##0.00&quot; €&quot;_-;\-* #,##0.00&quot; €&quot;_-;_-* \-??&quot; €&quot;_-;_-@_-"/>
    <numFmt numFmtId="169" formatCode="[$$-2C0A]\ #,##0.00;[$$-2C0A]&quot; -&quot;#,##0.00"/>
    <numFmt numFmtId="170" formatCode="[$$-2C0A]\ #,##0.00"/>
    <numFmt numFmtId="171" formatCode="dd\-mm\-yy;@"/>
    <numFmt numFmtId="172" formatCode="_ [$$-2C0A]\ * #,##0.00_ ;_ [$$-2C0A]\ * \-#,##0.00_ ;_ [$$-2C0A]\ * &quot;-&quot;??_ ;_ @_ "/>
    <numFmt numFmtId="173" formatCode="_-[$$-2C0A]\ * #,##0.00_-;\-[$$-2C0A]\ * #,##0.00_-;_-[$$-2C0A]\ * &quot;-&quot;??_-;_-@_-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/>
      <diagonal/>
    </border>
  </borders>
  <cellStyleXfs count="5">
    <xf numFmtId="0" fontId="0" fillId="0" borderId="0"/>
    <xf numFmtId="168" fontId="4" fillId="0" borderId="0" applyBorder="0" applyProtection="0"/>
    <xf numFmtId="0" fontId="1" fillId="0" borderId="1" applyProtection="0"/>
    <xf numFmtId="167" fontId="2" fillId="0" borderId="0" applyBorder="0" applyProtection="0"/>
    <xf numFmtId="0" fontId="3" fillId="2" borderId="0" applyBorder="0" applyProtection="0"/>
  </cellStyleXfs>
  <cellXfs count="165">
    <xf numFmtId="0" fontId="0" fillId="0" borderId="0" xfId="0"/>
    <xf numFmtId="0" fontId="6" fillId="0" borderId="13" xfId="0" applyFont="1" applyBorder="1" applyAlignment="1">
      <alignment horizontal="right" vertical="center"/>
    </xf>
    <xf numFmtId="0" fontId="7" fillId="0" borderId="14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6" fillId="0" borderId="1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 wrapText="1"/>
    </xf>
    <xf numFmtId="172" fontId="5" fillId="0" borderId="45" xfId="1" applyNumberFormat="1" applyFont="1" applyBorder="1" applyAlignment="1" applyProtection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vertical="center"/>
    </xf>
    <xf numFmtId="173" fontId="5" fillId="0" borderId="0" xfId="0" applyNumberFormat="1" applyFont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172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Border="1"/>
    <xf numFmtId="49" fontId="5" fillId="3" borderId="50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49" fontId="5" fillId="3" borderId="46" xfId="0" applyNumberFormat="1" applyFont="1" applyFill="1" applyBorder="1" applyAlignment="1">
      <alignment vertical="center"/>
    </xf>
    <xf numFmtId="0" fontId="5" fillId="0" borderId="56" xfId="0" applyFont="1" applyBorder="1" applyAlignment="1">
      <alignment wrapText="1"/>
    </xf>
    <xf numFmtId="49" fontId="5" fillId="3" borderId="43" xfId="0" applyNumberFormat="1" applyFont="1" applyFill="1" applyBorder="1" applyAlignment="1">
      <alignment vertical="center" wrapText="1"/>
    </xf>
    <xf numFmtId="0" fontId="5" fillId="3" borderId="0" xfId="0" applyFont="1" applyFill="1" applyAlignment="1">
      <alignment horizontal="left"/>
    </xf>
    <xf numFmtId="172" fontId="12" fillId="3" borderId="45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13" fillId="3" borderId="5" xfId="0" applyFont="1" applyFill="1" applyBorder="1" applyAlignment="1">
      <alignment horizontal="left" vertical="top"/>
    </xf>
    <xf numFmtId="172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3" borderId="10" xfId="0" applyFont="1" applyFill="1" applyBorder="1"/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/>
    <xf numFmtId="0" fontId="13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/>
    </xf>
    <xf numFmtId="49" fontId="5" fillId="3" borderId="0" xfId="0" applyNumberFormat="1" applyFont="1" applyFill="1" applyBorder="1"/>
    <xf numFmtId="49" fontId="5" fillId="3" borderId="0" xfId="0" applyNumberFormat="1" applyFont="1" applyFill="1"/>
    <xf numFmtId="0" fontId="5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3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54" xfId="0" applyFont="1" applyFill="1" applyBorder="1" applyAlignment="1">
      <alignment horizontal="center" vertical="center" wrapText="1"/>
    </xf>
    <xf numFmtId="172" fontId="12" fillId="3" borderId="48" xfId="0" applyNumberFormat="1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vertical="center" wrapText="1"/>
    </xf>
    <xf numFmtId="0" fontId="15" fillId="3" borderId="50" xfId="0" applyFont="1" applyFill="1" applyBorder="1" applyAlignment="1">
      <alignment vertical="top" wrapText="1"/>
    </xf>
    <xf numFmtId="0" fontId="15" fillId="0" borderId="0" xfId="0" applyFont="1" applyAlignment="1">
      <alignment wrapText="1"/>
    </xf>
    <xf numFmtId="0" fontId="5" fillId="3" borderId="50" xfId="0" applyFont="1" applyFill="1" applyBorder="1" applyAlignment="1">
      <alignment vertical="top" wrapText="1"/>
    </xf>
    <xf numFmtId="0" fontId="5" fillId="3" borderId="50" xfId="0" applyFont="1" applyFill="1" applyBorder="1" applyAlignment="1">
      <alignment horizontal="center" vertical="center" wrapText="1"/>
    </xf>
    <xf numFmtId="164" fontId="5" fillId="3" borderId="50" xfId="0" applyNumberFormat="1" applyFont="1" applyFill="1" applyBorder="1" applyAlignment="1">
      <alignment horizontal="center" vertical="center"/>
    </xf>
    <xf numFmtId="166" fontId="5" fillId="3" borderId="51" xfId="1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vertical="center"/>
    </xf>
    <xf numFmtId="0" fontId="15" fillId="3" borderId="0" xfId="0" applyFont="1" applyFill="1" applyBorder="1" applyAlignment="1">
      <alignment vertical="top" wrapText="1"/>
    </xf>
    <xf numFmtId="0" fontId="5" fillId="0" borderId="45" xfId="0" applyFont="1" applyBorder="1"/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3" fontId="9" fillId="3" borderId="0" xfId="0" applyNumberFormat="1" applyFont="1" applyFill="1" applyBorder="1" applyAlignment="1"/>
    <xf numFmtId="171" fontId="5" fillId="3" borderId="0" xfId="0" applyNumberFormat="1" applyFont="1" applyFill="1" applyAlignment="1">
      <alignment horizontal="left"/>
    </xf>
    <xf numFmtId="0" fontId="5" fillId="3" borderId="13" xfId="0" applyFont="1" applyFill="1" applyBorder="1"/>
    <xf numFmtId="0" fontId="5" fillId="3" borderId="27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28" xfId="0" applyFont="1" applyFill="1" applyBorder="1"/>
    <xf numFmtId="0" fontId="12" fillId="3" borderId="3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vertical="top" wrapText="1"/>
    </xf>
    <xf numFmtId="0" fontId="9" fillId="3" borderId="15" xfId="0" applyFont="1" applyFill="1" applyBorder="1" applyAlignment="1">
      <alignment vertical="top" wrapText="1"/>
    </xf>
    <xf numFmtId="169" fontId="5" fillId="3" borderId="62" xfId="3" applyNumberFormat="1" applyFont="1" applyFill="1" applyBorder="1" applyAlignment="1" applyProtection="1">
      <alignment horizontal="center" vertical="center"/>
    </xf>
    <xf numFmtId="172" fontId="12" fillId="3" borderId="0" xfId="0" applyNumberFormat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vertical="top"/>
    </xf>
    <xf numFmtId="0" fontId="5" fillId="3" borderId="12" xfId="0" applyFont="1" applyFill="1" applyBorder="1" applyAlignment="1">
      <alignment horizontal="left" vertical="top"/>
    </xf>
    <xf numFmtId="0" fontId="13" fillId="3" borderId="8" xfId="0" applyFont="1" applyFill="1" applyBorder="1" applyAlignment="1">
      <alignment horizontal="left" vertical="top"/>
    </xf>
    <xf numFmtId="0" fontId="15" fillId="0" borderId="55" xfId="0" applyFont="1" applyBorder="1" applyAlignment="1">
      <alignment vertical="center" wrapText="1"/>
    </xf>
    <xf numFmtId="0" fontId="5" fillId="3" borderId="9" xfId="0" applyFont="1" applyFill="1" applyBorder="1" applyAlignment="1">
      <alignment horizontal="left" wrapText="1"/>
    </xf>
    <xf numFmtId="0" fontId="5" fillId="3" borderId="12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0" borderId="0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/>
    </xf>
    <xf numFmtId="170" fontId="7" fillId="0" borderId="40" xfId="0" applyNumberFormat="1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left" vertical="center" wrapText="1" indent="1"/>
    </xf>
    <xf numFmtId="0" fontId="7" fillId="0" borderId="52" xfId="0" applyFont="1" applyFill="1" applyBorder="1" applyAlignment="1">
      <alignment horizontal="left" vertical="center" wrapText="1" indent="1"/>
    </xf>
    <xf numFmtId="0" fontId="7" fillId="0" borderId="23" xfId="0" applyFont="1" applyFill="1" applyBorder="1" applyAlignment="1">
      <alignment horizontal="left" vertical="center" wrapText="1" indent="1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/>
    </xf>
    <xf numFmtId="0" fontId="10" fillId="0" borderId="3" xfId="0" applyFont="1" applyBorder="1" applyAlignment="1">
      <alignment horizontal="left" wrapText="1"/>
    </xf>
    <xf numFmtId="0" fontId="10" fillId="0" borderId="3" xfId="0" quotePrefix="1" applyFont="1" applyBorder="1" applyAlignment="1">
      <alignment horizontal="left" wrapText="1"/>
    </xf>
    <xf numFmtId="0" fontId="7" fillId="0" borderId="59" xfId="0" applyFont="1" applyFill="1" applyBorder="1" applyAlignment="1">
      <alignment horizontal="right" vertical="center" wrapText="1"/>
    </xf>
    <xf numFmtId="0" fontId="7" fillId="0" borderId="60" xfId="0" applyFont="1" applyFill="1" applyBorder="1" applyAlignment="1">
      <alignment horizontal="right" vertical="center" wrapText="1"/>
    </xf>
    <xf numFmtId="0" fontId="7" fillId="0" borderId="60" xfId="0" applyFont="1" applyFill="1" applyBorder="1" applyAlignment="1">
      <alignment horizontal="left" vertical="center" wrapText="1"/>
    </xf>
    <xf numFmtId="0" fontId="7" fillId="0" borderId="61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/>
    </xf>
    <xf numFmtId="3" fontId="9" fillId="3" borderId="23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/>
    <xf numFmtId="0" fontId="15" fillId="3" borderId="14" xfId="0" applyFont="1" applyFill="1" applyBorder="1" applyAlignment="1">
      <alignment horizontal="left" indent="1"/>
    </xf>
    <xf numFmtId="0" fontId="12" fillId="3" borderId="16" xfId="0" applyFont="1" applyFill="1" applyBorder="1" applyAlignment="1">
      <alignment horizontal="left" vertical="center" wrapText="1"/>
    </xf>
    <xf numFmtId="0" fontId="12" fillId="3" borderId="38" xfId="0" applyFont="1" applyFill="1" applyBorder="1" applyAlignment="1">
      <alignment horizontal="left" vertical="center" wrapText="1"/>
    </xf>
    <xf numFmtId="0" fontId="12" fillId="3" borderId="39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/>
    </xf>
    <xf numFmtId="0" fontId="15" fillId="3" borderId="25" xfId="0" applyFont="1" applyFill="1" applyBorder="1" applyAlignment="1"/>
    <xf numFmtId="0" fontId="15" fillId="3" borderId="26" xfId="0" applyFont="1" applyFill="1" applyBorder="1" applyAlignment="1">
      <alignment horizontal="left" vertical="center" wrapText="1" indent="1"/>
    </xf>
    <xf numFmtId="0" fontId="12" fillId="3" borderId="2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vertical="center" wrapText="1"/>
    </xf>
    <xf numFmtId="0" fontId="9" fillId="3" borderId="37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15" fillId="3" borderId="29" xfId="0" applyFont="1" applyFill="1" applyBorder="1" applyAlignment="1">
      <alignment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9" fillId="3" borderId="57" xfId="0" applyFont="1" applyFill="1" applyBorder="1" applyAlignment="1">
      <alignment horizontal="left" vertical="center" wrapText="1"/>
    </xf>
    <xf numFmtId="0" fontId="9" fillId="3" borderId="58" xfId="0" applyFont="1" applyFill="1" applyBorder="1" applyAlignment="1">
      <alignment horizontal="left" vertical="center" wrapText="1"/>
    </xf>
    <xf numFmtId="0" fontId="12" fillId="3" borderId="18" xfId="0" applyFont="1" applyFill="1" applyBorder="1" applyAlignment="1">
      <alignment vertical="center"/>
    </xf>
    <xf numFmtId="0" fontId="12" fillId="3" borderId="42" xfId="0" applyFont="1" applyFill="1" applyBorder="1" applyAlignment="1">
      <alignment vertical="center"/>
    </xf>
    <xf numFmtId="0" fontId="12" fillId="3" borderId="29" xfId="0" applyFont="1" applyFill="1" applyBorder="1" applyAlignment="1">
      <alignment vertical="center"/>
    </xf>
    <xf numFmtId="0" fontId="9" fillId="3" borderId="15" xfId="0" applyFont="1" applyFill="1" applyBorder="1" applyAlignment="1">
      <alignment horizontal="center" vertical="top" wrapText="1"/>
    </xf>
    <xf numFmtId="169" fontId="12" fillId="3" borderId="24" xfId="0" applyNumberFormat="1" applyFont="1" applyFill="1" applyBorder="1" applyAlignment="1">
      <alignment horizontal="center" vertical="center"/>
    </xf>
    <xf numFmtId="169" fontId="12" fillId="3" borderId="36" xfId="0" applyNumberFormat="1" applyFont="1" applyFill="1" applyBorder="1" applyAlignment="1">
      <alignment horizontal="center"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61"/>
  <sheetViews>
    <sheetView tabSelected="1" zoomScale="70" zoomScaleNormal="70" workbookViewId="0">
      <selection activeCell="E9" sqref="E9"/>
    </sheetView>
  </sheetViews>
  <sheetFormatPr baseColWidth="10" defaultColWidth="11" defaultRowHeight="13.5" x14ac:dyDescent="0.25"/>
  <cols>
    <col min="1" max="1" width="7.140625" style="18" customWidth="1"/>
    <col min="2" max="2" width="21" style="18" customWidth="1"/>
    <col min="3" max="3" width="29" style="18" customWidth="1"/>
    <col min="4" max="4" width="8.42578125" style="20" customWidth="1"/>
    <col min="5" max="5" width="116.7109375" style="27" customWidth="1"/>
    <col min="6" max="6" width="11" style="18"/>
    <col min="7" max="7" width="12.7109375" style="18" customWidth="1"/>
    <col min="8" max="8" width="13.85546875" style="18" customWidth="1"/>
    <col min="9" max="9" width="18.5703125" style="19" customWidth="1"/>
    <col min="10" max="10" width="11" style="20"/>
    <col min="11" max="11" width="12.85546875" style="20" bestFit="1" customWidth="1"/>
    <col min="12" max="16384" width="11" style="20"/>
  </cols>
  <sheetData>
    <row r="2" spans="1:9" ht="18" x14ac:dyDescent="0.25">
      <c r="B2" s="103" t="s">
        <v>0</v>
      </c>
      <c r="C2" s="103"/>
      <c r="D2" s="103"/>
      <c r="E2" s="103"/>
      <c r="F2" s="103"/>
      <c r="G2" s="103"/>
      <c r="H2" s="103"/>
    </row>
    <row r="4" spans="1:9" ht="18" customHeight="1" x14ac:dyDescent="0.25">
      <c r="A4" s="104" t="s">
        <v>1</v>
      </c>
      <c r="B4" s="104"/>
      <c r="C4" s="105" t="s">
        <v>2</v>
      </c>
      <c r="D4" s="105"/>
      <c r="E4" s="105"/>
      <c r="F4" s="50"/>
      <c r="G4" s="50"/>
      <c r="H4" s="50"/>
    </row>
    <row r="5" spans="1:9" ht="18" customHeight="1" x14ac:dyDescent="0.25">
      <c r="A5" s="104" t="s">
        <v>3</v>
      </c>
      <c r="B5" s="104"/>
      <c r="C5" s="105" t="s">
        <v>4</v>
      </c>
      <c r="D5" s="105"/>
      <c r="E5" s="105"/>
      <c r="F5" s="50"/>
      <c r="G5" s="50"/>
      <c r="H5" s="50"/>
    </row>
    <row r="6" spans="1:9" ht="16.5" customHeight="1" x14ac:dyDescent="0.25">
      <c r="A6" s="104" t="s">
        <v>5</v>
      </c>
      <c r="B6" s="104"/>
      <c r="C6" s="51">
        <v>2021</v>
      </c>
      <c r="D6" s="52"/>
      <c r="E6" s="52"/>
      <c r="F6" s="50"/>
      <c r="G6" s="50"/>
      <c r="H6" s="50"/>
    </row>
    <row r="7" spans="1:9" ht="16.5" customHeight="1" x14ac:dyDescent="0.25">
      <c r="A7" s="104" t="s">
        <v>6</v>
      </c>
      <c r="B7" s="104"/>
      <c r="C7" s="51">
        <v>2</v>
      </c>
      <c r="D7" s="52"/>
      <c r="E7" s="52"/>
      <c r="F7" s="50"/>
      <c r="G7" s="50"/>
      <c r="H7" s="50"/>
    </row>
    <row r="8" spans="1:9" x14ac:dyDescent="0.25">
      <c r="B8" s="50"/>
      <c r="C8" s="50"/>
      <c r="D8" s="53"/>
      <c r="E8" s="53"/>
      <c r="F8" s="50"/>
      <c r="G8" s="50"/>
      <c r="H8" s="50"/>
    </row>
    <row r="9" spans="1:9" s="21" customFormat="1" ht="38.25" x14ac:dyDescent="0.25">
      <c r="A9" s="54" t="s">
        <v>7</v>
      </c>
      <c r="B9" s="54" t="s">
        <v>8</v>
      </c>
      <c r="C9" s="54" t="s">
        <v>9</v>
      </c>
      <c r="D9" s="55" t="s">
        <v>10</v>
      </c>
      <c r="E9" s="56" t="s">
        <v>11</v>
      </c>
      <c r="F9" s="57" t="s">
        <v>12</v>
      </c>
      <c r="G9" s="54" t="s">
        <v>13</v>
      </c>
      <c r="H9" s="54" t="s">
        <v>14</v>
      </c>
      <c r="I9" s="58" t="s">
        <v>15</v>
      </c>
    </row>
    <row r="10" spans="1:9" s="23" customFormat="1" ht="33" customHeight="1" x14ac:dyDescent="0.3">
      <c r="A10" s="59">
        <v>1</v>
      </c>
      <c r="B10" s="60" t="s">
        <v>16</v>
      </c>
      <c r="C10" s="61" t="s">
        <v>17</v>
      </c>
      <c r="D10" s="22" t="s">
        <v>18</v>
      </c>
      <c r="E10" s="62" t="s">
        <v>19</v>
      </c>
      <c r="F10" s="63" t="s">
        <v>20</v>
      </c>
      <c r="G10" s="64">
        <v>3000</v>
      </c>
      <c r="H10" s="65">
        <v>350</v>
      </c>
      <c r="I10" s="66">
        <f>H10*G10</f>
        <v>1050000</v>
      </c>
    </row>
    <row r="11" spans="1:9" s="23" customFormat="1" ht="36" customHeight="1" x14ac:dyDescent="0.25">
      <c r="A11" s="67">
        <v>2</v>
      </c>
      <c r="B11" s="99" t="s">
        <v>21</v>
      </c>
      <c r="C11" s="61" t="s">
        <v>17</v>
      </c>
      <c r="D11" s="24" t="s">
        <v>18</v>
      </c>
      <c r="E11" s="25" t="s">
        <v>22</v>
      </c>
      <c r="F11" s="26" t="s">
        <v>20</v>
      </c>
      <c r="G11" s="68">
        <v>9240</v>
      </c>
      <c r="H11" s="69">
        <v>170</v>
      </c>
      <c r="I11" s="70">
        <f t="shared" ref="I11" si="0">H11*G11</f>
        <v>1570800</v>
      </c>
    </row>
    <row r="12" spans="1:9" ht="19.5" customHeight="1" x14ac:dyDescent="0.25">
      <c r="I12" s="28">
        <f>SUM(I10:I11)</f>
        <v>2620800</v>
      </c>
    </row>
    <row r="13" spans="1:9" ht="19.5" customHeight="1" x14ac:dyDescent="0.25">
      <c r="B13" s="30" t="s">
        <v>23</v>
      </c>
      <c r="C13" s="37"/>
      <c r="D13" s="38"/>
      <c r="E13" s="39"/>
      <c r="I13" s="93"/>
    </row>
    <row r="14" spans="1:9" ht="39" customHeight="1" x14ac:dyDescent="0.25">
      <c r="B14" s="98"/>
      <c r="C14" s="106" t="s">
        <v>24</v>
      </c>
      <c r="D14" s="106"/>
      <c r="E14" s="107"/>
      <c r="I14" s="93"/>
    </row>
    <row r="15" spans="1:9" ht="10.5" customHeight="1" x14ac:dyDescent="0.25">
      <c r="B15" s="98"/>
      <c r="C15" s="112"/>
      <c r="D15" s="112"/>
      <c r="E15" s="113"/>
      <c r="I15" s="93"/>
    </row>
    <row r="16" spans="1:9" s="32" customFormat="1" ht="25.5" customHeight="1" x14ac:dyDescent="0.2">
      <c r="A16" s="29"/>
      <c r="B16" s="94"/>
      <c r="C16" s="95" t="s">
        <v>25</v>
      </c>
      <c r="D16" s="96"/>
      <c r="E16" s="97"/>
      <c r="F16" s="29"/>
      <c r="G16" s="29"/>
      <c r="H16" s="29"/>
      <c r="I16" s="31"/>
    </row>
    <row r="17" spans="1:9" ht="3.75" customHeight="1" thickBot="1" x14ac:dyDescent="0.3">
      <c r="B17" s="33"/>
      <c r="C17" s="34"/>
      <c r="D17" s="35"/>
      <c r="E17" s="101"/>
    </row>
    <row r="18" spans="1:9" ht="18.75" customHeight="1" x14ac:dyDescent="0.25">
      <c r="B18" s="36" t="s">
        <v>26</v>
      </c>
      <c r="C18" s="37"/>
      <c r="D18" s="38"/>
      <c r="E18" s="39"/>
    </row>
    <row r="19" spans="1:9" ht="78.75" customHeight="1" x14ac:dyDescent="0.25">
      <c r="B19" s="40"/>
      <c r="C19" s="106" t="s">
        <v>27</v>
      </c>
      <c r="D19" s="106"/>
      <c r="E19" s="107"/>
    </row>
    <row r="20" spans="1:9" ht="18.75" customHeight="1" x14ac:dyDescent="0.25">
      <c r="B20" s="41" t="s">
        <v>28</v>
      </c>
      <c r="C20" s="42"/>
      <c r="D20" s="21"/>
      <c r="E20" s="43"/>
    </row>
    <row r="21" spans="1:9" ht="47.25" customHeight="1" x14ac:dyDescent="0.25">
      <c r="B21" s="40"/>
      <c r="C21" s="106" t="s">
        <v>29</v>
      </c>
      <c r="D21" s="106"/>
      <c r="E21" s="107"/>
      <c r="F21" s="20"/>
      <c r="G21" s="20"/>
      <c r="H21" s="20"/>
      <c r="I21" s="20"/>
    </row>
    <row r="22" spans="1:9" x14ac:dyDescent="0.25">
      <c r="B22" s="41" t="s">
        <v>30</v>
      </c>
      <c r="C22" s="44"/>
      <c r="D22" s="45"/>
      <c r="E22" s="100"/>
      <c r="F22" s="20"/>
      <c r="G22" s="20"/>
      <c r="H22" s="20"/>
      <c r="I22" s="20"/>
    </row>
    <row r="23" spans="1:9" x14ac:dyDescent="0.25">
      <c r="B23" s="40"/>
      <c r="C23" s="108" t="s">
        <v>31</v>
      </c>
      <c r="D23" s="108"/>
      <c r="E23" s="109"/>
      <c r="F23" s="20"/>
      <c r="G23" s="20"/>
      <c r="H23" s="20"/>
      <c r="I23" s="20"/>
    </row>
    <row r="24" spans="1:9" x14ac:dyDescent="0.25">
      <c r="B24" s="41" t="s">
        <v>32</v>
      </c>
      <c r="C24" s="42"/>
      <c r="D24" s="21"/>
      <c r="E24" s="43"/>
      <c r="F24" s="20"/>
      <c r="G24" s="20"/>
      <c r="H24" s="20"/>
      <c r="I24" s="20"/>
    </row>
    <row r="25" spans="1:9" x14ac:dyDescent="0.25">
      <c r="B25" s="46"/>
      <c r="C25" s="110"/>
      <c r="D25" s="110"/>
      <c r="E25" s="111"/>
      <c r="F25" s="20"/>
      <c r="G25" s="20"/>
      <c r="H25" s="20"/>
      <c r="I25" s="20"/>
    </row>
    <row r="26" spans="1:9" x14ac:dyDescent="0.25">
      <c r="B26" s="42"/>
      <c r="C26" s="42"/>
      <c r="D26" s="21"/>
      <c r="E26" s="47"/>
      <c r="F26" s="20"/>
      <c r="G26" s="20"/>
      <c r="H26" s="20"/>
      <c r="I26" s="20"/>
    </row>
    <row r="30" spans="1:9" x14ac:dyDescent="0.25">
      <c r="A30" s="48"/>
      <c r="B30" s="48"/>
      <c r="C30" s="48"/>
      <c r="D30" s="48"/>
      <c r="E30" s="21"/>
      <c r="F30" s="20"/>
      <c r="G30" s="20"/>
      <c r="H30" s="20"/>
      <c r="I30" s="20"/>
    </row>
    <row r="31" spans="1:9" ht="54.75" customHeight="1" x14ac:dyDescent="0.25">
      <c r="A31" s="71"/>
      <c r="B31" s="71"/>
      <c r="C31" s="71"/>
      <c r="D31" s="102"/>
      <c r="E31" s="102"/>
    </row>
    <row r="32" spans="1:9" x14ac:dyDescent="0.25">
      <c r="A32" s="42"/>
      <c r="B32" s="42"/>
      <c r="C32" s="42"/>
      <c r="D32" s="21"/>
      <c r="E32" s="47"/>
    </row>
    <row r="33" spans="1:9" x14ac:dyDescent="0.25">
      <c r="A33" s="49"/>
      <c r="B33" s="49"/>
      <c r="C33" s="49"/>
      <c r="D33" s="49"/>
      <c r="E33" s="20"/>
      <c r="F33" s="20"/>
      <c r="G33" s="20"/>
      <c r="H33" s="20"/>
      <c r="I33" s="20"/>
    </row>
    <row r="36" spans="1:9" x14ac:dyDescent="0.25">
      <c r="A36" s="49"/>
      <c r="B36" s="49"/>
      <c r="C36" s="49"/>
      <c r="D36" s="49"/>
      <c r="E36" s="20"/>
      <c r="F36" s="20"/>
      <c r="G36" s="20"/>
      <c r="H36" s="20"/>
      <c r="I36" s="20"/>
    </row>
    <row r="38" spans="1:9" x14ac:dyDescent="0.25">
      <c r="A38" s="49"/>
      <c r="B38" s="49"/>
      <c r="C38" s="49"/>
      <c r="D38" s="49"/>
      <c r="E38" s="20"/>
      <c r="F38" s="20"/>
      <c r="G38" s="20"/>
      <c r="H38" s="20"/>
      <c r="I38" s="20"/>
    </row>
    <row r="40" spans="1:9" x14ac:dyDescent="0.25">
      <c r="A40" s="49"/>
      <c r="B40" s="49"/>
      <c r="C40" s="49"/>
      <c r="D40" s="49"/>
      <c r="E40" s="20"/>
      <c r="F40" s="20"/>
      <c r="G40" s="20"/>
      <c r="H40" s="20"/>
      <c r="I40" s="20"/>
    </row>
    <row r="44" spans="1:9" x14ac:dyDescent="0.25">
      <c r="A44" s="49"/>
      <c r="B44" s="49"/>
      <c r="C44" s="49"/>
      <c r="D44" s="49"/>
      <c r="E44" s="20"/>
      <c r="F44" s="20"/>
      <c r="G44" s="20"/>
      <c r="H44" s="20"/>
      <c r="I44" s="20"/>
    </row>
    <row r="45" spans="1:9" x14ac:dyDescent="0.25">
      <c r="A45" s="49"/>
      <c r="B45" s="49"/>
      <c r="C45" s="49"/>
      <c r="D45" s="49"/>
      <c r="E45" s="20"/>
      <c r="F45" s="20"/>
      <c r="G45" s="20"/>
      <c r="H45" s="20"/>
      <c r="I45" s="20"/>
    </row>
    <row r="46" spans="1:9" x14ac:dyDescent="0.25">
      <c r="A46" s="49"/>
      <c r="B46" s="49"/>
      <c r="C46" s="49"/>
      <c r="D46" s="49"/>
      <c r="E46" s="20"/>
      <c r="F46" s="20"/>
      <c r="G46" s="20"/>
      <c r="H46" s="20"/>
      <c r="I46" s="20"/>
    </row>
    <row r="47" spans="1:9" x14ac:dyDescent="0.25">
      <c r="A47" s="49"/>
      <c r="B47" s="49"/>
      <c r="C47" s="49"/>
      <c r="D47" s="49"/>
      <c r="E47" s="20"/>
      <c r="F47" s="20"/>
      <c r="G47" s="20"/>
      <c r="H47" s="20"/>
      <c r="I47" s="20"/>
    </row>
    <row r="48" spans="1:9" x14ac:dyDescent="0.25">
      <c r="A48" s="49"/>
      <c r="B48" s="49"/>
      <c r="C48" s="49"/>
      <c r="D48" s="49"/>
      <c r="E48" s="20"/>
      <c r="F48" s="20"/>
      <c r="G48" s="20"/>
      <c r="H48" s="20"/>
      <c r="I48" s="20"/>
    </row>
    <row r="49" spans="1:9" x14ac:dyDescent="0.25">
      <c r="A49" s="49"/>
      <c r="B49" s="49"/>
      <c r="C49" s="49"/>
      <c r="D49" s="49"/>
      <c r="E49" s="20"/>
      <c r="F49" s="20"/>
      <c r="G49" s="20"/>
      <c r="H49" s="20"/>
      <c r="I49" s="20"/>
    </row>
    <row r="50" spans="1:9" x14ac:dyDescent="0.25">
      <c r="A50" s="49"/>
      <c r="B50" s="49"/>
      <c r="C50" s="49"/>
      <c r="D50" s="49"/>
      <c r="E50" s="20"/>
      <c r="F50" s="20"/>
      <c r="G50" s="20"/>
      <c r="H50" s="20"/>
      <c r="I50" s="20"/>
    </row>
    <row r="51" spans="1:9" x14ac:dyDescent="0.25">
      <c r="A51" s="49"/>
      <c r="B51" s="49"/>
      <c r="C51" s="49"/>
      <c r="D51" s="49"/>
      <c r="E51" s="20"/>
      <c r="F51" s="20"/>
      <c r="G51" s="20"/>
      <c r="H51" s="20"/>
      <c r="I51" s="20"/>
    </row>
    <row r="52" spans="1:9" x14ac:dyDescent="0.25">
      <c r="A52" s="49"/>
      <c r="B52" s="49"/>
      <c r="C52" s="49"/>
      <c r="D52" s="49"/>
      <c r="E52" s="20"/>
      <c r="F52" s="20"/>
      <c r="G52" s="20"/>
      <c r="H52" s="20"/>
      <c r="I52" s="20"/>
    </row>
    <row r="53" spans="1:9" x14ac:dyDescent="0.25">
      <c r="A53" s="49"/>
      <c r="B53" s="49"/>
      <c r="C53" s="49"/>
      <c r="D53" s="49"/>
      <c r="E53" s="20"/>
      <c r="F53" s="20"/>
      <c r="G53" s="20"/>
      <c r="H53" s="20"/>
      <c r="I53" s="20"/>
    </row>
    <row r="54" spans="1:9" x14ac:dyDescent="0.25">
      <c r="A54" s="49"/>
      <c r="B54" s="49"/>
      <c r="C54" s="49"/>
      <c r="D54" s="49"/>
      <c r="E54" s="20"/>
      <c r="F54" s="20"/>
      <c r="G54" s="20"/>
      <c r="H54" s="20"/>
      <c r="I54" s="20"/>
    </row>
    <row r="55" spans="1:9" x14ac:dyDescent="0.25">
      <c r="A55" s="49"/>
      <c r="B55" s="49"/>
      <c r="C55" s="49"/>
      <c r="D55" s="49"/>
      <c r="E55" s="20"/>
      <c r="F55" s="20"/>
      <c r="G55" s="20"/>
      <c r="H55" s="20"/>
      <c r="I55" s="20"/>
    </row>
    <row r="56" spans="1:9" x14ac:dyDescent="0.25">
      <c r="A56" s="49"/>
      <c r="B56" s="49"/>
      <c r="C56" s="49"/>
      <c r="D56" s="49"/>
      <c r="E56" s="20"/>
      <c r="F56" s="20"/>
      <c r="G56" s="20"/>
      <c r="H56" s="20"/>
      <c r="I56" s="20"/>
    </row>
    <row r="57" spans="1:9" x14ac:dyDescent="0.25">
      <c r="A57" s="49"/>
      <c r="B57" s="49"/>
      <c r="C57" s="49"/>
      <c r="D57" s="49"/>
      <c r="E57" s="20"/>
      <c r="F57" s="20"/>
      <c r="G57" s="20"/>
      <c r="H57" s="20"/>
      <c r="I57" s="20"/>
    </row>
    <row r="58" spans="1:9" x14ac:dyDescent="0.25">
      <c r="A58" s="49"/>
      <c r="B58" s="49"/>
      <c r="C58" s="49"/>
      <c r="D58" s="49"/>
      <c r="E58" s="20"/>
      <c r="F58" s="20"/>
      <c r="G58" s="20"/>
      <c r="H58" s="20"/>
      <c r="I58" s="20"/>
    </row>
    <row r="59" spans="1:9" x14ac:dyDescent="0.25">
      <c r="A59" s="49"/>
      <c r="B59" s="49"/>
      <c r="C59" s="49"/>
      <c r="D59" s="49"/>
      <c r="E59" s="20"/>
      <c r="F59" s="20"/>
      <c r="G59" s="20"/>
      <c r="H59" s="20"/>
      <c r="I59" s="20"/>
    </row>
    <row r="60" spans="1:9" x14ac:dyDescent="0.25">
      <c r="A60" s="49"/>
      <c r="B60" s="49"/>
      <c r="C60" s="49"/>
      <c r="D60" s="49"/>
      <c r="E60" s="20"/>
      <c r="F60" s="20"/>
      <c r="G60" s="20"/>
      <c r="H60" s="20"/>
      <c r="I60" s="20"/>
    </row>
    <row r="61" spans="1:9" x14ac:dyDescent="0.25">
      <c r="A61" s="49"/>
      <c r="B61" s="49"/>
      <c r="C61" s="49"/>
      <c r="D61" s="49"/>
      <c r="E61" s="20"/>
      <c r="F61" s="20"/>
      <c r="G61" s="20"/>
      <c r="H61" s="20"/>
      <c r="I61" s="20"/>
    </row>
  </sheetData>
  <mergeCells count="14">
    <mergeCell ref="D31:E31"/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9:E19"/>
    <mergeCell ref="C15:E15"/>
    <mergeCell ref="C14:E14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85" zoomScaleNormal="85" workbookViewId="0">
      <selection activeCell="F22" sqref="F22"/>
    </sheetView>
  </sheetViews>
  <sheetFormatPr baseColWidth="10" defaultColWidth="9.140625" defaultRowHeight="13.5" x14ac:dyDescent="0.25"/>
  <cols>
    <col min="1" max="1" width="5.42578125" style="3" customWidth="1"/>
    <col min="2" max="2" width="12.28515625" style="3" customWidth="1"/>
    <col min="3" max="3" width="14.140625" style="3" customWidth="1"/>
    <col min="4" max="4" width="26" style="3" customWidth="1"/>
    <col min="5" max="5" width="8" style="3" customWidth="1"/>
    <col min="6" max="6" width="7.85546875" style="3" customWidth="1"/>
    <col min="7" max="7" width="55.42578125" style="3" customWidth="1"/>
    <col min="8" max="8" width="18.140625" style="3" customWidth="1"/>
    <col min="9" max="9" width="12" style="3" customWidth="1"/>
    <col min="10" max="10" width="11.42578125" style="3" customWidth="1"/>
    <col min="11" max="11" width="10.85546875" style="3" customWidth="1"/>
    <col min="12" max="13" width="5.85546875" style="3" customWidth="1"/>
    <col min="14" max="14" width="17.42578125" style="3" customWidth="1"/>
    <col min="15" max="15" width="12.5703125" style="3" customWidth="1"/>
    <col min="16" max="1024" width="9.140625" style="3"/>
    <col min="1025" max="16384" width="9.140625" style="4"/>
  </cols>
  <sheetData>
    <row r="1" spans="1:1024" ht="18" customHeight="1" x14ac:dyDescent="0.25">
      <c r="A1" s="114" t="s">
        <v>33</v>
      </c>
      <c r="B1" s="114"/>
      <c r="C1" s="114"/>
      <c r="D1" s="114"/>
      <c r="E1" s="114"/>
      <c r="F1" s="114"/>
      <c r="G1" s="114"/>
      <c r="H1" s="114"/>
      <c r="I1" s="114"/>
      <c r="J1" s="1" t="s">
        <v>34</v>
      </c>
      <c r="K1" s="2" t="s">
        <v>35</v>
      </c>
    </row>
    <row r="2" spans="1:1024" ht="18.75" customHeight="1" thickBo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024" ht="18.75" customHeight="1" thickBot="1" x14ac:dyDescent="0.3">
      <c r="A3" s="115" t="s">
        <v>36</v>
      </c>
      <c r="B3" s="115"/>
      <c r="C3" s="115"/>
      <c r="D3" s="116" t="str">
        <f>'Necesidades Trimestrales'!C4</f>
        <v>90 - Ministerio de Seguridad</v>
      </c>
      <c r="E3" s="116"/>
      <c r="F3" s="116"/>
      <c r="G3" s="116"/>
      <c r="H3" s="116"/>
      <c r="I3" s="116"/>
      <c r="J3" s="116"/>
      <c r="K3" s="116"/>
    </row>
    <row r="4" spans="1:1024" ht="18.75" customHeight="1" thickBot="1" x14ac:dyDescent="0.3">
      <c r="A4" s="117" t="s">
        <v>37</v>
      </c>
      <c r="B4" s="117"/>
      <c r="C4" s="117"/>
      <c r="D4" s="116" t="str">
        <f>'Necesidades Trimestrales'!C5</f>
        <v>7 - Direccion de Administracion de la Policia de la Provincia de Catamarca</v>
      </c>
      <c r="E4" s="116"/>
      <c r="F4" s="116"/>
      <c r="G4" s="116"/>
      <c r="H4" s="116"/>
      <c r="I4" s="116"/>
      <c r="J4" s="116"/>
      <c r="K4" s="116"/>
    </row>
    <row r="5" spans="1:1024" ht="18.75" customHeight="1" thickBot="1" x14ac:dyDescent="0.3">
      <c r="A5" s="117" t="s">
        <v>38</v>
      </c>
      <c r="B5" s="117"/>
      <c r="C5" s="117"/>
      <c r="D5" s="116" t="s">
        <v>39</v>
      </c>
      <c r="E5" s="116"/>
      <c r="F5" s="116"/>
      <c r="G5" s="116"/>
      <c r="H5" s="116"/>
      <c r="I5" s="116"/>
      <c r="J5" s="116"/>
      <c r="K5" s="116"/>
    </row>
    <row r="6" spans="1:1024" ht="16.5" customHeight="1" thickBot="1" x14ac:dyDescent="0.3">
      <c r="A6" s="115" t="s">
        <v>40</v>
      </c>
      <c r="B6" s="115"/>
      <c r="C6" s="115"/>
      <c r="D6" s="116" t="s">
        <v>41</v>
      </c>
      <c r="E6" s="116"/>
      <c r="F6" s="116"/>
      <c r="G6" s="116"/>
      <c r="H6" s="116"/>
      <c r="I6" s="116"/>
      <c r="J6" s="116"/>
      <c r="K6" s="116"/>
    </row>
    <row r="7" spans="1:1024" ht="16.5" customHeight="1" thickBot="1" x14ac:dyDescent="0.3">
      <c r="A7" s="117" t="s">
        <v>42</v>
      </c>
      <c r="B7" s="117"/>
      <c r="C7" s="117"/>
      <c r="D7" s="116" t="s">
        <v>43</v>
      </c>
      <c r="E7" s="116"/>
      <c r="F7" s="116"/>
      <c r="G7" s="116"/>
      <c r="H7" s="116"/>
      <c r="I7" s="116"/>
      <c r="J7" s="116"/>
      <c r="K7" s="116"/>
    </row>
    <row r="8" spans="1:1024" ht="16.5" customHeight="1" thickBot="1" x14ac:dyDescent="0.3">
      <c r="A8" s="126" t="s">
        <v>44</v>
      </c>
      <c r="B8" s="126"/>
      <c r="C8" s="126"/>
      <c r="D8" s="119" t="s">
        <v>45</v>
      </c>
      <c r="E8" s="120"/>
      <c r="F8" s="120"/>
      <c r="G8" s="120"/>
      <c r="H8" s="120"/>
      <c r="I8" s="120"/>
      <c r="J8" s="120"/>
      <c r="K8" s="121"/>
    </row>
    <row r="9" spans="1:1024" ht="18" thickBot="1" x14ac:dyDescent="0.3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024" ht="14.25" thickBot="1" x14ac:dyDescent="0.3">
      <c r="A10" s="122" t="s">
        <v>46</v>
      </c>
      <c r="B10" s="123" t="s">
        <v>47</v>
      </c>
      <c r="C10" s="123" t="s">
        <v>48</v>
      </c>
      <c r="D10" s="123"/>
      <c r="E10" s="123"/>
      <c r="F10" s="123"/>
      <c r="G10" s="123"/>
      <c r="H10" s="123" t="s">
        <v>49</v>
      </c>
      <c r="I10" s="123" t="s">
        <v>50</v>
      </c>
      <c r="J10" s="123" t="s">
        <v>51</v>
      </c>
      <c r="K10" s="125" t="s">
        <v>52</v>
      </c>
    </row>
    <row r="11" spans="1:1024" ht="28.5" customHeight="1" thickBot="1" x14ac:dyDescent="0.3">
      <c r="A11" s="122"/>
      <c r="B11" s="123"/>
      <c r="C11" s="124"/>
      <c r="D11" s="124"/>
      <c r="E11" s="124"/>
      <c r="F11" s="124"/>
      <c r="G11" s="124"/>
      <c r="H11" s="123"/>
      <c r="I11" s="123"/>
      <c r="J11" s="123"/>
      <c r="K11" s="125"/>
    </row>
    <row r="12" spans="1:1024" ht="30.75" customHeight="1" x14ac:dyDescent="0.3">
      <c r="A12" s="9">
        <v>1</v>
      </c>
      <c r="B12" s="72" t="str">
        <f>'Necesidades Trimestrales'!B10</f>
        <v>2.1.1-478.47</v>
      </c>
      <c r="C12" s="127" t="str">
        <f>('Necesidades Trimestrales'!E10)</f>
        <v>AGUA MINERAL; TIPO: SIN GASIFICAR, PRESENTACION: BIDON X 20 L, MATERIAL ENVASE: POLICARBONATO, TIPO ENVASE: RETORNABLE, ELEM. TRANSPORTE: SIN, MATERIAL ELEM. TRANSPORTE: SIN</v>
      </c>
      <c r="D12" s="127"/>
      <c r="E12" s="127"/>
      <c r="F12" s="127"/>
      <c r="G12" s="127"/>
      <c r="H12" s="10" t="s">
        <v>53</v>
      </c>
      <c r="I12" s="11" t="s">
        <v>20</v>
      </c>
      <c r="J12" s="12">
        <v>350</v>
      </c>
      <c r="K12" s="13">
        <f>'Necesidades Trimestrales'!G10</f>
        <v>3000</v>
      </c>
      <c r="N12" s="17"/>
    </row>
    <row r="13" spans="1:1024" ht="30.75" customHeight="1" x14ac:dyDescent="0.3">
      <c r="A13" s="73">
        <v>2</v>
      </c>
      <c r="B13" s="74" t="str">
        <f>'Necesidades Trimestrales'!B11</f>
        <v>2.1.1-478.68</v>
      </c>
      <c r="C13" s="128" t="str">
        <f>('Necesidades Trimestrales'!E11)</f>
        <v>AGUA MINERAL; TIPO: SIN GASIFICAR, PRESENTACION: SEGUN PLIEGO, MATERIAL ENVASE: PLASTICO (PVC), TIPO ENVASE: NO RETORNABLE, ELEM. TRANSPORTE: SIN, MATERIAL ELEM. TRANSPORTE: PLASTICO</v>
      </c>
      <c r="D13" s="128"/>
      <c r="E13" s="128"/>
      <c r="F13" s="128"/>
      <c r="G13" s="128"/>
      <c r="H13" s="14" t="s">
        <v>53</v>
      </c>
      <c r="I13" s="15" t="s">
        <v>20</v>
      </c>
      <c r="J13" s="12">
        <f>'Necesidades Trimestrales'!H11</f>
        <v>170</v>
      </c>
      <c r="K13" s="13">
        <f>'Necesidades Trimestrales'!G11</f>
        <v>9240</v>
      </c>
    </row>
    <row r="14" spans="1:1024" ht="15.75" customHeight="1" thickBot="1" x14ac:dyDescent="0.3">
      <c r="A14" s="129" t="s">
        <v>54</v>
      </c>
      <c r="B14" s="130"/>
      <c r="C14" s="130"/>
      <c r="D14" s="131" t="s">
        <v>55</v>
      </c>
      <c r="E14" s="131"/>
      <c r="F14" s="131"/>
      <c r="G14" s="131"/>
      <c r="H14" s="131"/>
      <c r="I14" s="132"/>
      <c r="J14" s="118">
        <f>'Necesidades Trimestrales'!I12</f>
        <v>2620800</v>
      </c>
      <c r="K14" s="1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pans="1:1024" x14ac:dyDescent="0.25">
      <c r="J15" s="16"/>
    </row>
  </sheetData>
  <mergeCells count="25">
    <mergeCell ref="J14:K1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  <mergeCell ref="A14:C14"/>
    <mergeCell ref="D14:I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10" workbookViewId="0">
      <selection activeCell="M22" sqref="M22"/>
    </sheetView>
  </sheetViews>
  <sheetFormatPr baseColWidth="10" defaultColWidth="11" defaultRowHeight="13.5" x14ac:dyDescent="0.25"/>
  <cols>
    <col min="1" max="6" width="4.42578125" style="20" customWidth="1"/>
    <col min="7" max="7" width="4.42578125" style="27" customWidth="1"/>
    <col min="8" max="14" width="4.42578125" style="20" customWidth="1"/>
    <col min="15" max="16" width="14.85546875" style="20" customWidth="1"/>
    <col min="17" max="17" width="14.7109375" style="20" customWidth="1"/>
    <col min="18" max="16384" width="11" style="20"/>
  </cols>
  <sheetData>
    <row r="1" spans="1:17" ht="15.75" customHeight="1" x14ac:dyDescent="0.25">
      <c r="A1" s="133" t="s">
        <v>5</v>
      </c>
      <c r="B1" s="133"/>
      <c r="C1" s="133"/>
      <c r="D1" s="134">
        <f>'Necesidades Trimestrales'!C6</f>
        <v>2021</v>
      </c>
      <c r="E1" s="134"/>
      <c r="F1" s="75"/>
      <c r="G1" s="75"/>
      <c r="H1" s="76"/>
      <c r="I1" s="76"/>
      <c r="J1" s="76"/>
      <c r="K1" s="76"/>
      <c r="L1" s="76"/>
      <c r="M1" s="76"/>
      <c r="N1" s="76"/>
      <c r="P1" s="135" t="s">
        <v>56</v>
      </c>
      <c r="Q1" s="135"/>
    </row>
    <row r="2" spans="1:17" ht="15.75" customHeight="1" x14ac:dyDescent="0.25">
      <c r="H2" s="76"/>
      <c r="I2" s="76"/>
      <c r="J2" s="76"/>
      <c r="K2" s="76"/>
      <c r="L2" s="76"/>
      <c r="M2" s="76"/>
      <c r="N2" s="76"/>
      <c r="P2" s="135"/>
      <c r="Q2" s="135"/>
    </row>
    <row r="4" spans="1:17" ht="18" customHeight="1" thickBot="1" x14ac:dyDescent="0.35">
      <c r="A4" s="136" t="s">
        <v>57</v>
      </c>
      <c r="B4" s="136"/>
      <c r="C4" s="136"/>
      <c r="D4" s="136"/>
      <c r="E4" s="136"/>
      <c r="F4" s="136"/>
      <c r="G4" s="137" t="str">
        <f>' NotaPedido'!D3</f>
        <v>90 - Ministerio de Seguridad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7" ht="18" customHeight="1" thickBot="1" x14ac:dyDescent="0.35">
      <c r="A5" s="138" t="s">
        <v>37</v>
      </c>
      <c r="B5" s="139"/>
      <c r="C5" s="139"/>
      <c r="D5" s="139"/>
      <c r="E5" s="139"/>
      <c r="F5" s="140"/>
      <c r="G5" s="137" t="str">
        <f>' NotaPedido'!D4</f>
        <v>7 - Direccion de Administracion de la Policia de la Provincia de Catamarca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7" ht="18" customHeight="1" thickBot="1" x14ac:dyDescent="0.35">
      <c r="A6" s="138" t="s">
        <v>38</v>
      </c>
      <c r="B6" s="139"/>
      <c r="C6" s="139"/>
      <c r="D6" s="139"/>
      <c r="E6" s="139"/>
      <c r="F6" s="140"/>
      <c r="G6" s="137" t="str">
        <f>' NotaPedido'!D5</f>
        <v>Policía de la Provincia de Catamarca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7" ht="27.75" customHeight="1" thickBot="1" x14ac:dyDescent="0.35">
      <c r="A7" s="138" t="s">
        <v>40</v>
      </c>
      <c r="B7" s="139"/>
      <c r="C7" s="139"/>
      <c r="D7" s="139"/>
      <c r="E7" s="139"/>
      <c r="F7" s="140"/>
      <c r="G7" s="137" t="str">
        <f>' NotaPedido'!D6</f>
        <v>División Intendencia - Departamento Logística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7" ht="18" customHeight="1" thickBot="1" x14ac:dyDescent="0.3">
      <c r="A8" s="141" t="s">
        <v>58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3">
      <c r="A9" s="142" t="s">
        <v>59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21"/>
      <c r="P9" s="21"/>
      <c r="Q9" s="77"/>
    </row>
    <row r="10" spans="1:17" ht="72.75" customHeight="1" x14ac:dyDescent="0.25">
      <c r="A10" s="14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16/2021,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5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81"/>
    </row>
    <row r="12" spans="1:17" ht="15.75" customHeight="1" x14ac:dyDescent="0.25">
      <c r="A12" s="144" t="s">
        <v>60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5">
      <c r="A13" s="145" t="s">
        <v>61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62</v>
      </c>
      <c r="P13" s="146"/>
      <c r="Q13" s="147" t="s">
        <v>63</v>
      </c>
    </row>
    <row r="14" spans="1:17" ht="15.75" customHeight="1" thickBot="1" x14ac:dyDescent="0.3">
      <c r="A14" s="82" t="s">
        <v>64</v>
      </c>
      <c r="B14" s="83" t="s">
        <v>65</v>
      </c>
      <c r="C14" s="83" t="s">
        <v>66</v>
      </c>
      <c r="D14" s="83" t="s">
        <v>67</v>
      </c>
      <c r="E14" s="83" t="s">
        <v>68</v>
      </c>
      <c r="F14" s="83" t="s">
        <v>69</v>
      </c>
      <c r="G14" s="84" t="s">
        <v>70</v>
      </c>
      <c r="H14" s="83" t="s">
        <v>71</v>
      </c>
      <c r="I14" s="83" t="s">
        <v>72</v>
      </c>
      <c r="J14" s="83" t="s">
        <v>73</v>
      </c>
      <c r="K14" s="83" t="s">
        <v>73</v>
      </c>
      <c r="L14" s="83" t="s">
        <v>74</v>
      </c>
      <c r="M14" s="85" t="s">
        <v>75</v>
      </c>
      <c r="N14" s="86" t="s">
        <v>76</v>
      </c>
      <c r="O14" s="146"/>
      <c r="P14" s="146"/>
      <c r="Q14" s="147"/>
    </row>
    <row r="15" spans="1:17" ht="17.25" customHeight="1" thickBot="1" x14ac:dyDescent="0.3">
      <c r="A15" s="87">
        <v>16</v>
      </c>
      <c r="B15" s="88">
        <v>0</v>
      </c>
      <c r="C15" s="88">
        <v>0</v>
      </c>
      <c r="D15" s="88">
        <v>1</v>
      </c>
      <c r="E15" s="88">
        <v>0</v>
      </c>
      <c r="F15" s="88">
        <v>10</v>
      </c>
      <c r="G15" s="88">
        <v>2</v>
      </c>
      <c r="H15" s="88">
        <v>1</v>
      </c>
      <c r="I15" s="88">
        <v>2</v>
      </c>
      <c r="J15" s="88">
        <v>1</v>
      </c>
      <c r="K15" s="88">
        <v>1</v>
      </c>
      <c r="L15" s="88">
        <v>0</v>
      </c>
      <c r="M15" s="89">
        <v>1</v>
      </c>
      <c r="N15" s="88" t="s">
        <v>77</v>
      </c>
      <c r="O15" s="148" t="str">
        <f>'Necesidades Trimestrales'!C10</f>
        <v>ALIMENTOS</v>
      </c>
      <c r="P15" s="149"/>
      <c r="Q15" s="92">
        <f>' NotaPedido'!J14</f>
        <v>2620800</v>
      </c>
    </row>
    <row r="16" spans="1:17" ht="21.75" customHeight="1" x14ac:dyDescent="0.25">
      <c r="A16" s="157" t="s">
        <v>78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63">
        <f>Q15</f>
        <v>2620800</v>
      </c>
    </row>
    <row r="17" spans="1:17" ht="17.25" customHeight="1" thickBot="1" x14ac:dyDescent="0.3">
      <c r="A17" s="90"/>
      <c r="B17" s="91"/>
      <c r="C17" s="91"/>
      <c r="D17" s="91"/>
      <c r="E17" s="162" t="str">
        <f>' NotaPedido'!D14</f>
        <v>Dos Millones Seiscientos Veinte Mil Ochocientos con 00/100</v>
      </c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4"/>
    </row>
    <row r="18" spans="1:17" ht="18" customHeight="1" thickBot="1" x14ac:dyDescent="0.3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1"/>
    </row>
    <row r="19" spans="1:17" ht="33.75" customHeight="1" thickBot="1" x14ac:dyDescent="0.3">
      <c r="A19" s="150" t="s">
        <v>79</v>
      </c>
      <c r="B19" s="151"/>
      <c r="C19" s="151"/>
      <c r="D19" s="151"/>
      <c r="E19" s="151"/>
      <c r="F19" s="152"/>
      <c r="G19" s="153" t="str">
        <f>' NotaPedido'!D8</f>
        <v>Adquisición de agua destinadas a dependencias policiales.-</v>
      </c>
      <c r="H19" s="153"/>
      <c r="I19" s="153"/>
      <c r="J19" s="153"/>
      <c r="K19" s="153"/>
      <c r="L19" s="153"/>
      <c r="M19" s="153"/>
      <c r="N19" s="153"/>
      <c r="O19" s="153"/>
      <c r="P19" s="153"/>
      <c r="Q19" s="153"/>
    </row>
    <row r="20" spans="1:17" ht="7.5" customHeight="1" thickBot="1" x14ac:dyDescent="0.3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6"/>
    </row>
  </sheetData>
  <mergeCells count="26">
    <mergeCell ref="O15:P15"/>
    <mergeCell ref="A19:F19"/>
    <mergeCell ref="G19:Q19"/>
    <mergeCell ref="A20:Q20"/>
    <mergeCell ref="A16:P16"/>
    <mergeCell ref="A18:Q18"/>
    <mergeCell ref="E17:P17"/>
    <mergeCell ref="Q16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COMPRAS</cp:lastModifiedBy>
  <cp:revision>2</cp:revision>
  <dcterms:created xsi:type="dcterms:W3CDTF">2020-07-17T23:44:49Z</dcterms:created>
  <dcterms:modified xsi:type="dcterms:W3CDTF">2021-08-10T14:58:02Z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