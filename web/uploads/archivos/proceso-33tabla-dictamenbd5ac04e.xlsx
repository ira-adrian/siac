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esktop\PROCESOS\TELAS E INSUMOS CONSOLIDADO HNEP - HSJB\APERTURA\"/>
    </mc:Choice>
  </mc:AlternateContent>
  <xr:revisionPtr revIDLastSave="0" documentId="13_ncr:1_{B781AE7C-5950-4C98-A645-71307F3DE66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icio" sheetId="9" r:id="rId1"/>
    <sheet name="Ponderacion" sheetId="8" r:id="rId2"/>
    <sheet name="Cuadro" sheetId="7" r:id="rId3"/>
  </sheets>
  <definedNames>
    <definedName name="_xlnm._FilterDatabase" localSheetId="2" hidden="1">Cuadro!$A$7:$N$26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6" i="7" l="1"/>
  <c r="N26" i="7" s="1"/>
  <c r="M25" i="7"/>
  <c r="N25" i="7" s="1"/>
  <c r="M24" i="7"/>
  <c r="N24" i="7" s="1"/>
  <c r="M23" i="7"/>
  <c r="N23" i="7" s="1"/>
  <c r="M22" i="7"/>
  <c r="N22" i="7" s="1"/>
  <c r="M21" i="7"/>
  <c r="N21" i="7" s="1"/>
  <c r="N20" i="7"/>
  <c r="M20" i="7"/>
  <c r="M19" i="7"/>
  <c r="N19" i="7" s="1"/>
  <c r="M18" i="7"/>
  <c r="N18" i="7" s="1"/>
  <c r="M17" i="7"/>
  <c r="N17" i="7" s="1"/>
  <c r="M16" i="7"/>
  <c r="N16" i="7" s="1"/>
  <c r="M15" i="7"/>
  <c r="N15" i="7" s="1"/>
  <c r="N14" i="7"/>
  <c r="M14" i="7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L26" i="7" l="1"/>
  <c r="L18" i="7"/>
  <c r="L24" i="7"/>
  <c r="L16" i="7"/>
  <c r="L22" i="7"/>
  <c r="L14" i="7"/>
  <c r="L17" i="7"/>
  <c r="L20" i="7"/>
  <c r="L23" i="7"/>
  <c r="L10" i="7"/>
  <c r="L11" i="7"/>
  <c r="L12" i="7"/>
  <c r="L13" i="7"/>
  <c r="L19" i="7"/>
  <c r="L25" i="7"/>
  <c r="L8" i="7"/>
  <c r="L9" i="7"/>
  <c r="L15" i="7"/>
  <c r="L21" i="7"/>
</calcChain>
</file>

<file path=xl/sharedStrings.xml><?xml version="1.0" encoding="utf-8"?>
<sst xmlns="http://schemas.openxmlformats.org/spreadsheetml/2006/main" count="72" uniqueCount="52">
  <si>
    <t>Proveedor</t>
  </si>
  <si>
    <t>Plazo de entrega</t>
  </si>
  <si>
    <t>Antecedentes</t>
  </si>
  <si>
    <t xml:space="preserve">Ponderación precio: </t>
  </si>
  <si>
    <t xml:space="preserve">% </t>
  </si>
  <si>
    <t>CUADRO COMPARATIVO DE OFERTAS - PONDERACIÓN DE FACTORES SEGÚN PLIEGO</t>
  </si>
  <si>
    <t>ITEM</t>
  </si>
  <si>
    <t>Cant. Solicit.</t>
  </si>
  <si>
    <t>Alter.</t>
  </si>
  <si>
    <t>Razon Social Proveedor</t>
  </si>
  <si>
    <t>Marca</t>
  </si>
  <si>
    <t>Cant. Ofertada</t>
  </si>
  <si>
    <t>Precio Unitario</t>
  </si>
  <si>
    <t>Puntaje Factor Precio</t>
  </si>
  <si>
    <t>Puntaje Factor Calidad</t>
  </si>
  <si>
    <t>Puntaje Factor Plazo de Entrega</t>
  </si>
  <si>
    <t>Puntaje Factor Antecedentes</t>
  </si>
  <si>
    <t>PUNTAJE TOTAL</t>
  </si>
  <si>
    <t>Cant. Preadj</t>
  </si>
  <si>
    <t>Total Preadj</t>
  </si>
  <si>
    <t xml:space="preserve">Los encabezados de color amarillo </t>
  </si>
  <si>
    <r>
      <t xml:space="preserve">CARGAR LA PONDERACION: </t>
    </r>
    <r>
      <rPr>
        <b/>
        <sz val="12"/>
        <color theme="1"/>
        <rFont val="Calibri"/>
        <family val="2"/>
        <scheme val="minor"/>
      </rPr>
      <t>CALIDAD</t>
    </r>
    <r>
      <rPr>
        <sz val="12"/>
        <color theme="1"/>
        <rFont val="Calibri"/>
        <family val="2"/>
        <scheme val="minor"/>
      </rPr>
      <t xml:space="preserve"> EN CADA ITEM</t>
    </r>
  </si>
  <si>
    <t>AYUDA</t>
  </si>
  <si>
    <t>CARGAR EL CUADRO DEL COMPR.AR  HACIENDO CLICK EN "ARMAR CUADRO"</t>
  </si>
  <si>
    <r>
      <t xml:space="preserve">CARGA LAS PONDERACIONES: </t>
    </r>
    <r>
      <rPr>
        <b/>
        <sz val="12"/>
        <color theme="1"/>
        <rFont val="Calibri"/>
        <family val="2"/>
        <scheme val="minor"/>
      </rPr>
      <t xml:space="preserve">ENTREGA - ANTECEDENTES - PRECIO </t>
    </r>
    <r>
      <rPr>
        <sz val="12"/>
        <color theme="1"/>
        <rFont val="Calibri"/>
        <family val="2"/>
        <scheme val="minor"/>
      </rPr>
      <t>(valor por defecto 83)</t>
    </r>
  </si>
  <si>
    <t>Inicio</t>
  </si>
  <si>
    <t>Ponderacion</t>
  </si>
  <si>
    <t>Cuadro</t>
  </si>
  <si>
    <r>
      <t>indican las celdas que deben modificarse, la</t>
    </r>
    <r>
      <rPr>
        <b/>
        <sz val="11"/>
        <color theme="1"/>
        <rFont val="Calibri"/>
        <family val="2"/>
        <scheme val="minor"/>
      </rPr>
      <t xml:space="preserve"> ACTUALIZACION ES AUTOMATICA</t>
    </r>
    <r>
      <rPr>
        <sz val="11"/>
        <color theme="1"/>
        <rFont val="Calibri"/>
        <family val="2"/>
        <scheme val="minor"/>
      </rPr>
      <t xml:space="preserve"> en el </t>
    </r>
    <r>
      <rPr>
        <b/>
        <i/>
        <sz val="11"/>
        <color theme="3"/>
        <rFont val="Calibri"/>
        <family val="2"/>
        <scheme val="minor"/>
      </rPr>
      <t>Cuadro.</t>
    </r>
  </si>
  <si>
    <t>Primer Fila</t>
  </si>
  <si>
    <t>Ultima Fila</t>
  </si>
  <si>
    <t>maria angela mascareño</t>
  </si>
  <si>
    <t>CONTRATACIÓN DIRECTA 100-0064-CDI22 Adquisición de Telas e Insumos de Costura destinados al HNEP y HSJB</t>
  </si>
  <si>
    <t>TELA ACROCEL PARA AMBOS, 50% ALGODÓN Y 50% POLYEST</t>
  </si>
  <si>
    <t>TELA GABARDINA 8 OZ COLOR VERDE BOTELLA MARCA: ASF</t>
  </si>
  <si>
    <t xml:space="preserve">TELA GABARDINA 8 OZ COLOR BLANCO MARCA: ASFOURA </t>
  </si>
  <si>
    <t xml:space="preserve">ALMOHADA DE ESPUMA DE 1 PLAZA MARCA: DESCANSO </t>
  </si>
  <si>
    <t>TELA PARA SABANAS 75% POLYESTER Y 25% ALGODÓN, COL</t>
  </si>
  <si>
    <t xml:space="preserve">TELA ELASTICA PARA PUÑO - TELA RIB MARCA: ASFOURA </t>
  </si>
  <si>
    <t>PARA MAQUINA INDUSTRIAL, SOBRE POR 10 UNIDADES MAR</t>
  </si>
  <si>
    <t>PARA MAQUINA OVERLOCK, SOBRE POR 10 UNIDADES MARCA</t>
  </si>
  <si>
    <t xml:space="preserve">OJO ANCHO, SOBRE POR 20 UNIDADES MARCA: SINGER </t>
  </si>
  <si>
    <t xml:space="preserve">HILO POLIESTER CONO P/COCER Nº120 CONO X 4000 MT </t>
  </si>
  <si>
    <t>HILO DE POLIESTER; PRESENTACION: CONO, USO: P/COSE</t>
  </si>
  <si>
    <t xml:space="preserve"> ELASTICO; PRESENTACION: ROLLO X 25 M, ANCHO: 4 Cm</t>
  </si>
  <si>
    <t xml:space="preserve">ELASTICO; PRESENTACION: ROLLO X 50 M, ANCHO: 1 Cm </t>
  </si>
  <si>
    <t>PARA SABANAS, 35% ALGODÓN - 65% POLIESTER, COLOR B</t>
  </si>
  <si>
    <t>TIPO NIDO DE ABEJA, 50% ALGODÓN - 50% POLIESTER, C</t>
  </si>
  <si>
    <t>TELA SILVER, RESISTENTE AL AGUA X 1,5 MT. DE ANCHO</t>
  </si>
  <si>
    <t>TELAS TEXTILES; TIPO: POLAR, ANCHO: 1,60 M, LARGO:</t>
  </si>
  <si>
    <t>TELAS TEXTILES; TIPO: MORLEY, ANCHO: 0,90 M, LARGO</t>
  </si>
  <si>
    <t>Los siguientes items quedaron desiertos: 15  - 16  -
 "Unico proveedor MARIA ANGELA MASCAREÑO, cotiza los items de forma PARCIAL 1 -2 -3- 5 - 7 - 8 - 9 - 11 - 12 - 13 - 17- 18 - 19 - 20  y los Items de forma TOTAL 4 - 6 - 10 - 14 - 21  por la suma de pesos Cuatro millones setecientos ochenta y seis mil ciento cincuenta con 00/100 ($4.786.150,00)
Hospital Interzonal San Juan Bautista: $3.007.500,00
Hospital de Niños Eva Peron $1.778.650,00
TOTAL GENERAL: $4.786.150,00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</si>
</sst>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[$$-2C0A]\ * #,##0.00_ ;_ [$$-2C0A]\ * \-#,##0.00_ ;_ [$$-2C0A]\ * &quot;-&quot;??_ ;_ @_ "/>
    <numFmt numFmtId="165" formatCode="&quot;$&quot;\ #,##0.00"/>
  </numFmts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indexed="5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2" xfId="0" applyFont="1" applyFill="1" applyBorder="1"/>
    <xf numFmtId="0" fontId="3" fillId="0" borderId="4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Fill="1"/>
    <xf numFmtId="43" fontId="0" fillId="0" borderId="0" xfId="1" applyFont="1" applyFill="1"/>
    <xf numFmtId="0" fontId="0" fillId="0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4" fontId="0" fillId="0" borderId="0" xfId="0" applyNumberFormat="1" applyFill="1"/>
    <xf numFmtId="0" fontId="8" fillId="0" borderId="0" xfId="0" applyFont="1"/>
    <xf numFmtId="0" fontId="10" fillId="0" borderId="0" xfId="0" applyFont="1"/>
    <xf numFmtId="0" fontId="0" fillId="2" borderId="1" xfId="0" applyFill="1" applyBorder="1"/>
    <xf numFmtId="0" fontId="12" fillId="0" borderId="0" xfId="0" applyFont="1"/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43" fontId="0" fillId="0" borderId="9" xfId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164" fontId="0" fillId="0" borderId="7" xfId="2" applyNumberFormat="1" applyFont="1" applyFill="1" applyBorder="1" applyAlignment="1">
      <alignment horizontal="center" vertical="center" wrapText="1"/>
    </xf>
    <xf numFmtId="2" fontId="0" fillId="0" borderId="7" xfId="0" applyNumberFormat="1" applyFill="1" applyBorder="1" applyAlignment="1">
      <alignment horizontal="center" vertical="center" wrapText="1"/>
    </xf>
    <xf numFmtId="2" fontId="6" fillId="0" borderId="7" xfId="1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64" fontId="6" fillId="0" borderId="13" xfId="2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6" fillId="0" borderId="14" xfId="2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164" fontId="0" fillId="0" borderId="12" xfId="2" applyNumberFormat="1" applyFont="1" applyFill="1" applyBorder="1" applyAlignment="1">
      <alignment horizontal="center" vertical="center" wrapText="1"/>
    </xf>
    <xf numFmtId="2" fontId="0" fillId="0" borderId="12" xfId="0" applyNumberFormat="1" applyFill="1" applyBorder="1" applyAlignment="1">
      <alignment horizontal="center" vertical="center" wrapText="1"/>
    </xf>
    <xf numFmtId="2" fontId="6" fillId="0" borderId="12" xfId="1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164" fontId="6" fillId="0" borderId="15" xfId="2" applyNumberFormat="1" applyFont="1" applyFill="1" applyBorder="1" applyAlignment="1">
      <alignment horizontal="center" vertical="center" wrapText="1"/>
    </xf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4</xdr:row>
      <xdr:rowOff>95250</xdr:rowOff>
    </xdr:from>
    <xdr:to>
      <xdr:col>8</xdr:col>
      <xdr:colOff>238125</xdr:colOff>
      <xdr:row>11</xdr:row>
      <xdr:rowOff>76200</xdr:rowOff>
    </xdr:to>
    <xdr:sp macro="[0]!Armar_Cuadro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3E19713-30BA-4335-8D1B-B3D6B9B79C33}"/>
            </a:ext>
          </a:extLst>
        </xdr:cNvPr>
        <xdr:cNvSpPr/>
      </xdr:nvSpPr>
      <xdr:spPr>
        <a:xfrm>
          <a:off x="2505075" y="857250"/>
          <a:ext cx="4381500" cy="1390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3600" b="1"/>
            <a:t>ARMAR</a:t>
          </a:r>
          <a:r>
            <a:rPr lang="es-AR" sz="3600" b="1" baseline="0"/>
            <a:t> CUADRO</a:t>
          </a:r>
          <a:endParaRPr lang="es-AR" sz="36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B0B4-5622-4F24-925E-582AA87060F2}">
  <sheetPr codeName="Hoja1"/>
  <dimension ref="A6:F20"/>
  <sheetViews>
    <sheetView workbookViewId="0"/>
  </sheetViews>
  <sheetFormatPr baseColWidth="10" defaultRowHeight="15" x14ac:dyDescent="0.25"/>
  <cols>
    <col min="1" max="1" width="19.7109375" customWidth="1"/>
  </cols>
  <sheetData>
    <row r="6" spans="1:6" ht="21" x14ac:dyDescent="0.35">
      <c r="B6" s="1"/>
    </row>
    <row r="7" spans="1:6" x14ac:dyDescent="0.25">
      <c r="E7" t="s">
        <v>29</v>
      </c>
      <c r="F7">
        <v>8</v>
      </c>
    </row>
    <row r="8" spans="1:6" x14ac:dyDescent="0.25">
      <c r="E8" t="s">
        <v>30</v>
      </c>
      <c r="F8">
        <v>27</v>
      </c>
    </row>
    <row r="13" spans="1:6" ht="15.75" x14ac:dyDescent="0.25">
      <c r="A13" s="17" t="s">
        <v>22</v>
      </c>
    </row>
    <row r="14" spans="1:6" x14ac:dyDescent="0.25">
      <c r="A14" t="s">
        <v>20</v>
      </c>
      <c r="C14" s="16"/>
      <c r="D14" t="s">
        <v>28</v>
      </c>
    </row>
    <row r="15" spans="1:6" ht="15.75" x14ac:dyDescent="0.25">
      <c r="A15" s="15" t="s">
        <v>25</v>
      </c>
      <c r="B15" s="14"/>
      <c r="C15" s="14"/>
      <c r="D15" s="14"/>
      <c r="E15" s="14"/>
    </row>
    <row r="16" spans="1:6" ht="15.75" x14ac:dyDescent="0.25">
      <c r="A16" s="14" t="s">
        <v>23</v>
      </c>
      <c r="B16" s="14"/>
      <c r="C16" s="14"/>
      <c r="D16" s="14"/>
      <c r="E16" s="14"/>
    </row>
    <row r="17" spans="1:5" ht="16.5" customHeight="1" x14ac:dyDescent="0.25">
      <c r="A17" s="15" t="s">
        <v>26</v>
      </c>
      <c r="B17" s="14"/>
      <c r="C17" s="14"/>
      <c r="D17" s="14"/>
      <c r="E17" s="14"/>
    </row>
    <row r="18" spans="1:5" ht="15.75" x14ac:dyDescent="0.25">
      <c r="A18" s="14" t="s">
        <v>24</v>
      </c>
      <c r="B18" s="14"/>
      <c r="C18" s="14"/>
      <c r="D18" s="14"/>
      <c r="E18" s="14"/>
    </row>
    <row r="19" spans="1:5" ht="15.75" x14ac:dyDescent="0.25">
      <c r="A19" s="15" t="s">
        <v>27</v>
      </c>
      <c r="B19" s="14"/>
      <c r="C19" s="14"/>
      <c r="D19" s="14"/>
      <c r="E19" s="14"/>
    </row>
    <row r="20" spans="1:5" ht="15.75" x14ac:dyDescent="0.25">
      <c r="A20" s="14" t="s">
        <v>21</v>
      </c>
      <c r="B20" s="14"/>
      <c r="C20" s="14"/>
      <c r="D20" s="14"/>
      <c r="E20" s="1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2"/>
  <sheetViews>
    <sheetView workbookViewId="0">
      <selection activeCell="B3" sqref="B3"/>
    </sheetView>
  </sheetViews>
  <sheetFormatPr baseColWidth="10" defaultColWidth="9.140625" defaultRowHeight="18.75" x14ac:dyDescent="0.3"/>
  <cols>
    <col min="1" max="1" width="28.42578125" style="6" bestFit="1" customWidth="1"/>
    <col min="2" max="2" width="19.5703125" style="7" bestFit="1" customWidth="1"/>
    <col min="3" max="3" width="16.42578125" style="7" bestFit="1" customWidth="1"/>
    <col min="4" max="4" width="9.140625" style="3"/>
    <col min="5" max="5" width="24.140625" style="3" bestFit="1" customWidth="1"/>
    <col min="6" max="16384" width="9.140625" style="3"/>
  </cols>
  <sheetData>
    <row r="1" spans="1:7" ht="21.75" thickBot="1" x14ac:dyDescent="0.4">
      <c r="A1" s="2" t="s">
        <v>0</v>
      </c>
      <c r="B1" s="2" t="s">
        <v>1</v>
      </c>
      <c r="C1" s="2" t="s">
        <v>2</v>
      </c>
      <c r="E1" s="4" t="s">
        <v>3</v>
      </c>
      <c r="F1" s="8">
        <v>80</v>
      </c>
      <c r="G1" s="5" t="s">
        <v>4</v>
      </c>
    </row>
    <row r="2" spans="1:7" x14ac:dyDescent="0.3">
      <c r="A2" s="6" t="s">
        <v>31</v>
      </c>
      <c r="B2" s="7">
        <v>1</v>
      </c>
      <c r="C2" s="7">
        <v>5</v>
      </c>
    </row>
  </sheetData>
  <pageMargins left="0.7" right="0.7" top="0.75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>
    <pageSetUpPr fitToPage="1"/>
  </sheetPr>
  <dimension ref="A2:O28"/>
  <sheetViews>
    <sheetView tabSelected="1" workbookViewId="0">
      <selection activeCell="D32" sqref="D32"/>
    </sheetView>
  </sheetViews>
  <sheetFormatPr baseColWidth="10" defaultColWidth="10.28515625" defaultRowHeight="15" x14ac:dyDescent="0.25"/>
  <cols>
    <col min="1" max="2" width="10.28515625" style="9"/>
    <col min="3" max="3" width="15.140625" style="9" customWidth="1"/>
    <col min="4" max="4" width="24.85546875" style="9" customWidth="1"/>
    <col min="5" max="5" width="66.28515625" style="9" customWidth="1"/>
    <col min="6" max="6" width="10.28515625" style="9"/>
    <col min="7" max="7" width="13" style="9" bestFit="1" customWidth="1"/>
    <col min="8" max="10" width="10.28515625" style="9"/>
    <col min="11" max="11" width="15.7109375" style="9" customWidth="1"/>
    <col min="12" max="12" width="12.5703125" style="10" customWidth="1"/>
    <col min="13" max="13" width="10.28515625" style="9"/>
    <col min="14" max="14" width="14" style="9" customWidth="1"/>
    <col min="15" max="15" width="14" style="9" bestFit="1" customWidth="1"/>
    <col min="16" max="16384" width="10.28515625" style="9"/>
  </cols>
  <sheetData>
    <row r="2" spans="1:15" x14ac:dyDescent="0.25">
      <c r="A2" s="46" t="s">
        <v>5</v>
      </c>
      <c r="B2" s="46"/>
      <c r="C2" s="46"/>
      <c r="D2" s="46"/>
      <c r="E2" s="46"/>
      <c r="F2" s="46"/>
      <c r="G2" s="46"/>
      <c r="H2" s="46"/>
      <c r="I2" s="46"/>
      <c r="N2" s="13"/>
    </row>
    <row r="5" spans="1:15" x14ac:dyDescent="0.25">
      <c r="A5" s="47" t="s">
        <v>32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5" ht="15.75" thickBot="1" x14ac:dyDescent="0.3"/>
    <row r="7" spans="1:15" ht="60.75" thickBot="1" x14ac:dyDescent="0.3">
      <c r="A7" s="20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2" t="s">
        <v>14</v>
      </c>
      <c r="J7" s="11" t="s">
        <v>15</v>
      </c>
      <c r="K7" s="11" t="s">
        <v>16</v>
      </c>
      <c r="L7" s="21" t="s">
        <v>17</v>
      </c>
      <c r="M7" s="11" t="s">
        <v>18</v>
      </c>
      <c r="N7" s="22" t="s">
        <v>19</v>
      </c>
    </row>
    <row r="8" spans="1:15" ht="18.75" x14ac:dyDescent="0.25">
      <c r="A8" s="23">
        <v>1</v>
      </c>
      <c r="B8" s="19">
        <v>500</v>
      </c>
      <c r="C8" s="19">
        <v>1</v>
      </c>
      <c r="D8" s="19" t="s">
        <v>31</v>
      </c>
      <c r="E8" s="19" t="s">
        <v>33</v>
      </c>
      <c r="F8" s="24">
        <v>250</v>
      </c>
      <c r="G8" s="25">
        <v>2580</v>
      </c>
      <c r="H8" s="26">
        <f>(G8*Ponderacion!F1)/G8</f>
        <v>80</v>
      </c>
      <c r="I8" s="19">
        <v>12</v>
      </c>
      <c r="J8" s="19">
        <f>VLOOKUP(D8,Ponderacion!A2:C2,2,0)</f>
        <v>1</v>
      </c>
      <c r="K8" s="19">
        <f>VLOOKUP(D8,Ponderacion!A2:C2,3,0)</f>
        <v>5</v>
      </c>
      <c r="L8" s="27">
        <f t="shared" ref="L8:L26" si="0">SUM(H8:K8)</f>
        <v>98</v>
      </c>
      <c r="M8" s="28">
        <f t="shared" ref="M8:M26" si="1">F8</f>
        <v>250</v>
      </c>
      <c r="N8" s="29">
        <f t="shared" ref="N8:N26" si="2">G8*M8</f>
        <v>645000</v>
      </c>
    </row>
    <row r="9" spans="1:15" ht="18.75" x14ac:dyDescent="0.25">
      <c r="A9" s="30">
        <v>2</v>
      </c>
      <c r="B9" s="18">
        <v>500</v>
      </c>
      <c r="C9" s="18">
        <v>1</v>
      </c>
      <c r="D9" s="18" t="s">
        <v>31</v>
      </c>
      <c r="E9" s="18" t="s">
        <v>34</v>
      </c>
      <c r="F9" s="31">
        <v>250</v>
      </c>
      <c r="G9" s="32">
        <v>1990</v>
      </c>
      <c r="H9" s="33">
        <f>(G9*Ponderacion!F1)/G9</f>
        <v>80</v>
      </c>
      <c r="I9" s="18">
        <v>12</v>
      </c>
      <c r="J9" s="18">
        <f>VLOOKUP(D9,Ponderacion!A2:C2,2,0)</f>
        <v>1</v>
      </c>
      <c r="K9" s="18">
        <f>VLOOKUP(D9,Ponderacion!A2:C2,3,0)</f>
        <v>5</v>
      </c>
      <c r="L9" s="34">
        <f t="shared" si="0"/>
        <v>98</v>
      </c>
      <c r="M9" s="35">
        <f t="shared" si="1"/>
        <v>250</v>
      </c>
      <c r="N9" s="36">
        <f t="shared" si="2"/>
        <v>497500</v>
      </c>
    </row>
    <row r="10" spans="1:15" ht="18.75" x14ac:dyDescent="0.25">
      <c r="A10" s="30">
        <v>3</v>
      </c>
      <c r="B10" s="18">
        <v>500</v>
      </c>
      <c r="C10" s="18">
        <v>1</v>
      </c>
      <c r="D10" s="18" t="s">
        <v>31</v>
      </c>
      <c r="E10" s="18" t="s">
        <v>35</v>
      </c>
      <c r="F10" s="31">
        <v>250</v>
      </c>
      <c r="G10" s="32">
        <v>1800</v>
      </c>
      <c r="H10" s="33">
        <f>(G10*Ponderacion!F1)/G10</f>
        <v>80</v>
      </c>
      <c r="I10" s="18">
        <v>12</v>
      </c>
      <c r="J10" s="18">
        <f>VLOOKUP(D10,Ponderacion!A2:C2,2,0)</f>
        <v>1</v>
      </c>
      <c r="K10" s="18">
        <f>VLOOKUP(D10,Ponderacion!A2:C2,3,0)</f>
        <v>5</v>
      </c>
      <c r="L10" s="34">
        <f t="shared" si="0"/>
        <v>98</v>
      </c>
      <c r="M10" s="35">
        <f t="shared" si="1"/>
        <v>250</v>
      </c>
      <c r="N10" s="36">
        <f t="shared" si="2"/>
        <v>450000</v>
      </c>
    </row>
    <row r="11" spans="1:15" ht="18.75" x14ac:dyDescent="0.25">
      <c r="A11" s="30">
        <v>4</v>
      </c>
      <c r="B11" s="18">
        <v>200</v>
      </c>
      <c r="C11" s="18">
        <v>1</v>
      </c>
      <c r="D11" s="18" t="s">
        <v>31</v>
      </c>
      <c r="E11" s="18" t="s">
        <v>36</v>
      </c>
      <c r="F11" s="18">
        <v>200</v>
      </c>
      <c r="G11" s="32">
        <v>3400</v>
      </c>
      <c r="H11" s="33">
        <f>(G11*Ponderacion!F1)/G11</f>
        <v>80</v>
      </c>
      <c r="I11" s="18">
        <v>12</v>
      </c>
      <c r="J11" s="18">
        <f>VLOOKUP(D11,Ponderacion!A2:C2,2,0)</f>
        <v>1</v>
      </c>
      <c r="K11" s="18">
        <f>VLOOKUP(D11,Ponderacion!A2:C2,3,0)</f>
        <v>5</v>
      </c>
      <c r="L11" s="34">
        <f t="shared" si="0"/>
        <v>98</v>
      </c>
      <c r="M11" s="35">
        <f t="shared" si="1"/>
        <v>200</v>
      </c>
      <c r="N11" s="36">
        <f t="shared" si="2"/>
        <v>680000</v>
      </c>
    </row>
    <row r="12" spans="1:15" ht="18.75" x14ac:dyDescent="0.25">
      <c r="A12" s="30">
        <v>5</v>
      </c>
      <c r="B12" s="18">
        <v>20</v>
      </c>
      <c r="C12" s="18">
        <v>1</v>
      </c>
      <c r="D12" s="18" t="s">
        <v>31</v>
      </c>
      <c r="E12" s="18" t="s">
        <v>37</v>
      </c>
      <c r="F12" s="31">
        <v>10</v>
      </c>
      <c r="G12" s="32">
        <v>44500</v>
      </c>
      <c r="H12" s="33">
        <f>(G12*Ponderacion!F1)/G12</f>
        <v>80</v>
      </c>
      <c r="I12" s="18">
        <v>12</v>
      </c>
      <c r="J12" s="18">
        <f>VLOOKUP(D12,Ponderacion!A2:C2,2,0)</f>
        <v>1</v>
      </c>
      <c r="K12" s="18">
        <f>VLOOKUP(D12,Ponderacion!A2:C2,3,0)</f>
        <v>5</v>
      </c>
      <c r="L12" s="34">
        <f t="shared" si="0"/>
        <v>98</v>
      </c>
      <c r="M12" s="35">
        <f t="shared" si="1"/>
        <v>10</v>
      </c>
      <c r="N12" s="36">
        <f t="shared" si="2"/>
        <v>445000</v>
      </c>
    </row>
    <row r="13" spans="1:15" ht="18.75" x14ac:dyDescent="0.25">
      <c r="A13" s="30">
        <v>6</v>
      </c>
      <c r="B13" s="18">
        <v>100</v>
      </c>
      <c r="C13" s="18">
        <v>1</v>
      </c>
      <c r="D13" s="18" t="s">
        <v>31</v>
      </c>
      <c r="E13" s="18" t="s">
        <v>38</v>
      </c>
      <c r="F13" s="18">
        <v>100</v>
      </c>
      <c r="G13" s="32">
        <v>2900</v>
      </c>
      <c r="H13" s="33">
        <f>(G13*Ponderacion!F1)/G13</f>
        <v>80</v>
      </c>
      <c r="I13" s="18">
        <v>12</v>
      </c>
      <c r="J13" s="18">
        <f>VLOOKUP(D13,Ponderacion!A2:C2,2,0)</f>
        <v>1</v>
      </c>
      <c r="K13" s="18">
        <f>VLOOKUP(D13,Ponderacion!A2:C2,3,0)</f>
        <v>5</v>
      </c>
      <c r="L13" s="34">
        <f t="shared" si="0"/>
        <v>98</v>
      </c>
      <c r="M13" s="35">
        <f t="shared" si="1"/>
        <v>100</v>
      </c>
      <c r="N13" s="36">
        <f t="shared" si="2"/>
        <v>290000</v>
      </c>
      <c r="O13" s="45"/>
    </row>
    <row r="14" spans="1:15" ht="18.75" x14ac:dyDescent="0.25">
      <c r="A14" s="30">
        <v>7</v>
      </c>
      <c r="B14" s="18">
        <v>30</v>
      </c>
      <c r="C14" s="18">
        <v>1</v>
      </c>
      <c r="D14" s="18" t="s">
        <v>31</v>
      </c>
      <c r="E14" s="18" t="s">
        <v>39</v>
      </c>
      <c r="F14" s="31">
        <v>15</v>
      </c>
      <c r="G14" s="32">
        <v>1450</v>
      </c>
      <c r="H14" s="33">
        <f>(G14*Ponderacion!F1)/G14</f>
        <v>80</v>
      </c>
      <c r="I14" s="18">
        <v>5</v>
      </c>
      <c r="J14" s="18">
        <f>VLOOKUP(D14,Ponderacion!A2:C2,2,0)</f>
        <v>1</v>
      </c>
      <c r="K14" s="18">
        <f>VLOOKUP(D14,Ponderacion!A2:C2,3,0)</f>
        <v>5</v>
      </c>
      <c r="L14" s="34">
        <f t="shared" si="0"/>
        <v>91</v>
      </c>
      <c r="M14" s="35">
        <f t="shared" si="1"/>
        <v>15</v>
      </c>
      <c r="N14" s="36">
        <f t="shared" si="2"/>
        <v>21750</v>
      </c>
    </row>
    <row r="15" spans="1:15" ht="18.75" x14ac:dyDescent="0.25">
      <c r="A15" s="30">
        <v>8</v>
      </c>
      <c r="B15" s="18">
        <v>30</v>
      </c>
      <c r="C15" s="18">
        <v>1</v>
      </c>
      <c r="D15" s="18" t="s">
        <v>31</v>
      </c>
      <c r="E15" s="18" t="s">
        <v>40</v>
      </c>
      <c r="F15" s="31">
        <v>15</v>
      </c>
      <c r="G15" s="32">
        <v>1450</v>
      </c>
      <c r="H15" s="33">
        <f>(G15*Ponderacion!F1)/G15</f>
        <v>80</v>
      </c>
      <c r="I15" s="18">
        <v>5</v>
      </c>
      <c r="J15" s="18">
        <f>VLOOKUP(D15,Ponderacion!A2:C2,2,0)</f>
        <v>1</v>
      </c>
      <c r="K15" s="18">
        <f>VLOOKUP(D15,Ponderacion!A2:C2,3,0)</f>
        <v>5</v>
      </c>
      <c r="L15" s="34">
        <f t="shared" si="0"/>
        <v>91</v>
      </c>
      <c r="M15" s="35">
        <f t="shared" si="1"/>
        <v>15</v>
      </c>
      <c r="N15" s="36">
        <f t="shared" si="2"/>
        <v>21750</v>
      </c>
    </row>
    <row r="16" spans="1:15" ht="18.75" x14ac:dyDescent="0.25">
      <c r="A16" s="30">
        <v>9</v>
      </c>
      <c r="B16" s="18">
        <v>30</v>
      </c>
      <c r="C16" s="18">
        <v>1</v>
      </c>
      <c r="D16" s="18" t="s">
        <v>31</v>
      </c>
      <c r="E16" s="18" t="s">
        <v>40</v>
      </c>
      <c r="F16" s="31">
        <v>15</v>
      </c>
      <c r="G16" s="32">
        <v>1450</v>
      </c>
      <c r="H16" s="33">
        <f>(G16*Ponderacion!F1)/G16</f>
        <v>80</v>
      </c>
      <c r="I16" s="18">
        <v>5</v>
      </c>
      <c r="J16" s="18">
        <f>VLOOKUP(D16,Ponderacion!A2:C2,2,0)</f>
        <v>1</v>
      </c>
      <c r="K16" s="18">
        <f>VLOOKUP(D16,Ponderacion!A2:C2,3,0)</f>
        <v>5</v>
      </c>
      <c r="L16" s="34">
        <f t="shared" si="0"/>
        <v>91</v>
      </c>
      <c r="M16" s="35">
        <f t="shared" si="1"/>
        <v>15</v>
      </c>
      <c r="N16" s="36">
        <f t="shared" si="2"/>
        <v>21750</v>
      </c>
    </row>
    <row r="17" spans="1:15" ht="18.75" x14ac:dyDescent="0.25">
      <c r="A17" s="30">
        <v>10</v>
      </c>
      <c r="B17" s="18">
        <v>3</v>
      </c>
      <c r="C17" s="18">
        <v>1</v>
      </c>
      <c r="D17" s="18" t="s">
        <v>31</v>
      </c>
      <c r="E17" s="18" t="s">
        <v>41</v>
      </c>
      <c r="F17" s="18">
        <v>3</v>
      </c>
      <c r="G17" s="32">
        <v>1400</v>
      </c>
      <c r="H17" s="33">
        <f>(G17*Ponderacion!F1)/G17</f>
        <v>80</v>
      </c>
      <c r="I17" s="18">
        <v>5</v>
      </c>
      <c r="J17" s="18">
        <f>VLOOKUP(D17,Ponderacion!A2:C2,2,0)</f>
        <v>1</v>
      </c>
      <c r="K17" s="18">
        <f>VLOOKUP(D17,Ponderacion!A2:C2,3,0)</f>
        <v>5</v>
      </c>
      <c r="L17" s="34">
        <f t="shared" si="0"/>
        <v>91</v>
      </c>
      <c r="M17" s="35">
        <f t="shared" si="1"/>
        <v>3</v>
      </c>
      <c r="N17" s="36">
        <f t="shared" si="2"/>
        <v>4200</v>
      </c>
    </row>
    <row r="18" spans="1:15" ht="18.75" x14ac:dyDescent="0.25">
      <c r="A18" s="30">
        <v>11</v>
      </c>
      <c r="B18" s="18">
        <v>15</v>
      </c>
      <c r="C18" s="18">
        <v>1</v>
      </c>
      <c r="D18" s="18" t="s">
        <v>31</v>
      </c>
      <c r="E18" s="18" t="s">
        <v>42</v>
      </c>
      <c r="F18" s="31">
        <v>7</v>
      </c>
      <c r="G18" s="32">
        <v>800</v>
      </c>
      <c r="H18" s="33">
        <f>(G18*Ponderacion!F1)/G18</f>
        <v>80</v>
      </c>
      <c r="I18" s="18">
        <v>5</v>
      </c>
      <c r="J18" s="18">
        <f>VLOOKUP(D18,Ponderacion!A2:C2,2,0)</f>
        <v>1</v>
      </c>
      <c r="K18" s="18">
        <f>VLOOKUP(D18,Ponderacion!A2:C2,3,0)</f>
        <v>5</v>
      </c>
      <c r="L18" s="34">
        <f t="shared" si="0"/>
        <v>91</v>
      </c>
      <c r="M18" s="35">
        <f t="shared" si="1"/>
        <v>7</v>
      </c>
      <c r="N18" s="36">
        <f t="shared" si="2"/>
        <v>5600</v>
      </c>
    </row>
    <row r="19" spans="1:15" ht="18.75" x14ac:dyDescent="0.25">
      <c r="A19" s="30">
        <v>12</v>
      </c>
      <c r="B19" s="18">
        <v>20</v>
      </c>
      <c r="C19" s="18">
        <v>1</v>
      </c>
      <c r="D19" s="18" t="s">
        <v>31</v>
      </c>
      <c r="E19" s="18" t="s">
        <v>43</v>
      </c>
      <c r="F19" s="31">
        <v>10</v>
      </c>
      <c r="G19" s="32">
        <v>400</v>
      </c>
      <c r="H19" s="33">
        <f>(G19*Ponderacion!F1)/G19</f>
        <v>80</v>
      </c>
      <c r="I19" s="18">
        <v>5</v>
      </c>
      <c r="J19" s="18">
        <f>VLOOKUP(D19,Ponderacion!A2:C2,2,0)</f>
        <v>1</v>
      </c>
      <c r="K19" s="18">
        <f>VLOOKUP(D19,Ponderacion!A2:C2,3,0)</f>
        <v>5</v>
      </c>
      <c r="L19" s="34">
        <f t="shared" si="0"/>
        <v>91</v>
      </c>
      <c r="M19" s="35">
        <f t="shared" si="1"/>
        <v>10</v>
      </c>
      <c r="N19" s="36">
        <f t="shared" si="2"/>
        <v>4000</v>
      </c>
    </row>
    <row r="20" spans="1:15" ht="18.75" x14ac:dyDescent="0.25">
      <c r="A20" s="30">
        <v>13</v>
      </c>
      <c r="B20" s="18">
        <v>4</v>
      </c>
      <c r="C20" s="18">
        <v>1</v>
      </c>
      <c r="D20" s="18" t="s">
        <v>31</v>
      </c>
      <c r="E20" s="18" t="s">
        <v>44</v>
      </c>
      <c r="F20" s="31">
        <v>2</v>
      </c>
      <c r="G20" s="32">
        <v>2000</v>
      </c>
      <c r="H20" s="33">
        <f>(G20*Ponderacion!F1)/G20</f>
        <v>80</v>
      </c>
      <c r="I20" s="18">
        <v>5</v>
      </c>
      <c r="J20" s="18">
        <f>VLOOKUP(D20,Ponderacion!A2:C2,2,0)</f>
        <v>1</v>
      </c>
      <c r="K20" s="18">
        <f>VLOOKUP(D20,Ponderacion!A2:C2,3,0)</f>
        <v>5</v>
      </c>
      <c r="L20" s="34">
        <f t="shared" si="0"/>
        <v>91</v>
      </c>
      <c r="M20" s="35">
        <f t="shared" si="1"/>
        <v>2</v>
      </c>
      <c r="N20" s="36">
        <f t="shared" si="2"/>
        <v>4000</v>
      </c>
    </row>
    <row r="21" spans="1:15" ht="18.75" x14ac:dyDescent="0.25">
      <c r="A21" s="30">
        <v>14</v>
      </c>
      <c r="B21" s="18">
        <v>3</v>
      </c>
      <c r="C21" s="18">
        <v>1</v>
      </c>
      <c r="D21" s="18" t="s">
        <v>31</v>
      </c>
      <c r="E21" s="18" t="s">
        <v>45</v>
      </c>
      <c r="F21" s="18">
        <v>3</v>
      </c>
      <c r="G21" s="32">
        <v>3200</v>
      </c>
      <c r="H21" s="33">
        <f>(G21*Ponderacion!F1)/G21</f>
        <v>80</v>
      </c>
      <c r="I21" s="18">
        <v>5</v>
      </c>
      <c r="J21" s="18">
        <f>VLOOKUP(D21,Ponderacion!A2:C2,2,0)</f>
        <v>1</v>
      </c>
      <c r="K21" s="18">
        <f>VLOOKUP(D21,Ponderacion!A2:C2,3,0)</f>
        <v>5</v>
      </c>
      <c r="L21" s="34">
        <f t="shared" si="0"/>
        <v>91</v>
      </c>
      <c r="M21" s="35">
        <f t="shared" si="1"/>
        <v>3</v>
      </c>
      <c r="N21" s="36">
        <f t="shared" si="2"/>
        <v>9600</v>
      </c>
    </row>
    <row r="22" spans="1:15" ht="18.75" x14ac:dyDescent="0.25">
      <c r="A22" s="30">
        <v>17</v>
      </c>
      <c r="B22" s="18">
        <v>3</v>
      </c>
      <c r="C22" s="18">
        <v>1</v>
      </c>
      <c r="D22" s="18" t="s">
        <v>31</v>
      </c>
      <c r="E22" s="18" t="s">
        <v>46</v>
      </c>
      <c r="F22" s="31">
        <v>1</v>
      </c>
      <c r="G22" s="32">
        <v>179000</v>
      </c>
      <c r="H22" s="33">
        <f>(G22*Ponderacion!F1)/G22</f>
        <v>80</v>
      </c>
      <c r="I22" s="18">
        <v>5</v>
      </c>
      <c r="J22" s="18">
        <f>VLOOKUP(D22,Ponderacion!A2:C2,2,0)</f>
        <v>1</v>
      </c>
      <c r="K22" s="18">
        <f>VLOOKUP(D22,Ponderacion!A2:C2,3,0)</f>
        <v>5</v>
      </c>
      <c r="L22" s="34">
        <f t="shared" si="0"/>
        <v>91</v>
      </c>
      <c r="M22" s="35">
        <f t="shared" si="1"/>
        <v>1</v>
      </c>
      <c r="N22" s="36">
        <f t="shared" si="2"/>
        <v>179000</v>
      </c>
    </row>
    <row r="23" spans="1:15" ht="18.75" x14ac:dyDescent="0.25">
      <c r="A23" s="30">
        <v>18</v>
      </c>
      <c r="B23" s="18">
        <v>2</v>
      </c>
      <c r="C23" s="18">
        <v>1</v>
      </c>
      <c r="D23" s="18" t="s">
        <v>31</v>
      </c>
      <c r="E23" s="18" t="s">
        <v>47</v>
      </c>
      <c r="F23" s="31">
        <v>1</v>
      </c>
      <c r="G23" s="32">
        <v>410000</v>
      </c>
      <c r="H23" s="33">
        <f>(G23*Ponderacion!F1)/G23</f>
        <v>80</v>
      </c>
      <c r="I23" s="18">
        <v>5</v>
      </c>
      <c r="J23" s="18">
        <f>VLOOKUP(D23,Ponderacion!A2:C2,2,0)</f>
        <v>1</v>
      </c>
      <c r="K23" s="18">
        <f>VLOOKUP(D23,Ponderacion!A2:C2,3,0)</f>
        <v>5</v>
      </c>
      <c r="L23" s="34">
        <f t="shared" si="0"/>
        <v>91</v>
      </c>
      <c r="M23" s="35">
        <f t="shared" si="1"/>
        <v>1</v>
      </c>
      <c r="N23" s="36">
        <f t="shared" si="2"/>
        <v>410000</v>
      </c>
    </row>
    <row r="24" spans="1:15" ht="18.75" x14ac:dyDescent="0.25">
      <c r="A24" s="30">
        <v>19</v>
      </c>
      <c r="B24" s="18">
        <v>3</v>
      </c>
      <c r="C24" s="18">
        <v>1</v>
      </c>
      <c r="D24" s="18" t="s">
        <v>31</v>
      </c>
      <c r="E24" s="18" t="s">
        <v>48</v>
      </c>
      <c r="F24" s="31">
        <v>2</v>
      </c>
      <c r="G24" s="32">
        <v>225000</v>
      </c>
      <c r="H24" s="33">
        <f>(G24*Ponderacion!F1)/G24</f>
        <v>80</v>
      </c>
      <c r="I24" s="18">
        <v>5</v>
      </c>
      <c r="J24" s="18">
        <f>VLOOKUP(D24,Ponderacion!A2:C2,2,0)</f>
        <v>1</v>
      </c>
      <c r="K24" s="18">
        <f>VLOOKUP(D24,Ponderacion!A2:C2,3,0)</f>
        <v>5</v>
      </c>
      <c r="L24" s="34">
        <f t="shared" si="0"/>
        <v>91</v>
      </c>
      <c r="M24" s="35">
        <f t="shared" si="1"/>
        <v>2</v>
      </c>
      <c r="N24" s="36">
        <f t="shared" si="2"/>
        <v>450000</v>
      </c>
    </row>
    <row r="25" spans="1:15" ht="18.75" x14ac:dyDescent="0.25">
      <c r="A25" s="30">
        <v>20</v>
      </c>
      <c r="B25" s="18">
        <v>3</v>
      </c>
      <c r="C25" s="18">
        <v>1</v>
      </c>
      <c r="D25" s="18" t="s">
        <v>31</v>
      </c>
      <c r="E25" s="18" t="s">
        <v>49</v>
      </c>
      <c r="F25" s="31">
        <v>2</v>
      </c>
      <c r="G25" s="32">
        <v>179000</v>
      </c>
      <c r="H25" s="33">
        <f>(G25*Ponderacion!F1)/G25</f>
        <v>80</v>
      </c>
      <c r="I25" s="18">
        <v>5</v>
      </c>
      <c r="J25" s="18">
        <f>VLOOKUP(D25,Ponderacion!A2:C2,2,0)</f>
        <v>1</v>
      </c>
      <c r="K25" s="18">
        <f>VLOOKUP(D25,Ponderacion!A2:C2,3,0)</f>
        <v>5</v>
      </c>
      <c r="L25" s="34">
        <f t="shared" si="0"/>
        <v>91</v>
      </c>
      <c r="M25" s="35">
        <f t="shared" si="1"/>
        <v>2</v>
      </c>
      <c r="N25" s="36">
        <f t="shared" si="2"/>
        <v>358000</v>
      </c>
    </row>
    <row r="26" spans="1:15" ht="19.5" thickBot="1" x14ac:dyDescent="0.3">
      <c r="A26" s="37">
        <v>21</v>
      </c>
      <c r="B26" s="38">
        <v>1</v>
      </c>
      <c r="C26" s="38">
        <v>1</v>
      </c>
      <c r="D26" s="38" t="s">
        <v>31</v>
      </c>
      <c r="E26" s="38" t="s">
        <v>50</v>
      </c>
      <c r="F26" s="38">
        <v>1</v>
      </c>
      <c r="G26" s="39">
        <v>289000</v>
      </c>
      <c r="H26" s="40">
        <f>(G26*Ponderacion!F1)/G26</f>
        <v>80</v>
      </c>
      <c r="I26" s="38">
        <v>5</v>
      </c>
      <c r="J26" s="38">
        <f>VLOOKUP(D26,Ponderacion!A2:C2,2,0)</f>
        <v>1</v>
      </c>
      <c r="K26" s="38">
        <f>VLOOKUP(D26,Ponderacion!A2:C2,3,0)</f>
        <v>5</v>
      </c>
      <c r="L26" s="41">
        <f t="shared" si="0"/>
        <v>91</v>
      </c>
      <c r="M26" s="42">
        <f t="shared" si="1"/>
        <v>1</v>
      </c>
      <c r="N26" s="43">
        <f t="shared" si="2"/>
        <v>289000</v>
      </c>
      <c r="O26" s="44"/>
    </row>
    <row r="27" spans="1:15" x14ac:dyDescent="0.25">
      <c r="N27" s="44"/>
      <c r="O27" s="44"/>
    </row>
    <row r="28" spans="1:15" ht="108" customHeight="1" x14ac:dyDescent="0.25">
      <c r="A28" s="48" t="s">
        <v>51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</sheetData>
  <sheetProtection formatCells="0" formatColumns="0" formatRows="0" autoFilter="0"/>
  <mergeCells count="3">
    <mergeCell ref="A2:I2"/>
    <mergeCell ref="A5:L5"/>
    <mergeCell ref="A28:L28"/>
  </mergeCells>
  <pageMargins left="0.25" right="0.25" top="0.75" bottom="0.75" header="0.3" footer="0.3"/>
  <pageSetup paperSize="5" scale="73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Ponderacion</vt:lpstr>
      <vt:lpstr>Cuadro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cp:lastPrinted>2022-05-09T14:18:01Z</cp:lastPrinted>
  <dcterms:created xsi:type="dcterms:W3CDTF">2020-08-31T13:23:26Z</dcterms:created>
  <dcterms:modified xsi:type="dcterms:W3CDTF">2022-05-09T14:24:41Z</dcterms:modified>
</cp:coreProperties>
</file>