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87A3704-F163-479B-BA98-1B3E94FE328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1" l="1"/>
  <c r="D11" i="1"/>
  <c r="D12" i="1"/>
  <c r="D13" i="1"/>
  <c r="D10" i="1"/>
  <c r="I11" i="1"/>
  <c r="I12" i="1"/>
  <c r="I10" i="1"/>
</calcChain>
</file>

<file path=xl/sharedStrings.xml><?xml version="1.0" encoding="utf-8"?>
<sst xmlns="http://schemas.openxmlformats.org/spreadsheetml/2006/main" count="46" uniqueCount="35">
  <si>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</si>
  <si>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</si>
  <si>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</si>
  <si>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</si>
  <si>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</si>
  <si>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</si>
  <si>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</si>
  <si>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</si>
  <si>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</si>
  <si>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</si>
  <si>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</si>
  <si>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</si>
  <si>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</si>
  <si>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</si>
  <si>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</si>
  <si>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</si>
  <si>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Doce (12) meses.</t>
  </si>
  <si>
    <t>Especificidades Item N° 1:</t>
  </si>
  <si>
    <t>Plazo de Mantenimiento de oferta</t>
  </si>
  <si>
    <t xml:space="preserve">                                                                                 </t>
  </si>
  <si>
    <t>30 - MINISTERIO DE ECONOMIA</t>
  </si>
  <si>
    <t>4.3.8-9360.3</t>
  </si>
  <si>
    <t>REFLECTOMETROS OPTICOS; RANGO DINAMICO: 32/30 db, TIPO:
1310/1550 nM, ZONA CORTA: 0,1 M a 5M</t>
  </si>
  <si>
    <t>EQUIPOS</t>
  </si>
  <si>
    <t>2.9.6-9912.29</t>
  </si>
  <si>
    <t>REP. Y ACC. P/INSTR. MEDICION; EQUIPO: REFLECTOMETROS OPTICOS OTDR, MARCA EQUIPO: SIN VALOR, MODELO EQUIPO: BOBINA DE LANZAMIENTO DE 1000M, CONECTOR DE ENTRADA: SC, SALIDA: APC, ELEMENTO: BOBINA DE LANZAMIENTO OTDR</t>
  </si>
  <si>
    <t>REPUESTOS</t>
  </si>
  <si>
    <t>UNIDAD</t>
  </si>
  <si>
    <t xml:space="preserve">   Tipo de f ib ra: G.652     Long itud es de o nda : 1310 nm+20nm/ 15 50 nm+- 20nm      Rang o d inamico: 32 dB/30 dB    E ve nt B lind Zo n e: 1m    AT T Blin d Zo n e: 6M  Rangos de prueb a: 500m/ 1km/2km/ 4km/8km/1 6km/ 32km/ 64km/ 12 8km/ 256km    Anch o de l pu lso:  5ns/10 ns/30n s/50n s/ 80 ns/ 1 60ns/ 3 20n s/ 5 00ns/ 8 00 ns/ 1 000 ns/ 3000 ns/500 0n s/80 0 0n s/1 0000 n s/ 20 000n s    Rang ing a ccura cy: + - (0. 75m+Sample i nt er val +0. 0 0 5% x d ist anc ia de pr ue ba)    Loss acc ura cy: +- 0. 05dB/ dB    Samp lin g points: 1 6k - 256k    Samp lin g resolu t ion: 0.0 5m-1 6m    Ref lect ation ac cura cy: +- 3d B    Loss A na l ys is: méto do de 4 p unt os/mét o do de 5 p unt os    Laser S af et y Le vel: Cl ass I I    Almace namient o: Int er no: &lt;= 3000 c ur vas ; Ext e r no: 4GB  Cone ct or : FC/ UP ( int er cambiab le S C, ST)    Ta sa d e ref r esco: 3H z( Typ)      I nterf ace de d at os: USB, Mi n i- US B, 10/ 1 00M Et her n et por t    Displ a y: 5. 6" COLOR L CD + Tact i l      Aliment a ci ón de e ne rg ía: A C/ D C ad ap t ad or: I np ut : 100V~ 2 40 V; 50/60 HZ, 0 .6A - Ou t put 12V~ 19V, 1. 5 A - Li- Bat t er y: 7. 4 V, 5200mA h    Dur ac ió n de B ateri a: &gt;= 1 0h    Peso: &lt;=1. 3 kg</t>
  </si>
  <si>
    <t xml:space="preserve">Quince (15) días habiles a partir del perfeccionamiento del documento contractual en la Secretaria de Modernización </t>
  </si>
  <si>
    <t>Garantia de buen funcionamiento:</t>
  </si>
  <si>
    <t> Tipo de cab le d e red : f ibra ó pt ica    Cat eg or ía de ca bl e d e r ed: 1    Larg o: 1000m
 Cone ct or de S al id a: SC    Cone ct or de E ntra da : SC</t>
  </si>
  <si>
    <t>Especificidades Item N° 2:</t>
  </si>
  <si>
    <t>SAF 9 - DIRECCION PROVINCIAL DE ADMINISTRACION DE LA SECRETARIA DE FINANZAS PUBLICAS</t>
  </si>
  <si>
    <t>Treinta (30) días habiles.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</si>
</sst>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;[Red]&quot;$&quot;\ #,##0.00"/>
  </numFmts>
  <fonts count="1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0"/>
      <name val="Arial"/>
      <charset val="1"/>
    </font>
    <font>
      <sz val="11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 applyProtection="0"/>
    <xf numFmtId="0" fontId="2" fillId="2" borderId="0" applyBorder="0" applyProtection="0"/>
    <xf numFmtId="44" fontId="14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6" xfId="0" applyFont="1" applyBorder="1"/>
    <xf numFmtId="0" fontId="4" fillId="0" borderId="5" xfId="0" applyFont="1" applyBorder="1" applyAlignment="1">
      <alignment horizontal="left" indent="3"/>
    </xf>
    <xf numFmtId="0" fontId="4" fillId="0" borderId="7" xfId="0" applyFont="1" applyBorder="1" applyAlignment="1">
      <alignment horizontal="left" indent="3"/>
    </xf>
    <xf numFmtId="0" fontId="8" fillId="0" borderId="0" xfId="0" applyFont="1" applyAlignment="1">
      <alignment horizontal="left" wrapText="1"/>
    </xf>
    <xf numFmtId="0" fontId="11" fillId="0" borderId="0" xfId="0" applyFont="1" applyFill="1" applyAlignment="1">
      <alignment horizontal="left" wrapText="1" indent="1"/>
    </xf>
    <xf numFmtId="0" fontId="4" fillId="0" borderId="0" xfId="0" applyFont="1" applyFill="1" applyBorder="1"/>
    <xf numFmtId="0" fontId="4" fillId="0" borderId="6" xfId="0" applyFont="1" applyFill="1" applyBorder="1"/>
    <xf numFmtId="0" fontId="4" fillId="0" borderId="8" xfId="0" applyFont="1" applyFill="1" applyBorder="1"/>
    <xf numFmtId="0" fontId="4" fillId="0" borderId="9" xfId="0" applyFont="1" applyFill="1" applyBorder="1"/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5" xfId="0" applyFont="1" applyBorder="1" applyAlignment="1"/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2" fillId="0" borderId="2" xfId="0" applyFont="1" applyBorder="1"/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2" fillId="0" borderId="0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5" fillId="0" borderId="0" xfId="0" applyFont="1"/>
    <xf numFmtId="0" fontId="9" fillId="0" borderId="18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wrapText="1"/>
    </xf>
    <xf numFmtId="0" fontId="16" fillId="0" borderId="20" xfId="0" applyFont="1" applyBorder="1" applyAlignment="1">
      <alignment horizontal="center" vertical="center"/>
    </xf>
    <xf numFmtId="44" fontId="16" fillId="0" borderId="20" xfId="3" applyFont="1" applyBorder="1" applyAlignment="1">
      <alignment horizontal="center" vertical="center"/>
    </xf>
    <xf numFmtId="44" fontId="16" fillId="0" borderId="22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16" fillId="0" borderId="14" xfId="0" applyFont="1" applyFill="1" applyBorder="1" applyAlignment="1">
      <alignment horizontal="center" vertical="center"/>
    </xf>
    <xf numFmtId="3" fontId="16" fillId="0" borderId="15" xfId="0" applyNumberFormat="1" applyFont="1" applyBorder="1" applyAlignment="1">
      <alignment horizontal="center" vertical="center"/>
    </xf>
    <xf numFmtId="8" fontId="16" fillId="0" borderId="15" xfId="0" applyNumberFormat="1" applyFont="1" applyBorder="1" applyAlignment="1">
      <alignment horizontal="center" vertical="center"/>
    </xf>
    <xf numFmtId="8" fontId="16" fillId="0" borderId="17" xfId="0" applyNumberFormat="1" applyFont="1" applyBorder="1" applyAlignment="1">
      <alignment horizontal="center" vertical="center"/>
    </xf>
    <xf numFmtId="8" fontId="16" fillId="0" borderId="13" xfId="0" applyNumberFormat="1" applyFont="1" applyBorder="1" applyAlignment="1">
      <alignment horizontal="center" vertical="center"/>
    </xf>
    <xf numFmtId="8" fontId="16" fillId="0" borderId="19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wrapText="1" indent="1"/>
    </xf>
  </cellXfs>
  <cellStyles count="4">
    <cellStyle name="Encabezado 1" xfId="1" xr:uid="{00000000-0005-0000-0000-000000000000}"/>
    <cellStyle name="Moneda" xfId="3" builtinId="4"/>
    <cellStyle name="Neutral 1" xfId="2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19</xdr:row>
      <xdr:rowOff>57150</xdr:rowOff>
    </xdr:from>
    <xdr:to>
      <xdr:col>3</xdr:col>
      <xdr:colOff>85725</xdr:colOff>
      <xdr:row>19</xdr:row>
      <xdr:rowOff>133350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419475" y="4772025"/>
          <a:ext cx="47625" cy="7620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8"/>
  <sheetViews>
    <sheetView tabSelected="1" zoomScaleSheetLayoutView="80" workbookViewId="0">
      <selection activeCell="G39" sqref="G39"/>
    </sheetView>
  </sheetViews>
  <sheetFormatPr baseColWidth="10" defaultColWidth="11" defaultRowHeight="12.75" x14ac:dyDescent="0.2"/>
  <cols>
    <col min="1" max="1" width="4.5703125" style="1" customWidth="1"/>
    <col min="2" max="2" width="13.71093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8"/>
    <col min="11" max="14" width="11" style="17"/>
    <col min="15" max="16384" width="11" style="1"/>
  </cols>
  <sheetData>
    <row r="2" spans="1:9" ht="27" x14ac:dyDescent="0.35">
      <c r="B2" s="60" t="s">
        <v>0</v>
      </c>
      <c r="C2" s="60"/>
      <c r="D2" s="60"/>
      <c r="E2" s="60"/>
      <c r="F2" s="60"/>
      <c r="G2" s="60"/>
      <c r="H2" s="60"/>
    </row>
    <row r="4" spans="1:9" ht="18" customHeight="1" x14ac:dyDescent="0.25">
      <c r="A4" s="59" t="s">
        <v>1</v>
      </c>
      <c r="B4" s="59"/>
      <c r="C4" s="61" t="s">
        <v>20</v>
      </c>
      <c r="D4" s="61"/>
      <c r="E4" s="61"/>
      <c r="F4" s="2"/>
      <c r="G4" s="3"/>
      <c r="H4" s="2"/>
    </row>
    <row r="5" spans="1:9" ht="18" customHeight="1" x14ac:dyDescent="0.25">
      <c r="A5" s="59" t="s">
        <v>2</v>
      </c>
      <c r="B5" s="59"/>
      <c r="C5" s="61" t="s">
        <v>33</v>
      </c>
      <c r="D5" s="61"/>
      <c r="E5" s="61"/>
      <c r="F5" s="2"/>
      <c r="G5" s="3"/>
      <c r="H5" s="2"/>
    </row>
    <row r="6" spans="1:9" ht="16.5" customHeight="1" x14ac:dyDescent="0.25">
      <c r="A6" s="59" t="s">
        <v>3</v>
      </c>
      <c r="B6" s="59"/>
      <c r="C6" s="12">
        <v>2022</v>
      </c>
      <c r="D6" s="11"/>
      <c r="E6" s="11"/>
      <c r="F6" s="2"/>
      <c r="G6" s="3"/>
      <c r="H6" s="2"/>
    </row>
    <row r="7" spans="1:9" ht="16.5" customHeight="1" x14ac:dyDescent="0.25">
      <c r="A7" s="59" t="s">
        <v>4</v>
      </c>
      <c r="B7" s="59"/>
      <c r="C7" s="12">
        <v>1</v>
      </c>
      <c r="D7" s="11"/>
      <c r="E7" s="1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9" ht="56.25" customHeight="1" thickBot="1" x14ac:dyDescent="0.25">
      <c r="A10" s="46">
        <v>1</v>
      </c>
      <c r="B10" s="45" t="s">
        <v>21</v>
      </c>
      <c r="C10" s="31" t="s">
        <v>23</v>
      </c>
      <c r="D10" s="32" t="str">
        <f>LEFT(B10,5)</f>
        <v>4.3.8</v>
      </c>
      <c r="E10" s="33" t="s">
        <v>22</v>
      </c>
      <c r="F10" s="34" t="s">
        <v>27</v>
      </c>
      <c r="G10" s="47">
        <v>1</v>
      </c>
      <c r="H10" s="48">
        <v>287125</v>
      </c>
      <c r="I10" s="49">
        <f>H10*G10</f>
        <v>287125</v>
      </c>
    </row>
    <row r="11" spans="1:9" ht="15.75" hidden="1" thickBot="1" x14ac:dyDescent="0.3">
      <c r="B11" s="9"/>
      <c r="C11" s="24"/>
      <c r="D11" s="32" t="str">
        <f t="shared" ref="D11:D13" si="0">LEFT(B11,5)</f>
        <v/>
      </c>
      <c r="E11" s="25"/>
      <c r="F11" s="34" t="s">
        <v>27</v>
      </c>
      <c r="G11" s="37"/>
      <c r="H11" s="37"/>
      <c r="I11" s="50">
        <f t="shared" ref="I11:I12" si="1">H11*G11</f>
        <v>0</v>
      </c>
    </row>
    <row r="12" spans="1:9" ht="15.75" hidden="1" thickBot="1" x14ac:dyDescent="0.3">
      <c r="B12" s="9"/>
      <c r="C12" s="13"/>
      <c r="D12" s="38" t="str">
        <f t="shared" si="0"/>
        <v/>
      </c>
      <c r="E12" s="14"/>
      <c r="F12" s="34" t="s">
        <v>27</v>
      </c>
      <c r="G12" s="37"/>
      <c r="H12" s="37"/>
      <c r="I12" s="51">
        <f t="shared" si="1"/>
        <v>0</v>
      </c>
    </row>
    <row r="13" spans="1:9" ht="63.75" customHeight="1" thickBot="1" x14ac:dyDescent="0.25">
      <c r="A13" s="44">
        <v>2</v>
      </c>
      <c r="B13" s="41" t="s">
        <v>24</v>
      </c>
      <c r="C13" s="41" t="s">
        <v>26</v>
      </c>
      <c r="D13" s="39" t="str">
        <f t="shared" si="0"/>
        <v>2.9.6</v>
      </c>
      <c r="E13" s="40" t="s">
        <v>25</v>
      </c>
      <c r="F13" s="34" t="s">
        <v>27</v>
      </c>
      <c r="G13" s="41">
        <v>1</v>
      </c>
      <c r="H13" s="42">
        <v>24950</v>
      </c>
      <c r="I13" s="43">
        <f>H13</f>
        <v>24950</v>
      </c>
    </row>
    <row r="16" spans="1:9" ht="13.5" thickBot="1" x14ac:dyDescent="0.25"/>
    <row r="17" spans="2:5" x14ac:dyDescent="0.2">
      <c r="B17" s="26" t="s">
        <v>17</v>
      </c>
      <c r="C17" s="4"/>
      <c r="D17" s="4"/>
      <c r="E17" s="5"/>
    </row>
    <row r="18" spans="2:5" x14ac:dyDescent="0.2">
      <c r="B18" s="22"/>
      <c r="C18" s="7"/>
      <c r="D18" s="7"/>
      <c r="E18" s="8"/>
    </row>
    <row r="19" spans="2:5" x14ac:dyDescent="0.2">
      <c r="B19" s="22" t="s">
        <v>15</v>
      </c>
      <c r="C19" s="7"/>
      <c r="D19" s="7"/>
      <c r="E19" s="8"/>
    </row>
    <row r="20" spans="2:5" ht="143.25" customHeight="1" x14ac:dyDescent="0.2">
      <c r="B20" s="6"/>
      <c r="C20" s="29"/>
      <c r="D20" s="52" t="s">
        <v>28</v>
      </c>
      <c r="E20" s="53"/>
    </row>
    <row r="21" spans="2:5" x14ac:dyDescent="0.2">
      <c r="B21" s="54"/>
      <c r="C21" s="55"/>
      <c r="D21" s="55"/>
      <c r="E21" s="56"/>
    </row>
    <row r="22" spans="2:5" x14ac:dyDescent="0.2">
      <c r="B22" s="23" t="s">
        <v>14</v>
      </c>
      <c r="C22" s="13"/>
      <c r="D22" s="13"/>
      <c r="E22" s="14"/>
    </row>
    <row r="23" spans="2:5" ht="24.75" customHeight="1" x14ac:dyDescent="0.2">
      <c r="B23" s="9"/>
      <c r="C23" s="30"/>
      <c r="D23" s="57" t="s">
        <v>29</v>
      </c>
      <c r="E23" s="58"/>
    </row>
    <row r="24" spans="2:5" x14ac:dyDescent="0.2">
      <c r="B24" s="23"/>
      <c r="C24" s="13"/>
      <c r="D24" s="13"/>
      <c r="E24" s="14"/>
    </row>
    <row r="25" spans="2:5" x14ac:dyDescent="0.2">
      <c r="B25" s="23" t="s">
        <v>18</v>
      </c>
      <c r="C25" s="27"/>
      <c r="D25" s="27"/>
      <c r="E25" s="28"/>
    </row>
    <row r="26" spans="2:5" ht="18" customHeight="1" x14ac:dyDescent="0.2">
      <c r="B26" s="23"/>
      <c r="C26" s="27"/>
      <c r="D26" s="57" t="s">
        <v>34</v>
      </c>
      <c r="E26" s="58"/>
    </row>
    <row r="27" spans="2:5" ht="12.75" customHeight="1" x14ac:dyDescent="0.2">
      <c r="B27" s="9"/>
      <c r="C27" s="30" t="s">
        <v>19</v>
      </c>
      <c r="D27" s="7"/>
      <c r="E27" s="8"/>
    </row>
    <row r="28" spans="2:5" ht="13.5" customHeight="1" x14ac:dyDescent="0.2">
      <c r="B28" s="23" t="s">
        <v>30</v>
      </c>
      <c r="C28" s="27"/>
      <c r="D28" s="7"/>
      <c r="E28" s="8"/>
    </row>
    <row r="29" spans="2:5" x14ac:dyDescent="0.2">
      <c r="B29" s="23"/>
      <c r="C29" s="27"/>
      <c r="D29" s="27"/>
      <c r="E29" s="28"/>
    </row>
    <row r="30" spans="2:5" ht="18" customHeight="1" x14ac:dyDescent="0.2">
      <c r="B30" s="23"/>
      <c r="C30" s="27"/>
      <c r="D30" s="57" t="s">
        <v>16</v>
      </c>
      <c r="E30" s="58"/>
    </row>
    <row r="31" spans="2:5" ht="13.5" thickBot="1" x14ac:dyDescent="0.25">
      <c r="B31" s="10"/>
      <c r="C31" s="15"/>
      <c r="D31" s="15"/>
      <c r="E31" s="16"/>
    </row>
    <row r="33" spans="2:5" ht="13.5" thickBot="1" x14ac:dyDescent="0.25"/>
    <row r="34" spans="2:5" x14ac:dyDescent="0.2">
      <c r="B34" s="26" t="s">
        <v>32</v>
      </c>
      <c r="C34" s="4"/>
      <c r="D34" s="4"/>
      <c r="E34" s="5"/>
    </row>
    <row r="35" spans="2:5" x14ac:dyDescent="0.2">
      <c r="B35" s="22"/>
      <c r="C35" s="7"/>
      <c r="D35" s="7"/>
      <c r="E35" s="8"/>
    </row>
    <row r="36" spans="2:5" x14ac:dyDescent="0.2">
      <c r="B36" s="22" t="s">
        <v>15</v>
      </c>
      <c r="C36" s="7"/>
      <c r="D36" s="7"/>
      <c r="E36" s="8"/>
    </row>
    <row r="37" spans="2:5" ht="45.75" customHeight="1" x14ac:dyDescent="0.2">
      <c r="B37" s="6"/>
      <c r="C37" s="29"/>
      <c r="D37" s="52" t="s">
        <v>31</v>
      </c>
      <c r="E37" s="53"/>
    </row>
    <row r="38" spans="2:5" x14ac:dyDescent="0.2">
      <c r="B38" s="54"/>
      <c r="C38" s="55"/>
      <c r="D38" s="55"/>
      <c r="E38" s="56"/>
    </row>
    <row r="39" spans="2:5" x14ac:dyDescent="0.2">
      <c r="B39" s="23" t="s">
        <v>14</v>
      </c>
      <c r="C39" s="13"/>
      <c r="D39" s="13"/>
      <c r="E39" s="14"/>
    </row>
    <row r="40" spans="2:5" ht="24.75" customHeight="1" x14ac:dyDescent="0.2">
      <c r="B40" s="9"/>
      <c r="C40" s="30"/>
      <c r="D40" s="57" t="s">
        <v>29</v>
      </c>
      <c r="E40" s="58"/>
    </row>
    <row r="41" spans="2:5" x14ac:dyDescent="0.2">
      <c r="B41" s="23"/>
      <c r="C41" s="13"/>
      <c r="D41" s="13"/>
      <c r="E41" s="14"/>
    </row>
    <row r="42" spans="2:5" x14ac:dyDescent="0.2">
      <c r="B42" s="23" t="s">
        <v>18</v>
      </c>
      <c r="C42" s="35"/>
      <c r="D42" s="35"/>
      <c r="E42" s="36"/>
    </row>
    <row r="43" spans="2:5" ht="18" customHeight="1" x14ac:dyDescent="0.2">
      <c r="B43" s="23"/>
      <c r="C43" s="35"/>
      <c r="D43" s="57" t="s">
        <v>34</v>
      </c>
      <c r="E43" s="58"/>
    </row>
    <row r="44" spans="2:5" ht="12.75" customHeight="1" x14ac:dyDescent="0.2">
      <c r="B44" s="9"/>
      <c r="C44" s="30" t="s">
        <v>19</v>
      </c>
      <c r="D44" s="7"/>
      <c r="E44" s="8"/>
    </row>
    <row r="45" spans="2:5" ht="13.5" customHeight="1" x14ac:dyDescent="0.2">
      <c r="B45" s="23" t="s">
        <v>30</v>
      </c>
      <c r="C45" s="35"/>
      <c r="D45" s="7"/>
      <c r="E45" s="8"/>
    </row>
    <row r="46" spans="2:5" x14ac:dyDescent="0.2">
      <c r="B46" s="23"/>
      <c r="C46" s="35"/>
      <c r="D46" s="35"/>
      <c r="E46" s="36"/>
    </row>
    <row r="47" spans="2:5" ht="18" customHeight="1" x14ac:dyDescent="0.2">
      <c r="B47" s="23"/>
      <c r="C47" s="35"/>
      <c r="D47" s="57" t="s">
        <v>16</v>
      </c>
      <c r="E47" s="58"/>
    </row>
    <row r="48" spans="2:5" ht="13.5" thickBot="1" x14ac:dyDescent="0.25">
      <c r="B48" s="10"/>
      <c r="C48" s="15"/>
      <c r="D48" s="15"/>
      <c r="E48" s="16"/>
    </row>
  </sheetData>
  <mergeCells count="17">
    <mergeCell ref="A6:B6"/>
    <mergeCell ref="A7:B7"/>
    <mergeCell ref="B2:H2"/>
    <mergeCell ref="A4:B4"/>
    <mergeCell ref="C4:E4"/>
    <mergeCell ref="A5:B5"/>
    <mergeCell ref="C5:E5"/>
    <mergeCell ref="D30:E30"/>
    <mergeCell ref="D20:E20"/>
    <mergeCell ref="D23:E23"/>
    <mergeCell ref="D26:E26"/>
    <mergeCell ref="B21:E21"/>
    <mergeCell ref="D37:E37"/>
    <mergeCell ref="B38:E38"/>
    <mergeCell ref="D40:E40"/>
    <mergeCell ref="D43:E43"/>
    <mergeCell ref="D47:E47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2021-11-16T10:46:20Z</cp:lastPrinted>
  <dcterms:created xsi:type="dcterms:W3CDTF">2020-07-17T23:44:49Z</dcterms:created>
  <dcterms:modified xsi:type="dcterms:W3CDTF">2022-03-02T13:59:13Z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