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2486CC2-55AB-4A1E-9ED8-750D0A78426B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 NotaPedido" sheetId="1" r:id="rId1"/>
    <sheet name="Autor Gastar" sheetId="2" r:id="rId2"/>
    <sheet name="Necesidades Trimestrales" sheetId="3" r:id="rId3"/>
  </sheets>
  <definedNames>
    <definedName name="_xlnm.Print_Area" localSheetId="0">' NotaPedido'!$A$1:$K$17</definedName>
    <definedName name="_xlnm.Print_Area" localSheetId="1">'Autor Gastar'!$A$1:$Q$46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" i="3" l="1"/>
  <c r="K12" i="3"/>
  <c r="K13" i="3"/>
  <c r="K14" i="3"/>
  <c r="K15" i="3"/>
  <c r="K11" i="3"/>
  <c r="M12" i="3"/>
  <c r="M13" i="3"/>
  <c r="M14" i="3"/>
  <c r="M15" i="3"/>
  <c r="M11" i="3"/>
  <c r="Q42" i="2"/>
  <c r="J12" i="3"/>
  <c r="J13" i="3"/>
  <c r="J14" i="3"/>
  <c r="J15" i="3"/>
  <c r="J11" i="3" l="1"/>
</calcChain>
</file>

<file path=xl/sharedStrings.xml><?xml version="1.0" encoding="utf-8"?>
<sst xmlns="http://schemas.openxmlformats.org/spreadsheetml/2006/main" count="184" uniqueCount="105">
  <si>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</si>
  <si>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</si>
  <si>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</si>
  <si>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</si>
  <si>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</si>
  <si>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</si>
  <si>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</si>
  <si>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</si>
  <si>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</si>
  <si>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</si>
  <si>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</si>
  <si>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</si>
  <si>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</si>
  <si>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</si>
  <si>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</si>
  <si>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</si>
  <si>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</si>
  <si>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</si>
  <si>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</si>
  <si>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</si>
  <si>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</si>
  <si>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</si>
  <si>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</si>
  <si>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</si>
  <si>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</si>
  <si>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</si>
  <si>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</si>
  <si>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</si>
  <si>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</si>
  <si>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</si>
  <si>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</si>
  <si>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</si>
  <si>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</si>
  <si>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</si>
  <si>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</si>
  <si>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</si>
  <si>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</si>
  <si>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</si>
  <si>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</si>
  <si>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</si>
  <si>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</si>
  <si>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</si>
  <si>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</si>
  <si>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</si>
  <si>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</si>
  <si>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</si>
  <si>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</si>
  <si>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</si>
  <si>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Descripcion Técnica</t>
  </si>
  <si>
    <t>Plazos y lugares de entrega:</t>
  </si>
  <si>
    <t>Garantia</t>
  </si>
  <si>
    <t>AV. VENEZUELA S/N - C.A.P.E - PABELLON N° 28 -SAN FERNANDO DEL VALLE DE CATAMARCA- CATAMARCA</t>
  </si>
  <si>
    <t>UNIDAD</t>
  </si>
  <si>
    <t>10 DIAS</t>
  </si>
  <si>
    <t>SEGÚN DESCRIPCION DE ITEM</t>
  </si>
  <si>
    <t>AGRIC,GANADERIA,CAZA,SILVICULT</t>
  </si>
  <si>
    <t>2.5.4</t>
  </si>
  <si>
    <t>PRODUCTOS AGROFORESTALES</t>
  </si>
  <si>
    <t>IMPORTE TOTAL ESTIMADO</t>
  </si>
  <si>
    <t>Adquisición de elementos para la Dirección Provincial de Agricultura.</t>
  </si>
  <si>
    <t>Adquisición de elementos para la Dirección Provincial de Agricultura</t>
  </si>
  <si>
    <t xml:space="preserve">Pedido de Necesidades Trimestrales </t>
  </si>
  <si>
    <t>EJERCICIO: 2022</t>
  </si>
  <si>
    <t>SEMILLAS; TIPO: ALFALFA, PRESENTACION: ENVASE X 25 Kg</t>
  </si>
  <si>
    <t>2.1.4-7179.32</t>
  </si>
  <si>
    <t>2.1.4</t>
  </si>
  <si>
    <t>Cantidad Minima esperada</t>
  </si>
  <si>
    <t>Mantenimiento</t>
  </si>
  <si>
    <t>JURISDICCION : 62- MINISTERIO DE INCLUSION DIGITAL Y SISTEMAS PRODUCTIVOS</t>
  </si>
  <si>
    <t>SAF N°: 33- DIRECCION PROVINVIAL DE ADMINISTRACION GENERAL</t>
  </si>
  <si>
    <t>62-  MINISTERIO DE INCLUSION DIGITAL Y SISTEMAS PRODUCTIVOS</t>
  </si>
  <si>
    <t>33- DIRECCION PROVINCIAL DE ADMINISTRACION GENERAL</t>
  </si>
  <si>
    <t xml:space="preserve"> MINISTERIO DE INCLUSION DIGITAL Y SISTEMAS PRODUCTIVOS</t>
  </si>
  <si>
    <t>62- MINISTERIO DE INCLUSION DIGITAL Y SISTEMAS PRODUCTIVOS</t>
  </si>
  <si>
    <t>2.5.4-504.152</t>
  </si>
  <si>
    <t>HERBICIDAS; PRINCIPIO ACTIVO: LINURON, CONCENTRACION: 48 %, PRESENTACION: SUSPENSION CONCENTRADA, ACCION: HERBICIDA, USO P/CONTROL: SIN VALOR, USO: HORTICULTURA, USO EN CULTIVO: HORTICULTURA, CONTROL: SIN VALOR</t>
  </si>
  <si>
    <t>2.1.4-7179.114</t>
  </si>
  <si>
    <t>SEMILLAS; TIPO: HORTICOLA OTOÑO-INVIERNO, PRESENTACION: KIT SEGUN PLIEGO</t>
  </si>
  <si>
    <t>Especialidades item N°1</t>
  </si>
  <si>
    <t>SEGÚN ITEM</t>
  </si>
  <si>
    <t>ALFALFA MONARCA CALIDAD FISCALIZADA</t>
  </si>
  <si>
    <t>Especialidades item N°2</t>
  </si>
  <si>
    <t>Especialidades item N°3</t>
  </si>
  <si>
    <t>Especialidades item N°4</t>
  </si>
  <si>
    <t>Especialidades item N°5</t>
  </si>
  <si>
    <t>INSECTICIDAS, FUMIGANTES Y OTROS</t>
  </si>
  <si>
    <t>TOTAL DE PESOS:OCHO MILLONES SEISCIENTOS SETENTA Y CINCO MIL CON 00/100</t>
  </si>
  <si>
    <t xml:space="preserve">UNIDAD </t>
  </si>
  <si>
    <t>Costo total estimado: OCHO MILLONES SEISCIENTOS SETENTA Y CINCO MIL CON 00/100</t>
  </si>
  <si>
    <t>2.1.4-7179.115</t>
  </si>
  <si>
    <t>SEMILLAS; TIPO: CEBADA, PRESENTACION: BOLSA X 25 Kg</t>
  </si>
  <si>
    <t>2.1.4-7179.116</t>
  </si>
  <si>
    <t>SEMILLAS; TIPO: AVENA BLANCA, PRESENTACION:BOLSA X 25 Kg</t>
  </si>
  <si>
    <t>08/2022</t>
  </si>
  <si>
    <t>Autorizo la realización de los  trámites correspondientes, a fin de (proveer a  este Organismo los bienes, servicios o ejecución de obras públicas que se detallan en Nota  de Pedido N° 08 / 2022 otorgar la transferencia de fondos autorizada por Acto Administrativo Nº ....) afectando la erogación resultante a los créditos presupuestarios aprobados a favor de esta Unidad Ejecutora, conforme al siguiente detalle:</t>
  </si>
  <si>
    <t>2 - TRIMESTRE 2022</t>
  </si>
  <si>
    <t>SI</t>
  </si>
  <si>
    <t>TRIMESTRE:02</t>
  </si>
  <si>
    <t>PLAZO DE ENTREGA: 15 DIAS</t>
  </si>
  <si>
    <t>30 DIAS</t>
  </si>
  <si>
    <t xml:space="preserve">KIT DE HUERTAS OTOÑO INVIERNO, 8 ESPECIES ( Acelga Bressane, Brócoli, Cebolla Morada,
Espinaca, Lechuga de inviernO, Remolacha, Repollo, Zanahoria)
</t>
  </si>
  <si>
    <t>SEGÚN DESCRIPCION DE ITEM - PRESENTACION EN BIDONES DE 5 LITROS</t>
  </si>
  <si>
    <t>SEMILLAS; TIPO: CEBADA, PRESENTACION: BOLSA X 25 KG</t>
  </si>
  <si>
    <t>SEMILLAS; TIPO: AVENA BLANCA, PRESENTACION: BOLSA X 25 KG</t>
  </si>
  <si>
    <t>SEMILLAS; TIPO: AVENA BLANCA, PRESENTACION: BOLSA X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</si>
</sst>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€&quot;_-;\-* #,##0.00\ &quot;€&quot;_-;_-* &quot;-&quot;??\ &quot;€&quot;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&quot;$&quot;#,##0.00"/>
    <numFmt numFmtId="170" formatCode="[$$-80A]#,##0.00"/>
    <numFmt numFmtId="175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3" fillId="0" borderId="0"/>
    <xf numFmtId="164" fontId="28" fillId="0" borderId="0" applyFont="0" applyFill="0" applyBorder="0" applyAlignment="0" applyProtection="0"/>
    <xf numFmtId="0" fontId="2" fillId="0" borderId="0"/>
  </cellStyleXfs>
  <cellXfs count="163">
    <xf numFmtId="0" fontId="0" fillId="0" borderId="0" xfId="0"/>
    <xf numFmtId="0" fontId="5" fillId="0" borderId="0" xfId="0" applyFont="1" applyBorder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4" fillId="0" borderId="20" xfId="0" applyNumberFormat="1" applyFont="1" applyBorder="1" applyAlignment="1"/>
    <xf numFmtId="167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8" fontId="0" fillId="0" borderId="41" xfId="2" applyNumberFormat="1" applyFont="1" applyBorder="1" applyAlignment="1" applyProtection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8" fontId="0" fillId="0" borderId="45" xfId="2" applyNumberFormat="1" applyFont="1" applyBorder="1" applyAlignment="1" applyProtection="1">
      <alignment horizontal="center" vertical="center"/>
    </xf>
    <xf numFmtId="168" fontId="18" fillId="0" borderId="47" xfId="0" applyNumberFormat="1" applyFont="1" applyBorder="1" applyAlignment="1">
      <alignment horizontal="center" vertical="center"/>
    </xf>
    <xf numFmtId="0" fontId="21" fillId="0" borderId="0" xfId="0" applyFont="1"/>
    <xf numFmtId="0" fontId="27" fillId="0" borderId="16" xfId="0" applyFont="1" applyBorder="1" applyAlignment="1">
      <alignment horizontal="center" vertical="center"/>
    </xf>
    <xf numFmtId="0" fontId="0" fillId="0" borderId="0" xfId="0" applyFill="1"/>
    <xf numFmtId="0" fontId="21" fillId="0" borderId="54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/>
    </xf>
    <xf numFmtId="3" fontId="0" fillId="0" borderId="60" xfId="0" applyNumberFormat="1" applyFill="1" applyBorder="1" applyAlignment="1">
      <alignment horizontal="center" vertical="center"/>
    </xf>
    <xf numFmtId="169" fontId="0" fillId="0" borderId="60" xfId="0" applyNumberForma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8" fontId="0" fillId="0" borderId="41" xfId="2" applyNumberFormat="1" applyFont="1" applyFill="1" applyBorder="1" applyAlignment="1" applyProtection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4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horizontal="center" vertical="center"/>
    </xf>
    <xf numFmtId="168" fontId="19" fillId="0" borderId="36" xfId="2" applyNumberFormat="1" applyFont="1" applyFill="1" applyBorder="1" applyAlignment="1" applyProtection="1">
      <alignment horizontal="center" vertical="center"/>
    </xf>
    <xf numFmtId="166" fontId="21" fillId="4" borderId="0" xfId="0" applyNumberFormat="1" applyFont="1" applyFill="1"/>
    <xf numFmtId="0" fontId="0" fillId="0" borderId="60" xfId="0" applyFill="1" applyBorder="1" applyAlignment="1">
      <alignment horizontal="center" vertical="center" wrapText="1"/>
    </xf>
    <xf numFmtId="170" fontId="21" fillId="0" borderId="60" xfId="5" applyNumberFormat="1" applyFont="1" applyFill="1" applyBorder="1" applyAlignment="1">
      <alignment horizontal="center" vertical="center" wrapText="1"/>
    </xf>
    <xf numFmtId="170" fontId="21" fillId="0" borderId="60" xfId="5" applyNumberFormat="1" applyFont="1" applyFill="1" applyBorder="1" applyAlignment="1">
      <alignment horizontal="center" vertical="center"/>
    </xf>
    <xf numFmtId="166" fontId="0" fillId="0" borderId="60" xfId="0" applyNumberFormat="1" applyFill="1" applyBorder="1" applyAlignment="1">
      <alignment horizontal="center" vertical="center"/>
    </xf>
    <xf numFmtId="0" fontId="0" fillId="0" borderId="2" xfId="0" applyFill="1" applyBorder="1"/>
    <xf numFmtId="0" fontId="0" fillId="0" borderId="20" xfId="0" applyFill="1" applyBorder="1"/>
    <xf numFmtId="0" fontId="0" fillId="0" borderId="49" xfId="0" applyFill="1" applyBorder="1"/>
    <xf numFmtId="0" fontId="0" fillId="0" borderId="0" xfId="0" applyFill="1" applyBorder="1"/>
    <xf numFmtId="0" fontId="23" fillId="0" borderId="13" xfId="0" applyFont="1" applyFill="1" applyBorder="1"/>
    <xf numFmtId="0" fontId="0" fillId="0" borderId="7" xfId="0" applyFill="1" applyBorder="1"/>
    <xf numFmtId="0" fontId="0" fillId="0" borderId="13" xfId="0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4" fillId="0" borderId="0" xfId="0" applyFont="1" applyFill="1" applyBorder="1" applyAlignment="1"/>
    <xf numFmtId="0" fontId="22" fillId="0" borderId="0" xfId="0" applyFont="1" applyFill="1" applyBorder="1"/>
    <xf numFmtId="0" fontId="0" fillId="0" borderId="50" xfId="0" applyFill="1" applyBorder="1"/>
    <xf numFmtId="0" fontId="23" fillId="0" borderId="51" xfId="0" applyFont="1" applyFill="1" applyBorder="1"/>
    <xf numFmtId="0" fontId="0" fillId="0" borderId="51" xfId="0" applyFill="1" applyBorder="1"/>
    <xf numFmtId="0" fontId="0" fillId="0" borderId="52" xfId="0" applyFill="1" applyBorder="1"/>
    <xf numFmtId="168" fontId="19" fillId="0" borderId="66" xfId="2" applyNumberFormat="1" applyFont="1" applyFill="1" applyBorder="1" applyAlignment="1" applyProtection="1">
      <alignment horizontal="center" vertical="center"/>
    </xf>
    <xf numFmtId="0" fontId="21" fillId="0" borderId="0" xfId="0" applyFont="1" applyFill="1"/>
    <xf numFmtId="0" fontId="29" fillId="0" borderId="60" xfId="0" applyFont="1" applyBorder="1" applyAlignment="1">
      <alignment wrapText="1"/>
    </xf>
    <xf numFmtId="0" fontId="29" fillId="0" borderId="60" xfId="0" applyFont="1" applyBorder="1" applyAlignment="1">
      <alignment horizontal="center" vertical="center" wrapText="1"/>
    </xf>
    <xf numFmtId="3" fontId="0" fillId="0" borderId="60" xfId="0" applyNumberFormat="1" applyFill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 wrapText="1"/>
    </xf>
    <xf numFmtId="0" fontId="29" fillId="0" borderId="60" xfId="0" applyFont="1" applyFill="1" applyBorder="1" applyAlignment="1">
      <alignment horizontal="center" vertical="center" wrapText="1"/>
    </xf>
    <xf numFmtId="0" fontId="1" fillId="0" borderId="60" xfId="4" applyFont="1" applyFill="1" applyBorder="1" applyAlignment="1">
      <alignment horizontal="left" vertical="center" wrapText="1"/>
    </xf>
    <xf numFmtId="0" fontId="0" fillId="3" borderId="60" xfId="0" applyFill="1" applyBorder="1" applyAlignment="1">
      <alignment horizontal="center" vertical="center" wrapText="1"/>
    </xf>
    <xf numFmtId="0" fontId="22" fillId="3" borderId="60" xfId="0" applyFont="1" applyFill="1" applyBorder="1" applyAlignment="1">
      <alignment horizontal="center" vertical="center" wrapText="1"/>
    </xf>
    <xf numFmtId="0" fontId="22" fillId="3" borderId="60" xfId="0" applyFont="1" applyFill="1" applyBorder="1" applyAlignment="1">
      <alignment vertical="center" wrapText="1"/>
    </xf>
    <xf numFmtId="0" fontId="22" fillId="3" borderId="60" xfId="0" applyFont="1" applyFill="1" applyBorder="1" applyAlignment="1">
      <alignment horizontal="center" vertical="center"/>
    </xf>
    <xf numFmtId="0" fontId="24" fillId="0" borderId="20" xfId="0" applyFont="1" applyFill="1" applyBorder="1" applyAlignment="1"/>
    <xf numFmtId="0" fontId="29" fillId="3" borderId="60" xfId="0" applyFont="1" applyFill="1" applyBorder="1" applyAlignment="1">
      <alignment horizontal="center" vertical="center" wrapText="1"/>
    </xf>
    <xf numFmtId="0" fontId="29" fillId="3" borderId="60" xfId="0" applyFont="1" applyFill="1" applyBorder="1" applyAlignment="1">
      <alignment wrapText="1"/>
    </xf>
    <xf numFmtId="49" fontId="9" fillId="0" borderId="4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left" vertical="center" wrapText="1" indent="1"/>
    </xf>
    <xf numFmtId="166" fontId="10" fillId="0" borderId="17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6" fillId="0" borderId="61" xfId="0" applyFont="1" applyBorder="1" applyAlignment="1">
      <alignment vertical="center" wrapText="1"/>
    </xf>
    <xf numFmtId="0" fontId="26" fillId="0" borderId="48" xfId="0" applyFont="1" applyBorder="1" applyAlignment="1">
      <alignment vertical="center" wrapText="1"/>
    </xf>
    <xf numFmtId="0" fontId="26" fillId="0" borderId="53" xfId="0" applyFont="1" applyBorder="1" applyAlignment="1">
      <alignment vertical="center" wrapText="1"/>
    </xf>
    <xf numFmtId="0" fontId="26" fillId="3" borderId="61" xfId="0" applyFont="1" applyFill="1" applyBorder="1" applyAlignment="1">
      <alignment vertical="center" wrapText="1"/>
    </xf>
    <xf numFmtId="0" fontId="26" fillId="3" borderId="48" xfId="0" applyFont="1" applyFill="1" applyBorder="1" applyAlignment="1">
      <alignment vertical="center" wrapText="1"/>
    </xf>
    <xf numFmtId="0" fontId="26" fillId="3" borderId="53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 indent="1"/>
    </xf>
    <xf numFmtId="0" fontId="9" fillId="0" borderId="48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0" fillId="0" borderId="40" xfId="0" applyFont="1" applyBorder="1" applyAlignment="1">
      <alignment horizontal="center" vertical="center"/>
    </xf>
    <xf numFmtId="0" fontId="0" fillId="0" borderId="40" xfId="0" applyFont="1" applyBorder="1" applyAlignment="1">
      <alignment horizontal="left" vertical="center"/>
    </xf>
    <xf numFmtId="0" fontId="14" fillId="0" borderId="9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30" fillId="0" borderId="17" xfId="0" applyFont="1" applyFill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4" fillId="0" borderId="46" xfId="0" applyFont="1" applyBorder="1" applyAlignment="1">
      <alignment horizontal="left" vertical="center" wrapText="1"/>
    </xf>
    <xf numFmtId="0" fontId="0" fillId="0" borderId="24" xfId="0" applyBorder="1"/>
    <xf numFmtId="0" fontId="24" fillId="0" borderId="40" xfId="0" applyFont="1" applyFill="1" applyBorder="1" applyAlignment="1">
      <alignment vertical="center"/>
    </xf>
    <xf numFmtId="0" fontId="20" fillId="0" borderId="34" xfId="0" applyFont="1" applyFill="1" applyBorder="1" applyAlignment="1">
      <alignment horizontal="left" vertical="center" wrapText="1"/>
    </xf>
    <xf numFmtId="0" fontId="20" fillId="0" borderId="64" xfId="0" applyFont="1" applyFill="1" applyBorder="1" applyAlignment="1">
      <alignment horizontal="left" vertical="center"/>
    </xf>
    <xf numFmtId="0" fontId="20" fillId="0" borderId="65" xfId="0" applyFont="1" applyFill="1" applyBorder="1" applyAlignment="1">
      <alignment horizontal="left" vertical="center"/>
    </xf>
    <xf numFmtId="0" fontId="20" fillId="0" borderId="62" xfId="0" applyFont="1" applyFill="1" applyBorder="1" applyAlignment="1">
      <alignment horizontal="left" vertical="center" wrapText="1"/>
    </xf>
    <xf numFmtId="0" fontId="20" fillId="0" borderId="63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18" fillId="0" borderId="2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4" fillId="0" borderId="19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5" fillId="0" borderId="21" xfId="0" applyFont="1" applyBorder="1"/>
    <xf numFmtId="0" fontId="25" fillId="0" borderId="0" xfId="0" applyFont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175" fontId="22" fillId="0" borderId="0" xfId="0" applyNumberFormat="1" applyFont="1" applyFill="1"/>
    <xf numFmtId="175" fontId="0" fillId="0" borderId="0" xfId="0" applyNumberFormat="1"/>
    <xf numFmtId="0" fontId="24" fillId="0" borderId="0" xfId="0" applyFont="1" applyFill="1" applyBorder="1" applyAlignment="1">
      <alignment vertical="top" wrapText="1"/>
    </xf>
    <xf numFmtId="0" fontId="24" fillId="0" borderId="0" xfId="0" applyFont="1" applyFill="1" applyBorder="1" applyAlignment="1">
      <alignment horizontal="left" vertical="center" wrapText="1"/>
    </xf>
    <xf numFmtId="0" fontId="19" fillId="5" borderId="33" xfId="0" applyFont="1" applyFill="1" applyBorder="1" applyAlignment="1">
      <alignment horizontal="center" vertical="center"/>
    </xf>
    <xf numFmtId="49" fontId="16" fillId="5" borderId="25" xfId="0" applyNumberFormat="1" applyFont="1" applyFill="1" applyBorder="1" applyAlignment="1">
      <alignment horizontal="justify" vertical="center" wrapText="1"/>
    </xf>
  </cellXfs>
  <cellStyles count="7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zoomScaleNormal="100" workbookViewId="0">
      <selection activeCell="K13" sqref="K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2" t="s">
        <v>1</v>
      </c>
      <c r="K1" s="104" t="s">
        <v>93</v>
      </c>
    </row>
    <row r="2" spans="1:11" ht="18.75" customHeight="1" thickBot="1" x14ac:dyDescent="0.25">
      <c r="A2" s="3"/>
      <c r="B2" s="4"/>
      <c r="C2" s="4"/>
      <c r="D2" s="5"/>
      <c r="E2" s="5"/>
      <c r="F2" s="5"/>
      <c r="G2" s="5"/>
      <c r="H2" s="5"/>
      <c r="I2" s="5"/>
      <c r="J2" s="5"/>
      <c r="K2" s="6"/>
    </row>
    <row r="3" spans="1:11" ht="18.75" customHeight="1" thickBot="1" x14ac:dyDescent="0.25">
      <c r="A3" s="121" t="s">
        <v>2</v>
      </c>
      <c r="B3" s="121"/>
      <c r="C3" s="121"/>
      <c r="D3" s="122" t="s">
        <v>73</v>
      </c>
      <c r="E3" s="123"/>
      <c r="F3" s="123"/>
      <c r="G3" s="123"/>
      <c r="H3" s="123"/>
      <c r="I3" s="123"/>
      <c r="J3" s="123"/>
      <c r="K3" s="124"/>
    </row>
    <row r="4" spans="1:11" ht="18.75" customHeight="1" thickBot="1" x14ac:dyDescent="0.25">
      <c r="A4" s="125" t="s">
        <v>3</v>
      </c>
      <c r="B4" s="125"/>
      <c r="C4" s="125"/>
      <c r="D4" s="122" t="s">
        <v>71</v>
      </c>
      <c r="E4" s="123"/>
      <c r="F4" s="123"/>
      <c r="G4" s="123"/>
      <c r="H4" s="123"/>
      <c r="I4" s="123"/>
      <c r="J4" s="123"/>
      <c r="K4" s="124"/>
    </row>
    <row r="5" spans="1:11" ht="18.75" customHeight="1" thickBot="1" x14ac:dyDescent="0.25">
      <c r="A5" s="125" t="s">
        <v>4</v>
      </c>
      <c r="B5" s="125"/>
      <c r="C5" s="125"/>
      <c r="D5" s="122" t="s">
        <v>72</v>
      </c>
      <c r="E5" s="123"/>
      <c r="F5" s="123"/>
      <c r="G5" s="123"/>
      <c r="H5" s="123"/>
      <c r="I5" s="123"/>
      <c r="J5" s="123"/>
      <c r="K5" s="124"/>
    </row>
    <row r="6" spans="1:11" ht="16.5" customHeight="1" thickBot="1" x14ac:dyDescent="0.25">
      <c r="A6" s="121" t="s">
        <v>5</v>
      </c>
      <c r="B6" s="121"/>
      <c r="C6" s="121"/>
      <c r="D6" s="122" t="s">
        <v>72</v>
      </c>
      <c r="E6" s="123"/>
      <c r="F6" s="123"/>
      <c r="G6" s="123"/>
      <c r="H6" s="123"/>
      <c r="I6" s="123"/>
      <c r="J6" s="123"/>
      <c r="K6" s="124"/>
    </row>
    <row r="7" spans="1:11" ht="16.5" customHeight="1" thickBot="1" x14ac:dyDescent="0.25">
      <c r="A7" s="125" t="s">
        <v>6</v>
      </c>
      <c r="B7" s="125"/>
      <c r="C7" s="125"/>
      <c r="D7" s="126" t="s">
        <v>95</v>
      </c>
      <c r="E7" s="126"/>
      <c r="F7" s="126"/>
      <c r="G7" s="126"/>
      <c r="H7" s="126"/>
      <c r="I7" s="126"/>
      <c r="J7" s="126"/>
      <c r="K7" s="126"/>
    </row>
    <row r="8" spans="1:11" ht="40.5" customHeight="1" thickBot="1" x14ac:dyDescent="0.25">
      <c r="A8" s="107" t="s">
        <v>7</v>
      </c>
      <c r="B8" s="107"/>
      <c r="C8" s="107"/>
      <c r="D8" s="108" t="s">
        <v>60</v>
      </c>
      <c r="E8" s="108"/>
      <c r="F8" s="108"/>
      <c r="G8" s="108"/>
      <c r="H8" s="108"/>
      <c r="I8" s="108"/>
      <c r="J8" s="108"/>
      <c r="K8" s="108"/>
    </row>
    <row r="9" spans="1:11" ht="16.5" thickBot="1" x14ac:dyDescent="0.25">
      <c r="A9" s="7"/>
      <c r="B9" s="8"/>
      <c r="C9" s="8"/>
      <c r="D9" s="9"/>
      <c r="E9" s="9"/>
      <c r="F9" s="9"/>
      <c r="G9" s="9"/>
      <c r="H9" s="9"/>
      <c r="I9" s="9"/>
      <c r="J9" s="9"/>
      <c r="K9" s="10"/>
    </row>
    <row r="10" spans="1:11" ht="18.75" customHeight="1" thickBot="1" x14ac:dyDescent="0.25">
      <c r="A10" s="109" t="s">
        <v>8</v>
      </c>
      <c r="B10" s="110" t="s">
        <v>9</v>
      </c>
      <c r="C10" s="111" t="s">
        <v>10</v>
      </c>
      <c r="D10" s="112"/>
      <c r="E10" s="112"/>
      <c r="F10" s="112"/>
      <c r="G10" s="112"/>
      <c r="H10" s="112" t="s">
        <v>11</v>
      </c>
      <c r="I10" s="112" t="s">
        <v>12</v>
      </c>
      <c r="J10" s="112" t="s">
        <v>13</v>
      </c>
      <c r="K10" s="113" t="s">
        <v>14</v>
      </c>
    </row>
    <row r="11" spans="1:11" ht="24" customHeight="1" thickBot="1" x14ac:dyDescent="0.25">
      <c r="A11" s="109"/>
      <c r="B11" s="110"/>
      <c r="C11" s="111"/>
      <c r="D11" s="112"/>
      <c r="E11" s="112"/>
      <c r="F11" s="112"/>
      <c r="G11" s="112"/>
      <c r="H11" s="112"/>
      <c r="I11" s="112"/>
      <c r="J11" s="112"/>
      <c r="K11" s="113"/>
    </row>
    <row r="12" spans="1:11" ht="51.75" customHeight="1" thickBot="1" x14ac:dyDescent="0.25">
      <c r="A12" s="50">
        <v>1</v>
      </c>
      <c r="B12" s="56" t="s">
        <v>74</v>
      </c>
      <c r="C12" s="114" t="s">
        <v>75</v>
      </c>
      <c r="D12" s="115"/>
      <c r="E12" s="115"/>
      <c r="F12" s="115"/>
      <c r="G12" s="116"/>
      <c r="H12" s="46" t="s">
        <v>96</v>
      </c>
      <c r="I12" s="49" t="s">
        <v>87</v>
      </c>
      <c r="J12" s="60">
        <v>26500</v>
      </c>
      <c r="K12" s="59">
        <v>50</v>
      </c>
    </row>
    <row r="13" spans="1:11" ht="51.75" customHeight="1" thickBot="1" x14ac:dyDescent="0.25">
      <c r="A13" s="55">
        <v>2</v>
      </c>
      <c r="B13" s="97" t="s">
        <v>76</v>
      </c>
      <c r="C13" s="114" t="s">
        <v>77</v>
      </c>
      <c r="D13" s="115"/>
      <c r="E13" s="115"/>
      <c r="F13" s="115"/>
      <c r="G13" s="116"/>
      <c r="H13" s="46" t="s">
        <v>96</v>
      </c>
      <c r="I13" s="49" t="s">
        <v>87</v>
      </c>
      <c r="J13" s="70">
        <v>290</v>
      </c>
      <c r="K13" s="97">
        <v>2000</v>
      </c>
    </row>
    <row r="14" spans="1:11" ht="51.75" customHeight="1" thickBot="1" x14ac:dyDescent="0.25">
      <c r="A14" s="51">
        <v>3</v>
      </c>
      <c r="B14" s="90" t="s">
        <v>64</v>
      </c>
      <c r="C14" s="114" t="s">
        <v>63</v>
      </c>
      <c r="D14" s="115"/>
      <c r="E14" s="115"/>
      <c r="F14" s="115"/>
      <c r="G14" s="116"/>
      <c r="H14" s="46" t="s">
        <v>96</v>
      </c>
      <c r="I14" s="49" t="s">
        <v>87</v>
      </c>
      <c r="J14" s="69">
        <v>22800</v>
      </c>
      <c r="K14" s="57">
        <v>250</v>
      </c>
    </row>
    <row r="15" spans="1:11" ht="51.75" customHeight="1" thickBot="1" x14ac:dyDescent="0.25">
      <c r="A15" s="51">
        <v>4</v>
      </c>
      <c r="B15" s="90" t="s">
        <v>89</v>
      </c>
      <c r="C15" s="117" t="s">
        <v>90</v>
      </c>
      <c r="D15" s="118"/>
      <c r="E15" s="118"/>
      <c r="F15" s="118"/>
      <c r="G15" s="119"/>
      <c r="H15" s="46" t="s">
        <v>96</v>
      </c>
      <c r="I15" s="49" t="s">
        <v>87</v>
      </c>
      <c r="J15" s="69">
        <v>2500</v>
      </c>
      <c r="K15" s="57">
        <v>200</v>
      </c>
    </row>
    <row r="16" spans="1:11" ht="51.75" customHeight="1" thickBot="1" x14ac:dyDescent="0.25">
      <c r="A16" s="51">
        <v>5</v>
      </c>
      <c r="B16" s="90" t="s">
        <v>91</v>
      </c>
      <c r="C16" s="117" t="s">
        <v>92</v>
      </c>
      <c r="D16" s="118"/>
      <c r="E16" s="118"/>
      <c r="F16" s="118"/>
      <c r="G16" s="119"/>
      <c r="H16" s="46" t="s">
        <v>96</v>
      </c>
      <c r="I16" s="49" t="s">
        <v>87</v>
      </c>
      <c r="J16" s="69">
        <v>1900</v>
      </c>
      <c r="K16" s="91">
        <v>300</v>
      </c>
    </row>
    <row r="17" spans="1:11" ht="25.5" customHeight="1" thickBot="1" x14ac:dyDescent="0.25">
      <c r="A17" s="105" t="s">
        <v>88</v>
      </c>
      <c r="B17" s="105"/>
      <c r="C17" s="105"/>
      <c r="D17" s="105"/>
      <c r="E17" s="105"/>
      <c r="F17" s="105"/>
      <c r="G17" s="105"/>
      <c r="H17" s="105"/>
      <c r="I17" s="105"/>
      <c r="J17" s="106">
        <v>8675000</v>
      </c>
      <c r="K17" s="106"/>
    </row>
  </sheetData>
  <mergeCells count="27"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  <mergeCell ref="A17:I17"/>
    <mergeCell ref="J17:K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opLeftCell="A6" zoomScale="110" zoomScaleNormal="11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0" t="s">
        <v>15</v>
      </c>
      <c r="B1" s="150"/>
      <c r="C1" s="150"/>
      <c r="D1" s="151">
        <v>2022</v>
      </c>
      <c r="E1" s="151"/>
      <c r="F1" s="12"/>
      <c r="G1" s="12"/>
      <c r="H1" s="13"/>
      <c r="I1" s="13"/>
      <c r="J1" s="13"/>
      <c r="K1" s="13"/>
      <c r="L1" s="13"/>
      <c r="M1" s="13"/>
      <c r="N1" s="13"/>
      <c r="O1" s="14"/>
      <c r="P1" s="152" t="s">
        <v>16</v>
      </c>
      <c r="Q1" s="152"/>
    </row>
    <row r="2" spans="1:17" ht="15.75" customHeight="1" x14ac:dyDescent="0.2">
      <c r="A2" s="15"/>
      <c r="B2" s="16"/>
      <c r="C2" s="16"/>
      <c r="D2" s="16"/>
      <c r="E2" s="16"/>
      <c r="F2" s="16"/>
      <c r="G2" s="17"/>
      <c r="H2" s="18"/>
      <c r="I2" s="18"/>
      <c r="J2" s="18"/>
      <c r="K2" s="18"/>
      <c r="L2" s="18"/>
      <c r="M2" s="18"/>
      <c r="N2" s="18"/>
      <c r="O2" s="16"/>
      <c r="P2" s="152"/>
      <c r="Q2" s="152"/>
    </row>
    <row r="3" spans="1:17" x14ac:dyDescent="0.2">
      <c r="A3" s="15"/>
      <c r="B3" s="16"/>
      <c r="C3" s="16"/>
      <c r="D3" s="16"/>
      <c r="E3" s="16"/>
      <c r="F3" s="16"/>
      <c r="G3" s="17"/>
      <c r="H3" s="16"/>
      <c r="I3" s="16"/>
      <c r="J3" s="16"/>
      <c r="K3" s="16"/>
      <c r="L3" s="16"/>
      <c r="M3" s="16"/>
      <c r="N3" s="16"/>
      <c r="O3" s="16"/>
      <c r="P3" s="16"/>
      <c r="Q3" s="19"/>
    </row>
    <row r="4" spans="1:17" s="20" customFormat="1" ht="18" customHeight="1" x14ac:dyDescent="0.2">
      <c r="A4" s="153" t="s">
        <v>17</v>
      </c>
      <c r="B4" s="153"/>
      <c r="C4" s="153"/>
      <c r="D4" s="153"/>
      <c r="E4" s="153"/>
      <c r="F4" s="153"/>
      <c r="G4" s="149" t="s">
        <v>70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20" customFormat="1" ht="18" customHeight="1" x14ac:dyDescent="0.2">
      <c r="A5" s="148" t="s">
        <v>3</v>
      </c>
      <c r="B5" s="148"/>
      <c r="C5" s="148"/>
      <c r="D5" s="148"/>
      <c r="E5" s="148"/>
      <c r="F5" s="148"/>
      <c r="G5" s="149" t="s">
        <v>71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20" customFormat="1" ht="18" customHeight="1" x14ac:dyDescent="0.2">
      <c r="A6" s="148" t="s">
        <v>4</v>
      </c>
      <c r="B6" s="148"/>
      <c r="C6" s="148"/>
      <c r="D6" s="148"/>
      <c r="E6" s="148"/>
      <c r="F6" s="148"/>
      <c r="G6" s="149" t="s">
        <v>72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20" customFormat="1" ht="22.5" customHeight="1" x14ac:dyDescent="0.2">
      <c r="A7" s="148" t="s">
        <v>5</v>
      </c>
      <c r="B7" s="148"/>
      <c r="C7" s="148"/>
      <c r="D7" s="148"/>
      <c r="E7" s="148"/>
      <c r="F7" s="148"/>
      <c r="G7" s="149" t="s">
        <v>72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x14ac:dyDescent="0.2">
      <c r="A8" s="142" t="s">
        <v>18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</row>
    <row r="9" spans="1:17" ht="18" customHeight="1" x14ac:dyDescent="0.2">
      <c r="A9" s="143" t="s">
        <v>19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</row>
    <row r="10" spans="1:17" ht="66" customHeight="1" x14ac:dyDescent="0.2">
      <c r="A10" s="162" t="s">
        <v>94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9" customHeight="1" x14ac:dyDescent="0.2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4"/>
    </row>
    <row r="12" spans="1:17" ht="15.75" customHeight="1" x14ac:dyDescent="0.2">
      <c r="A12" s="144" t="s">
        <v>20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">
      <c r="A13" s="145" t="s">
        <v>21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22</v>
      </c>
      <c r="P13" s="146"/>
      <c r="Q13" s="147" t="s">
        <v>23</v>
      </c>
    </row>
    <row r="14" spans="1:17" ht="15.75" customHeight="1" thickBot="1" x14ac:dyDescent="0.25">
      <c r="A14" s="25" t="s">
        <v>24</v>
      </c>
      <c r="B14" s="26" t="s">
        <v>25</v>
      </c>
      <c r="C14" s="26" t="s">
        <v>26</v>
      </c>
      <c r="D14" s="26" t="s">
        <v>27</v>
      </c>
      <c r="E14" s="26" t="s">
        <v>28</v>
      </c>
      <c r="F14" s="26" t="s">
        <v>29</v>
      </c>
      <c r="G14" s="27" t="s">
        <v>30</v>
      </c>
      <c r="H14" s="26" t="s">
        <v>31</v>
      </c>
      <c r="I14" s="26" t="s">
        <v>32</v>
      </c>
      <c r="J14" s="26" t="s">
        <v>33</v>
      </c>
      <c r="K14" s="26" t="s">
        <v>33</v>
      </c>
      <c r="L14" s="26" t="s">
        <v>34</v>
      </c>
      <c r="M14" s="28" t="s">
        <v>35</v>
      </c>
      <c r="N14" s="29" t="s">
        <v>36</v>
      </c>
      <c r="O14" s="146"/>
      <c r="P14" s="146"/>
      <c r="Q14" s="147"/>
    </row>
    <row r="15" spans="1:17" s="47" customFormat="1" ht="17.25" customHeight="1" thickBot="1" x14ac:dyDescent="0.25">
      <c r="A15" s="63">
        <v>1</v>
      </c>
      <c r="B15" s="64">
        <v>0</v>
      </c>
      <c r="C15" s="64">
        <v>0</v>
      </c>
      <c r="D15" s="64">
        <v>1</v>
      </c>
      <c r="E15" s="64">
        <v>0</v>
      </c>
      <c r="F15" s="64">
        <v>4901</v>
      </c>
      <c r="G15" s="64">
        <v>1</v>
      </c>
      <c r="H15" s="64">
        <v>3</v>
      </c>
      <c r="I15" s="64">
        <v>2</v>
      </c>
      <c r="J15" s="64">
        <v>1</v>
      </c>
      <c r="K15" s="64">
        <v>4</v>
      </c>
      <c r="L15" s="64">
        <v>0</v>
      </c>
      <c r="M15" s="65">
        <v>1</v>
      </c>
      <c r="N15" s="64" t="s">
        <v>38</v>
      </c>
      <c r="O15" s="136" t="s">
        <v>57</v>
      </c>
      <c r="P15" s="136"/>
      <c r="Q15" s="62">
        <v>7350000</v>
      </c>
    </row>
    <row r="16" spans="1:17" s="47" customFormat="1" ht="14.25" customHeight="1" thickBot="1" x14ac:dyDescent="0.25">
      <c r="A16" s="161">
        <v>1</v>
      </c>
      <c r="B16" s="64">
        <v>0</v>
      </c>
      <c r="C16" s="64">
        <v>0</v>
      </c>
      <c r="D16" s="64">
        <v>1</v>
      </c>
      <c r="E16" s="64">
        <v>0</v>
      </c>
      <c r="F16" s="64">
        <v>4901</v>
      </c>
      <c r="G16" s="64">
        <v>1</v>
      </c>
      <c r="H16" s="64">
        <v>3</v>
      </c>
      <c r="I16" s="64">
        <v>2</v>
      </c>
      <c r="J16" s="64">
        <v>5</v>
      </c>
      <c r="K16" s="64">
        <v>4</v>
      </c>
      <c r="L16" s="64">
        <v>0</v>
      </c>
      <c r="M16" s="65">
        <v>1</v>
      </c>
      <c r="N16" s="64" t="s">
        <v>38</v>
      </c>
      <c r="O16" s="137" t="s">
        <v>85</v>
      </c>
      <c r="P16" s="137"/>
      <c r="Q16" s="66">
        <v>1325000</v>
      </c>
    </row>
    <row r="17" spans="1:17" s="47" customFormat="1" ht="14.25" customHeight="1" thickBo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5"/>
      <c r="N17" s="64"/>
      <c r="O17" s="140"/>
      <c r="P17" s="141"/>
      <c r="Q17" s="87"/>
    </row>
    <row r="18" spans="1:17" s="47" customFormat="1" ht="17.25" customHeight="1" thickBo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64"/>
      <c r="O18" s="137"/>
      <c r="P18" s="137"/>
      <c r="Q18" s="62"/>
    </row>
    <row r="19" spans="1:17" s="47" customFormat="1" ht="17.25" customHeight="1" thickBo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5"/>
      <c r="N19" s="64"/>
      <c r="O19" s="137"/>
      <c r="P19" s="137"/>
      <c r="Q19" s="62"/>
    </row>
    <row r="20" spans="1:17" s="47" customFormat="1" ht="17.25" customHeight="1" thickBo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5"/>
      <c r="N20" s="64"/>
      <c r="O20" s="136"/>
      <c r="P20" s="136"/>
      <c r="Q20" s="62"/>
    </row>
    <row r="21" spans="1:17" s="47" customFormat="1" ht="13.5" thickBo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5"/>
      <c r="N21" s="64"/>
      <c r="O21" s="140"/>
      <c r="P21" s="141"/>
      <c r="Q21" s="66"/>
    </row>
    <row r="22" spans="1:17" s="47" customFormat="1" ht="17.25" customHeight="1" thickBo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5"/>
      <c r="N22" s="64"/>
      <c r="O22" s="136"/>
      <c r="P22" s="136"/>
      <c r="Q22" s="62"/>
    </row>
    <row r="23" spans="1:17" s="47" customFormat="1" ht="17.25" customHeight="1" thickBo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5"/>
      <c r="N23" s="64"/>
      <c r="O23" s="136"/>
      <c r="P23" s="136"/>
      <c r="Q23" s="62"/>
    </row>
    <row r="24" spans="1:17" s="47" customFormat="1" ht="14.25" customHeight="1" thickBo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5"/>
      <c r="N24" s="64"/>
      <c r="O24" s="137"/>
      <c r="P24" s="137"/>
      <c r="Q24" s="66"/>
    </row>
    <row r="25" spans="1:17" s="47" customFormat="1" ht="14.25" customHeight="1" thickBo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5"/>
      <c r="N25" s="64"/>
      <c r="O25" s="137"/>
      <c r="P25" s="137"/>
      <c r="Q25" s="66"/>
    </row>
    <row r="26" spans="1:17" s="47" customFormat="1" ht="17.25" customHeight="1" thickBot="1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5"/>
      <c r="N26" s="64"/>
      <c r="O26" s="138"/>
      <c r="P26" s="139"/>
      <c r="Q26" s="62"/>
    </row>
    <row r="27" spans="1:17" s="47" customFormat="1" ht="17.25" customHeight="1" x14ac:dyDescent="0.2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5"/>
      <c r="N27" s="64"/>
      <c r="O27" s="136"/>
      <c r="P27" s="136"/>
      <c r="Q27" s="62"/>
    </row>
    <row r="28" spans="1:17" ht="17.25" customHeight="1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127"/>
      <c r="P28" s="127"/>
      <c r="Q28" s="34"/>
    </row>
    <row r="29" spans="1:17" ht="17.25" customHeight="1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127"/>
      <c r="P29" s="127"/>
      <c r="Q29" s="34"/>
    </row>
    <row r="30" spans="1:17" ht="17.25" customHeight="1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127"/>
      <c r="P30" s="127"/>
      <c r="Q30" s="34"/>
    </row>
    <row r="31" spans="1:17" ht="17.25" customHeight="1" x14ac:dyDescent="0.2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127"/>
      <c r="P31" s="127"/>
      <c r="Q31" s="34"/>
    </row>
    <row r="32" spans="1:17" ht="17.25" customHeight="1" x14ac:dyDescent="0.2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/>
      <c r="N32" s="33"/>
      <c r="O32" s="127"/>
      <c r="P32" s="127"/>
      <c r="Q32" s="34"/>
    </row>
    <row r="33" spans="1:18" ht="17.25" customHeight="1" x14ac:dyDescent="0.2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127"/>
      <c r="P33" s="127"/>
      <c r="Q33" s="34"/>
    </row>
    <row r="34" spans="1:18" ht="17.25" customHeight="1" x14ac:dyDescent="0.2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  <c r="N34" s="33"/>
      <c r="O34" s="127"/>
      <c r="P34" s="127"/>
      <c r="Q34" s="34"/>
    </row>
    <row r="35" spans="1:18" ht="17.25" customHeight="1" x14ac:dyDescent="0.2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33"/>
      <c r="O35" s="127"/>
      <c r="P35" s="127"/>
      <c r="Q35" s="34"/>
    </row>
    <row r="36" spans="1:18" ht="17.25" customHeight="1" x14ac:dyDescent="0.2">
      <c r="A36" s="30"/>
      <c r="B36" s="31"/>
      <c r="C36" s="31"/>
      <c r="D36" s="31"/>
      <c r="E36" s="31"/>
      <c r="F36" s="33"/>
      <c r="G36" s="31"/>
      <c r="H36" s="31"/>
      <c r="I36" s="31"/>
      <c r="J36" s="31"/>
      <c r="K36" s="31"/>
      <c r="L36" s="31"/>
      <c r="M36" s="32"/>
      <c r="N36" s="33"/>
      <c r="O36" s="128"/>
      <c r="P36" s="128"/>
      <c r="Q36" s="34"/>
    </row>
    <row r="37" spans="1:18" ht="17.25" customHeight="1" x14ac:dyDescent="0.2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2"/>
      <c r="N37" s="33"/>
      <c r="O37" s="128"/>
      <c r="P37" s="128"/>
      <c r="Q37" s="34"/>
    </row>
    <row r="38" spans="1:18" ht="17.25" customHeight="1" x14ac:dyDescent="0.2">
      <c r="A38" s="30"/>
      <c r="B38" s="31"/>
      <c r="C38" s="31"/>
      <c r="D38" s="31"/>
      <c r="E38" s="31"/>
      <c r="F38" s="33"/>
      <c r="G38" s="31"/>
      <c r="H38" s="31"/>
      <c r="I38" s="31"/>
      <c r="J38" s="31"/>
      <c r="K38" s="31"/>
      <c r="L38" s="31"/>
      <c r="M38" s="32"/>
      <c r="N38" s="33"/>
      <c r="O38" s="128"/>
      <c r="P38" s="128"/>
      <c r="Q38" s="34"/>
    </row>
    <row r="39" spans="1:18" ht="17.25" customHeight="1" x14ac:dyDescent="0.2">
      <c r="A39" s="30"/>
      <c r="B39" s="31"/>
      <c r="C39" s="31"/>
      <c r="D39" s="31"/>
      <c r="E39" s="31"/>
      <c r="F39" s="33"/>
      <c r="G39" s="31"/>
      <c r="H39" s="31"/>
      <c r="I39" s="31"/>
      <c r="J39" s="31"/>
      <c r="K39" s="31"/>
      <c r="L39" s="31"/>
      <c r="M39" s="32"/>
      <c r="N39" s="33"/>
      <c r="O39" s="128"/>
      <c r="P39" s="128"/>
      <c r="Q39" s="34"/>
    </row>
    <row r="40" spans="1:18" ht="17.25" customHeight="1" x14ac:dyDescent="0.2">
      <c r="A40" s="35"/>
      <c r="B40" s="36"/>
      <c r="C40" s="36"/>
      <c r="D40" s="36"/>
      <c r="E40" s="36"/>
      <c r="F40" s="37"/>
      <c r="G40" s="36"/>
      <c r="H40" s="36"/>
      <c r="I40" s="36"/>
      <c r="J40" s="36"/>
      <c r="K40" s="36"/>
      <c r="L40" s="36"/>
      <c r="M40" s="38"/>
      <c r="N40" s="39"/>
      <c r="O40" s="132"/>
      <c r="P40" s="132"/>
      <c r="Q40" s="34"/>
      <c r="R40" s="16"/>
    </row>
    <row r="41" spans="1:18" ht="17.25" customHeight="1" x14ac:dyDescent="0.2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2"/>
      <c r="N41" s="41"/>
      <c r="O41" s="133"/>
      <c r="P41" s="133"/>
      <c r="Q41" s="43"/>
    </row>
    <row r="42" spans="1:18" ht="20.25" customHeight="1" x14ac:dyDescent="0.2">
      <c r="A42" s="134" t="s">
        <v>86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44">
        <f>SUM(Q15:Q41)</f>
        <v>8675000</v>
      </c>
    </row>
    <row r="43" spans="1:18" ht="18" customHeight="1" x14ac:dyDescent="0.2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</row>
    <row r="44" spans="1:18" ht="17.25" customHeight="1" x14ac:dyDescent="0.2">
      <c r="A44" s="129" t="s">
        <v>37</v>
      </c>
      <c r="B44" s="129"/>
      <c r="C44" s="129"/>
      <c r="D44" s="129"/>
      <c r="E44" s="129"/>
      <c r="F44" s="129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</row>
    <row r="45" spans="1:18" s="88" customFormat="1" ht="18" customHeight="1" x14ac:dyDescent="0.2">
      <c r="A45" s="131" t="s">
        <v>59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</row>
    <row r="46" spans="1:18" s="88" customFormat="1" ht="63.75" customHeight="1" x14ac:dyDescent="0.2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</row>
  </sheetData>
  <mergeCells count="50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27:P27"/>
    <mergeCell ref="O28:P28"/>
    <mergeCell ref="O18:P18"/>
    <mergeCell ref="O19:P19"/>
    <mergeCell ref="O16:P16"/>
    <mergeCell ref="O26:P26"/>
    <mergeCell ref="O17:P17"/>
    <mergeCell ref="O24:P24"/>
    <mergeCell ref="O20:P20"/>
    <mergeCell ref="O22:P22"/>
    <mergeCell ref="O23:P23"/>
    <mergeCell ref="O21:P21"/>
    <mergeCell ref="O25:P25"/>
    <mergeCell ref="A45:Q46"/>
    <mergeCell ref="O39:P39"/>
    <mergeCell ref="O40:P40"/>
    <mergeCell ref="O41:P41"/>
    <mergeCell ref="A42:P42"/>
    <mergeCell ref="A43:Q43"/>
    <mergeCell ref="O36:P36"/>
    <mergeCell ref="O37:P37"/>
    <mergeCell ref="O38:P38"/>
    <mergeCell ref="A44:F44"/>
    <mergeCell ref="G44:Q44"/>
    <mergeCell ref="O29:P29"/>
    <mergeCell ref="O34:P34"/>
    <mergeCell ref="O35:P35"/>
    <mergeCell ref="O30:P30"/>
    <mergeCell ref="O31:P31"/>
    <mergeCell ref="O32:P32"/>
    <mergeCell ref="O33:P33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95"/>
  <sheetViews>
    <sheetView tabSelected="1" workbookViewId="0">
      <selection activeCell="E16" sqref="E16"/>
    </sheetView>
  </sheetViews>
  <sheetFormatPr baseColWidth="10" defaultColWidth="10.7109375" defaultRowHeight="12.75" x14ac:dyDescent="0.2"/>
  <cols>
    <col min="1" max="1" width="5.5703125" customWidth="1"/>
    <col min="2" max="2" width="20.5703125" customWidth="1"/>
    <col min="3" max="3" width="23.140625" customWidth="1"/>
    <col min="5" max="5" width="31" customWidth="1"/>
    <col min="7" max="7" width="13.42578125" customWidth="1"/>
    <col min="8" max="8" width="11.5703125" bestFit="1" customWidth="1"/>
    <col min="9" max="9" width="15.7109375" hidden="1" customWidth="1"/>
    <col min="10" max="10" width="17.140625" customWidth="1"/>
    <col min="11" max="11" width="13.28515625" bestFit="1" customWidth="1"/>
    <col min="13" max="13" width="12.7109375" bestFit="1" customWidth="1"/>
  </cols>
  <sheetData>
    <row r="2" spans="1:18" ht="18" x14ac:dyDescent="0.2">
      <c r="B2" s="154" t="s">
        <v>61</v>
      </c>
      <c r="C2" s="154"/>
      <c r="D2" s="154"/>
      <c r="E2" s="154"/>
      <c r="F2" s="154"/>
      <c r="G2" s="154"/>
      <c r="H2" s="154"/>
      <c r="I2" s="154"/>
      <c r="J2" s="61"/>
    </row>
    <row r="4" spans="1:18" x14ac:dyDescent="0.2">
      <c r="A4" s="45" t="s">
        <v>68</v>
      </c>
      <c r="B4" s="45"/>
      <c r="C4" s="45"/>
      <c r="D4" s="45"/>
      <c r="E4" s="45"/>
      <c r="F4" s="45"/>
      <c r="G4" s="45"/>
      <c r="H4" s="45"/>
      <c r="I4" s="45"/>
      <c r="J4" s="45"/>
    </row>
    <row r="5" spans="1:18" x14ac:dyDescent="0.2">
      <c r="A5" s="45" t="s">
        <v>69</v>
      </c>
      <c r="B5" s="45"/>
      <c r="C5" s="45"/>
      <c r="D5" s="45"/>
      <c r="E5" s="45"/>
      <c r="F5" s="45"/>
      <c r="G5" s="45"/>
      <c r="H5" s="45"/>
      <c r="I5" s="45"/>
      <c r="J5" s="45"/>
    </row>
    <row r="6" spans="1:18" x14ac:dyDescent="0.2">
      <c r="A6" s="45" t="s">
        <v>62</v>
      </c>
      <c r="B6" s="45"/>
      <c r="C6" s="45"/>
      <c r="D6" s="45"/>
      <c r="E6" s="45"/>
      <c r="F6" s="45"/>
      <c r="G6" s="45"/>
      <c r="H6" s="45"/>
      <c r="I6" s="45"/>
      <c r="J6" s="45"/>
    </row>
    <row r="7" spans="1:18" x14ac:dyDescent="0.2">
      <c r="A7" s="45" t="s">
        <v>97</v>
      </c>
      <c r="B7" s="45"/>
      <c r="C7" s="45"/>
      <c r="D7" s="45"/>
      <c r="E7" s="45"/>
      <c r="F7" s="45"/>
      <c r="G7" s="45"/>
      <c r="H7" s="45"/>
      <c r="I7" s="45"/>
      <c r="J7" s="45"/>
    </row>
    <row r="8" spans="1:18" x14ac:dyDescent="0.2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18" ht="13.5" thickBot="1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</row>
    <row r="10" spans="1:18" ht="38.25" customHeight="1" x14ac:dyDescent="0.2">
      <c r="A10" s="93" t="s">
        <v>39</v>
      </c>
      <c r="B10" s="52" t="s">
        <v>40</v>
      </c>
      <c r="C10" s="48" t="s">
        <v>41</v>
      </c>
      <c r="D10" s="48" t="s">
        <v>42</v>
      </c>
      <c r="E10" s="48" t="s">
        <v>43</v>
      </c>
      <c r="F10" s="53" t="s">
        <v>44</v>
      </c>
      <c r="G10" s="48" t="s">
        <v>45</v>
      </c>
      <c r="H10" s="53" t="s">
        <v>46</v>
      </c>
      <c r="I10" s="54" t="s">
        <v>47</v>
      </c>
      <c r="J10" s="94" t="s">
        <v>58</v>
      </c>
    </row>
    <row r="11" spans="1:18" s="47" customFormat="1" ht="120" x14ac:dyDescent="0.2">
      <c r="A11" s="56">
        <v>1</v>
      </c>
      <c r="B11" s="56" t="s">
        <v>74</v>
      </c>
      <c r="C11" s="68" t="s">
        <v>55</v>
      </c>
      <c r="D11" s="58" t="s">
        <v>56</v>
      </c>
      <c r="E11" s="96" t="s">
        <v>75</v>
      </c>
      <c r="F11" s="58" t="s">
        <v>52</v>
      </c>
      <c r="G11" s="59">
        <v>50</v>
      </c>
      <c r="H11" s="60">
        <v>26500</v>
      </c>
      <c r="I11" s="60"/>
      <c r="J11" s="71">
        <f>H11*G11</f>
        <v>1325000</v>
      </c>
      <c r="K11" s="157">
        <f>G11*H11</f>
        <v>1325000</v>
      </c>
      <c r="L11" t="s">
        <v>75</v>
      </c>
      <c r="M11" s="47" t="b">
        <f>E11=L11</f>
        <v>1</v>
      </c>
      <c r="N11" s="80" t="s">
        <v>101</v>
      </c>
    </row>
    <row r="12" spans="1:18" s="47" customFormat="1" ht="81.75" customHeight="1" x14ac:dyDescent="0.2">
      <c r="A12" s="56">
        <v>2</v>
      </c>
      <c r="B12" s="97" t="s">
        <v>76</v>
      </c>
      <c r="C12" s="97" t="s">
        <v>55</v>
      </c>
      <c r="D12" s="98" t="s">
        <v>65</v>
      </c>
      <c r="E12" s="99" t="s">
        <v>77</v>
      </c>
      <c r="F12" s="100" t="s">
        <v>52</v>
      </c>
      <c r="G12" s="97">
        <v>2000</v>
      </c>
      <c r="H12" s="70">
        <v>290</v>
      </c>
      <c r="I12" s="69"/>
      <c r="J12" s="71">
        <f t="shared" ref="J12:J15" si="0">H12*G12</f>
        <v>580000</v>
      </c>
      <c r="K12" s="157">
        <f t="shared" ref="K12:K15" si="1">G12*H12</f>
        <v>580000</v>
      </c>
      <c r="L12" t="s">
        <v>77</v>
      </c>
      <c r="M12" s="47" t="b">
        <f t="shared" ref="M12:M15" si="2">E12=L12</f>
        <v>1</v>
      </c>
      <c r="N12" s="160" t="s">
        <v>100</v>
      </c>
      <c r="O12" s="160"/>
      <c r="P12" s="160"/>
      <c r="Q12" s="160"/>
      <c r="R12" s="160"/>
    </row>
    <row r="13" spans="1:18" s="47" customFormat="1" ht="50.25" customHeight="1" x14ac:dyDescent="0.2">
      <c r="A13" s="56">
        <v>3</v>
      </c>
      <c r="B13" s="90" t="s">
        <v>64</v>
      </c>
      <c r="C13" s="95" t="s">
        <v>55</v>
      </c>
      <c r="D13" s="95" t="s">
        <v>65</v>
      </c>
      <c r="E13" s="89" t="s">
        <v>63</v>
      </c>
      <c r="F13" s="92" t="s">
        <v>52</v>
      </c>
      <c r="G13" s="57">
        <v>250</v>
      </c>
      <c r="H13" s="69">
        <v>22800</v>
      </c>
      <c r="I13" s="69"/>
      <c r="J13" s="71">
        <f t="shared" si="0"/>
        <v>5700000</v>
      </c>
      <c r="K13" s="157">
        <f t="shared" si="1"/>
        <v>5700000</v>
      </c>
      <c r="L13" s="156" t="s">
        <v>63</v>
      </c>
      <c r="M13" s="47" t="b">
        <f t="shared" si="2"/>
        <v>1</v>
      </c>
      <c r="N13" s="80" t="s">
        <v>80</v>
      </c>
      <c r="O13" s="159"/>
      <c r="P13" s="159"/>
      <c r="Q13" s="159"/>
      <c r="R13" s="159"/>
    </row>
    <row r="14" spans="1:18" s="47" customFormat="1" ht="54.75" customHeight="1" x14ac:dyDescent="0.2">
      <c r="A14" s="56">
        <v>4</v>
      </c>
      <c r="B14" s="102" t="s">
        <v>89</v>
      </c>
      <c r="C14" s="102" t="s">
        <v>55</v>
      </c>
      <c r="D14" s="98" t="s">
        <v>65</v>
      </c>
      <c r="E14" s="103" t="s">
        <v>90</v>
      </c>
      <c r="F14" s="92" t="s">
        <v>52</v>
      </c>
      <c r="G14" s="57">
        <v>200</v>
      </c>
      <c r="H14" s="69">
        <v>2500</v>
      </c>
      <c r="I14" s="69"/>
      <c r="J14" s="71">
        <f t="shared" si="0"/>
        <v>500000</v>
      </c>
      <c r="K14" s="157">
        <f t="shared" si="1"/>
        <v>500000</v>
      </c>
      <c r="L14" s="156" t="s">
        <v>102</v>
      </c>
      <c r="M14" s="47" t="b">
        <f t="shared" si="2"/>
        <v>1</v>
      </c>
    </row>
    <row r="15" spans="1:18" s="47" customFormat="1" ht="56.25" customHeight="1" x14ac:dyDescent="0.2">
      <c r="A15" s="56">
        <v>5</v>
      </c>
      <c r="B15" s="102" t="s">
        <v>91</v>
      </c>
      <c r="C15" s="102" t="s">
        <v>55</v>
      </c>
      <c r="D15" s="98" t="s">
        <v>65</v>
      </c>
      <c r="E15" s="103" t="s">
        <v>104</v>
      </c>
      <c r="F15" s="92" t="s">
        <v>52</v>
      </c>
      <c r="G15" s="91">
        <v>300</v>
      </c>
      <c r="H15" s="69">
        <v>1900</v>
      </c>
      <c r="I15" s="69"/>
      <c r="J15" s="71">
        <f t="shared" si="0"/>
        <v>570000</v>
      </c>
      <c r="K15" s="157">
        <f t="shared" si="1"/>
        <v>570000</v>
      </c>
      <c r="L15" s="156" t="s">
        <v>103</v>
      </c>
      <c r="M15" s="47" t="b">
        <f t="shared" si="2"/>
        <v>1</v>
      </c>
    </row>
    <row r="16" spans="1:18" ht="21.75" customHeight="1" thickBot="1" x14ac:dyDescent="0.25">
      <c r="J16" s="67"/>
      <c r="K16" s="158">
        <f>SUM(K11:K15)</f>
        <v>8675000</v>
      </c>
    </row>
    <row r="17" spans="2:11" s="47" customFormat="1" x14ac:dyDescent="0.2">
      <c r="B17" s="72"/>
      <c r="C17" s="73"/>
      <c r="D17" s="101"/>
      <c r="E17" s="73"/>
      <c r="F17" s="73"/>
      <c r="G17" s="73"/>
      <c r="H17" s="73"/>
      <c r="I17" s="74"/>
      <c r="J17" s="74"/>
    </row>
    <row r="18" spans="2:11" s="47" customFormat="1" x14ac:dyDescent="0.2">
      <c r="B18" s="76" t="s">
        <v>78</v>
      </c>
      <c r="C18" s="75"/>
      <c r="D18" s="81"/>
      <c r="E18" s="75"/>
      <c r="F18" s="75"/>
      <c r="G18" s="75"/>
      <c r="H18" s="75"/>
      <c r="I18" s="77"/>
      <c r="J18" s="77"/>
    </row>
    <row r="19" spans="2:11" s="47" customFormat="1" x14ac:dyDescent="0.2">
      <c r="B19" s="76"/>
      <c r="C19" s="75"/>
      <c r="D19" s="81"/>
      <c r="E19" s="75"/>
      <c r="F19" s="75"/>
      <c r="G19" s="75"/>
      <c r="H19" s="75"/>
      <c r="I19" s="77"/>
      <c r="J19" s="77"/>
    </row>
    <row r="20" spans="2:11" s="47" customFormat="1" x14ac:dyDescent="0.2">
      <c r="B20" s="76"/>
      <c r="C20" s="79" t="s">
        <v>48</v>
      </c>
      <c r="D20" s="81"/>
      <c r="E20" s="75"/>
      <c r="F20" s="75"/>
      <c r="G20" s="75"/>
      <c r="H20" s="75"/>
      <c r="I20" s="77"/>
      <c r="J20" s="77"/>
    </row>
    <row r="21" spans="2:11" s="47" customFormat="1" x14ac:dyDescent="0.2">
      <c r="B21" s="78"/>
      <c r="C21" s="79"/>
      <c r="D21" s="81" t="s">
        <v>79</v>
      </c>
      <c r="E21" s="75"/>
      <c r="F21" s="75"/>
      <c r="G21" s="75"/>
      <c r="H21" s="75"/>
      <c r="I21" s="77"/>
      <c r="J21" s="77"/>
    </row>
    <row r="22" spans="2:11" s="47" customFormat="1" x14ac:dyDescent="0.2">
      <c r="B22" s="78"/>
      <c r="C22" s="75"/>
      <c r="D22" s="81"/>
      <c r="E22" s="75"/>
      <c r="F22" s="75"/>
      <c r="G22" s="75"/>
      <c r="H22" s="75"/>
      <c r="I22" s="77"/>
      <c r="J22" s="77"/>
    </row>
    <row r="23" spans="2:11" s="47" customFormat="1" x14ac:dyDescent="0.2">
      <c r="B23" s="78"/>
      <c r="C23" s="79"/>
      <c r="D23" s="80"/>
      <c r="E23" s="75"/>
      <c r="F23" s="75"/>
      <c r="G23" s="75"/>
      <c r="H23" s="75"/>
      <c r="I23" s="77"/>
      <c r="J23" s="77"/>
      <c r="K23" s="75"/>
    </row>
    <row r="24" spans="2:11" s="47" customFormat="1" x14ac:dyDescent="0.2">
      <c r="B24" s="78"/>
      <c r="C24" s="75"/>
      <c r="D24" s="80"/>
      <c r="E24" s="75"/>
      <c r="F24" s="75"/>
      <c r="G24" s="75"/>
      <c r="H24" s="75"/>
      <c r="I24" s="77"/>
      <c r="J24" s="77"/>
      <c r="K24" s="75"/>
    </row>
    <row r="25" spans="2:11" s="47" customFormat="1" x14ac:dyDescent="0.2">
      <c r="B25" s="78"/>
      <c r="C25" s="79" t="s">
        <v>49</v>
      </c>
      <c r="D25" s="75"/>
      <c r="E25" s="75"/>
      <c r="F25" s="75"/>
      <c r="G25" s="75"/>
      <c r="H25" s="75"/>
      <c r="I25" s="77"/>
      <c r="J25" s="77"/>
      <c r="K25" s="75"/>
    </row>
    <row r="26" spans="2:11" s="47" customFormat="1" x14ac:dyDescent="0.2">
      <c r="B26" s="78"/>
      <c r="C26" s="82"/>
      <c r="D26" s="80" t="s">
        <v>98</v>
      </c>
      <c r="E26" s="75"/>
      <c r="F26" s="75"/>
      <c r="G26" s="75"/>
      <c r="H26" s="75"/>
      <c r="I26" s="77"/>
      <c r="J26" s="77"/>
      <c r="K26" s="75"/>
    </row>
    <row r="27" spans="2:11" s="47" customFormat="1" x14ac:dyDescent="0.2">
      <c r="B27" s="78"/>
      <c r="C27" s="82"/>
      <c r="D27" s="80" t="s">
        <v>51</v>
      </c>
      <c r="E27" s="75"/>
      <c r="F27" s="75"/>
      <c r="G27" s="75"/>
      <c r="H27" s="75"/>
      <c r="I27" s="77"/>
      <c r="J27" s="77"/>
      <c r="K27" s="75"/>
    </row>
    <row r="28" spans="2:11" s="47" customFormat="1" x14ac:dyDescent="0.2">
      <c r="B28" s="78"/>
      <c r="C28" s="82"/>
      <c r="D28" s="75"/>
      <c r="E28" s="75"/>
      <c r="F28" s="75"/>
      <c r="G28" s="75"/>
      <c r="H28" s="75"/>
      <c r="I28" s="77"/>
      <c r="J28" s="77"/>
      <c r="K28" s="75"/>
    </row>
    <row r="29" spans="2:11" s="47" customFormat="1" x14ac:dyDescent="0.2">
      <c r="B29" s="78"/>
      <c r="C29" s="79" t="s">
        <v>66</v>
      </c>
      <c r="D29" s="80" t="s">
        <v>101</v>
      </c>
      <c r="E29" s="75"/>
      <c r="F29" s="75"/>
      <c r="G29" s="75"/>
      <c r="H29" s="75"/>
      <c r="I29" s="77"/>
      <c r="J29" s="77"/>
      <c r="K29" s="75"/>
    </row>
    <row r="30" spans="2:11" s="47" customFormat="1" x14ac:dyDescent="0.2">
      <c r="B30" s="78"/>
      <c r="C30" s="79" t="s">
        <v>67</v>
      </c>
      <c r="D30" s="80" t="s">
        <v>53</v>
      </c>
      <c r="E30" s="75"/>
      <c r="F30" s="75"/>
      <c r="G30" s="75"/>
      <c r="H30" s="75"/>
      <c r="I30" s="77"/>
      <c r="J30" s="77"/>
      <c r="K30" s="75"/>
    </row>
    <row r="31" spans="2:11" s="47" customFormat="1" ht="13.5" thickBot="1" x14ac:dyDescent="0.25">
      <c r="B31" s="83"/>
      <c r="C31" s="84" t="s">
        <v>50</v>
      </c>
      <c r="D31" s="85"/>
      <c r="E31" s="85"/>
      <c r="F31" s="85"/>
      <c r="G31" s="85"/>
      <c r="H31" s="85"/>
      <c r="I31" s="86"/>
      <c r="J31" s="86"/>
      <c r="K31" s="75"/>
    </row>
    <row r="32" spans="2:11" s="47" customFormat="1" ht="13.5" thickBot="1" x14ac:dyDescent="0.25"/>
    <row r="33" spans="2:10" x14ac:dyDescent="0.2">
      <c r="B33" s="72"/>
      <c r="C33" s="73"/>
      <c r="D33" s="101"/>
      <c r="E33" s="73"/>
      <c r="F33" s="73"/>
      <c r="G33" s="73"/>
      <c r="H33" s="73"/>
      <c r="I33" s="74"/>
      <c r="J33" s="74"/>
    </row>
    <row r="34" spans="2:10" x14ac:dyDescent="0.2">
      <c r="B34" s="76" t="s">
        <v>81</v>
      </c>
      <c r="C34" s="75"/>
      <c r="D34" s="81"/>
      <c r="E34" s="75"/>
      <c r="F34" s="75"/>
      <c r="G34" s="75"/>
      <c r="H34" s="75"/>
      <c r="I34" s="77"/>
      <c r="J34" s="77"/>
    </row>
    <row r="35" spans="2:10" x14ac:dyDescent="0.2">
      <c r="B35" s="76"/>
      <c r="C35" s="75"/>
      <c r="D35" s="81"/>
      <c r="E35" s="75"/>
      <c r="F35" s="75"/>
      <c r="G35" s="75"/>
      <c r="H35" s="75"/>
      <c r="I35" s="77"/>
      <c r="J35" s="77"/>
    </row>
    <row r="36" spans="2:10" x14ac:dyDescent="0.2">
      <c r="B36" s="76"/>
      <c r="C36" s="79" t="s">
        <v>48</v>
      </c>
      <c r="D36" s="155" t="s">
        <v>100</v>
      </c>
      <c r="E36" s="155"/>
      <c r="F36" s="155"/>
      <c r="G36" s="155"/>
      <c r="H36" s="155"/>
      <c r="I36" s="77"/>
      <c r="J36" s="77"/>
    </row>
    <row r="37" spans="2:10" ht="13.5" customHeight="1" x14ac:dyDescent="0.2">
      <c r="B37" s="78"/>
      <c r="C37" s="79"/>
      <c r="D37" s="155"/>
      <c r="E37" s="155"/>
      <c r="F37" s="155"/>
      <c r="G37" s="155"/>
      <c r="H37" s="155"/>
      <c r="I37" s="77"/>
      <c r="J37" s="77"/>
    </row>
    <row r="38" spans="2:10" x14ac:dyDescent="0.2">
      <c r="B38" s="78"/>
      <c r="C38" s="75"/>
      <c r="D38" s="81"/>
      <c r="E38" s="75"/>
      <c r="F38" s="75"/>
      <c r="G38" s="75"/>
      <c r="H38" s="75"/>
      <c r="I38" s="77"/>
      <c r="J38" s="77"/>
    </row>
    <row r="39" spans="2:10" x14ac:dyDescent="0.2">
      <c r="B39" s="78"/>
      <c r="C39" s="79"/>
      <c r="D39" s="80"/>
      <c r="E39" s="75"/>
      <c r="F39" s="75"/>
      <c r="G39" s="75"/>
      <c r="H39" s="75"/>
      <c r="I39" s="77"/>
      <c r="J39" s="77"/>
    </row>
    <row r="40" spans="2:10" x14ac:dyDescent="0.2">
      <c r="B40" s="78"/>
      <c r="C40" s="75"/>
      <c r="D40" s="80"/>
      <c r="E40" s="75"/>
      <c r="F40" s="75"/>
      <c r="G40" s="75"/>
      <c r="H40" s="75"/>
      <c r="I40" s="77"/>
      <c r="J40" s="77"/>
    </row>
    <row r="41" spans="2:10" x14ac:dyDescent="0.2">
      <c r="B41" s="78"/>
      <c r="C41" s="79" t="s">
        <v>49</v>
      </c>
      <c r="D41" s="75"/>
      <c r="E41" s="75"/>
      <c r="F41" s="75"/>
      <c r="G41" s="75"/>
      <c r="H41" s="75"/>
      <c r="I41" s="77"/>
      <c r="J41" s="77"/>
    </row>
    <row r="42" spans="2:10" x14ac:dyDescent="0.2">
      <c r="B42" s="78"/>
      <c r="C42" s="82"/>
      <c r="D42" s="80" t="s">
        <v>98</v>
      </c>
      <c r="E42" s="75"/>
      <c r="F42" s="75"/>
      <c r="G42" s="75"/>
      <c r="H42" s="75"/>
      <c r="I42" s="77"/>
      <c r="J42" s="77"/>
    </row>
    <row r="43" spans="2:10" x14ac:dyDescent="0.2">
      <c r="B43" s="78"/>
      <c r="C43" s="82"/>
      <c r="D43" s="80" t="s">
        <v>51</v>
      </c>
      <c r="E43" s="75"/>
      <c r="F43" s="75"/>
      <c r="G43" s="75"/>
      <c r="H43" s="75"/>
      <c r="I43" s="77"/>
      <c r="J43" s="77"/>
    </row>
    <row r="44" spans="2:10" x14ac:dyDescent="0.2">
      <c r="B44" s="78"/>
      <c r="C44" s="82"/>
      <c r="D44" s="75"/>
      <c r="E44" s="75"/>
      <c r="F44" s="75"/>
      <c r="G44" s="75"/>
      <c r="H44" s="75"/>
      <c r="I44" s="77"/>
      <c r="J44" s="77"/>
    </row>
    <row r="45" spans="2:10" x14ac:dyDescent="0.2">
      <c r="B45" s="78"/>
      <c r="C45" s="79" t="s">
        <v>66</v>
      </c>
      <c r="D45" s="80" t="s">
        <v>54</v>
      </c>
      <c r="E45" s="75"/>
      <c r="F45" s="75"/>
      <c r="G45" s="75"/>
      <c r="H45" s="75"/>
      <c r="I45" s="77"/>
      <c r="J45" s="77"/>
    </row>
    <row r="46" spans="2:10" x14ac:dyDescent="0.2">
      <c r="B46" s="78"/>
      <c r="C46" s="79" t="s">
        <v>67</v>
      </c>
      <c r="D46" s="80" t="s">
        <v>99</v>
      </c>
      <c r="E46" s="75"/>
      <c r="F46" s="75"/>
      <c r="G46" s="75"/>
      <c r="H46" s="75"/>
      <c r="I46" s="77"/>
      <c r="J46" s="77"/>
    </row>
    <row r="47" spans="2:10" ht="13.5" thickBot="1" x14ac:dyDescent="0.25">
      <c r="B47" s="83"/>
      <c r="C47" s="84" t="s">
        <v>50</v>
      </c>
      <c r="D47" s="85"/>
      <c r="E47" s="85"/>
      <c r="F47" s="85"/>
      <c r="G47" s="85"/>
      <c r="H47" s="85"/>
      <c r="I47" s="86"/>
      <c r="J47" s="86"/>
    </row>
    <row r="48" spans="2:10" ht="13.5" thickBot="1" x14ac:dyDescent="0.25"/>
    <row r="49" spans="2:10" x14ac:dyDescent="0.2">
      <c r="B49" s="72"/>
      <c r="C49" s="73"/>
      <c r="D49" s="101"/>
      <c r="E49" s="73"/>
      <c r="F49" s="73"/>
      <c r="G49" s="73"/>
      <c r="H49" s="73"/>
      <c r="I49" s="74"/>
      <c r="J49" s="74"/>
    </row>
    <row r="50" spans="2:10" x14ac:dyDescent="0.2">
      <c r="B50" s="76" t="s">
        <v>82</v>
      </c>
      <c r="C50" s="75"/>
      <c r="D50" s="81"/>
      <c r="E50" s="75"/>
      <c r="F50" s="75"/>
      <c r="G50" s="75"/>
      <c r="H50" s="75"/>
      <c r="I50" s="77"/>
      <c r="J50" s="77"/>
    </row>
    <row r="51" spans="2:10" x14ac:dyDescent="0.2">
      <c r="B51" s="76"/>
      <c r="C51" s="75"/>
      <c r="D51" s="81"/>
      <c r="E51" s="75"/>
      <c r="F51" s="75"/>
      <c r="G51" s="75"/>
      <c r="H51" s="75"/>
      <c r="I51" s="77"/>
      <c r="J51" s="77"/>
    </row>
    <row r="52" spans="2:10" x14ac:dyDescent="0.2">
      <c r="B52" s="76"/>
      <c r="C52" s="79" t="s">
        <v>48</v>
      </c>
      <c r="D52" s="81"/>
      <c r="E52" s="75"/>
      <c r="F52" s="75"/>
      <c r="G52" s="75"/>
      <c r="H52" s="75"/>
      <c r="I52" s="77"/>
      <c r="J52" s="77"/>
    </row>
    <row r="53" spans="2:10" x14ac:dyDescent="0.2">
      <c r="B53" s="78"/>
      <c r="C53" s="79"/>
      <c r="D53" s="81" t="s">
        <v>79</v>
      </c>
      <c r="E53" s="75"/>
      <c r="F53" s="75"/>
      <c r="G53" s="75"/>
      <c r="H53" s="75"/>
      <c r="I53" s="77"/>
      <c r="J53" s="77"/>
    </row>
    <row r="54" spans="2:10" x14ac:dyDescent="0.2">
      <c r="B54" s="78"/>
      <c r="C54" s="75"/>
      <c r="D54" s="81"/>
      <c r="E54" s="75"/>
      <c r="F54" s="75"/>
      <c r="G54" s="75"/>
      <c r="H54" s="75"/>
      <c r="I54" s="77"/>
      <c r="J54" s="77"/>
    </row>
    <row r="55" spans="2:10" x14ac:dyDescent="0.2">
      <c r="B55" s="78"/>
      <c r="C55" s="79"/>
      <c r="D55" s="80"/>
      <c r="E55" s="75"/>
      <c r="F55" s="75"/>
      <c r="G55" s="75"/>
      <c r="H55" s="75"/>
      <c r="I55" s="77"/>
      <c r="J55" s="77"/>
    </row>
    <row r="56" spans="2:10" x14ac:dyDescent="0.2">
      <c r="B56" s="78"/>
      <c r="C56" s="75"/>
      <c r="D56" s="80"/>
      <c r="E56" s="75"/>
      <c r="F56" s="75"/>
      <c r="G56" s="75"/>
      <c r="H56" s="75"/>
      <c r="I56" s="77"/>
      <c r="J56" s="77"/>
    </row>
    <row r="57" spans="2:10" x14ac:dyDescent="0.2">
      <c r="B57" s="78"/>
      <c r="C57" s="79" t="s">
        <v>49</v>
      </c>
      <c r="D57" s="75"/>
      <c r="E57" s="75"/>
      <c r="F57" s="75"/>
      <c r="G57" s="75"/>
      <c r="H57" s="75"/>
      <c r="I57" s="77"/>
      <c r="J57" s="77"/>
    </row>
    <row r="58" spans="2:10" x14ac:dyDescent="0.2">
      <c r="B58" s="78"/>
      <c r="C58" s="82"/>
      <c r="D58" s="80" t="s">
        <v>98</v>
      </c>
      <c r="E58" s="75"/>
      <c r="F58" s="75"/>
      <c r="G58" s="75"/>
      <c r="H58" s="75"/>
      <c r="I58" s="77"/>
      <c r="J58" s="77"/>
    </row>
    <row r="59" spans="2:10" x14ac:dyDescent="0.2">
      <c r="B59" s="78"/>
      <c r="C59" s="82"/>
      <c r="D59" s="80" t="s">
        <v>51</v>
      </c>
      <c r="E59" s="75"/>
      <c r="F59" s="75"/>
      <c r="G59" s="75"/>
      <c r="H59" s="75"/>
      <c r="I59" s="77"/>
      <c r="J59" s="77"/>
    </row>
    <row r="60" spans="2:10" x14ac:dyDescent="0.2">
      <c r="B60" s="78"/>
      <c r="C60" s="82"/>
      <c r="D60" s="75"/>
      <c r="E60" s="75"/>
      <c r="F60" s="75"/>
      <c r="G60" s="75"/>
      <c r="H60" s="75"/>
      <c r="I60" s="77"/>
      <c r="J60" s="77"/>
    </row>
    <row r="61" spans="2:10" x14ac:dyDescent="0.2">
      <c r="B61" s="78"/>
      <c r="C61" s="79" t="s">
        <v>66</v>
      </c>
      <c r="D61" s="80" t="s">
        <v>80</v>
      </c>
      <c r="E61" s="75"/>
      <c r="F61" s="75"/>
      <c r="G61" s="75"/>
      <c r="H61" s="75"/>
      <c r="I61" s="77"/>
      <c r="J61" s="77"/>
    </row>
    <row r="62" spans="2:10" x14ac:dyDescent="0.2">
      <c r="B62" s="78"/>
      <c r="C62" s="79" t="s">
        <v>67</v>
      </c>
      <c r="D62" s="80" t="s">
        <v>99</v>
      </c>
      <c r="E62" s="75"/>
      <c r="F62" s="75"/>
      <c r="G62" s="75"/>
      <c r="H62" s="75"/>
      <c r="I62" s="77"/>
      <c r="J62" s="77"/>
    </row>
    <row r="63" spans="2:10" ht="13.5" thickBot="1" x14ac:dyDescent="0.25">
      <c r="B63" s="83"/>
      <c r="C63" s="84" t="s">
        <v>50</v>
      </c>
      <c r="D63" s="85"/>
      <c r="E63" s="85"/>
      <c r="F63" s="85"/>
      <c r="G63" s="85"/>
      <c r="H63" s="85"/>
      <c r="I63" s="86"/>
      <c r="J63" s="86"/>
    </row>
    <row r="64" spans="2:10" ht="13.5" thickBot="1" x14ac:dyDescent="0.25"/>
    <row r="65" spans="2:10" x14ac:dyDescent="0.2">
      <c r="B65" s="72"/>
      <c r="C65" s="73"/>
      <c r="D65" s="101"/>
      <c r="E65" s="73"/>
      <c r="F65" s="73"/>
      <c r="G65" s="73"/>
      <c r="H65" s="73"/>
      <c r="I65" s="74"/>
      <c r="J65" s="74"/>
    </row>
    <row r="66" spans="2:10" x14ac:dyDescent="0.2">
      <c r="B66" s="76" t="s">
        <v>83</v>
      </c>
      <c r="C66" s="75"/>
      <c r="D66" s="81"/>
      <c r="E66" s="75"/>
      <c r="F66" s="75"/>
      <c r="G66" s="75"/>
      <c r="H66" s="75"/>
      <c r="I66" s="77"/>
      <c r="J66" s="77"/>
    </row>
    <row r="67" spans="2:10" x14ac:dyDescent="0.2">
      <c r="B67" s="76"/>
      <c r="C67" s="75"/>
      <c r="D67" s="81"/>
      <c r="E67" s="75"/>
      <c r="F67" s="75"/>
      <c r="G67" s="75"/>
      <c r="H67" s="75"/>
      <c r="I67" s="77"/>
      <c r="J67" s="77"/>
    </row>
    <row r="68" spans="2:10" x14ac:dyDescent="0.2">
      <c r="B68" s="76"/>
      <c r="C68" s="79" t="s">
        <v>48</v>
      </c>
      <c r="D68" s="81"/>
      <c r="E68" s="75"/>
      <c r="F68" s="75"/>
      <c r="G68" s="75"/>
      <c r="H68" s="75"/>
      <c r="I68" s="77"/>
      <c r="J68" s="77"/>
    </row>
    <row r="69" spans="2:10" x14ac:dyDescent="0.2">
      <c r="B69" s="78"/>
      <c r="C69" s="79"/>
      <c r="D69" s="80" t="s">
        <v>54</v>
      </c>
      <c r="E69" s="75"/>
      <c r="F69" s="75"/>
      <c r="G69" s="75"/>
      <c r="H69" s="75"/>
      <c r="I69" s="77"/>
      <c r="J69" s="77"/>
    </row>
    <row r="70" spans="2:10" x14ac:dyDescent="0.2">
      <c r="B70" s="78"/>
      <c r="C70" s="75"/>
      <c r="D70" s="81"/>
      <c r="E70" s="75"/>
      <c r="F70" s="75"/>
      <c r="G70" s="75"/>
      <c r="H70" s="75"/>
      <c r="I70" s="77"/>
      <c r="J70" s="77"/>
    </row>
    <row r="71" spans="2:10" x14ac:dyDescent="0.2">
      <c r="B71" s="78"/>
      <c r="C71" s="79"/>
      <c r="D71" s="80"/>
      <c r="E71" s="75"/>
      <c r="F71" s="75"/>
      <c r="G71" s="75"/>
      <c r="H71" s="75"/>
      <c r="I71" s="77"/>
      <c r="J71" s="77"/>
    </row>
    <row r="72" spans="2:10" x14ac:dyDescent="0.2">
      <c r="B72" s="78"/>
      <c r="C72" s="75"/>
      <c r="D72" s="80"/>
      <c r="E72" s="75"/>
      <c r="F72" s="75"/>
      <c r="G72" s="75"/>
      <c r="H72" s="75"/>
      <c r="I72" s="77"/>
      <c r="J72" s="77"/>
    </row>
    <row r="73" spans="2:10" x14ac:dyDescent="0.2">
      <c r="B73" s="78"/>
      <c r="C73" s="79" t="s">
        <v>49</v>
      </c>
      <c r="D73" s="75"/>
      <c r="E73" s="75"/>
      <c r="F73" s="75"/>
      <c r="G73" s="75"/>
      <c r="H73" s="75"/>
      <c r="I73" s="77"/>
      <c r="J73" s="77"/>
    </row>
    <row r="74" spans="2:10" x14ac:dyDescent="0.2">
      <c r="B74" s="78"/>
      <c r="C74" s="82"/>
      <c r="D74" s="80" t="s">
        <v>98</v>
      </c>
      <c r="E74" s="75"/>
      <c r="F74" s="75"/>
      <c r="G74" s="75"/>
      <c r="H74" s="75"/>
      <c r="I74" s="77"/>
      <c r="J74" s="77"/>
    </row>
    <row r="75" spans="2:10" x14ac:dyDescent="0.2">
      <c r="B75" s="78"/>
      <c r="C75" s="82"/>
      <c r="D75" s="80" t="s">
        <v>51</v>
      </c>
      <c r="E75" s="75"/>
      <c r="F75" s="75"/>
      <c r="G75" s="75"/>
      <c r="H75" s="75"/>
      <c r="I75" s="77"/>
      <c r="J75" s="77"/>
    </row>
    <row r="76" spans="2:10" x14ac:dyDescent="0.2">
      <c r="B76" s="78"/>
      <c r="C76" s="82"/>
      <c r="D76" s="75"/>
      <c r="E76" s="75"/>
      <c r="F76" s="75"/>
      <c r="G76" s="75"/>
      <c r="H76" s="75"/>
      <c r="I76" s="77"/>
      <c r="J76" s="77"/>
    </row>
    <row r="77" spans="2:10" x14ac:dyDescent="0.2">
      <c r="B77" s="78"/>
      <c r="C77" s="79" t="s">
        <v>66</v>
      </c>
      <c r="D77" s="80" t="s">
        <v>54</v>
      </c>
      <c r="E77" s="75"/>
      <c r="F77" s="75"/>
      <c r="G77" s="75"/>
      <c r="H77" s="75"/>
      <c r="I77" s="77"/>
      <c r="J77" s="77"/>
    </row>
    <row r="78" spans="2:10" x14ac:dyDescent="0.2">
      <c r="B78" s="78"/>
      <c r="C78" s="79" t="s">
        <v>67</v>
      </c>
      <c r="D78" s="80" t="s">
        <v>99</v>
      </c>
      <c r="E78" s="75"/>
      <c r="F78" s="75"/>
      <c r="G78" s="75"/>
      <c r="H78" s="75"/>
      <c r="I78" s="77"/>
      <c r="J78" s="77"/>
    </row>
    <row r="79" spans="2:10" ht="13.5" thickBot="1" x14ac:dyDescent="0.25">
      <c r="B79" s="83"/>
      <c r="C79" s="84" t="s">
        <v>50</v>
      </c>
      <c r="D79" s="85"/>
      <c r="E79" s="85"/>
      <c r="F79" s="85"/>
      <c r="G79" s="85"/>
      <c r="H79" s="85"/>
      <c r="I79" s="86"/>
      <c r="J79" s="86"/>
    </row>
    <row r="80" spans="2:10" ht="13.5" thickBot="1" x14ac:dyDescent="0.25"/>
    <row r="81" spans="2:10" x14ac:dyDescent="0.2">
      <c r="B81" s="72"/>
      <c r="C81" s="73"/>
      <c r="D81" s="101"/>
      <c r="E81" s="73"/>
      <c r="F81" s="73"/>
      <c r="G81" s="73"/>
      <c r="H81" s="73"/>
      <c r="I81" s="74"/>
      <c r="J81" s="74"/>
    </row>
    <row r="82" spans="2:10" x14ac:dyDescent="0.2">
      <c r="B82" s="76" t="s">
        <v>84</v>
      </c>
      <c r="C82" s="75"/>
      <c r="D82" s="81"/>
      <c r="E82" s="75"/>
      <c r="F82" s="75"/>
      <c r="G82" s="75"/>
      <c r="H82" s="75"/>
      <c r="I82" s="77"/>
      <c r="J82" s="77"/>
    </row>
    <row r="83" spans="2:10" x14ac:dyDescent="0.2">
      <c r="B83" s="76"/>
      <c r="C83" s="75"/>
      <c r="D83" s="81"/>
      <c r="E83" s="75"/>
      <c r="F83" s="75"/>
      <c r="G83" s="75"/>
      <c r="H83" s="75"/>
      <c r="I83" s="77"/>
      <c r="J83" s="77"/>
    </row>
    <row r="84" spans="2:10" x14ac:dyDescent="0.2">
      <c r="B84" s="76"/>
      <c r="C84" s="79" t="s">
        <v>48</v>
      </c>
      <c r="D84" s="81"/>
      <c r="E84" s="75"/>
      <c r="F84" s="75"/>
      <c r="G84" s="75"/>
      <c r="H84" s="75"/>
      <c r="I84" s="77"/>
      <c r="J84" s="77"/>
    </row>
    <row r="85" spans="2:10" x14ac:dyDescent="0.2">
      <c r="B85" s="78"/>
      <c r="C85" s="79"/>
      <c r="D85" s="80" t="s">
        <v>54</v>
      </c>
      <c r="E85" s="75"/>
      <c r="F85" s="75"/>
      <c r="G85" s="75"/>
      <c r="H85" s="75"/>
      <c r="I85" s="77"/>
      <c r="J85" s="77"/>
    </row>
    <row r="86" spans="2:10" x14ac:dyDescent="0.2">
      <c r="B86" s="78"/>
      <c r="C86" s="75"/>
      <c r="D86" s="81"/>
      <c r="E86" s="75"/>
      <c r="F86" s="75"/>
      <c r="G86" s="75"/>
      <c r="H86" s="75"/>
      <c r="I86" s="77"/>
      <c r="J86" s="77"/>
    </row>
    <row r="87" spans="2:10" x14ac:dyDescent="0.2">
      <c r="B87" s="78"/>
      <c r="C87" s="79"/>
      <c r="D87" s="80"/>
      <c r="E87" s="75"/>
      <c r="F87" s="75"/>
      <c r="G87" s="75"/>
      <c r="H87" s="75"/>
      <c r="I87" s="77"/>
      <c r="J87" s="77"/>
    </row>
    <row r="88" spans="2:10" x14ac:dyDescent="0.2">
      <c r="B88" s="78"/>
      <c r="C88" s="75"/>
      <c r="D88" s="80"/>
      <c r="E88" s="75"/>
      <c r="F88" s="75"/>
      <c r="G88" s="75"/>
      <c r="H88" s="75"/>
      <c r="I88" s="77"/>
      <c r="J88" s="77"/>
    </row>
    <row r="89" spans="2:10" x14ac:dyDescent="0.2">
      <c r="B89" s="78"/>
      <c r="C89" s="79" t="s">
        <v>49</v>
      </c>
      <c r="D89" s="75"/>
      <c r="E89" s="75"/>
      <c r="F89" s="75"/>
      <c r="G89" s="75"/>
      <c r="H89" s="75"/>
      <c r="I89" s="77"/>
      <c r="J89" s="77"/>
    </row>
    <row r="90" spans="2:10" x14ac:dyDescent="0.2">
      <c r="B90" s="78"/>
      <c r="C90" s="82"/>
      <c r="D90" s="80" t="s">
        <v>98</v>
      </c>
      <c r="E90" s="75"/>
      <c r="F90" s="75"/>
      <c r="G90" s="75"/>
      <c r="H90" s="75"/>
      <c r="I90" s="77"/>
      <c r="J90" s="77"/>
    </row>
    <row r="91" spans="2:10" x14ac:dyDescent="0.2">
      <c r="B91" s="78"/>
      <c r="C91" s="82"/>
      <c r="D91" s="80" t="s">
        <v>51</v>
      </c>
      <c r="E91" s="75"/>
      <c r="F91" s="75"/>
      <c r="G91" s="75"/>
      <c r="H91" s="75"/>
      <c r="I91" s="77"/>
      <c r="J91" s="77"/>
    </row>
    <row r="92" spans="2:10" x14ac:dyDescent="0.2">
      <c r="B92" s="78"/>
      <c r="C92" s="82"/>
      <c r="D92" s="75"/>
      <c r="E92" s="75"/>
      <c r="F92" s="75"/>
      <c r="G92" s="75"/>
      <c r="H92" s="75"/>
      <c r="I92" s="77"/>
      <c r="J92" s="77"/>
    </row>
    <row r="93" spans="2:10" x14ac:dyDescent="0.2">
      <c r="B93" s="78"/>
      <c r="C93" s="79" t="s">
        <v>66</v>
      </c>
      <c r="D93" s="80" t="s">
        <v>54</v>
      </c>
      <c r="E93" s="75"/>
      <c r="F93" s="75"/>
      <c r="G93" s="75"/>
      <c r="H93" s="75"/>
      <c r="I93" s="77"/>
      <c r="J93" s="77"/>
    </row>
    <row r="94" spans="2:10" x14ac:dyDescent="0.2">
      <c r="B94" s="78"/>
      <c r="C94" s="79" t="s">
        <v>67</v>
      </c>
      <c r="D94" s="80" t="s">
        <v>99</v>
      </c>
      <c r="E94" s="75"/>
      <c r="F94" s="75"/>
      <c r="G94" s="75"/>
      <c r="H94" s="75"/>
      <c r="I94" s="77"/>
      <c r="J94" s="77"/>
    </row>
    <row r="95" spans="2:10" ht="13.5" thickBot="1" x14ac:dyDescent="0.25">
      <c r="B95" s="83"/>
      <c r="C95" s="84" t="s">
        <v>50</v>
      </c>
      <c r="D95" s="85"/>
      <c r="E95" s="85"/>
      <c r="F95" s="85"/>
      <c r="G95" s="85"/>
      <c r="H95" s="85"/>
      <c r="I95" s="86"/>
      <c r="J95" s="86"/>
    </row>
  </sheetData>
  <mergeCells count="3">
    <mergeCell ref="B2:I2"/>
    <mergeCell ref="D36:H37"/>
    <mergeCell ref="N12:R12"/>
  </mergeCells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 NotaPedido</vt:lpstr>
      <vt:lpstr>Autor Gastar</vt:lpstr>
      <vt:lpstr>Necesidades Trimestrales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ELIAS QUINTAR</cp:lastModifiedBy>
  <cp:revision>3</cp:revision>
  <cp:lastPrinted>2022-03-22T14:16:32Z</cp:lastPrinted>
  <dcterms:created xsi:type="dcterms:W3CDTF">2020-07-17T23:44:49Z</dcterms:created>
  <dcterms:modified xsi:type="dcterms:W3CDTF">2022-03-25T13:00:51Z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