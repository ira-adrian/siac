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BD13BC99-7C65-4604-809A-2C789321BEEC}" xr6:coauthVersionLast="46" xr6:coauthVersionMax="46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Trimestrales'!$A$9:$I$16</definedName>
    <definedName name="_xlnm.Print_Area" localSheetId="1">' NotaPedido'!$A$1:$K$19</definedName>
    <definedName name="_xlnm.Print_Area" localSheetId="2">'Autor Gastar'!$A$1:$Q$25</definedName>
    <definedName name="_xlnm.Print_Area" localSheetId="0">'Necesidades Trimestrales'!$E$9:$E$16</definedName>
  </definedNames>
  <calcPr calcId="181029"/>
</workbook>
</file>

<file path=xl/calcChain.xml><?xml version="1.0" encoding="utf-8"?>
<calcChain xmlns="http://schemas.openxmlformats.org/spreadsheetml/2006/main">
  <c r="I18" i="2" l="1"/>
  <c r="J18" i="2"/>
  <c r="K18" i="2"/>
  <c r="K13" i="2"/>
  <c r="K14" i="2"/>
  <c r="K15" i="2"/>
  <c r="K16" i="2"/>
  <c r="K17" i="2"/>
  <c r="J13" i="2"/>
  <c r="J14" i="2"/>
  <c r="J15" i="2"/>
  <c r="J16" i="2"/>
  <c r="J17" i="2"/>
  <c r="I13" i="2"/>
  <c r="I14" i="2"/>
  <c r="I15" i="2"/>
  <c r="I16" i="2"/>
  <c r="I17" i="2"/>
  <c r="C13" i="2"/>
  <c r="C14" i="2"/>
  <c r="C15" i="2"/>
  <c r="C16" i="2"/>
  <c r="C17" i="2"/>
  <c r="C18" i="2"/>
  <c r="K12" i="2" l="1"/>
  <c r="J12" i="2"/>
  <c r="I12" i="2"/>
  <c r="C12" i="2"/>
  <c r="I11" i="1"/>
  <c r="I12" i="1"/>
  <c r="I13" i="1"/>
  <c r="I14" i="1"/>
  <c r="I15" i="1"/>
  <c r="I16" i="1"/>
  <c r="I10" i="1"/>
  <c r="A10" i="3" l="1"/>
  <c r="G6" i="3" l="1"/>
  <c r="D7" i="2"/>
  <c r="D3" i="2"/>
  <c r="G4" i="3" s="1"/>
  <c r="D4" i="2"/>
  <c r="G5" i="3" s="1"/>
  <c r="D1" i="3" l="1"/>
  <c r="J19" i="2" l="1"/>
  <c r="Q21" i="3"/>
</calcChain>
</file>

<file path=xl/sharedStrings.xml><?xml version="1.0" encoding="utf-8"?>
<sst xmlns="http://schemas.openxmlformats.org/spreadsheetml/2006/main" count="101" uniqueCount="78">
  <si>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</si>
  <si>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</si>
  <si>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</si>
  <si>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</si>
  <si>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</si>
  <si>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</si>
  <si>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</si>
  <si>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</si>
  <si>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</si>
  <si>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</si>
  <si>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</si>
  <si>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</si>
  <si>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</si>
  <si>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</si>
  <si>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</si>
  <si>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</si>
  <si>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</si>
  <si>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</si>
  <si>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</si>
  <si>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</si>
  <si>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</si>
  <si>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</si>
  <si>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</si>
  <si>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</si>
  <si>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</si>
  <si>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</si>
  <si>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</si>
  <si>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</si>
  <si>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</si>
  <si>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</si>
  <si>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</si>
  <si>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</si>
  <si>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</si>
  <si>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</si>
  <si>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</si>
  <si>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</si>
  <si>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</si>
  <si>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</si>
  <si>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</si>
  <si>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</si>
  <si>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</si>
  <si>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</si>
  <si>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</si>
  <si>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</si>
  <si>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</si>
  <si>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</si>
  <si>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</si>
  <si>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</si>
  <si>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</si>
  <si>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</si>
  <si>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</si>
  <si>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</si>
  <si>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</si>
  <si>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</si>
  <si>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</si>
  <si>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</si>
  <si>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UNIDAD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</si>
  <si>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</si>
  <si>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</si>
  <si>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r>
      <t>Mantenimiento</t>
    </r>
    <r>
      <rPr>
        <sz val="10"/>
        <rFont val="Times New Roman"/>
        <family val="1"/>
      </rPr>
      <t xml:space="preserve">: 45 dias habiles </t>
    </r>
  </si>
  <si>
    <t>CAJA</t>
  </si>
  <si>
    <t xml:space="preserve">Pipetas Pasteur descartables estériles x 3 ml </t>
  </si>
  <si>
    <t>Tubos plásticos cónicos con tapa a rosca x 15 ml</t>
  </si>
  <si>
    <t>Portaobjetos bordes sin pulir x 50u</t>
  </si>
  <si>
    <t>PLACAS DE PETRI DESCARTABLES 90X15mm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</si>
  <si>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</si>
  <si>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t>Servicio de Laboratorio</t>
  </si>
  <si>
    <t>065/2021</t>
  </si>
  <si>
    <t>PAPEL P/CONTADOR MINDRAY BC3000 PLUS X6</t>
  </si>
  <si>
    <t>PAQUETE</t>
  </si>
  <si>
    <t>Descartables de Laboratorio</t>
  </si>
  <si>
    <t>TOTAL DE PESOS: CIENTO TRECE MIL OCHOCIENTOS SETENTA Y SEIS CON 00/100.</t>
  </si>
  <si>
    <t>Para la adquisición de Descartables destinados al Servicio de Laboratorio del Hospital Interzonal de Niños Eva Peron, para el normal funcionamiento del organismo.</t>
  </si>
  <si>
    <t>PROD. MEDICO/FARMACEUTICOS/LAB</t>
  </si>
  <si>
    <t>Utiles Menores Medico, Quirurgico y de Laboratorio.</t>
  </si>
  <si>
    <t>Costo total estimado: Ciento Trece Mil Ochocientos Setenta y Seis Con 00/100.</t>
  </si>
  <si>
    <t>AMPOULE ADAPTER X 150 UNID. P/COBAS B221</t>
  </si>
  <si>
    <t>cubreobjetos 18 x 18 MM. X 100 UNID.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</si>
</sst>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#,##0.00;\-&quot;$&quot;#,##0.00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  <numFmt numFmtId="171" formatCode="&quot;$&quot;#,##0.00"/>
  </numFmts>
  <fonts count="2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166" fontId="16" fillId="0" borderId="0" applyBorder="0" applyProtection="0"/>
    <xf numFmtId="0" fontId="3" fillId="0" borderId="1" applyProtection="0"/>
    <xf numFmtId="165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</cellStyleXfs>
  <cellXfs count="17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0" xfId="0" applyFont="1" applyBorder="1"/>
    <xf numFmtId="167" fontId="17" fillId="0" borderId="0" xfId="0" applyNumberFormat="1" applyFont="1"/>
    <xf numFmtId="0" fontId="7" fillId="3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4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6" fillId="3" borderId="4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7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8" fontId="17" fillId="0" borderId="0" xfId="0" applyNumberFormat="1" applyFont="1"/>
    <xf numFmtId="170" fontId="22" fillId="0" borderId="0" xfId="0" applyNumberFormat="1" applyFont="1"/>
    <xf numFmtId="170" fontId="23" fillId="0" borderId="0" xfId="0" applyNumberFormat="1" applyFont="1" applyAlignment="1">
      <alignment horizontal="left" wrapText="1"/>
    </xf>
    <xf numFmtId="168" fontId="4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7" fontId="0" fillId="0" borderId="53" xfId="3" applyNumberFormat="1" applyFont="1" applyBorder="1" applyAlignment="1" applyProtection="1">
      <alignment horizontal="center" vertical="center"/>
    </xf>
    <xf numFmtId="0" fontId="16" fillId="0" borderId="32" xfId="0" applyFont="1" applyBorder="1" applyAlignment="1">
      <alignment horizontal="center" vertical="center"/>
    </xf>
    <xf numFmtId="167" fontId="22" fillId="4" borderId="58" xfId="1" applyNumberFormat="1" applyFont="1" applyFill="1" applyBorder="1" applyAlignment="1" applyProtection="1">
      <alignment horizontal="right" vertical="center" wrapText="1"/>
    </xf>
    <xf numFmtId="167" fontId="22" fillId="4" borderId="60" xfId="1" applyNumberFormat="1" applyFont="1" applyFill="1" applyBorder="1" applyAlignment="1" applyProtection="1">
      <alignment horizontal="right" vertical="center" wrapText="1"/>
    </xf>
    <xf numFmtId="0" fontId="6" fillId="3" borderId="57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left" vertical="center"/>
    </xf>
    <xf numFmtId="3" fontId="6" fillId="3" borderId="58" xfId="0" applyNumberFormat="1" applyFont="1" applyFill="1" applyBorder="1" applyAlignment="1">
      <alignment horizontal="center" vertical="center"/>
    </xf>
    <xf numFmtId="167" fontId="6" fillId="3" borderId="56" xfId="1" applyNumberFormat="1" applyFont="1" applyFill="1" applyBorder="1" applyAlignment="1" applyProtection="1">
      <alignment horizontal="right" vertical="center" wrapText="1"/>
    </xf>
    <xf numFmtId="0" fontId="6" fillId="4" borderId="56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70" fontId="26" fillId="0" borderId="16" xfId="0" applyNumberFormat="1" applyFont="1" applyBorder="1" applyAlignment="1">
      <alignment horizontal="center" vertical="center" wrapText="1"/>
    </xf>
    <xf numFmtId="167" fontId="22" fillId="4" borderId="3" xfId="1" applyNumberFormat="1" applyFont="1" applyFill="1" applyBorder="1" applyAlignment="1" applyProtection="1">
      <alignment horizontal="right" vertical="center" wrapText="1"/>
    </xf>
    <xf numFmtId="0" fontId="24" fillId="0" borderId="4" xfId="0" applyFont="1" applyBorder="1" applyAlignment="1">
      <alignment horizontal="left" indent="3"/>
    </xf>
    <xf numFmtId="0" fontId="28" fillId="3" borderId="56" xfId="0" applyFont="1" applyFill="1" applyBorder="1" applyAlignment="1">
      <alignment horizontal="center" vertical="center" wrapText="1"/>
    </xf>
    <xf numFmtId="3" fontId="0" fillId="3" borderId="56" xfId="0" applyNumberFormat="1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0" fillId="3" borderId="2" xfId="0" applyFill="1" applyBorder="1"/>
    <xf numFmtId="0" fontId="16" fillId="3" borderId="2" xfId="0" applyFont="1" applyFill="1" applyBorder="1" applyAlignment="1">
      <alignment wrapText="1"/>
    </xf>
    <xf numFmtId="0" fontId="23" fillId="3" borderId="2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/>
    </xf>
    <xf numFmtId="0" fontId="0" fillId="3" borderId="56" xfId="0" applyFill="1" applyBorder="1"/>
    <xf numFmtId="0" fontId="16" fillId="3" borderId="56" xfId="0" applyFont="1" applyFill="1" applyBorder="1" applyAlignment="1">
      <alignment wrapText="1"/>
    </xf>
    <xf numFmtId="0" fontId="23" fillId="3" borderId="56" xfId="0" applyFont="1" applyFill="1" applyBorder="1" applyAlignment="1">
      <alignment horizontal="center" vertical="center" wrapText="1"/>
    </xf>
    <xf numFmtId="0" fontId="22" fillId="3" borderId="61" xfId="0" applyFont="1" applyFill="1" applyBorder="1" applyAlignment="1">
      <alignment horizontal="center" vertical="center"/>
    </xf>
    <xf numFmtId="0" fontId="0" fillId="3" borderId="59" xfId="0" applyFill="1" applyBorder="1"/>
    <xf numFmtId="0" fontId="16" fillId="3" borderId="59" xfId="0" applyFont="1" applyFill="1" applyBorder="1" applyAlignment="1">
      <alignment wrapText="1"/>
    </xf>
    <xf numFmtId="0" fontId="23" fillId="3" borderId="59" xfId="0" applyFont="1" applyFill="1" applyBorder="1" applyAlignment="1">
      <alignment horizontal="center" vertical="center" wrapText="1"/>
    </xf>
    <xf numFmtId="0" fontId="0" fillId="3" borderId="56" xfId="0" applyFont="1" applyFill="1" applyBorder="1" applyAlignment="1">
      <alignment horizontal="center" vertical="center"/>
    </xf>
    <xf numFmtId="0" fontId="28" fillId="3" borderId="56" xfId="5" applyFont="1" applyFill="1" applyBorder="1" applyAlignment="1">
      <alignment horizontal="center" vertical="center"/>
    </xf>
    <xf numFmtId="0" fontId="24" fillId="0" borderId="9" xfId="0" applyFont="1" applyBorder="1" applyAlignment="1"/>
    <xf numFmtId="0" fontId="17" fillId="0" borderId="10" xfId="0" applyFont="1" applyBorder="1" applyAlignment="1">
      <alignment horizontal="center" wrapText="1"/>
    </xf>
    <xf numFmtId="0" fontId="17" fillId="0" borderId="10" xfId="0" applyFont="1" applyFill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6" fillId="3" borderId="61" xfId="0" applyFont="1" applyFill="1" applyBorder="1" applyAlignment="1">
      <alignment horizontal="center" vertical="center"/>
    </xf>
    <xf numFmtId="0" fontId="6" fillId="3" borderId="59" xfId="0" applyFont="1" applyFill="1" applyBorder="1" applyAlignment="1">
      <alignment horizontal="left" vertical="center"/>
    </xf>
    <xf numFmtId="0" fontId="6" fillId="4" borderId="59" xfId="0" applyFont="1" applyFill="1" applyBorder="1" applyAlignment="1">
      <alignment horizontal="center" vertical="center"/>
    </xf>
    <xf numFmtId="0" fontId="6" fillId="3" borderId="59" xfId="0" applyFont="1" applyFill="1" applyBorder="1" applyAlignment="1">
      <alignment horizontal="center" vertical="center" wrapText="1"/>
    </xf>
    <xf numFmtId="167" fontId="6" fillId="3" borderId="59" xfId="1" applyNumberFormat="1" applyFont="1" applyFill="1" applyBorder="1" applyAlignment="1" applyProtection="1">
      <alignment horizontal="right" vertical="center" wrapText="1"/>
    </xf>
    <xf numFmtId="3" fontId="6" fillId="3" borderId="60" xfId="0" applyNumberFormat="1" applyFont="1" applyFill="1" applyBorder="1" applyAlignment="1">
      <alignment horizontal="center" vertical="center"/>
    </xf>
    <xf numFmtId="0" fontId="6" fillId="4" borderId="62" xfId="0" applyFont="1" applyFill="1" applyBorder="1" applyAlignment="1">
      <alignment horizontal="center" vertical="center"/>
    </xf>
    <xf numFmtId="0" fontId="6" fillId="3" borderId="62" xfId="0" applyFont="1" applyFill="1" applyBorder="1" applyAlignment="1">
      <alignment horizontal="center" vertical="center" wrapText="1"/>
    </xf>
    <xf numFmtId="167" fontId="6" fillId="3" borderId="62" xfId="1" applyNumberFormat="1" applyFont="1" applyFill="1" applyBorder="1" applyAlignment="1" applyProtection="1">
      <alignment horizontal="right" vertical="center" wrapText="1"/>
    </xf>
    <xf numFmtId="171" fontId="0" fillId="3" borderId="56" xfId="1" applyNumberFormat="1" applyFont="1" applyFill="1" applyBorder="1" applyAlignment="1">
      <alignment horizontal="right" vertical="center"/>
    </xf>
    <xf numFmtId="171" fontId="0" fillId="3" borderId="56" xfId="0" applyNumberFormat="1" applyFont="1" applyFill="1" applyBorder="1" applyAlignment="1">
      <alignment horizontal="right" vertical="center"/>
    </xf>
    <xf numFmtId="171" fontId="28" fillId="3" borderId="56" xfId="1" applyNumberFormat="1" applyFont="1" applyFill="1" applyBorder="1" applyAlignment="1">
      <alignment horizontal="right" vertical="center"/>
    </xf>
    <xf numFmtId="164" fontId="0" fillId="3" borderId="59" xfId="1" applyNumberFormat="1" applyFont="1" applyFill="1" applyBorder="1" applyAlignment="1">
      <alignment horizontal="right" vertical="center"/>
    </xf>
    <xf numFmtId="0" fontId="0" fillId="3" borderId="56" xfId="0" applyFont="1" applyFill="1" applyBorder="1" applyAlignment="1">
      <alignment vertical="center"/>
    </xf>
    <xf numFmtId="0" fontId="0" fillId="3" borderId="56" xfId="0" applyFont="1" applyFill="1" applyBorder="1" applyAlignment="1">
      <alignment horizontal="left" vertical="center"/>
    </xf>
    <xf numFmtId="0" fontId="0" fillId="3" borderId="56" xfId="0" applyFill="1" applyBorder="1" applyAlignment="1">
      <alignment vertical="center"/>
    </xf>
    <xf numFmtId="0" fontId="28" fillId="3" borderId="56" xfId="5" applyFont="1" applyFill="1" applyBorder="1" applyAlignment="1">
      <alignment vertical="center"/>
    </xf>
    <xf numFmtId="0" fontId="28" fillId="3" borderId="59" xfId="5" applyFont="1" applyFill="1" applyBorder="1" applyAlignment="1">
      <alignment vertical="center"/>
    </xf>
    <xf numFmtId="1" fontId="28" fillId="3" borderId="56" xfId="1" applyNumberFormat="1" applyFont="1" applyFill="1" applyBorder="1" applyAlignment="1">
      <alignment horizontal="center" vertical="center"/>
    </xf>
    <xf numFmtId="0" fontId="28" fillId="3" borderId="59" xfId="5" applyFont="1" applyFill="1" applyBorder="1" applyAlignment="1">
      <alignment horizontal="center" vertical="center"/>
    </xf>
    <xf numFmtId="0" fontId="0" fillId="0" borderId="59" xfId="0" applyFont="1" applyBorder="1" applyAlignment="1">
      <alignment horizontal="center" vertical="center"/>
    </xf>
    <xf numFmtId="0" fontId="16" fillId="3" borderId="56" xfId="0" applyFont="1" applyFill="1" applyBorder="1" applyAlignment="1">
      <alignment vertical="center"/>
    </xf>
    <xf numFmtId="0" fontId="19" fillId="0" borderId="0" xfId="0" applyFont="1" applyBorder="1" applyAlignment="1">
      <alignment horizontal="left" vertical="center" wrapText="1"/>
    </xf>
    <xf numFmtId="0" fontId="17" fillId="4" borderId="7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7" fillId="3" borderId="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 indent="1"/>
    </xf>
    <xf numFmtId="0" fontId="9" fillId="3" borderId="17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left" vertical="center" wrapText="1" indent="1"/>
    </xf>
    <xf numFmtId="0" fontId="10" fillId="3" borderId="1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/>
    </xf>
    <xf numFmtId="168" fontId="9" fillId="3" borderId="1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62" xfId="0" applyFont="1" applyFill="1" applyBorder="1" applyAlignment="1">
      <alignment horizontal="left" vertical="center" wrapText="1"/>
    </xf>
    <xf numFmtId="0" fontId="6" fillId="3" borderId="56" xfId="0" applyFont="1" applyFill="1" applyBorder="1" applyAlignment="1">
      <alignment horizontal="left" vertical="center" wrapText="1"/>
    </xf>
    <xf numFmtId="0" fontId="6" fillId="3" borderId="59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  <xf numFmtId="0" fontId="13" fillId="0" borderId="13" xfId="0" applyFont="1" applyBorder="1" applyAlignment="1">
      <alignment horizontal="left" indent="1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27" fillId="0" borderId="30" xfId="0" applyFont="1" applyFill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</cellXfs>
  <cellStyles count="8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23"/>
  <sheetViews>
    <sheetView tabSelected="1" zoomScale="93" zoomScaleNormal="93" workbookViewId="0">
      <selection activeCell="K6" sqref="K6"/>
    </sheetView>
  </sheetViews>
  <sheetFormatPr baseColWidth="10" defaultColWidth="11" defaultRowHeight="12.75" x14ac:dyDescent="0.2"/>
  <cols>
    <col min="1" max="1" width="6.42578125" style="26" customWidth="1"/>
    <col min="2" max="2" width="8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1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23" t="s">
        <v>0</v>
      </c>
      <c r="C2" s="123"/>
      <c r="D2" s="123"/>
      <c r="E2" s="123"/>
      <c r="F2" s="123"/>
      <c r="G2" s="123"/>
      <c r="H2" s="123"/>
    </row>
    <row r="3" spans="1:10" ht="12" customHeight="1" x14ac:dyDescent="0.2"/>
    <row r="4" spans="1:10" ht="18" customHeight="1" x14ac:dyDescent="0.25">
      <c r="A4" s="119" t="s">
        <v>1</v>
      </c>
      <c r="B4" s="119"/>
      <c r="C4" s="124" t="s">
        <v>52</v>
      </c>
      <c r="D4" s="124"/>
      <c r="E4" s="124"/>
      <c r="F4" s="27"/>
      <c r="G4" s="28"/>
      <c r="H4" s="52"/>
    </row>
    <row r="5" spans="1:10" ht="18" customHeight="1" x14ac:dyDescent="0.25">
      <c r="A5" s="119" t="s">
        <v>2</v>
      </c>
      <c r="B5" s="119"/>
      <c r="C5" s="124" t="s">
        <v>51</v>
      </c>
      <c r="D5" s="124"/>
      <c r="E5" s="124"/>
      <c r="F5" s="27"/>
      <c r="G5" s="28" t="s">
        <v>55</v>
      </c>
      <c r="H5" s="52"/>
    </row>
    <row r="6" spans="1:10" ht="16.5" customHeight="1" x14ac:dyDescent="0.25">
      <c r="A6" s="119" t="s">
        <v>3</v>
      </c>
      <c r="B6" s="119"/>
      <c r="C6" s="42">
        <v>2021</v>
      </c>
      <c r="D6" s="43"/>
      <c r="E6" s="43"/>
      <c r="F6" s="27"/>
      <c r="G6" s="28"/>
      <c r="H6" s="52"/>
    </row>
    <row r="7" spans="1:10" ht="16.5" customHeight="1" x14ac:dyDescent="0.25">
      <c r="A7" s="119" t="s">
        <v>4</v>
      </c>
      <c r="B7" s="119"/>
      <c r="C7" s="42">
        <v>2</v>
      </c>
      <c r="D7" s="43"/>
      <c r="E7" s="43"/>
      <c r="F7" s="27"/>
      <c r="G7" s="28"/>
      <c r="H7" s="52"/>
    </row>
    <row r="8" spans="1:10" ht="13.5" thickBot="1" x14ac:dyDescent="0.25">
      <c r="B8" s="27"/>
      <c r="C8" s="28"/>
      <c r="D8" s="27"/>
      <c r="E8" s="27"/>
      <c r="F8" s="27"/>
      <c r="G8" s="28"/>
      <c r="H8" s="52"/>
      <c r="J8" s="50"/>
    </row>
    <row r="9" spans="1:10" ht="36.75" thickBot="1" x14ac:dyDescent="0.25">
      <c r="A9" s="73" t="s">
        <v>5</v>
      </c>
      <c r="B9" s="73" t="s">
        <v>6</v>
      </c>
      <c r="C9" s="73" t="s">
        <v>7</v>
      </c>
      <c r="D9" s="73" t="s">
        <v>8</v>
      </c>
      <c r="E9" s="73" t="s">
        <v>9</v>
      </c>
      <c r="F9" s="73" t="s">
        <v>10</v>
      </c>
      <c r="G9" s="73" t="s">
        <v>11</v>
      </c>
      <c r="H9" s="74" t="s">
        <v>12</v>
      </c>
      <c r="I9" s="73" t="s">
        <v>13</v>
      </c>
    </row>
    <row r="10" spans="1:10" ht="38.25" x14ac:dyDescent="0.2">
      <c r="A10" s="79">
        <v>1</v>
      </c>
      <c r="B10" s="80"/>
      <c r="C10" s="81" t="s">
        <v>73</v>
      </c>
      <c r="D10" s="82">
        <v>295</v>
      </c>
      <c r="E10" s="118" t="s">
        <v>77</v>
      </c>
      <c r="F10" s="91" t="s">
        <v>60</v>
      </c>
      <c r="G10" s="91">
        <v>100</v>
      </c>
      <c r="H10" s="106">
        <v>254.1</v>
      </c>
      <c r="I10" s="75">
        <f>G10*H10</f>
        <v>25410</v>
      </c>
    </row>
    <row r="11" spans="1:10" ht="38.25" x14ac:dyDescent="0.2">
      <c r="A11" s="83">
        <v>2</v>
      </c>
      <c r="B11" s="84"/>
      <c r="C11" s="85" t="s">
        <v>73</v>
      </c>
      <c r="D11" s="86">
        <v>295</v>
      </c>
      <c r="E11" s="110" t="s">
        <v>61</v>
      </c>
      <c r="F11" s="91" t="s">
        <v>56</v>
      </c>
      <c r="G11" s="91">
        <v>500</v>
      </c>
      <c r="H11" s="106">
        <v>4.72</v>
      </c>
      <c r="I11" s="65">
        <f t="shared" ref="I11:I16" si="0">G11*H11</f>
        <v>2360</v>
      </c>
    </row>
    <row r="12" spans="1:10" ht="38.25" x14ac:dyDescent="0.2">
      <c r="A12" s="83">
        <v>3</v>
      </c>
      <c r="B12" s="84"/>
      <c r="C12" s="85" t="s">
        <v>73</v>
      </c>
      <c r="D12" s="86">
        <v>295</v>
      </c>
      <c r="E12" s="110" t="s">
        <v>62</v>
      </c>
      <c r="F12" s="91" t="s">
        <v>56</v>
      </c>
      <c r="G12" s="91">
        <v>300</v>
      </c>
      <c r="H12" s="106">
        <v>29.4</v>
      </c>
      <c r="I12" s="65">
        <f t="shared" si="0"/>
        <v>8820</v>
      </c>
    </row>
    <row r="13" spans="1:10" ht="38.25" x14ac:dyDescent="0.2">
      <c r="A13" s="83">
        <v>4</v>
      </c>
      <c r="B13" s="84"/>
      <c r="C13" s="85" t="s">
        <v>73</v>
      </c>
      <c r="D13" s="86">
        <v>295</v>
      </c>
      <c r="E13" s="111" t="s">
        <v>63</v>
      </c>
      <c r="F13" s="77" t="s">
        <v>60</v>
      </c>
      <c r="G13" s="78">
        <v>50</v>
      </c>
      <c r="H13" s="107">
        <v>169.4</v>
      </c>
      <c r="I13" s="65">
        <f t="shared" si="0"/>
        <v>8470</v>
      </c>
    </row>
    <row r="14" spans="1:10" ht="38.25" x14ac:dyDescent="0.2">
      <c r="A14" s="83">
        <v>5</v>
      </c>
      <c r="B14" s="84"/>
      <c r="C14" s="85" t="s">
        <v>73</v>
      </c>
      <c r="D14" s="86">
        <v>295</v>
      </c>
      <c r="E14" s="112" t="s">
        <v>64</v>
      </c>
      <c r="F14" s="77" t="s">
        <v>56</v>
      </c>
      <c r="G14" s="78">
        <v>1000</v>
      </c>
      <c r="H14" s="107">
        <v>30</v>
      </c>
      <c r="I14" s="65">
        <f t="shared" si="0"/>
        <v>30000</v>
      </c>
    </row>
    <row r="15" spans="1:10" ht="38.25" x14ac:dyDescent="0.2">
      <c r="A15" s="83">
        <v>6</v>
      </c>
      <c r="B15" s="84"/>
      <c r="C15" s="85" t="s">
        <v>73</v>
      </c>
      <c r="D15" s="86">
        <v>295</v>
      </c>
      <c r="E15" s="113" t="s">
        <v>76</v>
      </c>
      <c r="F15" s="92" t="s">
        <v>60</v>
      </c>
      <c r="G15" s="115">
        <v>2</v>
      </c>
      <c r="H15" s="108">
        <v>4780</v>
      </c>
      <c r="I15" s="65">
        <f t="shared" si="0"/>
        <v>9560</v>
      </c>
    </row>
    <row r="16" spans="1:10" ht="39" thickBot="1" x14ac:dyDescent="0.25">
      <c r="A16" s="87">
        <v>7</v>
      </c>
      <c r="B16" s="88"/>
      <c r="C16" s="89" t="s">
        <v>73</v>
      </c>
      <c r="D16" s="90">
        <v>295</v>
      </c>
      <c r="E16" s="114" t="s">
        <v>68</v>
      </c>
      <c r="F16" s="116" t="s">
        <v>69</v>
      </c>
      <c r="G16" s="117">
        <v>12</v>
      </c>
      <c r="H16" s="109">
        <v>2438</v>
      </c>
      <c r="I16" s="66">
        <f t="shared" si="0"/>
        <v>29256</v>
      </c>
    </row>
    <row r="17" spans="2:9" ht="13.5" thickBot="1" x14ac:dyDescent="0.25">
      <c r="I17" s="33"/>
    </row>
    <row r="18" spans="2:9" x14ac:dyDescent="0.2">
      <c r="B18" s="76" t="s">
        <v>57</v>
      </c>
      <c r="C18" s="29"/>
      <c r="D18" s="29"/>
      <c r="E18" s="30"/>
      <c r="I18" s="33"/>
    </row>
    <row r="19" spans="2:9" ht="13.5" customHeight="1" x14ac:dyDescent="0.2">
      <c r="B19" s="120" t="s">
        <v>65</v>
      </c>
      <c r="C19" s="121"/>
      <c r="D19" s="121"/>
      <c r="E19" s="122"/>
    </row>
    <row r="20" spans="2:9" ht="25.5" customHeight="1" x14ac:dyDescent="0.2">
      <c r="B20" s="120"/>
      <c r="C20" s="121"/>
      <c r="D20" s="121"/>
      <c r="E20" s="122"/>
      <c r="F20" s="31"/>
      <c r="G20" s="32"/>
    </row>
    <row r="21" spans="2:9" ht="13.5" customHeight="1" x14ac:dyDescent="0.2">
      <c r="B21" s="120" t="s">
        <v>58</v>
      </c>
      <c r="C21" s="121"/>
      <c r="D21" s="121"/>
      <c r="E21" s="122"/>
      <c r="F21" s="31"/>
      <c r="G21" s="32"/>
    </row>
    <row r="22" spans="2:9" ht="13.5" thickBot="1" x14ac:dyDescent="0.25">
      <c r="B22" s="93" t="s">
        <v>59</v>
      </c>
      <c r="C22" s="94"/>
      <c r="D22" s="95"/>
      <c r="E22" s="96"/>
      <c r="F22" s="31"/>
      <c r="G22" s="32"/>
    </row>
    <row r="23" spans="2:9" ht="12" customHeight="1" x14ac:dyDescent="0.2"/>
  </sheetData>
  <autoFilter ref="A9:I16" xr:uid="{00000000-0009-0000-0000-000000000000}"/>
  <mergeCells count="9">
    <mergeCell ref="A6:B6"/>
    <mergeCell ref="A7:B7"/>
    <mergeCell ref="B19:E20"/>
    <mergeCell ref="B21:E21"/>
    <mergeCell ref="B2:H2"/>
    <mergeCell ref="A4:B4"/>
    <mergeCell ref="C4:E4"/>
    <mergeCell ref="A5:B5"/>
    <mergeCell ref="C5:E5"/>
  </mergeCells>
  <conditionalFormatting sqref="E13">
    <cfRule type="cellIs" dxfId="9" priority="21" operator="equal">
      <formula>"duplicado"</formula>
    </cfRule>
  </conditionalFormatting>
  <conditionalFormatting sqref="E13">
    <cfRule type="duplicateValues" dxfId="8" priority="22"/>
    <cfRule type="duplicateValues" dxfId="7" priority="23"/>
    <cfRule type="cellIs" dxfId="6" priority="24" operator="equal">
      <formula>"calibra"</formula>
    </cfRule>
  </conditionalFormatting>
  <conditionalFormatting sqref="E13">
    <cfRule type="duplicateValues" dxfId="5" priority="18"/>
    <cfRule type="duplicateValues" dxfId="4" priority="19"/>
    <cfRule type="cellIs" dxfId="3" priority="20" operator="equal">
      <formula>"calibra"</formula>
    </cfRule>
  </conditionalFormatting>
  <conditionalFormatting sqref="E13">
    <cfRule type="duplicateValues" dxfId="2" priority="25"/>
    <cfRule type="duplicateValues" dxfId="1" priority="26"/>
    <cfRule type="cellIs" dxfId="0" priority="27" operator="equal">
      <formula>"calibra"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"/>
  <sheetViews>
    <sheetView zoomScale="80" zoomScaleNormal="80" workbookViewId="0">
      <selection activeCell="A20" sqref="A20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25" t="s">
        <v>14</v>
      </c>
      <c r="B1" s="125"/>
      <c r="C1" s="125"/>
      <c r="D1" s="125"/>
      <c r="E1" s="125"/>
      <c r="F1" s="125"/>
      <c r="G1" s="125"/>
      <c r="H1" s="125"/>
      <c r="I1" s="125"/>
      <c r="J1" s="34" t="s">
        <v>15</v>
      </c>
      <c r="K1" s="35" t="s">
        <v>67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26" t="s">
        <v>48</v>
      </c>
      <c r="B3" s="126"/>
      <c r="C3" s="126"/>
      <c r="D3" s="127" t="str">
        <f>'Necesidades Trimestrales'!C4</f>
        <v>040 - Ministerio de Salud</v>
      </c>
      <c r="E3" s="127"/>
      <c r="F3" s="127"/>
      <c r="G3" s="127"/>
      <c r="H3" s="127"/>
      <c r="I3" s="127"/>
      <c r="J3" s="127"/>
      <c r="K3" s="127"/>
    </row>
    <row r="4" spans="1:11" ht="18.75" customHeight="1" thickBot="1" x14ac:dyDescent="0.25">
      <c r="A4" s="128" t="s">
        <v>49</v>
      </c>
      <c r="B4" s="128"/>
      <c r="C4" s="128"/>
      <c r="D4" s="127" t="str">
        <f>'Necesidades Trimestrales'!C5</f>
        <v>024 - Hospital Interzonal de Niños</v>
      </c>
      <c r="E4" s="127"/>
      <c r="F4" s="127"/>
      <c r="G4" s="127"/>
      <c r="H4" s="127"/>
      <c r="I4" s="127"/>
      <c r="J4" s="127"/>
      <c r="K4" s="127"/>
    </row>
    <row r="5" spans="1:11" ht="18.75" customHeight="1" thickBot="1" x14ac:dyDescent="0.25">
      <c r="A5" s="128" t="s">
        <v>27</v>
      </c>
      <c r="B5" s="128"/>
      <c r="C5" s="128"/>
      <c r="D5" s="127" t="s">
        <v>51</v>
      </c>
      <c r="E5" s="127"/>
      <c r="F5" s="127"/>
      <c r="G5" s="127"/>
      <c r="H5" s="127"/>
      <c r="I5" s="127"/>
      <c r="J5" s="127"/>
      <c r="K5" s="127"/>
    </row>
    <row r="6" spans="1:11" ht="16.5" customHeight="1" thickBot="1" x14ac:dyDescent="0.25">
      <c r="A6" s="126" t="s">
        <v>50</v>
      </c>
      <c r="B6" s="126"/>
      <c r="C6" s="126"/>
      <c r="D6" s="127" t="s">
        <v>66</v>
      </c>
      <c r="E6" s="127"/>
      <c r="F6" s="127"/>
      <c r="G6" s="127"/>
      <c r="H6" s="127"/>
      <c r="I6" s="127"/>
      <c r="J6" s="127"/>
      <c r="K6" s="127"/>
    </row>
    <row r="7" spans="1:11" ht="16.5" customHeight="1" x14ac:dyDescent="0.2">
      <c r="A7" s="128" t="s">
        <v>16</v>
      </c>
      <c r="B7" s="128"/>
      <c r="C7" s="128"/>
      <c r="D7" s="127" t="str">
        <f>'Necesidades Trimestrales'!C7 &amp; "° Trimestre - Año " &amp; 'Necesidades Trimestrales'!C6</f>
        <v>2° Trimestre - Año 2021</v>
      </c>
      <c r="E7" s="127"/>
      <c r="F7" s="127"/>
      <c r="G7" s="127"/>
      <c r="H7" s="127"/>
      <c r="I7" s="127"/>
      <c r="J7" s="127"/>
      <c r="K7" s="127"/>
    </row>
    <row r="8" spans="1:11" ht="16.5" customHeight="1" x14ac:dyDescent="0.2">
      <c r="A8" s="133" t="s">
        <v>17</v>
      </c>
      <c r="B8" s="133"/>
      <c r="C8" s="133"/>
      <c r="D8" s="129" t="s">
        <v>70</v>
      </c>
      <c r="E8" s="129"/>
      <c r="F8" s="129"/>
      <c r="G8" s="129"/>
      <c r="H8" s="129"/>
      <c r="I8" s="129"/>
      <c r="J8" s="129"/>
      <c r="K8" s="129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30" t="s">
        <v>18</v>
      </c>
      <c r="B10" s="131" t="s">
        <v>19</v>
      </c>
      <c r="C10" s="131" t="s">
        <v>20</v>
      </c>
      <c r="D10" s="131"/>
      <c r="E10" s="131"/>
      <c r="F10" s="131"/>
      <c r="G10" s="131"/>
      <c r="H10" s="131" t="s">
        <v>21</v>
      </c>
      <c r="I10" s="131" t="s">
        <v>22</v>
      </c>
      <c r="J10" s="131" t="s">
        <v>23</v>
      </c>
      <c r="K10" s="132" t="s">
        <v>24</v>
      </c>
    </row>
    <row r="11" spans="1:11" ht="24" customHeight="1" thickBot="1" x14ac:dyDescent="0.25">
      <c r="A11" s="130"/>
      <c r="B11" s="131"/>
      <c r="C11" s="131"/>
      <c r="D11" s="131"/>
      <c r="E11" s="131"/>
      <c r="F11" s="131"/>
      <c r="G11" s="131"/>
      <c r="H11" s="131"/>
      <c r="I11" s="131"/>
      <c r="J11" s="131"/>
      <c r="K11" s="132"/>
    </row>
    <row r="12" spans="1:11" ht="27.75" customHeight="1" x14ac:dyDescent="0.2">
      <c r="A12" s="44">
        <v>1</v>
      </c>
      <c r="B12" s="45"/>
      <c r="C12" s="135" t="str">
        <f>'Necesidades Trimestrales'!E10</f>
        <v>cubreobjetos 18 x 18 MM. X 100 UNID.</v>
      </c>
      <c r="D12" s="135"/>
      <c r="E12" s="135"/>
      <c r="F12" s="135"/>
      <c r="G12" s="135"/>
      <c r="H12" s="46" t="s">
        <v>54</v>
      </c>
      <c r="I12" s="47" t="str">
        <f>'Necesidades Trimestrales'!F10</f>
        <v>CAJA</v>
      </c>
      <c r="J12" s="48">
        <f>'Necesidades Trimestrales'!H10</f>
        <v>254.1</v>
      </c>
      <c r="K12" s="49">
        <f>'Necesidades Trimestrales'!G10</f>
        <v>100</v>
      </c>
    </row>
    <row r="13" spans="1:11" ht="27.75" customHeight="1" x14ac:dyDescent="0.2">
      <c r="A13" s="67">
        <v>2</v>
      </c>
      <c r="B13" s="68"/>
      <c r="C13" s="136" t="str">
        <f>'Necesidades Trimestrales'!E11</f>
        <v xml:space="preserve">Pipetas Pasteur descartables estériles x 3 ml </v>
      </c>
      <c r="D13" s="136"/>
      <c r="E13" s="136"/>
      <c r="F13" s="136"/>
      <c r="G13" s="136"/>
      <c r="H13" s="71" t="s">
        <v>54</v>
      </c>
      <c r="I13" s="72" t="str">
        <f>'Necesidades Trimestrales'!F11</f>
        <v>UNIDAD</v>
      </c>
      <c r="J13" s="70">
        <f>'Necesidades Trimestrales'!H11</f>
        <v>4.72</v>
      </c>
      <c r="K13" s="69">
        <f>'Necesidades Trimestrales'!G11</f>
        <v>500</v>
      </c>
    </row>
    <row r="14" spans="1:11" ht="27.75" customHeight="1" x14ac:dyDescent="0.2">
      <c r="A14" s="67">
        <v>3</v>
      </c>
      <c r="B14" s="68"/>
      <c r="C14" s="137" t="str">
        <f>'Necesidades Trimestrales'!E12</f>
        <v>Tubos plásticos cónicos con tapa a rosca x 15 ml</v>
      </c>
      <c r="D14" s="137"/>
      <c r="E14" s="137"/>
      <c r="F14" s="137"/>
      <c r="G14" s="137"/>
      <c r="H14" s="71" t="s">
        <v>54</v>
      </c>
      <c r="I14" s="72" t="str">
        <f>'Necesidades Trimestrales'!F12</f>
        <v>UNIDAD</v>
      </c>
      <c r="J14" s="70">
        <f>'Necesidades Trimestrales'!H12</f>
        <v>29.4</v>
      </c>
      <c r="K14" s="69">
        <f>'Necesidades Trimestrales'!G12</f>
        <v>300</v>
      </c>
    </row>
    <row r="15" spans="1:11" ht="27.75" customHeight="1" x14ac:dyDescent="0.2">
      <c r="A15" s="67">
        <v>4</v>
      </c>
      <c r="B15" s="68"/>
      <c r="C15" s="136" t="str">
        <f>'Necesidades Trimestrales'!E13</f>
        <v>Portaobjetos bordes sin pulir x 50u</v>
      </c>
      <c r="D15" s="136"/>
      <c r="E15" s="136"/>
      <c r="F15" s="136"/>
      <c r="G15" s="136"/>
      <c r="H15" s="103" t="s">
        <v>54</v>
      </c>
      <c r="I15" s="104" t="str">
        <f>'Necesidades Trimestrales'!F13</f>
        <v>CAJA</v>
      </c>
      <c r="J15" s="70">
        <f>'Necesidades Trimestrales'!H13</f>
        <v>169.4</v>
      </c>
      <c r="K15" s="69">
        <f>'Necesidades Trimestrales'!G13</f>
        <v>50</v>
      </c>
    </row>
    <row r="16" spans="1:11" ht="27.75" customHeight="1" x14ac:dyDescent="0.2">
      <c r="A16" s="67">
        <v>5</v>
      </c>
      <c r="B16" s="68"/>
      <c r="C16" s="137" t="str">
        <f>'Necesidades Trimestrales'!E14</f>
        <v>PLACAS DE PETRI DESCARTABLES 90X15mm</v>
      </c>
      <c r="D16" s="137"/>
      <c r="E16" s="137"/>
      <c r="F16" s="137"/>
      <c r="G16" s="137"/>
      <c r="H16" s="71" t="s">
        <v>54</v>
      </c>
      <c r="I16" s="72" t="str">
        <f>'Necesidades Trimestrales'!F14</f>
        <v>UNIDAD</v>
      </c>
      <c r="J16" s="70">
        <f>'Necesidades Trimestrales'!H14</f>
        <v>30</v>
      </c>
      <c r="K16" s="69">
        <f>'Necesidades Trimestrales'!G14</f>
        <v>1000</v>
      </c>
    </row>
    <row r="17" spans="1:14" ht="27.75" customHeight="1" x14ac:dyDescent="0.2">
      <c r="A17" s="67">
        <v>6</v>
      </c>
      <c r="B17" s="68"/>
      <c r="C17" s="136" t="str">
        <f>'Necesidades Trimestrales'!E15</f>
        <v>AMPOULE ADAPTER X 150 UNID. P/COBAS B221</v>
      </c>
      <c r="D17" s="136"/>
      <c r="E17" s="136"/>
      <c r="F17" s="136"/>
      <c r="G17" s="136"/>
      <c r="H17" s="103" t="s">
        <v>54</v>
      </c>
      <c r="I17" s="104" t="str">
        <f>'Necesidades Trimestrales'!F15</f>
        <v>CAJA</v>
      </c>
      <c r="J17" s="105">
        <f>'Necesidades Trimestrales'!H15</f>
        <v>4780</v>
      </c>
      <c r="K17" s="69">
        <f>'Necesidades Trimestrales'!G15</f>
        <v>2</v>
      </c>
    </row>
    <row r="18" spans="1:14" ht="27.75" customHeight="1" thickBot="1" x14ac:dyDescent="0.25">
      <c r="A18" s="97">
        <v>7</v>
      </c>
      <c r="B18" s="98"/>
      <c r="C18" s="138" t="str">
        <f>'Necesidades Trimestrales'!E16</f>
        <v>PAPEL P/CONTADOR MINDRAY BC3000 PLUS X6</v>
      </c>
      <c r="D18" s="138"/>
      <c r="E18" s="138"/>
      <c r="F18" s="138"/>
      <c r="G18" s="138"/>
      <c r="H18" s="99" t="s">
        <v>54</v>
      </c>
      <c r="I18" s="100" t="str">
        <f>'Necesidades Trimestrales'!F16</f>
        <v>PAQUETE</v>
      </c>
      <c r="J18" s="101">
        <f>'Necesidades Trimestrales'!H16</f>
        <v>2438</v>
      </c>
      <c r="K18" s="102">
        <f>'Necesidades Trimestrales'!G16</f>
        <v>12</v>
      </c>
    </row>
    <row r="19" spans="1:14" ht="20.25" customHeight="1" thickBot="1" x14ac:dyDescent="0.25">
      <c r="A19" s="127" t="s">
        <v>75</v>
      </c>
      <c r="B19" s="127"/>
      <c r="C19" s="127"/>
      <c r="D19" s="127"/>
      <c r="E19" s="127"/>
      <c r="F19" s="127"/>
      <c r="G19" s="127"/>
      <c r="H19" s="127"/>
      <c r="I19" s="127"/>
      <c r="J19" s="134">
        <f>SUMPRODUCT(J12:J18,K12:K18)</f>
        <v>113876</v>
      </c>
      <c r="K19" s="134"/>
      <c r="N19" s="53"/>
    </row>
  </sheetData>
  <mergeCells count="29">
    <mergeCell ref="A19:I19"/>
    <mergeCell ref="J19:K19"/>
    <mergeCell ref="C12:G12"/>
    <mergeCell ref="C13:G13"/>
    <mergeCell ref="C14:G14"/>
    <mergeCell ref="C15:G15"/>
    <mergeCell ref="C16:G16"/>
    <mergeCell ref="C17:G17"/>
    <mergeCell ref="C18:G18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7" zoomScale="130" zoomScaleNormal="130" workbookViewId="0">
      <selection activeCell="O17" sqref="O17:P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9" t="s">
        <v>3</v>
      </c>
      <c r="B1" s="139"/>
      <c r="C1" s="139"/>
      <c r="D1" s="140">
        <f>'Necesidades Trimestrales'!C6</f>
        <v>2021</v>
      </c>
      <c r="E1" s="140"/>
      <c r="F1" s="3"/>
      <c r="G1" s="3"/>
      <c r="H1" s="4"/>
      <c r="I1" s="4"/>
      <c r="J1" s="4"/>
      <c r="K1" s="4"/>
      <c r="L1" s="4"/>
      <c r="M1" s="4"/>
      <c r="N1" s="4"/>
      <c r="P1" s="141" t="s">
        <v>25</v>
      </c>
      <c r="Q1" s="141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1"/>
      <c r="Q2" s="141"/>
    </row>
    <row r="4" spans="1:17" s="5" customFormat="1" ht="18" customHeight="1" thickBot="1" x14ac:dyDescent="0.25">
      <c r="A4" s="142" t="s">
        <v>26</v>
      </c>
      <c r="B4" s="142"/>
      <c r="C4" s="142"/>
      <c r="D4" s="142"/>
      <c r="E4" s="142"/>
      <c r="F4" s="142"/>
      <c r="G4" s="143" t="str">
        <f>' NotaPedido'!D3</f>
        <v>040 - Ministerio de Salud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</row>
    <row r="5" spans="1:17" s="5" customFormat="1" ht="18" customHeight="1" thickBot="1" x14ac:dyDescent="0.25">
      <c r="A5" s="144" t="s">
        <v>49</v>
      </c>
      <c r="B5" s="145"/>
      <c r="C5" s="145"/>
      <c r="D5" s="145"/>
      <c r="E5" s="145"/>
      <c r="F5" s="146"/>
      <c r="G5" s="143" t="str">
        <f>' NotaPedido'!D4</f>
        <v>024 - Hospital Interzonal de Niños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7" s="5" customFormat="1" ht="18" customHeight="1" thickBot="1" x14ac:dyDescent="0.25">
      <c r="A6" s="144" t="s">
        <v>27</v>
      </c>
      <c r="B6" s="145"/>
      <c r="C6" s="145"/>
      <c r="D6" s="145"/>
      <c r="E6" s="145"/>
      <c r="F6" s="146"/>
      <c r="G6" s="143" t="str">
        <f>' NotaPedido'!D5</f>
        <v>024 - Hospital Interzonal de Niños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17" s="5" customFormat="1" ht="18" customHeight="1" thickBot="1" x14ac:dyDescent="0.25">
      <c r="A7" s="144" t="s">
        <v>50</v>
      </c>
      <c r="B7" s="145"/>
      <c r="C7" s="145"/>
      <c r="D7" s="145"/>
      <c r="E7" s="145"/>
      <c r="F7" s="146"/>
      <c r="G7" s="143" t="s">
        <v>66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17" ht="18" customHeight="1" thickBot="1" x14ac:dyDescent="0.25">
      <c r="A8" s="147" t="s">
        <v>28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</row>
    <row r="9" spans="1:17" ht="18" customHeight="1" x14ac:dyDescent="0.2">
      <c r="A9" s="148" t="s">
        <v>29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"/>
      <c r="P9" s="1"/>
      <c r="Q9" s="6"/>
    </row>
    <row r="10" spans="1:17" ht="54.75" customHeight="1" x14ac:dyDescent="0.2">
      <c r="A10" s="14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065/2021,  afectando la erogación resultante a los créditos presupuestarios aprobados a favor de esta Unidad Ejecutora, conforme al siguiente detalle: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50" t="s">
        <v>30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</row>
    <row r="13" spans="1:17" ht="15.75" customHeight="1" thickBot="1" x14ac:dyDescent="0.25">
      <c r="A13" s="151" t="s">
        <v>31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3" t="s">
        <v>32</v>
      </c>
      <c r="P13" s="154"/>
      <c r="Q13" s="157" t="s">
        <v>33</v>
      </c>
    </row>
    <row r="14" spans="1:17" ht="15.75" customHeight="1" thickBot="1" x14ac:dyDescent="0.25">
      <c r="A14" s="58" t="s">
        <v>34</v>
      </c>
      <c r="B14" s="59" t="s">
        <v>35</v>
      </c>
      <c r="C14" s="59" t="s">
        <v>36</v>
      </c>
      <c r="D14" s="59" t="s">
        <v>37</v>
      </c>
      <c r="E14" s="59" t="s">
        <v>38</v>
      </c>
      <c r="F14" s="59" t="s">
        <v>39</v>
      </c>
      <c r="G14" s="60" t="s">
        <v>40</v>
      </c>
      <c r="H14" s="59" t="s">
        <v>41</v>
      </c>
      <c r="I14" s="59" t="s">
        <v>42</v>
      </c>
      <c r="J14" s="59" t="s">
        <v>43</v>
      </c>
      <c r="K14" s="59" t="s">
        <v>43</v>
      </c>
      <c r="L14" s="59" t="s">
        <v>44</v>
      </c>
      <c r="M14" s="61" t="s">
        <v>45</v>
      </c>
      <c r="N14" s="62" t="s">
        <v>46</v>
      </c>
      <c r="O14" s="155"/>
      <c r="P14" s="156"/>
      <c r="Q14" s="158"/>
    </row>
    <row r="15" spans="1:17" ht="26.25" customHeight="1" x14ac:dyDescent="0.2">
      <c r="A15" s="54">
        <v>36</v>
      </c>
      <c r="B15" s="55"/>
      <c r="C15" s="55"/>
      <c r="D15" s="55">
        <v>1</v>
      </c>
      <c r="E15" s="55"/>
      <c r="F15" s="55">
        <v>4901</v>
      </c>
      <c r="G15" s="55">
        <v>3</v>
      </c>
      <c r="H15" s="55">
        <v>310</v>
      </c>
      <c r="I15" s="55">
        <v>2</v>
      </c>
      <c r="J15" s="55">
        <v>9</v>
      </c>
      <c r="K15" s="55">
        <v>5</v>
      </c>
      <c r="L15" s="55"/>
      <c r="M15" s="56">
        <v>1</v>
      </c>
      <c r="N15" s="57" t="s">
        <v>53</v>
      </c>
      <c r="O15" s="159" t="s">
        <v>74</v>
      </c>
      <c r="P15" s="159"/>
      <c r="Q15" s="63">
        <v>113876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4"/>
      <c r="O16" s="160"/>
      <c r="P16" s="161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61"/>
      <c r="P17" s="161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61"/>
      <c r="P18" s="161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67"/>
      <c r="P19" s="167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68"/>
      <c r="P20" s="168"/>
      <c r="Q20" s="24"/>
    </row>
    <row r="21" spans="1:18" ht="29.25" customHeight="1" x14ac:dyDescent="0.2">
      <c r="A21" s="169" t="s">
        <v>71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25">
        <f>SUM(Q15:Q20)</f>
        <v>113876</v>
      </c>
    </row>
    <row r="22" spans="1:18" ht="18" customHeight="1" thickBot="1" x14ac:dyDescent="0.25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</row>
    <row r="23" spans="1:18" ht="17.25" customHeight="1" thickBot="1" x14ac:dyDescent="0.25">
      <c r="A23" s="162" t="s">
        <v>47</v>
      </c>
      <c r="B23" s="163"/>
      <c r="C23" s="163"/>
      <c r="D23" s="163"/>
      <c r="E23" s="163"/>
      <c r="F23" s="164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</row>
    <row r="24" spans="1:18" ht="18" customHeight="1" thickBot="1" x14ac:dyDescent="0.25">
      <c r="A24" s="166" t="s">
        <v>72</v>
      </c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</row>
    <row r="25" spans="1:18" ht="26.25" customHeight="1" x14ac:dyDescent="0.2">
      <c r="A25" s="166"/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2021-08-12T14:37:41Z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