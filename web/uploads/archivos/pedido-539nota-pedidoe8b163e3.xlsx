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COMPRAS-2021\Pedido al Comprar - 16-06-21\"/>
    </mc:Choice>
  </mc:AlternateContent>
  <bookViews>
    <workbookView xWindow="-120" yWindow="-120" windowWidth="29040" windowHeight="15840" activeTab="1"/>
  </bookViews>
  <sheets>
    <sheet name="NECESIDADES TRIMESTRALES" sheetId="2" r:id="rId1"/>
    <sheet name="NOTA DE PEDIDO" sheetId="4" r:id="rId2"/>
    <sheet name="APG" sheetId="3" r:id="rId3"/>
  </sheets>
  <externalReferences>
    <externalReference r:id="rId4"/>
  </externalReferences>
  <definedNames>
    <definedName name="_xlnm.Print_Area" localSheetId="0">'NECESIDADES TRIMESTRALES'!$1:$40</definedName>
  </definedNames>
  <calcPr calcId="152511" iterateDelta="1E-4"/>
</workbook>
</file>

<file path=xl/calcChain.xml><?xml version="1.0" encoding="utf-8"?>
<calcChain xmlns="http://schemas.openxmlformats.org/spreadsheetml/2006/main">
  <c r="B12" i="4" l="1"/>
  <c r="C12" i="4"/>
  <c r="E12" i="4"/>
  <c r="F12" i="4"/>
  <c r="G12" i="4"/>
  <c r="B13" i="4"/>
  <c r="C13" i="4"/>
  <c r="E13" i="4"/>
  <c r="F13" i="4"/>
  <c r="G13" i="4"/>
  <c r="B14" i="4"/>
  <c r="C14" i="4"/>
  <c r="E14" i="4"/>
  <c r="F14" i="4"/>
  <c r="G14" i="4"/>
  <c r="B15" i="4"/>
  <c r="C15" i="4"/>
  <c r="E15" i="4"/>
  <c r="F15" i="4"/>
  <c r="G15" i="4"/>
  <c r="B16" i="4"/>
  <c r="C16" i="4"/>
  <c r="E16" i="4"/>
  <c r="F16" i="4"/>
  <c r="G16" i="4"/>
  <c r="B17" i="4"/>
  <c r="C17" i="4"/>
  <c r="E17" i="4"/>
  <c r="F17" i="4"/>
  <c r="G17" i="4"/>
  <c r="B18" i="4"/>
  <c r="C18" i="4"/>
  <c r="E18" i="4"/>
  <c r="F18" i="4"/>
  <c r="G18" i="4"/>
  <c r="B19" i="4"/>
  <c r="C19" i="4"/>
  <c r="E19" i="4"/>
  <c r="F19" i="4"/>
  <c r="G19" i="4"/>
  <c r="G11" i="4"/>
  <c r="F11" i="4"/>
  <c r="E11" i="4"/>
  <c r="C11" i="4"/>
  <c r="B11" i="4"/>
  <c r="D1" i="3"/>
  <c r="H17" i="4" l="1"/>
  <c r="H13" i="4"/>
  <c r="H14" i="4"/>
  <c r="H16" i="4"/>
  <c r="H15" i="4"/>
  <c r="H12" i="4"/>
  <c r="H11" i="4"/>
  <c r="I19" i="2" l="1"/>
  <c r="D19" i="2"/>
  <c r="I18" i="2"/>
  <c r="I17" i="2"/>
  <c r="I16" i="2"/>
  <c r="D16" i="2"/>
  <c r="I15" i="2"/>
  <c r="D15" i="2"/>
  <c r="I14" i="2"/>
  <c r="D14" i="2"/>
  <c r="I13" i="2"/>
  <c r="D13" i="2"/>
  <c r="I12" i="2"/>
  <c r="D12" i="2"/>
  <c r="I11" i="2"/>
  <c r="Q15" i="3" s="1"/>
  <c r="D11" i="2"/>
  <c r="Q16" i="3" l="1"/>
  <c r="Q19" i="3" s="1"/>
  <c r="I20" i="2"/>
</calcChain>
</file>

<file path=xl/sharedStrings.xml><?xml version="1.0" encoding="utf-8"?>
<sst xmlns="http://schemas.openxmlformats.org/spreadsheetml/2006/main" count="136" uniqueCount="95">
  <si>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</si>
  <si>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</si>
  <si>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</si>
  <si>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</si>
  <si>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</si>
  <si>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</si>
  <si>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</si>
  <si>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</si>
  <si>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</si>
  <si>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</si>
  <si>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</si>
  <si>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</si>
  <si>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</si>
  <si>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</si>
  <si>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</si>
  <si>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SAF 9 - DIRECCION PROVINCIAL DE ADMINISTRACION DE LA SECRETARIA DE FINANZAS PUBLICAS</t>
  </si>
  <si>
    <t>30 - MINISTERIO DE HACIENDA PUBLICA</t>
  </si>
  <si>
    <t xml:space="preserve">Costo total estimado Rubro: </t>
  </si>
  <si>
    <t>UNIDAD EJECUTORA</t>
  </si>
  <si>
    <t>2.3.1-6563.763</t>
  </si>
  <si>
    <t>LIBRERIA,PAP. Y UTILES OFICINA</t>
  </si>
  <si>
    <t>2.3.1-6563.936</t>
  </si>
  <si>
    <t>PAPELES EN HOJA; TIPO DE PAPEL: MULTIFUNCION, DIMENSION: 21 X 29,7 Cm, GRAMAJE: 80 GR/M2, PRESENTACION: ENVASE X 500 HOJAS, CERTIFICADO FORESTAL (GFS): SIN</t>
  </si>
  <si>
    <t>PAPELES EN HOJA; TIPO DE PAPEL: MULTIFUNCION, DIMENSION: 21,59 X 35,56 Cm, GRAMAJE: 80 GR, PRESENTACION: RESMA X 500 HOJAS, CERTIFICADO FORESTAL (GFS): SIN, PORC. FIBRAS RECICLADAS: 0 %, CERT. FIBRA ALTERNATIVA (FCA): SIN</t>
  </si>
  <si>
    <t>2.9.2-1358.353</t>
  </si>
  <si>
    <t>CARPETAS; MATERIAL PLASTICO - TAMAÑO A4.</t>
  </si>
  <si>
    <t>2.9.2-1358.354</t>
  </si>
  <si>
    <t>CARPETAS; MATERIAL PLASTICO - TAMAÑO OFICIO.</t>
  </si>
  <si>
    <t>2.9.2-1611.22</t>
  </si>
  <si>
    <t>FOLIOS TRANSPARENTES; TAMAÑO: OFICIO, PERFORACIONES: 11, MATERIAL: POLIPROPILENO</t>
  </si>
  <si>
    <t>PAQUETE</t>
  </si>
  <si>
    <t>2.9.2-1611.23</t>
  </si>
  <si>
    <t>FOLIOS TRANSPARENTES; TAMAÑO: A4, PERFORACIONES: 11, MATERIAL: POLIPROPILENO</t>
  </si>
  <si>
    <t>2.9.2-317.17</t>
  </si>
  <si>
    <t>CAJA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</si>
  <si>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</si>
  <si>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</si>
  <si>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SUBSECRETARIA DE PRESUPUESTO - SECRETARIA DE FINANZAS PUBLICAS</t>
  </si>
  <si>
    <t>2.9.2</t>
  </si>
  <si>
    <t>BOLIGRAFOS; TRAZO: GRUESO, COLOR TINTA: NEGRO</t>
  </si>
  <si>
    <t>2.9.2-317.32</t>
  </si>
  <si>
    <t>BOLIGRAFOS; TRAZO: 0,8 mm</t>
  </si>
  <si>
    <t>AUTORIZACION PARA GASTAR</t>
  </si>
  <si>
    <t>JURISDICCIÓN:</t>
  </si>
  <si>
    <t>30 - Ministerio de Hacienda Publica</t>
  </si>
  <si>
    <t>SAF:</t>
  </si>
  <si>
    <t>9 - Direccion Provincial de Administracion de la Secretaria de Finanzas Publicas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</si>
  <si>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</si>
  <si>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</si>
  <si>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</si>
  <si>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</si>
  <si>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</si>
  <si>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</si>
  <si>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</si>
  <si>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</si>
  <si>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</si>
  <si>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</si>
  <si>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</si>
  <si>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</si>
  <si>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</si>
  <si>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</si>
  <si>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</si>
  <si>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</si>
  <si>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</si>
  <si>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</si>
  <si>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</si>
  <si>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</si>
  <si>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</si>
  <si>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</si>
  <si>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Papel de Escritorio y Cartón</t>
  </si>
  <si>
    <t>Utiles de Escritorio, Oficina y Enseñanza</t>
  </si>
  <si>
    <t>JUSTIFICACIÓN:</t>
  </si>
  <si>
    <t xml:space="preserve">Adquisicion de elementos de librería </t>
  </si>
  <si>
    <t>OBSERVACIONES:</t>
  </si>
  <si>
    <t>SUBSECRETARIA DE PRESUPUESTO</t>
  </si>
  <si>
    <t>NOTA DE PEDIDO</t>
  </si>
  <si>
    <t>Nº</t>
  </si>
  <si>
    <t>DEPENDENCIA SOLICITANTE</t>
  </si>
  <si>
    <t>TERCER TRIMESTRE 2021</t>
  </si>
  <si>
    <t>OBJETO</t>
  </si>
  <si>
    <t>Adquisicion de elementos de librería</t>
  </si>
  <si>
    <t>CODIGO</t>
  </si>
  <si>
    <t>ADJUNTA DETALLE TECNICO</t>
  </si>
  <si>
    <t>NO</t>
  </si>
  <si>
    <t>3/2021</t>
  </si>
  <si>
    <t>Autorizo la realización de los  trámites correspondientes, a fin de proveer a  este Organismo los bienes y/o servicios que se detallan en Nota  de Pedido N° 3/2021,  afectando la erogación resultante a los créditos presupuestarios aprobados a favor de esta Unidad Ejecutora, conforme al siguiente detalle.</t>
  </si>
  <si>
    <t>TOTAL DE PESOS: CIENTO VEINTE MIL QUINIENTOS CON 00/100</t>
  </si>
  <si>
    <t>Descripción técnica</t>
  </si>
  <si>
    <t>Especificidades Item N° 5:</t>
  </si>
  <si>
    <t>Folios - tamaño Oficio - paquete por 100 unidades</t>
  </si>
  <si>
    <t>Especificidades Item N° 6:</t>
  </si>
  <si>
    <t>Folios - tamaño A4 - paquete por 100 unidades</t>
  </si>
  <si>
    <t>Especificidades Item N° 8:</t>
  </si>
  <si>
    <t>Boligrafos - Trazo 0,8 mm - Color Tinta Negro - Caja por 50 unidades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</si>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</sst>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* #,##0.00_-;\-&quot;$&quot;* #,##0.00_-;_-&quot;$&quot;* &quot;-&quot;??_-;_-@_-"/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;@"/>
    <numFmt numFmtId="168" formatCode="_(\$* #,##0.00_);_(\$* \(#,##0.00\);_(\$* \-??_);_(@_)"/>
    <numFmt numFmtId="169" formatCode="[$$-2C0A]\ #,##0.00;[$$-2C0A]&quot; -&quot;#,##0.00"/>
  </numFmts>
  <fonts count="33" x14ac:knownFonts="1">
    <font>
      <sz val="10"/>
      <color rgb="FF000000"/>
      <name val="Arial"/>
    </font>
    <font>
      <sz val="10"/>
      <name val="Times New Roman"/>
    </font>
    <font>
      <sz val="11"/>
      <name val="Times New Roman"/>
    </font>
    <font>
      <b/>
      <sz val="11"/>
      <color rgb="FF333333"/>
      <name val="Arial"/>
    </font>
    <font>
      <sz val="10"/>
      <name val="Arial"/>
    </font>
    <font>
      <sz val="11"/>
      <color rgb="FF333333"/>
      <name val="Arial"/>
    </font>
    <font>
      <sz val="11"/>
      <name val="Arial"/>
    </font>
    <font>
      <b/>
      <sz val="11"/>
      <name val="Arial"/>
    </font>
    <font>
      <sz val="11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  <font>
      <b/>
      <u/>
      <sz val="22"/>
      <name val="Times New Roman"/>
      <family val="1"/>
    </font>
    <font>
      <u/>
      <sz val="10"/>
      <color rgb="FF000000"/>
      <name val="Arial"/>
      <family val="2"/>
    </font>
    <font>
      <sz val="10"/>
      <name val="Times New Roman"/>
      <family val="1"/>
    </font>
    <font>
      <sz val="10"/>
      <color rgb="FF000000"/>
      <name val="Arial"/>
    </font>
    <font>
      <sz val="10"/>
      <color rgb="FF00000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b/>
      <u/>
      <sz val="18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1"/>
      <name val="Times New Roman"/>
      <family val="1"/>
    </font>
    <font>
      <b/>
      <sz val="11"/>
      <color rgb="FF333333"/>
      <name val="Arial"/>
      <family val="2"/>
    </font>
    <font>
      <sz val="11"/>
      <color rgb="FF000000"/>
      <name val="Arial"/>
      <family val="2"/>
    </font>
    <font>
      <sz val="10"/>
      <color theme="0"/>
      <name val="Arial"/>
      <family val="2"/>
    </font>
    <font>
      <u/>
      <sz val="12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FFFFFF"/>
        <bgColor rgb="FFFFFF00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/>
      <top style="thin">
        <color indexed="64"/>
      </top>
      <bottom/>
      <diagonal/>
    </border>
    <border>
      <left/>
      <right style="thin">
        <color rgb="FF3D3D3D"/>
      </right>
      <top style="thin">
        <color indexed="64"/>
      </top>
      <bottom/>
      <diagonal/>
    </border>
    <border>
      <left style="thin">
        <color rgb="FF3D3D3D"/>
      </left>
      <right style="medium">
        <color rgb="FF3D3D3D"/>
      </right>
      <top style="thin">
        <color indexed="64"/>
      </top>
      <bottom/>
      <diagonal/>
    </border>
    <border>
      <left style="medium">
        <color auto="1"/>
      </left>
      <right style="thin">
        <color rgb="FF3D3D3D"/>
      </right>
      <top style="thin">
        <color auto="1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auto="1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168" fontId="18" fillId="0" borderId="1" applyBorder="0" applyProtection="0"/>
  </cellStyleXfs>
  <cellXfs count="21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0" fontId="1" fillId="0" borderId="11" xfId="0" applyFont="1" applyBorder="1"/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wrapText="1"/>
    </xf>
    <xf numFmtId="0" fontId="6" fillId="4" borderId="8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left" wrapText="1"/>
    </xf>
    <xf numFmtId="0" fontId="5" fillId="4" borderId="10" xfId="0" applyFont="1" applyFill="1" applyBorder="1" applyAlignment="1">
      <alignment horizontal="left" vertical="top" wrapText="1"/>
    </xf>
    <xf numFmtId="164" fontId="5" fillId="4" borderId="10" xfId="0" applyNumberFormat="1" applyFont="1" applyFill="1" applyBorder="1" applyAlignment="1">
      <alignment horizontal="center" wrapText="1"/>
    </xf>
    <xf numFmtId="0" fontId="6" fillId="4" borderId="11" xfId="0" applyFont="1" applyFill="1" applyBorder="1"/>
    <xf numFmtId="165" fontId="7" fillId="2" borderId="16" xfId="0" applyNumberFormat="1" applyFont="1" applyFill="1" applyBorder="1"/>
    <xf numFmtId="0" fontId="3" fillId="3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164" fontId="10" fillId="0" borderId="2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0" xfId="0" applyFont="1" applyAlignment="1">
      <alignment wrapText="1"/>
    </xf>
    <xf numFmtId="0" fontId="8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0" fillId="0" borderId="0" xfId="0" applyFont="1" applyFill="1" applyAlignment="1"/>
    <xf numFmtId="0" fontId="8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166" fontId="1" fillId="0" borderId="1" xfId="0" applyNumberFormat="1" applyFont="1" applyBorder="1" applyAlignment="1">
      <alignment horizontal="center" vertical="center"/>
    </xf>
    <xf numFmtId="0" fontId="8" fillId="6" borderId="17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/>
    </xf>
    <xf numFmtId="164" fontId="10" fillId="0" borderId="22" xfId="0" applyNumberFormat="1" applyFont="1" applyFill="1" applyBorder="1" applyAlignment="1">
      <alignment horizontal="center" vertical="center"/>
    </xf>
    <xf numFmtId="165" fontId="10" fillId="6" borderId="23" xfId="0" applyNumberFormat="1" applyFont="1" applyFill="1" applyBorder="1" applyAlignment="1">
      <alignment vertical="center"/>
    </xf>
    <xf numFmtId="165" fontId="10" fillId="6" borderId="24" xfId="0" applyNumberFormat="1" applyFont="1" applyFill="1" applyBorder="1" applyAlignment="1">
      <alignment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/>
    </xf>
    <xf numFmtId="164" fontId="10" fillId="0" borderId="25" xfId="0" applyNumberFormat="1" applyFont="1" applyFill="1" applyBorder="1" applyAlignment="1">
      <alignment horizontal="center" vertical="center"/>
    </xf>
    <xf numFmtId="165" fontId="10" fillId="6" borderId="26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center" wrapText="1"/>
    </xf>
    <xf numFmtId="164" fontId="5" fillId="4" borderId="5" xfId="0" applyNumberFormat="1" applyFont="1" applyFill="1" applyBorder="1" applyAlignment="1">
      <alignment horizontal="center" wrapText="1"/>
    </xf>
    <xf numFmtId="0" fontId="6" fillId="4" borderId="6" xfId="0" applyFont="1" applyFill="1" applyBorder="1"/>
    <xf numFmtId="0" fontId="3" fillId="3" borderId="7" xfId="0" applyFont="1" applyFill="1" applyBorder="1" applyAlignment="1">
      <alignment horizontal="left" wrapText="1"/>
    </xf>
    <xf numFmtId="0" fontId="5" fillId="4" borderId="9" xfId="0" applyFont="1" applyFill="1" applyBorder="1" applyAlignment="1">
      <alignment horizontal="center" wrapText="1"/>
    </xf>
    <xf numFmtId="0" fontId="8" fillId="0" borderId="22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3" fontId="16" fillId="0" borderId="1" xfId="0" applyNumberFormat="1" applyFont="1" applyBorder="1"/>
    <xf numFmtId="167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0" fillId="0" borderId="1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6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166" fontId="14" fillId="0" borderId="48" xfId="1" applyNumberFormat="1" applyBorder="1" applyAlignment="1" applyProtection="1">
      <alignment horizontal="right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166" fontId="0" fillId="0" borderId="53" xfId="2" applyNumberFormat="1" applyFont="1" applyBorder="1" applyAlignment="1" applyProtection="1">
      <alignment horizontal="right" vertical="center"/>
    </xf>
    <xf numFmtId="0" fontId="19" fillId="0" borderId="54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169" fontId="0" fillId="0" borderId="58" xfId="2" applyNumberFormat="1" applyFont="1" applyBorder="1" applyAlignment="1" applyProtection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9" fontId="0" fillId="0" borderId="62" xfId="2" applyNumberFormat="1" applyFont="1" applyBorder="1" applyAlignment="1" applyProtection="1">
      <alignment horizontal="center" vertical="center"/>
    </xf>
    <xf numFmtId="169" fontId="22" fillId="0" borderId="63" xfId="0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right" vertical="center"/>
    </xf>
    <xf numFmtId="49" fontId="26" fillId="0" borderId="68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5" fillId="0" borderId="69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70" xfId="0" applyFont="1" applyBorder="1" applyAlignment="1">
      <alignment vertical="center"/>
    </xf>
    <xf numFmtId="0" fontId="13" fillId="0" borderId="71" xfId="0" applyFont="1" applyBorder="1" applyAlignment="1">
      <alignment vertical="center"/>
    </xf>
    <xf numFmtId="0" fontId="13" fillId="0" borderId="72" xfId="0" applyFont="1" applyBorder="1" applyAlignment="1">
      <alignment horizontal="center" vertical="center"/>
    </xf>
    <xf numFmtId="0" fontId="27" fillId="0" borderId="72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9" fillId="4" borderId="68" xfId="0" applyFont="1" applyFill="1" applyBorder="1" applyAlignment="1">
      <alignment horizontal="left" vertical="center" wrapText="1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9" fillId="4" borderId="70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vertical="center" wrapText="1"/>
    </xf>
    <xf numFmtId="164" fontId="28" fillId="5" borderId="12" xfId="0" applyNumberFormat="1" applyFont="1" applyFill="1" applyBorder="1" applyAlignment="1">
      <alignment horizontal="center" vertical="center" wrapText="1"/>
    </xf>
    <xf numFmtId="0" fontId="8" fillId="7" borderId="74" xfId="0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 wrapText="1"/>
    </xf>
    <xf numFmtId="0" fontId="8" fillId="0" borderId="75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/>
    </xf>
    <xf numFmtId="164" fontId="10" fillId="0" borderId="75" xfId="0" applyNumberFormat="1" applyFont="1" applyBorder="1" applyAlignment="1">
      <alignment horizontal="center" vertical="center"/>
    </xf>
    <xf numFmtId="4" fontId="30" fillId="0" borderId="0" xfId="0" applyNumberFormat="1" applyFont="1" applyAlignment="1">
      <alignment vertical="center"/>
    </xf>
    <xf numFmtId="0" fontId="8" fillId="7" borderId="76" xfId="0" applyFont="1" applyFill="1" applyBorder="1" applyAlignment="1">
      <alignment horizontal="center" vertical="center"/>
    </xf>
    <xf numFmtId="0" fontId="8" fillId="7" borderId="77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31" fillId="0" borderId="4" xfId="0" applyFont="1" applyFill="1" applyBorder="1"/>
    <xf numFmtId="0" fontId="32" fillId="0" borderId="5" xfId="0" applyFont="1" applyFill="1" applyBorder="1"/>
    <xf numFmtId="0" fontId="32" fillId="0" borderId="6" xfId="0" applyFont="1" applyFill="1" applyBorder="1"/>
    <xf numFmtId="0" fontId="32" fillId="0" borderId="7" xfId="0" applyFont="1" applyFill="1" applyBorder="1"/>
    <xf numFmtId="0" fontId="32" fillId="0" borderId="1" xfId="0" applyFont="1" applyFill="1" applyBorder="1"/>
    <xf numFmtId="0" fontId="32" fillId="0" borderId="8" xfId="0" applyFont="1" applyFill="1" applyBorder="1"/>
    <xf numFmtId="0" fontId="31" fillId="0" borderId="7" xfId="0" applyFont="1" applyFill="1" applyBorder="1" applyAlignment="1">
      <alignment horizontal="left" indent="3"/>
    </xf>
    <xf numFmtId="0" fontId="32" fillId="0" borderId="9" xfId="0" applyFont="1" applyFill="1" applyBorder="1" applyAlignment="1">
      <alignment horizontal="left" indent="3"/>
    </xf>
    <xf numFmtId="0" fontId="32" fillId="0" borderId="10" xfId="0" applyFont="1" applyFill="1" applyBorder="1"/>
    <xf numFmtId="0" fontId="32" fillId="0" borderId="11" xfId="0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165" fontId="7" fillId="0" borderId="1" xfId="0" applyNumberFormat="1" applyFont="1" applyFill="1" applyBorder="1"/>
    <xf numFmtId="0" fontId="32" fillId="8" borderId="1" xfId="0" applyFont="1" applyFill="1" applyBorder="1" applyAlignment="1">
      <alignment horizontal="left" vertical="center" wrapText="1"/>
    </xf>
    <xf numFmtId="0" fontId="32" fillId="8" borderId="8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3" fillId="0" borderId="7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3" fillId="3" borderId="4" xfId="0" applyFont="1" applyFill="1" applyBorder="1" applyAlignment="1">
      <alignment horizontal="left" wrapText="1"/>
    </xf>
    <xf numFmtId="0" fontId="4" fillId="4" borderId="5" xfId="0" applyFont="1" applyFill="1" applyBorder="1"/>
    <xf numFmtId="0" fontId="3" fillId="3" borderId="7" xfId="0" applyFont="1" applyFill="1" applyBorder="1" applyAlignment="1">
      <alignment horizontal="left" wrapText="1"/>
    </xf>
    <xf numFmtId="0" fontId="4" fillId="4" borderId="1" xfId="0" applyFont="1" applyFill="1" applyBorder="1"/>
    <xf numFmtId="0" fontId="10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28" fillId="4" borderId="69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vertical="center"/>
    </xf>
    <xf numFmtId="0" fontId="2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/>
    </xf>
    <xf numFmtId="0" fontId="24" fillId="0" borderId="66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8" fillId="4" borderId="66" xfId="0" applyFont="1" applyFill="1" applyBorder="1" applyAlignment="1">
      <alignment horizontal="left" vertical="center" wrapText="1"/>
    </xf>
    <xf numFmtId="0" fontId="29" fillId="4" borderId="67" xfId="0" applyFont="1" applyFill="1" applyBorder="1" applyAlignment="1">
      <alignment vertical="center"/>
    </xf>
    <xf numFmtId="0" fontId="28" fillId="3" borderId="67" xfId="0" applyFont="1" applyFill="1" applyBorder="1" applyAlignment="1">
      <alignment horizontal="left" vertical="center" wrapText="1"/>
    </xf>
    <xf numFmtId="0" fontId="8" fillId="4" borderId="67" xfId="0" applyFont="1" applyFill="1" applyBorder="1" applyAlignment="1">
      <alignment vertical="center"/>
    </xf>
    <xf numFmtId="0" fontId="28" fillId="3" borderId="72" xfId="0" applyNumberFormat="1" applyFont="1" applyFill="1" applyBorder="1" applyAlignment="1">
      <alignment horizontal="left" vertical="center" wrapText="1"/>
    </xf>
    <xf numFmtId="0" fontId="28" fillId="3" borderId="73" xfId="0" applyNumberFormat="1" applyFont="1" applyFill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indent="1"/>
    </xf>
    <xf numFmtId="0" fontId="15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3" fontId="16" fillId="0" borderId="27" xfId="0" applyNumberFormat="1" applyFont="1" applyBorder="1" applyAlignment="1">
      <alignment horizontal="center"/>
    </xf>
    <xf numFmtId="0" fontId="17" fillId="0" borderId="28" xfId="0" applyFont="1" applyBorder="1" applyAlignment="1">
      <alignment horizontal="center" vertical="center" wrapText="1"/>
    </xf>
    <xf numFmtId="0" fontId="18" fillId="0" borderId="28" xfId="0" applyFont="1" applyBorder="1"/>
    <xf numFmtId="0" fontId="23" fillId="0" borderId="46" xfId="0" applyFont="1" applyBorder="1" applyAlignment="1">
      <alignment horizontal="left" vertical="center" wrapText="1"/>
    </xf>
    <xf numFmtId="0" fontId="23" fillId="0" borderId="47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/>
    </xf>
    <xf numFmtId="0" fontId="19" fillId="0" borderId="32" xfId="0" applyFont="1" applyBorder="1"/>
    <xf numFmtId="0" fontId="19" fillId="0" borderId="34" xfId="0" applyFont="1" applyBorder="1" applyAlignment="1">
      <alignment horizontal="left" vertical="center" wrapText="1" indent="1"/>
    </xf>
    <xf numFmtId="0" fontId="22" fillId="0" borderId="38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19" fillId="0" borderId="63" xfId="0" applyNumberFormat="1" applyFont="1" applyBorder="1" applyAlignment="1">
      <alignment horizontal="left" vertical="center" wrapText="1" indent="1"/>
    </xf>
    <xf numFmtId="0" fontId="16" fillId="0" borderId="13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16" fillId="0" borderId="65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63" xfId="0" applyFont="1" applyBorder="1" applyAlignment="1">
      <alignment horizontal="left" vertical="center" wrapText="1" indent="1"/>
    </xf>
    <xf numFmtId="0" fontId="23" fillId="0" borderId="51" xfId="0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0" fillId="0" borderId="56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16" fillId="0" borderId="63" xfId="0" applyFont="1" applyBorder="1" applyAlignment="1">
      <alignment horizontal="left" vertical="center" wrapText="1"/>
    </xf>
    <xf numFmtId="0" fontId="0" fillId="0" borderId="38" xfId="0" applyBorder="1"/>
  </cellXfs>
  <cellStyles count="3">
    <cellStyle name="Moneda" xfId="1" builtinId="4"/>
    <cellStyle name="Moneda_AUTORIZACION Y NOTA DE PEDIDO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-1-1-LIBRERIA-SAF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6">
          <cell r="C6">
            <v>2021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0"/>
  <sheetViews>
    <sheetView topLeftCell="A16" zoomScale="90" zoomScaleNormal="90" workbookViewId="0">
      <selection activeCell="C39" sqref="C39"/>
    </sheetView>
  </sheetViews>
  <sheetFormatPr baseColWidth="10" defaultColWidth="12.5703125" defaultRowHeight="12.75" x14ac:dyDescent="0.2"/>
  <cols>
    <col min="1" max="1" width="4.7109375" style="2" customWidth="1"/>
    <col min="2" max="2" width="16.42578125" style="31" customWidth="1"/>
    <col min="3" max="3" width="21.28515625" style="2" customWidth="1"/>
    <col min="4" max="4" width="6.85546875" style="31" customWidth="1"/>
    <col min="5" max="5" width="112.7109375" style="41" customWidth="1"/>
    <col min="6" max="6" width="12" style="2" customWidth="1"/>
    <col min="7" max="7" width="6.85546875" style="2" customWidth="1"/>
    <col min="8" max="8" width="12.5703125" style="2" customWidth="1"/>
    <col min="9" max="9" width="15.42578125" style="2" customWidth="1"/>
    <col min="10" max="28" width="11" style="2" customWidth="1"/>
    <col min="29" max="16384" width="12.5703125" style="2"/>
  </cols>
  <sheetData>
    <row r="1" spans="1:28" ht="15" x14ac:dyDescent="0.2">
      <c r="A1" s="3"/>
      <c r="B1" s="4"/>
      <c r="C1" s="5"/>
      <c r="D1" s="5"/>
      <c r="E1" s="39"/>
      <c r="F1" s="6"/>
      <c r="G1" s="6"/>
      <c r="H1" s="7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7" x14ac:dyDescent="0.35">
      <c r="A2" s="9"/>
      <c r="B2" s="158" t="s">
        <v>0</v>
      </c>
      <c r="C2" s="159"/>
      <c r="D2" s="159"/>
      <c r="E2" s="159"/>
      <c r="F2" s="159"/>
      <c r="G2" s="159"/>
      <c r="H2" s="15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thickBot="1" x14ac:dyDescent="0.25">
      <c r="A3" s="13"/>
      <c r="B3" s="14"/>
      <c r="C3" s="15"/>
      <c r="D3" s="15"/>
      <c r="E3" s="40"/>
      <c r="F3" s="16"/>
      <c r="G3" s="16"/>
      <c r="H3" s="17"/>
      <c r="I3" s="1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" customHeight="1" x14ac:dyDescent="0.25">
      <c r="A4" s="160" t="s">
        <v>1</v>
      </c>
      <c r="B4" s="161"/>
      <c r="C4" s="162" t="s">
        <v>16</v>
      </c>
      <c r="D4" s="163"/>
      <c r="E4" s="163"/>
      <c r="F4" s="67"/>
      <c r="G4" s="68"/>
      <c r="H4" s="69"/>
      <c r="I4" s="7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customHeight="1" x14ac:dyDescent="0.25">
      <c r="A5" s="160" t="s">
        <v>2</v>
      </c>
      <c r="B5" s="161"/>
      <c r="C5" s="164" t="s">
        <v>15</v>
      </c>
      <c r="D5" s="165"/>
      <c r="E5" s="165"/>
      <c r="F5" s="19"/>
      <c r="G5" s="20"/>
      <c r="H5" s="21"/>
      <c r="I5" s="2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" customHeight="1" x14ac:dyDescent="0.25">
      <c r="A6" s="160" t="s">
        <v>18</v>
      </c>
      <c r="B6" s="169"/>
      <c r="C6" s="164" t="s">
        <v>37</v>
      </c>
      <c r="D6" s="170"/>
      <c r="E6" s="170"/>
      <c r="F6" s="19"/>
      <c r="G6" s="20"/>
      <c r="H6" s="21"/>
      <c r="I6" s="2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6.5" customHeight="1" x14ac:dyDescent="0.25">
      <c r="A7" s="160" t="s">
        <v>3</v>
      </c>
      <c r="B7" s="161"/>
      <c r="C7" s="71">
        <v>2021</v>
      </c>
      <c r="D7" s="30"/>
      <c r="E7" s="23"/>
      <c r="F7" s="19"/>
      <c r="G7" s="20"/>
      <c r="H7" s="21"/>
      <c r="I7" s="2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6.5" customHeight="1" x14ac:dyDescent="0.25">
      <c r="A8" s="160" t="s">
        <v>4</v>
      </c>
      <c r="B8" s="161"/>
      <c r="C8" s="71">
        <v>3</v>
      </c>
      <c r="D8" s="30"/>
      <c r="E8" s="23"/>
      <c r="F8" s="19"/>
      <c r="G8" s="20"/>
      <c r="H8" s="21"/>
      <c r="I8" s="2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thickBot="1" x14ac:dyDescent="0.25">
      <c r="A9" s="11"/>
      <c r="B9" s="12"/>
      <c r="C9" s="72"/>
      <c r="D9" s="24"/>
      <c r="E9" s="26"/>
      <c r="F9" s="25"/>
      <c r="G9" s="24"/>
      <c r="H9" s="27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.75" thickBot="1" x14ac:dyDescent="0.25">
      <c r="A10" s="32" t="s">
        <v>5</v>
      </c>
      <c r="B10" s="32" t="s">
        <v>6</v>
      </c>
      <c r="C10" s="32" t="s">
        <v>7</v>
      </c>
      <c r="D10" s="32" t="s">
        <v>8</v>
      </c>
      <c r="E10" s="32" t="s">
        <v>9</v>
      </c>
      <c r="F10" s="32" t="s">
        <v>10</v>
      </c>
      <c r="G10" s="32" t="s">
        <v>11</v>
      </c>
      <c r="H10" s="33" t="s">
        <v>12</v>
      </c>
      <c r="I10" s="32" t="s">
        <v>13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s="44" customFormat="1" ht="28.5" x14ac:dyDescent="0.2">
      <c r="A11" s="49">
        <v>1</v>
      </c>
      <c r="B11" s="54" t="s">
        <v>19</v>
      </c>
      <c r="C11" s="73" t="s">
        <v>20</v>
      </c>
      <c r="D11" s="50" t="str">
        <f t="shared" ref="D11:D19" si="0">LEFT(B11,5)</f>
        <v>2.3.1</v>
      </c>
      <c r="E11" s="55" t="s">
        <v>22</v>
      </c>
      <c r="F11" s="56" t="s">
        <v>14</v>
      </c>
      <c r="G11" s="56">
        <v>60</v>
      </c>
      <c r="H11" s="57">
        <v>600</v>
      </c>
      <c r="I11" s="58">
        <f t="shared" ref="I11:I19" si="1">H11*G11</f>
        <v>36000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spans="1:28" s="44" customFormat="1" ht="42.75" x14ac:dyDescent="0.2">
      <c r="A12" s="51">
        <v>2</v>
      </c>
      <c r="B12" s="42" t="s">
        <v>21</v>
      </c>
      <c r="C12" s="45" t="s">
        <v>20</v>
      </c>
      <c r="D12" s="37" t="str">
        <f t="shared" si="0"/>
        <v>2.3.1</v>
      </c>
      <c r="E12" s="34" t="s">
        <v>23</v>
      </c>
      <c r="F12" s="46" t="s">
        <v>14</v>
      </c>
      <c r="G12" s="35">
        <v>60</v>
      </c>
      <c r="H12" s="36">
        <v>700</v>
      </c>
      <c r="I12" s="59">
        <f t="shared" si="1"/>
        <v>42000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spans="1:28" s="44" customFormat="1" ht="31.5" customHeight="1" x14ac:dyDescent="0.2">
      <c r="A13" s="51">
        <v>3</v>
      </c>
      <c r="B13" s="42" t="s">
        <v>24</v>
      </c>
      <c r="C13" s="45" t="s">
        <v>20</v>
      </c>
      <c r="D13" s="37" t="str">
        <f t="shared" si="0"/>
        <v>2.9.2</v>
      </c>
      <c r="E13" s="34" t="s">
        <v>25</v>
      </c>
      <c r="F13" s="46" t="s">
        <v>14</v>
      </c>
      <c r="G13" s="35">
        <v>100</v>
      </c>
      <c r="H13" s="36">
        <v>60</v>
      </c>
      <c r="I13" s="59">
        <f t="shared" si="1"/>
        <v>6000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spans="1:28" s="44" customFormat="1" ht="31.5" customHeight="1" x14ac:dyDescent="0.2">
      <c r="A14" s="51">
        <v>4</v>
      </c>
      <c r="B14" s="42" t="s">
        <v>26</v>
      </c>
      <c r="C14" s="45" t="s">
        <v>20</v>
      </c>
      <c r="D14" s="37" t="str">
        <f t="shared" si="0"/>
        <v>2.9.2</v>
      </c>
      <c r="E14" s="34" t="s">
        <v>27</v>
      </c>
      <c r="F14" s="46" t="s">
        <v>14</v>
      </c>
      <c r="G14" s="35">
        <v>100</v>
      </c>
      <c r="H14" s="36">
        <v>85</v>
      </c>
      <c r="I14" s="59">
        <f t="shared" si="1"/>
        <v>8500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spans="1:28" s="44" customFormat="1" ht="31.5" customHeight="1" x14ac:dyDescent="0.2">
      <c r="A15" s="51">
        <v>5</v>
      </c>
      <c r="B15" s="42" t="s">
        <v>28</v>
      </c>
      <c r="C15" s="45" t="s">
        <v>20</v>
      </c>
      <c r="D15" s="37" t="str">
        <f t="shared" si="0"/>
        <v>2.9.2</v>
      </c>
      <c r="E15" s="34" t="s">
        <v>29</v>
      </c>
      <c r="F15" s="46" t="s">
        <v>30</v>
      </c>
      <c r="G15" s="35">
        <v>10</v>
      </c>
      <c r="H15" s="36">
        <v>800</v>
      </c>
      <c r="I15" s="59">
        <f t="shared" si="1"/>
        <v>8000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spans="1:28" s="44" customFormat="1" ht="31.5" customHeight="1" x14ac:dyDescent="0.2">
      <c r="A16" s="51">
        <v>6</v>
      </c>
      <c r="B16" s="42" t="s">
        <v>31</v>
      </c>
      <c r="C16" s="45" t="s">
        <v>20</v>
      </c>
      <c r="D16" s="37" t="str">
        <f t="shared" si="0"/>
        <v>2.9.2</v>
      </c>
      <c r="E16" s="34" t="s">
        <v>32</v>
      </c>
      <c r="F16" s="46" t="s">
        <v>30</v>
      </c>
      <c r="G16" s="35">
        <v>10</v>
      </c>
      <c r="H16" s="36">
        <v>700</v>
      </c>
      <c r="I16" s="59">
        <f t="shared" si="1"/>
        <v>7000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spans="1:28" s="44" customFormat="1" ht="32.25" customHeight="1" x14ac:dyDescent="0.2">
      <c r="A17" s="51">
        <v>7</v>
      </c>
      <c r="B17" s="42" t="s">
        <v>33</v>
      </c>
      <c r="C17" s="45" t="s">
        <v>20</v>
      </c>
      <c r="D17" s="37" t="s">
        <v>38</v>
      </c>
      <c r="E17" s="34" t="s">
        <v>39</v>
      </c>
      <c r="F17" s="46" t="s">
        <v>34</v>
      </c>
      <c r="G17" s="35">
        <v>3</v>
      </c>
      <c r="H17" s="36">
        <v>1500</v>
      </c>
      <c r="I17" s="59">
        <f t="shared" si="1"/>
        <v>4500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spans="1:28" s="44" customFormat="1" ht="32.25" customHeight="1" x14ac:dyDescent="0.2">
      <c r="A18" s="51">
        <v>8</v>
      </c>
      <c r="B18" s="42" t="s">
        <v>40</v>
      </c>
      <c r="C18" s="45" t="s">
        <v>20</v>
      </c>
      <c r="D18" s="37" t="s">
        <v>38</v>
      </c>
      <c r="E18" s="34" t="s">
        <v>41</v>
      </c>
      <c r="F18" s="46" t="s">
        <v>34</v>
      </c>
      <c r="G18" s="35">
        <v>3</v>
      </c>
      <c r="H18" s="36">
        <v>1500</v>
      </c>
      <c r="I18" s="59">
        <f t="shared" si="1"/>
        <v>4500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 s="44" customFormat="1" ht="43.5" thickBot="1" x14ac:dyDescent="0.25">
      <c r="A19" s="52">
        <v>9</v>
      </c>
      <c r="B19" s="60" t="s">
        <v>35</v>
      </c>
      <c r="C19" s="61" t="s">
        <v>20</v>
      </c>
      <c r="D19" s="53" t="str">
        <f t="shared" si="0"/>
        <v>2.3.1</v>
      </c>
      <c r="E19" s="62" t="s">
        <v>36</v>
      </c>
      <c r="F19" s="63" t="s">
        <v>14</v>
      </c>
      <c r="G19" s="64">
        <v>5</v>
      </c>
      <c r="H19" s="65">
        <v>800</v>
      </c>
      <c r="I19" s="66">
        <f t="shared" si="1"/>
        <v>4000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spans="1:28" s="47" customFormat="1" ht="33.75" customHeight="1" thickBot="1" x14ac:dyDescent="0.3">
      <c r="A20" s="166" t="s">
        <v>17</v>
      </c>
      <c r="B20" s="167"/>
      <c r="C20" s="167"/>
      <c r="D20" s="167"/>
      <c r="E20" s="167"/>
      <c r="F20" s="167"/>
      <c r="G20" s="167"/>
      <c r="H20" s="168"/>
      <c r="I20" s="29">
        <f>SUM(I11:I19)</f>
        <v>120500</v>
      </c>
      <c r="J20" s="4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28" s="74" customFormat="1" ht="33.75" customHeight="1" x14ac:dyDescent="0.25">
      <c r="A21" s="153"/>
      <c r="B21" s="154"/>
      <c r="C21" s="154"/>
      <c r="D21" s="154"/>
      <c r="E21" s="154"/>
      <c r="F21" s="154"/>
      <c r="G21" s="154"/>
      <c r="H21" s="154"/>
      <c r="I21" s="155"/>
      <c r="J21" s="4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s="74" customFormat="1" ht="18.75" customHeight="1" thickBot="1" x14ac:dyDescent="0.3">
      <c r="A22" s="153"/>
      <c r="B22" s="154"/>
      <c r="C22" s="154"/>
      <c r="D22" s="154"/>
      <c r="E22" s="154"/>
      <c r="F22" s="154"/>
      <c r="G22" s="154"/>
      <c r="H22" s="154"/>
      <c r="I22" s="155"/>
      <c r="J22" s="4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1:28" s="74" customFormat="1" ht="18.75" customHeight="1" x14ac:dyDescent="0.25">
      <c r="A23" s="153"/>
      <c r="B23" s="143" t="s">
        <v>88</v>
      </c>
      <c r="C23" s="144"/>
      <c r="D23" s="144"/>
      <c r="E23" s="145"/>
      <c r="F23" s="154"/>
      <c r="G23" s="154"/>
      <c r="H23" s="154"/>
      <c r="I23" s="155"/>
      <c r="J23" s="4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s="74" customFormat="1" ht="18.75" customHeight="1" x14ac:dyDescent="0.25">
      <c r="A24" s="153"/>
      <c r="B24" s="146"/>
      <c r="C24" s="147"/>
      <c r="D24" s="147"/>
      <c r="E24" s="148"/>
      <c r="F24" s="154"/>
      <c r="G24" s="154"/>
      <c r="H24" s="154"/>
      <c r="I24" s="155"/>
      <c r="J24" s="4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s="74" customFormat="1" ht="18.75" customHeight="1" x14ac:dyDescent="0.25">
      <c r="A25" s="153"/>
      <c r="B25" s="149" t="s">
        <v>87</v>
      </c>
      <c r="C25" s="147"/>
      <c r="D25" s="147"/>
      <c r="E25" s="148"/>
      <c r="F25" s="154"/>
      <c r="G25" s="154"/>
      <c r="H25" s="154"/>
      <c r="I25" s="155"/>
      <c r="J25" s="4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s="74" customFormat="1" ht="18.75" customHeight="1" x14ac:dyDescent="0.25">
      <c r="A26" s="153"/>
      <c r="B26" s="149"/>
      <c r="C26" s="156" t="s">
        <v>89</v>
      </c>
      <c r="D26" s="156"/>
      <c r="E26" s="157"/>
      <c r="F26" s="154"/>
      <c r="G26" s="154"/>
      <c r="H26" s="154"/>
      <c r="I26" s="155"/>
      <c r="J26" s="4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s="74" customFormat="1" ht="18.75" customHeight="1" thickBot="1" x14ac:dyDescent="0.3">
      <c r="A27" s="153"/>
      <c r="B27" s="150"/>
      <c r="C27" s="151"/>
      <c r="D27" s="151"/>
      <c r="E27" s="152"/>
      <c r="F27" s="154"/>
      <c r="G27" s="154"/>
      <c r="H27" s="154"/>
      <c r="I27" s="155"/>
      <c r="J27" s="4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1:28" s="74" customFormat="1" ht="18.75" customHeight="1" thickBot="1" x14ac:dyDescent="0.3">
      <c r="A28" s="153"/>
      <c r="B28" s="154"/>
      <c r="C28" s="154"/>
      <c r="D28" s="154"/>
      <c r="E28" s="154"/>
      <c r="F28" s="154"/>
      <c r="G28" s="154"/>
      <c r="H28" s="154"/>
      <c r="I28" s="155"/>
      <c r="J28" s="4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1:28" s="74" customFormat="1" ht="18.75" customHeight="1" x14ac:dyDescent="0.25">
      <c r="A29" s="153"/>
      <c r="B29" s="143" t="s">
        <v>90</v>
      </c>
      <c r="C29" s="144"/>
      <c r="D29" s="144"/>
      <c r="E29" s="145"/>
      <c r="F29" s="154"/>
      <c r="G29" s="154"/>
      <c r="H29" s="154"/>
      <c r="I29" s="155"/>
      <c r="J29" s="4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1:28" s="74" customFormat="1" ht="18.75" customHeight="1" x14ac:dyDescent="0.25">
      <c r="A30" s="153"/>
      <c r="B30" s="146"/>
      <c r="C30" s="147"/>
      <c r="D30" s="147"/>
      <c r="E30" s="148"/>
      <c r="F30" s="154"/>
      <c r="G30" s="154"/>
      <c r="H30" s="154"/>
      <c r="I30" s="155"/>
      <c r="J30" s="4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1:28" s="74" customFormat="1" ht="18.75" customHeight="1" x14ac:dyDescent="0.25">
      <c r="A31" s="153"/>
      <c r="B31" s="149" t="s">
        <v>87</v>
      </c>
      <c r="C31" s="147"/>
      <c r="D31" s="147"/>
      <c r="E31" s="148"/>
      <c r="F31" s="154"/>
      <c r="G31" s="154"/>
      <c r="H31" s="154"/>
      <c r="I31" s="155"/>
      <c r="J31" s="4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1:28" s="74" customFormat="1" ht="18.75" customHeight="1" x14ac:dyDescent="0.25">
      <c r="A32" s="153"/>
      <c r="B32" s="149"/>
      <c r="C32" s="156" t="s">
        <v>91</v>
      </c>
      <c r="D32" s="156"/>
      <c r="E32" s="157"/>
      <c r="F32" s="154"/>
      <c r="G32" s="154"/>
      <c r="H32" s="154"/>
      <c r="I32" s="155"/>
      <c r="J32" s="4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8" s="74" customFormat="1" ht="18.75" customHeight="1" thickBot="1" x14ac:dyDescent="0.3">
      <c r="A33" s="153"/>
      <c r="B33" s="150"/>
      <c r="C33" s="151"/>
      <c r="D33" s="151"/>
      <c r="E33" s="152"/>
      <c r="F33" s="154"/>
      <c r="G33" s="154"/>
      <c r="H33" s="154"/>
      <c r="I33" s="155"/>
      <c r="J33" s="4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1:28" s="74" customFormat="1" ht="18.75" customHeight="1" thickBot="1" x14ac:dyDescent="0.3">
      <c r="A34" s="153"/>
      <c r="B34" s="154"/>
      <c r="C34" s="154"/>
      <c r="D34" s="154"/>
      <c r="E34" s="154"/>
      <c r="F34" s="154"/>
      <c r="G34" s="154"/>
      <c r="H34" s="154"/>
      <c r="I34" s="155"/>
      <c r="J34" s="4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1:28" s="74" customFormat="1" ht="18.75" customHeight="1" x14ac:dyDescent="0.25">
      <c r="A35" s="153"/>
      <c r="B35" s="143" t="s">
        <v>92</v>
      </c>
      <c r="C35" s="144"/>
      <c r="D35" s="144"/>
      <c r="E35" s="145"/>
      <c r="F35" s="154"/>
      <c r="G35" s="154"/>
      <c r="H35" s="154"/>
      <c r="I35" s="155"/>
      <c r="J35" s="4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1:28" s="74" customFormat="1" ht="18.75" customHeight="1" x14ac:dyDescent="0.25">
      <c r="A36" s="153"/>
      <c r="B36" s="146"/>
      <c r="C36" s="147"/>
      <c r="D36" s="147"/>
      <c r="E36" s="148"/>
      <c r="F36" s="154"/>
      <c r="G36" s="154"/>
      <c r="H36" s="154"/>
      <c r="I36" s="155"/>
      <c r="J36" s="4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pans="1:28" s="74" customFormat="1" ht="18.75" customHeight="1" x14ac:dyDescent="0.25">
      <c r="A37" s="153"/>
      <c r="B37" s="149" t="s">
        <v>87</v>
      </c>
      <c r="C37" s="147"/>
      <c r="D37" s="147"/>
      <c r="E37" s="148"/>
      <c r="F37" s="154"/>
      <c r="G37" s="154"/>
      <c r="H37" s="154"/>
      <c r="I37" s="155"/>
      <c r="J37" s="4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spans="1:28" s="74" customFormat="1" ht="18.75" customHeight="1" x14ac:dyDescent="0.25">
      <c r="A38" s="153"/>
      <c r="B38" s="149"/>
      <c r="C38" s="156" t="s">
        <v>93</v>
      </c>
      <c r="D38" s="156"/>
      <c r="E38" s="157"/>
      <c r="F38" s="154"/>
      <c r="G38" s="154"/>
      <c r="H38" s="154"/>
      <c r="I38" s="155"/>
      <c r="J38" s="4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1:28" s="74" customFormat="1" ht="18.75" customHeight="1" thickBot="1" x14ac:dyDescent="0.3">
      <c r="A39" s="153"/>
      <c r="B39" s="150"/>
      <c r="C39" s="151"/>
      <c r="D39" s="151"/>
      <c r="E39" s="152"/>
      <c r="F39" s="154"/>
      <c r="G39" s="154"/>
      <c r="H39" s="154"/>
      <c r="I39" s="155"/>
      <c r="J39" s="4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1:28" s="74" customFormat="1" ht="18.75" customHeight="1" x14ac:dyDescent="0.25">
      <c r="A40" s="153"/>
      <c r="B40" s="154"/>
      <c r="C40" s="154"/>
      <c r="D40" s="154"/>
      <c r="E40" s="154"/>
      <c r="F40" s="154"/>
      <c r="G40" s="154"/>
      <c r="H40" s="154"/>
      <c r="I40" s="155"/>
      <c r="J40" s="4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</sheetData>
  <mergeCells count="13">
    <mergeCell ref="C26:E26"/>
    <mergeCell ref="C32:E32"/>
    <mergeCell ref="C38:E38"/>
    <mergeCell ref="B2:H2"/>
    <mergeCell ref="A4:B4"/>
    <mergeCell ref="C4:E4"/>
    <mergeCell ref="A5:B5"/>
    <mergeCell ref="C5:E5"/>
    <mergeCell ref="A7:B7"/>
    <mergeCell ref="A20:H20"/>
    <mergeCell ref="A6:B6"/>
    <mergeCell ref="C6:E6"/>
    <mergeCell ref="A8:B8"/>
  </mergeCells>
  <pageMargins left="0.70866141732283472" right="0.70866141732283472" top="0.74803149606299213" bottom="0.74803149606299213" header="0.31496062992125984" footer="0.31496062992125984"/>
  <pageSetup paperSize="5" scale="39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topLeftCell="A4" workbookViewId="0">
      <selection activeCell="D19" sqref="D19"/>
    </sheetView>
  </sheetViews>
  <sheetFormatPr baseColWidth="10" defaultColWidth="12.5703125" defaultRowHeight="12.75" x14ac:dyDescent="0.2"/>
  <cols>
    <col min="1" max="1" width="4.140625" style="115" customWidth="1"/>
    <col min="2" max="2" width="27.28515625" style="142" customWidth="1"/>
    <col min="3" max="3" width="123.85546875" style="115" customWidth="1"/>
    <col min="4" max="4" width="13.7109375" style="115" customWidth="1"/>
    <col min="5" max="5" width="12.85546875" style="142" customWidth="1"/>
    <col min="6" max="6" width="13.5703125" style="115" customWidth="1"/>
    <col min="7" max="7" width="11.85546875" style="115" customWidth="1"/>
    <col min="8" max="25" width="11" style="115" customWidth="1"/>
    <col min="26" max="16384" width="12.5703125" style="115"/>
  </cols>
  <sheetData>
    <row r="1" spans="1:26" ht="23.25" x14ac:dyDescent="0.2">
      <c r="A1" s="175" t="s">
        <v>75</v>
      </c>
      <c r="B1" s="176"/>
      <c r="C1" s="176"/>
      <c r="D1" s="176"/>
      <c r="E1" s="176"/>
      <c r="F1" s="112" t="s">
        <v>76</v>
      </c>
      <c r="G1" s="113" t="s">
        <v>84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x14ac:dyDescent="0.2">
      <c r="A2" s="116"/>
      <c r="B2" s="117"/>
      <c r="C2" s="118"/>
      <c r="D2" s="118"/>
      <c r="E2" s="117"/>
      <c r="F2" s="118"/>
      <c r="G2" s="119"/>
    </row>
    <row r="3" spans="1:26" ht="15" x14ac:dyDescent="0.2">
      <c r="A3" s="120"/>
      <c r="B3" s="121"/>
      <c r="C3" s="121"/>
      <c r="D3" s="121"/>
      <c r="E3" s="121"/>
      <c r="F3" s="122"/>
      <c r="G3" s="123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</row>
    <row r="4" spans="1:26" s="126" customFormat="1" ht="15" x14ac:dyDescent="0.2">
      <c r="A4" s="177" t="s">
        <v>1</v>
      </c>
      <c r="B4" s="178"/>
      <c r="C4" s="179" t="s">
        <v>16</v>
      </c>
      <c r="D4" s="179"/>
      <c r="E4" s="180"/>
      <c r="F4" s="180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6" s="126" customFormat="1" ht="15" x14ac:dyDescent="0.2">
      <c r="A5" s="171" t="s">
        <v>2</v>
      </c>
      <c r="B5" s="172"/>
      <c r="C5" s="173" t="s">
        <v>15</v>
      </c>
      <c r="D5" s="173"/>
      <c r="E5" s="174"/>
      <c r="F5" s="174"/>
      <c r="G5" s="127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</row>
    <row r="6" spans="1:26" s="126" customFormat="1" ht="15" x14ac:dyDescent="0.2">
      <c r="A6" s="171" t="s">
        <v>18</v>
      </c>
      <c r="B6" s="172"/>
      <c r="C6" s="173" t="s">
        <v>74</v>
      </c>
      <c r="D6" s="173"/>
      <c r="E6" s="174"/>
      <c r="F6" s="174"/>
      <c r="G6" s="127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</row>
    <row r="7" spans="1:26" s="126" customFormat="1" ht="15" customHeight="1" x14ac:dyDescent="0.2">
      <c r="A7" s="171" t="s">
        <v>77</v>
      </c>
      <c r="B7" s="172"/>
      <c r="C7" s="173" t="s">
        <v>74</v>
      </c>
      <c r="D7" s="173"/>
      <c r="E7" s="174"/>
      <c r="F7" s="174"/>
      <c r="G7" s="127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 spans="1:26" s="126" customFormat="1" ht="15" x14ac:dyDescent="0.2">
      <c r="A8" s="171" t="s">
        <v>4</v>
      </c>
      <c r="B8" s="172"/>
      <c r="C8" s="128" t="s">
        <v>78</v>
      </c>
      <c r="D8" s="128"/>
      <c r="E8" s="129"/>
      <c r="F8" s="128"/>
      <c r="G8" s="127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spans="1:26" s="126" customFormat="1" ht="15" x14ac:dyDescent="0.2">
      <c r="A9" s="171" t="s">
        <v>79</v>
      </c>
      <c r="B9" s="172"/>
      <c r="C9" s="181" t="s">
        <v>80</v>
      </c>
      <c r="D9" s="181"/>
      <c r="E9" s="181"/>
      <c r="F9" s="181"/>
      <c r="G9" s="182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spans="1:26" s="126" customFormat="1" ht="45" x14ac:dyDescent="0.2">
      <c r="A10" s="130" t="s">
        <v>5</v>
      </c>
      <c r="B10" s="130" t="s">
        <v>81</v>
      </c>
      <c r="C10" s="130" t="s">
        <v>9</v>
      </c>
      <c r="D10" s="130" t="s">
        <v>82</v>
      </c>
      <c r="E10" s="130" t="s">
        <v>10</v>
      </c>
      <c r="F10" s="130" t="s">
        <v>12</v>
      </c>
      <c r="G10" s="131" t="s">
        <v>11</v>
      </c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</row>
    <row r="11" spans="1:26" s="126" customFormat="1" ht="47.25" customHeight="1" x14ac:dyDescent="0.2">
      <c r="A11" s="132">
        <v>1</v>
      </c>
      <c r="B11" s="133" t="str">
        <f>+'NECESIDADES TRIMESTRALES'!B11</f>
        <v>2.3.1-6563.763</v>
      </c>
      <c r="C11" s="134" t="str">
        <f>+'NECESIDADES TRIMESTRALES'!E11</f>
        <v>PAPELES EN HOJA; TIPO DE PAPEL: MULTIFUNCION, DIMENSION: 21 X 29,7 Cm, GRAMAJE: 80 GR/M2, PRESENTACION: ENVASE X 500 HOJAS, CERTIFICADO FORESTAL (GFS): SIN</v>
      </c>
      <c r="D11" s="135" t="s">
        <v>83</v>
      </c>
      <c r="E11" s="136" t="str">
        <f>+'NECESIDADES TRIMESTRALES'!F11</f>
        <v>UNIDAD</v>
      </c>
      <c r="F11" s="137">
        <f>+'NECESIDADES TRIMESTRALES'!H11</f>
        <v>600</v>
      </c>
      <c r="G11" s="136">
        <f>+'NECESIDADES TRIMESTRALES'!G11</f>
        <v>60</v>
      </c>
      <c r="H11" s="138">
        <f t="shared" ref="H11:H17" si="0">+G11*F11</f>
        <v>36000</v>
      </c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</row>
    <row r="12" spans="1:26" s="126" customFormat="1" ht="47.25" customHeight="1" x14ac:dyDescent="0.2">
      <c r="A12" s="139">
        <v>2</v>
      </c>
      <c r="B12" s="133" t="str">
        <f>+'NECESIDADES TRIMESTRALES'!B12</f>
        <v>2.3.1-6563.936</v>
      </c>
      <c r="C12" s="134" t="str">
        <f>+'NECESIDADES TRIMESTRALES'!E12</f>
        <v>PAPELES EN HOJA; TIPO DE PAPEL: MULTIFUNCION, DIMENSION: 21,59 X 35,56 Cm, GRAMAJE: 80 GR, PRESENTACION: RESMA X 500 HOJAS, CERTIFICADO FORESTAL (GFS): SIN, PORC. FIBRAS RECICLADAS: 0 %, CERT. FIBRA ALTERNATIVA (FCA): SIN</v>
      </c>
      <c r="D12" s="135" t="s">
        <v>83</v>
      </c>
      <c r="E12" s="136" t="str">
        <f>+'NECESIDADES TRIMESTRALES'!F12</f>
        <v>UNIDAD</v>
      </c>
      <c r="F12" s="137">
        <f>+'NECESIDADES TRIMESTRALES'!H12</f>
        <v>700</v>
      </c>
      <c r="G12" s="136">
        <f>+'NECESIDADES TRIMESTRALES'!G12</f>
        <v>60</v>
      </c>
      <c r="H12" s="138">
        <f t="shared" si="0"/>
        <v>42000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</row>
    <row r="13" spans="1:26" s="126" customFormat="1" ht="47.25" customHeight="1" x14ac:dyDescent="0.2">
      <c r="A13" s="139">
        <v>3</v>
      </c>
      <c r="B13" s="133" t="str">
        <f>+'NECESIDADES TRIMESTRALES'!B13</f>
        <v>2.9.2-1358.353</v>
      </c>
      <c r="C13" s="134" t="str">
        <f>+'NECESIDADES TRIMESTRALES'!E13</f>
        <v>CARPETAS; MATERIAL PLASTICO - TAMAÑO A4.</v>
      </c>
      <c r="D13" s="135" t="s">
        <v>83</v>
      </c>
      <c r="E13" s="136" t="str">
        <f>+'NECESIDADES TRIMESTRALES'!F13</f>
        <v>UNIDAD</v>
      </c>
      <c r="F13" s="137">
        <f>+'NECESIDADES TRIMESTRALES'!H13</f>
        <v>60</v>
      </c>
      <c r="G13" s="136">
        <f>+'NECESIDADES TRIMESTRALES'!G13</f>
        <v>100</v>
      </c>
      <c r="H13" s="138">
        <f t="shared" si="0"/>
        <v>6000</v>
      </c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</row>
    <row r="14" spans="1:26" ht="47.25" customHeight="1" x14ac:dyDescent="0.2">
      <c r="A14" s="140">
        <v>4</v>
      </c>
      <c r="B14" s="133" t="str">
        <f>+'NECESIDADES TRIMESTRALES'!B14</f>
        <v>2.9.2-1358.354</v>
      </c>
      <c r="C14" s="134" t="str">
        <f>+'NECESIDADES TRIMESTRALES'!E14</f>
        <v>CARPETAS; MATERIAL PLASTICO - TAMAÑO OFICIO.</v>
      </c>
      <c r="D14" s="135" t="s">
        <v>83</v>
      </c>
      <c r="E14" s="136" t="str">
        <f>+'NECESIDADES TRIMESTRALES'!F14</f>
        <v>UNIDAD</v>
      </c>
      <c r="F14" s="137">
        <f>+'NECESIDADES TRIMESTRALES'!H14</f>
        <v>85</v>
      </c>
      <c r="G14" s="136">
        <f>+'NECESIDADES TRIMESTRALES'!G14</f>
        <v>100</v>
      </c>
      <c r="H14" s="138">
        <f t="shared" si="0"/>
        <v>8500</v>
      </c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</row>
    <row r="15" spans="1:26" ht="47.25" customHeight="1" x14ac:dyDescent="0.2">
      <c r="A15" s="140">
        <v>5</v>
      </c>
      <c r="B15" s="133" t="str">
        <f>+'NECESIDADES TRIMESTRALES'!B15</f>
        <v>2.9.2-1611.22</v>
      </c>
      <c r="C15" s="134" t="str">
        <f>+'NECESIDADES TRIMESTRALES'!E15</f>
        <v>FOLIOS TRANSPARENTES; TAMAÑO: OFICIO, PERFORACIONES: 11, MATERIAL: POLIPROPILENO</v>
      </c>
      <c r="D15" s="135" t="s">
        <v>94</v>
      </c>
      <c r="E15" s="136" t="str">
        <f>+'NECESIDADES TRIMESTRALES'!F15</f>
        <v>PAQUETE</v>
      </c>
      <c r="F15" s="137">
        <f>+'NECESIDADES TRIMESTRALES'!H15</f>
        <v>800</v>
      </c>
      <c r="G15" s="136">
        <f>+'NECESIDADES TRIMESTRALES'!G15</f>
        <v>10</v>
      </c>
      <c r="H15" s="138">
        <f t="shared" si="0"/>
        <v>8000</v>
      </c>
    </row>
    <row r="16" spans="1:26" ht="47.25" customHeight="1" x14ac:dyDescent="0.2">
      <c r="A16" s="140">
        <v>6</v>
      </c>
      <c r="B16" s="133" t="str">
        <f>+'NECESIDADES TRIMESTRALES'!B16</f>
        <v>2.9.2-1611.23</v>
      </c>
      <c r="C16" s="134" t="str">
        <f>+'NECESIDADES TRIMESTRALES'!E16</f>
        <v>FOLIOS TRANSPARENTES; TAMAÑO: A4, PERFORACIONES: 11, MATERIAL: POLIPROPILENO</v>
      </c>
      <c r="D16" s="135" t="s">
        <v>94</v>
      </c>
      <c r="E16" s="136" t="str">
        <f>+'NECESIDADES TRIMESTRALES'!F16</f>
        <v>PAQUETE</v>
      </c>
      <c r="F16" s="137">
        <f>+'NECESIDADES TRIMESTRALES'!H16</f>
        <v>700</v>
      </c>
      <c r="G16" s="136">
        <f>+'NECESIDADES TRIMESTRALES'!G16</f>
        <v>10</v>
      </c>
      <c r="H16" s="138">
        <f t="shared" si="0"/>
        <v>7000</v>
      </c>
    </row>
    <row r="17" spans="1:8" ht="47.25" customHeight="1" x14ac:dyDescent="0.2">
      <c r="A17" s="140">
        <v>7</v>
      </c>
      <c r="B17" s="133" t="str">
        <f>+'NECESIDADES TRIMESTRALES'!B17</f>
        <v>2.9.2-317.17</v>
      </c>
      <c r="C17" s="134" t="str">
        <f>+'NECESIDADES TRIMESTRALES'!E17</f>
        <v>BOLIGRAFOS; TRAZO: GRUESO, COLOR TINTA: NEGRO</v>
      </c>
      <c r="D17" s="135" t="s">
        <v>83</v>
      </c>
      <c r="E17" s="136" t="str">
        <f>+'NECESIDADES TRIMESTRALES'!F17</f>
        <v>CAJA</v>
      </c>
      <c r="F17" s="137">
        <f>+'NECESIDADES TRIMESTRALES'!H17</f>
        <v>1500</v>
      </c>
      <c r="G17" s="136">
        <f>+'NECESIDADES TRIMESTRALES'!G17</f>
        <v>3</v>
      </c>
      <c r="H17" s="138">
        <f t="shared" si="0"/>
        <v>4500</v>
      </c>
    </row>
    <row r="18" spans="1:8" ht="47.25" customHeight="1" x14ac:dyDescent="0.2">
      <c r="A18" s="140">
        <v>8</v>
      </c>
      <c r="B18" s="133" t="str">
        <f>+'NECESIDADES TRIMESTRALES'!B18</f>
        <v>2.9.2-317.32</v>
      </c>
      <c r="C18" s="134" t="str">
        <f>+'NECESIDADES TRIMESTRALES'!E18</f>
        <v>BOLIGRAFOS; TRAZO: 0,8 mm</v>
      </c>
      <c r="D18" s="135" t="s">
        <v>94</v>
      </c>
      <c r="E18" s="136" t="str">
        <f>+'NECESIDADES TRIMESTRALES'!F18</f>
        <v>CAJA</v>
      </c>
      <c r="F18" s="137">
        <f>+'NECESIDADES TRIMESTRALES'!H18</f>
        <v>1500</v>
      </c>
      <c r="G18" s="136">
        <f>+'NECESIDADES TRIMESTRALES'!G18</f>
        <v>3</v>
      </c>
    </row>
    <row r="19" spans="1:8" ht="47.25" customHeight="1" x14ac:dyDescent="0.2">
      <c r="A19" s="140">
        <v>9</v>
      </c>
      <c r="B19" s="133" t="str">
        <f>+'NECESIDADES TRIMESTRALES'!B19</f>
        <v>2.3.1-6587.346</v>
      </c>
      <c r="C19" s="134" t="str">
        <f>+'NECESIDADES TRIMESTRALES'!E19</f>
        <v>PAPELES ENCUADERNADOS; CANT. DE HOJAS: 100, TAMAÑO: A4, TIPO: CUADERNO ESPIRALADO TAPA DURA, CERTIFICADO FORESTAL (GFS): SIN, PORC. FIBRAS RECICLADAS: 0 %, CERT. FIBRA ALTERNATIVA (FCA): SIN</v>
      </c>
      <c r="D19" s="135" t="s">
        <v>83</v>
      </c>
      <c r="E19" s="136" t="str">
        <f>+'NECESIDADES TRIMESTRALES'!F19</f>
        <v>UNIDAD</v>
      </c>
      <c r="F19" s="137">
        <f>+'NECESIDADES TRIMESTRALES'!H19</f>
        <v>800</v>
      </c>
      <c r="G19" s="136">
        <f>+'NECESIDADES TRIMESTRALES'!G19</f>
        <v>5</v>
      </c>
    </row>
  </sheetData>
  <mergeCells count="12">
    <mergeCell ref="A7:B7"/>
    <mergeCell ref="C7:F7"/>
    <mergeCell ref="A8:B8"/>
    <mergeCell ref="A9:B9"/>
    <mergeCell ref="C9:G9"/>
    <mergeCell ref="A6:B6"/>
    <mergeCell ref="C6:F6"/>
    <mergeCell ref="A1:E1"/>
    <mergeCell ref="A4:B4"/>
    <mergeCell ref="C4:F4"/>
    <mergeCell ref="A5:B5"/>
    <mergeCell ref="C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A20" sqref="A20:Q20"/>
    </sheetView>
  </sheetViews>
  <sheetFormatPr baseColWidth="10" defaultColWidth="11" defaultRowHeight="12.75" x14ac:dyDescent="0.2"/>
  <cols>
    <col min="1" max="5" width="4.42578125" style="77" customWidth="1"/>
    <col min="6" max="6" width="5" style="77" bestFit="1" customWidth="1"/>
    <col min="7" max="7" width="4.42578125" style="78" customWidth="1"/>
    <col min="8" max="14" width="4.42578125" style="77" customWidth="1"/>
    <col min="15" max="15" width="14.85546875" style="77" customWidth="1"/>
    <col min="16" max="16" width="24.140625" style="77" customWidth="1"/>
    <col min="17" max="17" width="23.7109375" style="77" customWidth="1"/>
    <col min="18" max="16384" width="11" style="77"/>
  </cols>
  <sheetData>
    <row r="1" spans="1:17" ht="15.75" thickBot="1" x14ac:dyDescent="0.3">
      <c r="A1" s="187" t="s">
        <v>3</v>
      </c>
      <c r="B1" s="188"/>
      <c r="C1" s="188"/>
      <c r="D1" s="189">
        <f>+'[1]NECESIDADES TRIMESTRALES'!C6</f>
        <v>2021</v>
      </c>
      <c r="E1" s="189"/>
      <c r="F1" s="75"/>
      <c r="G1" s="75"/>
      <c r="H1" s="76"/>
      <c r="I1" s="76"/>
      <c r="J1" s="76"/>
      <c r="K1" s="76"/>
      <c r="L1" s="76"/>
      <c r="M1" s="76"/>
      <c r="N1" s="76"/>
      <c r="P1" s="190" t="s">
        <v>42</v>
      </c>
      <c r="Q1" s="190"/>
    </row>
    <row r="2" spans="1:17" ht="13.5" thickBot="1" x14ac:dyDescent="0.25">
      <c r="H2" s="76"/>
      <c r="I2" s="76"/>
      <c r="J2" s="76"/>
      <c r="K2" s="76"/>
      <c r="L2" s="76"/>
      <c r="M2" s="76"/>
      <c r="N2" s="76"/>
      <c r="P2" s="190"/>
      <c r="Q2" s="190"/>
    </row>
    <row r="4" spans="1:17" s="79" customFormat="1" ht="15" thickBot="1" x14ac:dyDescent="0.25">
      <c r="A4" s="191" t="s">
        <v>43</v>
      </c>
      <c r="B4" s="191"/>
      <c r="C4" s="191"/>
      <c r="D4" s="191"/>
      <c r="E4" s="191"/>
      <c r="F4" s="191"/>
      <c r="G4" s="186" t="s">
        <v>44</v>
      </c>
      <c r="H4" s="186"/>
      <c r="I4" s="186"/>
      <c r="J4" s="186"/>
      <c r="K4" s="186"/>
      <c r="L4" s="186"/>
      <c r="M4" s="186"/>
      <c r="N4" s="186"/>
      <c r="O4" s="186"/>
      <c r="P4" s="186"/>
      <c r="Q4" s="186"/>
    </row>
    <row r="5" spans="1:17" s="79" customFormat="1" ht="15" thickBot="1" x14ac:dyDescent="0.25">
      <c r="A5" s="183" t="s">
        <v>45</v>
      </c>
      <c r="B5" s="184"/>
      <c r="C5" s="184"/>
      <c r="D5" s="184"/>
      <c r="E5" s="184"/>
      <c r="F5" s="185"/>
      <c r="G5" s="186" t="s">
        <v>46</v>
      </c>
      <c r="H5" s="186"/>
      <c r="I5" s="186"/>
      <c r="J5" s="186"/>
      <c r="K5" s="186"/>
      <c r="L5" s="186"/>
      <c r="M5" s="186"/>
      <c r="N5" s="186"/>
      <c r="O5" s="186"/>
      <c r="P5" s="186"/>
      <c r="Q5" s="186"/>
    </row>
    <row r="6" spans="1:17" s="79" customFormat="1" ht="15" thickBot="1" x14ac:dyDescent="0.25">
      <c r="A6" s="183" t="s">
        <v>47</v>
      </c>
      <c r="B6" s="184"/>
      <c r="C6" s="184"/>
      <c r="D6" s="184"/>
      <c r="E6" s="184"/>
      <c r="F6" s="185"/>
      <c r="G6" s="186" t="s">
        <v>74</v>
      </c>
      <c r="H6" s="186"/>
      <c r="I6" s="186"/>
      <c r="J6" s="186"/>
      <c r="K6" s="186"/>
      <c r="L6" s="186"/>
      <c r="M6" s="186"/>
      <c r="N6" s="186"/>
      <c r="O6" s="186"/>
      <c r="P6" s="186"/>
      <c r="Q6" s="186"/>
    </row>
    <row r="7" spans="1:17" s="79" customFormat="1" ht="15" thickBot="1" x14ac:dyDescent="0.25">
      <c r="A7" s="183" t="s">
        <v>48</v>
      </c>
      <c r="B7" s="184"/>
      <c r="C7" s="184"/>
      <c r="D7" s="184"/>
      <c r="E7" s="184"/>
      <c r="F7" s="185"/>
      <c r="G7" s="186" t="s">
        <v>74</v>
      </c>
      <c r="H7" s="186"/>
      <c r="I7" s="186"/>
      <c r="J7" s="186"/>
      <c r="K7" s="186"/>
      <c r="L7" s="186"/>
      <c r="M7" s="186"/>
      <c r="N7" s="186"/>
      <c r="O7" s="186"/>
      <c r="P7" s="186"/>
      <c r="Q7" s="186"/>
    </row>
    <row r="8" spans="1:17" ht="13.5" thickBot="1" x14ac:dyDescent="0.25">
      <c r="A8" s="194" t="s">
        <v>49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1:17" ht="14.25" x14ac:dyDescent="0.2">
      <c r="A9" s="195" t="s">
        <v>50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80"/>
      <c r="P9" s="80"/>
      <c r="Q9" s="81"/>
    </row>
    <row r="10" spans="1:17" ht="52.5" customHeight="1" x14ac:dyDescent="0.2">
      <c r="A10" s="196" t="s">
        <v>85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ht="13.5" thickBot="1" x14ac:dyDescent="0.25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7" ht="13.5" thickBot="1" x14ac:dyDescent="0.25">
      <c r="A12" s="197" t="s">
        <v>51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3.5" thickBot="1" x14ac:dyDescent="0.25">
      <c r="A13" s="198" t="s">
        <v>52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53</v>
      </c>
      <c r="P13" s="199"/>
      <c r="Q13" s="200" t="s">
        <v>54</v>
      </c>
    </row>
    <row r="14" spans="1:17" ht="13.5" thickBot="1" x14ac:dyDescent="0.25">
      <c r="A14" s="86" t="s">
        <v>55</v>
      </c>
      <c r="B14" s="87" t="s">
        <v>56</v>
      </c>
      <c r="C14" s="87" t="s">
        <v>57</v>
      </c>
      <c r="D14" s="87" t="s">
        <v>58</v>
      </c>
      <c r="E14" s="87" t="s">
        <v>59</v>
      </c>
      <c r="F14" s="87" t="s">
        <v>60</v>
      </c>
      <c r="G14" s="88" t="s">
        <v>61</v>
      </c>
      <c r="H14" s="87" t="s">
        <v>62</v>
      </c>
      <c r="I14" s="87" t="s">
        <v>63</v>
      </c>
      <c r="J14" s="87" t="s">
        <v>64</v>
      </c>
      <c r="K14" s="87" t="s">
        <v>64</v>
      </c>
      <c r="L14" s="87" t="s">
        <v>65</v>
      </c>
      <c r="M14" s="89" t="s">
        <v>66</v>
      </c>
      <c r="N14" s="90" t="s">
        <v>67</v>
      </c>
      <c r="O14" s="199"/>
      <c r="P14" s="199"/>
      <c r="Q14" s="200"/>
    </row>
    <row r="15" spans="1:17" x14ac:dyDescent="0.2">
      <c r="A15" s="91">
        <v>25</v>
      </c>
      <c r="B15" s="92">
        <v>0</v>
      </c>
      <c r="C15" s="92">
        <v>0</v>
      </c>
      <c r="D15" s="92">
        <v>1</v>
      </c>
      <c r="E15" s="92">
        <v>0</v>
      </c>
      <c r="F15" s="92">
        <v>4901</v>
      </c>
      <c r="G15" s="92">
        <v>1</v>
      </c>
      <c r="H15" s="92">
        <v>6</v>
      </c>
      <c r="I15" s="92">
        <v>2</v>
      </c>
      <c r="J15" s="92">
        <v>3</v>
      </c>
      <c r="K15" s="92">
        <v>1</v>
      </c>
      <c r="L15" s="92">
        <v>0</v>
      </c>
      <c r="M15" s="93">
        <v>1</v>
      </c>
      <c r="N15" s="94" t="s">
        <v>68</v>
      </c>
      <c r="O15" s="192" t="s">
        <v>69</v>
      </c>
      <c r="P15" s="193"/>
      <c r="Q15" s="95">
        <f>+'NECESIDADES TRIMESTRALES'!I11+'NECESIDADES TRIMESTRALES'!I12+'NECESIDADES TRIMESTRALES'!I19</f>
        <v>82000</v>
      </c>
    </row>
    <row r="16" spans="1:17" x14ac:dyDescent="0.2">
      <c r="A16" s="96">
        <v>25</v>
      </c>
      <c r="B16" s="97">
        <v>0</v>
      </c>
      <c r="C16" s="97">
        <v>0</v>
      </c>
      <c r="D16" s="97">
        <v>1</v>
      </c>
      <c r="E16" s="97">
        <v>0</v>
      </c>
      <c r="F16" s="97">
        <v>4901</v>
      </c>
      <c r="G16" s="97">
        <v>1</v>
      </c>
      <c r="H16" s="97">
        <v>6</v>
      </c>
      <c r="I16" s="97">
        <v>2</v>
      </c>
      <c r="J16" s="97">
        <v>9</v>
      </c>
      <c r="K16" s="97">
        <v>2</v>
      </c>
      <c r="L16" s="97">
        <v>0</v>
      </c>
      <c r="M16" s="98">
        <v>1</v>
      </c>
      <c r="N16" s="99" t="s">
        <v>68</v>
      </c>
      <c r="O16" s="207" t="s">
        <v>70</v>
      </c>
      <c r="P16" s="208"/>
      <c r="Q16" s="100">
        <f>+'NECESIDADES TRIMESTRALES'!I13+'NECESIDADES TRIMESTRALES'!I14+'NECESIDADES TRIMESTRALES'!I15+'NECESIDADES TRIMESTRALES'!I16+'NECESIDADES TRIMESTRALES'!I17+'NECESIDADES TRIMESTRALES'!I18</f>
        <v>38500</v>
      </c>
    </row>
    <row r="17" spans="1:18" ht="14.25" x14ac:dyDescent="0.2">
      <c r="A17" s="101"/>
      <c r="B17" s="102"/>
      <c r="C17" s="102"/>
      <c r="D17" s="102"/>
      <c r="E17" s="102"/>
      <c r="F17" s="103"/>
      <c r="G17" s="102"/>
      <c r="H17" s="102"/>
      <c r="I17" s="102"/>
      <c r="J17" s="102"/>
      <c r="K17" s="102"/>
      <c r="L17" s="102"/>
      <c r="M17" s="104"/>
      <c r="N17" s="105"/>
      <c r="O17" s="209"/>
      <c r="P17" s="209"/>
      <c r="Q17" s="106"/>
      <c r="R17" s="80"/>
    </row>
    <row r="18" spans="1:18" ht="13.5" thickBot="1" x14ac:dyDescent="0.25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9"/>
      <c r="N18" s="108"/>
      <c r="O18" s="210"/>
      <c r="P18" s="210"/>
      <c r="Q18" s="110"/>
    </row>
    <row r="19" spans="1:18" ht="15.75" thickBot="1" x14ac:dyDescent="0.25">
      <c r="A19" s="211" t="s">
        <v>86</v>
      </c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111">
        <f>SUM(Q15:Q18)</f>
        <v>120500</v>
      </c>
    </row>
    <row r="20" spans="1:18" ht="13.5" thickBot="1" x14ac:dyDescent="0.25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</row>
    <row r="21" spans="1:18" ht="15.75" thickBot="1" x14ac:dyDescent="0.25">
      <c r="A21" s="202" t="s">
        <v>71</v>
      </c>
      <c r="B21" s="203"/>
      <c r="C21" s="203"/>
      <c r="D21" s="203"/>
      <c r="E21" s="203"/>
      <c r="F21" s="204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</row>
    <row r="22" spans="1:18" ht="13.5" thickBot="1" x14ac:dyDescent="0.25">
      <c r="A22" s="201" t="s">
        <v>72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</row>
    <row r="23" spans="1:18" ht="13.5" thickBot="1" x14ac:dyDescent="0.25">
      <c r="A23" s="201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</row>
    <row r="24" spans="1:18" ht="15.75" thickBot="1" x14ac:dyDescent="0.25">
      <c r="A24" s="202" t="s">
        <v>73</v>
      </c>
      <c r="B24" s="203"/>
      <c r="C24" s="203"/>
      <c r="D24" s="203"/>
      <c r="E24" s="203"/>
      <c r="F24" s="204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</row>
    <row r="25" spans="1:18" ht="13.5" thickBot="1" x14ac:dyDescent="0.25">
      <c r="A25" s="206"/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</row>
    <row r="26" spans="1:18" ht="13.5" thickBot="1" x14ac:dyDescent="0.25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</row>
  </sheetData>
  <mergeCells count="30">
    <mergeCell ref="A22:Q23"/>
    <mergeCell ref="A24:F24"/>
    <mergeCell ref="G24:Q24"/>
    <mergeCell ref="A25:Q26"/>
    <mergeCell ref="O16:P16"/>
    <mergeCell ref="O17:P17"/>
    <mergeCell ref="O18:P18"/>
    <mergeCell ref="A19:P19"/>
    <mergeCell ref="A20:Q20"/>
    <mergeCell ref="A21:F21"/>
    <mergeCell ref="G21:Q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Server</cp:lastModifiedBy>
  <cp:revision>2</cp:revision>
  <cp:lastPrinted>2021-05-31T11:55:27Z</cp:lastPrinted>
  <dcterms:created xsi:type="dcterms:W3CDTF">2020-07-17T23:44:49Z</dcterms:created>
  <dcterms:modified xsi:type="dcterms:W3CDTF">2021-08-19T12:31:52Z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