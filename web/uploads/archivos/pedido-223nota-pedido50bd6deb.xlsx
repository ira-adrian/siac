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81D31B08-B566-4819-B0B8-494F6FD64A59}" xr6:coauthVersionLast="46" xr6:coauthVersionMax="46" xr10:uidLastSave="{00000000-0000-0000-0000-000000000000}"/>
  <bookViews>
    <workbookView xWindow="-120" yWindow="-120" windowWidth="29040" windowHeight="15840" xr2:uid="{8E5A25C1-DCB1-4AC7-AAA3-7F42FB4476A7}"/>
  </bookViews>
  <sheets>
    <sheet name="MGJD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  <c r="I27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</calcChain>
</file>

<file path=xl/sharedStrings.xml><?xml version="1.0" encoding="utf-8"?>
<sst xmlns="http://schemas.openxmlformats.org/spreadsheetml/2006/main" count="116" uniqueCount="68">
  <si>
    <t>Garantia</t>
  </si>
  <si>
    <t>30 (treinta) días</t>
  </si>
  <si>
    <t>Mantenimiento</t>
  </si>
  <si>
    <t>Que cumpla íntegramente con lo solicitado y buena calidad</t>
  </si>
  <si>
    <t>Calidad Minima esperada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</si>
  <si>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</si>
  <si>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Plazos y lugares de entrega</t>
  </si>
  <si>
    <t>Descripción técnica</t>
  </si>
  <si>
    <t>Especificidades Item N° 1:</t>
  </si>
  <si>
    <t>COSTO TOTAL ESTIMADO: SON PESOS DOSCIENTOS VEINTIOCHO MIL QUINIENTOS OCHENTA CON 00/100</t>
  </si>
  <si>
    <t>UNIDAD</t>
  </si>
  <si>
    <t>TOALLAS FEMENINAS; USO: DIURNA, TIPO: NORMAL, ALAS: CON, PERFUME: SIN, GEL: CON, ALA: CON</t>
  </si>
  <si>
    <t>2.9.9</t>
  </si>
  <si>
    <t>Elementos de Limpieza</t>
  </si>
  <si>
    <t>2.9.9-3116.2</t>
  </si>
  <si>
    <t>UTENSILLOS P/HIGIENE PERSONAL; TIPO: CEPILLO DE DIENTES, PRESENTACION: UNIDAD</t>
  </si>
  <si>
    <t>2.9.1</t>
  </si>
  <si>
    <t>2.9.1-6963.6</t>
  </si>
  <si>
    <t>ARTICULOS DE TOCADOR; TIPO: PASTA DENTAL, PRESENTACION: ENVASE X 180 GR</t>
  </si>
  <si>
    <t>2.9.1-6956.104</t>
  </si>
  <si>
    <t>ARTICULOS DE TOCADOR; TIPO: CREMA DE ENJUAGUE, PRESENTACION: ENVASE X 1 L</t>
  </si>
  <si>
    <t>2.9.1-6956.26</t>
  </si>
  <si>
    <t>ARTICULOS DE TOCADOR; TIPO: SHAMPOO, PRESENTACION: ENVASE X 1 L</t>
  </si>
  <si>
    <t>2.9.1-6956.32</t>
  </si>
  <si>
    <t>DESODORANTES DE AMBIENTE; FORMATO: AEROSOL, FRAGANCIA: LAVANDA, PRESENTACION: ENVASE X 360 CM3, LIBRE DE CFC: SI</t>
  </si>
  <si>
    <t>2.9.1-544.57</t>
  </si>
  <si>
    <t>TRAPOS DE PISO; DIMENSION: 50 X 50 Cm, COLOR: GRIS</t>
  </si>
  <si>
    <t>2.9.1-713.9</t>
  </si>
  <si>
    <t>ESPONJAS; MATERIAL: ACERO INOXIDABLE, USO: P/COCINA, ADITAMENTO: SIN VALOR, FORMA: REDONDEADA, LARGO X ANCHO X ESP: D 6 Cm, COLOR: ACERO</t>
  </si>
  <si>
    <t>2.9.1-1164.16</t>
  </si>
  <si>
    <t>LIMPIADORES; TIPO: CREMOSO, PRESENTACION: ENVASE X 750 CM3</t>
  </si>
  <si>
    <t>2.9.1-6951.197</t>
  </si>
  <si>
    <t>ARTICULOS DE TOCADOR; PRESENTACION: PACK X 3 X 140 GR, TIPO: JABON DE TOCADOR</t>
  </si>
  <si>
    <t>2.9.1-6956.17</t>
  </si>
  <si>
    <t>ESPONJAS; MATERIAL: ESPONJA NATURAL, USO: P/COCINA, FORMA: RECTANGULAR, COLOR: AMARILLO, ADITAMENTO: SIN VALOR, LARGO X ANCHO X ESP: 9,7 X 5,7 Cm</t>
  </si>
  <si>
    <t>2.9.1-1164.10</t>
  </si>
  <si>
    <t>LIMPIADORES; , PRESENTACION: ENVASE X 5 L TIPO: DETERGENTE</t>
  </si>
  <si>
    <t>2.9.1-6951.12</t>
  </si>
  <si>
    <t>PAPEL HIGIENICO; PRESENTACION: BOLSA X 48 ROLLOS, TIPO: C/CORTE DE HOJA, ANCHO: 10 Cm, LARGO: 40 M, MATERIAL HOJA: BLANCA, HOJA: BLANCA, TIPO DE HOJA: BLANCA</t>
  </si>
  <si>
    <t>2.3.4</t>
  </si>
  <si>
    <t>Productos de Papel y Carton</t>
  </si>
  <si>
    <t>2.3.4-786.41</t>
  </si>
  <si>
    <t>LIMPIADORES; TIPO: LIMPIADOR DE PISOS, PRESENTACION: ENVASE X 500 CM3</t>
  </si>
  <si>
    <t>2.9.1-6951.135</t>
  </si>
  <si>
    <t>ELEM. P/LIMPIEZA SANITARIOS; TIPO: DESODORANTE P/ PISO, PRESENTACION: ENVASE X 5 L, COMPUESTOS BIODEGRADABLES: SI</t>
  </si>
  <si>
    <t>2.9.1-6961.42</t>
  </si>
  <si>
    <t>LIMPIADORES; TIPO: LAVANDINA, PRESENTACION: ENVASE X 5 L</t>
  </si>
  <si>
    <t>2.9.1-6951.30</t>
  </si>
  <si>
    <t>ELEM. LIMPIEZA P/INDUMENTARIA; TIPO: JABON EN PAN, PRESENTACION: 200 GR</t>
  </si>
  <si>
    <t>2.9.1-6960.27</t>
  </si>
  <si>
    <t>ELEM. LIMPIEZA P/INDUMENTARIA; TIPO: JABON CONCENTRADO LIQUIDO, PRESENTACION: ENVASE X 5 L</t>
  </si>
  <si>
    <t>2.9.1-6960.32</t>
  </si>
  <si>
    <t>PRECIO UNITARIO ESTIMADO</t>
  </si>
  <si>
    <t>UNIDAD DE MEDIDA</t>
  </si>
  <si>
    <t>DESCRIPCION</t>
  </si>
  <si>
    <t>RUBRO DE COMPRA</t>
  </si>
  <si>
    <t>CODIGO ITEM</t>
  </si>
  <si>
    <t>ID</t>
  </si>
  <si>
    <t>TRIMESTRE</t>
  </si>
  <si>
    <t>EJERCICIO:</t>
  </si>
  <si>
    <t xml:space="preserve">SAF N° </t>
  </si>
  <si>
    <t xml:space="preserve"> 20- MINISTERIO DE GOBIERNO, JUSTICIA Y DERECHOS HUMANOS</t>
  </si>
  <si>
    <t xml:space="preserve">JURISDICCION:  </t>
  </si>
  <si>
    <t>PEDIDOS DE NECESIDADES TRIMESTRALES</t>
  </si>
  <si>
    <t>6- SECRETARIA DE GESTION ADMINISTRATIVA DEL MINISTERIO DE GOBIERNO , JUSTICIA Y DERECHOS HUMANOS</t>
  </si>
  <si>
    <t xml:space="preserve">I.P.P. </t>
  </si>
  <si>
    <t>CANTIDAD</t>
  </si>
  <si>
    <t xml:space="preserve">IMPORTE TOTAL ESTIMADO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</si>
</sst>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indent="3"/>
    </xf>
    <xf numFmtId="43" fontId="0" fillId="0" borderId="0" xfId="0" applyNumberFormat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left" indent="3"/>
    </xf>
    <xf numFmtId="0" fontId="4" fillId="0" borderId="4" xfId="0" applyFont="1" applyBorder="1" applyAlignment="1">
      <alignment wrapText="1"/>
    </xf>
    <xf numFmtId="0" fontId="4" fillId="0" borderId="0" xfId="0" applyFont="1"/>
    <xf numFmtId="43" fontId="3" fillId="0" borderId="0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left" indent="3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justify" wrapText="1"/>
    </xf>
    <xf numFmtId="0" fontId="4" fillId="0" borderId="0" xfId="0" applyFont="1" applyAlignment="1">
      <alignment horizontal="justify" wrapText="1"/>
    </xf>
    <xf numFmtId="0" fontId="4" fillId="0" borderId="5" xfId="0" applyFont="1" applyBorder="1"/>
    <xf numFmtId="0" fontId="4" fillId="0" borderId="6" xfId="0" applyFont="1" applyBorder="1" applyAlignment="1">
      <alignment wrapText="1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5" fillId="0" borderId="8" xfId="0" applyFont="1" applyBorder="1"/>
    <xf numFmtId="43" fontId="3" fillId="0" borderId="9" xfId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43" fontId="3" fillId="0" borderId="12" xfId="1" applyFont="1" applyFill="1" applyBorder="1" applyAlignment="1">
      <alignment horizontal="center" vertical="center"/>
    </xf>
    <xf numFmtId="43" fontId="3" fillId="0" borderId="13" xfId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center" vertical="center"/>
    </xf>
    <xf numFmtId="0" fontId="7" fillId="0" borderId="13" xfId="0" applyFont="1" applyBorder="1" applyAlignment="1">
      <alignment horizontal="center" wrapText="1" shrinkToFit="1"/>
    </xf>
    <xf numFmtId="0" fontId="0" fillId="0" borderId="13" xfId="0" applyBorder="1" applyAlignment="1">
      <alignment horizontal="left" vertical="center"/>
    </xf>
    <xf numFmtId="43" fontId="3" fillId="0" borderId="14" xfId="1" applyFont="1" applyFill="1" applyBorder="1" applyAlignment="1">
      <alignment horizontal="center" vertical="center"/>
    </xf>
    <xf numFmtId="43" fontId="3" fillId="0" borderId="15" xfId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horizontal="center" vertical="center"/>
    </xf>
    <xf numFmtId="0" fontId="7" fillId="0" borderId="15" xfId="0" applyFont="1" applyBorder="1" applyAlignment="1">
      <alignment horizontal="center" wrapText="1" shrinkToFit="1"/>
    </xf>
    <xf numFmtId="0" fontId="0" fillId="0" borderId="15" xfId="0" applyBorder="1" applyAlignment="1">
      <alignment horizontal="left" vertical="center"/>
    </xf>
    <xf numFmtId="43" fontId="3" fillId="0" borderId="15" xfId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wrapText="1"/>
    </xf>
    <xf numFmtId="43" fontId="3" fillId="0" borderId="15" xfId="1" applyFont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 shrinkToFit="1"/>
    </xf>
    <xf numFmtId="0" fontId="0" fillId="0" borderId="15" xfId="0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left"/>
    </xf>
    <xf numFmtId="12" fontId="3" fillId="0" borderId="15" xfId="0" applyNumberFormat="1" applyFont="1" applyBorder="1" applyAlignment="1">
      <alignment horizontal="center" vertical="center"/>
    </xf>
    <xf numFmtId="12" fontId="3" fillId="0" borderId="15" xfId="0" applyNumberFormat="1" applyFont="1" applyBorder="1" applyAlignment="1">
      <alignment vertical="center"/>
    </xf>
    <xf numFmtId="43" fontId="3" fillId="0" borderId="16" xfId="1" applyFont="1" applyFill="1" applyBorder="1" applyAlignment="1">
      <alignment horizontal="center" vertical="center"/>
    </xf>
    <xf numFmtId="43" fontId="3" fillId="0" borderId="17" xfId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 vertical="center"/>
    </xf>
    <xf numFmtId="0" fontId="7" fillId="0" borderId="17" xfId="0" applyFont="1" applyBorder="1" applyAlignment="1">
      <alignment horizontal="center" wrapText="1" shrinkToFit="1"/>
    </xf>
    <xf numFmtId="0" fontId="0" fillId="0" borderId="17" xfId="0" applyBorder="1" applyAlignment="1">
      <alignment horizontal="left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3" xfId="0" applyFont="1" applyBorder="1"/>
    <xf numFmtId="0" fontId="9" fillId="0" borderId="24" xfId="0" applyFont="1" applyBorder="1" applyAlignment="1">
      <alignment vertical="center"/>
    </xf>
    <xf numFmtId="0" fontId="0" fillId="0" borderId="25" xfId="0" applyBorder="1"/>
    <xf numFmtId="0" fontId="0" fillId="0" borderId="18" xfId="0" applyBorder="1"/>
    <xf numFmtId="0" fontId="9" fillId="0" borderId="18" xfId="0" applyFont="1" applyBorder="1"/>
    <xf numFmtId="0" fontId="9" fillId="0" borderId="19" xfId="0" applyFont="1" applyBorder="1" applyAlignment="1">
      <alignment vertical="center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27" xfId="0" applyFont="1" applyBorder="1"/>
    <xf numFmtId="0" fontId="9" fillId="0" borderId="28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CDEE-1DC9-4015-8AB3-7B59BE0E0422}">
  <dimension ref="A1:I44"/>
  <sheetViews>
    <sheetView tabSelected="1" workbookViewId="0">
      <selection activeCell="E9" sqref="E9"/>
    </sheetView>
  </sheetViews>
  <sheetFormatPr baseColWidth="10" defaultRowHeight="15" x14ac:dyDescent="0.25"/>
  <cols>
    <col min="1" max="1" width="4.42578125" customWidth="1"/>
    <col min="2" max="4" width="14.42578125" customWidth="1"/>
    <col min="5" max="5" width="59" customWidth="1"/>
    <col min="7" max="7" width="8" customWidth="1"/>
    <col min="8" max="8" width="11.5703125" bestFit="1" customWidth="1"/>
    <col min="9" max="9" width="13.85546875" bestFit="1" customWidth="1"/>
  </cols>
  <sheetData>
    <row r="1" spans="1:9" ht="18.75" x14ac:dyDescent="0.25">
      <c r="A1" s="86" t="s">
        <v>63</v>
      </c>
      <c r="B1" s="86"/>
      <c r="C1" s="86"/>
      <c r="D1" s="86"/>
      <c r="E1" s="86"/>
      <c r="F1" s="86"/>
      <c r="G1" s="86"/>
      <c r="H1" s="86"/>
      <c r="I1" s="86"/>
    </row>
    <row r="2" spans="1:9" ht="15.75" thickBot="1" x14ac:dyDescent="0.3"/>
    <row r="3" spans="1:9" ht="19.5" thickBot="1" x14ac:dyDescent="0.35">
      <c r="A3" s="85" t="s">
        <v>62</v>
      </c>
      <c r="B3" s="84"/>
      <c r="C3" s="83" t="s">
        <v>61</v>
      </c>
      <c r="D3" s="82"/>
      <c r="E3" s="82"/>
      <c r="F3" s="82"/>
      <c r="G3" s="82"/>
      <c r="H3" s="82"/>
      <c r="I3" s="81"/>
    </row>
    <row r="4" spans="1:9" ht="19.5" thickBot="1" x14ac:dyDescent="0.35">
      <c r="A4" s="80" t="s">
        <v>60</v>
      </c>
      <c r="B4" s="79"/>
      <c r="C4" s="79" t="s">
        <v>64</v>
      </c>
      <c r="D4" s="79"/>
      <c r="E4" s="79"/>
      <c r="F4" s="78"/>
      <c r="G4" s="78"/>
      <c r="H4" s="78"/>
      <c r="I4" s="77"/>
    </row>
    <row r="5" spans="1:9" ht="19.5" thickBot="1" x14ac:dyDescent="0.35">
      <c r="A5" s="76" t="s">
        <v>59</v>
      </c>
      <c r="B5" s="75"/>
      <c r="C5" s="74">
        <v>2021</v>
      </c>
      <c r="D5" s="73"/>
      <c r="E5" s="73"/>
      <c r="F5" s="73"/>
      <c r="G5" s="73"/>
      <c r="H5" s="73"/>
      <c r="I5" s="72"/>
    </row>
    <row r="6" spans="1:9" ht="19.5" thickBot="1" x14ac:dyDescent="0.3">
      <c r="A6" s="71" t="s">
        <v>58</v>
      </c>
      <c r="B6" s="70"/>
      <c r="C6" s="69">
        <v>2</v>
      </c>
      <c r="D6" s="68"/>
      <c r="E6" s="68"/>
      <c r="F6" s="68"/>
      <c r="G6" s="68"/>
      <c r="H6" s="68"/>
      <c r="I6" s="67"/>
    </row>
    <row r="7" spans="1:9" ht="15.75" thickBot="1" x14ac:dyDescent="0.3"/>
    <row r="8" spans="1:9" ht="39" thickBot="1" x14ac:dyDescent="0.3">
      <c r="A8" s="87" t="s">
        <v>57</v>
      </c>
      <c r="B8" s="87" t="s">
        <v>56</v>
      </c>
      <c r="C8" s="87" t="s">
        <v>55</v>
      </c>
      <c r="D8" s="87" t="s">
        <v>65</v>
      </c>
      <c r="E8" s="87" t="s">
        <v>54</v>
      </c>
      <c r="F8" s="87" t="s">
        <v>53</v>
      </c>
      <c r="G8" s="87" t="s">
        <v>66</v>
      </c>
      <c r="H8" s="87" t="s">
        <v>52</v>
      </c>
      <c r="I8" s="87" t="s">
        <v>67</v>
      </c>
    </row>
    <row r="9" spans="1:9" ht="30" x14ac:dyDescent="0.25">
      <c r="A9" s="64">
        <v>1</v>
      </c>
      <c r="B9" s="66" t="s">
        <v>51</v>
      </c>
      <c r="C9" s="65" t="s">
        <v>13</v>
      </c>
      <c r="D9" s="64" t="s">
        <v>16</v>
      </c>
      <c r="E9" s="63" t="s">
        <v>50</v>
      </c>
      <c r="F9" s="62" t="s">
        <v>10</v>
      </c>
      <c r="G9" s="61">
        <v>30</v>
      </c>
      <c r="H9" s="60">
        <v>1080</v>
      </c>
      <c r="I9" s="59">
        <f>+G9*H9</f>
        <v>32400</v>
      </c>
    </row>
    <row r="10" spans="1:9" ht="30" x14ac:dyDescent="0.25">
      <c r="A10" s="45">
        <v>2</v>
      </c>
      <c r="B10" s="56" t="s">
        <v>49</v>
      </c>
      <c r="C10" s="46" t="s">
        <v>13</v>
      </c>
      <c r="D10" s="45" t="s">
        <v>16</v>
      </c>
      <c r="E10" s="44" t="s">
        <v>48</v>
      </c>
      <c r="F10" s="43" t="s">
        <v>10</v>
      </c>
      <c r="G10" s="58">
        <v>12</v>
      </c>
      <c r="H10" s="51">
        <v>50</v>
      </c>
      <c r="I10" s="40">
        <f>+G10*H10</f>
        <v>600</v>
      </c>
    </row>
    <row r="11" spans="1:9" ht="23.25" x14ac:dyDescent="0.25">
      <c r="A11" s="45">
        <v>3</v>
      </c>
      <c r="B11" s="56" t="s">
        <v>47</v>
      </c>
      <c r="C11" s="46" t="s">
        <v>13</v>
      </c>
      <c r="D11" s="45" t="s">
        <v>16</v>
      </c>
      <c r="E11" s="54" t="s">
        <v>46</v>
      </c>
      <c r="F11" s="43" t="s">
        <v>10</v>
      </c>
      <c r="G11" s="58">
        <v>20</v>
      </c>
      <c r="H11" s="51">
        <v>350</v>
      </c>
      <c r="I11" s="40">
        <f>+G11*H11</f>
        <v>7000</v>
      </c>
    </row>
    <row r="12" spans="1:9" ht="45" x14ac:dyDescent="0.25">
      <c r="A12" s="45">
        <v>4</v>
      </c>
      <c r="B12" s="47" t="s">
        <v>45</v>
      </c>
      <c r="C12" s="53" t="s">
        <v>13</v>
      </c>
      <c r="D12" s="45" t="s">
        <v>16</v>
      </c>
      <c r="E12" s="52" t="s">
        <v>44</v>
      </c>
      <c r="F12" s="43" t="s">
        <v>10</v>
      </c>
      <c r="G12" s="57">
        <v>50</v>
      </c>
      <c r="H12" s="51">
        <v>450</v>
      </c>
      <c r="I12" s="40">
        <f>+G12*H12</f>
        <v>22500</v>
      </c>
    </row>
    <row r="13" spans="1:9" ht="30" x14ac:dyDescent="0.25">
      <c r="A13" s="45">
        <v>5</v>
      </c>
      <c r="B13" s="56" t="s">
        <v>43</v>
      </c>
      <c r="C13" s="46" t="s">
        <v>13</v>
      </c>
      <c r="D13" s="45" t="s">
        <v>16</v>
      </c>
      <c r="E13" s="52" t="s">
        <v>42</v>
      </c>
      <c r="F13" s="43" t="s">
        <v>10</v>
      </c>
      <c r="G13" s="49">
        <v>24</v>
      </c>
      <c r="H13" s="51">
        <v>280</v>
      </c>
      <c r="I13" s="40">
        <f>+G13*H13</f>
        <v>6720</v>
      </c>
    </row>
    <row r="14" spans="1:9" ht="45" x14ac:dyDescent="0.25">
      <c r="A14" s="45">
        <v>6</v>
      </c>
      <c r="B14" s="47" t="s">
        <v>41</v>
      </c>
      <c r="C14" s="55" t="s">
        <v>40</v>
      </c>
      <c r="D14" s="45" t="s">
        <v>39</v>
      </c>
      <c r="E14" s="52" t="s">
        <v>38</v>
      </c>
      <c r="F14" s="43" t="s">
        <v>10</v>
      </c>
      <c r="G14" s="49">
        <v>24</v>
      </c>
      <c r="H14" s="51">
        <v>1680</v>
      </c>
      <c r="I14" s="40">
        <f>+G14*H14</f>
        <v>40320</v>
      </c>
    </row>
    <row r="15" spans="1:9" ht="23.25" x14ac:dyDescent="0.25">
      <c r="A15" s="45">
        <v>7</v>
      </c>
      <c r="B15" s="47" t="s">
        <v>37</v>
      </c>
      <c r="C15" s="46" t="s">
        <v>13</v>
      </c>
      <c r="D15" s="45" t="s">
        <v>16</v>
      </c>
      <c r="E15" s="52" t="s">
        <v>36</v>
      </c>
      <c r="F15" s="43" t="s">
        <v>10</v>
      </c>
      <c r="G15" s="49">
        <v>24</v>
      </c>
      <c r="H15" s="48">
        <v>650</v>
      </c>
      <c r="I15" s="40">
        <f>+G15*H15</f>
        <v>15600</v>
      </c>
    </row>
    <row r="16" spans="1:9" ht="45" x14ac:dyDescent="0.25">
      <c r="A16" s="45">
        <v>8</v>
      </c>
      <c r="B16" s="47" t="s">
        <v>35</v>
      </c>
      <c r="C16" s="46" t="s">
        <v>13</v>
      </c>
      <c r="D16" s="45" t="s">
        <v>16</v>
      </c>
      <c r="E16" s="52" t="s">
        <v>34</v>
      </c>
      <c r="F16" s="43" t="s">
        <v>10</v>
      </c>
      <c r="G16" s="49">
        <v>60</v>
      </c>
      <c r="H16" s="51">
        <v>40</v>
      </c>
      <c r="I16" s="40">
        <f>+G16*H16</f>
        <v>2400</v>
      </c>
    </row>
    <row r="17" spans="1:9" ht="30" x14ac:dyDescent="0.25">
      <c r="A17" s="45">
        <v>9</v>
      </c>
      <c r="B17" s="47" t="s">
        <v>33</v>
      </c>
      <c r="C17" s="46" t="s">
        <v>13</v>
      </c>
      <c r="D17" s="45" t="s">
        <v>16</v>
      </c>
      <c r="E17" s="52" t="s">
        <v>32</v>
      </c>
      <c r="F17" s="43" t="s">
        <v>10</v>
      </c>
      <c r="G17" s="49">
        <v>144</v>
      </c>
      <c r="H17" s="48">
        <v>150</v>
      </c>
      <c r="I17" s="40">
        <f>+G17*H17</f>
        <v>21600</v>
      </c>
    </row>
    <row r="18" spans="1:9" ht="30" x14ac:dyDescent="0.25">
      <c r="A18" s="45">
        <v>10</v>
      </c>
      <c r="B18" s="47" t="s">
        <v>31</v>
      </c>
      <c r="C18" s="46" t="s">
        <v>13</v>
      </c>
      <c r="D18" s="45" t="s">
        <v>16</v>
      </c>
      <c r="E18" s="52" t="s">
        <v>30</v>
      </c>
      <c r="F18" s="43" t="s">
        <v>10</v>
      </c>
      <c r="G18" s="49">
        <v>36</v>
      </c>
      <c r="H18" s="51">
        <v>230</v>
      </c>
      <c r="I18" s="40">
        <f>+G18*H18</f>
        <v>8280</v>
      </c>
    </row>
    <row r="19" spans="1:9" ht="45" x14ac:dyDescent="0.25">
      <c r="A19" s="45">
        <v>11</v>
      </c>
      <c r="B19" s="47" t="s">
        <v>29</v>
      </c>
      <c r="C19" s="46" t="s">
        <v>13</v>
      </c>
      <c r="D19" s="45" t="s">
        <v>16</v>
      </c>
      <c r="E19" s="52" t="s">
        <v>28</v>
      </c>
      <c r="F19" s="43" t="s">
        <v>10</v>
      </c>
      <c r="G19" s="49">
        <v>12</v>
      </c>
      <c r="H19" s="51">
        <v>75</v>
      </c>
      <c r="I19" s="40">
        <f>+G19*H19</f>
        <v>900</v>
      </c>
    </row>
    <row r="20" spans="1:9" ht="23.25" x14ac:dyDescent="0.25">
      <c r="A20" s="45">
        <v>12</v>
      </c>
      <c r="B20" s="47" t="s">
        <v>27</v>
      </c>
      <c r="C20" s="46" t="s">
        <v>13</v>
      </c>
      <c r="D20" s="45" t="s">
        <v>16</v>
      </c>
      <c r="E20" s="54" t="s">
        <v>26</v>
      </c>
      <c r="F20" s="43" t="s">
        <v>10</v>
      </c>
      <c r="G20" s="49">
        <v>12</v>
      </c>
      <c r="H20" s="51">
        <v>80</v>
      </c>
      <c r="I20" s="40">
        <f>+G20*H20</f>
        <v>960</v>
      </c>
    </row>
    <row r="21" spans="1:9" ht="45" x14ac:dyDescent="0.25">
      <c r="A21" s="45">
        <v>13</v>
      </c>
      <c r="B21" s="47" t="s">
        <v>25</v>
      </c>
      <c r="C21" s="46" t="s">
        <v>13</v>
      </c>
      <c r="D21" s="45" t="s">
        <v>16</v>
      </c>
      <c r="E21" s="52" t="s">
        <v>24</v>
      </c>
      <c r="F21" s="43" t="s">
        <v>10</v>
      </c>
      <c r="G21" s="49">
        <v>12</v>
      </c>
      <c r="H21" s="51">
        <v>190</v>
      </c>
      <c r="I21" s="40">
        <f>+G21*H21</f>
        <v>2280</v>
      </c>
    </row>
    <row r="22" spans="1:9" ht="30" x14ac:dyDescent="0.25">
      <c r="A22" s="45">
        <v>14</v>
      </c>
      <c r="B22" s="47" t="s">
        <v>23</v>
      </c>
      <c r="C22" s="50" t="s">
        <v>13</v>
      </c>
      <c r="D22" s="45" t="s">
        <v>16</v>
      </c>
      <c r="E22" s="52" t="s">
        <v>22</v>
      </c>
      <c r="F22" s="43" t="s">
        <v>10</v>
      </c>
      <c r="G22" s="49">
        <v>120</v>
      </c>
      <c r="H22" s="51">
        <v>175</v>
      </c>
      <c r="I22" s="40">
        <f>+G22*H22</f>
        <v>21000</v>
      </c>
    </row>
    <row r="23" spans="1:9" ht="30" x14ac:dyDescent="0.25">
      <c r="A23" s="45">
        <v>15</v>
      </c>
      <c r="B23" s="47" t="s">
        <v>21</v>
      </c>
      <c r="C23" s="53" t="s">
        <v>13</v>
      </c>
      <c r="D23" s="45" t="s">
        <v>16</v>
      </c>
      <c r="E23" s="52" t="s">
        <v>20</v>
      </c>
      <c r="F23" s="43" t="s">
        <v>10</v>
      </c>
      <c r="G23" s="49">
        <v>120</v>
      </c>
      <c r="H23" s="51">
        <v>175</v>
      </c>
      <c r="I23" s="40">
        <f>+G23*H23</f>
        <v>21000</v>
      </c>
    </row>
    <row r="24" spans="1:9" ht="30" x14ac:dyDescent="0.25">
      <c r="A24" s="45">
        <v>16</v>
      </c>
      <c r="B24" s="47" t="s">
        <v>19</v>
      </c>
      <c r="C24" s="50" t="s">
        <v>13</v>
      </c>
      <c r="D24" s="45" t="s">
        <v>16</v>
      </c>
      <c r="E24" s="44" t="s">
        <v>18</v>
      </c>
      <c r="F24" s="43" t="s">
        <v>10</v>
      </c>
      <c r="G24" s="49">
        <v>130</v>
      </c>
      <c r="H24" s="48">
        <v>150</v>
      </c>
      <c r="I24" s="40">
        <f>+G24*H24</f>
        <v>19500</v>
      </c>
    </row>
    <row r="25" spans="1:9" ht="30" x14ac:dyDescent="0.25">
      <c r="A25" s="45">
        <v>17</v>
      </c>
      <c r="B25" s="47" t="s">
        <v>17</v>
      </c>
      <c r="C25" s="46" t="s">
        <v>13</v>
      </c>
      <c r="D25" s="45" t="s">
        <v>16</v>
      </c>
      <c r="E25" s="44" t="s">
        <v>15</v>
      </c>
      <c r="F25" s="43" t="s">
        <v>10</v>
      </c>
      <c r="G25" s="42">
        <v>36</v>
      </c>
      <c r="H25" s="41">
        <v>120</v>
      </c>
      <c r="I25" s="40">
        <f>+G25*H25</f>
        <v>4320</v>
      </c>
    </row>
    <row r="26" spans="1:9" ht="30.75" thickBot="1" x14ac:dyDescent="0.3">
      <c r="A26" s="37">
        <v>18</v>
      </c>
      <c r="B26" s="39" t="s">
        <v>14</v>
      </c>
      <c r="C26" s="38" t="s">
        <v>13</v>
      </c>
      <c r="D26" s="37" t="s">
        <v>12</v>
      </c>
      <c r="E26" s="36" t="s">
        <v>11</v>
      </c>
      <c r="F26" s="35" t="s">
        <v>10</v>
      </c>
      <c r="G26" s="34">
        <v>24</v>
      </c>
      <c r="H26" s="33">
        <v>50</v>
      </c>
      <c r="I26" s="32">
        <f>+G26*H26</f>
        <v>1200</v>
      </c>
    </row>
    <row r="27" spans="1:9" ht="15.75" thickBot="1" x14ac:dyDescent="0.3">
      <c r="A27" s="31" t="s">
        <v>9</v>
      </c>
      <c r="B27" s="30"/>
      <c r="C27" s="30"/>
      <c r="D27" s="30"/>
      <c r="E27" s="30"/>
      <c r="F27" s="30"/>
      <c r="G27" s="30"/>
      <c r="H27" s="29"/>
      <c r="I27" s="28">
        <f>SUM(I9:I26)</f>
        <v>228580</v>
      </c>
    </row>
    <row r="28" spans="1:9" ht="15.75" thickBot="1" x14ac:dyDescent="0.3">
      <c r="A28" s="13"/>
      <c r="B28" s="13"/>
      <c r="C28" s="13"/>
      <c r="D28" s="13"/>
      <c r="E28" s="13"/>
      <c r="F28" s="13"/>
      <c r="G28" s="13"/>
      <c r="H28" s="13"/>
      <c r="I28" s="12"/>
    </row>
    <row r="29" spans="1:9" x14ac:dyDescent="0.25">
      <c r="A29" s="13"/>
      <c r="B29" s="27" t="s">
        <v>8</v>
      </c>
      <c r="C29" s="26"/>
      <c r="D29" s="25"/>
      <c r="E29" s="24"/>
      <c r="F29" s="13"/>
      <c r="G29" s="13"/>
      <c r="H29" s="13"/>
      <c r="I29" s="12"/>
    </row>
    <row r="30" spans="1:9" x14ac:dyDescent="0.25">
      <c r="A30" s="13"/>
      <c r="B30" s="23"/>
      <c r="C30" s="20"/>
      <c r="D30" s="20"/>
      <c r="E30" s="19"/>
      <c r="F30" s="13"/>
      <c r="G30" s="13"/>
      <c r="H30" s="13"/>
      <c r="I30" s="12"/>
    </row>
    <row r="31" spans="1:9" x14ac:dyDescent="0.25">
      <c r="A31" s="13"/>
      <c r="B31" s="9" t="s">
        <v>7</v>
      </c>
      <c r="C31" s="8"/>
      <c r="D31" s="11"/>
      <c r="E31" s="10"/>
      <c r="F31" s="13"/>
      <c r="G31" s="13"/>
      <c r="H31" s="13"/>
      <c r="I31" s="12"/>
    </row>
    <row r="32" spans="1:9" x14ac:dyDescent="0.25">
      <c r="A32" s="13"/>
      <c r="B32" s="9"/>
      <c r="C32" s="16"/>
      <c r="D32" s="22"/>
      <c r="E32" s="21"/>
      <c r="F32" s="13"/>
      <c r="G32" s="13"/>
      <c r="H32" s="13"/>
      <c r="I32" s="12"/>
    </row>
    <row r="33" spans="1:9" x14ac:dyDescent="0.25">
      <c r="A33" s="13"/>
      <c r="B33" s="9" t="s">
        <v>6</v>
      </c>
      <c r="C33" s="8"/>
      <c r="D33" s="11"/>
      <c r="E33" s="10"/>
      <c r="F33" s="13"/>
      <c r="G33" s="13"/>
      <c r="H33" s="13"/>
      <c r="I33" s="12"/>
    </row>
    <row r="34" spans="1:9" x14ac:dyDescent="0.25">
      <c r="A34" s="13"/>
      <c r="B34" s="17"/>
      <c r="C34" s="20" t="s">
        <v>5</v>
      </c>
      <c r="D34" s="20"/>
      <c r="E34" s="19"/>
      <c r="F34" s="13"/>
      <c r="G34" s="13"/>
      <c r="H34" s="13"/>
      <c r="I34" s="12"/>
    </row>
    <row r="35" spans="1:9" x14ac:dyDescent="0.25">
      <c r="A35" s="13"/>
      <c r="B35" s="17"/>
      <c r="C35" s="8"/>
      <c r="D35" s="8"/>
      <c r="E35" s="7"/>
      <c r="F35" s="13"/>
      <c r="G35" s="13"/>
      <c r="H35" s="13"/>
      <c r="I35" s="12"/>
    </row>
    <row r="36" spans="1:9" x14ac:dyDescent="0.25">
      <c r="A36" s="13"/>
      <c r="B36" s="9" t="s">
        <v>4</v>
      </c>
      <c r="C36" s="8"/>
      <c r="D36" s="11"/>
      <c r="E36" s="10"/>
      <c r="F36" s="13"/>
      <c r="G36" s="13"/>
      <c r="H36" s="13"/>
      <c r="I36" s="12"/>
    </row>
    <row r="37" spans="1:9" x14ac:dyDescent="0.25">
      <c r="A37" s="13"/>
      <c r="B37" s="17"/>
      <c r="C37" s="20" t="s">
        <v>3</v>
      </c>
      <c r="D37" s="20"/>
      <c r="E37" s="19"/>
      <c r="F37" s="13"/>
      <c r="G37" s="13"/>
      <c r="H37" s="13"/>
      <c r="I37" s="12"/>
    </row>
    <row r="38" spans="1:9" x14ac:dyDescent="0.25">
      <c r="A38" s="13"/>
      <c r="B38" s="9" t="s">
        <v>2</v>
      </c>
      <c r="C38" s="16"/>
      <c r="D38" s="16"/>
      <c r="E38" s="18"/>
      <c r="F38" s="13"/>
      <c r="G38" s="13"/>
      <c r="H38" s="13"/>
      <c r="I38" s="12"/>
    </row>
    <row r="39" spans="1:9" x14ac:dyDescent="0.25">
      <c r="A39" s="13"/>
      <c r="B39" s="17"/>
      <c r="C39" s="16" t="s">
        <v>1</v>
      </c>
      <c r="D39" s="15"/>
      <c r="E39" s="14"/>
      <c r="F39" s="13"/>
      <c r="G39" s="13"/>
      <c r="H39" s="13"/>
      <c r="I39" s="12"/>
    </row>
    <row r="40" spans="1:9" x14ac:dyDescent="0.25">
      <c r="B40" s="9" t="s">
        <v>0</v>
      </c>
      <c r="C40" s="8"/>
      <c r="D40" s="11"/>
      <c r="E40" s="10"/>
    </row>
    <row r="41" spans="1:9" x14ac:dyDescent="0.25">
      <c r="B41" s="9"/>
      <c r="C41" s="8"/>
      <c r="D41" s="8"/>
      <c r="E41" s="7"/>
      <c r="I41" s="6"/>
    </row>
    <row r="42" spans="1:9" ht="15.75" thickBot="1" x14ac:dyDescent="0.3">
      <c r="B42" s="5"/>
      <c r="C42" s="4"/>
      <c r="D42" s="3"/>
      <c r="E42" s="2"/>
    </row>
    <row r="44" spans="1:9" x14ac:dyDescent="0.25">
      <c r="I44" s="1"/>
    </row>
  </sheetData>
  <mergeCells count="9">
    <mergeCell ref="C30:E30"/>
    <mergeCell ref="C34:E34"/>
    <mergeCell ref="C37:E37"/>
    <mergeCell ref="A1:I1"/>
    <mergeCell ref="C3:I3"/>
    <mergeCell ref="C5:I5"/>
    <mergeCell ref="A6:B6"/>
    <mergeCell ref="C6:I6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MGJDH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2021-08-13T11:08:50Z</dcterms:created>
  <dcterms:modified xsi:type="dcterms:W3CDTF">2021-08-13T11:14:28Z</dcterms:modified>
</cp:coreProperties>
</file>