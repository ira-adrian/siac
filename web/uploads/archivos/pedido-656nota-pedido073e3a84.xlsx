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9" i="1" l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D20" i="1"/>
  <c r="I19" i="1"/>
  <c r="D19" i="1"/>
  <c r="I18" i="1"/>
  <c r="D18" i="1"/>
  <c r="I17" i="1"/>
  <c r="I16" i="1"/>
  <c r="I15" i="1"/>
  <c r="I14" i="1"/>
  <c r="I13" i="1"/>
  <c r="I12" i="1"/>
</calcChain>
</file>

<file path=xl/sharedStrings.xml><?xml version="1.0" encoding="utf-8"?>
<sst xmlns="http://schemas.openxmlformats.org/spreadsheetml/2006/main" count="140" uniqueCount="93">
  <si>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</si>
  <si>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</si>
  <si>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</si>
  <si>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</si>
  <si>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</si>
  <si>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</si>
  <si>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</si>
  <si>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</si>
  <si>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</si>
  <si>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</si>
  <si>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</si>
  <si>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</si>
  <si>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</si>
  <si>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</si>
  <si>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</si>
  <si>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</si>
  <si>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2.5.2-1726.10</t>
  </si>
  <si>
    <t>PROD. MEDICO/FARMACEUTICOS/LAB</t>
  </si>
  <si>
    <t>SOLUCIONES P/MEDICINA; TIPO: AGUA P/IRRIGACION QUIRURGICA, PRESENTACION: SACHET X 2000 mL</t>
  </si>
  <si>
    <t>SACHET</t>
  </si>
  <si>
    <t>2.5.2-1726.186</t>
  </si>
  <si>
    <t>SOLUCIONES P/MEDICINA; TIPO: AGUA DESTILADA, PRESENTACION: ENVASE X 500 mL</t>
  </si>
  <si>
    <t>2.5.2-2183.7</t>
  </si>
  <si>
    <t>EXPANSORES PLASMATICOS; PRINCIPIO ACTIVO: ALBUMINA HUMANA, CONCENTRACION: 20 %, PRESENTACION: 50ML</t>
  </si>
  <si>
    <t>2.5.2-1903.103</t>
  </si>
  <si>
    <t>RECONSTITUYENTE GENERAL; DROGA GENERICA: ALIMENTO ENTERAL PARA SONDA FORTIFICADO CON FIBRAS, FORMA FARMACEUTICA: ENVASE, PRESENTACION: 1 L, TIPO: ASOCIACION</t>
  </si>
  <si>
    <t>UNIDAD</t>
  </si>
  <si>
    <t>2.5.2-1903.104</t>
  </si>
  <si>
    <t>RECONSTITUYENTE GENERAL; DROGA GENERICA: ALIMENTO ENTERAL PARA SONDA BAJO INDICE GLUCEMICO, FORMA FARMACEUTICA: ENVASE, PRESENTACION: 1 L, TIPO: ASOCIACION</t>
  </si>
  <si>
    <t xml:space="preserve">UNIDAD </t>
  </si>
  <si>
    <t>2.5.2-1903.105</t>
  </si>
  <si>
    <t>RECONSTITUYENTE GENERAL; TIPO: ASOCIACION, DROGA GENERICA: ALIMENTO ENTERAL PARA SONDA BAJO INDICE GLUCEMICO, FORMA FARMACEUTICA: SOLUCION, PRESENTACION: ENVASE X 500 CM3</t>
  </si>
  <si>
    <t xml:space="preserve">UNIDAD  </t>
  </si>
  <si>
    <t>2.5.2-1903.106</t>
  </si>
  <si>
    <t>RECONSTITUYENTE GENERAL; TIPO: ASOCIACIÓN; DROGA GENÉRICA: ALIMENTO ENTERAL PARA SONDA SIN FIBRA, NORMOCALÓRICO, INCREMENTADO EN GLUTAMINA Y ARGININA CON APORTE DE ACIDOS GRASOS YTRIGLICÉRIDOS; FORMA FARMACEÚTICA: SOLUCIÓN; PRESENTACIÓN: ENVASE X 500 CM3</t>
  </si>
  <si>
    <t>2.5.2-1903.107</t>
  </si>
  <si>
    <t>RECONSTITUYENTE GENERAL; TIPO: ASOCIACIÓN; DROGA GENÉRICA: ALIMENTO ENTERAL PARA SONDA FORTIFICADO CON FIBRAS 1,5 KCAL/ ML + EPA + DHA; FORMA FARMACEÚTICA: ENVASE; PRESENTACIÓN: 500 ML</t>
  </si>
  <si>
    <t>2.5.2-1903.108</t>
  </si>
  <si>
    <t>RECONSTITUYENTE GENERAL; TIPO: ASOCIACIÓN; DROGA GENÉRICA: CON FIBRAS 4GRS/ BOTELLA , 1,5 KCAL/ ML HIPERCALÓRICO E HIPERPROTEICO; FORMA FARMACEÚTICA: LÍQUIDO; PRESENTACIÓN: BOTELLA X 200 ML</t>
  </si>
  <si>
    <t>2.1.1-4227.56</t>
  </si>
  <si>
    <t>SUPLEMENTOS DIETARIOS; TIPO: ASOCIACION, DROGA GENERICA: S. PARENTERAL ADULTO 1501-2000 ML, PRESENTACION: UNIDAD</t>
  </si>
  <si>
    <t>2.5.2-1726.9</t>
  </si>
  <si>
    <t>SOLUCIONES P/MEDICINA; TIPO: BICARBONATO 1 MOLAR, PRESENTACION: SACHET DE 100 mL</t>
  </si>
  <si>
    <t>2.5.2-1726.305</t>
  </si>
  <si>
    <t>SOLUCIONES P/MEDICINA; TIPO: CLORURO DE POTASIO 15 MEQ, PRESENTACION: AMPOLLA DE 5 mL</t>
  </si>
  <si>
    <t>AMPOLLA</t>
  </si>
  <si>
    <t>2.5.2-1726.519</t>
  </si>
  <si>
    <t>SOLUCIONES P/MEDICINA; PRESENTACION: AMPOLLA X 20 ML, TIPO: CLORURO DE SODIO MOLAR AL 20 %</t>
  </si>
  <si>
    <t>2.5.2-2689.7</t>
  </si>
  <si>
    <t>NORMALIZADORES DE CALCEMIA; TIPO: MONODROGA, DROGA GENERICA: GLUCONATO DE CALCIO 10 %, FORMA FARMACEUTICA: AMPOLLA, PRESENTACION: ENVASE X 10 mL</t>
  </si>
  <si>
    <t>2.5.2-1726.460</t>
  </si>
  <si>
    <t>SOLUCIONES P/MEDICINA; TIPO: HEMODIALISIS ACIDA A, PRESENTACION: ENVASE X 10 L</t>
  </si>
  <si>
    <t>BIDON</t>
  </si>
  <si>
    <t>2.5.2-1726.449</t>
  </si>
  <si>
    <t>SOLUCIONES P/MEDICINA; TIPO: HEMODIALISIS BASICO B, PRESENTACION: ENVASE X 10 L</t>
  </si>
  <si>
    <t>2.5.2-1726.378</t>
  </si>
  <si>
    <t>SOLUCIONES P/MEDICINA; TIPO: DEXTROSA AL 50 %, PRESENTACION: ENVASE X 500 mL</t>
  </si>
  <si>
    <t>2.5.2-1726.464</t>
  </si>
  <si>
    <t>SOLUCIONES P/MEDICINA; TIPO: DEXTROSA AL 10 %, PRESENTACION: ENVASE X 250 mL</t>
  </si>
  <si>
    <t>2.5.2-1726.14</t>
  </si>
  <si>
    <t>SOLUCIONES P/MEDICINA; PRESENTACION: SACHET X 500 mL, TIPO: DEXTROSA AL 10 %</t>
  </si>
  <si>
    <t>2.5.2-1726.377</t>
  </si>
  <si>
    <t>SOLUCIONES P/MEDICINA; TIPO: DEXTROSA AL 25 %, PRESENTACION: ENVASE X 500 mL</t>
  </si>
  <si>
    <t>2.5.2-1726.24</t>
  </si>
  <si>
    <t>SOLUCIONES P/MEDICINA; TIPO: DEXTROSA AL 5%, PRESENTACION: ENVASE X 500 mL</t>
  </si>
  <si>
    <t>2.5.2-1726.17</t>
  </si>
  <si>
    <t>SOLUCIONES P/MEDICINA; TIPO: FISIOLOGICA CLORURO DE SODIO, PRESENTACION: 500 CM3</t>
  </si>
  <si>
    <t>2.5.2-1726.369</t>
  </si>
  <si>
    <t>SOLUCIONES P/MEDICINA; TIPO: FISIOLOGICA, PRESENTACION: ENVASE X 100 mL</t>
  </si>
  <si>
    <t>2.5.2-1726.393</t>
  </si>
  <si>
    <t>SOLUCIONES P/MEDICINA; TIPO: GLUCOSADA HIPERTONICA AL 25%, PRESENTACION: ENVASE X 10 mL</t>
  </si>
  <si>
    <t>2.5.2-1726.381</t>
  </si>
  <si>
    <t>SOLUCIONES P/MEDICINA; TIPO: MANITOL AL 15%, PRESENTACION: ENVASE X 500 mL</t>
  </si>
  <si>
    <t>2.5.2-1726.182</t>
  </si>
  <si>
    <t>SOLUCIONES P/MEDICINA; TIPO: RINGER LACTATO, PRESENTACION: ENVASE X 500 mL</t>
  </si>
  <si>
    <t>2.5.2-1726.371</t>
  </si>
  <si>
    <t>SOLUCIONES P/MEDICINA; TIPO: SULFATO DE MAGNESIO AL 25%, PRESENTACION: ENVASE X 5 mL</t>
  </si>
  <si>
    <t>INFORMACION ADICIONAL:</t>
  </si>
  <si>
    <r>
      <rPr>
        <b/>
        <sz val="11"/>
        <color theme="1"/>
        <rFont val="Calibri"/>
        <family val="2"/>
        <scheme val="minor"/>
      </rPr>
      <t>1-</t>
    </r>
    <r>
      <rPr>
        <sz val="11"/>
        <color theme="1"/>
        <rFont val="Calibri"/>
        <family val="2"/>
        <scheme val="minor"/>
      </rPr>
      <t>Para oferentes de la Provincia de Catamarca deberán presentar Habilitación Provincial para comercializar el producto que cotizan.</t>
    </r>
  </si>
  <si>
    <r>
      <rPr>
        <b/>
        <sz val="11"/>
        <color theme="1"/>
        <rFont val="Calibri"/>
        <family val="2"/>
        <scheme val="minor"/>
      </rPr>
      <t>2-</t>
    </r>
    <r>
      <rPr>
        <sz val="11"/>
        <color theme="1"/>
        <rFont val="Calibri"/>
        <family val="2"/>
        <scheme val="minor"/>
      </rPr>
      <t>Para el resto de oferentes deberán presentar Certificado de Inscripción de ANMAT vigente al momento de la oferta, el mismo deberá ser correspondiente al objeto de la contratación y de encontrarse vencido adjuntar la solicitud de renovación.</t>
    </r>
  </si>
  <si>
    <r>
      <rPr>
        <b/>
        <sz val="11"/>
        <color theme="1"/>
        <rFont val="Calibri"/>
        <family val="2"/>
        <scheme val="minor"/>
      </rPr>
      <t>3-</t>
    </r>
    <r>
      <rPr>
        <sz val="11"/>
        <color theme="1"/>
        <rFont val="Calibri"/>
        <family val="2"/>
        <scheme val="minor"/>
      </rPr>
      <t>No se aceptarán ofertas de productos no registrados y autorizada su venta por ANMAT. Se deberá especificar en cada ítem de la propuesta, marca y número de certificado otorgado por dicho ente regulador.</t>
    </r>
  </si>
  <si>
    <r>
      <rPr>
        <b/>
        <sz val="11"/>
        <color theme="1"/>
        <rFont val="Calibri"/>
        <family val="2"/>
        <scheme val="minor"/>
      </rPr>
      <t>4-</t>
    </r>
    <r>
      <rPr>
        <sz val="11"/>
        <color theme="1"/>
        <rFont val="Calibri"/>
        <family val="2"/>
        <scheme val="minor"/>
      </rPr>
      <t>Los productos deberán tener un vencimiento posterior a doce (12) meses a partir de la fecha de su recepción.</t>
    </r>
  </si>
  <si>
    <r>
      <rPr>
        <b/>
        <u/>
        <sz val="11"/>
        <color theme="1"/>
        <rFont val="Calibri"/>
        <family val="2"/>
        <scheme val="minor"/>
      </rPr>
      <t>Plazo de Mantenimiento de Oferta</t>
    </r>
    <r>
      <rPr>
        <sz val="11"/>
        <color theme="1"/>
        <rFont val="Calibri"/>
        <family val="2"/>
        <scheme val="minor"/>
      </rPr>
      <t>: 45 dias hábiles.</t>
    </r>
  </si>
  <si>
    <t>Especificidades Ítems 1 al 27:</t>
  </si>
  <si>
    <r>
      <rPr>
        <b/>
        <u/>
        <sz val="11"/>
        <color theme="1"/>
        <rFont val="Calibri"/>
        <family val="2"/>
        <scheme val="minor"/>
      </rPr>
      <t>Descripción técnica ítem N</t>
    </r>
    <r>
      <rPr>
        <sz val="11"/>
        <color theme="1"/>
        <rFont val="Calibri"/>
        <family val="2"/>
        <scheme val="minor"/>
      </rPr>
      <t>° 4 TIPO JEVITY NUTRICION ENTERAL, LIBRE DE GLUTEN SIN LACTOSA</t>
    </r>
  </si>
  <si>
    <r>
      <rPr>
        <b/>
        <u/>
        <sz val="11"/>
        <color theme="1"/>
        <rFont val="Calibri"/>
        <family val="2"/>
        <scheme val="minor"/>
      </rPr>
      <t>Descripción técnica Ítem N° 5</t>
    </r>
    <r>
      <rPr>
        <sz val="11"/>
        <color theme="1"/>
        <rFont val="Calibri"/>
        <family val="2"/>
        <scheme val="minor"/>
      </rPr>
      <t xml:space="preserve"> TIPO GLUCERNA X 1 LITRO 1,0KCAL/ML LIBRE DE GLUTEN , SIN LACTOSA</t>
    </r>
  </si>
  <si>
    <r>
      <t>Descripción técnica Ítem N</t>
    </r>
    <r>
      <rPr>
        <sz val="11"/>
        <color theme="1"/>
        <rFont val="Calibri"/>
        <family val="2"/>
        <scheme val="minor"/>
      </rPr>
      <t>°6 TIPO DIBEN X 500 ML LIBRE DE GLUTEN 1,05 KCAL/ ML</t>
    </r>
  </si>
  <si>
    <r>
      <rPr>
        <b/>
        <u/>
        <sz val="11"/>
        <color theme="1"/>
        <rFont val="Calibri"/>
        <family val="2"/>
        <scheme val="minor"/>
      </rPr>
      <t>Descripción técnica ítem N</t>
    </r>
    <r>
      <rPr>
        <sz val="11"/>
        <color theme="1"/>
        <rFont val="Calibri"/>
        <family val="2"/>
        <scheme val="minor"/>
      </rPr>
      <t>°7 Alimentacion Enteral completa x 500 ml - Tipo Reconvan x 500 cc</t>
    </r>
  </si>
  <si>
    <r>
      <rPr>
        <b/>
        <u/>
        <sz val="11"/>
        <color theme="1"/>
        <rFont val="Calibri"/>
        <family val="2"/>
        <scheme val="minor"/>
      </rPr>
      <t>Descripción técnica Ítem N</t>
    </r>
    <r>
      <rPr>
        <sz val="11"/>
        <color theme="1"/>
        <rFont val="Calibri"/>
        <family val="2"/>
        <scheme val="minor"/>
      </rPr>
      <t>°8 Alimentacion Enteral completa de alta densidad calorica x 500 cc - Tipo Suportan o Fresubin Energy x 500cc</t>
    </r>
  </si>
  <si>
    <r>
      <t>Descripción técnica Ítem N</t>
    </r>
    <r>
      <rPr>
        <sz val="11"/>
        <color theme="1"/>
        <rFont val="Calibri"/>
        <family val="2"/>
        <scheme val="minor"/>
      </rPr>
      <t xml:space="preserve">° 9 Suplemento Oral Bebible botella x 200 ml tipo Diben Drink </t>
    </r>
  </si>
  <si>
    <r>
      <rPr>
        <b/>
        <u/>
        <sz val="11"/>
        <color theme="1"/>
        <rFont val="Calibri"/>
        <family val="2"/>
        <scheme val="minor"/>
      </rPr>
      <t>Descripción técnica ítem N</t>
    </r>
    <r>
      <rPr>
        <sz val="11"/>
        <color theme="1"/>
        <rFont val="Calibri"/>
        <family val="2"/>
        <scheme val="minor"/>
      </rPr>
      <t>° 10 EMULSION CON AMINOACIDOS , GLUCOSA ,LIPIDOS Y SALES TIPO SMOFKABIVEN CENTRAL X 1970 ML DE 2200 KCAL</t>
    </r>
  </si>
  <si>
    <r>
      <rPr>
        <b/>
        <u/>
        <sz val="11"/>
        <color theme="1"/>
        <rFont val="Calibri"/>
        <family val="2"/>
        <scheme val="minor"/>
      </rPr>
      <t>Descripción técnica ítem N</t>
    </r>
    <r>
      <rPr>
        <sz val="11"/>
        <color theme="1"/>
        <rFont val="Calibri"/>
        <family val="2"/>
        <scheme val="minor"/>
      </rPr>
      <t>° 17,18,19,20,21,22 Y 23 DEBERAN CUMPLIR CON LA DISPOSICION ANMAT 11857/2017  SOLUCIONES PARENTERALES DE GRAN VOLUMEN</t>
    </r>
  </si>
  <si>
    <r>
      <t xml:space="preserve">a) </t>
    </r>
    <r>
      <rPr>
        <b/>
        <u/>
        <sz val="11"/>
        <color theme="1"/>
        <rFont val="Calibri"/>
        <family val="2"/>
        <scheme val="minor"/>
      </rPr>
      <t>LUGAR DE ENTREGA:</t>
    </r>
    <r>
      <rPr>
        <sz val="11"/>
        <color theme="1"/>
        <rFont val="Calibri"/>
        <family val="2"/>
        <scheme val="minor"/>
      </rPr>
      <t xml:space="preserve">     SERVICIO DE FARMACIA-AVDA.  ILIA Y  MARIANO MORENO - DE LUNES A VIERNES EN EL HORARIO DE O8 A 12 HS. 
b) </t>
    </r>
    <r>
      <rPr>
        <b/>
        <u/>
        <sz val="11"/>
        <color theme="1"/>
        <rFont val="Calibri"/>
        <family val="2"/>
        <scheme val="minor"/>
      </rPr>
      <t>FORMA DE LA ENTREGA:</t>
    </r>
    <r>
      <rPr>
        <sz val="11"/>
        <color theme="1"/>
        <rFont val="Calibri"/>
        <family val="2"/>
        <scheme val="minor"/>
      </rPr>
      <t xml:space="preserve"> Libre de flete, acarreo y embalaje, como así también, de todo riesgo de pérdida o destrucción total o parcial, por causas ajenas a la Institución. 
c)  </t>
    </r>
    <r>
      <rPr>
        <b/>
        <u/>
        <sz val="11"/>
        <color theme="1"/>
        <rFont val="Calibri"/>
        <family val="2"/>
        <scheme val="minor"/>
      </rPr>
      <t>PLAZO DE ENTREGA:</t>
    </r>
    <r>
      <rPr>
        <sz val="11"/>
        <color theme="1"/>
        <rFont val="Calibri"/>
        <family val="2"/>
        <scheme val="minor"/>
      </rPr>
      <t xml:space="preserve"> El Oferente deberá establecer plazo de entrega de los elementos cotizados, debiendo ser expresado en días hábiles; que no podrá ser superior a diez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</si>
</sst>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-&quot;$&quot;\ * #,##0.00_-;\-&quot;$&quot;\ * #,##0.00_-;_-&quot;$&quot;\ * &quot;-&quot;??_-;_-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424242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93">
    <xf numFmtId="0" fontId="0" fillId="0" borderId="0" xfId="0"/>
    <xf numFmtId="0" fontId="4" fillId="2" borderId="0" xfId="2" applyFont="1" applyFill="1"/>
    <xf numFmtId="0" fontId="4" fillId="2" borderId="0" xfId="2" applyFont="1" applyFill="1" applyAlignment="1">
      <alignment horizontal="left" vertical="center"/>
    </xf>
    <xf numFmtId="164" fontId="4" fillId="2" borderId="0" xfId="2" applyNumberFormat="1" applyFont="1" applyFill="1"/>
    <xf numFmtId="0" fontId="8" fillId="2" borderId="0" xfId="2" applyFont="1" applyFill="1" applyAlignment="1">
      <alignment horizontal="left" wrapText="1"/>
    </xf>
    <xf numFmtId="0" fontId="8" fillId="2" borderId="0" xfId="2" applyFont="1" applyFill="1" applyAlignment="1">
      <alignment horizontal="center" wrapText="1"/>
    </xf>
    <xf numFmtId="0" fontId="7" fillId="3" borderId="0" xfId="2" applyFont="1" applyFill="1" applyAlignment="1">
      <alignment horizontal="left" wrapText="1" indent="1"/>
    </xf>
    <xf numFmtId="0" fontId="9" fillId="2" borderId="0" xfId="2" applyFont="1" applyFill="1" applyAlignment="1">
      <alignment horizontal="left" wrapText="1"/>
    </xf>
    <xf numFmtId="0" fontId="8" fillId="2" borderId="0" xfId="2" applyFont="1" applyFill="1" applyAlignment="1">
      <alignment horizontal="left" vertical="center" wrapText="1"/>
    </xf>
    <xf numFmtId="0" fontId="10" fillId="2" borderId="1" xfId="2" applyFont="1" applyFill="1" applyBorder="1" applyAlignment="1">
      <alignment horizontal="center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left" vertical="center" wrapTex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164" fontId="0" fillId="5" borderId="22" xfId="0" applyNumberFormat="1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6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center"/>
    </xf>
    <xf numFmtId="0" fontId="7" fillId="3" borderId="0" xfId="2" applyFont="1" applyFill="1" applyAlignment="1">
      <alignment horizontal="left" wrapText="1" indent="1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2" borderId="28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9" xfId="0" applyFill="1" applyBorder="1" applyAlignment="1">
      <alignment horizontal="left"/>
    </xf>
    <xf numFmtId="0" fontId="0" fillId="2" borderId="30" xfId="0" applyFont="1" applyFill="1" applyBorder="1" applyAlignment="1">
      <alignment horizontal="left" wrapText="1"/>
    </xf>
    <xf numFmtId="0" fontId="0" fillId="2" borderId="1" xfId="0" applyFont="1" applyFill="1" applyBorder="1" applyAlignment="1">
      <alignment horizontal="left" wrapText="1"/>
    </xf>
    <xf numFmtId="0" fontId="0" fillId="2" borderId="29" xfId="0" applyFont="1" applyFill="1" applyBorder="1" applyAlignment="1">
      <alignment horizontal="left" wrapText="1"/>
    </xf>
    <xf numFmtId="0" fontId="13" fillId="2" borderId="30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9" xfId="0" applyFill="1" applyBorder="1" applyAlignment="1">
      <alignment horizontal="left" vertical="center" wrapText="1"/>
    </xf>
    <xf numFmtId="0" fontId="0" fillId="2" borderId="30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2" borderId="30" xfId="0" applyFill="1" applyBorder="1" applyAlignment="1">
      <alignment horizontal="left"/>
    </xf>
    <xf numFmtId="0" fontId="0" fillId="2" borderId="31" xfId="0" applyFill="1" applyBorder="1" applyAlignment="1">
      <alignment horizontal="left"/>
    </xf>
    <xf numFmtId="0" fontId="0" fillId="2" borderId="32" xfId="0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0" fontId="0" fillId="0" borderId="16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3" fillId="2" borderId="15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17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/>
    </xf>
    <xf numFmtId="0" fontId="0" fillId="2" borderId="19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left" vertical="center" wrapText="1"/>
    </xf>
    <xf numFmtId="0" fontId="3" fillId="2" borderId="4" xfId="2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/>
    </xf>
    <xf numFmtId="165" fontId="3" fillId="2" borderId="4" xfId="2" applyNumberFormat="1" applyFont="1" applyFill="1" applyBorder="1" applyAlignment="1">
      <alignment horizontal="center" vertical="center"/>
    </xf>
    <xf numFmtId="0" fontId="3" fillId="2" borderId="0" xfId="2" applyFont="1" applyFill="1" applyAlignment="1">
      <alignment horizontal="left" wrapText="1"/>
    </xf>
    <xf numFmtId="0" fontId="3" fillId="2" borderId="5" xfId="2" applyFont="1" applyFill="1" applyBorder="1" applyAlignment="1">
      <alignment horizontal="left" vertic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left" vertical="center" wrapText="1"/>
    </xf>
    <xf numFmtId="0" fontId="3" fillId="2" borderId="6" xfId="2" applyFont="1" applyFill="1" applyBorder="1" applyAlignment="1">
      <alignment horizontal="center" vertical="center" wrapText="1"/>
    </xf>
    <xf numFmtId="3" fontId="3" fillId="2" borderId="5" xfId="2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vertical="center" wrapText="1"/>
    </xf>
    <xf numFmtId="3" fontId="3" fillId="2" borderId="7" xfId="2" applyNumberFormat="1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left" vertical="center"/>
    </xf>
    <xf numFmtId="0" fontId="3" fillId="2" borderId="8" xfId="2" applyFont="1" applyFill="1" applyBorder="1" applyAlignment="1">
      <alignment horizontal="center" vertical="center" wrapText="1"/>
    </xf>
    <xf numFmtId="0" fontId="3" fillId="2" borderId="10" xfId="2" applyFont="1" applyFill="1" applyBorder="1" applyAlignment="1">
      <alignment vertical="center" wrapText="1"/>
    </xf>
    <xf numFmtId="0" fontId="3" fillId="2" borderId="9" xfId="2" applyFont="1" applyFill="1" applyBorder="1" applyAlignment="1">
      <alignment horizontal="center" vertical="center" wrapText="1"/>
    </xf>
    <xf numFmtId="3" fontId="3" fillId="2" borderId="8" xfId="2" applyNumberFormat="1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165" fontId="3" fillId="4" borderId="4" xfId="2" applyNumberFormat="1" applyFont="1" applyFill="1" applyBorder="1" applyAlignment="1">
      <alignment horizontal="center" vertical="center"/>
    </xf>
    <xf numFmtId="0" fontId="3" fillId="2" borderId="3" xfId="2" applyFont="1" applyFill="1" applyBorder="1" applyAlignment="1">
      <alignment vertical="center" wrapText="1"/>
    </xf>
    <xf numFmtId="0" fontId="3" fillId="2" borderId="10" xfId="2" applyFont="1" applyFill="1" applyBorder="1" applyAlignment="1">
      <alignment horizontal="left" vertical="center" wrapText="1"/>
    </xf>
    <xf numFmtId="0" fontId="3" fillId="4" borderId="3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/>
    </xf>
    <xf numFmtId="164" fontId="14" fillId="3" borderId="1" xfId="1" applyNumberFormat="1" applyFont="1" applyFill="1" applyBorder="1" applyAlignment="1" applyProtection="1">
      <alignment horizontal="right" vertical="center" wrapText="1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3" fillId="2" borderId="8" xfId="2" applyFont="1" applyFill="1" applyBorder="1" applyAlignment="1">
      <alignment horizontal="center" vertical="center"/>
    </xf>
    <xf numFmtId="164" fontId="14" fillId="3" borderId="5" xfId="1" applyNumberFormat="1" applyFont="1" applyFill="1" applyBorder="1" applyAlignment="1" applyProtection="1">
      <alignment horizontal="right" vertical="center" wrapText="1"/>
    </xf>
  </cellXfs>
  <cellStyles count="3">
    <cellStyle name="Moneda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65"/>
  <sheetViews>
    <sheetView tabSelected="1" topLeftCell="A44" workbookViewId="0">
      <selection activeCell="J51" sqref="J51"/>
    </sheetView>
  </sheetViews>
  <sheetFormatPr baseColWidth="10" defaultRowHeight="15" x14ac:dyDescent="0.25"/>
  <cols>
    <col min="1" max="1" width="4.5703125" customWidth="1"/>
    <col min="2" max="2" width="14" customWidth="1"/>
    <col min="3" max="3" width="21" customWidth="1"/>
    <col min="4" max="4" width="8.42578125" customWidth="1"/>
    <col min="5" max="5" width="69" customWidth="1"/>
    <col min="6" max="6" width="14.7109375" bestFit="1" customWidth="1"/>
    <col min="7" max="7" width="10.42578125" bestFit="1" customWidth="1"/>
    <col min="8" max="8" width="12" bestFit="1" customWidth="1"/>
    <col min="9" max="9" width="18.42578125" customWidth="1"/>
  </cols>
  <sheetData>
    <row r="3" spans="1:9" x14ac:dyDescent="0.25">
      <c r="A3" s="1"/>
      <c r="B3" s="2"/>
      <c r="C3" s="1"/>
      <c r="D3" s="1"/>
      <c r="E3" s="1"/>
      <c r="F3" s="1"/>
      <c r="G3" s="1"/>
      <c r="H3" s="1"/>
      <c r="I3" s="3"/>
    </row>
    <row r="4" spans="1:9" ht="27" x14ac:dyDescent="0.35">
      <c r="A4" s="1"/>
      <c r="B4" s="21" t="s">
        <v>0</v>
      </c>
      <c r="C4" s="21"/>
      <c r="D4" s="21"/>
      <c r="E4" s="21"/>
      <c r="F4" s="21"/>
      <c r="G4" s="21"/>
      <c r="H4" s="21"/>
      <c r="I4" s="3"/>
    </row>
    <row r="5" spans="1:9" x14ac:dyDescent="0.25">
      <c r="A5" s="1"/>
      <c r="B5" s="2"/>
      <c r="C5" s="1"/>
      <c r="D5" s="1"/>
      <c r="E5" s="1"/>
      <c r="F5" s="1"/>
      <c r="G5" s="1"/>
      <c r="H5" s="1"/>
      <c r="I5" s="3"/>
    </row>
    <row r="6" spans="1:9" ht="15.75" x14ac:dyDescent="0.25">
      <c r="A6" s="20" t="s">
        <v>1</v>
      </c>
      <c r="B6" s="20"/>
      <c r="C6" s="22" t="s">
        <v>2</v>
      </c>
      <c r="D6" s="22"/>
      <c r="E6" s="22"/>
      <c r="F6" s="4"/>
      <c r="G6" s="5"/>
      <c r="H6" s="4"/>
      <c r="I6" s="3"/>
    </row>
    <row r="7" spans="1:9" ht="15.75" x14ac:dyDescent="0.25">
      <c r="A7" s="20" t="s">
        <v>3</v>
      </c>
      <c r="B7" s="20"/>
      <c r="C7" s="22" t="s">
        <v>4</v>
      </c>
      <c r="D7" s="22"/>
      <c r="E7" s="22"/>
      <c r="F7" s="4"/>
      <c r="G7" s="5"/>
      <c r="H7" s="4"/>
      <c r="I7" s="3"/>
    </row>
    <row r="8" spans="1:9" ht="15.75" x14ac:dyDescent="0.25">
      <c r="A8" s="20" t="s">
        <v>5</v>
      </c>
      <c r="B8" s="20"/>
      <c r="C8" s="6">
        <v>2023</v>
      </c>
      <c r="D8" s="7"/>
      <c r="E8" s="7"/>
      <c r="F8" s="4"/>
      <c r="G8" s="5"/>
      <c r="H8" s="4"/>
      <c r="I8" s="3"/>
    </row>
    <row r="9" spans="1:9" ht="15.75" x14ac:dyDescent="0.25">
      <c r="A9" s="20" t="s">
        <v>6</v>
      </c>
      <c r="B9" s="20"/>
      <c r="C9" s="6">
        <v>1</v>
      </c>
      <c r="D9" s="7"/>
      <c r="E9" s="7"/>
      <c r="F9" s="4"/>
      <c r="G9" s="5"/>
      <c r="H9" s="4"/>
      <c r="I9" s="3"/>
    </row>
    <row r="10" spans="1:9" x14ac:dyDescent="0.25">
      <c r="A10" s="1"/>
      <c r="B10" s="8"/>
      <c r="C10" s="5"/>
      <c r="D10" s="4"/>
      <c r="E10" s="4"/>
      <c r="F10" s="4"/>
      <c r="G10" s="5"/>
      <c r="H10" s="4"/>
      <c r="I10" s="3"/>
    </row>
    <row r="11" spans="1:9" ht="38.25" x14ac:dyDescent="0.25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9" t="s">
        <v>12</v>
      </c>
      <c r="G11" s="9" t="s">
        <v>13</v>
      </c>
      <c r="H11" s="9" t="s">
        <v>14</v>
      </c>
      <c r="I11" s="10" t="s">
        <v>15</v>
      </c>
    </row>
    <row r="12" spans="1:9" ht="25.5" x14ac:dyDescent="0.25">
      <c r="A12" s="87">
        <v>1</v>
      </c>
      <c r="B12" s="61" t="s">
        <v>16</v>
      </c>
      <c r="C12" s="62" t="s">
        <v>17</v>
      </c>
      <c r="D12" s="63">
        <v>252</v>
      </c>
      <c r="E12" s="64" t="s">
        <v>18</v>
      </c>
      <c r="F12" s="65" t="s">
        <v>19</v>
      </c>
      <c r="G12" s="66">
        <v>400</v>
      </c>
      <c r="H12" s="67">
        <v>560</v>
      </c>
      <c r="I12" s="88">
        <f>+G12*H12</f>
        <v>224000</v>
      </c>
    </row>
    <row r="13" spans="1:9" ht="25.5" x14ac:dyDescent="0.25">
      <c r="A13" s="87">
        <v>2</v>
      </c>
      <c r="B13" s="82" t="s">
        <v>20</v>
      </c>
      <c r="C13" s="62" t="s">
        <v>17</v>
      </c>
      <c r="D13" s="63">
        <v>252</v>
      </c>
      <c r="E13" s="64" t="s">
        <v>21</v>
      </c>
      <c r="F13" s="65" t="s">
        <v>19</v>
      </c>
      <c r="G13" s="66">
        <v>600</v>
      </c>
      <c r="H13" s="67">
        <v>212</v>
      </c>
      <c r="I13" s="88">
        <f t="shared" ref="I13:I38" si="0">+G13*H13</f>
        <v>127200</v>
      </c>
    </row>
    <row r="14" spans="1:9" ht="26.25" x14ac:dyDescent="0.25">
      <c r="A14" s="87">
        <v>3</v>
      </c>
      <c r="B14" s="82" t="s">
        <v>22</v>
      </c>
      <c r="C14" s="62" t="s">
        <v>17</v>
      </c>
      <c r="D14" s="63">
        <v>252</v>
      </c>
      <c r="E14" s="68" t="s">
        <v>23</v>
      </c>
      <c r="F14" s="65" t="s">
        <v>19</v>
      </c>
      <c r="G14" s="66">
        <v>1000</v>
      </c>
      <c r="H14" s="67">
        <v>3600</v>
      </c>
      <c r="I14" s="88">
        <f t="shared" si="0"/>
        <v>3600000</v>
      </c>
    </row>
    <row r="15" spans="1:9" ht="38.25" x14ac:dyDescent="0.25">
      <c r="A15" s="87">
        <v>4</v>
      </c>
      <c r="B15" s="82" t="s">
        <v>24</v>
      </c>
      <c r="C15" s="62" t="s">
        <v>17</v>
      </c>
      <c r="D15" s="63">
        <v>252</v>
      </c>
      <c r="E15" s="64" t="s">
        <v>25</v>
      </c>
      <c r="F15" s="65" t="s">
        <v>26</v>
      </c>
      <c r="G15" s="66">
        <v>3000</v>
      </c>
      <c r="H15" s="67">
        <v>2800</v>
      </c>
      <c r="I15" s="88">
        <f t="shared" si="0"/>
        <v>8400000</v>
      </c>
    </row>
    <row r="16" spans="1:9" ht="38.25" x14ac:dyDescent="0.25">
      <c r="A16" s="87">
        <v>5</v>
      </c>
      <c r="B16" s="82" t="s">
        <v>27</v>
      </c>
      <c r="C16" s="62" t="s">
        <v>17</v>
      </c>
      <c r="D16" s="63">
        <v>252</v>
      </c>
      <c r="E16" s="64" t="s">
        <v>28</v>
      </c>
      <c r="F16" s="65" t="s">
        <v>29</v>
      </c>
      <c r="G16" s="66">
        <v>1000</v>
      </c>
      <c r="H16" s="67">
        <v>3200</v>
      </c>
      <c r="I16" s="88">
        <f t="shared" si="0"/>
        <v>3200000</v>
      </c>
    </row>
    <row r="17" spans="1:9" ht="38.25" x14ac:dyDescent="0.25">
      <c r="A17" s="89">
        <v>6</v>
      </c>
      <c r="B17" s="90" t="s">
        <v>30</v>
      </c>
      <c r="C17" s="69" t="s">
        <v>17</v>
      </c>
      <c r="D17" s="70">
        <v>252</v>
      </c>
      <c r="E17" s="71" t="s">
        <v>31</v>
      </c>
      <c r="F17" s="72" t="s">
        <v>32</v>
      </c>
      <c r="G17" s="73">
        <v>7000</v>
      </c>
      <c r="H17" s="67">
        <v>940</v>
      </c>
      <c r="I17" s="88">
        <f t="shared" si="0"/>
        <v>6580000</v>
      </c>
    </row>
    <row r="18" spans="1:9" ht="63.75" x14ac:dyDescent="0.25">
      <c r="A18" s="87">
        <v>7</v>
      </c>
      <c r="B18" s="11" t="s">
        <v>33</v>
      </c>
      <c r="C18" s="12" t="s">
        <v>17</v>
      </c>
      <c r="D18" s="13" t="str">
        <f t="shared" ref="D18:D20" si="1">LEFT(B18,5)</f>
        <v>2.5.2</v>
      </c>
      <c r="E18" s="74" t="s">
        <v>34</v>
      </c>
      <c r="F18" s="11" t="s">
        <v>26</v>
      </c>
      <c r="G18" s="75">
        <v>2000</v>
      </c>
      <c r="H18" s="67">
        <v>1443</v>
      </c>
      <c r="I18" s="88">
        <f t="shared" si="0"/>
        <v>2886000</v>
      </c>
    </row>
    <row r="19" spans="1:9" ht="51" x14ac:dyDescent="0.25">
      <c r="A19" s="87">
        <v>8</v>
      </c>
      <c r="B19" s="14" t="s">
        <v>35</v>
      </c>
      <c r="C19" s="12" t="s">
        <v>17</v>
      </c>
      <c r="D19" s="13" t="str">
        <f t="shared" si="1"/>
        <v>2.5.2</v>
      </c>
      <c r="E19" s="74" t="s">
        <v>36</v>
      </c>
      <c r="F19" s="11" t="s">
        <v>26</v>
      </c>
      <c r="G19" s="75">
        <v>2000</v>
      </c>
      <c r="H19" s="67">
        <v>1251</v>
      </c>
      <c r="I19" s="88">
        <f t="shared" si="0"/>
        <v>2502000</v>
      </c>
    </row>
    <row r="20" spans="1:9" ht="51" x14ac:dyDescent="0.25">
      <c r="A20" s="87">
        <v>9</v>
      </c>
      <c r="B20" s="14" t="s">
        <v>37</v>
      </c>
      <c r="C20" s="12" t="s">
        <v>17</v>
      </c>
      <c r="D20" s="13" t="str">
        <f t="shared" si="1"/>
        <v>2.5.2</v>
      </c>
      <c r="E20" s="74" t="s">
        <v>38</v>
      </c>
      <c r="F20" s="11" t="s">
        <v>26</v>
      </c>
      <c r="G20" s="75">
        <v>3000</v>
      </c>
      <c r="H20" s="67">
        <v>807</v>
      </c>
      <c r="I20" s="88">
        <f t="shared" si="0"/>
        <v>2421000</v>
      </c>
    </row>
    <row r="21" spans="1:9" ht="25.5" x14ac:dyDescent="0.25">
      <c r="A21" s="91">
        <v>10</v>
      </c>
      <c r="B21" s="76" t="s">
        <v>39</v>
      </c>
      <c r="C21" s="77" t="s">
        <v>17</v>
      </c>
      <c r="D21" s="78">
        <v>252</v>
      </c>
      <c r="E21" s="79" t="s">
        <v>40</v>
      </c>
      <c r="F21" s="80" t="s">
        <v>32</v>
      </c>
      <c r="G21" s="81">
        <v>300</v>
      </c>
      <c r="H21" s="67">
        <v>14800</v>
      </c>
      <c r="I21" s="88">
        <f t="shared" si="0"/>
        <v>4440000</v>
      </c>
    </row>
    <row r="22" spans="1:9" ht="25.5" x14ac:dyDescent="0.25">
      <c r="A22" s="87">
        <v>11</v>
      </c>
      <c r="B22" s="82" t="s">
        <v>41</v>
      </c>
      <c r="C22" s="62" t="s">
        <v>17</v>
      </c>
      <c r="D22" s="63">
        <v>252</v>
      </c>
      <c r="E22" s="64" t="s">
        <v>42</v>
      </c>
      <c r="F22" s="65" t="s">
        <v>19</v>
      </c>
      <c r="G22" s="66">
        <v>1000</v>
      </c>
      <c r="H22" s="67">
        <v>388</v>
      </c>
      <c r="I22" s="88">
        <f t="shared" si="0"/>
        <v>388000</v>
      </c>
    </row>
    <row r="23" spans="1:9" ht="25.5" x14ac:dyDescent="0.25">
      <c r="A23" s="87">
        <v>12</v>
      </c>
      <c r="B23" s="82" t="s">
        <v>43</v>
      </c>
      <c r="C23" s="62" t="s">
        <v>17</v>
      </c>
      <c r="D23" s="63">
        <v>252</v>
      </c>
      <c r="E23" s="64" t="s">
        <v>44</v>
      </c>
      <c r="F23" s="65" t="s">
        <v>45</v>
      </c>
      <c r="G23" s="66">
        <v>12000</v>
      </c>
      <c r="H23" s="83">
        <v>45</v>
      </c>
      <c r="I23" s="88">
        <f t="shared" si="0"/>
        <v>540000</v>
      </c>
    </row>
    <row r="24" spans="1:9" ht="25.5" x14ac:dyDescent="0.25">
      <c r="A24" s="87">
        <v>13</v>
      </c>
      <c r="B24" s="15" t="s">
        <v>46</v>
      </c>
      <c r="C24" s="62" t="s">
        <v>17</v>
      </c>
      <c r="D24" s="63">
        <v>252</v>
      </c>
      <c r="E24" s="64" t="s">
        <v>47</v>
      </c>
      <c r="F24" s="65" t="s">
        <v>45</v>
      </c>
      <c r="G24" s="66">
        <v>1600</v>
      </c>
      <c r="H24" s="83">
        <v>77.8</v>
      </c>
      <c r="I24" s="88">
        <f t="shared" si="0"/>
        <v>124480</v>
      </c>
    </row>
    <row r="25" spans="1:9" ht="38.25" x14ac:dyDescent="0.25">
      <c r="A25" s="87">
        <v>14</v>
      </c>
      <c r="B25" s="82" t="s">
        <v>48</v>
      </c>
      <c r="C25" s="62" t="s">
        <v>17</v>
      </c>
      <c r="D25" s="63">
        <v>252</v>
      </c>
      <c r="E25" s="64" t="s">
        <v>49</v>
      </c>
      <c r="F25" s="65" t="s">
        <v>45</v>
      </c>
      <c r="G25" s="66">
        <v>1000</v>
      </c>
      <c r="H25" s="67">
        <v>88.5</v>
      </c>
      <c r="I25" s="88">
        <f t="shared" si="0"/>
        <v>88500</v>
      </c>
    </row>
    <row r="26" spans="1:9" ht="25.5" x14ac:dyDescent="0.25">
      <c r="A26" s="87">
        <v>15</v>
      </c>
      <c r="B26" s="82" t="s">
        <v>50</v>
      </c>
      <c r="C26" s="62" t="s">
        <v>17</v>
      </c>
      <c r="D26" s="63">
        <v>252</v>
      </c>
      <c r="E26" s="64" t="s">
        <v>51</v>
      </c>
      <c r="F26" s="65" t="s">
        <v>52</v>
      </c>
      <c r="G26" s="66">
        <v>1000</v>
      </c>
      <c r="H26" s="67">
        <v>2000</v>
      </c>
      <c r="I26" s="88">
        <f t="shared" si="0"/>
        <v>2000000</v>
      </c>
    </row>
    <row r="27" spans="1:9" ht="25.5" x14ac:dyDescent="0.25">
      <c r="A27" s="87">
        <v>16</v>
      </c>
      <c r="B27" s="82" t="s">
        <v>53</v>
      </c>
      <c r="C27" s="62" t="s">
        <v>17</v>
      </c>
      <c r="D27" s="63">
        <v>252</v>
      </c>
      <c r="E27" s="64" t="s">
        <v>54</v>
      </c>
      <c r="F27" s="65" t="s">
        <v>52</v>
      </c>
      <c r="G27" s="66">
        <v>2000</v>
      </c>
      <c r="H27" s="67">
        <v>1900</v>
      </c>
      <c r="I27" s="88">
        <f t="shared" si="0"/>
        <v>3800000</v>
      </c>
    </row>
    <row r="28" spans="1:9" ht="25.5" x14ac:dyDescent="0.25">
      <c r="A28" s="87">
        <v>17</v>
      </c>
      <c r="B28" s="82" t="s">
        <v>55</v>
      </c>
      <c r="C28" s="62" t="s">
        <v>17</v>
      </c>
      <c r="D28" s="63">
        <v>252</v>
      </c>
      <c r="E28" s="64" t="s">
        <v>56</v>
      </c>
      <c r="F28" s="65" t="s">
        <v>19</v>
      </c>
      <c r="G28" s="66">
        <v>100</v>
      </c>
      <c r="H28" s="67">
        <v>303</v>
      </c>
      <c r="I28" s="88">
        <f t="shared" si="0"/>
        <v>30300</v>
      </c>
    </row>
    <row r="29" spans="1:9" ht="25.5" x14ac:dyDescent="0.25">
      <c r="A29" s="87">
        <v>18</v>
      </c>
      <c r="B29" s="82" t="s">
        <v>57</v>
      </c>
      <c r="C29" s="62" t="s">
        <v>17</v>
      </c>
      <c r="D29" s="63">
        <v>252</v>
      </c>
      <c r="E29" s="64" t="s">
        <v>58</v>
      </c>
      <c r="F29" s="65" t="s">
        <v>19</v>
      </c>
      <c r="G29" s="66">
        <v>100</v>
      </c>
      <c r="H29" s="67">
        <v>145</v>
      </c>
      <c r="I29" s="88">
        <f t="shared" si="0"/>
        <v>14500</v>
      </c>
    </row>
    <row r="30" spans="1:9" ht="25.5" x14ac:dyDescent="0.25">
      <c r="A30" s="87">
        <v>19</v>
      </c>
      <c r="B30" s="82" t="s">
        <v>59</v>
      </c>
      <c r="C30" s="62" t="s">
        <v>17</v>
      </c>
      <c r="D30" s="63">
        <v>252</v>
      </c>
      <c r="E30" s="64" t="s">
        <v>60</v>
      </c>
      <c r="F30" s="65" t="s">
        <v>19</v>
      </c>
      <c r="G30" s="66">
        <v>100</v>
      </c>
      <c r="H30" s="67">
        <v>164.23</v>
      </c>
      <c r="I30" s="88">
        <f t="shared" si="0"/>
        <v>16423</v>
      </c>
    </row>
    <row r="31" spans="1:9" ht="25.5" x14ac:dyDescent="0.25">
      <c r="A31" s="87">
        <v>20</v>
      </c>
      <c r="B31" s="82" t="s">
        <v>61</v>
      </c>
      <c r="C31" s="62" t="s">
        <v>17</v>
      </c>
      <c r="D31" s="63">
        <v>252</v>
      </c>
      <c r="E31" s="64" t="s">
        <v>62</v>
      </c>
      <c r="F31" s="65" t="s">
        <v>19</v>
      </c>
      <c r="G31" s="66">
        <v>100</v>
      </c>
      <c r="H31" s="83">
        <v>275</v>
      </c>
      <c r="I31" s="88">
        <f t="shared" si="0"/>
        <v>27500</v>
      </c>
    </row>
    <row r="32" spans="1:9" ht="25.5" x14ac:dyDescent="0.25">
      <c r="A32" s="87">
        <v>21</v>
      </c>
      <c r="B32" s="82" t="s">
        <v>63</v>
      </c>
      <c r="C32" s="62" t="s">
        <v>17</v>
      </c>
      <c r="D32" s="63">
        <v>252</v>
      </c>
      <c r="E32" s="64" t="s">
        <v>64</v>
      </c>
      <c r="F32" s="65" t="s">
        <v>19</v>
      </c>
      <c r="G32" s="66">
        <v>12000</v>
      </c>
      <c r="H32" s="67">
        <v>228.37</v>
      </c>
      <c r="I32" s="88">
        <f t="shared" si="0"/>
        <v>2740440</v>
      </c>
    </row>
    <row r="33" spans="1:9" ht="25.5" x14ac:dyDescent="0.25">
      <c r="A33" s="87">
        <v>22</v>
      </c>
      <c r="B33" s="65" t="s">
        <v>65</v>
      </c>
      <c r="C33" s="62" t="s">
        <v>17</v>
      </c>
      <c r="D33" s="63">
        <v>252</v>
      </c>
      <c r="E33" s="84" t="s">
        <v>66</v>
      </c>
      <c r="F33" s="65" t="s">
        <v>19</v>
      </c>
      <c r="G33" s="66">
        <v>100000</v>
      </c>
      <c r="H33" s="67">
        <v>198.5</v>
      </c>
      <c r="I33" s="88">
        <f t="shared" si="0"/>
        <v>19850000</v>
      </c>
    </row>
    <row r="34" spans="1:9" ht="25.5" x14ac:dyDescent="0.25">
      <c r="A34" s="87">
        <v>23</v>
      </c>
      <c r="B34" s="82" t="s">
        <v>67</v>
      </c>
      <c r="C34" s="62" t="s">
        <v>17</v>
      </c>
      <c r="D34" s="63">
        <v>252</v>
      </c>
      <c r="E34" s="85" t="s">
        <v>68</v>
      </c>
      <c r="F34" s="65" t="s">
        <v>19</v>
      </c>
      <c r="G34" s="66">
        <v>20000</v>
      </c>
      <c r="H34" s="67">
        <v>186</v>
      </c>
      <c r="I34" s="88">
        <f t="shared" si="0"/>
        <v>3720000</v>
      </c>
    </row>
    <row r="35" spans="1:9" ht="25.5" x14ac:dyDescent="0.25">
      <c r="A35" s="87">
        <v>24</v>
      </c>
      <c r="B35" s="82" t="s">
        <v>69</v>
      </c>
      <c r="C35" s="62" t="s">
        <v>17</v>
      </c>
      <c r="D35" s="63">
        <v>252</v>
      </c>
      <c r="E35" s="64" t="s">
        <v>70</v>
      </c>
      <c r="F35" s="65" t="s">
        <v>45</v>
      </c>
      <c r="G35" s="66">
        <v>1000</v>
      </c>
      <c r="H35" s="83">
        <v>70.25</v>
      </c>
      <c r="I35" s="88">
        <f t="shared" si="0"/>
        <v>70250</v>
      </c>
    </row>
    <row r="36" spans="1:9" ht="25.5" x14ac:dyDescent="0.25">
      <c r="A36" s="87">
        <v>25</v>
      </c>
      <c r="B36" s="82" t="s">
        <v>71</v>
      </c>
      <c r="C36" s="62" t="s">
        <v>17</v>
      </c>
      <c r="D36" s="63">
        <v>252</v>
      </c>
      <c r="E36" s="86" t="s">
        <v>72</v>
      </c>
      <c r="F36" s="65" t="s">
        <v>19</v>
      </c>
      <c r="G36" s="66">
        <v>1000</v>
      </c>
      <c r="H36" s="67">
        <v>517</v>
      </c>
      <c r="I36" s="88">
        <f t="shared" si="0"/>
        <v>517000</v>
      </c>
    </row>
    <row r="37" spans="1:9" ht="25.5" x14ac:dyDescent="0.25">
      <c r="A37" s="87">
        <v>26</v>
      </c>
      <c r="B37" s="82" t="s">
        <v>73</v>
      </c>
      <c r="C37" s="62" t="s">
        <v>17</v>
      </c>
      <c r="D37" s="63">
        <v>252</v>
      </c>
      <c r="E37" s="64" t="s">
        <v>74</v>
      </c>
      <c r="F37" s="82" t="s">
        <v>19</v>
      </c>
      <c r="G37" s="66">
        <v>3000</v>
      </c>
      <c r="H37" s="67">
        <v>275.2</v>
      </c>
      <c r="I37" s="88">
        <f t="shared" si="0"/>
        <v>825600</v>
      </c>
    </row>
    <row r="38" spans="1:9" ht="26.25" thickBot="1" x14ac:dyDescent="0.3">
      <c r="A38" s="87">
        <v>27</v>
      </c>
      <c r="B38" s="82" t="s">
        <v>75</v>
      </c>
      <c r="C38" s="62" t="s">
        <v>17</v>
      </c>
      <c r="D38" s="63">
        <v>252</v>
      </c>
      <c r="E38" s="64" t="s">
        <v>76</v>
      </c>
      <c r="F38" s="65" t="s">
        <v>45</v>
      </c>
      <c r="G38" s="66">
        <v>3000</v>
      </c>
      <c r="H38" s="83">
        <v>42.5</v>
      </c>
      <c r="I38" s="92">
        <f t="shared" si="0"/>
        <v>127500</v>
      </c>
    </row>
    <row r="39" spans="1:9" ht="15.75" thickBot="1" x14ac:dyDescent="0.3">
      <c r="I39" s="16">
        <f>SUM(I12:I38)</f>
        <v>69260693</v>
      </c>
    </row>
    <row r="40" spans="1:9" ht="15.75" thickBot="1" x14ac:dyDescent="0.3"/>
    <row r="41" spans="1:9" ht="15.75" thickBot="1" x14ac:dyDescent="0.3">
      <c r="B41" s="23" t="s">
        <v>83</v>
      </c>
      <c r="C41" s="24"/>
      <c r="D41" s="17"/>
      <c r="E41" s="18"/>
      <c r="F41" s="18"/>
      <c r="G41" s="18"/>
      <c r="H41" s="19"/>
    </row>
    <row r="42" spans="1:9" x14ac:dyDescent="0.25">
      <c r="B42" s="25" t="s">
        <v>84</v>
      </c>
      <c r="C42" s="26"/>
      <c r="D42" s="27"/>
      <c r="E42" s="27"/>
      <c r="F42" s="27"/>
      <c r="G42" s="27"/>
      <c r="H42" s="28"/>
    </row>
    <row r="43" spans="1:9" x14ac:dyDescent="0.25">
      <c r="B43" s="29" t="s">
        <v>85</v>
      </c>
      <c r="C43" s="30"/>
      <c r="D43" s="30"/>
      <c r="E43" s="30"/>
      <c r="F43" s="30"/>
      <c r="G43" s="30"/>
      <c r="H43" s="31"/>
    </row>
    <row r="44" spans="1:9" x14ac:dyDescent="0.25">
      <c r="B44" s="32" t="s">
        <v>86</v>
      </c>
      <c r="C44" s="33"/>
      <c r="D44" s="33"/>
      <c r="E44" s="33"/>
      <c r="F44" s="33"/>
      <c r="G44" s="33"/>
      <c r="H44" s="34"/>
    </row>
    <row r="45" spans="1:9" x14ac:dyDescent="0.25">
      <c r="B45" s="35"/>
      <c r="C45" s="33"/>
      <c r="D45" s="33"/>
      <c r="E45" s="33"/>
      <c r="F45" s="33"/>
      <c r="G45" s="33"/>
      <c r="H45" s="34"/>
    </row>
    <row r="46" spans="1:9" x14ac:dyDescent="0.25">
      <c r="B46" s="39" t="s">
        <v>87</v>
      </c>
      <c r="C46" s="27"/>
      <c r="D46" s="27"/>
      <c r="E46" s="27"/>
      <c r="F46" s="27"/>
      <c r="G46" s="27"/>
      <c r="H46" s="28"/>
    </row>
    <row r="47" spans="1:9" ht="15" customHeight="1" x14ac:dyDescent="0.25">
      <c r="B47" s="29" t="s">
        <v>88</v>
      </c>
      <c r="C47" s="30"/>
      <c r="D47" s="30"/>
      <c r="E47" s="30"/>
      <c r="F47" s="30"/>
      <c r="G47" s="30"/>
      <c r="H47" s="31"/>
    </row>
    <row r="48" spans="1:9" ht="15" customHeight="1" x14ac:dyDescent="0.25">
      <c r="B48" s="32" t="s">
        <v>89</v>
      </c>
      <c r="C48" s="33"/>
      <c r="D48" s="33"/>
      <c r="E48" s="33"/>
      <c r="F48" s="33"/>
      <c r="G48" s="33"/>
      <c r="H48" s="34"/>
    </row>
    <row r="49" spans="2:8" ht="15" customHeight="1" x14ac:dyDescent="0.25">
      <c r="B49" s="35"/>
      <c r="C49" s="33"/>
      <c r="D49" s="33"/>
      <c r="E49" s="33"/>
      <c r="F49" s="33"/>
      <c r="G49" s="33"/>
      <c r="H49" s="34"/>
    </row>
    <row r="50" spans="2:8" ht="15.75" customHeight="1" x14ac:dyDescent="0.25">
      <c r="B50" s="39" t="s">
        <v>90</v>
      </c>
      <c r="C50" s="27"/>
      <c r="D50" s="27"/>
      <c r="E50" s="27"/>
      <c r="F50" s="27"/>
      <c r="G50" s="27"/>
      <c r="H50" s="28"/>
    </row>
    <row r="51" spans="2:8" ht="15.75" thickBot="1" x14ac:dyDescent="0.3">
      <c r="B51" s="40" t="s">
        <v>91</v>
      </c>
      <c r="C51" s="41"/>
      <c r="D51" s="41"/>
      <c r="E51" s="41"/>
      <c r="F51" s="41"/>
      <c r="G51" s="41"/>
      <c r="H51" s="42"/>
    </row>
    <row r="52" spans="2:8" x14ac:dyDescent="0.25">
      <c r="B52" s="43" t="s">
        <v>92</v>
      </c>
      <c r="C52" s="44"/>
      <c r="D52" s="44"/>
      <c r="E52" s="44"/>
      <c r="F52" s="44"/>
      <c r="G52" s="44"/>
      <c r="H52" s="45"/>
    </row>
    <row r="53" spans="2:8" x14ac:dyDescent="0.25">
      <c r="B53" s="43"/>
      <c r="C53" s="44"/>
      <c r="D53" s="44"/>
      <c r="E53" s="44"/>
      <c r="F53" s="44"/>
      <c r="G53" s="44"/>
      <c r="H53" s="45"/>
    </row>
    <row r="54" spans="2:8" x14ac:dyDescent="0.25">
      <c r="B54" s="43"/>
      <c r="C54" s="44"/>
      <c r="D54" s="44"/>
      <c r="E54" s="44"/>
      <c r="F54" s="44"/>
      <c r="G54" s="44"/>
      <c r="H54" s="45"/>
    </row>
    <row r="55" spans="2:8" ht="15" customHeight="1" x14ac:dyDescent="0.25">
      <c r="B55" s="43"/>
      <c r="C55" s="44"/>
      <c r="D55" s="44"/>
      <c r="E55" s="44"/>
      <c r="F55" s="44"/>
      <c r="G55" s="44"/>
      <c r="H55" s="45"/>
    </row>
    <row r="56" spans="2:8" x14ac:dyDescent="0.25">
      <c r="B56" s="43"/>
      <c r="C56" s="44"/>
      <c r="D56" s="44"/>
      <c r="E56" s="44"/>
      <c r="F56" s="44"/>
      <c r="G56" s="44"/>
      <c r="H56" s="45"/>
    </row>
    <row r="57" spans="2:8" ht="15" customHeight="1" thickBot="1" x14ac:dyDescent="0.3">
      <c r="B57" s="46"/>
      <c r="C57" s="47"/>
      <c r="D57" s="47"/>
      <c r="E57" s="47"/>
      <c r="F57" s="47"/>
      <c r="G57" s="47"/>
      <c r="H57" s="48"/>
    </row>
    <row r="58" spans="2:8" x14ac:dyDescent="0.25">
      <c r="B58" s="49" t="s">
        <v>77</v>
      </c>
      <c r="C58" s="50"/>
      <c r="D58" s="50"/>
      <c r="E58" s="50"/>
      <c r="F58" s="50"/>
      <c r="G58" s="50"/>
      <c r="H58" s="51"/>
    </row>
    <row r="59" spans="2:8" x14ac:dyDescent="0.25">
      <c r="B59" s="52" t="s">
        <v>78</v>
      </c>
      <c r="C59" s="53"/>
      <c r="D59" s="53"/>
      <c r="E59" s="53"/>
      <c r="F59" s="53"/>
      <c r="G59" s="53"/>
      <c r="H59" s="54"/>
    </row>
    <row r="60" spans="2:8" x14ac:dyDescent="0.25">
      <c r="B60" s="55" t="s">
        <v>79</v>
      </c>
      <c r="C60" s="56"/>
      <c r="D60" s="56"/>
      <c r="E60" s="56"/>
      <c r="F60" s="56"/>
      <c r="G60" s="56"/>
      <c r="H60" s="57"/>
    </row>
    <row r="61" spans="2:8" x14ac:dyDescent="0.25">
      <c r="B61" s="55"/>
      <c r="C61" s="56"/>
      <c r="D61" s="56"/>
      <c r="E61" s="56"/>
      <c r="F61" s="56"/>
      <c r="G61" s="56"/>
      <c r="H61" s="57"/>
    </row>
    <row r="62" spans="2:8" x14ac:dyDescent="0.25">
      <c r="B62" s="55" t="s">
        <v>80</v>
      </c>
      <c r="C62" s="56"/>
      <c r="D62" s="56"/>
      <c r="E62" s="56"/>
      <c r="F62" s="56"/>
      <c r="G62" s="56"/>
      <c r="H62" s="57"/>
    </row>
    <row r="63" spans="2:8" x14ac:dyDescent="0.25">
      <c r="B63" s="55"/>
      <c r="C63" s="56"/>
      <c r="D63" s="56"/>
      <c r="E63" s="56"/>
      <c r="F63" s="56"/>
      <c r="G63" s="56"/>
      <c r="H63" s="57"/>
    </row>
    <row r="64" spans="2:8" ht="15.75" thickBot="1" x14ac:dyDescent="0.3">
      <c r="B64" s="58" t="s">
        <v>81</v>
      </c>
      <c r="C64" s="59"/>
      <c r="D64" s="59"/>
      <c r="E64" s="59"/>
      <c r="F64" s="59"/>
      <c r="G64" s="59"/>
      <c r="H64" s="60"/>
    </row>
    <row r="65" spans="2:8" ht="27" customHeight="1" thickBot="1" x14ac:dyDescent="0.3">
      <c r="B65" s="36" t="s">
        <v>82</v>
      </c>
      <c r="C65" s="37"/>
      <c r="D65" s="37"/>
      <c r="E65" s="37"/>
      <c r="F65" s="37"/>
      <c r="G65" s="37"/>
      <c r="H65" s="38"/>
    </row>
  </sheetData>
  <mergeCells count="23">
    <mergeCell ref="B65:H65"/>
    <mergeCell ref="B46:H46"/>
    <mergeCell ref="B47:H47"/>
    <mergeCell ref="B48:H49"/>
    <mergeCell ref="B50:H50"/>
    <mergeCell ref="B51:H51"/>
    <mergeCell ref="B52:H57"/>
    <mergeCell ref="B58:H58"/>
    <mergeCell ref="B59:H59"/>
    <mergeCell ref="B60:H61"/>
    <mergeCell ref="B62:H63"/>
    <mergeCell ref="B64:H64"/>
    <mergeCell ref="A9:B9"/>
    <mergeCell ref="B41:C41"/>
    <mergeCell ref="B42:H42"/>
    <mergeCell ref="B43:H43"/>
    <mergeCell ref="B44:H45"/>
    <mergeCell ref="A8:B8"/>
    <mergeCell ref="B4:H4"/>
    <mergeCell ref="A6:B6"/>
    <mergeCell ref="C6:E6"/>
    <mergeCell ref="A7:B7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LICITACION23</cp:lastModifiedBy>
  <dcterms:created xsi:type="dcterms:W3CDTF">2022-12-20T13:54:29Z</dcterms:created>
  <dcterms:modified xsi:type="dcterms:W3CDTF">2022-12-21T14:55:36Z</dcterms:modified>
</cp:coreProperties>
</file>