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5480" windowHeight="7800" tabRatio="500" firstSheet="6" activeTab="8"/>
  </bookViews>
  <sheets>
    <sheet name="Necesidades Trimestrales " sheetId="3" r:id="rId1"/>
    <sheet name=" NotaPedido LB. CENTRAL" sheetId="4" r:id="rId2"/>
    <sheet name="APG LAB CENTRAL" sheetId="7" r:id="rId3"/>
    <sheet name=" NotaPedidoBCO SANGRE" sheetId="9" r:id="rId4"/>
    <sheet name="APG BCO DE SANGRE" sheetId="6" r:id="rId5"/>
    <sheet name=" NotaPedido vectores" sheetId="10" r:id="rId6"/>
    <sheet name="APG vectores y zoonosis" sheetId="8" r:id="rId7"/>
    <sheet name=" NotaPedido CUR" sheetId="12" r:id="rId8"/>
    <sheet name="APG CUR" sheetId="5" r:id="rId9"/>
  </sheets>
  <definedNames>
    <definedName name="_xlnm._FilterDatabase" localSheetId="0" hidden="1">'Necesidades Trimestrales '!$A$9:$AS$9</definedName>
    <definedName name="_xlnm.Print_Area" localSheetId="7">' NotaPedido CUR'!$A$1:$K$34</definedName>
    <definedName name="_xlnm.Print_Area" localSheetId="1">' NotaPedido LB. CENTRAL'!$A$1:$K$84</definedName>
    <definedName name="_xlnm.Print_Area" localSheetId="5">' NotaPedido vectores'!$A$1:$K$20</definedName>
    <definedName name="_xlnm.Print_Area" localSheetId="3">' NotaPedidoBCO SANGRE'!$A$1:$K$54</definedName>
    <definedName name="_xlnm.Print_Area" localSheetId="4">'APG BCO DE SANGRE'!$A$1:$Q$27</definedName>
    <definedName name="_xlnm.Print_Area" localSheetId="8">'APG CUR'!$A$1:$Q$27</definedName>
    <definedName name="_xlnm.Print_Area" localSheetId="2">'APG LAB CENTRAL'!$A$1:$Q$27</definedName>
    <definedName name="_xlnm.Print_Area" localSheetId="6">'APG vectores y zoonosis'!$A$1:$Q$27</definedName>
  </definedNames>
  <calcPr calcId="125725"/>
</workbook>
</file>

<file path=xl/calcChain.xml><?xml version="1.0" encoding="utf-8"?>
<calcChain xmlns="http://schemas.openxmlformats.org/spreadsheetml/2006/main">
  <c r="M32" i="12"/>
  <c r="M31"/>
  <c r="M30"/>
  <c r="M29"/>
  <c r="M28"/>
  <c r="M27"/>
  <c r="M26"/>
  <c r="M25"/>
  <c r="M24"/>
  <c r="M23"/>
  <c r="M22"/>
  <c r="M21"/>
  <c r="M20"/>
  <c r="M19"/>
  <c r="M18"/>
  <c r="M17"/>
  <c r="M16"/>
  <c r="M15"/>
  <c r="M14"/>
  <c r="M13"/>
  <c r="M12"/>
  <c r="M18" i="10"/>
  <c r="M17"/>
  <c r="M16"/>
  <c r="M15"/>
  <c r="M14"/>
  <c r="M13"/>
  <c r="M12"/>
  <c r="K13" i="9"/>
  <c r="M13" s="1"/>
  <c r="K12"/>
  <c r="M12" s="1"/>
  <c r="M52"/>
  <c r="M51"/>
  <c r="M50"/>
  <c r="M49"/>
  <c r="M48"/>
  <c r="M47"/>
  <c r="M46"/>
  <c r="M45"/>
  <c r="M44"/>
  <c r="M43"/>
  <c r="M42"/>
  <c r="M41"/>
  <c r="M40"/>
  <c r="M39"/>
  <c r="M38"/>
  <c r="M37"/>
  <c r="M36"/>
  <c r="M35"/>
  <c r="M34"/>
  <c r="M33"/>
  <c r="M32"/>
  <c r="M31"/>
  <c r="M30"/>
  <c r="M29"/>
  <c r="M28"/>
  <c r="M27"/>
  <c r="M26"/>
  <c r="M25"/>
  <c r="M24"/>
  <c r="M23"/>
  <c r="M22"/>
  <c r="M21"/>
  <c r="M20"/>
  <c r="M19"/>
  <c r="M18"/>
  <c r="M17"/>
  <c r="M16"/>
  <c r="M15"/>
  <c r="M14"/>
  <c r="J33" i="12" l="1"/>
  <c r="J19" i="10"/>
  <c r="J53" i="9"/>
  <c r="J83" i="4" l="1"/>
  <c r="M13"/>
  <c r="M14"/>
  <c r="M15"/>
  <c r="M16"/>
  <c r="M17"/>
  <c r="M18"/>
  <c r="M19"/>
  <c r="M20"/>
  <c r="M21"/>
  <c r="M22"/>
  <c r="M23"/>
  <c r="M24"/>
  <c r="M25"/>
  <c r="M26"/>
  <c r="M27"/>
  <c r="M28"/>
  <c r="M29"/>
  <c r="M30"/>
  <c r="M31"/>
  <c r="M32"/>
  <c r="M33"/>
  <c r="M34"/>
  <c r="M35"/>
  <c r="M36"/>
  <c r="M37"/>
  <c r="M38"/>
  <c r="M39"/>
  <c r="M40"/>
  <c r="M41"/>
  <c r="M42"/>
  <c r="M43"/>
  <c r="M44"/>
  <c r="M45"/>
  <c r="M46"/>
  <c r="M47"/>
  <c r="M48"/>
  <c r="M49"/>
  <c r="M50"/>
  <c r="M51"/>
  <c r="M52"/>
  <c r="M53"/>
  <c r="M54"/>
  <c r="M55"/>
  <c r="M56"/>
  <c r="M57"/>
  <c r="M58"/>
  <c r="M59"/>
  <c r="M60"/>
  <c r="M61"/>
  <c r="M62"/>
  <c r="M63"/>
  <c r="M64"/>
  <c r="M65"/>
  <c r="M66"/>
  <c r="M67"/>
  <c r="M68"/>
  <c r="M69"/>
  <c r="M70"/>
  <c r="M71"/>
  <c r="M72"/>
  <c r="M73"/>
  <c r="M74"/>
  <c r="M75"/>
  <c r="M76"/>
  <c r="M77"/>
  <c r="M78"/>
  <c r="M79"/>
  <c r="M80"/>
  <c r="M81"/>
  <c r="M12"/>
  <c r="K81" i="3" l="1"/>
  <c r="K80"/>
  <c r="AJ11" l="1"/>
  <c r="AJ12"/>
  <c r="AJ13"/>
  <c r="AJ14"/>
  <c r="AJ15"/>
  <c r="AJ16"/>
  <c r="AJ17"/>
  <c r="AJ18"/>
  <c r="AJ19"/>
  <c r="AJ20"/>
  <c r="AJ21"/>
  <c r="AJ22"/>
  <c r="AJ23"/>
  <c r="AJ24"/>
  <c r="AJ25"/>
  <c r="AJ26"/>
  <c r="AJ27"/>
  <c r="AJ28"/>
  <c r="AJ29"/>
  <c r="AJ30"/>
  <c r="AJ31"/>
  <c r="AJ32"/>
  <c r="AJ33"/>
  <c r="AJ34"/>
  <c r="AJ35"/>
  <c r="AJ36"/>
  <c r="AJ37"/>
  <c r="AJ38"/>
  <c r="AJ39"/>
  <c r="AJ40"/>
  <c r="AJ41"/>
  <c r="AJ42"/>
  <c r="AJ43"/>
  <c r="AJ44"/>
  <c r="AJ45"/>
  <c r="AJ46"/>
  <c r="AJ47"/>
  <c r="AJ48"/>
  <c r="AJ49"/>
  <c r="AJ50"/>
  <c r="AJ51"/>
  <c r="AJ52"/>
  <c r="AJ53"/>
  <c r="AJ54"/>
  <c r="AJ55"/>
  <c r="AJ56"/>
  <c r="AJ57"/>
  <c r="AJ58"/>
  <c r="AJ59"/>
  <c r="AJ60"/>
  <c r="AJ61"/>
  <c r="AJ62"/>
  <c r="AJ63"/>
  <c r="AJ64"/>
  <c r="AJ65"/>
  <c r="AJ66"/>
  <c r="AJ67"/>
  <c r="AJ68"/>
  <c r="AJ69"/>
  <c r="AJ70"/>
  <c r="AJ71"/>
  <c r="AJ72"/>
  <c r="AJ73"/>
  <c r="AJ74"/>
  <c r="AJ75"/>
  <c r="AJ76"/>
  <c r="AJ77"/>
  <c r="AJ78"/>
  <c r="AJ79"/>
  <c r="AJ80"/>
  <c r="AJ81"/>
  <c r="AJ82"/>
  <c r="AJ83"/>
  <c r="AJ84"/>
  <c r="AJ85"/>
  <c r="AJ86"/>
  <c r="AJ87"/>
  <c r="AJ88"/>
  <c r="AJ89"/>
  <c r="AJ90"/>
  <c r="AJ91"/>
  <c r="AJ92"/>
  <c r="AJ93"/>
  <c r="AJ94"/>
  <c r="AJ95"/>
  <c r="AJ96"/>
  <c r="AJ97"/>
  <c r="AJ98"/>
  <c r="AJ99"/>
  <c r="AJ100"/>
  <c r="AJ101"/>
  <c r="AJ102"/>
  <c r="AJ103"/>
  <c r="AJ104"/>
  <c r="AJ105"/>
  <c r="AJ106"/>
  <c r="AJ107"/>
  <c r="AJ108"/>
  <c r="AJ109"/>
  <c r="AJ110"/>
  <c r="AJ111"/>
  <c r="AJ112"/>
  <c r="AJ113"/>
  <c r="AJ114"/>
  <c r="AJ115"/>
  <c r="AJ116"/>
  <c r="AJ117"/>
  <c r="AJ118"/>
  <c r="AJ119"/>
  <c r="AJ120"/>
  <c r="AJ121"/>
  <c r="AJ122"/>
  <c r="AJ123"/>
  <c r="AJ124"/>
  <c r="AJ125"/>
  <c r="AJ126"/>
  <c r="AJ127"/>
  <c r="AJ128"/>
  <c r="AJ129"/>
  <c r="AJ130"/>
  <c r="AJ131"/>
  <c r="AJ132"/>
  <c r="AJ133"/>
  <c r="AJ134"/>
  <c r="AJ135"/>
  <c r="AJ136"/>
  <c r="AJ137"/>
  <c r="AJ10"/>
  <c r="L11"/>
  <c r="L12"/>
  <c r="L13"/>
  <c r="L14"/>
  <c r="L15"/>
  <c r="L16"/>
  <c r="L17"/>
  <c r="L18"/>
  <c r="L19"/>
  <c r="L20"/>
  <c r="L21"/>
  <c r="L22"/>
  <c r="L23"/>
  <c r="L24"/>
  <c r="L25"/>
  <c r="L26"/>
  <c r="L27"/>
  <c r="L28"/>
  <c r="L29"/>
  <c r="L30"/>
  <c r="L31"/>
  <c r="L32"/>
  <c r="L33"/>
  <c r="L34"/>
  <c r="L35"/>
  <c r="L36"/>
  <c r="L37"/>
  <c r="L38"/>
  <c r="L39"/>
  <c r="L40"/>
  <c r="L41"/>
  <c r="L42"/>
  <c r="L43"/>
  <c r="L44"/>
  <c r="L45"/>
  <c r="L46"/>
  <c r="L47"/>
  <c r="L48"/>
  <c r="L49"/>
  <c r="L50"/>
  <c r="L51"/>
  <c r="L52"/>
  <c r="L53"/>
  <c r="L54"/>
  <c r="L55"/>
  <c r="L56"/>
  <c r="L57"/>
  <c r="L58"/>
  <c r="L59"/>
  <c r="L60"/>
  <c r="L61"/>
  <c r="L62"/>
  <c r="L63"/>
  <c r="L64"/>
  <c r="L65"/>
  <c r="L66"/>
  <c r="L67"/>
  <c r="L68"/>
  <c r="L69"/>
  <c r="L70"/>
  <c r="L71"/>
  <c r="L72"/>
  <c r="L73"/>
  <c r="L74"/>
  <c r="L75"/>
  <c r="L76"/>
  <c r="L77"/>
  <c r="L78"/>
  <c r="L79"/>
  <c r="L80"/>
  <c r="L81"/>
  <c r="L82"/>
  <c r="L83"/>
  <c r="L84"/>
  <c r="L85"/>
  <c r="L86"/>
  <c r="L87"/>
  <c r="L88"/>
  <c r="L89"/>
  <c r="L90"/>
  <c r="L91"/>
  <c r="L92"/>
  <c r="L93"/>
  <c r="L94"/>
  <c r="L95"/>
  <c r="L96"/>
  <c r="L97"/>
  <c r="L98"/>
  <c r="L99"/>
  <c r="L100"/>
  <c r="L101"/>
  <c r="L102"/>
  <c r="L103"/>
  <c r="L104"/>
  <c r="L105"/>
  <c r="L106"/>
  <c r="L107"/>
  <c r="L108"/>
  <c r="L109"/>
  <c r="L110"/>
  <c r="L111"/>
  <c r="L112"/>
  <c r="L113"/>
  <c r="L114"/>
  <c r="L115"/>
  <c r="L116"/>
  <c r="L117"/>
  <c r="L118"/>
  <c r="L119"/>
  <c r="L120"/>
  <c r="L121"/>
  <c r="L122"/>
  <c r="L123"/>
  <c r="L124"/>
  <c r="L125"/>
  <c r="L126"/>
  <c r="L127"/>
  <c r="L128"/>
  <c r="L129"/>
  <c r="L130"/>
  <c r="L131"/>
  <c r="L132"/>
  <c r="L133"/>
  <c r="L134"/>
  <c r="L135"/>
  <c r="L136"/>
  <c r="L137"/>
  <c r="L10"/>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4"/>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J123"/>
  <c r="J124"/>
  <c r="J125"/>
  <c r="J126"/>
  <c r="J127"/>
  <c r="J128"/>
  <c r="J129"/>
  <c r="J130"/>
  <c r="J131"/>
  <c r="J132"/>
  <c r="J133"/>
  <c r="J134"/>
  <c r="J135"/>
  <c r="J136"/>
  <c r="J137"/>
  <c r="J10"/>
  <c r="AF118"/>
  <c r="AF138" s="1"/>
  <c r="Q15" i="8" s="1"/>
  <c r="Q23" s="1"/>
  <c r="AF119" i="3"/>
  <c r="L138" l="1"/>
  <c r="Q15" i="6" s="1"/>
  <c r="Q23" s="1"/>
  <c r="J138" i="3"/>
  <c r="Q15" i="7" s="1"/>
  <c r="Q23" s="1"/>
  <c r="AJ138" i="3"/>
  <c r="Q23" i="5" s="1"/>
  <c r="AQ11" i="3"/>
  <c r="AS11" s="1"/>
  <c r="AQ12"/>
  <c r="AS12" s="1"/>
  <c r="AQ13"/>
  <c r="AS13" s="1"/>
  <c r="AQ14"/>
  <c r="AS14" s="1"/>
  <c r="AQ15"/>
  <c r="AS15" s="1"/>
  <c r="AQ16"/>
  <c r="AS16" s="1"/>
  <c r="AQ17"/>
  <c r="AS17" s="1"/>
  <c r="AQ18"/>
  <c r="AS18" s="1"/>
  <c r="AQ19"/>
  <c r="AS19" s="1"/>
  <c r="AQ20"/>
  <c r="AS20" s="1"/>
  <c r="AQ21"/>
  <c r="AS21" s="1"/>
  <c r="AQ22"/>
  <c r="AS22" s="1"/>
  <c r="AQ23"/>
  <c r="AS23" s="1"/>
  <c r="AQ24"/>
  <c r="AS24" s="1"/>
  <c r="AQ25"/>
  <c r="AS25" s="1"/>
  <c r="AQ26"/>
  <c r="AS26" s="1"/>
  <c r="AQ27"/>
  <c r="AS27" s="1"/>
  <c r="AQ28"/>
  <c r="AS28" s="1"/>
  <c r="AQ29"/>
  <c r="AS29" s="1"/>
  <c r="AQ30"/>
  <c r="AS30" s="1"/>
  <c r="AQ31"/>
  <c r="AS31" s="1"/>
  <c r="AQ32"/>
  <c r="AS32" s="1"/>
  <c r="AQ33"/>
  <c r="AS33" s="1"/>
  <c r="AQ34"/>
  <c r="AS34" s="1"/>
  <c r="AQ35"/>
  <c r="AS35" s="1"/>
  <c r="AQ36"/>
  <c r="AS36" s="1"/>
  <c r="AQ37"/>
  <c r="AS37" s="1"/>
  <c r="AQ38"/>
  <c r="AS38" s="1"/>
  <c r="AQ39"/>
  <c r="AS39" s="1"/>
  <c r="AQ40"/>
  <c r="AS40" s="1"/>
  <c r="AQ41"/>
  <c r="AS41" s="1"/>
  <c r="AQ42"/>
  <c r="AS42" s="1"/>
  <c r="AQ43"/>
  <c r="AS43" s="1"/>
  <c r="AQ44"/>
  <c r="AS44" s="1"/>
  <c r="AQ45"/>
  <c r="AS45" s="1"/>
  <c r="AQ46"/>
  <c r="AS46" s="1"/>
  <c r="AQ47"/>
  <c r="AS47" s="1"/>
  <c r="AQ48"/>
  <c r="AS48" s="1"/>
  <c r="AQ49"/>
  <c r="AS49" s="1"/>
  <c r="AQ50"/>
  <c r="AS50" s="1"/>
  <c r="AQ51"/>
  <c r="AS51" s="1"/>
  <c r="AQ52"/>
  <c r="AS52" s="1"/>
  <c r="AQ53"/>
  <c r="AS53" s="1"/>
  <c r="AQ54"/>
  <c r="AS54" s="1"/>
  <c r="AQ55"/>
  <c r="AS55" s="1"/>
  <c r="AQ56"/>
  <c r="AS56" s="1"/>
  <c r="AQ57"/>
  <c r="AS57" s="1"/>
  <c r="AQ58"/>
  <c r="AS58" s="1"/>
  <c r="AQ59"/>
  <c r="AS59" s="1"/>
  <c r="AQ60"/>
  <c r="AS60" s="1"/>
  <c r="AQ61"/>
  <c r="AS61" s="1"/>
  <c r="AQ62"/>
  <c r="AS62" s="1"/>
  <c r="AQ63"/>
  <c r="AS63" s="1"/>
  <c r="AQ64"/>
  <c r="AS64" s="1"/>
  <c r="AQ65"/>
  <c r="AS65" s="1"/>
  <c r="AQ66"/>
  <c r="AS66" s="1"/>
  <c r="AQ67"/>
  <c r="AS67" s="1"/>
  <c r="AQ68"/>
  <c r="AS68" s="1"/>
  <c r="AQ69"/>
  <c r="AS69" s="1"/>
  <c r="AQ70"/>
  <c r="AS70" s="1"/>
  <c r="AQ71"/>
  <c r="AS71" s="1"/>
  <c r="AQ72"/>
  <c r="AS72" s="1"/>
  <c r="AQ73"/>
  <c r="AS73" s="1"/>
  <c r="AQ74"/>
  <c r="AS74" s="1"/>
  <c r="AQ75"/>
  <c r="AS75" s="1"/>
  <c r="AQ76"/>
  <c r="AS76" s="1"/>
  <c r="AQ77"/>
  <c r="AS77" s="1"/>
  <c r="AQ78"/>
  <c r="AS78" s="1"/>
  <c r="AQ79"/>
  <c r="AS79" s="1"/>
  <c r="AQ80"/>
  <c r="AS80" s="1"/>
  <c r="AQ81"/>
  <c r="AS81" s="1"/>
  <c r="AQ82"/>
  <c r="AS82" s="1"/>
  <c r="AQ83"/>
  <c r="AS83" s="1"/>
  <c r="AQ84"/>
  <c r="AS84" s="1"/>
  <c r="AQ85"/>
  <c r="AS85" s="1"/>
  <c r="AQ86"/>
  <c r="AS86" s="1"/>
  <c r="AQ87"/>
  <c r="AS87" s="1"/>
  <c r="AQ88"/>
  <c r="AS88" s="1"/>
  <c r="AQ89"/>
  <c r="AS89" s="1"/>
  <c r="AQ90"/>
  <c r="AS90" s="1"/>
  <c r="AQ91"/>
  <c r="AS91" s="1"/>
  <c r="AQ92"/>
  <c r="AS92" s="1"/>
  <c r="AQ93"/>
  <c r="AS93" s="1"/>
  <c r="AQ94"/>
  <c r="AS94" s="1"/>
  <c r="AQ95"/>
  <c r="AS95" s="1"/>
  <c r="AQ96"/>
  <c r="AS96" s="1"/>
  <c r="AQ97"/>
  <c r="AS97" s="1"/>
  <c r="AQ98"/>
  <c r="AS98" s="1"/>
  <c r="AQ99"/>
  <c r="AS99" s="1"/>
  <c r="AQ100"/>
  <c r="AS100" s="1"/>
  <c r="AQ101"/>
  <c r="AS101" s="1"/>
  <c r="AQ102"/>
  <c r="AS102" s="1"/>
  <c r="AQ103"/>
  <c r="AS103" s="1"/>
  <c r="AQ104"/>
  <c r="AS104" s="1"/>
  <c r="AQ105"/>
  <c r="AS105" s="1"/>
  <c r="AQ106"/>
  <c r="AS106" s="1"/>
  <c r="AQ107"/>
  <c r="AS107" s="1"/>
  <c r="AQ108"/>
  <c r="AS108" s="1"/>
  <c r="AQ109"/>
  <c r="AS109" s="1"/>
  <c r="AQ110"/>
  <c r="AS110" s="1"/>
  <c r="AQ111"/>
  <c r="AS111" s="1"/>
  <c r="AQ112"/>
  <c r="AS112" s="1"/>
  <c r="AQ113"/>
  <c r="AS113" s="1"/>
  <c r="AQ114"/>
  <c r="AS114" s="1"/>
  <c r="AQ115"/>
  <c r="AS115" s="1"/>
  <c r="AQ116"/>
  <c r="AS116" s="1"/>
  <c r="AQ117"/>
  <c r="AS117" s="1"/>
  <c r="AQ118"/>
  <c r="AS118" s="1"/>
  <c r="AQ119"/>
  <c r="AS119" s="1"/>
  <c r="AQ120"/>
  <c r="AS120" s="1"/>
  <c r="AQ121"/>
  <c r="AS121" s="1"/>
  <c r="AQ122"/>
  <c r="AS122" s="1"/>
  <c r="AQ123"/>
  <c r="AS123" s="1"/>
  <c r="AQ124"/>
  <c r="AS124" s="1"/>
  <c r="AQ125"/>
  <c r="AS125" s="1"/>
  <c r="AQ126"/>
  <c r="AS126" s="1"/>
  <c r="AQ127"/>
  <c r="AS127" s="1"/>
  <c r="AQ128"/>
  <c r="AS128" s="1"/>
  <c r="AQ129"/>
  <c r="AS129" s="1"/>
  <c r="AQ130"/>
  <c r="AS130" s="1"/>
  <c r="AQ131"/>
  <c r="AS131" s="1"/>
  <c r="AQ132"/>
  <c r="AS132" s="1"/>
  <c r="AQ133"/>
  <c r="AS133" s="1"/>
  <c r="AQ134"/>
  <c r="AS134" s="1"/>
  <c r="AQ135"/>
  <c r="AS135" s="1"/>
  <c r="AQ136"/>
  <c r="AS136" s="1"/>
  <c r="AQ137"/>
  <c r="AS137" s="1"/>
  <c r="AQ10"/>
  <c r="AQ138" l="1"/>
  <c r="AS10"/>
  <c r="AS138" s="1"/>
</calcChain>
</file>

<file path=xl/sharedStrings.xml><?xml version="1.0" encoding="utf-8"?>
<sst xmlns="http://schemas.openxmlformats.org/spreadsheetml/2006/main" count="1205" uniqueCount="279">
  <si>
    <t>JURISDICCION:</t>
  </si>
  <si>
    <t xml:space="preserve">SAF N°: </t>
  </si>
  <si>
    <t>EJERCICIO:</t>
  </si>
  <si>
    <t>TRIMESTRE:</t>
  </si>
  <si>
    <t>ID</t>
  </si>
  <si>
    <t>CODIGO ITEM</t>
  </si>
  <si>
    <t>RUBRO DE COMPRA</t>
  </si>
  <si>
    <t xml:space="preserve">I.P.P. </t>
  </si>
  <si>
    <t>DESCRIPCION</t>
  </si>
  <si>
    <t>UNIDAD DE MEDIDA</t>
  </si>
  <si>
    <t>PRECIO UNITARIO ESTIMADO</t>
  </si>
  <si>
    <t xml:space="preserve">IMPORTE TOTAL ESTIMADO </t>
  </si>
  <si>
    <t>UNIDAD</t>
  </si>
  <si>
    <t xml:space="preserve">UNIDAD </t>
  </si>
  <si>
    <t>CAJA</t>
  </si>
  <si>
    <t>40 - MINISTERIO DE SALUD</t>
  </si>
  <si>
    <t>SEGUNDO TRIMESTRE</t>
  </si>
  <si>
    <t>Pedido de Necesidades Trimestrales</t>
  </si>
  <si>
    <t>SOLUSION FISIOLOGICA x 100 ml</t>
  </si>
  <si>
    <t>BOLSA</t>
  </si>
  <si>
    <t>HIV ELISA AG/AC 4° GENERACION -96 DET-</t>
  </si>
  <si>
    <t xml:space="preserve">Unidad </t>
  </si>
  <si>
    <t>ANTIGENO FEBRIL BRUCELLA (HUDDLESON 1 X 5 ML.</t>
  </si>
  <si>
    <t>DIR. ADM.</t>
  </si>
  <si>
    <t>CANTIDAD TOTAL</t>
  </si>
  <si>
    <t>TOTAL DIR DE ADM</t>
  </si>
  <si>
    <t>BIDON</t>
  </si>
  <si>
    <t>Wl 19 Control AA 3 Niveles 3x3 Ml (Bajo-Normal-Alto) Tipo WIENER</t>
  </si>
  <si>
    <t>VDRL Test 250 Det Tipo WIENER</t>
  </si>
  <si>
    <t>Uricostat Enzimatico AA LL 250 Ml Tipo WIENER</t>
  </si>
  <si>
    <t>Urea color 2R 500 Det Tipo WIENER</t>
  </si>
  <si>
    <t>Tg Color Gpo/Pap AA LL 400 Ml (4x100 Ml) Tipo WIENER</t>
  </si>
  <si>
    <t>Urine Strip 100 Tiras Tipo WIENER</t>
  </si>
  <si>
    <t>Soluplastin 10x2 Ml 100 Det Tipo WIENER</t>
  </si>
  <si>
    <t>Standartrol S-E 2 Nivel 3 Fr x 5 Ml N1+3 Fr Tipo WIENER</t>
  </si>
  <si>
    <t>Proti U/Lcr Control 2 Niveles 2x3 Ml Tipo WIENER</t>
  </si>
  <si>
    <t>Proti U/Lcr 100 Ml (100 Det) Tipo WIENER</t>
  </si>
  <si>
    <t>Proti 2 140 Det (Biuret 500 M+Alb 500+Sp) Tipo WIENER</t>
  </si>
  <si>
    <t>Proteinas totales AA 120 Ml Tipo WIENER</t>
  </si>
  <si>
    <t>Wl 19 Probe Cleanser AA 20 Ml Tipo WIENER</t>
  </si>
  <si>
    <t>Pcr Latex Directo 50 Det Tipo WIENER</t>
  </si>
  <si>
    <t>Sangre Agar (Columbia) 10 Placas Tipo BRITANIA</t>
  </si>
  <si>
    <t>Mg Color AA 100 Ml (2x50 Ml) Tipo WIENER</t>
  </si>
  <si>
    <t>Wl19 Lyse AA 500 Ml Tipo WIENER</t>
  </si>
  <si>
    <t>LDL Colesterol monofase AA 200 Det (60 Ml+20 Ml) Tipo WIENER</t>
  </si>
  <si>
    <t>LDH P UV AA LL 100 Ml Tipo WIENER</t>
  </si>
  <si>
    <t>Pack para equipo Diestro 103 Automatico Tipo DIESTRO</t>
  </si>
  <si>
    <t>Indol Reactivo 100 Ml Tipo BRITANIA</t>
  </si>
  <si>
    <t>HDL Colesterol Monofase AA Plus c/calibrador 60 Ml+20 Ml (200D x 0,4 M) Tipo WIENER</t>
  </si>
  <si>
    <t>HDL Colesterol Ft 100 Ml 200 Det Tipo WIENER</t>
  </si>
  <si>
    <t>HBA1C Enzymatic Lysis Buffer Turbidim 50 Ml Tipo WIENER</t>
  </si>
  <si>
    <t>HBA1C Enzymatic Control Turbidim 2x0,5 Ml Tipo WIENER</t>
  </si>
  <si>
    <t>HBA1C Enzymatic Calibrador Turbidimetrico 2x0,5 Ml Tipo WIENER</t>
  </si>
  <si>
    <t>HBA1C Enzymatic Turbidimetrico 1x18 Ml - 1x8 Ml - 1x12 Ml Tipo WIENER</t>
  </si>
  <si>
    <t>Gpt (ALT) UV AA 200 Ml Tipo WIENER</t>
  </si>
  <si>
    <t>Got UV AA LL 200 Ml Tipo WIENER</t>
  </si>
  <si>
    <t>Gpt (ALT) UV AA 200 Ml (10x20 Ml) Tipo WIENER</t>
  </si>
  <si>
    <t>Got (AST) UV AA 200 Ml (10x20 Ml) Tipo WIENER</t>
  </si>
  <si>
    <t>Glicemia Enzimatica AA 1000 Ml (4x250 Ml) Tipo WIENER</t>
  </si>
  <si>
    <t>Gama GTEST Cinetica AA LL 100 Ml Tipo WIENER</t>
  </si>
  <si>
    <t>Fosfatasa Alcalina Optimizada 200 Det Tipo WIENER</t>
  </si>
  <si>
    <t>Formol PA (36%) 1 Litro Tipo CICARELLI</t>
  </si>
  <si>
    <t>Fer Color Aa LL 120 Ml Tipo WIENER</t>
  </si>
  <si>
    <t>Fecuntest Strips 25 Det Tipo WIENER</t>
  </si>
  <si>
    <t>Wl19 E-Z Cleanser AA 100 Ml Tipo WIENER</t>
  </si>
  <si>
    <t>Wl19 Diluent AA 20 Litros Tipo WIENER</t>
  </si>
  <si>
    <t>Creatinina Cinetica AA LL 250 Ml Tipo WIENER</t>
  </si>
  <si>
    <t>Giemsa+Estabilizador 1 Litro Tipo BIOPUR</t>
  </si>
  <si>
    <t>Colestat Enzimatico AA LL 1000 Ml (2x500 Ml) Tipo WIENER</t>
  </si>
  <si>
    <t>Colestat Enzimatico AA LL 400 Ml (4x100 Ml) Tipo WIENER</t>
  </si>
  <si>
    <t>CK NAC UV Unitest 50 Ml (20x2,5 Ml) Tipo WIENER</t>
  </si>
  <si>
    <t>CK NAC UV AA LL 120 Ml Tipo WIENER</t>
  </si>
  <si>
    <t>CK MB Nac UV Unitest 19 Det x 2,5-ICONTROl Tipo WIENER</t>
  </si>
  <si>
    <t>CK MB Control 3 Niveles 3x3 Ml Tipo WIENER</t>
  </si>
  <si>
    <t>Bilirrubina 200 Det Tipo WIENER</t>
  </si>
  <si>
    <t>ASO latex 50 Det Tipo WIENER</t>
  </si>
  <si>
    <t>Artritest Directo 50 Det Tipo WIENER</t>
  </si>
  <si>
    <t>Amilokit 25-40 Det Tipo WIENER</t>
  </si>
  <si>
    <t>Amilasa 405 liquida  30 Ml (3x10 ml) tipo WIENER</t>
  </si>
  <si>
    <t>ALP 405 AA LL 100 Ml Tipo WIENER</t>
  </si>
  <si>
    <t>Alcohol Etilico ABS 99.5% PA 1 Litro Tipo CICARELLI</t>
  </si>
  <si>
    <t>Acondicionador para electrodo de Sodio (Sol.) Tipo DIESTRO</t>
  </si>
  <si>
    <t>Control Plasma Normal 10x1 Ml Tipo HEMO MEDICA (USA)</t>
  </si>
  <si>
    <t>Control Plasma Anormal 10x1 Ml Tipo HEMO MEDICA (USA)</t>
  </si>
  <si>
    <t>REACTIVOS DE LAB</t>
  </si>
  <si>
    <t>unidad</t>
  </si>
  <si>
    <t>caja</t>
  </si>
  <si>
    <t>botella</t>
  </si>
  <si>
    <t>DIR. LAB. CENTRAL</t>
  </si>
  <si>
    <t>TOTAL DE LAB CENTRAL</t>
  </si>
  <si>
    <t>Platelia DENGUE Antigeno NS1 96 Test Tipo BIORAD</t>
  </si>
  <si>
    <t>Botella de FA Plus Aerobico para Bact Alert</t>
  </si>
  <si>
    <t>Strepto B x 20 Placas Tipo BIOMERIEUX</t>
  </si>
  <si>
    <t>Limpiador concentrado x 1 L CD80 Tipo MINDRAY</t>
  </si>
  <si>
    <t>Ez Cleanser x 100 Ml Tipo MINDRAY</t>
  </si>
  <si>
    <t>M-30 CFL x 500 Ml Tipo MINDRAY</t>
  </si>
  <si>
    <t>M-30 Diluent x 20 Lts Tipo MINDRAY</t>
  </si>
  <si>
    <t>BC-3D Control Hematologico 3x3 Ml (1B, 1N, 1A)</t>
  </si>
  <si>
    <t>QUIAprep&amp;anp Viral RNA UM kit (600)+SARS-CoV-2 N1 N2 Assay Kit (600) -QUIAGEN GMBH</t>
  </si>
  <si>
    <t>Set de sondas y primers para deteccion de nCoV 19 protocolo enero 2020 del Inst. de Virologia Charité-Alemania - Escala de sintesis 50 nmol -OPERON-USA</t>
  </si>
  <si>
    <t>Kit para transcripcion reversa QUANTINOVA PROB RT-PCR 500 reacciones QUIAGENGMBH</t>
  </si>
  <si>
    <t>ALCOHOL ETILICO ABSOLUTO 99,5% 1LITRO  CALIDAD BIOLOGIA MOLECULAR TIPO CICARELLI</t>
  </si>
  <si>
    <t>Kit de Extraccion de ARN QIAamp Viral x 250 Columnas (Incl.carrier de ARN, tubos colectores y buffers libres de ARNasa) Tipo QIAGEN GMBH</t>
  </si>
  <si>
    <t>KIT</t>
  </si>
  <si>
    <t>Kit</t>
  </si>
  <si>
    <t xml:space="preserve">BOTELLA </t>
  </si>
  <si>
    <t>TOTAL DEL RUBRO DE REACTIVOS PARA LABORATORIO</t>
  </si>
  <si>
    <t xml:space="preserve">BCO DE SANGRE </t>
  </si>
  <si>
    <t xml:space="preserve">TOTAL BANCO DE SANGRE </t>
  </si>
  <si>
    <t>Equipos por metodo de Elisa para la deteccion simultanea anticuerpos y antigenos de virus de Hepatitis C por Elisa en microplaca recubierta con anticuerpos monoclonales de virus de la Hepatitis C por Elisa en microplaca recubierta con anticuerpos anti caspide de HCV con antigenos reconvinantes de la region NS3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t>
  </si>
  <si>
    <t xml:space="preserve">Equipo para la deteccion de Anti Hb Core, por metodo de Elisa  en microplacas en equipos de 96 det. Monolisa HBc Plus </t>
  </si>
  <si>
    <t>ATENCION PRIMARIA</t>
  </si>
  <si>
    <t>TOTAL ATENCION PRI</t>
  </si>
  <si>
    <t xml:space="preserve">DIR DE CANCER </t>
  </si>
  <si>
    <t>TOTAL DE DIR DE CANCER</t>
  </si>
  <si>
    <t>FARMACIA</t>
  </si>
  <si>
    <t>TOTAL FARMACIA</t>
  </si>
  <si>
    <t>ODONTOLOGIA</t>
  </si>
  <si>
    <t>TOTAL DE ODONTOLOG</t>
  </si>
  <si>
    <t>M</t>
  </si>
  <si>
    <t>SAME</t>
  </si>
  <si>
    <t>TOTAL DE SAME</t>
  </si>
  <si>
    <t>MALBRAN</t>
  </si>
  <si>
    <t>HOSPITAL MALBRAN</t>
  </si>
  <si>
    <t>maternidade e infancia</t>
  </si>
  <si>
    <t xml:space="preserve">total maternidad </t>
  </si>
  <si>
    <t>SEC DE ASIST EN SALUD PUB</t>
  </si>
  <si>
    <t>TOTAL SEC EN ASIS EN SAL</t>
  </si>
  <si>
    <t>SALUD Y MEDIO AMBIENTE</t>
  </si>
  <si>
    <t>TOTAL SALUD Y MEDIO AMBIENTE</t>
  </si>
  <si>
    <t>VECTORES Y ZOONOSIS</t>
  </si>
  <si>
    <t>TOTAL DE VECT Y ZOON</t>
  </si>
  <si>
    <t>2.5.1-9052.354</t>
  </si>
  <si>
    <t>REACTIVOS P/LAB. TEC. MANUAL ; NOMBRE: TOXOTEST HAI, USO: INMUNOLOGIA, 
PRESENTACION: ENVASE X 96 DETERM.</t>
  </si>
  <si>
    <t>EQUIPO</t>
  </si>
  <si>
    <t>2.5.1-9052.355</t>
  </si>
  <si>
    <t>REACTIVOS P/LAB. TEC. MANUAL ; NOMBRE: HBSAG ELISA, USO: DIAGNOSTICO, 
PRESENTACION: ENVASE X 96 DETERM.</t>
  </si>
  <si>
    <t>SUMAR</t>
  </si>
  <si>
    <t xml:space="preserve">TOTAL SUMAR </t>
  </si>
  <si>
    <t>CUR</t>
  </si>
  <si>
    <t>TOTAL CUR</t>
  </si>
  <si>
    <t>2.5.1.</t>
  </si>
  <si>
    <t>BOLSAS</t>
  </si>
  <si>
    <t>AGUA BIDESTILADA</t>
  </si>
  <si>
    <t>PLANIFICACION</t>
  </si>
  <si>
    <t>TOTAL PLANIFICA</t>
  </si>
  <si>
    <t>SALUD MENTAL</t>
  </si>
  <si>
    <t>TOTAL SALUD MENTAL</t>
  </si>
  <si>
    <t>AREAS Y DPAS</t>
  </si>
  <si>
    <t>TOTAL DPAS</t>
  </si>
  <si>
    <t xml:space="preserve">11 - DIR. PROV. DE ADMINISTRACION - </t>
  </si>
  <si>
    <t>HVC REACTIVO x 100 det TIPO ABBOTT P/ EQUIPO ARCHITECT</t>
  </si>
  <si>
    <t>SARS-COV-2 IgG Reactivo x 100 det TIPO ABBOTT P/ EQUIPO ARCHITECT</t>
  </si>
  <si>
    <t>SARS-COV-2 IgM Calibrador TIPO ABBOTT P/ EQUIPO ARCHITECT</t>
  </si>
  <si>
    <t>SARS- COV-2 Igm Control TIPO ABBOTT P/ EQUIPO ARCHITECT</t>
  </si>
  <si>
    <t>Trigger TIPO ABBOTT P/ EQUIPO ARCHITECT</t>
  </si>
  <si>
    <t>Pre-trigger TIPO ABBOTT P/ EQUIPO ARCHITECT</t>
  </si>
  <si>
    <t>Buffer TIPO ABBOTT P/ EQUIPO ARCHITECT</t>
  </si>
  <si>
    <t>Celdas de Reaccion TIPO ABBOTT P/ EQUIPO ARCHITECT</t>
  </si>
  <si>
    <t>HEPATITIS B ELISA  HBSAG-96DET. TIPO WIENER</t>
  </si>
  <si>
    <t xml:space="preserve">HEPATITIS C HCV ELISA 3º GEN. 96 DET. TIPO WIENER </t>
  </si>
  <si>
    <t>VDRL TEST-250DET. TIPO WIENER</t>
  </si>
  <si>
    <t>SUERO ANTI HUMANO COOMBS TIPO WIENER</t>
  </si>
  <si>
    <t>ALBUMINA BOVINA TIPO WIENER</t>
  </si>
  <si>
    <t>TOXO HAI 96 DET. TIPO WIENER</t>
  </si>
  <si>
    <t>CMV CITOMEGALOVIRUS IGM  METODO ELISA 96 DET. TIPO WIENER</t>
  </si>
  <si>
    <t>ANTI-A MONOCLONAL- FRASCO 10 ML TIPO WIENER</t>
  </si>
  <si>
    <t>ANTI-B MONOCLONAL-FRASCOS 10 ML TIPO WIENER</t>
  </si>
  <si>
    <t>ANTI-AB MONOCLONAL- FRASCO 10 MLTIPO WIENER</t>
  </si>
  <si>
    <t>ANTI-D (RHO) MONOCLONAL-FRASCOS 10 ML TIPO WIENER</t>
  </si>
  <si>
    <t>KITS PARA PLAQUETOFERESIS CON FILTRO 994/995 TIPO GRIFOLS</t>
  </si>
  <si>
    <t>KIT PLASMAFERESIS 980 TIPO GRIFOLS</t>
  </si>
  <si>
    <t>TARJETA DE GEL ABO RH 2d TIPO GRIFOLS</t>
  </si>
  <si>
    <t>TARJETA DE GEL COOMBS TIPO GRIFOLS</t>
  </si>
  <si>
    <t>TARJETA DE GEL PHENO TIPO GRIFOLS</t>
  </si>
  <si>
    <t>PANEL IDENTISERA DIANA TIPO GRIFOLS</t>
  </si>
  <si>
    <t>PANEL SARASCAN DIANA 2 TIPOS GRIFOLS</t>
  </si>
  <si>
    <t>PANEL SERO cyte 0,8%  TIPOS GRIFOLS</t>
  </si>
  <si>
    <t>PANEL SERIGRUP A1/B TIPO GRIFOLS</t>
  </si>
  <si>
    <t>Solucion ACD ( ANTICOAGULANTE PARA EQUIPO DE AFERESIS) TIPO GRIFOLS</t>
  </si>
  <si>
    <t xml:space="preserve">SOLUCION DG SOL X 100ML FLEXIBLE DOBLE TIPO GRIFOLS </t>
  </si>
  <si>
    <t>CHAGATEST ELISA RECOMBINANTE (V4,0)-96 DET. TIPO WIENER</t>
  </si>
  <si>
    <t>CHAGATEST ELISA LISADO-96DET. TIPO WIENER</t>
  </si>
  <si>
    <t>HTLV 1 Y 2 ELISA-96DET. TIPO WIENER</t>
  </si>
  <si>
    <t xml:space="preserve"> HIV COMBO RGT X 100 DET. TIPO ARC ABBOT</t>
  </si>
  <si>
    <t xml:space="preserve"> HBSAG RGT X 100 DET. TIPO ARC ABBOT</t>
  </si>
  <si>
    <t xml:space="preserve"> ANTI HBC II RGT X 100 DET. TIPO ARC ABBOTT</t>
  </si>
  <si>
    <t xml:space="preserve"> ANTI HBS RGT X 100 DET.TIPO ARC ABBOTT</t>
  </si>
  <si>
    <t xml:space="preserve"> ANTI HCV RGT X 100 DET.TIPO ARC ABBOTT</t>
  </si>
  <si>
    <t xml:space="preserve"> HAVAB M RGT X 100 DET.TIPO ARC ABBOTT</t>
  </si>
  <si>
    <t>SIFILIS RGT X 100 DET.TIPO ARC ABBOTT</t>
  </si>
  <si>
    <t xml:space="preserve"> CONC BUFFER X 4 LTS. TIPO ARC ABBOTT</t>
  </si>
  <si>
    <t xml:space="preserve"> REACTION VESSELLS X 4000.TIPO ARC ABBOTT</t>
  </si>
  <si>
    <t xml:space="preserve"> TRIGGER X 4 LTS.  ARC ABBOTT</t>
  </si>
  <si>
    <t>PRE TRIGGER X 4 LTS. ARC ABBOTT</t>
  </si>
  <si>
    <t>SAMPLE CUPS X 2000. ARC ABBOTT</t>
  </si>
  <si>
    <t xml:space="preserve"> PROBE CONDITION x 4 BIDONES X 800 ML. ARC ABBOTT</t>
  </si>
  <si>
    <t xml:space="preserve"> DETERMINE SIFILIS  X 100 DETERMINACIONES TIPO ALERE ABBOTT</t>
  </si>
  <si>
    <t>TUBOS CAPILARES C/EDTA X 100 TIPO ALERE ABBOTT</t>
  </si>
  <si>
    <t xml:space="preserve"> DETERMINECHASE BUFFER X 2,5 TIPO ALERE ABBOTT</t>
  </si>
  <si>
    <t>V.R.L. TEST  X 250 DET. TIPO WIENER</t>
  </si>
  <si>
    <t>NOTA DE PEDIDO</t>
  </si>
  <si>
    <t>N°</t>
  </si>
  <si>
    <t xml:space="preserve">JURISDICCIÓN: </t>
  </si>
  <si>
    <t>040 - Ministerio de Salud</t>
  </si>
  <si>
    <t>SAF:</t>
  </si>
  <si>
    <t>011 - Direccion Provincial de Administración - Ministerio de Salud</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</si>
  <si>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</si>
  <si>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</si>
  <si>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</si>
  <si>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</si>
  <si>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</si>
  <si>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</si>
  <si>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</si>
  <si>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</si>
  <si>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</si>
  <si>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</si>
  <si>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</si>
  <si>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</si>
  <si>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</si>
  <si>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t>011- Dirección Provincial de Administración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</si>
  <si>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</si>
  <si>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</si>
  <si>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</si>
  <si>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</si>
  <si>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</si>
  <si>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</si>
  <si>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</si>
  <si>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</si>
  <si>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</si>
  <si>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</si>
  <si>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</si>
  <si>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</si>
  <si>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</si>
  <si>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</si>
  <si>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</si>
  <si>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</si>
  <si>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</si>
  <si>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FF</t>
  </si>
  <si>
    <t>1.1</t>
  </si>
  <si>
    <t>JUSTIFICACIÓN:</t>
  </si>
  <si>
    <t>Compuestos Quimicos</t>
  </si>
  <si>
    <t>160 - DIRECCION PROVINCIAL CENTRO UNICO DE REFERENCIA</t>
  </si>
  <si>
    <t>2° TRIMESTRE</t>
  </si>
  <si>
    <t>Adquisicion de Reactivos</t>
  </si>
  <si>
    <t>747 - DIRECCION PROVINCIAL BANCO DE SANGRE</t>
  </si>
  <si>
    <t>TOTAL DE PESOS: Catorce Millones Seiscientos Sesenta y Cinco Mil Quinientos Sesenta y Nueve con 00/100</t>
  </si>
  <si>
    <t>Adquisición de Reactivos.</t>
  </si>
  <si>
    <t>468 - DIRECCION PROVINCIAL DE LABORATORIO</t>
  </si>
  <si>
    <t>TOTAL DE PESOS: Ciento Seis Millones Ciento Diecisiete Mil Novecientos Sesenta y Ocho con 00/100</t>
  </si>
  <si>
    <t>746 - DIRECCION DE CONTROL DE VECTORES Y ZOONOSIS</t>
  </si>
  <si>
    <t>TOTAL DE PESOS: Ciento Doce Mil Quinientos Noventa y Cinco con 00/100</t>
  </si>
  <si>
    <t>TOTAL DE PESOS: Un Millon Seiscientos Treinta y Siete Mil Ochenta y Cuatro con 00/100</t>
  </si>
  <si>
    <t>Descripción técnica</t>
  </si>
  <si>
    <t>Calidad Minima esperada</t>
  </si>
  <si>
    <t>Mantenimiento</t>
  </si>
  <si>
    <t>Plazos de entrega</t>
  </si>
  <si>
    <t>veinte (20) dias habiles</t>
  </si>
  <si>
    <t>Lugar de Entrega:</t>
  </si>
  <si>
    <t>LOS ITEMS DEL 1 AL 70 EN LA DIR. PROV. DE LABORATORIO - CHACABUCO N° 169</t>
  </si>
  <si>
    <t xml:space="preserve">LOS ITEMS 111 AL 128 EN EL CENTRO UNICO DE REFERENCIA - Dr Julio Herrera N° 250. </t>
  </si>
  <si>
    <t>LOS ITEMS DEL 109 Y 110 EN LA DIR. DE VECTORES Y ZOONOSIS - CHACABUCO N° 169</t>
  </si>
  <si>
    <t>LOS ITEMS DEL 71 AL 108 EN EL BANCO DE SANGRE - Pasaje Boto Gray N°500 (frente la Maternida Provincial 25 de Mayo)</t>
  </si>
  <si>
    <t>no</t>
  </si>
  <si>
    <t>Autorizo la realización de los  trámites correspondientes, a fin de proveer a  este Organismo los bienes que se detallan en Nota de pedido y Entrega N°06/2021,  afectando la erogación resultante a los créditos presupuestarios aprobados a favor de esta Unidad Ejecutora, conforme al siguiente detalle:</t>
  </si>
  <si>
    <t xml:space="preserve"> 06/2021</t>
  </si>
  <si>
    <t>Costo total estimado: Ciento Seis Millones Ciento Diecisiete Mil Novecientos Sesenta y Ocho con 00/100</t>
  </si>
  <si>
    <t xml:space="preserve">Especificidades </t>
  </si>
  <si>
    <t>cuarenta y cinco (45) días</t>
  </si>
  <si>
    <t>Autorizo la realización de los  trámites correspondientes, a fin de proveer a  este Organismo los bienes que se detallan en Nota de pedido y Entrega N°02/2021,  afectando la erogación resultante a los créditos presupuestarios aprobados a favor de esta Unidad Ejecutora, conforme al siguiente detalle:</t>
  </si>
  <si>
    <t xml:space="preserve"> 02/2021</t>
  </si>
  <si>
    <t xml:space="preserve"> 05/2021</t>
  </si>
  <si>
    <t>Autorizo la realización de los  trámites correspondientes, a fin de proveer a  este Organismo los bienes que se detallan en Nota de pedido y Entrega N°05/2021,  afectando la erogación resultante a los créditos presupuestarios aprobados a favor de esta Unidad Ejecutora, conforme al siguiente detalle:</t>
  </si>
  <si>
    <t>Costo total estimado: Catorce Millones Seiscientos Sesenta y Cinco Mil Quinientos Sesenta y Nueve con 00/100</t>
  </si>
  <si>
    <t xml:space="preserve">equipo </t>
  </si>
  <si>
    <t>Costo total estimado: Ciento Doce Mil Quinientos Noventa y Cinco con 00/100</t>
  </si>
  <si>
    <t xml:space="preserve"> AGUA BIDESTILADA X 5 LITROS</t>
  </si>
  <si>
    <t>Costo total estimado: Un Millon Seiscientos Treinta y Siete Mil Ochenta y Cuatro con 00/100</t>
  </si>
  <si>
    <t xml:space="preserve">ANEXO
1-Para oferentes de la Provincia de Catamarca deberán presentes Habilitación Provincial para comercializar el producto que cotizan. 
2-Para el resto de oferentes deberán presentar Certificado de Inscripción de ANMAT vigente al momento de la oferta y de encontrarse vencido adjuntar la solicitud de renovación. 
3-Los productos deberán tener un vencimiento posterior a doce (12) meses  a partir de la fecha de su recepción.
</t>
  </si>
</sst>
</file>

<file path=xl/styles.xml><?xml version="1.0" encoding="utf-8"?>
<styleSheet xmlns="http://schemas.openxmlformats.org/spreadsheetml/2006/main">
  <numFmts count="12">
    <numFmt numFmtId="7" formatCode="&quot;$&quot;\ #,##0.00;&quot;$&quot;\ \-#,##0.00"/>
    <numFmt numFmtId="44" formatCode="_ &quot;$&quot;\ * #,##0.00_ ;_ &quot;$&quot;\ * \-#,##0.00_ ;_ &quot;$&quot;\ * &quot;-&quot;??_ ;_ @_ "/>
    <numFmt numFmtId="164" formatCode="_-&quot;$&quot;\ * #,##0.00_-;\-&quot;$&quot;\ * #,##0.00_-;_-&quot;$&quot;\ * &quot;-&quot;??_-;_-@_-"/>
    <numFmt numFmtId="165" formatCode="_-* #,##0.00&quot; €&quot;_-;\-* #,##0.00&quot; €&quot;_-;_-* \-??&quot; €&quot;_-;_-@_-"/>
    <numFmt numFmtId="166" formatCode="_-[$$-2C0A]\ * #,##0.00_-;\-[$$-2C0A]\ * #,##0.00_-;_-[$$-2C0A]\ * &quot;-&quot;??_-;_-@_-"/>
    <numFmt numFmtId="167" formatCode="[$$-2C0A]\ #,##0.00;[$$-2C0A]&quot; -&quot;#,##0.00"/>
    <numFmt numFmtId="168" formatCode="[$$-2C0A]\ #,##0.00"/>
    <numFmt numFmtId="169" formatCode="&quot;$&quot;\ #,##0.00"/>
    <numFmt numFmtId="170" formatCode="&quot;$&quot;#,##0.00"/>
    <numFmt numFmtId="171" formatCode="_-&quot;$&quot;\ * #,##0.000_-;\-&quot;$&quot;\ * #,##0.000_-;_-&quot;$&quot;\ * &quot;-&quot;??_-;_-@_-"/>
    <numFmt numFmtId="172" formatCode="_(\$* #,##0.00_);_(\$* \(#,##0.00\);_(\$* \-??_);_(@_)"/>
    <numFmt numFmtId="173" formatCode="dd\-mm\-yy;@"/>
  </numFmts>
  <fonts count="38">
    <font>
      <sz val="10"/>
      <name val="Arial"/>
      <charset val="1"/>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11"/>
      <color rgb="FF000000"/>
      <name val="Times New Roman"/>
      <family val="1"/>
    </font>
    <font>
      <sz val="10"/>
      <color rgb="FF000000"/>
      <name val="Times New Roman"/>
      <family val="1"/>
    </font>
    <font>
      <b/>
      <sz val="10"/>
      <color rgb="FF000000"/>
      <name val="Times New Roman"/>
      <family val="1"/>
    </font>
    <font>
      <b/>
      <sz val="12"/>
      <color rgb="FF000000"/>
      <name val="Times New Roman"/>
      <family val="1"/>
    </font>
    <font>
      <sz val="10"/>
      <name val="Arial"/>
      <family val="2"/>
    </font>
    <font>
      <sz val="11"/>
      <name val="Arial"/>
      <family val="2"/>
    </font>
    <font>
      <sz val="11"/>
      <color rgb="FF333333"/>
      <name val="Arial"/>
      <family val="2"/>
    </font>
    <font>
      <sz val="11"/>
      <color theme="1"/>
      <name val="Arial"/>
      <family val="2"/>
    </font>
    <font>
      <sz val="11"/>
      <color rgb="FF000000"/>
      <name val="Arial"/>
      <family val="2"/>
    </font>
    <font>
      <b/>
      <sz val="20"/>
      <name val="Times New Roman"/>
      <family val="1"/>
    </font>
    <font>
      <b/>
      <sz val="12"/>
      <color rgb="FFFF0000"/>
      <name val="Arial"/>
      <family val="2"/>
    </font>
    <font>
      <sz val="11"/>
      <name val="Times New Roman"/>
      <family val="1"/>
    </font>
    <font>
      <b/>
      <sz val="10"/>
      <name val="Times New Roman"/>
      <family val="1"/>
    </font>
    <font>
      <sz val="11"/>
      <color rgb="FF000000"/>
      <name val="Times New Roman"/>
      <family val="1"/>
    </font>
    <font>
      <b/>
      <sz val="11"/>
      <name val="Arial"/>
      <family val="2"/>
    </font>
    <font>
      <sz val="10"/>
      <name val="Arial"/>
      <family val="2"/>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0"/>
      <name val="Times New Roman"/>
      <family val="1"/>
      <charset val="1"/>
    </font>
    <font>
      <sz val="11"/>
      <name val="Calibri"/>
      <family val="2"/>
      <scheme val="minor"/>
    </font>
    <font>
      <sz val="11"/>
      <name val="Times New Roman"/>
      <family val="1"/>
      <charset val="1"/>
    </font>
    <font>
      <b/>
      <sz val="10"/>
      <name val="Arial"/>
      <family val="2"/>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11"/>
      <color rgb="FF000000"/>
      <name val="Arial"/>
      <family val="2"/>
    </font>
    <font>
      <sz val="10"/>
      <color theme="0"/>
      <name val="Arial"/>
      <family val="2"/>
      <charset val="1"/>
    </font>
  </fonts>
  <fills count="6">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
      <patternFill patternType="solid">
        <fgColor rgb="FFC0C0C0"/>
        <bgColor rgb="FFCCCCFF"/>
      </patternFill>
    </fill>
  </fills>
  <borders count="57">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right/>
      <top style="thin">
        <color auto="1"/>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medium">
        <color auto="1"/>
      </left>
      <right style="medium">
        <color auto="1"/>
      </right>
      <top/>
      <bottom style="thin">
        <color auto="1"/>
      </bottom>
      <diagonal/>
    </border>
  </borders>
  <cellStyleXfs count="20">
    <xf numFmtId="0" fontId="0" fillId="0" borderId="0"/>
    <xf numFmtId="165" fontId="4" fillId="0" borderId="0" applyBorder="0" applyProtection="0"/>
    <xf numFmtId="0" fontId="2" fillId="0" borderId="1" applyProtection="0"/>
    <xf numFmtId="0" fontId="3" fillId="2" borderId="0" applyBorder="0" applyProtection="0"/>
    <xf numFmtId="0" fontId="10" fillId="0" borderId="0"/>
    <xf numFmtId="44" fontId="10" fillId="0" borderId="0" applyBorder="0" applyAlignment="0" applyProtection="0"/>
    <xf numFmtId="0" fontId="10" fillId="0" borderId="0"/>
    <xf numFmtId="0" fontId="10" fillId="0" borderId="0"/>
    <xf numFmtId="0" fontId="10" fillId="0" borderId="0"/>
    <xf numFmtId="0" fontId="1" fillId="0" borderId="0"/>
    <xf numFmtId="0" fontId="4" fillId="0" borderId="0"/>
    <xf numFmtId="165" fontId="4" fillId="0" borderId="0" applyBorder="0" applyProtection="0"/>
    <xf numFmtId="0" fontId="2" fillId="0" borderId="1" applyProtection="0"/>
    <xf numFmtId="0" fontId="4" fillId="0" borderId="0"/>
    <xf numFmtId="44" fontId="4" fillId="0" borderId="0" applyBorder="0" applyAlignment="0" applyProtection="0"/>
    <xf numFmtId="0" fontId="4" fillId="0" borderId="0"/>
    <xf numFmtId="0" fontId="4" fillId="0" borderId="0"/>
    <xf numFmtId="0" fontId="4" fillId="0" borderId="0"/>
    <xf numFmtId="165" fontId="21" fillId="0" borderId="0" applyBorder="0" applyProtection="0"/>
    <xf numFmtId="172" fontId="24" fillId="0" borderId="0" applyBorder="0" applyProtection="0"/>
  </cellStyleXfs>
  <cellXfs count="249">
    <xf numFmtId="0" fontId="0" fillId="0" borderId="0" xfId="0"/>
    <xf numFmtId="0" fontId="5" fillId="0" borderId="0" xfId="0" applyFont="1"/>
    <xf numFmtId="0" fontId="7" fillId="0" borderId="0" xfId="0" applyFont="1" applyAlignment="1">
      <alignment horizontal="center" wrapText="1"/>
    </xf>
    <xf numFmtId="0" fontId="5" fillId="0" borderId="0" xfId="0" applyFont="1" applyAlignment="1">
      <alignment horizontal="center"/>
    </xf>
    <xf numFmtId="3" fontId="11" fillId="4" borderId="2" xfId="0" applyNumberFormat="1" applyFont="1" applyFill="1" applyBorder="1" applyAlignment="1">
      <alignment horizontal="center" vertical="center" wrapText="1"/>
    </xf>
    <xf numFmtId="0" fontId="5" fillId="4" borderId="0" xfId="0" applyFont="1" applyFill="1"/>
    <xf numFmtId="1" fontId="7" fillId="0" borderId="0" xfId="0" applyNumberFormat="1" applyFont="1" applyAlignment="1">
      <alignment horizontal="center" wrapText="1"/>
    </xf>
    <xf numFmtId="1" fontId="5" fillId="0" borderId="0" xfId="0" applyNumberFormat="1" applyFont="1" applyAlignment="1">
      <alignment horizontal="center"/>
    </xf>
    <xf numFmtId="0" fontId="14" fillId="4" borderId="6" xfId="0" applyFont="1" applyFill="1" applyBorder="1" applyAlignment="1">
      <alignment horizontal="center" vertical="center" wrapText="1"/>
    </xf>
    <xf numFmtId="0" fontId="11" fillId="4" borderId="6" xfId="4" applyFont="1" applyFill="1" applyBorder="1" applyAlignment="1">
      <alignment horizontal="center" vertical="center" wrapText="1"/>
    </xf>
    <xf numFmtId="169" fontId="11" fillId="4" borderId="6" xfId="0" applyNumberFormat="1" applyFont="1" applyFill="1" applyBorder="1" applyAlignment="1">
      <alignment horizontal="center" vertical="center" wrapText="1"/>
    </xf>
    <xf numFmtId="1" fontId="11" fillId="4" borderId="6" xfId="0" applyNumberFormat="1" applyFont="1" applyFill="1" applyBorder="1" applyAlignment="1">
      <alignment horizontal="center" vertical="center" wrapText="1"/>
    </xf>
    <xf numFmtId="0" fontId="11" fillId="4" borderId="6" xfId="0" applyFont="1" applyFill="1" applyBorder="1" applyAlignment="1">
      <alignment horizontal="center" vertical="center" wrapText="1"/>
    </xf>
    <xf numFmtId="3" fontId="11" fillId="4" borderId="6" xfId="0" applyNumberFormat="1" applyFont="1" applyFill="1" applyBorder="1" applyAlignment="1">
      <alignment horizontal="center" vertical="center" wrapText="1"/>
    </xf>
    <xf numFmtId="0" fontId="13" fillId="0" borderId="6" xfId="0" applyFont="1" applyBorder="1" applyAlignment="1">
      <alignment horizontal="center" vertical="center" wrapText="1"/>
    </xf>
    <xf numFmtId="0" fontId="11" fillId="0" borderId="6" xfId="4" applyFont="1" applyBorder="1" applyAlignment="1">
      <alignment horizontal="center" vertical="center"/>
    </xf>
    <xf numFmtId="0" fontId="11"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14" fillId="3"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4" borderId="6" xfId="0" applyFont="1" applyFill="1" applyBorder="1" applyAlignment="1">
      <alignment horizontal="center" vertical="center" wrapText="1"/>
    </xf>
    <xf numFmtId="0" fontId="13" fillId="4" borderId="6" xfId="4"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4" borderId="6" xfId="6" applyFont="1" applyFill="1" applyBorder="1" applyAlignment="1">
      <alignment horizontal="center" vertical="center" wrapText="1"/>
    </xf>
    <xf numFmtId="1" fontId="13" fillId="4" borderId="6" xfId="4" applyNumberFormat="1" applyFont="1" applyFill="1" applyBorder="1" applyAlignment="1">
      <alignment horizontal="center" vertical="center" wrapText="1"/>
    </xf>
    <xf numFmtId="0" fontId="14" fillId="4" borderId="6" xfId="0" applyFont="1" applyFill="1" applyBorder="1" applyAlignment="1">
      <alignment horizontal="center" vertical="center"/>
    </xf>
    <xf numFmtId="0" fontId="13" fillId="0" borderId="6" xfId="0" applyFont="1" applyBorder="1" applyAlignment="1">
      <alignment horizontal="center" vertical="center"/>
    </xf>
    <xf numFmtId="0" fontId="11" fillId="0" borderId="6" xfId="0" applyFont="1" applyBorder="1" applyAlignment="1">
      <alignment horizontal="center" vertical="center"/>
    </xf>
    <xf numFmtId="169" fontId="5" fillId="0" borderId="0" xfId="0" applyNumberFormat="1" applyFont="1" applyAlignment="1">
      <alignment horizontal="center"/>
    </xf>
    <xf numFmtId="169" fontId="7" fillId="0" borderId="0" xfId="0" applyNumberFormat="1" applyFont="1" applyAlignment="1">
      <alignment horizontal="center" wrapText="1"/>
    </xf>
    <xf numFmtId="3" fontId="5" fillId="0" borderId="0" xfId="0" applyNumberFormat="1" applyFont="1" applyAlignment="1">
      <alignment horizontal="center"/>
    </xf>
    <xf numFmtId="3" fontId="7" fillId="0" borderId="0" xfId="0" applyNumberFormat="1" applyFont="1" applyAlignment="1">
      <alignment horizontal="center" wrapText="1"/>
    </xf>
    <xf numFmtId="3" fontId="11" fillId="0" borderId="6" xfId="4" applyNumberFormat="1" applyFont="1" applyBorder="1" applyAlignment="1">
      <alignment horizontal="center" vertical="center" wrapText="1"/>
    </xf>
    <xf numFmtId="0" fontId="12" fillId="4" borderId="6" xfId="0" applyFont="1" applyFill="1" applyBorder="1" applyAlignment="1">
      <alignment horizontal="center" vertical="center" wrapText="1"/>
    </xf>
    <xf numFmtId="3" fontId="5" fillId="0" borderId="0" xfId="0" applyNumberFormat="1" applyFont="1" applyAlignment="1">
      <alignment horizontal="center" vertical="center"/>
    </xf>
    <xf numFmtId="3" fontId="7" fillId="0" borderId="0" xfId="0" applyNumberFormat="1" applyFont="1" applyAlignment="1">
      <alignment horizontal="center" vertical="center" wrapText="1"/>
    </xf>
    <xf numFmtId="169" fontId="14" fillId="4" borderId="6" xfId="0" applyNumberFormat="1" applyFont="1" applyFill="1" applyBorder="1" applyAlignment="1">
      <alignment horizontal="center" vertical="center"/>
    </xf>
    <xf numFmtId="3" fontId="14" fillId="4" borderId="6" xfId="0" applyNumberFormat="1" applyFont="1" applyFill="1" applyBorder="1" applyAlignment="1">
      <alignment horizontal="center" vertical="center"/>
    </xf>
    <xf numFmtId="169" fontId="13" fillId="0" borderId="6" xfId="1" applyNumberFormat="1" applyFont="1" applyBorder="1" applyAlignment="1" applyProtection="1">
      <alignment vertical="center"/>
    </xf>
    <xf numFmtId="0" fontId="12" fillId="0" borderId="6" xfId="0" applyFont="1" applyBorder="1" applyAlignment="1">
      <alignment horizontal="center" vertical="center"/>
    </xf>
    <xf numFmtId="1" fontId="13" fillId="0" borderId="6" xfId="0" applyNumberFormat="1" applyFont="1" applyBorder="1" applyAlignment="1">
      <alignment horizontal="center" vertical="center"/>
    </xf>
    <xf numFmtId="0" fontId="11" fillId="4" borderId="6" xfId="0" applyFont="1" applyFill="1" applyBorder="1" applyAlignment="1">
      <alignment horizontal="center" vertical="center"/>
    </xf>
    <xf numFmtId="1" fontId="13" fillId="0" borderId="6" xfId="13" applyNumberFormat="1" applyFont="1" applyBorder="1" applyAlignment="1">
      <alignment horizontal="center"/>
    </xf>
    <xf numFmtId="0" fontId="14" fillId="0" borderId="6" xfId="0" applyFont="1" applyFill="1" applyBorder="1" applyAlignment="1">
      <alignment horizontal="center" vertical="center" wrapText="1"/>
    </xf>
    <xf numFmtId="3" fontId="20" fillId="0" borderId="6" xfId="4" applyNumberFormat="1" applyFont="1" applyBorder="1" applyAlignment="1">
      <alignment horizontal="center" vertical="center" wrapText="1"/>
    </xf>
    <xf numFmtId="1" fontId="11" fillId="0" borderId="6" xfId="0" applyNumberFormat="1" applyFont="1" applyBorder="1" applyAlignment="1">
      <alignment horizontal="center"/>
    </xf>
    <xf numFmtId="169" fontId="11" fillId="0" borderId="6" xfId="0" applyNumberFormat="1" applyFont="1" applyBorder="1" applyAlignment="1">
      <alignment horizontal="center"/>
    </xf>
    <xf numFmtId="3" fontId="11" fillId="0" borderId="6" xfId="0" applyNumberFormat="1" applyFont="1" applyBorder="1" applyAlignment="1">
      <alignment horizontal="center"/>
    </xf>
    <xf numFmtId="0" fontId="13" fillId="0" borderId="6" xfId="0" applyFont="1" applyBorder="1" applyAlignment="1">
      <alignment horizontal="center"/>
    </xf>
    <xf numFmtId="0" fontId="13" fillId="4" borderId="6" xfId="0" applyFont="1" applyFill="1" applyBorder="1" applyAlignment="1">
      <alignment horizontal="center" vertical="center"/>
    </xf>
    <xf numFmtId="168" fontId="11" fillId="0" borderId="6" xfId="0" applyNumberFormat="1" applyFont="1" applyBorder="1" applyAlignment="1">
      <alignment horizontal="center"/>
    </xf>
    <xf numFmtId="0" fontId="14" fillId="0" borderId="6" xfId="0" applyFont="1" applyBorder="1" applyAlignment="1">
      <alignment horizontal="center" wrapText="1"/>
    </xf>
    <xf numFmtId="0" fontId="13" fillId="0" borderId="6" xfId="13" applyFont="1" applyBorder="1" applyAlignment="1">
      <alignment horizontal="center" vertical="top"/>
    </xf>
    <xf numFmtId="1" fontId="13" fillId="0" borderId="6" xfId="8" applyNumberFormat="1" applyFont="1" applyBorder="1" applyAlignment="1">
      <alignment horizontal="center" vertical="center"/>
    </xf>
    <xf numFmtId="169" fontId="13" fillId="0" borderId="6" xfId="1" applyNumberFormat="1" applyFont="1" applyBorder="1" applyAlignment="1">
      <alignment vertical="center"/>
    </xf>
    <xf numFmtId="169" fontId="13" fillId="0" borderId="6" xfId="1" applyNumberFormat="1" applyFont="1" applyBorder="1" applyAlignment="1">
      <alignment vertical="center" wrapText="1"/>
    </xf>
    <xf numFmtId="0" fontId="14" fillId="0" borderId="6" xfId="0" applyFont="1" applyBorder="1" applyAlignment="1">
      <alignment horizontal="center" vertical="center"/>
    </xf>
    <xf numFmtId="1" fontId="14" fillId="0" borderId="6" xfId="0" applyNumberFormat="1" applyFont="1" applyBorder="1" applyAlignment="1">
      <alignment horizontal="center" vertical="center" wrapText="1"/>
    </xf>
    <xf numFmtId="169" fontId="14" fillId="0" borderId="6" xfId="0" applyNumberFormat="1" applyFont="1" applyBorder="1" applyAlignment="1">
      <alignment horizontal="center" vertical="center" wrapText="1"/>
    </xf>
    <xf numFmtId="3" fontId="14" fillId="0" borderId="6" xfId="0" applyNumberFormat="1" applyFont="1" applyBorder="1" applyAlignment="1">
      <alignment horizontal="center" vertical="center" wrapText="1"/>
    </xf>
    <xf numFmtId="1" fontId="14" fillId="4" borderId="6" xfId="0" applyNumberFormat="1" applyFont="1" applyFill="1" applyBorder="1" applyAlignment="1">
      <alignment horizontal="center" vertical="center"/>
    </xf>
    <xf numFmtId="169" fontId="11" fillId="0" borderId="0" xfId="1" applyNumberFormat="1" applyFont="1" applyAlignment="1">
      <alignment vertical="center"/>
    </xf>
    <xf numFmtId="166" fontId="5" fillId="0" borderId="0" xfId="0" applyNumberFormat="1" applyFont="1" applyAlignment="1">
      <alignment vertical="center"/>
    </xf>
    <xf numFmtId="169" fontId="11" fillId="0" borderId="6" xfId="1" applyNumberFormat="1" applyFont="1" applyBorder="1" applyAlignment="1">
      <alignment vertical="center" wrapText="1"/>
    </xf>
    <xf numFmtId="166" fontId="14" fillId="0" borderId="6" xfId="0" applyNumberFormat="1" applyFont="1" applyBorder="1" applyAlignment="1">
      <alignment vertical="center" wrapText="1"/>
    </xf>
    <xf numFmtId="166" fontId="11" fillId="4" borderId="6" xfId="4" applyNumberFormat="1" applyFont="1" applyFill="1" applyBorder="1" applyAlignment="1">
      <alignment vertical="center" wrapText="1"/>
    </xf>
    <xf numFmtId="169" fontId="11" fillId="0" borderId="6" xfId="0" applyNumberFormat="1" applyFont="1" applyBorder="1" applyAlignment="1">
      <alignment vertical="center" wrapText="1"/>
    </xf>
    <xf numFmtId="169" fontId="11" fillId="3" borderId="6" xfId="1" applyNumberFormat="1" applyFont="1" applyFill="1" applyBorder="1" applyAlignment="1" applyProtection="1">
      <alignment vertical="center" wrapText="1"/>
    </xf>
    <xf numFmtId="7" fontId="11" fillId="0" borderId="6" xfId="1" applyNumberFormat="1" applyFont="1" applyFill="1" applyBorder="1" applyAlignment="1">
      <alignment vertical="center" wrapText="1"/>
    </xf>
    <xf numFmtId="0" fontId="17" fillId="0" borderId="0" xfId="0" applyFont="1" applyAlignment="1">
      <alignment horizontal="center" wrapText="1"/>
    </xf>
    <xf numFmtId="0" fontId="5" fillId="0" borderId="0" xfId="0" applyFont="1" applyAlignment="1">
      <alignment horizontal="center" vertical="center"/>
    </xf>
    <xf numFmtId="0" fontId="19" fillId="0" borderId="0" xfId="0" applyFont="1" applyAlignment="1">
      <alignment horizontal="center" wrapText="1"/>
    </xf>
    <xf numFmtId="0" fontId="7" fillId="0" borderId="0" xfId="0" applyFont="1" applyAlignment="1">
      <alignment horizontal="center" vertical="center" wrapText="1"/>
    </xf>
    <xf numFmtId="0" fontId="13" fillId="4" borderId="6" xfId="9" applyFont="1" applyFill="1" applyBorder="1" applyAlignment="1">
      <alignment horizontal="center" vertical="center"/>
    </xf>
    <xf numFmtId="3" fontId="13" fillId="4" borderId="6" xfId="0" applyNumberFormat="1" applyFont="1" applyFill="1" applyBorder="1" applyAlignment="1">
      <alignment horizontal="center" vertical="center" wrapText="1"/>
    </xf>
    <xf numFmtId="0" fontId="16" fillId="4" borderId="6" xfId="9" applyFont="1" applyFill="1" applyBorder="1" applyAlignment="1">
      <alignment horizontal="center" vertical="center" wrapText="1"/>
    </xf>
    <xf numFmtId="169" fontId="16" fillId="4" borderId="6" xfId="0" applyNumberFormat="1" applyFont="1" applyFill="1" applyBorder="1" applyAlignment="1">
      <alignment vertical="center" wrapText="1"/>
    </xf>
    <xf numFmtId="0" fontId="5" fillId="0" borderId="0" xfId="0" applyFont="1" applyAlignment="1">
      <alignment horizontal="center" vertical="center" wrapText="1"/>
    </xf>
    <xf numFmtId="170" fontId="5" fillId="0" borderId="0" xfId="0" applyNumberFormat="1" applyFont="1" applyAlignment="1">
      <alignment horizontal="center"/>
    </xf>
    <xf numFmtId="3" fontId="5" fillId="0" borderId="0" xfId="0" applyNumberFormat="1" applyFont="1"/>
    <xf numFmtId="0" fontId="9" fillId="0" borderId="0" xfId="0" applyFont="1" applyFill="1" applyAlignment="1">
      <alignment horizontal="left" vertical="center" wrapText="1"/>
    </xf>
    <xf numFmtId="0" fontId="8" fillId="0" borderId="0" xfId="0" applyFont="1" applyFill="1" applyAlignment="1">
      <alignment horizontal="left" wrapText="1"/>
    </xf>
    <xf numFmtId="0" fontId="8" fillId="0" borderId="0" xfId="0" applyFont="1" applyFill="1" applyAlignment="1">
      <alignment horizontal="left" vertical="center" wrapText="1"/>
    </xf>
    <xf numFmtId="0" fontId="14" fillId="4" borderId="6" xfId="0" applyFont="1" applyFill="1" applyBorder="1" applyAlignment="1">
      <alignment horizontal="left" vertical="center" wrapText="1"/>
    </xf>
    <xf numFmtId="0" fontId="14" fillId="0" borderId="6" xfId="0" applyFont="1" applyBorder="1" applyAlignment="1">
      <alignment horizontal="left" vertical="center" wrapText="1"/>
    </xf>
    <xf numFmtId="0" fontId="11" fillId="4" borderId="6" xfId="0" applyFont="1" applyFill="1" applyBorder="1" applyAlignment="1">
      <alignment horizontal="left" vertical="center" wrapText="1"/>
    </xf>
    <xf numFmtId="0" fontId="13" fillId="4" borderId="6" xfId="9" applyFont="1" applyFill="1" applyBorder="1" applyAlignment="1">
      <alignment horizontal="left" vertical="center" wrapText="1"/>
    </xf>
    <xf numFmtId="0" fontId="13" fillId="4" borderId="6" xfId="0" applyFont="1" applyFill="1" applyBorder="1" applyAlignment="1">
      <alignment horizontal="left" vertical="center" wrapText="1"/>
    </xf>
    <xf numFmtId="0" fontId="12" fillId="0" borderId="6" xfId="0" applyFont="1" applyBorder="1" applyAlignment="1">
      <alignment horizontal="left" vertical="center" wrapText="1"/>
    </xf>
    <xf numFmtId="0" fontId="14" fillId="0" borderId="6" xfId="0" applyFont="1" applyFill="1" applyBorder="1" applyAlignment="1">
      <alignment horizontal="left" vertical="center" wrapText="1"/>
    </xf>
    <xf numFmtId="0" fontId="22" fillId="0" borderId="9" xfId="0" applyFont="1" applyBorder="1" applyAlignment="1">
      <alignment horizontal="right" vertical="center"/>
    </xf>
    <xf numFmtId="17" fontId="23" fillId="3" borderId="10" xfId="0" applyNumberFormat="1" applyFont="1" applyFill="1" applyBorder="1" applyAlignment="1">
      <alignment horizontal="center" vertical="center"/>
    </xf>
    <xf numFmtId="0" fontId="24" fillId="0" borderId="0" xfId="0" applyFont="1" applyBorder="1" applyAlignment="1">
      <alignment vertical="center"/>
    </xf>
    <xf numFmtId="0" fontId="22" fillId="0" borderId="11" xfId="0" applyFont="1" applyBorder="1" applyAlignment="1">
      <alignment vertical="center"/>
    </xf>
    <xf numFmtId="0" fontId="22" fillId="0" borderId="0" xfId="0" applyFont="1" applyBorder="1" applyAlignment="1">
      <alignment vertical="center"/>
    </xf>
    <xf numFmtId="0" fontId="25" fillId="0" borderId="0" xfId="0" applyFont="1" applyBorder="1" applyAlignment="1">
      <alignment horizontal="left" vertical="center"/>
    </xf>
    <xf numFmtId="0" fontId="23" fillId="0" borderId="0" xfId="0" applyFont="1" applyBorder="1" applyAlignment="1">
      <alignment horizontal="left" vertical="center" wrapText="1" indent="1"/>
    </xf>
    <xf numFmtId="0" fontId="27" fillId="4" borderId="18" xfId="0" applyFont="1" applyFill="1" applyBorder="1" applyAlignment="1">
      <alignment horizontal="center" vertical="center"/>
    </xf>
    <xf numFmtId="0" fontId="27" fillId="4" borderId="18" xfId="0" applyFont="1" applyFill="1" applyBorder="1" applyAlignment="1">
      <alignment horizontal="left" vertical="center"/>
    </xf>
    <xf numFmtId="0" fontId="27" fillId="3" borderId="18" xfId="0" applyFont="1" applyFill="1" applyBorder="1" applyAlignment="1">
      <alignment horizontal="center" vertical="center"/>
    </xf>
    <xf numFmtId="164" fontId="24" fillId="0" borderId="0" xfId="0" applyNumberFormat="1" applyFont="1" applyBorder="1" applyAlignment="1">
      <alignment vertical="center"/>
    </xf>
    <xf numFmtId="0" fontId="29" fillId="0" borderId="22" xfId="0" applyFont="1" applyBorder="1" applyAlignment="1">
      <alignment horizontal="left" vertical="center"/>
    </xf>
    <xf numFmtId="0" fontId="29" fillId="0" borderId="24" xfId="0" applyFont="1" applyBorder="1" applyAlignment="1">
      <alignment horizontal="left" vertical="center"/>
    </xf>
    <xf numFmtId="0" fontId="27" fillId="0" borderId="24" xfId="0" applyFont="1" applyBorder="1" applyAlignment="1">
      <alignment horizontal="center" vertical="center"/>
    </xf>
    <xf numFmtId="0" fontId="27" fillId="0" borderId="25" xfId="0" applyFont="1" applyBorder="1" applyAlignment="1">
      <alignment horizontal="center" vertical="center" wrapText="1"/>
    </xf>
    <xf numFmtId="164" fontId="27" fillId="0" borderId="24" xfId="0" applyNumberFormat="1" applyFont="1" applyBorder="1" applyAlignment="1">
      <alignment horizontal="center" vertical="center" wrapText="1"/>
    </xf>
    <xf numFmtId="3" fontId="27" fillId="0" borderId="24" xfId="0" applyNumberFormat="1" applyFont="1" applyBorder="1" applyAlignment="1">
      <alignment horizontal="center" vertical="center"/>
    </xf>
    <xf numFmtId="0" fontId="29" fillId="0" borderId="26" xfId="0" applyFont="1" applyBorder="1" applyAlignment="1">
      <alignment horizontal="left" vertical="center"/>
    </xf>
    <xf numFmtId="164" fontId="0" fillId="0" borderId="0" xfId="0" applyNumberFormat="1"/>
    <xf numFmtId="3" fontId="31" fillId="0" borderId="0" xfId="0" applyNumberFormat="1" applyFont="1" applyBorder="1" applyAlignment="1"/>
    <xf numFmtId="173" fontId="0" fillId="0" borderId="0" xfId="0" applyNumberFormat="1" applyAlignment="1">
      <alignment horizontal="left"/>
    </xf>
    <xf numFmtId="0" fontId="0" fillId="0" borderId="0" xfId="0" applyAlignment="1">
      <alignment horizontal="left"/>
    </xf>
    <xf numFmtId="0" fontId="24" fillId="0" borderId="0" xfId="0" applyFont="1"/>
    <xf numFmtId="0" fontId="0" fillId="0" borderId="0" xfId="0" applyBorder="1"/>
    <xf numFmtId="0" fontId="0" fillId="0" borderId="9" xfId="0" applyBorder="1"/>
    <xf numFmtId="0" fontId="0" fillId="0" borderId="33" xfId="0" applyBorder="1"/>
    <xf numFmtId="0" fontId="0" fillId="0" borderId="11" xfId="0" applyBorder="1"/>
    <xf numFmtId="0" fontId="0" fillId="0" borderId="11" xfId="0" applyBorder="1" applyAlignment="1">
      <alignment horizontal="left"/>
    </xf>
    <xf numFmtId="0" fontId="0" fillId="0" borderId="34" xfId="0" applyBorder="1"/>
    <xf numFmtId="0" fontId="35" fillId="0" borderId="37" xfId="0" applyFont="1" applyBorder="1" applyAlignment="1">
      <alignment horizontal="center" vertical="center"/>
    </xf>
    <xf numFmtId="0" fontId="35" fillId="0" borderId="38" xfId="0" applyFont="1" applyBorder="1" applyAlignment="1">
      <alignment horizontal="center" vertical="center"/>
    </xf>
    <xf numFmtId="0" fontId="35" fillId="0" borderId="38" xfId="0" applyFont="1" applyBorder="1" applyAlignment="1">
      <alignment horizontal="left" vertical="center"/>
    </xf>
    <xf numFmtId="0" fontId="35" fillId="0" borderId="39" xfId="0" applyFont="1" applyBorder="1" applyAlignment="1">
      <alignment horizontal="center" vertical="center"/>
    </xf>
    <xf numFmtId="0" fontId="35" fillId="0" borderId="40" xfId="0" applyFont="1" applyBorder="1" applyAlignment="1">
      <alignment horizontal="center" vertical="center"/>
    </xf>
    <xf numFmtId="0" fontId="0" fillId="3" borderId="41" xfId="0" applyFont="1" applyFill="1" applyBorder="1" applyAlignment="1">
      <alignment horizontal="center" vertical="center"/>
    </xf>
    <xf numFmtId="0" fontId="0" fillId="3" borderId="42" xfId="0" applyFont="1" applyFill="1" applyBorder="1" applyAlignment="1">
      <alignment horizontal="center" vertical="center"/>
    </xf>
    <xf numFmtId="0" fontId="0" fillId="0" borderId="42" xfId="0" applyFont="1" applyBorder="1" applyAlignment="1">
      <alignment horizontal="center" vertical="center"/>
    </xf>
    <xf numFmtId="0" fontId="0" fillId="3" borderId="43" xfId="0" applyFont="1" applyFill="1" applyBorder="1" applyAlignment="1">
      <alignment horizontal="center" vertical="center"/>
    </xf>
    <xf numFmtId="0" fontId="0" fillId="3" borderId="42" xfId="0" applyFill="1" applyBorder="1" applyAlignment="1">
      <alignment horizontal="center" vertical="center"/>
    </xf>
    <xf numFmtId="167" fontId="0" fillId="0" borderId="44" xfId="19" applyNumberFormat="1" applyFont="1" applyBorder="1" applyAlignment="1" applyProtection="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8" xfId="0" applyFont="1" applyBorder="1" applyAlignment="1">
      <alignment horizontal="center" vertical="center"/>
    </xf>
    <xf numFmtId="167" fontId="0" fillId="0" borderId="49" xfId="19" applyNumberFormat="1" applyFont="1" applyBorder="1" applyAlignment="1" applyProtection="1">
      <alignment horizontal="center" vertical="center"/>
    </xf>
    <xf numFmtId="0" fontId="33" fillId="0" borderId="45" xfId="0" applyFont="1" applyBorder="1" applyAlignment="1">
      <alignment horizontal="center" vertical="center"/>
    </xf>
    <xf numFmtId="0" fontId="33" fillId="0" borderId="46" xfId="0" applyFont="1" applyBorder="1" applyAlignment="1">
      <alignment horizontal="center" vertical="center"/>
    </xf>
    <xf numFmtId="0" fontId="0" fillId="0" borderId="48" xfId="0" applyBorder="1" applyAlignment="1">
      <alignment horizontal="center" vertical="center"/>
    </xf>
    <xf numFmtId="0" fontId="33" fillId="0" borderId="47" xfId="0" applyFont="1" applyBorder="1" applyAlignment="1">
      <alignment horizontal="center" vertical="center"/>
    </xf>
    <xf numFmtId="0" fontId="33" fillId="0" borderId="48" xfId="0" applyFont="1"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167" fontId="0" fillId="0" borderId="53" xfId="19" applyNumberFormat="1" applyFont="1" applyBorder="1" applyAlignment="1" applyProtection="1">
      <alignment horizontal="center" vertical="center"/>
    </xf>
    <xf numFmtId="167" fontId="35" fillId="0" borderId="54" xfId="0" applyNumberFormat="1" applyFont="1" applyBorder="1" applyAlignment="1">
      <alignment horizontal="center" vertical="center"/>
    </xf>
    <xf numFmtId="0" fontId="27" fillId="4" borderId="56" xfId="0" applyFont="1" applyFill="1" applyBorder="1" applyAlignment="1">
      <alignment horizontal="center" vertical="center"/>
    </xf>
    <xf numFmtId="0" fontId="27" fillId="4" borderId="56" xfId="0" applyFont="1" applyFill="1" applyBorder="1" applyAlignment="1">
      <alignment horizontal="left" vertical="center"/>
    </xf>
    <xf numFmtId="167" fontId="0" fillId="0" borderId="0" xfId="0" applyNumberFormat="1"/>
    <xf numFmtId="3" fontId="36" fillId="0" borderId="6" xfId="0" applyNumberFormat="1" applyFont="1" applyBorder="1" applyAlignment="1">
      <alignment horizontal="center" vertical="center" wrapText="1"/>
    </xf>
    <xf numFmtId="0" fontId="23" fillId="0" borderId="0" xfId="0" applyFont="1" applyBorder="1" applyAlignment="1">
      <alignment horizontal="left" vertical="center" wrapText="1" indent="1"/>
    </xf>
    <xf numFmtId="0" fontId="37" fillId="0" borderId="0" xfId="0" applyFont="1" applyBorder="1" applyAlignment="1">
      <alignment vertical="center"/>
    </xf>
    <xf numFmtId="164" fontId="37" fillId="0" borderId="0" xfId="0" applyNumberFormat="1" applyFont="1" applyBorder="1" applyAlignment="1">
      <alignment vertical="center"/>
    </xf>
    <xf numFmtId="0" fontId="17" fillId="0" borderId="0" xfId="0" applyFont="1" applyAlignment="1">
      <alignment horizontal="center" vertical="center" wrapText="1"/>
    </xf>
    <xf numFmtId="0" fontId="5" fillId="0" borderId="0" xfId="0" applyFont="1" applyAlignment="1">
      <alignment horizontal="left" vertical="center"/>
    </xf>
    <xf numFmtId="0" fontId="6" fillId="0" borderId="0" xfId="0" applyFont="1" applyBorder="1" applyAlignment="1">
      <alignment horizontal="left" vertical="center" wrapText="1"/>
    </xf>
    <xf numFmtId="0" fontId="15" fillId="0" borderId="0" xfId="0" applyFont="1" applyBorder="1" applyAlignment="1">
      <alignment horizontal="center"/>
    </xf>
    <xf numFmtId="0" fontId="15" fillId="0" borderId="0" xfId="0" applyFont="1" applyBorder="1" applyAlignment="1">
      <alignment horizontal="center" vertical="center"/>
    </xf>
    <xf numFmtId="0" fontId="15" fillId="0" borderId="0" xfId="0" applyFont="1" applyBorder="1" applyAlignment="1">
      <alignment horizontal="right" vertical="center"/>
    </xf>
    <xf numFmtId="0" fontId="9" fillId="0" borderId="0" xfId="0" applyFont="1" applyFill="1" applyBorder="1" applyAlignment="1">
      <alignment horizontal="left" wrapText="1"/>
    </xf>
    <xf numFmtId="0" fontId="9" fillId="0" borderId="0" xfId="0" applyFont="1" applyFill="1" applyAlignment="1">
      <alignment horizontal="left" vertical="center" wrapText="1"/>
    </xf>
    <xf numFmtId="0" fontId="5" fillId="0" borderId="0" xfId="0" applyFont="1" applyAlignment="1">
      <alignment horizontal="left" vertical="center" wrapText="1"/>
    </xf>
    <xf numFmtId="0" fontId="25" fillId="0" borderId="14" xfId="0" applyFont="1" applyBorder="1" applyAlignment="1">
      <alignment horizontal="left" vertical="center" wrapText="1"/>
    </xf>
    <xf numFmtId="0" fontId="23" fillId="0" borderId="13" xfId="0" applyFont="1" applyBorder="1" applyAlignment="1">
      <alignment horizontal="left" vertical="center" wrapText="1" indent="1"/>
    </xf>
    <xf numFmtId="0" fontId="22" fillId="0" borderId="0" xfId="0" applyFont="1" applyBorder="1" applyAlignment="1">
      <alignment horizontal="center" vertical="center"/>
    </xf>
    <xf numFmtId="0" fontId="25" fillId="0" borderId="12" xfId="0" applyFont="1" applyBorder="1" applyAlignment="1">
      <alignment horizontal="left" vertical="center" wrapText="1"/>
    </xf>
    <xf numFmtId="0" fontId="25" fillId="0" borderId="15" xfId="0" applyFont="1" applyBorder="1" applyAlignment="1">
      <alignment horizontal="left" vertical="center"/>
    </xf>
    <xf numFmtId="0" fontId="23" fillId="0" borderId="16" xfId="0" applyFont="1" applyBorder="1" applyAlignment="1">
      <alignment horizontal="left" vertical="center" wrapText="1" indent="1"/>
    </xf>
    <xf numFmtId="0" fontId="23" fillId="0" borderId="0" xfId="0" applyFont="1" applyBorder="1" applyAlignment="1">
      <alignment horizontal="left" vertical="center" wrapText="1" indent="1"/>
    </xf>
    <xf numFmtId="168" fontId="25" fillId="0" borderId="0" xfId="0" applyNumberFormat="1" applyFont="1" applyBorder="1" applyAlignment="1">
      <alignment horizontal="center" vertical="center"/>
    </xf>
    <xf numFmtId="0" fontId="26" fillId="0" borderId="16" xfId="0" applyFont="1" applyBorder="1" applyAlignment="1">
      <alignment horizontal="center" vertical="center" wrapText="1"/>
    </xf>
    <xf numFmtId="0" fontId="14" fillId="4" borderId="19" xfId="0" applyFont="1" applyFill="1" applyBorder="1" applyAlignment="1">
      <alignment horizontal="left" vertical="center" wrapText="1"/>
    </xf>
    <xf numFmtId="0" fontId="14" fillId="4" borderId="20" xfId="0" applyFont="1" applyFill="1" applyBorder="1" applyAlignment="1">
      <alignment horizontal="left" vertical="center" wrapText="1"/>
    </xf>
    <xf numFmtId="0" fontId="14" fillId="4" borderId="21" xfId="0" applyFont="1" applyFill="1" applyBorder="1" applyAlignment="1">
      <alignment horizontal="left" vertical="center" wrapText="1"/>
    </xf>
    <xf numFmtId="0" fontId="11" fillId="4" borderId="23" xfId="0" applyFont="1" applyFill="1" applyBorder="1" applyAlignment="1">
      <alignment horizontal="left" vertical="center" wrapText="1"/>
    </xf>
    <xf numFmtId="0" fontId="11" fillId="4" borderId="7"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3" fillId="4" borderId="23" xfId="9" applyFont="1" applyFill="1" applyBorder="1" applyAlignment="1">
      <alignment horizontal="left" vertical="center" wrapText="1"/>
    </xf>
    <xf numFmtId="0" fontId="13" fillId="4" borderId="7" xfId="9" applyFont="1" applyFill="1" applyBorder="1" applyAlignment="1">
      <alignment horizontal="left" vertical="center" wrapText="1"/>
    </xf>
    <xf numFmtId="0" fontId="13" fillId="4" borderId="4" xfId="9" applyFont="1" applyFill="1" applyBorder="1" applyAlignment="1">
      <alignment horizontal="left" vertical="center" wrapText="1"/>
    </xf>
    <xf numFmtId="0" fontId="28" fillId="4" borderId="19" xfId="0" applyFont="1" applyFill="1" applyBorder="1" applyAlignment="1">
      <alignment horizontal="left" vertical="center" wrapText="1"/>
    </xf>
    <xf numFmtId="0" fontId="28" fillId="4" borderId="20" xfId="0" applyFont="1" applyFill="1" applyBorder="1" applyAlignment="1">
      <alignment horizontal="left" vertical="center" wrapText="1"/>
    </xf>
    <xf numFmtId="0" fontId="28" fillId="4" borderId="21" xfId="0" applyFont="1" applyFill="1" applyBorder="1" applyAlignment="1">
      <alignment horizontal="left" vertical="center" wrapText="1"/>
    </xf>
    <xf numFmtId="0" fontId="30" fillId="0" borderId="29" xfId="0" applyFont="1" applyBorder="1" applyAlignment="1">
      <alignment horizontal="left" vertical="center"/>
    </xf>
    <xf numFmtId="0" fontId="30" fillId="0" borderId="3" xfId="0" applyFont="1" applyBorder="1" applyAlignment="1">
      <alignment horizontal="left" vertical="center"/>
    </xf>
    <xf numFmtId="0" fontId="30" fillId="0" borderId="5" xfId="0" applyFont="1" applyBorder="1" applyAlignment="1">
      <alignment horizontal="left" vertical="center"/>
    </xf>
    <xf numFmtId="171" fontId="18" fillId="0" borderId="3" xfId="0" applyNumberFormat="1" applyFont="1" applyBorder="1" applyAlignment="1">
      <alignment horizontal="center" vertical="center" wrapText="1"/>
    </xf>
    <xf numFmtId="171" fontId="18" fillId="0" borderId="5" xfId="0" applyNumberFormat="1" applyFont="1" applyBorder="1" applyAlignment="1">
      <alignment horizontal="center" vertical="center" wrapText="1"/>
    </xf>
    <xf numFmtId="0" fontId="26" fillId="0" borderId="15" xfId="0" applyFont="1" applyBorder="1" applyAlignment="1">
      <alignment horizontal="center" vertical="center"/>
    </xf>
    <xf numFmtId="0" fontId="26" fillId="0" borderId="17" xfId="0" applyFont="1" applyBorder="1" applyAlignment="1">
      <alignment horizontal="center" vertical="center" wrapText="1"/>
    </xf>
    <xf numFmtId="0" fontId="14" fillId="4" borderId="23" xfId="0" applyFont="1" applyFill="1" applyBorder="1" applyAlignment="1">
      <alignment horizontal="left" vertical="center" wrapText="1"/>
    </xf>
    <xf numFmtId="0" fontId="14" fillId="4" borderId="7" xfId="0" applyFont="1" applyFill="1" applyBorder="1" applyAlignment="1">
      <alignment horizontal="left" vertical="center" wrapText="1"/>
    </xf>
    <xf numFmtId="0" fontId="14" fillId="4" borderId="4" xfId="0" applyFont="1" applyFill="1" applyBorder="1" applyAlignment="1">
      <alignment horizontal="left" vertical="center" wrapText="1"/>
    </xf>
    <xf numFmtId="0" fontId="14" fillId="0" borderId="23" xfId="0" applyFont="1" applyBorder="1" applyAlignment="1">
      <alignment horizontal="left" vertical="center" wrapText="1"/>
    </xf>
    <xf numFmtId="0" fontId="14" fillId="0" borderId="7" xfId="0" applyFont="1" applyBorder="1" applyAlignment="1">
      <alignment horizontal="left" vertical="center" wrapText="1"/>
    </xf>
    <xf numFmtId="0" fontId="14" fillId="0" borderId="4" xfId="0" applyFont="1" applyBorder="1" applyAlignment="1">
      <alignment horizontal="left" vertical="center" wrapText="1"/>
    </xf>
    <xf numFmtId="0" fontId="13" fillId="4" borderId="27" xfId="0" applyFont="1" applyFill="1" applyBorder="1" applyAlignment="1">
      <alignment horizontal="left" vertical="center" wrapText="1"/>
    </xf>
    <xf numFmtId="0" fontId="13" fillId="4" borderId="8" xfId="0" applyFont="1" applyFill="1" applyBorder="1" applyAlignment="1">
      <alignment horizontal="left" vertical="center" wrapText="1"/>
    </xf>
    <xf numFmtId="0" fontId="13" fillId="4" borderId="28" xfId="0" applyFont="1" applyFill="1" applyBorder="1" applyAlignment="1">
      <alignment horizontal="left" vertical="center" wrapText="1"/>
    </xf>
    <xf numFmtId="0" fontId="27" fillId="0" borderId="12" xfId="0" applyFont="1" applyBorder="1" applyAlignment="1">
      <alignment horizontal="left" vertical="center" wrapText="1"/>
    </xf>
    <xf numFmtId="0" fontId="27" fillId="0" borderId="30" xfId="0" applyFont="1" applyBorder="1" applyAlignment="1">
      <alignment horizontal="left" vertical="center" wrapText="1"/>
    </xf>
    <xf numFmtId="0" fontId="27" fillId="0" borderId="31" xfId="0" applyFont="1" applyBorder="1" applyAlignment="1">
      <alignment horizontal="left" vertical="center" wrapText="1"/>
    </xf>
    <xf numFmtId="0" fontId="33" fillId="0" borderId="10" xfId="0" applyFont="1" applyBorder="1" applyAlignment="1">
      <alignment horizontal="left" indent="1"/>
    </xf>
    <xf numFmtId="0" fontId="0" fillId="0" borderId="29" xfId="0" applyFont="1" applyBorder="1" applyAlignment="1">
      <alignment horizontal="center"/>
    </xf>
    <xf numFmtId="0" fontId="31" fillId="0" borderId="5" xfId="0" applyNumberFormat="1" applyFont="1" applyBorder="1" applyAlignment="1">
      <alignment horizontal="center"/>
    </xf>
    <xf numFmtId="0" fontId="32" fillId="0" borderId="10" xfId="0" applyFont="1" applyBorder="1" applyAlignment="1">
      <alignment horizontal="center" vertical="center" wrapText="1"/>
    </xf>
    <xf numFmtId="0" fontId="24" fillId="0" borderId="10" xfId="0" applyFont="1" applyBorder="1"/>
    <xf numFmtId="0" fontId="0" fillId="0" borderId="42" xfId="0" applyBorder="1" applyAlignment="1">
      <alignment horizontal="left" vertical="center" wrapText="1"/>
    </xf>
    <xf numFmtId="0" fontId="0" fillId="0" borderId="42" xfId="0" applyFont="1" applyBorder="1" applyAlignment="1">
      <alignment horizontal="left" vertical="center" wrapText="1"/>
    </xf>
    <xf numFmtId="0" fontId="34" fillId="0" borderId="10" xfId="0" applyFont="1" applyBorder="1" applyAlignment="1">
      <alignment horizontal="left"/>
    </xf>
    <xf numFmtId="0" fontId="33" fillId="0" borderId="32" xfId="0" applyFont="1" applyBorder="1"/>
    <xf numFmtId="0" fontId="33" fillId="4" borderId="32" xfId="0" applyNumberFormat="1" applyFont="1" applyFill="1" applyBorder="1" applyAlignment="1">
      <alignment horizontal="left" vertical="justify" wrapText="1" indent="1"/>
    </xf>
    <xf numFmtId="0" fontId="33" fillId="4" borderId="0" xfId="0" applyNumberFormat="1" applyFont="1" applyFill="1" applyBorder="1" applyAlignment="1">
      <alignment horizontal="left" vertical="justify" wrapText="1" indent="1"/>
    </xf>
    <xf numFmtId="0" fontId="33" fillId="4" borderId="9" xfId="0" applyNumberFormat="1" applyFont="1" applyFill="1" applyBorder="1" applyAlignment="1">
      <alignment horizontal="left" vertical="justify" wrapText="1" indent="1"/>
    </xf>
    <xf numFmtId="0" fontId="35" fillId="0" borderId="35" xfId="0" applyFont="1" applyBorder="1" applyAlignment="1">
      <alignment horizontal="center" vertical="center"/>
    </xf>
    <xf numFmtId="0" fontId="35" fillId="0" borderId="10" xfId="0" applyFont="1" applyBorder="1" applyAlignment="1">
      <alignment horizontal="center" vertical="center"/>
    </xf>
    <xf numFmtId="0" fontId="35" fillId="0" borderId="35" xfId="0" applyFont="1" applyBorder="1" applyAlignment="1">
      <alignment horizontal="center" vertical="center" wrapText="1"/>
    </xf>
    <xf numFmtId="0" fontId="35" fillId="0" borderId="36" xfId="0" applyFont="1" applyBorder="1" applyAlignment="1">
      <alignment horizontal="center" vertical="center"/>
    </xf>
    <xf numFmtId="0" fontId="33" fillId="3" borderId="54" xfId="0" applyFont="1" applyFill="1" applyBorder="1" applyAlignment="1">
      <alignment horizontal="left" vertical="center" wrapText="1" indent="1"/>
    </xf>
    <xf numFmtId="0" fontId="0" fillId="0" borderId="48" xfId="0" applyBorder="1" applyAlignment="1">
      <alignment horizontal="left" vertical="center"/>
    </xf>
    <xf numFmtId="0" fontId="0" fillId="0" borderId="48" xfId="0" applyFont="1" applyBorder="1" applyAlignment="1">
      <alignment horizontal="left" vertical="center"/>
    </xf>
    <xf numFmtId="0" fontId="0" fillId="0" borderId="51" xfId="0" applyBorder="1" applyAlignment="1">
      <alignment horizontal="left" vertical="center"/>
    </xf>
    <xf numFmtId="0" fontId="31" fillId="0" borderId="54" xfId="0" applyFont="1" applyBorder="1" applyAlignment="1">
      <alignment horizontal="left" vertical="center" wrapText="1"/>
    </xf>
    <xf numFmtId="0" fontId="0" fillId="0" borderId="35" xfId="0" applyBorder="1"/>
    <xf numFmtId="0" fontId="31" fillId="0" borderId="29" xfId="0" applyFont="1" applyBorder="1" applyAlignment="1">
      <alignment vertical="center" wrapText="1"/>
    </xf>
    <xf numFmtId="0" fontId="31" fillId="0" borderId="55" xfId="0" applyFont="1" applyBorder="1" applyAlignment="1">
      <alignment vertical="center" wrapText="1"/>
    </xf>
    <xf numFmtId="0" fontId="31" fillId="0" borderId="16" xfId="0" applyFont="1" applyBorder="1" applyAlignment="1">
      <alignment vertical="center" wrapText="1"/>
    </xf>
    <xf numFmtId="0" fontId="33" fillId="0" borderId="36" xfId="0" applyFont="1" applyBorder="1" applyAlignment="1">
      <alignment vertical="center" wrapText="1"/>
    </xf>
    <xf numFmtId="0" fontId="13" fillId="4" borderId="23" xfId="0" applyFont="1" applyFill="1" applyBorder="1" applyAlignment="1">
      <alignment horizontal="left" vertical="center" wrapText="1"/>
    </xf>
    <xf numFmtId="0" fontId="13" fillId="4" borderId="7" xfId="0" applyFont="1" applyFill="1" applyBorder="1" applyAlignment="1">
      <alignment horizontal="left" vertical="center" wrapText="1"/>
    </xf>
    <xf numFmtId="0" fontId="13" fillId="4" borderId="4" xfId="0" applyFont="1" applyFill="1" applyBorder="1" applyAlignment="1">
      <alignment horizontal="left" vertical="center" wrapText="1"/>
    </xf>
    <xf numFmtId="0" fontId="13" fillId="4" borderId="19" xfId="0" applyFont="1" applyFill="1" applyBorder="1" applyAlignment="1">
      <alignment horizontal="left" vertical="center" wrapText="1"/>
    </xf>
    <xf numFmtId="0" fontId="13" fillId="4" borderId="20" xfId="0" applyFont="1" applyFill="1" applyBorder="1" applyAlignment="1">
      <alignment horizontal="left" vertical="center" wrapText="1"/>
    </xf>
    <xf numFmtId="0" fontId="13" fillId="4" borderId="21" xfId="0" applyFont="1" applyFill="1" applyBorder="1" applyAlignment="1">
      <alignment horizontal="left" vertical="center" wrapText="1"/>
    </xf>
    <xf numFmtId="0" fontId="0" fillId="0" borderId="7" xfId="0" applyBorder="1" applyAlignment="1">
      <alignment horizontal="left"/>
    </xf>
    <xf numFmtId="0" fontId="0" fillId="0" borderId="4" xfId="0" applyBorder="1" applyAlignment="1">
      <alignment horizontal="left"/>
    </xf>
    <xf numFmtId="0" fontId="11" fillId="0" borderId="19" xfId="0" applyFont="1" applyBorder="1" applyAlignment="1">
      <alignment horizontal="left"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11" fillId="0" borderId="23" xfId="0" applyFont="1" applyBorder="1" applyAlignment="1">
      <alignment horizontal="left" vertical="center" wrapText="1"/>
    </xf>
    <xf numFmtId="0" fontId="11" fillId="0" borderId="7" xfId="0" applyFont="1" applyBorder="1" applyAlignment="1">
      <alignment horizontal="left" vertical="center" wrapText="1"/>
    </xf>
    <xf numFmtId="0" fontId="11" fillId="0" borderId="4" xfId="0" applyFont="1" applyBorder="1" applyAlignment="1">
      <alignment horizontal="left" vertical="center" wrapText="1"/>
    </xf>
    <xf numFmtId="0" fontId="14" fillId="0" borderId="23" xfId="0" applyFont="1" applyFill="1" applyBorder="1" applyAlignment="1">
      <alignment horizontal="left" vertical="center" wrapText="1"/>
    </xf>
    <xf numFmtId="0" fontId="14" fillId="0" borderId="7"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14" fillId="0" borderId="19" xfId="0" applyFont="1" applyFill="1" applyBorder="1" applyAlignment="1">
      <alignment horizontal="left" vertical="center" wrapText="1"/>
    </xf>
    <xf numFmtId="0" fontId="14" fillId="0" borderId="20" xfId="0" applyFont="1" applyFill="1" applyBorder="1" applyAlignment="1">
      <alignment horizontal="left" vertical="center" wrapText="1"/>
    </xf>
    <xf numFmtId="0" fontId="14" fillId="0" borderId="21" xfId="0" applyFont="1" applyFill="1" applyBorder="1" applyAlignment="1">
      <alignment horizontal="left" vertical="center" wrapText="1"/>
    </xf>
    <xf numFmtId="0" fontId="4" fillId="3" borderId="41" xfId="0" applyFont="1" applyFill="1" applyBorder="1" applyAlignment="1">
      <alignment horizontal="center" vertical="center"/>
    </xf>
    <xf numFmtId="0" fontId="4" fillId="3" borderId="42" xfId="0" applyFont="1" applyFill="1" applyBorder="1" applyAlignment="1">
      <alignment horizontal="center" vertical="center"/>
    </xf>
  </cellXfs>
  <cellStyles count="20">
    <cellStyle name="Encabezado 1" xfId="2"/>
    <cellStyle name="Encabezado 1 2" xfId="12"/>
    <cellStyle name="Moneda" xfId="1" builtinId="4"/>
    <cellStyle name="Moneda 2" xfId="5"/>
    <cellStyle name="Moneda 2 2" xfId="14"/>
    <cellStyle name="Moneda 3" xfId="11"/>
    <cellStyle name="Moneda 4" xfId="18"/>
    <cellStyle name="Moneda_AUTORIZACION Y NOTA DE PEDIDO" xfId="19"/>
    <cellStyle name="Neutral 1" xfId="3"/>
    <cellStyle name="Normal" xfId="0" builtinId="0"/>
    <cellStyle name="Normal 2" xfId="4"/>
    <cellStyle name="Normal 2 2" xfId="13"/>
    <cellStyle name="Normal 3" xfId="6"/>
    <cellStyle name="Normal 3 2" xfId="7"/>
    <cellStyle name="Normal 3 2 2" xfId="16"/>
    <cellStyle name="Normal 3 3" xfId="15"/>
    <cellStyle name="Normal 4" xfId="8"/>
    <cellStyle name="Normal 4 2" xfId="17"/>
    <cellStyle name="Normal 5" xfId="9"/>
    <cellStyle name="Normal 6" xfId="10"/>
  </cellStyles>
  <dxfs count="146">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 xmlns:a16="http://schemas.microsoft.com/office/drawing/2014/main" id="{00000000-0008-0000-0200-000002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 xmlns:a16="http://schemas.microsoft.com/office/drawing/2014/main" id="{00000000-0008-0000-0200-000003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 xmlns:a16="http://schemas.microsoft.com/office/drawing/2014/main" id="{00000000-0008-0000-0200-000004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 xmlns:a16="http://schemas.microsoft.com/office/drawing/2014/main" id="{00000000-0008-0000-0200-000005000000}"/>
            </a:ext>
          </a:extLst>
        </xdr:cNvPr>
        <xdr:cNvSpPr/>
      </xdr:nvSpPr>
      <xdr:spPr>
        <a:xfrm>
          <a:off x="69245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AT153"/>
  <sheetViews>
    <sheetView zoomScale="80" zoomScaleNormal="80" workbookViewId="0">
      <pane xSplit="1" topLeftCell="B1" activePane="topRight" state="frozen"/>
      <selection pane="topRight" activeCell="AQ145" sqref="AQ145"/>
    </sheetView>
  </sheetViews>
  <sheetFormatPr baseColWidth="10" defaultColWidth="11" defaultRowHeight="15"/>
  <cols>
    <col min="1" max="1" width="10.5703125" style="70" customWidth="1"/>
    <col min="2" max="2" width="16" style="69" customWidth="1"/>
    <col min="3" max="3" width="20.5703125" style="70" customWidth="1"/>
    <col min="4" max="4" width="8.42578125" style="3" customWidth="1"/>
    <col min="5" max="5" width="40.28515625" style="77" customWidth="1"/>
    <col min="6" max="6" width="11" style="3" customWidth="1"/>
    <col min="7" max="7" width="11" style="3" hidden="1" customWidth="1"/>
    <col min="8" max="8" width="14.85546875" style="3" hidden="1" customWidth="1"/>
    <col min="9" max="9" width="14.85546875" style="3" customWidth="1"/>
    <col min="10" max="10" width="24" style="3" hidden="1" customWidth="1"/>
    <col min="11" max="11" width="12.85546875" style="7" customWidth="1"/>
    <col min="12" max="12" width="18.85546875" style="28" hidden="1" customWidth="1"/>
    <col min="13" max="13" width="18.85546875" style="30" hidden="1" customWidth="1"/>
    <col min="14" max="14" width="18.85546875" style="3" hidden="1" customWidth="1"/>
    <col min="15" max="15" width="18.85546875" style="7" hidden="1" customWidth="1"/>
    <col min="16" max="16" width="18.85546875" style="3" hidden="1" customWidth="1"/>
    <col min="17" max="17" width="18.85546875" style="30" hidden="1" customWidth="1"/>
    <col min="18" max="18" width="18.85546875" style="3" hidden="1" customWidth="1"/>
    <col min="19" max="19" width="18.85546875" style="7" hidden="1" customWidth="1"/>
    <col min="20" max="20" width="18.85546875" style="3" hidden="1" customWidth="1"/>
    <col min="21" max="21" width="18.85546875" style="30" hidden="1" customWidth="1"/>
    <col min="22" max="22" width="18.85546875" style="3" hidden="1" customWidth="1"/>
    <col min="23" max="23" width="18.85546875" style="30" hidden="1" customWidth="1"/>
    <col min="24" max="24" width="18.85546875" style="3" hidden="1" customWidth="1"/>
    <col min="25" max="25" width="18.85546875" style="30" hidden="1" customWidth="1"/>
    <col min="26" max="26" width="18.85546875" style="3" hidden="1" customWidth="1"/>
    <col min="27" max="27" width="18.85546875" style="30" hidden="1" customWidth="1"/>
    <col min="28" max="28" width="18.85546875" style="3" hidden="1" customWidth="1"/>
    <col min="29" max="29" width="18.85546875" style="30" hidden="1" customWidth="1"/>
    <col min="30" max="30" width="18.85546875" style="3" hidden="1" customWidth="1"/>
    <col min="31" max="31" width="18.85546875" style="30" customWidth="1"/>
    <col min="32" max="32" width="18.85546875" style="3" hidden="1" customWidth="1"/>
    <col min="33" max="33" width="18.85546875" style="30" hidden="1" customWidth="1"/>
    <col min="34" max="34" width="18.85546875" style="3" hidden="1" customWidth="1"/>
    <col min="35" max="35" width="18.85546875" style="30" customWidth="1"/>
    <col min="36" max="36" width="18.85546875" style="3" hidden="1" customWidth="1"/>
    <col min="37" max="37" width="18.85546875" style="30" hidden="1" customWidth="1"/>
    <col min="38" max="38" width="18.85546875" style="3" hidden="1" customWidth="1"/>
    <col min="39" max="39" width="18.85546875" style="30" hidden="1" customWidth="1"/>
    <col min="40" max="40" width="18.85546875" style="3" hidden="1" customWidth="1"/>
    <col min="41" max="41" width="18.85546875" style="30" hidden="1" customWidth="1"/>
    <col min="42" max="42" width="18.85546875" style="3" hidden="1" customWidth="1"/>
    <col min="43" max="43" width="16.42578125" style="34" customWidth="1"/>
    <col min="44" max="44" width="16.5703125" style="61" bestFit="1" customWidth="1"/>
    <col min="45" max="45" width="22.5703125" style="62" customWidth="1"/>
    <col min="46" max="16384" width="11" style="1"/>
  </cols>
  <sheetData>
    <row r="1" spans="1:46">
      <c r="A1" s="4">
        <v>2021</v>
      </c>
    </row>
    <row r="2" spans="1:46" ht="25.5">
      <c r="B2" s="155" t="s">
        <v>17</v>
      </c>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6"/>
      <c r="AR2" s="157"/>
    </row>
    <row r="4" spans="1:46" ht="18" customHeight="1">
      <c r="A4" s="154" t="s">
        <v>0</v>
      </c>
      <c r="B4" s="154"/>
      <c r="C4" s="158" t="s">
        <v>15</v>
      </c>
      <c r="D4" s="158"/>
      <c r="E4" s="158"/>
      <c r="F4" s="2"/>
      <c r="G4" s="2"/>
      <c r="H4" s="2"/>
      <c r="I4" s="2"/>
      <c r="J4" s="2"/>
      <c r="K4" s="6"/>
      <c r="L4" s="29"/>
      <c r="M4" s="31"/>
      <c r="N4" s="2"/>
      <c r="O4" s="6"/>
      <c r="P4" s="2"/>
      <c r="Q4" s="31"/>
      <c r="R4" s="2"/>
      <c r="S4" s="6"/>
      <c r="T4" s="2"/>
      <c r="U4" s="31"/>
      <c r="V4" s="2"/>
      <c r="W4" s="31"/>
      <c r="X4" s="2"/>
      <c r="Y4" s="31"/>
      <c r="Z4" s="2"/>
      <c r="AA4" s="31"/>
      <c r="AB4" s="2"/>
      <c r="AC4" s="31"/>
      <c r="AD4" s="2"/>
      <c r="AE4" s="31"/>
      <c r="AF4" s="2"/>
      <c r="AG4" s="31"/>
      <c r="AH4" s="2"/>
      <c r="AI4" s="31"/>
      <c r="AJ4" s="2"/>
      <c r="AK4" s="31"/>
      <c r="AL4" s="2"/>
      <c r="AM4" s="31"/>
      <c r="AN4" s="2"/>
      <c r="AO4" s="31"/>
      <c r="AP4" s="2"/>
      <c r="AQ4" s="35"/>
    </row>
    <row r="5" spans="1:46" ht="18" customHeight="1">
      <c r="A5" s="154" t="s">
        <v>1</v>
      </c>
      <c r="B5" s="154"/>
      <c r="C5" s="158" t="s">
        <v>150</v>
      </c>
      <c r="D5" s="158"/>
      <c r="E5" s="158"/>
      <c r="F5" s="2"/>
      <c r="G5" s="2"/>
      <c r="H5" s="2"/>
      <c r="I5" s="2"/>
      <c r="J5" s="2"/>
      <c r="K5" s="6"/>
      <c r="L5" s="29"/>
      <c r="M5" s="31"/>
      <c r="N5" s="2"/>
      <c r="O5" s="6"/>
      <c r="P5" s="2"/>
      <c r="Q5" s="31"/>
      <c r="R5" s="2"/>
      <c r="S5" s="6"/>
      <c r="T5" s="2"/>
      <c r="U5" s="31"/>
      <c r="V5" s="2"/>
      <c r="W5" s="31"/>
      <c r="X5" s="2"/>
      <c r="Y5" s="31"/>
      <c r="Z5" s="2"/>
      <c r="AA5" s="31"/>
      <c r="AB5" s="2"/>
      <c r="AC5" s="31"/>
      <c r="AD5" s="2"/>
      <c r="AE5" s="31"/>
      <c r="AF5" s="2"/>
      <c r="AG5" s="31"/>
      <c r="AH5" s="2"/>
      <c r="AI5" s="31"/>
      <c r="AJ5" s="2"/>
      <c r="AK5" s="31"/>
      <c r="AL5" s="2"/>
      <c r="AM5" s="31"/>
      <c r="AN5" s="2"/>
      <c r="AO5" s="31"/>
      <c r="AP5" s="2"/>
      <c r="AQ5" s="35"/>
    </row>
    <row r="6" spans="1:46" ht="16.5" customHeight="1">
      <c r="A6" s="154" t="s">
        <v>2</v>
      </c>
      <c r="B6" s="154"/>
      <c r="C6" s="80">
        <v>2021</v>
      </c>
      <c r="D6" s="81"/>
      <c r="E6" s="82"/>
      <c r="F6" s="2"/>
      <c r="G6" s="2"/>
      <c r="H6" s="2"/>
      <c r="I6" s="2"/>
      <c r="J6" s="2"/>
      <c r="K6" s="6"/>
      <c r="L6" s="29"/>
      <c r="M6" s="31"/>
      <c r="N6" s="2"/>
      <c r="O6" s="6"/>
      <c r="P6" s="2"/>
      <c r="Q6" s="31"/>
      <c r="R6" s="2"/>
      <c r="S6" s="6"/>
      <c r="T6" s="2"/>
      <c r="U6" s="31"/>
      <c r="V6" s="2"/>
      <c r="W6" s="31"/>
      <c r="X6" s="2"/>
      <c r="Y6" s="31"/>
      <c r="Z6" s="2"/>
      <c r="AA6" s="31"/>
      <c r="AB6" s="2"/>
      <c r="AC6" s="31"/>
      <c r="AD6" s="2"/>
      <c r="AE6" s="31"/>
      <c r="AF6" s="2"/>
      <c r="AG6" s="31"/>
      <c r="AH6" s="2"/>
      <c r="AI6" s="31"/>
      <c r="AJ6" s="2"/>
      <c r="AK6" s="31"/>
      <c r="AL6" s="2"/>
      <c r="AM6" s="31"/>
      <c r="AN6" s="2"/>
      <c r="AO6" s="31"/>
      <c r="AP6" s="2"/>
      <c r="AQ6" s="35"/>
    </row>
    <row r="7" spans="1:46" ht="31.5" customHeight="1">
      <c r="A7" s="154" t="s">
        <v>3</v>
      </c>
      <c r="B7" s="154"/>
      <c r="C7" s="159" t="s">
        <v>16</v>
      </c>
      <c r="D7" s="159"/>
      <c r="E7" s="159"/>
      <c r="F7" s="2"/>
      <c r="G7" s="2"/>
      <c r="H7" s="2"/>
      <c r="I7" s="2"/>
      <c r="J7" s="2"/>
      <c r="K7" s="6"/>
      <c r="L7" s="29"/>
      <c r="M7" s="31"/>
      <c r="N7" s="2"/>
      <c r="O7" s="6"/>
      <c r="P7" s="2"/>
      <c r="Q7" s="31"/>
      <c r="R7" s="2"/>
      <c r="S7" s="6"/>
      <c r="T7" s="2"/>
      <c r="U7" s="31"/>
      <c r="V7" s="2"/>
      <c r="W7" s="31"/>
      <c r="X7" s="2"/>
      <c r="Y7" s="31"/>
      <c r="Z7" s="2"/>
      <c r="AA7" s="31"/>
      <c r="AB7" s="2"/>
      <c r="AC7" s="31"/>
      <c r="AD7" s="2"/>
      <c r="AE7" s="31"/>
      <c r="AF7" s="2"/>
      <c r="AG7" s="31"/>
      <c r="AH7" s="2"/>
      <c r="AI7" s="31"/>
      <c r="AJ7" s="2"/>
      <c r="AK7" s="31"/>
      <c r="AL7" s="2"/>
      <c r="AM7" s="31"/>
      <c r="AN7" s="2"/>
      <c r="AO7" s="31"/>
      <c r="AP7" s="2"/>
      <c r="AQ7" s="35"/>
    </row>
    <row r="8" spans="1:46" ht="2.25" customHeight="1">
      <c r="B8" s="71"/>
      <c r="C8" s="72"/>
      <c r="D8" s="2"/>
      <c r="E8" s="72"/>
      <c r="F8" s="2"/>
      <c r="G8" s="2"/>
      <c r="H8" s="2"/>
      <c r="I8" s="2"/>
      <c r="J8" s="2"/>
      <c r="K8" s="6"/>
      <c r="L8" s="29"/>
      <c r="M8" s="31"/>
      <c r="N8" s="2"/>
      <c r="O8" s="6"/>
      <c r="P8" s="2"/>
      <c r="Q8" s="31"/>
      <c r="R8" s="2"/>
      <c r="S8" s="6"/>
      <c r="T8" s="2"/>
      <c r="U8" s="31"/>
      <c r="V8" s="2"/>
      <c r="W8" s="31"/>
      <c r="X8" s="2"/>
      <c r="Y8" s="31"/>
      <c r="Z8" s="2"/>
      <c r="AA8" s="31"/>
      <c r="AB8" s="2"/>
      <c r="AC8" s="31"/>
      <c r="AD8" s="2"/>
      <c r="AE8" s="31"/>
      <c r="AF8" s="2"/>
      <c r="AG8" s="31"/>
      <c r="AH8" s="2"/>
      <c r="AI8" s="31"/>
      <c r="AJ8" s="2"/>
      <c r="AK8" s="31"/>
      <c r="AL8" s="2"/>
      <c r="AM8" s="31"/>
      <c r="AN8" s="2"/>
      <c r="AO8" s="31"/>
      <c r="AP8" s="2"/>
      <c r="AQ8" s="35"/>
    </row>
    <row r="9" spans="1:46" ht="42.75">
      <c r="A9" s="56" t="s">
        <v>4</v>
      </c>
      <c r="B9" s="56" t="s">
        <v>5</v>
      </c>
      <c r="C9" s="17" t="s">
        <v>6</v>
      </c>
      <c r="D9" s="56" t="s">
        <v>7</v>
      </c>
      <c r="E9" s="17" t="s">
        <v>8</v>
      </c>
      <c r="F9" s="17" t="s">
        <v>9</v>
      </c>
      <c r="G9" s="17" t="s">
        <v>23</v>
      </c>
      <c r="H9" s="17" t="s">
        <v>25</v>
      </c>
      <c r="I9" s="17" t="s">
        <v>88</v>
      </c>
      <c r="J9" s="17" t="s">
        <v>89</v>
      </c>
      <c r="K9" s="57" t="s">
        <v>107</v>
      </c>
      <c r="L9" s="58" t="s">
        <v>108</v>
      </c>
      <c r="M9" s="59" t="s">
        <v>111</v>
      </c>
      <c r="N9" s="17" t="s">
        <v>112</v>
      </c>
      <c r="O9" s="57" t="s">
        <v>113</v>
      </c>
      <c r="P9" s="17" t="s">
        <v>114</v>
      </c>
      <c r="Q9" s="59" t="s">
        <v>115</v>
      </c>
      <c r="R9" s="17" t="s">
        <v>116</v>
      </c>
      <c r="S9" s="57" t="s">
        <v>117</v>
      </c>
      <c r="T9" s="17" t="s">
        <v>118</v>
      </c>
      <c r="U9" s="59" t="s">
        <v>120</v>
      </c>
      <c r="V9" s="17" t="s">
        <v>121</v>
      </c>
      <c r="W9" s="59" t="s">
        <v>122</v>
      </c>
      <c r="X9" s="17" t="s">
        <v>123</v>
      </c>
      <c r="Y9" s="59" t="s">
        <v>124</v>
      </c>
      <c r="Z9" s="17" t="s">
        <v>125</v>
      </c>
      <c r="AA9" s="59" t="s">
        <v>126</v>
      </c>
      <c r="AB9" s="17" t="s">
        <v>127</v>
      </c>
      <c r="AC9" s="59" t="s">
        <v>128</v>
      </c>
      <c r="AD9" s="17" t="s">
        <v>129</v>
      </c>
      <c r="AE9" s="59" t="s">
        <v>130</v>
      </c>
      <c r="AF9" s="17" t="s">
        <v>131</v>
      </c>
      <c r="AG9" s="59" t="s">
        <v>137</v>
      </c>
      <c r="AH9" s="17" t="s">
        <v>138</v>
      </c>
      <c r="AI9" s="59" t="s">
        <v>139</v>
      </c>
      <c r="AJ9" s="17" t="s">
        <v>140</v>
      </c>
      <c r="AK9" s="59" t="s">
        <v>144</v>
      </c>
      <c r="AL9" s="17" t="s">
        <v>145</v>
      </c>
      <c r="AM9" s="59" t="s">
        <v>146</v>
      </c>
      <c r="AN9" s="17" t="s">
        <v>147</v>
      </c>
      <c r="AO9" s="59" t="s">
        <v>148</v>
      </c>
      <c r="AP9" s="17" t="s">
        <v>149</v>
      </c>
      <c r="AQ9" s="148" t="s">
        <v>24</v>
      </c>
      <c r="AR9" s="63" t="s">
        <v>10</v>
      </c>
      <c r="AS9" s="64" t="s">
        <v>11</v>
      </c>
    </row>
    <row r="10" spans="1:46" ht="28.5">
      <c r="A10" s="14">
        <v>1</v>
      </c>
      <c r="B10" s="41"/>
      <c r="C10" s="20" t="s">
        <v>84</v>
      </c>
      <c r="D10" s="43" t="s">
        <v>141</v>
      </c>
      <c r="E10" s="83" t="s">
        <v>83</v>
      </c>
      <c r="F10" s="18" t="s">
        <v>85</v>
      </c>
      <c r="G10" s="12"/>
      <c r="H10" s="12"/>
      <c r="I10" s="18">
        <v>5</v>
      </c>
      <c r="J10" s="50">
        <f>+I10*AR10</f>
        <v>38260</v>
      </c>
      <c r="K10" s="45"/>
      <c r="L10" s="46">
        <f>+K10*AR10</f>
        <v>0</v>
      </c>
      <c r="M10" s="47"/>
      <c r="N10" s="50"/>
      <c r="O10" s="45"/>
      <c r="P10" s="50"/>
      <c r="Q10" s="47"/>
      <c r="R10" s="50"/>
      <c r="S10" s="45"/>
      <c r="T10" s="50"/>
      <c r="U10" s="47"/>
      <c r="V10" s="50"/>
      <c r="W10" s="47"/>
      <c r="X10" s="50"/>
      <c r="Y10" s="47"/>
      <c r="Z10" s="50"/>
      <c r="AA10" s="47"/>
      <c r="AB10" s="50"/>
      <c r="AC10" s="47"/>
      <c r="AD10" s="50"/>
      <c r="AE10" s="47"/>
      <c r="AF10" s="50"/>
      <c r="AG10" s="47"/>
      <c r="AH10" s="50"/>
      <c r="AI10" s="47"/>
      <c r="AJ10" s="50">
        <f>+AI10*AR10</f>
        <v>0</v>
      </c>
      <c r="AK10" s="47"/>
      <c r="AL10" s="50"/>
      <c r="AM10" s="47"/>
      <c r="AN10" s="50"/>
      <c r="AO10" s="47"/>
      <c r="AP10" s="50"/>
      <c r="AQ10" s="32">
        <f t="shared" ref="AQ10:AQ41" si="0">+AO10+AM10+AK10+AI10+AG10+AE10+AC10+AA10+Y10+W10+U10+S10+Q10+O10+M10+K10+I10+G10</f>
        <v>5</v>
      </c>
      <c r="AR10" s="67">
        <v>7652</v>
      </c>
      <c r="AS10" s="65">
        <f>+AQ10*AR10</f>
        <v>38260</v>
      </c>
      <c r="AT10" s="79"/>
    </row>
    <row r="11" spans="1:46" ht="28.5">
      <c r="A11" s="14">
        <v>2</v>
      </c>
      <c r="B11" s="19"/>
      <c r="C11" s="20" t="s">
        <v>84</v>
      </c>
      <c r="D11" s="43" t="s">
        <v>141</v>
      </c>
      <c r="E11" s="83" t="s">
        <v>82</v>
      </c>
      <c r="F11" s="18" t="s">
        <v>85</v>
      </c>
      <c r="G11" s="9"/>
      <c r="H11" s="9"/>
      <c r="I11" s="18">
        <v>5</v>
      </c>
      <c r="J11" s="50">
        <f t="shared" ref="J11:J74" si="1">+I11*AR11</f>
        <v>33315</v>
      </c>
      <c r="K11" s="45"/>
      <c r="L11" s="46">
        <f t="shared" ref="L11:L74" si="2">+K11*AR11</f>
        <v>0</v>
      </c>
      <c r="M11" s="47"/>
      <c r="N11" s="50"/>
      <c r="O11" s="45"/>
      <c r="P11" s="50"/>
      <c r="Q11" s="47"/>
      <c r="R11" s="50"/>
      <c r="S11" s="45"/>
      <c r="T11" s="50"/>
      <c r="U11" s="47"/>
      <c r="V11" s="50"/>
      <c r="W11" s="47"/>
      <c r="X11" s="50"/>
      <c r="Y11" s="47"/>
      <c r="Z11" s="50"/>
      <c r="AA11" s="47"/>
      <c r="AB11" s="50"/>
      <c r="AC11" s="47"/>
      <c r="AD11" s="50"/>
      <c r="AE11" s="47"/>
      <c r="AF11" s="50"/>
      <c r="AG11" s="47"/>
      <c r="AH11" s="50"/>
      <c r="AI11" s="47"/>
      <c r="AJ11" s="50">
        <f t="shared" ref="AJ11:AJ74" si="3">+AI11*AR11</f>
        <v>0</v>
      </c>
      <c r="AK11" s="47"/>
      <c r="AL11" s="50"/>
      <c r="AM11" s="47"/>
      <c r="AN11" s="50"/>
      <c r="AO11" s="47"/>
      <c r="AP11" s="50"/>
      <c r="AQ11" s="32">
        <f t="shared" si="0"/>
        <v>5</v>
      </c>
      <c r="AR11" s="67">
        <v>6663</v>
      </c>
      <c r="AS11" s="65">
        <f t="shared" ref="AS11:AS74" si="4">+AQ11*AR11</f>
        <v>33315</v>
      </c>
      <c r="AT11" s="79"/>
    </row>
    <row r="12" spans="1:46" ht="28.5">
      <c r="A12" s="14">
        <v>3</v>
      </c>
      <c r="B12" s="12"/>
      <c r="C12" s="20" t="s">
        <v>84</v>
      </c>
      <c r="D12" s="43" t="s">
        <v>141</v>
      </c>
      <c r="E12" s="83" t="s">
        <v>81</v>
      </c>
      <c r="F12" s="18" t="s">
        <v>85</v>
      </c>
      <c r="G12" s="9"/>
      <c r="H12" s="9"/>
      <c r="I12" s="18">
        <v>10</v>
      </c>
      <c r="J12" s="50">
        <f t="shared" si="1"/>
        <v>29850</v>
      </c>
      <c r="K12" s="45"/>
      <c r="L12" s="46">
        <f t="shared" si="2"/>
        <v>0</v>
      </c>
      <c r="M12" s="47"/>
      <c r="N12" s="50"/>
      <c r="O12" s="45"/>
      <c r="P12" s="50"/>
      <c r="Q12" s="47"/>
      <c r="R12" s="50"/>
      <c r="S12" s="45"/>
      <c r="T12" s="50"/>
      <c r="U12" s="47"/>
      <c r="V12" s="50"/>
      <c r="W12" s="47"/>
      <c r="X12" s="50"/>
      <c r="Y12" s="47"/>
      <c r="Z12" s="50"/>
      <c r="AA12" s="47"/>
      <c r="AB12" s="50"/>
      <c r="AC12" s="47"/>
      <c r="AD12" s="50"/>
      <c r="AE12" s="47"/>
      <c r="AF12" s="50"/>
      <c r="AG12" s="47"/>
      <c r="AH12" s="50"/>
      <c r="AI12" s="47"/>
      <c r="AJ12" s="50">
        <f t="shared" si="3"/>
        <v>0</v>
      </c>
      <c r="AK12" s="47"/>
      <c r="AL12" s="50"/>
      <c r="AM12" s="47"/>
      <c r="AN12" s="50"/>
      <c r="AO12" s="47"/>
      <c r="AP12" s="50"/>
      <c r="AQ12" s="32">
        <f t="shared" si="0"/>
        <v>10</v>
      </c>
      <c r="AR12" s="67">
        <v>2985</v>
      </c>
      <c r="AS12" s="65">
        <f t="shared" si="4"/>
        <v>29850</v>
      </c>
      <c r="AT12" s="79"/>
    </row>
    <row r="13" spans="1:46" ht="28.5">
      <c r="A13" s="14">
        <v>4</v>
      </c>
      <c r="B13" s="12"/>
      <c r="C13" s="20" t="s">
        <v>84</v>
      </c>
      <c r="D13" s="43" t="s">
        <v>141</v>
      </c>
      <c r="E13" s="83" t="s">
        <v>80</v>
      </c>
      <c r="F13" s="18" t="s">
        <v>85</v>
      </c>
      <c r="G13" s="12"/>
      <c r="H13" s="12"/>
      <c r="I13" s="18">
        <v>300</v>
      </c>
      <c r="J13" s="50">
        <f t="shared" si="1"/>
        <v>642900</v>
      </c>
      <c r="K13" s="45"/>
      <c r="L13" s="46">
        <f t="shared" si="2"/>
        <v>0</v>
      </c>
      <c r="M13" s="47"/>
      <c r="N13" s="50"/>
      <c r="O13" s="45"/>
      <c r="P13" s="50"/>
      <c r="Q13" s="47"/>
      <c r="R13" s="50"/>
      <c r="S13" s="45"/>
      <c r="T13" s="50"/>
      <c r="U13" s="47"/>
      <c r="V13" s="50"/>
      <c r="W13" s="47"/>
      <c r="X13" s="50"/>
      <c r="Y13" s="47"/>
      <c r="Z13" s="50"/>
      <c r="AA13" s="47"/>
      <c r="AB13" s="50"/>
      <c r="AC13" s="47"/>
      <c r="AD13" s="50"/>
      <c r="AE13" s="47"/>
      <c r="AF13" s="50"/>
      <c r="AG13" s="47"/>
      <c r="AH13" s="50"/>
      <c r="AI13" s="47"/>
      <c r="AJ13" s="50">
        <f t="shared" si="3"/>
        <v>0</v>
      </c>
      <c r="AK13" s="47"/>
      <c r="AL13" s="50"/>
      <c r="AM13" s="47"/>
      <c r="AN13" s="50"/>
      <c r="AO13" s="47"/>
      <c r="AP13" s="50"/>
      <c r="AQ13" s="32">
        <f t="shared" si="0"/>
        <v>300</v>
      </c>
      <c r="AR13" s="67">
        <v>2143</v>
      </c>
      <c r="AS13" s="65">
        <f t="shared" si="4"/>
        <v>642900</v>
      </c>
      <c r="AT13" s="79"/>
    </row>
    <row r="14" spans="1:46" ht="28.5">
      <c r="A14" s="14">
        <v>5</v>
      </c>
      <c r="B14" s="41"/>
      <c r="C14" s="20" t="s">
        <v>84</v>
      </c>
      <c r="D14" s="43" t="s">
        <v>141</v>
      </c>
      <c r="E14" s="83" t="s">
        <v>79</v>
      </c>
      <c r="F14" s="18" t="s">
        <v>85</v>
      </c>
      <c r="G14" s="9"/>
      <c r="H14" s="9"/>
      <c r="I14" s="18">
        <v>20</v>
      </c>
      <c r="J14" s="50">
        <f t="shared" si="1"/>
        <v>39760</v>
      </c>
      <c r="K14" s="45"/>
      <c r="L14" s="46">
        <f t="shared" si="2"/>
        <v>0</v>
      </c>
      <c r="M14" s="47"/>
      <c r="N14" s="50"/>
      <c r="O14" s="45"/>
      <c r="P14" s="50"/>
      <c r="Q14" s="47"/>
      <c r="R14" s="50"/>
      <c r="S14" s="45"/>
      <c r="T14" s="50"/>
      <c r="U14" s="47"/>
      <c r="V14" s="50"/>
      <c r="W14" s="47"/>
      <c r="X14" s="50"/>
      <c r="Y14" s="47"/>
      <c r="Z14" s="50"/>
      <c r="AA14" s="47"/>
      <c r="AB14" s="50"/>
      <c r="AC14" s="47"/>
      <c r="AD14" s="50"/>
      <c r="AE14" s="47"/>
      <c r="AF14" s="50"/>
      <c r="AG14" s="47"/>
      <c r="AH14" s="50"/>
      <c r="AI14" s="47"/>
      <c r="AJ14" s="50">
        <f t="shared" si="3"/>
        <v>0</v>
      </c>
      <c r="AK14" s="47"/>
      <c r="AL14" s="50"/>
      <c r="AM14" s="47"/>
      <c r="AN14" s="50"/>
      <c r="AO14" s="47"/>
      <c r="AP14" s="50"/>
      <c r="AQ14" s="32">
        <f t="shared" si="0"/>
        <v>20</v>
      </c>
      <c r="AR14" s="67">
        <v>1988</v>
      </c>
      <c r="AS14" s="65">
        <f t="shared" si="4"/>
        <v>39760</v>
      </c>
      <c r="AT14" s="79"/>
    </row>
    <row r="15" spans="1:46" ht="28.5">
      <c r="A15" s="14">
        <v>6</v>
      </c>
      <c r="B15" s="41"/>
      <c r="C15" s="20" t="s">
        <v>84</v>
      </c>
      <c r="D15" s="43" t="s">
        <v>141</v>
      </c>
      <c r="E15" s="83" t="s">
        <v>78</v>
      </c>
      <c r="F15" s="18" t="s">
        <v>86</v>
      </c>
      <c r="G15" s="9"/>
      <c r="H15" s="9"/>
      <c r="I15" s="18">
        <v>20</v>
      </c>
      <c r="J15" s="50">
        <f t="shared" si="1"/>
        <v>92260</v>
      </c>
      <c r="K15" s="45"/>
      <c r="L15" s="46">
        <f t="shared" si="2"/>
        <v>0</v>
      </c>
      <c r="M15" s="47"/>
      <c r="N15" s="50"/>
      <c r="O15" s="45"/>
      <c r="P15" s="50"/>
      <c r="Q15" s="47"/>
      <c r="R15" s="50"/>
      <c r="S15" s="45"/>
      <c r="T15" s="50"/>
      <c r="U15" s="47"/>
      <c r="V15" s="50"/>
      <c r="W15" s="47"/>
      <c r="X15" s="50"/>
      <c r="Y15" s="47"/>
      <c r="Z15" s="50"/>
      <c r="AA15" s="47"/>
      <c r="AB15" s="50"/>
      <c r="AC15" s="47"/>
      <c r="AD15" s="50"/>
      <c r="AE15" s="47"/>
      <c r="AF15" s="50"/>
      <c r="AG15" s="47"/>
      <c r="AH15" s="50"/>
      <c r="AI15" s="47"/>
      <c r="AJ15" s="50">
        <f t="shared" si="3"/>
        <v>0</v>
      </c>
      <c r="AK15" s="47"/>
      <c r="AL15" s="50"/>
      <c r="AM15" s="47"/>
      <c r="AN15" s="50"/>
      <c r="AO15" s="47"/>
      <c r="AP15" s="50"/>
      <c r="AQ15" s="32">
        <f t="shared" si="0"/>
        <v>20</v>
      </c>
      <c r="AR15" s="67">
        <v>4613</v>
      </c>
      <c r="AS15" s="65">
        <f t="shared" si="4"/>
        <v>92260</v>
      </c>
      <c r="AT15" s="79"/>
    </row>
    <row r="16" spans="1:46" ht="28.5">
      <c r="A16" s="14">
        <v>7</v>
      </c>
      <c r="B16" s="25"/>
      <c r="C16" s="20" t="s">
        <v>84</v>
      </c>
      <c r="D16" s="43" t="s">
        <v>141</v>
      </c>
      <c r="E16" s="83" t="s">
        <v>77</v>
      </c>
      <c r="F16" s="18" t="s">
        <v>85</v>
      </c>
      <c r="G16" s="9"/>
      <c r="H16" s="9"/>
      <c r="I16" s="18">
        <v>20</v>
      </c>
      <c r="J16" s="50">
        <f t="shared" si="1"/>
        <v>80180</v>
      </c>
      <c r="K16" s="45"/>
      <c r="L16" s="46">
        <f t="shared" si="2"/>
        <v>0</v>
      </c>
      <c r="M16" s="47"/>
      <c r="N16" s="50"/>
      <c r="O16" s="45"/>
      <c r="P16" s="50"/>
      <c r="Q16" s="47"/>
      <c r="R16" s="50"/>
      <c r="S16" s="45"/>
      <c r="T16" s="50"/>
      <c r="U16" s="47"/>
      <c r="V16" s="50"/>
      <c r="W16" s="47"/>
      <c r="X16" s="50"/>
      <c r="Y16" s="47"/>
      <c r="Z16" s="50"/>
      <c r="AA16" s="47"/>
      <c r="AB16" s="50"/>
      <c r="AC16" s="47"/>
      <c r="AD16" s="50"/>
      <c r="AE16" s="47"/>
      <c r="AF16" s="50"/>
      <c r="AG16" s="47"/>
      <c r="AH16" s="50"/>
      <c r="AI16" s="47"/>
      <c r="AJ16" s="50">
        <f t="shared" si="3"/>
        <v>0</v>
      </c>
      <c r="AK16" s="47"/>
      <c r="AL16" s="50"/>
      <c r="AM16" s="47"/>
      <c r="AN16" s="50"/>
      <c r="AO16" s="47"/>
      <c r="AP16" s="50"/>
      <c r="AQ16" s="32">
        <f t="shared" si="0"/>
        <v>20</v>
      </c>
      <c r="AR16" s="67">
        <v>4009</v>
      </c>
      <c r="AS16" s="65">
        <f t="shared" si="4"/>
        <v>80180</v>
      </c>
      <c r="AT16" s="79"/>
    </row>
    <row r="17" spans="1:46" ht="28.5">
      <c r="A17" s="14">
        <v>8</v>
      </c>
      <c r="B17" s="41"/>
      <c r="C17" s="20" t="s">
        <v>84</v>
      </c>
      <c r="D17" s="43" t="s">
        <v>141</v>
      </c>
      <c r="E17" s="83" t="s">
        <v>76</v>
      </c>
      <c r="F17" s="18" t="s">
        <v>85</v>
      </c>
      <c r="G17" s="12"/>
      <c r="H17" s="12"/>
      <c r="I17" s="18">
        <v>20</v>
      </c>
      <c r="J17" s="50">
        <f t="shared" si="1"/>
        <v>35220</v>
      </c>
      <c r="K17" s="45"/>
      <c r="L17" s="46">
        <f t="shared" si="2"/>
        <v>0</v>
      </c>
      <c r="M17" s="47"/>
      <c r="N17" s="50"/>
      <c r="O17" s="45"/>
      <c r="P17" s="50"/>
      <c r="Q17" s="47"/>
      <c r="R17" s="50"/>
      <c r="S17" s="45"/>
      <c r="T17" s="50"/>
      <c r="U17" s="47"/>
      <c r="V17" s="50"/>
      <c r="W17" s="47"/>
      <c r="X17" s="50"/>
      <c r="Y17" s="47"/>
      <c r="Z17" s="50"/>
      <c r="AA17" s="47"/>
      <c r="AB17" s="50"/>
      <c r="AC17" s="47"/>
      <c r="AD17" s="50"/>
      <c r="AE17" s="47"/>
      <c r="AF17" s="50"/>
      <c r="AG17" s="47"/>
      <c r="AH17" s="50"/>
      <c r="AI17" s="47"/>
      <c r="AJ17" s="50">
        <f t="shared" si="3"/>
        <v>0</v>
      </c>
      <c r="AK17" s="47"/>
      <c r="AL17" s="50"/>
      <c r="AM17" s="47"/>
      <c r="AN17" s="50"/>
      <c r="AO17" s="47"/>
      <c r="AP17" s="50"/>
      <c r="AQ17" s="32">
        <f t="shared" si="0"/>
        <v>20</v>
      </c>
      <c r="AR17" s="67">
        <v>1761</v>
      </c>
      <c r="AS17" s="65">
        <f t="shared" si="4"/>
        <v>35220</v>
      </c>
      <c r="AT17" s="79"/>
    </row>
    <row r="18" spans="1:46" ht="28.5">
      <c r="A18" s="14">
        <v>9</v>
      </c>
      <c r="B18" s="27"/>
      <c r="C18" s="20" t="s">
        <v>84</v>
      </c>
      <c r="D18" s="43" t="s">
        <v>141</v>
      </c>
      <c r="E18" s="83" t="s">
        <v>75</v>
      </c>
      <c r="F18" s="18" t="s">
        <v>85</v>
      </c>
      <c r="G18" s="21"/>
      <c r="H18" s="21"/>
      <c r="I18" s="18">
        <v>5</v>
      </c>
      <c r="J18" s="50">
        <f t="shared" si="1"/>
        <v>17635</v>
      </c>
      <c r="K18" s="45"/>
      <c r="L18" s="46">
        <f t="shared" si="2"/>
        <v>0</v>
      </c>
      <c r="M18" s="47"/>
      <c r="N18" s="50"/>
      <c r="O18" s="45"/>
      <c r="P18" s="50"/>
      <c r="Q18" s="47"/>
      <c r="R18" s="50"/>
      <c r="S18" s="45"/>
      <c r="T18" s="50"/>
      <c r="U18" s="47"/>
      <c r="V18" s="50"/>
      <c r="W18" s="47"/>
      <c r="X18" s="50"/>
      <c r="Y18" s="47"/>
      <c r="Z18" s="50"/>
      <c r="AA18" s="47"/>
      <c r="AB18" s="50"/>
      <c r="AC18" s="47"/>
      <c r="AD18" s="50"/>
      <c r="AE18" s="47"/>
      <c r="AF18" s="50"/>
      <c r="AG18" s="47"/>
      <c r="AH18" s="50"/>
      <c r="AI18" s="47"/>
      <c r="AJ18" s="50">
        <f t="shared" si="3"/>
        <v>0</v>
      </c>
      <c r="AK18" s="47"/>
      <c r="AL18" s="50"/>
      <c r="AM18" s="47"/>
      <c r="AN18" s="50"/>
      <c r="AO18" s="47"/>
      <c r="AP18" s="50"/>
      <c r="AQ18" s="32">
        <f t="shared" si="0"/>
        <v>5</v>
      </c>
      <c r="AR18" s="67">
        <v>3527</v>
      </c>
      <c r="AS18" s="65">
        <f t="shared" si="4"/>
        <v>17635</v>
      </c>
      <c r="AT18" s="79"/>
    </row>
    <row r="19" spans="1:46" ht="28.5">
      <c r="A19" s="14">
        <v>10</v>
      </c>
      <c r="B19" s="41"/>
      <c r="C19" s="20" t="s">
        <v>84</v>
      </c>
      <c r="D19" s="43" t="s">
        <v>141</v>
      </c>
      <c r="E19" s="83" t="s">
        <v>74</v>
      </c>
      <c r="F19" s="18" t="s">
        <v>85</v>
      </c>
      <c r="G19" s="9"/>
      <c r="H19" s="9"/>
      <c r="I19" s="18">
        <v>10</v>
      </c>
      <c r="J19" s="50">
        <f t="shared" si="1"/>
        <v>43080</v>
      </c>
      <c r="K19" s="45"/>
      <c r="L19" s="46">
        <f t="shared" si="2"/>
        <v>0</v>
      </c>
      <c r="M19" s="47"/>
      <c r="N19" s="50"/>
      <c r="O19" s="45"/>
      <c r="P19" s="50"/>
      <c r="Q19" s="47"/>
      <c r="R19" s="50"/>
      <c r="S19" s="45"/>
      <c r="T19" s="50"/>
      <c r="U19" s="47"/>
      <c r="V19" s="50"/>
      <c r="W19" s="47"/>
      <c r="X19" s="50"/>
      <c r="Y19" s="47"/>
      <c r="Z19" s="50"/>
      <c r="AA19" s="47"/>
      <c r="AB19" s="50"/>
      <c r="AC19" s="47"/>
      <c r="AD19" s="50"/>
      <c r="AE19" s="47"/>
      <c r="AF19" s="50"/>
      <c r="AG19" s="47"/>
      <c r="AH19" s="50"/>
      <c r="AI19" s="47"/>
      <c r="AJ19" s="50">
        <f t="shared" si="3"/>
        <v>0</v>
      </c>
      <c r="AK19" s="47"/>
      <c r="AL19" s="50"/>
      <c r="AM19" s="47"/>
      <c r="AN19" s="50"/>
      <c r="AO19" s="47"/>
      <c r="AP19" s="50"/>
      <c r="AQ19" s="32">
        <f t="shared" si="0"/>
        <v>10</v>
      </c>
      <c r="AR19" s="67">
        <v>4308</v>
      </c>
      <c r="AS19" s="65">
        <f t="shared" si="4"/>
        <v>43080</v>
      </c>
      <c r="AT19" s="79"/>
    </row>
    <row r="20" spans="1:46" ht="28.5">
      <c r="A20" s="14">
        <v>11</v>
      </c>
      <c r="B20" s="27"/>
      <c r="C20" s="20" t="s">
        <v>84</v>
      </c>
      <c r="D20" s="43" t="s">
        <v>141</v>
      </c>
      <c r="E20" s="83" t="s">
        <v>73</v>
      </c>
      <c r="F20" s="18" t="s">
        <v>86</v>
      </c>
      <c r="G20" s="12"/>
      <c r="H20" s="12"/>
      <c r="I20" s="18">
        <v>2</v>
      </c>
      <c r="J20" s="50">
        <f t="shared" si="1"/>
        <v>7316</v>
      </c>
      <c r="K20" s="45"/>
      <c r="L20" s="46">
        <f t="shared" si="2"/>
        <v>0</v>
      </c>
      <c r="M20" s="47"/>
      <c r="N20" s="50"/>
      <c r="O20" s="45"/>
      <c r="P20" s="50"/>
      <c r="Q20" s="47"/>
      <c r="R20" s="50"/>
      <c r="S20" s="45"/>
      <c r="T20" s="50"/>
      <c r="U20" s="47"/>
      <c r="V20" s="50"/>
      <c r="W20" s="47"/>
      <c r="X20" s="50"/>
      <c r="Y20" s="47"/>
      <c r="Z20" s="50"/>
      <c r="AA20" s="47"/>
      <c r="AB20" s="50"/>
      <c r="AC20" s="47"/>
      <c r="AD20" s="50"/>
      <c r="AE20" s="47"/>
      <c r="AF20" s="50"/>
      <c r="AG20" s="47"/>
      <c r="AH20" s="50"/>
      <c r="AI20" s="47"/>
      <c r="AJ20" s="50">
        <f t="shared" si="3"/>
        <v>0</v>
      </c>
      <c r="AK20" s="47"/>
      <c r="AL20" s="50"/>
      <c r="AM20" s="47"/>
      <c r="AN20" s="50"/>
      <c r="AO20" s="47"/>
      <c r="AP20" s="50"/>
      <c r="AQ20" s="32">
        <f t="shared" si="0"/>
        <v>2</v>
      </c>
      <c r="AR20" s="67">
        <v>3658</v>
      </c>
      <c r="AS20" s="65">
        <f t="shared" si="4"/>
        <v>7316</v>
      </c>
      <c r="AT20" s="79"/>
    </row>
    <row r="21" spans="1:46" ht="28.5">
      <c r="A21" s="14">
        <v>12</v>
      </c>
      <c r="B21" s="27"/>
      <c r="C21" s="20" t="s">
        <v>84</v>
      </c>
      <c r="D21" s="43" t="s">
        <v>141</v>
      </c>
      <c r="E21" s="83" t="s">
        <v>72</v>
      </c>
      <c r="F21" s="18" t="s">
        <v>85</v>
      </c>
      <c r="G21" s="9"/>
      <c r="H21" s="9"/>
      <c r="I21" s="18">
        <v>2</v>
      </c>
      <c r="J21" s="50">
        <f t="shared" si="1"/>
        <v>24220</v>
      </c>
      <c r="K21" s="45"/>
      <c r="L21" s="46">
        <f t="shared" si="2"/>
        <v>0</v>
      </c>
      <c r="M21" s="47"/>
      <c r="N21" s="50"/>
      <c r="O21" s="45"/>
      <c r="P21" s="50"/>
      <c r="Q21" s="47"/>
      <c r="R21" s="50"/>
      <c r="S21" s="45"/>
      <c r="T21" s="50"/>
      <c r="U21" s="47"/>
      <c r="V21" s="50"/>
      <c r="W21" s="47"/>
      <c r="X21" s="50"/>
      <c r="Y21" s="47"/>
      <c r="Z21" s="50"/>
      <c r="AA21" s="47"/>
      <c r="AB21" s="50"/>
      <c r="AC21" s="47"/>
      <c r="AD21" s="50"/>
      <c r="AE21" s="47"/>
      <c r="AF21" s="50"/>
      <c r="AG21" s="47"/>
      <c r="AH21" s="50"/>
      <c r="AI21" s="47"/>
      <c r="AJ21" s="50">
        <f t="shared" si="3"/>
        <v>0</v>
      </c>
      <c r="AK21" s="47"/>
      <c r="AL21" s="50"/>
      <c r="AM21" s="47"/>
      <c r="AN21" s="50"/>
      <c r="AO21" s="47"/>
      <c r="AP21" s="50"/>
      <c r="AQ21" s="32">
        <f t="shared" si="0"/>
        <v>2</v>
      </c>
      <c r="AR21" s="67">
        <v>12110</v>
      </c>
      <c r="AS21" s="65">
        <f t="shared" si="4"/>
        <v>24220</v>
      </c>
      <c r="AT21" s="79"/>
    </row>
    <row r="22" spans="1:46" s="5" customFormat="1" ht="28.5">
      <c r="A22" s="14">
        <v>13</v>
      </c>
      <c r="B22" s="41"/>
      <c r="C22" s="20" t="s">
        <v>84</v>
      </c>
      <c r="D22" s="43" t="s">
        <v>141</v>
      </c>
      <c r="E22" s="83" t="s">
        <v>71</v>
      </c>
      <c r="F22" s="18" t="s">
        <v>85</v>
      </c>
      <c r="G22" s="12"/>
      <c r="H22" s="12"/>
      <c r="I22" s="18">
        <v>2</v>
      </c>
      <c r="J22" s="50">
        <f t="shared" si="1"/>
        <v>18718</v>
      </c>
      <c r="K22" s="45"/>
      <c r="L22" s="46">
        <f t="shared" si="2"/>
        <v>0</v>
      </c>
      <c r="M22" s="47"/>
      <c r="N22" s="50"/>
      <c r="O22" s="45"/>
      <c r="P22" s="50"/>
      <c r="Q22" s="47"/>
      <c r="R22" s="50"/>
      <c r="S22" s="45"/>
      <c r="T22" s="50"/>
      <c r="U22" s="47"/>
      <c r="V22" s="50"/>
      <c r="W22" s="47"/>
      <c r="X22" s="50"/>
      <c r="Y22" s="47"/>
      <c r="Z22" s="50"/>
      <c r="AA22" s="47"/>
      <c r="AB22" s="50"/>
      <c r="AC22" s="47"/>
      <c r="AD22" s="50"/>
      <c r="AE22" s="47"/>
      <c r="AF22" s="50"/>
      <c r="AG22" s="47"/>
      <c r="AH22" s="50"/>
      <c r="AI22" s="47"/>
      <c r="AJ22" s="50">
        <f t="shared" si="3"/>
        <v>0</v>
      </c>
      <c r="AK22" s="47"/>
      <c r="AL22" s="50"/>
      <c r="AM22" s="47"/>
      <c r="AN22" s="50"/>
      <c r="AO22" s="47"/>
      <c r="AP22" s="50"/>
      <c r="AQ22" s="32">
        <f t="shared" si="0"/>
        <v>2</v>
      </c>
      <c r="AR22" s="67">
        <v>9359</v>
      </c>
      <c r="AS22" s="65">
        <f t="shared" si="4"/>
        <v>18718</v>
      </c>
      <c r="AT22" s="79"/>
    </row>
    <row r="23" spans="1:46" ht="28.5">
      <c r="A23" s="14">
        <v>14</v>
      </c>
      <c r="B23" s="41"/>
      <c r="C23" s="20" t="s">
        <v>84</v>
      </c>
      <c r="D23" s="43" t="s">
        <v>141</v>
      </c>
      <c r="E23" s="83" t="s">
        <v>70</v>
      </c>
      <c r="F23" s="18" t="s">
        <v>86</v>
      </c>
      <c r="G23" s="9"/>
      <c r="H23" s="9"/>
      <c r="I23" s="18">
        <v>2</v>
      </c>
      <c r="J23" s="50">
        <f t="shared" si="1"/>
        <v>11344</v>
      </c>
      <c r="K23" s="45"/>
      <c r="L23" s="46">
        <f t="shared" si="2"/>
        <v>0</v>
      </c>
      <c r="M23" s="47"/>
      <c r="N23" s="50"/>
      <c r="O23" s="45"/>
      <c r="P23" s="50"/>
      <c r="Q23" s="47"/>
      <c r="R23" s="50"/>
      <c r="S23" s="45"/>
      <c r="T23" s="50"/>
      <c r="U23" s="47"/>
      <c r="V23" s="50"/>
      <c r="W23" s="47"/>
      <c r="X23" s="50"/>
      <c r="Y23" s="47"/>
      <c r="Z23" s="50"/>
      <c r="AA23" s="47"/>
      <c r="AB23" s="50"/>
      <c r="AC23" s="47"/>
      <c r="AD23" s="50"/>
      <c r="AE23" s="47"/>
      <c r="AF23" s="50"/>
      <c r="AG23" s="47"/>
      <c r="AH23" s="50"/>
      <c r="AI23" s="47"/>
      <c r="AJ23" s="50">
        <f t="shared" si="3"/>
        <v>0</v>
      </c>
      <c r="AK23" s="47"/>
      <c r="AL23" s="50"/>
      <c r="AM23" s="47"/>
      <c r="AN23" s="50"/>
      <c r="AO23" s="47"/>
      <c r="AP23" s="50"/>
      <c r="AQ23" s="32">
        <f t="shared" si="0"/>
        <v>2</v>
      </c>
      <c r="AR23" s="67">
        <v>5672</v>
      </c>
      <c r="AS23" s="65">
        <f t="shared" si="4"/>
        <v>11344</v>
      </c>
      <c r="AT23" s="79"/>
    </row>
    <row r="24" spans="1:46" ht="28.5">
      <c r="A24" s="14">
        <v>15</v>
      </c>
      <c r="B24" s="41"/>
      <c r="C24" s="20" t="s">
        <v>84</v>
      </c>
      <c r="D24" s="43" t="s">
        <v>141</v>
      </c>
      <c r="E24" s="83" t="s">
        <v>69</v>
      </c>
      <c r="F24" s="18" t="s">
        <v>86</v>
      </c>
      <c r="G24" s="9"/>
      <c r="H24" s="9"/>
      <c r="I24" s="18">
        <v>20</v>
      </c>
      <c r="J24" s="50">
        <f t="shared" si="1"/>
        <v>74400</v>
      </c>
      <c r="K24" s="45"/>
      <c r="L24" s="46">
        <f t="shared" si="2"/>
        <v>0</v>
      </c>
      <c r="M24" s="47"/>
      <c r="N24" s="50"/>
      <c r="O24" s="45"/>
      <c r="P24" s="50"/>
      <c r="Q24" s="47"/>
      <c r="R24" s="50"/>
      <c r="S24" s="45"/>
      <c r="T24" s="50"/>
      <c r="U24" s="47"/>
      <c r="V24" s="50"/>
      <c r="W24" s="47"/>
      <c r="X24" s="50"/>
      <c r="Y24" s="47"/>
      <c r="Z24" s="50"/>
      <c r="AA24" s="47"/>
      <c r="AB24" s="50"/>
      <c r="AC24" s="47"/>
      <c r="AD24" s="50"/>
      <c r="AE24" s="47"/>
      <c r="AF24" s="50"/>
      <c r="AG24" s="47"/>
      <c r="AH24" s="50"/>
      <c r="AI24" s="47"/>
      <c r="AJ24" s="50">
        <f t="shared" si="3"/>
        <v>0</v>
      </c>
      <c r="AK24" s="47"/>
      <c r="AL24" s="50"/>
      <c r="AM24" s="47"/>
      <c r="AN24" s="50"/>
      <c r="AO24" s="47"/>
      <c r="AP24" s="50"/>
      <c r="AQ24" s="32">
        <f t="shared" si="0"/>
        <v>20</v>
      </c>
      <c r="AR24" s="67">
        <v>3720</v>
      </c>
      <c r="AS24" s="65">
        <f t="shared" si="4"/>
        <v>74400</v>
      </c>
      <c r="AT24" s="79"/>
    </row>
    <row r="25" spans="1:46" ht="28.5">
      <c r="A25" s="14">
        <v>16</v>
      </c>
      <c r="B25" s="25"/>
      <c r="C25" s="20" t="s">
        <v>84</v>
      </c>
      <c r="D25" s="43" t="s">
        <v>141</v>
      </c>
      <c r="E25" s="83" t="s">
        <v>68</v>
      </c>
      <c r="F25" s="18" t="s">
        <v>86</v>
      </c>
      <c r="G25" s="9"/>
      <c r="H25" s="9"/>
      <c r="I25" s="18">
        <v>10</v>
      </c>
      <c r="J25" s="50">
        <f t="shared" si="1"/>
        <v>70520</v>
      </c>
      <c r="K25" s="45"/>
      <c r="L25" s="46">
        <f t="shared" si="2"/>
        <v>0</v>
      </c>
      <c r="M25" s="47"/>
      <c r="N25" s="50"/>
      <c r="O25" s="45"/>
      <c r="P25" s="50"/>
      <c r="Q25" s="47"/>
      <c r="R25" s="50"/>
      <c r="S25" s="45"/>
      <c r="T25" s="50"/>
      <c r="U25" s="47"/>
      <c r="V25" s="50"/>
      <c r="W25" s="47"/>
      <c r="X25" s="50"/>
      <c r="Y25" s="47"/>
      <c r="Z25" s="50"/>
      <c r="AA25" s="47"/>
      <c r="AB25" s="50"/>
      <c r="AC25" s="47"/>
      <c r="AD25" s="50"/>
      <c r="AE25" s="47"/>
      <c r="AF25" s="50"/>
      <c r="AG25" s="47"/>
      <c r="AH25" s="50"/>
      <c r="AI25" s="47"/>
      <c r="AJ25" s="50">
        <f t="shared" si="3"/>
        <v>0</v>
      </c>
      <c r="AK25" s="47"/>
      <c r="AL25" s="50"/>
      <c r="AM25" s="47"/>
      <c r="AN25" s="50"/>
      <c r="AO25" s="47"/>
      <c r="AP25" s="50"/>
      <c r="AQ25" s="32">
        <f t="shared" si="0"/>
        <v>10</v>
      </c>
      <c r="AR25" s="67">
        <v>7052</v>
      </c>
      <c r="AS25" s="65">
        <f t="shared" si="4"/>
        <v>70520</v>
      </c>
      <c r="AT25" s="79"/>
    </row>
    <row r="26" spans="1:46" ht="28.5">
      <c r="A26" s="14">
        <v>17</v>
      </c>
      <c r="B26" s="41"/>
      <c r="C26" s="20" t="s">
        <v>84</v>
      </c>
      <c r="D26" s="43" t="s">
        <v>141</v>
      </c>
      <c r="E26" s="83" t="s">
        <v>67</v>
      </c>
      <c r="F26" s="18" t="s">
        <v>85</v>
      </c>
      <c r="G26" s="12"/>
      <c r="H26" s="12"/>
      <c r="I26" s="18">
        <v>20</v>
      </c>
      <c r="J26" s="50">
        <f t="shared" si="1"/>
        <v>60340</v>
      </c>
      <c r="K26" s="45"/>
      <c r="L26" s="46">
        <f t="shared" si="2"/>
        <v>0</v>
      </c>
      <c r="M26" s="47"/>
      <c r="N26" s="50"/>
      <c r="O26" s="45"/>
      <c r="P26" s="50"/>
      <c r="Q26" s="47"/>
      <c r="R26" s="50"/>
      <c r="S26" s="45"/>
      <c r="T26" s="50"/>
      <c r="U26" s="47"/>
      <c r="V26" s="50"/>
      <c r="W26" s="47"/>
      <c r="X26" s="50"/>
      <c r="Y26" s="47"/>
      <c r="Z26" s="50"/>
      <c r="AA26" s="47"/>
      <c r="AB26" s="50"/>
      <c r="AC26" s="47"/>
      <c r="AD26" s="50"/>
      <c r="AE26" s="47"/>
      <c r="AF26" s="50"/>
      <c r="AG26" s="47"/>
      <c r="AH26" s="50"/>
      <c r="AI26" s="47"/>
      <c r="AJ26" s="50">
        <f t="shared" si="3"/>
        <v>0</v>
      </c>
      <c r="AK26" s="47"/>
      <c r="AL26" s="50"/>
      <c r="AM26" s="47"/>
      <c r="AN26" s="50"/>
      <c r="AO26" s="47"/>
      <c r="AP26" s="50"/>
      <c r="AQ26" s="32">
        <f t="shared" si="0"/>
        <v>20</v>
      </c>
      <c r="AR26" s="67">
        <v>3017</v>
      </c>
      <c r="AS26" s="65">
        <f t="shared" si="4"/>
        <v>60340</v>
      </c>
      <c r="AT26" s="79"/>
    </row>
    <row r="27" spans="1:46" ht="28.5">
      <c r="A27" s="14">
        <v>18</v>
      </c>
      <c r="B27" s="27"/>
      <c r="C27" s="20" t="s">
        <v>84</v>
      </c>
      <c r="D27" s="43" t="s">
        <v>141</v>
      </c>
      <c r="E27" s="83" t="s">
        <v>66</v>
      </c>
      <c r="F27" s="18" t="s">
        <v>85</v>
      </c>
      <c r="G27" s="21"/>
      <c r="H27" s="21"/>
      <c r="I27" s="18">
        <v>10</v>
      </c>
      <c r="J27" s="50">
        <f t="shared" si="1"/>
        <v>29620</v>
      </c>
      <c r="K27" s="45"/>
      <c r="L27" s="46">
        <f t="shared" si="2"/>
        <v>0</v>
      </c>
      <c r="M27" s="47"/>
      <c r="N27" s="50"/>
      <c r="O27" s="45"/>
      <c r="P27" s="50"/>
      <c r="Q27" s="47"/>
      <c r="R27" s="50"/>
      <c r="S27" s="45"/>
      <c r="T27" s="50"/>
      <c r="U27" s="47"/>
      <c r="V27" s="50"/>
      <c r="W27" s="47"/>
      <c r="X27" s="50"/>
      <c r="Y27" s="47"/>
      <c r="Z27" s="50"/>
      <c r="AA27" s="47"/>
      <c r="AB27" s="50"/>
      <c r="AC27" s="47"/>
      <c r="AD27" s="50"/>
      <c r="AE27" s="47"/>
      <c r="AF27" s="50"/>
      <c r="AG27" s="47"/>
      <c r="AH27" s="50"/>
      <c r="AI27" s="47"/>
      <c r="AJ27" s="50">
        <f t="shared" si="3"/>
        <v>0</v>
      </c>
      <c r="AK27" s="47"/>
      <c r="AL27" s="50"/>
      <c r="AM27" s="47"/>
      <c r="AN27" s="50"/>
      <c r="AO27" s="47"/>
      <c r="AP27" s="50"/>
      <c r="AQ27" s="32">
        <f t="shared" si="0"/>
        <v>10</v>
      </c>
      <c r="AR27" s="67">
        <v>2962</v>
      </c>
      <c r="AS27" s="65">
        <f t="shared" si="4"/>
        <v>29620</v>
      </c>
      <c r="AT27" s="79"/>
    </row>
    <row r="28" spans="1:46" ht="28.5">
      <c r="A28" s="14">
        <v>19</v>
      </c>
      <c r="B28" s="41"/>
      <c r="C28" s="20" t="s">
        <v>84</v>
      </c>
      <c r="D28" s="43" t="s">
        <v>141</v>
      </c>
      <c r="E28" s="83" t="s">
        <v>65</v>
      </c>
      <c r="F28" s="18" t="s">
        <v>85</v>
      </c>
      <c r="G28" s="9"/>
      <c r="H28" s="9"/>
      <c r="I28" s="18">
        <v>20</v>
      </c>
      <c r="J28" s="50">
        <f t="shared" si="1"/>
        <v>128880</v>
      </c>
      <c r="K28" s="45"/>
      <c r="L28" s="46">
        <f t="shared" si="2"/>
        <v>0</v>
      </c>
      <c r="M28" s="47"/>
      <c r="N28" s="50"/>
      <c r="O28" s="45"/>
      <c r="P28" s="50"/>
      <c r="Q28" s="47"/>
      <c r="R28" s="50"/>
      <c r="S28" s="45"/>
      <c r="T28" s="50"/>
      <c r="U28" s="47"/>
      <c r="V28" s="50"/>
      <c r="W28" s="47"/>
      <c r="X28" s="50"/>
      <c r="Y28" s="47"/>
      <c r="Z28" s="50"/>
      <c r="AA28" s="47"/>
      <c r="AB28" s="50"/>
      <c r="AC28" s="47"/>
      <c r="AD28" s="50"/>
      <c r="AE28" s="47"/>
      <c r="AF28" s="50"/>
      <c r="AG28" s="47"/>
      <c r="AH28" s="50"/>
      <c r="AI28" s="47"/>
      <c r="AJ28" s="50">
        <f t="shared" si="3"/>
        <v>0</v>
      </c>
      <c r="AK28" s="47"/>
      <c r="AL28" s="50"/>
      <c r="AM28" s="47"/>
      <c r="AN28" s="50"/>
      <c r="AO28" s="47"/>
      <c r="AP28" s="50"/>
      <c r="AQ28" s="32">
        <f t="shared" si="0"/>
        <v>20</v>
      </c>
      <c r="AR28" s="67">
        <v>6444</v>
      </c>
      <c r="AS28" s="65">
        <f t="shared" si="4"/>
        <v>128880</v>
      </c>
      <c r="AT28" s="79"/>
    </row>
    <row r="29" spans="1:46" ht="28.5">
      <c r="A29" s="14">
        <v>20</v>
      </c>
      <c r="B29" s="27"/>
      <c r="C29" s="20" t="s">
        <v>84</v>
      </c>
      <c r="D29" s="43" t="s">
        <v>141</v>
      </c>
      <c r="E29" s="83" t="s">
        <v>64</v>
      </c>
      <c r="F29" s="18" t="s">
        <v>85</v>
      </c>
      <c r="G29" s="12"/>
      <c r="H29" s="12"/>
      <c r="I29" s="18">
        <v>10</v>
      </c>
      <c r="J29" s="50">
        <f t="shared" si="1"/>
        <v>73220</v>
      </c>
      <c r="K29" s="45"/>
      <c r="L29" s="46">
        <f t="shared" si="2"/>
        <v>0</v>
      </c>
      <c r="M29" s="47"/>
      <c r="N29" s="50"/>
      <c r="O29" s="45"/>
      <c r="P29" s="50"/>
      <c r="Q29" s="47"/>
      <c r="R29" s="50"/>
      <c r="S29" s="45"/>
      <c r="T29" s="50"/>
      <c r="U29" s="47"/>
      <c r="V29" s="50"/>
      <c r="W29" s="47"/>
      <c r="X29" s="50"/>
      <c r="Y29" s="47"/>
      <c r="Z29" s="50"/>
      <c r="AA29" s="47"/>
      <c r="AB29" s="50"/>
      <c r="AC29" s="47"/>
      <c r="AD29" s="50"/>
      <c r="AE29" s="47"/>
      <c r="AF29" s="50"/>
      <c r="AG29" s="47"/>
      <c r="AH29" s="50"/>
      <c r="AI29" s="47"/>
      <c r="AJ29" s="50">
        <f t="shared" si="3"/>
        <v>0</v>
      </c>
      <c r="AK29" s="47"/>
      <c r="AL29" s="50"/>
      <c r="AM29" s="47"/>
      <c r="AN29" s="50"/>
      <c r="AO29" s="47"/>
      <c r="AP29" s="50"/>
      <c r="AQ29" s="32">
        <f t="shared" si="0"/>
        <v>10</v>
      </c>
      <c r="AR29" s="67">
        <v>7322</v>
      </c>
      <c r="AS29" s="65">
        <f t="shared" si="4"/>
        <v>73220</v>
      </c>
      <c r="AT29" s="79"/>
    </row>
    <row r="30" spans="1:46" ht="28.5">
      <c r="A30" s="14">
        <v>21</v>
      </c>
      <c r="B30" s="27"/>
      <c r="C30" s="20" t="s">
        <v>84</v>
      </c>
      <c r="D30" s="43" t="s">
        <v>141</v>
      </c>
      <c r="E30" s="83" t="s">
        <v>63</v>
      </c>
      <c r="F30" s="18" t="s">
        <v>85</v>
      </c>
      <c r="G30" s="9"/>
      <c r="H30" s="9"/>
      <c r="I30" s="18">
        <v>100</v>
      </c>
      <c r="J30" s="50">
        <f t="shared" si="1"/>
        <v>161100</v>
      </c>
      <c r="K30" s="45"/>
      <c r="L30" s="46">
        <f t="shared" si="2"/>
        <v>0</v>
      </c>
      <c r="M30" s="47"/>
      <c r="N30" s="50"/>
      <c r="O30" s="45"/>
      <c r="P30" s="50"/>
      <c r="Q30" s="47"/>
      <c r="R30" s="50"/>
      <c r="S30" s="45"/>
      <c r="T30" s="50"/>
      <c r="U30" s="47"/>
      <c r="V30" s="50"/>
      <c r="W30" s="47"/>
      <c r="X30" s="50"/>
      <c r="Y30" s="47"/>
      <c r="Z30" s="50"/>
      <c r="AA30" s="47"/>
      <c r="AB30" s="50"/>
      <c r="AC30" s="47"/>
      <c r="AD30" s="50"/>
      <c r="AE30" s="47"/>
      <c r="AF30" s="50"/>
      <c r="AG30" s="47"/>
      <c r="AH30" s="50"/>
      <c r="AI30" s="47"/>
      <c r="AJ30" s="50">
        <f t="shared" si="3"/>
        <v>0</v>
      </c>
      <c r="AK30" s="47"/>
      <c r="AL30" s="50"/>
      <c r="AM30" s="47"/>
      <c r="AN30" s="50"/>
      <c r="AO30" s="47"/>
      <c r="AP30" s="50"/>
      <c r="AQ30" s="32">
        <f t="shared" si="0"/>
        <v>100</v>
      </c>
      <c r="AR30" s="67">
        <v>1611</v>
      </c>
      <c r="AS30" s="65">
        <f t="shared" si="4"/>
        <v>161100</v>
      </c>
      <c r="AT30" s="79"/>
    </row>
    <row r="31" spans="1:46" ht="28.5">
      <c r="A31" s="14">
        <v>22</v>
      </c>
      <c r="B31" s="41"/>
      <c r="C31" s="20" t="s">
        <v>84</v>
      </c>
      <c r="D31" s="43" t="s">
        <v>141</v>
      </c>
      <c r="E31" s="83" t="s">
        <v>62</v>
      </c>
      <c r="F31" s="18" t="s">
        <v>85</v>
      </c>
      <c r="G31" s="9"/>
      <c r="H31" s="9"/>
      <c r="I31" s="18">
        <v>5</v>
      </c>
      <c r="J31" s="50">
        <f t="shared" si="1"/>
        <v>21740</v>
      </c>
      <c r="K31" s="45"/>
      <c r="L31" s="46">
        <f t="shared" si="2"/>
        <v>0</v>
      </c>
      <c r="M31" s="47"/>
      <c r="N31" s="50"/>
      <c r="O31" s="45"/>
      <c r="P31" s="50"/>
      <c r="Q31" s="47"/>
      <c r="R31" s="50"/>
      <c r="S31" s="45"/>
      <c r="T31" s="50"/>
      <c r="U31" s="47"/>
      <c r="V31" s="50"/>
      <c r="W31" s="47"/>
      <c r="X31" s="50"/>
      <c r="Y31" s="47"/>
      <c r="Z31" s="50"/>
      <c r="AA31" s="47"/>
      <c r="AB31" s="50"/>
      <c r="AC31" s="47"/>
      <c r="AD31" s="50"/>
      <c r="AE31" s="47"/>
      <c r="AF31" s="50"/>
      <c r="AG31" s="47"/>
      <c r="AH31" s="50"/>
      <c r="AI31" s="47"/>
      <c r="AJ31" s="50">
        <f t="shared" si="3"/>
        <v>0</v>
      </c>
      <c r="AK31" s="47"/>
      <c r="AL31" s="50"/>
      <c r="AM31" s="47"/>
      <c r="AN31" s="50"/>
      <c r="AO31" s="47"/>
      <c r="AP31" s="50"/>
      <c r="AQ31" s="32">
        <f t="shared" si="0"/>
        <v>5</v>
      </c>
      <c r="AR31" s="67">
        <v>4348</v>
      </c>
      <c r="AS31" s="65">
        <f t="shared" si="4"/>
        <v>21740</v>
      </c>
      <c r="AT31" s="79"/>
    </row>
    <row r="32" spans="1:46" ht="28.5">
      <c r="A32" s="14">
        <v>23</v>
      </c>
      <c r="B32" s="41"/>
      <c r="C32" s="20" t="s">
        <v>84</v>
      </c>
      <c r="D32" s="43" t="s">
        <v>141</v>
      </c>
      <c r="E32" s="83" t="s">
        <v>61</v>
      </c>
      <c r="F32" s="18" t="s">
        <v>87</v>
      </c>
      <c r="G32" s="12"/>
      <c r="H32" s="12"/>
      <c r="I32" s="18">
        <v>20</v>
      </c>
      <c r="J32" s="50">
        <f t="shared" si="1"/>
        <v>29960</v>
      </c>
      <c r="K32" s="45"/>
      <c r="L32" s="46">
        <f t="shared" si="2"/>
        <v>0</v>
      </c>
      <c r="M32" s="47"/>
      <c r="N32" s="50"/>
      <c r="O32" s="45"/>
      <c r="P32" s="50"/>
      <c r="Q32" s="47"/>
      <c r="R32" s="50"/>
      <c r="S32" s="45"/>
      <c r="T32" s="50"/>
      <c r="U32" s="47"/>
      <c r="V32" s="50"/>
      <c r="W32" s="47"/>
      <c r="X32" s="50"/>
      <c r="Y32" s="47"/>
      <c r="Z32" s="50"/>
      <c r="AA32" s="47"/>
      <c r="AB32" s="50"/>
      <c r="AC32" s="47"/>
      <c r="AD32" s="50"/>
      <c r="AE32" s="47"/>
      <c r="AF32" s="50"/>
      <c r="AG32" s="47"/>
      <c r="AH32" s="50"/>
      <c r="AI32" s="47"/>
      <c r="AJ32" s="50">
        <f t="shared" si="3"/>
        <v>0</v>
      </c>
      <c r="AK32" s="47"/>
      <c r="AL32" s="50"/>
      <c r="AM32" s="47"/>
      <c r="AN32" s="50"/>
      <c r="AO32" s="47"/>
      <c r="AP32" s="50"/>
      <c r="AQ32" s="32">
        <f t="shared" si="0"/>
        <v>20</v>
      </c>
      <c r="AR32" s="67">
        <v>1498</v>
      </c>
      <c r="AS32" s="65">
        <f t="shared" si="4"/>
        <v>29960</v>
      </c>
      <c r="AT32" s="79"/>
    </row>
    <row r="33" spans="1:46" ht="28.5">
      <c r="A33" s="14">
        <v>24</v>
      </c>
      <c r="B33" s="41"/>
      <c r="C33" s="20" t="s">
        <v>84</v>
      </c>
      <c r="D33" s="43" t="s">
        <v>141</v>
      </c>
      <c r="E33" s="83" t="s">
        <v>60</v>
      </c>
      <c r="F33" s="18" t="s">
        <v>85</v>
      </c>
      <c r="G33" s="9"/>
      <c r="H33" s="9"/>
      <c r="I33" s="18">
        <v>10</v>
      </c>
      <c r="J33" s="50">
        <f t="shared" si="1"/>
        <v>44590</v>
      </c>
      <c r="K33" s="45"/>
      <c r="L33" s="46">
        <f t="shared" si="2"/>
        <v>0</v>
      </c>
      <c r="M33" s="47"/>
      <c r="N33" s="50"/>
      <c r="O33" s="45"/>
      <c r="P33" s="50"/>
      <c r="Q33" s="47"/>
      <c r="R33" s="50"/>
      <c r="S33" s="45"/>
      <c r="T33" s="50"/>
      <c r="U33" s="47"/>
      <c r="V33" s="50"/>
      <c r="W33" s="47"/>
      <c r="X33" s="50"/>
      <c r="Y33" s="47"/>
      <c r="Z33" s="50"/>
      <c r="AA33" s="47"/>
      <c r="AB33" s="50"/>
      <c r="AC33" s="47"/>
      <c r="AD33" s="50"/>
      <c r="AE33" s="47"/>
      <c r="AF33" s="50"/>
      <c r="AG33" s="47"/>
      <c r="AH33" s="50"/>
      <c r="AI33" s="47"/>
      <c r="AJ33" s="50">
        <f t="shared" si="3"/>
        <v>0</v>
      </c>
      <c r="AK33" s="47"/>
      <c r="AL33" s="50"/>
      <c r="AM33" s="47"/>
      <c r="AN33" s="50"/>
      <c r="AO33" s="47"/>
      <c r="AP33" s="50"/>
      <c r="AQ33" s="32">
        <f t="shared" si="0"/>
        <v>10</v>
      </c>
      <c r="AR33" s="67">
        <v>4459</v>
      </c>
      <c r="AS33" s="65">
        <f t="shared" si="4"/>
        <v>44590</v>
      </c>
      <c r="AT33" s="79"/>
    </row>
    <row r="34" spans="1:46" ht="28.5">
      <c r="A34" s="14">
        <v>25</v>
      </c>
      <c r="B34" s="41"/>
      <c r="C34" s="20" t="s">
        <v>84</v>
      </c>
      <c r="D34" s="43" t="s">
        <v>141</v>
      </c>
      <c r="E34" s="83" t="s">
        <v>59</v>
      </c>
      <c r="F34" s="18" t="s">
        <v>85</v>
      </c>
      <c r="G34" s="9"/>
      <c r="H34" s="9"/>
      <c r="I34" s="18">
        <v>4</v>
      </c>
      <c r="J34" s="50">
        <f t="shared" si="1"/>
        <v>12088</v>
      </c>
      <c r="K34" s="45"/>
      <c r="L34" s="46">
        <f t="shared" si="2"/>
        <v>0</v>
      </c>
      <c r="M34" s="47"/>
      <c r="N34" s="50"/>
      <c r="O34" s="45"/>
      <c r="P34" s="50"/>
      <c r="Q34" s="47"/>
      <c r="R34" s="50"/>
      <c r="S34" s="45"/>
      <c r="T34" s="50"/>
      <c r="U34" s="47"/>
      <c r="V34" s="50"/>
      <c r="W34" s="47"/>
      <c r="X34" s="50"/>
      <c r="Y34" s="47"/>
      <c r="Z34" s="50"/>
      <c r="AA34" s="47"/>
      <c r="AB34" s="50"/>
      <c r="AC34" s="47"/>
      <c r="AD34" s="50"/>
      <c r="AE34" s="47"/>
      <c r="AF34" s="50"/>
      <c r="AG34" s="47"/>
      <c r="AH34" s="50"/>
      <c r="AI34" s="47"/>
      <c r="AJ34" s="50">
        <f t="shared" si="3"/>
        <v>0</v>
      </c>
      <c r="AK34" s="47"/>
      <c r="AL34" s="50"/>
      <c r="AM34" s="47"/>
      <c r="AN34" s="50"/>
      <c r="AO34" s="47"/>
      <c r="AP34" s="50"/>
      <c r="AQ34" s="32">
        <f t="shared" si="0"/>
        <v>4</v>
      </c>
      <c r="AR34" s="67">
        <v>3022</v>
      </c>
      <c r="AS34" s="65">
        <f t="shared" si="4"/>
        <v>12088</v>
      </c>
      <c r="AT34" s="79"/>
    </row>
    <row r="35" spans="1:46" ht="28.5">
      <c r="A35" s="14">
        <v>26</v>
      </c>
      <c r="B35" s="25"/>
      <c r="C35" s="20" t="s">
        <v>84</v>
      </c>
      <c r="D35" s="43" t="s">
        <v>141</v>
      </c>
      <c r="E35" s="83" t="s">
        <v>58</v>
      </c>
      <c r="F35" s="18" t="s">
        <v>85</v>
      </c>
      <c r="G35" s="9"/>
      <c r="H35" s="9"/>
      <c r="I35" s="18">
        <v>20</v>
      </c>
      <c r="J35" s="50">
        <f t="shared" si="1"/>
        <v>96420</v>
      </c>
      <c r="K35" s="45"/>
      <c r="L35" s="46">
        <f t="shared" si="2"/>
        <v>0</v>
      </c>
      <c r="M35" s="47"/>
      <c r="N35" s="50"/>
      <c r="O35" s="45"/>
      <c r="P35" s="50"/>
      <c r="Q35" s="47"/>
      <c r="R35" s="50"/>
      <c r="S35" s="45"/>
      <c r="T35" s="50"/>
      <c r="U35" s="47"/>
      <c r="V35" s="50"/>
      <c r="W35" s="47"/>
      <c r="X35" s="50"/>
      <c r="Y35" s="47"/>
      <c r="Z35" s="50"/>
      <c r="AA35" s="47"/>
      <c r="AB35" s="50"/>
      <c r="AC35" s="47"/>
      <c r="AD35" s="50"/>
      <c r="AE35" s="47"/>
      <c r="AF35" s="50"/>
      <c r="AG35" s="47"/>
      <c r="AH35" s="50"/>
      <c r="AI35" s="47"/>
      <c r="AJ35" s="50">
        <f t="shared" si="3"/>
        <v>0</v>
      </c>
      <c r="AK35" s="47"/>
      <c r="AL35" s="50"/>
      <c r="AM35" s="47"/>
      <c r="AN35" s="50"/>
      <c r="AO35" s="47"/>
      <c r="AP35" s="50"/>
      <c r="AQ35" s="32">
        <f t="shared" si="0"/>
        <v>20</v>
      </c>
      <c r="AR35" s="67">
        <v>4821</v>
      </c>
      <c r="AS35" s="65">
        <f t="shared" si="4"/>
        <v>96420</v>
      </c>
      <c r="AT35" s="79"/>
    </row>
    <row r="36" spans="1:46" ht="28.5">
      <c r="A36" s="14">
        <v>27</v>
      </c>
      <c r="B36" s="41"/>
      <c r="C36" s="20" t="s">
        <v>84</v>
      </c>
      <c r="D36" s="43" t="s">
        <v>141</v>
      </c>
      <c r="E36" s="83" t="s">
        <v>57</v>
      </c>
      <c r="F36" s="18" t="s">
        <v>85</v>
      </c>
      <c r="G36" s="12"/>
      <c r="H36" s="12"/>
      <c r="I36" s="18">
        <v>10</v>
      </c>
      <c r="J36" s="50">
        <f t="shared" si="1"/>
        <v>64050</v>
      </c>
      <c r="K36" s="45"/>
      <c r="L36" s="46">
        <f t="shared" si="2"/>
        <v>0</v>
      </c>
      <c r="M36" s="47"/>
      <c r="N36" s="50"/>
      <c r="O36" s="45"/>
      <c r="P36" s="50"/>
      <c r="Q36" s="47"/>
      <c r="R36" s="50"/>
      <c r="S36" s="45"/>
      <c r="T36" s="50"/>
      <c r="U36" s="47"/>
      <c r="V36" s="50"/>
      <c r="W36" s="47"/>
      <c r="X36" s="50"/>
      <c r="Y36" s="47"/>
      <c r="Z36" s="50"/>
      <c r="AA36" s="47"/>
      <c r="AB36" s="50"/>
      <c r="AC36" s="47"/>
      <c r="AD36" s="50"/>
      <c r="AE36" s="47"/>
      <c r="AF36" s="50"/>
      <c r="AG36" s="47"/>
      <c r="AH36" s="50"/>
      <c r="AI36" s="47"/>
      <c r="AJ36" s="50">
        <f t="shared" si="3"/>
        <v>0</v>
      </c>
      <c r="AK36" s="47"/>
      <c r="AL36" s="50"/>
      <c r="AM36" s="47"/>
      <c r="AN36" s="50"/>
      <c r="AO36" s="47"/>
      <c r="AP36" s="50"/>
      <c r="AQ36" s="32">
        <f t="shared" si="0"/>
        <v>10</v>
      </c>
      <c r="AR36" s="67">
        <v>6405</v>
      </c>
      <c r="AS36" s="65">
        <f t="shared" si="4"/>
        <v>64050</v>
      </c>
      <c r="AT36" s="79"/>
    </row>
    <row r="37" spans="1:46" ht="28.5">
      <c r="A37" s="14">
        <v>28</v>
      </c>
      <c r="B37" s="27"/>
      <c r="C37" s="20" t="s">
        <v>84</v>
      </c>
      <c r="D37" s="43" t="s">
        <v>141</v>
      </c>
      <c r="E37" s="83" t="s">
        <v>56</v>
      </c>
      <c r="F37" s="18" t="s">
        <v>85</v>
      </c>
      <c r="G37" s="21"/>
      <c r="H37" s="21"/>
      <c r="I37" s="18">
        <v>10</v>
      </c>
      <c r="J37" s="50">
        <f t="shared" si="1"/>
        <v>64050</v>
      </c>
      <c r="K37" s="45"/>
      <c r="L37" s="46">
        <f t="shared" si="2"/>
        <v>0</v>
      </c>
      <c r="M37" s="47"/>
      <c r="N37" s="50"/>
      <c r="O37" s="45"/>
      <c r="P37" s="50"/>
      <c r="Q37" s="47"/>
      <c r="R37" s="50"/>
      <c r="S37" s="45"/>
      <c r="T37" s="50"/>
      <c r="U37" s="47"/>
      <c r="V37" s="50"/>
      <c r="W37" s="47"/>
      <c r="X37" s="50"/>
      <c r="Y37" s="47"/>
      <c r="Z37" s="50"/>
      <c r="AA37" s="47"/>
      <c r="AB37" s="50"/>
      <c r="AC37" s="47"/>
      <c r="AD37" s="50"/>
      <c r="AE37" s="47"/>
      <c r="AF37" s="50"/>
      <c r="AG37" s="47"/>
      <c r="AH37" s="50"/>
      <c r="AI37" s="47"/>
      <c r="AJ37" s="50">
        <f t="shared" si="3"/>
        <v>0</v>
      </c>
      <c r="AK37" s="47"/>
      <c r="AL37" s="50"/>
      <c r="AM37" s="47"/>
      <c r="AN37" s="50"/>
      <c r="AO37" s="47"/>
      <c r="AP37" s="50"/>
      <c r="AQ37" s="32">
        <f t="shared" si="0"/>
        <v>10</v>
      </c>
      <c r="AR37" s="67">
        <v>6405</v>
      </c>
      <c r="AS37" s="65">
        <f t="shared" si="4"/>
        <v>64050</v>
      </c>
      <c r="AT37" s="79"/>
    </row>
    <row r="38" spans="1:46" ht="28.5">
      <c r="A38" s="14">
        <v>29</v>
      </c>
      <c r="B38" s="41"/>
      <c r="C38" s="20" t="s">
        <v>84</v>
      </c>
      <c r="D38" s="43" t="s">
        <v>141</v>
      </c>
      <c r="E38" s="83" t="s">
        <v>55</v>
      </c>
      <c r="F38" s="18" t="s">
        <v>85</v>
      </c>
      <c r="G38" s="9"/>
      <c r="H38" s="9"/>
      <c r="I38" s="18">
        <v>10</v>
      </c>
      <c r="J38" s="50">
        <f t="shared" si="1"/>
        <v>44400</v>
      </c>
      <c r="K38" s="45"/>
      <c r="L38" s="46">
        <f t="shared" si="2"/>
        <v>0</v>
      </c>
      <c r="M38" s="47"/>
      <c r="N38" s="50"/>
      <c r="O38" s="45"/>
      <c r="P38" s="50"/>
      <c r="Q38" s="47"/>
      <c r="R38" s="50"/>
      <c r="S38" s="45"/>
      <c r="T38" s="50"/>
      <c r="U38" s="47"/>
      <c r="V38" s="50"/>
      <c r="W38" s="47"/>
      <c r="X38" s="50"/>
      <c r="Y38" s="47"/>
      <c r="Z38" s="50"/>
      <c r="AA38" s="47"/>
      <c r="AB38" s="50"/>
      <c r="AC38" s="47"/>
      <c r="AD38" s="50"/>
      <c r="AE38" s="47"/>
      <c r="AF38" s="50"/>
      <c r="AG38" s="47"/>
      <c r="AH38" s="50"/>
      <c r="AI38" s="47"/>
      <c r="AJ38" s="50">
        <f t="shared" si="3"/>
        <v>0</v>
      </c>
      <c r="AK38" s="47"/>
      <c r="AL38" s="50"/>
      <c r="AM38" s="47"/>
      <c r="AN38" s="50"/>
      <c r="AO38" s="47"/>
      <c r="AP38" s="50"/>
      <c r="AQ38" s="32">
        <f t="shared" si="0"/>
        <v>10</v>
      </c>
      <c r="AR38" s="67">
        <v>4440</v>
      </c>
      <c r="AS38" s="65">
        <f t="shared" si="4"/>
        <v>44400</v>
      </c>
      <c r="AT38" s="79"/>
    </row>
    <row r="39" spans="1:46" ht="28.5">
      <c r="A39" s="14">
        <v>30</v>
      </c>
      <c r="B39" s="27"/>
      <c r="C39" s="20" t="s">
        <v>84</v>
      </c>
      <c r="D39" s="43" t="s">
        <v>141</v>
      </c>
      <c r="E39" s="83" t="s">
        <v>54</v>
      </c>
      <c r="F39" s="18" t="s">
        <v>85</v>
      </c>
      <c r="G39" s="12"/>
      <c r="H39" s="12"/>
      <c r="I39" s="18">
        <v>10</v>
      </c>
      <c r="J39" s="50">
        <f t="shared" si="1"/>
        <v>44400</v>
      </c>
      <c r="K39" s="45"/>
      <c r="L39" s="46">
        <f t="shared" si="2"/>
        <v>0</v>
      </c>
      <c r="M39" s="47"/>
      <c r="N39" s="50"/>
      <c r="O39" s="45"/>
      <c r="P39" s="50"/>
      <c r="Q39" s="47"/>
      <c r="R39" s="50"/>
      <c r="S39" s="45"/>
      <c r="T39" s="50"/>
      <c r="U39" s="47"/>
      <c r="V39" s="50"/>
      <c r="W39" s="47"/>
      <c r="X39" s="50"/>
      <c r="Y39" s="47"/>
      <c r="Z39" s="50"/>
      <c r="AA39" s="47"/>
      <c r="AB39" s="50"/>
      <c r="AC39" s="47"/>
      <c r="AD39" s="50"/>
      <c r="AE39" s="47"/>
      <c r="AF39" s="50"/>
      <c r="AG39" s="47"/>
      <c r="AH39" s="50"/>
      <c r="AI39" s="47"/>
      <c r="AJ39" s="50">
        <f t="shared" si="3"/>
        <v>0</v>
      </c>
      <c r="AK39" s="47"/>
      <c r="AL39" s="50"/>
      <c r="AM39" s="47"/>
      <c r="AN39" s="50"/>
      <c r="AO39" s="47"/>
      <c r="AP39" s="50"/>
      <c r="AQ39" s="32">
        <f t="shared" si="0"/>
        <v>10</v>
      </c>
      <c r="AR39" s="67">
        <v>4440</v>
      </c>
      <c r="AS39" s="65">
        <f t="shared" si="4"/>
        <v>44400</v>
      </c>
      <c r="AT39" s="79"/>
    </row>
    <row r="40" spans="1:46" ht="28.5">
      <c r="A40" s="14">
        <v>31</v>
      </c>
      <c r="B40" s="27"/>
      <c r="C40" s="20" t="s">
        <v>84</v>
      </c>
      <c r="D40" s="43" t="s">
        <v>141</v>
      </c>
      <c r="E40" s="83" t="s">
        <v>53</v>
      </c>
      <c r="F40" s="18" t="s">
        <v>85</v>
      </c>
      <c r="G40" s="22"/>
      <c r="H40" s="22"/>
      <c r="I40" s="18">
        <v>10</v>
      </c>
      <c r="J40" s="50">
        <f t="shared" si="1"/>
        <v>181780</v>
      </c>
      <c r="K40" s="45"/>
      <c r="L40" s="46">
        <f t="shared" si="2"/>
        <v>0</v>
      </c>
      <c r="M40" s="47"/>
      <c r="N40" s="50"/>
      <c r="O40" s="45"/>
      <c r="P40" s="50"/>
      <c r="Q40" s="47"/>
      <c r="R40" s="50"/>
      <c r="S40" s="45"/>
      <c r="T40" s="50"/>
      <c r="U40" s="47"/>
      <c r="V40" s="50"/>
      <c r="W40" s="47"/>
      <c r="X40" s="50"/>
      <c r="Y40" s="47"/>
      <c r="Z40" s="50"/>
      <c r="AA40" s="47"/>
      <c r="AB40" s="50"/>
      <c r="AC40" s="47"/>
      <c r="AD40" s="50"/>
      <c r="AE40" s="47"/>
      <c r="AF40" s="50"/>
      <c r="AG40" s="47"/>
      <c r="AH40" s="50"/>
      <c r="AI40" s="47"/>
      <c r="AJ40" s="50">
        <f t="shared" si="3"/>
        <v>0</v>
      </c>
      <c r="AK40" s="47"/>
      <c r="AL40" s="50"/>
      <c r="AM40" s="47"/>
      <c r="AN40" s="50"/>
      <c r="AO40" s="47"/>
      <c r="AP40" s="50"/>
      <c r="AQ40" s="32">
        <f t="shared" si="0"/>
        <v>10</v>
      </c>
      <c r="AR40" s="67">
        <v>18178</v>
      </c>
      <c r="AS40" s="65">
        <f t="shared" si="4"/>
        <v>181780</v>
      </c>
      <c r="AT40" s="79"/>
    </row>
    <row r="41" spans="1:46" ht="28.5">
      <c r="A41" s="14">
        <v>32</v>
      </c>
      <c r="B41" s="41"/>
      <c r="C41" s="20" t="s">
        <v>84</v>
      </c>
      <c r="D41" s="43" t="s">
        <v>141</v>
      </c>
      <c r="E41" s="83" t="s">
        <v>52</v>
      </c>
      <c r="F41" s="18" t="s">
        <v>85</v>
      </c>
      <c r="G41" s="9"/>
      <c r="H41" s="9"/>
      <c r="I41" s="18">
        <v>10</v>
      </c>
      <c r="J41" s="50">
        <f t="shared" si="1"/>
        <v>73830</v>
      </c>
      <c r="K41" s="45"/>
      <c r="L41" s="46">
        <f t="shared" si="2"/>
        <v>0</v>
      </c>
      <c r="M41" s="47"/>
      <c r="N41" s="50"/>
      <c r="O41" s="45"/>
      <c r="P41" s="50"/>
      <c r="Q41" s="47"/>
      <c r="R41" s="50"/>
      <c r="S41" s="45"/>
      <c r="T41" s="50"/>
      <c r="U41" s="47"/>
      <c r="V41" s="50"/>
      <c r="W41" s="47"/>
      <c r="X41" s="50"/>
      <c r="Y41" s="47"/>
      <c r="Z41" s="50"/>
      <c r="AA41" s="47"/>
      <c r="AB41" s="50"/>
      <c r="AC41" s="47"/>
      <c r="AD41" s="50"/>
      <c r="AE41" s="47"/>
      <c r="AF41" s="50"/>
      <c r="AG41" s="47"/>
      <c r="AH41" s="50"/>
      <c r="AI41" s="47"/>
      <c r="AJ41" s="50">
        <f t="shared" si="3"/>
        <v>0</v>
      </c>
      <c r="AK41" s="47"/>
      <c r="AL41" s="50"/>
      <c r="AM41" s="47"/>
      <c r="AN41" s="50"/>
      <c r="AO41" s="47"/>
      <c r="AP41" s="50"/>
      <c r="AQ41" s="32">
        <f t="shared" si="0"/>
        <v>10</v>
      </c>
      <c r="AR41" s="67">
        <v>7383</v>
      </c>
      <c r="AS41" s="65">
        <f t="shared" si="4"/>
        <v>73830</v>
      </c>
      <c r="AT41" s="79"/>
    </row>
    <row r="42" spans="1:46" ht="28.5">
      <c r="A42" s="14">
        <v>33</v>
      </c>
      <c r="B42" s="41"/>
      <c r="C42" s="20" t="s">
        <v>84</v>
      </c>
      <c r="D42" s="43" t="s">
        <v>141</v>
      </c>
      <c r="E42" s="83" t="s">
        <v>51</v>
      </c>
      <c r="F42" s="18" t="s">
        <v>85</v>
      </c>
      <c r="G42" s="8"/>
      <c r="H42" s="8"/>
      <c r="I42" s="18">
        <v>10</v>
      </c>
      <c r="J42" s="50">
        <f t="shared" si="1"/>
        <v>86560</v>
      </c>
      <c r="K42" s="45"/>
      <c r="L42" s="46">
        <f t="shared" si="2"/>
        <v>0</v>
      </c>
      <c r="M42" s="47"/>
      <c r="N42" s="50"/>
      <c r="O42" s="45"/>
      <c r="P42" s="50"/>
      <c r="Q42" s="47"/>
      <c r="R42" s="50"/>
      <c r="S42" s="45"/>
      <c r="T42" s="50"/>
      <c r="U42" s="47"/>
      <c r="V42" s="50"/>
      <c r="W42" s="47"/>
      <c r="X42" s="50"/>
      <c r="Y42" s="47"/>
      <c r="Z42" s="50"/>
      <c r="AA42" s="47"/>
      <c r="AB42" s="50"/>
      <c r="AC42" s="47"/>
      <c r="AD42" s="50"/>
      <c r="AE42" s="47"/>
      <c r="AF42" s="50"/>
      <c r="AG42" s="47"/>
      <c r="AH42" s="50"/>
      <c r="AI42" s="47"/>
      <c r="AJ42" s="50">
        <f t="shared" si="3"/>
        <v>0</v>
      </c>
      <c r="AK42" s="47"/>
      <c r="AL42" s="50"/>
      <c r="AM42" s="47"/>
      <c r="AN42" s="50"/>
      <c r="AO42" s="47"/>
      <c r="AP42" s="50"/>
      <c r="AQ42" s="32">
        <f t="shared" ref="AQ42:AQ73" si="5">+AO42+AM42+AK42+AI42+AG42+AE42+AC42+AA42+Y42+W42+U42+S42+Q42+O42+M42+K42+I42+G42</f>
        <v>10</v>
      </c>
      <c r="AR42" s="67">
        <v>8656</v>
      </c>
      <c r="AS42" s="65">
        <f t="shared" si="4"/>
        <v>86560</v>
      </c>
      <c r="AT42" s="79"/>
    </row>
    <row r="43" spans="1:46" ht="28.5">
      <c r="A43" s="14">
        <v>34</v>
      </c>
      <c r="B43" s="41"/>
      <c r="C43" s="20" t="s">
        <v>84</v>
      </c>
      <c r="D43" s="43" t="s">
        <v>141</v>
      </c>
      <c r="E43" s="83" t="s">
        <v>50</v>
      </c>
      <c r="F43" s="18" t="s">
        <v>85</v>
      </c>
      <c r="G43" s="18"/>
      <c r="H43" s="18"/>
      <c r="I43" s="18">
        <v>2</v>
      </c>
      <c r="J43" s="50">
        <f t="shared" si="1"/>
        <v>21736</v>
      </c>
      <c r="K43" s="45"/>
      <c r="L43" s="46">
        <f t="shared" si="2"/>
        <v>0</v>
      </c>
      <c r="M43" s="47"/>
      <c r="N43" s="50"/>
      <c r="O43" s="45"/>
      <c r="P43" s="50"/>
      <c r="Q43" s="47"/>
      <c r="R43" s="50"/>
      <c r="S43" s="45"/>
      <c r="T43" s="50"/>
      <c r="U43" s="47"/>
      <c r="V43" s="50"/>
      <c r="W43" s="47"/>
      <c r="X43" s="50"/>
      <c r="Y43" s="47"/>
      <c r="Z43" s="50"/>
      <c r="AA43" s="47"/>
      <c r="AB43" s="50"/>
      <c r="AC43" s="47"/>
      <c r="AD43" s="50"/>
      <c r="AE43" s="47"/>
      <c r="AF43" s="50"/>
      <c r="AG43" s="47"/>
      <c r="AH43" s="50"/>
      <c r="AI43" s="47"/>
      <c r="AJ43" s="50">
        <f t="shared" si="3"/>
        <v>0</v>
      </c>
      <c r="AK43" s="47"/>
      <c r="AL43" s="50"/>
      <c r="AM43" s="47"/>
      <c r="AN43" s="50"/>
      <c r="AO43" s="47"/>
      <c r="AP43" s="50"/>
      <c r="AQ43" s="32">
        <f t="shared" si="5"/>
        <v>2</v>
      </c>
      <c r="AR43" s="67">
        <v>10868</v>
      </c>
      <c r="AS43" s="65">
        <f t="shared" si="4"/>
        <v>21736</v>
      </c>
      <c r="AT43" s="79"/>
    </row>
    <row r="44" spans="1:46" ht="28.5">
      <c r="A44" s="14">
        <v>35</v>
      </c>
      <c r="B44" s="27"/>
      <c r="C44" s="20" t="s">
        <v>84</v>
      </c>
      <c r="D44" s="43" t="s">
        <v>141</v>
      </c>
      <c r="E44" s="83" t="s">
        <v>49</v>
      </c>
      <c r="F44" s="18" t="s">
        <v>85</v>
      </c>
      <c r="G44" s="8"/>
      <c r="H44" s="8"/>
      <c r="I44" s="18">
        <v>10</v>
      </c>
      <c r="J44" s="50">
        <f t="shared" si="1"/>
        <v>14770</v>
      </c>
      <c r="K44" s="45"/>
      <c r="L44" s="46">
        <f t="shared" si="2"/>
        <v>0</v>
      </c>
      <c r="M44" s="47"/>
      <c r="N44" s="50"/>
      <c r="O44" s="45"/>
      <c r="P44" s="50"/>
      <c r="Q44" s="47"/>
      <c r="R44" s="50"/>
      <c r="S44" s="45"/>
      <c r="T44" s="50"/>
      <c r="U44" s="47"/>
      <c r="V44" s="50"/>
      <c r="W44" s="47"/>
      <c r="X44" s="50"/>
      <c r="Y44" s="47"/>
      <c r="Z44" s="50"/>
      <c r="AA44" s="47"/>
      <c r="AB44" s="50"/>
      <c r="AC44" s="47"/>
      <c r="AD44" s="50"/>
      <c r="AE44" s="47"/>
      <c r="AF44" s="50"/>
      <c r="AG44" s="47"/>
      <c r="AH44" s="50"/>
      <c r="AI44" s="47"/>
      <c r="AJ44" s="50">
        <f t="shared" si="3"/>
        <v>0</v>
      </c>
      <c r="AK44" s="47"/>
      <c r="AL44" s="50"/>
      <c r="AM44" s="47"/>
      <c r="AN44" s="50"/>
      <c r="AO44" s="47"/>
      <c r="AP44" s="50"/>
      <c r="AQ44" s="32">
        <f t="shared" si="5"/>
        <v>10</v>
      </c>
      <c r="AR44" s="67">
        <v>1477</v>
      </c>
      <c r="AS44" s="65">
        <f t="shared" si="4"/>
        <v>14770</v>
      </c>
      <c r="AT44" s="79"/>
    </row>
    <row r="45" spans="1:46" ht="42.75">
      <c r="A45" s="14">
        <v>36</v>
      </c>
      <c r="B45" s="15"/>
      <c r="C45" s="20" t="s">
        <v>84</v>
      </c>
      <c r="D45" s="43" t="s">
        <v>141</v>
      </c>
      <c r="E45" s="83" t="s">
        <v>48</v>
      </c>
      <c r="F45" s="18" t="s">
        <v>85</v>
      </c>
      <c r="G45" s="18"/>
      <c r="H45" s="18"/>
      <c r="I45" s="18">
        <v>10</v>
      </c>
      <c r="J45" s="50">
        <f t="shared" si="1"/>
        <v>110180</v>
      </c>
      <c r="K45" s="45"/>
      <c r="L45" s="46">
        <f t="shared" si="2"/>
        <v>0</v>
      </c>
      <c r="M45" s="47"/>
      <c r="N45" s="50"/>
      <c r="O45" s="45"/>
      <c r="P45" s="50"/>
      <c r="Q45" s="47"/>
      <c r="R45" s="50"/>
      <c r="S45" s="45"/>
      <c r="T45" s="50"/>
      <c r="U45" s="47"/>
      <c r="V45" s="50"/>
      <c r="W45" s="47"/>
      <c r="X45" s="50"/>
      <c r="Y45" s="47"/>
      <c r="Z45" s="50"/>
      <c r="AA45" s="47"/>
      <c r="AB45" s="50"/>
      <c r="AC45" s="47"/>
      <c r="AD45" s="50"/>
      <c r="AE45" s="47"/>
      <c r="AF45" s="50"/>
      <c r="AG45" s="47"/>
      <c r="AH45" s="50"/>
      <c r="AI45" s="47"/>
      <c r="AJ45" s="50">
        <f t="shared" si="3"/>
        <v>0</v>
      </c>
      <c r="AK45" s="47"/>
      <c r="AL45" s="50"/>
      <c r="AM45" s="47"/>
      <c r="AN45" s="50"/>
      <c r="AO45" s="47"/>
      <c r="AP45" s="50"/>
      <c r="AQ45" s="32">
        <f t="shared" si="5"/>
        <v>10</v>
      </c>
      <c r="AR45" s="67">
        <v>11018</v>
      </c>
      <c r="AS45" s="65">
        <f t="shared" si="4"/>
        <v>110180</v>
      </c>
      <c r="AT45" s="79"/>
    </row>
    <row r="46" spans="1:46" ht="28.5">
      <c r="A46" s="14">
        <v>37</v>
      </c>
      <c r="B46" s="41"/>
      <c r="C46" s="20" t="s">
        <v>84</v>
      </c>
      <c r="D46" s="43" t="s">
        <v>141</v>
      </c>
      <c r="E46" s="83" t="s">
        <v>47</v>
      </c>
      <c r="F46" s="18" t="s">
        <v>85</v>
      </c>
      <c r="G46" s="18"/>
      <c r="H46" s="18"/>
      <c r="I46" s="18">
        <v>2</v>
      </c>
      <c r="J46" s="50">
        <f t="shared" si="1"/>
        <v>11696</v>
      </c>
      <c r="K46" s="45"/>
      <c r="L46" s="46">
        <f t="shared" si="2"/>
        <v>0</v>
      </c>
      <c r="M46" s="47"/>
      <c r="N46" s="50"/>
      <c r="O46" s="45"/>
      <c r="P46" s="50"/>
      <c r="Q46" s="47"/>
      <c r="R46" s="50"/>
      <c r="S46" s="45"/>
      <c r="T46" s="50"/>
      <c r="U46" s="47"/>
      <c r="V46" s="50"/>
      <c r="W46" s="47"/>
      <c r="X46" s="50"/>
      <c r="Y46" s="47"/>
      <c r="Z46" s="50"/>
      <c r="AA46" s="47"/>
      <c r="AB46" s="50"/>
      <c r="AC46" s="47"/>
      <c r="AD46" s="50"/>
      <c r="AE46" s="47"/>
      <c r="AF46" s="50"/>
      <c r="AG46" s="47"/>
      <c r="AH46" s="50"/>
      <c r="AI46" s="47"/>
      <c r="AJ46" s="50">
        <f t="shared" si="3"/>
        <v>0</v>
      </c>
      <c r="AK46" s="47"/>
      <c r="AL46" s="50"/>
      <c r="AM46" s="47"/>
      <c r="AN46" s="50"/>
      <c r="AO46" s="47"/>
      <c r="AP46" s="50"/>
      <c r="AQ46" s="32">
        <f t="shared" si="5"/>
        <v>2</v>
      </c>
      <c r="AR46" s="67">
        <v>5848</v>
      </c>
      <c r="AS46" s="65">
        <f t="shared" si="4"/>
        <v>11696</v>
      </c>
      <c r="AT46" s="79"/>
    </row>
    <row r="47" spans="1:46" ht="28.5">
      <c r="A47" s="14">
        <v>38</v>
      </c>
      <c r="B47" s="73"/>
      <c r="C47" s="20" t="s">
        <v>84</v>
      </c>
      <c r="D47" s="43" t="s">
        <v>141</v>
      </c>
      <c r="E47" s="83" t="s">
        <v>46</v>
      </c>
      <c r="F47" s="18" t="s">
        <v>85</v>
      </c>
      <c r="G47" s="12"/>
      <c r="H47" s="12"/>
      <c r="I47" s="18">
        <v>20</v>
      </c>
      <c r="J47" s="50">
        <f t="shared" si="1"/>
        <v>471660</v>
      </c>
      <c r="K47" s="45"/>
      <c r="L47" s="46">
        <f t="shared" si="2"/>
        <v>0</v>
      </c>
      <c r="M47" s="47"/>
      <c r="N47" s="50"/>
      <c r="O47" s="45"/>
      <c r="P47" s="50"/>
      <c r="Q47" s="47"/>
      <c r="R47" s="50"/>
      <c r="S47" s="45"/>
      <c r="T47" s="50"/>
      <c r="U47" s="47"/>
      <c r="V47" s="50"/>
      <c r="W47" s="47"/>
      <c r="X47" s="50"/>
      <c r="Y47" s="47"/>
      <c r="Z47" s="50"/>
      <c r="AA47" s="47"/>
      <c r="AB47" s="50"/>
      <c r="AC47" s="47"/>
      <c r="AD47" s="50"/>
      <c r="AE47" s="47"/>
      <c r="AF47" s="50"/>
      <c r="AG47" s="47"/>
      <c r="AH47" s="50"/>
      <c r="AI47" s="47"/>
      <c r="AJ47" s="50">
        <f t="shared" si="3"/>
        <v>0</v>
      </c>
      <c r="AK47" s="47"/>
      <c r="AL47" s="50"/>
      <c r="AM47" s="47"/>
      <c r="AN47" s="50"/>
      <c r="AO47" s="47"/>
      <c r="AP47" s="50"/>
      <c r="AQ47" s="32">
        <f t="shared" si="5"/>
        <v>20</v>
      </c>
      <c r="AR47" s="67">
        <v>23583</v>
      </c>
      <c r="AS47" s="65">
        <f t="shared" si="4"/>
        <v>471660</v>
      </c>
      <c r="AT47" s="79"/>
    </row>
    <row r="48" spans="1:46" ht="28.5">
      <c r="A48" s="14">
        <v>39</v>
      </c>
      <c r="B48" s="33"/>
      <c r="C48" s="20" t="s">
        <v>84</v>
      </c>
      <c r="D48" s="43" t="s">
        <v>141</v>
      </c>
      <c r="E48" s="83" t="s">
        <v>45</v>
      </c>
      <c r="F48" s="18" t="s">
        <v>85</v>
      </c>
      <c r="G48" s="12"/>
      <c r="H48" s="12"/>
      <c r="I48" s="18">
        <v>3</v>
      </c>
      <c r="J48" s="50">
        <f t="shared" si="1"/>
        <v>9444</v>
      </c>
      <c r="K48" s="45"/>
      <c r="L48" s="46">
        <f t="shared" si="2"/>
        <v>0</v>
      </c>
      <c r="M48" s="47"/>
      <c r="N48" s="50"/>
      <c r="O48" s="45"/>
      <c r="P48" s="50"/>
      <c r="Q48" s="47"/>
      <c r="R48" s="50"/>
      <c r="S48" s="45"/>
      <c r="T48" s="50"/>
      <c r="U48" s="47"/>
      <c r="V48" s="50"/>
      <c r="W48" s="47"/>
      <c r="X48" s="50"/>
      <c r="Y48" s="47"/>
      <c r="Z48" s="50"/>
      <c r="AA48" s="47"/>
      <c r="AB48" s="50"/>
      <c r="AC48" s="47"/>
      <c r="AD48" s="50"/>
      <c r="AE48" s="47"/>
      <c r="AF48" s="50"/>
      <c r="AG48" s="47"/>
      <c r="AH48" s="50"/>
      <c r="AI48" s="47"/>
      <c r="AJ48" s="50">
        <f t="shared" si="3"/>
        <v>0</v>
      </c>
      <c r="AK48" s="47"/>
      <c r="AL48" s="50"/>
      <c r="AM48" s="47"/>
      <c r="AN48" s="50"/>
      <c r="AO48" s="47"/>
      <c r="AP48" s="50"/>
      <c r="AQ48" s="32">
        <f t="shared" si="5"/>
        <v>3</v>
      </c>
      <c r="AR48" s="67">
        <v>3148</v>
      </c>
      <c r="AS48" s="65">
        <f t="shared" si="4"/>
        <v>9444</v>
      </c>
      <c r="AT48" s="79"/>
    </row>
    <row r="49" spans="1:46" ht="28.5">
      <c r="A49" s="14">
        <v>40</v>
      </c>
      <c r="B49" s="33"/>
      <c r="C49" s="20" t="s">
        <v>84</v>
      </c>
      <c r="D49" s="43" t="s">
        <v>141</v>
      </c>
      <c r="E49" s="83" t="s">
        <v>44</v>
      </c>
      <c r="F49" s="18" t="s">
        <v>85</v>
      </c>
      <c r="G49" s="8"/>
      <c r="H49" s="8"/>
      <c r="I49" s="18">
        <v>10</v>
      </c>
      <c r="J49" s="50">
        <f t="shared" si="1"/>
        <v>242910</v>
      </c>
      <c r="K49" s="45"/>
      <c r="L49" s="46">
        <f t="shared" si="2"/>
        <v>0</v>
      </c>
      <c r="M49" s="47"/>
      <c r="N49" s="50"/>
      <c r="O49" s="45"/>
      <c r="P49" s="50"/>
      <c r="Q49" s="47"/>
      <c r="R49" s="50"/>
      <c r="S49" s="45"/>
      <c r="T49" s="50"/>
      <c r="U49" s="47"/>
      <c r="V49" s="50"/>
      <c r="W49" s="47"/>
      <c r="X49" s="50"/>
      <c r="Y49" s="47"/>
      <c r="Z49" s="50"/>
      <c r="AA49" s="47"/>
      <c r="AB49" s="50"/>
      <c r="AC49" s="47"/>
      <c r="AD49" s="50"/>
      <c r="AE49" s="47"/>
      <c r="AF49" s="50"/>
      <c r="AG49" s="47"/>
      <c r="AH49" s="50"/>
      <c r="AI49" s="47"/>
      <c r="AJ49" s="50">
        <f t="shared" si="3"/>
        <v>0</v>
      </c>
      <c r="AK49" s="47"/>
      <c r="AL49" s="50"/>
      <c r="AM49" s="47"/>
      <c r="AN49" s="50"/>
      <c r="AO49" s="47"/>
      <c r="AP49" s="50"/>
      <c r="AQ49" s="32">
        <f t="shared" si="5"/>
        <v>10</v>
      </c>
      <c r="AR49" s="67">
        <v>24291</v>
      </c>
      <c r="AS49" s="65">
        <f t="shared" si="4"/>
        <v>242910</v>
      </c>
      <c r="AT49" s="79"/>
    </row>
    <row r="50" spans="1:46" ht="28.5">
      <c r="A50" s="14">
        <v>41</v>
      </c>
      <c r="B50" s="33"/>
      <c r="C50" s="20" t="s">
        <v>84</v>
      </c>
      <c r="D50" s="43" t="s">
        <v>141</v>
      </c>
      <c r="E50" s="83" t="s">
        <v>43</v>
      </c>
      <c r="F50" s="18" t="s">
        <v>85</v>
      </c>
      <c r="G50" s="8"/>
      <c r="H50" s="8"/>
      <c r="I50" s="18">
        <v>20</v>
      </c>
      <c r="J50" s="50">
        <f t="shared" si="1"/>
        <v>107740</v>
      </c>
      <c r="K50" s="45"/>
      <c r="L50" s="46">
        <f t="shared" si="2"/>
        <v>0</v>
      </c>
      <c r="M50" s="47"/>
      <c r="N50" s="50"/>
      <c r="O50" s="45"/>
      <c r="P50" s="50"/>
      <c r="Q50" s="47"/>
      <c r="R50" s="50"/>
      <c r="S50" s="45"/>
      <c r="T50" s="50"/>
      <c r="U50" s="47"/>
      <c r="V50" s="50"/>
      <c r="W50" s="47"/>
      <c r="X50" s="50"/>
      <c r="Y50" s="47"/>
      <c r="Z50" s="50"/>
      <c r="AA50" s="47"/>
      <c r="AB50" s="50"/>
      <c r="AC50" s="47"/>
      <c r="AD50" s="50"/>
      <c r="AE50" s="47"/>
      <c r="AF50" s="50"/>
      <c r="AG50" s="47"/>
      <c r="AH50" s="50"/>
      <c r="AI50" s="47"/>
      <c r="AJ50" s="50">
        <f t="shared" si="3"/>
        <v>0</v>
      </c>
      <c r="AK50" s="47"/>
      <c r="AL50" s="50"/>
      <c r="AM50" s="47"/>
      <c r="AN50" s="50"/>
      <c r="AO50" s="47"/>
      <c r="AP50" s="50"/>
      <c r="AQ50" s="32">
        <f t="shared" si="5"/>
        <v>20</v>
      </c>
      <c r="AR50" s="67">
        <v>5387</v>
      </c>
      <c r="AS50" s="65">
        <f t="shared" si="4"/>
        <v>107740</v>
      </c>
      <c r="AT50" s="79"/>
    </row>
    <row r="51" spans="1:46" ht="28.5">
      <c r="A51" s="14">
        <v>42</v>
      </c>
      <c r="B51" s="41"/>
      <c r="C51" s="20" t="s">
        <v>84</v>
      </c>
      <c r="D51" s="43" t="s">
        <v>141</v>
      </c>
      <c r="E51" s="83" t="s">
        <v>42</v>
      </c>
      <c r="F51" s="18" t="s">
        <v>85</v>
      </c>
      <c r="G51" s="21"/>
      <c r="H51" s="21"/>
      <c r="I51" s="18">
        <v>5</v>
      </c>
      <c r="J51" s="50">
        <f t="shared" si="1"/>
        <v>13615</v>
      </c>
      <c r="K51" s="45"/>
      <c r="L51" s="46">
        <f t="shared" si="2"/>
        <v>0</v>
      </c>
      <c r="M51" s="47"/>
      <c r="N51" s="50"/>
      <c r="O51" s="45"/>
      <c r="P51" s="50"/>
      <c r="Q51" s="47"/>
      <c r="R51" s="50"/>
      <c r="S51" s="45"/>
      <c r="T51" s="50"/>
      <c r="U51" s="47"/>
      <c r="V51" s="50"/>
      <c r="W51" s="47"/>
      <c r="X51" s="50"/>
      <c r="Y51" s="47"/>
      <c r="Z51" s="50"/>
      <c r="AA51" s="47"/>
      <c r="AB51" s="50"/>
      <c r="AC51" s="47"/>
      <c r="AD51" s="50"/>
      <c r="AE51" s="47"/>
      <c r="AF51" s="50"/>
      <c r="AG51" s="47"/>
      <c r="AH51" s="50"/>
      <c r="AI51" s="47"/>
      <c r="AJ51" s="50">
        <f t="shared" si="3"/>
        <v>0</v>
      </c>
      <c r="AK51" s="47"/>
      <c r="AL51" s="50"/>
      <c r="AM51" s="47"/>
      <c r="AN51" s="50"/>
      <c r="AO51" s="47"/>
      <c r="AP51" s="50"/>
      <c r="AQ51" s="32">
        <f t="shared" si="5"/>
        <v>5</v>
      </c>
      <c r="AR51" s="67">
        <v>2723</v>
      </c>
      <c r="AS51" s="65">
        <f t="shared" si="4"/>
        <v>13615</v>
      </c>
      <c r="AT51" s="79"/>
    </row>
    <row r="52" spans="1:46" ht="28.5">
      <c r="A52" s="14">
        <v>43</v>
      </c>
      <c r="B52" s="41"/>
      <c r="C52" s="20" t="s">
        <v>84</v>
      </c>
      <c r="D52" s="43" t="s">
        <v>141</v>
      </c>
      <c r="E52" s="83" t="s">
        <v>41</v>
      </c>
      <c r="F52" s="18" t="s">
        <v>85</v>
      </c>
      <c r="G52" s="21"/>
      <c r="H52" s="21"/>
      <c r="I52" s="18">
        <v>30</v>
      </c>
      <c r="J52" s="50">
        <f t="shared" si="1"/>
        <v>48300</v>
      </c>
      <c r="K52" s="45"/>
      <c r="L52" s="46">
        <f t="shared" si="2"/>
        <v>0</v>
      </c>
      <c r="M52" s="47"/>
      <c r="N52" s="50"/>
      <c r="O52" s="45"/>
      <c r="P52" s="50"/>
      <c r="Q52" s="47"/>
      <c r="R52" s="50"/>
      <c r="S52" s="45"/>
      <c r="T52" s="50"/>
      <c r="U52" s="47"/>
      <c r="V52" s="50"/>
      <c r="W52" s="47"/>
      <c r="X52" s="50"/>
      <c r="Y52" s="47"/>
      <c r="Z52" s="50"/>
      <c r="AA52" s="47"/>
      <c r="AB52" s="50"/>
      <c r="AC52" s="47"/>
      <c r="AD52" s="50"/>
      <c r="AE52" s="47"/>
      <c r="AF52" s="50"/>
      <c r="AG52" s="47"/>
      <c r="AH52" s="50"/>
      <c r="AI52" s="47"/>
      <c r="AJ52" s="50">
        <f t="shared" si="3"/>
        <v>0</v>
      </c>
      <c r="AK52" s="47"/>
      <c r="AL52" s="50"/>
      <c r="AM52" s="47"/>
      <c r="AN52" s="50"/>
      <c r="AO52" s="47"/>
      <c r="AP52" s="50"/>
      <c r="AQ52" s="32">
        <f t="shared" si="5"/>
        <v>30</v>
      </c>
      <c r="AR52" s="67">
        <v>1610</v>
      </c>
      <c r="AS52" s="65">
        <f t="shared" si="4"/>
        <v>48300</v>
      </c>
      <c r="AT52" s="79"/>
    </row>
    <row r="53" spans="1:46" ht="28.5">
      <c r="A53" s="14">
        <v>44</v>
      </c>
      <c r="B53" s="12"/>
      <c r="C53" s="20" t="s">
        <v>84</v>
      </c>
      <c r="D53" s="43" t="s">
        <v>141</v>
      </c>
      <c r="E53" s="83" t="s">
        <v>40</v>
      </c>
      <c r="F53" s="18" t="s">
        <v>85</v>
      </c>
      <c r="G53" s="9"/>
      <c r="H53" s="9"/>
      <c r="I53" s="18">
        <v>20</v>
      </c>
      <c r="J53" s="50">
        <f t="shared" si="1"/>
        <v>60060</v>
      </c>
      <c r="K53" s="45"/>
      <c r="L53" s="46">
        <f t="shared" si="2"/>
        <v>0</v>
      </c>
      <c r="M53" s="47"/>
      <c r="N53" s="50"/>
      <c r="O53" s="45"/>
      <c r="P53" s="50"/>
      <c r="Q53" s="47"/>
      <c r="R53" s="50"/>
      <c r="S53" s="45"/>
      <c r="T53" s="50"/>
      <c r="U53" s="47"/>
      <c r="V53" s="50"/>
      <c r="W53" s="47"/>
      <c r="X53" s="50"/>
      <c r="Y53" s="47"/>
      <c r="Z53" s="50"/>
      <c r="AA53" s="47"/>
      <c r="AB53" s="50"/>
      <c r="AC53" s="47"/>
      <c r="AD53" s="50"/>
      <c r="AE53" s="47"/>
      <c r="AF53" s="50"/>
      <c r="AG53" s="47"/>
      <c r="AH53" s="50"/>
      <c r="AI53" s="47"/>
      <c r="AJ53" s="50">
        <f t="shared" si="3"/>
        <v>0</v>
      </c>
      <c r="AK53" s="47"/>
      <c r="AL53" s="50"/>
      <c r="AM53" s="47"/>
      <c r="AN53" s="50"/>
      <c r="AO53" s="47"/>
      <c r="AP53" s="50"/>
      <c r="AQ53" s="32">
        <f t="shared" si="5"/>
        <v>20</v>
      </c>
      <c r="AR53" s="67">
        <v>3003</v>
      </c>
      <c r="AS53" s="65">
        <f t="shared" si="4"/>
        <v>60060</v>
      </c>
      <c r="AT53" s="79"/>
    </row>
    <row r="54" spans="1:46" ht="28.5">
      <c r="A54" s="14">
        <v>45</v>
      </c>
      <c r="B54" s="33"/>
      <c r="C54" s="20" t="s">
        <v>84</v>
      </c>
      <c r="D54" s="43" t="s">
        <v>141</v>
      </c>
      <c r="E54" s="83" t="s">
        <v>39</v>
      </c>
      <c r="F54" s="18" t="s">
        <v>85</v>
      </c>
      <c r="G54" s="12"/>
      <c r="H54" s="12"/>
      <c r="I54" s="18">
        <v>20</v>
      </c>
      <c r="J54" s="50">
        <f t="shared" si="1"/>
        <v>12060</v>
      </c>
      <c r="K54" s="45"/>
      <c r="L54" s="46">
        <f t="shared" si="2"/>
        <v>0</v>
      </c>
      <c r="M54" s="47"/>
      <c r="N54" s="50"/>
      <c r="O54" s="45"/>
      <c r="P54" s="50"/>
      <c r="Q54" s="47"/>
      <c r="R54" s="50"/>
      <c r="S54" s="45"/>
      <c r="T54" s="50"/>
      <c r="U54" s="47"/>
      <c r="V54" s="50"/>
      <c r="W54" s="47"/>
      <c r="X54" s="50"/>
      <c r="Y54" s="47"/>
      <c r="Z54" s="50"/>
      <c r="AA54" s="47"/>
      <c r="AB54" s="50"/>
      <c r="AC54" s="47"/>
      <c r="AD54" s="50"/>
      <c r="AE54" s="47"/>
      <c r="AF54" s="50"/>
      <c r="AG54" s="47"/>
      <c r="AH54" s="50"/>
      <c r="AI54" s="47"/>
      <c r="AJ54" s="50">
        <f t="shared" si="3"/>
        <v>0</v>
      </c>
      <c r="AK54" s="47"/>
      <c r="AL54" s="50"/>
      <c r="AM54" s="47"/>
      <c r="AN54" s="50"/>
      <c r="AO54" s="47"/>
      <c r="AP54" s="50"/>
      <c r="AQ54" s="32">
        <f t="shared" si="5"/>
        <v>20</v>
      </c>
      <c r="AR54" s="67">
        <v>603</v>
      </c>
      <c r="AS54" s="65">
        <f t="shared" si="4"/>
        <v>12060</v>
      </c>
      <c r="AT54" s="79"/>
    </row>
    <row r="55" spans="1:46" ht="28.5">
      <c r="A55" s="14">
        <v>46</v>
      </c>
      <c r="B55" s="41"/>
      <c r="C55" s="20" t="s">
        <v>84</v>
      </c>
      <c r="D55" s="43" t="s">
        <v>141</v>
      </c>
      <c r="E55" s="83" t="s">
        <v>38</v>
      </c>
      <c r="F55" s="18" t="s">
        <v>85</v>
      </c>
      <c r="G55" s="9"/>
      <c r="H55" s="9"/>
      <c r="I55" s="18">
        <v>10</v>
      </c>
      <c r="J55" s="50">
        <f t="shared" si="1"/>
        <v>4150</v>
      </c>
      <c r="K55" s="45"/>
      <c r="L55" s="46">
        <f t="shared" si="2"/>
        <v>0</v>
      </c>
      <c r="M55" s="47"/>
      <c r="N55" s="50"/>
      <c r="O55" s="45"/>
      <c r="P55" s="50"/>
      <c r="Q55" s="47"/>
      <c r="R55" s="50"/>
      <c r="S55" s="45"/>
      <c r="T55" s="50"/>
      <c r="U55" s="47"/>
      <c r="V55" s="50"/>
      <c r="W55" s="47"/>
      <c r="X55" s="50"/>
      <c r="Y55" s="47"/>
      <c r="Z55" s="50"/>
      <c r="AA55" s="47"/>
      <c r="AB55" s="50"/>
      <c r="AC55" s="47"/>
      <c r="AD55" s="50"/>
      <c r="AE55" s="47"/>
      <c r="AF55" s="50"/>
      <c r="AG55" s="47"/>
      <c r="AH55" s="50"/>
      <c r="AI55" s="47"/>
      <c r="AJ55" s="50">
        <f t="shared" si="3"/>
        <v>0</v>
      </c>
      <c r="AK55" s="47"/>
      <c r="AL55" s="50"/>
      <c r="AM55" s="47"/>
      <c r="AN55" s="50"/>
      <c r="AO55" s="47"/>
      <c r="AP55" s="50"/>
      <c r="AQ55" s="32">
        <f t="shared" si="5"/>
        <v>10</v>
      </c>
      <c r="AR55" s="67">
        <v>415</v>
      </c>
      <c r="AS55" s="65">
        <f t="shared" si="4"/>
        <v>4150</v>
      </c>
      <c r="AT55" s="79"/>
    </row>
    <row r="56" spans="1:46" ht="28.5">
      <c r="A56" s="14">
        <v>47</v>
      </c>
      <c r="B56" s="41"/>
      <c r="C56" s="20" t="s">
        <v>84</v>
      </c>
      <c r="D56" s="43" t="s">
        <v>141</v>
      </c>
      <c r="E56" s="83" t="s">
        <v>37</v>
      </c>
      <c r="F56" s="18" t="s">
        <v>85</v>
      </c>
      <c r="G56" s="9"/>
      <c r="H56" s="9"/>
      <c r="I56" s="18">
        <v>5</v>
      </c>
      <c r="J56" s="50">
        <f t="shared" si="1"/>
        <v>12600</v>
      </c>
      <c r="K56" s="45"/>
      <c r="L56" s="46">
        <f t="shared" si="2"/>
        <v>0</v>
      </c>
      <c r="M56" s="47"/>
      <c r="N56" s="50"/>
      <c r="O56" s="45"/>
      <c r="P56" s="50"/>
      <c r="Q56" s="47"/>
      <c r="R56" s="50"/>
      <c r="S56" s="45"/>
      <c r="T56" s="50"/>
      <c r="U56" s="47"/>
      <c r="V56" s="50"/>
      <c r="W56" s="47"/>
      <c r="X56" s="50"/>
      <c r="Y56" s="47"/>
      <c r="Z56" s="50"/>
      <c r="AA56" s="47"/>
      <c r="AB56" s="50"/>
      <c r="AC56" s="47"/>
      <c r="AD56" s="50"/>
      <c r="AE56" s="47"/>
      <c r="AF56" s="50"/>
      <c r="AG56" s="47"/>
      <c r="AH56" s="50"/>
      <c r="AI56" s="47"/>
      <c r="AJ56" s="50">
        <f t="shared" si="3"/>
        <v>0</v>
      </c>
      <c r="AK56" s="47"/>
      <c r="AL56" s="50"/>
      <c r="AM56" s="47"/>
      <c r="AN56" s="50"/>
      <c r="AO56" s="47"/>
      <c r="AP56" s="50"/>
      <c r="AQ56" s="32">
        <f t="shared" si="5"/>
        <v>5</v>
      </c>
      <c r="AR56" s="67">
        <v>2520</v>
      </c>
      <c r="AS56" s="65">
        <f t="shared" si="4"/>
        <v>12600</v>
      </c>
      <c r="AT56" s="79"/>
    </row>
    <row r="57" spans="1:46" ht="28.5">
      <c r="A57" s="14">
        <v>48</v>
      </c>
      <c r="B57" s="27"/>
      <c r="C57" s="20" t="s">
        <v>84</v>
      </c>
      <c r="D57" s="43" t="s">
        <v>141</v>
      </c>
      <c r="E57" s="83" t="s">
        <v>36</v>
      </c>
      <c r="F57" s="18" t="s">
        <v>85</v>
      </c>
      <c r="G57" s="8"/>
      <c r="H57" s="8"/>
      <c r="I57" s="18">
        <v>5</v>
      </c>
      <c r="J57" s="50">
        <f t="shared" si="1"/>
        <v>13840</v>
      </c>
      <c r="K57" s="45"/>
      <c r="L57" s="46">
        <f t="shared" si="2"/>
        <v>0</v>
      </c>
      <c r="M57" s="47"/>
      <c r="N57" s="50"/>
      <c r="O57" s="45"/>
      <c r="P57" s="50"/>
      <c r="Q57" s="47"/>
      <c r="R57" s="50"/>
      <c r="S57" s="45"/>
      <c r="T57" s="50"/>
      <c r="U57" s="47"/>
      <c r="V57" s="50"/>
      <c r="W57" s="47"/>
      <c r="X57" s="50"/>
      <c r="Y57" s="47"/>
      <c r="Z57" s="50"/>
      <c r="AA57" s="47"/>
      <c r="AB57" s="50"/>
      <c r="AC57" s="47"/>
      <c r="AD57" s="50"/>
      <c r="AE57" s="47"/>
      <c r="AF57" s="50"/>
      <c r="AG57" s="47"/>
      <c r="AH57" s="50"/>
      <c r="AI57" s="47"/>
      <c r="AJ57" s="50">
        <f t="shared" si="3"/>
        <v>0</v>
      </c>
      <c r="AK57" s="47"/>
      <c r="AL57" s="50"/>
      <c r="AM57" s="47"/>
      <c r="AN57" s="50"/>
      <c r="AO57" s="47"/>
      <c r="AP57" s="50"/>
      <c r="AQ57" s="32">
        <f t="shared" si="5"/>
        <v>5</v>
      </c>
      <c r="AR57" s="67">
        <v>2768</v>
      </c>
      <c r="AS57" s="65">
        <f t="shared" si="4"/>
        <v>13840</v>
      </c>
      <c r="AT57" s="79"/>
    </row>
    <row r="58" spans="1:46" ht="28.5">
      <c r="A58" s="14">
        <v>49</v>
      </c>
      <c r="B58" s="27"/>
      <c r="C58" s="20" t="s">
        <v>84</v>
      </c>
      <c r="D58" s="43" t="s">
        <v>141</v>
      </c>
      <c r="E58" s="83" t="s">
        <v>35</v>
      </c>
      <c r="F58" s="18" t="s">
        <v>86</v>
      </c>
      <c r="G58" s="23"/>
      <c r="H58" s="23"/>
      <c r="I58" s="18">
        <v>3</v>
      </c>
      <c r="J58" s="50">
        <f t="shared" si="1"/>
        <v>3138</v>
      </c>
      <c r="K58" s="45"/>
      <c r="L58" s="46">
        <f t="shared" si="2"/>
        <v>0</v>
      </c>
      <c r="M58" s="47"/>
      <c r="N58" s="50"/>
      <c r="O58" s="45"/>
      <c r="P58" s="50"/>
      <c r="Q58" s="47"/>
      <c r="R58" s="50"/>
      <c r="S58" s="45"/>
      <c r="T58" s="50"/>
      <c r="U58" s="47"/>
      <c r="V58" s="50"/>
      <c r="W58" s="47"/>
      <c r="X58" s="50"/>
      <c r="Y58" s="47"/>
      <c r="Z58" s="50"/>
      <c r="AA58" s="47"/>
      <c r="AB58" s="50"/>
      <c r="AC58" s="47"/>
      <c r="AD58" s="50"/>
      <c r="AE58" s="47"/>
      <c r="AF58" s="50"/>
      <c r="AG58" s="47"/>
      <c r="AH58" s="50"/>
      <c r="AI58" s="47"/>
      <c r="AJ58" s="50">
        <f t="shared" si="3"/>
        <v>0</v>
      </c>
      <c r="AK58" s="47"/>
      <c r="AL58" s="50"/>
      <c r="AM58" s="47"/>
      <c r="AN58" s="50"/>
      <c r="AO58" s="47"/>
      <c r="AP58" s="50"/>
      <c r="AQ58" s="32">
        <f t="shared" si="5"/>
        <v>3</v>
      </c>
      <c r="AR58" s="67">
        <v>1046</v>
      </c>
      <c r="AS58" s="65">
        <f t="shared" si="4"/>
        <v>3138</v>
      </c>
      <c r="AT58" s="79"/>
    </row>
    <row r="59" spans="1:46" ht="28.5">
      <c r="A59" s="14">
        <v>50</v>
      </c>
      <c r="B59" s="27"/>
      <c r="C59" s="20" t="s">
        <v>84</v>
      </c>
      <c r="D59" s="43" t="s">
        <v>141</v>
      </c>
      <c r="E59" s="83" t="s">
        <v>34</v>
      </c>
      <c r="F59" s="18" t="s">
        <v>86</v>
      </c>
      <c r="G59" s="9"/>
      <c r="H59" s="9"/>
      <c r="I59" s="18">
        <v>10</v>
      </c>
      <c r="J59" s="50">
        <f t="shared" si="1"/>
        <v>96320</v>
      </c>
      <c r="K59" s="45"/>
      <c r="L59" s="46">
        <f t="shared" si="2"/>
        <v>0</v>
      </c>
      <c r="M59" s="47"/>
      <c r="N59" s="50"/>
      <c r="O59" s="45"/>
      <c r="P59" s="50"/>
      <c r="Q59" s="47"/>
      <c r="R59" s="50"/>
      <c r="S59" s="45"/>
      <c r="T59" s="50"/>
      <c r="U59" s="47"/>
      <c r="V59" s="50"/>
      <c r="W59" s="47"/>
      <c r="X59" s="50"/>
      <c r="Y59" s="47"/>
      <c r="Z59" s="50"/>
      <c r="AA59" s="47"/>
      <c r="AB59" s="50"/>
      <c r="AC59" s="47"/>
      <c r="AD59" s="50"/>
      <c r="AE59" s="47"/>
      <c r="AF59" s="50"/>
      <c r="AG59" s="47"/>
      <c r="AH59" s="50"/>
      <c r="AI59" s="47"/>
      <c r="AJ59" s="50">
        <f t="shared" si="3"/>
        <v>0</v>
      </c>
      <c r="AK59" s="47"/>
      <c r="AL59" s="50"/>
      <c r="AM59" s="47"/>
      <c r="AN59" s="50"/>
      <c r="AO59" s="47"/>
      <c r="AP59" s="50"/>
      <c r="AQ59" s="32">
        <f t="shared" si="5"/>
        <v>10</v>
      </c>
      <c r="AR59" s="67">
        <v>9632</v>
      </c>
      <c r="AS59" s="65">
        <f t="shared" si="4"/>
        <v>96320</v>
      </c>
      <c r="AT59" s="79"/>
    </row>
    <row r="60" spans="1:46" ht="28.5">
      <c r="A60" s="14">
        <v>51</v>
      </c>
      <c r="B60" s="41"/>
      <c r="C60" s="20" t="s">
        <v>84</v>
      </c>
      <c r="D60" s="43" t="s">
        <v>141</v>
      </c>
      <c r="E60" s="83" t="s">
        <v>33</v>
      </c>
      <c r="F60" s="18" t="s">
        <v>86</v>
      </c>
      <c r="G60" s="9"/>
      <c r="H60" s="9"/>
      <c r="I60" s="18">
        <v>10</v>
      </c>
      <c r="J60" s="50">
        <f t="shared" si="1"/>
        <v>42360</v>
      </c>
      <c r="K60" s="45"/>
      <c r="L60" s="46">
        <f t="shared" si="2"/>
        <v>0</v>
      </c>
      <c r="M60" s="47"/>
      <c r="N60" s="50"/>
      <c r="O60" s="45"/>
      <c r="P60" s="50"/>
      <c r="Q60" s="47"/>
      <c r="R60" s="50"/>
      <c r="S60" s="45"/>
      <c r="T60" s="50"/>
      <c r="U60" s="47"/>
      <c r="V60" s="50"/>
      <c r="W60" s="47"/>
      <c r="X60" s="50"/>
      <c r="Y60" s="47"/>
      <c r="Z60" s="50"/>
      <c r="AA60" s="47"/>
      <c r="AB60" s="50"/>
      <c r="AC60" s="47"/>
      <c r="AD60" s="50"/>
      <c r="AE60" s="47"/>
      <c r="AF60" s="50"/>
      <c r="AG60" s="47"/>
      <c r="AH60" s="50"/>
      <c r="AI60" s="47"/>
      <c r="AJ60" s="50">
        <f t="shared" si="3"/>
        <v>0</v>
      </c>
      <c r="AK60" s="47"/>
      <c r="AL60" s="50"/>
      <c r="AM60" s="47"/>
      <c r="AN60" s="50"/>
      <c r="AO60" s="47"/>
      <c r="AP60" s="50"/>
      <c r="AQ60" s="32">
        <f t="shared" si="5"/>
        <v>10</v>
      </c>
      <c r="AR60" s="67">
        <v>4236</v>
      </c>
      <c r="AS60" s="65">
        <f t="shared" si="4"/>
        <v>42360</v>
      </c>
      <c r="AT60" s="79"/>
    </row>
    <row r="61" spans="1:46" ht="28.5">
      <c r="A61" s="14">
        <v>52</v>
      </c>
      <c r="B61" s="73"/>
      <c r="C61" s="20" t="s">
        <v>84</v>
      </c>
      <c r="D61" s="43" t="s">
        <v>141</v>
      </c>
      <c r="E61" s="83" t="s">
        <v>32</v>
      </c>
      <c r="F61" s="18" t="s">
        <v>86</v>
      </c>
      <c r="G61" s="12"/>
      <c r="H61" s="12"/>
      <c r="I61" s="18">
        <v>300</v>
      </c>
      <c r="J61" s="50">
        <f t="shared" si="1"/>
        <v>442800</v>
      </c>
      <c r="K61" s="45"/>
      <c r="L61" s="46">
        <f t="shared" si="2"/>
        <v>0</v>
      </c>
      <c r="M61" s="47"/>
      <c r="N61" s="50"/>
      <c r="O61" s="45"/>
      <c r="P61" s="50"/>
      <c r="Q61" s="47"/>
      <c r="R61" s="50"/>
      <c r="S61" s="45"/>
      <c r="T61" s="50"/>
      <c r="U61" s="47"/>
      <c r="V61" s="50"/>
      <c r="W61" s="47"/>
      <c r="X61" s="50"/>
      <c r="Y61" s="47"/>
      <c r="Z61" s="50"/>
      <c r="AA61" s="47"/>
      <c r="AB61" s="50"/>
      <c r="AC61" s="47"/>
      <c r="AD61" s="50"/>
      <c r="AE61" s="47"/>
      <c r="AF61" s="50"/>
      <c r="AG61" s="47"/>
      <c r="AH61" s="50"/>
      <c r="AI61" s="47"/>
      <c r="AJ61" s="50">
        <f t="shared" si="3"/>
        <v>0</v>
      </c>
      <c r="AK61" s="47"/>
      <c r="AL61" s="50"/>
      <c r="AM61" s="47"/>
      <c r="AN61" s="50"/>
      <c r="AO61" s="47"/>
      <c r="AP61" s="50"/>
      <c r="AQ61" s="32">
        <f t="shared" si="5"/>
        <v>300</v>
      </c>
      <c r="AR61" s="67">
        <v>1476</v>
      </c>
      <c r="AS61" s="65">
        <f t="shared" si="4"/>
        <v>442800</v>
      </c>
      <c r="AT61" s="79"/>
    </row>
    <row r="62" spans="1:46" ht="28.5">
      <c r="A62" s="14">
        <v>53</v>
      </c>
      <c r="B62" s="41"/>
      <c r="C62" s="20" t="s">
        <v>84</v>
      </c>
      <c r="D62" s="43" t="s">
        <v>141</v>
      </c>
      <c r="E62" s="83" t="s">
        <v>31</v>
      </c>
      <c r="F62" s="18" t="s">
        <v>85</v>
      </c>
      <c r="G62" s="8"/>
      <c r="H62" s="8"/>
      <c r="I62" s="18">
        <v>30</v>
      </c>
      <c r="J62" s="50">
        <f t="shared" si="1"/>
        <v>264450</v>
      </c>
      <c r="K62" s="45"/>
      <c r="L62" s="46">
        <f t="shared" si="2"/>
        <v>0</v>
      </c>
      <c r="M62" s="47"/>
      <c r="N62" s="50"/>
      <c r="O62" s="45"/>
      <c r="P62" s="50"/>
      <c r="Q62" s="47"/>
      <c r="R62" s="50"/>
      <c r="S62" s="45"/>
      <c r="T62" s="50"/>
      <c r="U62" s="47"/>
      <c r="V62" s="50"/>
      <c r="W62" s="47"/>
      <c r="X62" s="50"/>
      <c r="Y62" s="47"/>
      <c r="Z62" s="50"/>
      <c r="AA62" s="47"/>
      <c r="AB62" s="50"/>
      <c r="AC62" s="47"/>
      <c r="AD62" s="50"/>
      <c r="AE62" s="47"/>
      <c r="AF62" s="50"/>
      <c r="AG62" s="47"/>
      <c r="AH62" s="50"/>
      <c r="AI62" s="47"/>
      <c r="AJ62" s="50">
        <f t="shared" si="3"/>
        <v>0</v>
      </c>
      <c r="AK62" s="47"/>
      <c r="AL62" s="50"/>
      <c r="AM62" s="47"/>
      <c r="AN62" s="50"/>
      <c r="AO62" s="47"/>
      <c r="AP62" s="50"/>
      <c r="AQ62" s="32">
        <f t="shared" si="5"/>
        <v>30</v>
      </c>
      <c r="AR62" s="67">
        <v>8815</v>
      </c>
      <c r="AS62" s="65">
        <f t="shared" si="4"/>
        <v>264450</v>
      </c>
      <c r="AT62" s="79"/>
    </row>
    <row r="63" spans="1:46" ht="28.5">
      <c r="A63" s="14">
        <v>54</v>
      </c>
      <c r="B63" s="41"/>
      <c r="C63" s="20" t="s">
        <v>84</v>
      </c>
      <c r="D63" s="43" t="s">
        <v>141</v>
      </c>
      <c r="E63" s="83" t="s">
        <v>30</v>
      </c>
      <c r="F63" s="18" t="s">
        <v>85</v>
      </c>
      <c r="G63" s="8"/>
      <c r="H63" s="8"/>
      <c r="I63" s="18">
        <v>50</v>
      </c>
      <c r="J63" s="50">
        <f t="shared" si="1"/>
        <v>254550</v>
      </c>
      <c r="K63" s="45"/>
      <c r="L63" s="46">
        <f t="shared" si="2"/>
        <v>0</v>
      </c>
      <c r="M63" s="47"/>
      <c r="N63" s="50"/>
      <c r="O63" s="45"/>
      <c r="P63" s="50"/>
      <c r="Q63" s="47"/>
      <c r="R63" s="50"/>
      <c r="S63" s="45"/>
      <c r="T63" s="50"/>
      <c r="U63" s="47"/>
      <c r="V63" s="50"/>
      <c r="W63" s="47"/>
      <c r="X63" s="50"/>
      <c r="Y63" s="47"/>
      <c r="Z63" s="50"/>
      <c r="AA63" s="47"/>
      <c r="AB63" s="50"/>
      <c r="AC63" s="47"/>
      <c r="AD63" s="50"/>
      <c r="AE63" s="47"/>
      <c r="AF63" s="50"/>
      <c r="AG63" s="47"/>
      <c r="AH63" s="50"/>
      <c r="AI63" s="47"/>
      <c r="AJ63" s="50">
        <f t="shared" si="3"/>
        <v>0</v>
      </c>
      <c r="AK63" s="47"/>
      <c r="AL63" s="50"/>
      <c r="AM63" s="47"/>
      <c r="AN63" s="50"/>
      <c r="AO63" s="47"/>
      <c r="AP63" s="50"/>
      <c r="AQ63" s="32">
        <f t="shared" si="5"/>
        <v>50</v>
      </c>
      <c r="AR63" s="67">
        <v>5091</v>
      </c>
      <c r="AS63" s="65">
        <f t="shared" si="4"/>
        <v>254550</v>
      </c>
      <c r="AT63" s="79"/>
    </row>
    <row r="64" spans="1:46" ht="28.5">
      <c r="A64" s="14">
        <v>55</v>
      </c>
      <c r="B64" s="41"/>
      <c r="C64" s="20" t="s">
        <v>84</v>
      </c>
      <c r="D64" s="43" t="s">
        <v>141</v>
      </c>
      <c r="E64" s="83" t="s">
        <v>29</v>
      </c>
      <c r="F64" s="18" t="s">
        <v>85</v>
      </c>
      <c r="G64" s="8"/>
      <c r="H64" s="8"/>
      <c r="I64" s="18">
        <v>30</v>
      </c>
      <c r="J64" s="50">
        <f t="shared" si="1"/>
        <v>91110</v>
      </c>
      <c r="K64" s="45"/>
      <c r="L64" s="46">
        <f t="shared" si="2"/>
        <v>0</v>
      </c>
      <c r="M64" s="47"/>
      <c r="N64" s="50"/>
      <c r="O64" s="45"/>
      <c r="P64" s="50"/>
      <c r="Q64" s="47"/>
      <c r="R64" s="50"/>
      <c r="S64" s="45"/>
      <c r="T64" s="50"/>
      <c r="U64" s="47"/>
      <c r="V64" s="50"/>
      <c r="W64" s="47"/>
      <c r="X64" s="50"/>
      <c r="Y64" s="47"/>
      <c r="Z64" s="50"/>
      <c r="AA64" s="47"/>
      <c r="AB64" s="50"/>
      <c r="AC64" s="47"/>
      <c r="AD64" s="50"/>
      <c r="AE64" s="47"/>
      <c r="AF64" s="50"/>
      <c r="AG64" s="47"/>
      <c r="AH64" s="50"/>
      <c r="AI64" s="47"/>
      <c r="AJ64" s="50">
        <f t="shared" si="3"/>
        <v>0</v>
      </c>
      <c r="AK64" s="47"/>
      <c r="AL64" s="50"/>
      <c r="AM64" s="47"/>
      <c r="AN64" s="50"/>
      <c r="AO64" s="47"/>
      <c r="AP64" s="50"/>
      <c r="AQ64" s="32">
        <f t="shared" si="5"/>
        <v>30</v>
      </c>
      <c r="AR64" s="67">
        <v>3037</v>
      </c>
      <c r="AS64" s="65">
        <f t="shared" si="4"/>
        <v>91110</v>
      </c>
      <c r="AT64" s="79"/>
    </row>
    <row r="65" spans="1:46" ht="28.5">
      <c r="A65" s="14">
        <v>56</v>
      </c>
      <c r="B65" s="12"/>
      <c r="C65" s="20" t="s">
        <v>84</v>
      </c>
      <c r="D65" s="43" t="s">
        <v>141</v>
      </c>
      <c r="E65" s="84" t="s">
        <v>28</v>
      </c>
      <c r="F65" s="51" t="s">
        <v>85</v>
      </c>
      <c r="G65" s="8"/>
      <c r="H65" s="8"/>
      <c r="I65" s="51">
        <v>30</v>
      </c>
      <c r="J65" s="50">
        <f t="shared" si="1"/>
        <v>48990</v>
      </c>
      <c r="K65" s="45"/>
      <c r="L65" s="46">
        <f t="shared" si="2"/>
        <v>0</v>
      </c>
      <c r="M65" s="47"/>
      <c r="N65" s="50"/>
      <c r="O65" s="45"/>
      <c r="P65" s="50"/>
      <c r="Q65" s="47"/>
      <c r="R65" s="50"/>
      <c r="S65" s="45"/>
      <c r="T65" s="50"/>
      <c r="U65" s="47"/>
      <c r="V65" s="50"/>
      <c r="W65" s="47"/>
      <c r="X65" s="50"/>
      <c r="Y65" s="47"/>
      <c r="Z65" s="50"/>
      <c r="AA65" s="47"/>
      <c r="AB65" s="50"/>
      <c r="AC65" s="47"/>
      <c r="AD65" s="50"/>
      <c r="AE65" s="47"/>
      <c r="AF65" s="50"/>
      <c r="AG65" s="47"/>
      <c r="AH65" s="50"/>
      <c r="AI65" s="47"/>
      <c r="AJ65" s="50">
        <f t="shared" si="3"/>
        <v>0</v>
      </c>
      <c r="AK65" s="47"/>
      <c r="AL65" s="50"/>
      <c r="AM65" s="47"/>
      <c r="AN65" s="50"/>
      <c r="AO65" s="47"/>
      <c r="AP65" s="50"/>
      <c r="AQ65" s="32">
        <f t="shared" si="5"/>
        <v>30</v>
      </c>
      <c r="AR65" s="67">
        <v>1633</v>
      </c>
      <c r="AS65" s="65">
        <f t="shared" si="4"/>
        <v>48990</v>
      </c>
      <c r="AT65" s="79"/>
    </row>
    <row r="66" spans="1:46" ht="28.5">
      <c r="A66" s="14">
        <v>57</v>
      </c>
      <c r="B66" s="12"/>
      <c r="C66" s="20" t="s">
        <v>84</v>
      </c>
      <c r="D66" s="43" t="s">
        <v>141</v>
      </c>
      <c r="E66" s="84" t="s">
        <v>27</v>
      </c>
      <c r="F66" s="51" t="s">
        <v>85</v>
      </c>
      <c r="G66" s="12"/>
      <c r="H66" s="12"/>
      <c r="I66" s="51">
        <v>9</v>
      </c>
      <c r="J66" s="50">
        <f t="shared" si="1"/>
        <v>76779</v>
      </c>
      <c r="K66" s="45"/>
      <c r="L66" s="46">
        <f t="shared" si="2"/>
        <v>0</v>
      </c>
      <c r="M66" s="47"/>
      <c r="N66" s="50"/>
      <c r="O66" s="45"/>
      <c r="P66" s="50"/>
      <c r="Q66" s="47"/>
      <c r="R66" s="50"/>
      <c r="S66" s="45"/>
      <c r="T66" s="50"/>
      <c r="U66" s="47"/>
      <c r="V66" s="50"/>
      <c r="W66" s="47"/>
      <c r="X66" s="50"/>
      <c r="Y66" s="47"/>
      <c r="Z66" s="50"/>
      <c r="AA66" s="47"/>
      <c r="AB66" s="50"/>
      <c r="AC66" s="47"/>
      <c r="AD66" s="50"/>
      <c r="AE66" s="47"/>
      <c r="AF66" s="50"/>
      <c r="AG66" s="47"/>
      <c r="AH66" s="50"/>
      <c r="AI66" s="47"/>
      <c r="AJ66" s="50">
        <f t="shared" si="3"/>
        <v>0</v>
      </c>
      <c r="AK66" s="47"/>
      <c r="AL66" s="50"/>
      <c r="AM66" s="47"/>
      <c r="AN66" s="50"/>
      <c r="AO66" s="47"/>
      <c r="AP66" s="50"/>
      <c r="AQ66" s="32">
        <f t="shared" si="5"/>
        <v>9</v>
      </c>
      <c r="AR66" s="67">
        <v>8531</v>
      </c>
      <c r="AS66" s="65">
        <f t="shared" si="4"/>
        <v>76779</v>
      </c>
      <c r="AT66" s="79"/>
    </row>
    <row r="67" spans="1:46" ht="28.5">
      <c r="A67" s="14">
        <v>58</v>
      </c>
      <c r="B67" s="12"/>
      <c r="C67" s="20" t="s">
        <v>84</v>
      </c>
      <c r="D67" s="43" t="s">
        <v>141</v>
      </c>
      <c r="E67" s="84" t="s">
        <v>90</v>
      </c>
      <c r="F67" s="51" t="s">
        <v>85</v>
      </c>
      <c r="G67" s="8"/>
      <c r="H67" s="8"/>
      <c r="I67" s="51">
        <v>40</v>
      </c>
      <c r="J67" s="50">
        <f t="shared" si="1"/>
        <v>5590320</v>
      </c>
      <c r="K67" s="45"/>
      <c r="L67" s="46">
        <f t="shared" si="2"/>
        <v>0</v>
      </c>
      <c r="M67" s="47"/>
      <c r="N67" s="50"/>
      <c r="O67" s="45"/>
      <c r="P67" s="50"/>
      <c r="Q67" s="47"/>
      <c r="R67" s="50"/>
      <c r="S67" s="45"/>
      <c r="T67" s="50"/>
      <c r="U67" s="47"/>
      <c r="V67" s="50"/>
      <c r="W67" s="47"/>
      <c r="X67" s="50"/>
      <c r="Y67" s="47"/>
      <c r="Z67" s="50"/>
      <c r="AA67" s="47"/>
      <c r="AB67" s="50"/>
      <c r="AC67" s="47"/>
      <c r="AD67" s="50"/>
      <c r="AE67" s="47"/>
      <c r="AF67" s="50"/>
      <c r="AG67" s="47"/>
      <c r="AH67" s="50"/>
      <c r="AI67" s="47"/>
      <c r="AJ67" s="50">
        <f t="shared" si="3"/>
        <v>0</v>
      </c>
      <c r="AK67" s="47"/>
      <c r="AL67" s="50"/>
      <c r="AM67" s="47"/>
      <c r="AN67" s="50"/>
      <c r="AO67" s="47"/>
      <c r="AP67" s="50"/>
      <c r="AQ67" s="32">
        <f t="shared" si="5"/>
        <v>40</v>
      </c>
      <c r="AR67" s="67">
        <v>139758</v>
      </c>
      <c r="AS67" s="65">
        <f t="shared" si="4"/>
        <v>5590320</v>
      </c>
      <c r="AT67" s="79"/>
    </row>
    <row r="68" spans="1:46" ht="28.5">
      <c r="A68" s="14">
        <v>59</v>
      </c>
      <c r="B68" s="12"/>
      <c r="C68" s="20" t="s">
        <v>84</v>
      </c>
      <c r="D68" s="43" t="s">
        <v>141</v>
      </c>
      <c r="E68" s="84" t="s">
        <v>97</v>
      </c>
      <c r="F68" s="51" t="s">
        <v>85</v>
      </c>
      <c r="G68" s="12"/>
      <c r="H68" s="12"/>
      <c r="I68" s="51">
        <v>8</v>
      </c>
      <c r="J68" s="50">
        <f t="shared" si="1"/>
        <v>100720</v>
      </c>
      <c r="K68" s="45"/>
      <c r="L68" s="46">
        <f t="shared" si="2"/>
        <v>0</v>
      </c>
      <c r="M68" s="47"/>
      <c r="N68" s="50"/>
      <c r="O68" s="45"/>
      <c r="P68" s="50"/>
      <c r="Q68" s="47"/>
      <c r="R68" s="50"/>
      <c r="S68" s="45"/>
      <c r="T68" s="50"/>
      <c r="U68" s="47"/>
      <c r="V68" s="50"/>
      <c r="W68" s="47"/>
      <c r="X68" s="50"/>
      <c r="Y68" s="47"/>
      <c r="Z68" s="50"/>
      <c r="AA68" s="47"/>
      <c r="AB68" s="50"/>
      <c r="AC68" s="47"/>
      <c r="AD68" s="50"/>
      <c r="AE68" s="47"/>
      <c r="AF68" s="50"/>
      <c r="AG68" s="47"/>
      <c r="AH68" s="50"/>
      <c r="AI68" s="47"/>
      <c r="AJ68" s="50">
        <f t="shared" si="3"/>
        <v>0</v>
      </c>
      <c r="AK68" s="47"/>
      <c r="AL68" s="50"/>
      <c r="AM68" s="47"/>
      <c r="AN68" s="50"/>
      <c r="AO68" s="47"/>
      <c r="AP68" s="50"/>
      <c r="AQ68" s="32">
        <f t="shared" si="5"/>
        <v>8</v>
      </c>
      <c r="AR68" s="67">
        <v>12590</v>
      </c>
      <c r="AS68" s="65">
        <f t="shared" si="4"/>
        <v>100720</v>
      </c>
      <c r="AT68" s="79"/>
    </row>
    <row r="69" spans="1:46" ht="28.5">
      <c r="A69" s="14">
        <v>60</v>
      </c>
      <c r="B69" s="12"/>
      <c r="C69" s="20" t="s">
        <v>84</v>
      </c>
      <c r="D69" s="43" t="s">
        <v>141</v>
      </c>
      <c r="E69" s="84" t="s">
        <v>96</v>
      </c>
      <c r="F69" s="51" t="s">
        <v>85</v>
      </c>
      <c r="G69" s="12"/>
      <c r="H69" s="12"/>
      <c r="I69" s="51">
        <v>40</v>
      </c>
      <c r="J69" s="50">
        <f t="shared" si="1"/>
        <v>247200</v>
      </c>
      <c r="K69" s="45"/>
      <c r="L69" s="46">
        <f t="shared" si="2"/>
        <v>0</v>
      </c>
      <c r="M69" s="47"/>
      <c r="N69" s="50"/>
      <c r="O69" s="45"/>
      <c r="P69" s="50"/>
      <c r="Q69" s="47"/>
      <c r="R69" s="50"/>
      <c r="S69" s="45"/>
      <c r="T69" s="50"/>
      <c r="U69" s="47"/>
      <c r="V69" s="50"/>
      <c r="W69" s="47"/>
      <c r="X69" s="50"/>
      <c r="Y69" s="47"/>
      <c r="Z69" s="50"/>
      <c r="AA69" s="47"/>
      <c r="AB69" s="50"/>
      <c r="AC69" s="47"/>
      <c r="AD69" s="50"/>
      <c r="AE69" s="47"/>
      <c r="AF69" s="50"/>
      <c r="AG69" s="47"/>
      <c r="AH69" s="50"/>
      <c r="AI69" s="47"/>
      <c r="AJ69" s="50">
        <f t="shared" si="3"/>
        <v>0</v>
      </c>
      <c r="AK69" s="47"/>
      <c r="AL69" s="50"/>
      <c r="AM69" s="47"/>
      <c r="AN69" s="50"/>
      <c r="AO69" s="47"/>
      <c r="AP69" s="50"/>
      <c r="AQ69" s="32">
        <f t="shared" si="5"/>
        <v>40</v>
      </c>
      <c r="AR69" s="67">
        <v>6180</v>
      </c>
      <c r="AS69" s="65">
        <f t="shared" si="4"/>
        <v>247200</v>
      </c>
      <c r="AT69" s="79"/>
    </row>
    <row r="70" spans="1:46" ht="28.5">
      <c r="A70" s="14">
        <v>61</v>
      </c>
      <c r="B70" s="73"/>
      <c r="C70" s="20" t="s">
        <v>84</v>
      </c>
      <c r="D70" s="43" t="s">
        <v>141</v>
      </c>
      <c r="E70" s="84" t="s">
        <v>95</v>
      </c>
      <c r="F70" s="51" t="s">
        <v>85</v>
      </c>
      <c r="G70" s="8"/>
      <c r="H70" s="8"/>
      <c r="I70" s="51">
        <v>30</v>
      </c>
      <c r="J70" s="50">
        <f t="shared" si="1"/>
        <v>292710</v>
      </c>
      <c r="K70" s="45"/>
      <c r="L70" s="46">
        <f t="shared" si="2"/>
        <v>0</v>
      </c>
      <c r="M70" s="47"/>
      <c r="N70" s="50"/>
      <c r="O70" s="45"/>
      <c r="P70" s="50"/>
      <c r="Q70" s="47"/>
      <c r="R70" s="50"/>
      <c r="S70" s="45"/>
      <c r="T70" s="50"/>
      <c r="U70" s="47"/>
      <c r="V70" s="50"/>
      <c r="W70" s="47"/>
      <c r="X70" s="50"/>
      <c r="Y70" s="47"/>
      <c r="Z70" s="50"/>
      <c r="AA70" s="47"/>
      <c r="AB70" s="50"/>
      <c r="AC70" s="47"/>
      <c r="AD70" s="50"/>
      <c r="AE70" s="47"/>
      <c r="AF70" s="50"/>
      <c r="AG70" s="47"/>
      <c r="AH70" s="50"/>
      <c r="AI70" s="47"/>
      <c r="AJ70" s="50">
        <f t="shared" si="3"/>
        <v>0</v>
      </c>
      <c r="AK70" s="47"/>
      <c r="AL70" s="50"/>
      <c r="AM70" s="47"/>
      <c r="AN70" s="50"/>
      <c r="AO70" s="47"/>
      <c r="AP70" s="50"/>
      <c r="AQ70" s="32">
        <f t="shared" si="5"/>
        <v>30</v>
      </c>
      <c r="AR70" s="67">
        <v>9757</v>
      </c>
      <c r="AS70" s="65">
        <f t="shared" si="4"/>
        <v>292710</v>
      </c>
      <c r="AT70" s="79"/>
    </row>
    <row r="71" spans="1:46" ht="28.5">
      <c r="A71" s="14">
        <v>62</v>
      </c>
      <c r="B71" s="12"/>
      <c r="C71" s="20" t="s">
        <v>84</v>
      </c>
      <c r="D71" s="43" t="s">
        <v>141</v>
      </c>
      <c r="E71" s="84" t="s">
        <v>94</v>
      </c>
      <c r="F71" s="51" t="s">
        <v>85</v>
      </c>
      <c r="G71" s="12"/>
      <c r="H71" s="12"/>
      <c r="I71" s="51">
        <v>20</v>
      </c>
      <c r="J71" s="50">
        <f t="shared" si="1"/>
        <v>94920</v>
      </c>
      <c r="K71" s="45"/>
      <c r="L71" s="46">
        <f t="shared" si="2"/>
        <v>0</v>
      </c>
      <c r="M71" s="47"/>
      <c r="N71" s="50"/>
      <c r="O71" s="45"/>
      <c r="P71" s="50"/>
      <c r="Q71" s="47"/>
      <c r="R71" s="50"/>
      <c r="S71" s="45"/>
      <c r="T71" s="50"/>
      <c r="U71" s="47"/>
      <c r="V71" s="50"/>
      <c r="W71" s="47"/>
      <c r="X71" s="50"/>
      <c r="Y71" s="47"/>
      <c r="Z71" s="50"/>
      <c r="AA71" s="47"/>
      <c r="AB71" s="50"/>
      <c r="AC71" s="47"/>
      <c r="AD71" s="50"/>
      <c r="AE71" s="47"/>
      <c r="AF71" s="50"/>
      <c r="AG71" s="47"/>
      <c r="AH71" s="50"/>
      <c r="AI71" s="47"/>
      <c r="AJ71" s="50">
        <f t="shared" si="3"/>
        <v>0</v>
      </c>
      <c r="AK71" s="47"/>
      <c r="AL71" s="50"/>
      <c r="AM71" s="47"/>
      <c r="AN71" s="50"/>
      <c r="AO71" s="47"/>
      <c r="AP71" s="50"/>
      <c r="AQ71" s="32">
        <f t="shared" si="5"/>
        <v>20</v>
      </c>
      <c r="AR71" s="67">
        <v>4746</v>
      </c>
      <c r="AS71" s="65">
        <f t="shared" si="4"/>
        <v>94920</v>
      </c>
      <c r="AT71" s="79"/>
    </row>
    <row r="72" spans="1:46" ht="28.5">
      <c r="A72" s="14">
        <v>63</v>
      </c>
      <c r="B72" s="12"/>
      <c r="C72" s="20" t="s">
        <v>84</v>
      </c>
      <c r="D72" s="43" t="s">
        <v>141</v>
      </c>
      <c r="E72" s="84" t="s">
        <v>93</v>
      </c>
      <c r="F72" s="51" t="s">
        <v>85</v>
      </c>
      <c r="G72" s="12"/>
      <c r="H72" s="12"/>
      <c r="I72" s="51">
        <v>10</v>
      </c>
      <c r="J72" s="50">
        <f t="shared" si="1"/>
        <v>38680</v>
      </c>
      <c r="K72" s="45"/>
      <c r="L72" s="46">
        <f t="shared" si="2"/>
        <v>0</v>
      </c>
      <c r="M72" s="47"/>
      <c r="N72" s="50"/>
      <c r="O72" s="45"/>
      <c r="P72" s="50"/>
      <c r="Q72" s="47"/>
      <c r="R72" s="50"/>
      <c r="S72" s="45"/>
      <c r="T72" s="50"/>
      <c r="U72" s="47"/>
      <c r="V72" s="50"/>
      <c r="W72" s="47"/>
      <c r="X72" s="50"/>
      <c r="Y72" s="47"/>
      <c r="Z72" s="50"/>
      <c r="AA72" s="47"/>
      <c r="AB72" s="50"/>
      <c r="AC72" s="47"/>
      <c r="AD72" s="50"/>
      <c r="AE72" s="47"/>
      <c r="AF72" s="50"/>
      <c r="AG72" s="47"/>
      <c r="AH72" s="50"/>
      <c r="AI72" s="47"/>
      <c r="AJ72" s="50">
        <f t="shared" si="3"/>
        <v>0</v>
      </c>
      <c r="AK72" s="47"/>
      <c r="AL72" s="50"/>
      <c r="AM72" s="47"/>
      <c r="AN72" s="50"/>
      <c r="AO72" s="47"/>
      <c r="AP72" s="50"/>
      <c r="AQ72" s="32">
        <f t="shared" si="5"/>
        <v>10</v>
      </c>
      <c r="AR72" s="67">
        <v>3868</v>
      </c>
      <c r="AS72" s="65">
        <f t="shared" si="4"/>
        <v>38680</v>
      </c>
      <c r="AT72" s="79"/>
    </row>
    <row r="73" spans="1:46" ht="28.5">
      <c r="A73" s="14">
        <v>64</v>
      </c>
      <c r="B73" s="12"/>
      <c r="C73" s="20" t="s">
        <v>84</v>
      </c>
      <c r="D73" s="43" t="s">
        <v>141</v>
      </c>
      <c r="E73" s="84" t="s">
        <v>92</v>
      </c>
      <c r="F73" s="51" t="s">
        <v>85</v>
      </c>
      <c r="G73" s="12"/>
      <c r="H73" s="12"/>
      <c r="I73" s="51">
        <v>20</v>
      </c>
      <c r="J73" s="50">
        <f t="shared" si="1"/>
        <v>105320</v>
      </c>
      <c r="K73" s="45"/>
      <c r="L73" s="46">
        <f t="shared" si="2"/>
        <v>0</v>
      </c>
      <c r="M73" s="47"/>
      <c r="N73" s="50"/>
      <c r="O73" s="45"/>
      <c r="P73" s="50"/>
      <c r="Q73" s="47"/>
      <c r="R73" s="50"/>
      <c r="S73" s="45"/>
      <c r="T73" s="50"/>
      <c r="U73" s="47"/>
      <c r="V73" s="50"/>
      <c r="W73" s="47"/>
      <c r="X73" s="50"/>
      <c r="Y73" s="47"/>
      <c r="Z73" s="50"/>
      <c r="AA73" s="47"/>
      <c r="AB73" s="50"/>
      <c r="AC73" s="47"/>
      <c r="AD73" s="50"/>
      <c r="AE73" s="47"/>
      <c r="AF73" s="50"/>
      <c r="AG73" s="47"/>
      <c r="AH73" s="50"/>
      <c r="AI73" s="47"/>
      <c r="AJ73" s="50">
        <f t="shared" si="3"/>
        <v>0</v>
      </c>
      <c r="AK73" s="47"/>
      <c r="AL73" s="50"/>
      <c r="AM73" s="47"/>
      <c r="AN73" s="50"/>
      <c r="AO73" s="47"/>
      <c r="AP73" s="50"/>
      <c r="AQ73" s="32">
        <f t="shared" si="5"/>
        <v>20</v>
      </c>
      <c r="AR73" s="67">
        <v>5266</v>
      </c>
      <c r="AS73" s="65">
        <f t="shared" si="4"/>
        <v>105320</v>
      </c>
      <c r="AT73" s="79"/>
    </row>
    <row r="74" spans="1:46" ht="28.5">
      <c r="A74" s="14">
        <v>65</v>
      </c>
      <c r="B74" s="73"/>
      <c r="C74" s="20" t="s">
        <v>84</v>
      </c>
      <c r="D74" s="43" t="s">
        <v>141</v>
      </c>
      <c r="E74" s="84" t="s">
        <v>91</v>
      </c>
      <c r="F74" s="51" t="s">
        <v>85</v>
      </c>
      <c r="G74" s="12"/>
      <c r="H74" s="12"/>
      <c r="I74" s="51">
        <v>500</v>
      </c>
      <c r="J74" s="50">
        <f t="shared" si="1"/>
        <v>427000</v>
      </c>
      <c r="K74" s="45"/>
      <c r="L74" s="46">
        <f t="shared" si="2"/>
        <v>0</v>
      </c>
      <c r="M74" s="47"/>
      <c r="N74" s="50"/>
      <c r="O74" s="45"/>
      <c r="P74" s="50"/>
      <c r="Q74" s="47"/>
      <c r="R74" s="50"/>
      <c r="S74" s="45"/>
      <c r="T74" s="50"/>
      <c r="U74" s="47"/>
      <c r="V74" s="50"/>
      <c r="W74" s="47"/>
      <c r="X74" s="50"/>
      <c r="Y74" s="47"/>
      <c r="Z74" s="50"/>
      <c r="AA74" s="47"/>
      <c r="AB74" s="50"/>
      <c r="AC74" s="47"/>
      <c r="AD74" s="50"/>
      <c r="AE74" s="47"/>
      <c r="AF74" s="50"/>
      <c r="AG74" s="47"/>
      <c r="AH74" s="50"/>
      <c r="AI74" s="47"/>
      <c r="AJ74" s="50">
        <f t="shared" si="3"/>
        <v>0</v>
      </c>
      <c r="AK74" s="47"/>
      <c r="AL74" s="50"/>
      <c r="AM74" s="47"/>
      <c r="AN74" s="50"/>
      <c r="AO74" s="47"/>
      <c r="AP74" s="50"/>
      <c r="AQ74" s="32">
        <f t="shared" ref="AQ74:AQ105" si="6">+AO74+AM74+AK74+AI74+AG74+AE74+AC74+AA74+Y74+W74+U74+S74+Q74+O74+M74+K74+I74+G74</f>
        <v>500</v>
      </c>
      <c r="AR74" s="67">
        <v>854</v>
      </c>
      <c r="AS74" s="65">
        <f t="shared" si="4"/>
        <v>427000</v>
      </c>
      <c r="AT74" s="79"/>
    </row>
    <row r="75" spans="1:46" ht="42.75">
      <c r="A75" s="14">
        <v>66</v>
      </c>
      <c r="B75" s="12"/>
      <c r="C75" s="20" t="s">
        <v>84</v>
      </c>
      <c r="D75" s="43" t="s">
        <v>141</v>
      </c>
      <c r="E75" s="85" t="s">
        <v>100</v>
      </c>
      <c r="F75" s="16" t="s">
        <v>103</v>
      </c>
      <c r="G75" s="21"/>
      <c r="H75" s="21"/>
      <c r="I75" s="24">
        <v>144</v>
      </c>
      <c r="J75" s="50">
        <f t="shared" ref="J75:J137" si="7">+I75*AR75</f>
        <v>30143232</v>
      </c>
      <c r="K75" s="45"/>
      <c r="L75" s="46">
        <f t="shared" ref="L75:L137" si="8">+K75*AR75</f>
        <v>0</v>
      </c>
      <c r="M75" s="47"/>
      <c r="N75" s="50"/>
      <c r="O75" s="45"/>
      <c r="P75" s="50"/>
      <c r="Q75" s="47"/>
      <c r="R75" s="50"/>
      <c r="S75" s="45"/>
      <c r="T75" s="50"/>
      <c r="U75" s="47"/>
      <c r="V75" s="50"/>
      <c r="W75" s="47"/>
      <c r="X75" s="50"/>
      <c r="Y75" s="47"/>
      <c r="Z75" s="50"/>
      <c r="AA75" s="47"/>
      <c r="AB75" s="50"/>
      <c r="AC75" s="47"/>
      <c r="AD75" s="50"/>
      <c r="AE75" s="47"/>
      <c r="AF75" s="50"/>
      <c r="AG75" s="47"/>
      <c r="AH75" s="50"/>
      <c r="AI75" s="47"/>
      <c r="AJ75" s="50">
        <f t="shared" ref="AJ75:AJ137" si="9">+AI75*AR75</f>
        <v>0</v>
      </c>
      <c r="AK75" s="47"/>
      <c r="AL75" s="50"/>
      <c r="AM75" s="47"/>
      <c r="AN75" s="50"/>
      <c r="AO75" s="47"/>
      <c r="AP75" s="50"/>
      <c r="AQ75" s="32">
        <f t="shared" si="6"/>
        <v>144</v>
      </c>
      <c r="AR75" s="66">
        <v>209328</v>
      </c>
      <c r="AS75" s="65">
        <f t="shared" ref="AS75:AS137" si="10">+AQ75*AR75</f>
        <v>30143232</v>
      </c>
      <c r="AT75" s="79"/>
    </row>
    <row r="76" spans="1:46" ht="71.25">
      <c r="A76" s="14">
        <v>67</v>
      </c>
      <c r="B76" s="12"/>
      <c r="C76" s="20" t="s">
        <v>84</v>
      </c>
      <c r="D76" s="43" t="s">
        <v>141</v>
      </c>
      <c r="E76" s="85" t="s">
        <v>99</v>
      </c>
      <c r="F76" s="16" t="s">
        <v>103</v>
      </c>
      <c r="G76" s="21"/>
      <c r="H76" s="21"/>
      <c r="I76" s="24">
        <v>45</v>
      </c>
      <c r="J76" s="50">
        <f t="shared" si="7"/>
        <v>4539420</v>
      </c>
      <c r="K76" s="45"/>
      <c r="L76" s="46">
        <f t="shared" si="8"/>
        <v>0</v>
      </c>
      <c r="M76" s="47"/>
      <c r="N76" s="50"/>
      <c r="O76" s="45"/>
      <c r="P76" s="50"/>
      <c r="Q76" s="47"/>
      <c r="R76" s="50"/>
      <c r="S76" s="45"/>
      <c r="T76" s="50"/>
      <c r="U76" s="47"/>
      <c r="V76" s="50"/>
      <c r="W76" s="47"/>
      <c r="X76" s="50"/>
      <c r="Y76" s="47"/>
      <c r="Z76" s="50"/>
      <c r="AA76" s="47"/>
      <c r="AB76" s="50"/>
      <c r="AC76" s="47"/>
      <c r="AD76" s="50"/>
      <c r="AE76" s="47"/>
      <c r="AF76" s="50"/>
      <c r="AG76" s="47"/>
      <c r="AH76" s="50"/>
      <c r="AI76" s="47"/>
      <c r="AJ76" s="50">
        <f t="shared" si="9"/>
        <v>0</v>
      </c>
      <c r="AK76" s="47"/>
      <c r="AL76" s="50"/>
      <c r="AM76" s="47"/>
      <c r="AN76" s="50"/>
      <c r="AO76" s="47"/>
      <c r="AP76" s="50"/>
      <c r="AQ76" s="32">
        <f t="shared" si="6"/>
        <v>45</v>
      </c>
      <c r="AR76" s="66">
        <v>100876</v>
      </c>
      <c r="AS76" s="65">
        <f t="shared" si="10"/>
        <v>4539420</v>
      </c>
      <c r="AT76" s="79"/>
    </row>
    <row r="77" spans="1:46" ht="42.75">
      <c r="A77" s="14">
        <v>68</v>
      </c>
      <c r="B77" s="73"/>
      <c r="C77" s="20" t="s">
        <v>84</v>
      </c>
      <c r="D77" s="43" t="s">
        <v>141</v>
      </c>
      <c r="E77" s="86" t="s">
        <v>98</v>
      </c>
      <c r="F77" s="16" t="s">
        <v>103</v>
      </c>
      <c r="G77" s="21"/>
      <c r="H77" s="21"/>
      <c r="I77" s="24">
        <v>18</v>
      </c>
      <c r="J77" s="50">
        <f t="shared" si="7"/>
        <v>23563782</v>
      </c>
      <c r="K77" s="45"/>
      <c r="L77" s="46">
        <f t="shared" si="8"/>
        <v>0</v>
      </c>
      <c r="M77" s="47"/>
      <c r="N77" s="50"/>
      <c r="O77" s="45"/>
      <c r="P77" s="50"/>
      <c r="Q77" s="47"/>
      <c r="R77" s="50"/>
      <c r="S77" s="45"/>
      <c r="T77" s="50"/>
      <c r="U77" s="47"/>
      <c r="V77" s="50"/>
      <c r="W77" s="47"/>
      <c r="X77" s="50"/>
      <c r="Y77" s="47"/>
      <c r="Z77" s="50"/>
      <c r="AA77" s="47"/>
      <c r="AB77" s="50"/>
      <c r="AC77" s="47"/>
      <c r="AD77" s="50"/>
      <c r="AE77" s="47"/>
      <c r="AF77" s="50"/>
      <c r="AG77" s="47"/>
      <c r="AH77" s="50"/>
      <c r="AI77" s="47"/>
      <c r="AJ77" s="50">
        <f t="shared" si="9"/>
        <v>0</v>
      </c>
      <c r="AK77" s="47"/>
      <c r="AL77" s="50"/>
      <c r="AM77" s="47"/>
      <c r="AN77" s="50"/>
      <c r="AO77" s="47"/>
      <c r="AP77" s="50"/>
      <c r="AQ77" s="32">
        <f t="shared" si="6"/>
        <v>18</v>
      </c>
      <c r="AR77" s="66">
        <v>1309099</v>
      </c>
      <c r="AS77" s="65">
        <f t="shared" si="10"/>
        <v>23563782</v>
      </c>
      <c r="AT77" s="79"/>
    </row>
    <row r="78" spans="1:46" ht="42.75">
      <c r="A78" s="14">
        <v>69</v>
      </c>
      <c r="B78" s="73"/>
      <c r="C78" s="20" t="s">
        <v>84</v>
      </c>
      <c r="D78" s="43" t="s">
        <v>141</v>
      </c>
      <c r="E78" s="86" t="s">
        <v>101</v>
      </c>
      <c r="F78" s="16" t="s">
        <v>105</v>
      </c>
      <c r="G78" s="21"/>
      <c r="H78" s="21"/>
      <c r="I78" s="24">
        <v>150</v>
      </c>
      <c r="J78" s="50">
        <f t="shared" si="7"/>
        <v>251100</v>
      </c>
      <c r="K78" s="45"/>
      <c r="L78" s="46">
        <f t="shared" si="8"/>
        <v>0</v>
      </c>
      <c r="M78" s="47"/>
      <c r="N78" s="50"/>
      <c r="O78" s="45"/>
      <c r="P78" s="50"/>
      <c r="Q78" s="47"/>
      <c r="R78" s="50"/>
      <c r="S78" s="45"/>
      <c r="T78" s="50"/>
      <c r="U78" s="47"/>
      <c r="V78" s="50"/>
      <c r="W78" s="47"/>
      <c r="X78" s="50"/>
      <c r="Y78" s="47"/>
      <c r="Z78" s="50"/>
      <c r="AA78" s="47"/>
      <c r="AB78" s="50"/>
      <c r="AC78" s="47"/>
      <c r="AD78" s="50"/>
      <c r="AE78" s="47"/>
      <c r="AF78" s="50"/>
      <c r="AG78" s="47"/>
      <c r="AH78" s="50"/>
      <c r="AI78" s="47"/>
      <c r="AJ78" s="50">
        <f t="shared" si="9"/>
        <v>0</v>
      </c>
      <c r="AK78" s="47"/>
      <c r="AL78" s="50"/>
      <c r="AM78" s="47"/>
      <c r="AN78" s="50"/>
      <c r="AO78" s="47"/>
      <c r="AP78" s="50"/>
      <c r="AQ78" s="32">
        <f t="shared" si="6"/>
        <v>150</v>
      </c>
      <c r="AR78" s="66">
        <v>1674</v>
      </c>
      <c r="AS78" s="65">
        <f t="shared" si="10"/>
        <v>251100</v>
      </c>
      <c r="AT78" s="79"/>
    </row>
    <row r="79" spans="1:46" ht="57">
      <c r="A79" s="14">
        <v>70</v>
      </c>
      <c r="B79" s="74"/>
      <c r="C79" s="20" t="s">
        <v>84</v>
      </c>
      <c r="D79" s="43" t="s">
        <v>141</v>
      </c>
      <c r="E79" s="87" t="s">
        <v>102</v>
      </c>
      <c r="F79" s="17" t="s">
        <v>104</v>
      </c>
      <c r="G79" s="21"/>
      <c r="H79" s="21"/>
      <c r="I79" s="24">
        <v>150</v>
      </c>
      <c r="J79" s="50">
        <f t="shared" si="7"/>
        <v>35772300</v>
      </c>
      <c r="K79" s="45"/>
      <c r="L79" s="46">
        <f t="shared" si="8"/>
        <v>0</v>
      </c>
      <c r="M79" s="47"/>
      <c r="N79" s="50"/>
      <c r="O79" s="45"/>
      <c r="P79" s="50"/>
      <c r="Q79" s="47"/>
      <c r="R79" s="50"/>
      <c r="S79" s="45"/>
      <c r="T79" s="50"/>
      <c r="U79" s="47"/>
      <c r="V79" s="50"/>
      <c r="W79" s="47"/>
      <c r="X79" s="50"/>
      <c r="Y79" s="47"/>
      <c r="Z79" s="50"/>
      <c r="AA79" s="47"/>
      <c r="AB79" s="50"/>
      <c r="AC79" s="47"/>
      <c r="AD79" s="50"/>
      <c r="AE79" s="47"/>
      <c r="AF79" s="50"/>
      <c r="AG79" s="47"/>
      <c r="AH79" s="50"/>
      <c r="AI79" s="47"/>
      <c r="AJ79" s="50">
        <f t="shared" si="9"/>
        <v>0</v>
      </c>
      <c r="AK79" s="47"/>
      <c r="AL79" s="50"/>
      <c r="AM79" s="47"/>
      <c r="AN79" s="50"/>
      <c r="AO79" s="47"/>
      <c r="AP79" s="50"/>
      <c r="AQ79" s="32">
        <f t="shared" si="6"/>
        <v>150</v>
      </c>
      <c r="AR79" s="66">
        <v>238482</v>
      </c>
      <c r="AS79" s="65">
        <f t="shared" si="10"/>
        <v>35772300</v>
      </c>
      <c r="AT79" s="79"/>
    </row>
    <row r="80" spans="1:46" ht="28.5">
      <c r="A80" s="14">
        <v>71</v>
      </c>
      <c r="B80" s="74"/>
      <c r="C80" s="20" t="s">
        <v>84</v>
      </c>
      <c r="D80" s="43" t="s">
        <v>141</v>
      </c>
      <c r="E80" s="87" t="s">
        <v>170</v>
      </c>
      <c r="F80" s="52" t="s">
        <v>13</v>
      </c>
      <c r="G80" s="21"/>
      <c r="H80" s="21"/>
      <c r="I80" s="24"/>
      <c r="J80" s="50">
        <f t="shared" si="7"/>
        <v>0</v>
      </c>
      <c r="K80" s="53">
        <f>72+32</f>
        <v>104</v>
      </c>
      <c r="L80" s="46">
        <f t="shared" si="8"/>
        <v>3712280</v>
      </c>
      <c r="M80" s="47"/>
      <c r="N80" s="50"/>
      <c r="O80" s="45"/>
      <c r="P80" s="50"/>
      <c r="Q80" s="47"/>
      <c r="R80" s="50"/>
      <c r="S80" s="45"/>
      <c r="T80" s="50"/>
      <c r="U80" s="47"/>
      <c r="V80" s="50"/>
      <c r="W80" s="47"/>
      <c r="X80" s="50"/>
      <c r="Y80" s="47"/>
      <c r="Z80" s="50"/>
      <c r="AA80" s="47"/>
      <c r="AB80" s="50"/>
      <c r="AC80" s="47"/>
      <c r="AD80" s="50"/>
      <c r="AE80" s="47"/>
      <c r="AF80" s="50"/>
      <c r="AG80" s="47"/>
      <c r="AH80" s="50"/>
      <c r="AI80" s="47"/>
      <c r="AJ80" s="50">
        <f t="shared" si="9"/>
        <v>0</v>
      </c>
      <c r="AK80" s="47"/>
      <c r="AL80" s="50"/>
      <c r="AM80" s="47"/>
      <c r="AN80" s="50"/>
      <c r="AO80" s="47"/>
      <c r="AP80" s="50"/>
      <c r="AQ80" s="32">
        <f t="shared" si="6"/>
        <v>104</v>
      </c>
      <c r="AR80" s="54">
        <v>35695</v>
      </c>
      <c r="AS80" s="65">
        <f t="shared" si="10"/>
        <v>3712280</v>
      </c>
      <c r="AT80" s="79"/>
    </row>
    <row r="81" spans="1:46" ht="28.5">
      <c r="A81" s="14">
        <v>72</v>
      </c>
      <c r="B81" s="74"/>
      <c r="C81" s="20" t="s">
        <v>84</v>
      </c>
      <c r="D81" s="43" t="s">
        <v>141</v>
      </c>
      <c r="E81" s="87" t="s">
        <v>171</v>
      </c>
      <c r="F81" s="52" t="s">
        <v>12</v>
      </c>
      <c r="G81" s="21"/>
      <c r="H81" s="21"/>
      <c r="I81" s="24"/>
      <c r="J81" s="50">
        <f t="shared" si="7"/>
        <v>0</v>
      </c>
      <c r="K81" s="53">
        <f>+(8)*4</f>
        <v>32</v>
      </c>
      <c r="L81" s="46">
        <f t="shared" si="8"/>
        <v>1122880</v>
      </c>
      <c r="M81" s="47"/>
      <c r="N81" s="50"/>
      <c r="O81" s="45"/>
      <c r="P81" s="50"/>
      <c r="Q81" s="47"/>
      <c r="R81" s="50"/>
      <c r="S81" s="45"/>
      <c r="T81" s="50"/>
      <c r="U81" s="47"/>
      <c r="V81" s="50"/>
      <c r="W81" s="47"/>
      <c r="X81" s="50"/>
      <c r="Y81" s="47"/>
      <c r="Z81" s="50"/>
      <c r="AA81" s="47"/>
      <c r="AB81" s="50"/>
      <c r="AC81" s="47"/>
      <c r="AD81" s="50"/>
      <c r="AE81" s="47"/>
      <c r="AF81" s="50"/>
      <c r="AG81" s="47"/>
      <c r="AH81" s="50"/>
      <c r="AI81" s="47"/>
      <c r="AJ81" s="50">
        <f t="shared" si="9"/>
        <v>0</v>
      </c>
      <c r="AK81" s="47"/>
      <c r="AL81" s="50"/>
      <c r="AM81" s="47"/>
      <c r="AN81" s="50"/>
      <c r="AO81" s="47"/>
      <c r="AP81" s="50"/>
      <c r="AQ81" s="32">
        <f t="shared" si="6"/>
        <v>32</v>
      </c>
      <c r="AR81" s="54">
        <v>35090</v>
      </c>
      <c r="AS81" s="65">
        <f t="shared" si="10"/>
        <v>1122880</v>
      </c>
      <c r="AT81" s="79"/>
    </row>
    <row r="82" spans="1:46" ht="28.5">
      <c r="A82" s="14">
        <v>73</v>
      </c>
      <c r="B82" s="74"/>
      <c r="C82" s="20" t="s">
        <v>84</v>
      </c>
      <c r="D82" s="43" t="s">
        <v>141</v>
      </c>
      <c r="E82" s="87" t="s">
        <v>172</v>
      </c>
      <c r="F82" s="52" t="s">
        <v>13</v>
      </c>
      <c r="G82" s="21"/>
      <c r="H82" s="21"/>
      <c r="I82" s="24"/>
      <c r="J82" s="50">
        <f t="shared" si="7"/>
        <v>0</v>
      </c>
      <c r="K82" s="53">
        <v>1500</v>
      </c>
      <c r="L82" s="46">
        <f t="shared" si="8"/>
        <v>998250</v>
      </c>
      <c r="M82" s="47"/>
      <c r="N82" s="50"/>
      <c r="O82" s="45"/>
      <c r="P82" s="50"/>
      <c r="Q82" s="47"/>
      <c r="R82" s="50"/>
      <c r="S82" s="45"/>
      <c r="T82" s="50"/>
      <c r="U82" s="47"/>
      <c r="V82" s="50"/>
      <c r="W82" s="47"/>
      <c r="X82" s="50"/>
      <c r="Y82" s="47"/>
      <c r="Z82" s="50"/>
      <c r="AA82" s="47"/>
      <c r="AB82" s="50"/>
      <c r="AC82" s="47"/>
      <c r="AD82" s="50"/>
      <c r="AE82" s="47"/>
      <c r="AF82" s="50"/>
      <c r="AG82" s="47"/>
      <c r="AH82" s="50"/>
      <c r="AI82" s="47"/>
      <c r="AJ82" s="50">
        <f t="shared" si="9"/>
        <v>0</v>
      </c>
      <c r="AK82" s="47"/>
      <c r="AL82" s="50"/>
      <c r="AM82" s="47"/>
      <c r="AN82" s="50"/>
      <c r="AO82" s="47"/>
      <c r="AP82" s="50"/>
      <c r="AQ82" s="32">
        <f t="shared" si="6"/>
        <v>1500</v>
      </c>
      <c r="AR82" s="54">
        <v>665.5</v>
      </c>
      <c r="AS82" s="65">
        <f t="shared" si="10"/>
        <v>998250</v>
      </c>
      <c r="AT82" s="79"/>
    </row>
    <row r="83" spans="1:46" ht="28.5">
      <c r="A83" s="14">
        <v>74</v>
      </c>
      <c r="B83" s="74"/>
      <c r="C83" s="20" t="s">
        <v>84</v>
      </c>
      <c r="D83" s="43" t="s">
        <v>141</v>
      </c>
      <c r="E83" s="87" t="s">
        <v>173</v>
      </c>
      <c r="F83" s="52" t="s">
        <v>13</v>
      </c>
      <c r="G83" s="21"/>
      <c r="H83" s="21"/>
      <c r="I83" s="24"/>
      <c r="J83" s="50">
        <f t="shared" si="7"/>
        <v>0</v>
      </c>
      <c r="K83" s="53">
        <v>1200</v>
      </c>
      <c r="L83" s="46">
        <f t="shared" si="8"/>
        <v>1045440</v>
      </c>
      <c r="M83" s="47"/>
      <c r="N83" s="46"/>
      <c r="O83" s="45"/>
      <c r="P83" s="46"/>
      <c r="Q83" s="47"/>
      <c r="R83" s="46"/>
      <c r="S83" s="45"/>
      <c r="T83" s="46"/>
      <c r="U83" s="47"/>
      <c r="V83" s="46"/>
      <c r="W83" s="47"/>
      <c r="X83" s="46"/>
      <c r="Y83" s="47"/>
      <c r="Z83" s="46"/>
      <c r="AA83" s="47"/>
      <c r="AB83" s="46"/>
      <c r="AC83" s="47"/>
      <c r="AD83" s="46"/>
      <c r="AE83" s="47"/>
      <c r="AF83" s="46"/>
      <c r="AG83" s="47"/>
      <c r="AH83" s="46"/>
      <c r="AI83" s="47"/>
      <c r="AJ83" s="50">
        <f t="shared" si="9"/>
        <v>0</v>
      </c>
      <c r="AK83" s="47"/>
      <c r="AL83" s="46"/>
      <c r="AM83" s="47"/>
      <c r="AN83" s="46"/>
      <c r="AO83" s="47"/>
      <c r="AP83" s="46"/>
      <c r="AQ83" s="32">
        <f t="shared" si="6"/>
        <v>1200</v>
      </c>
      <c r="AR83" s="54">
        <v>871.2</v>
      </c>
      <c r="AS83" s="65">
        <f t="shared" si="10"/>
        <v>1045440</v>
      </c>
      <c r="AT83" s="79"/>
    </row>
    <row r="84" spans="1:46" ht="28.5">
      <c r="A84" s="14">
        <v>75</v>
      </c>
      <c r="B84" s="74"/>
      <c r="C84" s="20" t="s">
        <v>84</v>
      </c>
      <c r="D84" s="43" t="s">
        <v>141</v>
      </c>
      <c r="E84" s="87" t="s">
        <v>174</v>
      </c>
      <c r="F84" s="52" t="s">
        <v>12</v>
      </c>
      <c r="G84" s="21"/>
      <c r="H84" s="21"/>
      <c r="I84" s="24"/>
      <c r="J84" s="50">
        <f t="shared" si="7"/>
        <v>0</v>
      </c>
      <c r="K84" s="53">
        <v>900</v>
      </c>
      <c r="L84" s="46">
        <f t="shared" si="8"/>
        <v>858600</v>
      </c>
      <c r="M84" s="47"/>
      <c r="N84" s="50"/>
      <c r="O84" s="45"/>
      <c r="P84" s="50"/>
      <c r="Q84" s="47"/>
      <c r="R84" s="50"/>
      <c r="S84" s="45"/>
      <c r="T84" s="50"/>
      <c r="U84" s="47"/>
      <c r="V84" s="50"/>
      <c r="W84" s="47"/>
      <c r="X84" s="50"/>
      <c r="Y84" s="47"/>
      <c r="Z84" s="50"/>
      <c r="AA84" s="47"/>
      <c r="AB84" s="50"/>
      <c r="AC84" s="47"/>
      <c r="AD84" s="50"/>
      <c r="AE84" s="47"/>
      <c r="AF84" s="50"/>
      <c r="AG84" s="47"/>
      <c r="AH84" s="50"/>
      <c r="AI84" s="47"/>
      <c r="AJ84" s="50">
        <f t="shared" si="9"/>
        <v>0</v>
      </c>
      <c r="AK84" s="47"/>
      <c r="AL84" s="50"/>
      <c r="AM84" s="47"/>
      <c r="AN84" s="50"/>
      <c r="AO84" s="47"/>
      <c r="AP84" s="50"/>
      <c r="AQ84" s="32">
        <f t="shared" si="6"/>
        <v>900</v>
      </c>
      <c r="AR84" s="54">
        <v>954</v>
      </c>
      <c r="AS84" s="65">
        <f t="shared" si="10"/>
        <v>858600</v>
      </c>
      <c r="AT84" s="79"/>
    </row>
    <row r="85" spans="1:46" ht="28.5">
      <c r="A85" s="14">
        <v>76</v>
      </c>
      <c r="B85" s="74"/>
      <c r="C85" s="20" t="s">
        <v>84</v>
      </c>
      <c r="D85" s="43" t="s">
        <v>141</v>
      </c>
      <c r="E85" s="87" t="s">
        <v>175</v>
      </c>
      <c r="F85" s="52" t="s">
        <v>12</v>
      </c>
      <c r="G85" s="21"/>
      <c r="H85" s="21"/>
      <c r="I85" s="24"/>
      <c r="J85" s="50">
        <f t="shared" si="7"/>
        <v>0</v>
      </c>
      <c r="K85" s="53">
        <v>9</v>
      </c>
      <c r="L85" s="46">
        <f t="shared" si="8"/>
        <v>262440</v>
      </c>
      <c r="M85" s="47"/>
      <c r="N85" s="50"/>
      <c r="O85" s="45"/>
      <c r="P85" s="50"/>
      <c r="Q85" s="47"/>
      <c r="R85" s="50"/>
      <c r="S85" s="45"/>
      <c r="T85" s="50"/>
      <c r="U85" s="47"/>
      <c r="V85" s="50"/>
      <c r="W85" s="47"/>
      <c r="X85" s="50"/>
      <c r="Y85" s="47"/>
      <c r="Z85" s="50"/>
      <c r="AA85" s="47"/>
      <c r="AB85" s="50"/>
      <c r="AC85" s="47"/>
      <c r="AD85" s="50"/>
      <c r="AE85" s="47"/>
      <c r="AF85" s="50"/>
      <c r="AG85" s="47"/>
      <c r="AH85" s="50"/>
      <c r="AI85" s="47"/>
      <c r="AJ85" s="50">
        <f t="shared" si="9"/>
        <v>0</v>
      </c>
      <c r="AK85" s="47"/>
      <c r="AL85" s="50"/>
      <c r="AM85" s="47"/>
      <c r="AN85" s="50"/>
      <c r="AO85" s="47"/>
      <c r="AP85" s="50"/>
      <c r="AQ85" s="32">
        <f t="shared" si="6"/>
        <v>9</v>
      </c>
      <c r="AR85" s="54">
        <v>29160</v>
      </c>
      <c r="AS85" s="65">
        <f t="shared" si="10"/>
        <v>262440</v>
      </c>
      <c r="AT85" s="79"/>
    </row>
    <row r="86" spans="1:46" ht="28.5">
      <c r="A86" s="14">
        <v>77</v>
      </c>
      <c r="B86" s="74"/>
      <c r="C86" s="20" t="s">
        <v>84</v>
      </c>
      <c r="D86" s="43" t="s">
        <v>141</v>
      </c>
      <c r="E86" s="87" t="s">
        <v>176</v>
      </c>
      <c r="F86" s="52" t="s">
        <v>12</v>
      </c>
      <c r="G86" s="21"/>
      <c r="H86" s="21"/>
      <c r="I86" s="24"/>
      <c r="J86" s="50">
        <f t="shared" si="7"/>
        <v>0</v>
      </c>
      <c r="K86" s="53">
        <v>9</v>
      </c>
      <c r="L86" s="46">
        <f t="shared" si="8"/>
        <v>202500</v>
      </c>
      <c r="M86" s="47"/>
      <c r="N86" s="50"/>
      <c r="O86" s="45"/>
      <c r="P86" s="50"/>
      <c r="Q86" s="47"/>
      <c r="R86" s="50"/>
      <c r="S86" s="45"/>
      <c r="T86" s="50"/>
      <c r="U86" s="47"/>
      <c r="V86" s="50"/>
      <c r="W86" s="47"/>
      <c r="X86" s="50"/>
      <c r="Y86" s="47"/>
      <c r="Z86" s="50"/>
      <c r="AA86" s="47"/>
      <c r="AB86" s="50"/>
      <c r="AC86" s="47"/>
      <c r="AD86" s="50"/>
      <c r="AE86" s="47"/>
      <c r="AF86" s="50"/>
      <c r="AG86" s="47"/>
      <c r="AH86" s="50"/>
      <c r="AI86" s="47"/>
      <c r="AJ86" s="50">
        <f t="shared" si="9"/>
        <v>0</v>
      </c>
      <c r="AK86" s="47"/>
      <c r="AL86" s="50"/>
      <c r="AM86" s="47"/>
      <c r="AN86" s="50"/>
      <c r="AO86" s="47"/>
      <c r="AP86" s="50"/>
      <c r="AQ86" s="32">
        <f t="shared" si="6"/>
        <v>9</v>
      </c>
      <c r="AR86" s="54">
        <v>22500</v>
      </c>
      <c r="AS86" s="65">
        <f t="shared" si="10"/>
        <v>202500</v>
      </c>
      <c r="AT86" s="79"/>
    </row>
    <row r="87" spans="1:46" ht="28.5">
      <c r="A87" s="14">
        <v>78</v>
      </c>
      <c r="B87" s="74"/>
      <c r="C87" s="20" t="s">
        <v>84</v>
      </c>
      <c r="D87" s="43" t="s">
        <v>141</v>
      </c>
      <c r="E87" s="87" t="s">
        <v>177</v>
      </c>
      <c r="F87" s="52" t="s">
        <v>13</v>
      </c>
      <c r="G87" s="21"/>
      <c r="H87" s="21"/>
      <c r="I87" s="24"/>
      <c r="J87" s="50">
        <f t="shared" si="7"/>
        <v>0</v>
      </c>
      <c r="K87" s="53">
        <v>9</v>
      </c>
      <c r="L87" s="46">
        <f t="shared" si="8"/>
        <v>148500</v>
      </c>
      <c r="M87" s="47"/>
      <c r="N87" s="50"/>
      <c r="O87" s="45"/>
      <c r="P87" s="50"/>
      <c r="Q87" s="47"/>
      <c r="R87" s="50"/>
      <c r="S87" s="45"/>
      <c r="T87" s="50"/>
      <c r="U87" s="47"/>
      <c r="V87" s="50"/>
      <c r="W87" s="47"/>
      <c r="X87" s="50"/>
      <c r="Y87" s="47"/>
      <c r="Z87" s="50"/>
      <c r="AA87" s="47"/>
      <c r="AB87" s="50"/>
      <c r="AC87" s="47"/>
      <c r="AD87" s="50"/>
      <c r="AE87" s="47"/>
      <c r="AF87" s="50"/>
      <c r="AG87" s="47"/>
      <c r="AH87" s="50"/>
      <c r="AI87" s="47"/>
      <c r="AJ87" s="50">
        <f t="shared" si="9"/>
        <v>0</v>
      </c>
      <c r="AK87" s="47"/>
      <c r="AL87" s="50"/>
      <c r="AM87" s="47"/>
      <c r="AN87" s="50"/>
      <c r="AO87" s="47"/>
      <c r="AP87" s="50"/>
      <c r="AQ87" s="32">
        <f t="shared" si="6"/>
        <v>9</v>
      </c>
      <c r="AR87" s="54">
        <v>16500</v>
      </c>
      <c r="AS87" s="65">
        <f t="shared" si="10"/>
        <v>148500</v>
      </c>
      <c r="AT87" s="79"/>
    </row>
    <row r="88" spans="1:46" ht="28.5">
      <c r="A88" s="14">
        <v>79</v>
      </c>
      <c r="B88" s="74"/>
      <c r="C88" s="20" t="s">
        <v>84</v>
      </c>
      <c r="D88" s="43" t="s">
        <v>141</v>
      </c>
      <c r="E88" s="87" t="s">
        <v>178</v>
      </c>
      <c r="F88" s="52" t="s">
        <v>13</v>
      </c>
      <c r="G88" s="21"/>
      <c r="H88" s="21"/>
      <c r="I88" s="24"/>
      <c r="J88" s="50">
        <f t="shared" si="7"/>
        <v>0</v>
      </c>
      <c r="K88" s="53">
        <v>9</v>
      </c>
      <c r="L88" s="46">
        <f t="shared" si="8"/>
        <v>140292</v>
      </c>
      <c r="M88" s="47"/>
      <c r="N88" s="50"/>
      <c r="O88" s="45"/>
      <c r="P88" s="50"/>
      <c r="Q88" s="47"/>
      <c r="R88" s="50"/>
      <c r="S88" s="45"/>
      <c r="T88" s="50"/>
      <c r="U88" s="47"/>
      <c r="V88" s="50"/>
      <c r="W88" s="47"/>
      <c r="X88" s="50"/>
      <c r="Y88" s="47"/>
      <c r="Z88" s="50"/>
      <c r="AA88" s="47"/>
      <c r="AB88" s="50"/>
      <c r="AC88" s="47"/>
      <c r="AD88" s="50"/>
      <c r="AE88" s="47"/>
      <c r="AF88" s="50"/>
      <c r="AG88" s="47"/>
      <c r="AH88" s="50"/>
      <c r="AI88" s="47"/>
      <c r="AJ88" s="50">
        <f t="shared" si="9"/>
        <v>0</v>
      </c>
      <c r="AK88" s="47"/>
      <c r="AL88" s="50"/>
      <c r="AM88" s="47"/>
      <c r="AN88" s="50"/>
      <c r="AO88" s="47"/>
      <c r="AP88" s="50"/>
      <c r="AQ88" s="32">
        <f t="shared" si="6"/>
        <v>9</v>
      </c>
      <c r="AR88" s="54">
        <v>15588</v>
      </c>
      <c r="AS88" s="65">
        <f t="shared" si="10"/>
        <v>140292</v>
      </c>
      <c r="AT88" s="79"/>
    </row>
    <row r="89" spans="1:46" ht="42.75">
      <c r="A89" s="14">
        <v>80</v>
      </c>
      <c r="B89" s="74"/>
      <c r="C89" s="20" t="s">
        <v>84</v>
      </c>
      <c r="D89" s="43" t="s">
        <v>141</v>
      </c>
      <c r="E89" s="87" t="s">
        <v>179</v>
      </c>
      <c r="F89" s="52" t="s">
        <v>12</v>
      </c>
      <c r="G89" s="21"/>
      <c r="H89" s="21"/>
      <c r="I89" s="24"/>
      <c r="J89" s="50">
        <f t="shared" si="7"/>
        <v>0</v>
      </c>
      <c r="K89" s="53">
        <v>81</v>
      </c>
      <c r="L89" s="46">
        <f t="shared" si="8"/>
        <v>352350</v>
      </c>
      <c r="M89" s="47"/>
      <c r="N89" s="50"/>
      <c r="O89" s="45"/>
      <c r="P89" s="50"/>
      <c r="Q89" s="47"/>
      <c r="R89" s="50"/>
      <c r="S89" s="45"/>
      <c r="T89" s="50"/>
      <c r="U89" s="47"/>
      <c r="V89" s="50"/>
      <c r="W89" s="47"/>
      <c r="X89" s="50"/>
      <c r="Y89" s="47"/>
      <c r="Z89" s="50"/>
      <c r="AA89" s="47"/>
      <c r="AB89" s="50"/>
      <c r="AC89" s="47"/>
      <c r="AD89" s="50"/>
      <c r="AE89" s="47"/>
      <c r="AF89" s="50"/>
      <c r="AG89" s="47"/>
      <c r="AH89" s="50"/>
      <c r="AI89" s="47"/>
      <c r="AJ89" s="50">
        <f t="shared" si="9"/>
        <v>0</v>
      </c>
      <c r="AK89" s="47"/>
      <c r="AL89" s="50"/>
      <c r="AM89" s="47"/>
      <c r="AN89" s="50"/>
      <c r="AO89" s="47"/>
      <c r="AP89" s="50"/>
      <c r="AQ89" s="32">
        <f t="shared" si="6"/>
        <v>81</v>
      </c>
      <c r="AR89" s="54">
        <v>4350</v>
      </c>
      <c r="AS89" s="65">
        <f t="shared" si="10"/>
        <v>352350</v>
      </c>
      <c r="AT89" s="79"/>
    </row>
    <row r="90" spans="1:46" ht="28.5">
      <c r="A90" s="14">
        <v>81</v>
      </c>
      <c r="B90" s="74"/>
      <c r="C90" s="20" t="s">
        <v>84</v>
      </c>
      <c r="D90" s="43" t="s">
        <v>141</v>
      </c>
      <c r="E90" s="87" t="s">
        <v>180</v>
      </c>
      <c r="F90" s="52" t="s">
        <v>13</v>
      </c>
      <c r="G90" s="21"/>
      <c r="H90" s="21"/>
      <c r="I90" s="24"/>
      <c r="J90" s="50">
        <f t="shared" si="7"/>
        <v>0</v>
      </c>
      <c r="K90" s="53">
        <v>42</v>
      </c>
      <c r="L90" s="46">
        <f t="shared" si="8"/>
        <v>279279</v>
      </c>
      <c r="M90" s="47"/>
      <c r="N90" s="50"/>
      <c r="O90" s="45"/>
      <c r="P90" s="50"/>
      <c r="Q90" s="47"/>
      <c r="R90" s="50"/>
      <c r="S90" s="45"/>
      <c r="T90" s="50"/>
      <c r="U90" s="47"/>
      <c r="V90" s="50"/>
      <c r="W90" s="47"/>
      <c r="X90" s="50"/>
      <c r="Y90" s="47"/>
      <c r="Z90" s="50"/>
      <c r="AA90" s="47"/>
      <c r="AB90" s="50"/>
      <c r="AC90" s="47"/>
      <c r="AD90" s="50"/>
      <c r="AE90" s="47"/>
      <c r="AF90" s="50"/>
      <c r="AG90" s="47"/>
      <c r="AH90" s="50"/>
      <c r="AI90" s="47"/>
      <c r="AJ90" s="50">
        <f t="shared" si="9"/>
        <v>0</v>
      </c>
      <c r="AK90" s="47"/>
      <c r="AL90" s="50"/>
      <c r="AM90" s="47"/>
      <c r="AN90" s="50"/>
      <c r="AO90" s="47"/>
      <c r="AP90" s="50"/>
      <c r="AQ90" s="32">
        <f t="shared" si="6"/>
        <v>42</v>
      </c>
      <c r="AR90" s="54">
        <v>6649.5</v>
      </c>
      <c r="AS90" s="65">
        <f t="shared" si="10"/>
        <v>279279</v>
      </c>
      <c r="AT90" s="79"/>
    </row>
    <row r="91" spans="1:46" ht="28.5">
      <c r="A91" s="14">
        <v>82</v>
      </c>
      <c r="B91" s="74"/>
      <c r="C91" s="20" t="s">
        <v>84</v>
      </c>
      <c r="D91" s="43" t="s">
        <v>141</v>
      </c>
      <c r="E91" s="87" t="s">
        <v>18</v>
      </c>
      <c r="F91" s="52" t="s">
        <v>12</v>
      </c>
      <c r="G91" s="21"/>
      <c r="H91" s="21"/>
      <c r="I91" s="24"/>
      <c r="J91" s="50">
        <f t="shared" si="7"/>
        <v>0</v>
      </c>
      <c r="K91" s="53">
        <v>90</v>
      </c>
      <c r="L91" s="46">
        <f t="shared" si="8"/>
        <v>16650</v>
      </c>
      <c r="M91" s="47"/>
      <c r="N91" s="50"/>
      <c r="O91" s="45"/>
      <c r="P91" s="50"/>
      <c r="Q91" s="47"/>
      <c r="R91" s="50"/>
      <c r="S91" s="45"/>
      <c r="T91" s="50"/>
      <c r="U91" s="47"/>
      <c r="V91" s="50"/>
      <c r="W91" s="47"/>
      <c r="X91" s="50"/>
      <c r="Y91" s="47"/>
      <c r="Z91" s="50"/>
      <c r="AA91" s="47"/>
      <c r="AB91" s="50"/>
      <c r="AC91" s="47"/>
      <c r="AD91" s="50"/>
      <c r="AE91" s="47"/>
      <c r="AF91" s="50"/>
      <c r="AG91" s="47"/>
      <c r="AH91" s="50"/>
      <c r="AI91" s="47"/>
      <c r="AJ91" s="50">
        <f t="shared" si="9"/>
        <v>0</v>
      </c>
      <c r="AK91" s="47"/>
      <c r="AL91" s="50"/>
      <c r="AM91" s="47"/>
      <c r="AN91" s="50"/>
      <c r="AO91" s="47"/>
      <c r="AP91" s="50"/>
      <c r="AQ91" s="32">
        <f t="shared" si="6"/>
        <v>90</v>
      </c>
      <c r="AR91" s="54">
        <v>185</v>
      </c>
      <c r="AS91" s="65">
        <f t="shared" si="10"/>
        <v>16650</v>
      </c>
      <c r="AT91" s="79"/>
    </row>
    <row r="92" spans="1:46" ht="28.5">
      <c r="A92" s="14">
        <v>83</v>
      </c>
      <c r="B92" s="74"/>
      <c r="C92" s="20" t="s">
        <v>84</v>
      </c>
      <c r="D92" s="43" t="s">
        <v>141</v>
      </c>
      <c r="E92" s="87" t="s">
        <v>20</v>
      </c>
      <c r="F92" s="52" t="s">
        <v>21</v>
      </c>
      <c r="G92" s="21"/>
      <c r="H92" s="21"/>
      <c r="I92" s="24"/>
      <c r="J92" s="50">
        <f t="shared" si="7"/>
        <v>0</v>
      </c>
      <c r="K92" s="53">
        <v>48</v>
      </c>
      <c r="L92" s="46">
        <f t="shared" si="8"/>
        <v>1111056</v>
      </c>
      <c r="M92" s="47"/>
      <c r="N92" s="50"/>
      <c r="O92" s="45"/>
      <c r="P92" s="50"/>
      <c r="Q92" s="47"/>
      <c r="R92" s="50"/>
      <c r="S92" s="45"/>
      <c r="T92" s="50"/>
      <c r="U92" s="47"/>
      <c r="V92" s="50"/>
      <c r="W92" s="47"/>
      <c r="X92" s="50"/>
      <c r="Y92" s="47"/>
      <c r="Z92" s="50"/>
      <c r="AA92" s="47"/>
      <c r="AB92" s="50"/>
      <c r="AC92" s="47"/>
      <c r="AD92" s="50"/>
      <c r="AE92" s="47"/>
      <c r="AF92" s="50"/>
      <c r="AG92" s="47"/>
      <c r="AH92" s="50"/>
      <c r="AI92" s="47"/>
      <c r="AJ92" s="50">
        <f t="shared" si="9"/>
        <v>0</v>
      </c>
      <c r="AK92" s="47"/>
      <c r="AL92" s="50"/>
      <c r="AM92" s="47"/>
      <c r="AN92" s="50"/>
      <c r="AO92" s="47"/>
      <c r="AP92" s="50"/>
      <c r="AQ92" s="32">
        <f t="shared" si="6"/>
        <v>48</v>
      </c>
      <c r="AR92" s="38">
        <v>23147</v>
      </c>
      <c r="AS92" s="65">
        <f t="shared" si="10"/>
        <v>1111056</v>
      </c>
      <c r="AT92" s="79"/>
    </row>
    <row r="93" spans="1:46" ht="28.5">
      <c r="A93" s="14">
        <v>84</v>
      </c>
      <c r="B93" s="74"/>
      <c r="C93" s="20" t="s">
        <v>84</v>
      </c>
      <c r="D93" s="43" t="s">
        <v>141</v>
      </c>
      <c r="E93" s="87" t="s">
        <v>181</v>
      </c>
      <c r="F93" s="48" t="s">
        <v>12</v>
      </c>
      <c r="G93" s="21"/>
      <c r="H93" s="21"/>
      <c r="I93" s="24"/>
      <c r="J93" s="50">
        <f t="shared" si="7"/>
        <v>0</v>
      </c>
      <c r="K93" s="40">
        <v>12</v>
      </c>
      <c r="L93" s="46">
        <f t="shared" si="8"/>
        <v>135540</v>
      </c>
      <c r="M93" s="47"/>
      <c r="N93" s="50"/>
      <c r="O93" s="45"/>
      <c r="P93" s="50"/>
      <c r="Q93" s="47"/>
      <c r="R93" s="50"/>
      <c r="S93" s="45"/>
      <c r="T93" s="50"/>
      <c r="U93" s="47"/>
      <c r="V93" s="50"/>
      <c r="W93" s="47"/>
      <c r="X93" s="50"/>
      <c r="Y93" s="47"/>
      <c r="Z93" s="50"/>
      <c r="AA93" s="47"/>
      <c r="AB93" s="50"/>
      <c r="AC93" s="47"/>
      <c r="AD93" s="50"/>
      <c r="AE93" s="47"/>
      <c r="AF93" s="50"/>
      <c r="AG93" s="47"/>
      <c r="AH93" s="50"/>
      <c r="AI93" s="47"/>
      <c r="AJ93" s="50">
        <f t="shared" si="9"/>
        <v>0</v>
      </c>
      <c r="AK93" s="47"/>
      <c r="AL93" s="50"/>
      <c r="AM93" s="47"/>
      <c r="AN93" s="50"/>
      <c r="AO93" s="47"/>
      <c r="AP93" s="50"/>
      <c r="AQ93" s="32">
        <f t="shared" si="6"/>
        <v>12</v>
      </c>
      <c r="AR93" s="54">
        <v>11295</v>
      </c>
      <c r="AS93" s="65">
        <f t="shared" si="10"/>
        <v>135540</v>
      </c>
      <c r="AT93" s="79"/>
    </row>
    <row r="94" spans="1:46" ht="28.5">
      <c r="A94" s="14">
        <v>85</v>
      </c>
      <c r="B94" s="74"/>
      <c r="C94" s="20" t="s">
        <v>84</v>
      </c>
      <c r="D94" s="43" t="s">
        <v>141</v>
      </c>
      <c r="E94" s="87" t="s">
        <v>182</v>
      </c>
      <c r="F94" s="48" t="s">
        <v>12</v>
      </c>
      <c r="G94" s="21"/>
      <c r="H94" s="21"/>
      <c r="I94" s="24"/>
      <c r="J94" s="50">
        <f t="shared" si="7"/>
        <v>0</v>
      </c>
      <c r="K94" s="40">
        <v>12</v>
      </c>
      <c r="L94" s="46">
        <f t="shared" si="8"/>
        <v>122472</v>
      </c>
      <c r="M94" s="47"/>
      <c r="N94" s="50"/>
      <c r="O94" s="45"/>
      <c r="P94" s="50"/>
      <c r="Q94" s="47"/>
      <c r="R94" s="50"/>
      <c r="S94" s="45"/>
      <c r="T94" s="50"/>
      <c r="U94" s="47"/>
      <c r="V94" s="50"/>
      <c r="W94" s="47"/>
      <c r="X94" s="50"/>
      <c r="Y94" s="47"/>
      <c r="Z94" s="50"/>
      <c r="AA94" s="47"/>
      <c r="AB94" s="50"/>
      <c r="AC94" s="47"/>
      <c r="AD94" s="50"/>
      <c r="AE94" s="47"/>
      <c r="AF94" s="50"/>
      <c r="AG94" s="47"/>
      <c r="AH94" s="50"/>
      <c r="AI94" s="47"/>
      <c r="AJ94" s="50">
        <f t="shared" si="9"/>
        <v>0</v>
      </c>
      <c r="AK94" s="47"/>
      <c r="AL94" s="50"/>
      <c r="AM94" s="47"/>
      <c r="AN94" s="50"/>
      <c r="AO94" s="47"/>
      <c r="AP94" s="50"/>
      <c r="AQ94" s="32">
        <f t="shared" si="6"/>
        <v>12</v>
      </c>
      <c r="AR94" s="54">
        <v>10206</v>
      </c>
      <c r="AS94" s="65">
        <f t="shared" si="10"/>
        <v>122472</v>
      </c>
      <c r="AT94" s="79"/>
    </row>
    <row r="95" spans="1:46" ht="28.5">
      <c r="A95" s="14">
        <v>86</v>
      </c>
      <c r="B95" s="74"/>
      <c r="C95" s="20" t="s">
        <v>84</v>
      </c>
      <c r="D95" s="43" t="s">
        <v>141</v>
      </c>
      <c r="E95" s="87" t="s">
        <v>183</v>
      </c>
      <c r="F95" s="48" t="s">
        <v>12</v>
      </c>
      <c r="G95" s="21"/>
      <c r="H95" s="21"/>
      <c r="I95" s="24"/>
      <c r="J95" s="50">
        <f t="shared" si="7"/>
        <v>0</v>
      </c>
      <c r="K95" s="40">
        <v>12</v>
      </c>
      <c r="L95" s="46">
        <f t="shared" si="8"/>
        <v>308964</v>
      </c>
      <c r="M95" s="47"/>
      <c r="N95" s="50"/>
      <c r="O95" s="45"/>
      <c r="P95" s="50"/>
      <c r="Q95" s="47"/>
      <c r="R95" s="50"/>
      <c r="S95" s="45"/>
      <c r="T95" s="50"/>
      <c r="U95" s="47"/>
      <c r="V95" s="50"/>
      <c r="W95" s="47"/>
      <c r="X95" s="50"/>
      <c r="Y95" s="47"/>
      <c r="Z95" s="50"/>
      <c r="AA95" s="47"/>
      <c r="AB95" s="50"/>
      <c r="AC95" s="47"/>
      <c r="AD95" s="50"/>
      <c r="AE95" s="47"/>
      <c r="AF95" s="50"/>
      <c r="AG95" s="47"/>
      <c r="AH95" s="50"/>
      <c r="AI95" s="47"/>
      <c r="AJ95" s="50">
        <f t="shared" si="9"/>
        <v>0</v>
      </c>
      <c r="AK95" s="47"/>
      <c r="AL95" s="50"/>
      <c r="AM95" s="47"/>
      <c r="AN95" s="50"/>
      <c r="AO95" s="47"/>
      <c r="AP95" s="50"/>
      <c r="AQ95" s="32">
        <f t="shared" si="6"/>
        <v>12</v>
      </c>
      <c r="AR95" s="54">
        <v>25747</v>
      </c>
      <c r="AS95" s="65">
        <f t="shared" si="10"/>
        <v>308964</v>
      </c>
      <c r="AT95" s="79"/>
    </row>
    <row r="96" spans="1:46" ht="28.5">
      <c r="A96" s="14">
        <v>87</v>
      </c>
      <c r="B96" s="74"/>
      <c r="C96" s="20" t="s">
        <v>84</v>
      </c>
      <c r="D96" s="43" t="s">
        <v>141</v>
      </c>
      <c r="E96" s="87" t="s">
        <v>151</v>
      </c>
      <c r="F96" s="48" t="s">
        <v>14</v>
      </c>
      <c r="G96" s="21"/>
      <c r="H96" s="21"/>
      <c r="I96" s="24"/>
      <c r="J96" s="50">
        <f t="shared" si="7"/>
        <v>0</v>
      </c>
      <c r="K96" s="40">
        <v>3</v>
      </c>
      <c r="L96" s="46">
        <f t="shared" si="8"/>
        <v>151635</v>
      </c>
      <c r="M96" s="47"/>
      <c r="N96" s="50"/>
      <c r="O96" s="45"/>
      <c r="P96" s="50"/>
      <c r="Q96" s="47"/>
      <c r="R96" s="50"/>
      <c r="S96" s="45"/>
      <c r="T96" s="50"/>
      <c r="U96" s="47"/>
      <c r="V96" s="50"/>
      <c r="W96" s="47"/>
      <c r="X96" s="50"/>
      <c r="Y96" s="47"/>
      <c r="Z96" s="50"/>
      <c r="AA96" s="47"/>
      <c r="AB96" s="50"/>
      <c r="AC96" s="47"/>
      <c r="AD96" s="50"/>
      <c r="AE96" s="47"/>
      <c r="AF96" s="50"/>
      <c r="AG96" s="47"/>
      <c r="AH96" s="50"/>
      <c r="AI96" s="47"/>
      <c r="AJ96" s="50">
        <f t="shared" si="9"/>
        <v>0</v>
      </c>
      <c r="AK96" s="47"/>
      <c r="AL96" s="50"/>
      <c r="AM96" s="47"/>
      <c r="AN96" s="50"/>
      <c r="AO96" s="47"/>
      <c r="AP96" s="50"/>
      <c r="AQ96" s="32">
        <f t="shared" si="6"/>
        <v>3</v>
      </c>
      <c r="AR96" s="54">
        <v>50545</v>
      </c>
      <c r="AS96" s="65">
        <f t="shared" si="10"/>
        <v>151635</v>
      </c>
      <c r="AT96" s="79"/>
    </row>
    <row r="97" spans="1:46" ht="28.5">
      <c r="A97" s="14">
        <v>88</v>
      </c>
      <c r="B97" s="74"/>
      <c r="C97" s="20" t="s">
        <v>84</v>
      </c>
      <c r="D97" s="43" t="s">
        <v>141</v>
      </c>
      <c r="E97" s="87" t="s">
        <v>152</v>
      </c>
      <c r="F97" s="48" t="s">
        <v>14</v>
      </c>
      <c r="G97" s="21"/>
      <c r="H97" s="21"/>
      <c r="I97" s="24"/>
      <c r="J97" s="50">
        <f t="shared" si="7"/>
        <v>0</v>
      </c>
      <c r="K97" s="40">
        <v>15</v>
      </c>
      <c r="L97" s="46">
        <f t="shared" si="8"/>
        <v>970500</v>
      </c>
      <c r="M97" s="47"/>
      <c r="N97" s="50"/>
      <c r="O97" s="45"/>
      <c r="P97" s="50"/>
      <c r="Q97" s="47"/>
      <c r="R97" s="50"/>
      <c r="S97" s="45"/>
      <c r="T97" s="50"/>
      <c r="U97" s="47"/>
      <c r="V97" s="50"/>
      <c r="W97" s="47"/>
      <c r="X97" s="50"/>
      <c r="Y97" s="47"/>
      <c r="Z97" s="50"/>
      <c r="AA97" s="47"/>
      <c r="AB97" s="50"/>
      <c r="AC97" s="47"/>
      <c r="AD97" s="50"/>
      <c r="AE97" s="47"/>
      <c r="AF97" s="50"/>
      <c r="AG97" s="47"/>
      <c r="AH97" s="50"/>
      <c r="AI97" s="47"/>
      <c r="AJ97" s="50">
        <f t="shared" si="9"/>
        <v>0</v>
      </c>
      <c r="AK97" s="47"/>
      <c r="AL97" s="50"/>
      <c r="AM97" s="47"/>
      <c r="AN97" s="50"/>
      <c r="AO97" s="47"/>
      <c r="AP97" s="50"/>
      <c r="AQ97" s="32">
        <f t="shared" si="6"/>
        <v>15</v>
      </c>
      <c r="AR97" s="54">
        <v>64700</v>
      </c>
      <c r="AS97" s="65">
        <f t="shared" si="10"/>
        <v>970500</v>
      </c>
      <c r="AT97" s="79"/>
    </row>
    <row r="98" spans="1:46" ht="28.5">
      <c r="A98" s="14">
        <v>89</v>
      </c>
      <c r="B98" s="74"/>
      <c r="C98" s="20" t="s">
        <v>84</v>
      </c>
      <c r="D98" s="43" t="s">
        <v>141</v>
      </c>
      <c r="E98" s="87" t="s">
        <v>153</v>
      </c>
      <c r="F98" s="48" t="s">
        <v>14</v>
      </c>
      <c r="G98" s="21"/>
      <c r="H98" s="21"/>
      <c r="I98" s="24"/>
      <c r="J98" s="50">
        <f t="shared" si="7"/>
        <v>0</v>
      </c>
      <c r="K98" s="40">
        <v>1</v>
      </c>
      <c r="L98" s="46">
        <f t="shared" si="8"/>
        <v>12540</v>
      </c>
      <c r="M98" s="47"/>
      <c r="N98" s="50"/>
      <c r="O98" s="45"/>
      <c r="P98" s="50"/>
      <c r="Q98" s="47"/>
      <c r="R98" s="50"/>
      <c r="S98" s="45"/>
      <c r="T98" s="50"/>
      <c r="U98" s="47"/>
      <c r="V98" s="50"/>
      <c r="W98" s="47"/>
      <c r="X98" s="50"/>
      <c r="Y98" s="47"/>
      <c r="Z98" s="50"/>
      <c r="AA98" s="47"/>
      <c r="AB98" s="50"/>
      <c r="AC98" s="47"/>
      <c r="AD98" s="50"/>
      <c r="AE98" s="47"/>
      <c r="AF98" s="50"/>
      <c r="AG98" s="47"/>
      <c r="AH98" s="50"/>
      <c r="AI98" s="47"/>
      <c r="AJ98" s="50">
        <f t="shared" si="9"/>
        <v>0</v>
      </c>
      <c r="AK98" s="47"/>
      <c r="AL98" s="50"/>
      <c r="AM98" s="47"/>
      <c r="AN98" s="50"/>
      <c r="AO98" s="47"/>
      <c r="AP98" s="50"/>
      <c r="AQ98" s="32">
        <f t="shared" si="6"/>
        <v>1</v>
      </c>
      <c r="AR98" s="54">
        <v>12540</v>
      </c>
      <c r="AS98" s="65">
        <f t="shared" si="10"/>
        <v>12540</v>
      </c>
      <c r="AT98" s="79"/>
    </row>
    <row r="99" spans="1:46" ht="28.5">
      <c r="A99" s="14">
        <v>90</v>
      </c>
      <c r="B99" s="74"/>
      <c r="C99" s="20" t="s">
        <v>84</v>
      </c>
      <c r="D99" s="43" t="s">
        <v>141</v>
      </c>
      <c r="E99" s="87" t="s">
        <v>154</v>
      </c>
      <c r="F99" s="48" t="s">
        <v>14</v>
      </c>
      <c r="G99" s="21"/>
      <c r="H99" s="21"/>
      <c r="I99" s="24"/>
      <c r="J99" s="50">
        <f t="shared" si="7"/>
        <v>0</v>
      </c>
      <c r="K99" s="40">
        <v>1</v>
      </c>
      <c r="L99" s="46">
        <f t="shared" si="8"/>
        <v>17788</v>
      </c>
      <c r="M99" s="47"/>
      <c r="N99" s="50"/>
      <c r="O99" s="45"/>
      <c r="P99" s="50"/>
      <c r="Q99" s="47"/>
      <c r="R99" s="50"/>
      <c r="S99" s="45"/>
      <c r="T99" s="50"/>
      <c r="U99" s="47"/>
      <c r="V99" s="50"/>
      <c r="W99" s="47"/>
      <c r="X99" s="50"/>
      <c r="Y99" s="47"/>
      <c r="Z99" s="50"/>
      <c r="AA99" s="47"/>
      <c r="AB99" s="50"/>
      <c r="AC99" s="47"/>
      <c r="AD99" s="50"/>
      <c r="AE99" s="47"/>
      <c r="AF99" s="50"/>
      <c r="AG99" s="47"/>
      <c r="AH99" s="50"/>
      <c r="AI99" s="47"/>
      <c r="AJ99" s="50">
        <f t="shared" si="9"/>
        <v>0</v>
      </c>
      <c r="AK99" s="47"/>
      <c r="AL99" s="50"/>
      <c r="AM99" s="47"/>
      <c r="AN99" s="50"/>
      <c r="AO99" s="47"/>
      <c r="AP99" s="50"/>
      <c r="AQ99" s="32">
        <f t="shared" si="6"/>
        <v>1</v>
      </c>
      <c r="AR99" s="54">
        <v>17788</v>
      </c>
      <c r="AS99" s="65">
        <f t="shared" si="10"/>
        <v>17788</v>
      </c>
      <c r="AT99" s="79"/>
    </row>
    <row r="100" spans="1:46" ht="28.5">
      <c r="A100" s="14">
        <v>91</v>
      </c>
      <c r="B100" s="74"/>
      <c r="C100" s="20" t="s">
        <v>84</v>
      </c>
      <c r="D100" s="43" t="s">
        <v>141</v>
      </c>
      <c r="E100" s="87" t="s">
        <v>155</v>
      </c>
      <c r="F100" s="48" t="s">
        <v>14</v>
      </c>
      <c r="G100" s="21"/>
      <c r="H100" s="21"/>
      <c r="I100" s="24"/>
      <c r="J100" s="50">
        <f t="shared" si="7"/>
        <v>0</v>
      </c>
      <c r="K100" s="40">
        <v>4</v>
      </c>
      <c r="L100" s="46">
        <f t="shared" si="8"/>
        <v>29580</v>
      </c>
      <c r="M100" s="47"/>
      <c r="N100" s="50"/>
      <c r="O100" s="45"/>
      <c r="P100" s="50"/>
      <c r="Q100" s="47"/>
      <c r="R100" s="50"/>
      <c r="S100" s="45"/>
      <c r="T100" s="50"/>
      <c r="U100" s="47"/>
      <c r="V100" s="50"/>
      <c r="W100" s="47"/>
      <c r="X100" s="50"/>
      <c r="Y100" s="47"/>
      <c r="Z100" s="50"/>
      <c r="AA100" s="47"/>
      <c r="AB100" s="50"/>
      <c r="AC100" s="47"/>
      <c r="AD100" s="50"/>
      <c r="AE100" s="47"/>
      <c r="AF100" s="50"/>
      <c r="AG100" s="47"/>
      <c r="AH100" s="50"/>
      <c r="AI100" s="47"/>
      <c r="AJ100" s="50">
        <f t="shared" si="9"/>
        <v>0</v>
      </c>
      <c r="AK100" s="47"/>
      <c r="AL100" s="50"/>
      <c r="AM100" s="47"/>
      <c r="AN100" s="50"/>
      <c r="AO100" s="47"/>
      <c r="AP100" s="50"/>
      <c r="AQ100" s="32">
        <f t="shared" si="6"/>
        <v>4</v>
      </c>
      <c r="AR100" s="54">
        <v>7395</v>
      </c>
      <c r="AS100" s="65">
        <f t="shared" si="10"/>
        <v>29580</v>
      </c>
      <c r="AT100" s="79"/>
    </row>
    <row r="101" spans="1:46" ht="28.5">
      <c r="A101" s="14">
        <v>92</v>
      </c>
      <c r="B101" s="74"/>
      <c r="C101" s="20" t="s">
        <v>84</v>
      </c>
      <c r="D101" s="43" t="s">
        <v>141</v>
      </c>
      <c r="E101" s="87" t="s">
        <v>156</v>
      </c>
      <c r="F101" s="48" t="s">
        <v>14</v>
      </c>
      <c r="G101" s="21"/>
      <c r="H101" s="21"/>
      <c r="I101" s="24"/>
      <c r="J101" s="50">
        <f t="shared" si="7"/>
        <v>0</v>
      </c>
      <c r="K101" s="40">
        <v>3</v>
      </c>
      <c r="L101" s="46">
        <f t="shared" si="8"/>
        <v>50940</v>
      </c>
      <c r="M101" s="47"/>
      <c r="N101" s="50"/>
      <c r="O101" s="45"/>
      <c r="P101" s="50"/>
      <c r="Q101" s="47"/>
      <c r="R101" s="50"/>
      <c r="S101" s="45"/>
      <c r="T101" s="50"/>
      <c r="U101" s="47"/>
      <c r="V101" s="50"/>
      <c r="W101" s="47"/>
      <c r="X101" s="50"/>
      <c r="Y101" s="47"/>
      <c r="Z101" s="50"/>
      <c r="AA101" s="47"/>
      <c r="AB101" s="50"/>
      <c r="AC101" s="47"/>
      <c r="AD101" s="50"/>
      <c r="AE101" s="47"/>
      <c r="AF101" s="50"/>
      <c r="AG101" s="47"/>
      <c r="AH101" s="50"/>
      <c r="AI101" s="47"/>
      <c r="AJ101" s="50">
        <f t="shared" si="9"/>
        <v>0</v>
      </c>
      <c r="AK101" s="47"/>
      <c r="AL101" s="50"/>
      <c r="AM101" s="47"/>
      <c r="AN101" s="50"/>
      <c r="AO101" s="47"/>
      <c r="AP101" s="50"/>
      <c r="AQ101" s="32">
        <f t="shared" si="6"/>
        <v>3</v>
      </c>
      <c r="AR101" s="54">
        <v>16980</v>
      </c>
      <c r="AS101" s="65">
        <f t="shared" si="10"/>
        <v>50940</v>
      </c>
      <c r="AT101" s="79"/>
    </row>
    <row r="102" spans="1:46" ht="28.5">
      <c r="A102" s="14">
        <v>93</v>
      </c>
      <c r="B102" s="74"/>
      <c r="C102" s="20" t="s">
        <v>84</v>
      </c>
      <c r="D102" s="43" t="s">
        <v>141</v>
      </c>
      <c r="E102" s="87" t="s">
        <v>157</v>
      </c>
      <c r="F102" s="48" t="s">
        <v>14</v>
      </c>
      <c r="G102" s="21"/>
      <c r="H102" s="21"/>
      <c r="I102" s="24"/>
      <c r="J102" s="50">
        <f t="shared" si="7"/>
        <v>0</v>
      </c>
      <c r="K102" s="40">
        <v>14</v>
      </c>
      <c r="L102" s="46">
        <f t="shared" si="8"/>
        <v>116200</v>
      </c>
      <c r="M102" s="47"/>
      <c r="N102" s="50"/>
      <c r="O102" s="45"/>
      <c r="P102" s="50"/>
      <c r="Q102" s="47"/>
      <c r="R102" s="50"/>
      <c r="S102" s="45"/>
      <c r="T102" s="50"/>
      <c r="U102" s="47"/>
      <c r="V102" s="50"/>
      <c r="W102" s="47"/>
      <c r="X102" s="50"/>
      <c r="Y102" s="47"/>
      <c r="Z102" s="50"/>
      <c r="AA102" s="47"/>
      <c r="AB102" s="50"/>
      <c r="AC102" s="47"/>
      <c r="AD102" s="50"/>
      <c r="AE102" s="47"/>
      <c r="AF102" s="50"/>
      <c r="AG102" s="47"/>
      <c r="AH102" s="50"/>
      <c r="AI102" s="47"/>
      <c r="AJ102" s="50">
        <f t="shared" si="9"/>
        <v>0</v>
      </c>
      <c r="AK102" s="47"/>
      <c r="AL102" s="50"/>
      <c r="AM102" s="47"/>
      <c r="AN102" s="50"/>
      <c r="AO102" s="47"/>
      <c r="AP102" s="50"/>
      <c r="AQ102" s="32">
        <f t="shared" si="6"/>
        <v>14</v>
      </c>
      <c r="AR102" s="54">
        <v>8300</v>
      </c>
      <c r="AS102" s="65">
        <f t="shared" si="10"/>
        <v>116200</v>
      </c>
      <c r="AT102" s="79"/>
    </row>
    <row r="103" spans="1:46" ht="28.5">
      <c r="A103" s="14">
        <v>94</v>
      </c>
      <c r="B103" s="74"/>
      <c r="C103" s="20" t="s">
        <v>84</v>
      </c>
      <c r="D103" s="43" t="s">
        <v>141</v>
      </c>
      <c r="E103" s="87" t="s">
        <v>158</v>
      </c>
      <c r="F103" s="48" t="s">
        <v>14</v>
      </c>
      <c r="G103" s="21"/>
      <c r="H103" s="21"/>
      <c r="I103" s="24"/>
      <c r="J103" s="50">
        <f t="shared" si="7"/>
        <v>0</v>
      </c>
      <c r="K103" s="40">
        <v>1</v>
      </c>
      <c r="L103" s="46">
        <f t="shared" si="8"/>
        <v>11685</v>
      </c>
      <c r="M103" s="47"/>
      <c r="N103" s="50"/>
      <c r="O103" s="45"/>
      <c r="P103" s="50"/>
      <c r="Q103" s="47"/>
      <c r="R103" s="50"/>
      <c r="S103" s="45"/>
      <c r="T103" s="50"/>
      <c r="U103" s="47"/>
      <c r="V103" s="50"/>
      <c r="W103" s="47"/>
      <c r="X103" s="50"/>
      <c r="Y103" s="47"/>
      <c r="Z103" s="50"/>
      <c r="AA103" s="47"/>
      <c r="AB103" s="50"/>
      <c r="AC103" s="47"/>
      <c r="AD103" s="50"/>
      <c r="AE103" s="47"/>
      <c r="AF103" s="50"/>
      <c r="AG103" s="47"/>
      <c r="AH103" s="50"/>
      <c r="AI103" s="47"/>
      <c r="AJ103" s="50">
        <f t="shared" si="9"/>
        <v>0</v>
      </c>
      <c r="AK103" s="47"/>
      <c r="AL103" s="50"/>
      <c r="AM103" s="47"/>
      <c r="AN103" s="50"/>
      <c r="AO103" s="47"/>
      <c r="AP103" s="50"/>
      <c r="AQ103" s="32">
        <f t="shared" si="6"/>
        <v>1</v>
      </c>
      <c r="AR103" s="54">
        <v>11685</v>
      </c>
      <c r="AS103" s="65">
        <f t="shared" si="10"/>
        <v>11685</v>
      </c>
      <c r="AT103" s="79"/>
    </row>
    <row r="104" spans="1:46" ht="28.5">
      <c r="A104" s="14">
        <v>95</v>
      </c>
      <c r="B104" s="74"/>
      <c r="C104" s="20" t="s">
        <v>84</v>
      </c>
      <c r="D104" s="43" t="s">
        <v>141</v>
      </c>
      <c r="E104" s="87" t="s">
        <v>159</v>
      </c>
      <c r="F104" s="48" t="s">
        <v>12</v>
      </c>
      <c r="G104" s="21"/>
      <c r="H104" s="21"/>
      <c r="I104" s="24"/>
      <c r="J104" s="50">
        <f t="shared" si="7"/>
        <v>0</v>
      </c>
      <c r="K104" s="40">
        <v>12</v>
      </c>
      <c r="L104" s="46">
        <f t="shared" si="8"/>
        <v>175032</v>
      </c>
      <c r="M104" s="47"/>
      <c r="N104" s="50"/>
      <c r="O104" s="45"/>
      <c r="P104" s="50"/>
      <c r="Q104" s="47"/>
      <c r="R104" s="50"/>
      <c r="S104" s="45"/>
      <c r="T104" s="50"/>
      <c r="U104" s="47"/>
      <c r="V104" s="50"/>
      <c r="W104" s="47"/>
      <c r="X104" s="50"/>
      <c r="Y104" s="47"/>
      <c r="Z104" s="50"/>
      <c r="AA104" s="47"/>
      <c r="AB104" s="50"/>
      <c r="AC104" s="47"/>
      <c r="AD104" s="50"/>
      <c r="AE104" s="47"/>
      <c r="AF104" s="50"/>
      <c r="AG104" s="47"/>
      <c r="AH104" s="50"/>
      <c r="AI104" s="47"/>
      <c r="AJ104" s="50">
        <f t="shared" si="9"/>
        <v>0</v>
      </c>
      <c r="AK104" s="47"/>
      <c r="AL104" s="50"/>
      <c r="AM104" s="47"/>
      <c r="AN104" s="50"/>
      <c r="AO104" s="47"/>
      <c r="AP104" s="50"/>
      <c r="AQ104" s="32">
        <f t="shared" si="6"/>
        <v>12</v>
      </c>
      <c r="AR104" s="54">
        <v>14586</v>
      </c>
      <c r="AS104" s="65">
        <f t="shared" si="10"/>
        <v>175032</v>
      </c>
      <c r="AT104" s="79"/>
    </row>
    <row r="105" spans="1:46" ht="28.5">
      <c r="A105" s="14">
        <v>96</v>
      </c>
      <c r="B105" s="74"/>
      <c r="C105" s="20" t="s">
        <v>84</v>
      </c>
      <c r="D105" s="43" t="s">
        <v>141</v>
      </c>
      <c r="E105" s="87" t="s">
        <v>160</v>
      </c>
      <c r="F105" s="48" t="s">
        <v>12</v>
      </c>
      <c r="G105" s="21"/>
      <c r="H105" s="21"/>
      <c r="I105" s="24"/>
      <c r="J105" s="50">
        <f t="shared" si="7"/>
        <v>0</v>
      </c>
      <c r="K105" s="40">
        <v>12</v>
      </c>
      <c r="L105" s="46">
        <f t="shared" si="8"/>
        <v>477672</v>
      </c>
      <c r="M105" s="47"/>
      <c r="N105" s="50"/>
      <c r="O105" s="45"/>
      <c r="P105" s="50"/>
      <c r="Q105" s="47"/>
      <c r="R105" s="50"/>
      <c r="S105" s="45"/>
      <c r="T105" s="50"/>
      <c r="U105" s="47"/>
      <c r="V105" s="50"/>
      <c r="W105" s="47"/>
      <c r="X105" s="50"/>
      <c r="Y105" s="47"/>
      <c r="Z105" s="50"/>
      <c r="AA105" s="47"/>
      <c r="AB105" s="50"/>
      <c r="AC105" s="47"/>
      <c r="AD105" s="50"/>
      <c r="AE105" s="47"/>
      <c r="AF105" s="50"/>
      <c r="AG105" s="47"/>
      <c r="AH105" s="50"/>
      <c r="AI105" s="47"/>
      <c r="AJ105" s="50">
        <f t="shared" si="9"/>
        <v>0</v>
      </c>
      <c r="AK105" s="47"/>
      <c r="AL105" s="50"/>
      <c r="AM105" s="47"/>
      <c r="AN105" s="50"/>
      <c r="AO105" s="47"/>
      <c r="AP105" s="50"/>
      <c r="AQ105" s="32">
        <f t="shared" si="6"/>
        <v>12</v>
      </c>
      <c r="AR105" s="54">
        <v>39806</v>
      </c>
      <c r="AS105" s="65">
        <f t="shared" si="10"/>
        <v>477672</v>
      </c>
      <c r="AT105" s="79"/>
    </row>
    <row r="106" spans="1:46" ht="28.5">
      <c r="A106" s="14">
        <v>97</v>
      </c>
      <c r="B106" s="74"/>
      <c r="C106" s="20" t="s">
        <v>84</v>
      </c>
      <c r="D106" s="43" t="s">
        <v>141</v>
      </c>
      <c r="E106" s="87" t="s">
        <v>161</v>
      </c>
      <c r="F106" s="48" t="s">
        <v>12</v>
      </c>
      <c r="G106" s="21"/>
      <c r="H106" s="21"/>
      <c r="I106" s="24"/>
      <c r="J106" s="50">
        <f t="shared" si="7"/>
        <v>0</v>
      </c>
      <c r="K106" s="40">
        <v>12</v>
      </c>
      <c r="L106" s="46">
        <f t="shared" si="8"/>
        <v>19596</v>
      </c>
      <c r="M106" s="47"/>
      <c r="N106" s="50"/>
      <c r="O106" s="45"/>
      <c r="P106" s="50"/>
      <c r="Q106" s="47"/>
      <c r="R106" s="50"/>
      <c r="S106" s="45"/>
      <c r="T106" s="50"/>
      <c r="U106" s="47"/>
      <c r="V106" s="50"/>
      <c r="W106" s="47"/>
      <c r="X106" s="50"/>
      <c r="Y106" s="47"/>
      <c r="Z106" s="50"/>
      <c r="AA106" s="47"/>
      <c r="AB106" s="50"/>
      <c r="AC106" s="47"/>
      <c r="AD106" s="50"/>
      <c r="AE106" s="47"/>
      <c r="AF106" s="50"/>
      <c r="AG106" s="47"/>
      <c r="AH106" s="50"/>
      <c r="AI106" s="47"/>
      <c r="AJ106" s="50">
        <f t="shared" si="9"/>
        <v>0</v>
      </c>
      <c r="AK106" s="47"/>
      <c r="AL106" s="50"/>
      <c r="AM106" s="47"/>
      <c r="AN106" s="50"/>
      <c r="AO106" s="47"/>
      <c r="AP106" s="50"/>
      <c r="AQ106" s="32">
        <f t="shared" ref="AQ106:AQ137" si="11">+AO106+AM106+AK106+AI106+AG106+AE106+AC106+AA106+Y106+W106+U106+S106+Q106+O106+M106+K106+I106+G106</f>
        <v>12</v>
      </c>
      <c r="AR106" s="54">
        <v>1633</v>
      </c>
      <c r="AS106" s="65">
        <f t="shared" si="10"/>
        <v>19596</v>
      </c>
      <c r="AT106" s="79"/>
    </row>
    <row r="107" spans="1:46" ht="28.5">
      <c r="A107" s="14">
        <v>98</v>
      </c>
      <c r="B107" s="74"/>
      <c r="C107" s="20" t="s">
        <v>84</v>
      </c>
      <c r="D107" s="43" t="s">
        <v>141</v>
      </c>
      <c r="E107" s="87" t="s">
        <v>22</v>
      </c>
      <c r="F107" s="48" t="s">
        <v>12</v>
      </c>
      <c r="G107" s="21"/>
      <c r="H107" s="21"/>
      <c r="I107" s="24"/>
      <c r="J107" s="50">
        <f t="shared" si="7"/>
        <v>0</v>
      </c>
      <c r="K107" s="40">
        <v>12</v>
      </c>
      <c r="L107" s="46">
        <f t="shared" si="8"/>
        <v>14208</v>
      </c>
      <c r="M107" s="47"/>
      <c r="N107" s="50"/>
      <c r="O107" s="45"/>
      <c r="P107" s="50"/>
      <c r="Q107" s="47"/>
      <c r="R107" s="50"/>
      <c r="S107" s="45"/>
      <c r="T107" s="50"/>
      <c r="U107" s="47"/>
      <c r="V107" s="50"/>
      <c r="W107" s="47"/>
      <c r="X107" s="50"/>
      <c r="Y107" s="47"/>
      <c r="Z107" s="50"/>
      <c r="AA107" s="47"/>
      <c r="AB107" s="50"/>
      <c r="AC107" s="47"/>
      <c r="AD107" s="50"/>
      <c r="AE107" s="47"/>
      <c r="AF107" s="50"/>
      <c r="AG107" s="47"/>
      <c r="AH107" s="50"/>
      <c r="AI107" s="47"/>
      <c r="AJ107" s="50">
        <f t="shared" si="9"/>
        <v>0</v>
      </c>
      <c r="AK107" s="47"/>
      <c r="AL107" s="50"/>
      <c r="AM107" s="47"/>
      <c r="AN107" s="50"/>
      <c r="AO107" s="47"/>
      <c r="AP107" s="50"/>
      <c r="AQ107" s="32">
        <f t="shared" si="11"/>
        <v>12</v>
      </c>
      <c r="AR107" s="54">
        <v>1184</v>
      </c>
      <c r="AS107" s="65">
        <f t="shared" si="10"/>
        <v>14208</v>
      </c>
      <c r="AT107" s="79"/>
    </row>
    <row r="108" spans="1:46" ht="28.5">
      <c r="A108" s="14">
        <v>99</v>
      </c>
      <c r="B108" s="74"/>
      <c r="C108" s="20" t="s">
        <v>84</v>
      </c>
      <c r="D108" s="43" t="s">
        <v>141</v>
      </c>
      <c r="E108" s="87" t="s">
        <v>162</v>
      </c>
      <c r="F108" s="48" t="s">
        <v>12</v>
      </c>
      <c r="G108" s="21"/>
      <c r="H108" s="21"/>
      <c r="I108" s="24"/>
      <c r="J108" s="50">
        <f t="shared" si="7"/>
        <v>0</v>
      </c>
      <c r="K108" s="40">
        <v>12</v>
      </c>
      <c r="L108" s="46">
        <f t="shared" si="8"/>
        <v>15900</v>
      </c>
      <c r="M108" s="47"/>
      <c r="N108" s="50"/>
      <c r="O108" s="45"/>
      <c r="P108" s="50"/>
      <c r="Q108" s="47"/>
      <c r="R108" s="50"/>
      <c r="S108" s="45"/>
      <c r="T108" s="50"/>
      <c r="U108" s="47"/>
      <c r="V108" s="50"/>
      <c r="W108" s="47"/>
      <c r="X108" s="50"/>
      <c r="Y108" s="47"/>
      <c r="Z108" s="50"/>
      <c r="AA108" s="47"/>
      <c r="AB108" s="50"/>
      <c r="AC108" s="47"/>
      <c r="AD108" s="50"/>
      <c r="AE108" s="47"/>
      <c r="AF108" s="50"/>
      <c r="AG108" s="47"/>
      <c r="AH108" s="50"/>
      <c r="AI108" s="47"/>
      <c r="AJ108" s="50">
        <f t="shared" si="9"/>
        <v>0</v>
      </c>
      <c r="AK108" s="47"/>
      <c r="AL108" s="50"/>
      <c r="AM108" s="47"/>
      <c r="AN108" s="50"/>
      <c r="AO108" s="47"/>
      <c r="AP108" s="50"/>
      <c r="AQ108" s="32">
        <f t="shared" si="11"/>
        <v>12</v>
      </c>
      <c r="AR108" s="54">
        <v>1325</v>
      </c>
      <c r="AS108" s="65">
        <f t="shared" si="10"/>
        <v>15900</v>
      </c>
      <c r="AT108" s="79"/>
    </row>
    <row r="109" spans="1:46" ht="28.5">
      <c r="A109" s="14">
        <v>100</v>
      </c>
      <c r="B109" s="74"/>
      <c r="C109" s="20" t="s">
        <v>84</v>
      </c>
      <c r="D109" s="43" t="s">
        <v>141</v>
      </c>
      <c r="E109" s="87" t="s">
        <v>163</v>
      </c>
      <c r="F109" s="48" t="s">
        <v>12</v>
      </c>
      <c r="G109" s="21"/>
      <c r="H109" s="21"/>
      <c r="I109" s="24"/>
      <c r="J109" s="50">
        <f t="shared" si="7"/>
        <v>0</v>
      </c>
      <c r="K109" s="40">
        <v>12</v>
      </c>
      <c r="L109" s="46">
        <f t="shared" si="8"/>
        <v>15012</v>
      </c>
      <c r="M109" s="47"/>
      <c r="N109" s="50"/>
      <c r="O109" s="45"/>
      <c r="P109" s="50"/>
      <c r="Q109" s="47"/>
      <c r="R109" s="50"/>
      <c r="S109" s="45"/>
      <c r="T109" s="50"/>
      <c r="U109" s="47"/>
      <c r="V109" s="50"/>
      <c r="W109" s="47"/>
      <c r="X109" s="50"/>
      <c r="Y109" s="47"/>
      <c r="Z109" s="50"/>
      <c r="AA109" s="47"/>
      <c r="AB109" s="50"/>
      <c r="AC109" s="47"/>
      <c r="AD109" s="50"/>
      <c r="AE109" s="47"/>
      <c r="AF109" s="50"/>
      <c r="AG109" s="47"/>
      <c r="AH109" s="50"/>
      <c r="AI109" s="47"/>
      <c r="AJ109" s="50">
        <f t="shared" si="9"/>
        <v>0</v>
      </c>
      <c r="AK109" s="47"/>
      <c r="AL109" s="50"/>
      <c r="AM109" s="47"/>
      <c r="AN109" s="50"/>
      <c r="AO109" s="47"/>
      <c r="AP109" s="50"/>
      <c r="AQ109" s="32">
        <f t="shared" si="11"/>
        <v>12</v>
      </c>
      <c r="AR109" s="54">
        <v>1251</v>
      </c>
      <c r="AS109" s="65">
        <f t="shared" si="10"/>
        <v>15012</v>
      </c>
      <c r="AT109" s="79"/>
    </row>
    <row r="110" spans="1:46" ht="28.5">
      <c r="A110" s="14">
        <v>101</v>
      </c>
      <c r="B110" s="74"/>
      <c r="C110" s="20" t="s">
        <v>84</v>
      </c>
      <c r="D110" s="43" t="s">
        <v>141</v>
      </c>
      <c r="E110" s="87" t="s">
        <v>165</v>
      </c>
      <c r="F110" s="48" t="s">
        <v>12</v>
      </c>
      <c r="G110" s="21"/>
      <c r="H110" s="21"/>
      <c r="I110" s="24"/>
      <c r="J110" s="50">
        <f t="shared" si="7"/>
        <v>0</v>
      </c>
      <c r="K110" s="40">
        <v>12</v>
      </c>
      <c r="L110" s="46">
        <f t="shared" si="8"/>
        <v>236988</v>
      </c>
      <c r="M110" s="47"/>
      <c r="N110" s="50"/>
      <c r="O110" s="45"/>
      <c r="P110" s="50"/>
      <c r="Q110" s="47"/>
      <c r="R110" s="50"/>
      <c r="S110" s="45"/>
      <c r="T110" s="50"/>
      <c r="U110" s="47"/>
      <c r="V110" s="50"/>
      <c r="W110" s="47"/>
      <c r="X110" s="50"/>
      <c r="Y110" s="47"/>
      <c r="Z110" s="50"/>
      <c r="AA110" s="47"/>
      <c r="AB110" s="50"/>
      <c r="AC110" s="47"/>
      <c r="AD110" s="50"/>
      <c r="AE110" s="47"/>
      <c r="AF110" s="50"/>
      <c r="AG110" s="47"/>
      <c r="AH110" s="50"/>
      <c r="AI110" s="47"/>
      <c r="AJ110" s="50">
        <f t="shared" si="9"/>
        <v>0</v>
      </c>
      <c r="AK110" s="47"/>
      <c r="AL110" s="50"/>
      <c r="AM110" s="47"/>
      <c r="AN110" s="50"/>
      <c r="AO110" s="47"/>
      <c r="AP110" s="50"/>
      <c r="AQ110" s="32">
        <f t="shared" si="11"/>
        <v>12</v>
      </c>
      <c r="AR110" s="54">
        <v>19749</v>
      </c>
      <c r="AS110" s="65">
        <f t="shared" si="10"/>
        <v>236988</v>
      </c>
      <c r="AT110" s="79"/>
    </row>
    <row r="111" spans="1:46" ht="28.5">
      <c r="A111" s="14">
        <v>102</v>
      </c>
      <c r="B111" s="74"/>
      <c r="C111" s="20" t="s">
        <v>84</v>
      </c>
      <c r="D111" s="43" t="s">
        <v>141</v>
      </c>
      <c r="E111" s="87" t="s">
        <v>164</v>
      </c>
      <c r="F111" s="48" t="s">
        <v>12</v>
      </c>
      <c r="G111" s="21"/>
      <c r="H111" s="21"/>
      <c r="I111" s="24"/>
      <c r="J111" s="50">
        <f t="shared" si="7"/>
        <v>0</v>
      </c>
      <c r="K111" s="40">
        <v>12</v>
      </c>
      <c r="L111" s="46">
        <f t="shared" si="8"/>
        <v>199740</v>
      </c>
      <c r="M111" s="47"/>
      <c r="N111" s="50"/>
      <c r="O111" s="45"/>
      <c r="P111" s="50"/>
      <c r="Q111" s="47"/>
      <c r="R111" s="50"/>
      <c r="S111" s="45"/>
      <c r="T111" s="50"/>
      <c r="U111" s="47"/>
      <c r="V111" s="50"/>
      <c r="W111" s="47"/>
      <c r="X111" s="50"/>
      <c r="Y111" s="47"/>
      <c r="Z111" s="50"/>
      <c r="AA111" s="47"/>
      <c r="AB111" s="50"/>
      <c r="AC111" s="47"/>
      <c r="AD111" s="50"/>
      <c r="AE111" s="47"/>
      <c r="AF111" s="50"/>
      <c r="AG111" s="47"/>
      <c r="AH111" s="50"/>
      <c r="AI111" s="47"/>
      <c r="AJ111" s="50">
        <f t="shared" si="9"/>
        <v>0</v>
      </c>
      <c r="AK111" s="47"/>
      <c r="AL111" s="50"/>
      <c r="AM111" s="47"/>
      <c r="AN111" s="50"/>
      <c r="AO111" s="47"/>
      <c r="AP111" s="50"/>
      <c r="AQ111" s="32">
        <f t="shared" si="11"/>
        <v>12</v>
      </c>
      <c r="AR111" s="54">
        <v>16645</v>
      </c>
      <c r="AS111" s="65">
        <f t="shared" si="10"/>
        <v>199740</v>
      </c>
      <c r="AT111" s="79"/>
    </row>
    <row r="112" spans="1:46" ht="28.5">
      <c r="A112" s="14">
        <v>103</v>
      </c>
      <c r="B112" s="74"/>
      <c r="C112" s="20" t="s">
        <v>84</v>
      </c>
      <c r="D112" s="43" t="s">
        <v>141</v>
      </c>
      <c r="E112" s="87" t="s">
        <v>166</v>
      </c>
      <c r="F112" s="48" t="s">
        <v>12</v>
      </c>
      <c r="G112" s="21"/>
      <c r="H112" s="21"/>
      <c r="I112" s="24"/>
      <c r="J112" s="50">
        <f t="shared" si="7"/>
        <v>0</v>
      </c>
      <c r="K112" s="42">
        <v>100</v>
      </c>
      <c r="L112" s="46">
        <f t="shared" si="8"/>
        <v>87600</v>
      </c>
      <c r="M112" s="47"/>
      <c r="N112" s="50"/>
      <c r="O112" s="45"/>
      <c r="P112" s="50"/>
      <c r="Q112" s="47"/>
      <c r="R112" s="50"/>
      <c r="S112" s="45"/>
      <c r="T112" s="50"/>
      <c r="U112" s="47"/>
      <c r="V112" s="50"/>
      <c r="W112" s="47"/>
      <c r="X112" s="50"/>
      <c r="Y112" s="47"/>
      <c r="Z112" s="50"/>
      <c r="AA112" s="47"/>
      <c r="AB112" s="50"/>
      <c r="AC112" s="47"/>
      <c r="AD112" s="50"/>
      <c r="AE112" s="47"/>
      <c r="AF112" s="50"/>
      <c r="AG112" s="47"/>
      <c r="AH112" s="50"/>
      <c r="AI112" s="47"/>
      <c r="AJ112" s="50">
        <f t="shared" si="9"/>
        <v>0</v>
      </c>
      <c r="AK112" s="47"/>
      <c r="AL112" s="50"/>
      <c r="AM112" s="47"/>
      <c r="AN112" s="50"/>
      <c r="AO112" s="47"/>
      <c r="AP112" s="50"/>
      <c r="AQ112" s="32">
        <f t="shared" si="11"/>
        <v>100</v>
      </c>
      <c r="AR112" s="54">
        <v>876</v>
      </c>
      <c r="AS112" s="65">
        <f t="shared" si="10"/>
        <v>87600</v>
      </c>
      <c r="AT112" s="79"/>
    </row>
    <row r="113" spans="1:46" ht="28.5">
      <c r="A113" s="14">
        <v>104</v>
      </c>
      <c r="B113" s="74"/>
      <c r="C113" s="20" t="s">
        <v>84</v>
      </c>
      <c r="D113" s="43" t="s">
        <v>141</v>
      </c>
      <c r="E113" s="87" t="s">
        <v>167</v>
      </c>
      <c r="F113" s="48" t="s">
        <v>12</v>
      </c>
      <c r="G113" s="21"/>
      <c r="H113" s="21"/>
      <c r="I113" s="24"/>
      <c r="J113" s="50">
        <f t="shared" si="7"/>
        <v>0</v>
      </c>
      <c r="K113" s="42">
        <v>100</v>
      </c>
      <c r="L113" s="46">
        <f t="shared" si="8"/>
        <v>87600</v>
      </c>
      <c r="M113" s="47"/>
      <c r="N113" s="50"/>
      <c r="O113" s="45"/>
      <c r="P113" s="50"/>
      <c r="Q113" s="47"/>
      <c r="R113" s="50"/>
      <c r="S113" s="45"/>
      <c r="T113" s="50"/>
      <c r="U113" s="47"/>
      <c r="V113" s="50"/>
      <c r="W113" s="47"/>
      <c r="X113" s="50"/>
      <c r="Y113" s="47"/>
      <c r="Z113" s="50"/>
      <c r="AA113" s="47"/>
      <c r="AB113" s="50"/>
      <c r="AC113" s="47"/>
      <c r="AD113" s="50"/>
      <c r="AE113" s="47"/>
      <c r="AF113" s="50"/>
      <c r="AG113" s="47"/>
      <c r="AH113" s="50"/>
      <c r="AI113" s="47"/>
      <c r="AJ113" s="50">
        <f t="shared" si="9"/>
        <v>0</v>
      </c>
      <c r="AK113" s="47"/>
      <c r="AL113" s="50"/>
      <c r="AM113" s="47"/>
      <c r="AN113" s="50"/>
      <c r="AO113" s="47"/>
      <c r="AP113" s="50"/>
      <c r="AQ113" s="32">
        <f t="shared" si="11"/>
        <v>100</v>
      </c>
      <c r="AR113" s="54">
        <v>876</v>
      </c>
      <c r="AS113" s="65">
        <f t="shared" si="10"/>
        <v>87600</v>
      </c>
      <c r="AT113" s="79"/>
    </row>
    <row r="114" spans="1:46" ht="28.5">
      <c r="A114" s="14">
        <v>105</v>
      </c>
      <c r="B114" s="74"/>
      <c r="C114" s="20" t="s">
        <v>84</v>
      </c>
      <c r="D114" s="43" t="s">
        <v>141</v>
      </c>
      <c r="E114" s="87" t="s">
        <v>168</v>
      </c>
      <c r="F114" s="48" t="s">
        <v>12</v>
      </c>
      <c r="G114" s="21"/>
      <c r="H114" s="21"/>
      <c r="I114" s="24"/>
      <c r="J114" s="50">
        <f t="shared" si="7"/>
        <v>0</v>
      </c>
      <c r="K114" s="42">
        <v>100</v>
      </c>
      <c r="L114" s="46">
        <f t="shared" si="8"/>
        <v>88800</v>
      </c>
      <c r="M114" s="47"/>
      <c r="N114" s="50"/>
      <c r="O114" s="45"/>
      <c r="P114" s="50"/>
      <c r="Q114" s="47"/>
      <c r="R114" s="50"/>
      <c r="S114" s="45"/>
      <c r="T114" s="50"/>
      <c r="U114" s="47"/>
      <c r="V114" s="50"/>
      <c r="W114" s="47"/>
      <c r="X114" s="50"/>
      <c r="Y114" s="47"/>
      <c r="Z114" s="50"/>
      <c r="AA114" s="47"/>
      <c r="AB114" s="50"/>
      <c r="AC114" s="47"/>
      <c r="AD114" s="50"/>
      <c r="AE114" s="47"/>
      <c r="AF114" s="50"/>
      <c r="AG114" s="47"/>
      <c r="AH114" s="50"/>
      <c r="AI114" s="47"/>
      <c r="AJ114" s="50">
        <f t="shared" si="9"/>
        <v>0</v>
      </c>
      <c r="AK114" s="47"/>
      <c r="AL114" s="50"/>
      <c r="AM114" s="47"/>
      <c r="AN114" s="50"/>
      <c r="AO114" s="47"/>
      <c r="AP114" s="50"/>
      <c r="AQ114" s="32">
        <f t="shared" si="11"/>
        <v>100</v>
      </c>
      <c r="AR114" s="54">
        <v>888</v>
      </c>
      <c r="AS114" s="65">
        <f t="shared" si="10"/>
        <v>88800</v>
      </c>
      <c r="AT114" s="79"/>
    </row>
    <row r="115" spans="1:46" ht="28.5">
      <c r="A115" s="14">
        <v>106</v>
      </c>
      <c r="B115" s="74"/>
      <c r="C115" s="20" t="s">
        <v>84</v>
      </c>
      <c r="D115" s="43" t="s">
        <v>141</v>
      </c>
      <c r="E115" s="87" t="s">
        <v>169</v>
      </c>
      <c r="F115" s="48" t="s">
        <v>12</v>
      </c>
      <c r="G115" s="21"/>
      <c r="H115" s="21"/>
      <c r="I115" s="24"/>
      <c r="J115" s="50">
        <f t="shared" si="7"/>
        <v>0</v>
      </c>
      <c r="K115" s="42">
        <v>100</v>
      </c>
      <c r="L115" s="46">
        <f t="shared" si="8"/>
        <v>165700</v>
      </c>
      <c r="M115" s="47"/>
      <c r="N115" s="50"/>
      <c r="O115" s="45"/>
      <c r="P115" s="50"/>
      <c r="Q115" s="47"/>
      <c r="R115" s="50"/>
      <c r="S115" s="45"/>
      <c r="T115" s="50"/>
      <c r="U115" s="47"/>
      <c r="V115" s="50"/>
      <c r="W115" s="47"/>
      <c r="X115" s="50"/>
      <c r="Y115" s="47"/>
      <c r="Z115" s="50"/>
      <c r="AA115" s="47"/>
      <c r="AB115" s="50"/>
      <c r="AC115" s="47"/>
      <c r="AD115" s="50"/>
      <c r="AE115" s="47"/>
      <c r="AF115" s="50"/>
      <c r="AG115" s="47"/>
      <c r="AH115" s="50"/>
      <c r="AI115" s="47"/>
      <c r="AJ115" s="50">
        <f t="shared" si="9"/>
        <v>0</v>
      </c>
      <c r="AK115" s="47"/>
      <c r="AL115" s="50"/>
      <c r="AM115" s="47"/>
      <c r="AN115" s="50"/>
      <c r="AO115" s="47"/>
      <c r="AP115" s="50"/>
      <c r="AQ115" s="32">
        <f t="shared" si="11"/>
        <v>100</v>
      </c>
      <c r="AR115" s="54">
        <v>1657</v>
      </c>
      <c r="AS115" s="65">
        <f t="shared" si="10"/>
        <v>165700</v>
      </c>
      <c r="AT115" s="79"/>
    </row>
    <row r="116" spans="1:46" ht="294.75" customHeight="1">
      <c r="A116" s="14">
        <v>107</v>
      </c>
      <c r="B116" s="74"/>
      <c r="C116" s="20" t="s">
        <v>84</v>
      </c>
      <c r="D116" s="43" t="s">
        <v>141</v>
      </c>
      <c r="E116" s="87" t="s">
        <v>109</v>
      </c>
      <c r="F116" s="17" t="s">
        <v>14</v>
      </c>
      <c r="G116" s="21"/>
      <c r="H116" s="21"/>
      <c r="I116" s="24"/>
      <c r="J116" s="50">
        <f t="shared" si="7"/>
        <v>0</v>
      </c>
      <c r="K116" s="45">
        <v>16</v>
      </c>
      <c r="L116" s="46">
        <f t="shared" si="8"/>
        <v>580800</v>
      </c>
      <c r="M116" s="47"/>
      <c r="N116" s="50"/>
      <c r="O116" s="45"/>
      <c r="P116" s="50"/>
      <c r="Q116" s="47"/>
      <c r="R116" s="50"/>
      <c r="S116" s="45"/>
      <c r="T116" s="50"/>
      <c r="U116" s="47"/>
      <c r="V116" s="50"/>
      <c r="W116" s="47"/>
      <c r="X116" s="50"/>
      <c r="Y116" s="47"/>
      <c r="Z116" s="50"/>
      <c r="AA116" s="47"/>
      <c r="AB116" s="50"/>
      <c r="AC116" s="47"/>
      <c r="AD116" s="50"/>
      <c r="AE116" s="47"/>
      <c r="AF116" s="50"/>
      <c r="AG116" s="47"/>
      <c r="AH116" s="50"/>
      <c r="AI116" s="47"/>
      <c r="AJ116" s="50">
        <f t="shared" si="9"/>
        <v>0</v>
      </c>
      <c r="AK116" s="47"/>
      <c r="AL116" s="50"/>
      <c r="AM116" s="47"/>
      <c r="AN116" s="50"/>
      <c r="AO116" s="47"/>
      <c r="AP116" s="50"/>
      <c r="AQ116" s="32">
        <f t="shared" si="11"/>
        <v>16</v>
      </c>
      <c r="AR116" s="55">
        <v>36300</v>
      </c>
      <c r="AS116" s="65">
        <f t="shared" si="10"/>
        <v>580800</v>
      </c>
      <c r="AT116" s="79"/>
    </row>
    <row r="117" spans="1:46" ht="80.25" customHeight="1">
      <c r="A117" s="14">
        <v>108</v>
      </c>
      <c r="B117" s="74"/>
      <c r="C117" s="20" t="s">
        <v>84</v>
      </c>
      <c r="D117" s="43" t="s">
        <v>141</v>
      </c>
      <c r="E117" s="87" t="s">
        <v>110</v>
      </c>
      <c r="F117" s="17" t="s">
        <v>14</v>
      </c>
      <c r="G117" s="21"/>
      <c r="H117" s="21"/>
      <c r="I117" s="24"/>
      <c r="J117" s="50">
        <f t="shared" si="7"/>
        <v>0</v>
      </c>
      <c r="K117" s="45">
        <v>16</v>
      </c>
      <c r="L117" s="46">
        <f t="shared" si="8"/>
        <v>322560</v>
      </c>
      <c r="M117" s="47"/>
      <c r="N117" s="50"/>
      <c r="O117" s="45"/>
      <c r="P117" s="50"/>
      <c r="Q117" s="47"/>
      <c r="R117" s="50"/>
      <c r="S117" s="45"/>
      <c r="T117" s="50"/>
      <c r="U117" s="47"/>
      <c r="V117" s="50"/>
      <c r="W117" s="47"/>
      <c r="X117" s="50"/>
      <c r="Y117" s="47"/>
      <c r="Z117" s="50"/>
      <c r="AA117" s="47"/>
      <c r="AB117" s="50"/>
      <c r="AC117" s="47"/>
      <c r="AD117" s="50"/>
      <c r="AE117" s="47"/>
      <c r="AF117" s="50"/>
      <c r="AG117" s="47"/>
      <c r="AH117" s="50"/>
      <c r="AI117" s="47"/>
      <c r="AJ117" s="50">
        <f t="shared" si="9"/>
        <v>0</v>
      </c>
      <c r="AK117" s="47"/>
      <c r="AL117" s="50"/>
      <c r="AM117" s="47"/>
      <c r="AN117" s="50"/>
      <c r="AO117" s="47"/>
      <c r="AP117" s="50"/>
      <c r="AQ117" s="32">
        <f t="shared" si="11"/>
        <v>16</v>
      </c>
      <c r="AR117" s="55">
        <v>20160</v>
      </c>
      <c r="AS117" s="65">
        <f t="shared" si="10"/>
        <v>322560</v>
      </c>
      <c r="AT117" s="79"/>
    </row>
    <row r="118" spans="1:46" ht="71.25">
      <c r="A118" s="14">
        <v>109</v>
      </c>
      <c r="B118" s="39" t="s">
        <v>132</v>
      </c>
      <c r="C118" s="20" t="s">
        <v>84</v>
      </c>
      <c r="D118" s="43" t="s">
        <v>141</v>
      </c>
      <c r="E118" s="88" t="s">
        <v>133</v>
      </c>
      <c r="F118" s="26" t="s">
        <v>134</v>
      </c>
      <c r="G118" s="21"/>
      <c r="H118" s="21"/>
      <c r="I118" s="24"/>
      <c r="J118" s="50">
        <f t="shared" si="7"/>
        <v>0</v>
      </c>
      <c r="K118" s="45"/>
      <c r="L118" s="46">
        <f t="shared" si="8"/>
        <v>0</v>
      </c>
      <c r="M118" s="47"/>
      <c r="N118" s="50"/>
      <c r="O118" s="45"/>
      <c r="P118" s="50"/>
      <c r="Q118" s="47"/>
      <c r="R118" s="50"/>
      <c r="S118" s="45"/>
      <c r="T118" s="50"/>
      <c r="U118" s="47"/>
      <c r="V118" s="50"/>
      <c r="W118" s="47"/>
      <c r="X118" s="50"/>
      <c r="Y118" s="47"/>
      <c r="Z118" s="50"/>
      <c r="AA118" s="47"/>
      <c r="AB118" s="50"/>
      <c r="AC118" s="47"/>
      <c r="AD118" s="50"/>
      <c r="AE118" s="47">
        <v>5</v>
      </c>
      <c r="AF118" s="50">
        <f>+AE118*AR118</f>
        <v>57990</v>
      </c>
      <c r="AG118" s="47"/>
      <c r="AH118" s="50"/>
      <c r="AI118" s="47"/>
      <c r="AJ118" s="50">
        <f t="shared" si="9"/>
        <v>0</v>
      </c>
      <c r="AK118" s="47"/>
      <c r="AL118" s="50"/>
      <c r="AM118" s="47"/>
      <c r="AN118" s="50"/>
      <c r="AO118" s="47"/>
      <c r="AP118" s="50"/>
      <c r="AQ118" s="32">
        <f t="shared" si="11"/>
        <v>5</v>
      </c>
      <c r="AR118" s="55">
        <v>11598</v>
      </c>
      <c r="AS118" s="65">
        <f t="shared" si="10"/>
        <v>57990</v>
      </c>
      <c r="AT118" s="79"/>
    </row>
    <row r="119" spans="1:46" ht="71.25">
      <c r="A119" s="14">
        <v>110</v>
      </c>
      <c r="B119" s="39" t="s">
        <v>135</v>
      </c>
      <c r="C119" s="20" t="s">
        <v>84</v>
      </c>
      <c r="D119" s="43" t="s">
        <v>141</v>
      </c>
      <c r="E119" s="88" t="s">
        <v>136</v>
      </c>
      <c r="F119" s="26" t="s">
        <v>134</v>
      </c>
      <c r="G119" s="25"/>
      <c r="H119" s="25"/>
      <c r="I119" s="25"/>
      <c r="J119" s="50">
        <f t="shared" si="7"/>
        <v>0</v>
      </c>
      <c r="K119" s="60"/>
      <c r="L119" s="46">
        <f t="shared" si="8"/>
        <v>0</v>
      </c>
      <c r="M119" s="37"/>
      <c r="N119" s="36"/>
      <c r="O119" s="60"/>
      <c r="P119" s="36"/>
      <c r="Q119" s="37"/>
      <c r="R119" s="36"/>
      <c r="S119" s="60"/>
      <c r="T119" s="36"/>
      <c r="U119" s="37"/>
      <c r="V119" s="36"/>
      <c r="W119" s="37"/>
      <c r="X119" s="36"/>
      <c r="Y119" s="37"/>
      <c r="Z119" s="36"/>
      <c r="AA119" s="37"/>
      <c r="AB119" s="36"/>
      <c r="AC119" s="37"/>
      <c r="AD119" s="36"/>
      <c r="AE119" s="37">
        <v>5</v>
      </c>
      <c r="AF119" s="50">
        <f>+AE119*AR119</f>
        <v>54605</v>
      </c>
      <c r="AG119" s="47"/>
      <c r="AH119" s="50"/>
      <c r="AI119" s="47"/>
      <c r="AJ119" s="50">
        <f t="shared" si="9"/>
        <v>0</v>
      </c>
      <c r="AK119" s="47"/>
      <c r="AL119" s="50"/>
      <c r="AM119" s="47"/>
      <c r="AN119" s="50"/>
      <c r="AO119" s="47"/>
      <c r="AP119" s="50"/>
      <c r="AQ119" s="32">
        <f t="shared" si="11"/>
        <v>5</v>
      </c>
      <c r="AR119" s="55">
        <v>10921</v>
      </c>
      <c r="AS119" s="65">
        <f t="shared" si="10"/>
        <v>54605</v>
      </c>
      <c r="AT119" s="79"/>
    </row>
    <row r="120" spans="1:46" ht="28.5">
      <c r="A120" s="14">
        <v>111</v>
      </c>
      <c r="B120" s="74"/>
      <c r="C120" s="20" t="s">
        <v>84</v>
      </c>
      <c r="D120" s="43" t="s">
        <v>141</v>
      </c>
      <c r="E120" s="89" t="s">
        <v>184</v>
      </c>
      <c r="F120" s="43" t="s">
        <v>103</v>
      </c>
      <c r="G120" s="25"/>
      <c r="H120" s="25"/>
      <c r="I120" s="25"/>
      <c r="J120" s="50">
        <f t="shared" si="7"/>
        <v>0</v>
      </c>
      <c r="K120" s="60"/>
      <c r="L120" s="46">
        <f t="shared" si="8"/>
        <v>0</v>
      </c>
      <c r="M120" s="37"/>
      <c r="N120" s="36"/>
      <c r="O120" s="60"/>
      <c r="P120" s="36"/>
      <c r="Q120" s="37"/>
      <c r="R120" s="36"/>
      <c r="S120" s="60"/>
      <c r="T120" s="36"/>
      <c r="U120" s="37"/>
      <c r="V120" s="36"/>
      <c r="W120" s="37"/>
      <c r="X120" s="36"/>
      <c r="Y120" s="37"/>
      <c r="Z120" s="36"/>
      <c r="AA120" s="37"/>
      <c r="AB120" s="36"/>
      <c r="AC120" s="37"/>
      <c r="AD120" s="36"/>
      <c r="AE120" s="37"/>
      <c r="AF120" s="36"/>
      <c r="AG120" s="37"/>
      <c r="AH120" s="36"/>
      <c r="AI120" s="43">
        <v>4</v>
      </c>
      <c r="AJ120" s="50">
        <f t="shared" si="9"/>
        <v>168956</v>
      </c>
      <c r="AK120" s="37"/>
      <c r="AL120" s="36"/>
      <c r="AM120" s="37"/>
      <c r="AN120" s="36"/>
      <c r="AO120" s="37"/>
      <c r="AP120" s="36"/>
      <c r="AQ120" s="32">
        <f t="shared" si="11"/>
        <v>4</v>
      </c>
      <c r="AR120" s="68">
        <v>42239</v>
      </c>
      <c r="AS120" s="65">
        <f t="shared" si="10"/>
        <v>168956</v>
      </c>
      <c r="AT120" s="79"/>
    </row>
    <row r="121" spans="1:46" ht="28.5">
      <c r="A121" s="14">
        <v>112</v>
      </c>
      <c r="B121" s="74"/>
      <c r="C121" s="20" t="s">
        <v>84</v>
      </c>
      <c r="D121" s="43" t="s">
        <v>141</v>
      </c>
      <c r="E121" s="89" t="s">
        <v>185</v>
      </c>
      <c r="F121" s="43" t="s">
        <v>103</v>
      </c>
      <c r="G121" s="25"/>
      <c r="H121" s="25"/>
      <c r="I121" s="25"/>
      <c r="J121" s="50">
        <f t="shared" si="7"/>
        <v>0</v>
      </c>
      <c r="K121" s="60"/>
      <c r="L121" s="46">
        <f t="shared" si="8"/>
        <v>0</v>
      </c>
      <c r="M121" s="37"/>
      <c r="N121" s="36"/>
      <c r="O121" s="60"/>
      <c r="P121" s="36"/>
      <c r="Q121" s="37"/>
      <c r="R121" s="36"/>
      <c r="S121" s="60"/>
      <c r="T121" s="36"/>
      <c r="U121" s="37"/>
      <c r="V121" s="36"/>
      <c r="W121" s="37"/>
      <c r="X121" s="36"/>
      <c r="Y121" s="37"/>
      <c r="Z121" s="36"/>
      <c r="AA121" s="37"/>
      <c r="AB121" s="36"/>
      <c r="AC121" s="37"/>
      <c r="AD121" s="36"/>
      <c r="AE121" s="37"/>
      <c r="AF121" s="36"/>
      <c r="AG121" s="37"/>
      <c r="AH121" s="36"/>
      <c r="AI121" s="43">
        <v>2</v>
      </c>
      <c r="AJ121" s="50">
        <f t="shared" si="9"/>
        <v>48560</v>
      </c>
      <c r="AK121" s="37"/>
      <c r="AL121" s="36"/>
      <c r="AM121" s="37"/>
      <c r="AN121" s="36"/>
      <c r="AO121" s="37"/>
      <c r="AP121" s="36"/>
      <c r="AQ121" s="32">
        <f t="shared" si="11"/>
        <v>2</v>
      </c>
      <c r="AR121" s="68">
        <v>24280</v>
      </c>
      <c r="AS121" s="65">
        <f t="shared" si="10"/>
        <v>48560</v>
      </c>
      <c r="AT121" s="79"/>
    </row>
    <row r="122" spans="1:46" ht="28.5">
      <c r="A122" s="14">
        <v>113</v>
      </c>
      <c r="B122" s="74"/>
      <c r="C122" s="20" t="s">
        <v>84</v>
      </c>
      <c r="D122" s="43" t="s">
        <v>141</v>
      </c>
      <c r="E122" s="89" t="s">
        <v>186</v>
      </c>
      <c r="F122" s="43" t="s">
        <v>103</v>
      </c>
      <c r="G122" s="25"/>
      <c r="H122" s="25"/>
      <c r="I122" s="25"/>
      <c r="J122" s="50">
        <f t="shared" si="7"/>
        <v>0</v>
      </c>
      <c r="K122" s="60"/>
      <c r="L122" s="46">
        <f t="shared" si="8"/>
        <v>0</v>
      </c>
      <c r="M122" s="37"/>
      <c r="N122" s="36"/>
      <c r="O122" s="60"/>
      <c r="P122" s="36"/>
      <c r="Q122" s="37"/>
      <c r="R122" s="36"/>
      <c r="S122" s="60"/>
      <c r="T122" s="36"/>
      <c r="U122" s="37"/>
      <c r="V122" s="36"/>
      <c r="W122" s="37"/>
      <c r="X122" s="36"/>
      <c r="Y122" s="37"/>
      <c r="Z122" s="36"/>
      <c r="AA122" s="37"/>
      <c r="AB122" s="36"/>
      <c r="AC122" s="37"/>
      <c r="AD122" s="36"/>
      <c r="AE122" s="37"/>
      <c r="AF122" s="36"/>
      <c r="AG122" s="37"/>
      <c r="AH122" s="36"/>
      <c r="AI122" s="43">
        <v>2</v>
      </c>
      <c r="AJ122" s="50">
        <f t="shared" si="9"/>
        <v>73500</v>
      </c>
      <c r="AK122" s="37"/>
      <c r="AL122" s="36"/>
      <c r="AM122" s="37"/>
      <c r="AN122" s="36"/>
      <c r="AO122" s="37"/>
      <c r="AP122" s="36"/>
      <c r="AQ122" s="32">
        <f t="shared" si="11"/>
        <v>2</v>
      </c>
      <c r="AR122" s="68">
        <v>36750</v>
      </c>
      <c r="AS122" s="65">
        <f t="shared" si="10"/>
        <v>73500</v>
      </c>
      <c r="AT122" s="79"/>
    </row>
    <row r="123" spans="1:46" ht="28.5">
      <c r="A123" s="14">
        <v>114</v>
      </c>
      <c r="B123" s="74"/>
      <c r="C123" s="20" t="s">
        <v>84</v>
      </c>
      <c r="D123" s="43" t="s">
        <v>141</v>
      </c>
      <c r="E123" s="89" t="s">
        <v>187</v>
      </c>
      <c r="F123" s="43" t="s">
        <v>103</v>
      </c>
      <c r="G123" s="25"/>
      <c r="H123" s="25"/>
      <c r="I123" s="25"/>
      <c r="J123" s="50">
        <f t="shared" si="7"/>
        <v>0</v>
      </c>
      <c r="K123" s="60"/>
      <c r="L123" s="46">
        <f t="shared" si="8"/>
        <v>0</v>
      </c>
      <c r="M123" s="37"/>
      <c r="N123" s="36"/>
      <c r="O123" s="60"/>
      <c r="P123" s="36"/>
      <c r="Q123" s="37"/>
      <c r="R123" s="36"/>
      <c r="S123" s="60"/>
      <c r="T123" s="36"/>
      <c r="U123" s="37"/>
      <c r="V123" s="36"/>
      <c r="W123" s="37"/>
      <c r="X123" s="36"/>
      <c r="Y123" s="37"/>
      <c r="Z123" s="36"/>
      <c r="AA123" s="37"/>
      <c r="AB123" s="36"/>
      <c r="AC123" s="37"/>
      <c r="AD123" s="36"/>
      <c r="AE123" s="37"/>
      <c r="AF123" s="36"/>
      <c r="AG123" s="37"/>
      <c r="AH123" s="36"/>
      <c r="AI123" s="43">
        <v>2</v>
      </c>
      <c r="AJ123" s="50">
        <f t="shared" si="9"/>
        <v>104000</v>
      </c>
      <c r="AK123" s="37"/>
      <c r="AL123" s="36"/>
      <c r="AM123" s="37"/>
      <c r="AN123" s="36"/>
      <c r="AO123" s="37"/>
      <c r="AP123" s="36"/>
      <c r="AQ123" s="32">
        <f t="shared" si="11"/>
        <v>2</v>
      </c>
      <c r="AR123" s="68">
        <v>52000</v>
      </c>
      <c r="AS123" s="65">
        <f t="shared" si="10"/>
        <v>104000</v>
      </c>
      <c r="AT123" s="79"/>
    </row>
    <row r="124" spans="1:46" ht="28.5">
      <c r="A124" s="14">
        <v>115</v>
      </c>
      <c r="B124" s="74"/>
      <c r="C124" s="20" t="s">
        <v>84</v>
      </c>
      <c r="D124" s="43" t="s">
        <v>141</v>
      </c>
      <c r="E124" s="89" t="s">
        <v>188</v>
      </c>
      <c r="F124" s="43" t="s">
        <v>103</v>
      </c>
      <c r="G124" s="25"/>
      <c r="H124" s="25"/>
      <c r="I124" s="25"/>
      <c r="J124" s="50">
        <f t="shared" si="7"/>
        <v>0</v>
      </c>
      <c r="K124" s="60"/>
      <c r="L124" s="46">
        <f t="shared" si="8"/>
        <v>0</v>
      </c>
      <c r="M124" s="37"/>
      <c r="N124" s="36"/>
      <c r="O124" s="60"/>
      <c r="P124" s="36"/>
      <c r="Q124" s="37"/>
      <c r="R124" s="36"/>
      <c r="S124" s="60"/>
      <c r="T124" s="36"/>
      <c r="U124" s="37"/>
      <c r="V124" s="36"/>
      <c r="W124" s="37"/>
      <c r="X124" s="36"/>
      <c r="Y124" s="37"/>
      <c r="Z124" s="36"/>
      <c r="AA124" s="37"/>
      <c r="AB124" s="36"/>
      <c r="AC124" s="37"/>
      <c r="AD124" s="36"/>
      <c r="AE124" s="37"/>
      <c r="AF124" s="36"/>
      <c r="AG124" s="37"/>
      <c r="AH124" s="36"/>
      <c r="AI124" s="43">
        <v>2</v>
      </c>
      <c r="AJ124" s="50">
        <f t="shared" si="9"/>
        <v>143000</v>
      </c>
      <c r="AK124" s="37"/>
      <c r="AL124" s="36"/>
      <c r="AM124" s="37"/>
      <c r="AN124" s="36"/>
      <c r="AO124" s="37"/>
      <c r="AP124" s="36"/>
      <c r="AQ124" s="32">
        <f t="shared" si="11"/>
        <v>2</v>
      </c>
      <c r="AR124" s="68">
        <v>71500</v>
      </c>
      <c r="AS124" s="65">
        <f t="shared" si="10"/>
        <v>143000</v>
      </c>
      <c r="AT124" s="79"/>
    </row>
    <row r="125" spans="1:46" ht="28.5">
      <c r="A125" s="14">
        <v>116</v>
      </c>
      <c r="B125" s="74"/>
      <c r="C125" s="20" t="s">
        <v>84</v>
      </c>
      <c r="D125" s="43" t="s">
        <v>141</v>
      </c>
      <c r="E125" s="89" t="s">
        <v>189</v>
      </c>
      <c r="F125" s="43" t="s">
        <v>103</v>
      </c>
      <c r="G125" s="25"/>
      <c r="H125" s="25"/>
      <c r="I125" s="25"/>
      <c r="J125" s="50">
        <f t="shared" si="7"/>
        <v>0</v>
      </c>
      <c r="K125" s="60"/>
      <c r="L125" s="46">
        <f t="shared" si="8"/>
        <v>0</v>
      </c>
      <c r="M125" s="37"/>
      <c r="N125" s="36"/>
      <c r="O125" s="60"/>
      <c r="P125" s="36"/>
      <c r="Q125" s="37"/>
      <c r="R125" s="36"/>
      <c r="S125" s="60"/>
      <c r="T125" s="36"/>
      <c r="U125" s="37"/>
      <c r="V125" s="36"/>
      <c r="W125" s="37"/>
      <c r="X125" s="36"/>
      <c r="Y125" s="37"/>
      <c r="Z125" s="36"/>
      <c r="AA125" s="37"/>
      <c r="AB125" s="36"/>
      <c r="AC125" s="37"/>
      <c r="AD125" s="36"/>
      <c r="AE125" s="37"/>
      <c r="AF125" s="36"/>
      <c r="AG125" s="37"/>
      <c r="AH125" s="36"/>
      <c r="AI125" s="43">
        <v>2</v>
      </c>
      <c r="AJ125" s="50">
        <f t="shared" si="9"/>
        <v>168000</v>
      </c>
      <c r="AK125" s="37"/>
      <c r="AL125" s="36"/>
      <c r="AM125" s="37"/>
      <c r="AN125" s="36"/>
      <c r="AO125" s="37"/>
      <c r="AP125" s="36"/>
      <c r="AQ125" s="32">
        <f t="shared" si="11"/>
        <v>2</v>
      </c>
      <c r="AR125" s="68">
        <v>84000</v>
      </c>
      <c r="AS125" s="65">
        <f t="shared" si="10"/>
        <v>168000</v>
      </c>
      <c r="AT125" s="79"/>
    </row>
    <row r="126" spans="1:46" ht="28.5">
      <c r="A126" s="14">
        <v>117</v>
      </c>
      <c r="B126" s="74"/>
      <c r="C126" s="20" t="s">
        <v>84</v>
      </c>
      <c r="D126" s="43" t="s">
        <v>141</v>
      </c>
      <c r="E126" s="89" t="s">
        <v>190</v>
      </c>
      <c r="F126" s="43" t="s">
        <v>103</v>
      </c>
      <c r="G126" s="25"/>
      <c r="H126" s="25"/>
      <c r="I126" s="25"/>
      <c r="J126" s="50">
        <f t="shared" si="7"/>
        <v>0</v>
      </c>
      <c r="K126" s="60"/>
      <c r="L126" s="46">
        <f t="shared" si="8"/>
        <v>0</v>
      </c>
      <c r="M126" s="37"/>
      <c r="N126" s="36"/>
      <c r="O126" s="60"/>
      <c r="P126" s="36"/>
      <c r="Q126" s="37"/>
      <c r="R126" s="36"/>
      <c r="S126" s="60"/>
      <c r="T126" s="36"/>
      <c r="U126" s="37"/>
      <c r="V126" s="36"/>
      <c r="W126" s="37"/>
      <c r="X126" s="36"/>
      <c r="Y126" s="37"/>
      <c r="Z126" s="36"/>
      <c r="AA126" s="37"/>
      <c r="AB126" s="36"/>
      <c r="AC126" s="37"/>
      <c r="AD126" s="36"/>
      <c r="AE126" s="37"/>
      <c r="AF126" s="36"/>
      <c r="AG126" s="37"/>
      <c r="AH126" s="36"/>
      <c r="AI126" s="43">
        <v>2</v>
      </c>
      <c r="AJ126" s="50">
        <f t="shared" si="9"/>
        <v>64700</v>
      </c>
      <c r="AK126" s="37"/>
      <c r="AL126" s="36"/>
      <c r="AM126" s="37"/>
      <c r="AN126" s="36"/>
      <c r="AO126" s="37"/>
      <c r="AP126" s="36"/>
      <c r="AQ126" s="32">
        <f t="shared" si="11"/>
        <v>2</v>
      </c>
      <c r="AR126" s="68">
        <v>32350</v>
      </c>
      <c r="AS126" s="65">
        <f t="shared" si="10"/>
        <v>64700</v>
      </c>
      <c r="AT126" s="79"/>
    </row>
    <row r="127" spans="1:46" ht="28.5">
      <c r="A127" s="14">
        <v>118</v>
      </c>
      <c r="B127" s="74"/>
      <c r="C127" s="20" t="s">
        <v>84</v>
      </c>
      <c r="D127" s="43" t="s">
        <v>141</v>
      </c>
      <c r="E127" s="89" t="s">
        <v>191</v>
      </c>
      <c r="F127" s="43" t="s">
        <v>26</v>
      </c>
      <c r="G127" s="25"/>
      <c r="H127" s="25"/>
      <c r="I127" s="25"/>
      <c r="J127" s="50">
        <f t="shared" si="7"/>
        <v>0</v>
      </c>
      <c r="K127" s="60"/>
      <c r="L127" s="46">
        <f t="shared" si="8"/>
        <v>0</v>
      </c>
      <c r="M127" s="37"/>
      <c r="N127" s="36"/>
      <c r="O127" s="60"/>
      <c r="P127" s="36"/>
      <c r="Q127" s="37"/>
      <c r="R127" s="36"/>
      <c r="S127" s="60"/>
      <c r="T127" s="36"/>
      <c r="U127" s="37"/>
      <c r="V127" s="36"/>
      <c r="W127" s="37"/>
      <c r="X127" s="36"/>
      <c r="Y127" s="37"/>
      <c r="Z127" s="36"/>
      <c r="AA127" s="37"/>
      <c r="AB127" s="36"/>
      <c r="AC127" s="37"/>
      <c r="AD127" s="36"/>
      <c r="AE127" s="37"/>
      <c r="AF127" s="36"/>
      <c r="AG127" s="37"/>
      <c r="AH127" s="36"/>
      <c r="AI127" s="43">
        <v>2</v>
      </c>
      <c r="AJ127" s="50">
        <f t="shared" si="9"/>
        <v>25100</v>
      </c>
      <c r="AK127" s="37"/>
      <c r="AL127" s="36"/>
      <c r="AM127" s="37"/>
      <c r="AN127" s="36"/>
      <c r="AO127" s="37"/>
      <c r="AP127" s="36"/>
      <c r="AQ127" s="32">
        <f t="shared" si="11"/>
        <v>2</v>
      </c>
      <c r="AR127" s="68">
        <v>12550</v>
      </c>
      <c r="AS127" s="65">
        <f t="shared" si="10"/>
        <v>25100</v>
      </c>
      <c r="AT127" s="79"/>
    </row>
    <row r="128" spans="1:46" ht="28.5">
      <c r="A128" s="14">
        <v>119</v>
      </c>
      <c r="B128" s="74"/>
      <c r="C128" s="20" t="s">
        <v>84</v>
      </c>
      <c r="D128" s="43" t="s">
        <v>141</v>
      </c>
      <c r="E128" s="89" t="s">
        <v>192</v>
      </c>
      <c r="F128" s="43" t="s">
        <v>142</v>
      </c>
      <c r="G128" s="25"/>
      <c r="H128" s="25"/>
      <c r="I128" s="25"/>
      <c r="J128" s="50">
        <f t="shared" si="7"/>
        <v>0</v>
      </c>
      <c r="K128" s="60"/>
      <c r="L128" s="46">
        <f t="shared" si="8"/>
        <v>0</v>
      </c>
      <c r="M128" s="37"/>
      <c r="N128" s="36"/>
      <c r="O128" s="60"/>
      <c r="P128" s="36"/>
      <c r="Q128" s="37"/>
      <c r="R128" s="36"/>
      <c r="S128" s="60"/>
      <c r="T128" s="36"/>
      <c r="U128" s="37"/>
      <c r="V128" s="36"/>
      <c r="W128" s="37"/>
      <c r="X128" s="36"/>
      <c r="Y128" s="37"/>
      <c r="Z128" s="36"/>
      <c r="AA128" s="37"/>
      <c r="AB128" s="36"/>
      <c r="AC128" s="37"/>
      <c r="AD128" s="36"/>
      <c r="AE128" s="37"/>
      <c r="AF128" s="36"/>
      <c r="AG128" s="37"/>
      <c r="AH128" s="36"/>
      <c r="AI128" s="43">
        <v>2</v>
      </c>
      <c r="AJ128" s="50">
        <f t="shared" si="9"/>
        <v>28448</v>
      </c>
      <c r="AK128" s="37"/>
      <c r="AL128" s="36"/>
      <c r="AM128" s="37"/>
      <c r="AN128" s="36"/>
      <c r="AO128" s="37"/>
      <c r="AP128" s="36"/>
      <c r="AQ128" s="32">
        <f t="shared" si="11"/>
        <v>2</v>
      </c>
      <c r="AR128" s="68">
        <v>14224</v>
      </c>
      <c r="AS128" s="65">
        <f t="shared" si="10"/>
        <v>28448</v>
      </c>
      <c r="AT128" s="79"/>
    </row>
    <row r="129" spans="1:46" ht="28.5">
      <c r="A129" s="14">
        <v>120</v>
      </c>
      <c r="B129" s="74"/>
      <c r="C129" s="20" t="s">
        <v>84</v>
      </c>
      <c r="D129" s="43" t="s">
        <v>141</v>
      </c>
      <c r="E129" s="89" t="s">
        <v>193</v>
      </c>
      <c r="F129" s="43" t="s">
        <v>26</v>
      </c>
      <c r="G129" s="25"/>
      <c r="H129" s="25"/>
      <c r="I129" s="25"/>
      <c r="J129" s="50">
        <f t="shared" si="7"/>
        <v>0</v>
      </c>
      <c r="K129" s="60"/>
      <c r="L129" s="46">
        <f t="shared" si="8"/>
        <v>0</v>
      </c>
      <c r="M129" s="37"/>
      <c r="N129" s="36"/>
      <c r="O129" s="60"/>
      <c r="P129" s="36"/>
      <c r="Q129" s="37"/>
      <c r="R129" s="36"/>
      <c r="S129" s="60"/>
      <c r="T129" s="36"/>
      <c r="U129" s="37"/>
      <c r="V129" s="36"/>
      <c r="W129" s="37"/>
      <c r="X129" s="36"/>
      <c r="Y129" s="37"/>
      <c r="Z129" s="36"/>
      <c r="AA129" s="37"/>
      <c r="AB129" s="36"/>
      <c r="AC129" s="37"/>
      <c r="AD129" s="36"/>
      <c r="AE129" s="37"/>
      <c r="AF129" s="36"/>
      <c r="AG129" s="37"/>
      <c r="AH129" s="36"/>
      <c r="AI129" s="43">
        <v>2</v>
      </c>
      <c r="AJ129" s="50">
        <f t="shared" si="9"/>
        <v>22000</v>
      </c>
      <c r="AK129" s="37"/>
      <c r="AL129" s="36"/>
      <c r="AM129" s="37"/>
      <c r="AN129" s="36"/>
      <c r="AO129" s="37"/>
      <c r="AP129" s="36"/>
      <c r="AQ129" s="32">
        <f t="shared" si="11"/>
        <v>2</v>
      </c>
      <c r="AR129" s="68">
        <v>11000</v>
      </c>
      <c r="AS129" s="65">
        <f t="shared" si="10"/>
        <v>22000</v>
      </c>
      <c r="AT129" s="79"/>
    </row>
    <row r="130" spans="1:46" ht="28.5">
      <c r="A130" s="14">
        <v>121</v>
      </c>
      <c r="B130" s="74"/>
      <c r="C130" s="20" t="s">
        <v>84</v>
      </c>
      <c r="D130" s="43" t="s">
        <v>141</v>
      </c>
      <c r="E130" s="89" t="s">
        <v>194</v>
      </c>
      <c r="F130" s="43" t="s">
        <v>26</v>
      </c>
      <c r="G130" s="25"/>
      <c r="H130" s="25"/>
      <c r="I130" s="25"/>
      <c r="J130" s="50">
        <f t="shared" si="7"/>
        <v>0</v>
      </c>
      <c r="K130" s="60"/>
      <c r="L130" s="46">
        <f t="shared" si="8"/>
        <v>0</v>
      </c>
      <c r="M130" s="37"/>
      <c r="N130" s="36"/>
      <c r="O130" s="60"/>
      <c r="P130" s="36"/>
      <c r="Q130" s="37"/>
      <c r="R130" s="36"/>
      <c r="S130" s="60"/>
      <c r="T130" s="36"/>
      <c r="U130" s="37"/>
      <c r="V130" s="36"/>
      <c r="W130" s="37"/>
      <c r="X130" s="36"/>
      <c r="Y130" s="37"/>
      <c r="Z130" s="36"/>
      <c r="AA130" s="37"/>
      <c r="AB130" s="36"/>
      <c r="AC130" s="37"/>
      <c r="AD130" s="36"/>
      <c r="AE130" s="37"/>
      <c r="AF130" s="36"/>
      <c r="AG130" s="37"/>
      <c r="AH130" s="36"/>
      <c r="AI130" s="43">
        <v>2</v>
      </c>
      <c r="AJ130" s="50">
        <f t="shared" si="9"/>
        <v>51000</v>
      </c>
      <c r="AK130" s="37"/>
      <c r="AL130" s="36"/>
      <c r="AM130" s="37"/>
      <c r="AN130" s="36"/>
      <c r="AO130" s="37"/>
      <c r="AP130" s="36"/>
      <c r="AQ130" s="32">
        <f t="shared" si="11"/>
        <v>2</v>
      </c>
      <c r="AR130" s="68">
        <v>25500</v>
      </c>
      <c r="AS130" s="65">
        <f t="shared" si="10"/>
        <v>51000</v>
      </c>
      <c r="AT130" s="79"/>
    </row>
    <row r="131" spans="1:46" ht="28.5">
      <c r="A131" s="14">
        <v>122</v>
      </c>
      <c r="B131" s="74"/>
      <c r="C131" s="20" t="s">
        <v>84</v>
      </c>
      <c r="D131" s="43" t="s">
        <v>141</v>
      </c>
      <c r="E131" s="89" t="s">
        <v>195</v>
      </c>
      <c r="F131" s="43" t="s">
        <v>19</v>
      </c>
      <c r="G131" s="25"/>
      <c r="H131" s="25"/>
      <c r="I131" s="25"/>
      <c r="J131" s="50">
        <f t="shared" si="7"/>
        <v>0</v>
      </c>
      <c r="K131" s="60"/>
      <c r="L131" s="46">
        <f t="shared" si="8"/>
        <v>0</v>
      </c>
      <c r="M131" s="37"/>
      <c r="N131" s="36"/>
      <c r="O131" s="60"/>
      <c r="P131" s="36"/>
      <c r="Q131" s="37"/>
      <c r="R131" s="36"/>
      <c r="S131" s="60"/>
      <c r="T131" s="36"/>
      <c r="U131" s="37"/>
      <c r="V131" s="36"/>
      <c r="W131" s="37"/>
      <c r="X131" s="36"/>
      <c r="Y131" s="37"/>
      <c r="Z131" s="36"/>
      <c r="AA131" s="37"/>
      <c r="AB131" s="36"/>
      <c r="AC131" s="37"/>
      <c r="AD131" s="36"/>
      <c r="AE131" s="37"/>
      <c r="AF131" s="36"/>
      <c r="AG131" s="37"/>
      <c r="AH131" s="36"/>
      <c r="AI131" s="43">
        <v>4</v>
      </c>
      <c r="AJ131" s="50">
        <f t="shared" si="9"/>
        <v>37800</v>
      </c>
      <c r="AK131" s="37"/>
      <c r="AL131" s="36"/>
      <c r="AM131" s="37"/>
      <c r="AN131" s="36"/>
      <c r="AO131" s="37"/>
      <c r="AP131" s="36"/>
      <c r="AQ131" s="32">
        <f t="shared" si="11"/>
        <v>4</v>
      </c>
      <c r="AR131" s="68">
        <v>9450</v>
      </c>
      <c r="AS131" s="65">
        <f t="shared" si="10"/>
        <v>37800</v>
      </c>
      <c r="AT131" s="79"/>
    </row>
    <row r="132" spans="1:46" ht="28.5">
      <c r="A132" s="14">
        <v>123</v>
      </c>
      <c r="B132" s="74"/>
      <c r="C132" s="20" t="s">
        <v>84</v>
      </c>
      <c r="D132" s="43" t="s">
        <v>141</v>
      </c>
      <c r="E132" s="89" t="s">
        <v>196</v>
      </c>
      <c r="F132" s="43" t="s">
        <v>14</v>
      </c>
      <c r="G132" s="25"/>
      <c r="H132" s="25"/>
      <c r="I132" s="25"/>
      <c r="J132" s="50">
        <f t="shared" si="7"/>
        <v>0</v>
      </c>
      <c r="K132" s="60"/>
      <c r="L132" s="46">
        <f t="shared" si="8"/>
        <v>0</v>
      </c>
      <c r="M132" s="37"/>
      <c r="N132" s="36"/>
      <c r="O132" s="60"/>
      <c r="P132" s="36"/>
      <c r="Q132" s="37"/>
      <c r="R132" s="36"/>
      <c r="S132" s="60"/>
      <c r="T132" s="36"/>
      <c r="U132" s="37"/>
      <c r="V132" s="36"/>
      <c r="W132" s="37"/>
      <c r="X132" s="36"/>
      <c r="Y132" s="37"/>
      <c r="Z132" s="36"/>
      <c r="AA132" s="37"/>
      <c r="AB132" s="36"/>
      <c r="AC132" s="37"/>
      <c r="AD132" s="36"/>
      <c r="AE132" s="37"/>
      <c r="AF132" s="36"/>
      <c r="AG132" s="37"/>
      <c r="AH132" s="36"/>
      <c r="AI132" s="43">
        <v>2</v>
      </c>
      <c r="AJ132" s="50">
        <f t="shared" si="9"/>
        <v>41000</v>
      </c>
      <c r="AK132" s="37"/>
      <c r="AL132" s="36"/>
      <c r="AM132" s="37"/>
      <c r="AN132" s="36"/>
      <c r="AO132" s="37"/>
      <c r="AP132" s="36"/>
      <c r="AQ132" s="32">
        <f t="shared" si="11"/>
        <v>2</v>
      </c>
      <c r="AR132" s="68">
        <v>20500</v>
      </c>
      <c r="AS132" s="65">
        <f t="shared" si="10"/>
        <v>41000</v>
      </c>
      <c r="AT132" s="79"/>
    </row>
    <row r="133" spans="1:46" ht="28.5">
      <c r="A133" s="14">
        <v>124</v>
      </c>
      <c r="B133" s="74"/>
      <c r="C133" s="20" t="s">
        <v>84</v>
      </c>
      <c r="D133" s="43" t="s">
        <v>141</v>
      </c>
      <c r="E133" s="89" t="s">
        <v>143</v>
      </c>
      <c r="F133" s="43" t="s">
        <v>26</v>
      </c>
      <c r="G133" s="25"/>
      <c r="H133" s="25"/>
      <c r="I133" s="25"/>
      <c r="J133" s="50">
        <f t="shared" si="7"/>
        <v>0</v>
      </c>
      <c r="K133" s="60"/>
      <c r="L133" s="46">
        <f t="shared" si="8"/>
        <v>0</v>
      </c>
      <c r="M133" s="37"/>
      <c r="N133" s="36"/>
      <c r="O133" s="60"/>
      <c r="P133" s="36"/>
      <c r="Q133" s="37"/>
      <c r="R133" s="36"/>
      <c r="S133" s="60"/>
      <c r="T133" s="36"/>
      <c r="U133" s="37"/>
      <c r="V133" s="36"/>
      <c r="W133" s="37"/>
      <c r="X133" s="36"/>
      <c r="Y133" s="37"/>
      <c r="Z133" s="36"/>
      <c r="AA133" s="37"/>
      <c r="AB133" s="36"/>
      <c r="AC133" s="37"/>
      <c r="AD133" s="36"/>
      <c r="AE133" s="37"/>
      <c r="AF133" s="36"/>
      <c r="AG133" s="37"/>
      <c r="AH133" s="36"/>
      <c r="AI133" s="43">
        <v>40</v>
      </c>
      <c r="AJ133" s="50">
        <f t="shared" si="9"/>
        <v>22960</v>
      </c>
      <c r="AK133" s="37"/>
      <c r="AL133" s="36"/>
      <c r="AM133" s="37"/>
      <c r="AN133" s="36"/>
      <c r="AO133" s="37"/>
      <c r="AP133" s="36"/>
      <c r="AQ133" s="32">
        <f t="shared" si="11"/>
        <v>40</v>
      </c>
      <c r="AR133" s="68">
        <v>574</v>
      </c>
      <c r="AS133" s="65">
        <f t="shared" si="10"/>
        <v>22960</v>
      </c>
      <c r="AT133" s="79"/>
    </row>
    <row r="134" spans="1:46" ht="42.75">
      <c r="A134" s="14">
        <v>125</v>
      </c>
      <c r="B134" s="74"/>
      <c r="C134" s="20" t="s">
        <v>84</v>
      </c>
      <c r="D134" s="43" t="s">
        <v>141</v>
      </c>
      <c r="E134" s="89" t="s">
        <v>197</v>
      </c>
      <c r="F134" s="43" t="s">
        <v>103</v>
      </c>
      <c r="G134" s="25"/>
      <c r="H134" s="25"/>
      <c r="I134" s="25"/>
      <c r="J134" s="50">
        <f t="shared" si="7"/>
        <v>0</v>
      </c>
      <c r="K134" s="60"/>
      <c r="L134" s="46">
        <f t="shared" si="8"/>
        <v>0</v>
      </c>
      <c r="M134" s="37"/>
      <c r="N134" s="36"/>
      <c r="O134" s="60"/>
      <c r="P134" s="36"/>
      <c r="Q134" s="37"/>
      <c r="R134" s="36"/>
      <c r="S134" s="60"/>
      <c r="T134" s="36"/>
      <c r="U134" s="37"/>
      <c r="V134" s="36"/>
      <c r="W134" s="37"/>
      <c r="X134" s="36"/>
      <c r="Y134" s="37"/>
      <c r="Z134" s="36"/>
      <c r="AA134" s="37"/>
      <c r="AB134" s="36"/>
      <c r="AC134" s="37"/>
      <c r="AD134" s="36"/>
      <c r="AE134" s="37"/>
      <c r="AF134" s="36"/>
      <c r="AG134" s="37"/>
      <c r="AH134" s="36"/>
      <c r="AI134" s="43">
        <v>20</v>
      </c>
      <c r="AJ134" s="50">
        <f t="shared" si="9"/>
        <v>441000</v>
      </c>
      <c r="AK134" s="37"/>
      <c r="AL134" s="36"/>
      <c r="AM134" s="37"/>
      <c r="AN134" s="36"/>
      <c r="AO134" s="37"/>
      <c r="AP134" s="36"/>
      <c r="AQ134" s="32">
        <f t="shared" si="11"/>
        <v>20</v>
      </c>
      <c r="AR134" s="68">
        <v>22050</v>
      </c>
      <c r="AS134" s="65">
        <f t="shared" si="10"/>
        <v>441000</v>
      </c>
      <c r="AT134" s="79"/>
    </row>
    <row r="135" spans="1:46" ht="28.5">
      <c r="A135" s="14">
        <v>126</v>
      </c>
      <c r="B135" s="74"/>
      <c r="C135" s="20" t="s">
        <v>84</v>
      </c>
      <c r="D135" s="43" t="s">
        <v>141</v>
      </c>
      <c r="E135" s="89" t="s">
        <v>198</v>
      </c>
      <c r="F135" s="43" t="s">
        <v>103</v>
      </c>
      <c r="G135" s="25"/>
      <c r="H135" s="25"/>
      <c r="I135" s="25"/>
      <c r="J135" s="50">
        <f t="shared" si="7"/>
        <v>0</v>
      </c>
      <c r="K135" s="60"/>
      <c r="L135" s="46">
        <f t="shared" si="8"/>
        <v>0</v>
      </c>
      <c r="M135" s="37"/>
      <c r="N135" s="36"/>
      <c r="O135" s="60"/>
      <c r="P135" s="36"/>
      <c r="Q135" s="37"/>
      <c r="R135" s="36"/>
      <c r="S135" s="60"/>
      <c r="T135" s="36"/>
      <c r="U135" s="37"/>
      <c r="V135" s="36"/>
      <c r="W135" s="37"/>
      <c r="X135" s="36"/>
      <c r="Y135" s="37"/>
      <c r="Z135" s="36"/>
      <c r="AA135" s="37"/>
      <c r="AB135" s="36"/>
      <c r="AC135" s="37"/>
      <c r="AD135" s="36"/>
      <c r="AE135" s="37"/>
      <c r="AF135" s="36"/>
      <c r="AG135" s="37"/>
      <c r="AH135" s="36"/>
      <c r="AI135" s="43">
        <v>16</v>
      </c>
      <c r="AJ135" s="50">
        <f t="shared" si="9"/>
        <v>48160</v>
      </c>
      <c r="AK135" s="37"/>
      <c r="AL135" s="36"/>
      <c r="AM135" s="37"/>
      <c r="AN135" s="36"/>
      <c r="AO135" s="37"/>
      <c r="AP135" s="36"/>
      <c r="AQ135" s="32">
        <f t="shared" si="11"/>
        <v>16</v>
      </c>
      <c r="AR135" s="68">
        <v>3010</v>
      </c>
      <c r="AS135" s="65">
        <f t="shared" si="10"/>
        <v>48160</v>
      </c>
      <c r="AT135" s="79"/>
    </row>
    <row r="136" spans="1:46" ht="28.5">
      <c r="A136" s="14">
        <v>127</v>
      </c>
      <c r="B136" s="74"/>
      <c r="C136" s="20" t="s">
        <v>84</v>
      </c>
      <c r="D136" s="43" t="s">
        <v>141</v>
      </c>
      <c r="E136" s="89" t="s">
        <v>199</v>
      </c>
      <c r="F136" s="43" t="s">
        <v>103</v>
      </c>
      <c r="G136" s="25"/>
      <c r="H136" s="25"/>
      <c r="I136" s="25"/>
      <c r="J136" s="50">
        <f t="shared" si="7"/>
        <v>0</v>
      </c>
      <c r="K136" s="60"/>
      <c r="L136" s="46">
        <f t="shared" si="8"/>
        <v>0</v>
      </c>
      <c r="M136" s="37"/>
      <c r="N136" s="36"/>
      <c r="O136" s="60"/>
      <c r="P136" s="36"/>
      <c r="Q136" s="37"/>
      <c r="R136" s="36"/>
      <c r="S136" s="60"/>
      <c r="T136" s="36"/>
      <c r="U136" s="37"/>
      <c r="V136" s="36"/>
      <c r="W136" s="37"/>
      <c r="X136" s="36"/>
      <c r="Y136" s="37"/>
      <c r="Z136" s="36"/>
      <c r="AA136" s="37"/>
      <c r="AB136" s="36"/>
      <c r="AC136" s="37"/>
      <c r="AD136" s="36"/>
      <c r="AE136" s="37"/>
      <c r="AF136" s="36"/>
      <c r="AG136" s="37"/>
      <c r="AH136" s="36"/>
      <c r="AI136" s="43">
        <v>20</v>
      </c>
      <c r="AJ136" s="50">
        <f t="shared" si="9"/>
        <v>18000</v>
      </c>
      <c r="AK136" s="37"/>
      <c r="AL136" s="36"/>
      <c r="AM136" s="37"/>
      <c r="AN136" s="36"/>
      <c r="AO136" s="37"/>
      <c r="AP136" s="36"/>
      <c r="AQ136" s="32">
        <f t="shared" si="11"/>
        <v>20</v>
      </c>
      <c r="AR136" s="68">
        <v>900</v>
      </c>
      <c r="AS136" s="65">
        <f t="shared" si="10"/>
        <v>18000</v>
      </c>
      <c r="AT136" s="79"/>
    </row>
    <row r="137" spans="1:46" ht="28.5">
      <c r="A137" s="14">
        <v>128</v>
      </c>
      <c r="B137" s="74"/>
      <c r="C137" s="20" t="s">
        <v>84</v>
      </c>
      <c r="D137" s="43" t="s">
        <v>141</v>
      </c>
      <c r="E137" s="89" t="s">
        <v>200</v>
      </c>
      <c r="F137" s="43" t="s">
        <v>134</v>
      </c>
      <c r="G137" s="25"/>
      <c r="H137" s="25"/>
      <c r="I137" s="25"/>
      <c r="J137" s="50">
        <f t="shared" si="7"/>
        <v>0</v>
      </c>
      <c r="K137" s="60"/>
      <c r="L137" s="46">
        <f t="shared" si="8"/>
        <v>0</v>
      </c>
      <c r="M137" s="37"/>
      <c r="N137" s="36"/>
      <c r="O137" s="60"/>
      <c r="P137" s="36"/>
      <c r="Q137" s="37"/>
      <c r="R137" s="36"/>
      <c r="S137" s="60"/>
      <c r="T137" s="36"/>
      <c r="U137" s="37"/>
      <c r="V137" s="36"/>
      <c r="W137" s="37"/>
      <c r="X137" s="36"/>
      <c r="Y137" s="37"/>
      <c r="Z137" s="36"/>
      <c r="AA137" s="37"/>
      <c r="AB137" s="36"/>
      <c r="AC137" s="37"/>
      <c r="AD137" s="36"/>
      <c r="AE137" s="37"/>
      <c r="AF137" s="36"/>
      <c r="AG137" s="37"/>
      <c r="AH137" s="36"/>
      <c r="AI137" s="43">
        <v>70</v>
      </c>
      <c r="AJ137" s="50">
        <f t="shared" si="9"/>
        <v>130900</v>
      </c>
      <c r="AK137" s="37"/>
      <c r="AL137" s="36"/>
      <c r="AM137" s="37"/>
      <c r="AN137" s="36"/>
      <c r="AO137" s="37"/>
      <c r="AP137" s="36"/>
      <c r="AQ137" s="32">
        <f t="shared" si="11"/>
        <v>70</v>
      </c>
      <c r="AR137" s="68">
        <v>1870</v>
      </c>
      <c r="AS137" s="65">
        <f t="shared" si="10"/>
        <v>130900</v>
      </c>
      <c r="AT137" s="79"/>
    </row>
    <row r="138" spans="1:46" ht="31.5">
      <c r="A138" s="20"/>
      <c r="B138" s="73"/>
      <c r="C138" s="49"/>
      <c r="D138" s="25"/>
      <c r="E138" s="75" t="s">
        <v>106</v>
      </c>
      <c r="F138" s="25"/>
      <c r="G138" s="12"/>
      <c r="H138" s="12"/>
      <c r="I138" s="12"/>
      <c r="J138" s="10">
        <f>SUM(J10:J137)</f>
        <v>106117968</v>
      </c>
      <c r="K138" s="11"/>
      <c r="L138" s="10">
        <f>SUM(L10:L137)</f>
        <v>14665569</v>
      </c>
      <c r="M138" s="13"/>
      <c r="N138" s="10"/>
      <c r="O138" s="11"/>
      <c r="P138" s="10"/>
      <c r="Q138" s="13"/>
      <c r="R138" s="10"/>
      <c r="S138" s="11"/>
      <c r="T138" s="10"/>
      <c r="U138" s="13"/>
      <c r="V138" s="10"/>
      <c r="W138" s="13"/>
      <c r="X138" s="10"/>
      <c r="Y138" s="13"/>
      <c r="Z138" s="10"/>
      <c r="AA138" s="13"/>
      <c r="AB138" s="10"/>
      <c r="AC138" s="13"/>
      <c r="AD138" s="10"/>
      <c r="AE138" s="13"/>
      <c r="AF138" s="10">
        <f>SUM(AF10:AF137)</f>
        <v>112595</v>
      </c>
      <c r="AG138" s="13"/>
      <c r="AH138" s="10"/>
      <c r="AI138" s="13"/>
      <c r="AJ138" s="10">
        <f>SUM(AJ10:AJ137)</f>
        <v>1637084</v>
      </c>
      <c r="AK138" s="13"/>
      <c r="AL138" s="10"/>
      <c r="AM138" s="13"/>
      <c r="AN138" s="10"/>
      <c r="AO138" s="13"/>
      <c r="AP138" s="10"/>
      <c r="AQ138" s="44">
        <f>SUM(AQ10:AQ137)</f>
        <v>7406</v>
      </c>
      <c r="AR138" s="55"/>
      <c r="AS138" s="76">
        <f>SUM(AS10:AS137)</f>
        <v>122533216</v>
      </c>
      <c r="AT138" s="79"/>
    </row>
    <row r="139" spans="1:46">
      <c r="AJ139" s="78"/>
    </row>
    <row r="141" spans="1:46" ht="74.25" customHeight="1">
      <c r="B141" s="152" t="s">
        <v>267</v>
      </c>
      <c r="C141" s="160" t="s">
        <v>278</v>
      </c>
      <c r="D141" s="160"/>
      <c r="E141" s="160"/>
      <c r="F141" s="160"/>
      <c r="G141" s="160"/>
      <c r="H141" s="160"/>
      <c r="I141" s="160"/>
      <c r="J141" s="160"/>
      <c r="K141" s="160"/>
      <c r="L141" s="160"/>
      <c r="M141" s="160"/>
      <c r="N141" s="160"/>
      <c r="O141" s="160"/>
      <c r="P141" s="160"/>
      <c r="Q141" s="160"/>
      <c r="R141" s="160"/>
      <c r="S141" s="160"/>
      <c r="T141" s="160"/>
      <c r="U141" s="160"/>
      <c r="V141" s="160"/>
      <c r="W141" s="160"/>
      <c r="X141" s="160"/>
      <c r="Y141" s="160"/>
      <c r="Z141" s="160"/>
      <c r="AA141" s="160"/>
      <c r="AB141" s="160"/>
      <c r="AC141" s="160"/>
      <c r="AD141" s="160"/>
      <c r="AE141" s="160"/>
    </row>
    <row r="143" spans="1:46" ht="30">
      <c r="B143" s="69" t="s">
        <v>253</v>
      </c>
    </row>
    <row r="145" spans="2:31">
      <c r="B145" s="69" t="s">
        <v>256</v>
      </c>
      <c r="C145" s="70" t="s">
        <v>257</v>
      </c>
    </row>
    <row r="147" spans="2:31" ht="30">
      <c r="B147" s="69" t="s">
        <v>258</v>
      </c>
      <c r="C147" s="153" t="s">
        <v>259</v>
      </c>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c r="AA147" s="153"/>
      <c r="AB147" s="153"/>
      <c r="AC147" s="153"/>
      <c r="AD147" s="153"/>
      <c r="AE147" s="153"/>
    </row>
    <row r="148" spans="2:31">
      <c r="C148" s="153" t="s">
        <v>262</v>
      </c>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c r="AA148" s="153"/>
      <c r="AB148" s="153"/>
      <c r="AC148" s="153"/>
      <c r="AD148" s="153"/>
      <c r="AE148" s="153"/>
    </row>
    <row r="149" spans="2:31">
      <c r="C149" s="153" t="s">
        <v>261</v>
      </c>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c r="AB149" s="153"/>
      <c r="AC149" s="153"/>
      <c r="AD149" s="153"/>
      <c r="AE149" s="153"/>
    </row>
    <row r="150" spans="2:31">
      <c r="C150" s="153" t="s">
        <v>260</v>
      </c>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c r="AA150" s="153"/>
      <c r="AB150" s="153"/>
      <c r="AC150" s="153"/>
      <c r="AD150" s="153"/>
      <c r="AE150" s="153"/>
    </row>
    <row r="151" spans="2:31" ht="30">
      <c r="B151" s="69" t="s">
        <v>254</v>
      </c>
    </row>
    <row r="153" spans="2:31">
      <c r="B153" s="69" t="s">
        <v>255</v>
      </c>
      <c r="C153" s="153" t="s">
        <v>268</v>
      </c>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c r="AC153" s="153"/>
      <c r="AD153" s="153"/>
      <c r="AE153" s="153"/>
    </row>
  </sheetData>
  <autoFilter ref="A9:AS138"/>
  <mergeCells count="14">
    <mergeCell ref="C153:AE153"/>
    <mergeCell ref="A7:B7"/>
    <mergeCell ref="A6:B6"/>
    <mergeCell ref="B2:AR2"/>
    <mergeCell ref="A4:B4"/>
    <mergeCell ref="C4:E4"/>
    <mergeCell ref="A5:B5"/>
    <mergeCell ref="C5:E5"/>
    <mergeCell ref="C147:AE147"/>
    <mergeCell ref="C148:AE148"/>
    <mergeCell ref="C149:AE149"/>
    <mergeCell ref="C150:AE150"/>
    <mergeCell ref="C7:E7"/>
    <mergeCell ref="C141:AE141"/>
  </mergeCells>
  <conditionalFormatting sqref="E59">
    <cfRule type="duplicateValues" dxfId="145" priority="476"/>
  </conditionalFormatting>
  <conditionalFormatting sqref="E92:E93">
    <cfRule type="duplicateValues" dxfId="144" priority="392"/>
  </conditionalFormatting>
  <conditionalFormatting sqref="B82:B83 B108 E108 E82:E83">
    <cfRule type="duplicateValues" dxfId="143" priority="299"/>
  </conditionalFormatting>
  <conditionalFormatting sqref="B84:B86 E84:E86">
    <cfRule type="duplicateValues" dxfId="142" priority="296"/>
  </conditionalFormatting>
  <conditionalFormatting sqref="B84:B86">
    <cfRule type="duplicateValues" dxfId="141" priority="298"/>
  </conditionalFormatting>
  <conditionalFormatting sqref="B87:B88 E87:E88">
    <cfRule type="duplicateValues" dxfId="140" priority="293"/>
  </conditionalFormatting>
  <conditionalFormatting sqref="B89:B91 E89:E91">
    <cfRule type="duplicateValues" dxfId="139" priority="290"/>
  </conditionalFormatting>
  <conditionalFormatting sqref="B89:B91">
    <cfRule type="duplicateValues" dxfId="138" priority="292"/>
  </conditionalFormatting>
  <conditionalFormatting sqref="B92:B93 E92:E93">
    <cfRule type="duplicateValues" dxfId="137" priority="287"/>
  </conditionalFormatting>
  <conditionalFormatting sqref="B92:B93">
    <cfRule type="duplicateValues" dxfId="136" priority="289"/>
  </conditionalFormatting>
  <conditionalFormatting sqref="B94:B96 E94:E96">
    <cfRule type="duplicateValues" dxfId="135" priority="284"/>
  </conditionalFormatting>
  <conditionalFormatting sqref="B94:B96">
    <cfRule type="duplicateValues" dxfId="134" priority="286"/>
  </conditionalFormatting>
  <conditionalFormatting sqref="B97:B107 E97:E107">
    <cfRule type="duplicateValues" dxfId="133" priority="281"/>
  </conditionalFormatting>
  <conditionalFormatting sqref="E117:E121 B117:B121 E136 B136">
    <cfRule type="duplicateValues" dxfId="132" priority="278"/>
  </conditionalFormatting>
  <conditionalFormatting sqref="B112:B116 E112:E116">
    <cfRule type="duplicateValues" dxfId="131" priority="275"/>
  </conditionalFormatting>
  <conditionalFormatting sqref="B111 E111">
    <cfRule type="duplicateValues" dxfId="130" priority="272"/>
  </conditionalFormatting>
  <conditionalFormatting sqref="B109:B110 E109:E110">
    <cfRule type="duplicateValues" dxfId="129" priority="269"/>
  </conditionalFormatting>
  <conditionalFormatting sqref="B122:B123 E122:E123">
    <cfRule type="duplicateValues" dxfId="128" priority="92"/>
  </conditionalFormatting>
  <conditionalFormatting sqref="B122:B123">
    <cfRule type="duplicateValues" dxfId="127" priority="93"/>
  </conditionalFormatting>
  <conditionalFormatting sqref="E122:E123">
    <cfRule type="duplicateValues" dxfId="126" priority="98"/>
    <cfRule type="duplicateValues" dxfId="125" priority="99"/>
  </conditionalFormatting>
  <conditionalFormatting sqref="B124:B125 E124:E125">
    <cfRule type="duplicateValues" dxfId="124" priority="84"/>
  </conditionalFormatting>
  <conditionalFormatting sqref="B124:B125">
    <cfRule type="duplicateValues" dxfId="123" priority="85"/>
  </conditionalFormatting>
  <conditionalFormatting sqref="E124:E125">
    <cfRule type="duplicateValues" dxfId="122" priority="90"/>
    <cfRule type="duplicateValues" dxfId="121" priority="91"/>
  </conditionalFormatting>
  <conditionalFormatting sqref="B126:B127 E126:E127">
    <cfRule type="duplicateValues" dxfId="120" priority="76"/>
  </conditionalFormatting>
  <conditionalFormatting sqref="B126:B127">
    <cfRule type="duplicateValues" dxfId="119" priority="77"/>
  </conditionalFormatting>
  <conditionalFormatting sqref="E126:E127">
    <cfRule type="duplicateValues" dxfId="118" priority="82"/>
    <cfRule type="duplicateValues" dxfId="117" priority="83"/>
  </conditionalFormatting>
  <conditionalFormatting sqref="B128:B129 E128:E129">
    <cfRule type="duplicateValues" dxfId="116" priority="68"/>
  </conditionalFormatting>
  <conditionalFormatting sqref="B128:B129">
    <cfRule type="duplicateValues" dxfId="115" priority="69"/>
  </conditionalFormatting>
  <conditionalFormatting sqref="E128:E129">
    <cfRule type="duplicateValues" dxfId="114" priority="74"/>
    <cfRule type="duplicateValues" dxfId="113" priority="75"/>
  </conditionalFormatting>
  <conditionalFormatting sqref="B130:B131 E130:E131">
    <cfRule type="duplicateValues" dxfId="112" priority="60"/>
  </conditionalFormatting>
  <conditionalFormatting sqref="B130:B131">
    <cfRule type="duplicateValues" dxfId="111" priority="61"/>
  </conditionalFormatting>
  <conditionalFormatting sqref="E130:E131">
    <cfRule type="duplicateValues" dxfId="110" priority="66"/>
    <cfRule type="duplicateValues" dxfId="109" priority="67"/>
  </conditionalFormatting>
  <conditionalFormatting sqref="B132:B133 E132:E133">
    <cfRule type="duplicateValues" dxfId="108" priority="52"/>
  </conditionalFormatting>
  <conditionalFormatting sqref="B132:B133">
    <cfRule type="duplicateValues" dxfId="107" priority="53"/>
  </conditionalFormatting>
  <conditionalFormatting sqref="E132:E133">
    <cfRule type="duplicateValues" dxfId="106" priority="58"/>
    <cfRule type="duplicateValues" dxfId="105" priority="59"/>
  </conditionalFormatting>
  <conditionalFormatting sqref="B134:B135 E134:E135">
    <cfRule type="duplicateValues" dxfId="104" priority="44"/>
  </conditionalFormatting>
  <conditionalFormatting sqref="B134:B135">
    <cfRule type="duplicateValues" dxfId="103" priority="45"/>
  </conditionalFormatting>
  <conditionalFormatting sqref="E134:E135">
    <cfRule type="duplicateValues" dxfId="102" priority="50"/>
    <cfRule type="duplicateValues" dxfId="101" priority="51"/>
  </conditionalFormatting>
  <conditionalFormatting sqref="B1:B1048576">
    <cfRule type="duplicateValues" dxfId="100" priority="2"/>
  </conditionalFormatting>
  <conditionalFormatting sqref="E1:E6 E142:E146 E8:E140 E151:E152 E154:E1048576">
    <cfRule type="duplicateValues" dxfId="99" priority="1"/>
  </conditionalFormatting>
  <conditionalFormatting sqref="B137 E137">
    <cfRule type="duplicateValues" dxfId="98" priority="7436"/>
  </conditionalFormatting>
  <conditionalFormatting sqref="B137">
    <cfRule type="duplicateValues" dxfId="97" priority="7438"/>
  </conditionalFormatting>
  <conditionalFormatting sqref="E137">
    <cfRule type="duplicateValues" dxfId="96" priority="7441"/>
    <cfRule type="duplicateValues" dxfId="95" priority="7442"/>
  </conditionalFormatting>
  <conditionalFormatting sqref="B44">
    <cfRule type="duplicateValues" dxfId="94" priority="8255"/>
  </conditionalFormatting>
  <conditionalFormatting sqref="E136 E142:E146 E1:E6 E8:E121 E138:E140 E151:E152 E154:E1048576">
    <cfRule type="duplicateValues" dxfId="93" priority="8316"/>
    <cfRule type="duplicateValues" dxfId="92" priority="8317"/>
  </conditionalFormatting>
  <conditionalFormatting sqref="B24:B43 E24:E43">
    <cfRule type="duplicateValues" dxfId="91" priority="8319"/>
  </conditionalFormatting>
  <conditionalFormatting sqref="E44">
    <cfRule type="duplicateValues" dxfId="90" priority="8446"/>
  </conditionalFormatting>
  <conditionalFormatting sqref="B44 E44">
    <cfRule type="duplicateValues" dxfId="89" priority="8447"/>
  </conditionalFormatting>
  <conditionalFormatting sqref="B45:B81 B138:B1048576 E142:E146 E45:E81 B1:B23 E1:E6 E8:E23 E138:E140 E151:E152 E154:E1048576">
    <cfRule type="duplicateValues" dxfId="88" priority="8449"/>
  </conditionalFormatting>
  <conditionalFormatting sqref="B45:B81 B138:B1048576 E142:E146 E45:E81 B1:B43 E1:E6 E8:E43 E138:E140 E151:E152 E154:E1048576">
    <cfRule type="duplicateValues" dxfId="87" priority="8459"/>
  </conditionalFormatting>
  <conditionalFormatting sqref="E142:E146 B138:B1048576 B1:B81 E1:E6 E8:E81 E138:E140 E151:E152 E154:E1048576">
    <cfRule type="duplicateValues" dxfId="86" priority="8469"/>
  </conditionalFormatting>
  <pageMargins left="0.70866141732283472" right="0.70866141732283472" top="0.74803149606299213" bottom="0.74803149606299213" header="0.51181102362204722" footer="0.51181102362204722"/>
  <pageSetup paperSize="5" scale="8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dimension ref="A1:AMJ133"/>
  <sheetViews>
    <sheetView zoomScale="80" zoomScaleNormal="80" workbookViewId="0">
      <selection activeCell="C18" sqref="C18:G18"/>
    </sheetView>
  </sheetViews>
  <sheetFormatPr baseColWidth="10" defaultColWidth="9.140625" defaultRowHeight="12.75"/>
  <cols>
    <col min="1" max="1" width="5.5703125" style="92" customWidth="1"/>
    <col min="2" max="2" width="15.140625" style="92" customWidth="1"/>
    <col min="3" max="3" width="14.140625" style="92" customWidth="1"/>
    <col min="4" max="4" width="26" style="92" customWidth="1"/>
    <col min="5" max="5" width="8" style="92" customWidth="1"/>
    <col min="6" max="6" width="7.85546875" style="92" customWidth="1"/>
    <col min="7" max="7" width="42" style="92" customWidth="1"/>
    <col min="8" max="8" width="9.28515625" style="92" customWidth="1"/>
    <col min="9" max="9" width="14.5703125" style="92" customWidth="1"/>
    <col min="10" max="10" width="16" style="92" customWidth="1"/>
    <col min="11" max="11" width="15.5703125" style="92" customWidth="1"/>
    <col min="12" max="12" width="5.85546875" style="92" customWidth="1"/>
    <col min="13" max="13" width="15.7109375" style="92" customWidth="1"/>
    <col min="14" max="14" width="5.85546875" style="92" customWidth="1"/>
    <col min="15" max="15" width="12.5703125" style="92" customWidth="1"/>
    <col min="16" max="1024" width="9.140625" style="92"/>
  </cols>
  <sheetData>
    <row r="1" spans="1:13" ht="18" customHeight="1" thickBot="1">
      <c r="A1" s="163" t="s">
        <v>201</v>
      </c>
      <c r="B1" s="163"/>
      <c r="C1" s="163"/>
      <c r="D1" s="163"/>
      <c r="E1" s="163"/>
      <c r="F1" s="163"/>
      <c r="G1" s="163"/>
      <c r="H1" s="163"/>
      <c r="I1" s="163"/>
      <c r="J1" s="90" t="s">
        <v>202</v>
      </c>
      <c r="K1" s="91" t="s">
        <v>265</v>
      </c>
    </row>
    <row r="2" spans="1:13" ht="18.75" customHeight="1" thickBot="1">
      <c r="A2" s="93"/>
      <c r="B2" s="93"/>
      <c r="C2" s="93"/>
      <c r="D2" s="94"/>
      <c r="E2" s="94"/>
      <c r="F2" s="94"/>
      <c r="G2" s="94"/>
      <c r="H2" s="94"/>
      <c r="I2" s="94"/>
      <c r="J2" s="94"/>
      <c r="K2" s="94"/>
    </row>
    <row r="3" spans="1:13" ht="18.75" customHeight="1" thickBot="1">
      <c r="A3" s="164" t="s">
        <v>203</v>
      </c>
      <c r="B3" s="164"/>
      <c r="C3" s="164"/>
      <c r="D3" s="162" t="s">
        <v>204</v>
      </c>
      <c r="E3" s="162"/>
      <c r="F3" s="162"/>
      <c r="G3" s="162"/>
      <c r="H3" s="162"/>
      <c r="I3" s="162"/>
      <c r="J3" s="162"/>
      <c r="K3" s="162"/>
    </row>
    <row r="4" spans="1:13" ht="18.75" customHeight="1" thickBot="1">
      <c r="A4" s="161" t="s">
        <v>205</v>
      </c>
      <c r="B4" s="161"/>
      <c r="C4" s="161"/>
      <c r="D4" s="162" t="s">
        <v>206</v>
      </c>
      <c r="E4" s="162"/>
      <c r="F4" s="162"/>
      <c r="G4" s="162"/>
      <c r="H4" s="162"/>
      <c r="I4" s="162"/>
      <c r="J4" s="162"/>
      <c r="K4" s="162"/>
    </row>
    <row r="5" spans="1:13" ht="18.75" customHeight="1" thickBot="1">
      <c r="A5" s="161" t="s">
        <v>207</v>
      </c>
      <c r="B5" s="161"/>
      <c r="C5" s="161"/>
      <c r="D5" s="162" t="s">
        <v>248</v>
      </c>
      <c r="E5" s="162"/>
      <c r="F5" s="162"/>
      <c r="G5" s="162"/>
      <c r="H5" s="162"/>
      <c r="I5" s="162"/>
      <c r="J5" s="162"/>
      <c r="K5" s="162"/>
    </row>
    <row r="6" spans="1:13" ht="16.5" customHeight="1" thickBot="1">
      <c r="A6" s="164" t="s">
        <v>208</v>
      </c>
      <c r="B6" s="164"/>
      <c r="C6" s="164"/>
      <c r="D6" s="162" t="s">
        <v>248</v>
      </c>
      <c r="E6" s="162"/>
      <c r="F6" s="162"/>
      <c r="G6" s="162"/>
      <c r="H6" s="162"/>
      <c r="I6" s="162"/>
      <c r="J6" s="162"/>
      <c r="K6" s="162"/>
    </row>
    <row r="7" spans="1:13" ht="16.5" customHeight="1" thickBot="1">
      <c r="A7" s="161" t="s">
        <v>209</v>
      </c>
      <c r="B7" s="161"/>
      <c r="C7" s="161"/>
      <c r="D7" s="162" t="s">
        <v>243</v>
      </c>
      <c r="E7" s="162"/>
      <c r="F7" s="162"/>
      <c r="G7" s="162"/>
      <c r="H7" s="162"/>
      <c r="I7" s="162"/>
      <c r="J7" s="162"/>
      <c r="K7" s="162"/>
    </row>
    <row r="8" spans="1:13" ht="16.5" customHeight="1" thickBot="1">
      <c r="A8" s="165" t="s">
        <v>210</v>
      </c>
      <c r="B8" s="165"/>
      <c r="C8" s="165"/>
      <c r="D8" s="166" t="s">
        <v>244</v>
      </c>
      <c r="E8" s="166"/>
      <c r="F8" s="166"/>
      <c r="G8" s="166"/>
      <c r="H8" s="166"/>
      <c r="I8" s="166"/>
      <c r="J8" s="166"/>
      <c r="K8" s="166"/>
    </row>
    <row r="9" spans="1:13" ht="16.5" thickBot="1">
      <c r="A9" s="95"/>
      <c r="B9" s="95"/>
      <c r="C9" s="95"/>
      <c r="D9" s="96"/>
      <c r="E9" s="96"/>
      <c r="F9" s="96"/>
      <c r="G9" s="96"/>
      <c r="H9" s="96"/>
      <c r="I9" s="96"/>
      <c r="J9" s="96"/>
      <c r="K9" s="96"/>
    </row>
    <row r="10" spans="1:13" ht="18.75" customHeight="1" thickBot="1">
      <c r="A10" s="187" t="s">
        <v>211</v>
      </c>
      <c r="B10" s="188" t="s">
        <v>212</v>
      </c>
      <c r="C10" s="188" t="s">
        <v>213</v>
      </c>
      <c r="D10" s="188"/>
      <c r="E10" s="188"/>
      <c r="F10" s="188"/>
      <c r="G10" s="188"/>
      <c r="H10" s="188" t="s">
        <v>214</v>
      </c>
      <c r="I10" s="188" t="s">
        <v>215</v>
      </c>
      <c r="J10" s="188" t="s">
        <v>216</v>
      </c>
      <c r="K10" s="169" t="s">
        <v>217</v>
      </c>
    </row>
    <row r="11" spans="1:13" ht="24" customHeight="1" thickBot="1">
      <c r="A11" s="187"/>
      <c r="B11" s="188"/>
      <c r="C11" s="188"/>
      <c r="D11" s="188"/>
      <c r="E11" s="188"/>
      <c r="F11" s="188"/>
      <c r="G11" s="188"/>
      <c r="H11" s="188"/>
      <c r="I11" s="188"/>
      <c r="J11" s="188"/>
      <c r="K11" s="169"/>
      <c r="M11" s="150"/>
    </row>
    <row r="12" spans="1:13" s="92" customFormat="1" ht="32.25" customHeight="1" thickBot="1">
      <c r="A12" s="97">
        <v>1</v>
      </c>
      <c r="B12" s="98"/>
      <c r="C12" s="170" t="s">
        <v>83</v>
      </c>
      <c r="D12" s="171"/>
      <c r="E12" s="171"/>
      <c r="F12" s="171"/>
      <c r="G12" s="172"/>
      <c r="H12" s="99" t="s">
        <v>263</v>
      </c>
      <c r="I12" s="18" t="s">
        <v>85</v>
      </c>
      <c r="J12" s="67">
        <v>7652</v>
      </c>
      <c r="K12" s="18">
        <v>5</v>
      </c>
      <c r="M12" s="151">
        <f>+K12*J12</f>
        <v>38260</v>
      </c>
    </row>
    <row r="13" spans="1:13" s="92" customFormat="1" ht="32.25" customHeight="1" thickBot="1">
      <c r="A13" s="145">
        <v>2</v>
      </c>
      <c r="B13" s="146"/>
      <c r="C13" s="189" t="s">
        <v>82</v>
      </c>
      <c r="D13" s="190"/>
      <c r="E13" s="190"/>
      <c r="F13" s="190"/>
      <c r="G13" s="191"/>
      <c r="H13" s="99" t="s">
        <v>263</v>
      </c>
      <c r="I13" s="18" t="s">
        <v>85</v>
      </c>
      <c r="J13" s="67">
        <v>6663</v>
      </c>
      <c r="K13" s="18">
        <v>5</v>
      </c>
      <c r="M13" s="151">
        <f t="shared" ref="M13:M76" si="0">+K13*J13</f>
        <v>33315</v>
      </c>
    </row>
    <row r="14" spans="1:13" s="92" customFormat="1" ht="32.25" customHeight="1" thickBot="1">
      <c r="A14" s="145">
        <v>3</v>
      </c>
      <c r="B14" s="146"/>
      <c r="C14" s="189" t="s">
        <v>81</v>
      </c>
      <c r="D14" s="190"/>
      <c r="E14" s="190"/>
      <c r="F14" s="190"/>
      <c r="G14" s="191"/>
      <c r="H14" s="99" t="s">
        <v>263</v>
      </c>
      <c r="I14" s="18" t="s">
        <v>85</v>
      </c>
      <c r="J14" s="67">
        <v>2985</v>
      </c>
      <c r="K14" s="18">
        <v>10</v>
      </c>
      <c r="M14" s="151">
        <f t="shared" si="0"/>
        <v>29850</v>
      </c>
    </row>
    <row r="15" spans="1:13" s="92" customFormat="1" ht="32.25" customHeight="1" thickBot="1">
      <c r="A15" s="97">
        <v>4</v>
      </c>
      <c r="B15" s="146"/>
      <c r="C15" s="189" t="s">
        <v>80</v>
      </c>
      <c r="D15" s="190"/>
      <c r="E15" s="190"/>
      <c r="F15" s="190"/>
      <c r="G15" s="191"/>
      <c r="H15" s="99" t="s">
        <v>263</v>
      </c>
      <c r="I15" s="18" t="s">
        <v>85</v>
      </c>
      <c r="J15" s="67">
        <v>2143</v>
      </c>
      <c r="K15" s="18">
        <v>300</v>
      </c>
      <c r="M15" s="151">
        <f t="shared" si="0"/>
        <v>642900</v>
      </c>
    </row>
    <row r="16" spans="1:13" s="92" customFormat="1" ht="32.25" customHeight="1" thickBot="1">
      <c r="A16" s="145">
        <v>5</v>
      </c>
      <c r="B16" s="146"/>
      <c r="C16" s="189" t="s">
        <v>79</v>
      </c>
      <c r="D16" s="190"/>
      <c r="E16" s="190"/>
      <c r="F16" s="190"/>
      <c r="G16" s="191"/>
      <c r="H16" s="99" t="s">
        <v>263</v>
      </c>
      <c r="I16" s="18" t="s">
        <v>85</v>
      </c>
      <c r="J16" s="67">
        <v>1988</v>
      </c>
      <c r="K16" s="18">
        <v>20</v>
      </c>
      <c r="M16" s="151">
        <f t="shared" si="0"/>
        <v>39760</v>
      </c>
    </row>
    <row r="17" spans="1:13" s="92" customFormat="1" ht="32.25" customHeight="1" thickBot="1">
      <c r="A17" s="145">
        <v>6</v>
      </c>
      <c r="B17" s="146"/>
      <c r="C17" s="189" t="s">
        <v>78</v>
      </c>
      <c r="D17" s="190"/>
      <c r="E17" s="190"/>
      <c r="F17" s="190"/>
      <c r="G17" s="191"/>
      <c r="H17" s="99" t="s">
        <v>263</v>
      </c>
      <c r="I17" s="18" t="s">
        <v>86</v>
      </c>
      <c r="J17" s="67">
        <v>4613</v>
      </c>
      <c r="K17" s="18">
        <v>20</v>
      </c>
      <c r="M17" s="151">
        <f t="shared" si="0"/>
        <v>92260</v>
      </c>
    </row>
    <row r="18" spans="1:13" s="92" customFormat="1" ht="32.25" customHeight="1" thickBot="1">
      <c r="A18" s="97">
        <v>7</v>
      </c>
      <c r="B18" s="146"/>
      <c r="C18" s="189" t="s">
        <v>77</v>
      </c>
      <c r="D18" s="190"/>
      <c r="E18" s="190"/>
      <c r="F18" s="190"/>
      <c r="G18" s="191"/>
      <c r="H18" s="99" t="s">
        <v>263</v>
      </c>
      <c r="I18" s="18" t="s">
        <v>85</v>
      </c>
      <c r="J18" s="67">
        <v>4009</v>
      </c>
      <c r="K18" s="18">
        <v>20</v>
      </c>
      <c r="M18" s="151">
        <f t="shared" si="0"/>
        <v>80180</v>
      </c>
    </row>
    <row r="19" spans="1:13" s="92" customFormat="1" ht="32.25" customHeight="1" thickBot="1">
      <c r="A19" s="145">
        <v>8</v>
      </c>
      <c r="B19" s="146"/>
      <c r="C19" s="189" t="s">
        <v>76</v>
      </c>
      <c r="D19" s="190"/>
      <c r="E19" s="190"/>
      <c r="F19" s="190"/>
      <c r="G19" s="191"/>
      <c r="H19" s="99" t="s">
        <v>263</v>
      </c>
      <c r="I19" s="18" t="s">
        <v>85</v>
      </c>
      <c r="J19" s="67">
        <v>1761</v>
      </c>
      <c r="K19" s="18">
        <v>20</v>
      </c>
      <c r="M19" s="151">
        <f t="shared" si="0"/>
        <v>35220</v>
      </c>
    </row>
    <row r="20" spans="1:13" s="92" customFormat="1" ht="32.25" customHeight="1" thickBot="1">
      <c r="A20" s="145">
        <v>9</v>
      </c>
      <c r="B20" s="146"/>
      <c r="C20" s="189" t="s">
        <v>75</v>
      </c>
      <c r="D20" s="190"/>
      <c r="E20" s="190"/>
      <c r="F20" s="190"/>
      <c r="G20" s="191"/>
      <c r="H20" s="99" t="s">
        <v>263</v>
      </c>
      <c r="I20" s="18" t="s">
        <v>85</v>
      </c>
      <c r="J20" s="67">
        <v>3527</v>
      </c>
      <c r="K20" s="18">
        <v>5</v>
      </c>
      <c r="M20" s="151">
        <f t="shared" si="0"/>
        <v>17635</v>
      </c>
    </row>
    <row r="21" spans="1:13" s="92" customFormat="1" ht="32.25" customHeight="1" thickBot="1">
      <c r="A21" s="97">
        <v>10</v>
      </c>
      <c r="B21" s="146"/>
      <c r="C21" s="189" t="s">
        <v>74</v>
      </c>
      <c r="D21" s="190"/>
      <c r="E21" s="190"/>
      <c r="F21" s="190"/>
      <c r="G21" s="191"/>
      <c r="H21" s="99" t="s">
        <v>263</v>
      </c>
      <c r="I21" s="18" t="s">
        <v>85</v>
      </c>
      <c r="J21" s="67">
        <v>4308</v>
      </c>
      <c r="K21" s="18">
        <v>10</v>
      </c>
      <c r="M21" s="151">
        <f t="shared" si="0"/>
        <v>43080</v>
      </c>
    </row>
    <row r="22" spans="1:13" s="92" customFormat="1" ht="32.25" customHeight="1" thickBot="1">
      <c r="A22" s="145">
        <v>11</v>
      </c>
      <c r="B22" s="146"/>
      <c r="C22" s="189" t="s">
        <v>73</v>
      </c>
      <c r="D22" s="190"/>
      <c r="E22" s="190"/>
      <c r="F22" s="190"/>
      <c r="G22" s="191"/>
      <c r="H22" s="99" t="s">
        <v>263</v>
      </c>
      <c r="I22" s="18" t="s">
        <v>86</v>
      </c>
      <c r="J22" s="67">
        <v>3658</v>
      </c>
      <c r="K22" s="18">
        <v>2</v>
      </c>
      <c r="M22" s="151">
        <f t="shared" si="0"/>
        <v>7316</v>
      </c>
    </row>
    <row r="23" spans="1:13" s="92" customFormat="1" ht="32.25" customHeight="1" thickBot="1">
      <c r="A23" s="145">
        <v>12</v>
      </c>
      <c r="B23" s="146"/>
      <c r="C23" s="189" t="s">
        <v>72</v>
      </c>
      <c r="D23" s="190"/>
      <c r="E23" s="190"/>
      <c r="F23" s="190"/>
      <c r="G23" s="191"/>
      <c r="H23" s="99" t="s">
        <v>263</v>
      </c>
      <c r="I23" s="18" t="s">
        <v>85</v>
      </c>
      <c r="J23" s="67">
        <v>12110</v>
      </c>
      <c r="K23" s="18">
        <v>2</v>
      </c>
      <c r="M23" s="151">
        <f t="shared" si="0"/>
        <v>24220</v>
      </c>
    </row>
    <row r="24" spans="1:13" s="92" customFormat="1" ht="32.25" customHeight="1" thickBot="1">
      <c r="A24" s="97">
        <v>13</v>
      </c>
      <c r="B24" s="146"/>
      <c r="C24" s="189" t="s">
        <v>71</v>
      </c>
      <c r="D24" s="190"/>
      <c r="E24" s="190"/>
      <c r="F24" s="190"/>
      <c r="G24" s="191"/>
      <c r="H24" s="99" t="s">
        <v>263</v>
      </c>
      <c r="I24" s="18" t="s">
        <v>85</v>
      </c>
      <c r="J24" s="67">
        <v>9359</v>
      </c>
      <c r="K24" s="18">
        <v>2</v>
      </c>
      <c r="M24" s="151">
        <f t="shared" si="0"/>
        <v>18718</v>
      </c>
    </row>
    <row r="25" spans="1:13" s="92" customFormat="1" ht="32.25" customHeight="1" thickBot="1">
      <c r="A25" s="145">
        <v>14</v>
      </c>
      <c r="B25" s="146"/>
      <c r="C25" s="189" t="s">
        <v>70</v>
      </c>
      <c r="D25" s="190"/>
      <c r="E25" s="190"/>
      <c r="F25" s="190"/>
      <c r="G25" s="191"/>
      <c r="H25" s="99" t="s">
        <v>263</v>
      </c>
      <c r="I25" s="18" t="s">
        <v>86</v>
      </c>
      <c r="J25" s="67">
        <v>5672</v>
      </c>
      <c r="K25" s="18">
        <v>2</v>
      </c>
      <c r="M25" s="151">
        <f t="shared" si="0"/>
        <v>11344</v>
      </c>
    </row>
    <row r="26" spans="1:13" s="92" customFormat="1" ht="32.25" customHeight="1" thickBot="1">
      <c r="A26" s="145">
        <v>15</v>
      </c>
      <c r="B26" s="146"/>
      <c r="C26" s="189" t="s">
        <v>69</v>
      </c>
      <c r="D26" s="190"/>
      <c r="E26" s="190"/>
      <c r="F26" s="190"/>
      <c r="G26" s="191"/>
      <c r="H26" s="99" t="s">
        <v>263</v>
      </c>
      <c r="I26" s="18" t="s">
        <v>86</v>
      </c>
      <c r="J26" s="67">
        <v>3720</v>
      </c>
      <c r="K26" s="18">
        <v>20</v>
      </c>
      <c r="M26" s="151">
        <f t="shared" si="0"/>
        <v>74400</v>
      </c>
    </row>
    <row r="27" spans="1:13" s="92" customFormat="1" ht="32.25" customHeight="1" thickBot="1">
      <c r="A27" s="97">
        <v>16</v>
      </c>
      <c r="B27" s="146"/>
      <c r="C27" s="189" t="s">
        <v>68</v>
      </c>
      <c r="D27" s="190"/>
      <c r="E27" s="190"/>
      <c r="F27" s="190"/>
      <c r="G27" s="191"/>
      <c r="H27" s="99" t="s">
        <v>263</v>
      </c>
      <c r="I27" s="18" t="s">
        <v>86</v>
      </c>
      <c r="J27" s="67">
        <v>7052</v>
      </c>
      <c r="K27" s="18">
        <v>10</v>
      </c>
      <c r="M27" s="151">
        <f t="shared" si="0"/>
        <v>70520</v>
      </c>
    </row>
    <row r="28" spans="1:13" s="92" customFormat="1" ht="32.25" customHeight="1" thickBot="1">
      <c r="A28" s="145">
        <v>17</v>
      </c>
      <c r="B28" s="146"/>
      <c r="C28" s="189" t="s">
        <v>67</v>
      </c>
      <c r="D28" s="190"/>
      <c r="E28" s="190"/>
      <c r="F28" s="190"/>
      <c r="G28" s="191"/>
      <c r="H28" s="99" t="s">
        <v>263</v>
      </c>
      <c r="I28" s="18" t="s">
        <v>85</v>
      </c>
      <c r="J28" s="67">
        <v>3017</v>
      </c>
      <c r="K28" s="18">
        <v>20</v>
      </c>
      <c r="M28" s="151">
        <f t="shared" si="0"/>
        <v>60340</v>
      </c>
    </row>
    <row r="29" spans="1:13" s="92" customFormat="1" ht="32.25" customHeight="1" thickBot="1">
      <c r="A29" s="145">
        <v>18</v>
      </c>
      <c r="B29" s="146"/>
      <c r="C29" s="189" t="s">
        <v>66</v>
      </c>
      <c r="D29" s="190"/>
      <c r="E29" s="190"/>
      <c r="F29" s="190"/>
      <c r="G29" s="191"/>
      <c r="H29" s="99" t="s">
        <v>263</v>
      </c>
      <c r="I29" s="18" t="s">
        <v>85</v>
      </c>
      <c r="J29" s="67">
        <v>2962</v>
      </c>
      <c r="K29" s="18">
        <v>10</v>
      </c>
      <c r="M29" s="151">
        <f t="shared" si="0"/>
        <v>29620</v>
      </c>
    </row>
    <row r="30" spans="1:13" s="92" customFormat="1" ht="32.25" customHeight="1" thickBot="1">
      <c r="A30" s="97">
        <v>19</v>
      </c>
      <c r="B30" s="146"/>
      <c r="C30" s="189" t="s">
        <v>65</v>
      </c>
      <c r="D30" s="190"/>
      <c r="E30" s="190"/>
      <c r="F30" s="190"/>
      <c r="G30" s="191"/>
      <c r="H30" s="99" t="s">
        <v>263</v>
      </c>
      <c r="I30" s="18" t="s">
        <v>85</v>
      </c>
      <c r="J30" s="67">
        <v>6444</v>
      </c>
      <c r="K30" s="18">
        <v>20</v>
      </c>
      <c r="M30" s="151">
        <f t="shared" si="0"/>
        <v>128880</v>
      </c>
    </row>
    <row r="31" spans="1:13" s="92" customFormat="1" ht="32.25" customHeight="1" thickBot="1">
      <c r="A31" s="145">
        <v>20</v>
      </c>
      <c r="B31" s="146"/>
      <c r="C31" s="189" t="s">
        <v>64</v>
      </c>
      <c r="D31" s="190"/>
      <c r="E31" s="190"/>
      <c r="F31" s="190"/>
      <c r="G31" s="191"/>
      <c r="H31" s="99" t="s">
        <v>263</v>
      </c>
      <c r="I31" s="18" t="s">
        <v>85</v>
      </c>
      <c r="J31" s="67">
        <v>7322</v>
      </c>
      <c r="K31" s="18">
        <v>10</v>
      </c>
      <c r="M31" s="151">
        <f t="shared" si="0"/>
        <v>73220</v>
      </c>
    </row>
    <row r="32" spans="1:13" s="92" customFormat="1" ht="32.25" customHeight="1" thickBot="1">
      <c r="A32" s="145">
        <v>21</v>
      </c>
      <c r="B32" s="146"/>
      <c r="C32" s="189" t="s">
        <v>63</v>
      </c>
      <c r="D32" s="190"/>
      <c r="E32" s="190"/>
      <c r="F32" s="190"/>
      <c r="G32" s="191"/>
      <c r="H32" s="99" t="s">
        <v>263</v>
      </c>
      <c r="I32" s="18" t="s">
        <v>85</v>
      </c>
      <c r="J32" s="67">
        <v>1611</v>
      </c>
      <c r="K32" s="18">
        <v>100</v>
      </c>
      <c r="M32" s="151">
        <f t="shared" si="0"/>
        <v>161100</v>
      </c>
    </row>
    <row r="33" spans="1:13" s="92" customFormat="1" ht="32.25" customHeight="1" thickBot="1">
      <c r="A33" s="97">
        <v>22</v>
      </c>
      <c r="B33" s="146"/>
      <c r="C33" s="189" t="s">
        <v>62</v>
      </c>
      <c r="D33" s="190"/>
      <c r="E33" s="190"/>
      <c r="F33" s="190"/>
      <c r="G33" s="191"/>
      <c r="H33" s="99" t="s">
        <v>263</v>
      </c>
      <c r="I33" s="18" t="s">
        <v>85</v>
      </c>
      <c r="J33" s="67">
        <v>4348</v>
      </c>
      <c r="K33" s="18">
        <v>5</v>
      </c>
      <c r="M33" s="151">
        <f t="shared" si="0"/>
        <v>21740</v>
      </c>
    </row>
    <row r="34" spans="1:13" s="92" customFormat="1" ht="32.25" customHeight="1" thickBot="1">
      <c r="A34" s="145">
        <v>23</v>
      </c>
      <c r="B34" s="146"/>
      <c r="C34" s="189" t="s">
        <v>61</v>
      </c>
      <c r="D34" s="190"/>
      <c r="E34" s="190"/>
      <c r="F34" s="190"/>
      <c r="G34" s="191"/>
      <c r="H34" s="99" t="s">
        <v>263</v>
      </c>
      <c r="I34" s="18" t="s">
        <v>87</v>
      </c>
      <c r="J34" s="67">
        <v>1498</v>
      </c>
      <c r="K34" s="18">
        <v>20</v>
      </c>
      <c r="M34" s="151">
        <f t="shared" si="0"/>
        <v>29960</v>
      </c>
    </row>
    <row r="35" spans="1:13" s="92" customFormat="1" ht="32.25" customHeight="1" thickBot="1">
      <c r="A35" s="145">
        <v>24</v>
      </c>
      <c r="B35" s="146"/>
      <c r="C35" s="189" t="s">
        <v>60</v>
      </c>
      <c r="D35" s="190"/>
      <c r="E35" s="190"/>
      <c r="F35" s="190"/>
      <c r="G35" s="191"/>
      <c r="H35" s="99" t="s">
        <v>263</v>
      </c>
      <c r="I35" s="18" t="s">
        <v>85</v>
      </c>
      <c r="J35" s="67">
        <v>4459</v>
      </c>
      <c r="K35" s="18">
        <v>10</v>
      </c>
      <c r="M35" s="151">
        <f t="shared" si="0"/>
        <v>44590</v>
      </c>
    </row>
    <row r="36" spans="1:13" s="92" customFormat="1" ht="32.25" customHeight="1" thickBot="1">
      <c r="A36" s="97">
        <v>25</v>
      </c>
      <c r="B36" s="146"/>
      <c r="C36" s="189" t="s">
        <v>59</v>
      </c>
      <c r="D36" s="190"/>
      <c r="E36" s="190"/>
      <c r="F36" s="190"/>
      <c r="G36" s="191"/>
      <c r="H36" s="99" t="s">
        <v>263</v>
      </c>
      <c r="I36" s="18" t="s">
        <v>85</v>
      </c>
      <c r="J36" s="67">
        <v>3022</v>
      </c>
      <c r="K36" s="18">
        <v>4</v>
      </c>
      <c r="M36" s="151">
        <f t="shared" si="0"/>
        <v>12088</v>
      </c>
    </row>
    <row r="37" spans="1:13" s="92" customFormat="1" ht="32.25" customHeight="1" thickBot="1">
      <c r="A37" s="145">
        <v>26</v>
      </c>
      <c r="B37" s="146"/>
      <c r="C37" s="189" t="s">
        <v>58</v>
      </c>
      <c r="D37" s="190"/>
      <c r="E37" s="190"/>
      <c r="F37" s="190"/>
      <c r="G37" s="191"/>
      <c r="H37" s="99" t="s">
        <v>263</v>
      </c>
      <c r="I37" s="18" t="s">
        <v>85</v>
      </c>
      <c r="J37" s="67">
        <v>4821</v>
      </c>
      <c r="K37" s="18">
        <v>20</v>
      </c>
      <c r="M37" s="151">
        <f t="shared" si="0"/>
        <v>96420</v>
      </c>
    </row>
    <row r="38" spans="1:13" s="92" customFormat="1" ht="32.25" customHeight="1" thickBot="1">
      <c r="A38" s="145">
        <v>27</v>
      </c>
      <c r="B38" s="146"/>
      <c r="C38" s="189" t="s">
        <v>57</v>
      </c>
      <c r="D38" s="190"/>
      <c r="E38" s="190"/>
      <c r="F38" s="190"/>
      <c r="G38" s="191"/>
      <c r="H38" s="99" t="s">
        <v>263</v>
      </c>
      <c r="I38" s="18" t="s">
        <v>85</v>
      </c>
      <c r="J38" s="67">
        <v>6405</v>
      </c>
      <c r="K38" s="18">
        <v>10</v>
      </c>
      <c r="M38" s="151">
        <f t="shared" si="0"/>
        <v>64050</v>
      </c>
    </row>
    <row r="39" spans="1:13" s="92" customFormat="1" ht="32.25" customHeight="1" thickBot="1">
      <c r="A39" s="97">
        <v>28</v>
      </c>
      <c r="B39" s="146"/>
      <c r="C39" s="189" t="s">
        <v>56</v>
      </c>
      <c r="D39" s="190"/>
      <c r="E39" s="190"/>
      <c r="F39" s="190"/>
      <c r="G39" s="191"/>
      <c r="H39" s="99" t="s">
        <v>263</v>
      </c>
      <c r="I39" s="18" t="s">
        <v>85</v>
      </c>
      <c r="J39" s="67">
        <v>6405</v>
      </c>
      <c r="K39" s="18">
        <v>10</v>
      </c>
      <c r="M39" s="151">
        <f t="shared" si="0"/>
        <v>64050</v>
      </c>
    </row>
    <row r="40" spans="1:13" s="92" customFormat="1" ht="32.25" customHeight="1" thickBot="1">
      <c r="A40" s="145">
        <v>29</v>
      </c>
      <c r="B40" s="146"/>
      <c r="C40" s="189" t="s">
        <v>55</v>
      </c>
      <c r="D40" s="190"/>
      <c r="E40" s="190"/>
      <c r="F40" s="190"/>
      <c r="G40" s="191"/>
      <c r="H40" s="99" t="s">
        <v>263</v>
      </c>
      <c r="I40" s="18" t="s">
        <v>85</v>
      </c>
      <c r="J40" s="67">
        <v>4440</v>
      </c>
      <c r="K40" s="18">
        <v>10</v>
      </c>
      <c r="M40" s="151">
        <f t="shared" si="0"/>
        <v>44400</v>
      </c>
    </row>
    <row r="41" spans="1:13" s="92" customFormat="1" ht="32.25" customHeight="1" thickBot="1">
      <c r="A41" s="145">
        <v>30</v>
      </c>
      <c r="B41" s="146"/>
      <c r="C41" s="189" t="s">
        <v>54</v>
      </c>
      <c r="D41" s="190"/>
      <c r="E41" s="190"/>
      <c r="F41" s="190"/>
      <c r="G41" s="191"/>
      <c r="H41" s="99" t="s">
        <v>263</v>
      </c>
      <c r="I41" s="18" t="s">
        <v>85</v>
      </c>
      <c r="J41" s="67">
        <v>4440</v>
      </c>
      <c r="K41" s="18">
        <v>10</v>
      </c>
      <c r="M41" s="151">
        <f t="shared" si="0"/>
        <v>44400</v>
      </c>
    </row>
    <row r="42" spans="1:13" s="92" customFormat="1" ht="32.25" customHeight="1" thickBot="1">
      <c r="A42" s="97">
        <v>31</v>
      </c>
      <c r="B42" s="146"/>
      <c r="C42" s="189" t="s">
        <v>53</v>
      </c>
      <c r="D42" s="190"/>
      <c r="E42" s="190"/>
      <c r="F42" s="190"/>
      <c r="G42" s="191"/>
      <c r="H42" s="99" t="s">
        <v>263</v>
      </c>
      <c r="I42" s="18" t="s">
        <v>85</v>
      </c>
      <c r="J42" s="67">
        <v>18178</v>
      </c>
      <c r="K42" s="18">
        <v>10</v>
      </c>
      <c r="M42" s="151">
        <f t="shared" si="0"/>
        <v>181780</v>
      </c>
    </row>
    <row r="43" spans="1:13" s="92" customFormat="1" ht="32.25" customHeight="1" thickBot="1">
      <c r="A43" s="145">
        <v>32</v>
      </c>
      <c r="B43" s="146"/>
      <c r="C43" s="189" t="s">
        <v>52</v>
      </c>
      <c r="D43" s="190"/>
      <c r="E43" s="190"/>
      <c r="F43" s="190"/>
      <c r="G43" s="191"/>
      <c r="H43" s="99" t="s">
        <v>263</v>
      </c>
      <c r="I43" s="18" t="s">
        <v>85</v>
      </c>
      <c r="J43" s="67">
        <v>7383</v>
      </c>
      <c r="K43" s="18">
        <v>10</v>
      </c>
      <c r="M43" s="151">
        <f t="shared" si="0"/>
        <v>73830</v>
      </c>
    </row>
    <row r="44" spans="1:13" s="92" customFormat="1" ht="32.25" customHeight="1" thickBot="1">
      <c r="A44" s="145">
        <v>33</v>
      </c>
      <c r="B44" s="146"/>
      <c r="C44" s="189" t="s">
        <v>51</v>
      </c>
      <c r="D44" s="190"/>
      <c r="E44" s="190"/>
      <c r="F44" s="190"/>
      <c r="G44" s="191"/>
      <c r="H44" s="99" t="s">
        <v>263</v>
      </c>
      <c r="I44" s="18" t="s">
        <v>85</v>
      </c>
      <c r="J44" s="67">
        <v>8656</v>
      </c>
      <c r="K44" s="18">
        <v>10</v>
      </c>
      <c r="M44" s="151">
        <f t="shared" si="0"/>
        <v>86560</v>
      </c>
    </row>
    <row r="45" spans="1:13" s="92" customFormat="1" ht="32.25" customHeight="1" thickBot="1">
      <c r="A45" s="97">
        <v>34</v>
      </c>
      <c r="B45" s="146"/>
      <c r="C45" s="189" t="s">
        <v>50</v>
      </c>
      <c r="D45" s="190"/>
      <c r="E45" s="190"/>
      <c r="F45" s="190"/>
      <c r="G45" s="191"/>
      <c r="H45" s="99" t="s">
        <v>263</v>
      </c>
      <c r="I45" s="18" t="s">
        <v>85</v>
      </c>
      <c r="J45" s="67">
        <v>10868</v>
      </c>
      <c r="K45" s="18">
        <v>2</v>
      </c>
      <c r="M45" s="151">
        <f t="shared" si="0"/>
        <v>21736</v>
      </c>
    </row>
    <row r="46" spans="1:13" s="92" customFormat="1" ht="32.25" customHeight="1" thickBot="1">
      <c r="A46" s="145">
        <v>35</v>
      </c>
      <c r="B46" s="146"/>
      <c r="C46" s="189" t="s">
        <v>49</v>
      </c>
      <c r="D46" s="190"/>
      <c r="E46" s="190"/>
      <c r="F46" s="190"/>
      <c r="G46" s="191"/>
      <c r="H46" s="99" t="s">
        <v>263</v>
      </c>
      <c r="I46" s="18" t="s">
        <v>85</v>
      </c>
      <c r="J46" s="67">
        <v>1477</v>
      </c>
      <c r="K46" s="18">
        <v>10</v>
      </c>
      <c r="M46" s="151">
        <f t="shared" si="0"/>
        <v>14770</v>
      </c>
    </row>
    <row r="47" spans="1:13" s="92" customFormat="1" ht="32.25" customHeight="1" thickBot="1">
      <c r="A47" s="145">
        <v>36</v>
      </c>
      <c r="B47" s="146"/>
      <c r="C47" s="189" t="s">
        <v>48</v>
      </c>
      <c r="D47" s="190"/>
      <c r="E47" s="190"/>
      <c r="F47" s="190"/>
      <c r="G47" s="191"/>
      <c r="H47" s="99" t="s">
        <v>263</v>
      </c>
      <c r="I47" s="18" t="s">
        <v>85</v>
      </c>
      <c r="J47" s="67">
        <v>11018</v>
      </c>
      <c r="K47" s="18">
        <v>10</v>
      </c>
      <c r="M47" s="151">
        <f t="shared" si="0"/>
        <v>110180</v>
      </c>
    </row>
    <row r="48" spans="1:13" s="92" customFormat="1" ht="32.25" customHeight="1" thickBot="1">
      <c r="A48" s="97">
        <v>37</v>
      </c>
      <c r="B48" s="146"/>
      <c r="C48" s="189" t="s">
        <v>47</v>
      </c>
      <c r="D48" s="190"/>
      <c r="E48" s="190"/>
      <c r="F48" s="190"/>
      <c r="G48" s="191"/>
      <c r="H48" s="99" t="s">
        <v>263</v>
      </c>
      <c r="I48" s="18" t="s">
        <v>85</v>
      </c>
      <c r="J48" s="67">
        <v>5848</v>
      </c>
      <c r="K48" s="18">
        <v>2</v>
      </c>
      <c r="M48" s="151">
        <f t="shared" si="0"/>
        <v>11696</v>
      </c>
    </row>
    <row r="49" spans="1:13" s="92" customFormat="1" ht="32.25" customHeight="1" thickBot="1">
      <c r="A49" s="145">
        <v>38</v>
      </c>
      <c r="B49" s="146"/>
      <c r="C49" s="189" t="s">
        <v>46</v>
      </c>
      <c r="D49" s="190"/>
      <c r="E49" s="190"/>
      <c r="F49" s="190"/>
      <c r="G49" s="191"/>
      <c r="H49" s="99" t="s">
        <v>263</v>
      </c>
      <c r="I49" s="18" t="s">
        <v>85</v>
      </c>
      <c r="J49" s="67">
        <v>23583</v>
      </c>
      <c r="K49" s="18">
        <v>20</v>
      </c>
      <c r="M49" s="151">
        <f t="shared" si="0"/>
        <v>471660</v>
      </c>
    </row>
    <row r="50" spans="1:13" s="92" customFormat="1" ht="32.25" customHeight="1" thickBot="1">
      <c r="A50" s="145">
        <v>39</v>
      </c>
      <c r="B50" s="146"/>
      <c r="C50" s="189" t="s">
        <v>45</v>
      </c>
      <c r="D50" s="190"/>
      <c r="E50" s="190"/>
      <c r="F50" s="190"/>
      <c r="G50" s="191"/>
      <c r="H50" s="99" t="s">
        <v>263</v>
      </c>
      <c r="I50" s="18" t="s">
        <v>85</v>
      </c>
      <c r="J50" s="67">
        <v>3148</v>
      </c>
      <c r="K50" s="18">
        <v>3</v>
      </c>
      <c r="M50" s="151">
        <f t="shared" si="0"/>
        <v>9444</v>
      </c>
    </row>
    <row r="51" spans="1:13" s="92" customFormat="1" ht="32.25" customHeight="1" thickBot="1">
      <c r="A51" s="97">
        <v>40</v>
      </c>
      <c r="B51" s="146"/>
      <c r="C51" s="189" t="s">
        <v>44</v>
      </c>
      <c r="D51" s="190"/>
      <c r="E51" s="190"/>
      <c r="F51" s="190"/>
      <c r="G51" s="191"/>
      <c r="H51" s="99" t="s">
        <v>263</v>
      </c>
      <c r="I51" s="18" t="s">
        <v>85</v>
      </c>
      <c r="J51" s="67">
        <v>24291</v>
      </c>
      <c r="K51" s="18">
        <v>10</v>
      </c>
      <c r="M51" s="151">
        <f t="shared" si="0"/>
        <v>242910</v>
      </c>
    </row>
    <row r="52" spans="1:13" s="92" customFormat="1" ht="32.25" customHeight="1" thickBot="1">
      <c r="A52" s="145">
        <v>41</v>
      </c>
      <c r="B52" s="146"/>
      <c r="C52" s="189" t="s">
        <v>43</v>
      </c>
      <c r="D52" s="190"/>
      <c r="E52" s="190"/>
      <c r="F52" s="190"/>
      <c r="G52" s="191"/>
      <c r="H52" s="99" t="s">
        <v>263</v>
      </c>
      <c r="I52" s="18" t="s">
        <v>85</v>
      </c>
      <c r="J52" s="67">
        <v>5387</v>
      </c>
      <c r="K52" s="18">
        <v>20</v>
      </c>
      <c r="M52" s="151">
        <f t="shared" si="0"/>
        <v>107740</v>
      </c>
    </row>
    <row r="53" spans="1:13" s="92" customFormat="1" ht="32.25" customHeight="1" thickBot="1">
      <c r="A53" s="145">
        <v>42</v>
      </c>
      <c r="B53" s="146"/>
      <c r="C53" s="189" t="s">
        <v>42</v>
      </c>
      <c r="D53" s="190"/>
      <c r="E53" s="190"/>
      <c r="F53" s="190"/>
      <c r="G53" s="191"/>
      <c r="H53" s="99" t="s">
        <v>263</v>
      </c>
      <c r="I53" s="18" t="s">
        <v>85</v>
      </c>
      <c r="J53" s="67">
        <v>2723</v>
      </c>
      <c r="K53" s="18">
        <v>5</v>
      </c>
      <c r="M53" s="151">
        <f t="shared" si="0"/>
        <v>13615</v>
      </c>
    </row>
    <row r="54" spans="1:13" s="92" customFormat="1" ht="32.25" customHeight="1" thickBot="1">
      <c r="A54" s="97">
        <v>43</v>
      </c>
      <c r="B54" s="146"/>
      <c r="C54" s="189" t="s">
        <v>41</v>
      </c>
      <c r="D54" s="190"/>
      <c r="E54" s="190"/>
      <c r="F54" s="190"/>
      <c r="G54" s="191"/>
      <c r="H54" s="99" t="s">
        <v>263</v>
      </c>
      <c r="I54" s="18" t="s">
        <v>85</v>
      </c>
      <c r="J54" s="67">
        <v>1610</v>
      </c>
      <c r="K54" s="18">
        <v>30</v>
      </c>
      <c r="M54" s="151">
        <f t="shared" si="0"/>
        <v>48300</v>
      </c>
    </row>
    <row r="55" spans="1:13" s="92" customFormat="1" ht="32.25" customHeight="1" thickBot="1">
      <c r="A55" s="145">
        <v>44</v>
      </c>
      <c r="B55" s="146"/>
      <c r="C55" s="189" t="s">
        <v>40</v>
      </c>
      <c r="D55" s="190"/>
      <c r="E55" s="190"/>
      <c r="F55" s="190"/>
      <c r="G55" s="191"/>
      <c r="H55" s="99" t="s">
        <v>263</v>
      </c>
      <c r="I55" s="18" t="s">
        <v>85</v>
      </c>
      <c r="J55" s="67">
        <v>3003</v>
      </c>
      <c r="K55" s="18">
        <v>20</v>
      </c>
      <c r="M55" s="151">
        <f t="shared" si="0"/>
        <v>60060</v>
      </c>
    </row>
    <row r="56" spans="1:13" s="92" customFormat="1" ht="32.25" customHeight="1" thickBot="1">
      <c r="A56" s="145">
        <v>45</v>
      </c>
      <c r="B56" s="146"/>
      <c r="C56" s="189" t="s">
        <v>39</v>
      </c>
      <c r="D56" s="190"/>
      <c r="E56" s="190"/>
      <c r="F56" s="190"/>
      <c r="G56" s="191"/>
      <c r="H56" s="99" t="s">
        <v>263</v>
      </c>
      <c r="I56" s="18" t="s">
        <v>85</v>
      </c>
      <c r="J56" s="67">
        <v>603</v>
      </c>
      <c r="K56" s="18">
        <v>20</v>
      </c>
      <c r="M56" s="151">
        <f t="shared" si="0"/>
        <v>12060</v>
      </c>
    </row>
    <row r="57" spans="1:13" s="92" customFormat="1" ht="32.25" customHeight="1" thickBot="1">
      <c r="A57" s="97">
        <v>46</v>
      </c>
      <c r="B57" s="146"/>
      <c r="C57" s="189" t="s">
        <v>38</v>
      </c>
      <c r="D57" s="190"/>
      <c r="E57" s="190"/>
      <c r="F57" s="190"/>
      <c r="G57" s="191"/>
      <c r="H57" s="99" t="s">
        <v>263</v>
      </c>
      <c r="I57" s="18" t="s">
        <v>85</v>
      </c>
      <c r="J57" s="67">
        <v>415</v>
      </c>
      <c r="K57" s="18">
        <v>10</v>
      </c>
      <c r="M57" s="151">
        <f t="shared" si="0"/>
        <v>4150</v>
      </c>
    </row>
    <row r="58" spans="1:13" s="92" customFormat="1" ht="32.25" customHeight="1" thickBot="1">
      <c r="A58" s="145">
        <v>47</v>
      </c>
      <c r="B58" s="146"/>
      <c r="C58" s="189" t="s">
        <v>37</v>
      </c>
      <c r="D58" s="190"/>
      <c r="E58" s="190"/>
      <c r="F58" s="190"/>
      <c r="G58" s="191"/>
      <c r="H58" s="99" t="s">
        <v>263</v>
      </c>
      <c r="I58" s="18" t="s">
        <v>85</v>
      </c>
      <c r="J58" s="67">
        <v>2520</v>
      </c>
      <c r="K58" s="18">
        <v>5</v>
      </c>
      <c r="M58" s="151">
        <f t="shared" si="0"/>
        <v>12600</v>
      </c>
    </row>
    <row r="59" spans="1:13" s="92" customFormat="1" ht="32.25" customHeight="1" thickBot="1">
      <c r="A59" s="145">
        <v>48</v>
      </c>
      <c r="B59" s="146"/>
      <c r="C59" s="189" t="s">
        <v>36</v>
      </c>
      <c r="D59" s="190"/>
      <c r="E59" s="190"/>
      <c r="F59" s="190"/>
      <c r="G59" s="191"/>
      <c r="H59" s="99" t="s">
        <v>263</v>
      </c>
      <c r="I59" s="18" t="s">
        <v>85</v>
      </c>
      <c r="J59" s="67">
        <v>2768</v>
      </c>
      <c r="K59" s="18">
        <v>5</v>
      </c>
      <c r="M59" s="151">
        <f t="shared" si="0"/>
        <v>13840</v>
      </c>
    </row>
    <row r="60" spans="1:13" s="92" customFormat="1" ht="32.25" customHeight="1" thickBot="1">
      <c r="A60" s="97">
        <v>49</v>
      </c>
      <c r="B60" s="146"/>
      <c r="C60" s="189" t="s">
        <v>35</v>
      </c>
      <c r="D60" s="190"/>
      <c r="E60" s="190"/>
      <c r="F60" s="190"/>
      <c r="G60" s="191"/>
      <c r="H60" s="99" t="s">
        <v>263</v>
      </c>
      <c r="I60" s="18" t="s">
        <v>86</v>
      </c>
      <c r="J60" s="67">
        <v>1046</v>
      </c>
      <c r="K60" s="18">
        <v>3</v>
      </c>
      <c r="M60" s="151">
        <f t="shared" si="0"/>
        <v>3138</v>
      </c>
    </row>
    <row r="61" spans="1:13" s="92" customFormat="1" ht="32.25" customHeight="1" thickBot="1">
      <c r="A61" s="145">
        <v>50</v>
      </c>
      <c r="B61" s="146"/>
      <c r="C61" s="189" t="s">
        <v>34</v>
      </c>
      <c r="D61" s="190"/>
      <c r="E61" s="190"/>
      <c r="F61" s="190"/>
      <c r="G61" s="191"/>
      <c r="H61" s="99" t="s">
        <v>263</v>
      </c>
      <c r="I61" s="18" t="s">
        <v>86</v>
      </c>
      <c r="J61" s="67">
        <v>9632</v>
      </c>
      <c r="K61" s="18">
        <v>10</v>
      </c>
      <c r="M61" s="151">
        <f t="shared" si="0"/>
        <v>96320</v>
      </c>
    </row>
    <row r="62" spans="1:13" s="92" customFormat="1" ht="32.25" customHeight="1" thickBot="1">
      <c r="A62" s="145">
        <v>51</v>
      </c>
      <c r="B62" s="146"/>
      <c r="C62" s="189" t="s">
        <v>33</v>
      </c>
      <c r="D62" s="190"/>
      <c r="E62" s="190"/>
      <c r="F62" s="190"/>
      <c r="G62" s="191"/>
      <c r="H62" s="99" t="s">
        <v>263</v>
      </c>
      <c r="I62" s="18" t="s">
        <v>86</v>
      </c>
      <c r="J62" s="67">
        <v>4236</v>
      </c>
      <c r="K62" s="18">
        <v>10</v>
      </c>
      <c r="M62" s="151">
        <f t="shared" si="0"/>
        <v>42360</v>
      </c>
    </row>
    <row r="63" spans="1:13" s="92" customFormat="1" ht="32.25" customHeight="1" thickBot="1">
      <c r="A63" s="97">
        <v>52</v>
      </c>
      <c r="B63" s="146"/>
      <c r="C63" s="189" t="s">
        <v>32</v>
      </c>
      <c r="D63" s="190"/>
      <c r="E63" s="190"/>
      <c r="F63" s="190"/>
      <c r="G63" s="191"/>
      <c r="H63" s="99" t="s">
        <v>263</v>
      </c>
      <c r="I63" s="18" t="s">
        <v>86</v>
      </c>
      <c r="J63" s="67">
        <v>1476</v>
      </c>
      <c r="K63" s="18">
        <v>300</v>
      </c>
      <c r="M63" s="151">
        <f t="shared" si="0"/>
        <v>442800</v>
      </c>
    </row>
    <row r="64" spans="1:13" s="92" customFormat="1" ht="32.25" customHeight="1" thickBot="1">
      <c r="A64" s="145">
        <v>53</v>
      </c>
      <c r="B64" s="146"/>
      <c r="C64" s="189" t="s">
        <v>31</v>
      </c>
      <c r="D64" s="190"/>
      <c r="E64" s="190"/>
      <c r="F64" s="190"/>
      <c r="G64" s="191"/>
      <c r="H64" s="99" t="s">
        <v>263</v>
      </c>
      <c r="I64" s="18" t="s">
        <v>85</v>
      </c>
      <c r="J64" s="67">
        <v>8815</v>
      </c>
      <c r="K64" s="18">
        <v>30</v>
      </c>
      <c r="M64" s="151">
        <f t="shared" si="0"/>
        <v>264450</v>
      </c>
    </row>
    <row r="65" spans="1:13" s="92" customFormat="1" ht="32.25" customHeight="1" thickBot="1">
      <c r="A65" s="145">
        <v>54</v>
      </c>
      <c r="B65" s="146"/>
      <c r="C65" s="189" t="s">
        <v>30</v>
      </c>
      <c r="D65" s="190"/>
      <c r="E65" s="190"/>
      <c r="F65" s="190"/>
      <c r="G65" s="191"/>
      <c r="H65" s="99" t="s">
        <v>263</v>
      </c>
      <c r="I65" s="18" t="s">
        <v>85</v>
      </c>
      <c r="J65" s="67">
        <v>5091</v>
      </c>
      <c r="K65" s="18">
        <v>50</v>
      </c>
      <c r="M65" s="151">
        <f t="shared" si="0"/>
        <v>254550</v>
      </c>
    </row>
    <row r="66" spans="1:13" s="92" customFormat="1" ht="32.25" customHeight="1" thickBot="1">
      <c r="A66" s="97">
        <v>55</v>
      </c>
      <c r="B66" s="146"/>
      <c r="C66" s="189" t="s">
        <v>29</v>
      </c>
      <c r="D66" s="190"/>
      <c r="E66" s="190"/>
      <c r="F66" s="190"/>
      <c r="G66" s="191"/>
      <c r="H66" s="99" t="s">
        <v>263</v>
      </c>
      <c r="I66" s="18" t="s">
        <v>85</v>
      </c>
      <c r="J66" s="67">
        <v>3037</v>
      </c>
      <c r="K66" s="18">
        <v>30</v>
      </c>
      <c r="M66" s="151">
        <f t="shared" si="0"/>
        <v>91110</v>
      </c>
    </row>
    <row r="67" spans="1:13" s="92" customFormat="1" ht="32.25" customHeight="1" thickBot="1">
      <c r="A67" s="97">
        <v>56</v>
      </c>
      <c r="B67" s="146"/>
      <c r="C67" s="192" t="s">
        <v>28</v>
      </c>
      <c r="D67" s="193"/>
      <c r="E67" s="193"/>
      <c r="F67" s="193"/>
      <c r="G67" s="194"/>
      <c r="H67" s="99" t="s">
        <v>263</v>
      </c>
      <c r="I67" s="51" t="s">
        <v>85</v>
      </c>
      <c r="J67" s="67">
        <v>1633</v>
      </c>
      <c r="K67" s="51">
        <v>30</v>
      </c>
      <c r="M67" s="151">
        <f t="shared" si="0"/>
        <v>48990</v>
      </c>
    </row>
    <row r="68" spans="1:13" s="92" customFormat="1" ht="32.25" customHeight="1" thickBot="1">
      <c r="A68" s="145">
        <v>57</v>
      </c>
      <c r="B68" s="146"/>
      <c r="C68" s="192" t="s">
        <v>27</v>
      </c>
      <c r="D68" s="193"/>
      <c r="E68" s="193"/>
      <c r="F68" s="193"/>
      <c r="G68" s="194"/>
      <c r="H68" s="99" t="s">
        <v>263</v>
      </c>
      <c r="I68" s="51" t="s">
        <v>85</v>
      </c>
      <c r="J68" s="67">
        <v>8531</v>
      </c>
      <c r="K68" s="51">
        <v>9</v>
      </c>
      <c r="M68" s="151">
        <f t="shared" si="0"/>
        <v>76779</v>
      </c>
    </row>
    <row r="69" spans="1:13" s="92" customFormat="1" ht="32.25" customHeight="1" thickBot="1">
      <c r="A69" s="145">
        <v>58</v>
      </c>
      <c r="B69" s="146"/>
      <c r="C69" s="192" t="s">
        <v>90</v>
      </c>
      <c r="D69" s="193"/>
      <c r="E69" s="193"/>
      <c r="F69" s="193"/>
      <c r="G69" s="194"/>
      <c r="H69" s="99" t="s">
        <v>263</v>
      </c>
      <c r="I69" s="51" t="s">
        <v>85</v>
      </c>
      <c r="J69" s="67">
        <v>139758</v>
      </c>
      <c r="K69" s="51">
        <v>40</v>
      </c>
      <c r="M69" s="151">
        <f t="shared" si="0"/>
        <v>5590320</v>
      </c>
    </row>
    <row r="70" spans="1:13" s="92" customFormat="1" ht="32.25" customHeight="1" thickBot="1">
      <c r="A70" s="97">
        <v>59</v>
      </c>
      <c r="B70" s="146"/>
      <c r="C70" s="192" t="s">
        <v>97</v>
      </c>
      <c r="D70" s="193"/>
      <c r="E70" s="193"/>
      <c r="F70" s="193"/>
      <c r="G70" s="194"/>
      <c r="H70" s="99" t="s">
        <v>263</v>
      </c>
      <c r="I70" s="51" t="s">
        <v>85</v>
      </c>
      <c r="J70" s="67">
        <v>12590</v>
      </c>
      <c r="K70" s="51">
        <v>8</v>
      </c>
      <c r="M70" s="151">
        <f t="shared" si="0"/>
        <v>100720</v>
      </c>
    </row>
    <row r="71" spans="1:13" s="92" customFormat="1" ht="32.25" customHeight="1" thickBot="1">
      <c r="A71" s="97">
        <v>60</v>
      </c>
      <c r="B71" s="146"/>
      <c r="C71" s="192" t="s">
        <v>96</v>
      </c>
      <c r="D71" s="193"/>
      <c r="E71" s="193"/>
      <c r="F71" s="193"/>
      <c r="G71" s="194"/>
      <c r="H71" s="99" t="s">
        <v>263</v>
      </c>
      <c r="I71" s="51" t="s">
        <v>85</v>
      </c>
      <c r="J71" s="67">
        <v>6180</v>
      </c>
      <c r="K71" s="51">
        <v>40</v>
      </c>
      <c r="M71" s="151">
        <f t="shared" si="0"/>
        <v>247200</v>
      </c>
    </row>
    <row r="72" spans="1:13" s="92" customFormat="1" ht="32.25" customHeight="1" thickBot="1">
      <c r="A72" s="145">
        <v>61</v>
      </c>
      <c r="B72" s="146"/>
      <c r="C72" s="192" t="s">
        <v>95</v>
      </c>
      <c r="D72" s="193"/>
      <c r="E72" s="193"/>
      <c r="F72" s="193"/>
      <c r="G72" s="194"/>
      <c r="H72" s="99" t="s">
        <v>263</v>
      </c>
      <c r="I72" s="51" t="s">
        <v>85</v>
      </c>
      <c r="J72" s="67">
        <v>9757</v>
      </c>
      <c r="K72" s="51">
        <v>30</v>
      </c>
      <c r="M72" s="151">
        <f t="shared" si="0"/>
        <v>292710</v>
      </c>
    </row>
    <row r="73" spans="1:13" s="92" customFormat="1" ht="32.25" customHeight="1" thickBot="1">
      <c r="A73" s="145">
        <v>62</v>
      </c>
      <c r="B73" s="146"/>
      <c r="C73" s="192" t="s">
        <v>94</v>
      </c>
      <c r="D73" s="193"/>
      <c r="E73" s="193"/>
      <c r="F73" s="193"/>
      <c r="G73" s="194"/>
      <c r="H73" s="99" t="s">
        <v>263</v>
      </c>
      <c r="I73" s="51" t="s">
        <v>85</v>
      </c>
      <c r="J73" s="67">
        <v>4746</v>
      </c>
      <c r="K73" s="51">
        <v>20</v>
      </c>
      <c r="M73" s="151">
        <f t="shared" si="0"/>
        <v>94920</v>
      </c>
    </row>
    <row r="74" spans="1:13" s="92" customFormat="1" ht="32.25" customHeight="1" thickBot="1">
      <c r="A74" s="97">
        <v>63</v>
      </c>
      <c r="B74" s="146"/>
      <c r="C74" s="192" t="s">
        <v>93</v>
      </c>
      <c r="D74" s="193"/>
      <c r="E74" s="193"/>
      <c r="F74" s="193"/>
      <c r="G74" s="194"/>
      <c r="H74" s="99" t="s">
        <v>263</v>
      </c>
      <c r="I74" s="51" t="s">
        <v>85</v>
      </c>
      <c r="J74" s="67">
        <v>3868</v>
      </c>
      <c r="K74" s="51">
        <v>10</v>
      </c>
      <c r="M74" s="151">
        <f t="shared" si="0"/>
        <v>38680</v>
      </c>
    </row>
    <row r="75" spans="1:13" s="92" customFormat="1" ht="32.25" customHeight="1" thickBot="1">
      <c r="A75" s="97">
        <v>64</v>
      </c>
      <c r="B75" s="146"/>
      <c r="C75" s="192" t="s">
        <v>92</v>
      </c>
      <c r="D75" s="193"/>
      <c r="E75" s="193"/>
      <c r="F75" s="193"/>
      <c r="G75" s="194"/>
      <c r="H75" s="99" t="s">
        <v>263</v>
      </c>
      <c r="I75" s="51" t="s">
        <v>85</v>
      </c>
      <c r="J75" s="67">
        <v>5266</v>
      </c>
      <c r="K75" s="51">
        <v>20</v>
      </c>
      <c r="M75" s="151">
        <f t="shared" si="0"/>
        <v>105320</v>
      </c>
    </row>
    <row r="76" spans="1:13" s="92" customFormat="1" ht="32.25" customHeight="1" thickBot="1">
      <c r="A76" s="145">
        <v>65</v>
      </c>
      <c r="B76" s="146"/>
      <c r="C76" s="192" t="s">
        <v>91</v>
      </c>
      <c r="D76" s="193"/>
      <c r="E76" s="193"/>
      <c r="F76" s="193"/>
      <c r="G76" s="194"/>
      <c r="H76" s="99" t="s">
        <v>263</v>
      </c>
      <c r="I76" s="51" t="s">
        <v>85</v>
      </c>
      <c r="J76" s="67">
        <v>854</v>
      </c>
      <c r="K76" s="51">
        <v>500</v>
      </c>
      <c r="M76" s="151">
        <f t="shared" si="0"/>
        <v>427000</v>
      </c>
    </row>
    <row r="77" spans="1:13" s="92" customFormat="1" ht="32.25" customHeight="1" thickBot="1">
      <c r="A77" s="145">
        <v>66</v>
      </c>
      <c r="B77" s="146"/>
      <c r="C77" s="173" t="s">
        <v>100</v>
      </c>
      <c r="D77" s="174"/>
      <c r="E77" s="174"/>
      <c r="F77" s="174"/>
      <c r="G77" s="175"/>
      <c r="H77" s="99" t="s">
        <v>263</v>
      </c>
      <c r="I77" s="16" t="s">
        <v>103</v>
      </c>
      <c r="J77" s="66">
        <v>209328</v>
      </c>
      <c r="K77" s="24">
        <v>144</v>
      </c>
      <c r="M77" s="151">
        <f t="shared" ref="M77:M81" si="1">+K77*J77</f>
        <v>30143232</v>
      </c>
    </row>
    <row r="78" spans="1:13" s="92" customFormat="1" ht="31.5" customHeight="1" thickBot="1">
      <c r="A78" s="97">
        <v>67</v>
      </c>
      <c r="B78" s="101"/>
      <c r="C78" s="173" t="s">
        <v>99</v>
      </c>
      <c r="D78" s="174"/>
      <c r="E78" s="174"/>
      <c r="F78" s="174"/>
      <c r="G78" s="175"/>
      <c r="H78" s="99" t="s">
        <v>263</v>
      </c>
      <c r="I78" s="16" t="s">
        <v>103</v>
      </c>
      <c r="J78" s="66">
        <v>100876</v>
      </c>
      <c r="K78" s="24">
        <v>45</v>
      </c>
      <c r="M78" s="151">
        <f t="shared" si="1"/>
        <v>4539420</v>
      </c>
    </row>
    <row r="79" spans="1:13" s="92" customFormat="1" ht="38.25" customHeight="1" thickBot="1">
      <c r="A79" s="97">
        <v>68</v>
      </c>
      <c r="B79" s="102"/>
      <c r="C79" s="176" t="s">
        <v>98</v>
      </c>
      <c r="D79" s="177"/>
      <c r="E79" s="177"/>
      <c r="F79" s="177"/>
      <c r="G79" s="178"/>
      <c r="H79" s="99" t="s">
        <v>263</v>
      </c>
      <c r="I79" s="16" t="s">
        <v>103</v>
      </c>
      <c r="J79" s="66">
        <v>1309099</v>
      </c>
      <c r="K79" s="24">
        <v>18</v>
      </c>
      <c r="M79" s="151">
        <f t="shared" si="1"/>
        <v>23563782</v>
      </c>
    </row>
    <row r="80" spans="1:13" s="92" customFormat="1" ht="40.5" customHeight="1" thickBot="1">
      <c r="A80" s="145">
        <v>69</v>
      </c>
      <c r="B80" s="102"/>
      <c r="C80" s="176" t="s">
        <v>101</v>
      </c>
      <c r="D80" s="177"/>
      <c r="E80" s="177"/>
      <c r="F80" s="177"/>
      <c r="G80" s="178"/>
      <c r="H80" s="99" t="s">
        <v>263</v>
      </c>
      <c r="I80" s="16" t="s">
        <v>105</v>
      </c>
      <c r="J80" s="66">
        <v>1674</v>
      </c>
      <c r="K80" s="24">
        <v>150</v>
      </c>
      <c r="M80" s="151">
        <f t="shared" si="1"/>
        <v>251100</v>
      </c>
    </row>
    <row r="81" spans="1:13" s="92" customFormat="1" ht="39" customHeight="1" thickBot="1">
      <c r="A81" s="145">
        <v>70</v>
      </c>
      <c r="B81" s="102"/>
      <c r="C81" s="195" t="s">
        <v>102</v>
      </c>
      <c r="D81" s="196"/>
      <c r="E81" s="196"/>
      <c r="F81" s="196"/>
      <c r="G81" s="197"/>
      <c r="H81" s="99" t="s">
        <v>263</v>
      </c>
      <c r="I81" s="17" t="s">
        <v>104</v>
      </c>
      <c r="J81" s="66">
        <v>238482</v>
      </c>
      <c r="K81" s="24">
        <v>150</v>
      </c>
      <c r="M81" s="151">
        <f t="shared" si="1"/>
        <v>35772300</v>
      </c>
    </row>
    <row r="82" spans="1:13" s="92" customFormat="1" ht="15.95" customHeight="1" thickBot="1">
      <c r="A82" s="145"/>
      <c r="B82" s="107"/>
      <c r="C82" s="179"/>
      <c r="D82" s="180"/>
      <c r="E82" s="180"/>
      <c r="F82" s="180"/>
      <c r="G82" s="181"/>
      <c r="H82" s="103"/>
      <c r="I82" s="104"/>
      <c r="J82" s="105"/>
      <c r="K82" s="106"/>
      <c r="M82" s="100"/>
    </row>
    <row r="83" spans="1:13" s="92" customFormat="1" ht="15.95" customHeight="1" thickBot="1">
      <c r="A83" s="182" t="s">
        <v>266</v>
      </c>
      <c r="B83" s="183"/>
      <c r="C83" s="183"/>
      <c r="D83" s="183"/>
      <c r="E83" s="183"/>
      <c r="F83" s="183"/>
      <c r="G83" s="183"/>
      <c r="H83" s="183"/>
      <c r="I83" s="184"/>
      <c r="J83" s="185">
        <f>SUM(M12:M81)</f>
        <v>106117968</v>
      </c>
      <c r="K83" s="186"/>
      <c r="M83" s="100"/>
    </row>
    <row r="84" spans="1:13" s="92" customFormat="1" ht="15.95" customHeight="1">
      <c r="A84" s="167"/>
      <c r="B84" s="167"/>
      <c r="C84" s="167"/>
      <c r="D84" s="167"/>
      <c r="E84" s="167"/>
      <c r="F84" s="167"/>
      <c r="G84" s="167"/>
      <c r="H84" s="167"/>
      <c r="I84" s="167"/>
      <c r="J84" s="168"/>
      <c r="K84" s="168"/>
      <c r="M84" s="100"/>
    </row>
    <row r="85" spans="1:13" s="92" customFormat="1" ht="15.95" customHeight="1">
      <c r="M85" s="100"/>
    </row>
    <row r="86" spans="1:13" s="92" customFormat="1" ht="15.95" customHeight="1">
      <c r="M86" s="100"/>
    </row>
    <row r="87" spans="1:13" s="92" customFormat="1" ht="15.95" customHeight="1">
      <c r="M87" s="100"/>
    </row>
    <row r="88" spans="1:13" s="92" customFormat="1" ht="15.95" customHeight="1">
      <c r="M88" s="100"/>
    </row>
    <row r="89" spans="1:13" s="92" customFormat="1" ht="15.95" customHeight="1">
      <c r="M89" s="100"/>
    </row>
    <row r="90" spans="1:13" s="92" customFormat="1" ht="15.95" customHeight="1">
      <c r="M90" s="100"/>
    </row>
    <row r="91" spans="1:13" s="92" customFormat="1" ht="15.95" customHeight="1">
      <c r="M91" s="100"/>
    </row>
    <row r="92" spans="1:13" s="92" customFormat="1" ht="15.95" customHeight="1">
      <c r="M92" s="100"/>
    </row>
    <row r="93" spans="1:13" s="92" customFormat="1" ht="15.95" customHeight="1">
      <c r="M93" s="100"/>
    </row>
    <row r="94" spans="1:13" s="92" customFormat="1" ht="15.95" customHeight="1">
      <c r="M94" s="100"/>
    </row>
    <row r="95" spans="1:13" s="92" customFormat="1" ht="15.95" customHeight="1">
      <c r="M95" s="100"/>
    </row>
    <row r="96" spans="1:13" s="92" customFormat="1" ht="15.95" customHeight="1">
      <c r="M96" s="100"/>
    </row>
    <row r="97" spans="13:13" s="92" customFormat="1" ht="15.95" customHeight="1">
      <c r="M97" s="100"/>
    </row>
    <row r="98" spans="13:13" s="92" customFormat="1" ht="15.95" customHeight="1">
      <c r="M98" s="100"/>
    </row>
    <row r="99" spans="13:13" s="92" customFormat="1" ht="15.95" customHeight="1">
      <c r="M99" s="100"/>
    </row>
    <row r="100" spans="13:13" s="92" customFormat="1" ht="15.95" customHeight="1">
      <c r="M100" s="100"/>
    </row>
    <row r="101" spans="13:13" s="92" customFormat="1" ht="15.95" customHeight="1">
      <c r="M101" s="100"/>
    </row>
    <row r="102" spans="13:13" s="92" customFormat="1" ht="15.95" customHeight="1">
      <c r="M102" s="100"/>
    </row>
    <row r="103" spans="13:13" s="92" customFormat="1" ht="15.95" customHeight="1">
      <c r="M103" s="100"/>
    </row>
    <row r="104" spans="13:13" s="92" customFormat="1" ht="15.95" customHeight="1">
      <c r="M104" s="100"/>
    </row>
    <row r="105" spans="13:13" s="92" customFormat="1" ht="15.95" customHeight="1">
      <c r="M105" s="100"/>
    </row>
    <row r="106" spans="13:13" s="92" customFormat="1" ht="15.95" customHeight="1">
      <c r="M106" s="100"/>
    </row>
    <row r="107" spans="13:13" s="92" customFormat="1" ht="15.95" customHeight="1">
      <c r="M107" s="100"/>
    </row>
    <row r="108" spans="13:13" s="92" customFormat="1" ht="15.95" customHeight="1">
      <c r="M108" s="100"/>
    </row>
    <row r="109" spans="13:13" s="92" customFormat="1" ht="15.95" customHeight="1">
      <c r="M109" s="100"/>
    </row>
    <row r="110" spans="13:13" s="92" customFormat="1" ht="15.95" customHeight="1">
      <c r="M110" s="100"/>
    </row>
    <row r="111" spans="13:13" s="92" customFormat="1" ht="15.95" customHeight="1">
      <c r="M111" s="100"/>
    </row>
    <row r="112" spans="13:13" s="92" customFormat="1" ht="15.95" customHeight="1">
      <c r="M112" s="100"/>
    </row>
    <row r="113" spans="12:1024" s="92" customFormat="1" ht="15.95" customHeight="1">
      <c r="M113" s="100"/>
    </row>
    <row r="114" spans="12:1024" s="92" customFormat="1" ht="15.95" customHeight="1">
      <c r="M114" s="100"/>
    </row>
    <row r="115" spans="12:1024" s="92" customFormat="1" ht="15.95" customHeight="1">
      <c r="M115" s="100"/>
    </row>
    <row r="116" spans="12:1024" ht="15.95" customHeight="1">
      <c r="M116" s="100"/>
    </row>
    <row r="117" spans="12:1024" ht="15.95" customHeight="1">
      <c r="M117" s="100"/>
    </row>
    <row r="118" spans="12:1024" ht="15.95" customHeight="1">
      <c r="M118" s="100"/>
    </row>
    <row r="119" spans="12:1024" ht="15.95" customHeight="1">
      <c r="M119" s="100"/>
    </row>
    <row r="120" spans="12:1024" ht="15.95" customHeight="1">
      <c r="M120" s="100"/>
    </row>
    <row r="121" spans="12:1024" ht="15.95" customHeight="1">
      <c r="L121"/>
      <c r="M121" s="108"/>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c r="MA121"/>
      <c r="MB121"/>
      <c r="MC121"/>
      <c r="MD121"/>
      <c r="ME121"/>
      <c r="MF121"/>
      <c r="MG121"/>
      <c r="MH121"/>
      <c r="MI121"/>
      <c r="MJ121"/>
      <c r="MK121"/>
      <c r="ML121"/>
      <c r="MM121"/>
      <c r="MN121"/>
      <c r="MO121"/>
      <c r="MP121"/>
      <c r="MQ121"/>
      <c r="MR121"/>
      <c r="MS121"/>
      <c r="MT121"/>
      <c r="MU121"/>
      <c r="MV121"/>
      <c r="MW121"/>
      <c r="MX121"/>
      <c r="MY121"/>
      <c r="MZ121"/>
      <c r="NA121"/>
      <c r="NB121"/>
      <c r="NC121"/>
      <c r="ND121"/>
      <c r="NE121"/>
      <c r="NF121"/>
      <c r="NG121"/>
      <c r="NH121"/>
      <c r="NI121"/>
      <c r="NJ121"/>
      <c r="NK121"/>
      <c r="NL121"/>
      <c r="NM121"/>
      <c r="NN121"/>
      <c r="NO121"/>
      <c r="NP121"/>
      <c r="NQ121"/>
      <c r="NR121"/>
      <c r="NS121"/>
      <c r="NT121"/>
      <c r="NU121"/>
      <c r="NV121"/>
      <c r="NW121"/>
      <c r="NX121"/>
      <c r="NY121"/>
      <c r="NZ121"/>
      <c r="OA121"/>
      <c r="OB121"/>
      <c r="OC121"/>
      <c r="OD121"/>
      <c r="OE121"/>
      <c r="OF121"/>
      <c r="OG121"/>
      <c r="OH121"/>
      <c r="OI121"/>
      <c r="OJ121"/>
      <c r="OK121"/>
      <c r="OL121"/>
      <c r="OM121"/>
      <c r="ON121"/>
      <c r="OO121"/>
      <c r="OP121"/>
      <c r="OQ121"/>
      <c r="OR121"/>
      <c r="OS121"/>
      <c r="OT121"/>
      <c r="OU121"/>
      <c r="OV121"/>
      <c r="OW121"/>
      <c r="OX121"/>
      <c r="OY121"/>
      <c r="OZ121"/>
      <c r="PA121"/>
      <c r="PB121"/>
      <c r="PC121"/>
      <c r="PD121"/>
      <c r="PE121"/>
      <c r="PF121"/>
      <c r="PG121"/>
      <c r="PH121"/>
      <c r="PI121"/>
      <c r="PJ121"/>
      <c r="PK121"/>
      <c r="PL121"/>
      <c r="PM121"/>
      <c r="PN121"/>
      <c r="PO121"/>
      <c r="PP121"/>
      <c r="PQ121"/>
      <c r="PR121"/>
      <c r="PS121"/>
      <c r="PT121"/>
      <c r="PU121"/>
      <c r="PV121"/>
      <c r="PW121"/>
      <c r="PX121"/>
      <c r="PY121"/>
      <c r="PZ121"/>
      <c r="QA121"/>
      <c r="QB121"/>
      <c r="QC121"/>
      <c r="QD121"/>
      <c r="QE121"/>
      <c r="QF121"/>
      <c r="QG121"/>
      <c r="QH121"/>
      <c r="QI121"/>
      <c r="QJ121"/>
      <c r="QK121"/>
      <c r="QL121"/>
      <c r="QM121"/>
      <c r="QN121"/>
      <c r="QO121"/>
      <c r="QP121"/>
      <c r="QQ121"/>
      <c r="QR121"/>
      <c r="QS121"/>
      <c r="QT121"/>
      <c r="QU121"/>
      <c r="QV121"/>
      <c r="QW121"/>
      <c r="QX121"/>
      <c r="QY121"/>
      <c r="QZ121"/>
      <c r="RA121"/>
      <c r="RB121"/>
      <c r="RC121"/>
      <c r="RD121"/>
      <c r="RE121"/>
      <c r="RF121"/>
      <c r="RG121"/>
      <c r="RH121"/>
      <c r="RI121"/>
      <c r="RJ121"/>
      <c r="RK121"/>
      <c r="RL121"/>
      <c r="RM121"/>
      <c r="RN121"/>
      <c r="RO121"/>
      <c r="RP121"/>
      <c r="RQ121"/>
      <c r="RR121"/>
      <c r="RS121"/>
      <c r="RT121"/>
      <c r="RU121"/>
      <c r="RV121"/>
      <c r="RW121"/>
      <c r="RX121"/>
      <c r="RY121"/>
      <c r="RZ121"/>
      <c r="SA121"/>
      <c r="SB121"/>
      <c r="SC121"/>
      <c r="SD121"/>
      <c r="SE121"/>
      <c r="SF121"/>
      <c r="SG121"/>
      <c r="SH121"/>
      <c r="SI121"/>
      <c r="SJ121"/>
      <c r="SK121"/>
      <c r="SL121"/>
      <c r="SM121"/>
      <c r="SN121"/>
      <c r="SO121"/>
      <c r="SP121"/>
      <c r="SQ121"/>
      <c r="SR121"/>
      <c r="SS121"/>
      <c r="ST121"/>
      <c r="SU121"/>
      <c r="SV121"/>
      <c r="SW121"/>
      <c r="SX121"/>
      <c r="SY121"/>
      <c r="SZ121"/>
      <c r="TA121"/>
      <c r="TB121"/>
      <c r="TC121"/>
      <c r="TD121"/>
      <c r="TE121"/>
      <c r="TF121"/>
      <c r="TG121"/>
      <c r="TH121"/>
      <c r="TI121"/>
      <c r="TJ121"/>
      <c r="TK121"/>
      <c r="TL121"/>
      <c r="TM121"/>
      <c r="TN121"/>
      <c r="TO121"/>
      <c r="TP121"/>
      <c r="TQ121"/>
      <c r="TR121"/>
      <c r="TS121"/>
      <c r="TT121"/>
      <c r="TU121"/>
      <c r="TV121"/>
      <c r="TW121"/>
      <c r="TX121"/>
      <c r="TY121"/>
      <c r="TZ121"/>
      <c r="UA121"/>
      <c r="UB121"/>
      <c r="UC121"/>
      <c r="UD121"/>
      <c r="UE121"/>
      <c r="UF121"/>
      <c r="UG121"/>
      <c r="UH121"/>
      <c r="UI121"/>
      <c r="UJ121"/>
      <c r="UK121"/>
      <c r="UL121"/>
      <c r="UM121"/>
      <c r="UN121"/>
      <c r="UO121"/>
      <c r="UP121"/>
      <c r="UQ121"/>
      <c r="UR121"/>
      <c r="US121"/>
      <c r="UT121"/>
      <c r="UU121"/>
      <c r="UV121"/>
      <c r="UW121"/>
      <c r="UX121"/>
      <c r="UY121"/>
      <c r="UZ121"/>
      <c r="VA121"/>
      <c r="VB121"/>
      <c r="VC121"/>
      <c r="VD121"/>
      <c r="VE121"/>
      <c r="VF121"/>
      <c r="VG121"/>
      <c r="VH121"/>
      <c r="VI121"/>
      <c r="VJ121"/>
      <c r="VK121"/>
      <c r="VL121"/>
      <c r="VM121"/>
      <c r="VN121"/>
      <c r="VO121"/>
      <c r="VP121"/>
      <c r="VQ121"/>
      <c r="VR121"/>
      <c r="VS121"/>
      <c r="VT121"/>
      <c r="VU121"/>
      <c r="VV121"/>
      <c r="VW121"/>
      <c r="VX121"/>
      <c r="VY121"/>
      <c r="VZ121"/>
      <c r="WA121"/>
      <c r="WB121"/>
      <c r="WC121"/>
      <c r="WD121"/>
      <c r="WE121"/>
      <c r="WF121"/>
      <c r="WG121"/>
      <c r="WH121"/>
      <c r="WI121"/>
      <c r="WJ121"/>
      <c r="WK121"/>
      <c r="WL121"/>
      <c r="WM121"/>
      <c r="WN121"/>
      <c r="WO121"/>
      <c r="WP121"/>
      <c r="WQ121"/>
      <c r="WR121"/>
      <c r="WS121"/>
      <c r="WT121"/>
      <c r="WU121"/>
      <c r="WV121"/>
      <c r="WW121"/>
      <c r="WX121"/>
      <c r="WY121"/>
      <c r="WZ121"/>
      <c r="XA121"/>
      <c r="XB121"/>
      <c r="XC121"/>
      <c r="XD121"/>
      <c r="XE121"/>
      <c r="XF121"/>
      <c r="XG121"/>
      <c r="XH121"/>
      <c r="XI121"/>
      <c r="XJ121"/>
      <c r="XK121"/>
      <c r="XL121"/>
      <c r="XM121"/>
      <c r="XN121"/>
      <c r="XO121"/>
      <c r="XP121"/>
      <c r="XQ121"/>
      <c r="XR121"/>
      <c r="XS121"/>
      <c r="XT121"/>
      <c r="XU121"/>
      <c r="XV121"/>
      <c r="XW121"/>
      <c r="XX121"/>
      <c r="XY121"/>
      <c r="XZ121"/>
      <c r="YA121"/>
      <c r="YB121"/>
      <c r="YC121"/>
      <c r="YD121"/>
      <c r="YE121"/>
      <c r="YF121"/>
      <c r="YG121"/>
      <c r="YH121"/>
      <c r="YI121"/>
      <c r="YJ121"/>
      <c r="YK121"/>
      <c r="YL121"/>
      <c r="YM121"/>
      <c r="YN121"/>
      <c r="YO121"/>
      <c r="YP121"/>
      <c r="YQ121"/>
      <c r="YR121"/>
      <c r="YS121"/>
      <c r="YT121"/>
      <c r="YU121"/>
      <c r="YV121"/>
      <c r="YW121"/>
      <c r="YX121"/>
      <c r="YY121"/>
      <c r="YZ121"/>
      <c r="ZA121"/>
      <c r="ZB121"/>
      <c r="ZC121"/>
      <c r="ZD121"/>
      <c r="ZE121"/>
      <c r="ZF121"/>
      <c r="ZG121"/>
      <c r="ZH121"/>
      <c r="ZI121"/>
      <c r="ZJ121"/>
      <c r="ZK121"/>
      <c r="ZL121"/>
      <c r="ZM121"/>
      <c r="ZN121"/>
      <c r="ZO121"/>
      <c r="ZP121"/>
      <c r="ZQ121"/>
      <c r="ZR121"/>
      <c r="ZS121"/>
      <c r="ZT121"/>
      <c r="ZU121"/>
      <c r="ZV121"/>
      <c r="ZW121"/>
      <c r="ZX121"/>
      <c r="ZY121"/>
      <c r="ZZ121"/>
      <c r="AAA121"/>
      <c r="AAB121"/>
      <c r="AAC121"/>
      <c r="AAD121"/>
      <c r="AAE121"/>
      <c r="AAF121"/>
      <c r="AAG121"/>
      <c r="AAH121"/>
      <c r="AAI121"/>
      <c r="AAJ121"/>
      <c r="AAK121"/>
      <c r="AAL121"/>
      <c r="AAM121"/>
      <c r="AAN121"/>
      <c r="AAO121"/>
      <c r="AAP121"/>
      <c r="AAQ121"/>
      <c r="AAR121"/>
      <c r="AAS121"/>
      <c r="AAT121"/>
      <c r="AAU121"/>
      <c r="AAV121"/>
      <c r="AAW121"/>
      <c r="AAX121"/>
      <c r="AAY121"/>
      <c r="AAZ121"/>
      <c r="ABA121"/>
      <c r="ABB121"/>
      <c r="ABC121"/>
      <c r="ABD121"/>
      <c r="ABE121"/>
      <c r="ABF121"/>
      <c r="ABG121"/>
      <c r="ABH121"/>
      <c r="ABI121"/>
      <c r="ABJ121"/>
      <c r="ABK121"/>
      <c r="ABL121"/>
      <c r="ABM121"/>
      <c r="ABN121"/>
      <c r="ABO121"/>
      <c r="ABP121"/>
      <c r="ABQ121"/>
      <c r="ABR121"/>
      <c r="ABS121"/>
      <c r="ABT121"/>
      <c r="ABU121"/>
      <c r="ABV121"/>
      <c r="ABW121"/>
      <c r="ABX121"/>
      <c r="ABY121"/>
      <c r="ABZ121"/>
      <c r="ACA121"/>
      <c r="ACB121"/>
      <c r="ACC121"/>
      <c r="ACD121"/>
      <c r="ACE121"/>
      <c r="ACF121"/>
      <c r="ACG121"/>
      <c r="ACH121"/>
      <c r="ACI121"/>
      <c r="ACJ121"/>
      <c r="ACK121"/>
      <c r="ACL121"/>
      <c r="ACM121"/>
      <c r="ACN121"/>
      <c r="ACO121"/>
      <c r="ACP121"/>
      <c r="ACQ121"/>
      <c r="ACR121"/>
      <c r="ACS121"/>
      <c r="ACT121"/>
      <c r="ACU121"/>
      <c r="ACV121"/>
      <c r="ACW121"/>
      <c r="ACX121"/>
      <c r="ACY121"/>
      <c r="ACZ121"/>
      <c r="ADA121"/>
      <c r="ADB121"/>
      <c r="ADC121"/>
      <c r="ADD121"/>
      <c r="ADE121"/>
      <c r="ADF121"/>
      <c r="ADG121"/>
      <c r="ADH121"/>
      <c r="ADI121"/>
      <c r="ADJ121"/>
      <c r="ADK121"/>
      <c r="ADL121"/>
      <c r="ADM121"/>
      <c r="ADN121"/>
      <c r="ADO121"/>
      <c r="ADP121"/>
      <c r="ADQ121"/>
      <c r="ADR121"/>
      <c r="ADS121"/>
      <c r="ADT121"/>
      <c r="ADU121"/>
      <c r="ADV121"/>
      <c r="ADW121"/>
      <c r="ADX121"/>
      <c r="ADY121"/>
      <c r="ADZ121"/>
      <c r="AEA121"/>
      <c r="AEB121"/>
      <c r="AEC121"/>
      <c r="AED121"/>
      <c r="AEE121"/>
      <c r="AEF121"/>
      <c r="AEG121"/>
      <c r="AEH121"/>
      <c r="AEI121"/>
      <c r="AEJ121"/>
      <c r="AEK121"/>
      <c r="AEL121"/>
      <c r="AEM121"/>
      <c r="AEN121"/>
      <c r="AEO121"/>
      <c r="AEP121"/>
      <c r="AEQ121"/>
      <c r="AER121"/>
      <c r="AES121"/>
      <c r="AET121"/>
      <c r="AEU121"/>
      <c r="AEV121"/>
      <c r="AEW121"/>
      <c r="AEX121"/>
      <c r="AEY121"/>
      <c r="AEZ121"/>
      <c r="AFA121"/>
      <c r="AFB121"/>
      <c r="AFC121"/>
      <c r="AFD121"/>
      <c r="AFE121"/>
      <c r="AFF121"/>
      <c r="AFG121"/>
      <c r="AFH121"/>
      <c r="AFI121"/>
      <c r="AFJ121"/>
      <c r="AFK121"/>
      <c r="AFL121"/>
      <c r="AFM121"/>
      <c r="AFN121"/>
      <c r="AFO121"/>
      <c r="AFP121"/>
      <c r="AFQ121"/>
      <c r="AFR121"/>
      <c r="AFS121"/>
      <c r="AFT121"/>
      <c r="AFU121"/>
      <c r="AFV121"/>
      <c r="AFW121"/>
      <c r="AFX121"/>
      <c r="AFY121"/>
      <c r="AFZ121"/>
      <c r="AGA121"/>
      <c r="AGB121"/>
      <c r="AGC121"/>
      <c r="AGD121"/>
      <c r="AGE121"/>
      <c r="AGF121"/>
      <c r="AGG121"/>
      <c r="AGH121"/>
      <c r="AGI121"/>
      <c r="AGJ121"/>
      <c r="AGK121"/>
      <c r="AGL121"/>
      <c r="AGM121"/>
      <c r="AGN121"/>
      <c r="AGO121"/>
      <c r="AGP121"/>
      <c r="AGQ121"/>
      <c r="AGR121"/>
      <c r="AGS121"/>
      <c r="AGT121"/>
      <c r="AGU121"/>
      <c r="AGV121"/>
      <c r="AGW121"/>
      <c r="AGX121"/>
      <c r="AGY121"/>
      <c r="AGZ121"/>
      <c r="AHA121"/>
      <c r="AHB121"/>
      <c r="AHC121"/>
      <c r="AHD121"/>
      <c r="AHE121"/>
      <c r="AHF121"/>
      <c r="AHG121"/>
      <c r="AHH121"/>
      <c r="AHI121"/>
      <c r="AHJ121"/>
      <c r="AHK121"/>
      <c r="AHL121"/>
      <c r="AHM121"/>
      <c r="AHN121"/>
      <c r="AHO121"/>
      <c r="AHP121"/>
      <c r="AHQ121"/>
      <c r="AHR121"/>
      <c r="AHS121"/>
      <c r="AHT121"/>
      <c r="AHU121"/>
      <c r="AHV121"/>
      <c r="AHW121"/>
      <c r="AHX121"/>
      <c r="AHY121"/>
      <c r="AHZ121"/>
      <c r="AIA121"/>
      <c r="AIB121"/>
      <c r="AIC121"/>
      <c r="AID121"/>
      <c r="AIE121"/>
      <c r="AIF121"/>
      <c r="AIG121"/>
      <c r="AIH121"/>
      <c r="AII121"/>
      <c r="AIJ121"/>
      <c r="AIK121"/>
      <c r="AIL121"/>
      <c r="AIM121"/>
      <c r="AIN121"/>
      <c r="AIO121"/>
      <c r="AIP121"/>
      <c r="AIQ121"/>
      <c r="AIR121"/>
      <c r="AIS121"/>
      <c r="AIT121"/>
      <c r="AIU121"/>
      <c r="AIV121"/>
      <c r="AIW121"/>
      <c r="AIX121"/>
      <c r="AIY121"/>
      <c r="AIZ121"/>
      <c r="AJA121"/>
      <c r="AJB121"/>
      <c r="AJC121"/>
      <c r="AJD121"/>
      <c r="AJE121"/>
      <c r="AJF121"/>
      <c r="AJG121"/>
      <c r="AJH121"/>
      <c r="AJI121"/>
      <c r="AJJ121"/>
      <c r="AJK121"/>
      <c r="AJL121"/>
      <c r="AJM121"/>
      <c r="AJN121"/>
      <c r="AJO121"/>
      <c r="AJP121"/>
      <c r="AJQ121"/>
      <c r="AJR121"/>
      <c r="AJS121"/>
      <c r="AJT121"/>
      <c r="AJU121"/>
      <c r="AJV121"/>
      <c r="AJW121"/>
      <c r="AJX121"/>
      <c r="AJY121"/>
      <c r="AJZ121"/>
      <c r="AKA121"/>
      <c r="AKB121"/>
      <c r="AKC121"/>
      <c r="AKD121"/>
      <c r="AKE121"/>
      <c r="AKF121"/>
      <c r="AKG121"/>
      <c r="AKH121"/>
      <c r="AKI121"/>
      <c r="AKJ121"/>
      <c r="AKK121"/>
      <c r="AKL121"/>
      <c r="AKM121"/>
      <c r="AKN121"/>
      <c r="AKO121"/>
      <c r="AKP121"/>
      <c r="AKQ121"/>
      <c r="AKR121"/>
      <c r="AKS121"/>
      <c r="AKT121"/>
      <c r="AKU121"/>
      <c r="AKV121"/>
      <c r="AKW121"/>
      <c r="AKX121"/>
      <c r="AKY121"/>
      <c r="AKZ121"/>
      <c r="ALA121"/>
      <c r="ALB121"/>
      <c r="ALC121"/>
      <c r="ALD121"/>
      <c r="ALE121"/>
      <c r="ALF121"/>
      <c r="ALG121"/>
      <c r="ALH121"/>
      <c r="ALI121"/>
      <c r="ALJ121"/>
      <c r="ALK121"/>
      <c r="ALL121"/>
      <c r="ALM121"/>
      <c r="ALN121"/>
      <c r="ALO121"/>
      <c r="ALP121"/>
      <c r="ALQ121"/>
      <c r="ALR121"/>
      <c r="ALS121"/>
      <c r="ALT121"/>
      <c r="ALU121"/>
      <c r="ALV121"/>
      <c r="ALW121"/>
      <c r="ALX121"/>
      <c r="ALY121"/>
      <c r="ALZ121"/>
      <c r="AMA121"/>
      <c r="AMB121"/>
      <c r="AMC121"/>
      <c r="AMD121"/>
      <c r="AME121"/>
      <c r="AMF121"/>
      <c r="AMG121"/>
      <c r="AMH121"/>
      <c r="AMI121"/>
      <c r="AMJ121"/>
    </row>
    <row r="122" spans="12:1024" ht="15.95" customHeight="1">
      <c r="L122"/>
      <c r="M122" s="108"/>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c r="MA122"/>
      <c r="MB122"/>
      <c r="MC122"/>
      <c r="MD122"/>
      <c r="ME122"/>
      <c r="MF122"/>
      <c r="MG122"/>
      <c r="MH122"/>
      <c r="MI122"/>
      <c r="MJ122"/>
      <c r="MK122"/>
      <c r="ML122"/>
      <c r="MM122"/>
      <c r="MN122"/>
      <c r="MO122"/>
      <c r="MP122"/>
      <c r="MQ122"/>
      <c r="MR122"/>
      <c r="MS122"/>
      <c r="MT122"/>
      <c r="MU122"/>
      <c r="MV122"/>
      <c r="MW122"/>
      <c r="MX122"/>
      <c r="MY122"/>
      <c r="MZ122"/>
      <c r="NA122"/>
      <c r="NB122"/>
      <c r="NC122"/>
      <c r="ND122"/>
      <c r="NE122"/>
      <c r="NF122"/>
      <c r="NG122"/>
      <c r="NH122"/>
      <c r="NI122"/>
      <c r="NJ122"/>
      <c r="NK122"/>
      <c r="NL122"/>
      <c r="NM122"/>
      <c r="NN122"/>
      <c r="NO122"/>
      <c r="NP122"/>
      <c r="NQ122"/>
      <c r="NR122"/>
      <c r="NS122"/>
      <c r="NT122"/>
      <c r="NU122"/>
      <c r="NV122"/>
      <c r="NW122"/>
      <c r="NX122"/>
      <c r="NY122"/>
      <c r="NZ122"/>
      <c r="OA122"/>
      <c r="OB122"/>
      <c r="OC122"/>
      <c r="OD122"/>
      <c r="OE122"/>
      <c r="OF122"/>
      <c r="OG122"/>
      <c r="OH122"/>
      <c r="OI122"/>
      <c r="OJ122"/>
      <c r="OK122"/>
      <c r="OL122"/>
      <c r="OM122"/>
      <c r="ON122"/>
      <c r="OO122"/>
      <c r="OP122"/>
      <c r="OQ122"/>
      <c r="OR122"/>
      <c r="OS122"/>
      <c r="OT122"/>
      <c r="OU122"/>
      <c r="OV122"/>
      <c r="OW122"/>
      <c r="OX122"/>
      <c r="OY122"/>
      <c r="OZ122"/>
      <c r="PA122"/>
      <c r="PB122"/>
      <c r="PC122"/>
      <c r="PD122"/>
      <c r="PE122"/>
      <c r="PF122"/>
      <c r="PG122"/>
      <c r="PH122"/>
      <c r="PI122"/>
      <c r="PJ122"/>
      <c r="PK122"/>
      <c r="PL122"/>
      <c r="PM122"/>
      <c r="PN122"/>
      <c r="PO122"/>
      <c r="PP122"/>
      <c r="PQ122"/>
      <c r="PR122"/>
      <c r="PS122"/>
      <c r="PT122"/>
      <c r="PU122"/>
      <c r="PV122"/>
      <c r="PW122"/>
      <c r="PX122"/>
      <c r="PY122"/>
      <c r="PZ122"/>
      <c r="QA122"/>
      <c r="QB122"/>
      <c r="QC122"/>
      <c r="QD122"/>
      <c r="QE122"/>
      <c r="QF122"/>
      <c r="QG122"/>
      <c r="QH122"/>
      <c r="QI122"/>
      <c r="QJ122"/>
      <c r="QK122"/>
      <c r="QL122"/>
      <c r="QM122"/>
      <c r="QN122"/>
      <c r="QO122"/>
      <c r="QP122"/>
      <c r="QQ122"/>
      <c r="QR122"/>
      <c r="QS122"/>
      <c r="QT122"/>
      <c r="QU122"/>
      <c r="QV122"/>
      <c r="QW122"/>
      <c r="QX122"/>
      <c r="QY122"/>
      <c r="QZ122"/>
      <c r="RA122"/>
      <c r="RB122"/>
      <c r="RC122"/>
      <c r="RD122"/>
      <c r="RE122"/>
      <c r="RF122"/>
      <c r="RG122"/>
      <c r="RH122"/>
      <c r="RI122"/>
      <c r="RJ122"/>
      <c r="RK122"/>
      <c r="RL122"/>
      <c r="RM122"/>
      <c r="RN122"/>
      <c r="RO122"/>
      <c r="RP122"/>
      <c r="RQ122"/>
      <c r="RR122"/>
      <c r="RS122"/>
      <c r="RT122"/>
      <c r="RU122"/>
      <c r="RV122"/>
      <c r="RW122"/>
      <c r="RX122"/>
      <c r="RY122"/>
      <c r="RZ122"/>
      <c r="SA122"/>
      <c r="SB122"/>
      <c r="SC122"/>
      <c r="SD122"/>
      <c r="SE122"/>
      <c r="SF122"/>
      <c r="SG122"/>
      <c r="SH122"/>
      <c r="SI122"/>
      <c r="SJ122"/>
      <c r="SK122"/>
      <c r="SL122"/>
      <c r="SM122"/>
      <c r="SN122"/>
      <c r="SO122"/>
      <c r="SP122"/>
      <c r="SQ122"/>
      <c r="SR122"/>
      <c r="SS122"/>
      <c r="ST122"/>
      <c r="SU122"/>
      <c r="SV122"/>
      <c r="SW122"/>
      <c r="SX122"/>
      <c r="SY122"/>
      <c r="SZ122"/>
      <c r="TA122"/>
      <c r="TB122"/>
      <c r="TC122"/>
      <c r="TD122"/>
      <c r="TE122"/>
      <c r="TF122"/>
      <c r="TG122"/>
      <c r="TH122"/>
      <c r="TI122"/>
      <c r="TJ122"/>
      <c r="TK122"/>
      <c r="TL122"/>
      <c r="TM122"/>
      <c r="TN122"/>
      <c r="TO122"/>
      <c r="TP122"/>
      <c r="TQ122"/>
      <c r="TR122"/>
      <c r="TS122"/>
      <c r="TT122"/>
      <c r="TU122"/>
      <c r="TV122"/>
      <c r="TW122"/>
      <c r="TX122"/>
      <c r="TY122"/>
      <c r="TZ122"/>
      <c r="UA122"/>
      <c r="UB122"/>
      <c r="UC122"/>
      <c r="UD122"/>
      <c r="UE122"/>
      <c r="UF122"/>
      <c r="UG122"/>
      <c r="UH122"/>
      <c r="UI122"/>
      <c r="UJ122"/>
      <c r="UK122"/>
      <c r="UL122"/>
      <c r="UM122"/>
      <c r="UN122"/>
      <c r="UO122"/>
      <c r="UP122"/>
      <c r="UQ122"/>
      <c r="UR122"/>
      <c r="US122"/>
      <c r="UT122"/>
      <c r="UU122"/>
      <c r="UV122"/>
      <c r="UW122"/>
      <c r="UX122"/>
      <c r="UY122"/>
      <c r="UZ122"/>
      <c r="VA122"/>
      <c r="VB122"/>
      <c r="VC122"/>
      <c r="VD122"/>
      <c r="VE122"/>
      <c r="VF122"/>
      <c r="VG122"/>
      <c r="VH122"/>
      <c r="VI122"/>
      <c r="VJ122"/>
      <c r="VK122"/>
      <c r="VL122"/>
      <c r="VM122"/>
      <c r="VN122"/>
      <c r="VO122"/>
      <c r="VP122"/>
      <c r="VQ122"/>
      <c r="VR122"/>
      <c r="VS122"/>
      <c r="VT122"/>
      <c r="VU122"/>
      <c r="VV122"/>
      <c r="VW122"/>
      <c r="VX122"/>
      <c r="VY122"/>
      <c r="VZ122"/>
      <c r="WA122"/>
      <c r="WB122"/>
      <c r="WC122"/>
      <c r="WD122"/>
      <c r="WE122"/>
      <c r="WF122"/>
      <c r="WG122"/>
      <c r="WH122"/>
      <c r="WI122"/>
      <c r="WJ122"/>
      <c r="WK122"/>
      <c r="WL122"/>
      <c r="WM122"/>
      <c r="WN122"/>
      <c r="WO122"/>
      <c r="WP122"/>
      <c r="WQ122"/>
      <c r="WR122"/>
      <c r="WS122"/>
      <c r="WT122"/>
      <c r="WU122"/>
      <c r="WV122"/>
      <c r="WW122"/>
      <c r="WX122"/>
      <c r="WY122"/>
      <c r="WZ122"/>
      <c r="XA122"/>
      <c r="XB122"/>
      <c r="XC122"/>
      <c r="XD122"/>
      <c r="XE122"/>
      <c r="XF122"/>
      <c r="XG122"/>
      <c r="XH122"/>
      <c r="XI122"/>
      <c r="XJ122"/>
      <c r="XK122"/>
      <c r="XL122"/>
      <c r="XM122"/>
      <c r="XN122"/>
      <c r="XO122"/>
      <c r="XP122"/>
      <c r="XQ122"/>
      <c r="XR122"/>
      <c r="XS122"/>
      <c r="XT122"/>
      <c r="XU122"/>
      <c r="XV122"/>
      <c r="XW122"/>
      <c r="XX122"/>
      <c r="XY122"/>
      <c r="XZ122"/>
      <c r="YA122"/>
      <c r="YB122"/>
      <c r="YC122"/>
      <c r="YD122"/>
      <c r="YE122"/>
      <c r="YF122"/>
      <c r="YG122"/>
      <c r="YH122"/>
      <c r="YI122"/>
      <c r="YJ122"/>
      <c r="YK122"/>
      <c r="YL122"/>
      <c r="YM122"/>
      <c r="YN122"/>
      <c r="YO122"/>
      <c r="YP122"/>
      <c r="YQ122"/>
      <c r="YR122"/>
      <c r="YS122"/>
      <c r="YT122"/>
      <c r="YU122"/>
      <c r="YV122"/>
      <c r="YW122"/>
      <c r="YX122"/>
      <c r="YY122"/>
      <c r="YZ122"/>
      <c r="ZA122"/>
      <c r="ZB122"/>
      <c r="ZC122"/>
      <c r="ZD122"/>
      <c r="ZE122"/>
      <c r="ZF122"/>
      <c r="ZG122"/>
      <c r="ZH122"/>
      <c r="ZI122"/>
      <c r="ZJ122"/>
      <c r="ZK122"/>
      <c r="ZL122"/>
      <c r="ZM122"/>
      <c r="ZN122"/>
      <c r="ZO122"/>
      <c r="ZP122"/>
      <c r="ZQ122"/>
      <c r="ZR122"/>
      <c r="ZS122"/>
      <c r="ZT122"/>
      <c r="ZU122"/>
      <c r="ZV122"/>
      <c r="ZW122"/>
      <c r="ZX122"/>
      <c r="ZY122"/>
      <c r="ZZ122"/>
      <c r="AAA122"/>
      <c r="AAB122"/>
      <c r="AAC122"/>
      <c r="AAD122"/>
      <c r="AAE122"/>
      <c r="AAF122"/>
      <c r="AAG122"/>
      <c r="AAH122"/>
      <c r="AAI122"/>
      <c r="AAJ122"/>
      <c r="AAK122"/>
      <c r="AAL122"/>
      <c r="AAM122"/>
      <c r="AAN122"/>
      <c r="AAO122"/>
      <c r="AAP122"/>
      <c r="AAQ122"/>
      <c r="AAR122"/>
      <c r="AAS122"/>
      <c r="AAT122"/>
      <c r="AAU122"/>
      <c r="AAV122"/>
      <c r="AAW122"/>
      <c r="AAX122"/>
      <c r="AAY122"/>
      <c r="AAZ122"/>
      <c r="ABA122"/>
      <c r="ABB122"/>
      <c r="ABC122"/>
      <c r="ABD122"/>
      <c r="ABE122"/>
      <c r="ABF122"/>
      <c r="ABG122"/>
      <c r="ABH122"/>
      <c r="ABI122"/>
      <c r="ABJ122"/>
      <c r="ABK122"/>
      <c r="ABL122"/>
      <c r="ABM122"/>
      <c r="ABN122"/>
      <c r="ABO122"/>
      <c r="ABP122"/>
      <c r="ABQ122"/>
      <c r="ABR122"/>
      <c r="ABS122"/>
      <c r="ABT122"/>
      <c r="ABU122"/>
      <c r="ABV122"/>
      <c r="ABW122"/>
      <c r="ABX122"/>
      <c r="ABY122"/>
      <c r="ABZ122"/>
      <c r="ACA122"/>
      <c r="ACB122"/>
      <c r="ACC122"/>
      <c r="ACD122"/>
      <c r="ACE122"/>
      <c r="ACF122"/>
      <c r="ACG122"/>
      <c r="ACH122"/>
      <c r="ACI122"/>
      <c r="ACJ122"/>
      <c r="ACK122"/>
      <c r="ACL122"/>
      <c r="ACM122"/>
      <c r="ACN122"/>
      <c r="ACO122"/>
      <c r="ACP122"/>
      <c r="ACQ122"/>
      <c r="ACR122"/>
      <c r="ACS122"/>
      <c r="ACT122"/>
      <c r="ACU122"/>
      <c r="ACV122"/>
      <c r="ACW122"/>
      <c r="ACX122"/>
      <c r="ACY122"/>
      <c r="ACZ122"/>
      <c r="ADA122"/>
      <c r="ADB122"/>
      <c r="ADC122"/>
      <c r="ADD122"/>
      <c r="ADE122"/>
      <c r="ADF122"/>
      <c r="ADG122"/>
      <c r="ADH122"/>
      <c r="ADI122"/>
      <c r="ADJ122"/>
      <c r="ADK122"/>
      <c r="ADL122"/>
      <c r="ADM122"/>
      <c r="ADN122"/>
      <c r="ADO122"/>
      <c r="ADP122"/>
      <c r="ADQ122"/>
      <c r="ADR122"/>
      <c r="ADS122"/>
      <c r="ADT122"/>
      <c r="ADU122"/>
      <c r="ADV122"/>
      <c r="ADW122"/>
      <c r="ADX122"/>
      <c r="ADY122"/>
      <c r="ADZ122"/>
      <c r="AEA122"/>
      <c r="AEB122"/>
      <c r="AEC122"/>
      <c r="AED122"/>
      <c r="AEE122"/>
      <c r="AEF122"/>
      <c r="AEG122"/>
      <c r="AEH122"/>
      <c r="AEI122"/>
      <c r="AEJ122"/>
      <c r="AEK122"/>
      <c r="AEL122"/>
      <c r="AEM122"/>
      <c r="AEN122"/>
      <c r="AEO122"/>
      <c r="AEP122"/>
      <c r="AEQ122"/>
      <c r="AER122"/>
      <c r="AES122"/>
      <c r="AET122"/>
      <c r="AEU122"/>
      <c r="AEV122"/>
      <c r="AEW122"/>
      <c r="AEX122"/>
      <c r="AEY122"/>
      <c r="AEZ122"/>
      <c r="AFA122"/>
      <c r="AFB122"/>
      <c r="AFC122"/>
      <c r="AFD122"/>
      <c r="AFE122"/>
      <c r="AFF122"/>
      <c r="AFG122"/>
      <c r="AFH122"/>
      <c r="AFI122"/>
      <c r="AFJ122"/>
      <c r="AFK122"/>
      <c r="AFL122"/>
      <c r="AFM122"/>
      <c r="AFN122"/>
      <c r="AFO122"/>
      <c r="AFP122"/>
      <c r="AFQ122"/>
      <c r="AFR122"/>
      <c r="AFS122"/>
      <c r="AFT122"/>
      <c r="AFU122"/>
      <c r="AFV122"/>
      <c r="AFW122"/>
      <c r="AFX122"/>
      <c r="AFY122"/>
      <c r="AFZ122"/>
      <c r="AGA122"/>
      <c r="AGB122"/>
      <c r="AGC122"/>
      <c r="AGD122"/>
      <c r="AGE122"/>
      <c r="AGF122"/>
      <c r="AGG122"/>
      <c r="AGH122"/>
      <c r="AGI122"/>
      <c r="AGJ122"/>
      <c r="AGK122"/>
      <c r="AGL122"/>
      <c r="AGM122"/>
      <c r="AGN122"/>
      <c r="AGO122"/>
      <c r="AGP122"/>
      <c r="AGQ122"/>
      <c r="AGR122"/>
      <c r="AGS122"/>
      <c r="AGT122"/>
      <c r="AGU122"/>
      <c r="AGV122"/>
      <c r="AGW122"/>
      <c r="AGX122"/>
      <c r="AGY122"/>
      <c r="AGZ122"/>
      <c r="AHA122"/>
      <c r="AHB122"/>
      <c r="AHC122"/>
      <c r="AHD122"/>
      <c r="AHE122"/>
      <c r="AHF122"/>
      <c r="AHG122"/>
      <c r="AHH122"/>
      <c r="AHI122"/>
      <c r="AHJ122"/>
      <c r="AHK122"/>
      <c r="AHL122"/>
      <c r="AHM122"/>
      <c r="AHN122"/>
      <c r="AHO122"/>
      <c r="AHP122"/>
      <c r="AHQ122"/>
      <c r="AHR122"/>
      <c r="AHS122"/>
      <c r="AHT122"/>
      <c r="AHU122"/>
      <c r="AHV122"/>
      <c r="AHW122"/>
      <c r="AHX122"/>
      <c r="AHY122"/>
      <c r="AHZ122"/>
      <c r="AIA122"/>
      <c r="AIB122"/>
      <c r="AIC122"/>
      <c r="AID122"/>
      <c r="AIE122"/>
      <c r="AIF122"/>
      <c r="AIG122"/>
      <c r="AIH122"/>
      <c r="AII122"/>
      <c r="AIJ122"/>
      <c r="AIK122"/>
      <c r="AIL122"/>
      <c r="AIM122"/>
      <c r="AIN122"/>
      <c r="AIO122"/>
      <c r="AIP122"/>
      <c r="AIQ122"/>
      <c r="AIR122"/>
      <c r="AIS122"/>
      <c r="AIT122"/>
      <c r="AIU122"/>
      <c r="AIV122"/>
      <c r="AIW122"/>
      <c r="AIX122"/>
      <c r="AIY122"/>
      <c r="AIZ122"/>
      <c r="AJA122"/>
      <c r="AJB122"/>
      <c r="AJC122"/>
      <c r="AJD122"/>
      <c r="AJE122"/>
      <c r="AJF122"/>
      <c r="AJG122"/>
      <c r="AJH122"/>
      <c r="AJI122"/>
      <c r="AJJ122"/>
      <c r="AJK122"/>
      <c r="AJL122"/>
      <c r="AJM122"/>
      <c r="AJN122"/>
      <c r="AJO122"/>
      <c r="AJP122"/>
      <c r="AJQ122"/>
      <c r="AJR122"/>
      <c r="AJS122"/>
      <c r="AJT122"/>
      <c r="AJU122"/>
      <c r="AJV122"/>
      <c r="AJW122"/>
      <c r="AJX122"/>
      <c r="AJY122"/>
      <c r="AJZ122"/>
      <c r="AKA122"/>
      <c r="AKB122"/>
      <c r="AKC122"/>
      <c r="AKD122"/>
      <c r="AKE122"/>
      <c r="AKF122"/>
      <c r="AKG122"/>
      <c r="AKH122"/>
      <c r="AKI122"/>
      <c r="AKJ122"/>
      <c r="AKK122"/>
      <c r="AKL122"/>
      <c r="AKM122"/>
      <c r="AKN122"/>
      <c r="AKO122"/>
      <c r="AKP122"/>
      <c r="AKQ122"/>
      <c r="AKR122"/>
      <c r="AKS122"/>
      <c r="AKT122"/>
      <c r="AKU122"/>
      <c r="AKV122"/>
      <c r="AKW122"/>
      <c r="AKX122"/>
      <c r="AKY122"/>
      <c r="AKZ122"/>
      <c r="ALA122"/>
      <c r="ALB122"/>
      <c r="ALC122"/>
      <c r="ALD122"/>
      <c r="ALE122"/>
      <c r="ALF122"/>
      <c r="ALG122"/>
      <c r="ALH122"/>
      <c r="ALI122"/>
      <c r="ALJ122"/>
      <c r="ALK122"/>
      <c r="ALL122"/>
      <c r="ALM122"/>
      <c r="ALN122"/>
      <c r="ALO122"/>
      <c r="ALP122"/>
      <c r="ALQ122"/>
      <c r="ALR122"/>
      <c r="ALS122"/>
      <c r="ALT122"/>
      <c r="ALU122"/>
      <c r="ALV122"/>
      <c r="ALW122"/>
      <c r="ALX122"/>
      <c r="ALY122"/>
      <c r="ALZ122"/>
      <c r="AMA122"/>
      <c r="AMB122"/>
      <c r="AMC122"/>
      <c r="AMD122"/>
      <c r="AME122"/>
      <c r="AMF122"/>
      <c r="AMG122"/>
      <c r="AMH122"/>
      <c r="AMI122"/>
      <c r="AMJ122"/>
    </row>
    <row r="123" spans="12:1024" ht="15.95" customHeight="1">
      <c r="L123"/>
      <c r="M123" s="108"/>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row>
    <row r="124" spans="12:1024" ht="15.95" customHeight="1">
      <c r="L124"/>
      <c r="M124" s="108"/>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c r="MA124"/>
      <c r="MB124"/>
      <c r="MC124"/>
      <c r="MD124"/>
      <c r="ME124"/>
      <c r="MF124"/>
      <c r="MG124"/>
      <c r="MH124"/>
      <c r="MI124"/>
      <c r="MJ124"/>
      <c r="MK124"/>
      <c r="ML124"/>
      <c r="MM124"/>
      <c r="MN124"/>
      <c r="MO124"/>
      <c r="MP124"/>
      <c r="MQ124"/>
      <c r="MR124"/>
      <c r="MS124"/>
      <c r="MT124"/>
      <c r="MU124"/>
      <c r="MV124"/>
      <c r="MW124"/>
      <c r="MX124"/>
      <c r="MY124"/>
      <c r="MZ124"/>
      <c r="NA124"/>
      <c r="NB124"/>
      <c r="NC124"/>
      <c r="ND124"/>
      <c r="NE124"/>
      <c r="NF124"/>
      <c r="NG124"/>
      <c r="NH124"/>
      <c r="NI124"/>
      <c r="NJ124"/>
      <c r="NK124"/>
      <c r="NL124"/>
      <c r="NM124"/>
      <c r="NN124"/>
      <c r="NO124"/>
      <c r="NP124"/>
      <c r="NQ124"/>
      <c r="NR124"/>
      <c r="NS124"/>
      <c r="NT124"/>
      <c r="NU124"/>
      <c r="NV124"/>
      <c r="NW124"/>
      <c r="NX124"/>
      <c r="NY124"/>
      <c r="NZ124"/>
      <c r="OA124"/>
      <c r="OB124"/>
      <c r="OC124"/>
      <c r="OD124"/>
      <c r="OE124"/>
      <c r="OF124"/>
      <c r="OG124"/>
      <c r="OH124"/>
      <c r="OI124"/>
      <c r="OJ124"/>
      <c r="OK124"/>
      <c r="OL124"/>
      <c r="OM124"/>
      <c r="ON124"/>
      <c r="OO124"/>
      <c r="OP124"/>
      <c r="OQ124"/>
      <c r="OR124"/>
      <c r="OS124"/>
      <c r="OT124"/>
      <c r="OU124"/>
      <c r="OV124"/>
      <c r="OW124"/>
      <c r="OX124"/>
      <c r="OY124"/>
      <c r="OZ124"/>
      <c r="PA124"/>
      <c r="PB124"/>
      <c r="PC124"/>
      <c r="PD124"/>
      <c r="PE124"/>
      <c r="PF124"/>
      <c r="PG124"/>
      <c r="PH124"/>
      <c r="PI124"/>
      <c r="PJ124"/>
      <c r="PK124"/>
      <c r="PL124"/>
      <c r="PM124"/>
      <c r="PN124"/>
      <c r="PO124"/>
      <c r="PP124"/>
      <c r="PQ124"/>
      <c r="PR124"/>
      <c r="PS124"/>
      <c r="PT124"/>
      <c r="PU124"/>
      <c r="PV124"/>
      <c r="PW124"/>
      <c r="PX124"/>
      <c r="PY124"/>
      <c r="PZ124"/>
      <c r="QA124"/>
      <c r="QB124"/>
      <c r="QC124"/>
      <c r="QD124"/>
      <c r="QE124"/>
      <c r="QF124"/>
      <c r="QG124"/>
      <c r="QH124"/>
      <c r="QI124"/>
      <c r="QJ124"/>
      <c r="QK124"/>
      <c r="QL124"/>
      <c r="QM124"/>
      <c r="QN124"/>
      <c r="QO124"/>
      <c r="QP124"/>
      <c r="QQ124"/>
      <c r="QR124"/>
      <c r="QS124"/>
      <c r="QT124"/>
      <c r="QU124"/>
      <c r="QV124"/>
      <c r="QW124"/>
      <c r="QX124"/>
      <c r="QY124"/>
      <c r="QZ124"/>
      <c r="RA124"/>
      <c r="RB124"/>
      <c r="RC124"/>
      <c r="RD124"/>
      <c r="RE124"/>
      <c r="RF124"/>
      <c r="RG124"/>
      <c r="RH124"/>
      <c r="RI124"/>
      <c r="RJ124"/>
      <c r="RK124"/>
      <c r="RL124"/>
      <c r="RM124"/>
      <c r="RN124"/>
      <c r="RO124"/>
      <c r="RP124"/>
      <c r="RQ124"/>
      <c r="RR124"/>
      <c r="RS124"/>
      <c r="RT124"/>
      <c r="RU124"/>
      <c r="RV124"/>
      <c r="RW124"/>
      <c r="RX124"/>
      <c r="RY124"/>
      <c r="RZ124"/>
      <c r="SA124"/>
      <c r="SB124"/>
      <c r="SC124"/>
      <c r="SD124"/>
      <c r="SE124"/>
      <c r="SF124"/>
      <c r="SG124"/>
      <c r="SH124"/>
      <c r="SI124"/>
      <c r="SJ124"/>
      <c r="SK124"/>
      <c r="SL124"/>
      <c r="SM124"/>
      <c r="SN124"/>
      <c r="SO124"/>
      <c r="SP124"/>
      <c r="SQ124"/>
      <c r="SR124"/>
      <c r="SS124"/>
      <c r="ST124"/>
      <c r="SU124"/>
      <c r="SV124"/>
      <c r="SW124"/>
      <c r="SX124"/>
      <c r="SY124"/>
      <c r="SZ124"/>
      <c r="TA124"/>
      <c r="TB124"/>
      <c r="TC124"/>
      <c r="TD124"/>
      <c r="TE124"/>
      <c r="TF124"/>
      <c r="TG124"/>
      <c r="TH124"/>
      <c r="TI124"/>
      <c r="TJ124"/>
      <c r="TK124"/>
      <c r="TL124"/>
      <c r="TM124"/>
      <c r="TN124"/>
      <c r="TO124"/>
      <c r="TP124"/>
      <c r="TQ124"/>
      <c r="TR124"/>
      <c r="TS124"/>
      <c r="TT124"/>
      <c r="TU124"/>
      <c r="TV124"/>
      <c r="TW124"/>
      <c r="TX124"/>
      <c r="TY124"/>
      <c r="TZ124"/>
      <c r="UA124"/>
      <c r="UB124"/>
      <c r="UC124"/>
      <c r="UD124"/>
      <c r="UE124"/>
      <c r="UF124"/>
      <c r="UG124"/>
      <c r="UH124"/>
      <c r="UI124"/>
      <c r="UJ124"/>
      <c r="UK124"/>
      <c r="UL124"/>
      <c r="UM124"/>
      <c r="UN124"/>
      <c r="UO124"/>
      <c r="UP124"/>
      <c r="UQ124"/>
      <c r="UR124"/>
      <c r="US124"/>
      <c r="UT124"/>
      <c r="UU124"/>
      <c r="UV124"/>
      <c r="UW124"/>
      <c r="UX124"/>
      <c r="UY124"/>
      <c r="UZ124"/>
      <c r="VA124"/>
      <c r="VB124"/>
      <c r="VC124"/>
      <c r="VD124"/>
      <c r="VE124"/>
      <c r="VF124"/>
      <c r="VG124"/>
      <c r="VH124"/>
      <c r="VI124"/>
      <c r="VJ124"/>
      <c r="VK124"/>
      <c r="VL124"/>
      <c r="VM124"/>
      <c r="VN124"/>
      <c r="VO124"/>
      <c r="VP124"/>
      <c r="VQ124"/>
      <c r="VR124"/>
      <c r="VS124"/>
      <c r="VT124"/>
      <c r="VU124"/>
      <c r="VV124"/>
      <c r="VW124"/>
      <c r="VX124"/>
      <c r="VY124"/>
      <c r="VZ124"/>
      <c r="WA124"/>
      <c r="WB124"/>
      <c r="WC124"/>
      <c r="WD124"/>
      <c r="WE124"/>
      <c r="WF124"/>
      <c r="WG124"/>
      <c r="WH124"/>
      <c r="WI124"/>
      <c r="WJ124"/>
      <c r="WK124"/>
      <c r="WL124"/>
      <c r="WM124"/>
      <c r="WN124"/>
      <c r="WO124"/>
      <c r="WP124"/>
      <c r="WQ124"/>
      <c r="WR124"/>
      <c r="WS124"/>
      <c r="WT124"/>
      <c r="WU124"/>
      <c r="WV124"/>
      <c r="WW124"/>
      <c r="WX124"/>
      <c r="WY124"/>
      <c r="WZ124"/>
      <c r="XA124"/>
      <c r="XB124"/>
      <c r="XC124"/>
      <c r="XD124"/>
      <c r="XE124"/>
      <c r="XF124"/>
      <c r="XG124"/>
      <c r="XH124"/>
      <c r="XI124"/>
      <c r="XJ124"/>
      <c r="XK124"/>
      <c r="XL124"/>
      <c r="XM124"/>
      <c r="XN124"/>
      <c r="XO124"/>
      <c r="XP124"/>
      <c r="XQ124"/>
      <c r="XR124"/>
      <c r="XS124"/>
      <c r="XT124"/>
      <c r="XU124"/>
      <c r="XV124"/>
      <c r="XW124"/>
      <c r="XX124"/>
      <c r="XY124"/>
      <c r="XZ124"/>
      <c r="YA124"/>
      <c r="YB124"/>
      <c r="YC124"/>
      <c r="YD124"/>
      <c r="YE124"/>
      <c r="YF124"/>
      <c r="YG124"/>
      <c r="YH124"/>
      <c r="YI124"/>
      <c r="YJ124"/>
      <c r="YK124"/>
      <c r="YL124"/>
      <c r="YM124"/>
      <c r="YN124"/>
      <c r="YO124"/>
      <c r="YP124"/>
      <c r="YQ124"/>
      <c r="YR124"/>
      <c r="YS124"/>
      <c r="YT124"/>
      <c r="YU124"/>
      <c r="YV124"/>
      <c r="YW124"/>
      <c r="YX124"/>
      <c r="YY124"/>
      <c r="YZ124"/>
      <c r="ZA124"/>
      <c r="ZB124"/>
      <c r="ZC124"/>
      <c r="ZD124"/>
      <c r="ZE124"/>
      <c r="ZF124"/>
      <c r="ZG124"/>
      <c r="ZH124"/>
      <c r="ZI124"/>
      <c r="ZJ124"/>
      <c r="ZK124"/>
      <c r="ZL124"/>
      <c r="ZM124"/>
      <c r="ZN124"/>
      <c r="ZO124"/>
      <c r="ZP124"/>
      <c r="ZQ124"/>
      <c r="ZR124"/>
      <c r="ZS124"/>
      <c r="ZT124"/>
      <c r="ZU124"/>
      <c r="ZV124"/>
      <c r="ZW124"/>
      <c r="ZX124"/>
      <c r="ZY124"/>
      <c r="ZZ124"/>
      <c r="AAA124"/>
      <c r="AAB124"/>
      <c r="AAC124"/>
      <c r="AAD124"/>
      <c r="AAE124"/>
      <c r="AAF124"/>
      <c r="AAG124"/>
      <c r="AAH124"/>
      <c r="AAI124"/>
      <c r="AAJ124"/>
      <c r="AAK124"/>
      <c r="AAL124"/>
      <c r="AAM124"/>
      <c r="AAN124"/>
      <c r="AAO124"/>
      <c r="AAP124"/>
      <c r="AAQ124"/>
      <c r="AAR124"/>
      <c r="AAS124"/>
      <c r="AAT124"/>
      <c r="AAU124"/>
      <c r="AAV124"/>
      <c r="AAW124"/>
      <c r="AAX124"/>
      <c r="AAY124"/>
      <c r="AAZ124"/>
      <c r="ABA124"/>
      <c r="ABB124"/>
      <c r="ABC124"/>
      <c r="ABD124"/>
      <c r="ABE124"/>
      <c r="ABF124"/>
      <c r="ABG124"/>
      <c r="ABH124"/>
      <c r="ABI124"/>
      <c r="ABJ124"/>
      <c r="ABK124"/>
      <c r="ABL124"/>
      <c r="ABM124"/>
      <c r="ABN124"/>
      <c r="ABO124"/>
      <c r="ABP124"/>
      <c r="ABQ124"/>
      <c r="ABR124"/>
      <c r="ABS124"/>
      <c r="ABT124"/>
      <c r="ABU124"/>
      <c r="ABV124"/>
      <c r="ABW124"/>
      <c r="ABX124"/>
      <c r="ABY124"/>
      <c r="ABZ124"/>
      <c r="ACA124"/>
      <c r="ACB124"/>
      <c r="ACC124"/>
      <c r="ACD124"/>
      <c r="ACE124"/>
      <c r="ACF124"/>
      <c r="ACG124"/>
      <c r="ACH124"/>
      <c r="ACI124"/>
      <c r="ACJ124"/>
      <c r="ACK124"/>
      <c r="ACL124"/>
      <c r="ACM124"/>
      <c r="ACN124"/>
      <c r="ACO124"/>
      <c r="ACP124"/>
      <c r="ACQ124"/>
      <c r="ACR124"/>
      <c r="ACS124"/>
      <c r="ACT124"/>
      <c r="ACU124"/>
      <c r="ACV124"/>
      <c r="ACW124"/>
      <c r="ACX124"/>
      <c r="ACY124"/>
      <c r="ACZ124"/>
      <c r="ADA124"/>
      <c r="ADB124"/>
      <c r="ADC124"/>
      <c r="ADD124"/>
      <c r="ADE124"/>
      <c r="ADF124"/>
      <c r="ADG124"/>
      <c r="ADH124"/>
      <c r="ADI124"/>
      <c r="ADJ124"/>
      <c r="ADK124"/>
      <c r="ADL124"/>
      <c r="ADM124"/>
      <c r="ADN124"/>
      <c r="ADO124"/>
      <c r="ADP124"/>
      <c r="ADQ124"/>
      <c r="ADR124"/>
      <c r="ADS124"/>
      <c r="ADT124"/>
      <c r="ADU124"/>
      <c r="ADV124"/>
      <c r="ADW124"/>
      <c r="ADX124"/>
      <c r="ADY124"/>
      <c r="ADZ124"/>
      <c r="AEA124"/>
      <c r="AEB124"/>
      <c r="AEC124"/>
      <c r="AED124"/>
      <c r="AEE124"/>
      <c r="AEF124"/>
      <c r="AEG124"/>
      <c r="AEH124"/>
      <c r="AEI124"/>
      <c r="AEJ124"/>
      <c r="AEK124"/>
      <c r="AEL124"/>
      <c r="AEM124"/>
      <c r="AEN124"/>
      <c r="AEO124"/>
      <c r="AEP124"/>
      <c r="AEQ124"/>
      <c r="AER124"/>
      <c r="AES124"/>
      <c r="AET124"/>
      <c r="AEU124"/>
      <c r="AEV124"/>
      <c r="AEW124"/>
      <c r="AEX124"/>
      <c r="AEY124"/>
      <c r="AEZ124"/>
      <c r="AFA124"/>
      <c r="AFB124"/>
      <c r="AFC124"/>
      <c r="AFD124"/>
      <c r="AFE124"/>
      <c r="AFF124"/>
      <c r="AFG124"/>
      <c r="AFH124"/>
      <c r="AFI124"/>
      <c r="AFJ124"/>
      <c r="AFK124"/>
      <c r="AFL124"/>
      <c r="AFM124"/>
      <c r="AFN124"/>
      <c r="AFO124"/>
      <c r="AFP124"/>
      <c r="AFQ124"/>
      <c r="AFR124"/>
      <c r="AFS124"/>
      <c r="AFT124"/>
      <c r="AFU124"/>
      <c r="AFV124"/>
      <c r="AFW124"/>
      <c r="AFX124"/>
      <c r="AFY124"/>
      <c r="AFZ124"/>
      <c r="AGA124"/>
      <c r="AGB124"/>
      <c r="AGC124"/>
      <c r="AGD124"/>
      <c r="AGE124"/>
      <c r="AGF124"/>
      <c r="AGG124"/>
      <c r="AGH124"/>
      <c r="AGI124"/>
      <c r="AGJ124"/>
      <c r="AGK124"/>
      <c r="AGL124"/>
      <c r="AGM124"/>
      <c r="AGN124"/>
      <c r="AGO124"/>
      <c r="AGP124"/>
      <c r="AGQ124"/>
      <c r="AGR124"/>
      <c r="AGS124"/>
      <c r="AGT124"/>
      <c r="AGU124"/>
      <c r="AGV124"/>
      <c r="AGW124"/>
      <c r="AGX124"/>
      <c r="AGY124"/>
      <c r="AGZ124"/>
      <c r="AHA124"/>
      <c r="AHB124"/>
      <c r="AHC124"/>
      <c r="AHD124"/>
      <c r="AHE124"/>
      <c r="AHF124"/>
      <c r="AHG124"/>
      <c r="AHH124"/>
      <c r="AHI124"/>
      <c r="AHJ124"/>
      <c r="AHK124"/>
      <c r="AHL124"/>
      <c r="AHM124"/>
      <c r="AHN124"/>
      <c r="AHO124"/>
      <c r="AHP124"/>
      <c r="AHQ124"/>
      <c r="AHR124"/>
      <c r="AHS124"/>
      <c r="AHT124"/>
      <c r="AHU124"/>
      <c r="AHV124"/>
      <c r="AHW124"/>
      <c r="AHX124"/>
      <c r="AHY124"/>
      <c r="AHZ124"/>
      <c r="AIA124"/>
      <c r="AIB124"/>
      <c r="AIC124"/>
      <c r="AID124"/>
      <c r="AIE124"/>
      <c r="AIF124"/>
      <c r="AIG124"/>
      <c r="AIH124"/>
      <c r="AII124"/>
      <c r="AIJ124"/>
      <c r="AIK124"/>
      <c r="AIL124"/>
      <c r="AIM124"/>
      <c r="AIN124"/>
      <c r="AIO124"/>
      <c r="AIP124"/>
      <c r="AIQ124"/>
      <c r="AIR124"/>
      <c r="AIS124"/>
      <c r="AIT124"/>
      <c r="AIU124"/>
      <c r="AIV124"/>
      <c r="AIW124"/>
      <c r="AIX124"/>
      <c r="AIY124"/>
      <c r="AIZ124"/>
      <c r="AJA124"/>
      <c r="AJB124"/>
      <c r="AJC124"/>
      <c r="AJD124"/>
      <c r="AJE124"/>
      <c r="AJF124"/>
      <c r="AJG124"/>
      <c r="AJH124"/>
      <c r="AJI124"/>
      <c r="AJJ124"/>
      <c r="AJK124"/>
      <c r="AJL124"/>
      <c r="AJM124"/>
      <c r="AJN124"/>
      <c r="AJO124"/>
      <c r="AJP124"/>
      <c r="AJQ124"/>
      <c r="AJR124"/>
      <c r="AJS124"/>
      <c r="AJT124"/>
      <c r="AJU124"/>
      <c r="AJV124"/>
      <c r="AJW124"/>
      <c r="AJX124"/>
      <c r="AJY124"/>
      <c r="AJZ124"/>
      <c r="AKA124"/>
      <c r="AKB124"/>
      <c r="AKC124"/>
      <c r="AKD124"/>
      <c r="AKE124"/>
      <c r="AKF124"/>
      <c r="AKG124"/>
      <c r="AKH124"/>
      <c r="AKI124"/>
      <c r="AKJ124"/>
      <c r="AKK124"/>
      <c r="AKL124"/>
      <c r="AKM124"/>
      <c r="AKN124"/>
      <c r="AKO124"/>
      <c r="AKP124"/>
      <c r="AKQ124"/>
      <c r="AKR124"/>
      <c r="AKS124"/>
      <c r="AKT124"/>
      <c r="AKU124"/>
      <c r="AKV124"/>
      <c r="AKW124"/>
      <c r="AKX124"/>
      <c r="AKY124"/>
      <c r="AKZ124"/>
      <c r="ALA124"/>
      <c r="ALB124"/>
      <c r="ALC124"/>
      <c r="ALD124"/>
      <c r="ALE124"/>
      <c r="ALF124"/>
      <c r="ALG124"/>
      <c r="ALH124"/>
      <c r="ALI124"/>
      <c r="ALJ124"/>
      <c r="ALK124"/>
      <c r="ALL124"/>
      <c r="ALM124"/>
      <c r="ALN124"/>
      <c r="ALO124"/>
      <c r="ALP124"/>
      <c r="ALQ124"/>
      <c r="ALR124"/>
      <c r="ALS124"/>
      <c r="ALT124"/>
      <c r="ALU124"/>
      <c r="ALV124"/>
      <c r="ALW124"/>
      <c r="ALX124"/>
      <c r="ALY124"/>
      <c r="ALZ124"/>
      <c r="AMA124"/>
      <c r="AMB124"/>
      <c r="AMC124"/>
      <c r="AMD124"/>
      <c r="AME124"/>
      <c r="AMF124"/>
      <c r="AMG124"/>
      <c r="AMH124"/>
      <c r="AMI124"/>
      <c r="AMJ124"/>
    </row>
    <row r="125" spans="12:1024" ht="15.95" customHeight="1">
      <c r="L125"/>
      <c r="M125" s="108"/>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c r="MO125"/>
      <c r="MP125"/>
      <c r="MQ125"/>
      <c r="MR125"/>
      <c r="MS125"/>
      <c r="MT125"/>
      <c r="MU125"/>
      <c r="MV125"/>
      <c r="MW125"/>
      <c r="MX125"/>
      <c r="MY125"/>
      <c r="MZ125"/>
      <c r="NA125"/>
      <c r="NB125"/>
      <c r="NC125"/>
      <c r="ND125"/>
      <c r="NE125"/>
      <c r="NF125"/>
      <c r="NG125"/>
      <c r="NH125"/>
      <c r="NI125"/>
      <c r="NJ125"/>
      <c r="NK125"/>
      <c r="NL125"/>
      <c r="NM125"/>
      <c r="NN125"/>
      <c r="NO125"/>
      <c r="NP125"/>
      <c r="NQ125"/>
      <c r="NR125"/>
      <c r="NS125"/>
      <c r="NT125"/>
      <c r="NU125"/>
      <c r="NV125"/>
      <c r="NW125"/>
      <c r="NX125"/>
      <c r="NY125"/>
      <c r="NZ125"/>
      <c r="OA125"/>
      <c r="OB125"/>
      <c r="OC125"/>
      <c r="OD125"/>
      <c r="OE125"/>
      <c r="OF125"/>
      <c r="OG125"/>
      <c r="OH125"/>
      <c r="OI125"/>
      <c r="OJ125"/>
      <c r="OK125"/>
      <c r="OL125"/>
      <c r="OM125"/>
      <c r="ON125"/>
      <c r="OO125"/>
      <c r="OP125"/>
      <c r="OQ125"/>
      <c r="OR125"/>
      <c r="OS125"/>
      <c r="OT125"/>
      <c r="OU125"/>
      <c r="OV125"/>
      <c r="OW125"/>
      <c r="OX125"/>
      <c r="OY125"/>
      <c r="OZ125"/>
      <c r="PA125"/>
      <c r="PB125"/>
      <c r="PC125"/>
      <c r="PD125"/>
      <c r="PE125"/>
      <c r="PF125"/>
      <c r="PG125"/>
      <c r="PH125"/>
      <c r="PI125"/>
      <c r="PJ125"/>
      <c r="PK125"/>
      <c r="PL125"/>
      <c r="PM125"/>
      <c r="PN125"/>
      <c r="PO125"/>
      <c r="PP125"/>
      <c r="PQ125"/>
      <c r="PR125"/>
      <c r="PS125"/>
      <c r="PT125"/>
      <c r="PU125"/>
      <c r="PV125"/>
      <c r="PW125"/>
      <c r="PX125"/>
      <c r="PY125"/>
      <c r="PZ125"/>
      <c r="QA125"/>
      <c r="QB125"/>
      <c r="QC125"/>
      <c r="QD125"/>
      <c r="QE125"/>
      <c r="QF125"/>
      <c r="QG125"/>
      <c r="QH125"/>
      <c r="QI125"/>
      <c r="QJ125"/>
      <c r="QK125"/>
      <c r="QL125"/>
      <c r="QM125"/>
      <c r="QN125"/>
      <c r="QO125"/>
      <c r="QP125"/>
      <c r="QQ125"/>
      <c r="QR125"/>
      <c r="QS125"/>
      <c r="QT125"/>
      <c r="QU125"/>
      <c r="QV125"/>
      <c r="QW125"/>
      <c r="QX125"/>
      <c r="QY125"/>
      <c r="QZ125"/>
      <c r="RA125"/>
      <c r="RB125"/>
      <c r="RC125"/>
      <c r="RD125"/>
      <c r="RE125"/>
      <c r="RF125"/>
      <c r="RG125"/>
      <c r="RH125"/>
      <c r="RI125"/>
      <c r="RJ125"/>
      <c r="RK125"/>
      <c r="RL125"/>
      <c r="RM125"/>
      <c r="RN125"/>
      <c r="RO125"/>
      <c r="RP125"/>
      <c r="RQ125"/>
      <c r="RR125"/>
      <c r="RS125"/>
      <c r="RT125"/>
      <c r="RU125"/>
      <c r="RV125"/>
      <c r="RW125"/>
      <c r="RX125"/>
      <c r="RY125"/>
      <c r="RZ125"/>
      <c r="SA125"/>
      <c r="SB125"/>
      <c r="SC125"/>
      <c r="SD125"/>
      <c r="SE125"/>
      <c r="SF125"/>
      <c r="SG125"/>
      <c r="SH125"/>
      <c r="SI125"/>
      <c r="SJ125"/>
      <c r="SK125"/>
      <c r="SL125"/>
      <c r="SM125"/>
      <c r="SN125"/>
      <c r="SO125"/>
      <c r="SP125"/>
      <c r="SQ125"/>
      <c r="SR125"/>
      <c r="SS125"/>
      <c r="ST125"/>
      <c r="SU125"/>
      <c r="SV125"/>
      <c r="SW125"/>
      <c r="SX125"/>
      <c r="SY125"/>
      <c r="SZ125"/>
      <c r="TA125"/>
      <c r="TB125"/>
      <c r="TC125"/>
      <c r="TD125"/>
      <c r="TE125"/>
      <c r="TF125"/>
      <c r="TG125"/>
      <c r="TH125"/>
      <c r="TI125"/>
      <c r="TJ125"/>
      <c r="TK125"/>
      <c r="TL125"/>
      <c r="TM125"/>
      <c r="TN125"/>
      <c r="TO125"/>
      <c r="TP125"/>
      <c r="TQ125"/>
      <c r="TR125"/>
      <c r="TS125"/>
      <c r="TT125"/>
      <c r="TU125"/>
      <c r="TV125"/>
      <c r="TW125"/>
      <c r="TX125"/>
      <c r="TY125"/>
      <c r="TZ125"/>
      <c r="UA125"/>
      <c r="UB125"/>
      <c r="UC125"/>
      <c r="UD125"/>
      <c r="UE125"/>
      <c r="UF125"/>
      <c r="UG125"/>
      <c r="UH125"/>
      <c r="UI125"/>
      <c r="UJ125"/>
      <c r="UK125"/>
      <c r="UL125"/>
      <c r="UM125"/>
      <c r="UN125"/>
      <c r="UO125"/>
      <c r="UP125"/>
      <c r="UQ125"/>
      <c r="UR125"/>
      <c r="US125"/>
      <c r="UT125"/>
      <c r="UU125"/>
      <c r="UV125"/>
      <c r="UW125"/>
      <c r="UX125"/>
      <c r="UY125"/>
      <c r="UZ125"/>
      <c r="VA125"/>
      <c r="VB125"/>
      <c r="VC125"/>
      <c r="VD125"/>
      <c r="VE125"/>
      <c r="VF125"/>
      <c r="VG125"/>
      <c r="VH125"/>
      <c r="VI125"/>
      <c r="VJ125"/>
      <c r="VK125"/>
      <c r="VL125"/>
      <c r="VM125"/>
      <c r="VN125"/>
      <c r="VO125"/>
      <c r="VP125"/>
      <c r="VQ125"/>
      <c r="VR125"/>
      <c r="VS125"/>
      <c r="VT125"/>
      <c r="VU125"/>
      <c r="VV125"/>
      <c r="VW125"/>
      <c r="VX125"/>
      <c r="VY125"/>
      <c r="VZ125"/>
      <c r="WA125"/>
      <c r="WB125"/>
      <c r="WC125"/>
      <c r="WD125"/>
      <c r="WE125"/>
      <c r="WF125"/>
      <c r="WG125"/>
      <c r="WH125"/>
      <c r="WI125"/>
      <c r="WJ125"/>
      <c r="WK125"/>
      <c r="WL125"/>
      <c r="WM125"/>
      <c r="WN125"/>
      <c r="WO125"/>
      <c r="WP125"/>
      <c r="WQ125"/>
      <c r="WR125"/>
      <c r="WS125"/>
      <c r="WT125"/>
      <c r="WU125"/>
      <c r="WV125"/>
      <c r="WW125"/>
      <c r="WX125"/>
      <c r="WY125"/>
      <c r="WZ125"/>
      <c r="XA125"/>
      <c r="XB125"/>
      <c r="XC125"/>
      <c r="XD125"/>
      <c r="XE125"/>
      <c r="XF125"/>
      <c r="XG125"/>
      <c r="XH125"/>
      <c r="XI125"/>
      <c r="XJ125"/>
      <c r="XK125"/>
      <c r="XL125"/>
      <c r="XM125"/>
      <c r="XN125"/>
      <c r="XO125"/>
      <c r="XP125"/>
      <c r="XQ125"/>
      <c r="XR125"/>
      <c r="XS125"/>
      <c r="XT125"/>
      <c r="XU125"/>
      <c r="XV125"/>
      <c r="XW125"/>
      <c r="XX125"/>
      <c r="XY125"/>
      <c r="XZ125"/>
      <c r="YA125"/>
      <c r="YB125"/>
      <c r="YC125"/>
      <c r="YD125"/>
      <c r="YE125"/>
      <c r="YF125"/>
      <c r="YG125"/>
      <c r="YH125"/>
      <c r="YI125"/>
      <c r="YJ125"/>
      <c r="YK125"/>
      <c r="YL125"/>
      <c r="YM125"/>
      <c r="YN125"/>
      <c r="YO125"/>
      <c r="YP125"/>
      <c r="YQ125"/>
      <c r="YR125"/>
      <c r="YS125"/>
      <c r="YT125"/>
      <c r="YU125"/>
      <c r="YV125"/>
      <c r="YW125"/>
      <c r="YX125"/>
      <c r="YY125"/>
      <c r="YZ125"/>
      <c r="ZA125"/>
      <c r="ZB125"/>
      <c r="ZC125"/>
      <c r="ZD125"/>
      <c r="ZE125"/>
      <c r="ZF125"/>
      <c r="ZG125"/>
      <c r="ZH125"/>
      <c r="ZI125"/>
      <c r="ZJ125"/>
      <c r="ZK125"/>
      <c r="ZL125"/>
      <c r="ZM125"/>
      <c r="ZN125"/>
      <c r="ZO125"/>
      <c r="ZP125"/>
      <c r="ZQ125"/>
      <c r="ZR125"/>
      <c r="ZS125"/>
      <c r="ZT125"/>
      <c r="ZU125"/>
      <c r="ZV125"/>
      <c r="ZW125"/>
      <c r="ZX125"/>
      <c r="ZY125"/>
      <c r="ZZ125"/>
      <c r="AAA125"/>
      <c r="AAB125"/>
      <c r="AAC125"/>
      <c r="AAD125"/>
      <c r="AAE125"/>
      <c r="AAF125"/>
      <c r="AAG125"/>
      <c r="AAH125"/>
      <c r="AAI125"/>
      <c r="AAJ125"/>
      <c r="AAK125"/>
      <c r="AAL125"/>
      <c r="AAM125"/>
      <c r="AAN125"/>
      <c r="AAO125"/>
      <c r="AAP125"/>
      <c r="AAQ125"/>
      <c r="AAR125"/>
      <c r="AAS125"/>
      <c r="AAT125"/>
      <c r="AAU125"/>
      <c r="AAV125"/>
      <c r="AAW125"/>
      <c r="AAX125"/>
      <c r="AAY125"/>
      <c r="AAZ125"/>
      <c r="ABA125"/>
      <c r="ABB125"/>
      <c r="ABC125"/>
      <c r="ABD125"/>
      <c r="ABE125"/>
      <c r="ABF125"/>
      <c r="ABG125"/>
      <c r="ABH125"/>
      <c r="ABI125"/>
      <c r="ABJ125"/>
      <c r="ABK125"/>
      <c r="ABL125"/>
      <c r="ABM125"/>
      <c r="ABN125"/>
      <c r="ABO125"/>
      <c r="ABP125"/>
      <c r="ABQ125"/>
      <c r="ABR125"/>
      <c r="ABS125"/>
      <c r="ABT125"/>
      <c r="ABU125"/>
      <c r="ABV125"/>
      <c r="ABW125"/>
      <c r="ABX125"/>
      <c r="ABY125"/>
      <c r="ABZ125"/>
      <c r="ACA125"/>
      <c r="ACB125"/>
      <c r="ACC125"/>
      <c r="ACD125"/>
      <c r="ACE125"/>
      <c r="ACF125"/>
      <c r="ACG125"/>
      <c r="ACH125"/>
      <c r="ACI125"/>
      <c r="ACJ125"/>
      <c r="ACK125"/>
      <c r="ACL125"/>
      <c r="ACM125"/>
      <c r="ACN125"/>
      <c r="ACO125"/>
      <c r="ACP125"/>
      <c r="ACQ125"/>
      <c r="ACR125"/>
      <c r="ACS125"/>
      <c r="ACT125"/>
      <c r="ACU125"/>
      <c r="ACV125"/>
      <c r="ACW125"/>
      <c r="ACX125"/>
      <c r="ACY125"/>
      <c r="ACZ125"/>
      <c r="ADA125"/>
      <c r="ADB125"/>
      <c r="ADC125"/>
      <c r="ADD125"/>
      <c r="ADE125"/>
      <c r="ADF125"/>
      <c r="ADG125"/>
      <c r="ADH125"/>
      <c r="ADI125"/>
      <c r="ADJ125"/>
      <c r="ADK125"/>
      <c r="ADL125"/>
      <c r="ADM125"/>
      <c r="ADN125"/>
      <c r="ADO125"/>
      <c r="ADP125"/>
      <c r="ADQ125"/>
      <c r="ADR125"/>
      <c r="ADS125"/>
      <c r="ADT125"/>
      <c r="ADU125"/>
      <c r="ADV125"/>
      <c r="ADW125"/>
      <c r="ADX125"/>
      <c r="ADY125"/>
      <c r="ADZ125"/>
      <c r="AEA125"/>
      <c r="AEB125"/>
      <c r="AEC125"/>
      <c r="AED125"/>
      <c r="AEE125"/>
      <c r="AEF125"/>
      <c r="AEG125"/>
      <c r="AEH125"/>
      <c r="AEI125"/>
      <c r="AEJ125"/>
      <c r="AEK125"/>
      <c r="AEL125"/>
      <c r="AEM125"/>
      <c r="AEN125"/>
      <c r="AEO125"/>
      <c r="AEP125"/>
      <c r="AEQ125"/>
      <c r="AER125"/>
      <c r="AES125"/>
      <c r="AET125"/>
      <c r="AEU125"/>
      <c r="AEV125"/>
      <c r="AEW125"/>
      <c r="AEX125"/>
      <c r="AEY125"/>
      <c r="AEZ125"/>
      <c r="AFA125"/>
      <c r="AFB125"/>
      <c r="AFC125"/>
      <c r="AFD125"/>
      <c r="AFE125"/>
      <c r="AFF125"/>
      <c r="AFG125"/>
      <c r="AFH125"/>
      <c r="AFI125"/>
      <c r="AFJ125"/>
      <c r="AFK125"/>
      <c r="AFL125"/>
      <c r="AFM125"/>
      <c r="AFN125"/>
      <c r="AFO125"/>
      <c r="AFP125"/>
      <c r="AFQ125"/>
      <c r="AFR125"/>
      <c r="AFS125"/>
      <c r="AFT125"/>
      <c r="AFU125"/>
      <c r="AFV125"/>
      <c r="AFW125"/>
      <c r="AFX125"/>
      <c r="AFY125"/>
      <c r="AFZ125"/>
      <c r="AGA125"/>
      <c r="AGB125"/>
      <c r="AGC125"/>
      <c r="AGD125"/>
      <c r="AGE125"/>
      <c r="AGF125"/>
      <c r="AGG125"/>
      <c r="AGH125"/>
      <c r="AGI125"/>
      <c r="AGJ125"/>
      <c r="AGK125"/>
      <c r="AGL125"/>
      <c r="AGM125"/>
      <c r="AGN125"/>
      <c r="AGO125"/>
      <c r="AGP125"/>
      <c r="AGQ125"/>
      <c r="AGR125"/>
      <c r="AGS125"/>
      <c r="AGT125"/>
      <c r="AGU125"/>
      <c r="AGV125"/>
      <c r="AGW125"/>
      <c r="AGX125"/>
      <c r="AGY125"/>
      <c r="AGZ125"/>
      <c r="AHA125"/>
      <c r="AHB125"/>
      <c r="AHC125"/>
      <c r="AHD125"/>
      <c r="AHE125"/>
      <c r="AHF125"/>
      <c r="AHG125"/>
      <c r="AHH125"/>
      <c r="AHI125"/>
      <c r="AHJ125"/>
      <c r="AHK125"/>
      <c r="AHL125"/>
      <c r="AHM125"/>
      <c r="AHN125"/>
      <c r="AHO125"/>
      <c r="AHP125"/>
      <c r="AHQ125"/>
      <c r="AHR125"/>
      <c r="AHS125"/>
      <c r="AHT125"/>
      <c r="AHU125"/>
      <c r="AHV125"/>
      <c r="AHW125"/>
      <c r="AHX125"/>
      <c r="AHY125"/>
      <c r="AHZ125"/>
      <c r="AIA125"/>
      <c r="AIB125"/>
      <c r="AIC125"/>
      <c r="AID125"/>
      <c r="AIE125"/>
      <c r="AIF125"/>
      <c r="AIG125"/>
      <c r="AIH125"/>
      <c r="AII125"/>
      <c r="AIJ125"/>
      <c r="AIK125"/>
      <c r="AIL125"/>
      <c r="AIM125"/>
      <c r="AIN125"/>
      <c r="AIO125"/>
      <c r="AIP125"/>
      <c r="AIQ125"/>
      <c r="AIR125"/>
      <c r="AIS125"/>
      <c r="AIT125"/>
      <c r="AIU125"/>
      <c r="AIV125"/>
      <c r="AIW125"/>
      <c r="AIX125"/>
      <c r="AIY125"/>
      <c r="AIZ125"/>
      <c r="AJA125"/>
      <c r="AJB125"/>
      <c r="AJC125"/>
      <c r="AJD125"/>
      <c r="AJE125"/>
      <c r="AJF125"/>
      <c r="AJG125"/>
      <c r="AJH125"/>
      <c r="AJI125"/>
      <c r="AJJ125"/>
      <c r="AJK125"/>
      <c r="AJL125"/>
      <c r="AJM125"/>
      <c r="AJN125"/>
      <c r="AJO125"/>
      <c r="AJP125"/>
      <c r="AJQ125"/>
      <c r="AJR125"/>
      <c r="AJS125"/>
      <c r="AJT125"/>
      <c r="AJU125"/>
      <c r="AJV125"/>
      <c r="AJW125"/>
      <c r="AJX125"/>
      <c r="AJY125"/>
      <c r="AJZ125"/>
      <c r="AKA125"/>
      <c r="AKB125"/>
      <c r="AKC125"/>
      <c r="AKD125"/>
      <c r="AKE125"/>
      <c r="AKF125"/>
      <c r="AKG125"/>
      <c r="AKH125"/>
      <c r="AKI125"/>
      <c r="AKJ125"/>
      <c r="AKK125"/>
      <c r="AKL125"/>
      <c r="AKM125"/>
      <c r="AKN125"/>
      <c r="AKO125"/>
      <c r="AKP125"/>
      <c r="AKQ125"/>
      <c r="AKR125"/>
      <c r="AKS125"/>
      <c r="AKT125"/>
      <c r="AKU125"/>
      <c r="AKV125"/>
      <c r="AKW125"/>
      <c r="AKX125"/>
      <c r="AKY125"/>
      <c r="AKZ125"/>
      <c r="ALA125"/>
      <c r="ALB125"/>
      <c r="ALC125"/>
      <c r="ALD125"/>
      <c r="ALE125"/>
      <c r="ALF125"/>
      <c r="ALG125"/>
      <c r="ALH125"/>
      <c r="ALI125"/>
      <c r="ALJ125"/>
      <c r="ALK125"/>
      <c r="ALL125"/>
      <c r="ALM125"/>
      <c r="ALN125"/>
      <c r="ALO125"/>
      <c r="ALP125"/>
      <c r="ALQ125"/>
      <c r="ALR125"/>
      <c r="ALS125"/>
      <c r="ALT125"/>
      <c r="ALU125"/>
      <c r="ALV125"/>
      <c r="ALW125"/>
      <c r="ALX125"/>
      <c r="ALY125"/>
      <c r="ALZ125"/>
      <c r="AMA125"/>
      <c r="AMB125"/>
      <c r="AMC125"/>
      <c r="AMD125"/>
      <c r="AME125"/>
      <c r="AMF125"/>
      <c r="AMG125"/>
      <c r="AMH125"/>
      <c r="AMI125"/>
      <c r="AMJ125"/>
    </row>
    <row r="126" spans="12:1024" ht="15.95" customHeight="1">
      <c r="L126"/>
      <c r="M126" s="108"/>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c r="MO126"/>
      <c r="MP126"/>
      <c r="MQ126"/>
      <c r="MR126"/>
      <c r="MS126"/>
      <c r="MT126"/>
      <c r="MU126"/>
      <c r="MV126"/>
      <c r="MW126"/>
      <c r="MX126"/>
      <c r="MY126"/>
      <c r="MZ126"/>
      <c r="NA126"/>
      <c r="NB126"/>
      <c r="NC126"/>
      <c r="ND126"/>
      <c r="NE126"/>
      <c r="NF126"/>
      <c r="NG126"/>
      <c r="NH126"/>
      <c r="NI126"/>
      <c r="NJ126"/>
      <c r="NK126"/>
      <c r="NL126"/>
      <c r="NM126"/>
      <c r="NN126"/>
      <c r="NO126"/>
      <c r="NP126"/>
      <c r="NQ126"/>
      <c r="NR126"/>
      <c r="NS126"/>
      <c r="NT126"/>
      <c r="NU126"/>
      <c r="NV126"/>
      <c r="NW126"/>
      <c r="NX126"/>
      <c r="NY126"/>
      <c r="NZ126"/>
      <c r="OA126"/>
      <c r="OB126"/>
      <c r="OC126"/>
      <c r="OD126"/>
      <c r="OE126"/>
      <c r="OF126"/>
      <c r="OG126"/>
      <c r="OH126"/>
      <c r="OI126"/>
      <c r="OJ126"/>
      <c r="OK126"/>
      <c r="OL126"/>
      <c r="OM126"/>
      <c r="ON126"/>
      <c r="OO126"/>
      <c r="OP126"/>
      <c r="OQ126"/>
      <c r="OR126"/>
      <c r="OS126"/>
      <c r="OT126"/>
      <c r="OU126"/>
      <c r="OV126"/>
      <c r="OW126"/>
      <c r="OX126"/>
      <c r="OY126"/>
      <c r="OZ126"/>
      <c r="PA126"/>
      <c r="PB126"/>
      <c r="PC126"/>
      <c r="PD126"/>
      <c r="PE126"/>
      <c r="PF126"/>
      <c r="PG126"/>
      <c r="PH126"/>
      <c r="PI126"/>
      <c r="PJ126"/>
      <c r="PK126"/>
      <c r="PL126"/>
      <c r="PM126"/>
      <c r="PN126"/>
      <c r="PO126"/>
      <c r="PP126"/>
      <c r="PQ126"/>
      <c r="PR126"/>
      <c r="PS126"/>
      <c r="PT126"/>
      <c r="PU126"/>
      <c r="PV126"/>
      <c r="PW126"/>
      <c r="PX126"/>
      <c r="PY126"/>
      <c r="PZ126"/>
      <c r="QA126"/>
      <c r="QB126"/>
      <c r="QC126"/>
      <c r="QD126"/>
      <c r="QE126"/>
      <c r="QF126"/>
      <c r="QG126"/>
      <c r="QH126"/>
      <c r="QI126"/>
      <c r="QJ126"/>
      <c r="QK126"/>
      <c r="QL126"/>
      <c r="QM126"/>
      <c r="QN126"/>
      <c r="QO126"/>
      <c r="QP126"/>
      <c r="QQ126"/>
      <c r="QR126"/>
      <c r="QS126"/>
      <c r="QT126"/>
      <c r="QU126"/>
      <c r="QV126"/>
      <c r="QW126"/>
      <c r="QX126"/>
      <c r="QY126"/>
      <c r="QZ126"/>
      <c r="RA126"/>
      <c r="RB126"/>
      <c r="RC126"/>
      <c r="RD126"/>
      <c r="RE126"/>
      <c r="RF126"/>
      <c r="RG126"/>
      <c r="RH126"/>
      <c r="RI126"/>
      <c r="RJ126"/>
      <c r="RK126"/>
      <c r="RL126"/>
      <c r="RM126"/>
      <c r="RN126"/>
      <c r="RO126"/>
      <c r="RP126"/>
      <c r="RQ126"/>
      <c r="RR126"/>
      <c r="RS126"/>
      <c r="RT126"/>
      <c r="RU126"/>
      <c r="RV126"/>
      <c r="RW126"/>
      <c r="RX126"/>
      <c r="RY126"/>
      <c r="RZ126"/>
      <c r="SA126"/>
      <c r="SB126"/>
      <c r="SC126"/>
      <c r="SD126"/>
      <c r="SE126"/>
      <c r="SF126"/>
      <c r="SG126"/>
      <c r="SH126"/>
      <c r="SI126"/>
      <c r="SJ126"/>
      <c r="SK126"/>
      <c r="SL126"/>
      <c r="SM126"/>
      <c r="SN126"/>
      <c r="SO126"/>
      <c r="SP126"/>
      <c r="SQ126"/>
      <c r="SR126"/>
      <c r="SS126"/>
      <c r="ST126"/>
      <c r="SU126"/>
      <c r="SV126"/>
      <c r="SW126"/>
      <c r="SX126"/>
      <c r="SY126"/>
      <c r="SZ126"/>
      <c r="TA126"/>
      <c r="TB126"/>
      <c r="TC126"/>
      <c r="TD126"/>
      <c r="TE126"/>
      <c r="TF126"/>
      <c r="TG126"/>
      <c r="TH126"/>
      <c r="TI126"/>
      <c r="TJ126"/>
      <c r="TK126"/>
      <c r="TL126"/>
      <c r="TM126"/>
      <c r="TN126"/>
      <c r="TO126"/>
      <c r="TP126"/>
      <c r="TQ126"/>
      <c r="TR126"/>
      <c r="TS126"/>
      <c r="TT126"/>
      <c r="TU126"/>
      <c r="TV126"/>
      <c r="TW126"/>
      <c r="TX126"/>
      <c r="TY126"/>
      <c r="TZ126"/>
      <c r="UA126"/>
      <c r="UB126"/>
      <c r="UC126"/>
      <c r="UD126"/>
      <c r="UE126"/>
      <c r="UF126"/>
      <c r="UG126"/>
      <c r="UH126"/>
      <c r="UI126"/>
      <c r="UJ126"/>
      <c r="UK126"/>
      <c r="UL126"/>
      <c r="UM126"/>
      <c r="UN126"/>
      <c r="UO126"/>
      <c r="UP126"/>
      <c r="UQ126"/>
      <c r="UR126"/>
      <c r="US126"/>
      <c r="UT126"/>
      <c r="UU126"/>
      <c r="UV126"/>
      <c r="UW126"/>
      <c r="UX126"/>
      <c r="UY126"/>
      <c r="UZ126"/>
      <c r="VA126"/>
      <c r="VB126"/>
      <c r="VC126"/>
      <c r="VD126"/>
      <c r="VE126"/>
      <c r="VF126"/>
      <c r="VG126"/>
      <c r="VH126"/>
      <c r="VI126"/>
      <c r="VJ126"/>
      <c r="VK126"/>
      <c r="VL126"/>
      <c r="VM126"/>
      <c r="VN126"/>
      <c r="VO126"/>
      <c r="VP126"/>
      <c r="VQ126"/>
      <c r="VR126"/>
      <c r="VS126"/>
      <c r="VT126"/>
      <c r="VU126"/>
      <c r="VV126"/>
      <c r="VW126"/>
      <c r="VX126"/>
      <c r="VY126"/>
      <c r="VZ126"/>
      <c r="WA126"/>
      <c r="WB126"/>
      <c r="WC126"/>
      <c r="WD126"/>
      <c r="WE126"/>
      <c r="WF126"/>
      <c r="WG126"/>
      <c r="WH126"/>
      <c r="WI126"/>
      <c r="WJ126"/>
      <c r="WK126"/>
      <c r="WL126"/>
      <c r="WM126"/>
      <c r="WN126"/>
      <c r="WO126"/>
      <c r="WP126"/>
      <c r="WQ126"/>
      <c r="WR126"/>
      <c r="WS126"/>
      <c r="WT126"/>
      <c r="WU126"/>
      <c r="WV126"/>
      <c r="WW126"/>
      <c r="WX126"/>
      <c r="WY126"/>
      <c r="WZ126"/>
      <c r="XA126"/>
      <c r="XB126"/>
      <c r="XC126"/>
      <c r="XD126"/>
      <c r="XE126"/>
      <c r="XF126"/>
      <c r="XG126"/>
      <c r="XH126"/>
      <c r="XI126"/>
      <c r="XJ126"/>
      <c r="XK126"/>
      <c r="XL126"/>
      <c r="XM126"/>
      <c r="XN126"/>
      <c r="XO126"/>
      <c r="XP126"/>
      <c r="XQ126"/>
      <c r="XR126"/>
      <c r="XS126"/>
      <c r="XT126"/>
      <c r="XU126"/>
      <c r="XV126"/>
      <c r="XW126"/>
      <c r="XX126"/>
      <c r="XY126"/>
      <c r="XZ126"/>
      <c r="YA126"/>
      <c r="YB126"/>
      <c r="YC126"/>
      <c r="YD126"/>
      <c r="YE126"/>
      <c r="YF126"/>
      <c r="YG126"/>
      <c r="YH126"/>
      <c r="YI126"/>
      <c r="YJ126"/>
      <c r="YK126"/>
      <c r="YL126"/>
      <c r="YM126"/>
      <c r="YN126"/>
      <c r="YO126"/>
      <c r="YP126"/>
      <c r="YQ126"/>
      <c r="YR126"/>
      <c r="YS126"/>
      <c r="YT126"/>
      <c r="YU126"/>
      <c r="YV126"/>
      <c r="YW126"/>
      <c r="YX126"/>
      <c r="YY126"/>
      <c r="YZ126"/>
      <c r="ZA126"/>
      <c r="ZB126"/>
      <c r="ZC126"/>
      <c r="ZD126"/>
      <c r="ZE126"/>
      <c r="ZF126"/>
      <c r="ZG126"/>
      <c r="ZH126"/>
      <c r="ZI126"/>
      <c r="ZJ126"/>
      <c r="ZK126"/>
      <c r="ZL126"/>
      <c r="ZM126"/>
      <c r="ZN126"/>
      <c r="ZO126"/>
      <c r="ZP126"/>
      <c r="ZQ126"/>
      <c r="ZR126"/>
      <c r="ZS126"/>
      <c r="ZT126"/>
      <c r="ZU126"/>
      <c r="ZV126"/>
      <c r="ZW126"/>
      <c r="ZX126"/>
      <c r="ZY126"/>
      <c r="ZZ126"/>
      <c r="AAA126"/>
      <c r="AAB126"/>
      <c r="AAC126"/>
      <c r="AAD126"/>
      <c r="AAE126"/>
      <c r="AAF126"/>
      <c r="AAG126"/>
      <c r="AAH126"/>
      <c r="AAI126"/>
      <c r="AAJ126"/>
      <c r="AAK126"/>
      <c r="AAL126"/>
      <c r="AAM126"/>
      <c r="AAN126"/>
      <c r="AAO126"/>
      <c r="AAP126"/>
      <c r="AAQ126"/>
      <c r="AAR126"/>
      <c r="AAS126"/>
      <c r="AAT126"/>
      <c r="AAU126"/>
      <c r="AAV126"/>
      <c r="AAW126"/>
      <c r="AAX126"/>
      <c r="AAY126"/>
      <c r="AAZ126"/>
      <c r="ABA126"/>
      <c r="ABB126"/>
      <c r="ABC126"/>
      <c r="ABD126"/>
      <c r="ABE126"/>
      <c r="ABF126"/>
      <c r="ABG126"/>
      <c r="ABH126"/>
      <c r="ABI126"/>
      <c r="ABJ126"/>
      <c r="ABK126"/>
      <c r="ABL126"/>
      <c r="ABM126"/>
      <c r="ABN126"/>
      <c r="ABO126"/>
      <c r="ABP126"/>
      <c r="ABQ126"/>
      <c r="ABR126"/>
      <c r="ABS126"/>
      <c r="ABT126"/>
      <c r="ABU126"/>
      <c r="ABV126"/>
      <c r="ABW126"/>
      <c r="ABX126"/>
      <c r="ABY126"/>
      <c r="ABZ126"/>
      <c r="ACA126"/>
      <c r="ACB126"/>
      <c r="ACC126"/>
      <c r="ACD126"/>
      <c r="ACE126"/>
      <c r="ACF126"/>
      <c r="ACG126"/>
      <c r="ACH126"/>
      <c r="ACI126"/>
      <c r="ACJ126"/>
      <c r="ACK126"/>
      <c r="ACL126"/>
      <c r="ACM126"/>
      <c r="ACN126"/>
      <c r="ACO126"/>
      <c r="ACP126"/>
      <c r="ACQ126"/>
      <c r="ACR126"/>
      <c r="ACS126"/>
      <c r="ACT126"/>
      <c r="ACU126"/>
      <c r="ACV126"/>
      <c r="ACW126"/>
      <c r="ACX126"/>
      <c r="ACY126"/>
      <c r="ACZ126"/>
      <c r="ADA126"/>
      <c r="ADB126"/>
      <c r="ADC126"/>
      <c r="ADD126"/>
      <c r="ADE126"/>
      <c r="ADF126"/>
      <c r="ADG126"/>
      <c r="ADH126"/>
      <c r="ADI126"/>
      <c r="ADJ126"/>
      <c r="ADK126"/>
      <c r="ADL126"/>
      <c r="ADM126"/>
      <c r="ADN126"/>
      <c r="ADO126"/>
      <c r="ADP126"/>
      <c r="ADQ126"/>
      <c r="ADR126"/>
      <c r="ADS126"/>
      <c r="ADT126"/>
      <c r="ADU126"/>
      <c r="ADV126"/>
      <c r="ADW126"/>
      <c r="ADX126"/>
      <c r="ADY126"/>
      <c r="ADZ126"/>
      <c r="AEA126"/>
      <c r="AEB126"/>
      <c r="AEC126"/>
      <c r="AED126"/>
      <c r="AEE126"/>
      <c r="AEF126"/>
      <c r="AEG126"/>
      <c r="AEH126"/>
      <c r="AEI126"/>
      <c r="AEJ126"/>
      <c r="AEK126"/>
      <c r="AEL126"/>
      <c r="AEM126"/>
      <c r="AEN126"/>
      <c r="AEO126"/>
      <c r="AEP126"/>
      <c r="AEQ126"/>
      <c r="AER126"/>
      <c r="AES126"/>
      <c r="AET126"/>
      <c r="AEU126"/>
      <c r="AEV126"/>
      <c r="AEW126"/>
      <c r="AEX126"/>
      <c r="AEY126"/>
      <c r="AEZ126"/>
      <c r="AFA126"/>
      <c r="AFB126"/>
      <c r="AFC126"/>
      <c r="AFD126"/>
      <c r="AFE126"/>
      <c r="AFF126"/>
      <c r="AFG126"/>
      <c r="AFH126"/>
      <c r="AFI126"/>
      <c r="AFJ126"/>
      <c r="AFK126"/>
      <c r="AFL126"/>
      <c r="AFM126"/>
      <c r="AFN126"/>
      <c r="AFO126"/>
      <c r="AFP126"/>
      <c r="AFQ126"/>
      <c r="AFR126"/>
      <c r="AFS126"/>
      <c r="AFT126"/>
      <c r="AFU126"/>
      <c r="AFV126"/>
      <c r="AFW126"/>
      <c r="AFX126"/>
      <c r="AFY126"/>
      <c r="AFZ126"/>
      <c r="AGA126"/>
      <c r="AGB126"/>
      <c r="AGC126"/>
      <c r="AGD126"/>
      <c r="AGE126"/>
      <c r="AGF126"/>
      <c r="AGG126"/>
      <c r="AGH126"/>
      <c r="AGI126"/>
      <c r="AGJ126"/>
      <c r="AGK126"/>
      <c r="AGL126"/>
      <c r="AGM126"/>
      <c r="AGN126"/>
      <c r="AGO126"/>
      <c r="AGP126"/>
      <c r="AGQ126"/>
      <c r="AGR126"/>
      <c r="AGS126"/>
      <c r="AGT126"/>
      <c r="AGU126"/>
      <c r="AGV126"/>
      <c r="AGW126"/>
      <c r="AGX126"/>
      <c r="AGY126"/>
      <c r="AGZ126"/>
      <c r="AHA126"/>
      <c r="AHB126"/>
      <c r="AHC126"/>
      <c r="AHD126"/>
      <c r="AHE126"/>
      <c r="AHF126"/>
      <c r="AHG126"/>
      <c r="AHH126"/>
      <c r="AHI126"/>
      <c r="AHJ126"/>
      <c r="AHK126"/>
      <c r="AHL126"/>
      <c r="AHM126"/>
      <c r="AHN126"/>
      <c r="AHO126"/>
      <c r="AHP126"/>
      <c r="AHQ126"/>
      <c r="AHR126"/>
      <c r="AHS126"/>
      <c r="AHT126"/>
      <c r="AHU126"/>
      <c r="AHV126"/>
      <c r="AHW126"/>
      <c r="AHX126"/>
      <c r="AHY126"/>
      <c r="AHZ126"/>
      <c r="AIA126"/>
      <c r="AIB126"/>
      <c r="AIC126"/>
      <c r="AID126"/>
      <c r="AIE126"/>
      <c r="AIF126"/>
      <c r="AIG126"/>
      <c r="AIH126"/>
      <c r="AII126"/>
      <c r="AIJ126"/>
      <c r="AIK126"/>
      <c r="AIL126"/>
      <c r="AIM126"/>
      <c r="AIN126"/>
      <c r="AIO126"/>
      <c r="AIP126"/>
      <c r="AIQ126"/>
      <c r="AIR126"/>
      <c r="AIS126"/>
      <c r="AIT126"/>
      <c r="AIU126"/>
      <c r="AIV126"/>
      <c r="AIW126"/>
      <c r="AIX126"/>
      <c r="AIY126"/>
      <c r="AIZ126"/>
      <c r="AJA126"/>
      <c r="AJB126"/>
      <c r="AJC126"/>
      <c r="AJD126"/>
      <c r="AJE126"/>
      <c r="AJF126"/>
      <c r="AJG126"/>
      <c r="AJH126"/>
      <c r="AJI126"/>
      <c r="AJJ126"/>
      <c r="AJK126"/>
      <c r="AJL126"/>
      <c r="AJM126"/>
      <c r="AJN126"/>
      <c r="AJO126"/>
      <c r="AJP126"/>
      <c r="AJQ126"/>
      <c r="AJR126"/>
      <c r="AJS126"/>
      <c r="AJT126"/>
      <c r="AJU126"/>
      <c r="AJV126"/>
      <c r="AJW126"/>
      <c r="AJX126"/>
      <c r="AJY126"/>
      <c r="AJZ126"/>
      <c r="AKA126"/>
      <c r="AKB126"/>
      <c r="AKC126"/>
      <c r="AKD126"/>
      <c r="AKE126"/>
      <c r="AKF126"/>
      <c r="AKG126"/>
      <c r="AKH126"/>
      <c r="AKI126"/>
      <c r="AKJ126"/>
      <c r="AKK126"/>
      <c r="AKL126"/>
      <c r="AKM126"/>
      <c r="AKN126"/>
      <c r="AKO126"/>
      <c r="AKP126"/>
      <c r="AKQ126"/>
      <c r="AKR126"/>
      <c r="AKS126"/>
      <c r="AKT126"/>
      <c r="AKU126"/>
      <c r="AKV126"/>
      <c r="AKW126"/>
      <c r="AKX126"/>
      <c r="AKY126"/>
      <c r="AKZ126"/>
      <c r="ALA126"/>
      <c r="ALB126"/>
      <c r="ALC126"/>
      <c r="ALD126"/>
      <c r="ALE126"/>
      <c r="ALF126"/>
      <c r="ALG126"/>
      <c r="ALH126"/>
      <c r="ALI126"/>
      <c r="ALJ126"/>
      <c r="ALK126"/>
      <c r="ALL126"/>
      <c r="ALM126"/>
      <c r="ALN126"/>
      <c r="ALO126"/>
      <c r="ALP126"/>
      <c r="ALQ126"/>
      <c r="ALR126"/>
      <c r="ALS126"/>
      <c r="ALT126"/>
      <c r="ALU126"/>
      <c r="ALV126"/>
      <c r="ALW126"/>
      <c r="ALX126"/>
      <c r="ALY126"/>
      <c r="ALZ126"/>
      <c r="AMA126"/>
      <c r="AMB126"/>
      <c r="AMC126"/>
      <c r="AMD126"/>
      <c r="AME126"/>
      <c r="AMF126"/>
      <c r="AMG126"/>
      <c r="AMH126"/>
      <c r="AMI126"/>
      <c r="AMJ126"/>
    </row>
    <row r="127" spans="12:1024" ht="15.95" customHeight="1">
      <c r="L127"/>
      <c r="M127" s="108"/>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c r="MA127"/>
      <c r="MB127"/>
      <c r="MC127"/>
      <c r="MD127"/>
      <c r="ME127"/>
      <c r="MF127"/>
      <c r="MG127"/>
      <c r="MH127"/>
      <c r="MI127"/>
      <c r="MJ127"/>
      <c r="MK127"/>
      <c r="ML127"/>
      <c r="MM127"/>
      <c r="MN127"/>
      <c r="MO127"/>
      <c r="MP127"/>
      <c r="MQ127"/>
      <c r="MR127"/>
      <c r="MS127"/>
      <c r="MT127"/>
      <c r="MU127"/>
      <c r="MV127"/>
      <c r="MW127"/>
      <c r="MX127"/>
      <c r="MY127"/>
      <c r="MZ127"/>
      <c r="NA127"/>
      <c r="NB127"/>
      <c r="NC127"/>
      <c r="ND127"/>
      <c r="NE127"/>
      <c r="NF127"/>
      <c r="NG127"/>
      <c r="NH127"/>
      <c r="NI127"/>
      <c r="NJ127"/>
      <c r="NK127"/>
      <c r="NL127"/>
      <c r="NM127"/>
      <c r="NN127"/>
      <c r="NO127"/>
      <c r="NP127"/>
      <c r="NQ127"/>
      <c r="NR127"/>
      <c r="NS127"/>
      <c r="NT127"/>
      <c r="NU127"/>
      <c r="NV127"/>
      <c r="NW127"/>
      <c r="NX127"/>
      <c r="NY127"/>
      <c r="NZ127"/>
      <c r="OA127"/>
      <c r="OB127"/>
      <c r="OC127"/>
      <c r="OD127"/>
      <c r="OE127"/>
      <c r="OF127"/>
      <c r="OG127"/>
      <c r="OH127"/>
      <c r="OI127"/>
      <c r="OJ127"/>
      <c r="OK127"/>
      <c r="OL127"/>
      <c r="OM127"/>
      <c r="ON127"/>
      <c r="OO127"/>
      <c r="OP127"/>
      <c r="OQ127"/>
      <c r="OR127"/>
      <c r="OS127"/>
      <c r="OT127"/>
      <c r="OU127"/>
      <c r="OV127"/>
      <c r="OW127"/>
      <c r="OX127"/>
      <c r="OY127"/>
      <c r="OZ127"/>
      <c r="PA127"/>
      <c r="PB127"/>
      <c r="PC127"/>
      <c r="PD127"/>
      <c r="PE127"/>
      <c r="PF127"/>
      <c r="PG127"/>
      <c r="PH127"/>
      <c r="PI127"/>
      <c r="PJ127"/>
      <c r="PK127"/>
      <c r="PL127"/>
      <c r="PM127"/>
      <c r="PN127"/>
      <c r="PO127"/>
      <c r="PP127"/>
      <c r="PQ127"/>
      <c r="PR127"/>
      <c r="PS127"/>
      <c r="PT127"/>
      <c r="PU127"/>
      <c r="PV127"/>
      <c r="PW127"/>
      <c r="PX127"/>
      <c r="PY127"/>
      <c r="PZ127"/>
      <c r="QA127"/>
      <c r="QB127"/>
      <c r="QC127"/>
      <c r="QD127"/>
      <c r="QE127"/>
      <c r="QF127"/>
      <c r="QG127"/>
      <c r="QH127"/>
      <c r="QI127"/>
      <c r="QJ127"/>
      <c r="QK127"/>
      <c r="QL127"/>
      <c r="QM127"/>
      <c r="QN127"/>
      <c r="QO127"/>
      <c r="QP127"/>
      <c r="QQ127"/>
      <c r="QR127"/>
      <c r="QS127"/>
      <c r="QT127"/>
      <c r="QU127"/>
      <c r="QV127"/>
      <c r="QW127"/>
      <c r="QX127"/>
      <c r="QY127"/>
      <c r="QZ127"/>
      <c r="RA127"/>
      <c r="RB127"/>
      <c r="RC127"/>
      <c r="RD127"/>
      <c r="RE127"/>
      <c r="RF127"/>
      <c r="RG127"/>
      <c r="RH127"/>
      <c r="RI127"/>
      <c r="RJ127"/>
      <c r="RK127"/>
      <c r="RL127"/>
      <c r="RM127"/>
      <c r="RN127"/>
      <c r="RO127"/>
      <c r="RP127"/>
      <c r="RQ127"/>
      <c r="RR127"/>
      <c r="RS127"/>
      <c r="RT127"/>
      <c r="RU127"/>
      <c r="RV127"/>
      <c r="RW127"/>
      <c r="RX127"/>
      <c r="RY127"/>
      <c r="RZ127"/>
      <c r="SA127"/>
      <c r="SB127"/>
      <c r="SC127"/>
      <c r="SD127"/>
      <c r="SE127"/>
      <c r="SF127"/>
      <c r="SG127"/>
      <c r="SH127"/>
      <c r="SI127"/>
      <c r="SJ127"/>
      <c r="SK127"/>
      <c r="SL127"/>
      <c r="SM127"/>
      <c r="SN127"/>
      <c r="SO127"/>
      <c r="SP127"/>
      <c r="SQ127"/>
      <c r="SR127"/>
      <c r="SS127"/>
      <c r="ST127"/>
      <c r="SU127"/>
      <c r="SV127"/>
      <c r="SW127"/>
      <c r="SX127"/>
      <c r="SY127"/>
      <c r="SZ127"/>
      <c r="TA127"/>
      <c r="TB127"/>
      <c r="TC127"/>
      <c r="TD127"/>
      <c r="TE127"/>
      <c r="TF127"/>
      <c r="TG127"/>
      <c r="TH127"/>
      <c r="TI127"/>
      <c r="TJ127"/>
      <c r="TK127"/>
      <c r="TL127"/>
      <c r="TM127"/>
      <c r="TN127"/>
      <c r="TO127"/>
      <c r="TP127"/>
      <c r="TQ127"/>
      <c r="TR127"/>
      <c r="TS127"/>
      <c r="TT127"/>
      <c r="TU127"/>
      <c r="TV127"/>
      <c r="TW127"/>
      <c r="TX127"/>
      <c r="TY127"/>
      <c r="TZ127"/>
      <c r="UA127"/>
      <c r="UB127"/>
      <c r="UC127"/>
      <c r="UD127"/>
      <c r="UE127"/>
      <c r="UF127"/>
      <c r="UG127"/>
      <c r="UH127"/>
      <c r="UI127"/>
      <c r="UJ127"/>
      <c r="UK127"/>
      <c r="UL127"/>
      <c r="UM127"/>
      <c r="UN127"/>
      <c r="UO127"/>
      <c r="UP127"/>
      <c r="UQ127"/>
      <c r="UR127"/>
      <c r="US127"/>
      <c r="UT127"/>
      <c r="UU127"/>
      <c r="UV127"/>
      <c r="UW127"/>
      <c r="UX127"/>
      <c r="UY127"/>
      <c r="UZ127"/>
      <c r="VA127"/>
      <c r="VB127"/>
      <c r="VC127"/>
      <c r="VD127"/>
      <c r="VE127"/>
      <c r="VF127"/>
      <c r="VG127"/>
      <c r="VH127"/>
      <c r="VI127"/>
      <c r="VJ127"/>
      <c r="VK127"/>
      <c r="VL127"/>
      <c r="VM127"/>
      <c r="VN127"/>
      <c r="VO127"/>
      <c r="VP127"/>
      <c r="VQ127"/>
      <c r="VR127"/>
      <c r="VS127"/>
      <c r="VT127"/>
      <c r="VU127"/>
      <c r="VV127"/>
      <c r="VW127"/>
      <c r="VX127"/>
      <c r="VY127"/>
      <c r="VZ127"/>
      <c r="WA127"/>
      <c r="WB127"/>
      <c r="WC127"/>
      <c r="WD127"/>
      <c r="WE127"/>
      <c r="WF127"/>
      <c r="WG127"/>
      <c r="WH127"/>
      <c r="WI127"/>
      <c r="WJ127"/>
      <c r="WK127"/>
      <c r="WL127"/>
      <c r="WM127"/>
      <c r="WN127"/>
      <c r="WO127"/>
      <c r="WP127"/>
      <c r="WQ127"/>
      <c r="WR127"/>
      <c r="WS127"/>
      <c r="WT127"/>
      <c r="WU127"/>
      <c r="WV127"/>
      <c r="WW127"/>
      <c r="WX127"/>
      <c r="WY127"/>
      <c r="WZ127"/>
      <c r="XA127"/>
      <c r="XB127"/>
      <c r="XC127"/>
      <c r="XD127"/>
      <c r="XE127"/>
      <c r="XF127"/>
      <c r="XG127"/>
      <c r="XH127"/>
      <c r="XI127"/>
      <c r="XJ127"/>
      <c r="XK127"/>
      <c r="XL127"/>
      <c r="XM127"/>
      <c r="XN127"/>
      <c r="XO127"/>
      <c r="XP127"/>
      <c r="XQ127"/>
      <c r="XR127"/>
      <c r="XS127"/>
      <c r="XT127"/>
      <c r="XU127"/>
      <c r="XV127"/>
      <c r="XW127"/>
      <c r="XX127"/>
      <c r="XY127"/>
      <c r="XZ127"/>
      <c r="YA127"/>
      <c r="YB127"/>
      <c r="YC127"/>
      <c r="YD127"/>
      <c r="YE127"/>
      <c r="YF127"/>
      <c r="YG127"/>
      <c r="YH127"/>
      <c r="YI127"/>
      <c r="YJ127"/>
      <c r="YK127"/>
      <c r="YL127"/>
      <c r="YM127"/>
      <c r="YN127"/>
      <c r="YO127"/>
      <c r="YP127"/>
      <c r="YQ127"/>
      <c r="YR127"/>
      <c r="YS127"/>
      <c r="YT127"/>
      <c r="YU127"/>
      <c r="YV127"/>
      <c r="YW127"/>
      <c r="YX127"/>
      <c r="YY127"/>
      <c r="YZ127"/>
      <c r="ZA127"/>
      <c r="ZB127"/>
      <c r="ZC127"/>
      <c r="ZD127"/>
      <c r="ZE127"/>
      <c r="ZF127"/>
      <c r="ZG127"/>
      <c r="ZH127"/>
      <c r="ZI127"/>
      <c r="ZJ127"/>
      <c r="ZK127"/>
      <c r="ZL127"/>
      <c r="ZM127"/>
      <c r="ZN127"/>
      <c r="ZO127"/>
      <c r="ZP127"/>
      <c r="ZQ127"/>
      <c r="ZR127"/>
      <c r="ZS127"/>
      <c r="ZT127"/>
      <c r="ZU127"/>
      <c r="ZV127"/>
      <c r="ZW127"/>
      <c r="ZX127"/>
      <c r="ZY127"/>
      <c r="ZZ127"/>
      <c r="AAA127"/>
      <c r="AAB127"/>
      <c r="AAC127"/>
      <c r="AAD127"/>
      <c r="AAE127"/>
      <c r="AAF127"/>
      <c r="AAG127"/>
      <c r="AAH127"/>
      <c r="AAI127"/>
      <c r="AAJ127"/>
      <c r="AAK127"/>
      <c r="AAL127"/>
      <c r="AAM127"/>
      <c r="AAN127"/>
      <c r="AAO127"/>
      <c r="AAP127"/>
      <c r="AAQ127"/>
      <c r="AAR127"/>
      <c r="AAS127"/>
      <c r="AAT127"/>
      <c r="AAU127"/>
      <c r="AAV127"/>
      <c r="AAW127"/>
      <c r="AAX127"/>
      <c r="AAY127"/>
      <c r="AAZ127"/>
      <c r="ABA127"/>
      <c r="ABB127"/>
      <c r="ABC127"/>
      <c r="ABD127"/>
      <c r="ABE127"/>
      <c r="ABF127"/>
      <c r="ABG127"/>
      <c r="ABH127"/>
      <c r="ABI127"/>
      <c r="ABJ127"/>
      <c r="ABK127"/>
      <c r="ABL127"/>
      <c r="ABM127"/>
      <c r="ABN127"/>
      <c r="ABO127"/>
      <c r="ABP127"/>
      <c r="ABQ127"/>
      <c r="ABR127"/>
      <c r="ABS127"/>
      <c r="ABT127"/>
      <c r="ABU127"/>
      <c r="ABV127"/>
      <c r="ABW127"/>
      <c r="ABX127"/>
      <c r="ABY127"/>
      <c r="ABZ127"/>
      <c r="ACA127"/>
      <c r="ACB127"/>
      <c r="ACC127"/>
      <c r="ACD127"/>
      <c r="ACE127"/>
      <c r="ACF127"/>
      <c r="ACG127"/>
      <c r="ACH127"/>
      <c r="ACI127"/>
      <c r="ACJ127"/>
      <c r="ACK127"/>
      <c r="ACL127"/>
      <c r="ACM127"/>
      <c r="ACN127"/>
      <c r="ACO127"/>
      <c r="ACP127"/>
      <c r="ACQ127"/>
      <c r="ACR127"/>
      <c r="ACS127"/>
      <c r="ACT127"/>
      <c r="ACU127"/>
      <c r="ACV127"/>
      <c r="ACW127"/>
      <c r="ACX127"/>
      <c r="ACY127"/>
      <c r="ACZ127"/>
      <c r="ADA127"/>
      <c r="ADB127"/>
      <c r="ADC127"/>
      <c r="ADD127"/>
      <c r="ADE127"/>
      <c r="ADF127"/>
      <c r="ADG127"/>
      <c r="ADH127"/>
      <c r="ADI127"/>
      <c r="ADJ127"/>
      <c r="ADK127"/>
      <c r="ADL127"/>
      <c r="ADM127"/>
      <c r="ADN127"/>
      <c r="ADO127"/>
      <c r="ADP127"/>
      <c r="ADQ127"/>
      <c r="ADR127"/>
      <c r="ADS127"/>
      <c r="ADT127"/>
      <c r="ADU127"/>
      <c r="ADV127"/>
      <c r="ADW127"/>
      <c r="ADX127"/>
      <c r="ADY127"/>
      <c r="ADZ127"/>
      <c r="AEA127"/>
      <c r="AEB127"/>
      <c r="AEC127"/>
      <c r="AED127"/>
      <c r="AEE127"/>
      <c r="AEF127"/>
      <c r="AEG127"/>
      <c r="AEH127"/>
      <c r="AEI127"/>
      <c r="AEJ127"/>
      <c r="AEK127"/>
      <c r="AEL127"/>
      <c r="AEM127"/>
      <c r="AEN127"/>
      <c r="AEO127"/>
      <c r="AEP127"/>
      <c r="AEQ127"/>
      <c r="AER127"/>
      <c r="AES127"/>
      <c r="AET127"/>
      <c r="AEU127"/>
      <c r="AEV127"/>
      <c r="AEW127"/>
      <c r="AEX127"/>
      <c r="AEY127"/>
      <c r="AEZ127"/>
      <c r="AFA127"/>
      <c r="AFB127"/>
      <c r="AFC127"/>
      <c r="AFD127"/>
      <c r="AFE127"/>
      <c r="AFF127"/>
      <c r="AFG127"/>
      <c r="AFH127"/>
      <c r="AFI127"/>
      <c r="AFJ127"/>
      <c r="AFK127"/>
      <c r="AFL127"/>
      <c r="AFM127"/>
      <c r="AFN127"/>
      <c r="AFO127"/>
      <c r="AFP127"/>
      <c r="AFQ127"/>
      <c r="AFR127"/>
      <c r="AFS127"/>
      <c r="AFT127"/>
      <c r="AFU127"/>
      <c r="AFV127"/>
      <c r="AFW127"/>
      <c r="AFX127"/>
      <c r="AFY127"/>
      <c r="AFZ127"/>
      <c r="AGA127"/>
      <c r="AGB127"/>
      <c r="AGC127"/>
      <c r="AGD127"/>
      <c r="AGE127"/>
      <c r="AGF127"/>
      <c r="AGG127"/>
      <c r="AGH127"/>
      <c r="AGI127"/>
      <c r="AGJ127"/>
      <c r="AGK127"/>
      <c r="AGL127"/>
      <c r="AGM127"/>
      <c r="AGN127"/>
      <c r="AGO127"/>
      <c r="AGP127"/>
      <c r="AGQ127"/>
      <c r="AGR127"/>
      <c r="AGS127"/>
      <c r="AGT127"/>
      <c r="AGU127"/>
      <c r="AGV127"/>
      <c r="AGW127"/>
      <c r="AGX127"/>
      <c r="AGY127"/>
      <c r="AGZ127"/>
      <c r="AHA127"/>
      <c r="AHB127"/>
      <c r="AHC127"/>
      <c r="AHD127"/>
      <c r="AHE127"/>
      <c r="AHF127"/>
      <c r="AHG127"/>
      <c r="AHH127"/>
      <c r="AHI127"/>
      <c r="AHJ127"/>
      <c r="AHK127"/>
      <c r="AHL127"/>
      <c r="AHM127"/>
      <c r="AHN127"/>
      <c r="AHO127"/>
      <c r="AHP127"/>
      <c r="AHQ127"/>
      <c r="AHR127"/>
      <c r="AHS127"/>
      <c r="AHT127"/>
      <c r="AHU127"/>
      <c r="AHV127"/>
      <c r="AHW127"/>
      <c r="AHX127"/>
      <c r="AHY127"/>
      <c r="AHZ127"/>
      <c r="AIA127"/>
      <c r="AIB127"/>
      <c r="AIC127"/>
      <c r="AID127"/>
      <c r="AIE127"/>
      <c r="AIF127"/>
      <c r="AIG127"/>
      <c r="AIH127"/>
      <c r="AII127"/>
      <c r="AIJ127"/>
      <c r="AIK127"/>
      <c r="AIL127"/>
      <c r="AIM127"/>
      <c r="AIN127"/>
      <c r="AIO127"/>
      <c r="AIP127"/>
      <c r="AIQ127"/>
      <c r="AIR127"/>
      <c r="AIS127"/>
      <c r="AIT127"/>
      <c r="AIU127"/>
      <c r="AIV127"/>
      <c r="AIW127"/>
      <c r="AIX127"/>
      <c r="AIY127"/>
      <c r="AIZ127"/>
      <c r="AJA127"/>
      <c r="AJB127"/>
      <c r="AJC127"/>
      <c r="AJD127"/>
      <c r="AJE127"/>
      <c r="AJF127"/>
      <c r="AJG127"/>
      <c r="AJH127"/>
      <c r="AJI127"/>
      <c r="AJJ127"/>
      <c r="AJK127"/>
      <c r="AJL127"/>
      <c r="AJM127"/>
      <c r="AJN127"/>
      <c r="AJO127"/>
      <c r="AJP127"/>
      <c r="AJQ127"/>
      <c r="AJR127"/>
      <c r="AJS127"/>
      <c r="AJT127"/>
      <c r="AJU127"/>
      <c r="AJV127"/>
      <c r="AJW127"/>
      <c r="AJX127"/>
      <c r="AJY127"/>
      <c r="AJZ127"/>
      <c r="AKA127"/>
      <c r="AKB127"/>
      <c r="AKC127"/>
      <c r="AKD127"/>
      <c r="AKE127"/>
      <c r="AKF127"/>
      <c r="AKG127"/>
      <c r="AKH127"/>
      <c r="AKI127"/>
      <c r="AKJ127"/>
      <c r="AKK127"/>
      <c r="AKL127"/>
      <c r="AKM127"/>
      <c r="AKN127"/>
      <c r="AKO127"/>
      <c r="AKP127"/>
      <c r="AKQ127"/>
      <c r="AKR127"/>
      <c r="AKS127"/>
      <c r="AKT127"/>
      <c r="AKU127"/>
      <c r="AKV127"/>
      <c r="AKW127"/>
      <c r="AKX127"/>
      <c r="AKY127"/>
      <c r="AKZ127"/>
      <c r="ALA127"/>
      <c r="ALB127"/>
      <c r="ALC127"/>
      <c r="ALD127"/>
      <c r="ALE127"/>
      <c r="ALF127"/>
      <c r="ALG127"/>
      <c r="ALH127"/>
      <c r="ALI127"/>
      <c r="ALJ127"/>
      <c r="ALK127"/>
      <c r="ALL127"/>
      <c r="ALM127"/>
      <c r="ALN127"/>
      <c r="ALO127"/>
      <c r="ALP127"/>
      <c r="ALQ127"/>
      <c r="ALR127"/>
      <c r="ALS127"/>
      <c r="ALT127"/>
      <c r="ALU127"/>
      <c r="ALV127"/>
      <c r="ALW127"/>
      <c r="ALX127"/>
      <c r="ALY127"/>
      <c r="ALZ127"/>
      <c r="AMA127"/>
      <c r="AMB127"/>
      <c r="AMC127"/>
      <c r="AMD127"/>
      <c r="AME127"/>
      <c r="AMF127"/>
      <c r="AMG127"/>
      <c r="AMH127"/>
      <c r="AMI127"/>
      <c r="AMJ127"/>
    </row>
    <row r="128" spans="12:1024" ht="15.95" customHeight="1">
      <c r="L128"/>
      <c r="M128" s="10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c r="MA128"/>
      <c r="MB128"/>
      <c r="MC128"/>
      <c r="MD128"/>
      <c r="ME128"/>
      <c r="MF128"/>
      <c r="MG128"/>
      <c r="MH128"/>
      <c r="MI128"/>
      <c r="MJ128"/>
      <c r="MK128"/>
      <c r="ML128"/>
      <c r="MM128"/>
      <c r="MN128"/>
      <c r="MO128"/>
      <c r="MP128"/>
      <c r="MQ128"/>
      <c r="MR128"/>
      <c r="MS128"/>
      <c r="MT128"/>
      <c r="MU128"/>
      <c r="MV128"/>
      <c r="MW128"/>
      <c r="MX128"/>
      <c r="MY128"/>
      <c r="MZ128"/>
      <c r="NA128"/>
      <c r="NB128"/>
      <c r="NC128"/>
      <c r="ND128"/>
      <c r="NE128"/>
      <c r="NF128"/>
      <c r="NG128"/>
      <c r="NH128"/>
      <c r="NI128"/>
      <c r="NJ128"/>
      <c r="NK128"/>
      <c r="NL128"/>
      <c r="NM128"/>
      <c r="NN128"/>
      <c r="NO128"/>
      <c r="NP128"/>
      <c r="NQ128"/>
      <c r="NR128"/>
      <c r="NS128"/>
      <c r="NT128"/>
      <c r="NU128"/>
      <c r="NV128"/>
      <c r="NW128"/>
      <c r="NX128"/>
      <c r="NY128"/>
      <c r="NZ128"/>
      <c r="OA128"/>
      <c r="OB128"/>
      <c r="OC128"/>
      <c r="OD128"/>
      <c r="OE128"/>
      <c r="OF128"/>
      <c r="OG128"/>
      <c r="OH128"/>
      <c r="OI128"/>
      <c r="OJ128"/>
      <c r="OK128"/>
      <c r="OL128"/>
      <c r="OM128"/>
      <c r="ON128"/>
      <c r="OO128"/>
      <c r="OP128"/>
      <c r="OQ128"/>
      <c r="OR128"/>
      <c r="OS128"/>
      <c r="OT128"/>
      <c r="OU128"/>
      <c r="OV128"/>
      <c r="OW128"/>
      <c r="OX128"/>
      <c r="OY128"/>
      <c r="OZ128"/>
      <c r="PA128"/>
      <c r="PB128"/>
      <c r="PC128"/>
      <c r="PD128"/>
      <c r="PE128"/>
      <c r="PF128"/>
      <c r="PG128"/>
      <c r="PH128"/>
      <c r="PI128"/>
      <c r="PJ128"/>
      <c r="PK128"/>
      <c r="PL128"/>
      <c r="PM128"/>
      <c r="PN128"/>
      <c r="PO128"/>
      <c r="PP128"/>
      <c r="PQ128"/>
      <c r="PR128"/>
      <c r="PS128"/>
      <c r="PT128"/>
      <c r="PU128"/>
      <c r="PV128"/>
      <c r="PW128"/>
      <c r="PX128"/>
      <c r="PY128"/>
      <c r="PZ128"/>
      <c r="QA128"/>
      <c r="QB128"/>
      <c r="QC128"/>
      <c r="QD128"/>
      <c r="QE128"/>
      <c r="QF128"/>
      <c r="QG128"/>
      <c r="QH128"/>
      <c r="QI128"/>
      <c r="QJ128"/>
      <c r="QK128"/>
      <c r="QL128"/>
      <c r="QM128"/>
      <c r="QN128"/>
      <c r="QO128"/>
      <c r="QP128"/>
      <c r="QQ128"/>
      <c r="QR128"/>
      <c r="QS128"/>
      <c r="QT128"/>
      <c r="QU128"/>
      <c r="QV128"/>
      <c r="QW128"/>
      <c r="QX128"/>
      <c r="QY128"/>
      <c r="QZ128"/>
      <c r="RA128"/>
      <c r="RB128"/>
      <c r="RC128"/>
      <c r="RD128"/>
      <c r="RE128"/>
      <c r="RF128"/>
      <c r="RG128"/>
      <c r="RH128"/>
      <c r="RI128"/>
      <c r="RJ128"/>
      <c r="RK128"/>
      <c r="RL128"/>
      <c r="RM128"/>
      <c r="RN128"/>
      <c r="RO128"/>
      <c r="RP128"/>
      <c r="RQ128"/>
      <c r="RR128"/>
      <c r="RS128"/>
      <c r="RT128"/>
      <c r="RU128"/>
      <c r="RV128"/>
      <c r="RW128"/>
      <c r="RX128"/>
      <c r="RY128"/>
      <c r="RZ128"/>
      <c r="SA128"/>
      <c r="SB128"/>
      <c r="SC128"/>
      <c r="SD128"/>
      <c r="SE128"/>
      <c r="SF128"/>
      <c r="SG128"/>
      <c r="SH128"/>
      <c r="SI128"/>
      <c r="SJ128"/>
      <c r="SK128"/>
      <c r="SL128"/>
      <c r="SM128"/>
      <c r="SN128"/>
      <c r="SO128"/>
      <c r="SP128"/>
      <c r="SQ128"/>
      <c r="SR128"/>
      <c r="SS128"/>
      <c r="ST128"/>
      <c r="SU128"/>
      <c r="SV128"/>
      <c r="SW128"/>
      <c r="SX128"/>
      <c r="SY128"/>
      <c r="SZ128"/>
      <c r="TA128"/>
      <c r="TB128"/>
      <c r="TC128"/>
      <c r="TD128"/>
      <c r="TE128"/>
      <c r="TF128"/>
      <c r="TG128"/>
      <c r="TH128"/>
      <c r="TI128"/>
      <c r="TJ128"/>
      <c r="TK128"/>
      <c r="TL128"/>
      <c r="TM128"/>
      <c r="TN128"/>
      <c r="TO128"/>
      <c r="TP128"/>
      <c r="TQ128"/>
      <c r="TR128"/>
      <c r="TS128"/>
      <c r="TT128"/>
      <c r="TU128"/>
      <c r="TV128"/>
      <c r="TW128"/>
      <c r="TX128"/>
      <c r="TY128"/>
      <c r="TZ128"/>
      <c r="UA128"/>
      <c r="UB128"/>
      <c r="UC128"/>
      <c r="UD128"/>
      <c r="UE128"/>
      <c r="UF128"/>
      <c r="UG128"/>
      <c r="UH128"/>
      <c r="UI128"/>
      <c r="UJ128"/>
      <c r="UK128"/>
      <c r="UL128"/>
      <c r="UM128"/>
      <c r="UN128"/>
      <c r="UO128"/>
      <c r="UP128"/>
      <c r="UQ128"/>
      <c r="UR128"/>
      <c r="US128"/>
      <c r="UT128"/>
      <c r="UU128"/>
      <c r="UV128"/>
      <c r="UW128"/>
      <c r="UX128"/>
      <c r="UY128"/>
      <c r="UZ128"/>
      <c r="VA128"/>
      <c r="VB128"/>
      <c r="VC128"/>
      <c r="VD128"/>
      <c r="VE128"/>
      <c r="VF128"/>
      <c r="VG128"/>
      <c r="VH128"/>
      <c r="VI128"/>
      <c r="VJ128"/>
      <c r="VK128"/>
      <c r="VL128"/>
      <c r="VM128"/>
      <c r="VN128"/>
      <c r="VO128"/>
      <c r="VP128"/>
      <c r="VQ128"/>
      <c r="VR128"/>
      <c r="VS128"/>
      <c r="VT128"/>
      <c r="VU128"/>
      <c r="VV128"/>
      <c r="VW128"/>
      <c r="VX128"/>
      <c r="VY128"/>
      <c r="VZ128"/>
      <c r="WA128"/>
      <c r="WB128"/>
      <c r="WC128"/>
      <c r="WD128"/>
      <c r="WE128"/>
      <c r="WF128"/>
      <c r="WG128"/>
      <c r="WH128"/>
      <c r="WI128"/>
      <c r="WJ128"/>
      <c r="WK128"/>
      <c r="WL128"/>
      <c r="WM128"/>
      <c r="WN128"/>
      <c r="WO128"/>
      <c r="WP128"/>
      <c r="WQ128"/>
      <c r="WR128"/>
      <c r="WS128"/>
      <c r="WT128"/>
      <c r="WU128"/>
      <c r="WV128"/>
      <c r="WW128"/>
      <c r="WX128"/>
      <c r="WY128"/>
      <c r="WZ128"/>
      <c r="XA128"/>
      <c r="XB128"/>
      <c r="XC128"/>
      <c r="XD128"/>
      <c r="XE128"/>
      <c r="XF128"/>
      <c r="XG128"/>
      <c r="XH128"/>
      <c r="XI128"/>
      <c r="XJ128"/>
      <c r="XK128"/>
      <c r="XL128"/>
      <c r="XM128"/>
      <c r="XN128"/>
      <c r="XO128"/>
      <c r="XP128"/>
      <c r="XQ128"/>
      <c r="XR128"/>
      <c r="XS128"/>
      <c r="XT128"/>
      <c r="XU128"/>
      <c r="XV128"/>
      <c r="XW128"/>
      <c r="XX128"/>
      <c r="XY128"/>
      <c r="XZ128"/>
      <c r="YA128"/>
      <c r="YB128"/>
      <c r="YC128"/>
      <c r="YD128"/>
      <c r="YE128"/>
      <c r="YF128"/>
      <c r="YG128"/>
      <c r="YH128"/>
      <c r="YI128"/>
      <c r="YJ128"/>
      <c r="YK128"/>
      <c r="YL128"/>
      <c r="YM128"/>
      <c r="YN128"/>
      <c r="YO128"/>
      <c r="YP128"/>
      <c r="YQ128"/>
      <c r="YR128"/>
      <c r="YS128"/>
      <c r="YT128"/>
      <c r="YU128"/>
      <c r="YV128"/>
      <c r="YW128"/>
      <c r="YX128"/>
      <c r="YY128"/>
      <c r="YZ128"/>
      <c r="ZA128"/>
      <c r="ZB128"/>
      <c r="ZC128"/>
      <c r="ZD128"/>
      <c r="ZE128"/>
      <c r="ZF128"/>
      <c r="ZG128"/>
      <c r="ZH128"/>
      <c r="ZI128"/>
      <c r="ZJ128"/>
      <c r="ZK128"/>
      <c r="ZL128"/>
      <c r="ZM128"/>
      <c r="ZN128"/>
      <c r="ZO128"/>
      <c r="ZP128"/>
      <c r="ZQ128"/>
      <c r="ZR128"/>
      <c r="ZS128"/>
      <c r="ZT128"/>
      <c r="ZU128"/>
      <c r="ZV128"/>
      <c r="ZW128"/>
      <c r="ZX128"/>
      <c r="ZY128"/>
      <c r="ZZ128"/>
      <c r="AAA128"/>
      <c r="AAB128"/>
      <c r="AAC128"/>
      <c r="AAD128"/>
      <c r="AAE128"/>
      <c r="AAF128"/>
      <c r="AAG128"/>
      <c r="AAH128"/>
      <c r="AAI128"/>
      <c r="AAJ128"/>
      <c r="AAK128"/>
      <c r="AAL128"/>
      <c r="AAM128"/>
      <c r="AAN128"/>
      <c r="AAO128"/>
      <c r="AAP128"/>
      <c r="AAQ128"/>
      <c r="AAR128"/>
      <c r="AAS128"/>
      <c r="AAT128"/>
      <c r="AAU128"/>
      <c r="AAV128"/>
      <c r="AAW128"/>
      <c r="AAX128"/>
      <c r="AAY128"/>
      <c r="AAZ128"/>
      <c r="ABA128"/>
      <c r="ABB128"/>
      <c r="ABC128"/>
      <c r="ABD128"/>
      <c r="ABE128"/>
      <c r="ABF128"/>
      <c r="ABG128"/>
      <c r="ABH128"/>
      <c r="ABI128"/>
      <c r="ABJ128"/>
      <c r="ABK128"/>
      <c r="ABL128"/>
      <c r="ABM128"/>
      <c r="ABN128"/>
      <c r="ABO128"/>
      <c r="ABP128"/>
      <c r="ABQ128"/>
      <c r="ABR128"/>
      <c r="ABS128"/>
      <c r="ABT128"/>
      <c r="ABU128"/>
      <c r="ABV128"/>
      <c r="ABW128"/>
      <c r="ABX128"/>
      <c r="ABY128"/>
      <c r="ABZ128"/>
      <c r="ACA128"/>
      <c r="ACB128"/>
      <c r="ACC128"/>
      <c r="ACD128"/>
      <c r="ACE128"/>
      <c r="ACF128"/>
      <c r="ACG128"/>
      <c r="ACH128"/>
      <c r="ACI128"/>
      <c r="ACJ128"/>
      <c r="ACK128"/>
      <c r="ACL128"/>
      <c r="ACM128"/>
      <c r="ACN128"/>
      <c r="ACO128"/>
      <c r="ACP128"/>
      <c r="ACQ128"/>
      <c r="ACR128"/>
      <c r="ACS128"/>
      <c r="ACT128"/>
      <c r="ACU128"/>
      <c r="ACV128"/>
      <c r="ACW128"/>
      <c r="ACX128"/>
      <c r="ACY128"/>
      <c r="ACZ128"/>
      <c r="ADA128"/>
      <c r="ADB128"/>
      <c r="ADC128"/>
      <c r="ADD128"/>
      <c r="ADE128"/>
      <c r="ADF128"/>
      <c r="ADG128"/>
      <c r="ADH128"/>
      <c r="ADI128"/>
      <c r="ADJ128"/>
      <c r="ADK128"/>
      <c r="ADL128"/>
      <c r="ADM128"/>
      <c r="ADN128"/>
      <c r="ADO128"/>
      <c r="ADP128"/>
      <c r="ADQ128"/>
      <c r="ADR128"/>
      <c r="ADS128"/>
      <c r="ADT128"/>
      <c r="ADU128"/>
      <c r="ADV128"/>
      <c r="ADW128"/>
      <c r="ADX128"/>
      <c r="ADY128"/>
      <c r="ADZ128"/>
      <c r="AEA128"/>
      <c r="AEB128"/>
      <c r="AEC128"/>
      <c r="AED128"/>
      <c r="AEE128"/>
      <c r="AEF128"/>
      <c r="AEG128"/>
      <c r="AEH128"/>
      <c r="AEI128"/>
      <c r="AEJ128"/>
      <c r="AEK128"/>
      <c r="AEL128"/>
      <c r="AEM128"/>
      <c r="AEN128"/>
      <c r="AEO128"/>
      <c r="AEP128"/>
      <c r="AEQ128"/>
      <c r="AER128"/>
      <c r="AES128"/>
      <c r="AET128"/>
      <c r="AEU128"/>
      <c r="AEV128"/>
      <c r="AEW128"/>
      <c r="AEX128"/>
      <c r="AEY128"/>
      <c r="AEZ128"/>
      <c r="AFA128"/>
      <c r="AFB128"/>
      <c r="AFC128"/>
      <c r="AFD128"/>
      <c r="AFE128"/>
      <c r="AFF128"/>
      <c r="AFG128"/>
      <c r="AFH128"/>
      <c r="AFI128"/>
      <c r="AFJ128"/>
      <c r="AFK128"/>
      <c r="AFL128"/>
      <c r="AFM128"/>
      <c r="AFN128"/>
      <c r="AFO128"/>
      <c r="AFP128"/>
      <c r="AFQ128"/>
      <c r="AFR128"/>
      <c r="AFS128"/>
      <c r="AFT128"/>
      <c r="AFU128"/>
      <c r="AFV128"/>
      <c r="AFW128"/>
      <c r="AFX128"/>
      <c r="AFY128"/>
      <c r="AFZ128"/>
      <c r="AGA128"/>
      <c r="AGB128"/>
      <c r="AGC128"/>
      <c r="AGD128"/>
      <c r="AGE128"/>
      <c r="AGF128"/>
      <c r="AGG128"/>
      <c r="AGH128"/>
      <c r="AGI128"/>
      <c r="AGJ128"/>
      <c r="AGK128"/>
      <c r="AGL128"/>
      <c r="AGM128"/>
      <c r="AGN128"/>
      <c r="AGO128"/>
      <c r="AGP128"/>
      <c r="AGQ128"/>
      <c r="AGR128"/>
      <c r="AGS128"/>
      <c r="AGT128"/>
      <c r="AGU128"/>
      <c r="AGV128"/>
      <c r="AGW128"/>
      <c r="AGX128"/>
      <c r="AGY128"/>
      <c r="AGZ128"/>
      <c r="AHA128"/>
      <c r="AHB128"/>
      <c r="AHC128"/>
      <c r="AHD128"/>
      <c r="AHE128"/>
      <c r="AHF128"/>
      <c r="AHG128"/>
      <c r="AHH128"/>
      <c r="AHI128"/>
      <c r="AHJ128"/>
      <c r="AHK128"/>
      <c r="AHL128"/>
      <c r="AHM128"/>
      <c r="AHN128"/>
      <c r="AHO128"/>
      <c r="AHP128"/>
      <c r="AHQ128"/>
      <c r="AHR128"/>
      <c r="AHS128"/>
      <c r="AHT128"/>
      <c r="AHU128"/>
      <c r="AHV128"/>
      <c r="AHW128"/>
      <c r="AHX128"/>
      <c r="AHY128"/>
      <c r="AHZ128"/>
      <c r="AIA128"/>
      <c r="AIB128"/>
      <c r="AIC128"/>
      <c r="AID128"/>
      <c r="AIE128"/>
      <c r="AIF128"/>
      <c r="AIG128"/>
      <c r="AIH128"/>
      <c r="AII128"/>
      <c r="AIJ128"/>
      <c r="AIK128"/>
      <c r="AIL128"/>
      <c r="AIM128"/>
      <c r="AIN128"/>
      <c r="AIO128"/>
      <c r="AIP128"/>
      <c r="AIQ128"/>
      <c r="AIR128"/>
      <c r="AIS128"/>
      <c r="AIT128"/>
      <c r="AIU128"/>
      <c r="AIV128"/>
      <c r="AIW128"/>
      <c r="AIX128"/>
      <c r="AIY128"/>
      <c r="AIZ128"/>
      <c r="AJA128"/>
      <c r="AJB128"/>
      <c r="AJC128"/>
      <c r="AJD128"/>
      <c r="AJE128"/>
      <c r="AJF128"/>
      <c r="AJG128"/>
      <c r="AJH128"/>
      <c r="AJI128"/>
      <c r="AJJ128"/>
      <c r="AJK128"/>
      <c r="AJL128"/>
      <c r="AJM128"/>
      <c r="AJN128"/>
      <c r="AJO128"/>
      <c r="AJP128"/>
      <c r="AJQ128"/>
      <c r="AJR128"/>
      <c r="AJS128"/>
      <c r="AJT128"/>
      <c r="AJU128"/>
      <c r="AJV128"/>
      <c r="AJW128"/>
      <c r="AJX128"/>
      <c r="AJY128"/>
      <c r="AJZ128"/>
      <c r="AKA128"/>
      <c r="AKB128"/>
      <c r="AKC128"/>
      <c r="AKD128"/>
      <c r="AKE128"/>
      <c r="AKF128"/>
      <c r="AKG128"/>
      <c r="AKH128"/>
      <c r="AKI128"/>
      <c r="AKJ128"/>
      <c r="AKK128"/>
      <c r="AKL128"/>
      <c r="AKM128"/>
      <c r="AKN128"/>
      <c r="AKO128"/>
      <c r="AKP128"/>
      <c r="AKQ128"/>
      <c r="AKR128"/>
      <c r="AKS128"/>
      <c r="AKT128"/>
      <c r="AKU128"/>
      <c r="AKV128"/>
      <c r="AKW128"/>
      <c r="AKX128"/>
      <c r="AKY128"/>
      <c r="AKZ128"/>
      <c r="ALA128"/>
      <c r="ALB128"/>
      <c r="ALC128"/>
      <c r="ALD128"/>
      <c r="ALE128"/>
      <c r="ALF128"/>
      <c r="ALG128"/>
      <c r="ALH128"/>
      <c r="ALI128"/>
      <c r="ALJ128"/>
      <c r="ALK128"/>
      <c r="ALL128"/>
      <c r="ALM128"/>
      <c r="ALN128"/>
      <c r="ALO128"/>
      <c r="ALP128"/>
      <c r="ALQ128"/>
      <c r="ALR128"/>
      <c r="ALS128"/>
      <c r="ALT128"/>
      <c r="ALU128"/>
      <c r="ALV128"/>
      <c r="ALW128"/>
      <c r="ALX128"/>
      <c r="ALY128"/>
      <c r="ALZ128"/>
      <c r="AMA128"/>
      <c r="AMB128"/>
      <c r="AMC128"/>
      <c r="AMD128"/>
      <c r="AME128"/>
      <c r="AMF128"/>
      <c r="AMG128"/>
      <c r="AMH128"/>
      <c r="AMI128"/>
      <c r="AMJ128"/>
    </row>
    <row r="129" spans="12:1024" ht="15.95" customHeight="1">
      <c r="L129"/>
      <c r="M129" s="108"/>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c r="MA129"/>
      <c r="MB129"/>
      <c r="MC129"/>
      <c r="MD129"/>
      <c r="ME129"/>
      <c r="MF129"/>
      <c r="MG129"/>
      <c r="MH129"/>
      <c r="MI129"/>
      <c r="MJ129"/>
      <c r="MK129"/>
      <c r="ML129"/>
      <c r="MM129"/>
      <c r="MN129"/>
      <c r="MO129"/>
      <c r="MP129"/>
      <c r="MQ129"/>
      <c r="MR129"/>
      <c r="MS129"/>
      <c r="MT129"/>
      <c r="MU129"/>
      <c r="MV129"/>
      <c r="MW129"/>
      <c r="MX129"/>
      <c r="MY129"/>
      <c r="MZ129"/>
      <c r="NA129"/>
      <c r="NB129"/>
      <c r="NC129"/>
      <c r="ND129"/>
      <c r="NE129"/>
      <c r="NF129"/>
      <c r="NG129"/>
      <c r="NH129"/>
      <c r="NI129"/>
      <c r="NJ129"/>
      <c r="NK129"/>
      <c r="NL129"/>
      <c r="NM129"/>
      <c r="NN129"/>
      <c r="NO129"/>
      <c r="NP129"/>
      <c r="NQ129"/>
      <c r="NR129"/>
      <c r="NS129"/>
      <c r="NT129"/>
      <c r="NU129"/>
      <c r="NV129"/>
      <c r="NW129"/>
      <c r="NX129"/>
      <c r="NY129"/>
      <c r="NZ129"/>
      <c r="OA129"/>
      <c r="OB129"/>
      <c r="OC129"/>
      <c r="OD129"/>
      <c r="OE129"/>
      <c r="OF129"/>
      <c r="OG129"/>
      <c r="OH129"/>
      <c r="OI129"/>
      <c r="OJ129"/>
      <c r="OK129"/>
      <c r="OL129"/>
      <c r="OM129"/>
      <c r="ON129"/>
      <c r="OO129"/>
      <c r="OP129"/>
      <c r="OQ129"/>
      <c r="OR129"/>
      <c r="OS129"/>
      <c r="OT129"/>
      <c r="OU129"/>
      <c r="OV129"/>
      <c r="OW129"/>
      <c r="OX129"/>
      <c r="OY129"/>
      <c r="OZ129"/>
      <c r="PA129"/>
      <c r="PB129"/>
      <c r="PC129"/>
      <c r="PD129"/>
      <c r="PE129"/>
      <c r="PF129"/>
      <c r="PG129"/>
      <c r="PH129"/>
      <c r="PI129"/>
      <c r="PJ129"/>
      <c r="PK129"/>
      <c r="PL129"/>
      <c r="PM129"/>
      <c r="PN129"/>
      <c r="PO129"/>
      <c r="PP129"/>
      <c r="PQ129"/>
      <c r="PR129"/>
      <c r="PS129"/>
      <c r="PT129"/>
      <c r="PU129"/>
      <c r="PV129"/>
      <c r="PW129"/>
      <c r="PX129"/>
      <c r="PY129"/>
      <c r="PZ129"/>
      <c r="QA129"/>
      <c r="QB129"/>
      <c r="QC129"/>
      <c r="QD129"/>
      <c r="QE129"/>
      <c r="QF129"/>
      <c r="QG129"/>
      <c r="QH129"/>
      <c r="QI129"/>
      <c r="QJ129"/>
      <c r="QK129"/>
      <c r="QL129"/>
      <c r="QM129"/>
      <c r="QN129"/>
      <c r="QO129"/>
      <c r="QP129"/>
      <c r="QQ129"/>
      <c r="QR129"/>
      <c r="QS129"/>
      <c r="QT129"/>
      <c r="QU129"/>
      <c r="QV129"/>
      <c r="QW129"/>
      <c r="QX129"/>
      <c r="QY129"/>
      <c r="QZ129"/>
      <c r="RA129"/>
      <c r="RB129"/>
      <c r="RC129"/>
      <c r="RD129"/>
      <c r="RE129"/>
      <c r="RF129"/>
      <c r="RG129"/>
      <c r="RH129"/>
      <c r="RI129"/>
      <c r="RJ129"/>
      <c r="RK129"/>
      <c r="RL129"/>
      <c r="RM129"/>
      <c r="RN129"/>
      <c r="RO129"/>
      <c r="RP129"/>
      <c r="RQ129"/>
      <c r="RR129"/>
      <c r="RS129"/>
      <c r="RT129"/>
      <c r="RU129"/>
      <c r="RV129"/>
      <c r="RW129"/>
      <c r="RX129"/>
      <c r="RY129"/>
      <c r="RZ129"/>
      <c r="SA129"/>
      <c r="SB129"/>
      <c r="SC129"/>
      <c r="SD129"/>
      <c r="SE129"/>
      <c r="SF129"/>
      <c r="SG129"/>
      <c r="SH129"/>
      <c r="SI129"/>
      <c r="SJ129"/>
      <c r="SK129"/>
      <c r="SL129"/>
      <c r="SM129"/>
      <c r="SN129"/>
      <c r="SO129"/>
      <c r="SP129"/>
      <c r="SQ129"/>
      <c r="SR129"/>
      <c r="SS129"/>
      <c r="ST129"/>
      <c r="SU129"/>
      <c r="SV129"/>
      <c r="SW129"/>
      <c r="SX129"/>
      <c r="SY129"/>
      <c r="SZ129"/>
      <c r="TA129"/>
      <c r="TB129"/>
      <c r="TC129"/>
      <c r="TD129"/>
      <c r="TE129"/>
      <c r="TF129"/>
      <c r="TG129"/>
      <c r="TH129"/>
      <c r="TI129"/>
      <c r="TJ129"/>
      <c r="TK129"/>
      <c r="TL129"/>
      <c r="TM129"/>
      <c r="TN129"/>
      <c r="TO129"/>
      <c r="TP129"/>
      <c r="TQ129"/>
      <c r="TR129"/>
      <c r="TS129"/>
      <c r="TT129"/>
      <c r="TU129"/>
      <c r="TV129"/>
      <c r="TW129"/>
      <c r="TX129"/>
      <c r="TY129"/>
      <c r="TZ129"/>
      <c r="UA129"/>
      <c r="UB129"/>
      <c r="UC129"/>
      <c r="UD129"/>
      <c r="UE129"/>
      <c r="UF129"/>
      <c r="UG129"/>
      <c r="UH129"/>
      <c r="UI129"/>
      <c r="UJ129"/>
      <c r="UK129"/>
      <c r="UL129"/>
      <c r="UM129"/>
      <c r="UN129"/>
      <c r="UO129"/>
      <c r="UP129"/>
      <c r="UQ129"/>
      <c r="UR129"/>
      <c r="US129"/>
      <c r="UT129"/>
      <c r="UU129"/>
      <c r="UV129"/>
      <c r="UW129"/>
      <c r="UX129"/>
      <c r="UY129"/>
      <c r="UZ129"/>
      <c r="VA129"/>
      <c r="VB129"/>
      <c r="VC129"/>
      <c r="VD129"/>
      <c r="VE129"/>
      <c r="VF129"/>
      <c r="VG129"/>
      <c r="VH129"/>
      <c r="VI129"/>
      <c r="VJ129"/>
      <c r="VK129"/>
      <c r="VL129"/>
      <c r="VM129"/>
      <c r="VN129"/>
      <c r="VO129"/>
      <c r="VP129"/>
      <c r="VQ129"/>
      <c r="VR129"/>
      <c r="VS129"/>
      <c r="VT129"/>
      <c r="VU129"/>
      <c r="VV129"/>
      <c r="VW129"/>
      <c r="VX129"/>
      <c r="VY129"/>
      <c r="VZ129"/>
      <c r="WA129"/>
      <c r="WB129"/>
      <c r="WC129"/>
      <c r="WD129"/>
      <c r="WE129"/>
      <c r="WF129"/>
      <c r="WG129"/>
      <c r="WH129"/>
      <c r="WI129"/>
      <c r="WJ129"/>
      <c r="WK129"/>
      <c r="WL129"/>
      <c r="WM129"/>
      <c r="WN129"/>
      <c r="WO129"/>
      <c r="WP129"/>
      <c r="WQ129"/>
      <c r="WR129"/>
      <c r="WS129"/>
      <c r="WT129"/>
      <c r="WU129"/>
      <c r="WV129"/>
      <c r="WW129"/>
      <c r="WX129"/>
      <c r="WY129"/>
      <c r="WZ129"/>
      <c r="XA129"/>
      <c r="XB129"/>
      <c r="XC129"/>
      <c r="XD129"/>
      <c r="XE129"/>
      <c r="XF129"/>
      <c r="XG129"/>
      <c r="XH129"/>
      <c r="XI129"/>
      <c r="XJ129"/>
      <c r="XK129"/>
      <c r="XL129"/>
      <c r="XM129"/>
      <c r="XN129"/>
      <c r="XO129"/>
      <c r="XP129"/>
      <c r="XQ129"/>
      <c r="XR129"/>
      <c r="XS129"/>
      <c r="XT129"/>
      <c r="XU129"/>
      <c r="XV129"/>
      <c r="XW129"/>
      <c r="XX129"/>
      <c r="XY129"/>
      <c r="XZ129"/>
      <c r="YA129"/>
      <c r="YB129"/>
      <c r="YC129"/>
      <c r="YD129"/>
      <c r="YE129"/>
      <c r="YF129"/>
      <c r="YG129"/>
      <c r="YH129"/>
      <c r="YI129"/>
      <c r="YJ129"/>
      <c r="YK129"/>
      <c r="YL129"/>
      <c r="YM129"/>
      <c r="YN129"/>
      <c r="YO129"/>
      <c r="YP129"/>
      <c r="YQ129"/>
      <c r="YR129"/>
      <c r="YS129"/>
      <c r="YT129"/>
      <c r="YU129"/>
      <c r="YV129"/>
      <c r="YW129"/>
      <c r="YX129"/>
      <c r="YY129"/>
      <c r="YZ129"/>
      <c r="ZA129"/>
      <c r="ZB129"/>
      <c r="ZC129"/>
      <c r="ZD129"/>
      <c r="ZE129"/>
      <c r="ZF129"/>
      <c r="ZG129"/>
      <c r="ZH129"/>
      <c r="ZI129"/>
      <c r="ZJ129"/>
      <c r="ZK129"/>
      <c r="ZL129"/>
      <c r="ZM129"/>
      <c r="ZN129"/>
      <c r="ZO129"/>
      <c r="ZP129"/>
      <c r="ZQ129"/>
      <c r="ZR129"/>
      <c r="ZS129"/>
      <c r="ZT129"/>
      <c r="ZU129"/>
      <c r="ZV129"/>
      <c r="ZW129"/>
      <c r="ZX129"/>
      <c r="ZY129"/>
      <c r="ZZ129"/>
      <c r="AAA129"/>
      <c r="AAB129"/>
      <c r="AAC129"/>
      <c r="AAD129"/>
      <c r="AAE129"/>
      <c r="AAF129"/>
      <c r="AAG129"/>
      <c r="AAH129"/>
      <c r="AAI129"/>
      <c r="AAJ129"/>
      <c r="AAK129"/>
      <c r="AAL129"/>
      <c r="AAM129"/>
      <c r="AAN129"/>
      <c r="AAO129"/>
      <c r="AAP129"/>
      <c r="AAQ129"/>
      <c r="AAR129"/>
      <c r="AAS129"/>
      <c r="AAT129"/>
      <c r="AAU129"/>
      <c r="AAV129"/>
      <c r="AAW129"/>
      <c r="AAX129"/>
      <c r="AAY129"/>
      <c r="AAZ129"/>
      <c r="ABA129"/>
      <c r="ABB129"/>
      <c r="ABC129"/>
      <c r="ABD129"/>
      <c r="ABE129"/>
      <c r="ABF129"/>
      <c r="ABG129"/>
      <c r="ABH129"/>
      <c r="ABI129"/>
      <c r="ABJ129"/>
      <c r="ABK129"/>
      <c r="ABL129"/>
      <c r="ABM129"/>
      <c r="ABN129"/>
      <c r="ABO129"/>
      <c r="ABP129"/>
      <c r="ABQ129"/>
      <c r="ABR129"/>
      <c r="ABS129"/>
      <c r="ABT129"/>
      <c r="ABU129"/>
      <c r="ABV129"/>
      <c r="ABW129"/>
      <c r="ABX129"/>
      <c r="ABY129"/>
      <c r="ABZ129"/>
      <c r="ACA129"/>
      <c r="ACB129"/>
      <c r="ACC129"/>
      <c r="ACD129"/>
      <c r="ACE129"/>
      <c r="ACF129"/>
      <c r="ACG129"/>
      <c r="ACH129"/>
      <c r="ACI129"/>
      <c r="ACJ129"/>
      <c r="ACK129"/>
      <c r="ACL129"/>
      <c r="ACM129"/>
      <c r="ACN129"/>
      <c r="ACO129"/>
      <c r="ACP129"/>
      <c r="ACQ129"/>
      <c r="ACR129"/>
      <c r="ACS129"/>
      <c r="ACT129"/>
      <c r="ACU129"/>
      <c r="ACV129"/>
      <c r="ACW129"/>
      <c r="ACX129"/>
      <c r="ACY129"/>
      <c r="ACZ129"/>
      <c r="ADA129"/>
      <c r="ADB129"/>
      <c r="ADC129"/>
      <c r="ADD129"/>
      <c r="ADE129"/>
      <c r="ADF129"/>
      <c r="ADG129"/>
      <c r="ADH129"/>
      <c r="ADI129"/>
      <c r="ADJ129"/>
      <c r="ADK129"/>
      <c r="ADL129"/>
      <c r="ADM129"/>
      <c r="ADN129"/>
      <c r="ADO129"/>
      <c r="ADP129"/>
      <c r="ADQ129"/>
      <c r="ADR129"/>
      <c r="ADS129"/>
      <c r="ADT129"/>
      <c r="ADU129"/>
      <c r="ADV129"/>
      <c r="ADW129"/>
      <c r="ADX129"/>
      <c r="ADY129"/>
      <c r="ADZ129"/>
      <c r="AEA129"/>
      <c r="AEB129"/>
      <c r="AEC129"/>
      <c r="AED129"/>
      <c r="AEE129"/>
      <c r="AEF129"/>
      <c r="AEG129"/>
      <c r="AEH129"/>
      <c r="AEI129"/>
      <c r="AEJ129"/>
      <c r="AEK129"/>
      <c r="AEL129"/>
      <c r="AEM129"/>
      <c r="AEN129"/>
      <c r="AEO129"/>
      <c r="AEP129"/>
      <c r="AEQ129"/>
      <c r="AER129"/>
      <c r="AES129"/>
      <c r="AET129"/>
      <c r="AEU129"/>
      <c r="AEV129"/>
      <c r="AEW129"/>
      <c r="AEX129"/>
      <c r="AEY129"/>
      <c r="AEZ129"/>
      <c r="AFA129"/>
      <c r="AFB129"/>
      <c r="AFC129"/>
      <c r="AFD129"/>
      <c r="AFE129"/>
      <c r="AFF129"/>
      <c r="AFG129"/>
      <c r="AFH129"/>
      <c r="AFI129"/>
      <c r="AFJ129"/>
      <c r="AFK129"/>
      <c r="AFL129"/>
      <c r="AFM129"/>
      <c r="AFN129"/>
      <c r="AFO129"/>
      <c r="AFP129"/>
      <c r="AFQ129"/>
      <c r="AFR129"/>
      <c r="AFS129"/>
      <c r="AFT129"/>
      <c r="AFU129"/>
      <c r="AFV129"/>
      <c r="AFW129"/>
      <c r="AFX129"/>
      <c r="AFY129"/>
      <c r="AFZ129"/>
      <c r="AGA129"/>
      <c r="AGB129"/>
      <c r="AGC129"/>
      <c r="AGD129"/>
      <c r="AGE129"/>
      <c r="AGF129"/>
      <c r="AGG129"/>
      <c r="AGH129"/>
      <c r="AGI129"/>
      <c r="AGJ129"/>
      <c r="AGK129"/>
      <c r="AGL129"/>
      <c r="AGM129"/>
      <c r="AGN129"/>
      <c r="AGO129"/>
      <c r="AGP129"/>
      <c r="AGQ129"/>
      <c r="AGR129"/>
      <c r="AGS129"/>
      <c r="AGT129"/>
      <c r="AGU129"/>
      <c r="AGV129"/>
      <c r="AGW129"/>
      <c r="AGX129"/>
      <c r="AGY129"/>
      <c r="AGZ129"/>
      <c r="AHA129"/>
      <c r="AHB129"/>
      <c r="AHC129"/>
      <c r="AHD129"/>
      <c r="AHE129"/>
      <c r="AHF129"/>
      <c r="AHG129"/>
      <c r="AHH129"/>
      <c r="AHI129"/>
      <c r="AHJ129"/>
      <c r="AHK129"/>
      <c r="AHL129"/>
      <c r="AHM129"/>
      <c r="AHN129"/>
      <c r="AHO129"/>
      <c r="AHP129"/>
      <c r="AHQ129"/>
      <c r="AHR129"/>
      <c r="AHS129"/>
      <c r="AHT129"/>
      <c r="AHU129"/>
      <c r="AHV129"/>
      <c r="AHW129"/>
      <c r="AHX129"/>
      <c r="AHY129"/>
      <c r="AHZ129"/>
      <c r="AIA129"/>
      <c r="AIB129"/>
      <c r="AIC129"/>
      <c r="AID129"/>
      <c r="AIE129"/>
      <c r="AIF129"/>
      <c r="AIG129"/>
      <c r="AIH129"/>
      <c r="AII129"/>
      <c r="AIJ129"/>
      <c r="AIK129"/>
      <c r="AIL129"/>
      <c r="AIM129"/>
      <c r="AIN129"/>
      <c r="AIO129"/>
      <c r="AIP129"/>
      <c r="AIQ129"/>
      <c r="AIR129"/>
      <c r="AIS129"/>
      <c r="AIT129"/>
      <c r="AIU129"/>
      <c r="AIV129"/>
      <c r="AIW129"/>
      <c r="AIX129"/>
      <c r="AIY129"/>
      <c r="AIZ129"/>
      <c r="AJA129"/>
      <c r="AJB129"/>
      <c r="AJC129"/>
      <c r="AJD129"/>
      <c r="AJE129"/>
      <c r="AJF129"/>
      <c r="AJG129"/>
      <c r="AJH129"/>
      <c r="AJI129"/>
      <c r="AJJ129"/>
      <c r="AJK129"/>
      <c r="AJL129"/>
      <c r="AJM129"/>
      <c r="AJN129"/>
      <c r="AJO129"/>
      <c r="AJP129"/>
      <c r="AJQ129"/>
      <c r="AJR129"/>
      <c r="AJS129"/>
      <c r="AJT129"/>
      <c r="AJU129"/>
      <c r="AJV129"/>
      <c r="AJW129"/>
      <c r="AJX129"/>
      <c r="AJY129"/>
      <c r="AJZ129"/>
      <c r="AKA129"/>
      <c r="AKB129"/>
      <c r="AKC129"/>
      <c r="AKD129"/>
      <c r="AKE129"/>
      <c r="AKF129"/>
      <c r="AKG129"/>
      <c r="AKH129"/>
      <c r="AKI129"/>
      <c r="AKJ129"/>
      <c r="AKK129"/>
      <c r="AKL129"/>
      <c r="AKM129"/>
      <c r="AKN129"/>
      <c r="AKO129"/>
      <c r="AKP129"/>
      <c r="AKQ129"/>
      <c r="AKR129"/>
      <c r="AKS129"/>
      <c r="AKT129"/>
      <c r="AKU129"/>
      <c r="AKV129"/>
      <c r="AKW129"/>
      <c r="AKX129"/>
      <c r="AKY129"/>
      <c r="AKZ129"/>
      <c r="ALA129"/>
      <c r="ALB129"/>
      <c r="ALC129"/>
      <c r="ALD129"/>
      <c r="ALE129"/>
      <c r="ALF129"/>
      <c r="ALG129"/>
      <c r="ALH129"/>
      <c r="ALI129"/>
      <c r="ALJ129"/>
      <c r="ALK129"/>
      <c r="ALL129"/>
      <c r="ALM129"/>
      <c r="ALN129"/>
      <c r="ALO129"/>
      <c r="ALP129"/>
      <c r="ALQ129"/>
      <c r="ALR129"/>
      <c r="ALS129"/>
      <c r="ALT129"/>
      <c r="ALU129"/>
      <c r="ALV129"/>
      <c r="ALW129"/>
      <c r="ALX129"/>
      <c r="ALY129"/>
      <c r="ALZ129"/>
      <c r="AMA129"/>
      <c r="AMB129"/>
      <c r="AMC129"/>
      <c r="AMD129"/>
      <c r="AME129"/>
      <c r="AMF129"/>
      <c r="AMG129"/>
      <c r="AMH129"/>
      <c r="AMI129"/>
      <c r="AMJ129"/>
    </row>
    <row r="130" spans="12:1024" ht="15.95" customHeight="1">
      <c r="L130"/>
      <c r="M130" s="108"/>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c r="PK130"/>
      <c r="PL130"/>
      <c r="PM130"/>
      <c r="PN130"/>
      <c r="PO130"/>
      <c r="PP130"/>
      <c r="PQ130"/>
      <c r="PR130"/>
      <c r="PS130"/>
      <c r="PT130"/>
      <c r="PU130"/>
      <c r="PV130"/>
      <c r="PW130"/>
      <c r="PX130"/>
      <c r="PY130"/>
      <c r="PZ130"/>
      <c r="QA130"/>
      <c r="QB130"/>
      <c r="QC130"/>
      <c r="QD130"/>
      <c r="QE130"/>
      <c r="QF130"/>
      <c r="QG130"/>
      <c r="QH130"/>
      <c r="QI130"/>
      <c r="QJ130"/>
      <c r="QK130"/>
      <c r="QL130"/>
      <c r="QM130"/>
      <c r="QN130"/>
      <c r="QO130"/>
      <c r="QP130"/>
      <c r="QQ130"/>
      <c r="QR130"/>
      <c r="QS130"/>
      <c r="QT130"/>
      <c r="QU130"/>
      <c r="QV130"/>
      <c r="QW130"/>
      <c r="QX130"/>
      <c r="QY130"/>
      <c r="QZ130"/>
      <c r="RA130"/>
      <c r="RB130"/>
      <c r="RC130"/>
      <c r="RD130"/>
      <c r="RE130"/>
      <c r="RF130"/>
      <c r="RG130"/>
      <c r="RH130"/>
      <c r="RI130"/>
      <c r="RJ130"/>
      <c r="RK130"/>
      <c r="RL130"/>
      <c r="RM130"/>
      <c r="RN130"/>
      <c r="RO130"/>
      <c r="RP130"/>
      <c r="RQ130"/>
      <c r="RR130"/>
      <c r="RS130"/>
      <c r="RT130"/>
      <c r="RU130"/>
      <c r="RV130"/>
      <c r="RW130"/>
      <c r="RX130"/>
      <c r="RY130"/>
      <c r="RZ130"/>
      <c r="SA130"/>
      <c r="SB130"/>
      <c r="SC130"/>
      <c r="SD130"/>
      <c r="SE130"/>
      <c r="SF130"/>
      <c r="SG130"/>
      <c r="SH130"/>
      <c r="SI130"/>
      <c r="SJ130"/>
      <c r="SK130"/>
      <c r="SL130"/>
      <c r="SM130"/>
      <c r="SN130"/>
      <c r="SO130"/>
      <c r="SP130"/>
      <c r="SQ130"/>
      <c r="SR130"/>
      <c r="SS130"/>
      <c r="ST130"/>
      <c r="SU130"/>
      <c r="SV130"/>
      <c r="SW130"/>
      <c r="SX130"/>
      <c r="SY130"/>
      <c r="SZ130"/>
      <c r="TA130"/>
      <c r="TB130"/>
      <c r="TC130"/>
      <c r="TD130"/>
      <c r="TE130"/>
      <c r="TF130"/>
      <c r="TG130"/>
      <c r="TH130"/>
      <c r="TI130"/>
      <c r="TJ130"/>
      <c r="TK130"/>
      <c r="TL130"/>
      <c r="TM130"/>
      <c r="TN130"/>
      <c r="TO130"/>
      <c r="TP130"/>
      <c r="TQ130"/>
      <c r="TR130"/>
      <c r="TS130"/>
      <c r="TT130"/>
      <c r="TU130"/>
      <c r="TV130"/>
      <c r="TW130"/>
      <c r="TX130"/>
      <c r="TY130"/>
      <c r="TZ130"/>
      <c r="UA130"/>
      <c r="UB130"/>
      <c r="UC130"/>
      <c r="UD130"/>
      <c r="UE130"/>
      <c r="UF130"/>
      <c r="UG130"/>
      <c r="UH130"/>
      <c r="UI130"/>
      <c r="UJ130"/>
      <c r="UK130"/>
      <c r="UL130"/>
      <c r="UM130"/>
      <c r="UN130"/>
      <c r="UO130"/>
      <c r="UP130"/>
      <c r="UQ130"/>
      <c r="UR130"/>
      <c r="US130"/>
      <c r="UT130"/>
      <c r="UU130"/>
      <c r="UV130"/>
      <c r="UW130"/>
      <c r="UX130"/>
      <c r="UY130"/>
      <c r="UZ130"/>
      <c r="VA130"/>
      <c r="VB130"/>
      <c r="VC130"/>
      <c r="VD130"/>
      <c r="VE130"/>
      <c r="VF130"/>
      <c r="VG130"/>
      <c r="VH130"/>
      <c r="VI130"/>
      <c r="VJ130"/>
      <c r="VK130"/>
      <c r="VL130"/>
      <c r="VM130"/>
      <c r="VN130"/>
      <c r="VO130"/>
      <c r="VP130"/>
      <c r="VQ130"/>
      <c r="VR130"/>
      <c r="VS130"/>
      <c r="VT130"/>
      <c r="VU130"/>
      <c r="VV130"/>
      <c r="VW130"/>
      <c r="VX130"/>
      <c r="VY130"/>
      <c r="VZ130"/>
      <c r="WA130"/>
      <c r="WB130"/>
      <c r="WC130"/>
      <c r="WD130"/>
      <c r="WE130"/>
      <c r="WF130"/>
      <c r="WG130"/>
      <c r="WH130"/>
      <c r="WI130"/>
      <c r="WJ130"/>
      <c r="WK130"/>
      <c r="WL130"/>
      <c r="WM130"/>
      <c r="WN130"/>
      <c r="WO130"/>
      <c r="WP130"/>
      <c r="WQ130"/>
      <c r="WR130"/>
      <c r="WS130"/>
      <c r="WT130"/>
      <c r="WU130"/>
      <c r="WV130"/>
      <c r="WW130"/>
      <c r="WX130"/>
      <c r="WY130"/>
      <c r="WZ130"/>
      <c r="XA130"/>
      <c r="XB130"/>
      <c r="XC130"/>
      <c r="XD130"/>
      <c r="XE130"/>
      <c r="XF130"/>
      <c r="XG130"/>
      <c r="XH130"/>
      <c r="XI130"/>
      <c r="XJ130"/>
      <c r="XK130"/>
      <c r="XL130"/>
      <c r="XM130"/>
      <c r="XN130"/>
      <c r="XO130"/>
      <c r="XP130"/>
      <c r="XQ130"/>
      <c r="XR130"/>
      <c r="XS130"/>
      <c r="XT130"/>
      <c r="XU130"/>
      <c r="XV130"/>
      <c r="XW130"/>
      <c r="XX130"/>
      <c r="XY130"/>
      <c r="XZ130"/>
      <c r="YA130"/>
      <c r="YB130"/>
      <c r="YC130"/>
      <c r="YD130"/>
      <c r="YE130"/>
      <c r="YF130"/>
      <c r="YG130"/>
      <c r="YH130"/>
      <c r="YI130"/>
      <c r="YJ130"/>
      <c r="YK130"/>
      <c r="YL130"/>
      <c r="YM130"/>
      <c r="YN130"/>
      <c r="YO130"/>
      <c r="YP130"/>
      <c r="YQ130"/>
      <c r="YR130"/>
      <c r="YS130"/>
      <c r="YT130"/>
      <c r="YU130"/>
      <c r="YV130"/>
      <c r="YW130"/>
      <c r="YX130"/>
      <c r="YY130"/>
      <c r="YZ130"/>
      <c r="ZA130"/>
      <c r="ZB130"/>
      <c r="ZC130"/>
      <c r="ZD130"/>
      <c r="ZE130"/>
      <c r="ZF130"/>
      <c r="ZG130"/>
      <c r="ZH130"/>
      <c r="ZI130"/>
      <c r="ZJ130"/>
      <c r="ZK130"/>
      <c r="ZL130"/>
      <c r="ZM130"/>
      <c r="ZN130"/>
      <c r="ZO130"/>
      <c r="ZP130"/>
      <c r="ZQ130"/>
      <c r="ZR130"/>
      <c r="ZS130"/>
      <c r="ZT130"/>
      <c r="ZU130"/>
      <c r="ZV130"/>
      <c r="ZW130"/>
      <c r="ZX130"/>
      <c r="ZY130"/>
      <c r="ZZ130"/>
      <c r="AAA130"/>
      <c r="AAB130"/>
      <c r="AAC130"/>
      <c r="AAD130"/>
      <c r="AAE130"/>
      <c r="AAF130"/>
      <c r="AAG130"/>
      <c r="AAH130"/>
      <c r="AAI130"/>
      <c r="AAJ130"/>
      <c r="AAK130"/>
      <c r="AAL130"/>
      <c r="AAM130"/>
      <c r="AAN130"/>
      <c r="AAO130"/>
      <c r="AAP130"/>
      <c r="AAQ130"/>
      <c r="AAR130"/>
      <c r="AAS130"/>
      <c r="AAT130"/>
      <c r="AAU130"/>
      <c r="AAV130"/>
      <c r="AAW130"/>
      <c r="AAX130"/>
      <c r="AAY130"/>
      <c r="AAZ130"/>
      <c r="ABA130"/>
      <c r="ABB130"/>
      <c r="ABC130"/>
      <c r="ABD130"/>
      <c r="ABE130"/>
      <c r="ABF130"/>
      <c r="ABG130"/>
      <c r="ABH130"/>
      <c r="ABI130"/>
      <c r="ABJ130"/>
      <c r="ABK130"/>
      <c r="ABL130"/>
      <c r="ABM130"/>
      <c r="ABN130"/>
      <c r="ABO130"/>
      <c r="ABP130"/>
      <c r="ABQ130"/>
      <c r="ABR130"/>
      <c r="ABS130"/>
      <c r="ABT130"/>
      <c r="ABU130"/>
      <c r="ABV130"/>
      <c r="ABW130"/>
      <c r="ABX130"/>
      <c r="ABY130"/>
      <c r="ABZ130"/>
      <c r="ACA130"/>
      <c r="ACB130"/>
      <c r="ACC130"/>
      <c r="ACD130"/>
      <c r="ACE130"/>
      <c r="ACF130"/>
      <c r="ACG130"/>
      <c r="ACH130"/>
      <c r="ACI130"/>
      <c r="ACJ130"/>
      <c r="ACK130"/>
      <c r="ACL130"/>
      <c r="ACM130"/>
      <c r="ACN130"/>
      <c r="ACO130"/>
      <c r="ACP130"/>
      <c r="ACQ130"/>
      <c r="ACR130"/>
      <c r="ACS130"/>
      <c r="ACT130"/>
      <c r="ACU130"/>
      <c r="ACV130"/>
      <c r="ACW130"/>
      <c r="ACX130"/>
      <c r="ACY130"/>
      <c r="ACZ130"/>
      <c r="ADA130"/>
      <c r="ADB130"/>
      <c r="ADC130"/>
      <c r="ADD130"/>
      <c r="ADE130"/>
      <c r="ADF130"/>
      <c r="ADG130"/>
      <c r="ADH130"/>
      <c r="ADI130"/>
      <c r="ADJ130"/>
      <c r="ADK130"/>
      <c r="ADL130"/>
      <c r="ADM130"/>
      <c r="ADN130"/>
      <c r="ADO130"/>
      <c r="ADP130"/>
      <c r="ADQ130"/>
      <c r="ADR130"/>
      <c r="ADS130"/>
      <c r="ADT130"/>
      <c r="ADU130"/>
      <c r="ADV130"/>
      <c r="ADW130"/>
      <c r="ADX130"/>
      <c r="ADY130"/>
      <c r="ADZ130"/>
      <c r="AEA130"/>
      <c r="AEB130"/>
      <c r="AEC130"/>
      <c r="AED130"/>
      <c r="AEE130"/>
      <c r="AEF130"/>
      <c r="AEG130"/>
      <c r="AEH130"/>
      <c r="AEI130"/>
      <c r="AEJ130"/>
      <c r="AEK130"/>
      <c r="AEL130"/>
      <c r="AEM130"/>
      <c r="AEN130"/>
      <c r="AEO130"/>
      <c r="AEP130"/>
      <c r="AEQ130"/>
      <c r="AER130"/>
      <c r="AES130"/>
      <c r="AET130"/>
      <c r="AEU130"/>
      <c r="AEV130"/>
      <c r="AEW130"/>
      <c r="AEX130"/>
      <c r="AEY130"/>
      <c r="AEZ130"/>
      <c r="AFA130"/>
      <c r="AFB130"/>
      <c r="AFC130"/>
      <c r="AFD130"/>
      <c r="AFE130"/>
      <c r="AFF130"/>
      <c r="AFG130"/>
      <c r="AFH130"/>
      <c r="AFI130"/>
      <c r="AFJ130"/>
      <c r="AFK130"/>
      <c r="AFL130"/>
      <c r="AFM130"/>
      <c r="AFN130"/>
      <c r="AFO130"/>
      <c r="AFP130"/>
      <c r="AFQ130"/>
      <c r="AFR130"/>
      <c r="AFS130"/>
      <c r="AFT130"/>
      <c r="AFU130"/>
      <c r="AFV130"/>
      <c r="AFW130"/>
      <c r="AFX130"/>
      <c r="AFY130"/>
      <c r="AFZ130"/>
      <c r="AGA130"/>
      <c r="AGB130"/>
      <c r="AGC130"/>
      <c r="AGD130"/>
      <c r="AGE130"/>
      <c r="AGF130"/>
      <c r="AGG130"/>
      <c r="AGH130"/>
      <c r="AGI130"/>
      <c r="AGJ130"/>
      <c r="AGK130"/>
      <c r="AGL130"/>
      <c r="AGM130"/>
      <c r="AGN130"/>
      <c r="AGO130"/>
      <c r="AGP130"/>
      <c r="AGQ130"/>
      <c r="AGR130"/>
      <c r="AGS130"/>
      <c r="AGT130"/>
      <c r="AGU130"/>
      <c r="AGV130"/>
      <c r="AGW130"/>
      <c r="AGX130"/>
      <c r="AGY130"/>
      <c r="AGZ130"/>
      <c r="AHA130"/>
      <c r="AHB130"/>
      <c r="AHC130"/>
      <c r="AHD130"/>
      <c r="AHE130"/>
      <c r="AHF130"/>
      <c r="AHG130"/>
      <c r="AHH130"/>
      <c r="AHI130"/>
      <c r="AHJ130"/>
      <c r="AHK130"/>
      <c r="AHL130"/>
      <c r="AHM130"/>
      <c r="AHN130"/>
      <c r="AHO130"/>
      <c r="AHP130"/>
      <c r="AHQ130"/>
      <c r="AHR130"/>
      <c r="AHS130"/>
      <c r="AHT130"/>
      <c r="AHU130"/>
      <c r="AHV130"/>
      <c r="AHW130"/>
      <c r="AHX130"/>
      <c r="AHY130"/>
      <c r="AHZ130"/>
      <c r="AIA130"/>
      <c r="AIB130"/>
      <c r="AIC130"/>
      <c r="AID130"/>
      <c r="AIE130"/>
      <c r="AIF130"/>
      <c r="AIG130"/>
      <c r="AIH130"/>
      <c r="AII130"/>
      <c r="AIJ130"/>
      <c r="AIK130"/>
      <c r="AIL130"/>
      <c r="AIM130"/>
      <c r="AIN130"/>
      <c r="AIO130"/>
      <c r="AIP130"/>
      <c r="AIQ130"/>
      <c r="AIR130"/>
      <c r="AIS130"/>
      <c r="AIT130"/>
      <c r="AIU130"/>
      <c r="AIV130"/>
      <c r="AIW130"/>
      <c r="AIX130"/>
      <c r="AIY130"/>
      <c r="AIZ130"/>
      <c r="AJA130"/>
      <c r="AJB130"/>
      <c r="AJC130"/>
      <c r="AJD130"/>
      <c r="AJE130"/>
      <c r="AJF130"/>
      <c r="AJG130"/>
      <c r="AJH130"/>
      <c r="AJI130"/>
      <c r="AJJ130"/>
      <c r="AJK130"/>
      <c r="AJL130"/>
      <c r="AJM130"/>
      <c r="AJN130"/>
      <c r="AJO130"/>
      <c r="AJP130"/>
      <c r="AJQ130"/>
      <c r="AJR130"/>
      <c r="AJS130"/>
      <c r="AJT130"/>
      <c r="AJU130"/>
      <c r="AJV130"/>
      <c r="AJW130"/>
      <c r="AJX130"/>
      <c r="AJY130"/>
      <c r="AJZ130"/>
      <c r="AKA130"/>
      <c r="AKB130"/>
      <c r="AKC130"/>
      <c r="AKD130"/>
      <c r="AKE130"/>
      <c r="AKF130"/>
      <c r="AKG130"/>
      <c r="AKH130"/>
      <c r="AKI130"/>
      <c r="AKJ130"/>
      <c r="AKK130"/>
      <c r="AKL130"/>
      <c r="AKM130"/>
      <c r="AKN130"/>
      <c r="AKO130"/>
      <c r="AKP130"/>
      <c r="AKQ130"/>
      <c r="AKR130"/>
      <c r="AKS130"/>
      <c r="AKT130"/>
      <c r="AKU130"/>
      <c r="AKV130"/>
      <c r="AKW130"/>
      <c r="AKX130"/>
      <c r="AKY130"/>
      <c r="AKZ130"/>
      <c r="ALA130"/>
      <c r="ALB130"/>
      <c r="ALC130"/>
      <c r="ALD130"/>
      <c r="ALE130"/>
      <c r="ALF130"/>
      <c r="ALG130"/>
      <c r="ALH130"/>
      <c r="ALI130"/>
      <c r="ALJ130"/>
      <c r="ALK130"/>
      <c r="ALL130"/>
      <c r="ALM130"/>
      <c r="ALN130"/>
      <c r="ALO130"/>
      <c r="ALP130"/>
      <c r="ALQ130"/>
      <c r="ALR130"/>
      <c r="ALS130"/>
      <c r="ALT130"/>
      <c r="ALU130"/>
      <c r="ALV130"/>
      <c r="ALW130"/>
      <c r="ALX130"/>
      <c r="ALY130"/>
      <c r="ALZ130"/>
      <c r="AMA130"/>
      <c r="AMB130"/>
      <c r="AMC130"/>
      <c r="AMD130"/>
      <c r="AME130"/>
      <c r="AMF130"/>
      <c r="AMG130"/>
      <c r="AMH130"/>
      <c r="AMI130"/>
      <c r="AMJ130"/>
    </row>
    <row r="131" spans="12:1024" ht="15.95" customHeight="1">
      <c r="L131"/>
      <c r="M131" s="108"/>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c r="OM131"/>
      <c r="ON131"/>
      <c r="OO131"/>
      <c r="OP131"/>
      <c r="OQ131"/>
      <c r="OR131"/>
      <c r="OS131"/>
      <c r="OT131"/>
      <c r="OU131"/>
      <c r="OV131"/>
      <c r="OW131"/>
      <c r="OX131"/>
      <c r="OY131"/>
      <c r="OZ131"/>
      <c r="PA131"/>
      <c r="PB131"/>
      <c r="PC131"/>
      <c r="PD131"/>
      <c r="PE131"/>
      <c r="PF131"/>
      <c r="PG131"/>
      <c r="PH131"/>
      <c r="PI131"/>
      <c r="PJ131"/>
      <c r="PK131"/>
      <c r="PL131"/>
      <c r="PM131"/>
      <c r="PN131"/>
      <c r="PO131"/>
      <c r="PP131"/>
      <c r="PQ131"/>
      <c r="PR131"/>
      <c r="PS131"/>
      <c r="PT131"/>
      <c r="PU131"/>
      <c r="PV131"/>
      <c r="PW131"/>
      <c r="PX131"/>
      <c r="PY131"/>
      <c r="PZ131"/>
      <c r="QA131"/>
      <c r="QB131"/>
      <c r="QC131"/>
      <c r="QD131"/>
      <c r="QE131"/>
      <c r="QF131"/>
      <c r="QG131"/>
      <c r="QH131"/>
      <c r="QI131"/>
      <c r="QJ131"/>
      <c r="QK131"/>
      <c r="QL131"/>
      <c r="QM131"/>
      <c r="QN131"/>
      <c r="QO131"/>
      <c r="QP131"/>
      <c r="QQ131"/>
      <c r="QR131"/>
      <c r="QS131"/>
      <c r="QT131"/>
      <c r="QU131"/>
      <c r="QV131"/>
      <c r="QW131"/>
      <c r="QX131"/>
      <c r="QY131"/>
      <c r="QZ131"/>
      <c r="RA131"/>
      <c r="RB131"/>
      <c r="RC131"/>
      <c r="RD131"/>
      <c r="RE131"/>
      <c r="RF131"/>
      <c r="RG131"/>
      <c r="RH131"/>
      <c r="RI131"/>
      <c r="RJ131"/>
      <c r="RK131"/>
      <c r="RL131"/>
      <c r="RM131"/>
      <c r="RN131"/>
      <c r="RO131"/>
      <c r="RP131"/>
      <c r="RQ131"/>
      <c r="RR131"/>
      <c r="RS131"/>
      <c r="RT131"/>
      <c r="RU131"/>
      <c r="RV131"/>
      <c r="RW131"/>
      <c r="RX131"/>
      <c r="RY131"/>
      <c r="RZ131"/>
      <c r="SA131"/>
      <c r="SB131"/>
      <c r="SC131"/>
      <c r="SD131"/>
      <c r="SE131"/>
      <c r="SF131"/>
      <c r="SG131"/>
      <c r="SH131"/>
      <c r="SI131"/>
      <c r="SJ131"/>
      <c r="SK131"/>
      <c r="SL131"/>
      <c r="SM131"/>
      <c r="SN131"/>
      <c r="SO131"/>
      <c r="SP131"/>
      <c r="SQ131"/>
      <c r="SR131"/>
      <c r="SS131"/>
      <c r="ST131"/>
      <c r="SU131"/>
      <c r="SV131"/>
      <c r="SW131"/>
      <c r="SX131"/>
      <c r="SY131"/>
      <c r="SZ131"/>
      <c r="TA131"/>
      <c r="TB131"/>
      <c r="TC131"/>
      <c r="TD131"/>
      <c r="TE131"/>
      <c r="TF131"/>
      <c r="TG131"/>
      <c r="TH131"/>
      <c r="TI131"/>
      <c r="TJ131"/>
      <c r="TK131"/>
      <c r="TL131"/>
      <c r="TM131"/>
      <c r="TN131"/>
      <c r="TO131"/>
      <c r="TP131"/>
      <c r="TQ131"/>
      <c r="TR131"/>
      <c r="TS131"/>
      <c r="TT131"/>
      <c r="TU131"/>
      <c r="TV131"/>
      <c r="TW131"/>
      <c r="TX131"/>
      <c r="TY131"/>
      <c r="TZ131"/>
      <c r="UA131"/>
      <c r="UB131"/>
      <c r="UC131"/>
      <c r="UD131"/>
      <c r="UE131"/>
      <c r="UF131"/>
      <c r="UG131"/>
      <c r="UH131"/>
      <c r="UI131"/>
      <c r="UJ131"/>
      <c r="UK131"/>
      <c r="UL131"/>
      <c r="UM131"/>
      <c r="UN131"/>
      <c r="UO131"/>
      <c r="UP131"/>
      <c r="UQ131"/>
      <c r="UR131"/>
      <c r="US131"/>
      <c r="UT131"/>
      <c r="UU131"/>
      <c r="UV131"/>
      <c r="UW131"/>
      <c r="UX131"/>
      <c r="UY131"/>
      <c r="UZ131"/>
      <c r="VA131"/>
      <c r="VB131"/>
      <c r="VC131"/>
      <c r="VD131"/>
      <c r="VE131"/>
      <c r="VF131"/>
      <c r="VG131"/>
      <c r="VH131"/>
      <c r="VI131"/>
      <c r="VJ131"/>
      <c r="VK131"/>
      <c r="VL131"/>
      <c r="VM131"/>
      <c r="VN131"/>
      <c r="VO131"/>
      <c r="VP131"/>
      <c r="VQ131"/>
      <c r="VR131"/>
      <c r="VS131"/>
      <c r="VT131"/>
      <c r="VU131"/>
      <c r="VV131"/>
      <c r="VW131"/>
      <c r="VX131"/>
      <c r="VY131"/>
      <c r="VZ131"/>
      <c r="WA131"/>
      <c r="WB131"/>
      <c r="WC131"/>
      <c r="WD131"/>
      <c r="WE131"/>
      <c r="WF131"/>
      <c r="WG131"/>
      <c r="WH131"/>
      <c r="WI131"/>
      <c r="WJ131"/>
      <c r="WK131"/>
      <c r="WL131"/>
      <c r="WM131"/>
      <c r="WN131"/>
      <c r="WO131"/>
      <c r="WP131"/>
      <c r="WQ131"/>
      <c r="WR131"/>
      <c r="WS131"/>
      <c r="WT131"/>
      <c r="WU131"/>
      <c r="WV131"/>
      <c r="WW131"/>
      <c r="WX131"/>
      <c r="WY131"/>
      <c r="WZ131"/>
      <c r="XA131"/>
      <c r="XB131"/>
      <c r="XC131"/>
      <c r="XD131"/>
      <c r="XE131"/>
      <c r="XF131"/>
      <c r="XG131"/>
      <c r="XH131"/>
      <c r="XI131"/>
      <c r="XJ131"/>
      <c r="XK131"/>
      <c r="XL131"/>
      <c r="XM131"/>
      <c r="XN131"/>
      <c r="XO131"/>
      <c r="XP131"/>
      <c r="XQ131"/>
      <c r="XR131"/>
      <c r="XS131"/>
      <c r="XT131"/>
      <c r="XU131"/>
      <c r="XV131"/>
      <c r="XW131"/>
      <c r="XX131"/>
      <c r="XY131"/>
      <c r="XZ131"/>
      <c r="YA131"/>
      <c r="YB131"/>
      <c r="YC131"/>
      <c r="YD131"/>
      <c r="YE131"/>
      <c r="YF131"/>
      <c r="YG131"/>
      <c r="YH131"/>
      <c r="YI131"/>
      <c r="YJ131"/>
      <c r="YK131"/>
      <c r="YL131"/>
      <c r="YM131"/>
      <c r="YN131"/>
      <c r="YO131"/>
      <c r="YP131"/>
      <c r="YQ131"/>
      <c r="YR131"/>
      <c r="YS131"/>
      <c r="YT131"/>
      <c r="YU131"/>
      <c r="YV131"/>
      <c r="YW131"/>
      <c r="YX131"/>
      <c r="YY131"/>
      <c r="YZ131"/>
      <c r="ZA131"/>
      <c r="ZB131"/>
      <c r="ZC131"/>
      <c r="ZD131"/>
      <c r="ZE131"/>
      <c r="ZF131"/>
      <c r="ZG131"/>
      <c r="ZH131"/>
      <c r="ZI131"/>
      <c r="ZJ131"/>
      <c r="ZK131"/>
      <c r="ZL131"/>
      <c r="ZM131"/>
      <c r="ZN131"/>
      <c r="ZO131"/>
      <c r="ZP131"/>
      <c r="ZQ131"/>
      <c r="ZR131"/>
      <c r="ZS131"/>
      <c r="ZT131"/>
      <c r="ZU131"/>
      <c r="ZV131"/>
      <c r="ZW131"/>
      <c r="ZX131"/>
      <c r="ZY131"/>
      <c r="ZZ131"/>
      <c r="AAA131"/>
      <c r="AAB131"/>
      <c r="AAC131"/>
      <c r="AAD131"/>
      <c r="AAE131"/>
      <c r="AAF131"/>
      <c r="AAG131"/>
      <c r="AAH131"/>
      <c r="AAI131"/>
      <c r="AAJ131"/>
      <c r="AAK131"/>
      <c r="AAL131"/>
      <c r="AAM131"/>
      <c r="AAN131"/>
      <c r="AAO131"/>
      <c r="AAP131"/>
      <c r="AAQ131"/>
      <c r="AAR131"/>
      <c r="AAS131"/>
      <c r="AAT131"/>
      <c r="AAU131"/>
      <c r="AAV131"/>
      <c r="AAW131"/>
      <c r="AAX131"/>
      <c r="AAY131"/>
      <c r="AAZ131"/>
      <c r="ABA131"/>
      <c r="ABB131"/>
      <c r="ABC131"/>
      <c r="ABD131"/>
      <c r="ABE131"/>
      <c r="ABF131"/>
      <c r="ABG131"/>
      <c r="ABH131"/>
      <c r="ABI131"/>
      <c r="ABJ131"/>
      <c r="ABK131"/>
      <c r="ABL131"/>
      <c r="ABM131"/>
      <c r="ABN131"/>
      <c r="ABO131"/>
      <c r="ABP131"/>
      <c r="ABQ131"/>
      <c r="ABR131"/>
      <c r="ABS131"/>
      <c r="ABT131"/>
      <c r="ABU131"/>
      <c r="ABV131"/>
      <c r="ABW131"/>
      <c r="ABX131"/>
      <c r="ABY131"/>
      <c r="ABZ131"/>
      <c r="ACA131"/>
      <c r="ACB131"/>
      <c r="ACC131"/>
      <c r="ACD131"/>
      <c r="ACE131"/>
      <c r="ACF131"/>
      <c r="ACG131"/>
      <c r="ACH131"/>
      <c r="ACI131"/>
      <c r="ACJ131"/>
      <c r="ACK131"/>
      <c r="ACL131"/>
      <c r="ACM131"/>
      <c r="ACN131"/>
      <c r="ACO131"/>
      <c r="ACP131"/>
      <c r="ACQ131"/>
      <c r="ACR131"/>
      <c r="ACS131"/>
      <c r="ACT131"/>
      <c r="ACU131"/>
      <c r="ACV131"/>
      <c r="ACW131"/>
      <c r="ACX131"/>
      <c r="ACY131"/>
      <c r="ACZ131"/>
      <c r="ADA131"/>
      <c r="ADB131"/>
      <c r="ADC131"/>
      <c r="ADD131"/>
      <c r="ADE131"/>
      <c r="ADF131"/>
      <c r="ADG131"/>
      <c r="ADH131"/>
      <c r="ADI131"/>
      <c r="ADJ131"/>
      <c r="ADK131"/>
      <c r="ADL131"/>
      <c r="ADM131"/>
      <c r="ADN131"/>
      <c r="ADO131"/>
      <c r="ADP131"/>
      <c r="ADQ131"/>
      <c r="ADR131"/>
      <c r="ADS131"/>
      <c r="ADT131"/>
      <c r="ADU131"/>
      <c r="ADV131"/>
      <c r="ADW131"/>
      <c r="ADX131"/>
      <c r="ADY131"/>
      <c r="ADZ131"/>
      <c r="AEA131"/>
      <c r="AEB131"/>
      <c r="AEC131"/>
      <c r="AED131"/>
      <c r="AEE131"/>
      <c r="AEF131"/>
      <c r="AEG131"/>
      <c r="AEH131"/>
      <c r="AEI131"/>
      <c r="AEJ131"/>
      <c r="AEK131"/>
      <c r="AEL131"/>
      <c r="AEM131"/>
      <c r="AEN131"/>
      <c r="AEO131"/>
      <c r="AEP131"/>
      <c r="AEQ131"/>
      <c r="AER131"/>
      <c r="AES131"/>
      <c r="AET131"/>
      <c r="AEU131"/>
      <c r="AEV131"/>
      <c r="AEW131"/>
      <c r="AEX131"/>
      <c r="AEY131"/>
      <c r="AEZ131"/>
      <c r="AFA131"/>
      <c r="AFB131"/>
      <c r="AFC131"/>
      <c r="AFD131"/>
      <c r="AFE131"/>
      <c r="AFF131"/>
      <c r="AFG131"/>
      <c r="AFH131"/>
      <c r="AFI131"/>
      <c r="AFJ131"/>
      <c r="AFK131"/>
      <c r="AFL131"/>
      <c r="AFM131"/>
      <c r="AFN131"/>
      <c r="AFO131"/>
      <c r="AFP131"/>
      <c r="AFQ131"/>
      <c r="AFR131"/>
      <c r="AFS131"/>
      <c r="AFT131"/>
      <c r="AFU131"/>
      <c r="AFV131"/>
      <c r="AFW131"/>
      <c r="AFX131"/>
      <c r="AFY131"/>
      <c r="AFZ131"/>
      <c r="AGA131"/>
      <c r="AGB131"/>
      <c r="AGC131"/>
      <c r="AGD131"/>
      <c r="AGE131"/>
      <c r="AGF131"/>
      <c r="AGG131"/>
      <c r="AGH131"/>
      <c r="AGI131"/>
      <c r="AGJ131"/>
      <c r="AGK131"/>
      <c r="AGL131"/>
      <c r="AGM131"/>
      <c r="AGN131"/>
      <c r="AGO131"/>
      <c r="AGP131"/>
      <c r="AGQ131"/>
      <c r="AGR131"/>
      <c r="AGS131"/>
      <c r="AGT131"/>
      <c r="AGU131"/>
      <c r="AGV131"/>
      <c r="AGW131"/>
      <c r="AGX131"/>
      <c r="AGY131"/>
      <c r="AGZ131"/>
      <c r="AHA131"/>
      <c r="AHB131"/>
      <c r="AHC131"/>
      <c r="AHD131"/>
      <c r="AHE131"/>
      <c r="AHF131"/>
      <c r="AHG131"/>
      <c r="AHH131"/>
      <c r="AHI131"/>
      <c r="AHJ131"/>
      <c r="AHK131"/>
      <c r="AHL131"/>
      <c r="AHM131"/>
      <c r="AHN131"/>
      <c r="AHO131"/>
      <c r="AHP131"/>
      <c r="AHQ131"/>
      <c r="AHR131"/>
      <c r="AHS131"/>
      <c r="AHT131"/>
      <c r="AHU131"/>
      <c r="AHV131"/>
      <c r="AHW131"/>
      <c r="AHX131"/>
      <c r="AHY131"/>
      <c r="AHZ131"/>
      <c r="AIA131"/>
      <c r="AIB131"/>
      <c r="AIC131"/>
      <c r="AID131"/>
      <c r="AIE131"/>
      <c r="AIF131"/>
      <c r="AIG131"/>
      <c r="AIH131"/>
      <c r="AII131"/>
      <c r="AIJ131"/>
      <c r="AIK131"/>
      <c r="AIL131"/>
      <c r="AIM131"/>
      <c r="AIN131"/>
      <c r="AIO131"/>
      <c r="AIP131"/>
      <c r="AIQ131"/>
      <c r="AIR131"/>
      <c r="AIS131"/>
      <c r="AIT131"/>
      <c r="AIU131"/>
      <c r="AIV131"/>
      <c r="AIW131"/>
      <c r="AIX131"/>
      <c r="AIY131"/>
      <c r="AIZ131"/>
      <c r="AJA131"/>
      <c r="AJB131"/>
      <c r="AJC131"/>
      <c r="AJD131"/>
      <c r="AJE131"/>
      <c r="AJF131"/>
      <c r="AJG131"/>
      <c r="AJH131"/>
      <c r="AJI131"/>
      <c r="AJJ131"/>
      <c r="AJK131"/>
      <c r="AJL131"/>
      <c r="AJM131"/>
      <c r="AJN131"/>
      <c r="AJO131"/>
      <c r="AJP131"/>
      <c r="AJQ131"/>
      <c r="AJR131"/>
      <c r="AJS131"/>
      <c r="AJT131"/>
      <c r="AJU131"/>
      <c r="AJV131"/>
      <c r="AJW131"/>
      <c r="AJX131"/>
      <c r="AJY131"/>
      <c r="AJZ131"/>
      <c r="AKA131"/>
      <c r="AKB131"/>
      <c r="AKC131"/>
      <c r="AKD131"/>
      <c r="AKE131"/>
      <c r="AKF131"/>
      <c r="AKG131"/>
      <c r="AKH131"/>
      <c r="AKI131"/>
      <c r="AKJ131"/>
      <c r="AKK131"/>
      <c r="AKL131"/>
      <c r="AKM131"/>
      <c r="AKN131"/>
      <c r="AKO131"/>
      <c r="AKP131"/>
      <c r="AKQ131"/>
      <c r="AKR131"/>
      <c r="AKS131"/>
      <c r="AKT131"/>
      <c r="AKU131"/>
      <c r="AKV131"/>
      <c r="AKW131"/>
      <c r="AKX131"/>
      <c r="AKY131"/>
      <c r="AKZ131"/>
      <c r="ALA131"/>
      <c r="ALB131"/>
      <c r="ALC131"/>
      <c r="ALD131"/>
      <c r="ALE131"/>
      <c r="ALF131"/>
      <c r="ALG131"/>
      <c r="ALH131"/>
      <c r="ALI131"/>
      <c r="ALJ131"/>
      <c r="ALK131"/>
      <c r="ALL131"/>
      <c r="ALM131"/>
      <c r="ALN131"/>
      <c r="ALO131"/>
      <c r="ALP131"/>
      <c r="ALQ131"/>
      <c r="ALR131"/>
      <c r="ALS131"/>
      <c r="ALT131"/>
      <c r="ALU131"/>
      <c r="ALV131"/>
      <c r="ALW131"/>
      <c r="ALX131"/>
      <c r="ALY131"/>
      <c r="ALZ131"/>
      <c r="AMA131"/>
      <c r="AMB131"/>
      <c r="AMC131"/>
      <c r="AMD131"/>
      <c r="AME131"/>
      <c r="AMF131"/>
      <c r="AMG131"/>
      <c r="AMH131"/>
      <c r="AMI131"/>
      <c r="AMJ131"/>
    </row>
    <row r="132" spans="12:1024" ht="15.95" customHeight="1">
      <c r="L132"/>
      <c r="M132" s="108"/>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c r="NA132"/>
      <c r="NB132"/>
      <c r="NC132"/>
      <c r="ND132"/>
      <c r="NE132"/>
      <c r="NF132"/>
      <c r="NG132"/>
      <c r="NH132"/>
      <c r="NI132"/>
      <c r="NJ132"/>
      <c r="NK132"/>
      <c r="NL132"/>
      <c r="NM132"/>
      <c r="NN132"/>
      <c r="NO132"/>
      <c r="NP132"/>
      <c r="NQ132"/>
      <c r="NR132"/>
      <c r="NS132"/>
      <c r="NT132"/>
      <c r="NU132"/>
      <c r="NV132"/>
      <c r="NW132"/>
      <c r="NX132"/>
      <c r="NY132"/>
      <c r="NZ132"/>
      <c r="OA132"/>
      <c r="OB132"/>
      <c r="OC132"/>
      <c r="OD132"/>
      <c r="OE132"/>
      <c r="OF132"/>
      <c r="OG132"/>
      <c r="OH132"/>
      <c r="OI132"/>
      <c r="OJ132"/>
      <c r="OK132"/>
      <c r="OL132"/>
      <c r="OM132"/>
      <c r="ON132"/>
      <c r="OO132"/>
      <c r="OP132"/>
      <c r="OQ132"/>
      <c r="OR132"/>
      <c r="OS132"/>
      <c r="OT132"/>
      <c r="OU132"/>
      <c r="OV132"/>
      <c r="OW132"/>
      <c r="OX132"/>
      <c r="OY132"/>
      <c r="OZ132"/>
      <c r="PA132"/>
      <c r="PB132"/>
      <c r="PC132"/>
      <c r="PD132"/>
      <c r="PE132"/>
      <c r="PF132"/>
      <c r="PG132"/>
      <c r="PH132"/>
      <c r="PI132"/>
      <c r="PJ132"/>
      <c r="PK132"/>
      <c r="PL132"/>
      <c r="PM132"/>
      <c r="PN132"/>
      <c r="PO132"/>
      <c r="PP132"/>
      <c r="PQ132"/>
      <c r="PR132"/>
      <c r="PS132"/>
      <c r="PT132"/>
      <c r="PU132"/>
      <c r="PV132"/>
      <c r="PW132"/>
      <c r="PX132"/>
      <c r="PY132"/>
      <c r="PZ132"/>
      <c r="QA132"/>
      <c r="QB132"/>
      <c r="QC132"/>
      <c r="QD132"/>
      <c r="QE132"/>
      <c r="QF132"/>
      <c r="QG132"/>
      <c r="QH132"/>
      <c r="QI132"/>
      <c r="QJ132"/>
      <c r="QK132"/>
      <c r="QL132"/>
      <c r="QM132"/>
      <c r="QN132"/>
      <c r="QO132"/>
      <c r="QP132"/>
      <c r="QQ132"/>
      <c r="QR132"/>
      <c r="QS132"/>
      <c r="QT132"/>
      <c r="QU132"/>
      <c r="QV132"/>
      <c r="QW132"/>
      <c r="QX132"/>
      <c r="QY132"/>
      <c r="QZ132"/>
      <c r="RA132"/>
      <c r="RB132"/>
      <c r="RC132"/>
      <c r="RD132"/>
      <c r="RE132"/>
      <c r="RF132"/>
      <c r="RG132"/>
      <c r="RH132"/>
      <c r="RI132"/>
      <c r="RJ132"/>
      <c r="RK132"/>
      <c r="RL132"/>
      <c r="RM132"/>
      <c r="RN132"/>
      <c r="RO132"/>
      <c r="RP132"/>
      <c r="RQ132"/>
      <c r="RR132"/>
      <c r="RS132"/>
      <c r="RT132"/>
      <c r="RU132"/>
      <c r="RV132"/>
      <c r="RW132"/>
      <c r="RX132"/>
      <c r="RY132"/>
      <c r="RZ132"/>
      <c r="SA132"/>
      <c r="SB132"/>
      <c r="SC132"/>
      <c r="SD132"/>
      <c r="SE132"/>
      <c r="SF132"/>
      <c r="SG132"/>
      <c r="SH132"/>
      <c r="SI132"/>
      <c r="SJ132"/>
      <c r="SK132"/>
      <c r="SL132"/>
      <c r="SM132"/>
      <c r="SN132"/>
      <c r="SO132"/>
      <c r="SP132"/>
      <c r="SQ132"/>
      <c r="SR132"/>
      <c r="SS132"/>
      <c r="ST132"/>
      <c r="SU132"/>
      <c r="SV132"/>
      <c r="SW132"/>
      <c r="SX132"/>
      <c r="SY132"/>
      <c r="SZ132"/>
      <c r="TA132"/>
      <c r="TB132"/>
      <c r="TC132"/>
      <c r="TD132"/>
      <c r="TE132"/>
      <c r="TF132"/>
      <c r="TG132"/>
      <c r="TH132"/>
      <c r="TI132"/>
      <c r="TJ132"/>
      <c r="TK132"/>
      <c r="TL132"/>
      <c r="TM132"/>
      <c r="TN132"/>
      <c r="TO132"/>
      <c r="TP132"/>
      <c r="TQ132"/>
      <c r="TR132"/>
      <c r="TS132"/>
      <c r="TT132"/>
      <c r="TU132"/>
      <c r="TV132"/>
      <c r="TW132"/>
      <c r="TX132"/>
      <c r="TY132"/>
      <c r="TZ132"/>
      <c r="UA132"/>
      <c r="UB132"/>
      <c r="UC132"/>
      <c r="UD132"/>
      <c r="UE132"/>
      <c r="UF132"/>
      <c r="UG132"/>
      <c r="UH132"/>
      <c r="UI132"/>
      <c r="UJ132"/>
      <c r="UK132"/>
      <c r="UL132"/>
      <c r="UM132"/>
      <c r="UN132"/>
      <c r="UO132"/>
      <c r="UP132"/>
      <c r="UQ132"/>
      <c r="UR132"/>
      <c r="US132"/>
      <c r="UT132"/>
      <c r="UU132"/>
      <c r="UV132"/>
      <c r="UW132"/>
      <c r="UX132"/>
      <c r="UY132"/>
      <c r="UZ132"/>
      <c r="VA132"/>
      <c r="VB132"/>
      <c r="VC132"/>
      <c r="VD132"/>
      <c r="VE132"/>
      <c r="VF132"/>
      <c r="VG132"/>
      <c r="VH132"/>
      <c r="VI132"/>
      <c r="VJ132"/>
      <c r="VK132"/>
      <c r="VL132"/>
      <c r="VM132"/>
      <c r="VN132"/>
      <c r="VO132"/>
      <c r="VP132"/>
      <c r="VQ132"/>
      <c r="VR132"/>
      <c r="VS132"/>
      <c r="VT132"/>
      <c r="VU132"/>
      <c r="VV132"/>
      <c r="VW132"/>
      <c r="VX132"/>
      <c r="VY132"/>
      <c r="VZ132"/>
      <c r="WA132"/>
      <c r="WB132"/>
      <c r="WC132"/>
      <c r="WD132"/>
      <c r="WE132"/>
      <c r="WF132"/>
      <c r="WG132"/>
      <c r="WH132"/>
      <c r="WI132"/>
      <c r="WJ132"/>
      <c r="WK132"/>
      <c r="WL132"/>
      <c r="WM132"/>
      <c r="WN132"/>
      <c r="WO132"/>
      <c r="WP132"/>
      <c r="WQ132"/>
      <c r="WR132"/>
      <c r="WS132"/>
      <c r="WT132"/>
      <c r="WU132"/>
      <c r="WV132"/>
      <c r="WW132"/>
      <c r="WX132"/>
      <c r="WY132"/>
      <c r="WZ132"/>
      <c r="XA132"/>
      <c r="XB132"/>
      <c r="XC132"/>
      <c r="XD132"/>
      <c r="XE132"/>
      <c r="XF132"/>
      <c r="XG132"/>
      <c r="XH132"/>
      <c r="XI132"/>
      <c r="XJ132"/>
      <c r="XK132"/>
      <c r="XL132"/>
      <c r="XM132"/>
      <c r="XN132"/>
      <c r="XO132"/>
      <c r="XP132"/>
      <c r="XQ132"/>
      <c r="XR132"/>
      <c r="XS132"/>
      <c r="XT132"/>
      <c r="XU132"/>
      <c r="XV132"/>
      <c r="XW132"/>
      <c r="XX132"/>
      <c r="XY132"/>
      <c r="XZ132"/>
      <c r="YA132"/>
      <c r="YB132"/>
      <c r="YC132"/>
      <c r="YD132"/>
      <c r="YE132"/>
      <c r="YF132"/>
      <c r="YG132"/>
      <c r="YH132"/>
      <c r="YI132"/>
      <c r="YJ132"/>
      <c r="YK132"/>
      <c r="YL132"/>
      <c r="YM132"/>
      <c r="YN132"/>
      <c r="YO132"/>
      <c r="YP132"/>
      <c r="YQ132"/>
      <c r="YR132"/>
      <c r="YS132"/>
      <c r="YT132"/>
      <c r="YU132"/>
      <c r="YV132"/>
      <c r="YW132"/>
      <c r="YX132"/>
      <c r="YY132"/>
      <c r="YZ132"/>
      <c r="ZA132"/>
      <c r="ZB132"/>
      <c r="ZC132"/>
      <c r="ZD132"/>
      <c r="ZE132"/>
      <c r="ZF132"/>
      <c r="ZG132"/>
      <c r="ZH132"/>
      <c r="ZI132"/>
      <c r="ZJ132"/>
      <c r="ZK132"/>
      <c r="ZL132"/>
      <c r="ZM132"/>
      <c r="ZN132"/>
      <c r="ZO132"/>
      <c r="ZP132"/>
      <c r="ZQ132"/>
      <c r="ZR132"/>
      <c r="ZS132"/>
      <c r="ZT132"/>
      <c r="ZU132"/>
      <c r="ZV132"/>
      <c r="ZW132"/>
      <c r="ZX132"/>
      <c r="ZY132"/>
      <c r="ZZ132"/>
      <c r="AAA132"/>
      <c r="AAB132"/>
      <c r="AAC132"/>
      <c r="AAD132"/>
      <c r="AAE132"/>
      <c r="AAF132"/>
      <c r="AAG132"/>
      <c r="AAH132"/>
      <c r="AAI132"/>
      <c r="AAJ132"/>
      <c r="AAK132"/>
      <c r="AAL132"/>
      <c r="AAM132"/>
      <c r="AAN132"/>
      <c r="AAO132"/>
      <c r="AAP132"/>
      <c r="AAQ132"/>
      <c r="AAR132"/>
      <c r="AAS132"/>
      <c r="AAT132"/>
      <c r="AAU132"/>
      <c r="AAV132"/>
      <c r="AAW132"/>
      <c r="AAX132"/>
      <c r="AAY132"/>
      <c r="AAZ132"/>
      <c r="ABA132"/>
      <c r="ABB132"/>
      <c r="ABC132"/>
      <c r="ABD132"/>
      <c r="ABE132"/>
      <c r="ABF132"/>
      <c r="ABG132"/>
      <c r="ABH132"/>
      <c r="ABI132"/>
      <c r="ABJ132"/>
      <c r="ABK132"/>
      <c r="ABL132"/>
      <c r="ABM132"/>
      <c r="ABN132"/>
      <c r="ABO132"/>
      <c r="ABP132"/>
      <c r="ABQ132"/>
      <c r="ABR132"/>
      <c r="ABS132"/>
      <c r="ABT132"/>
      <c r="ABU132"/>
      <c r="ABV132"/>
      <c r="ABW132"/>
      <c r="ABX132"/>
      <c r="ABY132"/>
      <c r="ABZ132"/>
      <c r="ACA132"/>
      <c r="ACB132"/>
      <c r="ACC132"/>
      <c r="ACD132"/>
      <c r="ACE132"/>
      <c r="ACF132"/>
      <c r="ACG132"/>
      <c r="ACH132"/>
      <c r="ACI132"/>
      <c r="ACJ132"/>
      <c r="ACK132"/>
      <c r="ACL132"/>
      <c r="ACM132"/>
      <c r="ACN132"/>
      <c r="ACO132"/>
      <c r="ACP132"/>
      <c r="ACQ132"/>
      <c r="ACR132"/>
      <c r="ACS132"/>
      <c r="ACT132"/>
      <c r="ACU132"/>
      <c r="ACV132"/>
      <c r="ACW132"/>
      <c r="ACX132"/>
      <c r="ACY132"/>
      <c r="ACZ132"/>
      <c r="ADA132"/>
      <c r="ADB132"/>
      <c r="ADC132"/>
      <c r="ADD132"/>
      <c r="ADE132"/>
      <c r="ADF132"/>
      <c r="ADG132"/>
      <c r="ADH132"/>
      <c r="ADI132"/>
      <c r="ADJ132"/>
      <c r="ADK132"/>
      <c r="ADL132"/>
      <c r="ADM132"/>
      <c r="ADN132"/>
      <c r="ADO132"/>
      <c r="ADP132"/>
      <c r="ADQ132"/>
      <c r="ADR132"/>
      <c r="ADS132"/>
      <c r="ADT132"/>
      <c r="ADU132"/>
      <c r="ADV132"/>
      <c r="ADW132"/>
      <c r="ADX132"/>
      <c r="ADY132"/>
      <c r="ADZ132"/>
      <c r="AEA132"/>
      <c r="AEB132"/>
      <c r="AEC132"/>
      <c r="AED132"/>
      <c r="AEE132"/>
      <c r="AEF132"/>
      <c r="AEG132"/>
      <c r="AEH132"/>
      <c r="AEI132"/>
      <c r="AEJ132"/>
      <c r="AEK132"/>
      <c r="AEL132"/>
      <c r="AEM132"/>
      <c r="AEN132"/>
      <c r="AEO132"/>
      <c r="AEP132"/>
      <c r="AEQ132"/>
      <c r="AER132"/>
      <c r="AES132"/>
      <c r="AET132"/>
      <c r="AEU132"/>
      <c r="AEV132"/>
      <c r="AEW132"/>
      <c r="AEX132"/>
      <c r="AEY132"/>
      <c r="AEZ132"/>
      <c r="AFA132"/>
      <c r="AFB132"/>
      <c r="AFC132"/>
      <c r="AFD132"/>
      <c r="AFE132"/>
      <c r="AFF132"/>
      <c r="AFG132"/>
      <c r="AFH132"/>
      <c r="AFI132"/>
      <c r="AFJ132"/>
      <c r="AFK132"/>
      <c r="AFL132"/>
      <c r="AFM132"/>
      <c r="AFN132"/>
      <c r="AFO132"/>
      <c r="AFP132"/>
      <c r="AFQ132"/>
      <c r="AFR132"/>
      <c r="AFS132"/>
      <c r="AFT132"/>
      <c r="AFU132"/>
      <c r="AFV132"/>
      <c r="AFW132"/>
      <c r="AFX132"/>
      <c r="AFY132"/>
      <c r="AFZ132"/>
      <c r="AGA132"/>
      <c r="AGB132"/>
      <c r="AGC132"/>
      <c r="AGD132"/>
      <c r="AGE132"/>
      <c r="AGF132"/>
      <c r="AGG132"/>
      <c r="AGH132"/>
      <c r="AGI132"/>
      <c r="AGJ132"/>
      <c r="AGK132"/>
      <c r="AGL132"/>
      <c r="AGM132"/>
      <c r="AGN132"/>
      <c r="AGO132"/>
      <c r="AGP132"/>
      <c r="AGQ132"/>
      <c r="AGR132"/>
      <c r="AGS132"/>
      <c r="AGT132"/>
      <c r="AGU132"/>
      <c r="AGV132"/>
      <c r="AGW132"/>
      <c r="AGX132"/>
      <c r="AGY132"/>
      <c r="AGZ132"/>
      <c r="AHA132"/>
      <c r="AHB132"/>
      <c r="AHC132"/>
      <c r="AHD132"/>
      <c r="AHE132"/>
      <c r="AHF132"/>
      <c r="AHG132"/>
      <c r="AHH132"/>
      <c r="AHI132"/>
      <c r="AHJ132"/>
      <c r="AHK132"/>
      <c r="AHL132"/>
      <c r="AHM132"/>
      <c r="AHN132"/>
      <c r="AHO132"/>
      <c r="AHP132"/>
      <c r="AHQ132"/>
      <c r="AHR132"/>
      <c r="AHS132"/>
      <c r="AHT132"/>
      <c r="AHU132"/>
      <c r="AHV132"/>
      <c r="AHW132"/>
      <c r="AHX132"/>
      <c r="AHY132"/>
      <c r="AHZ132"/>
      <c r="AIA132"/>
      <c r="AIB132"/>
      <c r="AIC132"/>
      <c r="AID132"/>
      <c r="AIE132"/>
      <c r="AIF132"/>
      <c r="AIG132"/>
      <c r="AIH132"/>
      <c r="AII132"/>
      <c r="AIJ132"/>
      <c r="AIK132"/>
      <c r="AIL132"/>
      <c r="AIM132"/>
      <c r="AIN132"/>
      <c r="AIO132"/>
      <c r="AIP132"/>
      <c r="AIQ132"/>
      <c r="AIR132"/>
      <c r="AIS132"/>
      <c r="AIT132"/>
      <c r="AIU132"/>
      <c r="AIV132"/>
      <c r="AIW132"/>
      <c r="AIX132"/>
      <c r="AIY132"/>
      <c r="AIZ132"/>
      <c r="AJA132"/>
      <c r="AJB132"/>
      <c r="AJC132"/>
      <c r="AJD132"/>
      <c r="AJE132"/>
      <c r="AJF132"/>
      <c r="AJG132"/>
      <c r="AJH132"/>
      <c r="AJI132"/>
      <c r="AJJ132"/>
      <c r="AJK132"/>
      <c r="AJL132"/>
      <c r="AJM132"/>
      <c r="AJN132"/>
      <c r="AJO132"/>
      <c r="AJP132"/>
      <c r="AJQ132"/>
      <c r="AJR132"/>
      <c r="AJS132"/>
      <c r="AJT132"/>
      <c r="AJU132"/>
      <c r="AJV132"/>
      <c r="AJW132"/>
      <c r="AJX132"/>
      <c r="AJY132"/>
      <c r="AJZ132"/>
      <c r="AKA132"/>
      <c r="AKB132"/>
      <c r="AKC132"/>
      <c r="AKD132"/>
      <c r="AKE132"/>
      <c r="AKF132"/>
      <c r="AKG132"/>
      <c r="AKH132"/>
      <c r="AKI132"/>
      <c r="AKJ132"/>
      <c r="AKK132"/>
      <c r="AKL132"/>
      <c r="AKM132"/>
      <c r="AKN132"/>
      <c r="AKO132"/>
      <c r="AKP132"/>
      <c r="AKQ132"/>
      <c r="AKR132"/>
      <c r="AKS132"/>
      <c r="AKT132"/>
      <c r="AKU132"/>
      <c r="AKV132"/>
      <c r="AKW132"/>
      <c r="AKX132"/>
      <c r="AKY132"/>
      <c r="AKZ132"/>
      <c r="ALA132"/>
      <c r="ALB132"/>
      <c r="ALC132"/>
      <c r="ALD132"/>
      <c r="ALE132"/>
      <c r="ALF132"/>
      <c r="ALG132"/>
      <c r="ALH132"/>
      <c r="ALI132"/>
      <c r="ALJ132"/>
      <c r="ALK132"/>
      <c r="ALL132"/>
      <c r="ALM132"/>
      <c r="ALN132"/>
      <c r="ALO132"/>
      <c r="ALP132"/>
      <c r="ALQ132"/>
      <c r="ALR132"/>
      <c r="ALS132"/>
      <c r="ALT132"/>
      <c r="ALU132"/>
      <c r="ALV132"/>
      <c r="ALW132"/>
      <c r="ALX132"/>
      <c r="ALY132"/>
      <c r="ALZ132"/>
      <c r="AMA132"/>
      <c r="AMB132"/>
      <c r="AMC132"/>
      <c r="AMD132"/>
      <c r="AME132"/>
      <c r="AMF132"/>
      <c r="AMG132"/>
      <c r="AMH132"/>
      <c r="AMI132"/>
      <c r="AMJ132"/>
    </row>
    <row r="133" spans="12:1024" ht="20.25" customHeight="1">
      <c r="L133"/>
      <c r="M133" s="108"/>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c r="MR133"/>
      <c r="MS133"/>
      <c r="MT133"/>
      <c r="MU133"/>
      <c r="MV133"/>
      <c r="MW133"/>
      <c r="MX133"/>
      <c r="MY133"/>
      <c r="MZ133"/>
      <c r="NA133"/>
      <c r="NB133"/>
      <c r="NC133"/>
      <c r="ND133"/>
      <c r="NE133"/>
      <c r="NF133"/>
      <c r="NG133"/>
      <c r="NH133"/>
      <c r="NI133"/>
      <c r="NJ133"/>
      <c r="NK133"/>
      <c r="NL133"/>
      <c r="NM133"/>
      <c r="NN133"/>
      <c r="NO133"/>
      <c r="NP133"/>
      <c r="NQ133"/>
      <c r="NR133"/>
      <c r="NS133"/>
      <c r="NT133"/>
      <c r="NU133"/>
      <c r="NV133"/>
      <c r="NW133"/>
      <c r="NX133"/>
      <c r="NY133"/>
      <c r="NZ133"/>
      <c r="OA133"/>
      <c r="OB133"/>
      <c r="OC133"/>
      <c r="OD133"/>
      <c r="OE133"/>
      <c r="OF133"/>
      <c r="OG133"/>
      <c r="OH133"/>
      <c r="OI133"/>
      <c r="OJ133"/>
      <c r="OK133"/>
      <c r="OL133"/>
      <c r="OM133"/>
      <c r="ON133"/>
      <c r="OO133"/>
      <c r="OP133"/>
      <c r="OQ133"/>
      <c r="OR133"/>
      <c r="OS133"/>
      <c r="OT133"/>
      <c r="OU133"/>
      <c r="OV133"/>
      <c r="OW133"/>
      <c r="OX133"/>
      <c r="OY133"/>
      <c r="OZ133"/>
      <c r="PA133"/>
      <c r="PB133"/>
      <c r="PC133"/>
      <c r="PD133"/>
      <c r="PE133"/>
      <c r="PF133"/>
      <c r="PG133"/>
      <c r="PH133"/>
      <c r="PI133"/>
      <c r="PJ133"/>
      <c r="PK133"/>
      <c r="PL133"/>
      <c r="PM133"/>
      <c r="PN133"/>
      <c r="PO133"/>
      <c r="PP133"/>
      <c r="PQ133"/>
      <c r="PR133"/>
      <c r="PS133"/>
      <c r="PT133"/>
      <c r="PU133"/>
      <c r="PV133"/>
      <c r="PW133"/>
      <c r="PX133"/>
      <c r="PY133"/>
      <c r="PZ133"/>
      <c r="QA133"/>
      <c r="QB133"/>
      <c r="QC133"/>
      <c r="QD133"/>
      <c r="QE133"/>
      <c r="QF133"/>
      <c r="QG133"/>
      <c r="QH133"/>
      <c r="QI133"/>
      <c r="QJ133"/>
      <c r="QK133"/>
      <c r="QL133"/>
      <c r="QM133"/>
      <c r="QN133"/>
      <c r="QO133"/>
      <c r="QP133"/>
      <c r="QQ133"/>
      <c r="QR133"/>
      <c r="QS133"/>
      <c r="QT133"/>
      <c r="QU133"/>
      <c r="QV133"/>
      <c r="QW133"/>
      <c r="QX133"/>
      <c r="QY133"/>
      <c r="QZ133"/>
      <c r="RA133"/>
      <c r="RB133"/>
      <c r="RC133"/>
      <c r="RD133"/>
      <c r="RE133"/>
      <c r="RF133"/>
      <c r="RG133"/>
      <c r="RH133"/>
      <c r="RI133"/>
      <c r="RJ133"/>
      <c r="RK133"/>
      <c r="RL133"/>
      <c r="RM133"/>
      <c r="RN133"/>
      <c r="RO133"/>
      <c r="RP133"/>
      <c r="RQ133"/>
      <c r="RR133"/>
      <c r="RS133"/>
      <c r="RT133"/>
      <c r="RU133"/>
      <c r="RV133"/>
      <c r="RW133"/>
      <c r="RX133"/>
      <c r="RY133"/>
      <c r="RZ133"/>
      <c r="SA133"/>
      <c r="SB133"/>
      <c r="SC133"/>
      <c r="SD133"/>
      <c r="SE133"/>
      <c r="SF133"/>
      <c r="SG133"/>
      <c r="SH133"/>
      <c r="SI133"/>
      <c r="SJ133"/>
      <c r="SK133"/>
      <c r="SL133"/>
      <c r="SM133"/>
      <c r="SN133"/>
      <c r="SO133"/>
      <c r="SP133"/>
      <c r="SQ133"/>
      <c r="SR133"/>
      <c r="SS133"/>
      <c r="ST133"/>
      <c r="SU133"/>
      <c r="SV133"/>
      <c r="SW133"/>
      <c r="SX133"/>
      <c r="SY133"/>
      <c r="SZ133"/>
      <c r="TA133"/>
      <c r="TB133"/>
      <c r="TC133"/>
      <c r="TD133"/>
      <c r="TE133"/>
      <c r="TF133"/>
      <c r="TG133"/>
      <c r="TH133"/>
      <c r="TI133"/>
      <c r="TJ133"/>
      <c r="TK133"/>
      <c r="TL133"/>
      <c r="TM133"/>
      <c r="TN133"/>
      <c r="TO133"/>
      <c r="TP133"/>
      <c r="TQ133"/>
      <c r="TR133"/>
      <c r="TS133"/>
      <c r="TT133"/>
      <c r="TU133"/>
      <c r="TV133"/>
      <c r="TW133"/>
      <c r="TX133"/>
      <c r="TY133"/>
      <c r="TZ133"/>
      <c r="UA133"/>
      <c r="UB133"/>
      <c r="UC133"/>
      <c r="UD133"/>
      <c r="UE133"/>
      <c r="UF133"/>
      <c r="UG133"/>
      <c r="UH133"/>
      <c r="UI133"/>
      <c r="UJ133"/>
      <c r="UK133"/>
      <c r="UL133"/>
      <c r="UM133"/>
      <c r="UN133"/>
      <c r="UO133"/>
      <c r="UP133"/>
      <c r="UQ133"/>
      <c r="UR133"/>
      <c r="US133"/>
      <c r="UT133"/>
      <c r="UU133"/>
      <c r="UV133"/>
      <c r="UW133"/>
      <c r="UX133"/>
      <c r="UY133"/>
      <c r="UZ133"/>
      <c r="VA133"/>
      <c r="VB133"/>
      <c r="VC133"/>
      <c r="VD133"/>
      <c r="VE133"/>
      <c r="VF133"/>
      <c r="VG133"/>
      <c r="VH133"/>
      <c r="VI133"/>
      <c r="VJ133"/>
      <c r="VK133"/>
      <c r="VL133"/>
      <c r="VM133"/>
      <c r="VN133"/>
      <c r="VO133"/>
      <c r="VP133"/>
      <c r="VQ133"/>
      <c r="VR133"/>
      <c r="VS133"/>
      <c r="VT133"/>
      <c r="VU133"/>
      <c r="VV133"/>
      <c r="VW133"/>
      <c r="VX133"/>
      <c r="VY133"/>
      <c r="VZ133"/>
      <c r="WA133"/>
      <c r="WB133"/>
      <c r="WC133"/>
      <c r="WD133"/>
      <c r="WE133"/>
      <c r="WF133"/>
      <c r="WG133"/>
      <c r="WH133"/>
      <c r="WI133"/>
      <c r="WJ133"/>
      <c r="WK133"/>
      <c r="WL133"/>
      <c r="WM133"/>
      <c r="WN133"/>
      <c r="WO133"/>
      <c r="WP133"/>
      <c r="WQ133"/>
      <c r="WR133"/>
      <c r="WS133"/>
      <c r="WT133"/>
      <c r="WU133"/>
      <c r="WV133"/>
      <c r="WW133"/>
      <c r="WX133"/>
      <c r="WY133"/>
      <c r="WZ133"/>
      <c r="XA133"/>
      <c r="XB133"/>
      <c r="XC133"/>
      <c r="XD133"/>
      <c r="XE133"/>
      <c r="XF133"/>
      <c r="XG133"/>
      <c r="XH133"/>
      <c r="XI133"/>
      <c r="XJ133"/>
      <c r="XK133"/>
      <c r="XL133"/>
      <c r="XM133"/>
      <c r="XN133"/>
      <c r="XO133"/>
      <c r="XP133"/>
      <c r="XQ133"/>
      <c r="XR133"/>
      <c r="XS133"/>
      <c r="XT133"/>
      <c r="XU133"/>
      <c r="XV133"/>
      <c r="XW133"/>
      <c r="XX133"/>
      <c r="XY133"/>
      <c r="XZ133"/>
      <c r="YA133"/>
      <c r="YB133"/>
      <c r="YC133"/>
      <c r="YD133"/>
      <c r="YE133"/>
      <c r="YF133"/>
      <c r="YG133"/>
      <c r="YH133"/>
      <c r="YI133"/>
      <c r="YJ133"/>
      <c r="YK133"/>
      <c r="YL133"/>
      <c r="YM133"/>
      <c r="YN133"/>
      <c r="YO133"/>
      <c r="YP133"/>
      <c r="YQ133"/>
      <c r="YR133"/>
      <c r="YS133"/>
      <c r="YT133"/>
      <c r="YU133"/>
      <c r="YV133"/>
      <c r="YW133"/>
      <c r="YX133"/>
      <c r="YY133"/>
      <c r="YZ133"/>
      <c r="ZA133"/>
      <c r="ZB133"/>
      <c r="ZC133"/>
      <c r="ZD133"/>
      <c r="ZE133"/>
      <c r="ZF133"/>
      <c r="ZG133"/>
      <c r="ZH133"/>
      <c r="ZI133"/>
      <c r="ZJ133"/>
      <c r="ZK133"/>
      <c r="ZL133"/>
      <c r="ZM133"/>
      <c r="ZN133"/>
      <c r="ZO133"/>
      <c r="ZP133"/>
      <c r="ZQ133"/>
      <c r="ZR133"/>
      <c r="ZS133"/>
      <c r="ZT133"/>
      <c r="ZU133"/>
      <c r="ZV133"/>
      <c r="ZW133"/>
      <c r="ZX133"/>
      <c r="ZY133"/>
      <c r="ZZ133"/>
      <c r="AAA133"/>
      <c r="AAB133"/>
      <c r="AAC133"/>
      <c r="AAD133"/>
      <c r="AAE133"/>
      <c r="AAF133"/>
      <c r="AAG133"/>
      <c r="AAH133"/>
      <c r="AAI133"/>
      <c r="AAJ133"/>
      <c r="AAK133"/>
      <c r="AAL133"/>
      <c r="AAM133"/>
      <c r="AAN133"/>
      <c r="AAO133"/>
      <c r="AAP133"/>
      <c r="AAQ133"/>
      <c r="AAR133"/>
      <c r="AAS133"/>
      <c r="AAT133"/>
      <c r="AAU133"/>
      <c r="AAV133"/>
      <c r="AAW133"/>
      <c r="AAX133"/>
      <c r="AAY133"/>
      <c r="AAZ133"/>
      <c r="ABA133"/>
      <c r="ABB133"/>
      <c r="ABC133"/>
      <c r="ABD133"/>
      <c r="ABE133"/>
      <c r="ABF133"/>
      <c r="ABG133"/>
      <c r="ABH133"/>
      <c r="ABI133"/>
      <c r="ABJ133"/>
      <c r="ABK133"/>
      <c r="ABL133"/>
      <c r="ABM133"/>
      <c r="ABN133"/>
      <c r="ABO133"/>
      <c r="ABP133"/>
      <c r="ABQ133"/>
      <c r="ABR133"/>
      <c r="ABS133"/>
      <c r="ABT133"/>
      <c r="ABU133"/>
      <c r="ABV133"/>
      <c r="ABW133"/>
      <c r="ABX133"/>
      <c r="ABY133"/>
      <c r="ABZ133"/>
      <c r="ACA133"/>
      <c r="ACB133"/>
      <c r="ACC133"/>
      <c r="ACD133"/>
      <c r="ACE133"/>
      <c r="ACF133"/>
      <c r="ACG133"/>
      <c r="ACH133"/>
      <c r="ACI133"/>
      <c r="ACJ133"/>
      <c r="ACK133"/>
      <c r="ACL133"/>
      <c r="ACM133"/>
      <c r="ACN133"/>
      <c r="ACO133"/>
      <c r="ACP133"/>
      <c r="ACQ133"/>
      <c r="ACR133"/>
      <c r="ACS133"/>
      <c r="ACT133"/>
      <c r="ACU133"/>
      <c r="ACV133"/>
      <c r="ACW133"/>
      <c r="ACX133"/>
      <c r="ACY133"/>
      <c r="ACZ133"/>
      <c r="ADA133"/>
      <c r="ADB133"/>
      <c r="ADC133"/>
      <c r="ADD133"/>
      <c r="ADE133"/>
      <c r="ADF133"/>
      <c r="ADG133"/>
      <c r="ADH133"/>
      <c r="ADI133"/>
      <c r="ADJ133"/>
      <c r="ADK133"/>
      <c r="ADL133"/>
      <c r="ADM133"/>
      <c r="ADN133"/>
      <c r="ADO133"/>
      <c r="ADP133"/>
      <c r="ADQ133"/>
      <c r="ADR133"/>
      <c r="ADS133"/>
      <c r="ADT133"/>
      <c r="ADU133"/>
      <c r="ADV133"/>
      <c r="ADW133"/>
      <c r="ADX133"/>
      <c r="ADY133"/>
      <c r="ADZ133"/>
      <c r="AEA133"/>
      <c r="AEB133"/>
      <c r="AEC133"/>
      <c r="AED133"/>
      <c r="AEE133"/>
      <c r="AEF133"/>
      <c r="AEG133"/>
      <c r="AEH133"/>
      <c r="AEI133"/>
      <c r="AEJ133"/>
      <c r="AEK133"/>
      <c r="AEL133"/>
      <c r="AEM133"/>
      <c r="AEN133"/>
      <c r="AEO133"/>
      <c r="AEP133"/>
      <c r="AEQ133"/>
      <c r="AER133"/>
      <c r="AES133"/>
      <c r="AET133"/>
      <c r="AEU133"/>
      <c r="AEV133"/>
      <c r="AEW133"/>
      <c r="AEX133"/>
      <c r="AEY133"/>
      <c r="AEZ133"/>
      <c r="AFA133"/>
      <c r="AFB133"/>
      <c r="AFC133"/>
      <c r="AFD133"/>
      <c r="AFE133"/>
      <c r="AFF133"/>
      <c r="AFG133"/>
      <c r="AFH133"/>
      <c r="AFI133"/>
      <c r="AFJ133"/>
      <c r="AFK133"/>
      <c r="AFL133"/>
      <c r="AFM133"/>
      <c r="AFN133"/>
      <c r="AFO133"/>
      <c r="AFP133"/>
      <c r="AFQ133"/>
      <c r="AFR133"/>
      <c r="AFS133"/>
      <c r="AFT133"/>
      <c r="AFU133"/>
      <c r="AFV133"/>
      <c r="AFW133"/>
      <c r="AFX133"/>
      <c r="AFY133"/>
      <c r="AFZ133"/>
      <c r="AGA133"/>
      <c r="AGB133"/>
      <c r="AGC133"/>
      <c r="AGD133"/>
      <c r="AGE133"/>
      <c r="AGF133"/>
      <c r="AGG133"/>
      <c r="AGH133"/>
      <c r="AGI133"/>
      <c r="AGJ133"/>
      <c r="AGK133"/>
      <c r="AGL133"/>
      <c r="AGM133"/>
      <c r="AGN133"/>
      <c r="AGO133"/>
      <c r="AGP133"/>
      <c r="AGQ133"/>
      <c r="AGR133"/>
      <c r="AGS133"/>
      <c r="AGT133"/>
      <c r="AGU133"/>
      <c r="AGV133"/>
      <c r="AGW133"/>
      <c r="AGX133"/>
      <c r="AGY133"/>
      <c r="AGZ133"/>
      <c r="AHA133"/>
      <c r="AHB133"/>
      <c r="AHC133"/>
      <c r="AHD133"/>
      <c r="AHE133"/>
      <c r="AHF133"/>
      <c r="AHG133"/>
      <c r="AHH133"/>
      <c r="AHI133"/>
      <c r="AHJ133"/>
      <c r="AHK133"/>
      <c r="AHL133"/>
      <c r="AHM133"/>
      <c r="AHN133"/>
      <c r="AHO133"/>
      <c r="AHP133"/>
      <c r="AHQ133"/>
      <c r="AHR133"/>
      <c r="AHS133"/>
      <c r="AHT133"/>
      <c r="AHU133"/>
      <c r="AHV133"/>
      <c r="AHW133"/>
      <c r="AHX133"/>
      <c r="AHY133"/>
      <c r="AHZ133"/>
      <c r="AIA133"/>
      <c r="AIB133"/>
      <c r="AIC133"/>
      <c r="AID133"/>
      <c r="AIE133"/>
      <c r="AIF133"/>
      <c r="AIG133"/>
      <c r="AIH133"/>
      <c r="AII133"/>
      <c r="AIJ133"/>
      <c r="AIK133"/>
      <c r="AIL133"/>
      <c r="AIM133"/>
      <c r="AIN133"/>
      <c r="AIO133"/>
      <c r="AIP133"/>
      <c r="AIQ133"/>
      <c r="AIR133"/>
      <c r="AIS133"/>
      <c r="AIT133"/>
      <c r="AIU133"/>
      <c r="AIV133"/>
      <c r="AIW133"/>
      <c r="AIX133"/>
      <c r="AIY133"/>
      <c r="AIZ133"/>
      <c r="AJA133"/>
      <c r="AJB133"/>
      <c r="AJC133"/>
      <c r="AJD133"/>
      <c r="AJE133"/>
      <c r="AJF133"/>
      <c r="AJG133"/>
      <c r="AJH133"/>
      <c r="AJI133"/>
      <c r="AJJ133"/>
      <c r="AJK133"/>
      <c r="AJL133"/>
      <c r="AJM133"/>
      <c r="AJN133"/>
      <c r="AJO133"/>
      <c r="AJP133"/>
      <c r="AJQ133"/>
      <c r="AJR133"/>
      <c r="AJS133"/>
      <c r="AJT133"/>
      <c r="AJU133"/>
      <c r="AJV133"/>
      <c r="AJW133"/>
      <c r="AJX133"/>
      <c r="AJY133"/>
      <c r="AJZ133"/>
      <c r="AKA133"/>
      <c r="AKB133"/>
      <c r="AKC133"/>
      <c r="AKD133"/>
      <c r="AKE133"/>
      <c r="AKF133"/>
      <c r="AKG133"/>
      <c r="AKH133"/>
      <c r="AKI133"/>
      <c r="AKJ133"/>
      <c r="AKK133"/>
      <c r="AKL133"/>
      <c r="AKM133"/>
      <c r="AKN133"/>
      <c r="AKO133"/>
      <c r="AKP133"/>
      <c r="AKQ133"/>
      <c r="AKR133"/>
      <c r="AKS133"/>
      <c r="AKT133"/>
      <c r="AKU133"/>
      <c r="AKV133"/>
      <c r="AKW133"/>
      <c r="AKX133"/>
      <c r="AKY133"/>
      <c r="AKZ133"/>
      <c r="ALA133"/>
      <c r="ALB133"/>
      <c r="ALC133"/>
      <c r="ALD133"/>
      <c r="ALE133"/>
      <c r="ALF133"/>
      <c r="ALG133"/>
      <c r="ALH133"/>
      <c r="ALI133"/>
      <c r="ALJ133"/>
      <c r="ALK133"/>
      <c r="ALL133"/>
      <c r="ALM133"/>
      <c r="ALN133"/>
      <c r="ALO133"/>
      <c r="ALP133"/>
      <c r="ALQ133"/>
      <c r="ALR133"/>
      <c r="ALS133"/>
      <c r="ALT133"/>
      <c r="ALU133"/>
      <c r="ALV133"/>
      <c r="ALW133"/>
      <c r="ALX133"/>
      <c r="ALY133"/>
      <c r="ALZ133"/>
      <c r="AMA133"/>
      <c r="AMB133"/>
      <c r="AMC133"/>
      <c r="AMD133"/>
      <c r="AME133"/>
      <c r="AMF133"/>
      <c r="AMG133"/>
      <c r="AMH133"/>
      <c r="AMI133"/>
      <c r="AMJ133"/>
    </row>
  </sheetData>
  <mergeCells count="95">
    <mergeCell ref="C81:G81"/>
    <mergeCell ref="C74:G74"/>
    <mergeCell ref="C75:G75"/>
    <mergeCell ref="C76:G76"/>
    <mergeCell ref="C77:G77"/>
    <mergeCell ref="C80:G80"/>
    <mergeCell ref="C69:G69"/>
    <mergeCell ref="C70:G70"/>
    <mergeCell ref="C71:G71"/>
    <mergeCell ref="C72:G72"/>
    <mergeCell ref="C73:G73"/>
    <mergeCell ref="C64:G64"/>
    <mergeCell ref="C65:G65"/>
    <mergeCell ref="C66:G66"/>
    <mergeCell ref="C67:G67"/>
    <mergeCell ref="C68:G68"/>
    <mergeCell ref="C59:G59"/>
    <mergeCell ref="C60:G60"/>
    <mergeCell ref="C61:G61"/>
    <mergeCell ref="C62:G62"/>
    <mergeCell ref="C63:G63"/>
    <mergeCell ref="C54:G54"/>
    <mergeCell ref="C55:G55"/>
    <mergeCell ref="C56:G56"/>
    <mergeCell ref="C57:G57"/>
    <mergeCell ref="C58:G58"/>
    <mergeCell ref="C49:G49"/>
    <mergeCell ref="C50:G50"/>
    <mergeCell ref="C51:G51"/>
    <mergeCell ref="C52:G52"/>
    <mergeCell ref="C53:G53"/>
    <mergeCell ref="C44:G44"/>
    <mergeCell ref="C45:G45"/>
    <mergeCell ref="C46:G46"/>
    <mergeCell ref="C47:G47"/>
    <mergeCell ref="C48:G48"/>
    <mergeCell ref="C39:G39"/>
    <mergeCell ref="C40:G40"/>
    <mergeCell ref="C41:G41"/>
    <mergeCell ref="C42:G42"/>
    <mergeCell ref="C43:G43"/>
    <mergeCell ref="C34:G34"/>
    <mergeCell ref="C35:G35"/>
    <mergeCell ref="C36:G36"/>
    <mergeCell ref="C37:G37"/>
    <mergeCell ref="C38:G38"/>
    <mergeCell ref="C29:G29"/>
    <mergeCell ref="C30:G30"/>
    <mergeCell ref="C31:G31"/>
    <mergeCell ref="C32:G32"/>
    <mergeCell ref="C33:G33"/>
    <mergeCell ref="C24:G24"/>
    <mergeCell ref="C25:G25"/>
    <mergeCell ref="C26:G26"/>
    <mergeCell ref="C27:G27"/>
    <mergeCell ref="C28:G28"/>
    <mergeCell ref="C19:G19"/>
    <mergeCell ref="C20:G20"/>
    <mergeCell ref="C21:G21"/>
    <mergeCell ref="C22:G22"/>
    <mergeCell ref="C23:G23"/>
    <mergeCell ref="C14:G14"/>
    <mergeCell ref="C15:G15"/>
    <mergeCell ref="C16:G16"/>
    <mergeCell ref="C17:G17"/>
    <mergeCell ref="C18:G18"/>
    <mergeCell ref="A84:I84"/>
    <mergeCell ref="J84:K84"/>
    <mergeCell ref="K10:K11"/>
    <mergeCell ref="C12:G12"/>
    <mergeCell ref="C78:G78"/>
    <mergeCell ref="C79:G79"/>
    <mergeCell ref="C82:G82"/>
    <mergeCell ref="A83:I83"/>
    <mergeCell ref="J83:K83"/>
    <mergeCell ref="A10:A11"/>
    <mergeCell ref="B10:B11"/>
    <mergeCell ref="C10:G11"/>
    <mergeCell ref="H10:H11"/>
    <mergeCell ref="I10:I11"/>
    <mergeCell ref="J10:J11"/>
    <mergeCell ref="C13:G13"/>
    <mergeCell ref="A6:C6"/>
    <mergeCell ref="D6:K6"/>
    <mergeCell ref="A7:C7"/>
    <mergeCell ref="D7:K7"/>
    <mergeCell ref="A8:C8"/>
    <mergeCell ref="D8:K8"/>
    <mergeCell ref="A5:C5"/>
    <mergeCell ref="D5:K5"/>
    <mergeCell ref="A1:I1"/>
    <mergeCell ref="A3:C3"/>
    <mergeCell ref="D3:K3"/>
    <mergeCell ref="A4:C4"/>
    <mergeCell ref="D4:K4"/>
  </mergeCells>
  <conditionalFormatting sqref="C61">
    <cfRule type="duplicateValues" dxfId="85" priority="10"/>
  </conditionalFormatting>
  <conditionalFormatting sqref="C26:C45">
    <cfRule type="duplicateValues" dxfId="84" priority="9"/>
  </conditionalFormatting>
  <conditionalFormatting sqref="C12:C81">
    <cfRule type="duplicateValues" dxfId="83" priority="8"/>
  </conditionalFormatting>
  <conditionalFormatting sqref="C46">
    <cfRule type="duplicateValues" dxfId="82" priority="7"/>
  </conditionalFormatting>
  <conditionalFormatting sqref="C46">
    <cfRule type="duplicateValues" dxfId="81" priority="6"/>
  </conditionalFormatting>
  <conditionalFormatting sqref="C12:C25 C47:C81">
    <cfRule type="duplicateValues" dxfId="80" priority="5"/>
  </conditionalFormatting>
  <conditionalFormatting sqref="C12:C45 C47:C81">
    <cfRule type="duplicateValues" dxfId="79" priority="4"/>
  </conditionalFormatting>
  <conditionalFormatting sqref="C12:C81">
    <cfRule type="duplicateValues" dxfId="78" priority="3"/>
  </conditionalFormatting>
  <conditionalFormatting sqref="C12:C81">
    <cfRule type="duplicateValues" dxfId="77" priority="1"/>
    <cfRule type="duplicateValues" dxfId="76" priority="2"/>
  </conditionalFormatting>
  <printOptions horizontalCentered="1"/>
  <pageMargins left="0.19685039370078741" right="0.19685039370078741" top="0.39370078740157483" bottom="0.59055118110236227" header="0.51181102362204722" footer="0.51181102362204722"/>
  <pageSetup paperSize="5"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dimension ref="A1:R27"/>
  <sheetViews>
    <sheetView workbookViewId="0">
      <selection activeCell="F14" sqref="F14"/>
    </sheetView>
  </sheetViews>
  <sheetFormatPr baseColWidth="10" defaultColWidth="11" defaultRowHeight="12.75"/>
  <cols>
    <col min="1" max="5" width="4.42578125" customWidth="1"/>
    <col min="6" max="6" width="5.5703125" customWidth="1"/>
    <col min="7" max="7" width="4.42578125" style="111" customWidth="1"/>
    <col min="8" max="14" width="4.42578125" customWidth="1"/>
    <col min="15" max="16" width="14.85546875" customWidth="1"/>
    <col min="17" max="17" width="17.5703125" customWidth="1"/>
  </cols>
  <sheetData>
    <row r="1" spans="1:17" ht="15.75" customHeight="1" thickBot="1">
      <c r="A1" s="202" t="s">
        <v>2</v>
      </c>
      <c r="B1" s="202"/>
      <c r="C1" s="202"/>
      <c r="D1" s="203">
        <v>2021</v>
      </c>
      <c r="E1" s="203"/>
      <c r="F1" s="109"/>
      <c r="G1" s="109"/>
      <c r="H1" s="110"/>
      <c r="I1" s="110"/>
      <c r="J1" s="110"/>
      <c r="K1" s="110"/>
      <c r="L1" s="110"/>
      <c r="M1" s="110"/>
      <c r="N1" s="110"/>
      <c r="P1" s="204" t="s">
        <v>218</v>
      </c>
      <c r="Q1" s="204"/>
    </row>
    <row r="2" spans="1:17" ht="15.75" customHeight="1" thickBot="1">
      <c r="H2" s="110"/>
      <c r="I2" s="110"/>
      <c r="J2" s="110"/>
      <c r="K2" s="110"/>
      <c r="L2" s="110"/>
      <c r="M2" s="110"/>
      <c r="N2" s="110"/>
      <c r="P2" s="204"/>
      <c r="Q2" s="204"/>
    </row>
    <row r="4" spans="1:17" s="112" customFormat="1" ht="18" customHeight="1" thickBot="1">
      <c r="A4" s="205" t="s">
        <v>219</v>
      </c>
      <c r="B4" s="205"/>
      <c r="C4" s="205"/>
      <c r="D4" s="205"/>
      <c r="E4" s="205"/>
      <c r="F4" s="205"/>
      <c r="G4" s="201" t="s">
        <v>204</v>
      </c>
      <c r="H4" s="201"/>
      <c r="I4" s="201"/>
      <c r="J4" s="201"/>
      <c r="K4" s="201"/>
      <c r="L4" s="201"/>
      <c r="M4" s="201"/>
      <c r="N4" s="201"/>
      <c r="O4" s="201"/>
      <c r="P4" s="201"/>
      <c r="Q4" s="201"/>
    </row>
    <row r="5" spans="1:17" s="112" customFormat="1" ht="18" customHeight="1" thickBot="1">
      <c r="A5" s="198" t="s">
        <v>205</v>
      </c>
      <c r="B5" s="199"/>
      <c r="C5" s="199"/>
      <c r="D5" s="199"/>
      <c r="E5" s="199"/>
      <c r="F5" s="200"/>
      <c r="G5" s="201" t="s">
        <v>220</v>
      </c>
      <c r="H5" s="201"/>
      <c r="I5" s="201"/>
      <c r="J5" s="201"/>
      <c r="K5" s="201"/>
      <c r="L5" s="201"/>
      <c r="M5" s="201"/>
      <c r="N5" s="201"/>
      <c r="O5" s="201"/>
      <c r="P5" s="201"/>
      <c r="Q5" s="201"/>
    </row>
    <row r="6" spans="1:17" s="112" customFormat="1" ht="18" customHeight="1" thickBot="1">
      <c r="A6" s="198" t="s">
        <v>207</v>
      </c>
      <c r="B6" s="199"/>
      <c r="C6" s="199"/>
      <c r="D6" s="199"/>
      <c r="E6" s="199"/>
      <c r="F6" s="200"/>
      <c r="G6" s="201" t="s">
        <v>248</v>
      </c>
      <c r="H6" s="201"/>
      <c r="I6" s="201"/>
      <c r="J6" s="201"/>
      <c r="K6" s="201"/>
      <c r="L6" s="201"/>
      <c r="M6" s="201"/>
      <c r="N6" s="201"/>
      <c r="O6" s="201"/>
      <c r="P6" s="201"/>
      <c r="Q6" s="201"/>
    </row>
    <row r="7" spans="1:17" s="112" customFormat="1" ht="18" customHeight="1" thickBot="1">
      <c r="A7" s="198" t="s">
        <v>208</v>
      </c>
      <c r="B7" s="199"/>
      <c r="C7" s="199"/>
      <c r="D7" s="199"/>
      <c r="E7" s="199"/>
      <c r="F7" s="200"/>
      <c r="G7" s="201" t="s">
        <v>248</v>
      </c>
      <c r="H7" s="201"/>
      <c r="I7" s="201"/>
      <c r="J7" s="201"/>
      <c r="K7" s="201"/>
      <c r="L7" s="201"/>
      <c r="M7" s="201"/>
      <c r="N7" s="201"/>
      <c r="O7" s="201"/>
      <c r="P7" s="201"/>
      <c r="Q7" s="201"/>
    </row>
    <row r="8" spans="1:17" ht="18" customHeight="1" thickBot="1">
      <c r="A8" s="208" t="s">
        <v>221</v>
      </c>
      <c r="B8" s="208"/>
      <c r="C8" s="208"/>
      <c r="D8" s="208"/>
      <c r="E8" s="208"/>
      <c r="F8" s="208"/>
      <c r="G8" s="208"/>
      <c r="H8" s="208"/>
      <c r="I8" s="208"/>
      <c r="J8" s="208"/>
      <c r="K8" s="208"/>
      <c r="L8" s="208"/>
      <c r="M8" s="208"/>
      <c r="N8" s="208"/>
      <c r="O8" s="208"/>
      <c r="P8" s="208"/>
      <c r="Q8" s="208"/>
    </row>
    <row r="9" spans="1:17" ht="18" customHeight="1">
      <c r="A9" s="209" t="s">
        <v>222</v>
      </c>
      <c r="B9" s="209"/>
      <c r="C9" s="209"/>
      <c r="D9" s="209"/>
      <c r="E9" s="209"/>
      <c r="F9" s="209"/>
      <c r="G9" s="209"/>
      <c r="H9" s="209"/>
      <c r="I9" s="209"/>
      <c r="J9" s="209"/>
      <c r="K9" s="209"/>
      <c r="L9" s="209"/>
      <c r="M9" s="209"/>
      <c r="N9" s="209"/>
      <c r="O9" s="113"/>
      <c r="P9" s="113"/>
      <c r="Q9" s="114"/>
    </row>
    <row r="10" spans="1:17" ht="57" customHeight="1">
      <c r="A10" s="210" t="s">
        <v>264</v>
      </c>
      <c r="B10" s="211"/>
      <c r="C10" s="211"/>
      <c r="D10" s="211"/>
      <c r="E10" s="211"/>
      <c r="F10" s="211"/>
      <c r="G10" s="211"/>
      <c r="H10" s="211"/>
      <c r="I10" s="211"/>
      <c r="J10" s="211"/>
      <c r="K10" s="211"/>
      <c r="L10" s="211"/>
      <c r="M10" s="211"/>
      <c r="N10" s="211"/>
      <c r="O10" s="211"/>
      <c r="P10" s="211"/>
      <c r="Q10" s="212"/>
    </row>
    <row r="11" spans="1:17" ht="9" customHeight="1" thickBot="1">
      <c r="A11" s="115"/>
      <c r="B11" s="116"/>
      <c r="C11" s="116"/>
      <c r="D11" s="116"/>
      <c r="E11" s="116"/>
      <c r="F11" s="116"/>
      <c r="G11" s="117"/>
      <c r="H11" s="116"/>
      <c r="I11" s="116"/>
      <c r="J11" s="116"/>
      <c r="K11" s="116"/>
      <c r="L11" s="116"/>
      <c r="M11" s="116"/>
      <c r="N11" s="116"/>
      <c r="O11" s="116"/>
      <c r="P11" s="116"/>
      <c r="Q11" s="118"/>
    </row>
    <row r="12" spans="1:17" ht="15.75" customHeight="1" thickBot="1">
      <c r="A12" s="213" t="s">
        <v>223</v>
      </c>
      <c r="B12" s="213"/>
      <c r="C12" s="213"/>
      <c r="D12" s="213"/>
      <c r="E12" s="213"/>
      <c r="F12" s="213"/>
      <c r="G12" s="213"/>
      <c r="H12" s="213"/>
      <c r="I12" s="213"/>
      <c r="J12" s="213"/>
      <c r="K12" s="213"/>
      <c r="L12" s="213"/>
      <c r="M12" s="213"/>
      <c r="N12" s="213"/>
      <c r="O12" s="213"/>
      <c r="P12" s="213"/>
      <c r="Q12" s="213"/>
    </row>
    <row r="13" spans="1:17" ht="15.75" customHeight="1" thickBot="1">
      <c r="A13" s="214" t="s">
        <v>224</v>
      </c>
      <c r="B13" s="214"/>
      <c r="C13" s="214"/>
      <c r="D13" s="214"/>
      <c r="E13" s="214"/>
      <c r="F13" s="214"/>
      <c r="G13" s="214"/>
      <c r="H13" s="214"/>
      <c r="I13" s="214"/>
      <c r="J13" s="214"/>
      <c r="K13" s="214"/>
      <c r="L13" s="214"/>
      <c r="M13" s="214"/>
      <c r="N13" s="214"/>
      <c r="O13" s="215" t="s">
        <v>225</v>
      </c>
      <c r="P13" s="215"/>
      <c r="Q13" s="216" t="s">
        <v>226</v>
      </c>
    </row>
    <row r="14" spans="1:17" ht="15.75" customHeight="1" thickBot="1">
      <c r="A14" s="119" t="s">
        <v>227</v>
      </c>
      <c r="B14" s="120" t="s">
        <v>228</v>
      </c>
      <c r="C14" s="120" t="s">
        <v>229</v>
      </c>
      <c r="D14" s="120" t="s">
        <v>230</v>
      </c>
      <c r="E14" s="120" t="s">
        <v>231</v>
      </c>
      <c r="F14" s="120" t="s">
        <v>232</v>
      </c>
      <c r="G14" s="121" t="s">
        <v>233</v>
      </c>
      <c r="H14" s="120" t="s">
        <v>234</v>
      </c>
      <c r="I14" s="120" t="s">
        <v>235</v>
      </c>
      <c r="J14" s="120" t="s">
        <v>236</v>
      </c>
      <c r="K14" s="120" t="s">
        <v>236</v>
      </c>
      <c r="L14" s="120" t="s">
        <v>237</v>
      </c>
      <c r="M14" s="122" t="s">
        <v>119</v>
      </c>
      <c r="N14" s="123" t="s">
        <v>238</v>
      </c>
      <c r="O14" s="215"/>
      <c r="P14" s="215"/>
      <c r="Q14" s="216"/>
    </row>
    <row r="15" spans="1:17" ht="17.25" customHeight="1">
      <c r="A15" s="124">
        <v>62</v>
      </c>
      <c r="B15" s="125"/>
      <c r="C15" s="125"/>
      <c r="D15" s="125">
        <v>1</v>
      </c>
      <c r="E15" s="125"/>
      <c r="F15" s="125">
        <v>4901</v>
      </c>
      <c r="G15" s="125">
        <v>3</v>
      </c>
      <c r="H15" s="125">
        <v>1</v>
      </c>
      <c r="I15" s="126">
        <v>2</v>
      </c>
      <c r="J15" s="126">
        <v>5</v>
      </c>
      <c r="K15" s="126">
        <v>1</v>
      </c>
      <c r="L15" s="125"/>
      <c r="M15" s="127">
        <v>1</v>
      </c>
      <c r="N15" s="128" t="s">
        <v>239</v>
      </c>
      <c r="O15" s="206" t="s">
        <v>241</v>
      </c>
      <c r="P15" s="207"/>
      <c r="Q15" s="129">
        <f>+'Necesidades Trimestrales '!J138</f>
        <v>106117968</v>
      </c>
    </row>
    <row r="16" spans="1:17" ht="17.25" customHeight="1">
      <c r="A16" s="130"/>
      <c r="B16" s="131"/>
      <c r="C16" s="131"/>
      <c r="D16" s="131"/>
      <c r="E16" s="131"/>
      <c r="F16" s="131"/>
      <c r="G16" s="131"/>
      <c r="H16" s="131"/>
      <c r="I16" s="131"/>
      <c r="J16" s="131"/>
      <c r="K16" s="131"/>
      <c r="L16" s="131"/>
      <c r="M16" s="132"/>
      <c r="N16" s="133"/>
      <c r="O16" s="218"/>
      <c r="P16" s="219"/>
      <c r="Q16" s="134"/>
    </row>
    <row r="17" spans="1:18" ht="17.25" customHeight="1">
      <c r="A17" s="130"/>
      <c r="B17" s="131"/>
      <c r="C17" s="131"/>
      <c r="D17" s="131"/>
      <c r="E17" s="131"/>
      <c r="F17" s="133"/>
      <c r="G17" s="131"/>
      <c r="H17" s="131"/>
      <c r="I17" s="131"/>
      <c r="J17" s="131"/>
      <c r="K17" s="131"/>
      <c r="L17" s="131"/>
      <c r="M17" s="132"/>
      <c r="N17" s="133"/>
      <c r="O17" s="218"/>
      <c r="P17" s="219"/>
      <c r="Q17" s="134"/>
    </row>
    <row r="18" spans="1:18" ht="17.25" customHeight="1">
      <c r="A18" s="130"/>
      <c r="B18" s="131"/>
      <c r="C18" s="131"/>
      <c r="D18" s="131"/>
      <c r="E18" s="131"/>
      <c r="F18" s="131"/>
      <c r="G18" s="131"/>
      <c r="H18" s="131"/>
      <c r="I18" s="131"/>
      <c r="J18" s="131"/>
      <c r="K18" s="131"/>
      <c r="L18" s="131"/>
      <c r="M18" s="132"/>
      <c r="N18" s="133"/>
      <c r="O18" s="219"/>
      <c r="P18" s="219"/>
      <c r="Q18" s="134"/>
    </row>
    <row r="19" spans="1:18" ht="17.25" customHeight="1">
      <c r="A19" s="130"/>
      <c r="B19" s="131"/>
      <c r="C19" s="131"/>
      <c r="D19" s="131"/>
      <c r="E19" s="131"/>
      <c r="F19" s="133"/>
      <c r="G19" s="131"/>
      <c r="H19" s="131"/>
      <c r="I19" s="131"/>
      <c r="J19" s="131"/>
      <c r="K19" s="131"/>
      <c r="L19" s="131"/>
      <c r="M19" s="132"/>
      <c r="N19" s="133"/>
      <c r="O19" s="219"/>
      <c r="P19" s="219"/>
      <c r="Q19" s="134"/>
    </row>
    <row r="20" spans="1:18" ht="17.25" customHeight="1">
      <c r="A20" s="130"/>
      <c r="B20" s="131"/>
      <c r="C20" s="131"/>
      <c r="D20" s="131"/>
      <c r="E20" s="131"/>
      <c r="F20" s="133"/>
      <c r="G20" s="131"/>
      <c r="H20" s="131"/>
      <c r="I20" s="131"/>
      <c r="J20" s="131"/>
      <c r="K20" s="131"/>
      <c r="L20" s="131"/>
      <c r="M20" s="132"/>
      <c r="N20" s="133"/>
      <c r="O20" s="219"/>
      <c r="P20" s="219"/>
      <c r="Q20" s="134"/>
    </row>
    <row r="21" spans="1:18" ht="17.25" customHeight="1">
      <c r="A21" s="135"/>
      <c r="B21" s="136"/>
      <c r="C21" s="136"/>
      <c r="D21" s="136"/>
      <c r="E21" s="136"/>
      <c r="F21" s="137"/>
      <c r="G21" s="136"/>
      <c r="H21" s="136"/>
      <c r="I21" s="136"/>
      <c r="J21" s="136"/>
      <c r="K21" s="136"/>
      <c r="L21" s="136"/>
      <c r="M21" s="138"/>
      <c r="N21" s="139"/>
      <c r="O21" s="218"/>
      <c r="P21" s="218"/>
      <c r="Q21" s="134"/>
      <c r="R21" s="113"/>
    </row>
    <row r="22" spans="1:18" ht="17.25" customHeight="1" thickBot="1">
      <c r="A22" s="140"/>
      <c r="B22" s="141"/>
      <c r="C22" s="141"/>
      <c r="D22" s="141"/>
      <c r="E22" s="141"/>
      <c r="F22" s="141"/>
      <c r="G22" s="141"/>
      <c r="H22" s="141"/>
      <c r="I22" s="141"/>
      <c r="J22" s="141"/>
      <c r="K22" s="141"/>
      <c r="L22" s="141"/>
      <c r="M22" s="142"/>
      <c r="N22" s="141"/>
      <c r="O22" s="220"/>
      <c r="P22" s="220"/>
      <c r="Q22" s="143"/>
    </row>
    <row r="23" spans="1:18" ht="36" customHeight="1" thickBot="1">
      <c r="A23" s="221" t="s">
        <v>249</v>
      </c>
      <c r="B23" s="221"/>
      <c r="C23" s="221"/>
      <c r="D23" s="221"/>
      <c r="E23" s="221"/>
      <c r="F23" s="221"/>
      <c r="G23" s="221"/>
      <c r="H23" s="221"/>
      <c r="I23" s="221"/>
      <c r="J23" s="221"/>
      <c r="K23" s="221"/>
      <c r="L23" s="221"/>
      <c r="M23" s="221"/>
      <c r="N23" s="221"/>
      <c r="O23" s="221"/>
      <c r="P23" s="221"/>
      <c r="Q23" s="144">
        <f>SUM(Q15:Q22)</f>
        <v>106117968</v>
      </c>
    </row>
    <row r="24" spans="1:18" ht="18" customHeight="1" thickBot="1">
      <c r="A24" s="222"/>
      <c r="B24" s="222"/>
      <c r="C24" s="222"/>
      <c r="D24" s="222"/>
      <c r="E24" s="222"/>
      <c r="F24" s="222"/>
      <c r="G24" s="222"/>
      <c r="H24" s="222"/>
      <c r="I24" s="222"/>
      <c r="J24" s="222"/>
      <c r="K24" s="222"/>
      <c r="L24" s="222"/>
      <c r="M24" s="222"/>
      <c r="N24" s="222"/>
      <c r="O24" s="222"/>
      <c r="P24" s="222"/>
      <c r="Q24" s="222"/>
    </row>
    <row r="25" spans="1:18" ht="17.25" customHeight="1" thickBot="1">
      <c r="A25" s="223" t="s">
        <v>240</v>
      </c>
      <c r="B25" s="224"/>
      <c r="C25" s="224"/>
      <c r="D25" s="224"/>
      <c r="E25" s="224"/>
      <c r="F25" s="225"/>
      <c r="G25" s="226"/>
      <c r="H25" s="226"/>
      <c r="I25" s="226"/>
      <c r="J25" s="226"/>
      <c r="K25" s="226"/>
      <c r="L25" s="226"/>
      <c r="M25" s="226"/>
      <c r="N25" s="226"/>
      <c r="O25" s="226"/>
      <c r="P25" s="226"/>
      <c r="Q25" s="226"/>
    </row>
    <row r="26" spans="1:18" ht="18" customHeight="1" thickBot="1">
      <c r="A26" s="217" t="s">
        <v>247</v>
      </c>
      <c r="B26" s="217"/>
      <c r="C26" s="217"/>
      <c r="D26" s="217"/>
      <c r="E26" s="217"/>
      <c r="F26" s="217"/>
      <c r="G26" s="217"/>
      <c r="H26" s="217"/>
      <c r="I26" s="217"/>
      <c r="J26" s="217"/>
      <c r="K26" s="217"/>
      <c r="L26" s="217"/>
      <c r="M26" s="217"/>
      <c r="N26" s="217"/>
      <c r="O26" s="217"/>
      <c r="P26" s="217"/>
      <c r="Q26" s="217"/>
    </row>
    <row r="27" spans="1:18" ht="28.5" customHeight="1" thickBot="1">
      <c r="A27" s="217"/>
      <c r="B27" s="217"/>
      <c r="C27" s="217"/>
      <c r="D27" s="217"/>
      <c r="E27" s="217"/>
      <c r="F27" s="217"/>
      <c r="G27" s="217"/>
      <c r="H27" s="217"/>
      <c r="I27" s="217"/>
      <c r="J27" s="217"/>
      <c r="K27" s="217"/>
      <c r="L27" s="217"/>
      <c r="M27" s="217"/>
      <c r="N27" s="217"/>
      <c r="O27" s="217"/>
      <c r="P27" s="217"/>
      <c r="Q27" s="217"/>
    </row>
  </sheetData>
  <mergeCells count="31">
    <mergeCell ref="A26:Q27"/>
    <mergeCell ref="O16:P16"/>
    <mergeCell ref="O17:P17"/>
    <mergeCell ref="O18:P18"/>
    <mergeCell ref="O19:P19"/>
    <mergeCell ref="O20:P20"/>
    <mergeCell ref="O21:P21"/>
    <mergeCell ref="O22:P22"/>
    <mergeCell ref="A23:P23"/>
    <mergeCell ref="A24:Q24"/>
    <mergeCell ref="A25:F25"/>
    <mergeCell ref="G25:Q25"/>
    <mergeCell ref="O15:P15"/>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9"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dimension ref="A1:AMJ103"/>
  <sheetViews>
    <sheetView topLeftCell="A43" zoomScale="80" zoomScaleNormal="80" workbookViewId="0">
      <selection activeCell="E55" sqref="E55"/>
    </sheetView>
  </sheetViews>
  <sheetFormatPr baseColWidth="10" defaultColWidth="9.140625" defaultRowHeight="12.75"/>
  <cols>
    <col min="1" max="1" width="5.5703125" style="92" customWidth="1"/>
    <col min="2" max="2" width="15.140625" style="92" customWidth="1"/>
    <col min="3" max="3" width="14.140625" style="92" customWidth="1"/>
    <col min="4" max="4" width="26" style="92" customWidth="1"/>
    <col min="5" max="5" width="8" style="92" customWidth="1"/>
    <col min="6" max="6" width="7.85546875" style="92" customWidth="1"/>
    <col min="7" max="7" width="42" style="92" customWidth="1"/>
    <col min="8" max="8" width="9.28515625" style="92" customWidth="1"/>
    <col min="9" max="9" width="14.5703125" style="92" customWidth="1"/>
    <col min="10" max="10" width="16" style="92" customWidth="1"/>
    <col min="11" max="11" width="15.5703125" style="92" customWidth="1"/>
    <col min="12" max="12" width="5.85546875" style="92" customWidth="1"/>
    <col min="13" max="13" width="15.7109375" style="92" customWidth="1"/>
    <col min="14" max="14" width="5.85546875" style="92" customWidth="1"/>
    <col min="15" max="15" width="12.5703125" style="92" customWidth="1"/>
    <col min="16" max="1024" width="9.140625" style="92"/>
  </cols>
  <sheetData>
    <row r="1" spans="1:13" ht="18" customHeight="1" thickBot="1">
      <c r="A1" s="163" t="s">
        <v>201</v>
      </c>
      <c r="B1" s="163"/>
      <c r="C1" s="163"/>
      <c r="D1" s="163"/>
      <c r="E1" s="163"/>
      <c r="F1" s="163"/>
      <c r="G1" s="163"/>
      <c r="H1" s="163"/>
      <c r="I1" s="163"/>
      <c r="J1" s="90" t="s">
        <v>202</v>
      </c>
      <c r="K1" s="91" t="s">
        <v>271</v>
      </c>
    </row>
    <row r="2" spans="1:13" ht="18.75" customHeight="1" thickBot="1">
      <c r="A2" s="93"/>
      <c r="B2" s="93"/>
      <c r="C2" s="93"/>
      <c r="D2" s="94"/>
      <c r="E2" s="94"/>
      <c r="F2" s="94"/>
      <c r="G2" s="94"/>
      <c r="H2" s="94"/>
      <c r="I2" s="94"/>
      <c r="J2" s="94"/>
      <c r="K2" s="94"/>
    </row>
    <row r="3" spans="1:13" ht="18.75" customHeight="1" thickBot="1">
      <c r="A3" s="164" t="s">
        <v>203</v>
      </c>
      <c r="B3" s="164"/>
      <c r="C3" s="164"/>
      <c r="D3" s="162" t="s">
        <v>204</v>
      </c>
      <c r="E3" s="162"/>
      <c r="F3" s="162"/>
      <c r="G3" s="162"/>
      <c r="H3" s="162"/>
      <c r="I3" s="162"/>
      <c r="J3" s="162"/>
      <c r="K3" s="162"/>
    </row>
    <row r="4" spans="1:13" ht="18.75" customHeight="1" thickBot="1">
      <c r="A4" s="161" t="s">
        <v>205</v>
      </c>
      <c r="B4" s="161"/>
      <c r="C4" s="161"/>
      <c r="D4" s="162" t="s">
        <v>206</v>
      </c>
      <c r="E4" s="162"/>
      <c r="F4" s="162"/>
      <c r="G4" s="162"/>
      <c r="H4" s="162"/>
      <c r="I4" s="162"/>
      <c r="J4" s="162"/>
      <c r="K4" s="162"/>
    </row>
    <row r="5" spans="1:13" ht="18.75" customHeight="1" thickBot="1">
      <c r="A5" s="161" t="s">
        <v>207</v>
      </c>
      <c r="B5" s="161"/>
      <c r="C5" s="161"/>
      <c r="D5" s="162" t="s">
        <v>245</v>
      </c>
      <c r="E5" s="162"/>
      <c r="F5" s="162"/>
      <c r="G5" s="162"/>
      <c r="H5" s="162"/>
      <c r="I5" s="162"/>
      <c r="J5" s="162"/>
      <c r="K5" s="162"/>
    </row>
    <row r="6" spans="1:13" ht="16.5" customHeight="1" thickBot="1">
      <c r="A6" s="164" t="s">
        <v>208</v>
      </c>
      <c r="B6" s="164"/>
      <c r="C6" s="164"/>
      <c r="D6" s="162" t="s">
        <v>245</v>
      </c>
      <c r="E6" s="162"/>
      <c r="F6" s="162"/>
      <c r="G6" s="162"/>
      <c r="H6" s="162"/>
      <c r="I6" s="162"/>
      <c r="J6" s="162"/>
      <c r="K6" s="162"/>
    </row>
    <row r="7" spans="1:13" ht="16.5" customHeight="1" thickBot="1">
      <c r="A7" s="161" t="s">
        <v>209</v>
      </c>
      <c r="B7" s="161"/>
      <c r="C7" s="161"/>
      <c r="D7" s="162" t="s">
        <v>243</v>
      </c>
      <c r="E7" s="162"/>
      <c r="F7" s="162"/>
      <c r="G7" s="162"/>
      <c r="H7" s="162"/>
      <c r="I7" s="162"/>
      <c r="J7" s="162"/>
      <c r="K7" s="162"/>
    </row>
    <row r="8" spans="1:13" ht="16.5" customHeight="1" thickBot="1">
      <c r="A8" s="165" t="s">
        <v>210</v>
      </c>
      <c r="B8" s="165"/>
      <c r="C8" s="165"/>
      <c r="D8" s="166" t="s">
        <v>244</v>
      </c>
      <c r="E8" s="166"/>
      <c r="F8" s="166"/>
      <c r="G8" s="166"/>
      <c r="H8" s="166"/>
      <c r="I8" s="166"/>
      <c r="J8" s="166"/>
      <c r="K8" s="166"/>
    </row>
    <row r="9" spans="1:13" ht="16.5" thickBot="1">
      <c r="A9" s="95"/>
      <c r="B9" s="95"/>
      <c r="C9" s="95"/>
      <c r="D9" s="149"/>
      <c r="E9" s="149"/>
      <c r="F9" s="149"/>
      <c r="G9" s="149"/>
      <c r="H9" s="149"/>
      <c r="I9" s="149"/>
      <c r="J9" s="149"/>
      <c r="K9" s="149"/>
    </row>
    <row r="10" spans="1:13" ht="18.75" customHeight="1" thickBot="1">
      <c r="A10" s="187" t="s">
        <v>211</v>
      </c>
      <c r="B10" s="188" t="s">
        <v>212</v>
      </c>
      <c r="C10" s="188" t="s">
        <v>213</v>
      </c>
      <c r="D10" s="188"/>
      <c r="E10" s="188"/>
      <c r="F10" s="188"/>
      <c r="G10" s="188"/>
      <c r="H10" s="188" t="s">
        <v>214</v>
      </c>
      <c r="I10" s="188" t="s">
        <v>215</v>
      </c>
      <c r="J10" s="188" t="s">
        <v>216</v>
      </c>
      <c r="K10" s="169" t="s">
        <v>217</v>
      </c>
    </row>
    <row r="11" spans="1:13" ht="24" customHeight="1" thickBot="1">
      <c r="A11" s="187"/>
      <c r="B11" s="188"/>
      <c r="C11" s="188"/>
      <c r="D11" s="188"/>
      <c r="E11" s="188"/>
      <c r="F11" s="188"/>
      <c r="G11" s="188"/>
      <c r="H11" s="188"/>
      <c r="I11" s="188"/>
      <c r="J11" s="188"/>
      <c r="K11" s="169"/>
      <c r="M11" s="150"/>
    </row>
    <row r="12" spans="1:13" s="92" customFormat="1" ht="32.25" customHeight="1" thickBot="1">
      <c r="A12" s="97">
        <v>1</v>
      </c>
      <c r="B12" s="98"/>
      <c r="C12" s="230" t="s">
        <v>170</v>
      </c>
      <c r="D12" s="231"/>
      <c r="E12" s="231"/>
      <c r="F12" s="231"/>
      <c r="G12" s="232"/>
      <c r="H12" s="99" t="s">
        <v>263</v>
      </c>
      <c r="I12" s="52" t="s">
        <v>13</v>
      </c>
      <c r="J12" s="54">
        <v>35695</v>
      </c>
      <c r="K12" s="53">
        <f>72+32</f>
        <v>104</v>
      </c>
      <c r="M12" s="151">
        <f>+K12*J12</f>
        <v>3712280</v>
      </c>
    </row>
    <row r="13" spans="1:13" s="92" customFormat="1" ht="32.25" customHeight="1" thickBot="1">
      <c r="A13" s="145">
        <v>2</v>
      </c>
      <c r="B13" s="146"/>
      <c r="C13" s="227" t="s">
        <v>171</v>
      </c>
      <c r="D13" s="228"/>
      <c r="E13" s="228"/>
      <c r="F13" s="228"/>
      <c r="G13" s="229"/>
      <c r="H13" s="99" t="s">
        <v>263</v>
      </c>
      <c r="I13" s="52" t="s">
        <v>12</v>
      </c>
      <c r="J13" s="54">
        <v>35090</v>
      </c>
      <c r="K13" s="53">
        <f>+(8)*4</f>
        <v>32</v>
      </c>
      <c r="M13" s="151">
        <f t="shared" ref="M13:M52" si="0">+K13*J13</f>
        <v>1122880</v>
      </c>
    </row>
    <row r="14" spans="1:13" s="92" customFormat="1" ht="32.25" customHeight="1" thickBot="1">
      <c r="A14" s="145">
        <v>3</v>
      </c>
      <c r="B14" s="146"/>
      <c r="C14" s="227" t="s">
        <v>172</v>
      </c>
      <c r="D14" s="228"/>
      <c r="E14" s="228"/>
      <c r="F14" s="228"/>
      <c r="G14" s="229"/>
      <c r="H14" s="99" t="s">
        <v>263</v>
      </c>
      <c r="I14" s="52" t="s">
        <v>13</v>
      </c>
      <c r="J14" s="54">
        <v>665.5</v>
      </c>
      <c r="K14" s="53">
        <v>1500</v>
      </c>
      <c r="M14" s="151">
        <f t="shared" si="0"/>
        <v>998250</v>
      </c>
    </row>
    <row r="15" spans="1:13" s="92" customFormat="1" ht="32.25" customHeight="1" thickBot="1">
      <c r="A15" s="97">
        <v>4</v>
      </c>
      <c r="B15" s="146"/>
      <c r="C15" s="227" t="s">
        <v>173</v>
      </c>
      <c r="D15" s="228"/>
      <c r="E15" s="228"/>
      <c r="F15" s="228"/>
      <c r="G15" s="229"/>
      <c r="H15" s="99" t="s">
        <v>263</v>
      </c>
      <c r="I15" s="52" t="s">
        <v>13</v>
      </c>
      <c r="J15" s="54">
        <v>871.2</v>
      </c>
      <c r="K15" s="53">
        <v>1200</v>
      </c>
      <c r="M15" s="151">
        <f t="shared" si="0"/>
        <v>1045440</v>
      </c>
    </row>
    <row r="16" spans="1:13" s="92" customFormat="1" ht="32.25" customHeight="1" thickBot="1">
      <c r="A16" s="145">
        <v>5</v>
      </c>
      <c r="B16" s="146"/>
      <c r="C16" s="227" t="s">
        <v>174</v>
      </c>
      <c r="D16" s="228"/>
      <c r="E16" s="228"/>
      <c r="F16" s="228"/>
      <c r="G16" s="229"/>
      <c r="H16" s="99" t="s">
        <v>263</v>
      </c>
      <c r="I16" s="52" t="s">
        <v>12</v>
      </c>
      <c r="J16" s="54">
        <v>954</v>
      </c>
      <c r="K16" s="53">
        <v>900</v>
      </c>
      <c r="M16" s="151">
        <f t="shared" si="0"/>
        <v>858600</v>
      </c>
    </row>
    <row r="17" spans="1:13" s="92" customFormat="1" ht="32.25" customHeight="1" thickBot="1">
      <c r="A17" s="145">
        <v>6</v>
      </c>
      <c r="B17" s="146"/>
      <c r="C17" s="227" t="s">
        <v>175</v>
      </c>
      <c r="D17" s="228"/>
      <c r="E17" s="228"/>
      <c r="F17" s="228"/>
      <c r="G17" s="229"/>
      <c r="H17" s="99" t="s">
        <v>263</v>
      </c>
      <c r="I17" s="52" t="s">
        <v>12</v>
      </c>
      <c r="J17" s="54">
        <v>29160</v>
      </c>
      <c r="K17" s="53">
        <v>9</v>
      </c>
      <c r="M17" s="151">
        <f t="shared" si="0"/>
        <v>262440</v>
      </c>
    </row>
    <row r="18" spans="1:13" s="92" customFormat="1" ht="32.25" customHeight="1" thickBot="1">
      <c r="A18" s="97">
        <v>7</v>
      </c>
      <c r="B18" s="146"/>
      <c r="C18" s="227" t="s">
        <v>176</v>
      </c>
      <c r="D18" s="228"/>
      <c r="E18" s="228"/>
      <c r="F18" s="228"/>
      <c r="G18" s="229"/>
      <c r="H18" s="99" t="s">
        <v>263</v>
      </c>
      <c r="I18" s="52" t="s">
        <v>12</v>
      </c>
      <c r="J18" s="54">
        <v>22500</v>
      </c>
      <c r="K18" s="53">
        <v>9</v>
      </c>
      <c r="M18" s="151">
        <f t="shared" si="0"/>
        <v>202500</v>
      </c>
    </row>
    <row r="19" spans="1:13" s="92" customFormat="1" ht="32.25" customHeight="1" thickBot="1">
      <c r="A19" s="145">
        <v>8</v>
      </c>
      <c r="B19" s="146"/>
      <c r="C19" s="227" t="s">
        <v>177</v>
      </c>
      <c r="D19" s="228"/>
      <c r="E19" s="228"/>
      <c r="F19" s="228"/>
      <c r="G19" s="229"/>
      <c r="H19" s="99" t="s">
        <v>263</v>
      </c>
      <c r="I19" s="52" t="s">
        <v>13</v>
      </c>
      <c r="J19" s="54">
        <v>16500</v>
      </c>
      <c r="K19" s="53">
        <v>9</v>
      </c>
      <c r="M19" s="151">
        <f t="shared" si="0"/>
        <v>148500</v>
      </c>
    </row>
    <row r="20" spans="1:13" s="92" customFormat="1" ht="32.25" customHeight="1" thickBot="1">
      <c r="A20" s="145">
        <v>9</v>
      </c>
      <c r="B20" s="146"/>
      <c r="C20" s="227" t="s">
        <v>178</v>
      </c>
      <c r="D20" s="228"/>
      <c r="E20" s="228"/>
      <c r="F20" s="228"/>
      <c r="G20" s="229"/>
      <c r="H20" s="99" t="s">
        <v>263</v>
      </c>
      <c r="I20" s="52" t="s">
        <v>13</v>
      </c>
      <c r="J20" s="54">
        <v>15588</v>
      </c>
      <c r="K20" s="53">
        <v>9</v>
      </c>
      <c r="M20" s="151">
        <f t="shared" si="0"/>
        <v>140292</v>
      </c>
    </row>
    <row r="21" spans="1:13" s="92" customFormat="1" ht="32.25" customHeight="1" thickBot="1">
      <c r="A21" s="97">
        <v>10</v>
      </c>
      <c r="B21" s="146"/>
      <c r="C21" s="227" t="s">
        <v>179</v>
      </c>
      <c r="D21" s="228"/>
      <c r="E21" s="228"/>
      <c r="F21" s="228"/>
      <c r="G21" s="229"/>
      <c r="H21" s="99" t="s">
        <v>263</v>
      </c>
      <c r="I21" s="52" t="s">
        <v>12</v>
      </c>
      <c r="J21" s="54">
        <v>4350</v>
      </c>
      <c r="K21" s="53">
        <v>81</v>
      </c>
      <c r="M21" s="151">
        <f t="shared" si="0"/>
        <v>352350</v>
      </c>
    </row>
    <row r="22" spans="1:13" s="92" customFormat="1" ht="32.25" customHeight="1" thickBot="1">
      <c r="A22" s="145">
        <v>11</v>
      </c>
      <c r="B22" s="146"/>
      <c r="C22" s="227" t="s">
        <v>180</v>
      </c>
      <c r="D22" s="228"/>
      <c r="E22" s="228"/>
      <c r="F22" s="228"/>
      <c r="G22" s="229"/>
      <c r="H22" s="99" t="s">
        <v>263</v>
      </c>
      <c r="I22" s="52" t="s">
        <v>13</v>
      </c>
      <c r="J22" s="54">
        <v>6649.5</v>
      </c>
      <c r="K22" s="53">
        <v>42</v>
      </c>
      <c r="M22" s="151">
        <f t="shared" si="0"/>
        <v>279279</v>
      </c>
    </row>
    <row r="23" spans="1:13" s="92" customFormat="1" ht="32.25" customHeight="1" thickBot="1">
      <c r="A23" s="145">
        <v>12</v>
      </c>
      <c r="B23" s="146"/>
      <c r="C23" s="227" t="s">
        <v>18</v>
      </c>
      <c r="D23" s="228"/>
      <c r="E23" s="228"/>
      <c r="F23" s="228"/>
      <c r="G23" s="229"/>
      <c r="H23" s="99" t="s">
        <v>263</v>
      </c>
      <c r="I23" s="52" t="s">
        <v>12</v>
      </c>
      <c r="J23" s="54">
        <v>185</v>
      </c>
      <c r="K23" s="53">
        <v>90</v>
      </c>
      <c r="M23" s="151">
        <f t="shared" si="0"/>
        <v>16650</v>
      </c>
    </row>
    <row r="24" spans="1:13" s="92" customFormat="1" ht="32.25" customHeight="1" thickBot="1">
      <c r="A24" s="97">
        <v>13</v>
      </c>
      <c r="B24" s="146"/>
      <c r="C24" s="227" t="s">
        <v>20</v>
      </c>
      <c r="D24" s="228"/>
      <c r="E24" s="228"/>
      <c r="F24" s="228"/>
      <c r="G24" s="229"/>
      <c r="H24" s="99" t="s">
        <v>263</v>
      </c>
      <c r="I24" s="52" t="s">
        <v>21</v>
      </c>
      <c r="J24" s="38">
        <v>23147</v>
      </c>
      <c r="K24" s="53">
        <v>48</v>
      </c>
      <c r="M24" s="151">
        <f t="shared" si="0"/>
        <v>1111056</v>
      </c>
    </row>
    <row r="25" spans="1:13" s="92" customFormat="1" ht="32.25" customHeight="1" thickBot="1">
      <c r="A25" s="145">
        <v>14</v>
      </c>
      <c r="B25" s="146"/>
      <c r="C25" s="227" t="s">
        <v>181</v>
      </c>
      <c r="D25" s="228"/>
      <c r="E25" s="228"/>
      <c r="F25" s="228"/>
      <c r="G25" s="229"/>
      <c r="H25" s="99" t="s">
        <v>263</v>
      </c>
      <c r="I25" s="48" t="s">
        <v>12</v>
      </c>
      <c r="J25" s="54">
        <v>11295</v>
      </c>
      <c r="K25" s="40">
        <v>12</v>
      </c>
      <c r="M25" s="151">
        <f t="shared" si="0"/>
        <v>135540</v>
      </c>
    </row>
    <row r="26" spans="1:13" s="92" customFormat="1" ht="32.25" customHeight="1" thickBot="1">
      <c r="A26" s="145">
        <v>15</v>
      </c>
      <c r="B26" s="146"/>
      <c r="C26" s="227" t="s">
        <v>182</v>
      </c>
      <c r="D26" s="228"/>
      <c r="E26" s="228"/>
      <c r="F26" s="228"/>
      <c r="G26" s="229"/>
      <c r="H26" s="99" t="s">
        <v>263</v>
      </c>
      <c r="I26" s="48" t="s">
        <v>12</v>
      </c>
      <c r="J26" s="54">
        <v>10206</v>
      </c>
      <c r="K26" s="40">
        <v>12</v>
      </c>
      <c r="M26" s="151">
        <f t="shared" si="0"/>
        <v>122472</v>
      </c>
    </row>
    <row r="27" spans="1:13" s="92" customFormat="1" ht="32.25" customHeight="1" thickBot="1">
      <c r="A27" s="97">
        <v>16</v>
      </c>
      <c r="B27" s="146"/>
      <c r="C27" s="227" t="s">
        <v>183</v>
      </c>
      <c r="D27" s="228"/>
      <c r="E27" s="228"/>
      <c r="F27" s="228"/>
      <c r="G27" s="229"/>
      <c r="H27" s="99" t="s">
        <v>263</v>
      </c>
      <c r="I27" s="48" t="s">
        <v>12</v>
      </c>
      <c r="J27" s="54">
        <v>25747</v>
      </c>
      <c r="K27" s="40">
        <v>12</v>
      </c>
      <c r="M27" s="151">
        <f t="shared" si="0"/>
        <v>308964</v>
      </c>
    </row>
    <row r="28" spans="1:13" s="92" customFormat="1" ht="32.25" customHeight="1" thickBot="1">
      <c r="A28" s="145">
        <v>17</v>
      </c>
      <c r="B28" s="146"/>
      <c r="C28" s="227" t="s">
        <v>151</v>
      </c>
      <c r="D28" s="228"/>
      <c r="E28" s="228"/>
      <c r="F28" s="228"/>
      <c r="G28" s="229"/>
      <c r="H28" s="99" t="s">
        <v>263</v>
      </c>
      <c r="I28" s="48" t="s">
        <v>14</v>
      </c>
      <c r="J28" s="54">
        <v>50545</v>
      </c>
      <c r="K28" s="40">
        <v>3</v>
      </c>
      <c r="M28" s="151">
        <f t="shared" si="0"/>
        <v>151635</v>
      </c>
    </row>
    <row r="29" spans="1:13" s="92" customFormat="1" ht="32.25" customHeight="1" thickBot="1">
      <c r="A29" s="145">
        <v>18</v>
      </c>
      <c r="B29" s="146"/>
      <c r="C29" s="227" t="s">
        <v>152</v>
      </c>
      <c r="D29" s="228"/>
      <c r="E29" s="228"/>
      <c r="F29" s="228"/>
      <c r="G29" s="229"/>
      <c r="H29" s="99" t="s">
        <v>263</v>
      </c>
      <c r="I29" s="48" t="s">
        <v>14</v>
      </c>
      <c r="J29" s="54">
        <v>64700</v>
      </c>
      <c r="K29" s="40">
        <v>15</v>
      </c>
      <c r="M29" s="151">
        <f t="shared" si="0"/>
        <v>970500</v>
      </c>
    </row>
    <row r="30" spans="1:13" s="92" customFormat="1" ht="32.25" customHeight="1" thickBot="1">
      <c r="A30" s="97">
        <v>19</v>
      </c>
      <c r="B30" s="146"/>
      <c r="C30" s="227" t="s">
        <v>153</v>
      </c>
      <c r="D30" s="228"/>
      <c r="E30" s="228"/>
      <c r="F30" s="228"/>
      <c r="G30" s="229"/>
      <c r="H30" s="99" t="s">
        <v>263</v>
      </c>
      <c r="I30" s="48" t="s">
        <v>14</v>
      </c>
      <c r="J30" s="54">
        <v>12540</v>
      </c>
      <c r="K30" s="40">
        <v>1</v>
      </c>
      <c r="M30" s="151">
        <f t="shared" si="0"/>
        <v>12540</v>
      </c>
    </row>
    <row r="31" spans="1:13" s="92" customFormat="1" ht="32.25" customHeight="1" thickBot="1">
      <c r="A31" s="145">
        <v>20</v>
      </c>
      <c r="B31" s="146"/>
      <c r="C31" s="227" t="s">
        <v>154</v>
      </c>
      <c r="D31" s="228"/>
      <c r="E31" s="228"/>
      <c r="F31" s="228"/>
      <c r="G31" s="229"/>
      <c r="H31" s="99" t="s">
        <v>263</v>
      </c>
      <c r="I31" s="48" t="s">
        <v>14</v>
      </c>
      <c r="J31" s="54">
        <v>17788</v>
      </c>
      <c r="K31" s="40">
        <v>1</v>
      </c>
      <c r="M31" s="151">
        <f t="shared" si="0"/>
        <v>17788</v>
      </c>
    </row>
    <row r="32" spans="1:13" s="92" customFormat="1" ht="32.25" customHeight="1" thickBot="1">
      <c r="A32" s="145">
        <v>21</v>
      </c>
      <c r="B32" s="146"/>
      <c r="C32" s="227" t="s">
        <v>155</v>
      </c>
      <c r="D32" s="228"/>
      <c r="E32" s="228"/>
      <c r="F32" s="228"/>
      <c r="G32" s="229"/>
      <c r="H32" s="99" t="s">
        <v>263</v>
      </c>
      <c r="I32" s="48" t="s">
        <v>14</v>
      </c>
      <c r="J32" s="54">
        <v>7395</v>
      </c>
      <c r="K32" s="40">
        <v>4</v>
      </c>
      <c r="M32" s="151">
        <f t="shared" si="0"/>
        <v>29580</v>
      </c>
    </row>
    <row r="33" spans="1:13" s="92" customFormat="1" ht="32.25" customHeight="1" thickBot="1">
      <c r="A33" s="97">
        <v>22</v>
      </c>
      <c r="B33" s="146"/>
      <c r="C33" s="227" t="s">
        <v>156</v>
      </c>
      <c r="D33" s="233"/>
      <c r="E33" s="233"/>
      <c r="F33" s="233"/>
      <c r="G33" s="234"/>
      <c r="H33" s="99" t="s">
        <v>263</v>
      </c>
      <c r="I33" s="48" t="s">
        <v>14</v>
      </c>
      <c r="J33" s="54">
        <v>16980</v>
      </c>
      <c r="K33" s="40">
        <v>3</v>
      </c>
      <c r="M33" s="151">
        <f t="shared" si="0"/>
        <v>50940</v>
      </c>
    </row>
    <row r="34" spans="1:13" s="92" customFormat="1" ht="32.25" customHeight="1" thickBot="1">
      <c r="A34" s="145">
        <v>23</v>
      </c>
      <c r="B34" s="146"/>
      <c r="C34" s="227" t="s">
        <v>157</v>
      </c>
      <c r="D34" s="233"/>
      <c r="E34" s="233"/>
      <c r="F34" s="233"/>
      <c r="G34" s="234"/>
      <c r="H34" s="99" t="s">
        <v>263</v>
      </c>
      <c r="I34" s="48" t="s">
        <v>14</v>
      </c>
      <c r="J34" s="54">
        <v>8300</v>
      </c>
      <c r="K34" s="40">
        <v>14</v>
      </c>
      <c r="M34" s="151">
        <f t="shared" si="0"/>
        <v>116200</v>
      </c>
    </row>
    <row r="35" spans="1:13" s="92" customFormat="1" ht="32.25" customHeight="1" thickBot="1">
      <c r="A35" s="145">
        <v>24</v>
      </c>
      <c r="B35" s="146"/>
      <c r="C35" s="227" t="s">
        <v>158</v>
      </c>
      <c r="D35" s="228"/>
      <c r="E35" s="228"/>
      <c r="F35" s="228"/>
      <c r="G35" s="229"/>
      <c r="H35" s="99" t="s">
        <v>263</v>
      </c>
      <c r="I35" s="48" t="s">
        <v>14</v>
      </c>
      <c r="J35" s="54">
        <v>11685</v>
      </c>
      <c r="K35" s="40">
        <v>1</v>
      </c>
      <c r="M35" s="151">
        <f t="shared" si="0"/>
        <v>11685</v>
      </c>
    </row>
    <row r="36" spans="1:13" s="92" customFormat="1" ht="32.25" customHeight="1" thickBot="1">
      <c r="A36" s="97">
        <v>25</v>
      </c>
      <c r="B36" s="146"/>
      <c r="C36" s="227" t="s">
        <v>159</v>
      </c>
      <c r="D36" s="228"/>
      <c r="E36" s="228"/>
      <c r="F36" s="228"/>
      <c r="G36" s="229"/>
      <c r="H36" s="99" t="s">
        <v>263</v>
      </c>
      <c r="I36" s="48" t="s">
        <v>12</v>
      </c>
      <c r="J36" s="54">
        <v>14586</v>
      </c>
      <c r="K36" s="40">
        <v>12</v>
      </c>
      <c r="M36" s="151">
        <f t="shared" si="0"/>
        <v>175032</v>
      </c>
    </row>
    <row r="37" spans="1:13" s="92" customFormat="1" ht="32.25" customHeight="1" thickBot="1">
      <c r="A37" s="145">
        <v>26</v>
      </c>
      <c r="B37" s="146"/>
      <c r="C37" s="227" t="s">
        <v>160</v>
      </c>
      <c r="D37" s="228"/>
      <c r="E37" s="228"/>
      <c r="F37" s="228"/>
      <c r="G37" s="229"/>
      <c r="H37" s="99" t="s">
        <v>263</v>
      </c>
      <c r="I37" s="48" t="s">
        <v>12</v>
      </c>
      <c r="J37" s="54">
        <v>39806</v>
      </c>
      <c r="K37" s="40">
        <v>12</v>
      </c>
      <c r="M37" s="151">
        <f t="shared" si="0"/>
        <v>477672</v>
      </c>
    </row>
    <row r="38" spans="1:13" s="92" customFormat="1" ht="32.25" customHeight="1" thickBot="1">
      <c r="A38" s="145">
        <v>27</v>
      </c>
      <c r="B38" s="146"/>
      <c r="C38" s="227" t="s">
        <v>161</v>
      </c>
      <c r="D38" s="228"/>
      <c r="E38" s="228"/>
      <c r="F38" s="228"/>
      <c r="G38" s="229"/>
      <c r="H38" s="99" t="s">
        <v>263</v>
      </c>
      <c r="I38" s="48" t="s">
        <v>12</v>
      </c>
      <c r="J38" s="54">
        <v>1633</v>
      </c>
      <c r="K38" s="40">
        <v>12</v>
      </c>
      <c r="M38" s="151">
        <f t="shared" si="0"/>
        <v>19596</v>
      </c>
    </row>
    <row r="39" spans="1:13" s="92" customFormat="1" ht="32.25" customHeight="1" thickBot="1">
      <c r="A39" s="97">
        <v>28</v>
      </c>
      <c r="B39" s="146"/>
      <c r="C39" s="227" t="s">
        <v>22</v>
      </c>
      <c r="D39" s="228"/>
      <c r="E39" s="228"/>
      <c r="F39" s="228"/>
      <c r="G39" s="229"/>
      <c r="H39" s="99" t="s">
        <v>263</v>
      </c>
      <c r="I39" s="48" t="s">
        <v>12</v>
      </c>
      <c r="J39" s="54">
        <v>1184</v>
      </c>
      <c r="K39" s="40">
        <v>12</v>
      </c>
      <c r="M39" s="151">
        <f t="shared" si="0"/>
        <v>14208</v>
      </c>
    </row>
    <row r="40" spans="1:13" s="92" customFormat="1" ht="32.25" customHeight="1" thickBot="1">
      <c r="A40" s="145">
        <v>29</v>
      </c>
      <c r="B40" s="146"/>
      <c r="C40" s="227" t="s">
        <v>162</v>
      </c>
      <c r="D40" s="228"/>
      <c r="E40" s="228"/>
      <c r="F40" s="228"/>
      <c r="G40" s="229"/>
      <c r="H40" s="99" t="s">
        <v>263</v>
      </c>
      <c r="I40" s="48" t="s">
        <v>12</v>
      </c>
      <c r="J40" s="54">
        <v>1325</v>
      </c>
      <c r="K40" s="40">
        <v>12</v>
      </c>
      <c r="M40" s="151">
        <f t="shared" si="0"/>
        <v>15900</v>
      </c>
    </row>
    <row r="41" spans="1:13" s="92" customFormat="1" ht="32.25" customHeight="1" thickBot="1">
      <c r="A41" s="145">
        <v>30</v>
      </c>
      <c r="B41" s="146"/>
      <c r="C41" s="227" t="s">
        <v>163</v>
      </c>
      <c r="D41" s="228"/>
      <c r="E41" s="228"/>
      <c r="F41" s="228"/>
      <c r="G41" s="229"/>
      <c r="H41" s="99" t="s">
        <v>263</v>
      </c>
      <c r="I41" s="48" t="s">
        <v>12</v>
      </c>
      <c r="J41" s="54">
        <v>1251</v>
      </c>
      <c r="K41" s="40">
        <v>12</v>
      </c>
      <c r="M41" s="151">
        <f t="shared" si="0"/>
        <v>15012</v>
      </c>
    </row>
    <row r="42" spans="1:13" s="92" customFormat="1" ht="32.25" customHeight="1" thickBot="1">
      <c r="A42" s="97">
        <v>31</v>
      </c>
      <c r="B42" s="146"/>
      <c r="C42" s="227" t="s">
        <v>165</v>
      </c>
      <c r="D42" s="228"/>
      <c r="E42" s="228"/>
      <c r="F42" s="228"/>
      <c r="G42" s="229"/>
      <c r="H42" s="99" t="s">
        <v>263</v>
      </c>
      <c r="I42" s="48" t="s">
        <v>12</v>
      </c>
      <c r="J42" s="54">
        <v>19749</v>
      </c>
      <c r="K42" s="40">
        <v>12</v>
      </c>
      <c r="M42" s="151">
        <f t="shared" si="0"/>
        <v>236988</v>
      </c>
    </row>
    <row r="43" spans="1:13" s="92" customFormat="1" ht="32.25" customHeight="1" thickBot="1">
      <c r="A43" s="145">
        <v>32</v>
      </c>
      <c r="B43" s="146"/>
      <c r="C43" s="227" t="s">
        <v>164</v>
      </c>
      <c r="D43" s="228"/>
      <c r="E43" s="228"/>
      <c r="F43" s="228"/>
      <c r="G43" s="229"/>
      <c r="H43" s="99" t="s">
        <v>263</v>
      </c>
      <c r="I43" s="48" t="s">
        <v>12</v>
      </c>
      <c r="J43" s="54">
        <v>16645</v>
      </c>
      <c r="K43" s="40">
        <v>12</v>
      </c>
      <c r="M43" s="151">
        <f t="shared" si="0"/>
        <v>199740</v>
      </c>
    </row>
    <row r="44" spans="1:13" s="92" customFormat="1" ht="32.25" customHeight="1" thickBot="1">
      <c r="A44" s="145">
        <v>33</v>
      </c>
      <c r="B44" s="146"/>
      <c r="C44" s="227" t="s">
        <v>166</v>
      </c>
      <c r="D44" s="228"/>
      <c r="E44" s="228"/>
      <c r="F44" s="228"/>
      <c r="G44" s="229"/>
      <c r="H44" s="99" t="s">
        <v>263</v>
      </c>
      <c r="I44" s="48" t="s">
        <v>12</v>
      </c>
      <c r="J44" s="54">
        <v>876</v>
      </c>
      <c r="K44" s="42">
        <v>100</v>
      </c>
      <c r="M44" s="151">
        <f t="shared" si="0"/>
        <v>87600</v>
      </c>
    </row>
    <row r="45" spans="1:13" s="92" customFormat="1" ht="32.25" customHeight="1" thickBot="1">
      <c r="A45" s="97">
        <v>34</v>
      </c>
      <c r="B45" s="146"/>
      <c r="C45" s="227" t="s">
        <v>167</v>
      </c>
      <c r="D45" s="228"/>
      <c r="E45" s="228"/>
      <c r="F45" s="228"/>
      <c r="G45" s="229"/>
      <c r="H45" s="99" t="s">
        <v>263</v>
      </c>
      <c r="I45" s="48" t="s">
        <v>12</v>
      </c>
      <c r="J45" s="54">
        <v>876</v>
      </c>
      <c r="K45" s="42">
        <v>100</v>
      </c>
      <c r="M45" s="151">
        <f t="shared" si="0"/>
        <v>87600</v>
      </c>
    </row>
    <row r="46" spans="1:13" s="92" customFormat="1" ht="32.25" customHeight="1" thickBot="1">
      <c r="A46" s="145">
        <v>35</v>
      </c>
      <c r="B46" s="146"/>
      <c r="C46" s="227" t="s">
        <v>168</v>
      </c>
      <c r="D46" s="228"/>
      <c r="E46" s="228"/>
      <c r="F46" s="228"/>
      <c r="G46" s="229"/>
      <c r="H46" s="99" t="s">
        <v>263</v>
      </c>
      <c r="I46" s="48" t="s">
        <v>12</v>
      </c>
      <c r="J46" s="54">
        <v>888</v>
      </c>
      <c r="K46" s="42">
        <v>100</v>
      </c>
      <c r="M46" s="151">
        <f t="shared" si="0"/>
        <v>88800</v>
      </c>
    </row>
    <row r="47" spans="1:13" s="92" customFormat="1" ht="32.25" customHeight="1" thickBot="1">
      <c r="A47" s="145">
        <v>36</v>
      </c>
      <c r="B47" s="146"/>
      <c r="C47" s="227" t="s">
        <v>169</v>
      </c>
      <c r="D47" s="228"/>
      <c r="E47" s="228"/>
      <c r="F47" s="228"/>
      <c r="G47" s="229"/>
      <c r="H47" s="99" t="s">
        <v>263</v>
      </c>
      <c r="I47" s="48" t="s">
        <v>12</v>
      </c>
      <c r="J47" s="54">
        <v>1657</v>
      </c>
      <c r="K47" s="42">
        <v>100</v>
      </c>
      <c r="M47" s="151">
        <f t="shared" si="0"/>
        <v>165700</v>
      </c>
    </row>
    <row r="48" spans="1:13" s="92" customFormat="1" ht="133.5" customHeight="1" thickBot="1">
      <c r="A48" s="97">
        <v>37</v>
      </c>
      <c r="B48" s="146"/>
      <c r="C48" s="227" t="s">
        <v>109</v>
      </c>
      <c r="D48" s="228"/>
      <c r="E48" s="228"/>
      <c r="F48" s="228"/>
      <c r="G48" s="229"/>
      <c r="H48" s="99" t="s">
        <v>263</v>
      </c>
      <c r="I48" s="17" t="s">
        <v>14</v>
      </c>
      <c r="J48" s="55">
        <v>36300</v>
      </c>
      <c r="K48" s="45">
        <v>16</v>
      </c>
      <c r="M48" s="151">
        <f t="shared" si="0"/>
        <v>580800</v>
      </c>
    </row>
    <row r="49" spans="1:13" s="92" customFormat="1" ht="39" customHeight="1" thickBot="1">
      <c r="A49" s="145">
        <v>38</v>
      </c>
      <c r="B49" s="146"/>
      <c r="C49" s="227" t="s">
        <v>110</v>
      </c>
      <c r="D49" s="228"/>
      <c r="E49" s="228"/>
      <c r="F49" s="228"/>
      <c r="G49" s="229"/>
      <c r="H49" s="99" t="s">
        <v>263</v>
      </c>
      <c r="I49" s="17" t="s">
        <v>14</v>
      </c>
      <c r="J49" s="55">
        <v>20160</v>
      </c>
      <c r="K49" s="45">
        <v>16</v>
      </c>
      <c r="M49" s="151">
        <f t="shared" si="0"/>
        <v>322560</v>
      </c>
    </row>
    <row r="50" spans="1:13" s="92" customFormat="1" ht="32.25" customHeight="1" thickBot="1">
      <c r="A50" s="145"/>
      <c r="B50" s="146"/>
      <c r="C50" s="189"/>
      <c r="D50" s="190"/>
      <c r="E50" s="190"/>
      <c r="F50" s="190"/>
      <c r="G50" s="191"/>
      <c r="H50" s="99"/>
      <c r="I50" s="18"/>
      <c r="J50" s="67"/>
      <c r="K50" s="18"/>
      <c r="M50" s="151">
        <f t="shared" si="0"/>
        <v>0</v>
      </c>
    </row>
    <row r="51" spans="1:13" s="92" customFormat="1" ht="32.25" customHeight="1" thickBot="1">
      <c r="A51" s="97"/>
      <c r="B51" s="146"/>
      <c r="C51" s="189"/>
      <c r="D51" s="190"/>
      <c r="E51" s="190"/>
      <c r="F51" s="190"/>
      <c r="G51" s="191"/>
      <c r="H51" s="99"/>
      <c r="I51" s="18"/>
      <c r="J51" s="67"/>
      <c r="K51" s="18"/>
      <c r="M51" s="151">
        <f t="shared" si="0"/>
        <v>0</v>
      </c>
    </row>
    <row r="52" spans="1:13" s="92" customFormat="1" ht="32.25" customHeight="1" thickBot="1">
      <c r="A52" s="145"/>
      <c r="B52" s="146"/>
      <c r="C52" s="189"/>
      <c r="D52" s="190"/>
      <c r="E52" s="190"/>
      <c r="F52" s="190"/>
      <c r="G52" s="191"/>
      <c r="H52" s="99"/>
      <c r="I52" s="18"/>
      <c r="J52" s="67"/>
      <c r="K52" s="18"/>
      <c r="M52" s="151">
        <f t="shared" si="0"/>
        <v>0</v>
      </c>
    </row>
    <row r="53" spans="1:13" s="92" customFormat="1" ht="15.95" customHeight="1" thickBot="1">
      <c r="A53" s="182" t="s">
        <v>273</v>
      </c>
      <c r="B53" s="183"/>
      <c r="C53" s="183"/>
      <c r="D53" s="183"/>
      <c r="E53" s="183"/>
      <c r="F53" s="183"/>
      <c r="G53" s="183"/>
      <c r="H53" s="183"/>
      <c r="I53" s="184"/>
      <c r="J53" s="185">
        <f>SUM(M12:M52)</f>
        <v>14665569</v>
      </c>
      <c r="K53" s="186"/>
      <c r="M53" s="100"/>
    </row>
    <row r="54" spans="1:13" s="92" customFormat="1" ht="15.95" customHeight="1">
      <c r="A54" s="167"/>
      <c r="B54" s="167"/>
      <c r="C54" s="167"/>
      <c r="D54" s="167"/>
      <c r="E54" s="167"/>
      <c r="F54" s="167"/>
      <c r="G54" s="167"/>
      <c r="H54" s="167"/>
      <c r="I54" s="167"/>
      <c r="J54" s="168"/>
      <c r="K54" s="168"/>
      <c r="M54" s="100"/>
    </row>
    <row r="55" spans="1:13" s="92" customFormat="1" ht="15.95" customHeight="1">
      <c r="M55" s="100"/>
    </row>
    <row r="56" spans="1:13" s="92" customFormat="1" ht="15.95" customHeight="1">
      <c r="M56" s="100"/>
    </row>
    <row r="57" spans="1:13" s="92" customFormat="1" ht="15.95" customHeight="1">
      <c r="M57" s="100"/>
    </row>
    <row r="58" spans="1:13" s="92" customFormat="1" ht="15.95" customHeight="1">
      <c r="M58" s="100"/>
    </row>
    <row r="59" spans="1:13" s="92" customFormat="1" ht="15.95" customHeight="1">
      <c r="M59" s="100"/>
    </row>
    <row r="60" spans="1:13" s="92" customFormat="1" ht="15.95" customHeight="1">
      <c r="M60" s="100"/>
    </row>
    <row r="61" spans="1:13" s="92" customFormat="1" ht="15.95" customHeight="1">
      <c r="M61" s="100"/>
    </row>
    <row r="62" spans="1:13" s="92" customFormat="1" ht="15.95" customHeight="1">
      <c r="M62" s="100"/>
    </row>
    <row r="63" spans="1:13" s="92" customFormat="1" ht="15.95" customHeight="1">
      <c r="M63" s="100"/>
    </row>
    <row r="64" spans="1:13" s="92" customFormat="1" ht="15.95" customHeight="1">
      <c r="M64" s="100"/>
    </row>
    <row r="65" spans="13:13" s="92" customFormat="1" ht="15.95" customHeight="1">
      <c r="M65" s="100"/>
    </row>
    <row r="66" spans="13:13" s="92" customFormat="1" ht="15.95" customHeight="1">
      <c r="M66" s="100"/>
    </row>
    <row r="67" spans="13:13" s="92" customFormat="1" ht="15.95" customHeight="1">
      <c r="M67" s="100"/>
    </row>
    <row r="68" spans="13:13" s="92" customFormat="1" ht="15.95" customHeight="1">
      <c r="M68" s="100"/>
    </row>
    <row r="69" spans="13:13" s="92" customFormat="1" ht="15.95" customHeight="1">
      <c r="M69" s="100"/>
    </row>
    <row r="70" spans="13:13" s="92" customFormat="1" ht="15.95" customHeight="1">
      <c r="M70" s="100"/>
    </row>
    <row r="71" spans="13:13" s="92" customFormat="1" ht="15.95" customHeight="1">
      <c r="M71" s="100"/>
    </row>
    <row r="72" spans="13:13" s="92" customFormat="1" ht="15.95" customHeight="1">
      <c r="M72" s="100"/>
    </row>
    <row r="73" spans="13:13" s="92" customFormat="1" ht="15.95" customHeight="1">
      <c r="M73" s="100"/>
    </row>
    <row r="74" spans="13:13" s="92" customFormat="1" ht="15.95" customHeight="1">
      <c r="M74" s="100"/>
    </row>
    <row r="75" spans="13:13" s="92" customFormat="1" ht="15.95" customHeight="1">
      <c r="M75" s="100"/>
    </row>
    <row r="76" spans="13:13" s="92" customFormat="1" ht="15.95" customHeight="1">
      <c r="M76" s="100"/>
    </row>
    <row r="77" spans="13:13" s="92" customFormat="1" ht="15.95" customHeight="1">
      <c r="M77" s="100"/>
    </row>
    <row r="78" spans="13:13" s="92" customFormat="1" ht="15.95" customHeight="1">
      <c r="M78" s="100"/>
    </row>
    <row r="79" spans="13:13" s="92" customFormat="1" ht="15.95" customHeight="1">
      <c r="M79" s="100"/>
    </row>
    <row r="80" spans="13:13" s="92" customFormat="1" ht="15.95" customHeight="1">
      <c r="M80" s="100"/>
    </row>
    <row r="81" spans="12:1024" s="92" customFormat="1" ht="15.95" customHeight="1">
      <c r="M81" s="100"/>
    </row>
    <row r="82" spans="12:1024" s="92" customFormat="1" ht="15.95" customHeight="1">
      <c r="M82" s="100"/>
    </row>
    <row r="83" spans="12:1024" s="92" customFormat="1" ht="15.95" customHeight="1">
      <c r="M83" s="100"/>
    </row>
    <row r="84" spans="12:1024" s="92" customFormat="1" ht="15.95" customHeight="1">
      <c r="M84" s="100"/>
    </row>
    <row r="85" spans="12:1024" s="92" customFormat="1" ht="15.95" customHeight="1">
      <c r="M85" s="100"/>
    </row>
    <row r="86" spans="12:1024" ht="15.95" customHeight="1">
      <c r="M86" s="100"/>
    </row>
    <row r="87" spans="12:1024" ht="15.95" customHeight="1">
      <c r="M87" s="100"/>
    </row>
    <row r="88" spans="12:1024" ht="15.95" customHeight="1">
      <c r="M88" s="100"/>
    </row>
    <row r="89" spans="12:1024" ht="15.95" customHeight="1">
      <c r="M89" s="100"/>
    </row>
    <row r="90" spans="12:1024" ht="15.95" customHeight="1">
      <c r="M90" s="100"/>
    </row>
    <row r="91" spans="12:1024" ht="15.95" customHeight="1">
      <c r="L91"/>
      <c r="M91" s="108"/>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row>
    <row r="92" spans="12:1024" ht="15.95" customHeight="1">
      <c r="L92"/>
      <c r="M92" s="108"/>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row>
    <row r="93" spans="12:1024" ht="15.95" customHeight="1">
      <c r="L93"/>
      <c r="M93" s="108"/>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row>
    <row r="94" spans="12:1024" ht="15.95" customHeight="1">
      <c r="L94"/>
      <c r="M94" s="108"/>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row>
    <row r="95" spans="12:1024" ht="15.95" customHeight="1">
      <c r="L95"/>
      <c r="M95" s="108"/>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row>
    <row r="96" spans="12:1024" ht="15.95" customHeight="1">
      <c r="L96"/>
      <c r="M96" s="108"/>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c r="WL96"/>
      <c r="WM96"/>
      <c r="WN96"/>
      <c r="WO96"/>
      <c r="WP96"/>
      <c r="WQ96"/>
      <c r="WR96"/>
      <c r="WS96"/>
      <c r="WT96"/>
      <c r="WU96"/>
      <c r="WV96"/>
      <c r="WW96"/>
      <c r="WX96"/>
      <c r="WY96"/>
      <c r="WZ96"/>
      <c r="XA96"/>
      <c r="XB96"/>
      <c r="XC96"/>
      <c r="XD96"/>
      <c r="XE96"/>
      <c r="XF96"/>
      <c r="XG96"/>
      <c r="XH96"/>
      <c r="XI96"/>
      <c r="XJ96"/>
      <c r="XK96"/>
      <c r="XL96"/>
      <c r="XM96"/>
      <c r="XN96"/>
      <c r="XO96"/>
      <c r="XP96"/>
      <c r="XQ96"/>
      <c r="XR96"/>
      <c r="XS96"/>
      <c r="XT96"/>
      <c r="XU96"/>
      <c r="XV96"/>
      <c r="XW96"/>
      <c r="XX96"/>
      <c r="XY96"/>
      <c r="XZ96"/>
      <c r="YA96"/>
      <c r="YB96"/>
      <c r="YC96"/>
      <c r="YD96"/>
      <c r="YE96"/>
      <c r="YF96"/>
      <c r="YG96"/>
      <c r="YH96"/>
      <c r="YI96"/>
      <c r="YJ96"/>
      <c r="YK96"/>
      <c r="YL96"/>
      <c r="YM96"/>
      <c r="YN96"/>
      <c r="YO96"/>
      <c r="YP96"/>
      <c r="YQ96"/>
      <c r="YR96"/>
      <c r="YS96"/>
      <c r="YT96"/>
      <c r="YU96"/>
      <c r="YV96"/>
      <c r="YW96"/>
      <c r="YX96"/>
      <c r="YY96"/>
      <c r="YZ96"/>
      <c r="ZA96"/>
      <c r="ZB96"/>
      <c r="ZC96"/>
      <c r="ZD96"/>
      <c r="ZE96"/>
      <c r="ZF96"/>
      <c r="ZG96"/>
      <c r="ZH96"/>
      <c r="ZI96"/>
      <c r="ZJ96"/>
      <c r="ZK96"/>
      <c r="ZL96"/>
      <c r="ZM96"/>
      <c r="ZN96"/>
      <c r="ZO96"/>
      <c r="ZP96"/>
      <c r="ZQ96"/>
      <c r="ZR96"/>
      <c r="ZS96"/>
      <c r="ZT96"/>
      <c r="ZU96"/>
      <c r="ZV96"/>
      <c r="ZW96"/>
      <c r="ZX96"/>
      <c r="ZY96"/>
      <c r="ZZ96"/>
      <c r="AAA96"/>
      <c r="AAB96"/>
      <c r="AAC96"/>
      <c r="AAD96"/>
      <c r="AAE96"/>
      <c r="AAF96"/>
      <c r="AAG96"/>
      <c r="AAH96"/>
      <c r="AAI96"/>
      <c r="AAJ96"/>
      <c r="AAK96"/>
      <c r="AAL96"/>
      <c r="AAM96"/>
      <c r="AAN96"/>
      <c r="AAO96"/>
      <c r="AAP96"/>
      <c r="AAQ96"/>
      <c r="AAR96"/>
      <c r="AAS96"/>
      <c r="AAT96"/>
      <c r="AAU96"/>
      <c r="AAV96"/>
      <c r="AAW96"/>
      <c r="AAX96"/>
      <c r="AAY96"/>
      <c r="AAZ96"/>
      <c r="ABA96"/>
      <c r="ABB96"/>
      <c r="ABC96"/>
      <c r="ABD96"/>
      <c r="ABE96"/>
      <c r="ABF96"/>
      <c r="ABG96"/>
      <c r="ABH96"/>
      <c r="ABI96"/>
      <c r="ABJ96"/>
      <c r="ABK96"/>
      <c r="ABL96"/>
      <c r="ABM96"/>
      <c r="ABN96"/>
      <c r="ABO96"/>
      <c r="ABP96"/>
      <c r="ABQ96"/>
      <c r="ABR96"/>
      <c r="ABS96"/>
      <c r="ABT96"/>
      <c r="ABU96"/>
      <c r="ABV96"/>
      <c r="ABW96"/>
      <c r="ABX96"/>
      <c r="ABY96"/>
      <c r="ABZ96"/>
      <c r="ACA96"/>
      <c r="ACB96"/>
      <c r="ACC96"/>
      <c r="ACD96"/>
      <c r="ACE96"/>
      <c r="ACF96"/>
      <c r="ACG96"/>
      <c r="ACH96"/>
      <c r="ACI96"/>
      <c r="ACJ96"/>
      <c r="ACK96"/>
      <c r="ACL96"/>
      <c r="ACM96"/>
      <c r="ACN96"/>
      <c r="ACO96"/>
      <c r="ACP96"/>
      <c r="ACQ96"/>
      <c r="ACR96"/>
      <c r="ACS96"/>
      <c r="ACT96"/>
      <c r="ACU96"/>
      <c r="ACV96"/>
      <c r="ACW96"/>
      <c r="ACX96"/>
      <c r="ACY96"/>
      <c r="ACZ96"/>
      <c r="ADA96"/>
      <c r="ADB96"/>
      <c r="ADC96"/>
      <c r="ADD96"/>
      <c r="ADE96"/>
      <c r="ADF96"/>
      <c r="ADG96"/>
      <c r="ADH96"/>
      <c r="ADI96"/>
      <c r="ADJ96"/>
      <c r="ADK96"/>
      <c r="ADL96"/>
      <c r="ADM96"/>
      <c r="ADN96"/>
      <c r="ADO96"/>
      <c r="ADP96"/>
      <c r="ADQ96"/>
      <c r="ADR96"/>
      <c r="ADS96"/>
      <c r="ADT96"/>
      <c r="ADU96"/>
      <c r="ADV96"/>
      <c r="ADW96"/>
      <c r="ADX96"/>
      <c r="ADY96"/>
      <c r="ADZ96"/>
      <c r="AEA96"/>
      <c r="AEB96"/>
      <c r="AEC96"/>
      <c r="AED96"/>
      <c r="AEE96"/>
      <c r="AEF96"/>
      <c r="AEG96"/>
      <c r="AEH96"/>
      <c r="AEI96"/>
      <c r="AEJ96"/>
      <c r="AEK96"/>
      <c r="AEL96"/>
      <c r="AEM96"/>
      <c r="AEN96"/>
      <c r="AEO96"/>
      <c r="AEP96"/>
      <c r="AEQ96"/>
      <c r="AER96"/>
      <c r="AES96"/>
      <c r="AET96"/>
      <c r="AEU96"/>
      <c r="AEV96"/>
      <c r="AEW96"/>
      <c r="AEX96"/>
      <c r="AEY96"/>
      <c r="AEZ96"/>
      <c r="AFA96"/>
      <c r="AFB96"/>
      <c r="AFC96"/>
      <c r="AFD96"/>
      <c r="AFE96"/>
      <c r="AFF96"/>
      <c r="AFG96"/>
      <c r="AFH96"/>
      <c r="AFI96"/>
      <c r="AFJ96"/>
      <c r="AFK96"/>
      <c r="AFL96"/>
      <c r="AFM96"/>
      <c r="AFN96"/>
      <c r="AFO96"/>
      <c r="AFP96"/>
      <c r="AFQ96"/>
      <c r="AFR96"/>
      <c r="AFS96"/>
      <c r="AFT96"/>
      <c r="AFU96"/>
      <c r="AFV96"/>
      <c r="AFW96"/>
      <c r="AFX96"/>
      <c r="AFY96"/>
      <c r="AFZ96"/>
      <c r="AGA96"/>
      <c r="AGB96"/>
      <c r="AGC96"/>
      <c r="AGD96"/>
      <c r="AGE96"/>
      <c r="AGF96"/>
      <c r="AGG96"/>
      <c r="AGH96"/>
      <c r="AGI96"/>
      <c r="AGJ96"/>
      <c r="AGK96"/>
      <c r="AGL96"/>
      <c r="AGM96"/>
      <c r="AGN96"/>
      <c r="AGO96"/>
      <c r="AGP96"/>
      <c r="AGQ96"/>
      <c r="AGR96"/>
      <c r="AGS96"/>
      <c r="AGT96"/>
      <c r="AGU96"/>
      <c r="AGV96"/>
      <c r="AGW96"/>
      <c r="AGX96"/>
      <c r="AGY96"/>
      <c r="AGZ96"/>
      <c r="AHA96"/>
      <c r="AHB96"/>
      <c r="AHC96"/>
      <c r="AHD96"/>
      <c r="AHE96"/>
      <c r="AHF96"/>
      <c r="AHG96"/>
      <c r="AHH96"/>
      <c r="AHI96"/>
      <c r="AHJ96"/>
      <c r="AHK96"/>
      <c r="AHL96"/>
      <c r="AHM96"/>
      <c r="AHN96"/>
      <c r="AHO96"/>
      <c r="AHP96"/>
      <c r="AHQ96"/>
      <c r="AHR96"/>
      <c r="AHS96"/>
      <c r="AHT96"/>
      <c r="AHU96"/>
      <c r="AHV96"/>
      <c r="AHW96"/>
      <c r="AHX96"/>
      <c r="AHY96"/>
      <c r="AHZ96"/>
      <c r="AIA96"/>
      <c r="AIB96"/>
      <c r="AIC96"/>
      <c r="AID96"/>
      <c r="AIE96"/>
      <c r="AIF96"/>
      <c r="AIG96"/>
      <c r="AIH96"/>
      <c r="AII96"/>
      <c r="AIJ96"/>
      <c r="AIK96"/>
      <c r="AIL96"/>
      <c r="AIM96"/>
      <c r="AIN96"/>
      <c r="AIO96"/>
      <c r="AIP96"/>
      <c r="AIQ96"/>
      <c r="AIR96"/>
      <c r="AIS96"/>
      <c r="AIT96"/>
      <c r="AIU96"/>
      <c r="AIV96"/>
      <c r="AIW96"/>
      <c r="AIX96"/>
      <c r="AIY96"/>
      <c r="AIZ96"/>
      <c r="AJA96"/>
      <c r="AJB96"/>
      <c r="AJC96"/>
      <c r="AJD96"/>
      <c r="AJE96"/>
      <c r="AJF96"/>
      <c r="AJG96"/>
      <c r="AJH96"/>
      <c r="AJI96"/>
      <c r="AJJ96"/>
      <c r="AJK96"/>
      <c r="AJL96"/>
      <c r="AJM96"/>
      <c r="AJN96"/>
      <c r="AJO96"/>
      <c r="AJP96"/>
      <c r="AJQ96"/>
      <c r="AJR96"/>
      <c r="AJS96"/>
      <c r="AJT96"/>
      <c r="AJU96"/>
      <c r="AJV96"/>
      <c r="AJW96"/>
      <c r="AJX96"/>
      <c r="AJY96"/>
      <c r="AJZ96"/>
      <c r="AKA96"/>
      <c r="AKB96"/>
      <c r="AKC96"/>
      <c r="AKD96"/>
      <c r="AKE96"/>
      <c r="AKF96"/>
      <c r="AKG96"/>
      <c r="AKH96"/>
      <c r="AKI96"/>
      <c r="AKJ96"/>
      <c r="AKK96"/>
      <c r="AKL96"/>
      <c r="AKM96"/>
      <c r="AKN96"/>
      <c r="AKO96"/>
      <c r="AKP96"/>
      <c r="AKQ96"/>
      <c r="AKR96"/>
      <c r="AKS96"/>
      <c r="AKT96"/>
      <c r="AKU96"/>
      <c r="AKV96"/>
      <c r="AKW96"/>
      <c r="AKX96"/>
      <c r="AKY96"/>
      <c r="AKZ96"/>
      <c r="ALA96"/>
      <c r="ALB96"/>
      <c r="ALC96"/>
      <c r="ALD96"/>
      <c r="ALE96"/>
      <c r="ALF96"/>
      <c r="ALG96"/>
      <c r="ALH96"/>
      <c r="ALI96"/>
      <c r="ALJ96"/>
      <c r="ALK96"/>
      <c r="ALL96"/>
      <c r="ALM96"/>
      <c r="ALN96"/>
      <c r="ALO96"/>
      <c r="ALP96"/>
      <c r="ALQ96"/>
      <c r="ALR96"/>
      <c r="ALS96"/>
      <c r="ALT96"/>
      <c r="ALU96"/>
      <c r="ALV96"/>
      <c r="ALW96"/>
      <c r="ALX96"/>
      <c r="ALY96"/>
      <c r="ALZ96"/>
      <c r="AMA96"/>
      <c r="AMB96"/>
      <c r="AMC96"/>
      <c r="AMD96"/>
      <c r="AME96"/>
      <c r="AMF96"/>
      <c r="AMG96"/>
      <c r="AMH96"/>
      <c r="AMI96"/>
      <c r="AMJ96"/>
    </row>
    <row r="97" spans="12:1024" ht="15.95" customHeight="1">
      <c r="L97"/>
      <c r="M97" s="108"/>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c r="WL97"/>
      <c r="WM97"/>
      <c r="WN97"/>
      <c r="WO97"/>
      <c r="WP97"/>
      <c r="WQ97"/>
      <c r="WR97"/>
      <c r="WS97"/>
      <c r="WT97"/>
      <c r="WU97"/>
      <c r="WV97"/>
      <c r="WW97"/>
      <c r="WX97"/>
      <c r="WY97"/>
      <c r="WZ97"/>
      <c r="XA97"/>
      <c r="XB97"/>
      <c r="XC97"/>
      <c r="XD97"/>
      <c r="XE97"/>
      <c r="XF97"/>
      <c r="XG97"/>
      <c r="XH97"/>
      <c r="XI97"/>
      <c r="XJ97"/>
      <c r="XK97"/>
      <c r="XL97"/>
      <c r="XM97"/>
      <c r="XN97"/>
      <c r="XO97"/>
      <c r="XP97"/>
      <c r="XQ97"/>
      <c r="XR97"/>
      <c r="XS97"/>
      <c r="XT97"/>
      <c r="XU97"/>
      <c r="XV97"/>
      <c r="XW97"/>
      <c r="XX97"/>
      <c r="XY97"/>
      <c r="XZ97"/>
      <c r="YA97"/>
      <c r="YB97"/>
      <c r="YC97"/>
      <c r="YD97"/>
      <c r="YE97"/>
      <c r="YF97"/>
      <c r="YG97"/>
      <c r="YH97"/>
      <c r="YI97"/>
      <c r="YJ97"/>
      <c r="YK97"/>
      <c r="YL97"/>
      <c r="YM97"/>
      <c r="YN97"/>
      <c r="YO97"/>
      <c r="YP97"/>
      <c r="YQ97"/>
      <c r="YR97"/>
      <c r="YS97"/>
      <c r="YT97"/>
      <c r="YU97"/>
      <c r="YV97"/>
      <c r="YW97"/>
      <c r="YX97"/>
      <c r="YY97"/>
      <c r="YZ97"/>
      <c r="ZA97"/>
      <c r="ZB97"/>
      <c r="ZC97"/>
      <c r="ZD97"/>
      <c r="ZE97"/>
      <c r="ZF97"/>
      <c r="ZG97"/>
      <c r="ZH97"/>
      <c r="ZI97"/>
      <c r="ZJ97"/>
      <c r="ZK97"/>
      <c r="ZL97"/>
      <c r="ZM97"/>
      <c r="ZN97"/>
      <c r="ZO97"/>
      <c r="ZP97"/>
      <c r="ZQ97"/>
      <c r="ZR97"/>
      <c r="ZS97"/>
      <c r="ZT97"/>
      <c r="ZU97"/>
      <c r="ZV97"/>
      <c r="ZW97"/>
      <c r="ZX97"/>
      <c r="ZY97"/>
      <c r="ZZ97"/>
      <c r="AAA97"/>
      <c r="AAB97"/>
      <c r="AAC97"/>
      <c r="AAD97"/>
      <c r="AAE97"/>
      <c r="AAF97"/>
      <c r="AAG97"/>
      <c r="AAH97"/>
      <c r="AAI97"/>
      <c r="AAJ97"/>
      <c r="AAK97"/>
      <c r="AAL97"/>
      <c r="AAM97"/>
      <c r="AAN97"/>
      <c r="AAO97"/>
      <c r="AAP97"/>
      <c r="AAQ97"/>
      <c r="AAR97"/>
      <c r="AAS97"/>
      <c r="AAT97"/>
      <c r="AAU97"/>
      <c r="AAV97"/>
      <c r="AAW97"/>
      <c r="AAX97"/>
      <c r="AAY97"/>
      <c r="AAZ97"/>
      <c r="ABA97"/>
      <c r="ABB97"/>
      <c r="ABC97"/>
      <c r="ABD97"/>
      <c r="ABE97"/>
      <c r="ABF97"/>
      <c r="ABG97"/>
      <c r="ABH97"/>
      <c r="ABI97"/>
      <c r="ABJ97"/>
      <c r="ABK97"/>
      <c r="ABL97"/>
      <c r="ABM97"/>
      <c r="ABN97"/>
      <c r="ABO97"/>
      <c r="ABP97"/>
      <c r="ABQ97"/>
      <c r="ABR97"/>
      <c r="ABS97"/>
      <c r="ABT97"/>
      <c r="ABU97"/>
      <c r="ABV97"/>
      <c r="ABW97"/>
      <c r="ABX97"/>
      <c r="ABY97"/>
      <c r="ABZ97"/>
      <c r="ACA97"/>
      <c r="ACB97"/>
      <c r="ACC97"/>
      <c r="ACD97"/>
      <c r="ACE97"/>
      <c r="ACF97"/>
      <c r="ACG97"/>
      <c r="ACH97"/>
      <c r="ACI97"/>
      <c r="ACJ97"/>
      <c r="ACK97"/>
      <c r="ACL97"/>
      <c r="ACM97"/>
      <c r="ACN97"/>
      <c r="ACO97"/>
      <c r="ACP97"/>
      <c r="ACQ97"/>
      <c r="ACR97"/>
      <c r="ACS97"/>
      <c r="ACT97"/>
      <c r="ACU97"/>
      <c r="ACV97"/>
      <c r="ACW97"/>
      <c r="ACX97"/>
      <c r="ACY97"/>
      <c r="ACZ97"/>
      <c r="ADA97"/>
      <c r="ADB97"/>
      <c r="ADC97"/>
      <c r="ADD97"/>
      <c r="ADE97"/>
      <c r="ADF97"/>
      <c r="ADG97"/>
      <c r="ADH97"/>
      <c r="ADI97"/>
      <c r="ADJ97"/>
      <c r="ADK97"/>
      <c r="ADL97"/>
      <c r="ADM97"/>
      <c r="ADN97"/>
      <c r="ADO97"/>
      <c r="ADP97"/>
      <c r="ADQ97"/>
      <c r="ADR97"/>
      <c r="ADS97"/>
      <c r="ADT97"/>
      <c r="ADU97"/>
      <c r="ADV97"/>
      <c r="ADW97"/>
      <c r="ADX97"/>
      <c r="ADY97"/>
      <c r="ADZ97"/>
      <c r="AEA97"/>
      <c r="AEB97"/>
      <c r="AEC97"/>
      <c r="AED97"/>
      <c r="AEE97"/>
      <c r="AEF97"/>
      <c r="AEG97"/>
      <c r="AEH97"/>
      <c r="AEI97"/>
      <c r="AEJ97"/>
      <c r="AEK97"/>
      <c r="AEL97"/>
      <c r="AEM97"/>
      <c r="AEN97"/>
      <c r="AEO97"/>
      <c r="AEP97"/>
      <c r="AEQ97"/>
      <c r="AER97"/>
      <c r="AES97"/>
      <c r="AET97"/>
      <c r="AEU97"/>
      <c r="AEV97"/>
      <c r="AEW97"/>
      <c r="AEX97"/>
      <c r="AEY97"/>
      <c r="AEZ97"/>
      <c r="AFA97"/>
      <c r="AFB97"/>
      <c r="AFC97"/>
      <c r="AFD97"/>
      <c r="AFE97"/>
      <c r="AFF97"/>
      <c r="AFG97"/>
      <c r="AFH97"/>
      <c r="AFI97"/>
      <c r="AFJ97"/>
      <c r="AFK97"/>
      <c r="AFL97"/>
      <c r="AFM97"/>
      <c r="AFN97"/>
      <c r="AFO97"/>
      <c r="AFP97"/>
      <c r="AFQ97"/>
      <c r="AFR97"/>
      <c r="AFS97"/>
      <c r="AFT97"/>
      <c r="AFU97"/>
      <c r="AFV97"/>
      <c r="AFW97"/>
      <c r="AFX97"/>
      <c r="AFY97"/>
      <c r="AFZ97"/>
      <c r="AGA97"/>
      <c r="AGB97"/>
      <c r="AGC97"/>
      <c r="AGD97"/>
      <c r="AGE97"/>
      <c r="AGF97"/>
      <c r="AGG97"/>
      <c r="AGH97"/>
      <c r="AGI97"/>
      <c r="AGJ97"/>
      <c r="AGK97"/>
      <c r="AGL97"/>
      <c r="AGM97"/>
      <c r="AGN97"/>
      <c r="AGO97"/>
      <c r="AGP97"/>
      <c r="AGQ97"/>
      <c r="AGR97"/>
      <c r="AGS97"/>
      <c r="AGT97"/>
      <c r="AGU97"/>
      <c r="AGV97"/>
      <c r="AGW97"/>
      <c r="AGX97"/>
      <c r="AGY97"/>
      <c r="AGZ97"/>
      <c r="AHA97"/>
      <c r="AHB97"/>
      <c r="AHC97"/>
      <c r="AHD97"/>
      <c r="AHE97"/>
      <c r="AHF97"/>
      <c r="AHG97"/>
      <c r="AHH97"/>
      <c r="AHI97"/>
      <c r="AHJ97"/>
      <c r="AHK97"/>
      <c r="AHL97"/>
      <c r="AHM97"/>
      <c r="AHN97"/>
      <c r="AHO97"/>
      <c r="AHP97"/>
      <c r="AHQ97"/>
      <c r="AHR97"/>
      <c r="AHS97"/>
      <c r="AHT97"/>
      <c r="AHU97"/>
      <c r="AHV97"/>
      <c r="AHW97"/>
      <c r="AHX97"/>
      <c r="AHY97"/>
      <c r="AHZ97"/>
      <c r="AIA97"/>
      <c r="AIB97"/>
      <c r="AIC97"/>
      <c r="AID97"/>
      <c r="AIE97"/>
      <c r="AIF97"/>
      <c r="AIG97"/>
      <c r="AIH97"/>
      <c r="AII97"/>
      <c r="AIJ97"/>
      <c r="AIK97"/>
      <c r="AIL97"/>
      <c r="AIM97"/>
      <c r="AIN97"/>
      <c r="AIO97"/>
      <c r="AIP97"/>
      <c r="AIQ97"/>
      <c r="AIR97"/>
      <c r="AIS97"/>
      <c r="AIT97"/>
      <c r="AIU97"/>
      <c r="AIV97"/>
      <c r="AIW97"/>
      <c r="AIX97"/>
      <c r="AIY97"/>
      <c r="AIZ97"/>
      <c r="AJA97"/>
      <c r="AJB97"/>
      <c r="AJC97"/>
      <c r="AJD97"/>
      <c r="AJE97"/>
      <c r="AJF97"/>
      <c r="AJG97"/>
      <c r="AJH97"/>
      <c r="AJI97"/>
      <c r="AJJ97"/>
      <c r="AJK97"/>
      <c r="AJL97"/>
      <c r="AJM97"/>
      <c r="AJN97"/>
      <c r="AJO97"/>
      <c r="AJP97"/>
      <c r="AJQ97"/>
      <c r="AJR97"/>
      <c r="AJS97"/>
      <c r="AJT97"/>
      <c r="AJU97"/>
      <c r="AJV97"/>
      <c r="AJW97"/>
      <c r="AJX97"/>
      <c r="AJY97"/>
      <c r="AJZ97"/>
      <c r="AKA97"/>
      <c r="AKB97"/>
      <c r="AKC97"/>
      <c r="AKD97"/>
      <c r="AKE97"/>
      <c r="AKF97"/>
      <c r="AKG97"/>
      <c r="AKH97"/>
      <c r="AKI97"/>
      <c r="AKJ97"/>
      <c r="AKK97"/>
      <c r="AKL97"/>
      <c r="AKM97"/>
      <c r="AKN97"/>
      <c r="AKO97"/>
      <c r="AKP97"/>
      <c r="AKQ97"/>
      <c r="AKR97"/>
      <c r="AKS97"/>
      <c r="AKT97"/>
      <c r="AKU97"/>
      <c r="AKV97"/>
      <c r="AKW97"/>
      <c r="AKX97"/>
      <c r="AKY97"/>
      <c r="AKZ97"/>
      <c r="ALA97"/>
      <c r="ALB97"/>
      <c r="ALC97"/>
      <c r="ALD97"/>
      <c r="ALE97"/>
      <c r="ALF97"/>
      <c r="ALG97"/>
      <c r="ALH97"/>
      <c r="ALI97"/>
      <c r="ALJ97"/>
      <c r="ALK97"/>
      <c r="ALL97"/>
      <c r="ALM97"/>
      <c r="ALN97"/>
      <c r="ALO97"/>
      <c r="ALP97"/>
      <c r="ALQ97"/>
      <c r="ALR97"/>
      <c r="ALS97"/>
      <c r="ALT97"/>
      <c r="ALU97"/>
      <c r="ALV97"/>
      <c r="ALW97"/>
      <c r="ALX97"/>
      <c r="ALY97"/>
      <c r="ALZ97"/>
      <c r="AMA97"/>
      <c r="AMB97"/>
      <c r="AMC97"/>
      <c r="AMD97"/>
      <c r="AME97"/>
      <c r="AMF97"/>
      <c r="AMG97"/>
      <c r="AMH97"/>
      <c r="AMI97"/>
      <c r="AMJ97"/>
    </row>
    <row r="98" spans="12:1024" ht="15.95" customHeight="1">
      <c r="L98"/>
      <c r="M98" s="10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c r="WL98"/>
      <c r="WM98"/>
      <c r="WN98"/>
      <c r="WO98"/>
      <c r="WP98"/>
      <c r="WQ98"/>
      <c r="WR98"/>
      <c r="WS98"/>
      <c r="WT98"/>
      <c r="WU98"/>
      <c r="WV98"/>
      <c r="WW98"/>
      <c r="WX98"/>
      <c r="WY98"/>
      <c r="WZ98"/>
      <c r="XA98"/>
      <c r="XB98"/>
      <c r="XC98"/>
      <c r="XD98"/>
      <c r="XE98"/>
      <c r="XF98"/>
      <c r="XG98"/>
      <c r="XH98"/>
      <c r="XI98"/>
      <c r="XJ98"/>
      <c r="XK98"/>
      <c r="XL98"/>
      <c r="XM98"/>
      <c r="XN98"/>
      <c r="XO98"/>
      <c r="XP98"/>
      <c r="XQ98"/>
      <c r="XR98"/>
      <c r="XS98"/>
      <c r="XT98"/>
      <c r="XU98"/>
      <c r="XV98"/>
      <c r="XW98"/>
      <c r="XX98"/>
      <c r="XY98"/>
      <c r="XZ98"/>
      <c r="YA98"/>
      <c r="YB98"/>
      <c r="YC98"/>
      <c r="YD98"/>
      <c r="YE98"/>
      <c r="YF98"/>
      <c r="YG98"/>
      <c r="YH98"/>
      <c r="YI98"/>
      <c r="YJ98"/>
      <c r="YK98"/>
      <c r="YL98"/>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c r="AAD98"/>
      <c r="AAE98"/>
      <c r="AAF98"/>
      <c r="AAG98"/>
      <c r="AAH98"/>
      <c r="AAI98"/>
      <c r="AAJ98"/>
      <c r="AAK98"/>
      <c r="AAL98"/>
      <c r="AAM98"/>
      <c r="AAN98"/>
      <c r="AAO98"/>
      <c r="AAP98"/>
      <c r="AAQ98"/>
      <c r="AAR98"/>
      <c r="AAS98"/>
      <c r="AAT98"/>
      <c r="AAU98"/>
      <c r="AAV98"/>
      <c r="AAW98"/>
      <c r="AAX98"/>
      <c r="AAY98"/>
      <c r="AAZ98"/>
      <c r="ABA98"/>
      <c r="ABB98"/>
      <c r="ABC98"/>
      <c r="ABD98"/>
      <c r="ABE98"/>
      <c r="ABF98"/>
      <c r="ABG98"/>
      <c r="ABH98"/>
      <c r="ABI98"/>
      <c r="ABJ98"/>
      <c r="ABK98"/>
      <c r="ABL98"/>
      <c r="ABM98"/>
      <c r="ABN98"/>
      <c r="ABO98"/>
      <c r="ABP98"/>
      <c r="ABQ98"/>
      <c r="ABR98"/>
      <c r="ABS98"/>
      <c r="ABT98"/>
      <c r="ABU98"/>
      <c r="ABV98"/>
      <c r="ABW98"/>
      <c r="ABX98"/>
      <c r="ABY98"/>
      <c r="ABZ98"/>
      <c r="ACA98"/>
      <c r="ACB98"/>
      <c r="ACC98"/>
      <c r="ACD98"/>
      <c r="ACE98"/>
      <c r="ACF98"/>
      <c r="ACG98"/>
      <c r="ACH98"/>
      <c r="ACI98"/>
      <c r="ACJ98"/>
      <c r="ACK98"/>
      <c r="ACL98"/>
      <c r="ACM98"/>
      <c r="ACN98"/>
      <c r="ACO98"/>
      <c r="ACP98"/>
      <c r="ACQ98"/>
      <c r="ACR98"/>
      <c r="ACS98"/>
      <c r="ACT98"/>
      <c r="ACU98"/>
      <c r="ACV98"/>
      <c r="ACW98"/>
      <c r="ACX98"/>
      <c r="ACY98"/>
      <c r="ACZ98"/>
      <c r="ADA98"/>
      <c r="ADB98"/>
      <c r="ADC98"/>
      <c r="ADD98"/>
      <c r="ADE98"/>
      <c r="ADF98"/>
      <c r="ADG98"/>
      <c r="ADH98"/>
      <c r="ADI98"/>
      <c r="ADJ98"/>
      <c r="ADK98"/>
      <c r="ADL98"/>
      <c r="ADM98"/>
      <c r="ADN98"/>
      <c r="ADO98"/>
      <c r="ADP98"/>
      <c r="ADQ98"/>
      <c r="ADR98"/>
      <c r="ADS98"/>
      <c r="ADT98"/>
      <c r="ADU98"/>
      <c r="ADV98"/>
      <c r="ADW98"/>
      <c r="ADX98"/>
      <c r="ADY98"/>
      <c r="ADZ98"/>
      <c r="AEA98"/>
      <c r="AEB98"/>
      <c r="AEC98"/>
      <c r="AED98"/>
      <c r="AEE98"/>
      <c r="AEF98"/>
      <c r="AEG98"/>
      <c r="AEH98"/>
      <c r="AEI98"/>
      <c r="AEJ98"/>
      <c r="AEK98"/>
      <c r="AEL98"/>
      <c r="AEM98"/>
      <c r="AEN98"/>
      <c r="AEO98"/>
      <c r="AEP98"/>
      <c r="AEQ98"/>
      <c r="AER98"/>
      <c r="AES98"/>
      <c r="AET98"/>
      <c r="AEU98"/>
      <c r="AEV98"/>
      <c r="AEW98"/>
      <c r="AEX98"/>
      <c r="AEY98"/>
      <c r="AEZ98"/>
      <c r="AFA98"/>
      <c r="AFB98"/>
      <c r="AFC98"/>
      <c r="AFD98"/>
      <c r="AFE98"/>
      <c r="AFF98"/>
      <c r="AFG98"/>
      <c r="AFH98"/>
      <c r="AFI98"/>
      <c r="AFJ98"/>
      <c r="AFK98"/>
      <c r="AFL98"/>
      <c r="AFM98"/>
      <c r="AFN98"/>
      <c r="AFO98"/>
      <c r="AFP98"/>
      <c r="AFQ98"/>
      <c r="AFR98"/>
      <c r="AFS98"/>
      <c r="AFT98"/>
      <c r="AFU98"/>
      <c r="AFV98"/>
      <c r="AFW98"/>
      <c r="AFX98"/>
      <c r="AFY98"/>
      <c r="AFZ98"/>
      <c r="AGA98"/>
      <c r="AGB98"/>
      <c r="AGC98"/>
      <c r="AGD98"/>
      <c r="AGE98"/>
      <c r="AGF98"/>
      <c r="AGG98"/>
      <c r="AGH98"/>
      <c r="AGI98"/>
      <c r="AGJ98"/>
      <c r="AGK98"/>
      <c r="AGL98"/>
      <c r="AGM98"/>
      <c r="AGN98"/>
      <c r="AGO98"/>
      <c r="AGP98"/>
      <c r="AGQ98"/>
      <c r="AGR98"/>
      <c r="AGS98"/>
      <c r="AGT98"/>
      <c r="AGU98"/>
      <c r="AGV98"/>
      <c r="AGW98"/>
      <c r="AGX98"/>
      <c r="AGY98"/>
      <c r="AGZ98"/>
      <c r="AHA98"/>
      <c r="AHB98"/>
      <c r="AHC98"/>
      <c r="AHD98"/>
      <c r="AHE98"/>
      <c r="AHF98"/>
      <c r="AHG98"/>
      <c r="AHH98"/>
      <c r="AHI98"/>
      <c r="AHJ98"/>
      <c r="AHK98"/>
      <c r="AHL98"/>
      <c r="AHM98"/>
      <c r="AHN98"/>
      <c r="AHO98"/>
      <c r="AHP98"/>
      <c r="AHQ98"/>
      <c r="AHR98"/>
      <c r="AHS98"/>
      <c r="AHT98"/>
      <c r="AHU98"/>
      <c r="AHV98"/>
      <c r="AHW98"/>
      <c r="AHX98"/>
      <c r="AHY98"/>
      <c r="AHZ98"/>
      <c r="AIA98"/>
      <c r="AIB98"/>
      <c r="AIC98"/>
      <c r="AID98"/>
      <c r="AIE98"/>
      <c r="AIF98"/>
      <c r="AIG98"/>
      <c r="AIH98"/>
      <c r="AII98"/>
      <c r="AIJ98"/>
      <c r="AIK98"/>
      <c r="AIL98"/>
      <c r="AIM98"/>
      <c r="AIN98"/>
      <c r="AIO98"/>
      <c r="AIP98"/>
      <c r="AIQ98"/>
      <c r="AIR98"/>
      <c r="AIS98"/>
      <c r="AIT98"/>
      <c r="AIU98"/>
      <c r="AIV98"/>
      <c r="AIW98"/>
      <c r="AIX98"/>
      <c r="AIY98"/>
      <c r="AIZ98"/>
      <c r="AJA98"/>
      <c r="AJB98"/>
      <c r="AJC98"/>
      <c r="AJD98"/>
      <c r="AJE98"/>
      <c r="AJF98"/>
      <c r="AJG98"/>
      <c r="AJH98"/>
      <c r="AJI98"/>
      <c r="AJJ98"/>
      <c r="AJK98"/>
      <c r="AJL98"/>
      <c r="AJM98"/>
      <c r="AJN98"/>
      <c r="AJO98"/>
      <c r="AJP98"/>
      <c r="AJQ98"/>
      <c r="AJR98"/>
      <c r="AJS98"/>
      <c r="AJT98"/>
      <c r="AJU98"/>
      <c r="AJV98"/>
      <c r="AJW98"/>
      <c r="AJX98"/>
      <c r="AJY98"/>
      <c r="AJZ98"/>
      <c r="AKA98"/>
      <c r="AKB98"/>
      <c r="AKC98"/>
      <c r="AKD98"/>
      <c r="AKE98"/>
      <c r="AKF98"/>
      <c r="AKG98"/>
      <c r="AKH98"/>
      <c r="AKI98"/>
      <c r="AKJ98"/>
      <c r="AKK98"/>
      <c r="AKL98"/>
      <c r="AKM98"/>
      <c r="AKN98"/>
      <c r="AKO98"/>
      <c r="AKP98"/>
      <c r="AKQ98"/>
      <c r="AKR98"/>
      <c r="AKS98"/>
      <c r="AKT98"/>
      <c r="AKU98"/>
      <c r="AKV98"/>
      <c r="AKW98"/>
      <c r="AKX98"/>
      <c r="AKY98"/>
      <c r="AKZ98"/>
      <c r="ALA98"/>
      <c r="ALB98"/>
      <c r="ALC98"/>
      <c r="ALD98"/>
      <c r="ALE98"/>
      <c r="ALF98"/>
      <c r="ALG98"/>
      <c r="ALH98"/>
      <c r="ALI98"/>
      <c r="ALJ98"/>
      <c r="ALK98"/>
      <c r="ALL98"/>
      <c r="ALM98"/>
      <c r="ALN98"/>
      <c r="ALO98"/>
      <c r="ALP98"/>
      <c r="ALQ98"/>
      <c r="ALR98"/>
      <c r="ALS98"/>
      <c r="ALT98"/>
      <c r="ALU98"/>
      <c r="ALV98"/>
      <c r="ALW98"/>
      <c r="ALX98"/>
      <c r="ALY98"/>
      <c r="ALZ98"/>
      <c r="AMA98"/>
      <c r="AMB98"/>
      <c r="AMC98"/>
      <c r="AMD98"/>
      <c r="AME98"/>
      <c r="AMF98"/>
      <c r="AMG98"/>
      <c r="AMH98"/>
      <c r="AMI98"/>
      <c r="AMJ98"/>
    </row>
    <row r="99" spans="12:1024" ht="15.95" customHeight="1">
      <c r="L99"/>
      <c r="M99" s="108"/>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c r="WL99"/>
      <c r="WM99"/>
      <c r="WN99"/>
      <c r="WO99"/>
      <c r="WP99"/>
      <c r="WQ99"/>
      <c r="WR99"/>
      <c r="WS99"/>
      <c r="WT99"/>
      <c r="WU99"/>
      <c r="WV99"/>
      <c r="WW99"/>
      <c r="WX99"/>
      <c r="WY99"/>
      <c r="WZ99"/>
      <c r="XA99"/>
      <c r="XB99"/>
      <c r="XC99"/>
      <c r="XD99"/>
      <c r="XE99"/>
      <c r="XF99"/>
      <c r="XG99"/>
      <c r="XH99"/>
      <c r="XI99"/>
      <c r="XJ99"/>
      <c r="XK99"/>
      <c r="XL99"/>
      <c r="XM99"/>
      <c r="XN99"/>
      <c r="XO99"/>
      <c r="XP99"/>
      <c r="XQ99"/>
      <c r="XR99"/>
      <c r="XS99"/>
      <c r="XT99"/>
      <c r="XU99"/>
      <c r="XV99"/>
      <c r="XW99"/>
      <c r="XX99"/>
      <c r="XY99"/>
      <c r="XZ99"/>
      <c r="YA99"/>
      <c r="YB99"/>
      <c r="YC99"/>
      <c r="YD99"/>
      <c r="YE99"/>
      <c r="YF99"/>
      <c r="YG99"/>
      <c r="YH99"/>
      <c r="YI99"/>
      <c r="YJ99"/>
      <c r="YK99"/>
      <c r="YL99"/>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c r="AAD99"/>
      <c r="AAE99"/>
      <c r="AAF99"/>
      <c r="AAG99"/>
      <c r="AAH99"/>
      <c r="AAI99"/>
      <c r="AAJ99"/>
      <c r="AAK99"/>
      <c r="AAL99"/>
      <c r="AAM99"/>
      <c r="AAN99"/>
      <c r="AAO99"/>
      <c r="AAP99"/>
      <c r="AAQ99"/>
      <c r="AAR99"/>
      <c r="AAS99"/>
      <c r="AAT99"/>
      <c r="AAU99"/>
      <c r="AAV99"/>
      <c r="AAW99"/>
      <c r="AAX99"/>
      <c r="AAY99"/>
      <c r="AAZ99"/>
      <c r="ABA99"/>
      <c r="ABB99"/>
      <c r="ABC99"/>
      <c r="ABD99"/>
      <c r="ABE99"/>
      <c r="ABF99"/>
      <c r="ABG99"/>
      <c r="ABH99"/>
      <c r="ABI99"/>
      <c r="ABJ99"/>
      <c r="ABK99"/>
      <c r="ABL99"/>
      <c r="ABM99"/>
      <c r="ABN99"/>
      <c r="ABO99"/>
      <c r="ABP99"/>
      <c r="ABQ99"/>
      <c r="ABR99"/>
      <c r="ABS99"/>
      <c r="ABT99"/>
      <c r="ABU99"/>
      <c r="ABV99"/>
      <c r="ABW99"/>
      <c r="ABX99"/>
      <c r="ABY99"/>
      <c r="ABZ99"/>
      <c r="ACA99"/>
      <c r="ACB99"/>
      <c r="ACC99"/>
      <c r="ACD99"/>
      <c r="ACE99"/>
      <c r="ACF99"/>
      <c r="ACG99"/>
      <c r="ACH99"/>
      <c r="ACI99"/>
      <c r="ACJ99"/>
      <c r="ACK99"/>
      <c r="ACL99"/>
      <c r="ACM99"/>
      <c r="ACN99"/>
      <c r="ACO99"/>
      <c r="ACP99"/>
      <c r="ACQ99"/>
      <c r="ACR99"/>
      <c r="ACS99"/>
      <c r="ACT99"/>
      <c r="ACU99"/>
      <c r="ACV99"/>
      <c r="ACW99"/>
      <c r="ACX99"/>
      <c r="ACY99"/>
      <c r="ACZ99"/>
      <c r="ADA99"/>
      <c r="ADB99"/>
      <c r="ADC99"/>
      <c r="ADD99"/>
      <c r="ADE99"/>
      <c r="ADF99"/>
      <c r="ADG99"/>
      <c r="ADH99"/>
      <c r="ADI99"/>
      <c r="ADJ99"/>
      <c r="ADK99"/>
      <c r="ADL99"/>
      <c r="ADM99"/>
      <c r="ADN99"/>
      <c r="ADO99"/>
      <c r="ADP99"/>
      <c r="ADQ99"/>
      <c r="ADR99"/>
      <c r="ADS99"/>
      <c r="ADT99"/>
      <c r="ADU99"/>
      <c r="ADV99"/>
      <c r="ADW99"/>
      <c r="ADX99"/>
      <c r="ADY99"/>
      <c r="ADZ99"/>
      <c r="AEA99"/>
      <c r="AEB99"/>
      <c r="AEC99"/>
      <c r="AED99"/>
      <c r="AEE99"/>
      <c r="AEF99"/>
      <c r="AEG99"/>
      <c r="AEH99"/>
      <c r="AEI99"/>
      <c r="AEJ99"/>
      <c r="AEK99"/>
      <c r="AEL99"/>
      <c r="AEM99"/>
      <c r="AEN99"/>
      <c r="AEO99"/>
      <c r="AEP99"/>
      <c r="AEQ99"/>
      <c r="AER99"/>
      <c r="AES99"/>
      <c r="AET99"/>
      <c r="AEU99"/>
      <c r="AEV99"/>
      <c r="AEW99"/>
      <c r="AEX99"/>
      <c r="AEY99"/>
      <c r="AEZ99"/>
      <c r="AFA99"/>
      <c r="AFB99"/>
      <c r="AFC99"/>
      <c r="AFD99"/>
      <c r="AFE99"/>
      <c r="AFF99"/>
      <c r="AFG99"/>
      <c r="AFH99"/>
      <c r="AFI99"/>
      <c r="AFJ99"/>
      <c r="AFK99"/>
      <c r="AFL99"/>
      <c r="AFM99"/>
      <c r="AFN99"/>
      <c r="AFO99"/>
      <c r="AFP99"/>
      <c r="AFQ99"/>
      <c r="AFR99"/>
      <c r="AFS99"/>
      <c r="AFT99"/>
      <c r="AFU99"/>
      <c r="AFV99"/>
      <c r="AFW99"/>
      <c r="AFX99"/>
      <c r="AFY99"/>
      <c r="AFZ99"/>
      <c r="AGA99"/>
      <c r="AGB99"/>
      <c r="AGC99"/>
      <c r="AGD99"/>
      <c r="AGE99"/>
      <c r="AGF99"/>
      <c r="AGG99"/>
      <c r="AGH99"/>
      <c r="AGI99"/>
      <c r="AGJ99"/>
      <c r="AGK99"/>
      <c r="AGL99"/>
      <c r="AGM99"/>
      <c r="AGN99"/>
      <c r="AGO99"/>
      <c r="AGP99"/>
      <c r="AGQ99"/>
      <c r="AGR99"/>
      <c r="AGS99"/>
      <c r="AGT99"/>
      <c r="AGU99"/>
      <c r="AGV99"/>
      <c r="AGW99"/>
      <c r="AGX99"/>
      <c r="AGY99"/>
      <c r="AGZ99"/>
      <c r="AHA99"/>
      <c r="AHB99"/>
      <c r="AHC99"/>
      <c r="AHD99"/>
      <c r="AHE99"/>
      <c r="AHF99"/>
      <c r="AHG99"/>
      <c r="AHH99"/>
      <c r="AHI99"/>
      <c r="AHJ99"/>
      <c r="AHK99"/>
      <c r="AHL99"/>
      <c r="AHM99"/>
      <c r="AHN99"/>
      <c r="AHO99"/>
      <c r="AHP99"/>
      <c r="AHQ99"/>
      <c r="AHR99"/>
      <c r="AHS99"/>
      <c r="AHT99"/>
      <c r="AHU99"/>
      <c r="AHV99"/>
      <c r="AHW99"/>
      <c r="AHX99"/>
      <c r="AHY99"/>
      <c r="AHZ99"/>
      <c r="AIA99"/>
      <c r="AIB99"/>
      <c r="AIC99"/>
      <c r="AID99"/>
      <c r="AIE99"/>
      <c r="AIF99"/>
      <c r="AIG99"/>
      <c r="AIH99"/>
      <c r="AII99"/>
      <c r="AIJ99"/>
      <c r="AIK99"/>
      <c r="AIL99"/>
      <c r="AIM99"/>
      <c r="AIN99"/>
      <c r="AIO99"/>
      <c r="AIP99"/>
      <c r="AIQ99"/>
      <c r="AIR99"/>
      <c r="AIS99"/>
      <c r="AIT99"/>
      <c r="AIU99"/>
      <c r="AIV99"/>
      <c r="AIW99"/>
      <c r="AIX99"/>
      <c r="AIY99"/>
      <c r="AIZ99"/>
      <c r="AJA99"/>
      <c r="AJB99"/>
      <c r="AJC99"/>
      <c r="AJD99"/>
      <c r="AJE99"/>
      <c r="AJF99"/>
      <c r="AJG99"/>
      <c r="AJH99"/>
      <c r="AJI99"/>
      <c r="AJJ99"/>
      <c r="AJK99"/>
      <c r="AJL99"/>
      <c r="AJM99"/>
      <c r="AJN99"/>
      <c r="AJO99"/>
      <c r="AJP99"/>
      <c r="AJQ99"/>
      <c r="AJR99"/>
      <c r="AJS99"/>
      <c r="AJT99"/>
      <c r="AJU99"/>
      <c r="AJV99"/>
      <c r="AJW99"/>
      <c r="AJX99"/>
      <c r="AJY99"/>
      <c r="AJZ99"/>
      <c r="AKA99"/>
      <c r="AKB99"/>
      <c r="AKC99"/>
      <c r="AKD99"/>
      <c r="AKE99"/>
      <c r="AKF99"/>
      <c r="AKG99"/>
      <c r="AKH99"/>
      <c r="AKI99"/>
      <c r="AKJ99"/>
      <c r="AKK99"/>
      <c r="AKL99"/>
      <c r="AKM99"/>
      <c r="AKN99"/>
      <c r="AKO99"/>
      <c r="AKP99"/>
      <c r="AKQ99"/>
      <c r="AKR99"/>
      <c r="AKS99"/>
      <c r="AKT99"/>
      <c r="AKU99"/>
      <c r="AKV99"/>
      <c r="AKW99"/>
      <c r="AKX99"/>
      <c r="AKY99"/>
      <c r="AKZ99"/>
      <c r="ALA99"/>
      <c r="ALB99"/>
      <c r="ALC99"/>
      <c r="ALD99"/>
      <c r="ALE99"/>
      <c r="ALF99"/>
      <c r="ALG99"/>
      <c r="ALH99"/>
      <c r="ALI99"/>
      <c r="ALJ99"/>
      <c r="ALK99"/>
      <c r="ALL99"/>
      <c r="ALM99"/>
      <c r="ALN99"/>
      <c r="ALO99"/>
      <c r="ALP99"/>
      <c r="ALQ99"/>
      <c r="ALR99"/>
      <c r="ALS99"/>
      <c r="ALT99"/>
      <c r="ALU99"/>
      <c r="ALV99"/>
      <c r="ALW99"/>
      <c r="ALX99"/>
      <c r="ALY99"/>
      <c r="ALZ99"/>
      <c r="AMA99"/>
      <c r="AMB99"/>
      <c r="AMC99"/>
      <c r="AMD99"/>
      <c r="AME99"/>
      <c r="AMF99"/>
      <c r="AMG99"/>
      <c r="AMH99"/>
      <c r="AMI99"/>
      <c r="AMJ99"/>
    </row>
    <row r="100" spans="12:1024" ht="15.95" customHeight="1">
      <c r="L100"/>
      <c r="M100" s="108"/>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c r="WL100"/>
      <c r="WM100"/>
      <c r="WN100"/>
      <c r="WO100"/>
      <c r="WP100"/>
      <c r="WQ100"/>
      <c r="WR100"/>
      <c r="WS100"/>
      <c r="WT100"/>
      <c r="WU100"/>
      <c r="WV100"/>
      <c r="WW100"/>
      <c r="WX100"/>
      <c r="WY100"/>
      <c r="WZ100"/>
      <c r="XA100"/>
      <c r="XB100"/>
      <c r="XC100"/>
      <c r="XD100"/>
      <c r="XE100"/>
      <c r="XF100"/>
      <c r="XG100"/>
      <c r="XH100"/>
      <c r="XI100"/>
      <c r="XJ100"/>
      <c r="XK100"/>
      <c r="XL100"/>
      <c r="XM100"/>
      <c r="XN100"/>
      <c r="XO100"/>
      <c r="XP100"/>
      <c r="XQ100"/>
      <c r="XR100"/>
      <c r="XS100"/>
      <c r="XT100"/>
      <c r="XU100"/>
      <c r="XV100"/>
      <c r="XW100"/>
      <c r="XX100"/>
      <c r="XY100"/>
      <c r="XZ100"/>
      <c r="YA100"/>
      <c r="YB100"/>
      <c r="YC100"/>
      <c r="YD100"/>
      <c r="YE100"/>
      <c r="YF100"/>
      <c r="YG100"/>
      <c r="YH100"/>
      <c r="YI100"/>
      <c r="YJ100"/>
      <c r="YK100"/>
      <c r="YL100"/>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c r="AAD100"/>
      <c r="AAE100"/>
      <c r="AAF100"/>
      <c r="AAG100"/>
      <c r="AAH100"/>
      <c r="AAI100"/>
      <c r="AAJ100"/>
      <c r="AAK100"/>
      <c r="AAL100"/>
      <c r="AAM100"/>
      <c r="AAN100"/>
      <c r="AAO100"/>
      <c r="AAP100"/>
      <c r="AAQ100"/>
      <c r="AAR100"/>
      <c r="AAS100"/>
      <c r="AAT100"/>
      <c r="AAU100"/>
      <c r="AAV100"/>
      <c r="AAW100"/>
      <c r="AAX100"/>
      <c r="AAY100"/>
      <c r="AAZ100"/>
      <c r="ABA100"/>
      <c r="ABB100"/>
      <c r="ABC100"/>
      <c r="ABD100"/>
      <c r="ABE100"/>
      <c r="ABF100"/>
      <c r="ABG100"/>
      <c r="ABH100"/>
      <c r="ABI100"/>
      <c r="ABJ100"/>
      <c r="ABK100"/>
      <c r="ABL100"/>
      <c r="ABM100"/>
      <c r="ABN100"/>
      <c r="ABO100"/>
      <c r="ABP100"/>
      <c r="ABQ100"/>
      <c r="ABR100"/>
      <c r="ABS100"/>
      <c r="ABT100"/>
      <c r="ABU100"/>
      <c r="ABV100"/>
      <c r="ABW100"/>
      <c r="ABX100"/>
      <c r="ABY100"/>
      <c r="ABZ100"/>
      <c r="ACA100"/>
      <c r="ACB100"/>
      <c r="ACC100"/>
      <c r="ACD100"/>
      <c r="ACE100"/>
      <c r="ACF100"/>
      <c r="ACG100"/>
      <c r="ACH100"/>
      <c r="ACI100"/>
      <c r="ACJ100"/>
      <c r="ACK100"/>
      <c r="ACL100"/>
      <c r="ACM100"/>
      <c r="ACN100"/>
      <c r="ACO100"/>
      <c r="ACP100"/>
      <c r="ACQ100"/>
      <c r="ACR100"/>
      <c r="ACS100"/>
      <c r="ACT100"/>
      <c r="ACU100"/>
      <c r="ACV100"/>
      <c r="ACW100"/>
      <c r="ACX100"/>
      <c r="ACY100"/>
      <c r="ACZ100"/>
      <c r="ADA100"/>
      <c r="ADB100"/>
      <c r="ADC100"/>
      <c r="ADD100"/>
      <c r="ADE100"/>
      <c r="ADF100"/>
      <c r="ADG100"/>
      <c r="ADH100"/>
      <c r="ADI100"/>
      <c r="ADJ100"/>
      <c r="ADK100"/>
      <c r="ADL100"/>
      <c r="ADM100"/>
      <c r="ADN100"/>
      <c r="ADO100"/>
      <c r="ADP100"/>
      <c r="ADQ100"/>
      <c r="ADR100"/>
      <c r="ADS100"/>
      <c r="ADT100"/>
      <c r="ADU100"/>
      <c r="ADV100"/>
      <c r="ADW100"/>
      <c r="ADX100"/>
      <c r="ADY100"/>
      <c r="ADZ100"/>
      <c r="AEA100"/>
      <c r="AEB100"/>
      <c r="AEC100"/>
      <c r="AED100"/>
      <c r="AEE100"/>
      <c r="AEF100"/>
      <c r="AEG100"/>
      <c r="AEH100"/>
      <c r="AEI100"/>
      <c r="AEJ100"/>
      <c r="AEK100"/>
      <c r="AEL100"/>
      <c r="AEM100"/>
      <c r="AEN100"/>
      <c r="AEO100"/>
      <c r="AEP100"/>
      <c r="AEQ100"/>
      <c r="AER100"/>
      <c r="AES100"/>
      <c r="AET100"/>
      <c r="AEU100"/>
      <c r="AEV100"/>
      <c r="AEW100"/>
      <c r="AEX100"/>
      <c r="AEY100"/>
      <c r="AEZ100"/>
      <c r="AFA100"/>
      <c r="AFB100"/>
      <c r="AFC100"/>
      <c r="AFD100"/>
      <c r="AFE100"/>
      <c r="AFF100"/>
      <c r="AFG100"/>
      <c r="AFH100"/>
      <c r="AFI100"/>
      <c r="AFJ100"/>
      <c r="AFK100"/>
      <c r="AFL100"/>
      <c r="AFM100"/>
      <c r="AFN100"/>
      <c r="AFO100"/>
      <c r="AFP100"/>
      <c r="AFQ100"/>
      <c r="AFR100"/>
      <c r="AFS100"/>
      <c r="AFT100"/>
      <c r="AFU100"/>
      <c r="AFV100"/>
      <c r="AFW100"/>
      <c r="AFX100"/>
      <c r="AFY100"/>
      <c r="AFZ100"/>
      <c r="AGA100"/>
      <c r="AGB100"/>
      <c r="AGC100"/>
      <c r="AGD100"/>
      <c r="AGE100"/>
      <c r="AGF100"/>
      <c r="AGG100"/>
      <c r="AGH100"/>
      <c r="AGI100"/>
      <c r="AGJ100"/>
      <c r="AGK100"/>
      <c r="AGL100"/>
      <c r="AGM100"/>
      <c r="AGN100"/>
      <c r="AGO100"/>
      <c r="AGP100"/>
      <c r="AGQ100"/>
      <c r="AGR100"/>
      <c r="AGS100"/>
      <c r="AGT100"/>
      <c r="AGU100"/>
      <c r="AGV100"/>
      <c r="AGW100"/>
      <c r="AGX100"/>
      <c r="AGY100"/>
      <c r="AGZ100"/>
      <c r="AHA100"/>
      <c r="AHB100"/>
      <c r="AHC100"/>
      <c r="AHD100"/>
      <c r="AHE100"/>
      <c r="AHF100"/>
      <c r="AHG100"/>
      <c r="AHH100"/>
      <c r="AHI100"/>
      <c r="AHJ100"/>
      <c r="AHK100"/>
      <c r="AHL100"/>
      <c r="AHM100"/>
      <c r="AHN100"/>
      <c r="AHO100"/>
      <c r="AHP100"/>
      <c r="AHQ100"/>
      <c r="AHR100"/>
      <c r="AHS100"/>
      <c r="AHT100"/>
      <c r="AHU100"/>
      <c r="AHV100"/>
      <c r="AHW100"/>
      <c r="AHX100"/>
      <c r="AHY100"/>
      <c r="AHZ100"/>
      <c r="AIA100"/>
      <c r="AIB100"/>
      <c r="AIC100"/>
      <c r="AID100"/>
      <c r="AIE100"/>
      <c r="AIF100"/>
      <c r="AIG100"/>
      <c r="AIH100"/>
      <c r="AII100"/>
      <c r="AIJ100"/>
      <c r="AIK100"/>
      <c r="AIL100"/>
      <c r="AIM100"/>
      <c r="AIN100"/>
      <c r="AIO100"/>
      <c r="AIP100"/>
      <c r="AIQ100"/>
      <c r="AIR100"/>
      <c r="AIS100"/>
      <c r="AIT100"/>
      <c r="AIU100"/>
      <c r="AIV100"/>
      <c r="AIW100"/>
      <c r="AIX100"/>
      <c r="AIY100"/>
      <c r="AIZ100"/>
      <c r="AJA100"/>
      <c r="AJB100"/>
      <c r="AJC100"/>
      <c r="AJD100"/>
      <c r="AJE100"/>
      <c r="AJF100"/>
      <c r="AJG100"/>
      <c r="AJH100"/>
      <c r="AJI100"/>
      <c r="AJJ100"/>
      <c r="AJK100"/>
      <c r="AJL100"/>
      <c r="AJM100"/>
      <c r="AJN100"/>
      <c r="AJO100"/>
      <c r="AJP100"/>
      <c r="AJQ100"/>
      <c r="AJR100"/>
      <c r="AJS100"/>
      <c r="AJT100"/>
      <c r="AJU100"/>
      <c r="AJV100"/>
      <c r="AJW100"/>
      <c r="AJX100"/>
      <c r="AJY100"/>
      <c r="AJZ100"/>
      <c r="AKA100"/>
      <c r="AKB100"/>
      <c r="AKC100"/>
      <c r="AKD100"/>
      <c r="AKE100"/>
      <c r="AKF100"/>
      <c r="AKG100"/>
      <c r="AKH100"/>
      <c r="AKI100"/>
      <c r="AKJ100"/>
      <c r="AKK100"/>
      <c r="AKL100"/>
      <c r="AKM100"/>
      <c r="AKN100"/>
      <c r="AKO100"/>
      <c r="AKP100"/>
      <c r="AKQ100"/>
      <c r="AKR100"/>
      <c r="AKS100"/>
      <c r="AKT100"/>
      <c r="AKU100"/>
      <c r="AKV100"/>
      <c r="AKW100"/>
      <c r="AKX100"/>
      <c r="AKY100"/>
      <c r="AKZ100"/>
      <c r="ALA100"/>
      <c r="ALB100"/>
      <c r="ALC100"/>
      <c r="ALD100"/>
      <c r="ALE100"/>
      <c r="ALF100"/>
      <c r="ALG100"/>
      <c r="ALH100"/>
      <c r="ALI100"/>
      <c r="ALJ100"/>
      <c r="ALK100"/>
      <c r="ALL100"/>
      <c r="ALM100"/>
      <c r="ALN100"/>
      <c r="ALO100"/>
      <c r="ALP100"/>
      <c r="ALQ100"/>
      <c r="ALR100"/>
      <c r="ALS100"/>
      <c r="ALT100"/>
      <c r="ALU100"/>
      <c r="ALV100"/>
      <c r="ALW100"/>
      <c r="ALX100"/>
      <c r="ALY100"/>
      <c r="ALZ100"/>
      <c r="AMA100"/>
      <c r="AMB100"/>
      <c r="AMC100"/>
      <c r="AMD100"/>
      <c r="AME100"/>
      <c r="AMF100"/>
      <c r="AMG100"/>
      <c r="AMH100"/>
      <c r="AMI100"/>
      <c r="AMJ100"/>
    </row>
    <row r="101" spans="12:1024" ht="15.95" customHeight="1">
      <c r="L101"/>
      <c r="M101" s="108"/>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c r="WK101"/>
      <c r="WL101"/>
      <c r="WM101"/>
      <c r="WN101"/>
      <c r="WO101"/>
      <c r="WP101"/>
      <c r="WQ101"/>
      <c r="WR101"/>
      <c r="WS101"/>
      <c r="WT101"/>
      <c r="WU101"/>
      <c r="WV101"/>
      <c r="WW101"/>
      <c r="WX101"/>
      <c r="WY101"/>
      <c r="WZ101"/>
      <c r="XA101"/>
      <c r="XB101"/>
      <c r="XC101"/>
      <c r="XD101"/>
      <c r="XE101"/>
      <c r="XF101"/>
      <c r="XG101"/>
      <c r="XH101"/>
      <c r="XI101"/>
      <c r="XJ101"/>
      <c r="XK101"/>
      <c r="XL101"/>
      <c r="XM101"/>
      <c r="XN101"/>
      <c r="XO101"/>
      <c r="XP101"/>
      <c r="XQ101"/>
      <c r="XR101"/>
      <c r="XS101"/>
      <c r="XT101"/>
      <c r="XU101"/>
      <c r="XV101"/>
      <c r="XW101"/>
      <c r="XX101"/>
      <c r="XY101"/>
      <c r="XZ101"/>
      <c r="YA101"/>
      <c r="YB101"/>
      <c r="YC101"/>
      <c r="YD101"/>
      <c r="YE101"/>
      <c r="YF101"/>
      <c r="YG101"/>
      <c r="YH101"/>
      <c r="YI101"/>
      <c r="YJ101"/>
      <c r="YK101"/>
      <c r="YL101"/>
      <c r="YM101"/>
      <c r="YN101"/>
      <c r="YO101"/>
      <c r="YP101"/>
      <c r="YQ101"/>
      <c r="YR101"/>
      <c r="YS101"/>
      <c r="YT101"/>
      <c r="YU101"/>
      <c r="YV101"/>
      <c r="YW101"/>
      <c r="YX101"/>
      <c r="YY101"/>
      <c r="YZ101"/>
      <c r="ZA101"/>
      <c r="ZB101"/>
      <c r="ZC101"/>
      <c r="ZD101"/>
      <c r="ZE101"/>
      <c r="ZF101"/>
      <c r="ZG101"/>
      <c r="ZH101"/>
      <c r="ZI101"/>
      <c r="ZJ101"/>
      <c r="ZK101"/>
      <c r="ZL101"/>
      <c r="ZM101"/>
      <c r="ZN101"/>
      <c r="ZO101"/>
      <c r="ZP101"/>
      <c r="ZQ101"/>
      <c r="ZR101"/>
      <c r="ZS101"/>
      <c r="ZT101"/>
      <c r="ZU101"/>
      <c r="ZV101"/>
      <c r="ZW101"/>
      <c r="ZX101"/>
      <c r="ZY101"/>
      <c r="ZZ101"/>
      <c r="AAA101"/>
      <c r="AAB101"/>
      <c r="AAC101"/>
      <c r="AAD101"/>
      <c r="AAE101"/>
      <c r="AAF101"/>
      <c r="AAG101"/>
      <c r="AAH101"/>
      <c r="AAI101"/>
      <c r="AAJ101"/>
      <c r="AAK101"/>
      <c r="AAL101"/>
      <c r="AAM101"/>
      <c r="AAN101"/>
      <c r="AAO101"/>
      <c r="AAP101"/>
      <c r="AAQ101"/>
      <c r="AAR101"/>
      <c r="AAS101"/>
      <c r="AAT101"/>
      <c r="AAU101"/>
      <c r="AAV101"/>
      <c r="AAW101"/>
      <c r="AAX101"/>
      <c r="AAY101"/>
      <c r="AAZ101"/>
      <c r="ABA101"/>
      <c r="ABB101"/>
      <c r="ABC101"/>
      <c r="ABD101"/>
      <c r="ABE101"/>
      <c r="ABF101"/>
      <c r="ABG101"/>
      <c r="ABH101"/>
      <c r="ABI101"/>
      <c r="ABJ101"/>
      <c r="ABK101"/>
      <c r="ABL101"/>
      <c r="ABM101"/>
      <c r="ABN101"/>
      <c r="ABO101"/>
      <c r="ABP101"/>
      <c r="ABQ101"/>
      <c r="ABR101"/>
      <c r="ABS101"/>
      <c r="ABT101"/>
      <c r="ABU101"/>
      <c r="ABV101"/>
      <c r="ABW101"/>
      <c r="ABX101"/>
      <c r="ABY101"/>
      <c r="ABZ101"/>
      <c r="ACA101"/>
      <c r="ACB101"/>
      <c r="ACC101"/>
      <c r="ACD101"/>
      <c r="ACE101"/>
      <c r="ACF101"/>
      <c r="ACG101"/>
      <c r="ACH101"/>
      <c r="ACI101"/>
      <c r="ACJ101"/>
      <c r="ACK101"/>
      <c r="ACL101"/>
      <c r="ACM101"/>
      <c r="ACN101"/>
      <c r="ACO101"/>
      <c r="ACP101"/>
      <c r="ACQ101"/>
      <c r="ACR101"/>
      <c r="ACS101"/>
      <c r="ACT101"/>
      <c r="ACU101"/>
      <c r="ACV101"/>
      <c r="ACW101"/>
      <c r="ACX101"/>
      <c r="ACY101"/>
      <c r="ACZ101"/>
      <c r="ADA101"/>
      <c r="ADB101"/>
      <c r="ADC101"/>
      <c r="ADD101"/>
      <c r="ADE101"/>
      <c r="ADF101"/>
      <c r="ADG101"/>
      <c r="ADH101"/>
      <c r="ADI101"/>
      <c r="ADJ101"/>
      <c r="ADK101"/>
      <c r="ADL101"/>
      <c r="ADM101"/>
      <c r="ADN101"/>
      <c r="ADO101"/>
      <c r="ADP101"/>
      <c r="ADQ101"/>
      <c r="ADR101"/>
      <c r="ADS101"/>
      <c r="ADT101"/>
      <c r="ADU101"/>
      <c r="ADV101"/>
      <c r="ADW101"/>
      <c r="ADX101"/>
      <c r="ADY101"/>
      <c r="ADZ101"/>
      <c r="AEA101"/>
      <c r="AEB101"/>
      <c r="AEC101"/>
      <c r="AED101"/>
      <c r="AEE101"/>
      <c r="AEF101"/>
      <c r="AEG101"/>
      <c r="AEH101"/>
      <c r="AEI101"/>
      <c r="AEJ101"/>
      <c r="AEK101"/>
      <c r="AEL101"/>
      <c r="AEM101"/>
      <c r="AEN101"/>
      <c r="AEO101"/>
      <c r="AEP101"/>
      <c r="AEQ101"/>
      <c r="AER101"/>
      <c r="AES101"/>
      <c r="AET101"/>
      <c r="AEU101"/>
      <c r="AEV101"/>
      <c r="AEW101"/>
      <c r="AEX101"/>
      <c r="AEY101"/>
      <c r="AEZ101"/>
      <c r="AFA101"/>
      <c r="AFB101"/>
      <c r="AFC101"/>
      <c r="AFD101"/>
      <c r="AFE101"/>
      <c r="AFF101"/>
      <c r="AFG101"/>
      <c r="AFH101"/>
      <c r="AFI101"/>
      <c r="AFJ101"/>
      <c r="AFK101"/>
      <c r="AFL101"/>
      <c r="AFM101"/>
      <c r="AFN101"/>
      <c r="AFO101"/>
      <c r="AFP101"/>
      <c r="AFQ101"/>
      <c r="AFR101"/>
      <c r="AFS101"/>
      <c r="AFT101"/>
      <c r="AFU101"/>
      <c r="AFV101"/>
      <c r="AFW101"/>
      <c r="AFX101"/>
      <c r="AFY101"/>
      <c r="AFZ101"/>
      <c r="AGA101"/>
      <c r="AGB101"/>
      <c r="AGC101"/>
      <c r="AGD101"/>
      <c r="AGE101"/>
      <c r="AGF101"/>
      <c r="AGG101"/>
      <c r="AGH101"/>
      <c r="AGI101"/>
      <c r="AGJ101"/>
      <c r="AGK101"/>
      <c r="AGL101"/>
      <c r="AGM101"/>
      <c r="AGN101"/>
      <c r="AGO101"/>
      <c r="AGP101"/>
      <c r="AGQ101"/>
      <c r="AGR101"/>
      <c r="AGS101"/>
      <c r="AGT101"/>
      <c r="AGU101"/>
      <c r="AGV101"/>
      <c r="AGW101"/>
      <c r="AGX101"/>
      <c r="AGY101"/>
      <c r="AGZ101"/>
      <c r="AHA101"/>
      <c r="AHB101"/>
      <c r="AHC101"/>
      <c r="AHD101"/>
      <c r="AHE101"/>
      <c r="AHF101"/>
      <c r="AHG101"/>
      <c r="AHH101"/>
      <c r="AHI101"/>
      <c r="AHJ101"/>
      <c r="AHK101"/>
      <c r="AHL101"/>
      <c r="AHM101"/>
      <c r="AHN101"/>
      <c r="AHO101"/>
      <c r="AHP101"/>
      <c r="AHQ101"/>
      <c r="AHR101"/>
      <c r="AHS101"/>
      <c r="AHT101"/>
      <c r="AHU101"/>
      <c r="AHV101"/>
      <c r="AHW101"/>
      <c r="AHX101"/>
      <c r="AHY101"/>
      <c r="AHZ101"/>
      <c r="AIA101"/>
      <c r="AIB101"/>
      <c r="AIC101"/>
      <c r="AID101"/>
      <c r="AIE101"/>
      <c r="AIF101"/>
      <c r="AIG101"/>
      <c r="AIH101"/>
      <c r="AII101"/>
      <c r="AIJ101"/>
      <c r="AIK101"/>
      <c r="AIL101"/>
      <c r="AIM101"/>
      <c r="AIN101"/>
      <c r="AIO101"/>
      <c r="AIP101"/>
      <c r="AIQ101"/>
      <c r="AIR101"/>
      <c r="AIS101"/>
      <c r="AIT101"/>
      <c r="AIU101"/>
      <c r="AIV101"/>
      <c r="AIW101"/>
      <c r="AIX101"/>
      <c r="AIY101"/>
      <c r="AIZ101"/>
      <c r="AJA101"/>
      <c r="AJB101"/>
      <c r="AJC101"/>
      <c r="AJD101"/>
      <c r="AJE101"/>
      <c r="AJF101"/>
      <c r="AJG101"/>
      <c r="AJH101"/>
      <c r="AJI101"/>
      <c r="AJJ101"/>
      <c r="AJK101"/>
      <c r="AJL101"/>
      <c r="AJM101"/>
      <c r="AJN101"/>
      <c r="AJO101"/>
      <c r="AJP101"/>
      <c r="AJQ101"/>
      <c r="AJR101"/>
      <c r="AJS101"/>
      <c r="AJT101"/>
      <c r="AJU101"/>
      <c r="AJV101"/>
      <c r="AJW101"/>
      <c r="AJX101"/>
      <c r="AJY101"/>
      <c r="AJZ101"/>
      <c r="AKA101"/>
      <c r="AKB101"/>
      <c r="AKC101"/>
      <c r="AKD101"/>
      <c r="AKE101"/>
      <c r="AKF101"/>
      <c r="AKG101"/>
      <c r="AKH101"/>
      <c r="AKI101"/>
      <c r="AKJ101"/>
      <c r="AKK101"/>
      <c r="AKL101"/>
      <c r="AKM101"/>
      <c r="AKN101"/>
      <c r="AKO101"/>
      <c r="AKP101"/>
      <c r="AKQ101"/>
      <c r="AKR101"/>
      <c r="AKS101"/>
      <c r="AKT101"/>
      <c r="AKU101"/>
      <c r="AKV101"/>
      <c r="AKW101"/>
      <c r="AKX101"/>
      <c r="AKY101"/>
      <c r="AKZ101"/>
      <c r="ALA101"/>
      <c r="ALB101"/>
      <c r="ALC101"/>
      <c r="ALD101"/>
      <c r="ALE101"/>
      <c r="ALF101"/>
      <c r="ALG101"/>
      <c r="ALH101"/>
      <c r="ALI101"/>
      <c r="ALJ101"/>
      <c r="ALK101"/>
      <c r="ALL101"/>
      <c r="ALM101"/>
      <c r="ALN101"/>
      <c r="ALO101"/>
      <c r="ALP101"/>
      <c r="ALQ101"/>
      <c r="ALR101"/>
      <c r="ALS101"/>
      <c r="ALT101"/>
      <c r="ALU101"/>
      <c r="ALV101"/>
      <c r="ALW101"/>
      <c r="ALX101"/>
      <c r="ALY101"/>
      <c r="ALZ101"/>
      <c r="AMA101"/>
      <c r="AMB101"/>
      <c r="AMC101"/>
      <c r="AMD101"/>
      <c r="AME101"/>
      <c r="AMF101"/>
      <c r="AMG101"/>
      <c r="AMH101"/>
      <c r="AMI101"/>
      <c r="AMJ101"/>
    </row>
    <row r="102" spans="12:1024" ht="15.95" customHeight="1">
      <c r="L102"/>
      <c r="M102" s="108"/>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c r="WK102"/>
      <c r="WL102"/>
      <c r="WM102"/>
      <c r="WN102"/>
      <c r="WO102"/>
      <c r="WP102"/>
      <c r="WQ102"/>
      <c r="WR102"/>
      <c r="WS102"/>
      <c r="WT102"/>
      <c r="WU102"/>
      <c r="WV102"/>
      <c r="WW102"/>
      <c r="WX102"/>
      <c r="WY102"/>
      <c r="WZ102"/>
      <c r="XA102"/>
      <c r="XB102"/>
      <c r="XC102"/>
      <c r="XD102"/>
      <c r="XE102"/>
      <c r="XF102"/>
      <c r="XG102"/>
      <c r="XH102"/>
      <c r="XI102"/>
      <c r="XJ102"/>
      <c r="XK102"/>
      <c r="XL102"/>
      <c r="XM102"/>
      <c r="XN102"/>
      <c r="XO102"/>
      <c r="XP102"/>
      <c r="XQ102"/>
      <c r="XR102"/>
      <c r="XS102"/>
      <c r="XT102"/>
      <c r="XU102"/>
      <c r="XV102"/>
      <c r="XW102"/>
      <c r="XX102"/>
      <c r="XY102"/>
      <c r="XZ102"/>
      <c r="YA102"/>
      <c r="YB102"/>
      <c r="YC102"/>
      <c r="YD102"/>
      <c r="YE102"/>
      <c r="YF102"/>
      <c r="YG102"/>
      <c r="YH102"/>
      <c r="YI102"/>
      <c r="YJ102"/>
      <c r="YK102"/>
      <c r="YL102"/>
      <c r="YM102"/>
      <c r="YN102"/>
      <c r="YO102"/>
      <c r="YP102"/>
      <c r="YQ102"/>
      <c r="YR102"/>
      <c r="YS102"/>
      <c r="YT102"/>
      <c r="YU102"/>
      <c r="YV102"/>
      <c r="YW102"/>
      <c r="YX102"/>
      <c r="YY102"/>
      <c r="YZ102"/>
      <c r="ZA102"/>
      <c r="ZB102"/>
      <c r="ZC102"/>
      <c r="ZD102"/>
      <c r="ZE102"/>
      <c r="ZF102"/>
      <c r="ZG102"/>
      <c r="ZH102"/>
      <c r="ZI102"/>
      <c r="ZJ102"/>
      <c r="ZK102"/>
      <c r="ZL102"/>
      <c r="ZM102"/>
      <c r="ZN102"/>
      <c r="ZO102"/>
      <c r="ZP102"/>
      <c r="ZQ102"/>
      <c r="ZR102"/>
      <c r="ZS102"/>
      <c r="ZT102"/>
      <c r="ZU102"/>
      <c r="ZV102"/>
      <c r="ZW102"/>
      <c r="ZX102"/>
      <c r="ZY102"/>
      <c r="ZZ102"/>
      <c r="AAA102"/>
      <c r="AAB102"/>
      <c r="AAC102"/>
      <c r="AAD102"/>
      <c r="AAE102"/>
      <c r="AAF102"/>
      <c r="AAG102"/>
      <c r="AAH102"/>
      <c r="AAI102"/>
      <c r="AAJ102"/>
      <c r="AAK102"/>
      <c r="AAL102"/>
      <c r="AAM102"/>
      <c r="AAN102"/>
      <c r="AAO102"/>
      <c r="AAP102"/>
      <c r="AAQ102"/>
      <c r="AAR102"/>
      <c r="AAS102"/>
      <c r="AAT102"/>
      <c r="AAU102"/>
      <c r="AAV102"/>
      <c r="AAW102"/>
      <c r="AAX102"/>
      <c r="AAY102"/>
      <c r="AAZ102"/>
      <c r="ABA102"/>
      <c r="ABB102"/>
      <c r="ABC102"/>
      <c r="ABD102"/>
      <c r="ABE102"/>
      <c r="ABF102"/>
      <c r="ABG102"/>
      <c r="ABH102"/>
      <c r="ABI102"/>
      <c r="ABJ102"/>
      <c r="ABK102"/>
      <c r="ABL102"/>
      <c r="ABM102"/>
      <c r="ABN102"/>
      <c r="ABO102"/>
      <c r="ABP102"/>
      <c r="ABQ102"/>
      <c r="ABR102"/>
      <c r="ABS102"/>
      <c r="ABT102"/>
      <c r="ABU102"/>
      <c r="ABV102"/>
      <c r="ABW102"/>
      <c r="ABX102"/>
      <c r="ABY102"/>
      <c r="ABZ102"/>
      <c r="ACA102"/>
      <c r="ACB102"/>
      <c r="ACC102"/>
      <c r="ACD102"/>
      <c r="ACE102"/>
      <c r="ACF102"/>
      <c r="ACG102"/>
      <c r="ACH102"/>
      <c r="ACI102"/>
      <c r="ACJ102"/>
      <c r="ACK102"/>
      <c r="ACL102"/>
      <c r="ACM102"/>
      <c r="ACN102"/>
      <c r="ACO102"/>
      <c r="ACP102"/>
      <c r="ACQ102"/>
      <c r="ACR102"/>
      <c r="ACS102"/>
      <c r="ACT102"/>
      <c r="ACU102"/>
      <c r="ACV102"/>
      <c r="ACW102"/>
      <c r="ACX102"/>
      <c r="ACY102"/>
      <c r="ACZ102"/>
      <c r="ADA102"/>
      <c r="ADB102"/>
      <c r="ADC102"/>
      <c r="ADD102"/>
      <c r="ADE102"/>
      <c r="ADF102"/>
      <c r="ADG102"/>
      <c r="ADH102"/>
      <c r="ADI102"/>
      <c r="ADJ102"/>
      <c r="ADK102"/>
      <c r="ADL102"/>
      <c r="ADM102"/>
      <c r="ADN102"/>
      <c r="ADO102"/>
      <c r="ADP102"/>
      <c r="ADQ102"/>
      <c r="ADR102"/>
      <c r="ADS102"/>
      <c r="ADT102"/>
      <c r="ADU102"/>
      <c r="ADV102"/>
      <c r="ADW102"/>
      <c r="ADX102"/>
      <c r="ADY102"/>
      <c r="ADZ102"/>
      <c r="AEA102"/>
      <c r="AEB102"/>
      <c r="AEC102"/>
      <c r="AED102"/>
      <c r="AEE102"/>
      <c r="AEF102"/>
      <c r="AEG102"/>
      <c r="AEH102"/>
      <c r="AEI102"/>
      <c r="AEJ102"/>
      <c r="AEK102"/>
      <c r="AEL102"/>
      <c r="AEM102"/>
      <c r="AEN102"/>
      <c r="AEO102"/>
      <c r="AEP102"/>
      <c r="AEQ102"/>
      <c r="AER102"/>
      <c r="AES102"/>
      <c r="AET102"/>
      <c r="AEU102"/>
      <c r="AEV102"/>
      <c r="AEW102"/>
      <c r="AEX102"/>
      <c r="AEY102"/>
      <c r="AEZ102"/>
      <c r="AFA102"/>
      <c r="AFB102"/>
      <c r="AFC102"/>
      <c r="AFD102"/>
      <c r="AFE102"/>
      <c r="AFF102"/>
      <c r="AFG102"/>
      <c r="AFH102"/>
      <c r="AFI102"/>
      <c r="AFJ102"/>
      <c r="AFK102"/>
      <c r="AFL102"/>
      <c r="AFM102"/>
      <c r="AFN102"/>
      <c r="AFO102"/>
      <c r="AFP102"/>
      <c r="AFQ102"/>
      <c r="AFR102"/>
      <c r="AFS102"/>
      <c r="AFT102"/>
      <c r="AFU102"/>
      <c r="AFV102"/>
      <c r="AFW102"/>
      <c r="AFX102"/>
      <c r="AFY102"/>
      <c r="AFZ102"/>
      <c r="AGA102"/>
      <c r="AGB102"/>
      <c r="AGC102"/>
      <c r="AGD102"/>
      <c r="AGE102"/>
      <c r="AGF102"/>
      <c r="AGG102"/>
      <c r="AGH102"/>
      <c r="AGI102"/>
      <c r="AGJ102"/>
      <c r="AGK102"/>
      <c r="AGL102"/>
      <c r="AGM102"/>
      <c r="AGN102"/>
      <c r="AGO102"/>
      <c r="AGP102"/>
      <c r="AGQ102"/>
      <c r="AGR102"/>
      <c r="AGS102"/>
      <c r="AGT102"/>
      <c r="AGU102"/>
      <c r="AGV102"/>
      <c r="AGW102"/>
      <c r="AGX102"/>
      <c r="AGY102"/>
      <c r="AGZ102"/>
      <c r="AHA102"/>
      <c r="AHB102"/>
      <c r="AHC102"/>
      <c r="AHD102"/>
      <c r="AHE102"/>
      <c r="AHF102"/>
      <c r="AHG102"/>
      <c r="AHH102"/>
      <c r="AHI102"/>
      <c r="AHJ102"/>
      <c r="AHK102"/>
      <c r="AHL102"/>
      <c r="AHM102"/>
      <c r="AHN102"/>
      <c r="AHO102"/>
      <c r="AHP102"/>
      <c r="AHQ102"/>
      <c r="AHR102"/>
      <c r="AHS102"/>
      <c r="AHT102"/>
      <c r="AHU102"/>
      <c r="AHV102"/>
      <c r="AHW102"/>
      <c r="AHX102"/>
      <c r="AHY102"/>
      <c r="AHZ102"/>
      <c r="AIA102"/>
      <c r="AIB102"/>
      <c r="AIC102"/>
      <c r="AID102"/>
      <c r="AIE102"/>
      <c r="AIF102"/>
      <c r="AIG102"/>
      <c r="AIH102"/>
      <c r="AII102"/>
      <c r="AIJ102"/>
      <c r="AIK102"/>
      <c r="AIL102"/>
      <c r="AIM102"/>
      <c r="AIN102"/>
      <c r="AIO102"/>
      <c r="AIP102"/>
      <c r="AIQ102"/>
      <c r="AIR102"/>
      <c r="AIS102"/>
      <c r="AIT102"/>
      <c r="AIU102"/>
      <c r="AIV102"/>
      <c r="AIW102"/>
      <c r="AIX102"/>
      <c r="AIY102"/>
      <c r="AIZ102"/>
      <c r="AJA102"/>
      <c r="AJB102"/>
      <c r="AJC102"/>
      <c r="AJD102"/>
      <c r="AJE102"/>
      <c r="AJF102"/>
      <c r="AJG102"/>
      <c r="AJH102"/>
      <c r="AJI102"/>
      <c r="AJJ102"/>
      <c r="AJK102"/>
      <c r="AJL102"/>
      <c r="AJM102"/>
      <c r="AJN102"/>
      <c r="AJO102"/>
      <c r="AJP102"/>
      <c r="AJQ102"/>
      <c r="AJR102"/>
      <c r="AJS102"/>
      <c r="AJT102"/>
      <c r="AJU102"/>
      <c r="AJV102"/>
      <c r="AJW102"/>
      <c r="AJX102"/>
      <c r="AJY102"/>
      <c r="AJZ102"/>
      <c r="AKA102"/>
      <c r="AKB102"/>
      <c r="AKC102"/>
      <c r="AKD102"/>
      <c r="AKE102"/>
      <c r="AKF102"/>
      <c r="AKG102"/>
      <c r="AKH102"/>
      <c r="AKI102"/>
      <c r="AKJ102"/>
      <c r="AKK102"/>
      <c r="AKL102"/>
      <c r="AKM102"/>
      <c r="AKN102"/>
      <c r="AKO102"/>
      <c r="AKP102"/>
      <c r="AKQ102"/>
      <c r="AKR102"/>
      <c r="AKS102"/>
      <c r="AKT102"/>
      <c r="AKU102"/>
      <c r="AKV102"/>
      <c r="AKW102"/>
      <c r="AKX102"/>
      <c r="AKY102"/>
      <c r="AKZ102"/>
      <c r="ALA102"/>
      <c r="ALB102"/>
      <c r="ALC102"/>
      <c r="ALD102"/>
      <c r="ALE102"/>
      <c r="ALF102"/>
      <c r="ALG102"/>
      <c r="ALH102"/>
      <c r="ALI102"/>
      <c r="ALJ102"/>
      <c r="ALK102"/>
      <c r="ALL102"/>
      <c r="ALM102"/>
      <c r="ALN102"/>
      <c r="ALO102"/>
      <c r="ALP102"/>
      <c r="ALQ102"/>
      <c r="ALR102"/>
      <c r="ALS102"/>
      <c r="ALT102"/>
      <c r="ALU102"/>
      <c r="ALV102"/>
      <c r="ALW102"/>
      <c r="ALX102"/>
      <c r="ALY102"/>
      <c r="ALZ102"/>
      <c r="AMA102"/>
      <c r="AMB102"/>
      <c r="AMC102"/>
      <c r="AMD102"/>
      <c r="AME102"/>
      <c r="AMF102"/>
      <c r="AMG102"/>
      <c r="AMH102"/>
      <c r="AMI102"/>
      <c r="AMJ102"/>
    </row>
    <row r="103" spans="12:1024" ht="20.25" customHeight="1">
      <c r="L103"/>
      <c r="M103" s="108"/>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c r="PW103"/>
      <c r="PX103"/>
      <c r="PY103"/>
      <c r="PZ103"/>
      <c r="QA103"/>
      <c r="QB103"/>
      <c r="QC103"/>
      <c r="QD103"/>
      <c r="QE103"/>
      <c r="QF103"/>
      <c r="QG103"/>
      <c r="QH103"/>
      <c r="QI103"/>
      <c r="QJ103"/>
      <c r="QK103"/>
      <c r="QL103"/>
      <c r="QM103"/>
      <c r="QN103"/>
      <c r="QO103"/>
      <c r="QP103"/>
      <c r="QQ103"/>
      <c r="QR103"/>
      <c r="QS103"/>
      <c r="QT103"/>
      <c r="QU103"/>
      <c r="QV103"/>
      <c r="QW103"/>
      <c r="QX103"/>
      <c r="QY103"/>
      <c r="QZ103"/>
      <c r="RA103"/>
      <c r="RB103"/>
      <c r="RC103"/>
      <c r="RD103"/>
      <c r="RE103"/>
      <c r="RF103"/>
      <c r="RG103"/>
      <c r="RH103"/>
      <c r="RI103"/>
      <c r="RJ103"/>
      <c r="RK103"/>
      <c r="RL103"/>
      <c r="RM103"/>
      <c r="RN103"/>
      <c r="RO103"/>
      <c r="RP103"/>
      <c r="RQ103"/>
      <c r="RR103"/>
      <c r="RS103"/>
      <c r="RT103"/>
      <c r="RU103"/>
      <c r="RV103"/>
      <c r="RW103"/>
      <c r="RX103"/>
      <c r="RY103"/>
      <c r="RZ103"/>
      <c r="SA103"/>
      <c r="SB103"/>
      <c r="SC103"/>
      <c r="SD103"/>
      <c r="SE103"/>
      <c r="SF103"/>
      <c r="SG103"/>
      <c r="SH103"/>
      <c r="SI103"/>
      <c r="SJ103"/>
      <c r="SK103"/>
      <c r="SL103"/>
      <c r="SM103"/>
      <c r="SN103"/>
      <c r="SO103"/>
      <c r="SP103"/>
      <c r="SQ103"/>
      <c r="SR103"/>
      <c r="SS103"/>
      <c r="ST103"/>
      <c r="SU103"/>
      <c r="SV103"/>
      <c r="SW103"/>
      <c r="SX103"/>
      <c r="SY103"/>
      <c r="SZ103"/>
      <c r="TA103"/>
      <c r="TB103"/>
      <c r="TC103"/>
      <c r="TD103"/>
      <c r="TE103"/>
      <c r="TF103"/>
      <c r="TG103"/>
      <c r="TH103"/>
      <c r="TI103"/>
      <c r="TJ103"/>
      <c r="TK103"/>
      <c r="TL103"/>
      <c r="TM103"/>
      <c r="TN103"/>
      <c r="TO103"/>
      <c r="TP103"/>
      <c r="TQ103"/>
      <c r="TR103"/>
      <c r="TS103"/>
      <c r="TT103"/>
      <c r="TU103"/>
      <c r="TV103"/>
      <c r="TW103"/>
      <c r="TX103"/>
      <c r="TY103"/>
      <c r="TZ103"/>
      <c r="UA103"/>
      <c r="UB103"/>
      <c r="UC103"/>
      <c r="UD103"/>
      <c r="UE103"/>
      <c r="UF103"/>
      <c r="UG103"/>
      <c r="UH103"/>
      <c r="UI103"/>
      <c r="UJ103"/>
      <c r="UK103"/>
      <c r="UL103"/>
      <c r="UM103"/>
      <c r="UN103"/>
      <c r="UO103"/>
      <c r="UP103"/>
      <c r="UQ103"/>
      <c r="UR103"/>
      <c r="US103"/>
      <c r="UT103"/>
      <c r="UU103"/>
      <c r="UV103"/>
      <c r="UW103"/>
      <c r="UX103"/>
      <c r="UY103"/>
      <c r="UZ103"/>
      <c r="VA103"/>
      <c r="VB103"/>
      <c r="VC103"/>
      <c r="VD103"/>
      <c r="VE103"/>
      <c r="VF103"/>
      <c r="VG103"/>
      <c r="VH103"/>
      <c r="VI103"/>
      <c r="VJ103"/>
      <c r="VK103"/>
      <c r="VL103"/>
      <c r="VM103"/>
      <c r="VN103"/>
      <c r="VO103"/>
      <c r="VP103"/>
      <c r="VQ103"/>
      <c r="VR103"/>
      <c r="VS103"/>
      <c r="VT103"/>
      <c r="VU103"/>
      <c r="VV103"/>
      <c r="VW103"/>
      <c r="VX103"/>
      <c r="VY103"/>
      <c r="VZ103"/>
      <c r="WA103"/>
      <c r="WB103"/>
      <c r="WC103"/>
      <c r="WD103"/>
      <c r="WE103"/>
      <c r="WF103"/>
      <c r="WG103"/>
      <c r="WH103"/>
      <c r="WI103"/>
      <c r="WJ103"/>
      <c r="WK103"/>
      <c r="WL103"/>
      <c r="WM103"/>
      <c r="WN103"/>
      <c r="WO103"/>
      <c r="WP103"/>
      <c r="WQ103"/>
      <c r="WR103"/>
      <c r="WS103"/>
      <c r="WT103"/>
      <c r="WU103"/>
      <c r="WV103"/>
      <c r="WW103"/>
      <c r="WX103"/>
      <c r="WY103"/>
      <c r="WZ103"/>
      <c r="XA103"/>
      <c r="XB103"/>
      <c r="XC103"/>
      <c r="XD103"/>
      <c r="XE103"/>
      <c r="XF103"/>
      <c r="XG103"/>
      <c r="XH103"/>
      <c r="XI103"/>
      <c r="XJ103"/>
      <c r="XK103"/>
      <c r="XL103"/>
      <c r="XM103"/>
      <c r="XN103"/>
      <c r="XO103"/>
      <c r="XP103"/>
      <c r="XQ103"/>
      <c r="XR103"/>
      <c r="XS103"/>
      <c r="XT103"/>
      <c r="XU103"/>
      <c r="XV103"/>
      <c r="XW103"/>
      <c r="XX103"/>
      <c r="XY103"/>
      <c r="XZ103"/>
      <c r="YA103"/>
      <c r="YB103"/>
      <c r="YC103"/>
      <c r="YD103"/>
      <c r="YE103"/>
      <c r="YF103"/>
      <c r="YG103"/>
      <c r="YH103"/>
      <c r="YI103"/>
      <c r="YJ103"/>
      <c r="YK103"/>
      <c r="YL103"/>
      <c r="YM103"/>
      <c r="YN103"/>
      <c r="YO103"/>
      <c r="YP103"/>
      <c r="YQ103"/>
      <c r="YR103"/>
      <c r="YS103"/>
      <c r="YT103"/>
      <c r="YU103"/>
      <c r="YV103"/>
      <c r="YW103"/>
      <c r="YX103"/>
      <c r="YY103"/>
      <c r="YZ103"/>
      <c r="ZA103"/>
      <c r="ZB103"/>
      <c r="ZC103"/>
      <c r="ZD103"/>
      <c r="ZE103"/>
      <c r="ZF103"/>
      <c r="ZG103"/>
      <c r="ZH103"/>
      <c r="ZI103"/>
      <c r="ZJ103"/>
      <c r="ZK103"/>
      <c r="ZL103"/>
      <c r="ZM103"/>
      <c r="ZN103"/>
      <c r="ZO103"/>
      <c r="ZP103"/>
      <c r="ZQ103"/>
      <c r="ZR103"/>
      <c r="ZS103"/>
      <c r="ZT103"/>
      <c r="ZU103"/>
      <c r="ZV103"/>
      <c r="ZW103"/>
      <c r="ZX103"/>
      <c r="ZY103"/>
      <c r="ZZ103"/>
      <c r="AAA103"/>
      <c r="AAB103"/>
      <c r="AAC103"/>
      <c r="AAD103"/>
      <c r="AAE103"/>
      <c r="AAF103"/>
      <c r="AAG103"/>
      <c r="AAH103"/>
      <c r="AAI103"/>
      <c r="AAJ103"/>
      <c r="AAK103"/>
      <c r="AAL103"/>
      <c r="AAM103"/>
      <c r="AAN103"/>
      <c r="AAO103"/>
      <c r="AAP103"/>
      <c r="AAQ103"/>
      <c r="AAR103"/>
      <c r="AAS103"/>
      <c r="AAT103"/>
      <c r="AAU103"/>
      <c r="AAV103"/>
      <c r="AAW103"/>
      <c r="AAX103"/>
      <c r="AAY103"/>
      <c r="AAZ103"/>
      <c r="ABA103"/>
      <c r="ABB103"/>
      <c r="ABC103"/>
      <c r="ABD103"/>
      <c r="ABE103"/>
      <c r="ABF103"/>
      <c r="ABG103"/>
      <c r="ABH103"/>
      <c r="ABI103"/>
      <c r="ABJ103"/>
      <c r="ABK103"/>
      <c r="ABL103"/>
      <c r="ABM103"/>
      <c r="ABN103"/>
      <c r="ABO103"/>
      <c r="ABP103"/>
      <c r="ABQ103"/>
      <c r="ABR103"/>
      <c r="ABS103"/>
      <c r="ABT103"/>
      <c r="ABU103"/>
      <c r="ABV103"/>
      <c r="ABW103"/>
      <c r="ABX103"/>
      <c r="ABY103"/>
      <c r="ABZ103"/>
      <c r="ACA103"/>
      <c r="ACB103"/>
      <c r="ACC103"/>
      <c r="ACD103"/>
      <c r="ACE103"/>
      <c r="ACF103"/>
      <c r="ACG103"/>
      <c r="ACH103"/>
      <c r="ACI103"/>
      <c r="ACJ103"/>
      <c r="ACK103"/>
      <c r="ACL103"/>
      <c r="ACM103"/>
      <c r="ACN103"/>
      <c r="ACO103"/>
      <c r="ACP103"/>
      <c r="ACQ103"/>
      <c r="ACR103"/>
      <c r="ACS103"/>
      <c r="ACT103"/>
      <c r="ACU103"/>
      <c r="ACV103"/>
      <c r="ACW103"/>
      <c r="ACX103"/>
      <c r="ACY103"/>
      <c r="ACZ103"/>
      <c r="ADA103"/>
      <c r="ADB103"/>
      <c r="ADC103"/>
      <c r="ADD103"/>
      <c r="ADE103"/>
      <c r="ADF103"/>
      <c r="ADG103"/>
      <c r="ADH103"/>
      <c r="ADI103"/>
      <c r="ADJ103"/>
      <c r="ADK103"/>
      <c r="ADL103"/>
      <c r="ADM103"/>
      <c r="ADN103"/>
      <c r="ADO103"/>
      <c r="ADP103"/>
      <c r="ADQ103"/>
      <c r="ADR103"/>
      <c r="ADS103"/>
      <c r="ADT103"/>
      <c r="ADU103"/>
      <c r="ADV103"/>
      <c r="ADW103"/>
      <c r="ADX103"/>
      <c r="ADY103"/>
      <c r="ADZ103"/>
      <c r="AEA103"/>
      <c r="AEB103"/>
      <c r="AEC103"/>
      <c r="AED103"/>
      <c r="AEE103"/>
      <c r="AEF103"/>
      <c r="AEG103"/>
      <c r="AEH103"/>
      <c r="AEI103"/>
      <c r="AEJ103"/>
      <c r="AEK103"/>
      <c r="AEL103"/>
      <c r="AEM103"/>
      <c r="AEN103"/>
      <c r="AEO103"/>
      <c r="AEP103"/>
      <c r="AEQ103"/>
      <c r="AER103"/>
      <c r="AES103"/>
      <c r="AET103"/>
      <c r="AEU103"/>
      <c r="AEV103"/>
      <c r="AEW103"/>
      <c r="AEX103"/>
      <c r="AEY103"/>
      <c r="AEZ103"/>
      <c r="AFA103"/>
      <c r="AFB103"/>
      <c r="AFC103"/>
      <c r="AFD103"/>
      <c r="AFE103"/>
      <c r="AFF103"/>
      <c r="AFG103"/>
      <c r="AFH103"/>
      <c r="AFI103"/>
      <c r="AFJ103"/>
      <c r="AFK103"/>
      <c r="AFL103"/>
      <c r="AFM103"/>
      <c r="AFN103"/>
      <c r="AFO103"/>
      <c r="AFP103"/>
      <c r="AFQ103"/>
      <c r="AFR103"/>
      <c r="AFS103"/>
      <c r="AFT103"/>
      <c r="AFU103"/>
      <c r="AFV103"/>
      <c r="AFW103"/>
      <c r="AFX103"/>
      <c r="AFY103"/>
      <c r="AFZ103"/>
      <c r="AGA103"/>
      <c r="AGB103"/>
      <c r="AGC103"/>
      <c r="AGD103"/>
      <c r="AGE103"/>
      <c r="AGF103"/>
      <c r="AGG103"/>
      <c r="AGH103"/>
      <c r="AGI103"/>
      <c r="AGJ103"/>
      <c r="AGK103"/>
      <c r="AGL103"/>
      <c r="AGM103"/>
      <c r="AGN103"/>
      <c r="AGO103"/>
      <c r="AGP103"/>
      <c r="AGQ103"/>
      <c r="AGR103"/>
      <c r="AGS103"/>
      <c r="AGT103"/>
      <c r="AGU103"/>
      <c r="AGV103"/>
      <c r="AGW103"/>
      <c r="AGX103"/>
      <c r="AGY103"/>
      <c r="AGZ103"/>
      <c r="AHA103"/>
      <c r="AHB103"/>
      <c r="AHC103"/>
      <c r="AHD103"/>
      <c r="AHE103"/>
      <c r="AHF103"/>
      <c r="AHG103"/>
      <c r="AHH103"/>
      <c r="AHI103"/>
      <c r="AHJ103"/>
      <c r="AHK103"/>
      <c r="AHL103"/>
      <c r="AHM103"/>
      <c r="AHN103"/>
      <c r="AHO103"/>
      <c r="AHP103"/>
      <c r="AHQ103"/>
      <c r="AHR103"/>
      <c r="AHS103"/>
      <c r="AHT103"/>
      <c r="AHU103"/>
      <c r="AHV103"/>
      <c r="AHW103"/>
      <c r="AHX103"/>
      <c r="AHY103"/>
      <c r="AHZ103"/>
      <c r="AIA103"/>
      <c r="AIB103"/>
      <c r="AIC103"/>
      <c r="AID103"/>
      <c r="AIE103"/>
      <c r="AIF103"/>
      <c r="AIG103"/>
      <c r="AIH103"/>
      <c r="AII103"/>
      <c r="AIJ103"/>
      <c r="AIK103"/>
      <c r="AIL103"/>
      <c r="AIM103"/>
      <c r="AIN103"/>
      <c r="AIO103"/>
      <c r="AIP103"/>
      <c r="AIQ103"/>
      <c r="AIR103"/>
      <c r="AIS103"/>
      <c r="AIT103"/>
      <c r="AIU103"/>
      <c r="AIV103"/>
      <c r="AIW103"/>
      <c r="AIX103"/>
      <c r="AIY103"/>
      <c r="AIZ103"/>
      <c r="AJA103"/>
      <c r="AJB103"/>
      <c r="AJC103"/>
      <c r="AJD103"/>
      <c r="AJE103"/>
      <c r="AJF103"/>
      <c r="AJG103"/>
      <c r="AJH103"/>
      <c r="AJI103"/>
      <c r="AJJ103"/>
      <c r="AJK103"/>
      <c r="AJL103"/>
      <c r="AJM103"/>
      <c r="AJN103"/>
      <c r="AJO103"/>
      <c r="AJP103"/>
      <c r="AJQ103"/>
      <c r="AJR103"/>
      <c r="AJS103"/>
      <c r="AJT103"/>
      <c r="AJU103"/>
      <c r="AJV103"/>
      <c r="AJW103"/>
      <c r="AJX103"/>
      <c r="AJY103"/>
      <c r="AJZ103"/>
      <c r="AKA103"/>
      <c r="AKB103"/>
      <c r="AKC103"/>
      <c r="AKD103"/>
      <c r="AKE103"/>
      <c r="AKF103"/>
      <c r="AKG103"/>
      <c r="AKH103"/>
      <c r="AKI103"/>
      <c r="AKJ103"/>
      <c r="AKK103"/>
      <c r="AKL103"/>
      <c r="AKM103"/>
      <c r="AKN103"/>
      <c r="AKO103"/>
      <c r="AKP103"/>
      <c r="AKQ103"/>
      <c r="AKR103"/>
      <c r="AKS103"/>
      <c r="AKT103"/>
      <c r="AKU103"/>
      <c r="AKV103"/>
      <c r="AKW103"/>
      <c r="AKX103"/>
      <c r="AKY103"/>
      <c r="AKZ103"/>
      <c r="ALA103"/>
      <c r="ALB103"/>
      <c r="ALC103"/>
      <c r="ALD103"/>
      <c r="ALE103"/>
      <c r="ALF103"/>
      <c r="ALG103"/>
      <c r="ALH103"/>
      <c r="ALI103"/>
      <c r="ALJ103"/>
      <c r="ALK103"/>
      <c r="ALL103"/>
      <c r="ALM103"/>
      <c r="ALN103"/>
      <c r="ALO103"/>
      <c r="ALP103"/>
      <c r="ALQ103"/>
      <c r="ALR103"/>
      <c r="ALS103"/>
      <c r="ALT103"/>
      <c r="ALU103"/>
      <c r="ALV103"/>
      <c r="ALW103"/>
      <c r="ALX103"/>
      <c r="ALY103"/>
      <c r="ALZ103"/>
      <c r="AMA103"/>
      <c r="AMB103"/>
      <c r="AMC103"/>
      <c r="AMD103"/>
      <c r="AME103"/>
      <c r="AMF103"/>
      <c r="AMG103"/>
      <c r="AMH103"/>
      <c r="AMI103"/>
      <c r="AMJ103"/>
    </row>
  </sheetData>
  <mergeCells count="65">
    <mergeCell ref="A53:I53"/>
    <mergeCell ref="J53:K53"/>
    <mergeCell ref="A54:I54"/>
    <mergeCell ref="J54:K54"/>
    <mergeCell ref="C47:G47"/>
    <mergeCell ref="C48:G48"/>
    <mergeCell ref="C49:G49"/>
    <mergeCell ref="C50:G50"/>
    <mergeCell ref="C51:G51"/>
    <mergeCell ref="C52:G52"/>
    <mergeCell ref="C46:G46"/>
    <mergeCell ref="C35:G35"/>
    <mergeCell ref="C36:G36"/>
    <mergeCell ref="C37:G37"/>
    <mergeCell ref="C38:G38"/>
    <mergeCell ref="C39:G39"/>
    <mergeCell ref="C40:G40"/>
    <mergeCell ref="C41:G41"/>
    <mergeCell ref="C42:G42"/>
    <mergeCell ref="C43:G43"/>
    <mergeCell ref="C44:G44"/>
    <mergeCell ref="C45:G45"/>
    <mergeCell ref="C34:G34"/>
    <mergeCell ref="C23:G23"/>
    <mergeCell ref="C24:G24"/>
    <mergeCell ref="C25:G25"/>
    <mergeCell ref="C26:G26"/>
    <mergeCell ref="C27:G27"/>
    <mergeCell ref="C28:G28"/>
    <mergeCell ref="C29:G29"/>
    <mergeCell ref="C30:G30"/>
    <mergeCell ref="C31:G31"/>
    <mergeCell ref="C32:G32"/>
    <mergeCell ref="C33:G33"/>
    <mergeCell ref="C22:G22"/>
    <mergeCell ref="K10:K11"/>
    <mergeCell ref="C12:G12"/>
    <mergeCell ref="C13:G13"/>
    <mergeCell ref="C14:G14"/>
    <mergeCell ref="C15:G15"/>
    <mergeCell ref="C16:G16"/>
    <mergeCell ref="J10:J11"/>
    <mergeCell ref="C17:G17"/>
    <mergeCell ref="C18:G18"/>
    <mergeCell ref="C19:G19"/>
    <mergeCell ref="C20:G20"/>
    <mergeCell ref="C21:G21"/>
    <mergeCell ref="A10:A11"/>
    <mergeCell ref="B10:B11"/>
    <mergeCell ref="C10:G11"/>
    <mergeCell ref="H10:H11"/>
    <mergeCell ref="I10:I11"/>
    <mergeCell ref="A6:C6"/>
    <mergeCell ref="D6:K6"/>
    <mergeCell ref="A7:C7"/>
    <mergeCell ref="D7:K7"/>
    <mergeCell ref="A8:C8"/>
    <mergeCell ref="D8:K8"/>
    <mergeCell ref="A5:C5"/>
    <mergeCell ref="D5:K5"/>
    <mergeCell ref="A1:I1"/>
    <mergeCell ref="A3:C3"/>
    <mergeCell ref="D3:K3"/>
    <mergeCell ref="A4:C4"/>
    <mergeCell ref="D4:K4"/>
  </mergeCells>
  <conditionalFormatting sqref="C26:C45">
    <cfRule type="duplicateValues" dxfId="75" priority="44"/>
  </conditionalFormatting>
  <conditionalFormatting sqref="C46">
    <cfRule type="duplicateValues" dxfId="74" priority="42"/>
  </conditionalFormatting>
  <conditionalFormatting sqref="C24:C25">
    <cfRule type="duplicateValues" dxfId="73" priority="35"/>
  </conditionalFormatting>
  <conditionalFormatting sqref="C14:C15 C40">
    <cfRule type="duplicateValues" dxfId="72" priority="34"/>
  </conditionalFormatting>
  <conditionalFormatting sqref="C16:C18">
    <cfRule type="duplicateValues" dxfId="71" priority="31"/>
  </conditionalFormatting>
  <conditionalFormatting sqref="C19:C20">
    <cfRule type="duplicateValues" dxfId="70" priority="29"/>
  </conditionalFormatting>
  <conditionalFormatting sqref="C21:C23">
    <cfRule type="duplicateValues" dxfId="69" priority="26"/>
  </conditionalFormatting>
  <conditionalFormatting sqref="C26:C28">
    <cfRule type="duplicateValues" dxfId="68" priority="22"/>
  </conditionalFormatting>
  <conditionalFormatting sqref="C29:C39">
    <cfRule type="duplicateValues" dxfId="67" priority="20"/>
  </conditionalFormatting>
  <conditionalFormatting sqref="C49">
    <cfRule type="duplicateValues" dxfId="66" priority="17"/>
  </conditionalFormatting>
  <conditionalFormatting sqref="C44:C48">
    <cfRule type="duplicateValues" dxfId="65" priority="15"/>
  </conditionalFormatting>
  <conditionalFormatting sqref="C43">
    <cfRule type="duplicateValues" dxfId="64" priority="12"/>
  </conditionalFormatting>
  <conditionalFormatting sqref="C41:C42">
    <cfRule type="duplicateValues" dxfId="63" priority="9"/>
  </conditionalFormatting>
  <conditionalFormatting sqref="C12:C49">
    <cfRule type="duplicateValues" dxfId="62" priority="6"/>
  </conditionalFormatting>
  <conditionalFormatting sqref="C12:C13">
    <cfRule type="duplicateValues" dxfId="61" priority="5"/>
  </conditionalFormatting>
  <conditionalFormatting sqref="C12:C49">
    <cfRule type="duplicateValues" dxfId="60" priority="1"/>
    <cfRule type="duplicateValues" dxfId="59" priority="2"/>
  </conditionalFormatting>
  <conditionalFormatting sqref="C12:C52">
    <cfRule type="duplicateValues" dxfId="58" priority="47"/>
  </conditionalFormatting>
  <conditionalFormatting sqref="C12:C25 C47:C52">
    <cfRule type="duplicateValues" dxfId="57" priority="50"/>
  </conditionalFormatting>
  <conditionalFormatting sqref="C12:C45 C47:C52">
    <cfRule type="duplicateValues" dxfId="56" priority="52"/>
  </conditionalFormatting>
  <conditionalFormatting sqref="C12:C52">
    <cfRule type="duplicateValues" dxfId="55" priority="54"/>
  </conditionalFormatting>
  <conditionalFormatting sqref="C12:C52">
    <cfRule type="duplicateValues" dxfId="54" priority="55"/>
    <cfRule type="duplicateValues" dxfId="53" priority="56"/>
  </conditionalFormatting>
  <printOptions horizontalCentered="1"/>
  <pageMargins left="0.19685039370078741" right="0.19685039370078741" top="0.39370078740157483" bottom="0.59055118110236227" header="0.51181102362204722" footer="0.51181102362204722"/>
  <pageSetup paperSize="5" scale="90" firstPageNumber="0"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R27"/>
  <sheetViews>
    <sheetView topLeftCell="A10" workbookViewId="0">
      <selection activeCell="A23" sqref="A23:P23"/>
    </sheetView>
  </sheetViews>
  <sheetFormatPr baseColWidth="10" defaultColWidth="11" defaultRowHeight="12.75"/>
  <cols>
    <col min="1" max="5" width="4.42578125" customWidth="1"/>
    <col min="6" max="6" width="5.5703125" customWidth="1"/>
    <col min="7" max="7" width="4.42578125" style="111" customWidth="1"/>
    <col min="8" max="14" width="4.42578125" customWidth="1"/>
    <col min="15" max="16" width="14.85546875" customWidth="1"/>
    <col min="17" max="17" width="14.7109375" customWidth="1"/>
  </cols>
  <sheetData>
    <row r="1" spans="1:17" ht="15.75" customHeight="1" thickBot="1">
      <c r="A1" s="202" t="s">
        <v>2</v>
      </c>
      <c r="B1" s="202"/>
      <c r="C1" s="202"/>
      <c r="D1" s="203">
        <v>2021</v>
      </c>
      <c r="E1" s="203"/>
      <c r="F1" s="109"/>
      <c r="G1" s="109"/>
      <c r="H1" s="110"/>
      <c r="I1" s="110"/>
      <c r="J1" s="110"/>
      <c r="K1" s="110"/>
      <c r="L1" s="110"/>
      <c r="M1" s="110"/>
      <c r="N1" s="110"/>
      <c r="P1" s="204" t="s">
        <v>218</v>
      </c>
      <c r="Q1" s="204"/>
    </row>
    <row r="2" spans="1:17" ht="15.75" customHeight="1" thickBot="1">
      <c r="H2" s="110"/>
      <c r="I2" s="110"/>
      <c r="J2" s="110"/>
      <c r="K2" s="110"/>
      <c r="L2" s="110"/>
      <c r="M2" s="110"/>
      <c r="N2" s="110"/>
      <c r="P2" s="204"/>
      <c r="Q2" s="204"/>
    </row>
    <row r="4" spans="1:17" s="112" customFormat="1" ht="18" customHeight="1" thickBot="1">
      <c r="A4" s="205" t="s">
        <v>219</v>
      </c>
      <c r="B4" s="205"/>
      <c r="C4" s="205"/>
      <c r="D4" s="205"/>
      <c r="E4" s="205"/>
      <c r="F4" s="205"/>
      <c r="G4" s="201" t="s">
        <v>204</v>
      </c>
      <c r="H4" s="201"/>
      <c r="I4" s="201"/>
      <c r="J4" s="201"/>
      <c r="K4" s="201"/>
      <c r="L4" s="201"/>
      <c r="M4" s="201"/>
      <c r="N4" s="201"/>
      <c r="O4" s="201"/>
      <c r="P4" s="201"/>
      <c r="Q4" s="201"/>
    </row>
    <row r="5" spans="1:17" s="112" customFormat="1" ht="18" customHeight="1" thickBot="1">
      <c r="A5" s="198" t="s">
        <v>205</v>
      </c>
      <c r="B5" s="199"/>
      <c r="C5" s="199"/>
      <c r="D5" s="199"/>
      <c r="E5" s="199"/>
      <c r="F5" s="200"/>
      <c r="G5" s="201" t="s">
        <v>220</v>
      </c>
      <c r="H5" s="201"/>
      <c r="I5" s="201"/>
      <c r="J5" s="201"/>
      <c r="K5" s="201"/>
      <c r="L5" s="201"/>
      <c r="M5" s="201"/>
      <c r="N5" s="201"/>
      <c r="O5" s="201"/>
      <c r="P5" s="201"/>
      <c r="Q5" s="201"/>
    </row>
    <row r="6" spans="1:17" s="112" customFormat="1" ht="18" customHeight="1" thickBot="1">
      <c r="A6" s="198" t="s">
        <v>207</v>
      </c>
      <c r="B6" s="199"/>
      <c r="C6" s="199"/>
      <c r="D6" s="199"/>
      <c r="E6" s="199"/>
      <c r="F6" s="200"/>
      <c r="G6" s="201" t="s">
        <v>245</v>
      </c>
      <c r="H6" s="201"/>
      <c r="I6" s="201"/>
      <c r="J6" s="201"/>
      <c r="K6" s="201"/>
      <c r="L6" s="201"/>
      <c r="M6" s="201"/>
      <c r="N6" s="201"/>
      <c r="O6" s="201"/>
      <c r="P6" s="201"/>
      <c r="Q6" s="201"/>
    </row>
    <row r="7" spans="1:17" s="112" customFormat="1" ht="18" customHeight="1" thickBot="1">
      <c r="A7" s="198" t="s">
        <v>208</v>
      </c>
      <c r="B7" s="199"/>
      <c r="C7" s="199"/>
      <c r="D7" s="199"/>
      <c r="E7" s="199"/>
      <c r="F7" s="200"/>
      <c r="G7" s="201" t="s">
        <v>245</v>
      </c>
      <c r="H7" s="201"/>
      <c r="I7" s="201"/>
      <c r="J7" s="201"/>
      <c r="K7" s="201"/>
      <c r="L7" s="201"/>
      <c r="M7" s="201"/>
      <c r="N7" s="201"/>
      <c r="O7" s="201"/>
      <c r="P7" s="201"/>
      <c r="Q7" s="201"/>
    </row>
    <row r="8" spans="1:17" ht="18" customHeight="1" thickBot="1">
      <c r="A8" s="208" t="s">
        <v>221</v>
      </c>
      <c r="B8" s="208"/>
      <c r="C8" s="208"/>
      <c r="D8" s="208"/>
      <c r="E8" s="208"/>
      <c r="F8" s="208"/>
      <c r="G8" s="208"/>
      <c r="H8" s="208"/>
      <c r="I8" s="208"/>
      <c r="J8" s="208"/>
      <c r="K8" s="208"/>
      <c r="L8" s="208"/>
      <c r="M8" s="208"/>
      <c r="N8" s="208"/>
      <c r="O8" s="208"/>
      <c r="P8" s="208"/>
      <c r="Q8" s="208"/>
    </row>
    <row r="9" spans="1:17" ht="18" customHeight="1">
      <c r="A9" s="209" t="s">
        <v>222</v>
      </c>
      <c r="B9" s="209"/>
      <c r="C9" s="209"/>
      <c r="D9" s="209"/>
      <c r="E9" s="209"/>
      <c r="F9" s="209"/>
      <c r="G9" s="209"/>
      <c r="H9" s="209"/>
      <c r="I9" s="209"/>
      <c r="J9" s="209"/>
      <c r="K9" s="209"/>
      <c r="L9" s="209"/>
      <c r="M9" s="209"/>
      <c r="N9" s="209"/>
      <c r="O9" s="113"/>
      <c r="P9" s="113"/>
      <c r="Q9" s="114"/>
    </row>
    <row r="10" spans="1:17" ht="57" customHeight="1">
      <c r="A10" s="210" t="s">
        <v>272</v>
      </c>
      <c r="B10" s="211"/>
      <c r="C10" s="211"/>
      <c r="D10" s="211"/>
      <c r="E10" s="211"/>
      <c r="F10" s="211"/>
      <c r="G10" s="211"/>
      <c r="H10" s="211"/>
      <c r="I10" s="211"/>
      <c r="J10" s="211"/>
      <c r="K10" s="211"/>
      <c r="L10" s="211"/>
      <c r="M10" s="211"/>
      <c r="N10" s="211"/>
      <c r="O10" s="211"/>
      <c r="P10" s="211"/>
      <c r="Q10" s="212"/>
    </row>
    <row r="11" spans="1:17" ht="9" customHeight="1" thickBot="1">
      <c r="A11" s="115"/>
      <c r="B11" s="116"/>
      <c r="C11" s="116"/>
      <c r="D11" s="116"/>
      <c r="E11" s="116"/>
      <c r="F11" s="116"/>
      <c r="G11" s="117"/>
      <c r="H11" s="116"/>
      <c r="I11" s="116"/>
      <c r="J11" s="116"/>
      <c r="K11" s="116"/>
      <c r="L11" s="116"/>
      <c r="M11" s="116"/>
      <c r="N11" s="116"/>
      <c r="O11" s="116"/>
      <c r="P11" s="116"/>
      <c r="Q11" s="118"/>
    </row>
    <row r="12" spans="1:17" ht="15.75" customHeight="1" thickBot="1">
      <c r="A12" s="213" t="s">
        <v>223</v>
      </c>
      <c r="B12" s="213"/>
      <c r="C12" s="213"/>
      <c r="D12" s="213"/>
      <c r="E12" s="213"/>
      <c r="F12" s="213"/>
      <c r="G12" s="213"/>
      <c r="H12" s="213"/>
      <c r="I12" s="213"/>
      <c r="J12" s="213"/>
      <c r="K12" s="213"/>
      <c r="L12" s="213"/>
      <c r="M12" s="213"/>
      <c r="N12" s="213"/>
      <c r="O12" s="213"/>
      <c r="P12" s="213"/>
      <c r="Q12" s="213"/>
    </row>
    <row r="13" spans="1:17" ht="15.75" customHeight="1" thickBot="1">
      <c r="A13" s="214" t="s">
        <v>224</v>
      </c>
      <c r="B13" s="214"/>
      <c r="C13" s="214"/>
      <c r="D13" s="214"/>
      <c r="E13" s="214"/>
      <c r="F13" s="214"/>
      <c r="G13" s="214"/>
      <c r="H13" s="214"/>
      <c r="I13" s="214"/>
      <c r="J13" s="214"/>
      <c r="K13" s="214"/>
      <c r="L13" s="214"/>
      <c r="M13" s="214"/>
      <c r="N13" s="214"/>
      <c r="O13" s="215" t="s">
        <v>225</v>
      </c>
      <c r="P13" s="215"/>
      <c r="Q13" s="216" t="s">
        <v>226</v>
      </c>
    </row>
    <row r="14" spans="1:17" ht="15.75" customHeight="1" thickBot="1">
      <c r="A14" s="119" t="s">
        <v>227</v>
      </c>
      <c r="B14" s="120" t="s">
        <v>228</v>
      </c>
      <c r="C14" s="120" t="s">
        <v>229</v>
      </c>
      <c r="D14" s="120" t="s">
        <v>230</v>
      </c>
      <c r="E14" s="120" t="s">
        <v>231</v>
      </c>
      <c r="F14" s="120" t="s">
        <v>232</v>
      </c>
      <c r="G14" s="121" t="s">
        <v>233</v>
      </c>
      <c r="H14" s="120" t="s">
        <v>234</v>
      </c>
      <c r="I14" s="120" t="s">
        <v>235</v>
      </c>
      <c r="J14" s="120" t="s">
        <v>236</v>
      </c>
      <c r="K14" s="120" t="s">
        <v>236</v>
      </c>
      <c r="L14" s="120" t="s">
        <v>237</v>
      </c>
      <c r="M14" s="122" t="s">
        <v>119</v>
      </c>
      <c r="N14" s="123" t="s">
        <v>238</v>
      </c>
      <c r="O14" s="215"/>
      <c r="P14" s="215"/>
      <c r="Q14" s="216"/>
    </row>
    <row r="15" spans="1:17" ht="17.25" customHeight="1">
      <c r="A15" s="124">
        <v>27</v>
      </c>
      <c r="B15" s="125"/>
      <c r="C15" s="125"/>
      <c r="D15" s="125">
        <v>1</v>
      </c>
      <c r="E15" s="125"/>
      <c r="F15" s="125">
        <v>4901</v>
      </c>
      <c r="G15" s="125">
        <v>3</v>
      </c>
      <c r="H15" s="125">
        <v>1</v>
      </c>
      <c r="I15" s="126">
        <v>2</v>
      </c>
      <c r="J15" s="126">
        <v>5</v>
      </c>
      <c r="K15" s="126">
        <v>1</v>
      </c>
      <c r="L15" s="125"/>
      <c r="M15" s="127">
        <v>1</v>
      </c>
      <c r="N15" s="128" t="s">
        <v>239</v>
      </c>
      <c r="O15" s="206" t="s">
        <v>241</v>
      </c>
      <c r="P15" s="207"/>
      <c r="Q15" s="129">
        <f>+'Necesidades Trimestrales '!L138</f>
        <v>14665569</v>
      </c>
    </row>
    <row r="16" spans="1:17" ht="17.25" customHeight="1">
      <c r="A16" s="130"/>
      <c r="B16" s="131"/>
      <c r="C16" s="131"/>
      <c r="D16" s="131"/>
      <c r="E16" s="131"/>
      <c r="F16" s="131"/>
      <c r="G16" s="131"/>
      <c r="H16" s="131"/>
      <c r="I16" s="131"/>
      <c r="J16" s="131"/>
      <c r="K16" s="131"/>
      <c r="L16" s="131"/>
      <c r="M16" s="132"/>
      <c r="N16" s="133"/>
      <c r="O16" s="218"/>
      <c r="P16" s="219"/>
      <c r="Q16" s="134"/>
    </row>
    <row r="17" spans="1:18" ht="17.25" customHeight="1">
      <c r="A17" s="130"/>
      <c r="B17" s="131"/>
      <c r="C17" s="131"/>
      <c r="D17" s="131"/>
      <c r="E17" s="131"/>
      <c r="F17" s="133"/>
      <c r="G17" s="131"/>
      <c r="H17" s="131"/>
      <c r="I17" s="131"/>
      <c r="J17" s="131"/>
      <c r="K17" s="131"/>
      <c r="L17" s="131"/>
      <c r="M17" s="132"/>
      <c r="N17" s="133"/>
      <c r="O17" s="218"/>
      <c r="P17" s="219"/>
      <c r="Q17" s="134"/>
    </row>
    <row r="18" spans="1:18" ht="17.25" customHeight="1">
      <c r="A18" s="130"/>
      <c r="B18" s="131"/>
      <c r="C18" s="131"/>
      <c r="D18" s="131"/>
      <c r="E18" s="131"/>
      <c r="F18" s="131"/>
      <c r="G18" s="131"/>
      <c r="H18" s="131"/>
      <c r="I18" s="131"/>
      <c r="J18" s="131"/>
      <c r="K18" s="131"/>
      <c r="L18" s="131"/>
      <c r="M18" s="132"/>
      <c r="N18" s="133"/>
      <c r="O18" s="219"/>
      <c r="P18" s="219"/>
      <c r="Q18" s="134"/>
    </row>
    <row r="19" spans="1:18" ht="17.25" customHeight="1">
      <c r="A19" s="130"/>
      <c r="B19" s="131"/>
      <c r="C19" s="131"/>
      <c r="D19" s="131"/>
      <c r="E19" s="131"/>
      <c r="F19" s="133"/>
      <c r="G19" s="131"/>
      <c r="H19" s="131"/>
      <c r="I19" s="131"/>
      <c r="J19" s="131"/>
      <c r="K19" s="131"/>
      <c r="L19" s="131"/>
      <c r="M19" s="132"/>
      <c r="N19" s="133"/>
      <c r="O19" s="219"/>
      <c r="P19" s="219"/>
      <c r="Q19" s="134"/>
    </row>
    <row r="20" spans="1:18" ht="17.25" customHeight="1">
      <c r="A20" s="130"/>
      <c r="B20" s="131"/>
      <c r="C20" s="131"/>
      <c r="D20" s="131"/>
      <c r="E20" s="131"/>
      <c r="F20" s="133"/>
      <c r="G20" s="131"/>
      <c r="H20" s="131"/>
      <c r="I20" s="131"/>
      <c r="J20" s="131"/>
      <c r="K20" s="131"/>
      <c r="L20" s="131"/>
      <c r="M20" s="132"/>
      <c r="N20" s="133"/>
      <c r="O20" s="219"/>
      <c r="P20" s="219"/>
      <c r="Q20" s="134"/>
    </row>
    <row r="21" spans="1:18" ht="17.25" customHeight="1">
      <c r="A21" s="135"/>
      <c r="B21" s="136"/>
      <c r="C21" s="136"/>
      <c r="D21" s="136"/>
      <c r="E21" s="136"/>
      <c r="F21" s="137"/>
      <c r="G21" s="136"/>
      <c r="H21" s="136"/>
      <c r="I21" s="136"/>
      <c r="J21" s="136"/>
      <c r="K21" s="136"/>
      <c r="L21" s="136"/>
      <c r="M21" s="138"/>
      <c r="N21" s="139"/>
      <c r="O21" s="218"/>
      <c r="P21" s="218"/>
      <c r="Q21" s="134"/>
      <c r="R21" s="113"/>
    </row>
    <row r="22" spans="1:18" ht="17.25" customHeight="1" thickBot="1">
      <c r="A22" s="140"/>
      <c r="B22" s="141"/>
      <c r="C22" s="141"/>
      <c r="D22" s="141"/>
      <c r="E22" s="141"/>
      <c r="F22" s="141"/>
      <c r="G22" s="141"/>
      <c r="H22" s="141"/>
      <c r="I22" s="141"/>
      <c r="J22" s="141"/>
      <c r="K22" s="141"/>
      <c r="L22" s="141"/>
      <c r="M22" s="142"/>
      <c r="N22" s="141"/>
      <c r="O22" s="220"/>
      <c r="P22" s="220"/>
      <c r="Q22" s="143"/>
    </row>
    <row r="23" spans="1:18" ht="36" customHeight="1" thickBot="1">
      <c r="A23" s="221" t="s">
        <v>246</v>
      </c>
      <c r="B23" s="221"/>
      <c r="C23" s="221"/>
      <c r="D23" s="221"/>
      <c r="E23" s="221"/>
      <c r="F23" s="221"/>
      <c r="G23" s="221"/>
      <c r="H23" s="221"/>
      <c r="I23" s="221"/>
      <c r="J23" s="221"/>
      <c r="K23" s="221"/>
      <c r="L23" s="221"/>
      <c r="M23" s="221"/>
      <c r="N23" s="221"/>
      <c r="O23" s="221"/>
      <c r="P23" s="221"/>
      <c r="Q23" s="144">
        <f>SUM(Q15:Q22)</f>
        <v>14665569</v>
      </c>
    </row>
    <row r="24" spans="1:18" ht="18" customHeight="1" thickBot="1">
      <c r="A24" s="222"/>
      <c r="B24" s="222"/>
      <c r="C24" s="222"/>
      <c r="D24" s="222"/>
      <c r="E24" s="222"/>
      <c r="F24" s="222"/>
      <c r="G24" s="222"/>
      <c r="H24" s="222"/>
      <c r="I24" s="222"/>
      <c r="J24" s="222"/>
      <c r="K24" s="222"/>
      <c r="L24" s="222"/>
      <c r="M24" s="222"/>
      <c r="N24" s="222"/>
      <c r="O24" s="222"/>
      <c r="P24" s="222"/>
      <c r="Q24" s="222"/>
    </row>
    <row r="25" spans="1:18" ht="17.25" customHeight="1" thickBot="1">
      <c r="A25" s="223" t="s">
        <v>240</v>
      </c>
      <c r="B25" s="224"/>
      <c r="C25" s="224"/>
      <c r="D25" s="224"/>
      <c r="E25" s="224"/>
      <c r="F25" s="225"/>
      <c r="G25" s="226"/>
      <c r="H25" s="226"/>
      <c r="I25" s="226"/>
      <c r="J25" s="226"/>
      <c r="K25" s="226"/>
      <c r="L25" s="226"/>
      <c r="M25" s="226"/>
      <c r="N25" s="226"/>
      <c r="O25" s="226"/>
      <c r="P25" s="226"/>
      <c r="Q25" s="226"/>
    </row>
    <row r="26" spans="1:18" ht="18" customHeight="1" thickBot="1">
      <c r="A26" s="217" t="s">
        <v>247</v>
      </c>
      <c r="B26" s="217"/>
      <c r="C26" s="217"/>
      <c r="D26" s="217"/>
      <c r="E26" s="217"/>
      <c r="F26" s="217"/>
      <c r="G26" s="217"/>
      <c r="H26" s="217"/>
      <c r="I26" s="217"/>
      <c r="J26" s="217"/>
      <c r="K26" s="217"/>
      <c r="L26" s="217"/>
      <c r="M26" s="217"/>
      <c r="N26" s="217"/>
      <c r="O26" s="217"/>
      <c r="P26" s="217"/>
      <c r="Q26" s="217"/>
    </row>
    <row r="27" spans="1:18" ht="28.5" customHeight="1" thickBot="1">
      <c r="A27" s="217"/>
      <c r="B27" s="217"/>
      <c r="C27" s="217"/>
      <c r="D27" s="217"/>
      <c r="E27" s="217"/>
      <c r="F27" s="217"/>
      <c r="G27" s="217"/>
      <c r="H27" s="217"/>
      <c r="I27" s="217"/>
      <c r="J27" s="217"/>
      <c r="K27" s="217"/>
      <c r="L27" s="217"/>
      <c r="M27" s="217"/>
      <c r="N27" s="217"/>
      <c r="O27" s="217"/>
      <c r="P27" s="217"/>
      <c r="Q27" s="217"/>
    </row>
  </sheetData>
  <mergeCells count="31">
    <mergeCell ref="A26:Q27"/>
    <mergeCell ref="O16:P16"/>
    <mergeCell ref="O17:P17"/>
    <mergeCell ref="O18:P18"/>
    <mergeCell ref="O19:P19"/>
    <mergeCell ref="O20:P20"/>
    <mergeCell ref="O21:P21"/>
    <mergeCell ref="O22:P22"/>
    <mergeCell ref="A23:P23"/>
    <mergeCell ref="A24:Q24"/>
    <mergeCell ref="A25:F25"/>
    <mergeCell ref="G25:Q25"/>
    <mergeCell ref="O15:P15"/>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9" scale="90" firstPageNumber="0"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dimension ref="A1:AMJ69"/>
  <sheetViews>
    <sheetView zoomScale="80" zoomScaleNormal="80" workbookViewId="0">
      <selection activeCell="C16" sqref="C16:G16"/>
    </sheetView>
  </sheetViews>
  <sheetFormatPr baseColWidth="10" defaultColWidth="9.140625" defaultRowHeight="12.75"/>
  <cols>
    <col min="1" max="1" width="5.5703125" style="92" customWidth="1"/>
    <col min="2" max="2" width="15.140625" style="92" customWidth="1"/>
    <col min="3" max="3" width="14.140625" style="92" customWidth="1"/>
    <col min="4" max="4" width="26" style="92" customWidth="1"/>
    <col min="5" max="5" width="8" style="92" customWidth="1"/>
    <col min="6" max="6" width="7.85546875" style="92" customWidth="1"/>
    <col min="7" max="7" width="42" style="92" customWidth="1"/>
    <col min="8" max="8" width="9.28515625" style="92" customWidth="1"/>
    <col min="9" max="9" width="14.5703125" style="92" customWidth="1"/>
    <col min="10" max="10" width="16" style="92" customWidth="1"/>
    <col min="11" max="11" width="15.5703125" style="92" customWidth="1"/>
    <col min="12" max="12" width="5.85546875" style="92" customWidth="1"/>
    <col min="13" max="13" width="15.7109375" style="92" customWidth="1"/>
    <col min="14" max="14" width="5.85546875" style="92" customWidth="1"/>
    <col min="15" max="15" width="12.5703125" style="92" customWidth="1"/>
    <col min="16" max="1024" width="9.140625" style="92"/>
  </cols>
  <sheetData>
    <row r="1" spans="1:13" ht="18" customHeight="1" thickBot="1">
      <c r="A1" s="163" t="s">
        <v>201</v>
      </c>
      <c r="B1" s="163"/>
      <c r="C1" s="163"/>
      <c r="D1" s="163"/>
      <c r="E1" s="163"/>
      <c r="F1" s="163"/>
      <c r="G1" s="163"/>
      <c r="H1" s="163"/>
      <c r="I1" s="163"/>
      <c r="J1" s="90" t="s">
        <v>202</v>
      </c>
      <c r="K1" s="91" t="s">
        <v>270</v>
      </c>
    </row>
    <row r="2" spans="1:13" ht="18.75" customHeight="1" thickBot="1">
      <c r="A2" s="93"/>
      <c r="B2" s="93"/>
      <c r="C2" s="93"/>
      <c r="D2" s="94"/>
      <c r="E2" s="94"/>
      <c r="F2" s="94"/>
      <c r="G2" s="94"/>
      <c r="H2" s="94"/>
      <c r="I2" s="94"/>
      <c r="J2" s="94"/>
      <c r="K2" s="94"/>
    </row>
    <row r="3" spans="1:13" ht="18.75" customHeight="1" thickBot="1">
      <c r="A3" s="164" t="s">
        <v>203</v>
      </c>
      <c r="B3" s="164"/>
      <c r="C3" s="164"/>
      <c r="D3" s="162" t="s">
        <v>204</v>
      </c>
      <c r="E3" s="162"/>
      <c r="F3" s="162"/>
      <c r="G3" s="162"/>
      <c r="H3" s="162"/>
      <c r="I3" s="162"/>
      <c r="J3" s="162"/>
      <c r="K3" s="162"/>
    </row>
    <row r="4" spans="1:13" ht="18.75" customHeight="1" thickBot="1">
      <c r="A4" s="161" t="s">
        <v>205</v>
      </c>
      <c r="B4" s="161"/>
      <c r="C4" s="161"/>
      <c r="D4" s="162" t="s">
        <v>206</v>
      </c>
      <c r="E4" s="162"/>
      <c r="F4" s="162"/>
      <c r="G4" s="162"/>
      <c r="H4" s="162"/>
      <c r="I4" s="162"/>
      <c r="J4" s="162"/>
      <c r="K4" s="162"/>
    </row>
    <row r="5" spans="1:13" ht="18.75" customHeight="1" thickBot="1">
      <c r="A5" s="161" t="s">
        <v>207</v>
      </c>
      <c r="B5" s="161"/>
      <c r="C5" s="161"/>
      <c r="D5" s="162" t="s">
        <v>250</v>
      </c>
      <c r="E5" s="162"/>
      <c r="F5" s="162"/>
      <c r="G5" s="162"/>
      <c r="H5" s="162"/>
      <c r="I5" s="162"/>
      <c r="J5" s="162"/>
      <c r="K5" s="162"/>
    </row>
    <row r="6" spans="1:13" ht="16.5" customHeight="1" thickBot="1">
      <c r="A6" s="164" t="s">
        <v>208</v>
      </c>
      <c r="B6" s="164"/>
      <c r="C6" s="164"/>
      <c r="D6" s="162" t="s">
        <v>250</v>
      </c>
      <c r="E6" s="162"/>
      <c r="F6" s="162"/>
      <c r="G6" s="162"/>
      <c r="H6" s="162"/>
      <c r="I6" s="162"/>
      <c r="J6" s="162"/>
      <c r="K6" s="162"/>
    </row>
    <row r="7" spans="1:13" ht="16.5" customHeight="1" thickBot="1">
      <c r="A7" s="161" t="s">
        <v>209</v>
      </c>
      <c r="B7" s="161"/>
      <c r="C7" s="161"/>
      <c r="D7" s="162" t="s">
        <v>243</v>
      </c>
      <c r="E7" s="162"/>
      <c r="F7" s="162"/>
      <c r="G7" s="162"/>
      <c r="H7" s="162"/>
      <c r="I7" s="162"/>
      <c r="J7" s="162"/>
      <c r="K7" s="162"/>
    </row>
    <row r="8" spans="1:13" ht="16.5" customHeight="1" thickBot="1">
      <c r="A8" s="165" t="s">
        <v>210</v>
      </c>
      <c r="B8" s="165"/>
      <c r="C8" s="165"/>
      <c r="D8" s="166" t="s">
        <v>244</v>
      </c>
      <c r="E8" s="166"/>
      <c r="F8" s="166"/>
      <c r="G8" s="166"/>
      <c r="H8" s="166"/>
      <c r="I8" s="166"/>
      <c r="J8" s="166"/>
      <c r="K8" s="166"/>
    </row>
    <row r="9" spans="1:13" ht="16.5" thickBot="1">
      <c r="A9" s="95"/>
      <c r="B9" s="95"/>
      <c r="C9" s="95"/>
      <c r="D9" s="149"/>
      <c r="E9" s="149"/>
      <c r="F9" s="149"/>
      <c r="G9" s="149"/>
      <c r="H9" s="149"/>
      <c r="I9" s="149"/>
      <c r="J9" s="149"/>
      <c r="K9" s="149"/>
    </row>
    <row r="10" spans="1:13" ht="18.75" customHeight="1" thickBot="1">
      <c r="A10" s="187" t="s">
        <v>211</v>
      </c>
      <c r="B10" s="188" t="s">
        <v>212</v>
      </c>
      <c r="C10" s="188" t="s">
        <v>213</v>
      </c>
      <c r="D10" s="188"/>
      <c r="E10" s="188"/>
      <c r="F10" s="188"/>
      <c r="G10" s="188"/>
      <c r="H10" s="188" t="s">
        <v>214</v>
      </c>
      <c r="I10" s="188" t="s">
        <v>215</v>
      </c>
      <c r="J10" s="188" t="s">
        <v>216</v>
      </c>
      <c r="K10" s="169" t="s">
        <v>217</v>
      </c>
    </row>
    <row r="11" spans="1:13" ht="24" customHeight="1" thickBot="1">
      <c r="A11" s="187"/>
      <c r="B11" s="188"/>
      <c r="C11" s="188"/>
      <c r="D11" s="188"/>
      <c r="E11" s="188"/>
      <c r="F11" s="188"/>
      <c r="G11" s="188"/>
      <c r="H11" s="188"/>
      <c r="I11" s="188"/>
      <c r="J11" s="188"/>
      <c r="K11" s="169"/>
      <c r="M11" s="150"/>
    </row>
    <row r="12" spans="1:13" s="92" customFormat="1" ht="32.25" customHeight="1" thickBot="1">
      <c r="A12" s="97">
        <v>1</v>
      </c>
      <c r="B12" s="98"/>
      <c r="C12" s="235" t="s">
        <v>133</v>
      </c>
      <c r="D12" s="236"/>
      <c r="E12" s="236"/>
      <c r="F12" s="236"/>
      <c r="G12" s="237"/>
      <c r="H12" s="99" t="s">
        <v>263</v>
      </c>
      <c r="I12" s="52" t="s">
        <v>274</v>
      </c>
      <c r="J12" s="55">
        <v>11598</v>
      </c>
      <c r="K12" s="53">
        <v>5</v>
      </c>
      <c r="M12" s="151">
        <f>+K12*J12</f>
        <v>57990</v>
      </c>
    </row>
    <row r="13" spans="1:13" s="92" customFormat="1" ht="32.25" customHeight="1" thickBot="1">
      <c r="A13" s="145">
        <v>2</v>
      </c>
      <c r="B13" s="146"/>
      <c r="C13" s="238" t="s">
        <v>136</v>
      </c>
      <c r="D13" s="239"/>
      <c r="E13" s="239"/>
      <c r="F13" s="239"/>
      <c r="G13" s="240"/>
      <c r="H13" s="99" t="s">
        <v>263</v>
      </c>
      <c r="I13" s="52" t="s">
        <v>274</v>
      </c>
      <c r="J13" s="55">
        <v>10921</v>
      </c>
      <c r="K13" s="53">
        <v>5</v>
      </c>
      <c r="M13" s="151">
        <f t="shared" ref="M13:M18" si="0">+K13*J13</f>
        <v>54605</v>
      </c>
    </row>
    <row r="14" spans="1:13" s="92" customFormat="1" ht="32.25" customHeight="1" thickBot="1">
      <c r="A14" s="145"/>
      <c r="B14" s="146"/>
      <c r="C14" s="227"/>
      <c r="D14" s="228"/>
      <c r="E14" s="228"/>
      <c r="F14" s="228"/>
      <c r="G14" s="229"/>
      <c r="H14" s="99"/>
      <c r="I14" s="52"/>
      <c r="J14" s="54"/>
      <c r="K14" s="53"/>
      <c r="M14" s="151">
        <f t="shared" si="0"/>
        <v>0</v>
      </c>
    </row>
    <row r="15" spans="1:13" s="92" customFormat="1" ht="32.25" customHeight="1" thickBot="1">
      <c r="A15" s="97"/>
      <c r="B15" s="146"/>
      <c r="C15" s="227"/>
      <c r="D15" s="228"/>
      <c r="E15" s="228"/>
      <c r="F15" s="228"/>
      <c r="G15" s="229"/>
      <c r="H15" s="99"/>
      <c r="I15" s="52"/>
      <c r="J15" s="54"/>
      <c r="K15" s="53"/>
      <c r="M15" s="151">
        <f t="shared" si="0"/>
        <v>0</v>
      </c>
    </row>
    <row r="16" spans="1:13" s="92" customFormat="1" ht="32.25" customHeight="1" thickBot="1">
      <c r="A16" s="145"/>
      <c r="B16" s="146"/>
      <c r="C16" s="227"/>
      <c r="D16" s="228"/>
      <c r="E16" s="228"/>
      <c r="F16" s="228"/>
      <c r="G16" s="229"/>
      <c r="H16" s="99"/>
      <c r="I16" s="52"/>
      <c r="J16" s="54"/>
      <c r="K16" s="53"/>
      <c r="M16" s="151">
        <f t="shared" si="0"/>
        <v>0</v>
      </c>
    </row>
    <row r="17" spans="1:13" s="92" customFormat="1" ht="32.25" customHeight="1" thickBot="1">
      <c r="A17" s="145"/>
      <c r="B17" s="146"/>
      <c r="C17" s="227"/>
      <c r="D17" s="228"/>
      <c r="E17" s="228"/>
      <c r="F17" s="228"/>
      <c r="G17" s="229"/>
      <c r="H17" s="99"/>
      <c r="I17" s="52"/>
      <c r="J17" s="54"/>
      <c r="K17" s="53"/>
      <c r="M17" s="151">
        <f t="shared" si="0"/>
        <v>0</v>
      </c>
    </row>
    <row r="18" spans="1:13" s="92" customFormat="1" ht="32.25" customHeight="1" thickBot="1">
      <c r="A18" s="97"/>
      <c r="B18" s="146"/>
      <c r="C18" s="227"/>
      <c r="D18" s="228"/>
      <c r="E18" s="228"/>
      <c r="F18" s="228"/>
      <c r="G18" s="229"/>
      <c r="H18" s="99"/>
      <c r="I18" s="52"/>
      <c r="J18" s="54"/>
      <c r="K18" s="53"/>
      <c r="M18" s="151">
        <f t="shared" si="0"/>
        <v>0</v>
      </c>
    </row>
    <row r="19" spans="1:13" s="92" customFormat="1" ht="15.95" customHeight="1" thickBot="1">
      <c r="A19" s="182" t="s">
        <v>275</v>
      </c>
      <c r="B19" s="183"/>
      <c r="C19" s="183"/>
      <c r="D19" s="183"/>
      <c r="E19" s="183"/>
      <c r="F19" s="183"/>
      <c r="G19" s="183"/>
      <c r="H19" s="183"/>
      <c r="I19" s="184"/>
      <c r="J19" s="185">
        <f>SUM(M12:M18)</f>
        <v>112595</v>
      </c>
      <c r="K19" s="186"/>
      <c r="M19" s="100"/>
    </row>
    <row r="20" spans="1:13" s="92" customFormat="1" ht="15.95" customHeight="1">
      <c r="A20" s="167"/>
      <c r="B20" s="167"/>
      <c r="C20" s="167"/>
      <c r="D20" s="167"/>
      <c r="E20" s="167"/>
      <c r="F20" s="167"/>
      <c r="G20" s="167"/>
      <c r="H20" s="167"/>
      <c r="I20" s="167"/>
      <c r="J20" s="168"/>
      <c r="K20" s="168"/>
      <c r="M20" s="100"/>
    </row>
    <row r="21" spans="1:13" s="92" customFormat="1" ht="15.95" customHeight="1">
      <c r="M21" s="100"/>
    </row>
    <row r="22" spans="1:13" s="92" customFormat="1" ht="15.95" customHeight="1">
      <c r="M22" s="100"/>
    </row>
    <row r="23" spans="1:13" s="92" customFormat="1" ht="15.95" customHeight="1">
      <c r="M23" s="100"/>
    </row>
    <row r="24" spans="1:13" s="92" customFormat="1" ht="15.95" customHeight="1">
      <c r="M24" s="100"/>
    </row>
    <row r="25" spans="1:13" s="92" customFormat="1" ht="15.95" customHeight="1">
      <c r="M25" s="100"/>
    </row>
    <row r="26" spans="1:13" s="92" customFormat="1" ht="15.95" customHeight="1">
      <c r="M26" s="100"/>
    </row>
    <row r="27" spans="1:13" s="92" customFormat="1" ht="15.95" customHeight="1">
      <c r="M27" s="100"/>
    </row>
    <row r="28" spans="1:13" s="92" customFormat="1" ht="15.95" customHeight="1">
      <c r="M28" s="100"/>
    </row>
    <row r="29" spans="1:13" s="92" customFormat="1" ht="15.95" customHeight="1">
      <c r="M29" s="100"/>
    </row>
    <row r="30" spans="1:13" s="92" customFormat="1" ht="15.95" customHeight="1">
      <c r="M30" s="100"/>
    </row>
    <row r="31" spans="1:13" s="92" customFormat="1" ht="15.95" customHeight="1">
      <c r="M31" s="100"/>
    </row>
    <row r="32" spans="1:13" s="92" customFormat="1" ht="15.95" customHeight="1">
      <c r="M32" s="100"/>
    </row>
    <row r="33" spans="13:13" s="92" customFormat="1" ht="15.95" customHeight="1">
      <c r="M33" s="100"/>
    </row>
    <row r="34" spans="13:13" s="92" customFormat="1" ht="15.95" customHeight="1">
      <c r="M34" s="100"/>
    </row>
    <row r="35" spans="13:13" s="92" customFormat="1" ht="15.95" customHeight="1">
      <c r="M35" s="100"/>
    </row>
    <row r="36" spans="13:13" s="92" customFormat="1" ht="15.95" customHeight="1">
      <c r="M36" s="100"/>
    </row>
    <row r="37" spans="13:13" s="92" customFormat="1" ht="15.95" customHeight="1">
      <c r="M37" s="100"/>
    </row>
    <row r="38" spans="13:13" s="92" customFormat="1" ht="15.95" customHeight="1">
      <c r="M38" s="100"/>
    </row>
    <row r="39" spans="13:13" s="92" customFormat="1" ht="15.95" customHeight="1">
      <c r="M39" s="100"/>
    </row>
    <row r="40" spans="13:13" s="92" customFormat="1" ht="15.95" customHeight="1">
      <c r="M40" s="100"/>
    </row>
    <row r="41" spans="13:13" s="92" customFormat="1" ht="15.95" customHeight="1">
      <c r="M41" s="100"/>
    </row>
    <row r="42" spans="13:13" s="92" customFormat="1" ht="15.95" customHeight="1">
      <c r="M42" s="100"/>
    </row>
    <row r="43" spans="13:13" s="92" customFormat="1" ht="15.95" customHeight="1">
      <c r="M43" s="100"/>
    </row>
    <row r="44" spans="13:13" s="92" customFormat="1" ht="15.95" customHeight="1">
      <c r="M44" s="100"/>
    </row>
    <row r="45" spans="13:13" s="92" customFormat="1" ht="15.95" customHeight="1">
      <c r="M45" s="100"/>
    </row>
    <row r="46" spans="13:13" s="92" customFormat="1" ht="15.95" customHeight="1">
      <c r="M46" s="100"/>
    </row>
    <row r="47" spans="13:13" s="92" customFormat="1" ht="15.95" customHeight="1">
      <c r="M47" s="100"/>
    </row>
    <row r="48" spans="13:13" s="92" customFormat="1" ht="15.95" customHeight="1">
      <c r="M48" s="100"/>
    </row>
    <row r="49" spans="12:1024" s="92" customFormat="1" ht="15.95" customHeight="1">
      <c r="M49" s="100"/>
    </row>
    <row r="50" spans="12:1024" s="92" customFormat="1" ht="15.95" customHeight="1">
      <c r="M50" s="100"/>
    </row>
    <row r="51" spans="12:1024" s="92" customFormat="1" ht="15.95" customHeight="1">
      <c r="M51" s="100"/>
    </row>
    <row r="52" spans="12:1024" ht="15.95" customHeight="1">
      <c r="M52" s="100"/>
    </row>
    <row r="53" spans="12:1024" ht="15.95" customHeight="1">
      <c r="M53" s="100"/>
    </row>
    <row r="54" spans="12:1024" ht="15.95" customHeight="1">
      <c r="M54" s="100"/>
    </row>
    <row r="55" spans="12:1024" ht="15.95" customHeight="1">
      <c r="M55" s="100"/>
    </row>
    <row r="56" spans="12:1024" ht="15.95" customHeight="1">
      <c r="M56" s="100"/>
    </row>
    <row r="57" spans="12:1024" ht="15.95" customHeight="1">
      <c r="L57"/>
      <c r="M57" s="108"/>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row>
    <row r="58" spans="12:1024" ht="15.95" customHeight="1">
      <c r="L58"/>
      <c r="M58" s="10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row>
    <row r="59" spans="12:1024" ht="15.95" customHeight="1">
      <c r="L59"/>
      <c r="M59" s="108"/>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row>
    <row r="60" spans="12:1024" ht="15.95" customHeight="1">
      <c r="L60"/>
      <c r="M60" s="108"/>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row>
    <row r="61" spans="12:1024" ht="15.95" customHeight="1">
      <c r="L61"/>
      <c r="M61" s="108"/>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row>
    <row r="62" spans="12:1024" ht="15.95" customHeight="1">
      <c r="L62"/>
      <c r="M62" s="108"/>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row>
    <row r="63" spans="12:1024" ht="15.95" customHeight="1">
      <c r="L63"/>
      <c r="M63" s="108"/>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row>
    <row r="64" spans="12:1024" ht="15.95" customHeight="1">
      <c r="L64"/>
      <c r="M64" s="108"/>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row>
    <row r="65" spans="12:1024" ht="15.95" customHeight="1">
      <c r="L65"/>
      <c r="M65" s="108"/>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row>
    <row r="66" spans="12:1024" ht="15.95" customHeight="1">
      <c r="L66"/>
      <c r="M66" s="108"/>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row>
    <row r="67" spans="12:1024" ht="15.95" customHeight="1">
      <c r="L67"/>
      <c r="M67" s="108"/>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row>
    <row r="68" spans="12:1024" ht="15.95" customHeight="1">
      <c r="L68"/>
      <c r="M68" s="10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row>
    <row r="69" spans="12:1024" ht="20.25" customHeight="1">
      <c r="L69"/>
      <c r="M69" s="108"/>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row>
  </sheetData>
  <mergeCells count="31">
    <mergeCell ref="A19:I19"/>
    <mergeCell ref="J19:K19"/>
    <mergeCell ref="A20:I20"/>
    <mergeCell ref="J20:K20"/>
    <mergeCell ref="C17:G17"/>
    <mergeCell ref="C18:G18"/>
    <mergeCell ref="K10:K11"/>
    <mergeCell ref="C12:G12"/>
    <mergeCell ref="C13:G13"/>
    <mergeCell ref="C14:G14"/>
    <mergeCell ref="C15:G15"/>
    <mergeCell ref="I10:I11"/>
    <mergeCell ref="J10:J11"/>
    <mergeCell ref="C16:G16"/>
    <mergeCell ref="A10:A11"/>
    <mergeCell ref="B10:B11"/>
    <mergeCell ref="C10:G11"/>
    <mergeCell ref="H10:H11"/>
    <mergeCell ref="A6:C6"/>
    <mergeCell ref="D6:K6"/>
    <mergeCell ref="A7:C7"/>
    <mergeCell ref="D7:K7"/>
    <mergeCell ref="A8:C8"/>
    <mergeCell ref="D8:K8"/>
    <mergeCell ref="A5:C5"/>
    <mergeCell ref="D5:K5"/>
    <mergeCell ref="A1:I1"/>
    <mergeCell ref="A3:C3"/>
    <mergeCell ref="D3:K3"/>
    <mergeCell ref="A4:C4"/>
    <mergeCell ref="D4:K4"/>
  </mergeCells>
  <conditionalFormatting sqref="C16:C18">
    <cfRule type="duplicateValues" dxfId="52" priority="24"/>
  </conditionalFormatting>
  <conditionalFormatting sqref="C12:C13">
    <cfRule type="duplicateValues" dxfId="51" priority="14"/>
  </conditionalFormatting>
  <conditionalFormatting sqref="C12:C13">
    <cfRule type="duplicateValues" dxfId="50" priority="3"/>
  </conditionalFormatting>
  <conditionalFormatting sqref="C12:C13">
    <cfRule type="duplicateValues" dxfId="49" priority="1"/>
    <cfRule type="duplicateValues" dxfId="48" priority="2"/>
  </conditionalFormatting>
  <conditionalFormatting sqref="C14:C15">
    <cfRule type="duplicateValues" dxfId="47" priority="29"/>
  </conditionalFormatting>
  <conditionalFormatting sqref="C12:C18">
    <cfRule type="duplicateValues" dxfId="46" priority="31"/>
  </conditionalFormatting>
  <conditionalFormatting sqref="C12:C18">
    <cfRule type="duplicateValues" dxfId="45" priority="33"/>
    <cfRule type="duplicateValues" dxfId="44" priority="34"/>
  </conditionalFormatting>
  <conditionalFormatting sqref="C12:C18">
    <cfRule type="duplicateValues" dxfId="43" priority="36"/>
  </conditionalFormatting>
  <conditionalFormatting sqref="C12:C18">
    <cfRule type="duplicateValues" dxfId="42" priority="38"/>
  </conditionalFormatting>
  <printOptions horizontalCentered="1"/>
  <pageMargins left="0.19685039370078741" right="0.19685039370078741" top="0.39370078740157483" bottom="0.59055118110236227" header="0.51181102362204722" footer="0.51181102362204722"/>
  <pageSetup paperSize="5" scale="90" firstPageNumber="0" orientation="landscape" horizontalDpi="300" verticalDpi="300" r:id="rId1"/>
</worksheet>
</file>

<file path=xl/worksheets/sheet7.xml><?xml version="1.0" encoding="utf-8"?>
<worksheet xmlns="http://schemas.openxmlformats.org/spreadsheetml/2006/main" xmlns:r="http://schemas.openxmlformats.org/officeDocument/2006/relationships">
  <dimension ref="A1:R27"/>
  <sheetViews>
    <sheetView topLeftCell="A4" workbookViewId="0">
      <selection activeCell="A23" sqref="A23:P23"/>
    </sheetView>
  </sheetViews>
  <sheetFormatPr baseColWidth="10" defaultColWidth="11" defaultRowHeight="12.75"/>
  <cols>
    <col min="1" max="5" width="4.42578125" customWidth="1"/>
    <col min="6" max="6" width="5.5703125" customWidth="1"/>
    <col min="7" max="7" width="4.42578125" style="111" customWidth="1"/>
    <col min="8" max="14" width="4.42578125" customWidth="1"/>
    <col min="15" max="16" width="14.85546875" customWidth="1"/>
    <col min="17" max="17" width="14.7109375" customWidth="1"/>
  </cols>
  <sheetData>
    <row r="1" spans="1:17" ht="15.75" customHeight="1" thickBot="1">
      <c r="A1" s="202" t="s">
        <v>2</v>
      </c>
      <c r="B1" s="202"/>
      <c r="C1" s="202"/>
      <c r="D1" s="203">
        <v>2021</v>
      </c>
      <c r="E1" s="203"/>
      <c r="F1" s="109"/>
      <c r="G1" s="109"/>
      <c r="H1" s="110"/>
      <c r="I1" s="110"/>
      <c r="J1" s="110"/>
      <c r="K1" s="110"/>
      <c r="L1" s="110"/>
      <c r="M1" s="110"/>
      <c r="N1" s="110"/>
      <c r="P1" s="204" t="s">
        <v>218</v>
      </c>
      <c r="Q1" s="204"/>
    </row>
    <row r="2" spans="1:17" ht="15.75" customHeight="1" thickBot="1">
      <c r="H2" s="110"/>
      <c r="I2" s="110"/>
      <c r="J2" s="110"/>
      <c r="K2" s="110"/>
      <c r="L2" s="110"/>
      <c r="M2" s="110"/>
      <c r="N2" s="110"/>
      <c r="P2" s="204"/>
      <c r="Q2" s="204"/>
    </row>
    <row r="4" spans="1:17" s="112" customFormat="1" ht="18" customHeight="1" thickBot="1">
      <c r="A4" s="205" t="s">
        <v>219</v>
      </c>
      <c r="B4" s="205"/>
      <c r="C4" s="205"/>
      <c r="D4" s="205"/>
      <c r="E4" s="205"/>
      <c r="F4" s="205"/>
      <c r="G4" s="201" t="s">
        <v>204</v>
      </c>
      <c r="H4" s="201"/>
      <c r="I4" s="201"/>
      <c r="J4" s="201"/>
      <c r="K4" s="201"/>
      <c r="L4" s="201"/>
      <c r="M4" s="201"/>
      <c r="N4" s="201"/>
      <c r="O4" s="201"/>
      <c r="P4" s="201"/>
      <c r="Q4" s="201"/>
    </row>
    <row r="5" spans="1:17" s="112" customFormat="1" ht="18" customHeight="1" thickBot="1">
      <c r="A5" s="198" t="s">
        <v>205</v>
      </c>
      <c r="B5" s="199"/>
      <c r="C5" s="199"/>
      <c r="D5" s="199"/>
      <c r="E5" s="199"/>
      <c r="F5" s="200"/>
      <c r="G5" s="201" t="s">
        <v>220</v>
      </c>
      <c r="H5" s="201"/>
      <c r="I5" s="201"/>
      <c r="J5" s="201"/>
      <c r="K5" s="201"/>
      <c r="L5" s="201"/>
      <c r="M5" s="201"/>
      <c r="N5" s="201"/>
      <c r="O5" s="201"/>
      <c r="P5" s="201"/>
      <c r="Q5" s="201"/>
    </row>
    <row r="6" spans="1:17" s="112" customFormat="1" ht="18" customHeight="1" thickBot="1">
      <c r="A6" s="198" t="s">
        <v>207</v>
      </c>
      <c r="B6" s="199"/>
      <c r="C6" s="199"/>
      <c r="D6" s="199"/>
      <c r="E6" s="199"/>
      <c r="F6" s="200"/>
      <c r="G6" s="201" t="s">
        <v>250</v>
      </c>
      <c r="H6" s="201"/>
      <c r="I6" s="201"/>
      <c r="J6" s="201"/>
      <c r="K6" s="201"/>
      <c r="L6" s="201"/>
      <c r="M6" s="201"/>
      <c r="N6" s="201"/>
      <c r="O6" s="201"/>
      <c r="P6" s="201"/>
      <c r="Q6" s="201"/>
    </row>
    <row r="7" spans="1:17" s="112" customFormat="1" ht="18" customHeight="1" thickBot="1">
      <c r="A7" s="198" t="s">
        <v>208</v>
      </c>
      <c r="B7" s="199"/>
      <c r="C7" s="199"/>
      <c r="D7" s="199"/>
      <c r="E7" s="199"/>
      <c r="F7" s="200"/>
      <c r="G7" s="201" t="s">
        <v>250</v>
      </c>
      <c r="H7" s="201"/>
      <c r="I7" s="201"/>
      <c r="J7" s="201"/>
      <c r="K7" s="201"/>
      <c r="L7" s="201"/>
      <c r="M7" s="201"/>
      <c r="N7" s="201"/>
      <c r="O7" s="201"/>
      <c r="P7" s="201"/>
      <c r="Q7" s="201"/>
    </row>
    <row r="8" spans="1:17" ht="18" customHeight="1" thickBot="1">
      <c r="A8" s="208" t="s">
        <v>221</v>
      </c>
      <c r="B8" s="208"/>
      <c r="C8" s="208"/>
      <c r="D8" s="208"/>
      <c r="E8" s="208"/>
      <c r="F8" s="208"/>
      <c r="G8" s="208"/>
      <c r="H8" s="208"/>
      <c r="I8" s="208"/>
      <c r="J8" s="208"/>
      <c r="K8" s="208"/>
      <c r="L8" s="208"/>
      <c r="M8" s="208"/>
      <c r="N8" s="208"/>
      <c r="O8" s="208"/>
      <c r="P8" s="208"/>
      <c r="Q8" s="208"/>
    </row>
    <row r="9" spans="1:17" ht="18" customHeight="1">
      <c r="A9" s="209" t="s">
        <v>222</v>
      </c>
      <c r="B9" s="209"/>
      <c r="C9" s="209"/>
      <c r="D9" s="209"/>
      <c r="E9" s="209"/>
      <c r="F9" s="209"/>
      <c r="G9" s="209"/>
      <c r="H9" s="209"/>
      <c r="I9" s="209"/>
      <c r="J9" s="209"/>
      <c r="K9" s="209"/>
      <c r="L9" s="209"/>
      <c r="M9" s="209"/>
      <c r="N9" s="209"/>
      <c r="O9" s="113"/>
      <c r="P9" s="113"/>
      <c r="Q9" s="114"/>
    </row>
    <row r="10" spans="1:17" ht="57" customHeight="1">
      <c r="A10" s="210" t="s">
        <v>269</v>
      </c>
      <c r="B10" s="211"/>
      <c r="C10" s="211"/>
      <c r="D10" s="211"/>
      <c r="E10" s="211"/>
      <c r="F10" s="211"/>
      <c r="G10" s="211"/>
      <c r="H10" s="211"/>
      <c r="I10" s="211"/>
      <c r="J10" s="211"/>
      <c r="K10" s="211"/>
      <c r="L10" s="211"/>
      <c r="M10" s="211"/>
      <c r="N10" s="211"/>
      <c r="O10" s="211"/>
      <c r="P10" s="211"/>
      <c r="Q10" s="212"/>
    </row>
    <row r="11" spans="1:17" ht="9" customHeight="1" thickBot="1">
      <c r="A11" s="115"/>
      <c r="B11" s="116"/>
      <c r="C11" s="116"/>
      <c r="D11" s="116"/>
      <c r="E11" s="116"/>
      <c r="F11" s="116"/>
      <c r="G11" s="117"/>
      <c r="H11" s="116"/>
      <c r="I11" s="116"/>
      <c r="J11" s="116"/>
      <c r="K11" s="116"/>
      <c r="L11" s="116"/>
      <c r="M11" s="116"/>
      <c r="N11" s="116"/>
      <c r="O11" s="116"/>
      <c r="P11" s="116"/>
      <c r="Q11" s="118"/>
    </row>
    <row r="12" spans="1:17" ht="15.75" customHeight="1" thickBot="1">
      <c r="A12" s="213" t="s">
        <v>223</v>
      </c>
      <c r="B12" s="213"/>
      <c r="C12" s="213"/>
      <c r="D12" s="213"/>
      <c r="E12" s="213"/>
      <c r="F12" s="213"/>
      <c r="G12" s="213"/>
      <c r="H12" s="213"/>
      <c r="I12" s="213"/>
      <c r="J12" s="213"/>
      <c r="K12" s="213"/>
      <c r="L12" s="213"/>
      <c r="M12" s="213"/>
      <c r="N12" s="213"/>
      <c r="O12" s="213"/>
      <c r="P12" s="213"/>
      <c r="Q12" s="213"/>
    </row>
    <row r="13" spans="1:17" ht="15.75" customHeight="1" thickBot="1">
      <c r="A13" s="214" t="s">
        <v>224</v>
      </c>
      <c r="B13" s="214"/>
      <c r="C13" s="214"/>
      <c r="D13" s="214"/>
      <c r="E13" s="214"/>
      <c r="F13" s="214"/>
      <c r="G13" s="214"/>
      <c r="H13" s="214"/>
      <c r="I13" s="214"/>
      <c r="J13" s="214"/>
      <c r="K13" s="214"/>
      <c r="L13" s="214"/>
      <c r="M13" s="214"/>
      <c r="N13" s="214"/>
      <c r="O13" s="215" t="s">
        <v>225</v>
      </c>
      <c r="P13" s="215"/>
      <c r="Q13" s="216" t="s">
        <v>226</v>
      </c>
    </row>
    <row r="14" spans="1:17" ht="15.75" customHeight="1" thickBot="1">
      <c r="A14" s="119" t="s">
        <v>227</v>
      </c>
      <c r="B14" s="120" t="s">
        <v>228</v>
      </c>
      <c r="C14" s="120" t="s">
        <v>229</v>
      </c>
      <c r="D14" s="120" t="s">
        <v>230</v>
      </c>
      <c r="E14" s="120" t="s">
        <v>231</v>
      </c>
      <c r="F14" s="120" t="s">
        <v>232</v>
      </c>
      <c r="G14" s="121" t="s">
        <v>233</v>
      </c>
      <c r="H14" s="120" t="s">
        <v>234</v>
      </c>
      <c r="I14" s="120" t="s">
        <v>235</v>
      </c>
      <c r="J14" s="120" t="s">
        <v>236</v>
      </c>
      <c r="K14" s="120" t="s">
        <v>236</v>
      </c>
      <c r="L14" s="120" t="s">
        <v>237</v>
      </c>
      <c r="M14" s="122" t="s">
        <v>119</v>
      </c>
      <c r="N14" s="123" t="s">
        <v>238</v>
      </c>
      <c r="O14" s="215"/>
      <c r="P14" s="215"/>
      <c r="Q14" s="216"/>
    </row>
    <row r="15" spans="1:17" ht="17.25" customHeight="1">
      <c r="A15" s="124">
        <v>23</v>
      </c>
      <c r="B15" s="125"/>
      <c r="C15" s="125"/>
      <c r="D15" s="125">
        <v>1</v>
      </c>
      <c r="E15" s="125"/>
      <c r="F15" s="125">
        <v>4901</v>
      </c>
      <c r="G15" s="125">
        <v>3</v>
      </c>
      <c r="H15" s="125">
        <v>1</v>
      </c>
      <c r="I15" s="126">
        <v>2</v>
      </c>
      <c r="J15" s="126">
        <v>5</v>
      </c>
      <c r="K15" s="126">
        <v>1</v>
      </c>
      <c r="L15" s="125"/>
      <c r="M15" s="127">
        <v>1</v>
      </c>
      <c r="N15" s="128" t="s">
        <v>239</v>
      </c>
      <c r="O15" s="206" t="s">
        <v>241</v>
      </c>
      <c r="P15" s="207"/>
      <c r="Q15" s="129">
        <f>+'Necesidades Trimestrales '!AF138</f>
        <v>112595</v>
      </c>
    </row>
    <row r="16" spans="1:17" ht="17.25" customHeight="1">
      <c r="A16" s="130"/>
      <c r="B16" s="131"/>
      <c r="C16" s="131"/>
      <c r="D16" s="131"/>
      <c r="E16" s="131"/>
      <c r="F16" s="131"/>
      <c r="G16" s="131"/>
      <c r="H16" s="131"/>
      <c r="I16" s="131"/>
      <c r="J16" s="131"/>
      <c r="K16" s="131"/>
      <c r="L16" s="131"/>
      <c r="M16" s="132"/>
      <c r="N16" s="133"/>
      <c r="O16" s="218"/>
      <c r="P16" s="219"/>
      <c r="Q16" s="134"/>
    </row>
    <row r="17" spans="1:18" ht="17.25" customHeight="1">
      <c r="A17" s="130"/>
      <c r="B17" s="131"/>
      <c r="C17" s="131"/>
      <c r="D17" s="131"/>
      <c r="E17" s="131"/>
      <c r="F17" s="133"/>
      <c r="G17" s="131"/>
      <c r="H17" s="131"/>
      <c r="I17" s="131"/>
      <c r="J17" s="131"/>
      <c r="K17" s="131"/>
      <c r="L17" s="131"/>
      <c r="M17" s="132"/>
      <c r="N17" s="133"/>
      <c r="O17" s="218"/>
      <c r="P17" s="219"/>
      <c r="Q17" s="134"/>
    </row>
    <row r="18" spans="1:18" ht="17.25" customHeight="1">
      <c r="A18" s="130"/>
      <c r="B18" s="131"/>
      <c r="C18" s="131"/>
      <c r="D18" s="131"/>
      <c r="E18" s="131"/>
      <c r="F18" s="131"/>
      <c r="G18" s="131"/>
      <c r="H18" s="131"/>
      <c r="I18" s="131"/>
      <c r="J18" s="131"/>
      <c r="K18" s="131"/>
      <c r="L18" s="131"/>
      <c r="M18" s="132"/>
      <c r="N18" s="133"/>
      <c r="O18" s="219"/>
      <c r="P18" s="219"/>
      <c r="Q18" s="134"/>
    </row>
    <row r="19" spans="1:18" ht="17.25" customHeight="1">
      <c r="A19" s="130"/>
      <c r="B19" s="131"/>
      <c r="C19" s="131"/>
      <c r="D19" s="131"/>
      <c r="E19" s="131"/>
      <c r="F19" s="133"/>
      <c r="G19" s="131"/>
      <c r="H19" s="131"/>
      <c r="I19" s="131"/>
      <c r="J19" s="131"/>
      <c r="K19" s="131"/>
      <c r="L19" s="131"/>
      <c r="M19" s="132"/>
      <c r="N19" s="133"/>
      <c r="O19" s="219"/>
      <c r="P19" s="219"/>
      <c r="Q19" s="134"/>
    </row>
    <row r="20" spans="1:18" ht="17.25" customHeight="1">
      <c r="A20" s="130"/>
      <c r="B20" s="131"/>
      <c r="C20" s="131"/>
      <c r="D20" s="131"/>
      <c r="E20" s="131"/>
      <c r="F20" s="133"/>
      <c r="G20" s="131"/>
      <c r="H20" s="131"/>
      <c r="I20" s="131"/>
      <c r="J20" s="131"/>
      <c r="K20" s="131"/>
      <c r="L20" s="131"/>
      <c r="M20" s="132"/>
      <c r="N20" s="133"/>
      <c r="O20" s="219"/>
      <c r="P20" s="219"/>
      <c r="Q20" s="134"/>
    </row>
    <row r="21" spans="1:18" ht="17.25" customHeight="1">
      <c r="A21" s="135"/>
      <c r="B21" s="136"/>
      <c r="C21" s="136"/>
      <c r="D21" s="136"/>
      <c r="E21" s="136"/>
      <c r="F21" s="137"/>
      <c r="G21" s="136"/>
      <c r="H21" s="136"/>
      <c r="I21" s="136"/>
      <c r="J21" s="136"/>
      <c r="K21" s="136"/>
      <c r="L21" s="136"/>
      <c r="M21" s="138"/>
      <c r="N21" s="139"/>
      <c r="O21" s="218"/>
      <c r="P21" s="218"/>
      <c r="Q21" s="134"/>
      <c r="R21" s="113"/>
    </row>
    <row r="22" spans="1:18" ht="17.25" customHeight="1" thickBot="1">
      <c r="A22" s="140"/>
      <c r="B22" s="141"/>
      <c r="C22" s="141"/>
      <c r="D22" s="141"/>
      <c r="E22" s="141"/>
      <c r="F22" s="141"/>
      <c r="G22" s="141"/>
      <c r="H22" s="141"/>
      <c r="I22" s="141"/>
      <c r="J22" s="141"/>
      <c r="K22" s="141"/>
      <c r="L22" s="141"/>
      <c r="M22" s="142"/>
      <c r="N22" s="141"/>
      <c r="O22" s="220"/>
      <c r="P22" s="220"/>
      <c r="Q22" s="143"/>
    </row>
    <row r="23" spans="1:18" ht="20.25" customHeight="1" thickBot="1">
      <c r="A23" s="221" t="s">
        <v>251</v>
      </c>
      <c r="B23" s="221"/>
      <c r="C23" s="221"/>
      <c r="D23" s="221"/>
      <c r="E23" s="221"/>
      <c r="F23" s="221"/>
      <c r="G23" s="221"/>
      <c r="H23" s="221"/>
      <c r="I23" s="221"/>
      <c r="J23" s="221"/>
      <c r="K23" s="221"/>
      <c r="L23" s="221"/>
      <c r="M23" s="221"/>
      <c r="N23" s="221"/>
      <c r="O23" s="221"/>
      <c r="P23" s="221"/>
      <c r="Q23" s="144">
        <f>SUM(Q15:Q22)</f>
        <v>112595</v>
      </c>
    </row>
    <row r="24" spans="1:18" ht="18" customHeight="1" thickBot="1">
      <c r="A24" s="222"/>
      <c r="B24" s="222"/>
      <c r="C24" s="222"/>
      <c r="D24" s="222"/>
      <c r="E24" s="222"/>
      <c r="F24" s="222"/>
      <c r="G24" s="222"/>
      <c r="H24" s="222"/>
      <c r="I24" s="222"/>
      <c r="J24" s="222"/>
      <c r="K24" s="222"/>
      <c r="L24" s="222"/>
      <c r="M24" s="222"/>
      <c r="N24" s="222"/>
      <c r="O24" s="222"/>
      <c r="P24" s="222"/>
      <c r="Q24" s="222"/>
    </row>
    <row r="25" spans="1:18" ht="17.25" customHeight="1" thickBot="1">
      <c r="A25" s="223" t="s">
        <v>240</v>
      </c>
      <c r="B25" s="224"/>
      <c r="C25" s="224"/>
      <c r="D25" s="224"/>
      <c r="E25" s="224"/>
      <c r="F25" s="225"/>
      <c r="G25" s="226"/>
      <c r="H25" s="226"/>
      <c r="I25" s="226"/>
      <c r="J25" s="226"/>
      <c r="K25" s="226"/>
      <c r="L25" s="226"/>
      <c r="M25" s="226"/>
      <c r="N25" s="226"/>
      <c r="O25" s="226"/>
      <c r="P25" s="226"/>
      <c r="Q25" s="226"/>
    </row>
    <row r="26" spans="1:18" ht="18" customHeight="1" thickBot="1">
      <c r="A26" s="217" t="s">
        <v>247</v>
      </c>
      <c r="B26" s="217"/>
      <c r="C26" s="217"/>
      <c r="D26" s="217"/>
      <c r="E26" s="217"/>
      <c r="F26" s="217"/>
      <c r="G26" s="217"/>
      <c r="H26" s="217"/>
      <c r="I26" s="217"/>
      <c r="J26" s="217"/>
      <c r="K26" s="217"/>
      <c r="L26" s="217"/>
      <c r="M26" s="217"/>
      <c r="N26" s="217"/>
      <c r="O26" s="217"/>
      <c r="P26" s="217"/>
      <c r="Q26" s="217"/>
    </row>
    <row r="27" spans="1:18" ht="28.5" customHeight="1" thickBot="1">
      <c r="A27" s="217"/>
      <c r="B27" s="217"/>
      <c r="C27" s="217"/>
      <c r="D27" s="217"/>
      <c r="E27" s="217"/>
      <c r="F27" s="217"/>
      <c r="G27" s="217"/>
      <c r="H27" s="217"/>
      <c r="I27" s="217"/>
      <c r="J27" s="217"/>
      <c r="K27" s="217"/>
      <c r="L27" s="217"/>
      <c r="M27" s="217"/>
      <c r="N27" s="217"/>
      <c r="O27" s="217"/>
      <c r="P27" s="217"/>
      <c r="Q27" s="217"/>
    </row>
  </sheetData>
  <mergeCells count="31">
    <mergeCell ref="A26:Q27"/>
    <mergeCell ref="O16:P16"/>
    <mergeCell ref="O17:P17"/>
    <mergeCell ref="O18:P18"/>
    <mergeCell ref="O19:P19"/>
    <mergeCell ref="O20:P20"/>
    <mergeCell ref="O21:P21"/>
    <mergeCell ref="O22:P22"/>
    <mergeCell ref="A23:P23"/>
    <mergeCell ref="A24:Q24"/>
    <mergeCell ref="A25:F25"/>
    <mergeCell ref="G25:Q25"/>
    <mergeCell ref="O15:P15"/>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9" scale="90" firstPageNumber="0"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dimension ref="A1:AMJ83"/>
  <sheetViews>
    <sheetView topLeftCell="A22" zoomScale="80" zoomScaleNormal="80" workbookViewId="0">
      <selection activeCell="C30" sqref="C30:G30"/>
    </sheetView>
  </sheetViews>
  <sheetFormatPr baseColWidth="10" defaultColWidth="9.140625" defaultRowHeight="12.75"/>
  <cols>
    <col min="1" max="1" width="5.5703125" style="92" customWidth="1"/>
    <col min="2" max="2" width="15.140625" style="92" customWidth="1"/>
    <col min="3" max="3" width="14.140625" style="92" customWidth="1"/>
    <col min="4" max="4" width="26" style="92" customWidth="1"/>
    <col min="5" max="5" width="8" style="92" customWidth="1"/>
    <col min="6" max="6" width="7.85546875" style="92" customWidth="1"/>
    <col min="7" max="7" width="42" style="92" customWidth="1"/>
    <col min="8" max="8" width="9.28515625" style="92" customWidth="1"/>
    <col min="9" max="9" width="14.5703125" style="92" customWidth="1"/>
    <col min="10" max="10" width="16" style="92" customWidth="1"/>
    <col min="11" max="11" width="15.5703125" style="92" customWidth="1"/>
    <col min="12" max="12" width="5.85546875" style="92" customWidth="1"/>
    <col min="13" max="13" width="15.7109375" style="92" customWidth="1"/>
    <col min="14" max="14" width="5.85546875" style="92" customWidth="1"/>
    <col min="15" max="15" width="12.5703125" style="92" customWidth="1"/>
    <col min="16" max="1024" width="9.140625" style="92"/>
  </cols>
  <sheetData>
    <row r="1" spans="1:13" ht="18" customHeight="1" thickBot="1">
      <c r="A1" s="163" t="s">
        <v>201</v>
      </c>
      <c r="B1" s="163"/>
      <c r="C1" s="163"/>
      <c r="D1" s="163"/>
      <c r="E1" s="163"/>
      <c r="F1" s="163"/>
      <c r="G1" s="163"/>
      <c r="H1" s="163"/>
      <c r="I1" s="163"/>
      <c r="J1" s="90" t="s">
        <v>202</v>
      </c>
      <c r="K1" s="91" t="s">
        <v>270</v>
      </c>
    </row>
    <row r="2" spans="1:13" ht="18.75" customHeight="1" thickBot="1">
      <c r="A2" s="93"/>
      <c r="B2" s="93"/>
      <c r="C2" s="93"/>
      <c r="D2" s="94"/>
      <c r="E2" s="94"/>
      <c r="F2" s="94"/>
      <c r="G2" s="94"/>
      <c r="H2" s="94"/>
      <c r="I2" s="94"/>
      <c r="J2" s="94"/>
      <c r="K2" s="94"/>
    </row>
    <row r="3" spans="1:13" ht="18.75" customHeight="1" thickBot="1">
      <c r="A3" s="164" t="s">
        <v>203</v>
      </c>
      <c r="B3" s="164"/>
      <c r="C3" s="164"/>
      <c r="D3" s="162" t="s">
        <v>204</v>
      </c>
      <c r="E3" s="162"/>
      <c r="F3" s="162"/>
      <c r="G3" s="162"/>
      <c r="H3" s="162"/>
      <c r="I3" s="162"/>
      <c r="J3" s="162"/>
      <c r="K3" s="162"/>
    </row>
    <row r="4" spans="1:13" ht="18.75" customHeight="1" thickBot="1">
      <c r="A4" s="161" t="s">
        <v>205</v>
      </c>
      <c r="B4" s="161"/>
      <c r="C4" s="161"/>
      <c r="D4" s="162" t="s">
        <v>206</v>
      </c>
      <c r="E4" s="162"/>
      <c r="F4" s="162"/>
      <c r="G4" s="162"/>
      <c r="H4" s="162"/>
      <c r="I4" s="162"/>
      <c r="J4" s="162"/>
      <c r="K4" s="162"/>
    </row>
    <row r="5" spans="1:13" ht="18.75" customHeight="1" thickBot="1">
      <c r="A5" s="161" t="s">
        <v>207</v>
      </c>
      <c r="B5" s="161"/>
      <c r="C5" s="161"/>
      <c r="D5" s="162" t="s">
        <v>242</v>
      </c>
      <c r="E5" s="162"/>
      <c r="F5" s="162"/>
      <c r="G5" s="162"/>
      <c r="H5" s="162"/>
      <c r="I5" s="162"/>
      <c r="J5" s="162"/>
      <c r="K5" s="162"/>
    </row>
    <row r="6" spans="1:13" ht="16.5" customHeight="1" thickBot="1">
      <c r="A6" s="164" t="s">
        <v>208</v>
      </c>
      <c r="B6" s="164"/>
      <c r="C6" s="164"/>
      <c r="D6" s="162" t="s">
        <v>242</v>
      </c>
      <c r="E6" s="162"/>
      <c r="F6" s="162"/>
      <c r="G6" s="162"/>
      <c r="H6" s="162"/>
      <c r="I6" s="162"/>
      <c r="J6" s="162"/>
      <c r="K6" s="162"/>
    </row>
    <row r="7" spans="1:13" ht="16.5" customHeight="1" thickBot="1">
      <c r="A7" s="161" t="s">
        <v>209</v>
      </c>
      <c r="B7" s="161"/>
      <c r="C7" s="161"/>
      <c r="D7" s="162" t="s">
        <v>243</v>
      </c>
      <c r="E7" s="162"/>
      <c r="F7" s="162"/>
      <c r="G7" s="162"/>
      <c r="H7" s="162"/>
      <c r="I7" s="162"/>
      <c r="J7" s="162"/>
      <c r="K7" s="162"/>
    </row>
    <row r="8" spans="1:13" ht="16.5" customHeight="1" thickBot="1">
      <c r="A8" s="165" t="s">
        <v>210</v>
      </c>
      <c r="B8" s="165"/>
      <c r="C8" s="165"/>
      <c r="D8" s="166" t="s">
        <v>244</v>
      </c>
      <c r="E8" s="166"/>
      <c r="F8" s="166"/>
      <c r="G8" s="166"/>
      <c r="H8" s="166"/>
      <c r="I8" s="166"/>
      <c r="J8" s="166"/>
      <c r="K8" s="166"/>
    </row>
    <row r="9" spans="1:13" ht="16.5" thickBot="1">
      <c r="A9" s="95"/>
      <c r="B9" s="95"/>
      <c r="C9" s="95"/>
      <c r="D9" s="149"/>
      <c r="E9" s="149"/>
      <c r="F9" s="149"/>
      <c r="G9" s="149"/>
      <c r="H9" s="149"/>
      <c r="I9" s="149"/>
      <c r="J9" s="149"/>
      <c r="K9" s="149"/>
    </row>
    <row r="10" spans="1:13" ht="18.75" customHeight="1" thickBot="1">
      <c r="A10" s="187" t="s">
        <v>211</v>
      </c>
      <c r="B10" s="188" t="s">
        <v>212</v>
      </c>
      <c r="C10" s="188" t="s">
        <v>213</v>
      </c>
      <c r="D10" s="188"/>
      <c r="E10" s="188"/>
      <c r="F10" s="188"/>
      <c r="G10" s="188"/>
      <c r="H10" s="188" t="s">
        <v>214</v>
      </c>
      <c r="I10" s="188" t="s">
        <v>215</v>
      </c>
      <c r="J10" s="188" t="s">
        <v>216</v>
      </c>
      <c r="K10" s="169" t="s">
        <v>217</v>
      </c>
    </row>
    <row r="11" spans="1:13" ht="24" customHeight="1" thickBot="1">
      <c r="A11" s="187"/>
      <c r="B11" s="188"/>
      <c r="C11" s="188"/>
      <c r="D11" s="188"/>
      <c r="E11" s="188"/>
      <c r="F11" s="188"/>
      <c r="G11" s="188"/>
      <c r="H11" s="188"/>
      <c r="I11" s="188"/>
      <c r="J11" s="188"/>
      <c r="K11" s="169"/>
      <c r="M11" s="150"/>
    </row>
    <row r="12" spans="1:13" s="92" customFormat="1" ht="32.25" customHeight="1" thickBot="1">
      <c r="A12" s="97">
        <v>1</v>
      </c>
      <c r="B12" s="98"/>
      <c r="C12" s="244" t="s">
        <v>184</v>
      </c>
      <c r="D12" s="245"/>
      <c r="E12" s="245"/>
      <c r="F12" s="245"/>
      <c r="G12" s="246"/>
      <c r="H12" s="99" t="s">
        <v>263</v>
      </c>
      <c r="I12" s="43" t="s">
        <v>103</v>
      </c>
      <c r="J12" s="68">
        <v>42239</v>
      </c>
      <c r="K12" s="43">
        <v>4</v>
      </c>
      <c r="M12" s="151">
        <f>+K12*J12</f>
        <v>168956</v>
      </c>
    </row>
    <row r="13" spans="1:13" s="92" customFormat="1" ht="32.25" customHeight="1" thickBot="1">
      <c r="A13" s="145">
        <v>2</v>
      </c>
      <c r="B13" s="146"/>
      <c r="C13" s="241" t="s">
        <v>185</v>
      </c>
      <c r="D13" s="242"/>
      <c r="E13" s="242"/>
      <c r="F13" s="242"/>
      <c r="G13" s="243"/>
      <c r="H13" s="99" t="s">
        <v>263</v>
      </c>
      <c r="I13" s="43" t="s">
        <v>103</v>
      </c>
      <c r="J13" s="68">
        <v>24280</v>
      </c>
      <c r="K13" s="43">
        <v>2</v>
      </c>
      <c r="M13" s="151">
        <f t="shared" ref="M13:M32" si="0">+K13*J13</f>
        <v>48560</v>
      </c>
    </row>
    <row r="14" spans="1:13" s="92" customFormat="1" ht="32.25" customHeight="1" thickBot="1">
      <c r="A14" s="145">
        <v>3</v>
      </c>
      <c r="B14" s="146"/>
      <c r="C14" s="241" t="s">
        <v>186</v>
      </c>
      <c r="D14" s="242"/>
      <c r="E14" s="242"/>
      <c r="F14" s="242"/>
      <c r="G14" s="243"/>
      <c r="H14" s="99" t="s">
        <v>263</v>
      </c>
      <c r="I14" s="43" t="s">
        <v>103</v>
      </c>
      <c r="J14" s="68">
        <v>36750</v>
      </c>
      <c r="K14" s="43">
        <v>2</v>
      </c>
      <c r="M14" s="151">
        <f t="shared" si="0"/>
        <v>73500</v>
      </c>
    </row>
    <row r="15" spans="1:13" s="92" customFormat="1" ht="32.25" customHeight="1" thickBot="1">
      <c r="A15" s="97">
        <v>4</v>
      </c>
      <c r="B15" s="146"/>
      <c r="C15" s="241" t="s">
        <v>187</v>
      </c>
      <c r="D15" s="242"/>
      <c r="E15" s="242"/>
      <c r="F15" s="242"/>
      <c r="G15" s="243"/>
      <c r="H15" s="99" t="s">
        <v>263</v>
      </c>
      <c r="I15" s="43" t="s">
        <v>103</v>
      </c>
      <c r="J15" s="68">
        <v>52000</v>
      </c>
      <c r="K15" s="43">
        <v>2</v>
      </c>
      <c r="M15" s="151">
        <f t="shared" si="0"/>
        <v>104000</v>
      </c>
    </row>
    <row r="16" spans="1:13" s="92" customFormat="1" ht="32.25" customHeight="1" thickBot="1">
      <c r="A16" s="145">
        <v>5</v>
      </c>
      <c r="B16" s="146"/>
      <c r="C16" s="241" t="s">
        <v>188</v>
      </c>
      <c r="D16" s="242"/>
      <c r="E16" s="242"/>
      <c r="F16" s="242"/>
      <c r="G16" s="243"/>
      <c r="H16" s="99" t="s">
        <v>263</v>
      </c>
      <c r="I16" s="43" t="s">
        <v>103</v>
      </c>
      <c r="J16" s="68">
        <v>71500</v>
      </c>
      <c r="K16" s="43">
        <v>2</v>
      </c>
      <c r="M16" s="151">
        <f t="shared" si="0"/>
        <v>143000</v>
      </c>
    </row>
    <row r="17" spans="1:13" s="92" customFormat="1" ht="32.25" customHeight="1" thickBot="1">
      <c r="A17" s="145">
        <v>6</v>
      </c>
      <c r="B17" s="146"/>
      <c r="C17" s="241" t="s">
        <v>189</v>
      </c>
      <c r="D17" s="242"/>
      <c r="E17" s="242"/>
      <c r="F17" s="242"/>
      <c r="G17" s="243"/>
      <c r="H17" s="99" t="s">
        <v>263</v>
      </c>
      <c r="I17" s="43" t="s">
        <v>103</v>
      </c>
      <c r="J17" s="68">
        <v>84000</v>
      </c>
      <c r="K17" s="43">
        <v>2</v>
      </c>
      <c r="M17" s="151">
        <f t="shared" si="0"/>
        <v>168000</v>
      </c>
    </row>
    <row r="18" spans="1:13" s="92" customFormat="1" ht="32.25" customHeight="1" thickBot="1">
      <c r="A18" s="97">
        <v>7</v>
      </c>
      <c r="B18" s="146"/>
      <c r="C18" s="241" t="s">
        <v>190</v>
      </c>
      <c r="D18" s="242"/>
      <c r="E18" s="242"/>
      <c r="F18" s="242"/>
      <c r="G18" s="243"/>
      <c r="H18" s="99" t="s">
        <v>263</v>
      </c>
      <c r="I18" s="43" t="s">
        <v>103</v>
      </c>
      <c r="J18" s="68">
        <v>32350</v>
      </c>
      <c r="K18" s="43">
        <v>2</v>
      </c>
      <c r="M18" s="151">
        <f t="shared" si="0"/>
        <v>64700</v>
      </c>
    </row>
    <row r="19" spans="1:13" s="92" customFormat="1" ht="32.25" customHeight="1" thickBot="1">
      <c r="A19" s="145">
        <v>8</v>
      </c>
      <c r="B19" s="146"/>
      <c r="C19" s="241" t="s">
        <v>191</v>
      </c>
      <c r="D19" s="242"/>
      <c r="E19" s="242"/>
      <c r="F19" s="242"/>
      <c r="G19" s="243"/>
      <c r="H19" s="99" t="s">
        <v>263</v>
      </c>
      <c r="I19" s="43" t="s">
        <v>26</v>
      </c>
      <c r="J19" s="68">
        <v>12550</v>
      </c>
      <c r="K19" s="43">
        <v>2</v>
      </c>
      <c r="M19" s="151">
        <f t="shared" si="0"/>
        <v>25100</v>
      </c>
    </row>
    <row r="20" spans="1:13" s="92" customFormat="1" ht="32.25" customHeight="1" thickBot="1">
      <c r="A20" s="145">
        <v>9</v>
      </c>
      <c r="B20" s="146"/>
      <c r="C20" s="241" t="s">
        <v>192</v>
      </c>
      <c r="D20" s="242"/>
      <c r="E20" s="242"/>
      <c r="F20" s="242"/>
      <c r="G20" s="243"/>
      <c r="H20" s="99" t="s">
        <v>263</v>
      </c>
      <c r="I20" s="43" t="s">
        <v>142</v>
      </c>
      <c r="J20" s="68">
        <v>14224</v>
      </c>
      <c r="K20" s="43">
        <v>2</v>
      </c>
      <c r="M20" s="151">
        <f t="shared" si="0"/>
        <v>28448</v>
      </c>
    </row>
    <row r="21" spans="1:13" s="92" customFormat="1" ht="32.25" customHeight="1" thickBot="1">
      <c r="A21" s="97">
        <v>10</v>
      </c>
      <c r="B21" s="146"/>
      <c r="C21" s="241" t="s">
        <v>193</v>
      </c>
      <c r="D21" s="242"/>
      <c r="E21" s="242"/>
      <c r="F21" s="242"/>
      <c r="G21" s="243"/>
      <c r="H21" s="99" t="s">
        <v>263</v>
      </c>
      <c r="I21" s="43" t="s">
        <v>26</v>
      </c>
      <c r="J21" s="68">
        <v>11000</v>
      </c>
      <c r="K21" s="43">
        <v>2</v>
      </c>
      <c r="M21" s="151">
        <f t="shared" si="0"/>
        <v>22000</v>
      </c>
    </row>
    <row r="22" spans="1:13" s="92" customFormat="1" ht="32.25" customHeight="1" thickBot="1">
      <c r="A22" s="145">
        <v>11</v>
      </c>
      <c r="B22" s="146"/>
      <c r="C22" s="241" t="s">
        <v>194</v>
      </c>
      <c r="D22" s="242"/>
      <c r="E22" s="242"/>
      <c r="F22" s="242"/>
      <c r="G22" s="243"/>
      <c r="H22" s="99" t="s">
        <v>263</v>
      </c>
      <c r="I22" s="43" t="s">
        <v>26</v>
      </c>
      <c r="J22" s="68">
        <v>25500</v>
      </c>
      <c r="K22" s="43">
        <v>2</v>
      </c>
      <c r="M22" s="151">
        <f t="shared" si="0"/>
        <v>51000</v>
      </c>
    </row>
    <row r="23" spans="1:13" s="92" customFormat="1" ht="32.25" customHeight="1" thickBot="1">
      <c r="A23" s="145">
        <v>12</v>
      </c>
      <c r="B23" s="146"/>
      <c r="C23" s="241" t="s">
        <v>195</v>
      </c>
      <c r="D23" s="242"/>
      <c r="E23" s="242"/>
      <c r="F23" s="242"/>
      <c r="G23" s="243"/>
      <c r="H23" s="99" t="s">
        <v>263</v>
      </c>
      <c r="I23" s="43" t="s">
        <v>19</v>
      </c>
      <c r="J23" s="68">
        <v>9450</v>
      </c>
      <c r="K23" s="43">
        <v>4</v>
      </c>
      <c r="M23" s="151">
        <f t="shared" si="0"/>
        <v>37800</v>
      </c>
    </row>
    <row r="24" spans="1:13" s="92" customFormat="1" ht="32.25" customHeight="1" thickBot="1">
      <c r="A24" s="97">
        <v>13</v>
      </c>
      <c r="B24" s="146"/>
      <c r="C24" s="241" t="s">
        <v>196</v>
      </c>
      <c r="D24" s="242"/>
      <c r="E24" s="242"/>
      <c r="F24" s="242"/>
      <c r="G24" s="243"/>
      <c r="H24" s="99" t="s">
        <v>263</v>
      </c>
      <c r="I24" s="43" t="s">
        <v>14</v>
      </c>
      <c r="J24" s="68">
        <v>20500</v>
      </c>
      <c r="K24" s="43">
        <v>2</v>
      </c>
      <c r="M24" s="151">
        <f t="shared" si="0"/>
        <v>41000</v>
      </c>
    </row>
    <row r="25" spans="1:13" s="92" customFormat="1" ht="32.25" customHeight="1" thickBot="1">
      <c r="A25" s="145">
        <v>14</v>
      </c>
      <c r="B25" s="146"/>
      <c r="C25" s="241" t="s">
        <v>276</v>
      </c>
      <c r="D25" s="242"/>
      <c r="E25" s="242"/>
      <c r="F25" s="242"/>
      <c r="G25" s="243"/>
      <c r="H25" s="99" t="s">
        <v>263</v>
      </c>
      <c r="I25" s="43" t="s">
        <v>26</v>
      </c>
      <c r="J25" s="68">
        <v>574</v>
      </c>
      <c r="K25" s="43">
        <v>40</v>
      </c>
      <c r="M25" s="151">
        <f t="shared" si="0"/>
        <v>22960</v>
      </c>
    </row>
    <row r="26" spans="1:13" s="92" customFormat="1" ht="32.25" customHeight="1" thickBot="1">
      <c r="A26" s="145">
        <v>15</v>
      </c>
      <c r="B26" s="146"/>
      <c r="C26" s="241" t="s">
        <v>197</v>
      </c>
      <c r="D26" s="242"/>
      <c r="E26" s="242"/>
      <c r="F26" s="242"/>
      <c r="G26" s="243"/>
      <c r="H26" s="99" t="s">
        <v>263</v>
      </c>
      <c r="I26" s="43" t="s">
        <v>103</v>
      </c>
      <c r="J26" s="68">
        <v>22050</v>
      </c>
      <c r="K26" s="43">
        <v>20</v>
      </c>
      <c r="M26" s="151">
        <f t="shared" si="0"/>
        <v>441000</v>
      </c>
    </row>
    <row r="27" spans="1:13" s="92" customFormat="1" ht="32.25" customHeight="1" thickBot="1">
      <c r="A27" s="97">
        <v>16</v>
      </c>
      <c r="B27" s="146"/>
      <c r="C27" s="241" t="s">
        <v>198</v>
      </c>
      <c r="D27" s="242"/>
      <c r="E27" s="242"/>
      <c r="F27" s="242"/>
      <c r="G27" s="243"/>
      <c r="H27" s="99" t="s">
        <v>263</v>
      </c>
      <c r="I27" s="43" t="s">
        <v>103</v>
      </c>
      <c r="J27" s="68">
        <v>3010</v>
      </c>
      <c r="K27" s="43">
        <v>16</v>
      </c>
      <c r="M27" s="151">
        <f t="shared" si="0"/>
        <v>48160</v>
      </c>
    </row>
    <row r="28" spans="1:13" s="92" customFormat="1" ht="32.25" customHeight="1" thickBot="1">
      <c r="A28" s="145">
        <v>17</v>
      </c>
      <c r="B28" s="146"/>
      <c r="C28" s="241" t="s">
        <v>199</v>
      </c>
      <c r="D28" s="242"/>
      <c r="E28" s="242"/>
      <c r="F28" s="242"/>
      <c r="G28" s="243"/>
      <c r="H28" s="99" t="s">
        <v>263</v>
      </c>
      <c r="I28" s="43" t="s">
        <v>103</v>
      </c>
      <c r="J28" s="68">
        <v>900</v>
      </c>
      <c r="K28" s="43">
        <v>20</v>
      </c>
      <c r="M28" s="151">
        <f t="shared" si="0"/>
        <v>18000</v>
      </c>
    </row>
    <row r="29" spans="1:13" s="92" customFormat="1" ht="32.25" customHeight="1" thickBot="1">
      <c r="A29" s="145">
        <v>18</v>
      </c>
      <c r="B29" s="146"/>
      <c r="C29" s="241" t="s">
        <v>200</v>
      </c>
      <c r="D29" s="242"/>
      <c r="E29" s="242"/>
      <c r="F29" s="242"/>
      <c r="G29" s="243"/>
      <c r="H29" s="99" t="s">
        <v>263</v>
      </c>
      <c r="I29" s="43" t="s">
        <v>134</v>
      </c>
      <c r="J29" s="68">
        <v>1870</v>
      </c>
      <c r="K29" s="43">
        <v>70</v>
      </c>
      <c r="M29" s="151">
        <f t="shared" si="0"/>
        <v>130900</v>
      </c>
    </row>
    <row r="30" spans="1:13" s="92" customFormat="1" ht="32.25" customHeight="1" thickBot="1">
      <c r="A30" s="97"/>
      <c r="B30" s="146"/>
      <c r="C30" s="227"/>
      <c r="D30" s="228"/>
      <c r="E30" s="228"/>
      <c r="F30" s="228"/>
      <c r="G30" s="229"/>
      <c r="H30" s="99"/>
      <c r="I30" s="48"/>
      <c r="J30" s="54"/>
      <c r="K30" s="40"/>
      <c r="M30" s="151">
        <f t="shared" si="0"/>
        <v>0</v>
      </c>
    </row>
    <row r="31" spans="1:13" s="92" customFormat="1" ht="32.25" customHeight="1" thickBot="1">
      <c r="A31" s="145"/>
      <c r="B31" s="146"/>
      <c r="C31" s="227"/>
      <c r="D31" s="228"/>
      <c r="E31" s="228"/>
      <c r="F31" s="228"/>
      <c r="G31" s="229"/>
      <c r="H31" s="99"/>
      <c r="I31" s="48"/>
      <c r="J31" s="54"/>
      <c r="K31" s="40"/>
      <c r="M31" s="151">
        <f t="shared" si="0"/>
        <v>0</v>
      </c>
    </row>
    <row r="32" spans="1:13" s="92" customFormat="1" ht="32.25" customHeight="1" thickBot="1">
      <c r="A32" s="145"/>
      <c r="B32" s="146"/>
      <c r="C32" s="227"/>
      <c r="D32" s="228"/>
      <c r="E32" s="228"/>
      <c r="F32" s="228"/>
      <c r="G32" s="229"/>
      <c r="H32" s="99"/>
      <c r="I32" s="48"/>
      <c r="J32" s="54"/>
      <c r="K32" s="40"/>
      <c r="M32" s="151">
        <f t="shared" si="0"/>
        <v>0</v>
      </c>
    </row>
    <row r="33" spans="1:13" s="92" customFormat="1" ht="15.95" customHeight="1" thickBot="1">
      <c r="A33" s="182" t="s">
        <v>277</v>
      </c>
      <c r="B33" s="183"/>
      <c r="C33" s="183"/>
      <c r="D33" s="183"/>
      <c r="E33" s="183"/>
      <c r="F33" s="183"/>
      <c r="G33" s="183"/>
      <c r="H33" s="183"/>
      <c r="I33" s="184"/>
      <c r="J33" s="185">
        <f>SUM(M12:M32)</f>
        <v>1637084</v>
      </c>
      <c r="K33" s="186"/>
      <c r="M33" s="100"/>
    </row>
    <row r="34" spans="1:13" s="92" customFormat="1" ht="15.95" customHeight="1">
      <c r="A34" s="167"/>
      <c r="B34" s="167"/>
      <c r="C34" s="167"/>
      <c r="D34" s="167"/>
      <c r="E34" s="167"/>
      <c r="F34" s="167"/>
      <c r="G34" s="167"/>
      <c r="H34" s="167"/>
      <c r="I34" s="167"/>
      <c r="J34" s="168"/>
      <c r="K34" s="168"/>
      <c r="M34" s="100"/>
    </row>
    <row r="35" spans="1:13" s="92" customFormat="1" ht="15.95" customHeight="1">
      <c r="M35" s="100"/>
    </row>
    <row r="36" spans="1:13" s="92" customFormat="1" ht="15.95" customHeight="1">
      <c r="M36" s="100"/>
    </row>
    <row r="37" spans="1:13" s="92" customFormat="1" ht="15.95" customHeight="1">
      <c r="M37" s="100"/>
    </row>
    <row r="38" spans="1:13" s="92" customFormat="1" ht="15.95" customHeight="1">
      <c r="M38" s="100"/>
    </row>
    <row r="39" spans="1:13" s="92" customFormat="1" ht="15.95" customHeight="1">
      <c r="M39" s="100"/>
    </row>
    <row r="40" spans="1:13" s="92" customFormat="1" ht="15.95" customHeight="1">
      <c r="M40" s="100"/>
    </row>
    <row r="41" spans="1:13" s="92" customFormat="1" ht="15.95" customHeight="1">
      <c r="M41" s="100"/>
    </row>
    <row r="42" spans="1:13" s="92" customFormat="1" ht="15.95" customHeight="1">
      <c r="M42" s="100"/>
    </row>
    <row r="43" spans="1:13" s="92" customFormat="1" ht="15.95" customHeight="1">
      <c r="M43" s="100"/>
    </row>
    <row r="44" spans="1:13" s="92" customFormat="1" ht="15.95" customHeight="1">
      <c r="M44" s="100"/>
    </row>
    <row r="45" spans="1:13" s="92" customFormat="1" ht="15.95" customHeight="1">
      <c r="M45" s="100"/>
    </row>
    <row r="46" spans="1:13" s="92" customFormat="1" ht="15.95" customHeight="1">
      <c r="M46" s="100"/>
    </row>
    <row r="47" spans="1:13" s="92" customFormat="1" ht="15.95" customHeight="1">
      <c r="M47" s="100"/>
    </row>
    <row r="48" spans="1:13" s="92" customFormat="1" ht="15.95" customHeight="1">
      <c r="M48" s="100"/>
    </row>
    <row r="49" spans="13:13" s="92" customFormat="1" ht="15.95" customHeight="1">
      <c r="M49" s="100"/>
    </row>
    <row r="50" spans="13:13" s="92" customFormat="1" ht="15.95" customHeight="1">
      <c r="M50" s="100"/>
    </row>
    <row r="51" spans="13:13" s="92" customFormat="1" ht="15.95" customHeight="1">
      <c r="M51" s="100"/>
    </row>
    <row r="52" spans="13:13" s="92" customFormat="1" ht="15.95" customHeight="1">
      <c r="M52" s="100"/>
    </row>
    <row r="53" spans="13:13" s="92" customFormat="1" ht="15.95" customHeight="1">
      <c r="M53" s="100"/>
    </row>
    <row r="54" spans="13:13" s="92" customFormat="1" ht="15.95" customHeight="1">
      <c r="M54" s="100"/>
    </row>
    <row r="55" spans="13:13" s="92" customFormat="1" ht="15.95" customHeight="1">
      <c r="M55" s="100"/>
    </row>
    <row r="56" spans="13:13" s="92" customFormat="1" ht="15.95" customHeight="1">
      <c r="M56" s="100"/>
    </row>
    <row r="57" spans="13:13" s="92" customFormat="1" ht="15.95" customHeight="1">
      <c r="M57" s="100"/>
    </row>
    <row r="58" spans="13:13" s="92" customFormat="1" ht="15.95" customHeight="1">
      <c r="M58" s="100"/>
    </row>
    <row r="59" spans="13:13" s="92" customFormat="1" ht="15.95" customHeight="1">
      <c r="M59" s="100"/>
    </row>
    <row r="60" spans="13:13" s="92" customFormat="1" ht="15.95" customHeight="1">
      <c r="M60" s="100"/>
    </row>
    <row r="61" spans="13:13" s="92" customFormat="1" ht="15.95" customHeight="1">
      <c r="M61" s="100"/>
    </row>
    <row r="62" spans="13:13" s="92" customFormat="1" ht="15.95" customHeight="1">
      <c r="M62" s="100"/>
    </row>
    <row r="63" spans="13:13" s="92" customFormat="1" ht="15.95" customHeight="1">
      <c r="M63" s="100"/>
    </row>
    <row r="64" spans="13:13" s="92" customFormat="1" ht="15.95" customHeight="1">
      <c r="M64" s="100"/>
    </row>
    <row r="65" spans="12:1024" s="92" customFormat="1" ht="15.95" customHeight="1">
      <c r="M65" s="100"/>
    </row>
    <row r="66" spans="12:1024" ht="15.95" customHeight="1">
      <c r="M66" s="100"/>
    </row>
    <row r="67" spans="12:1024" ht="15.95" customHeight="1">
      <c r="M67" s="100"/>
    </row>
    <row r="68" spans="12:1024" ht="15.95" customHeight="1">
      <c r="M68" s="100"/>
    </row>
    <row r="69" spans="12:1024" ht="15.95" customHeight="1">
      <c r="M69" s="100"/>
    </row>
    <row r="70" spans="12:1024" ht="15.95" customHeight="1">
      <c r="M70" s="100"/>
    </row>
    <row r="71" spans="12:1024" ht="15.95" customHeight="1">
      <c r="L71"/>
      <c r="M71" s="108"/>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row>
    <row r="72" spans="12:1024" ht="15.95" customHeight="1">
      <c r="L72"/>
      <c r="M72" s="108"/>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c r="ADG72"/>
      <c r="ADH72"/>
      <c r="ADI72"/>
      <c r="ADJ72"/>
      <c r="ADK72"/>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c r="AEQ72"/>
      <c r="AER72"/>
      <c r="AES72"/>
      <c r="AET72"/>
      <c r="AEU72"/>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c r="AHY72"/>
      <c r="AHZ72"/>
      <c r="AIA72"/>
      <c r="AIB72"/>
      <c r="AIC72"/>
      <c r="AID72"/>
      <c r="AIE72"/>
      <c r="AIF72"/>
      <c r="AIG72"/>
      <c r="AIH72"/>
      <c r="AII72"/>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row>
    <row r="73" spans="12:1024" ht="15.95" customHeight="1">
      <c r="L73"/>
      <c r="M73" s="108"/>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c r="XD73"/>
      <c r="XE73"/>
      <c r="XF73"/>
      <c r="XG73"/>
      <c r="XH73"/>
      <c r="XI73"/>
      <c r="XJ73"/>
      <c r="XK73"/>
      <c r="XL73"/>
      <c r="XM73"/>
      <c r="XN73"/>
      <c r="XO73"/>
      <c r="XP73"/>
      <c r="XQ73"/>
      <c r="XR73"/>
      <c r="XS73"/>
      <c r="XT73"/>
      <c r="XU73"/>
      <c r="XV73"/>
      <c r="XW73"/>
      <c r="XX73"/>
      <c r="XY73"/>
      <c r="XZ73"/>
      <c r="YA73"/>
      <c r="YB73"/>
      <c r="YC73"/>
      <c r="YD73"/>
      <c r="YE73"/>
      <c r="YF73"/>
      <c r="YG73"/>
      <c r="YH73"/>
      <c r="YI73"/>
      <c r="YJ73"/>
      <c r="YK73"/>
      <c r="YL73"/>
      <c r="YM73"/>
      <c r="YN73"/>
      <c r="YO73"/>
      <c r="YP73"/>
      <c r="YQ73"/>
      <c r="YR73"/>
      <c r="YS73"/>
      <c r="YT73"/>
      <c r="YU73"/>
      <c r="YV73"/>
      <c r="YW73"/>
      <c r="YX73"/>
      <c r="YY73"/>
      <c r="YZ73"/>
      <c r="ZA73"/>
      <c r="ZB73"/>
      <c r="ZC73"/>
      <c r="ZD73"/>
      <c r="ZE73"/>
      <c r="ZF73"/>
      <c r="ZG73"/>
      <c r="ZH73"/>
      <c r="ZI73"/>
      <c r="ZJ73"/>
      <c r="ZK73"/>
      <c r="ZL73"/>
      <c r="ZM73"/>
      <c r="ZN73"/>
      <c r="ZO73"/>
      <c r="ZP73"/>
      <c r="ZQ73"/>
      <c r="ZR73"/>
      <c r="ZS73"/>
      <c r="ZT73"/>
      <c r="ZU73"/>
      <c r="ZV73"/>
      <c r="ZW73"/>
      <c r="ZX73"/>
      <c r="ZY73"/>
      <c r="ZZ73"/>
      <c r="AAA73"/>
      <c r="AAB73"/>
      <c r="AAC73"/>
      <c r="AAD73"/>
      <c r="AAE73"/>
      <c r="AAF73"/>
      <c r="AAG73"/>
      <c r="AAH73"/>
      <c r="AAI73"/>
      <c r="AAJ73"/>
      <c r="AAK73"/>
      <c r="AAL73"/>
      <c r="AAM73"/>
      <c r="AAN73"/>
      <c r="AAO73"/>
      <c r="AAP73"/>
      <c r="AAQ73"/>
      <c r="AAR73"/>
      <c r="AAS73"/>
      <c r="AAT73"/>
      <c r="AAU73"/>
      <c r="AAV73"/>
      <c r="AAW73"/>
      <c r="AAX73"/>
      <c r="AAY73"/>
      <c r="AAZ73"/>
      <c r="ABA73"/>
      <c r="ABB73"/>
      <c r="ABC73"/>
      <c r="ABD73"/>
      <c r="ABE73"/>
      <c r="ABF73"/>
      <c r="ABG73"/>
      <c r="ABH73"/>
      <c r="ABI73"/>
      <c r="ABJ73"/>
      <c r="ABK73"/>
      <c r="ABL73"/>
      <c r="ABM73"/>
      <c r="ABN73"/>
      <c r="ABO73"/>
      <c r="ABP73"/>
      <c r="ABQ73"/>
      <c r="ABR73"/>
      <c r="ABS73"/>
      <c r="ABT73"/>
      <c r="ABU73"/>
      <c r="ABV73"/>
      <c r="ABW73"/>
      <c r="ABX73"/>
      <c r="ABY73"/>
      <c r="ABZ73"/>
      <c r="ACA73"/>
      <c r="ACB73"/>
      <c r="ACC73"/>
      <c r="ACD73"/>
      <c r="ACE73"/>
      <c r="ACF73"/>
      <c r="ACG73"/>
      <c r="ACH73"/>
      <c r="ACI73"/>
      <c r="ACJ73"/>
      <c r="ACK73"/>
      <c r="ACL73"/>
      <c r="ACM73"/>
      <c r="ACN73"/>
      <c r="ACO73"/>
      <c r="ACP73"/>
      <c r="ACQ73"/>
      <c r="ACR73"/>
      <c r="ACS73"/>
      <c r="ACT73"/>
      <c r="ACU73"/>
      <c r="ACV73"/>
      <c r="ACW73"/>
      <c r="ACX73"/>
      <c r="ACY73"/>
      <c r="ACZ73"/>
      <c r="ADA73"/>
      <c r="ADB73"/>
      <c r="ADC73"/>
      <c r="ADD73"/>
      <c r="ADE73"/>
      <c r="ADF73"/>
      <c r="ADG73"/>
      <c r="ADH73"/>
      <c r="ADI73"/>
      <c r="ADJ73"/>
      <c r="ADK73"/>
      <c r="ADL73"/>
      <c r="ADM73"/>
      <c r="ADN73"/>
      <c r="ADO73"/>
      <c r="ADP73"/>
      <c r="ADQ73"/>
      <c r="ADR73"/>
      <c r="ADS73"/>
      <c r="ADT73"/>
      <c r="ADU73"/>
      <c r="ADV73"/>
      <c r="ADW73"/>
      <c r="ADX73"/>
      <c r="ADY73"/>
      <c r="ADZ73"/>
      <c r="AEA73"/>
      <c r="AEB73"/>
      <c r="AEC73"/>
      <c r="AED73"/>
      <c r="AEE73"/>
      <c r="AEF73"/>
      <c r="AEG73"/>
      <c r="AEH73"/>
      <c r="AEI73"/>
      <c r="AEJ73"/>
      <c r="AEK73"/>
      <c r="AEL73"/>
      <c r="AEM73"/>
      <c r="AEN73"/>
      <c r="AEO73"/>
      <c r="AEP73"/>
      <c r="AEQ73"/>
      <c r="AER73"/>
      <c r="AES73"/>
      <c r="AET73"/>
      <c r="AEU73"/>
      <c r="AEV73"/>
      <c r="AEW73"/>
      <c r="AEX73"/>
      <c r="AEY73"/>
      <c r="AEZ73"/>
      <c r="AFA73"/>
      <c r="AFB73"/>
      <c r="AFC73"/>
      <c r="AFD73"/>
      <c r="AFE73"/>
      <c r="AFF73"/>
      <c r="AFG73"/>
      <c r="AFH73"/>
      <c r="AFI73"/>
      <c r="AFJ73"/>
      <c r="AFK73"/>
      <c r="AFL73"/>
      <c r="AFM73"/>
      <c r="AFN73"/>
      <c r="AFO73"/>
      <c r="AFP73"/>
      <c r="AFQ73"/>
      <c r="AFR73"/>
      <c r="AFS73"/>
      <c r="AFT73"/>
      <c r="AFU73"/>
      <c r="AFV73"/>
      <c r="AFW73"/>
      <c r="AFX73"/>
      <c r="AFY73"/>
      <c r="AFZ73"/>
      <c r="AGA73"/>
      <c r="AGB73"/>
      <c r="AGC73"/>
      <c r="AGD73"/>
      <c r="AGE73"/>
      <c r="AGF73"/>
      <c r="AGG73"/>
      <c r="AGH73"/>
      <c r="AGI73"/>
      <c r="AGJ73"/>
      <c r="AGK73"/>
      <c r="AGL73"/>
      <c r="AGM73"/>
      <c r="AGN73"/>
      <c r="AGO73"/>
      <c r="AGP73"/>
      <c r="AGQ73"/>
      <c r="AGR73"/>
      <c r="AGS73"/>
      <c r="AGT73"/>
      <c r="AGU73"/>
      <c r="AGV73"/>
      <c r="AGW73"/>
      <c r="AGX73"/>
      <c r="AGY73"/>
      <c r="AGZ73"/>
      <c r="AHA73"/>
      <c r="AHB73"/>
      <c r="AHC73"/>
      <c r="AHD73"/>
      <c r="AHE73"/>
      <c r="AHF73"/>
      <c r="AHG73"/>
      <c r="AHH73"/>
      <c r="AHI73"/>
      <c r="AHJ73"/>
      <c r="AHK73"/>
      <c r="AHL73"/>
      <c r="AHM73"/>
      <c r="AHN73"/>
      <c r="AHO73"/>
      <c r="AHP73"/>
      <c r="AHQ73"/>
      <c r="AHR73"/>
      <c r="AHS73"/>
      <c r="AHT73"/>
      <c r="AHU73"/>
      <c r="AHV73"/>
      <c r="AHW73"/>
      <c r="AHX73"/>
      <c r="AHY73"/>
      <c r="AHZ73"/>
      <c r="AIA73"/>
      <c r="AIB73"/>
      <c r="AIC73"/>
      <c r="AID73"/>
      <c r="AIE73"/>
      <c r="AIF73"/>
      <c r="AIG73"/>
      <c r="AIH73"/>
      <c r="AII73"/>
      <c r="AIJ73"/>
      <c r="AIK73"/>
      <c r="AIL73"/>
      <c r="AIM73"/>
      <c r="AIN73"/>
      <c r="AIO73"/>
      <c r="AIP73"/>
      <c r="AIQ73"/>
      <c r="AIR73"/>
      <c r="AIS73"/>
      <c r="AIT73"/>
      <c r="AIU73"/>
      <c r="AIV73"/>
      <c r="AIW73"/>
      <c r="AIX73"/>
      <c r="AIY73"/>
      <c r="AIZ73"/>
      <c r="AJA73"/>
      <c r="AJB73"/>
      <c r="AJC73"/>
      <c r="AJD73"/>
      <c r="AJE73"/>
      <c r="AJF73"/>
      <c r="AJG73"/>
      <c r="AJH73"/>
      <c r="AJI73"/>
      <c r="AJJ73"/>
      <c r="AJK73"/>
      <c r="AJL73"/>
      <c r="AJM73"/>
      <c r="AJN73"/>
      <c r="AJO73"/>
      <c r="AJP73"/>
      <c r="AJQ73"/>
      <c r="AJR73"/>
      <c r="AJS73"/>
      <c r="AJT73"/>
      <c r="AJU73"/>
      <c r="AJV73"/>
      <c r="AJW73"/>
      <c r="AJX73"/>
      <c r="AJY73"/>
      <c r="AJZ73"/>
      <c r="AKA73"/>
      <c r="AKB73"/>
      <c r="AKC73"/>
      <c r="AKD73"/>
      <c r="AKE73"/>
      <c r="AKF73"/>
      <c r="AKG73"/>
      <c r="AKH73"/>
      <c r="AKI73"/>
      <c r="AKJ73"/>
      <c r="AKK73"/>
      <c r="AKL73"/>
      <c r="AKM73"/>
      <c r="AKN73"/>
      <c r="AKO73"/>
      <c r="AKP73"/>
      <c r="AKQ73"/>
      <c r="AKR73"/>
      <c r="AKS73"/>
      <c r="AKT73"/>
      <c r="AKU73"/>
      <c r="AKV73"/>
      <c r="AKW73"/>
      <c r="AKX73"/>
      <c r="AKY73"/>
      <c r="AKZ73"/>
      <c r="ALA73"/>
      <c r="ALB73"/>
      <c r="ALC73"/>
      <c r="ALD73"/>
      <c r="ALE73"/>
      <c r="ALF73"/>
      <c r="ALG73"/>
      <c r="ALH73"/>
      <c r="ALI73"/>
      <c r="ALJ73"/>
      <c r="ALK73"/>
      <c r="ALL73"/>
      <c r="ALM73"/>
      <c r="ALN73"/>
      <c r="ALO73"/>
      <c r="ALP73"/>
      <c r="ALQ73"/>
      <c r="ALR73"/>
      <c r="ALS73"/>
      <c r="ALT73"/>
      <c r="ALU73"/>
      <c r="ALV73"/>
      <c r="ALW73"/>
      <c r="ALX73"/>
      <c r="ALY73"/>
      <c r="ALZ73"/>
      <c r="AMA73"/>
      <c r="AMB73"/>
      <c r="AMC73"/>
      <c r="AMD73"/>
      <c r="AME73"/>
      <c r="AMF73"/>
      <c r="AMG73"/>
      <c r="AMH73"/>
      <c r="AMI73"/>
      <c r="AMJ73"/>
    </row>
    <row r="74" spans="12:1024" ht="15.95" customHeight="1">
      <c r="L74"/>
      <c r="M74" s="108"/>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row>
    <row r="75" spans="12:1024" ht="15.95" customHeight="1">
      <c r="L75"/>
      <c r="M75" s="108"/>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c r="YG75"/>
      <c r="YH75"/>
      <c r="YI75"/>
      <c r="YJ75"/>
      <c r="YK75"/>
      <c r="YL75"/>
      <c r="YM75"/>
      <c r="YN75"/>
      <c r="YO75"/>
      <c r="YP75"/>
      <c r="YQ75"/>
      <c r="YR75"/>
      <c r="YS75"/>
      <c r="YT75"/>
      <c r="YU75"/>
      <c r="YV75"/>
      <c r="YW75"/>
      <c r="YX75"/>
      <c r="YY75"/>
      <c r="YZ75"/>
      <c r="ZA75"/>
      <c r="ZB75"/>
      <c r="ZC75"/>
      <c r="ZD75"/>
      <c r="ZE75"/>
      <c r="ZF75"/>
      <c r="ZG75"/>
      <c r="ZH75"/>
      <c r="ZI75"/>
      <c r="ZJ75"/>
      <c r="ZK75"/>
      <c r="ZL75"/>
      <c r="ZM75"/>
      <c r="ZN75"/>
      <c r="ZO75"/>
      <c r="ZP75"/>
      <c r="ZQ75"/>
      <c r="ZR75"/>
      <c r="ZS75"/>
      <c r="ZT75"/>
      <c r="ZU75"/>
      <c r="ZV75"/>
      <c r="ZW75"/>
      <c r="ZX75"/>
      <c r="ZY75"/>
      <c r="ZZ75"/>
      <c r="AAA75"/>
      <c r="AAB75"/>
      <c r="AAC75"/>
      <c r="AAD75"/>
      <c r="AAE75"/>
      <c r="AAF75"/>
      <c r="AAG75"/>
      <c r="AAH75"/>
      <c r="AAI75"/>
      <c r="AAJ75"/>
      <c r="AAK75"/>
      <c r="AAL75"/>
      <c r="AAM75"/>
      <c r="AAN75"/>
      <c r="AAO75"/>
      <c r="AAP75"/>
      <c r="AAQ75"/>
      <c r="AAR75"/>
      <c r="AAS75"/>
      <c r="AAT75"/>
      <c r="AAU75"/>
      <c r="AAV75"/>
      <c r="AAW75"/>
      <c r="AAX75"/>
      <c r="AAY75"/>
      <c r="AAZ75"/>
      <c r="ABA75"/>
      <c r="ABB75"/>
      <c r="ABC75"/>
      <c r="ABD75"/>
      <c r="ABE75"/>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row>
    <row r="76" spans="12:1024" ht="15.95" customHeight="1">
      <c r="L76"/>
      <c r="M76" s="108"/>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c r="AJK76"/>
      <c r="AJL76"/>
      <c r="AJM76"/>
      <c r="AJN76"/>
      <c r="AJO76"/>
      <c r="AJP76"/>
      <c r="AJQ76"/>
      <c r="AJR76"/>
      <c r="AJS76"/>
      <c r="AJT76"/>
      <c r="AJU76"/>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row>
    <row r="77" spans="12:1024" ht="15.95" customHeight="1">
      <c r="L77"/>
      <c r="M77" s="108"/>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row>
    <row r="78" spans="12:1024" ht="15.95" customHeight="1">
      <c r="L78"/>
      <c r="M78" s="10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c r="ABA78"/>
      <c r="ABB78"/>
      <c r="ABC78"/>
      <c r="ABD78"/>
      <c r="ABE78"/>
      <c r="ABF78"/>
      <c r="ABG78"/>
      <c r="ABH78"/>
      <c r="ABI78"/>
      <c r="ABJ78"/>
      <c r="ABK78"/>
      <c r="ABL78"/>
      <c r="ABM78"/>
      <c r="ABN78"/>
      <c r="ABO78"/>
      <c r="ABP78"/>
      <c r="ABQ78"/>
      <c r="ABR78"/>
      <c r="ABS78"/>
      <c r="ABT78"/>
      <c r="ABU78"/>
      <c r="ABV78"/>
      <c r="ABW78"/>
      <c r="ABX78"/>
      <c r="ABY78"/>
      <c r="ABZ78"/>
      <c r="ACA78"/>
      <c r="ACB78"/>
      <c r="ACC78"/>
      <c r="ACD78"/>
      <c r="ACE78"/>
      <c r="ACF78"/>
      <c r="ACG78"/>
      <c r="ACH78"/>
      <c r="ACI78"/>
      <c r="ACJ78"/>
      <c r="ACK78"/>
      <c r="ACL78"/>
      <c r="ACM78"/>
      <c r="ACN78"/>
      <c r="ACO78"/>
      <c r="ACP78"/>
      <c r="ACQ78"/>
      <c r="ACR78"/>
      <c r="ACS78"/>
      <c r="ACT78"/>
      <c r="ACU78"/>
      <c r="ACV78"/>
      <c r="ACW78"/>
      <c r="ACX78"/>
      <c r="ACY78"/>
      <c r="ACZ78"/>
      <c r="ADA78"/>
      <c r="ADB78"/>
      <c r="ADC78"/>
      <c r="ADD78"/>
      <c r="ADE78"/>
      <c r="ADF78"/>
      <c r="ADG78"/>
      <c r="ADH78"/>
      <c r="ADI78"/>
      <c r="ADJ78"/>
      <c r="ADK78"/>
      <c r="ADL78"/>
      <c r="ADM78"/>
      <c r="ADN78"/>
      <c r="ADO78"/>
      <c r="ADP78"/>
      <c r="ADQ78"/>
      <c r="ADR78"/>
      <c r="ADS78"/>
      <c r="ADT78"/>
      <c r="ADU78"/>
      <c r="ADV78"/>
      <c r="ADW78"/>
      <c r="ADX78"/>
      <c r="ADY78"/>
      <c r="ADZ78"/>
      <c r="AEA78"/>
      <c r="AEB78"/>
      <c r="AEC78"/>
      <c r="AED78"/>
      <c r="AEE78"/>
      <c r="AEF78"/>
      <c r="AEG78"/>
      <c r="AEH78"/>
      <c r="AEI78"/>
      <c r="AEJ78"/>
      <c r="AEK78"/>
      <c r="AEL78"/>
      <c r="AEM78"/>
      <c r="AEN78"/>
      <c r="AEO78"/>
      <c r="AEP78"/>
      <c r="AEQ78"/>
      <c r="AER78"/>
      <c r="AES78"/>
      <c r="AET78"/>
      <c r="AEU78"/>
      <c r="AEV78"/>
      <c r="AEW78"/>
      <c r="AEX78"/>
      <c r="AEY78"/>
      <c r="AEZ78"/>
      <c r="AFA78"/>
      <c r="AFB78"/>
      <c r="AFC78"/>
      <c r="AFD78"/>
      <c r="AFE78"/>
      <c r="AFF78"/>
      <c r="AFG78"/>
      <c r="AFH78"/>
      <c r="AFI78"/>
      <c r="AFJ78"/>
      <c r="AFK78"/>
      <c r="AFL78"/>
      <c r="AFM78"/>
      <c r="AFN78"/>
      <c r="AFO78"/>
      <c r="AFP78"/>
      <c r="AFQ78"/>
      <c r="AFR78"/>
      <c r="AFS78"/>
      <c r="AFT78"/>
      <c r="AFU78"/>
      <c r="AFV78"/>
      <c r="AFW78"/>
      <c r="AFX78"/>
      <c r="AFY78"/>
      <c r="AFZ78"/>
      <c r="AGA78"/>
      <c r="AGB78"/>
      <c r="AGC78"/>
      <c r="AGD78"/>
      <c r="AGE78"/>
      <c r="AGF78"/>
      <c r="AGG78"/>
      <c r="AGH78"/>
      <c r="AGI78"/>
      <c r="AGJ78"/>
      <c r="AGK78"/>
      <c r="AGL78"/>
      <c r="AGM78"/>
      <c r="AGN78"/>
      <c r="AGO78"/>
      <c r="AGP78"/>
      <c r="AGQ78"/>
      <c r="AGR78"/>
      <c r="AGS78"/>
      <c r="AGT78"/>
      <c r="AGU78"/>
      <c r="AGV78"/>
      <c r="AGW78"/>
      <c r="AGX78"/>
      <c r="AGY78"/>
      <c r="AGZ78"/>
      <c r="AHA78"/>
      <c r="AHB78"/>
      <c r="AHC78"/>
      <c r="AHD78"/>
      <c r="AHE78"/>
      <c r="AHF78"/>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c r="AIL78"/>
      <c r="AIM78"/>
      <c r="AIN78"/>
      <c r="AIO78"/>
      <c r="AIP78"/>
      <c r="AIQ78"/>
      <c r="AIR78"/>
      <c r="AIS78"/>
      <c r="AIT78"/>
      <c r="AIU78"/>
      <c r="AIV78"/>
      <c r="AIW78"/>
      <c r="AIX78"/>
      <c r="AIY78"/>
      <c r="AIZ78"/>
      <c r="AJA78"/>
      <c r="AJB78"/>
      <c r="AJC78"/>
      <c r="AJD78"/>
      <c r="AJE78"/>
      <c r="AJF78"/>
      <c r="AJG78"/>
      <c r="AJH78"/>
      <c r="AJI78"/>
      <c r="AJJ78"/>
      <c r="AJK78"/>
      <c r="AJL78"/>
      <c r="AJM78"/>
      <c r="AJN78"/>
      <c r="AJO78"/>
      <c r="AJP78"/>
      <c r="AJQ78"/>
      <c r="AJR78"/>
      <c r="AJS78"/>
      <c r="AJT78"/>
      <c r="AJU78"/>
      <c r="AJV78"/>
      <c r="AJW78"/>
      <c r="AJX78"/>
      <c r="AJY78"/>
      <c r="AJZ78"/>
      <c r="AKA78"/>
      <c r="AKB78"/>
      <c r="AKC78"/>
      <c r="AKD78"/>
      <c r="AKE78"/>
      <c r="AKF78"/>
      <c r="AKG78"/>
      <c r="AKH78"/>
      <c r="AKI78"/>
      <c r="AKJ78"/>
      <c r="AKK78"/>
      <c r="AKL78"/>
      <c r="AKM78"/>
      <c r="AKN78"/>
      <c r="AKO78"/>
      <c r="AKP78"/>
      <c r="AKQ78"/>
      <c r="AKR78"/>
      <c r="AKS78"/>
      <c r="AKT78"/>
      <c r="AKU78"/>
      <c r="AKV78"/>
      <c r="AKW78"/>
      <c r="AKX78"/>
      <c r="AKY78"/>
      <c r="AKZ78"/>
      <c r="ALA78"/>
      <c r="ALB78"/>
      <c r="ALC78"/>
      <c r="ALD78"/>
      <c r="ALE78"/>
      <c r="ALF78"/>
      <c r="ALG78"/>
      <c r="ALH78"/>
      <c r="ALI78"/>
      <c r="ALJ78"/>
      <c r="ALK78"/>
      <c r="ALL78"/>
      <c r="ALM78"/>
      <c r="ALN78"/>
      <c r="ALO78"/>
      <c r="ALP78"/>
      <c r="ALQ78"/>
      <c r="ALR78"/>
      <c r="ALS78"/>
      <c r="ALT78"/>
      <c r="ALU78"/>
      <c r="ALV78"/>
      <c r="ALW78"/>
      <c r="ALX78"/>
      <c r="ALY78"/>
      <c r="ALZ78"/>
      <c r="AMA78"/>
      <c r="AMB78"/>
      <c r="AMC78"/>
      <c r="AMD78"/>
      <c r="AME78"/>
      <c r="AMF78"/>
      <c r="AMG78"/>
      <c r="AMH78"/>
      <c r="AMI78"/>
      <c r="AMJ78"/>
    </row>
    <row r="79" spans="12:1024" ht="15.95" customHeight="1">
      <c r="L79"/>
      <c r="M79" s="108"/>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c r="ABA79"/>
      <c r="ABB79"/>
      <c r="ABC79"/>
      <c r="ABD79"/>
      <c r="ABE79"/>
      <c r="ABF79"/>
      <c r="ABG79"/>
      <c r="ABH79"/>
      <c r="ABI79"/>
      <c r="ABJ79"/>
      <c r="ABK79"/>
      <c r="ABL79"/>
      <c r="ABM79"/>
      <c r="ABN79"/>
      <c r="ABO79"/>
      <c r="ABP79"/>
      <c r="ABQ79"/>
      <c r="ABR79"/>
      <c r="ABS79"/>
      <c r="ABT79"/>
      <c r="ABU79"/>
      <c r="ABV79"/>
      <c r="ABW79"/>
      <c r="ABX79"/>
      <c r="ABY79"/>
      <c r="ABZ79"/>
      <c r="ACA79"/>
      <c r="ACB79"/>
      <c r="ACC79"/>
      <c r="ACD79"/>
      <c r="ACE79"/>
      <c r="ACF79"/>
      <c r="ACG79"/>
      <c r="ACH79"/>
      <c r="ACI79"/>
      <c r="ACJ79"/>
      <c r="ACK79"/>
      <c r="ACL79"/>
      <c r="ACM79"/>
      <c r="ACN79"/>
      <c r="ACO79"/>
      <c r="ACP79"/>
      <c r="ACQ79"/>
      <c r="ACR79"/>
      <c r="ACS79"/>
      <c r="ACT79"/>
      <c r="ACU79"/>
      <c r="ACV79"/>
      <c r="ACW79"/>
      <c r="ACX79"/>
      <c r="ACY79"/>
      <c r="ACZ79"/>
      <c r="ADA79"/>
      <c r="ADB79"/>
      <c r="ADC79"/>
      <c r="ADD79"/>
      <c r="ADE79"/>
      <c r="ADF79"/>
      <c r="ADG79"/>
      <c r="ADH79"/>
      <c r="ADI79"/>
      <c r="ADJ79"/>
      <c r="ADK79"/>
      <c r="ADL79"/>
      <c r="ADM79"/>
      <c r="ADN79"/>
      <c r="ADO79"/>
      <c r="ADP79"/>
      <c r="ADQ79"/>
      <c r="ADR79"/>
      <c r="ADS79"/>
      <c r="ADT79"/>
      <c r="ADU79"/>
      <c r="ADV79"/>
      <c r="ADW79"/>
      <c r="ADX79"/>
      <c r="ADY79"/>
      <c r="ADZ79"/>
      <c r="AEA79"/>
      <c r="AEB79"/>
      <c r="AEC79"/>
      <c r="AED79"/>
      <c r="AEE79"/>
      <c r="AEF79"/>
      <c r="AEG79"/>
      <c r="AEH79"/>
      <c r="AEI79"/>
      <c r="AEJ79"/>
      <c r="AEK79"/>
      <c r="AEL79"/>
      <c r="AEM79"/>
      <c r="AEN79"/>
      <c r="AEO79"/>
      <c r="AEP79"/>
      <c r="AEQ79"/>
      <c r="AER79"/>
      <c r="AES79"/>
      <c r="AET79"/>
      <c r="AEU79"/>
      <c r="AEV79"/>
      <c r="AEW79"/>
      <c r="AEX79"/>
      <c r="AEY79"/>
      <c r="AEZ79"/>
      <c r="AFA79"/>
      <c r="AFB79"/>
      <c r="AFC79"/>
      <c r="AFD79"/>
      <c r="AFE79"/>
      <c r="AFF79"/>
      <c r="AFG79"/>
      <c r="AFH79"/>
      <c r="AFI79"/>
      <c r="AFJ79"/>
      <c r="AFK79"/>
      <c r="AFL79"/>
      <c r="AFM79"/>
      <c r="AFN79"/>
      <c r="AFO79"/>
      <c r="AFP79"/>
      <c r="AFQ79"/>
      <c r="AFR79"/>
      <c r="AFS79"/>
      <c r="AFT79"/>
      <c r="AFU79"/>
      <c r="AFV79"/>
      <c r="AFW79"/>
      <c r="AFX79"/>
      <c r="AFY79"/>
      <c r="AFZ79"/>
      <c r="AGA79"/>
      <c r="AGB79"/>
      <c r="AGC79"/>
      <c r="AGD79"/>
      <c r="AGE79"/>
      <c r="AGF79"/>
      <c r="AGG79"/>
      <c r="AGH79"/>
      <c r="AGI79"/>
      <c r="AGJ79"/>
      <c r="AGK79"/>
      <c r="AGL79"/>
      <c r="AGM79"/>
      <c r="AGN79"/>
      <c r="AGO79"/>
      <c r="AGP79"/>
      <c r="AGQ79"/>
      <c r="AGR79"/>
      <c r="AGS79"/>
      <c r="AGT79"/>
      <c r="AGU79"/>
      <c r="AGV79"/>
      <c r="AGW79"/>
      <c r="AGX79"/>
      <c r="AGY79"/>
      <c r="AGZ79"/>
      <c r="AHA79"/>
      <c r="AHB79"/>
      <c r="AHC79"/>
      <c r="AHD79"/>
      <c r="AHE79"/>
      <c r="AHF79"/>
      <c r="AHG79"/>
      <c r="AHH79"/>
      <c r="AHI79"/>
      <c r="AHJ79"/>
      <c r="AHK79"/>
      <c r="AHL79"/>
      <c r="AHM79"/>
      <c r="AHN79"/>
      <c r="AHO79"/>
      <c r="AHP79"/>
      <c r="AHQ79"/>
      <c r="AHR79"/>
      <c r="AHS79"/>
      <c r="AHT79"/>
      <c r="AHU79"/>
      <c r="AHV79"/>
      <c r="AHW79"/>
      <c r="AHX79"/>
      <c r="AHY79"/>
      <c r="AHZ79"/>
      <c r="AIA79"/>
      <c r="AIB79"/>
      <c r="AIC79"/>
      <c r="AID79"/>
      <c r="AIE79"/>
      <c r="AIF79"/>
      <c r="AIG79"/>
      <c r="AIH79"/>
      <c r="AII79"/>
      <c r="AIJ79"/>
      <c r="AIK79"/>
      <c r="AIL79"/>
      <c r="AIM79"/>
      <c r="AIN79"/>
      <c r="AIO79"/>
      <c r="AIP79"/>
      <c r="AIQ79"/>
      <c r="AIR79"/>
      <c r="AIS79"/>
      <c r="AIT79"/>
      <c r="AIU79"/>
      <c r="AIV79"/>
      <c r="AIW79"/>
      <c r="AIX79"/>
      <c r="AIY79"/>
      <c r="AIZ79"/>
      <c r="AJA79"/>
      <c r="AJB79"/>
      <c r="AJC79"/>
      <c r="AJD79"/>
      <c r="AJE79"/>
      <c r="AJF79"/>
      <c r="AJG79"/>
      <c r="AJH79"/>
      <c r="AJI79"/>
      <c r="AJJ79"/>
      <c r="AJK79"/>
      <c r="AJL79"/>
      <c r="AJM79"/>
      <c r="AJN79"/>
      <c r="AJO79"/>
      <c r="AJP79"/>
      <c r="AJQ79"/>
      <c r="AJR79"/>
      <c r="AJS79"/>
      <c r="AJT79"/>
      <c r="AJU79"/>
      <c r="AJV79"/>
      <c r="AJW79"/>
      <c r="AJX79"/>
      <c r="AJY79"/>
      <c r="AJZ79"/>
      <c r="AKA79"/>
      <c r="AKB79"/>
      <c r="AKC79"/>
      <c r="AKD79"/>
      <c r="AKE79"/>
      <c r="AKF79"/>
      <c r="AKG79"/>
      <c r="AKH79"/>
      <c r="AKI79"/>
      <c r="AKJ79"/>
      <c r="AKK79"/>
      <c r="AKL79"/>
      <c r="AKM79"/>
      <c r="AKN79"/>
      <c r="AKO79"/>
      <c r="AKP79"/>
      <c r="AKQ79"/>
      <c r="AKR79"/>
      <c r="AKS79"/>
      <c r="AKT79"/>
      <c r="AKU79"/>
      <c r="AKV79"/>
      <c r="AKW79"/>
      <c r="AKX79"/>
      <c r="AKY79"/>
      <c r="AKZ79"/>
      <c r="ALA79"/>
      <c r="ALB79"/>
      <c r="ALC79"/>
      <c r="ALD79"/>
      <c r="ALE79"/>
      <c r="ALF79"/>
      <c r="ALG79"/>
      <c r="ALH79"/>
      <c r="ALI79"/>
      <c r="ALJ79"/>
      <c r="ALK79"/>
      <c r="ALL79"/>
      <c r="ALM79"/>
      <c r="ALN79"/>
      <c r="ALO79"/>
      <c r="ALP79"/>
      <c r="ALQ79"/>
      <c r="ALR79"/>
      <c r="ALS79"/>
      <c r="ALT79"/>
      <c r="ALU79"/>
      <c r="ALV79"/>
      <c r="ALW79"/>
      <c r="ALX79"/>
      <c r="ALY79"/>
      <c r="ALZ79"/>
      <c r="AMA79"/>
      <c r="AMB79"/>
      <c r="AMC79"/>
      <c r="AMD79"/>
      <c r="AME79"/>
      <c r="AMF79"/>
      <c r="AMG79"/>
      <c r="AMH79"/>
      <c r="AMI79"/>
      <c r="AMJ79"/>
    </row>
    <row r="80" spans="12:1024" ht="15.95" customHeight="1">
      <c r="L80"/>
      <c r="M80" s="108"/>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c r="AAD80"/>
      <c r="AAE80"/>
      <c r="AAF80"/>
      <c r="AAG80"/>
      <c r="AAH80"/>
      <c r="AAI80"/>
      <c r="AAJ80"/>
      <c r="AAK80"/>
      <c r="AAL80"/>
      <c r="AAM80"/>
      <c r="AAN80"/>
      <c r="AAO80"/>
      <c r="AAP80"/>
      <c r="AAQ80"/>
      <c r="AAR80"/>
      <c r="AAS80"/>
      <c r="AAT80"/>
      <c r="AAU80"/>
      <c r="AAV80"/>
      <c r="AAW80"/>
      <c r="AAX80"/>
      <c r="AAY80"/>
      <c r="AAZ80"/>
      <c r="ABA80"/>
      <c r="ABB80"/>
      <c r="ABC80"/>
      <c r="ABD80"/>
      <c r="ABE80"/>
      <c r="ABF80"/>
      <c r="ABG80"/>
      <c r="ABH80"/>
      <c r="ABI80"/>
      <c r="ABJ80"/>
      <c r="ABK80"/>
      <c r="ABL80"/>
      <c r="ABM80"/>
      <c r="ABN80"/>
      <c r="ABO80"/>
      <c r="ABP80"/>
      <c r="ABQ80"/>
      <c r="ABR80"/>
      <c r="ABS80"/>
      <c r="ABT80"/>
      <c r="ABU80"/>
      <c r="ABV80"/>
      <c r="ABW80"/>
      <c r="ABX80"/>
      <c r="ABY80"/>
      <c r="ABZ80"/>
      <c r="ACA80"/>
      <c r="ACB80"/>
      <c r="ACC80"/>
      <c r="ACD80"/>
      <c r="ACE80"/>
      <c r="ACF80"/>
      <c r="ACG80"/>
      <c r="ACH80"/>
      <c r="ACI80"/>
      <c r="ACJ80"/>
      <c r="ACK80"/>
      <c r="ACL80"/>
      <c r="ACM80"/>
      <c r="ACN80"/>
      <c r="ACO80"/>
      <c r="ACP80"/>
      <c r="ACQ80"/>
      <c r="ACR80"/>
      <c r="ACS80"/>
      <c r="ACT80"/>
      <c r="ACU80"/>
      <c r="ACV80"/>
      <c r="ACW80"/>
      <c r="ACX80"/>
      <c r="ACY80"/>
      <c r="ACZ80"/>
      <c r="ADA80"/>
      <c r="ADB80"/>
      <c r="ADC80"/>
      <c r="ADD80"/>
      <c r="ADE80"/>
      <c r="ADF80"/>
      <c r="ADG80"/>
      <c r="ADH80"/>
      <c r="ADI80"/>
      <c r="ADJ80"/>
      <c r="ADK80"/>
      <c r="ADL80"/>
      <c r="ADM80"/>
      <c r="ADN80"/>
      <c r="ADO80"/>
      <c r="ADP80"/>
      <c r="ADQ80"/>
      <c r="ADR80"/>
      <c r="ADS80"/>
      <c r="ADT80"/>
      <c r="ADU80"/>
      <c r="ADV80"/>
      <c r="ADW80"/>
      <c r="ADX80"/>
      <c r="ADY80"/>
      <c r="ADZ80"/>
      <c r="AEA80"/>
      <c r="AEB80"/>
      <c r="AEC80"/>
      <c r="AED80"/>
      <c r="AEE80"/>
      <c r="AEF80"/>
      <c r="AEG80"/>
      <c r="AEH80"/>
      <c r="AEI80"/>
      <c r="AEJ80"/>
      <c r="AEK80"/>
      <c r="AEL80"/>
      <c r="AEM80"/>
      <c r="AEN80"/>
      <c r="AEO80"/>
      <c r="AEP80"/>
      <c r="AEQ80"/>
      <c r="AER80"/>
      <c r="AES80"/>
      <c r="AET80"/>
      <c r="AEU80"/>
      <c r="AEV80"/>
      <c r="AEW80"/>
      <c r="AEX80"/>
      <c r="AEY80"/>
      <c r="AEZ80"/>
      <c r="AFA80"/>
      <c r="AFB80"/>
      <c r="AFC80"/>
      <c r="AFD80"/>
      <c r="AFE80"/>
      <c r="AFF80"/>
      <c r="AFG80"/>
      <c r="AFH80"/>
      <c r="AFI80"/>
      <c r="AFJ80"/>
      <c r="AFK80"/>
      <c r="AFL80"/>
      <c r="AFM80"/>
      <c r="AFN80"/>
      <c r="AFO80"/>
      <c r="AFP80"/>
      <c r="AFQ80"/>
      <c r="AFR80"/>
      <c r="AFS80"/>
      <c r="AFT80"/>
      <c r="AFU80"/>
      <c r="AFV80"/>
      <c r="AFW80"/>
      <c r="AFX80"/>
      <c r="AFY80"/>
      <c r="AFZ80"/>
      <c r="AGA80"/>
      <c r="AGB80"/>
      <c r="AGC80"/>
      <c r="AGD80"/>
      <c r="AGE80"/>
      <c r="AGF80"/>
      <c r="AGG80"/>
      <c r="AGH80"/>
      <c r="AGI80"/>
      <c r="AGJ80"/>
      <c r="AGK80"/>
      <c r="AGL80"/>
      <c r="AGM80"/>
      <c r="AGN80"/>
      <c r="AGO80"/>
      <c r="AGP80"/>
      <c r="AGQ80"/>
      <c r="AGR80"/>
      <c r="AGS80"/>
      <c r="AGT80"/>
      <c r="AGU80"/>
      <c r="AGV80"/>
      <c r="AGW80"/>
      <c r="AGX80"/>
      <c r="AGY80"/>
      <c r="AGZ80"/>
      <c r="AHA80"/>
      <c r="AHB80"/>
      <c r="AHC80"/>
      <c r="AHD80"/>
      <c r="AHE80"/>
      <c r="AHF80"/>
      <c r="AHG80"/>
      <c r="AHH80"/>
      <c r="AHI80"/>
      <c r="AHJ80"/>
      <c r="AHK80"/>
      <c r="AHL80"/>
      <c r="AHM80"/>
      <c r="AHN80"/>
      <c r="AHO80"/>
      <c r="AHP80"/>
      <c r="AHQ80"/>
      <c r="AHR80"/>
      <c r="AHS80"/>
      <c r="AHT80"/>
      <c r="AHU80"/>
      <c r="AHV80"/>
      <c r="AHW80"/>
      <c r="AHX80"/>
      <c r="AHY80"/>
      <c r="AHZ80"/>
      <c r="AIA80"/>
      <c r="AIB80"/>
      <c r="AIC80"/>
      <c r="AID80"/>
      <c r="AIE80"/>
      <c r="AIF80"/>
      <c r="AIG80"/>
      <c r="AIH80"/>
      <c r="AII80"/>
      <c r="AIJ80"/>
      <c r="AIK80"/>
      <c r="AIL80"/>
      <c r="AIM80"/>
      <c r="AIN80"/>
      <c r="AIO80"/>
      <c r="AIP80"/>
      <c r="AIQ80"/>
      <c r="AIR80"/>
      <c r="AIS80"/>
      <c r="AIT80"/>
      <c r="AIU80"/>
      <c r="AIV80"/>
      <c r="AIW80"/>
      <c r="AIX80"/>
      <c r="AIY80"/>
      <c r="AIZ80"/>
      <c r="AJA80"/>
      <c r="AJB80"/>
      <c r="AJC80"/>
      <c r="AJD80"/>
      <c r="AJE80"/>
      <c r="AJF80"/>
      <c r="AJG80"/>
      <c r="AJH80"/>
      <c r="AJI80"/>
      <c r="AJJ80"/>
      <c r="AJK80"/>
      <c r="AJL80"/>
      <c r="AJM80"/>
      <c r="AJN80"/>
      <c r="AJO80"/>
      <c r="AJP80"/>
      <c r="AJQ80"/>
      <c r="AJR80"/>
      <c r="AJS80"/>
      <c r="AJT80"/>
      <c r="AJU80"/>
      <c r="AJV80"/>
      <c r="AJW80"/>
      <c r="AJX80"/>
      <c r="AJY80"/>
      <c r="AJZ80"/>
      <c r="AKA80"/>
      <c r="AKB80"/>
      <c r="AKC80"/>
      <c r="AKD80"/>
      <c r="AKE80"/>
      <c r="AKF80"/>
      <c r="AKG80"/>
      <c r="AKH80"/>
      <c r="AKI80"/>
      <c r="AKJ80"/>
      <c r="AKK80"/>
      <c r="AKL80"/>
      <c r="AKM80"/>
      <c r="AKN80"/>
      <c r="AKO80"/>
      <c r="AKP80"/>
      <c r="AKQ80"/>
      <c r="AKR80"/>
      <c r="AKS80"/>
      <c r="AKT80"/>
      <c r="AKU80"/>
      <c r="AKV80"/>
      <c r="AKW80"/>
      <c r="AKX80"/>
      <c r="AKY80"/>
      <c r="AKZ80"/>
      <c r="ALA80"/>
      <c r="ALB80"/>
      <c r="ALC80"/>
      <c r="ALD80"/>
      <c r="ALE80"/>
      <c r="ALF80"/>
      <c r="ALG80"/>
      <c r="ALH80"/>
      <c r="ALI80"/>
      <c r="ALJ80"/>
      <c r="ALK80"/>
      <c r="ALL80"/>
      <c r="ALM80"/>
      <c r="ALN80"/>
      <c r="ALO80"/>
      <c r="ALP80"/>
      <c r="ALQ80"/>
      <c r="ALR80"/>
      <c r="ALS80"/>
      <c r="ALT80"/>
      <c r="ALU80"/>
      <c r="ALV80"/>
      <c r="ALW80"/>
      <c r="ALX80"/>
      <c r="ALY80"/>
      <c r="ALZ80"/>
      <c r="AMA80"/>
      <c r="AMB80"/>
      <c r="AMC80"/>
      <c r="AMD80"/>
      <c r="AME80"/>
      <c r="AMF80"/>
      <c r="AMG80"/>
      <c r="AMH80"/>
      <c r="AMI80"/>
      <c r="AMJ80"/>
    </row>
    <row r="81" spans="12:1024" ht="15.95" customHeight="1">
      <c r="L81"/>
      <c r="M81" s="108"/>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row>
    <row r="82" spans="12:1024" ht="15.95" customHeight="1">
      <c r="L82"/>
      <c r="M82" s="108"/>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c r="WL82"/>
      <c r="WM82"/>
      <c r="WN82"/>
      <c r="WO82"/>
      <c r="WP82"/>
      <c r="WQ82"/>
      <c r="WR82"/>
      <c r="WS82"/>
      <c r="WT82"/>
      <c r="WU82"/>
      <c r="WV82"/>
      <c r="WW82"/>
      <c r="WX82"/>
      <c r="WY82"/>
      <c r="WZ82"/>
      <c r="XA82"/>
      <c r="XB82"/>
      <c r="XC82"/>
      <c r="XD82"/>
      <c r="XE82"/>
      <c r="XF82"/>
      <c r="XG82"/>
      <c r="XH82"/>
      <c r="XI82"/>
      <c r="XJ82"/>
      <c r="XK82"/>
      <c r="XL82"/>
      <c r="XM82"/>
      <c r="XN82"/>
      <c r="XO82"/>
      <c r="XP82"/>
      <c r="XQ82"/>
      <c r="XR82"/>
      <c r="XS82"/>
      <c r="XT82"/>
      <c r="XU82"/>
      <c r="XV82"/>
      <c r="XW82"/>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c r="AAD82"/>
      <c r="AAE82"/>
      <c r="AAF82"/>
      <c r="AAG82"/>
      <c r="AAH82"/>
      <c r="AAI82"/>
      <c r="AAJ82"/>
      <c r="AAK82"/>
      <c r="AAL82"/>
      <c r="AAM82"/>
      <c r="AAN82"/>
      <c r="AAO82"/>
      <c r="AAP82"/>
      <c r="AAQ82"/>
      <c r="AAR82"/>
      <c r="AAS82"/>
      <c r="AAT82"/>
      <c r="AAU82"/>
      <c r="AAV82"/>
      <c r="AAW82"/>
      <c r="AAX82"/>
      <c r="AAY82"/>
      <c r="AAZ82"/>
      <c r="ABA82"/>
      <c r="ABB82"/>
      <c r="ABC82"/>
      <c r="ABD82"/>
      <c r="ABE82"/>
      <c r="ABF82"/>
      <c r="ABG82"/>
      <c r="ABH82"/>
      <c r="ABI82"/>
      <c r="ABJ82"/>
      <c r="ABK82"/>
      <c r="ABL82"/>
      <c r="ABM82"/>
      <c r="ABN82"/>
      <c r="ABO82"/>
      <c r="ABP82"/>
      <c r="ABQ82"/>
      <c r="ABR82"/>
      <c r="ABS82"/>
      <c r="ABT82"/>
      <c r="ABU82"/>
      <c r="ABV82"/>
      <c r="ABW82"/>
      <c r="ABX82"/>
      <c r="ABY82"/>
      <c r="ABZ82"/>
      <c r="ACA82"/>
      <c r="ACB82"/>
      <c r="ACC82"/>
      <c r="ACD82"/>
      <c r="ACE82"/>
      <c r="ACF82"/>
      <c r="ACG82"/>
      <c r="ACH82"/>
      <c r="ACI82"/>
      <c r="ACJ82"/>
      <c r="ACK82"/>
      <c r="ACL82"/>
      <c r="ACM82"/>
      <c r="ACN82"/>
      <c r="ACO82"/>
      <c r="ACP82"/>
      <c r="ACQ82"/>
      <c r="ACR82"/>
      <c r="ACS82"/>
      <c r="ACT82"/>
      <c r="ACU82"/>
      <c r="ACV82"/>
      <c r="ACW82"/>
      <c r="ACX82"/>
      <c r="ACY82"/>
      <c r="ACZ82"/>
      <c r="ADA82"/>
      <c r="ADB82"/>
      <c r="ADC82"/>
      <c r="ADD82"/>
      <c r="ADE82"/>
      <c r="ADF82"/>
      <c r="ADG82"/>
      <c r="ADH82"/>
      <c r="ADI82"/>
      <c r="ADJ82"/>
      <c r="ADK82"/>
      <c r="ADL82"/>
      <c r="ADM82"/>
      <c r="ADN82"/>
      <c r="ADO82"/>
      <c r="ADP82"/>
      <c r="ADQ82"/>
      <c r="ADR82"/>
      <c r="ADS82"/>
      <c r="ADT82"/>
      <c r="ADU82"/>
      <c r="ADV82"/>
      <c r="ADW82"/>
      <c r="ADX82"/>
      <c r="ADY82"/>
      <c r="ADZ82"/>
      <c r="AEA82"/>
      <c r="AEB82"/>
      <c r="AEC82"/>
      <c r="AED82"/>
      <c r="AEE82"/>
      <c r="AEF82"/>
      <c r="AEG82"/>
      <c r="AEH82"/>
      <c r="AEI82"/>
      <c r="AEJ82"/>
      <c r="AEK82"/>
      <c r="AEL82"/>
      <c r="AEM82"/>
      <c r="AEN82"/>
      <c r="AEO82"/>
      <c r="AEP82"/>
      <c r="AEQ82"/>
      <c r="AER82"/>
      <c r="AES82"/>
      <c r="AET82"/>
      <c r="AEU82"/>
      <c r="AEV82"/>
      <c r="AEW82"/>
      <c r="AEX82"/>
      <c r="AEY82"/>
      <c r="AEZ82"/>
      <c r="AFA82"/>
      <c r="AFB82"/>
      <c r="AFC82"/>
      <c r="AFD82"/>
      <c r="AFE82"/>
      <c r="AFF82"/>
      <c r="AFG82"/>
      <c r="AFH82"/>
      <c r="AFI82"/>
      <c r="AFJ82"/>
      <c r="AFK82"/>
      <c r="AFL82"/>
      <c r="AFM82"/>
      <c r="AFN82"/>
      <c r="AFO82"/>
      <c r="AFP82"/>
      <c r="AFQ82"/>
      <c r="AFR82"/>
      <c r="AFS82"/>
      <c r="AFT82"/>
      <c r="AFU82"/>
      <c r="AFV82"/>
      <c r="AFW82"/>
      <c r="AFX82"/>
      <c r="AFY82"/>
      <c r="AFZ82"/>
      <c r="AGA82"/>
      <c r="AGB82"/>
      <c r="AGC82"/>
      <c r="AGD82"/>
      <c r="AGE82"/>
      <c r="AGF82"/>
      <c r="AGG82"/>
      <c r="AGH82"/>
      <c r="AGI82"/>
      <c r="AGJ82"/>
      <c r="AGK82"/>
      <c r="AGL82"/>
      <c r="AGM82"/>
      <c r="AGN82"/>
      <c r="AGO82"/>
      <c r="AGP82"/>
      <c r="AGQ82"/>
      <c r="AGR82"/>
      <c r="AGS82"/>
      <c r="AGT82"/>
      <c r="AGU82"/>
      <c r="AGV82"/>
      <c r="AGW82"/>
      <c r="AGX82"/>
      <c r="AGY82"/>
      <c r="AGZ82"/>
      <c r="AHA82"/>
      <c r="AHB82"/>
      <c r="AHC82"/>
      <c r="AHD82"/>
      <c r="AHE82"/>
      <c r="AHF82"/>
      <c r="AHG82"/>
      <c r="AHH82"/>
      <c r="AHI82"/>
      <c r="AHJ82"/>
      <c r="AHK82"/>
      <c r="AHL82"/>
      <c r="AHM82"/>
      <c r="AHN82"/>
      <c r="AHO82"/>
      <c r="AHP82"/>
      <c r="AHQ82"/>
      <c r="AHR82"/>
      <c r="AHS82"/>
      <c r="AHT82"/>
      <c r="AHU82"/>
      <c r="AHV82"/>
      <c r="AHW82"/>
      <c r="AHX82"/>
      <c r="AHY82"/>
      <c r="AHZ82"/>
      <c r="AIA82"/>
      <c r="AIB82"/>
      <c r="AIC82"/>
      <c r="AID82"/>
      <c r="AIE82"/>
      <c r="AIF82"/>
      <c r="AIG82"/>
      <c r="AIH82"/>
      <c r="AII82"/>
      <c r="AIJ82"/>
      <c r="AIK82"/>
      <c r="AIL82"/>
      <c r="AIM82"/>
      <c r="AIN82"/>
      <c r="AIO82"/>
      <c r="AIP82"/>
      <c r="AIQ82"/>
      <c r="AIR82"/>
      <c r="AIS82"/>
      <c r="AIT82"/>
      <c r="AIU82"/>
      <c r="AIV82"/>
      <c r="AIW82"/>
      <c r="AIX82"/>
      <c r="AIY82"/>
      <c r="AIZ82"/>
      <c r="AJA82"/>
      <c r="AJB82"/>
      <c r="AJC82"/>
      <c r="AJD82"/>
      <c r="AJE82"/>
      <c r="AJF82"/>
      <c r="AJG82"/>
      <c r="AJH82"/>
      <c r="AJI82"/>
      <c r="AJJ82"/>
      <c r="AJK82"/>
      <c r="AJL82"/>
      <c r="AJM82"/>
      <c r="AJN82"/>
      <c r="AJO82"/>
      <c r="AJP82"/>
      <c r="AJQ82"/>
      <c r="AJR82"/>
      <c r="AJS82"/>
      <c r="AJT82"/>
      <c r="AJU82"/>
      <c r="AJV82"/>
      <c r="AJW82"/>
      <c r="AJX82"/>
      <c r="AJY82"/>
      <c r="AJZ82"/>
      <c r="AKA82"/>
      <c r="AKB82"/>
      <c r="AKC82"/>
      <c r="AKD82"/>
      <c r="AKE82"/>
      <c r="AKF82"/>
      <c r="AKG82"/>
      <c r="AKH82"/>
      <c r="AKI82"/>
      <c r="AKJ82"/>
      <c r="AKK82"/>
      <c r="AKL82"/>
      <c r="AKM82"/>
      <c r="AKN82"/>
      <c r="AKO82"/>
      <c r="AKP82"/>
      <c r="AKQ82"/>
      <c r="AKR82"/>
      <c r="AKS82"/>
      <c r="AKT82"/>
      <c r="AKU82"/>
      <c r="AKV82"/>
      <c r="AKW82"/>
      <c r="AKX82"/>
      <c r="AKY82"/>
      <c r="AKZ82"/>
      <c r="ALA82"/>
      <c r="ALB82"/>
      <c r="ALC82"/>
      <c r="ALD82"/>
      <c r="ALE82"/>
      <c r="ALF82"/>
      <c r="ALG82"/>
      <c r="ALH82"/>
      <c r="ALI82"/>
      <c r="ALJ82"/>
      <c r="ALK82"/>
      <c r="ALL82"/>
      <c r="ALM82"/>
      <c r="ALN82"/>
      <c r="ALO82"/>
      <c r="ALP82"/>
      <c r="ALQ82"/>
      <c r="ALR82"/>
      <c r="ALS82"/>
      <c r="ALT82"/>
      <c r="ALU82"/>
      <c r="ALV82"/>
      <c r="ALW82"/>
      <c r="ALX82"/>
      <c r="ALY82"/>
      <c r="ALZ82"/>
      <c r="AMA82"/>
      <c r="AMB82"/>
      <c r="AMC82"/>
      <c r="AMD82"/>
      <c r="AME82"/>
      <c r="AMF82"/>
      <c r="AMG82"/>
      <c r="AMH82"/>
      <c r="AMI82"/>
      <c r="AMJ82"/>
    </row>
    <row r="83" spans="12:1024" ht="20.25" customHeight="1">
      <c r="L83"/>
      <c r="M83" s="108"/>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c r="WL83"/>
      <c r="WM83"/>
      <c r="WN83"/>
      <c r="WO83"/>
      <c r="WP83"/>
      <c r="WQ83"/>
      <c r="WR83"/>
      <c r="WS83"/>
      <c r="WT83"/>
      <c r="WU83"/>
      <c r="WV83"/>
      <c r="WW83"/>
      <c r="WX83"/>
      <c r="WY83"/>
      <c r="WZ83"/>
      <c r="XA83"/>
      <c r="XB83"/>
      <c r="XC83"/>
      <c r="XD83"/>
      <c r="XE83"/>
      <c r="XF83"/>
      <c r="XG83"/>
      <c r="XH83"/>
      <c r="XI83"/>
      <c r="XJ83"/>
      <c r="XK83"/>
      <c r="XL83"/>
      <c r="XM83"/>
      <c r="XN83"/>
      <c r="XO83"/>
      <c r="XP83"/>
      <c r="XQ83"/>
      <c r="XR83"/>
      <c r="XS83"/>
      <c r="XT83"/>
      <c r="XU83"/>
      <c r="XV83"/>
      <c r="XW83"/>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c r="AAD83"/>
      <c r="AAE83"/>
      <c r="AAF83"/>
      <c r="AAG83"/>
      <c r="AAH83"/>
      <c r="AAI83"/>
      <c r="AAJ83"/>
      <c r="AAK83"/>
      <c r="AAL83"/>
      <c r="AAM83"/>
      <c r="AAN83"/>
      <c r="AAO83"/>
      <c r="AAP83"/>
      <c r="AAQ83"/>
      <c r="AAR83"/>
      <c r="AAS83"/>
      <c r="AAT83"/>
      <c r="AAU83"/>
      <c r="AAV83"/>
      <c r="AAW83"/>
      <c r="AAX83"/>
      <c r="AAY83"/>
      <c r="AAZ83"/>
      <c r="ABA83"/>
      <c r="ABB83"/>
      <c r="ABC83"/>
      <c r="ABD83"/>
      <c r="ABE83"/>
      <c r="ABF83"/>
      <c r="ABG83"/>
      <c r="ABH83"/>
      <c r="ABI83"/>
      <c r="ABJ83"/>
      <c r="ABK83"/>
      <c r="ABL83"/>
      <c r="ABM83"/>
      <c r="ABN83"/>
      <c r="ABO83"/>
      <c r="ABP83"/>
      <c r="ABQ83"/>
      <c r="ABR83"/>
      <c r="ABS83"/>
      <c r="ABT83"/>
      <c r="ABU83"/>
      <c r="ABV83"/>
      <c r="ABW83"/>
      <c r="ABX83"/>
      <c r="ABY83"/>
      <c r="ABZ83"/>
      <c r="ACA83"/>
      <c r="ACB83"/>
      <c r="ACC83"/>
      <c r="ACD83"/>
      <c r="ACE83"/>
      <c r="ACF83"/>
      <c r="ACG83"/>
      <c r="ACH83"/>
      <c r="ACI83"/>
      <c r="ACJ83"/>
      <c r="ACK83"/>
      <c r="ACL83"/>
      <c r="ACM83"/>
      <c r="ACN83"/>
      <c r="ACO83"/>
      <c r="ACP83"/>
      <c r="ACQ83"/>
      <c r="ACR83"/>
      <c r="ACS83"/>
      <c r="ACT83"/>
      <c r="ACU83"/>
      <c r="ACV83"/>
      <c r="ACW83"/>
      <c r="ACX83"/>
      <c r="ACY83"/>
      <c r="ACZ83"/>
      <c r="ADA83"/>
      <c r="ADB83"/>
      <c r="ADC83"/>
      <c r="ADD83"/>
      <c r="ADE83"/>
      <c r="ADF83"/>
      <c r="ADG83"/>
      <c r="ADH83"/>
      <c r="ADI83"/>
      <c r="ADJ83"/>
      <c r="ADK83"/>
      <c r="ADL83"/>
      <c r="ADM83"/>
      <c r="ADN83"/>
      <c r="ADO83"/>
      <c r="ADP83"/>
      <c r="ADQ83"/>
      <c r="ADR83"/>
      <c r="ADS83"/>
      <c r="ADT83"/>
      <c r="ADU83"/>
      <c r="ADV83"/>
      <c r="ADW83"/>
      <c r="ADX83"/>
      <c r="ADY83"/>
      <c r="ADZ83"/>
      <c r="AEA83"/>
      <c r="AEB83"/>
      <c r="AEC83"/>
      <c r="AED83"/>
      <c r="AEE83"/>
      <c r="AEF83"/>
      <c r="AEG83"/>
      <c r="AEH83"/>
      <c r="AEI83"/>
      <c r="AEJ83"/>
      <c r="AEK83"/>
      <c r="AEL83"/>
      <c r="AEM83"/>
      <c r="AEN83"/>
      <c r="AEO83"/>
      <c r="AEP83"/>
      <c r="AEQ83"/>
      <c r="AER83"/>
      <c r="AES83"/>
      <c r="AET83"/>
      <c r="AEU83"/>
      <c r="AEV83"/>
      <c r="AEW83"/>
      <c r="AEX83"/>
      <c r="AEY83"/>
      <c r="AEZ83"/>
      <c r="AFA83"/>
      <c r="AFB83"/>
      <c r="AFC83"/>
      <c r="AFD83"/>
      <c r="AFE83"/>
      <c r="AFF83"/>
      <c r="AFG83"/>
      <c r="AFH83"/>
      <c r="AFI83"/>
      <c r="AFJ83"/>
      <c r="AFK83"/>
      <c r="AFL83"/>
      <c r="AFM83"/>
      <c r="AFN83"/>
      <c r="AFO83"/>
      <c r="AFP83"/>
      <c r="AFQ83"/>
      <c r="AFR83"/>
      <c r="AFS83"/>
      <c r="AFT83"/>
      <c r="AFU83"/>
      <c r="AFV83"/>
      <c r="AFW83"/>
      <c r="AFX83"/>
      <c r="AFY83"/>
      <c r="AFZ83"/>
      <c r="AGA83"/>
      <c r="AGB83"/>
      <c r="AGC83"/>
      <c r="AGD83"/>
      <c r="AGE83"/>
      <c r="AGF83"/>
      <c r="AGG83"/>
      <c r="AGH83"/>
      <c r="AGI83"/>
      <c r="AGJ83"/>
      <c r="AGK83"/>
      <c r="AGL83"/>
      <c r="AGM83"/>
      <c r="AGN83"/>
      <c r="AGO83"/>
      <c r="AGP83"/>
      <c r="AGQ83"/>
      <c r="AGR83"/>
      <c r="AGS83"/>
      <c r="AGT83"/>
      <c r="AGU83"/>
      <c r="AGV83"/>
      <c r="AGW83"/>
      <c r="AGX83"/>
      <c r="AGY83"/>
      <c r="AGZ83"/>
      <c r="AHA83"/>
      <c r="AHB83"/>
      <c r="AHC83"/>
      <c r="AHD83"/>
      <c r="AHE83"/>
      <c r="AHF83"/>
      <c r="AHG83"/>
      <c r="AHH83"/>
      <c r="AHI83"/>
      <c r="AHJ83"/>
      <c r="AHK83"/>
      <c r="AHL83"/>
      <c r="AHM83"/>
      <c r="AHN83"/>
      <c r="AHO83"/>
      <c r="AHP83"/>
      <c r="AHQ83"/>
      <c r="AHR83"/>
      <c r="AHS83"/>
      <c r="AHT83"/>
      <c r="AHU83"/>
      <c r="AHV83"/>
      <c r="AHW83"/>
      <c r="AHX83"/>
      <c r="AHY83"/>
      <c r="AHZ83"/>
      <c r="AIA83"/>
      <c r="AIB83"/>
      <c r="AIC83"/>
      <c r="AID83"/>
      <c r="AIE83"/>
      <c r="AIF83"/>
      <c r="AIG83"/>
      <c r="AIH83"/>
      <c r="AII83"/>
      <c r="AIJ83"/>
      <c r="AIK83"/>
      <c r="AIL83"/>
      <c r="AIM83"/>
      <c r="AIN83"/>
      <c r="AIO83"/>
      <c r="AIP83"/>
      <c r="AIQ83"/>
      <c r="AIR83"/>
      <c r="AIS83"/>
      <c r="AIT83"/>
      <c r="AIU83"/>
      <c r="AIV83"/>
      <c r="AIW83"/>
      <c r="AIX83"/>
      <c r="AIY83"/>
      <c r="AIZ83"/>
      <c r="AJA83"/>
      <c r="AJB83"/>
      <c r="AJC83"/>
      <c r="AJD83"/>
      <c r="AJE83"/>
      <c r="AJF83"/>
      <c r="AJG83"/>
      <c r="AJH83"/>
      <c r="AJI83"/>
      <c r="AJJ83"/>
      <c r="AJK83"/>
      <c r="AJL83"/>
      <c r="AJM83"/>
      <c r="AJN83"/>
      <c r="AJO83"/>
      <c r="AJP83"/>
      <c r="AJQ83"/>
      <c r="AJR83"/>
      <c r="AJS83"/>
      <c r="AJT83"/>
      <c r="AJU83"/>
      <c r="AJV83"/>
      <c r="AJW83"/>
      <c r="AJX83"/>
      <c r="AJY83"/>
      <c r="AJZ83"/>
      <c r="AKA83"/>
      <c r="AKB83"/>
      <c r="AKC83"/>
      <c r="AKD83"/>
      <c r="AKE83"/>
      <c r="AKF83"/>
      <c r="AKG83"/>
      <c r="AKH83"/>
      <c r="AKI83"/>
      <c r="AKJ83"/>
      <c r="AKK83"/>
      <c r="AKL83"/>
      <c r="AKM83"/>
      <c r="AKN83"/>
      <c r="AKO83"/>
      <c r="AKP83"/>
      <c r="AKQ83"/>
      <c r="AKR83"/>
      <c r="AKS83"/>
      <c r="AKT83"/>
      <c r="AKU83"/>
      <c r="AKV83"/>
      <c r="AKW83"/>
      <c r="AKX83"/>
      <c r="AKY83"/>
      <c r="AKZ83"/>
      <c r="ALA83"/>
      <c r="ALB83"/>
      <c r="ALC83"/>
      <c r="ALD83"/>
      <c r="ALE83"/>
      <c r="ALF83"/>
      <c r="ALG83"/>
      <c r="ALH83"/>
      <c r="ALI83"/>
      <c r="ALJ83"/>
      <c r="ALK83"/>
      <c r="ALL83"/>
      <c r="ALM83"/>
      <c r="ALN83"/>
      <c r="ALO83"/>
      <c r="ALP83"/>
      <c r="ALQ83"/>
      <c r="ALR83"/>
      <c r="ALS83"/>
      <c r="ALT83"/>
      <c r="ALU83"/>
      <c r="ALV83"/>
      <c r="ALW83"/>
      <c r="ALX83"/>
      <c r="ALY83"/>
      <c r="ALZ83"/>
      <c r="AMA83"/>
      <c r="AMB83"/>
      <c r="AMC83"/>
      <c r="AMD83"/>
      <c r="AME83"/>
      <c r="AMF83"/>
      <c r="AMG83"/>
      <c r="AMH83"/>
      <c r="AMI83"/>
      <c r="AMJ83"/>
    </row>
  </sheetData>
  <mergeCells count="45">
    <mergeCell ref="A33:I33"/>
    <mergeCell ref="J33:K33"/>
    <mergeCell ref="A34:I34"/>
    <mergeCell ref="J34:K34"/>
    <mergeCell ref="C29:G29"/>
    <mergeCell ref="C30:G30"/>
    <mergeCell ref="C31:G31"/>
    <mergeCell ref="C32:G32"/>
    <mergeCell ref="C28:G28"/>
    <mergeCell ref="C17:G17"/>
    <mergeCell ref="C18:G18"/>
    <mergeCell ref="C19:G19"/>
    <mergeCell ref="C20:G20"/>
    <mergeCell ref="C21:G21"/>
    <mergeCell ref="C22:G22"/>
    <mergeCell ref="C23:G23"/>
    <mergeCell ref="C24:G24"/>
    <mergeCell ref="C25:G25"/>
    <mergeCell ref="C26:G26"/>
    <mergeCell ref="C27:G27"/>
    <mergeCell ref="K10:K11"/>
    <mergeCell ref="C12:G12"/>
    <mergeCell ref="C13:G13"/>
    <mergeCell ref="C14:G14"/>
    <mergeCell ref="C15:G15"/>
    <mergeCell ref="I10:I11"/>
    <mergeCell ref="J10:J11"/>
    <mergeCell ref="C16:G16"/>
    <mergeCell ref="A10:A11"/>
    <mergeCell ref="B10:B11"/>
    <mergeCell ref="C10:G11"/>
    <mergeCell ref="H10:H11"/>
    <mergeCell ref="A6:C6"/>
    <mergeCell ref="D6:K6"/>
    <mergeCell ref="A7:C7"/>
    <mergeCell ref="D7:K7"/>
    <mergeCell ref="A8:C8"/>
    <mergeCell ref="D8:K8"/>
    <mergeCell ref="A5:C5"/>
    <mergeCell ref="D5:K5"/>
    <mergeCell ref="A1:I1"/>
    <mergeCell ref="A3:C3"/>
    <mergeCell ref="D3:K3"/>
    <mergeCell ref="A4:C4"/>
    <mergeCell ref="D4:K4"/>
  </mergeCells>
  <conditionalFormatting sqref="C24:C25">
    <cfRule type="duplicateValues" dxfId="41" priority="50"/>
  </conditionalFormatting>
  <conditionalFormatting sqref="C16:C18">
    <cfRule type="duplicateValues" dxfId="40" priority="48"/>
  </conditionalFormatting>
  <conditionalFormatting sqref="C19:C20">
    <cfRule type="duplicateValues" dxfId="39" priority="47"/>
  </conditionalFormatting>
  <conditionalFormatting sqref="C21:C23">
    <cfRule type="duplicateValues" dxfId="38" priority="46"/>
  </conditionalFormatting>
  <conditionalFormatting sqref="C26:C28">
    <cfRule type="duplicateValues" dxfId="37" priority="45"/>
  </conditionalFormatting>
  <conditionalFormatting sqref="C12:C13">
    <cfRule type="duplicateValues" dxfId="36" priority="38"/>
  </conditionalFormatting>
  <conditionalFormatting sqref="C12:C13 C28">
    <cfRule type="duplicateValues" dxfId="35" priority="29"/>
  </conditionalFormatting>
  <conditionalFormatting sqref="C14:C15">
    <cfRule type="duplicateValues" dxfId="34" priority="27"/>
  </conditionalFormatting>
  <conditionalFormatting sqref="C14:C15">
    <cfRule type="duplicateValues" dxfId="33" priority="25"/>
    <cfRule type="duplicateValues" dxfId="32" priority="26"/>
  </conditionalFormatting>
  <conditionalFormatting sqref="C16:C17">
    <cfRule type="duplicateValues" dxfId="31" priority="24"/>
  </conditionalFormatting>
  <conditionalFormatting sqref="C16:C17">
    <cfRule type="duplicateValues" dxfId="30" priority="22"/>
    <cfRule type="duplicateValues" dxfId="29" priority="23"/>
  </conditionalFormatting>
  <conditionalFormatting sqref="C18:C19">
    <cfRule type="duplicateValues" dxfId="28" priority="21"/>
  </conditionalFormatting>
  <conditionalFormatting sqref="C18:C19">
    <cfRule type="duplicateValues" dxfId="27" priority="19"/>
    <cfRule type="duplicateValues" dxfId="26" priority="20"/>
  </conditionalFormatting>
  <conditionalFormatting sqref="C20:C21">
    <cfRule type="duplicateValues" dxfId="25" priority="18"/>
  </conditionalFormatting>
  <conditionalFormatting sqref="C20:C21">
    <cfRule type="duplicateValues" dxfId="24" priority="16"/>
    <cfRule type="duplicateValues" dxfId="23" priority="17"/>
  </conditionalFormatting>
  <conditionalFormatting sqref="C22:C23">
    <cfRule type="duplicateValues" dxfId="22" priority="15"/>
  </conditionalFormatting>
  <conditionalFormatting sqref="C22:C23">
    <cfRule type="duplicateValues" dxfId="21" priority="13"/>
    <cfRule type="duplicateValues" dxfId="20" priority="14"/>
  </conditionalFormatting>
  <conditionalFormatting sqref="C24:C25">
    <cfRule type="duplicateValues" dxfId="19" priority="10"/>
    <cfRule type="duplicateValues" dxfId="18" priority="11"/>
  </conditionalFormatting>
  <conditionalFormatting sqref="C26:C27">
    <cfRule type="duplicateValues" dxfId="17" priority="9"/>
  </conditionalFormatting>
  <conditionalFormatting sqref="C26:C27">
    <cfRule type="duplicateValues" dxfId="16" priority="7"/>
    <cfRule type="duplicateValues" dxfId="15" priority="8"/>
  </conditionalFormatting>
  <conditionalFormatting sqref="C12:C29">
    <cfRule type="duplicateValues" dxfId="14" priority="6"/>
  </conditionalFormatting>
  <conditionalFormatting sqref="C29">
    <cfRule type="duplicateValues" dxfId="13" priority="5"/>
  </conditionalFormatting>
  <conditionalFormatting sqref="C29">
    <cfRule type="duplicateValues" dxfId="12" priority="3"/>
    <cfRule type="duplicateValues" dxfId="11" priority="4"/>
  </conditionalFormatting>
  <conditionalFormatting sqref="C12:C13 C28">
    <cfRule type="duplicateValues" dxfId="10" priority="1"/>
    <cfRule type="duplicateValues" dxfId="9" priority="2"/>
  </conditionalFormatting>
  <conditionalFormatting sqref="C26:C32">
    <cfRule type="duplicateValues" dxfId="8" priority="53"/>
  </conditionalFormatting>
  <conditionalFormatting sqref="C14:C15">
    <cfRule type="duplicateValues" dxfId="7" priority="55"/>
  </conditionalFormatting>
  <conditionalFormatting sqref="C29:C32">
    <cfRule type="duplicateValues" dxfId="6" priority="60"/>
  </conditionalFormatting>
  <conditionalFormatting sqref="C12:C32">
    <cfRule type="duplicateValues" dxfId="5" priority="61"/>
  </conditionalFormatting>
  <conditionalFormatting sqref="C12:C32">
    <cfRule type="duplicateValues" dxfId="4" priority="63"/>
    <cfRule type="duplicateValues" dxfId="3" priority="64"/>
  </conditionalFormatting>
  <conditionalFormatting sqref="C12:C25">
    <cfRule type="duplicateValues" dxfId="2" priority="66"/>
  </conditionalFormatting>
  <conditionalFormatting sqref="C12:C32">
    <cfRule type="duplicateValues" dxfId="1" priority="67"/>
  </conditionalFormatting>
  <conditionalFormatting sqref="C12:C32">
    <cfRule type="duplicateValues" dxfId="0" priority="68"/>
  </conditionalFormatting>
  <printOptions horizontalCentered="1"/>
  <pageMargins left="0.19685039370078741" right="0.19685039370078741" top="0.39370078740157483" bottom="0.59055118110236227" header="0.51181102362204722" footer="0.51181102362204722"/>
  <pageSetup paperSize="5" scale="90" firstPageNumber="0" orientation="landscape" horizontalDpi="300" verticalDpi="300" r:id="rId1"/>
</worksheet>
</file>

<file path=xl/worksheets/sheet9.xml><?xml version="1.0" encoding="utf-8"?>
<worksheet xmlns="http://schemas.openxmlformats.org/spreadsheetml/2006/main" xmlns:r="http://schemas.openxmlformats.org/officeDocument/2006/relationships">
  <dimension ref="A1:R27"/>
  <sheetViews>
    <sheetView tabSelected="1" topLeftCell="A7" workbookViewId="0">
      <selection activeCell="N20" sqref="N20"/>
    </sheetView>
  </sheetViews>
  <sheetFormatPr baseColWidth="10" defaultColWidth="11" defaultRowHeight="12.75"/>
  <cols>
    <col min="1" max="5" width="4.42578125" customWidth="1"/>
    <col min="6" max="6" width="5.5703125" customWidth="1"/>
    <col min="7" max="7" width="4.42578125" style="111" customWidth="1"/>
    <col min="8" max="14" width="4.42578125" customWidth="1"/>
    <col min="15" max="16" width="14.85546875" customWidth="1"/>
    <col min="17" max="17" width="14.7109375" customWidth="1"/>
    <col min="18" max="18" width="15.28515625" bestFit="1" customWidth="1"/>
  </cols>
  <sheetData>
    <row r="1" spans="1:17" ht="15.75" customHeight="1" thickBot="1">
      <c r="A1" s="202" t="s">
        <v>2</v>
      </c>
      <c r="B1" s="202"/>
      <c r="C1" s="202"/>
      <c r="D1" s="203">
        <v>2021</v>
      </c>
      <c r="E1" s="203"/>
      <c r="F1" s="109"/>
      <c r="G1" s="109"/>
      <c r="H1" s="110"/>
      <c r="I1" s="110"/>
      <c r="J1" s="110"/>
      <c r="K1" s="110"/>
      <c r="L1" s="110"/>
      <c r="M1" s="110"/>
      <c r="N1" s="110"/>
      <c r="P1" s="204" t="s">
        <v>218</v>
      </c>
      <c r="Q1" s="204"/>
    </row>
    <row r="2" spans="1:17" ht="15.75" customHeight="1" thickBot="1">
      <c r="H2" s="110"/>
      <c r="I2" s="110"/>
      <c r="J2" s="110"/>
      <c r="K2" s="110"/>
      <c r="L2" s="110"/>
      <c r="M2" s="110"/>
      <c r="N2" s="110"/>
      <c r="P2" s="204"/>
      <c r="Q2" s="204"/>
    </row>
    <row r="4" spans="1:17" s="112" customFormat="1" ht="18" customHeight="1" thickBot="1">
      <c r="A4" s="205" t="s">
        <v>219</v>
      </c>
      <c r="B4" s="205"/>
      <c r="C4" s="205"/>
      <c r="D4" s="205"/>
      <c r="E4" s="205"/>
      <c r="F4" s="205"/>
      <c r="G4" s="201" t="s">
        <v>204</v>
      </c>
      <c r="H4" s="201"/>
      <c r="I4" s="201"/>
      <c r="J4" s="201"/>
      <c r="K4" s="201"/>
      <c r="L4" s="201"/>
      <c r="M4" s="201"/>
      <c r="N4" s="201"/>
      <c r="O4" s="201"/>
      <c r="P4" s="201"/>
      <c r="Q4" s="201"/>
    </row>
    <row r="5" spans="1:17" s="112" customFormat="1" ht="18" customHeight="1" thickBot="1">
      <c r="A5" s="198" t="s">
        <v>205</v>
      </c>
      <c r="B5" s="199"/>
      <c r="C5" s="199"/>
      <c r="D5" s="199"/>
      <c r="E5" s="199"/>
      <c r="F5" s="200"/>
      <c r="G5" s="201" t="s">
        <v>220</v>
      </c>
      <c r="H5" s="201"/>
      <c r="I5" s="201"/>
      <c r="J5" s="201"/>
      <c r="K5" s="201"/>
      <c r="L5" s="201"/>
      <c r="M5" s="201"/>
      <c r="N5" s="201"/>
      <c r="O5" s="201"/>
      <c r="P5" s="201"/>
      <c r="Q5" s="201"/>
    </row>
    <row r="6" spans="1:17" s="112" customFormat="1" ht="18" customHeight="1" thickBot="1">
      <c r="A6" s="198" t="s">
        <v>207</v>
      </c>
      <c r="B6" s="199"/>
      <c r="C6" s="199"/>
      <c r="D6" s="199"/>
      <c r="E6" s="199"/>
      <c r="F6" s="200"/>
      <c r="G6" s="201" t="s">
        <v>242</v>
      </c>
      <c r="H6" s="201"/>
      <c r="I6" s="201"/>
      <c r="J6" s="201"/>
      <c r="K6" s="201"/>
      <c r="L6" s="201"/>
      <c r="M6" s="201"/>
      <c r="N6" s="201"/>
      <c r="O6" s="201"/>
      <c r="P6" s="201"/>
      <c r="Q6" s="201"/>
    </row>
    <row r="7" spans="1:17" s="112" customFormat="1" ht="18" customHeight="1" thickBot="1">
      <c r="A7" s="198" t="s">
        <v>208</v>
      </c>
      <c r="B7" s="199"/>
      <c r="C7" s="199"/>
      <c r="D7" s="199"/>
      <c r="E7" s="199"/>
      <c r="F7" s="200"/>
      <c r="G7" s="201" t="s">
        <v>242</v>
      </c>
      <c r="H7" s="201"/>
      <c r="I7" s="201"/>
      <c r="J7" s="201"/>
      <c r="K7" s="201"/>
      <c r="L7" s="201"/>
      <c r="M7" s="201"/>
      <c r="N7" s="201"/>
      <c r="O7" s="201"/>
      <c r="P7" s="201"/>
      <c r="Q7" s="201"/>
    </row>
    <row r="8" spans="1:17" ht="18" customHeight="1" thickBot="1">
      <c r="A8" s="208" t="s">
        <v>221</v>
      </c>
      <c r="B8" s="208"/>
      <c r="C8" s="208"/>
      <c r="D8" s="208"/>
      <c r="E8" s="208"/>
      <c r="F8" s="208"/>
      <c r="G8" s="208"/>
      <c r="H8" s="208"/>
      <c r="I8" s="208"/>
      <c r="J8" s="208"/>
      <c r="K8" s="208"/>
      <c r="L8" s="208"/>
      <c r="M8" s="208"/>
      <c r="N8" s="208"/>
      <c r="O8" s="208"/>
      <c r="P8" s="208"/>
      <c r="Q8" s="208"/>
    </row>
    <row r="9" spans="1:17" ht="18" customHeight="1">
      <c r="A9" s="209" t="s">
        <v>222</v>
      </c>
      <c r="B9" s="209"/>
      <c r="C9" s="209"/>
      <c r="D9" s="209"/>
      <c r="E9" s="209"/>
      <c r="F9" s="209"/>
      <c r="G9" s="209"/>
      <c r="H9" s="209"/>
      <c r="I9" s="209"/>
      <c r="J9" s="209"/>
      <c r="K9" s="209"/>
      <c r="L9" s="209"/>
      <c r="M9" s="209"/>
      <c r="N9" s="209"/>
      <c r="O9" s="113"/>
      <c r="P9" s="113"/>
      <c r="Q9" s="114"/>
    </row>
    <row r="10" spans="1:17" ht="57" customHeight="1">
      <c r="A10" s="210" t="s">
        <v>269</v>
      </c>
      <c r="B10" s="211"/>
      <c r="C10" s="211"/>
      <c r="D10" s="211"/>
      <c r="E10" s="211"/>
      <c r="F10" s="211"/>
      <c r="G10" s="211"/>
      <c r="H10" s="211"/>
      <c r="I10" s="211"/>
      <c r="J10" s="211"/>
      <c r="K10" s="211"/>
      <c r="L10" s="211"/>
      <c r="M10" s="211"/>
      <c r="N10" s="211"/>
      <c r="O10" s="211"/>
      <c r="P10" s="211"/>
      <c r="Q10" s="212"/>
    </row>
    <row r="11" spans="1:17" ht="9" customHeight="1" thickBot="1">
      <c r="A11" s="115"/>
      <c r="B11" s="116"/>
      <c r="C11" s="116"/>
      <c r="D11" s="116"/>
      <c r="E11" s="116"/>
      <c r="F11" s="116"/>
      <c r="G11" s="117"/>
      <c r="H11" s="116"/>
      <c r="I11" s="116"/>
      <c r="J11" s="116"/>
      <c r="K11" s="116"/>
      <c r="L11" s="116"/>
      <c r="M11" s="116"/>
      <c r="N11" s="116"/>
      <c r="O11" s="116"/>
      <c r="P11" s="116"/>
      <c r="Q11" s="118"/>
    </row>
    <row r="12" spans="1:17" ht="15.75" customHeight="1" thickBot="1">
      <c r="A12" s="213" t="s">
        <v>223</v>
      </c>
      <c r="B12" s="213"/>
      <c r="C12" s="213"/>
      <c r="D12" s="213"/>
      <c r="E12" s="213"/>
      <c r="F12" s="213"/>
      <c r="G12" s="213"/>
      <c r="H12" s="213"/>
      <c r="I12" s="213"/>
      <c r="J12" s="213"/>
      <c r="K12" s="213"/>
      <c r="L12" s="213"/>
      <c r="M12" s="213"/>
      <c r="N12" s="213"/>
      <c r="O12" s="213"/>
      <c r="P12" s="213"/>
      <c r="Q12" s="213"/>
    </row>
    <row r="13" spans="1:17" ht="15.75" customHeight="1" thickBot="1">
      <c r="A13" s="214" t="s">
        <v>224</v>
      </c>
      <c r="B13" s="214"/>
      <c r="C13" s="214"/>
      <c r="D13" s="214"/>
      <c r="E13" s="214"/>
      <c r="F13" s="214"/>
      <c r="G13" s="214"/>
      <c r="H13" s="214"/>
      <c r="I13" s="214"/>
      <c r="J13" s="214"/>
      <c r="K13" s="214"/>
      <c r="L13" s="214"/>
      <c r="M13" s="214"/>
      <c r="N13" s="214"/>
      <c r="O13" s="215" t="s">
        <v>225</v>
      </c>
      <c r="P13" s="215"/>
      <c r="Q13" s="216" t="s">
        <v>226</v>
      </c>
    </row>
    <row r="14" spans="1:17" ht="15.75" customHeight="1" thickBot="1">
      <c r="A14" s="119" t="s">
        <v>227</v>
      </c>
      <c r="B14" s="120" t="s">
        <v>228</v>
      </c>
      <c r="C14" s="120" t="s">
        <v>229</v>
      </c>
      <c r="D14" s="120" t="s">
        <v>230</v>
      </c>
      <c r="E14" s="120" t="s">
        <v>231</v>
      </c>
      <c r="F14" s="120" t="s">
        <v>232</v>
      </c>
      <c r="G14" s="121" t="s">
        <v>233</v>
      </c>
      <c r="H14" s="120" t="s">
        <v>234</v>
      </c>
      <c r="I14" s="120" t="s">
        <v>235</v>
      </c>
      <c r="J14" s="120" t="s">
        <v>236</v>
      </c>
      <c r="K14" s="120" t="s">
        <v>236</v>
      </c>
      <c r="L14" s="120" t="s">
        <v>237</v>
      </c>
      <c r="M14" s="122" t="s">
        <v>119</v>
      </c>
      <c r="N14" s="123" t="s">
        <v>238</v>
      </c>
      <c r="O14" s="215"/>
      <c r="P14" s="215"/>
      <c r="Q14" s="216"/>
    </row>
    <row r="15" spans="1:17" ht="17.25" customHeight="1" thickBot="1">
      <c r="A15" s="247">
        <v>35</v>
      </c>
      <c r="B15" s="248"/>
      <c r="C15" s="248"/>
      <c r="D15" s="248">
        <v>1</v>
      </c>
      <c r="E15" s="125"/>
      <c r="F15" s="125">
        <v>4901</v>
      </c>
      <c r="G15" s="125">
        <v>3</v>
      </c>
      <c r="H15" s="125">
        <v>1</v>
      </c>
      <c r="I15" s="126">
        <v>2</v>
      </c>
      <c r="J15" s="126">
        <v>5</v>
      </c>
      <c r="K15" s="126">
        <v>1</v>
      </c>
      <c r="L15" s="125"/>
      <c r="M15" s="127">
        <v>1</v>
      </c>
      <c r="N15" s="128" t="s">
        <v>239</v>
      </c>
      <c r="O15" s="206" t="s">
        <v>241</v>
      </c>
      <c r="P15" s="207"/>
      <c r="Q15" s="129">
        <v>700000</v>
      </c>
    </row>
    <row r="16" spans="1:17" ht="17.25" customHeight="1" thickBot="1">
      <c r="A16" s="130">
        <v>35</v>
      </c>
      <c r="B16" s="131"/>
      <c r="C16" s="131"/>
      <c r="D16" s="131">
        <v>2</v>
      </c>
      <c r="E16" s="131"/>
      <c r="F16" s="131">
        <v>4901</v>
      </c>
      <c r="G16" s="131">
        <v>3</v>
      </c>
      <c r="H16" s="131">
        <v>1</v>
      </c>
      <c r="I16" s="131">
        <v>2</v>
      </c>
      <c r="J16" s="131">
        <v>5</v>
      </c>
      <c r="K16" s="131">
        <v>1</v>
      </c>
      <c r="L16" s="131"/>
      <c r="M16" s="132">
        <v>1</v>
      </c>
      <c r="N16" s="137" t="s">
        <v>239</v>
      </c>
      <c r="O16" s="206" t="s">
        <v>241</v>
      </c>
      <c r="P16" s="207"/>
      <c r="Q16" s="134">
        <v>800000</v>
      </c>
    </row>
    <row r="17" spans="1:18" ht="17.25" customHeight="1">
      <c r="A17" s="130">
        <v>35</v>
      </c>
      <c r="B17" s="131"/>
      <c r="C17" s="131"/>
      <c r="D17" s="131">
        <v>3</v>
      </c>
      <c r="E17" s="131"/>
      <c r="F17" s="133">
        <v>4901</v>
      </c>
      <c r="G17" s="131">
        <v>3</v>
      </c>
      <c r="H17" s="131">
        <v>1</v>
      </c>
      <c r="I17" s="131">
        <v>2</v>
      </c>
      <c r="J17" s="131">
        <v>5</v>
      </c>
      <c r="K17" s="131">
        <v>1</v>
      </c>
      <c r="L17" s="131"/>
      <c r="M17" s="132">
        <v>1</v>
      </c>
      <c r="N17" s="137" t="s">
        <v>239</v>
      </c>
      <c r="O17" s="206" t="s">
        <v>241</v>
      </c>
      <c r="P17" s="207"/>
      <c r="Q17" s="134">
        <v>137084</v>
      </c>
    </row>
    <row r="18" spans="1:18" ht="17.25" customHeight="1">
      <c r="A18" s="130"/>
      <c r="B18" s="131"/>
      <c r="C18" s="131"/>
      <c r="D18" s="131"/>
      <c r="E18" s="131"/>
      <c r="F18" s="131"/>
      <c r="G18" s="131"/>
      <c r="H18" s="131"/>
      <c r="I18" s="131"/>
      <c r="J18" s="131"/>
      <c r="K18" s="131"/>
      <c r="L18" s="131"/>
      <c r="M18" s="132"/>
      <c r="N18" s="133"/>
      <c r="O18" s="219"/>
      <c r="P18" s="219"/>
      <c r="Q18" s="134"/>
    </row>
    <row r="19" spans="1:18" ht="17.25" customHeight="1">
      <c r="A19" s="130"/>
      <c r="B19" s="131"/>
      <c r="C19" s="131"/>
      <c r="D19" s="131"/>
      <c r="E19" s="131"/>
      <c r="F19" s="133"/>
      <c r="G19" s="131"/>
      <c r="H19" s="131"/>
      <c r="I19" s="131"/>
      <c r="J19" s="131"/>
      <c r="K19" s="131"/>
      <c r="L19" s="131"/>
      <c r="M19" s="132"/>
      <c r="N19" s="133"/>
      <c r="O19" s="219"/>
      <c r="P19" s="219"/>
      <c r="Q19" s="134"/>
    </row>
    <row r="20" spans="1:18" ht="17.25" customHeight="1">
      <c r="A20" s="130"/>
      <c r="B20" s="131"/>
      <c r="C20" s="131"/>
      <c r="D20" s="131"/>
      <c r="E20" s="131"/>
      <c r="F20" s="133"/>
      <c r="G20" s="131"/>
      <c r="H20" s="131"/>
      <c r="I20" s="131"/>
      <c r="J20" s="131"/>
      <c r="K20" s="131"/>
      <c r="L20" s="131"/>
      <c r="M20" s="132"/>
      <c r="N20" s="133"/>
      <c r="O20" s="219"/>
      <c r="P20" s="219"/>
      <c r="Q20" s="134"/>
    </row>
    <row r="21" spans="1:18" ht="17.25" customHeight="1">
      <c r="A21" s="135"/>
      <c r="B21" s="136"/>
      <c r="C21" s="136"/>
      <c r="D21" s="136"/>
      <c r="E21" s="136"/>
      <c r="F21" s="137"/>
      <c r="G21" s="136"/>
      <c r="H21" s="136"/>
      <c r="I21" s="136"/>
      <c r="J21" s="136"/>
      <c r="K21" s="136"/>
      <c r="L21" s="136"/>
      <c r="M21" s="138"/>
      <c r="N21" s="139"/>
      <c r="O21" s="218"/>
      <c r="P21" s="218"/>
      <c r="Q21" s="134"/>
      <c r="R21" s="113"/>
    </row>
    <row r="22" spans="1:18" ht="17.25" customHeight="1" thickBot="1">
      <c r="A22" s="140"/>
      <c r="B22" s="141"/>
      <c r="C22" s="141"/>
      <c r="D22" s="141"/>
      <c r="E22" s="141"/>
      <c r="F22" s="141"/>
      <c r="G22" s="141"/>
      <c r="H22" s="141"/>
      <c r="I22" s="141"/>
      <c r="J22" s="141"/>
      <c r="K22" s="141"/>
      <c r="L22" s="141"/>
      <c r="M22" s="142"/>
      <c r="N22" s="141"/>
      <c r="O22" s="220"/>
      <c r="P22" s="220"/>
      <c r="Q22" s="143"/>
    </row>
    <row r="23" spans="1:18" ht="20.25" customHeight="1" thickBot="1">
      <c r="A23" s="221" t="s">
        <v>252</v>
      </c>
      <c r="B23" s="221"/>
      <c r="C23" s="221"/>
      <c r="D23" s="221"/>
      <c r="E23" s="221"/>
      <c r="F23" s="221"/>
      <c r="G23" s="221"/>
      <c r="H23" s="221"/>
      <c r="I23" s="221"/>
      <c r="J23" s="221"/>
      <c r="K23" s="221"/>
      <c r="L23" s="221"/>
      <c r="M23" s="221"/>
      <c r="N23" s="221"/>
      <c r="O23" s="221"/>
      <c r="P23" s="221"/>
      <c r="Q23" s="144">
        <f>SUM(Q15:Q22)</f>
        <v>1637084</v>
      </c>
      <c r="R23" s="147"/>
    </row>
    <row r="24" spans="1:18" ht="18" customHeight="1" thickBot="1">
      <c r="A24" s="222"/>
      <c r="B24" s="222"/>
      <c r="C24" s="222"/>
      <c r="D24" s="222"/>
      <c r="E24" s="222"/>
      <c r="F24" s="222"/>
      <c r="G24" s="222"/>
      <c r="H24" s="222"/>
      <c r="I24" s="222"/>
      <c r="J24" s="222"/>
      <c r="K24" s="222"/>
      <c r="L24" s="222"/>
      <c r="M24" s="222"/>
      <c r="N24" s="222"/>
      <c r="O24" s="222"/>
      <c r="P24" s="222"/>
      <c r="Q24" s="222"/>
    </row>
    <row r="25" spans="1:18" ht="17.25" customHeight="1" thickBot="1">
      <c r="A25" s="223" t="s">
        <v>240</v>
      </c>
      <c r="B25" s="224"/>
      <c r="C25" s="224"/>
      <c r="D25" s="224"/>
      <c r="E25" s="224"/>
      <c r="F25" s="225"/>
      <c r="G25" s="226"/>
      <c r="H25" s="226"/>
      <c r="I25" s="226"/>
      <c r="J25" s="226"/>
      <c r="K25" s="226"/>
      <c r="L25" s="226"/>
      <c r="M25" s="226"/>
      <c r="N25" s="226"/>
      <c r="O25" s="226"/>
      <c r="P25" s="226"/>
      <c r="Q25" s="226"/>
    </row>
    <row r="26" spans="1:18" ht="18" customHeight="1" thickBot="1">
      <c r="A26" s="217" t="s">
        <v>247</v>
      </c>
      <c r="B26" s="217"/>
      <c r="C26" s="217"/>
      <c r="D26" s="217"/>
      <c r="E26" s="217"/>
      <c r="F26" s="217"/>
      <c r="G26" s="217"/>
      <c r="H26" s="217"/>
      <c r="I26" s="217"/>
      <c r="J26" s="217"/>
      <c r="K26" s="217"/>
      <c r="L26" s="217"/>
      <c r="M26" s="217"/>
      <c r="N26" s="217"/>
      <c r="O26" s="217"/>
      <c r="P26" s="217"/>
      <c r="Q26" s="217"/>
    </row>
    <row r="27" spans="1:18" ht="28.5" customHeight="1" thickBot="1">
      <c r="A27" s="217"/>
      <c r="B27" s="217"/>
      <c r="C27" s="217"/>
      <c r="D27" s="217"/>
      <c r="E27" s="217"/>
      <c r="F27" s="217"/>
      <c r="G27" s="217"/>
      <c r="H27" s="217"/>
      <c r="I27" s="217"/>
      <c r="J27" s="217"/>
      <c r="K27" s="217"/>
      <c r="L27" s="217"/>
      <c r="M27" s="217"/>
      <c r="N27" s="217"/>
      <c r="O27" s="217"/>
      <c r="P27" s="217"/>
      <c r="Q27" s="217"/>
    </row>
  </sheetData>
  <mergeCells count="31">
    <mergeCell ref="A26:Q27"/>
    <mergeCell ref="O16:P16"/>
    <mergeCell ref="O17:P17"/>
    <mergeCell ref="O18:P18"/>
    <mergeCell ref="O19:P19"/>
    <mergeCell ref="O20:P20"/>
    <mergeCell ref="O21:P21"/>
    <mergeCell ref="O22:P22"/>
    <mergeCell ref="A23:P23"/>
    <mergeCell ref="A24:Q24"/>
    <mergeCell ref="A25:F25"/>
    <mergeCell ref="G25:Q25"/>
    <mergeCell ref="O15:P15"/>
    <mergeCell ref="A6:F6"/>
    <mergeCell ref="G6:Q6"/>
    <mergeCell ref="A7:F7"/>
    <mergeCell ref="G7:Q7"/>
    <mergeCell ref="A8:Q8"/>
    <mergeCell ref="A9:N9"/>
    <mergeCell ref="A10:Q10"/>
    <mergeCell ref="A12:Q12"/>
    <mergeCell ref="A13:N13"/>
    <mergeCell ref="O13:P14"/>
    <mergeCell ref="Q13:Q14"/>
    <mergeCell ref="A5:F5"/>
    <mergeCell ref="G5:Q5"/>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9</vt:i4>
      </vt:variant>
      <vt:variant>
        <vt:lpstr>Rangos con nombre</vt:lpstr>
      </vt:variant>
      <vt:variant>
        <vt:i4>8</vt:i4>
      </vt:variant>
    </vt:vector>
  </HeadingPairs>
  <TitlesOfParts>
    <vt:vector size="17" baseType="lpstr">
      <vt:lpstr>Necesidades Trimestrales </vt:lpstr>
      <vt:lpstr> NotaPedido LB. CENTRAL</vt:lpstr>
      <vt:lpstr>APG LAB CENTRAL</vt:lpstr>
      <vt:lpstr> NotaPedidoBCO SANGRE</vt:lpstr>
      <vt:lpstr>APG BCO DE SANGRE</vt:lpstr>
      <vt:lpstr> NotaPedido vectores</vt:lpstr>
      <vt:lpstr>APG vectores y zoonosis</vt:lpstr>
      <vt:lpstr> NotaPedido CUR</vt:lpstr>
      <vt:lpstr>APG CUR</vt:lpstr>
      <vt:lpstr>' NotaPedido CUR'!Área_de_impresión</vt:lpstr>
      <vt:lpstr>' NotaPedido LB. CENTRAL'!Área_de_impresión</vt:lpstr>
      <vt:lpstr>' NotaPedido vectores'!Área_de_impresión</vt:lpstr>
      <vt:lpstr>' NotaPedidoBCO SANGRE'!Área_de_impresión</vt:lpstr>
      <vt:lpstr>'APG BCO DE SANGRE'!Área_de_impresión</vt:lpstr>
      <vt:lpstr>'APG CUR'!Área_de_impresión</vt:lpstr>
      <vt:lpstr>'APG LAB CENTRAL'!Área_de_impresión</vt:lpstr>
      <vt:lpstr>'APG vectores y zoonosis'!Área_de_impresión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claudia</cp:lastModifiedBy>
  <cp:revision>2</cp:revision>
  <cp:lastPrinted>2021-02-22T15:06:37Z</cp:lastPrinted>
  <dcterms:created xsi:type="dcterms:W3CDTF">2020-07-17T23:44:49Z</dcterms:created>
  <dcterms:modified xsi:type="dcterms:W3CDTF">2021-03-28T17:28:14Z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