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2691BC08-36C6-4A54-9375-F223F42772B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PQUE_AUTOMOTOR SAF7 2021" sheetId="4" r:id="rId2"/>
    <sheet name=" NotaPedido" sheetId="2" state="hidden" r:id="rId3"/>
    <sheet name="Autor Gastar" sheetId="3" state="hidden" r:id="rId4"/>
  </sheets>
  <definedNames>
    <definedName name="_xlnm.Print_Area" localSheetId="2">' NotaPedido'!$A$1:$K$13</definedName>
    <definedName name="_xlnm.Print_Area" localSheetId="3">'Autor Gastar'!$A$1:$Q$21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9" i="1"/>
  <c r="D13" i="1"/>
  <c r="D15" i="1"/>
  <c r="I16" i="1" l="1"/>
  <c r="D14" i="1"/>
  <c r="D11" i="1"/>
  <c r="D10" i="1"/>
  <c r="D12" i="1"/>
  <c r="A17" i="3" l="1"/>
  <c r="C12" i="2" l="1"/>
  <c r="J13" i="2" l="1"/>
  <c r="D9" i="1"/>
  <c r="G6" i="3"/>
  <c r="G7" i="3"/>
  <c r="D7" i="2"/>
  <c r="D3" i="2"/>
  <c r="G4" i="3" s="1"/>
  <c r="D4" i="2"/>
  <c r="G5" i="3" s="1"/>
  <c r="Q15" i="3" l="1"/>
  <c r="Q16" i="3" s="1"/>
  <c r="A10" i="3"/>
  <c r="D1" i="3"/>
  <c r="K12" i="2"/>
  <c r="J12" i="2"/>
  <c r="I12" i="2"/>
  <c r="B12" i="2"/>
  <c r="I15" i="3"/>
  <c r="K15" i="3" l="1"/>
  <c r="J15" i="3"/>
</calcChain>
</file>

<file path=xl/sharedStrings.xml><?xml version="1.0" encoding="utf-8"?>
<sst xmlns="http://schemas.openxmlformats.org/spreadsheetml/2006/main" count="3802" uniqueCount="2287">
  <si>
    <t>Pedido de Necesidades Trimestrales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</si>
  <si>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</si>
  <si>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</si>
  <si>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</si>
  <si>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</si>
  <si>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</si>
  <si>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</si>
  <si>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</si>
  <si>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</si>
  <si>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</si>
  <si>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</si>
  <si>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</si>
  <si>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3.5.4-2065.1</t>
  </si>
  <si>
    <t>BANCOS Y SEGUROS</t>
  </si>
  <si>
    <t>SEGURO DE RESPONSABILIDAD; DESCRIPCION: SEGURO DE RESPONSABILIDAD</t>
  </si>
  <si>
    <t>Especificidades Item N° 1: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</si>
  <si>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</si>
  <si>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SECCION CONTROL PATRIMONIAL (</t>
    </r>
    <r>
      <rPr>
        <sz val="10"/>
        <rFont val="Century Gothic"/>
        <family val="2"/>
      </rPr>
      <t>Dpto Logística), sito en Chacabuco N° 809 - Capital -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Las Pólizas deben entregarse detallando el vehículo que está cubriendo el seguro contratado. 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</si>
  <si>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</si>
  <si>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t>Mantenimiento</t>
  </si>
  <si>
    <t>30 (treinta) días</t>
  </si>
  <si>
    <t>Garantia</t>
  </si>
  <si>
    <t>NOTA DE PEDIDO</t>
  </si>
  <si>
    <t>N°</t>
  </si>
  <si>
    <t>41/2020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</si>
  <si>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</si>
  <si>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</si>
  <si>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</si>
  <si>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</si>
  <si>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</si>
  <si>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Sección Control Patrimonial - Dpto. Logistica (D-4)</t>
  </si>
  <si>
    <t>PERIODO UTILIZACIÓN:</t>
  </si>
  <si>
    <t>OBJETO:</t>
  </si>
  <si>
    <t xml:space="preserve">Renovacion de Seguro Obligatorio de Responsabilidad Civil del Automotor  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</si>
  <si>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</si>
  <si>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</si>
  <si>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</si>
  <si>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</si>
  <si>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</si>
  <si>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</si>
  <si>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</si>
  <si>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</si>
  <si>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 xml:space="preserve">Costo total estimado: </t>
  </si>
  <si>
    <t>Un Millon Quinientos Diecisiete Mil Cientoo Noventa y Nuene con 57/100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</si>
  <si>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</si>
  <si>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</si>
  <si>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</si>
  <si>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</si>
  <si>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</si>
  <si>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</si>
  <si>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</si>
  <si>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</si>
  <si>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</si>
  <si>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</si>
  <si>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</si>
  <si>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</si>
  <si>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</si>
  <si>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</si>
  <si>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</si>
  <si>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</si>
  <si>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</si>
  <si>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</si>
  <si>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</si>
  <si>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</si>
  <si>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</si>
  <si>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</si>
  <si>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PRIMAS Y GASTOS DE SEGUROS</t>
  </si>
  <si>
    <t xml:space="preserve">TOTAL DE PESOS: </t>
  </si>
  <si>
    <t>JUSTIFICACIÓN:</t>
  </si>
  <si>
    <t>Para la Renovaciòn de Seguro Obligatorio de Responsabilidad Civil del Automotor para los vehiculos pertenecientes a la Institucion Policial.-</t>
  </si>
  <si>
    <t>UNIDAD</t>
  </si>
  <si>
    <t>Especificidades Item N° 2: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</si>
  <si>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</si>
  <si>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</si>
  <si>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</si>
  <si>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</si>
  <si>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</si>
  <si>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r>
      <t xml:space="preserve"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</t>
    </r>
    <r>
      <rPr>
        <b/>
        <sz val="10"/>
        <rFont val="Century Gothic"/>
        <family val="2"/>
      </rPr>
      <t>VEHICULO: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CAMIONES: TOTAL DE VEHICULOS: 07 (SIETE)</t>
    </r>
    <r>
      <rPr>
        <sz val="10"/>
        <rFont val="Century Gothic"/>
        <family val="2"/>
      </rPr>
      <t xml:space="preserve"> que integran el Parque Automotor Policial, cuyos datos se detallan en Anexo. VIGENCIA: desde  el 30/12/2021 al 30/12/2022.. (ANUAL- 12 MESES)</t>
    </r>
  </si>
  <si>
    <r>
      <t xml:space="preserve"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</t>
    </r>
    <r>
      <rPr>
        <b/>
        <sz val="10"/>
        <rFont val="Century Gothic"/>
        <family val="2"/>
      </rPr>
      <t>VEHICULO: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UTILITARIO;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TOTAL DE VEHICULOS: 05 (CINCO)</t>
    </r>
    <r>
      <rPr>
        <sz val="10"/>
        <rFont val="Century Gothic"/>
        <family val="2"/>
      </rPr>
      <t xml:space="preserve"> que integran el Parque Automotor Policial, cuyos datos se detallan en Anexo. VIGENCIA: desde  el 30/12/2021 al 30/12/2022. (ANUAL- 12 MESES)</t>
    </r>
  </si>
  <si>
    <r>
      <t xml:space="preserve"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</t>
    </r>
    <r>
      <rPr>
        <b/>
        <sz val="10"/>
        <rFont val="Century Gothic"/>
        <family val="2"/>
      </rPr>
      <t>VEHICULO: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MOTOS;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TOTAL DE VEHICULOS: 76 (SETENTA Y SEIS)</t>
    </r>
    <r>
      <rPr>
        <sz val="10"/>
        <rFont val="Century Gothic"/>
        <family val="2"/>
      </rPr>
      <t xml:space="preserve"> que integran el Parque Automotor Policial, cuyos datos se detallan en Anexo. VIGENCIA: desde  el 30/12/2021 al 30/12/2022. (ANUAL- 12 MESES)</t>
    </r>
  </si>
  <si>
    <r>
      <t xml:space="preserve"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</t>
    </r>
    <r>
      <rPr>
        <b/>
        <sz val="10"/>
        <rFont val="Century Gothic"/>
        <family val="2"/>
      </rPr>
      <t>VEHICULO: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AUTO;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TOTAL DE VEHICULOS: 09 (NUEVE)</t>
    </r>
    <r>
      <rPr>
        <sz val="10"/>
        <rFont val="Century Gothic"/>
        <family val="2"/>
      </rPr>
      <t xml:space="preserve"> que integran el Parque Automotor Policial, cuyos datos se detallan en Anexo. VIGENCIA: desde  el 30/12/2021 al 30/12/2022. (ANUAL- 12 MESES)</t>
    </r>
  </si>
  <si>
    <r>
      <t xml:space="preserve"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</t>
    </r>
    <r>
      <rPr>
        <b/>
        <sz val="10"/>
        <rFont val="Century Gothic"/>
        <family val="2"/>
      </rPr>
      <t>VEHICULO: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CAMIONETA; TOTAL DE VEHICULOS: 83 (OCHENTA Y TRES)</t>
    </r>
    <r>
      <rPr>
        <sz val="10"/>
        <rFont val="Century Gothic"/>
        <family val="2"/>
      </rPr>
      <t xml:space="preserve"> que integran el Parque Automotor Policial, cuyos datos se detallan en Anexo. VIGENCIA: desde  el 30/12/2021 al 30/12/2022. (ANUAL- 12 MESES)</t>
    </r>
  </si>
  <si>
    <r>
      <t xml:space="preserve"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cargo, </t>
    </r>
    <r>
      <rPr>
        <b/>
        <sz val="10"/>
        <rFont val="Century Gothic"/>
        <family val="2"/>
      </rPr>
      <t>CON COBERTURA DE</t>
    </r>
    <r>
      <rPr>
        <sz val="10"/>
        <rFont val="Century Gothic"/>
        <family val="2"/>
      </rPr>
      <t xml:space="preserve">: rotura o rajadura de cristales, vidrios, de </t>
    </r>
    <r>
      <rPr>
        <b/>
        <sz val="10"/>
        <rFont val="Century Gothic"/>
        <family val="2"/>
      </rPr>
      <t>Parabrisas y luneta</t>
    </r>
    <r>
      <rPr>
        <sz val="10"/>
        <rFont val="Century Gothic"/>
        <family val="2"/>
      </rPr>
      <t xml:space="preserve"> SIN LÍMITE DE ACONTECIMIENTOS NI EVENTOS, incluyendo los gastos normales de colocación” de </t>
    </r>
    <r>
      <rPr>
        <b/>
        <sz val="10"/>
        <rFont val="Century Gothic"/>
        <family val="2"/>
      </rPr>
      <t>VEHICULO: CAMIONETAS: TOTAL DE VEHICULOS: 24 (VEINTICUATRO)</t>
    </r>
    <r>
      <rPr>
        <sz val="10"/>
        <rFont val="Century Gothic"/>
        <family val="2"/>
      </rPr>
      <t xml:space="preserve"> que integran el Parque Automotor Policial, cuyos datos se detallan en Anexo. VIGENCIA: desde  el 30/12/2021 al 30/12/2022. (ANUAL- 12 MESES)</t>
    </r>
  </si>
  <si>
    <r>
      <t xml:space="preserve"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cargo, </t>
    </r>
    <r>
      <rPr>
        <b/>
        <sz val="10"/>
        <rFont val="Century Gothic"/>
        <family val="2"/>
      </rPr>
      <t>CON COBERTURA DE</t>
    </r>
    <r>
      <rPr>
        <sz val="10"/>
        <rFont val="Century Gothic"/>
        <family val="2"/>
      </rPr>
      <t xml:space="preserve">: rotura o rajadura de cristales, vidrios, de </t>
    </r>
    <r>
      <rPr>
        <b/>
        <sz val="10"/>
        <rFont val="Century Gothic"/>
        <family val="2"/>
      </rPr>
      <t>Parabrisas y luneta</t>
    </r>
    <r>
      <rPr>
        <sz val="10"/>
        <rFont val="Century Gothic"/>
        <family val="2"/>
      </rPr>
      <t xml:space="preserve"> SIN LÍMITE DE ACONTECIMIENTOS NI EVENTOS, incluyendo los gastos normales de colocación” de </t>
    </r>
    <r>
      <rPr>
        <b/>
        <sz val="10"/>
        <rFont val="Century Gothic"/>
        <family val="2"/>
      </rPr>
      <t>VEHICULO: UTILITARIO: TOTAL DE VEHICULOS: UNO (UNO)</t>
    </r>
    <r>
      <rPr>
        <sz val="10"/>
        <rFont val="Century Gothic"/>
        <family val="2"/>
      </rPr>
      <t xml:space="preserve"> que integran el Parque Automotor Policial, cuyos datos se detallan en Anexo. VIGENCIA: desde  el 30/12/2021 al 30/12/2022. (ANUAL- 12 MESES)</t>
    </r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</si>
  <si>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</si>
  <si>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</si>
  <si>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</si>
  <si>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</si>
  <si>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ORDEN</t>
  </si>
  <si>
    <t>TIPO</t>
  </si>
  <si>
    <t>DOMINIO</t>
  </si>
  <si>
    <t>MARCA</t>
  </si>
  <si>
    <t>MODELO</t>
  </si>
  <si>
    <t>AÑO</t>
  </si>
  <si>
    <t>MOTOR</t>
  </si>
  <si>
    <t>CHASIS</t>
  </si>
  <si>
    <t>01</t>
  </si>
  <si>
    <t>ACOPLADO</t>
  </si>
  <si>
    <t>OHQ-771</t>
  </si>
  <si>
    <t>NO VISIBLE</t>
  </si>
  <si>
    <t>S/MOTOR</t>
  </si>
  <si>
    <t>C14ACG4149</t>
  </si>
  <si>
    <t>02</t>
  </si>
  <si>
    <t>AUTO</t>
  </si>
  <si>
    <t>PHO-195</t>
  </si>
  <si>
    <t>FIAT</t>
  </si>
  <si>
    <t>PALIO ATTRACTIVE 1,4</t>
  </si>
  <si>
    <t>327A0552366431</t>
  </si>
  <si>
    <t>8AP196475F4124427</t>
  </si>
  <si>
    <t>03</t>
  </si>
  <si>
    <t>PHO-196</t>
  </si>
  <si>
    <t>327A0552346624</t>
  </si>
  <si>
    <t>8AP196475F4123099</t>
  </si>
  <si>
    <t>04</t>
  </si>
  <si>
    <t>KAW-919</t>
  </si>
  <si>
    <t>FIAT-LINEA ESSENCE</t>
  </si>
  <si>
    <t>05</t>
  </si>
  <si>
    <t>AB-322-SC</t>
  </si>
  <si>
    <t>TOYOTA</t>
  </si>
  <si>
    <t>ETIOS X 1,5 M/T 5P</t>
  </si>
  <si>
    <t>2NR4073730</t>
  </si>
  <si>
    <t>9BRK29BT9H0111908</t>
  </si>
  <si>
    <t>06</t>
  </si>
  <si>
    <t>OAU-662</t>
  </si>
  <si>
    <t>SIENA</t>
  </si>
  <si>
    <t>310A20111946352</t>
  </si>
  <si>
    <t>8AP372316E6089443</t>
  </si>
  <si>
    <t>07</t>
  </si>
  <si>
    <t>ONU-184</t>
  </si>
  <si>
    <t>VOLKSWAGEN</t>
  </si>
  <si>
    <t>GOL TREND 1,6 T SEDAN 5 PTAS</t>
  </si>
  <si>
    <t>CFZN67663</t>
  </si>
  <si>
    <t>9BWAB45U7F9118246</t>
  </si>
  <si>
    <t>08</t>
  </si>
  <si>
    <t>OSL-109</t>
  </si>
  <si>
    <t>2NRV274614</t>
  </si>
  <si>
    <t>9BRK29BT3F0055994</t>
  </si>
  <si>
    <t>09</t>
  </si>
  <si>
    <t>OSL-113</t>
  </si>
  <si>
    <t>2NRV275538</t>
  </si>
  <si>
    <t>9BRK29BT6F0056217</t>
  </si>
  <si>
    <t>10</t>
  </si>
  <si>
    <t>OSL-114</t>
  </si>
  <si>
    <t>2NRV276309</t>
  </si>
  <si>
    <t>9BRK29BT8F0056476</t>
  </si>
  <si>
    <t>11</t>
  </si>
  <si>
    <t>OSL-115</t>
  </si>
  <si>
    <t>2NRV273984</t>
  </si>
  <si>
    <t>9BRK29BT1F0055816</t>
  </si>
  <si>
    <t>12</t>
  </si>
  <si>
    <t>OSL-134</t>
  </si>
  <si>
    <t>2NRV277684</t>
  </si>
  <si>
    <t>9BRK29BT3F0056904</t>
  </si>
  <si>
    <t>13</t>
  </si>
  <si>
    <t>OSP-830</t>
  </si>
  <si>
    <t>2NRV276886</t>
  </si>
  <si>
    <t>9BRK29BTXF0056687</t>
  </si>
  <si>
    <t>14</t>
  </si>
  <si>
    <t>OSP-866</t>
  </si>
  <si>
    <t>2NRV279308</t>
  </si>
  <si>
    <t>9BRK29BT9F0057359</t>
  </si>
  <si>
    <t>15</t>
  </si>
  <si>
    <t>AB-538-JJ</t>
  </si>
  <si>
    <t>CHEVROLET</t>
  </si>
  <si>
    <t>PRISMA JOY LS</t>
  </si>
  <si>
    <t>GFK038284</t>
  </si>
  <si>
    <t>9BGKL69THG251124</t>
  </si>
  <si>
    <t>16</t>
  </si>
  <si>
    <t>AD-601-IW</t>
  </si>
  <si>
    <t>ONIX JOY 5P 1,4 N LS MT</t>
  </si>
  <si>
    <t>GFK129810</t>
  </si>
  <si>
    <t>9BGKL48T0JG</t>
  </si>
  <si>
    <t>17</t>
  </si>
  <si>
    <t>AE-097-AN</t>
  </si>
  <si>
    <t>RENAULT</t>
  </si>
  <si>
    <t>KWID 1,0 ZEN</t>
  </si>
  <si>
    <t>B4DA405Q063865</t>
  </si>
  <si>
    <t>93YRBB00XLJ268999</t>
  </si>
  <si>
    <t>18</t>
  </si>
  <si>
    <t>EUE-056</t>
  </si>
  <si>
    <t>POLO</t>
  </si>
  <si>
    <t>1Y958444</t>
  </si>
  <si>
    <t>8AWZZZ9EZ5A688395</t>
  </si>
  <si>
    <t>19</t>
  </si>
  <si>
    <t>HKX-841</t>
  </si>
  <si>
    <t>CORSA</t>
  </si>
  <si>
    <t>7H5145376</t>
  </si>
  <si>
    <t>8AGSB19N09R102420</t>
  </si>
  <si>
    <t>20</t>
  </si>
  <si>
    <t>HKX-843</t>
  </si>
  <si>
    <t>CLIO</t>
  </si>
  <si>
    <t>D4FG728Q046436</t>
  </si>
  <si>
    <t>8A1LB270F9L055902</t>
  </si>
  <si>
    <t>21</t>
  </si>
  <si>
    <t>HKX-868</t>
  </si>
  <si>
    <t>POLO CLASICC 1.6</t>
  </si>
  <si>
    <t>UVC038611</t>
  </si>
  <si>
    <t>8AWZZZ9EZ9A002754</t>
  </si>
  <si>
    <t>22</t>
  </si>
  <si>
    <t>KSV-199</t>
  </si>
  <si>
    <t>178F4055-2176328</t>
  </si>
  <si>
    <t>8AP17269HC 2241027</t>
  </si>
  <si>
    <t>23</t>
  </si>
  <si>
    <t>LWM-102</t>
  </si>
  <si>
    <t>COROLLA</t>
  </si>
  <si>
    <t>2ZRM095562</t>
  </si>
  <si>
    <t>9BRBU48E8D4745395</t>
  </si>
  <si>
    <t>24</t>
  </si>
  <si>
    <t>LYY-053</t>
  </si>
  <si>
    <t>PRISMA 1,4LS</t>
  </si>
  <si>
    <t>T70034459</t>
  </si>
  <si>
    <t>9BGRG6950CG401440</t>
  </si>
  <si>
    <t>25</t>
  </si>
  <si>
    <t>MAI-885</t>
  </si>
  <si>
    <t>AVEO G3 LT</t>
  </si>
  <si>
    <t>F16D3264572</t>
  </si>
  <si>
    <t>3G1TC5CF6DL108416</t>
  </si>
  <si>
    <t>26</t>
  </si>
  <si>
    <t>MXR-595</t>
  </si>
  <si>
    <t>CORSA -SPIRIT  LT 1.4</t>
  </si>
  <si>
    <t>T85170446</t>
  </si>
  <si>
    <t>8AGSC1950ER113711</t>
  </si>
  <si>
    <t>27</t>
  </si>
  <si>
    <t>MXR-597</t>
  </si>
  <si>
    <t>T85170468</t>
  </si>
  <si>
    <t>8AGSC1950ER113641</t>
  </si>
  <si>
    <t>28</t>
  </si>
  <si>
    <t>MXR-598</t>
  </si>
  <si>
    <t>T85170250</t>
  </si>
  <si>
    <t>8AGSC1950ER113477</t>
  </si>
  <si>
    <t>29</t>
  </si>
  <si>
    <t>NHS-501</t>
  </si>
  <si>
    <t>2ZRM175001</t>
  </si>
  <si>
    <t>9BRBU48E4778689</t>
  </si>
  <si>
    <t>30</t>
  </si>
  <si>
    <t>NPW-490</t>
  </si>
  <si>
    <t>FOX 1.6 SEDAN TRES PUERTAS</t>
  </si>
  <si>
    <t>CFZ149051</t>
  </si>
  <si>
    <t>9BWAB05ZXD4175754</t>
  </si>
  <si>
    <t>31</t>
  </si>
  <si>
    <t>AUTOBOMBA B-10</t>
  </si>
  <si>
    <t>HDT-554</t>
  </si>
  <si>
    <t>FORD</t>
  </si>
  <si>
    <t>4000</t>
  </si>
  <si>
    <t>30254572</t>
  </si>
  <si>
    <t>9BFLF47988B050027</t>
  </si>
  <si>
    <t>32</t>
  </si>
  <si>
    <t>AUTOBOMBA B-12</t>
  </si>
  <si>
    <t>AD-016-LU</t>
  </si>
  <si>
    <t>CARGO 1119-42</t>
  </si>
  <si>
    <t>36585550</t>
  </si>
  <si>
    <t>9BFWEA7B4JBS44819</t>
  </si>
  <si>
    <t>33</t>
  </si>
  <si>
    <t>AUTOBOMBA B-8</t>
  </si>
  <si>
    <t>HVU-684</t>
  </si>
  <si>
    <t>G1T110738</t>
  </si>
  <si>
    <t>9BWB172S89R905534</t>
  </si>
  <si>
    <t>34</t>
  </si>
  <si>
    <t>AUTOBOMBA B-9</t>
  </si>
  <si>
    <t>IFJ-295</t>
  </si>
  <si>
    <t>CARGO 1832</t>
  </si>
  <si>
    <t>36047899</t>
  </si>
  <si>
    <t>9BFYCAWYO9BB16113</t>
  </si>
  <si>
    <t>35</t>
  </si>
  <si>
    <t>CAMION JAULA</t>
  </si>
  <si>
    <t>FZT-783</t>
  </si>
  <si>
    <t>MERCEDEZ BENZ</t>
  </si>
  <si>
    <t>L-1218,6L</t>
  </si>
  <si>
    <t>904938U0701544</t>
  </si>
  <si>
    <t>9BM6940007B503596</t>
  </si>
  <si>
    <t>36</t>
  </si>
  <si>
    <t>VII-506</t>
  </si>
  <si>
    <t>1215</t>
  </si>
  <si>
    <t>3491200607013</t>
  </si>
  <si>
    <t>341042-10-03300</t>
  </si>
  <si>
    <t>37</t>
  </si>
  <si>
    <t>CAMION RAMPA 9150</t>
  </si>
  <si>
    <t>HVU-681</t>
  </si>
  <si>
    <t>36057009</t>
  </si>
  <si>
    <t>9BWAA52R39R848365</t>
  </si>
  <si>
    <t>38</t>
  </si>
  <si>
    <t>CAMION TERMICO 9150E</t>
  </si>
  <si>
    <t>HVU-682</t>
  </si>
  <si>
    <t>36059297</t>
  </si>
  <si>
    <t>9BWAA52R09R850042</t>
  </si>
  <si>
    <t>39</t>
  </si>
  <si>
    <t>CAMION VOLCADOR</t>
  </si>
  <si>
    <t>HVU-683</t>
  </si>
  <si>
    <t>G1T111162</t>
  </si>
  <si>
    <t>9BWB172S09R907813</t>
  </si>
  <si>
    <t>40</t>
  </si>
  <si>
    <t>CAMIONETA</t>
  </si>
  <si>
    <t>AD-922-FC</t>
  </si>
  <si>
    <t>S-10 STD 4X2</t>
  </si>
  <si>
    <t>LWNF190981126</t>
  </si>
  <si>
    <t>9BG148CK0LC401677</t>
  </si>
  <si>
    <t>41</t>
  </si>
  <si>
    <t>AD-922-FD</t>
  </si>
  <si>
    <t>LWNF190851068</t>
  </si>
  <si>
    <t>9BG148CK0LC400227</t>
  </si>
  <si>
    <t>42</t>
  </si>
  <si>
    <t>AD-922-FE</t>
  </si>
  <si>
    <t>LWNF190981178</t>
  </si>
  <si>
    <t>9BG148CK0LC401661</t>
  </si>
  <si>
    <t>43</t>
  </si>
  <si>
    <t>AD-922-FF</t>
  </si>
  <si>
    <t>LWNF190991016</t>
  </si>
  <si>
    <t>9BG148CK0LC401741</t>
  </si>
  <si>
    <t>44</t>
  </si>
  <si>
    <t>AD-922-FG</t>
  </si>
  <si>
    <t>LWNF190981077</t>
  </si>
  <si>
    <t>9BG148CK0LC401672</t>
  </si>
  <si>
    <t>45</t>
  </si>
  <si>
    <t>AD-922-FH</t>
  </si>
  <si>
    <t>LWNF190861066</t>
  </si>
  <si>
    <t>9BG148CK0LC400210</t>
  </si>
  <si>
    <t>46</t>
  </si>
  <si>
    <t>AD-922-FI</t>
  </si>
  <si>
    <t>LWNF190981110</t>
  </si>
  <si>
    <t>9BG148CK0LC401737</t>
  </si>
  <si>
    <t>47</t>
  </si>
  <si>
    <t>AD-922-FJ</t>
  </si>
  <si>
    <t>LWNF190851062</t>
  </si>
  <si>
    <t>9BG148CK0LC400218</t>
  </si>
  <si>
    <t>48</t>
  </si>
  <si>
    <t>AD-922-FK</t>
  </si>
  <si>
    <t>LWNF190981134</t>
  </si>
  <si>
    <t>9BG148CK0LC401732</t>
  </si>
  <si>
    <t>49</t>
  </si>
  <si>
    <t>AD-922-FL</t>
  </si>
  <si>
    <t>LWNF190301017</t>
  </si>
  <si>
    <t>9BG148CK0LC400188</t>
  </si>
  <si>
    <t>50</t>
  </si>
  <si>
    <t>AD939YR</t>
  </si>
  <si>
    <t>HILUX 4X2</t>
  </si>
  <si>
    <t>2GD-C415935</t>
  </si>
  <si>
    <t>8AJCB8DDXK4002884</t>
  </si>
  <si>
    <t>51</t>
  </si>
  <si>
    <t>AE 744 PP</t>
  </si>
  <si>
    <t>HILUX 4X4 C/D  DX 2.4 TDI 6 M/T</t>
  </si>
  <si>
    <t>2GD-0711132</t>
  </si>
  <si>
    <t>8AJDB3CD7L1305018</t>
  </si>
  <si>
    <t>52</t>
  </si>
  <si>
    <t>AE 744 PQ</t>
  </si>
  <si>
    <t>2GD-0711124</t>
  </si>
  <si>
    <t>8AJDB3CD9L1305019</t>
  </si>
  <si>
    <t>53</t>
  </si>
  <si>
    <t>AE 744 PR</t>
  </si>
  <si>
    <t>2GD-G196216</t>
  </si>
  <si>
    <t>8AJDB3CD8M1305188</t>
  </si>
  <si>
    <t>54</t>
  </si>
  <si>
    <t>AE 744 PS</t>
  </si>
  <si>
    <t>2GD-0867167</t>
  </si>
  <si>
    <t>8AJDB3CDXL1305014</t>
  </si>
  <si>
    <t>55</t>
  </si>
  <si>
    <t>AE 744 PT</t>
  </si>
  <si>
    <t>2GD-G196284</t>
  </si>
  <si>
    <t>8AJDB3CD8M1305191</t>
  </si>
  <si>
    <t>56</t>
  </si>
  <si>
    <t>AE-180-RS</t>
  </si>
  <si>
    <t>DUSTER OROCH OUTSIDER 1,6</t>
  </si>
  <si>
    <t>K4M2842Q249921</t>
  </si>
  <si>
    <t>93Y9SR095LJ276131</t>
  </si>
  <si>
    <t>57</t>
  </si>
  <si>
    <t>AE-290-OT</t>
  </si>
  <si>
    <t>HILUX 4X2  D/C PACK DX 2,5 TDI</t>
  </si>
  <si>
    <t>2GD-G156129</t>
  </si>
  <si>
    <t>8AJDB3CD2L1302799</t>
  </si>
  <si>
    <t>58</t>
  </si>
  <si>
    <t>AE-290-OU</t>
  </si>
  <si>
    <t>2GD-0743967</t>
  </si>
  <si>
    <t>8AJDB3CD9L1301813</t>
  </si>
  <si>
    <t>59</t>
  </si>
  <si>
    <t>AE-290-OV</t>
  </si>
  <si>
    <t>2GD-0753555</t>
  </si>
  <si>
    <t>8AJDB3CDXL1302145</t>
  </si>
  <si>
    <t>60</t>
  </si>
  <si>
    <t>AE-290-OW</t>
  </si>
  <si>
    <t>2GD-G164416</t>
  </si>
  <si>
    <t>8AJDB3CD9L1303092</t>
  </si>
  <si>
    <t>61</t>
  </si>
  <si>
    <t>AE-290-OX</t>
  </si>
  <si>
    <t>2GD-G156166</t>
  </si>
  <si>
    <t>8AJDB3CD5L1302800</t>
  </si>
  <si>
    <t>62</t>
  </si>
  <si>
    <t>AE-290-OY</t>
  </si>
  <si>
    <t>2GD-G164667</t>
  </si>
  <si>
    <t>8AJDB3CD7L1303110</t>
  </si>
  <si>
    <t>63</t>
  </si>
  <si>
    <t>AE-290-OZ</t>
  </si>
  <si>
    <t>2GD-G163823</t>
  </si>
  <si>
    <t>8AJDB3CD3L1303055</t>
  </si>
  <si>
    <t>64</t>
  </si>
  <si>
    <t>AE-317-XA</t>
  </si>
  <si>
    <t>2GD-G163509</t>
  </si>
  <si>
    <t>8AJDB3CD8L1303035</t>
  </si>
  <si>
    <t>65</t>
  </si>
  <si>
    <t>AE-317-XC</t>
  </si>
  <si>
    <t>2GD-G163505</t>
  </si>
  <si>
    <t>8AJDB3CD6L1303034</t>
  </si>
  <si>
    <t>66</t>
  </si>
  <si>
    <t>AE-317-XD</t>
  </si>
  <si>
    <t>2GD-G164085</t>
  </si>
  <si>
    <t>8AJDB3CD3L1303072</t>
  </si>
  <si>
    <t>67</t>
  </si>
  <si>
    <t>AE-317-XJ</t>
  </si>
  <si>
    <t>2GD0767416</t>
  </si>
  <si>
    <t>8AJDB3CD4L1302626</t>
  </si>
  <si>
    <t>68</t>
  </si>
  <si>
    <t>AE-317-XK</t>
  </si>
  <si>
    <t>2GD-0701409</t>
  </si>
  <si>
    <t>8AJDB3CD0L1302672</t>
  </si>
  <si>
    <t>69</t>
  </si>
  <si>
    <t>AE-317-XL</t>
  </si>
  <si>
    <t>2GD0755592</t>
  </si>
  <si>
    <t>8AJDB3CD7L1302586</t>
  </si>
  <si>
    <t>70</t>
  </si>
  <si>
    <t>AE-317-XM</t>
  </si>
  <si>
    <t>2GD0757946</t>
  </si>
  <si>
    <t>8AJDB3CD5L1302487</t>
  </si>
  <si>
    <t>71</t>
  </si>
  <si>
    <t>AE-317-XN</t>
  </si>
  <si>
    <t>2GD-0764118</t>
  </si>
  <si>
    <t>8AJDB3CD1L1302535</t>
  </si>
  <si>
    <t>72</t>
  </si>
  <si>
    <t>AE-317-XP</t>
  </si>
  <si>
    <t>2GD0760525</t>
  </si>
  <si>
    <t>8AJDB3CDXL1302405</t>
  </si>
  <si>
    <t>73</t>
  </si>
  <si>
    <t>AE-317-XQ</t>
  </si>
  <si>
    <t>2GD0761139</t>
  </si>
  <si>
    <t>8AJDB3CD8L1302418</t>
  </si>
  <si>
    <t>74</t>
  </si>
  <si>
    <t>AE-317-XR</t>
  </si>
  <si>
    <t>2GD0767151</t>
  </si>
  <si>
    <t>8AJDB3CD9L1302637</t>
  </si>
  <si>
    <t>75</t>
  </si>
  <si>
    <t>AE-317-XS</t>
  </si>
  <si>
    <t>2GD0764293</t>
  </si>
  <si>
    <t>8AJDB3CD4L1302531</t>
  </si>
  <si>
    <t>76</t>
  </si>
  <si>
    <t>AE-317-XT</t>
  </si>
  <si>
    <t>2GD-0763500</t>
  </si>
  <si>
    <t>8AJDB3CD6L1302515</t>
  </si>
  <si>
    <t>77</t>
  </si>
  <si>
    <t>AE-317-XU</t>
  </si>
  <si>
    <t>2GD-0768366</t>
  </si>
  <si>
    <t>8AJDB3CDXL1302663</t>
  </si>
  <si>
    <t>78</t>
  </si>
  <si>
    <t>AE-317-XV</t>
  </si>
  <si>
    <t>2GD0757781</t>
  </si>
  <si>
    <t>8AJDB3CD5L1302490</t>
  </si>
  <si>
    <t>79</t>
  </si>
  <si>
    <t>AE-317-XW</t>
  </si>
  <si>
    <t>2GD0760807</t>
  </si>
  <si>
    <t>8AJDB3CD3L1302407</t>
  </si>
  <si>
    <t>80</t>
  </si>
  <si>
    <t>AE-317-XX</t>
  </si>
  <si>
    <t>2GD0761123</t>
  </si>
  <si>
    <t>8AJDB3CD8L1302421</t>
  </si>
  <si>
    <t>81</t>
  </si>
  <si>
    <t>AE-376-NY</t>
  </si>
  <si>
    <t>NISSAN</t>
  </si>
  <si>
    <t>FRONTIER CD S 2,3 D 4X2 MT</t>
  </si>
  <si>
    <t>YS23B266C045772</t>
  </si>
  <si>
    <t>8ANBD33A0ML577342</t>
  </si>
  <si>
    <t>82</t>
  </si>
  <si>
    <t>AE-875-IJ</t>
  </si>
  <si>
    <t>YS23B266C051303</t>
  </si>
  <si>
    <t>8ANBD33B1NL892998</t>
  </si>
  <si>
    <t>83</t>
  </si>
  <si>
    <t>AE-875-IK</t>
  </si>
  <si>
    <t>YS23B266C051876</t>
  </si>
  <si>
    <t>8ANBD33B8ML889689</t>
  </si>
  <si>
    <t>84</t>
  </si>
  <si>
    <t>AE-875-IL</t>
  </si>
  <si>
    <t>YS23B266C052089</t>
  </si>
  <si>
    <t>8ANBD33A0NL893205</t>
  </si>
  <si>
    <t>85</t>
  </si>
  <si>
    <t>AE-875-IM</t>
  </si>
  <si>
    <t>YS23B266C052498</t>
  </si>
  <si>
    <t>8ANBD33BXNL908289</t>
  </si>
  <si>
    <t>86</t>
  </si>
  <si>
    <t>AE-875-IP</t>
  </si>
  <si>
    <t>YS23B266C052511</t>
  </si>
  <si>
    <t>8ANBD33B9NL908297</t>
  </si>
  <si>
    <t>87</t>
  </si>
  <si>
    <t>BZY-790</t>
  </si>
  <si>
    <t>EXPLORER XLT TODO TERRENO</t>
  </si>
  <si>
    <t>A57945</t>
  </si>
  <si>
    <t>1FMZU34X9WUA57945</t>
  </si>
  <si>
    <t>88</t>
  </si>
  <si>
    <t>FGD-109</t>
  </si>
  <si>
    <t>40704214298</t>
  </si>
  <si>
    <t>9BG138AC05C425603</t>
  </si>
  <si>
    <t>89</t>
  </si>
  <si>
    <t>FGD-110</t>
  </si>
  <si>
    <t>40704214140</t>
  </si>
  <si>
    <t>9BG138AC05C425771</t>
  </si>
  <si>
    <t>90</t>
  </si>
  <si>
    <t>FHM-882</t>
  </si>
  <si>
    <t>M1T239064</t>
  </si>
  <si>
    <t>9BG138BC06C406383</t>
  </si>
  <si>
    <t>91</t>
  </si>
  <si>
    <t>JKL 258</t>
  </si>
  <si>
    <t>RANGER DC 4X4</t>
  </si>
  <si>
    <t>L1A004476</t>
  </si>
  <si>
    <t>8AFER13P2BJ383598</t>
  </si>
  <si>
    <t>92</t>
  </si>
  <si>
    <t>JLU-987</t>
  </si>
  <si>
    <t>M1A379705</t>
  </si>
  <si>
    <t>9BG138AJ0BC431640</t>
  </si>
  <si>
    <t>93</t>
  </si>
  <si>
    <t>JMY-239</t>
  </si>
  <si>
    <t>M1A375247</t>
  </si>
  <si>
    <t>9BG138AJ0BC424083</t>
  </si>
  <si>
    <t>94</t>
  </si>
  <si>
    <t>LJA-200</t>
  </si>
  <si>
    <t>HILUX 4X2 CABINA DOBLE</t>
  </si>
  <si>
    <t>1KD-5677251</t>
  </si>
  <si>
    <t>BAJEZ32G5C1010768</t>
  </si>
  <si>
    <t>95</t>
  </si>
  <si>
    <t>LJT-997</t>
  </si>
  <si>
    <t>2KD-5647509</t>
  </si>
  <si>
    <t>8AJER32G1C4041563</t>
  </si>
  <si>
    <t>96</t>
  </si>
  <si>
    <t>LJT-998</t>
  </si>
  <si>
    <t>2KD-5640371</t>
  </si>
  <si>
    <t>8AJER32G5C4041467</t>
  </si>
  <si>
    <t>97</t>
  </si>
  <si>
    <t>LJT-999</t>
  </si>
  <si>
    <t>HILUX 4X4 SR 3.0 TDI</t>
  </si>
  <si>
    <t>1KD-5637955</t>
  </si>
  <si>
    <t>8AJFZ22G0C5020180</t>
  </si>
  <si>
    <t>98</t>
  </si>
  <si>
    <t>LJU-000</t>
  </si>
  <si>
    <t>1KD-5639625</t>
  </si>
  <si>
    <t>8AJFZ22G3C5020285</t>
  </si>
  <si>
    <t>99</t>
  </si>
  <si>
    <t>LJU-002</t>
  </si>
  <si>
    <t>1KD-5640174</t>
  </si>
  <si>
    <t>8AJFZ22G6C5020300</t>
  </si>
  <si>
    <t>100</t>
  </si>
  <si>
    <t>LJU-007</t>
  </si>
  <si>
    <t>2KD-56522718</t>
  </si>
  <si>
    <t>8AJER32G4C4041640</t>
  </si>
  <si>
    <t>101</t>
  </si>
  <si>
    <t>LZR-302</t>
  </si>
  <si>
    <t>1KD-5931120</t>
  </si>
  <si>
    <t>8AJEZ32G4D1012111</t>
  </si>
  <si>
    <t>102</t>
  </si>
  <si>
    <t>LZR-303</t>
  </si>
  <si>
    <t>1KD-5902347</t>
  </si>
  <si>
    <t>8AJEZ32G0D1011957</t>
  </si>
  <si>
    <t>103</t>
  </si>
  <si>
    <t>LZR-304</t>
  </si>
  <si>
    <t>1KD-5898975</t>
  </si>
  <si>
    <t>8AJEZ32G1D1011904</t>
  </si>
  <si>
    <t>104</t>
  </si>
  <si>
    <t>LZR-306</t>
  </si>
  <si>
    <t>1KD-5933619</t>
  </si>
  <si>
    <t>8AJEZ32G3D1012116</t>
  </si>
  <si>
    <t>105</t>
  </si>
  <si>
    <t>LZR-307</t>
  </si>
  <si>
    <t>1KD-5901442</t>
  </si>
  <si>
    <t>8AJEZ32GXD1011934</t>
  </si>
  <si>
    <t>106</t>
  </si>
  <si>
    <t>LZR-308</t>
  </si>
  <si>
    <t>1KD-5900316</t>
  </si>
  <si>
    <t>8AJEZ32GXD1011920</t>
  </si>
  <si>
    <t>107</t>
  </si>
  <si>
    <t>MBI-790</t>
  </si>
  <si>
    <t>1KD-5932035</t>
  </si>
  <si>
    <t>8AJEZ32GXD1012114</t>
  </si>
  <si>
    <t>108</t>
  </si>
  <si>
    <t>MBI-791</t>
  </si>
  <si>
    <t>1KD-5880749</t>
  </si>
  <si>
    <t>8AJEZ32G2C1011764</t>
  </si>
  <si>
    <t>109</t>
  </si>
  <si>
    <t>MBI-792</t>
  </si>
  <si>
    <t>1KD-5868526</t>
  </si>
  <si>
    <t>8AJEZ32G0C1011634</t>
  </si>
  <si>
    <t>110</t>
  </si>
  <si>
    <t>NAY-252</t>
  </si>
  <si>
    <t>2KD-5961057</t>
  </si>
  <si>
    <t>8AJER32G7D4046008</t>
  </si>
  <si>
    <t>111</t>
  </si>
  <si>
    <t>NQS-933</t>
  </si>
  <si>
    <t>2KD-A106134</t>
  </si>
  <si>
    <t>8AJFR22G9D4566063</t>
  </si>
  <si>
    <t>112</t>
  </si>
  <si>
    <t>OMB-874</t>
  </si>
  <si>
    <t>STRADA WORKING 1,4 L/14</t>
  </si>
  <si>
    <t>310A20112096033</t>
  </si>
  <si>
    <t>9BD578742F7840036</t>
  </si>
  <si>
    <t>113</t>
  </si>
  <si>
    <t>OPG-744</t>
  </si>
  <si>
    <t>2KD-A661909</t>
  </si>
  <si>
    <t>8AJER32G8F4056002</t>
  </si>
  <si>
    <t>114</t>
  </si>
  <si>
    <t>OUL-117</t>
  </si>
  <si>
    <t>1KD-A7366258</t>
  </si>
  <si>
    <t>8AJEZ32G9F1017162</t>
  </si>
  <si>
    <t>115</t>
  </si>
  <si>
    <t>OYW-526</t>
  </si>
  <si>
    <t>2KD-A789175</t>
  </si>
  <si>
    <t>8AJER32G3F4057901</t>
  </si>
  <si>
    <t>116</t>
  </si>
  <si>
    <t>OYW-527</t>
  </si>
  <si>
    <t>2KD-A786575</t>
  </si>
  <si>
    <t>8AJER32G0F4057855</t>
  </si>
  <si>
    <t>117</t>
  </si>
  <si>
    <t>OYW-528</t>
  </si>
  <si>
    <t>2KD-A786461</t>
  </si>
  <si>
    <t>118</t>
  </si>
  <si>
    <t>OYW-529</t>
  </si>
  <si>
    <t>2KD-A787182</t>
  </si>
  <si>
    <t>8AJER32G8F4057859</t>
  </si>
  <si>
    <t>119</t>
  </si>
  <si>
    <t>OYW-530</t>
  </si>
  <si>
    <t>HILUX 4X2 D/C PACK DX 2,5 TDI</t>
  </si>
  <si>
    <t>2KD-A790442</t>
  </si>
  <si>
    <t>8AJER32G8F4057909</t>
  </si>
  <si>
    <t>120</t>
  </si>
  <si>
    <t>OYW-531</t>
  </si>
  <si>
    <t>2KD-A791057</t>
  </si>
  <si>
    <t>8AJER32G5F4057804</t>
  </si>
  <si>
    <t>121</t>
  </si>
  <si>
    <t>OZB-152</t>
  </si>
  <si>
    <t>2KD-A797676</t>
  </si>
  <si>
    <t>8AJFR22G7F4580238</t>
  </si>
  <si>
    <t>122</t>
  </si>
  <si>
    <t>OZB-153</t>
  </si>
  <si>
    <t>2KD-A799562</t>
  </si>
  <si>
    <t>8AJFR22G7F4580272</t>
  </si>
  <si>
    <t>123</t>
  </si>
  <si>
    <t>PBN-257</t>
  </si>
  <si>
    <t>2KD-A793557</t>
  </si>
  <si>
    <t>8AJER32G7F4057996</t>
  </si>
  <si>
    <t>124</t>
  </si>
  <si>
    <t>PCN-063</t>
  </si>
  <si>
    <t>2KD-A824596</t>
  </si>
  <si>
    <t>8AJER32G2F4059204</t>
  </si>
  <si>
    <t>125</t>
  </si>
  <si>
    <t>PCN-064</t>
  </si>
  <si>
    <t>2KD-A824348</t>
  </si>
  <si>
    <t>8AJER32G9F4059183</t>
  </si>
  <si>
    <t>126</t>
  </si>
  <si>
    <t>PCN-065</t>
  </si>
  <si>
    <t>2KD-A823692</t>
  </si>
  <si>
    <t>8AJER32G9F4059149</t>
  </si>
  <si>
    <t>127</t>
  </si>
  <si>
    <t>PCN-066</t>
  </si>
  <si>
    <t>2KD-A824560</t>
  </si>
  <si>
    <t>8AJER32G6F4059187</t>
  </si>
  <si>
    <t>128</t>
  </si>
  <si>
    <t>PEB-293</t>
  </si>
  <si>
    <t>2KD-A835061</t>
  </si>
  <si>
    <t>8AJER32G5F4059567</t>
  </si>
  <si>
    <t>129</t>
  </si>
  <si>
    <t>PEG-687</t>
  </si>
  <si>
    <t>2KD-A839103</t>
  </si>
  <si>
    <t>8AJER32G0F4059587</t>
  </si>
  <si>
    <t>130</t>
  </si>
  <si>
    <t>PHV-803</t>
  </si>
  <si>
    <t>2KD-A865632</t>
  </si>
  <si>
    <t>8AJER32G4F4061858</t>
  </si>
  <si>
    <t>131</t>
  </si>
  <si>
    <t>PIO-390</t>
  </si>
  <si>
    <t>AMAROK 4X2 STARTLINE 2,0</t>
  </si>
  <si>
    <t>CNF059596</t>
  </si>
  <si>
    <t>8AWDD42H3GA002810</t>
  </si>
  <si>
    <t>132</t>
  </si>
  <si>
    <t>PIO-392</t>
  </si>
  <si>
    <t>CNF059822</t>
  </si>
  <si>
    <t>8AWDD42H7GA003328</t>
  </si>
  <si>
    <t>133</t>
  </si>
  <si>
    <t>PIO-393</t>
  </si>
  <si>
    <t>AMAROK 4X2 STARTLINE 2,2</t>
  </si>
  <si>
    <t>CNF057844</t>
  </si>
  <si>
    <t>8ADD42H5GA003392</t>
  </si>
  <si>
    <t>134</t>
  </si>
  <si>
    <t>PIO-395</t>
  </si>
  <si>
    <t>CNF059474</t>
  </si>
  <si>
    <t>8AWDD42H1GA003230</t>
  </si>
  <si>
    <t>135</t>
  </si>
  <si>
    <t>PIO-396</t>
  </si>
  <si>
    <t>CNF057857</t>
  </si>
  <si>
    <t>8AWDD42H5GA0033361</t>
  </si>
  <si>
    <t>136</t>
  </si>
  <si>
    <t>PIO-397</t>
  </si>
  <si>
    <t>CNF060775</t>
  </si>
  <si>
    <t>8AWDD42H2GA007058</t>
  </si>
  <si>
    <t>137</t>
  </si>
  <si>
    <t>PIO-398</t>
  </si>
  <si>
    <t>CNF057854</t>
  </si>
  <si>
    <t>8AWDD42HXGA003369</t>
  </si>
  <si>
    <t>138</t>
  </si>
  <si>
    <t>PIO-399</t>
  </si>
  <si>
    <t>CNF059685</t>
  </si>
  <si>
    <t>8AWDD42H8GA003323</t>
  </si>
  <si>
    <t>139</t>
  </si>
  <si>
    <t>PIO-400</t>
  </si>
  <si>
    <t>CNF59918</t>
  </si>
  <si>
    <t>8AWDD42H3GA009160</t>
  </si>
  <si>
    <t>140</t>
  </si>
  <si>
    <t>PIO-401</t>
  </si>
  <si>
    <t>CNF060074</t>
  </si>
  <si>
    <t>8AWDD42H4GA009085</t>
  </si>
  <si>
    <t>141</t>
  </si>
  <si>
    <t>PIO-402</t>
  </si>
  <si>
    <t>CNF059698</t>
  </si>
  <si>
    <t>8AWDD42H7GA003314</t>
  </si>
  <si>
    <t>142</t>
  </si>
  <si>
    <t>PIO-403</t>
  </si>
  <si>
    <t>CNF059606</t>
  </si>
  <si>
    <t>8AWDD42H7GA003524</t>
  </si>
  <si>
    <t>143</t>
  </si>
  <si>
    <t>PIO-404</t>
  </si>
  <si>
    <t>CNF057850</t>
  </si>
  <si>
    <t>8AWDD42H6GA003367</t>
  </si>
  <si>
    <t>144</t>
  </si>
  <si>
    <t>PIO-405</t>
  </si>
  <si>
    <t>CNF058298</t>
  </si>
  <si>
    <t>8AWDD42H7GA003149</t>
  </si>
  <si>
    <t>145</t>
  </si>
  <si>
    <t>PIO-406</t>
  </si>
  <si>
    <t>CNF059329</t>
  </si>
  <si>
    <t>8AWDD42H0GA003509</t>
  </si>
  <si>
    <t>146</t>
  </si>
  <si>
    <t>PIO-407</t>
  </si>
  <si>
    <t>CNF059334</t>
  </si>
  <si>
    <t>8AWDD42HXGA003484</t>
  </si>
  <si>
    <t>147</t>
  </si>
  <si>
    <t>PIO-408</t>
  </si>
  <si>
    <t>CNF059508</t>
  </si>
  <si>
    <t>8AWDD42H9GA002844</t>
  </si>
  <si>
    <t>148</t>
  </si>
  <si>
    <t>PIO-409</t>
  </si>
  <si>
    <t>CNF059882</t>
  </si>
  <si>
    <t>8AWDD42H0GA003350</t>
  </si>
  <si>
    <t>149</t>
  </si>
  <si>
    <t>PIO-417</t>
  </si>
  <si>
    <t>CNF060226</t>
  </si>
  <si>
    <t>8AWDD42H9GA003265</t>
  </si>
  <si>
    <t>150</t>
  </si>
  <si>
    <t>PIO-418</t>
  </si>
  <si>
    <t>8AWDD42H9GA003217</t>
  </si>
  <si>
    <t>151</t>
  </si>
  <si>
    <t>PIO-419</t>
  </si>
  <si>
    <t>CNF060978</t>
  </si>
  <si>
    <t>8AWDD42H7GA007069</t>
  </si>
  <si>
    <t>152</t>
  </si>
  <si>
    <t>PIQ-540</t>
  </si>
  <si>
    <t>CNF060489</t>
  </si>
  <si>
    <t>8AWDD42H6GA006642</t>
  </si>
  <si>
    <t>153</t>
  </si>
  <si>
    <t>PIQ-541</t>
  </si>
  <si>
    <t>CNF059421</t>
  </si>
  <si>
    <t>8AWDD42H2GA008775</t>
  </si>
  <si>
    <t>154</t>
  </si>
  <si>
    <t>PIQ-542</t>
  </si>
  <si>
    <t>CNF060183</t>
  </si>
  <si>
    <t>8AWDD42H5GA007880</t>
  </si>
  <si>
    <t>155</t>
  </si>
  <si>
    <t>PIQ-543</t>
  </si>
  <si>
    <t>CNF059829</t>
  </si>
  <si>
    <t>8AWDD42H2GA003334</t>
  </si>
  <si>
    <t>156</t>
  </si>
  <si>
    <t>PIQ-546</t>
  </si>
  <si>
    <t>CNF059510</t>
  </si>
  <si>
    <t>8AWDD42H5GA002825</t>
  </si>
  <si>
    <t>157</t>
  </si>
  <si>
    <t>PIQ-547</t>
  </si>
  <si>
    <t>CNF059663</t>
  </si>
  <si>
    <t>8AWDD42HXGA003288</t>
  </si>
  <si>
    <t>158</t>
  </si>
  <si>
    <t>PIQ-548</t>
  </si>
  <si>
    <t>CNF061376</t>
  </si>
  <si>
    <t>8AWDD42H4GA008812</t>
  </si>
  <si>
    <t>159</t>
  </si>
  <si>
    <t>PIQ-549</t>
  </si>
  <si>
    <t>CNF058381</t>
  </si>
  <si>
    <t>8AWDD42H8GA007050</t>
  </si>
  <si>
    <t>160</t>
  </si>
  <si>
    <t>PIQ-552</t>
  </si>
  <si>
    <t>CNF061032</t>
  </si>
  <si>
    <t>8AWDD42H3GA009224</t>
  </si>
  <si>
    <t>161</t>
  </si>
  <si>
    <t>PIQ-553</t>
  </si>
  <si>
    <t>CNF060068</t>
  </si>
  <si>
    <t>8AWDD42H6GA008584</t>
  </si>
  <si>
    <t>162</t>
  </si>
  <si>
    <t>PIQ-554</t>
  </si>
  <si>
    <t>CNF059296</t>
  </si>
  <si>
    <t>8AWDD42H6GA003014</t>
  </si>
  <si>
    <t>163</t>
  </si>
  <si>
    <t>PIQ-556</t>
  </si>
  <si>
    <t>CNF060242</t>
  </si>
  <si>
    <t>8AWDD42H8GA003273</t>
  </si>
  <si>
    <t>164</t>
  </si>
  <si>
    <t>PIQ-557</t>
  </si>
  <si>
    <t>CNF060034</t>
  </si>
  <si>
    <t>8AWDD42HXGA003260</t>
  </si>
  <si>
    <t>165</t>
  </si>
  <si>
    <t>PIQ-559</t>
  </si>
  <si>
    <t>CNF060036</t>
  </si>
  <si>
    <t>8AWDD42H4GA003254</t>
  </si>
  <si>
    <t>166</t>
  </si>
  <si>
    <t>PIQ-560</t>
  </si>
  <si>
    <t>CNF059830</t>
  </si>
  <si>
    <t>8AWDD42H1GA003356</t>
  </si>
  <si>
    <t>167</t>
  </si>
  <si>
    <t>PIQ-561</t>
  </si>
  <si>
    <t>CNF058279</t>
  </si>
  <si>
    <t>8AWDD42H1GA003163</t>
  </si>
  <si>
    <t>168</t>
  </si>
  <si>
    <t>PIQ-562</t>
  </si>
  <si>
    <t>CNF058137</t>
  </si>
  <si>
    <t>8AWDD42H9GA003458</t>
  </si>
  <si>
    <t>169</t>
  </si>
  <si>
    <t>PIQ-563</t>
  </si>
  <si>
    <t>CNF059706</t>
  </si>
  <si>
    <t>8AWDD42H6GA003532</t>
  </si>
  <si>
    <t>170</t>
  </si>
  <si>
    <t>PIQ-566</t>
  </si>
  <si>
    <t>CNF060190</t>
  </si>
  <si>
    <t>8AWDD42H2GA007691</t>
  </si>
  <si>
    <t>171</t>
  </si>
  <si>
    <t>PIQ-567</t>
  </si>
  <si>
    <t>CNF060691</t>
  </si>
  <si>
    <t>8AWDD42HXGA007129</t>
  </si>
  <si>
    <t>172</t>
  </si>
  <si>
    <t>PIQ-570</t>
  </si>
  <si>
    <t>CNF059715</t>
  </si>
  <si>
    <t>8AWDD42H2GA003317</t>
  </si>
  <si>
    <t>173</t>
  </si>
  <si>
    <t>PIQ-571</t>
  </si>
  <si>
    <t>CNF059664</t>
  </si>
  <si>
    <t>8AWDD42H2GA003303</t>
  </si>
  <si>
    <t>174</t>
  </si>
  <si>
    <t>PIQ-573</t>
  </si>
  <si>
    <t>CNF059340</t>
  </si>
  <si>
    <t>8AWDD42H8GA002883</t>
  </si>
  <si>
    <t>175</t>
  </si>
  <si>
    <t>PIQ-575</t>
  </si>
  <si>
    <t>CNF060279</t>
  </si>
  <si>
    <t>8AWDD42H8GA007176</t>
  </si>
  <si>
    <t>176</t>
  </si>
  <si>
    <t>PIQ-576</t>
  </si>
  <si>
    <t>CNF060696</t>
  </si>
  <si>
    <t>8AWDD42H8GA007128</t>
  </si>
  <si>
    <t>177</t>
  </si>
  <si>
    <t>AD-291-UH</t>
  </si>
  <si>
    <t>FRONTIER SE PLUS 4X2 DIESEL</t>
  </si>
  <si>
    <t>YS23A260C027390</t>
  </si>
  <si>
    <t>3N6BD33A1KK805534</t>
  </si>
  <si>
    <t>178</t>
  </si>
  <si>
    <t>AD-897-EY</t>
  </si>
  <si>
    <t>LWNF190991020</t>
  </si>
  <si>
    <t>9BG148CK0LC401749</t>
  </si>
  <si>
    <t>179</t>
  </si>
  <si>
    <t>AD-897-EZ</t>
  </si>
  <si>
    <t>LWNF190981139</t>
  </si>
  <si>
    <t>9BG148CK0LC401739</t>
  </si>
  <si>
    <t>180</t>
  </si>
  <si>
    <t>AD-922-FA</t>
  </si>
  <si>
    <t>LWNF190981136</t>
  </si>
  <si>
    <t>9BG148CK0LC401712</t>
  </si>
  <si>
    <t>181</t>
  </si>
  <si>
    <t>CARRO</t>
  </si>
  <si>
    <t>S/DOM. 101 FZT-783 (FICTICIA)</t>
  </si>
  <si>
    <t>NO UBICADO</t>
  </si>
  <si>
    <t>182</t>
  </si>
  <si>
    <t>S/DOM. 101 PIQ-547 (FICTICIA)</t>
  </si>
  <si>
    <t>183</t>
  </si>
  <si>
    <t>CARRO - TRAILER</t>
  </si>
  <si>
    <t>S/DOM. QPT-805</t>
  </si>
  <si>
    <t>184</t>
  </si>
  <si>
    <t>CARRO ohq 711(ver)</t>
  </si>
  <si>
    <t>S/DOM. 101 PIO-395</t>
  </si>
  <si>
    <t>185</t>
  </si>
  <si>
    <t>CARRO TRAILER P/CUATRICICLO</t>
  </si>
  <si>
    <t>101 QAL-390</t>
  </si>
  <si>
    <t>186</t>
  </si>
  <si>
    <t>CASILLA 1</t>
  </si>
  <si>
    <t>01 QAL-205 (FICTICIA)</t>
  </si>
  <si>
    <t>187</t>
  </si>
  <si>
    <t>CASILLA 2</t>
  </si>
  <si>
    <t>101 PIO-400 (FICTICIA)</t>
  </si>
  <si>
    <t>188</t>
  </si>
  <si>
    <t>CASILLA 3</t>
  </si>
  <si>
    <t>101 QAL-206 (FICTICIA)</t>
  </si>
  <si>
    <t>189</t>
  </si>
  <si>
    <t>CASILLA 4</t>
  </si>
  <si>
    <t>101 QAL-207 (FICTICIA)</t>
  </si>
  <si>
    <t>E.T. MANQUE</t>
  </si>
  <si>
    <t>REEVER</t>
  </si>
  <si>
    <t>190</t>
  </si>
  <si>
    <t>CUATRICICLO</t>
  </si>
  <si>
    <t>046-DXP</t>
  </si>
  <si>
    <t>HONDA</t>
  </si>
  <si>
    <t>TRX 500</t>
  </si>
  <si>
    <t>TE31E-8310887</t>
  </si>
  <si>
    <t>1HFTE31U084300651</t>
  </si>
  <si>
    <t>191</t>
  </si>
  <si>
    <t>047-DXP</t>
  </si>
  <si>
    <t>TE31E-8310850</t>
  </si>
  <si>
    <t>1HRTE31U884300655</t>
  </si>
  <si>
    <t>192</t>
  </si>
  <si>
    <t>MINIBUS</t>
  </si>
  <si>
    <t>AD-363-UL</t>
  </si>
  <si>
    <t>TRANSIT BUS 2.2L 460E (CAP. 16 PERS.)</t>
  </si>
  <si>
    <t>UHR5JTS31196</t>
  </si>
  <si>
    <t>WF0DXMTTGJTS31196</t>
  </si>
  <si>
    <t>193</t>
  </si>
  <si>
    <t>HEM-458</t>
  </si>
  <si>
    <t>BUS (CAP. 16 PERS.)</t>
  </si>
  <si>
    <t>611982E13</t>
  </si>
  <si>
    <t>8AC9046638A979055</t>
  </si>
  <si>
    <t>194</t>
  </si>
  <si>
    <t>MOTOCICLETA</t>
  </si>
  <si>
    <t>028-JHC</t>
  </si>
  <si>
    <t>XR125 L</t>
  </si>
  <si>
    <t>JC30E-6775813</t>
  </si>
  <si>
    <t>8CHJD19A6DL004550</t>
  </si>
  <si>
    <t>195</t>
  </si>
  <si>
    <t>A-140-REJ</t>
  </si>
  <si>
    <t>BENELLI</t>
  </si>
  <si>
    <t>TRK 502</t>
  </si>
  <si>
    <t>BJ269MR-A*08925065*</t>
  </si>
  <si>
    <t>8ELB09ANAMB008716</t>
  </si>
  <si>
    <t>196</t>
  </si>
  <si>
    <t>A-140-REH</t>
  </si>
  <si>
    <t>BJ269MR-A*11504546*</t>
  </si>
  <si>
    <t>8ELB09ANAMB029437</t>
  </si>
  <si>
    <t>197</t>
  </si>
  <si>
    <t>A-140-REI</t>
  </si>
  <si>
    <t>BJ269MR-A*08935832*</t>
  </si>
  <si>
    <t>8ELB09ANAMB020048</t>
  </si>
  <si>
    <t>198</t>
  </si>
  <si>
    <t>A-140-REK</t>
  </si>
  <si>
    <t>BJ269MR-A*08935806*</t>
  </si>
  <si>
    <t>8ELB09ANAMB020052</t>
  </si>
  <si>
    <t>199</t>
  </si>
  <si>
    <t>A-140-REL</t>
  </si>
  <si>
    <t>BJ269MR-A*08936136*</t>
  </si>
  <si>
    <t>8ELB09ANAMB034293</t>
  </si>
  <si>
    <t>200</t>
  </si>
  <si>
    <t>013-JHC</t>
  </si>
  <si>
    <t>XR 250 TORNADO</t>
  </si>
  <si>
    <t>MD34E-D703414</t>
  </si>
  <si>
    <t>8CHMD3400DL003025</t>
  </si>
  <si>
    <t>201</t>
  </si>
  <si>
    <t>014-JHC</t>
  </si>
  <si>
    <t>JC30E-6784069</t>
  </si>
  <si>
    <t>8CHJD19A6DL006471</t>
  </si>
  <si>
    <t>202</t>
  </si>
  <si>
    <t>015-JHC</t>
  </si>
  <si>
    <t>MD34E-D703480</t>
  </si>
  <si>
    <t>8CHMD3400DL002966</t>
  </si>
  <si>
    <t>203</t>
  </si>
  <si>
    <t>016-JHC</t>
  </si>
  <si>
    <t>MD34E-D703439</t>
  </si>
  <si>
    <t>8CHMD3400DL003027</t>
  </si>
  <si>
    <t>204</t>
  </si>
  <si>
    <t>017-JHC</t>
  </si>
  <si>
    <t>MD34E-D703442</t>
  </si>
  <si>
    <t>8CHMD3400DL003029</t>
  </si>
  <si>
    <t>205</t>
  </si>
  <si>
    <t>018-JHC</t>
  </si>
  <si>
    <t>MD34E-D703518</t>
  </si>
  <si>
    <t>8CHMD3400DL002899</t>
  </si>
  <si>
    <t>206</t>
  </si>
  <si>
    <t>020-JHC</t>
  </si>
  <si>
    <t>JC30E-6782963</t>
  </si>
  <si>
    <t>8CHJD19A6DL004920</t>
  </si>
  <si>
    <t>207</t>
  </si>
  <si>
    <t>021-JHC</t>
  </si>
  <si>
    <t>JC30E-6778252</t>
  </si>
  <si>
    <t>8CHJD19A6DL001609</t>
  </si>
  <si>
    <t>208</t>
  </si>
  <si>
    <t>022-JHC</t>
  </si>
  <si>
    <t>JC30E-6704001</t>
  </si>
  <si>
    <t>LTMJD19A0C5318495</t>
  </si>
  <si>
    <t>209</t>
  </si>
  <si>
    <t>023-JHC</t>
  </si>
  <si>
    <t>JC30E-6704078</t>
  </si>
  <si>
    <t>LTMJD19A8C5318552</t>
  </si>
  <si>
    <t>210</t>
  </si>
  <si>
    <t>024-JHC</t>
  </si>
  <si>
    <t>JC30E-6701486</t>
  </si>
  <si>
    <t>LTMJD19A2C5316425</t>
  </si>
  <si>
    <t>211</t>
  </si>
  <si>
    <t>025-JHC</t>
  </si>
  <si>
    <t>JC30E-6778051</t>
  </si>
  <si>
    <t>8CHJD19A6DL001172</t>
  </si>
  <si>
    <t>212</t>
  </si>
  <si>
    <t>026-JHC</t>
  </si>
  <si>
    <t>JC30E-6784831</t>
  </si>
  <si>
    <t>8CHJD19A6DL005111</t>
  </si>
  <si>
    <t>213</t>
  </si>
  <si>
    <t>027-JHC</t>
  </si>
  <si>
    <t>JC30E-6784066</t>
  </si>
  <si>
    <t>8CHJD19A6DL006469</t>
  </si>
  <si>
    <t>214</t>
  </si>
  <si>
    <t>028-JHC-</t>
  </si>
  <si>
    <t>215</t>
  </si>
  <si>
    <t>029-JHC</t>
  </si>
  <si>
    <t>JC30E-6773413</t>
  </si>
  <si>
    <t>8CHJD19A6DL001074</t>
  </si>
  <si>
    <t>216</t>
  </si>
  <si>
    <t>030-JHC</t>
  </si>
  <si>
    <t>JC30E-6784828</t>
  </si>
  <si>
    <t>8CHJD19A6DL005108</t>
  </si>
  <si>
    <t>217</t>
  </si>
  <si>
    <t>031-JHC</t>
  </si>
  <si>
    <t>JC30E-6704076</t>
  </si>
  <si>
    <t>LTMJD19AXC5318584</t>
  </si>
  <si>
    <t>218</t>
  </si>
  <si>
    <t>042-DXP</t>
  </si>
  <si>
    <t>MD34E-8510359</t>
  </si>
  <si>
    <t>9C2MD34008R510359</t>
  </si>
  <si>
    <t>219</t>
  </si>
  <si>
    <t>043-DXP</t>
  </si>
  <si>
    <t>MD34E-8510328</t>
  </si>
  <si>
    <t>9C2MD34008R510328</t>
  </si>
  <si>
    <t>220</t>
  </si>
  <si>
    <t>044-DXP</t>
  </si>
  <si>
    <t>MD34E-8510323</t>
  </si>
  <si>
    <t>9C2MD34008R510323</t>
  </si>
  <si>
    <t>221</t>
  </si>
  <si>
    <t>045-DXP</t>
  </si>
  <si>
    <t>MD34E-8510331</t>
  </si>
  <si>
    <t>9C2MD34008R510331</t>
  </si>
  <si>
    <t>222</t>
  </si>
  <si>
    <t>049-KVW</t>
  </si>
  <si>
    <t>XR 125 L</t>
  </si>
  <si>
    <t>JD21E-2263759</t>
  </si>
  <si>
    <t>8CHJD19A6EL012604</t>
  </si>
  <si>
    <t>223</t>
  </si>
  <si>
    <t>050-KVW</t>
  </si>
  <si>
    <t>JD21E-2266191</t>
  </si>
  <si>
    <t>8CHJD19A6EL015382</t>
  </si>
  <si>
    <t>224</t>
  </si>
  <si>
    <t>051-KVW</t>
  </si>
  <si>
    <t>JD21E-2263698</t>
  </si>
  <si>
    <t>8CHJD19A6EL012578</t>
  </si>
  <si>
    <t>225</t>
  </si>
  <si>
    <t>052-KVW</t>
  </si>
  <si>
    <t>JD21E-2263705</t>
  </si>
  <si>
    <t>8CHJD19A6EL012569</t>
  </si>
  <si>
    <t>226</t>
  </si>
  <si>
    <t>054-KVW</t>
  </si>
  <si>
    <t>JD21E-2263748</t>
  </si>
  <si>
    <t>8CHJD19A6EL012541</t>
  </si>
  <si>
    <t>227</t>
  </si>
  <si>
    <t>055-KVW</t>
  </si>
  <si>
    <t>JD21E-2263754</t>
  </si>
  <si>
    <t>8CHJD19A6EL012537</t>
  </si>
  <si>
    <t>228</t>
  </si>
  <si>
    <t>056-KVW</t>
  </si>
  <si>
    <t>JD21E-2265483</t>
  </si>
  <si>
    <t>8CHJD19A6EL014195</t>
  </si>
  <si>
    <t>229</t>
  </si>
  <si>
    <t>057-KVW</t>
  </si>
  <si>
    <t>JD21E-2265873</t>
  </si>
  <si>
    <t>8CHJD19A6EL014201</t>
  </si>
  <si>
    <t>230</t>
  </si>
  <si>
    <t>058-KVW</t>
  </si>
  <si>
    <t>JD21E-2265486</t>
  </si>
  <si>
    <t>8CHJD19A6EL014196</t>
  </si>
  <si>
    <t>231</t>
  </si>
  <si>
    <t>059-KVW</t>
  </si>
  <si>
    <t>JD21E-2263758</t>
  </si>
  <si>
    <t>8CHJD19A6EL012607</t>
  </si>
  <si>
    <t>232</t>
  </si>
  <si>
    <t>060-KVW</t>
  </si>
  <si>
    <t>JD21E-2265500</t>
  </si>
  <si>
    <t>8CHJD19A6EL014209</t>
  </si>
  <si>
    <t>233</t>
  </si>
  <si>
    <t>061-KVW</t>
  </si>
  <si>
    <t>JD21E-2263520</t>
  </si>
  <si>
    <t>8CHJD19A6EL012513</t>
  </si>
  <si>
    <t>234</t>
  </si>
  <si>
    <t>062-KVW</t>
  </si>
  <si>
    <t>JD21E-2266328</t>
  </si>
  <si>
    <t>8CHJD19A6EL015243</t>
  </si>
  <si>
    <t>235</t>
  </si>
  <si>
    <t>063-KVW</t>
  </si>
  <si>
    <t>JD21E-2265495</t>
  </si>
  <si>
    <t>8CHJD19A6EL014205</t>
  </si>
  <si>
    <t>236</t>
  </si>
  <si>
    <t>064-KVW</t>
  </si>
  <si>
    <t>JD21E-2265497</t>
  </si>
  <si>
    <t>8CHJD19A6EL014206</t>
  </si>
  <si>
    <t>237</t>
  </si>
  <si>
    <t>069-JHC</t>
  </si>
  <si>
    <t>JC30E-6701555</t>
  </si>
  <si>
    <t>LTMJD19A2C5316540</t>
  </si>
  <si>
    <t>238</t>
  </si>
  <si>
    <t>129-JGI</t>
  </si>
  <si>
    <t>NX400 FALCON</t>
  </si>
  <si>
    <t>ND07E - C701299</t>
  </si>
  <si>
    <t>8CHND0700DP001051</t>
  </si>
  <si>
    <t>239</t>
  </si>
  <si>
    <t>130-JGI</t>
  </si>
  <si>
    <t>JC30E-6773126</t>
  </si>
  <si>
    <t>8CHJD19A6CL000775</t>
  </si>
  <si>
    <t>240</t>
  </si>
  <si>
    <t>131-JGI</t>
  </si>
  <si>
    <t>JC30E-6775258</t>
  </si>
  <si>
    <t>8CHJD19A6CL001488</t>
  </si>
  <si>
    <t>241</t>
  </si>
  <si>
    <t>132-JGI</t>
  </si>
  <si>
    <t>JC30E-6774792</t>
  </si>
  <si>
    <t>8CHJD19A6CL001444</t>
  </si>
  <si>
    <t>242</t>
  </si>
  <si>
    <t>133-JGI</t>
  </si>
  <si>
    <t>ND07E - C701238</t>
  </si>
  <si>
    <t>8CHND0700DP001044</t>
  </si>
  <si>
    <t>243</t>
  </si>
  <si>
    <t>134-JGI</t>
  </si>
  <si>
    <t>ND07E - C701265</t>
  </si>
  <si>
    <t>8CHND0700DP001030</t>
  </si>
  <si>
    <t>244</t>
  </si>
  <si>
    <t>135-JGI</t>
  </si>
  <si>
    <t>ND07E - C701218</t>
  </si>
  <si>
    <t>8CHND0700DP001036</t>
  </si>
  <si>
    <t>245</t>
  </si>
  <si>
    <t>149-GQR</t>
  </si>
  <si>
    <t>TWISTER 250cc</t>
  </si>
  <si>
    <t>MC35E-A352652</t>
  </si>
  <si>
    <t>9C2MC3500AR352652</t>
  </si>
  <si>
    <t>246</t>
  </si>
  <si>
    <t>153-GUC</t>
  </si>
  <si>
    <t>MD34E-B511030</t>
  </si>
  <si>
    <t>9C2MD3400BR511030</t>
  </si>
  <si>
    <t>247</t>
  </si>
  <si>
    <t>154-GUC</t>
  </si>
  <si>
    <t>MD34E-B510906</t>
  </si>
  <si>
    <t>9C2MD3400BR510906</t>
  </si>
  <si>
    <t>248</t>
  </si>
  <si>
    <t>157-GUC</t>
  </si>
  <si>
    <t>MD34E-B510739</t>
  </si>
  <si>
    <t>9C2MD3400BR510739</t>
  </si>
  <si>
    <t>249</t>
  </si>
  <si>
    <t>158-GUC</t>
  </si>
  <si>
    <t>MD34E-B511036</t>
  </si>
  <si>
    <t>9C2MD3400BR511036</t>
  </si>
  <si>
    <t>250</t>
  </si>
  <si>
    <t>167-GUC</t>
  </si>
  <si>
    <t>MD34E-B510991</t>
  </si>
  <si>
    <t>9C2MD3400BR510991</t>
  </si>
  <si>
    <t>251</t>
  </si>
  <si>
    <t>168-GUC</t>
  </si>
  <si>
    <t>MD34E-B510790</t>
  </si>
  <si>
    <t>9C2MD3400BR510790</t>
  </si>
  <si>
    <t>252</t>
  </si>
  <si>
    <t>169-GUC</t>
  </si>
  <si>
    <t>MD34E-B510491</t>
  </si>
  <si>
    <t>9C2MD3400BR510491</t>
  </si>
  <si>
    <t>253</t>
  </si>
  <si>
    <t>171-GUC</t>
  </si>
  <si>
    <t>MD34E-B510755</t>
  </si>
  <si>
    <t>9C2MD3400BR510755</t>
  </si>
  <si>
    <t>254</t>
  </si>
  <si>
    <t>176-GQR</t>
  </si>
  <si>
    <t>MD34E-A516392</t>
  </si>
  <si>
    <t>9C2MD3400AR516392</t>
  </si>
  <si>
    <t>255</t>
  </si>
  <si>
    <t>179-GQR</t>
  </si>
  <si>
    <t>MD34E-A516396</t>
  </si>
  <si>
    <t>9C2MD3400AR516396</t>
  </si>
  <si>
    <t>256</t>
  </si>
  <si>
    <t>189-GQR</t>
  </si>
  <si>
    <t>MD34E-A516358</t>
  </si>
  <si>
    <t>9C2MD3400AR516358</t>
  </si>
  <si>
    <t>257</t>
  </si>
  <si>
    <t>195-GQR</t>
  </si>
  <si>
    <t>MC35E-A352665</t>
  </si>
  <si>
    <t>9C2MC3509AR352665</t>
  </si>
  <si>
    <t>258</t>
  </si>
  <si>
    <t>196-GQR</t>
  </si>
  <si>
    <t>MD34E-A516419</t>
  </si>
  <si>
    <t>9C2MD3400AR516419</t>
  </si>
  <si>
    <t>259</t>
  </si>
  <si>
    <t>197-GQR</t>
  </si>
  <si>
    <t>MC35E-A352650</t>
  </si>
  <si>
    <t>9C2MC3507AR352650</t>
  </si>
  <si>
    <t>260</t>
  </si>
  <si>
    <t>198-GQR</t>
  </si>
  <si>
    <t>MD34E-A516339</t>
  </si>
  <si>
    <t>9C2MD3400AR516339</t>
  </si>
  <si>
    <t>261</t>
  </si>
  <si>
    <t>224-KQC</t>
  </si>
  <si>
    <t>JD21E-2263515</t>
  </si>
  <si>
    <t>8CHJD19A6EL012502</t>
  </si>
  <si>
    <t>262</t>
  </si>
  <si>
    <t>225-KQC</t>
  </si>
  <si>
    <t>JD21E-2263004</t>
  </si>
  <si>
    <t>8CHJD19A6EL012388</t>
  </si>
  <si>
    <t>263</t>
  </si>
  <si>
    <t>226-KQC</t>
  </si>
  <si>
    <t>JD21E-2262997</t>
  </si>
  <si>
    <t>8CHJD19A6EL012356</t>
  </si>
  <si>
    <t>264</t>
  </si>
  <si>
    <t>228-KQC</t>
  </si>
  <si>
    <t>JD21E-2193879</t>
  </si>
  <si>
    <t>8CHJD19A6EL002911</t>
  </si>
  <si>
    <t>265</t>
  </si>
  <si>
    <t>229-JUM</t>
  </si>
  <si>
    <t>MD34E-D701968</t>
  </si>
  <si>
    <t>8CHMD3400DL001689</t>
  </si>
  <si>
    <t>266</t>
  </si>
  <si>
    <t>229-KQC</t>
  </si>
  <si>
    <t>JD21E-2194282</t>
  </si>
  <si>
    <t>8CHJD19A6EL002918</t>
  </si>
  <si>
    <t>267</t>
  </si>
  <si>
    <t>230-JUM</t>
  </si>
  <si>
    <t>MD34E-D70591</t>
  </si>
  <si>
    <t>8CHMD3400DL000783</t>
  </si>
  <si>
    <t>268</t>
  </si>
  <si>
    <t>230-KQC</t>
  </si>
  <si>
    <t>JD21E-2186003</t>
  </si>
  <si>
    <t>8CHJD19A6DL019026</t>
  </si>
  <si>
    <t>269</t>
  </si>
  <si>
    <t>231-JUM</t>
  </si>
  <si>
    <t>MD34E-D702086</t>
  </si>
  <si>
    <t>8CHMD3400DL001532</t>
  </si>
  <si>
    <t>270</t>
  </si>
  <si>
    <t>232-JUM</t>
  </si>
  <si>
    <t>MD34E-D702146</t>
  </si>
  <si>
    <t>8CHMD3400DL001673</t>
  </si>
  <si>
    <t>271</t>
  </si>
  <si>
    <t>232-KQC</t>
  </si>
  <si>
    <t>JD21E-2263309</t>
  </si>
  <si>
    <t>8CHJD19A6EL012280</t>
  </si>
  <si>
    <t>272</t>
  </si>
  <si>
    <t>233-JUM</t>
  </si>
  <si>
    <t>MD34E-D700648</t>
  </si>
  <si>
    <t>8CHMD3400DL000760</t>
  </si>
  <si>
    <t>273</t>
  </si>
  <si>
    <t>233-KQC</t>
  </si>
  <si>
    <t>JD21E-2203236</t>
  </si>
  <si>
    <t>8CHJD19A6EL010895</t>
  </si>
  <si>
    <t>274</t>
  </si>
  <si>
    <t>234-JUM</t>
  </si>
  <si>
    <t>MC35E - C306165</t>
  </si>
  <si>
    <t>8CHMC3500DP000947</t>
  </si>
  <si>
    <t>275</t>
  </si>
  <si>
    <t>234-KQC</t>
  </si>
  <si>
    <t>JD21E-2263513</t>
  </si>
  <si>
    <t>8CHJD19A6EL012509</t>
  </si>
  <si>
    <t>276</t>
  </si>
  <si>
    <t>236-JUM</t>
  </si>
  <si>
    <t>MC35E - C306340</t>
  </si>
  <si>
    <t>8CHMC3500DP000935</t>
  </si>
  <si>
    <t>277</t>
  </si>
  <si>
    <t>236-KQC</t>
  </si>
  <si>
    <t>JD21E-2260668</t>
  </si>
  <si>
    <t>8CHJD19A6EL010834</t>
  </si>
  <si>
    <t>278</t>
  </si>
  <si>
    <t>238-JUM</t>
  </si>
  <si>
    <t>MC35E - C306141</t>
  </si>
  <si>
    <t>8CHMC3500DP000922</t>
  </si>
  <si>
    <t>279</t>
  </si>
  <si>
    <t>238-KQC</t>
  </si>
  <si>
    <t>JD21E-2260671</t>
  </si>
  <si>
    <t>8CHJD19A6EL010832</t>
  </si>
  <si>
    <t>280</t>
  </si>
  <si>
    <t>239-KQC</t>
  </si>
  <si>
    <t>JD21E-2260666</t>
  </si>
  <si>
    <t>8CHJD19A6EL010862</t>
  </si>
  <si>
    <t>281</t>
  </si>
  <si>
    <t>240-JUM</t>
  </si>
  <si>
    <t>MC35E - C306156</t>
  </si>
  <si>
    <t>8CHMC3500DP000912</t>
  </si>
  <si>
    <t>282</t>
  </si>
  <si>
    <t>240-KQC</t>
  </si>
  <si>
    <t>JD21E-2194555</t>
  </si>
  <si>
    <t>8CHJD19A6EL003194</t>
  </si>
  <si>
    <t>283</t>
  </si>
  <si>
    <t>241-JUM</t>
  </si>
  <si>
    <t>MC35E - C306180</t>
  </si>
  <si>
    <t>8CHMC3500DP000948</t>
  </si>
  <si>
    <t>284</t>
  </si>
  <si>
    <t>241-KQC</t>
  </si>
  <si>
    <t>JD21E-2263576</t>
  </si>
  <si>
    <t>8CHJD19A6EL012437</t>
  </si>
  <si>
    <t>285</t>
  </si>
  <si>
    <t>243-JUM</t>
  </si>
  <si>
    <t>MD34E-D700650</t>
  </si>
  <si>
    <t>8CHMD3400DL000752</t>
  </si>
  <si>
    <t>286</t>
  </si>
  <si>
    <t>243-KQC</t>
  </si>
  <si>
    <t>JD21E-2260637</t>
  </si>
  <si>
    <t>8CHJD19A6EL010885</t>
  </si>
  <si>
    <t>287</t>
  </si>
  <si>
    <t>244-JUM</t>
  </si>
  <si>
    <t>MC35E - C306143</t>
  </si>
  <si>
    <t>8CHMC3500DP000914</t>
  </si>
  <si>
    <t>288</t>
  </si>
  <si>
    <t>244-KQC</t>
  </si>
  <si>
    <t>JD21E-2260377</t>
  </si>
  <si>
    <t>8CHJD19A6EL009485</t>
  </si>
  <si>
    <t>289</t>
  </si>
  <si>
    <t>245-JUM</t>
  </si>
  <si>
    <t>MC35E - C306145</t>
  </si>
  <si>
    <t>8CHMC3500DP000918</t>
  </si>
  <si>
    <t>290</t>
  </si>
  <si>
    <t>245-KQC</t>
  </si>
  <si>
    <t>JD21E-2203473</t>
  </si>
  <si>
    <t>8CHJD19A6EL009100</t>
  </si>
  <si>
    <t>291</t>
  </si>
  <si>
    <t>246-KQC</t>
  </si>
  <si>
    <t>JD21E-2201634</t>
  </si>
  <si>
    <t>8CHJD19A6EL007756</t>
  </si>
  <si>
    <t>292</t>
  </si>
  <si>
    <t>247-KQC</t>
  </si>
  <si>
    <t>JD21E-2260681</t>
  </si>
  <si>
    <t>8CHJD19A6EL010889</t>
  </si>
  <si>
    <t>293</t>
  </si>
  <si>
    <t>353-GVD</t>
  </si>
  <si>
    <t>MC35E-B350869</t>
  </si>
  <si>
    <t>9C2MC3502BR350869</t>
  </si>
  <si>
    <t>294</t>
  </si>
  <si>
    <t>358-GVD</t>
  </si>
  <si>
    <t>MC35E-B350937</t>
  </si>
  <si>
    <t>9C2MC3504BR350937</t>
  </si>
  <si>
    <t>295</t>
  </si>
  <si>
    <t>362-GVD</t>
  </si>
  <si>
    <t>MC35E-B350872</t>
  </si>
  <si>
    <t>9C2MC3502BR350872</t>
  </si>
  <si>
    <t>296</t>
  </si>
  <si>
    <t>364-GVD</t>
  </si>
  <si>
    <t>MC35E-B350897</t>
  </si>
  <si>
    <t>9C2MC3507BR350897</t>
  </si>
  <si>
    <t>297</t>
  </si>
  <si>
    <t>403-DXP</t>
  </si>
  <si>
    <t>BROSS</t>
  </si>
  <si>
    <t>125 cc</t>
  </si>
  <si>
    <t>JC30E88505100</t>
  </si>
  <si>
    <t>9C2JD20108R505100</t>
  </si>
  <si>
    <t>298</t>
  </si>
  <si>
    <t>403-GPQ</t>
  </si>
  <si>
    <t>MD34E-A515038</t>
  </si>
  <si>
    <t>9C2MD3400AR515038</t>
  </si>
  <si>
    <t>299</t>
  </si>
  <si>
    <t>404-GPQ</t>
  </si>
  <si>
    <t>MD34E-A515066</t>
  </si>
  <si>
    <t>9C2MD3400AR515066</t>
  </si>
  <si>
    <t>300</t>
  </si>
  <si>
    <t>407-DXP</t>
  </si>
  <si>
    <t>JC30E88505076</t>
  </si>
  <si>
    <t>9C2JD20108R505076</t>
  </si>
  <si>
    <t>301</t>
  </si>
  <si>
    <t>410-DXP</t>
  </si>
  <si>
    <t>JC30E88505093</t>
  </si>
  <si>
    <t>9C2JD20108R505093</t>
  </si>
  <si>
    <t>302</t>
  </si>
  <si>
    <t>434-DXP</t>
  </si>
  <si>
    <t>MD34E-8512448</t>
  </si>
  <si>
    <t>9C2MD34008R512448</t>
  </si>
  <si>
    <t>303</t>
  </si>
  <si>
    <t>435-DXP</t>
  </si>
  <si>
    <t>MD34E-8512475</t>
  </si>
  <si>
    <t>9C2MD34008R512475</t>
  </si>
  <si>
    <t>304</t>
  </si>
  <si>
    <t>468-DEL</t>
  </si>
  <si>
    <t>TRANSALP</t>
  </si>
  <si>
    <t>XL-600</t>
  </si>
  <si>
    <t>PDO6E4100380</t>
  </si>
  <si>
    <t>ZDCPD10A0WF109358</t>
  </si>
  <si>
    <t>305</t>
  </si>
  <si>
    <t>470-DEL</t>
  </si>
  <si>
    <t>PDO6E4100327</t>
  </si>
  <si>
    <t>ZDCPD10A0WF109353</t>
  </si>
  <si>
    <t>306</t>
  </si>
  <si>
    <t>473-DEL</t>
  </si>
  <si>
    <t>PDO6E4100377</t>
  </si>
  <si>
    <t>ZDCPD10A0WF109355</t>
  </si>
  <si>
    <t>307</t>
  </si>
  <si>
    <t>536-CQT</t>
  </si>
  <si>
    <t>MD34E-5511628</t>
  </si>
  <si>
    <t>9C2MD34005R511628</t>
  </si>
  <si>
    <t>308</t>
  </si>
  <si>
    <t>537-CQT</t>
  </si>
  <si>
    <t>MD34E-5511627</t>
  </si>
  <si>
    <t>9C2MD34005R511627</t>
  </si>
  <si>
    <t>309</t>
  </si>
  <si>
    <t>538-CQT</t>
  </si>
  <si>
    <t>MD34E-5511629</t>
  </si>
  <si>
    <t>9C2MD34005R511629</t>
  </si>
  <si>
    <t>310</t>
  </si>
  <si>
    <t>540-CQT</t>
  </si>
  <si>
    <t>MD34E-5511630</t>
  </si>
  <si>
    <t>9C2MD34005R511630</t>
  </si>
  <si>
    <t>311</t>
  </si>
  <si>
    <t>541-CQT</t>
  </si>
  <si>
    <t>MD34E-5511633</t>
  </si>
  <si>
    <t>9C2MD34005R511633</t>
  </si>
  <si>
    <t>312</t>
  </si>
  <si>
    <t>542-CQT</t>
  </si>
  <si>
    <t>MD34E-5511632</t>
  </si>
  <si>
    <t>9C2MD34005R511632</t>
  </si>
  <si>
    <t>313</t>
  </si>
  <si>
    <t>542-LBV</t>
  </si>
  <si>
    <t>CORVEN</t>
  </si>
  <si>
    <t>TRIAX 150cc</t>
  </si>
  <si>
    <t>ZS162FMJ-8F105291</t>
  </si>
  <si>
    <t>LZSJCKLC4F5003281</t>
  </si>
  <si>
    <t>314</t>
  </si>
  <si>
    <t>543-CQT</t>
  </si>
  <si>
    <t>MD34E-5511631</t>
  </si>
  <si>
    <t>9C2MD34005R511631</t>
  </si>
  <si>
    <t>315</t>
  </si>
  <si>
    <t>543-LBV</t>
  </si>
  <si>
    <t>ZS162FMJ-8F105282</t>
  </si>
  <si>
    <t>LZSJCKLC0F5003326</t>
  </si>
  <si>
    <t>316</t>
  </si>
  <si>
    <t>545-LBV</t>
  </si>
  <si>
    <t>ZS162FMJ-8F105138</t>
  </si>
  <si>
    <t>LZSJCKLC3F5003255</t>
  </si>
  <si>
    <t>317</t>
  </si>
  <si>
    <t>546-LBV</t>
  </si>
  <si>
    <t>ZS162FMJ-8F105277</t>
  </si>
  <si>
    <t>LZSJCKLC9F5003261</t>
  </si>
  <si>
    <t>318</t>
  </si>
  <si>
    <t>548-CQT</t>
  </si>
  <si>
    <t>MD34E-5511756</t>
  </si>
  <si>
    <t>9C2MD34005R511756</t>
  </si>
  <si>
    <t>319</t>
  </si>
  <si>
    <t>549-CQT</t>
  </si>
  <si>
    <t>MD34E-5511755</t>
  </si>
  <si>
    <t>9C2MD34005R511755</t>
  </si>
  <si>
    <t>320</t>
  </si>
  <si>
    <t>555-CQT</t>
  </si>
  <si>
    <t>MD34E-5511634</t>
  </si>
  <si>
    <t>9C2MD34005R511634</t>
  </si>
  <si>
    <t>321</t>
  </si>
  <si>
    <t>557-CQT</t>
  </si>
  <si>
    <t>MD34E-5511754</t>
  </si>
  <si>
    <t>9C2MD34005R511754</t>
  </si>
  <si>
    <t>322</t>
  </si>
  <si>
    <t>561-CQT</t>
  </si>
  <si>
    <t>MD34E-5511758</t>
  </si>
  <si>
    <t>9C2MD34005R511758</t>
  </si>
  <si>
    <t>323</t>
  </si>
  <si>
    <t>562-CQT</t>
  </si>
  <si>
    <t>MD34E-5511757</t>
  </si>
  <si>
    <t>9C2MD34005R511757</t>
  </si>
  <si>
    <t>324</t>
  </si>
  <si>
    <t>568-CQT</t>
  </si>
  <si>
    <t>MD34E-5020159</t>
  </si>
  <si>
    <t>9C2MD34005R5020159</t>
  </si>
  <si>
    <t>325</t>
  </si>
  <si>
    <t>571-CQT</t>
  </si>
  <si>
    <t>MED34E-5020261</t>
  </si>
  <si>
    <t>9C2MD34005R020261</t>
  </si>
  <si>
    <t>326</t>
  </si>
  <si>
    <t>572-CQT</t>
  </si>
  <si>
    <t>MD34E-5020142</t>
  </si>
  <si>
    <t>9C2MD34005R020142</t>
  </si>
  <si>
    <t>327</t>
  </si>
  <si>
    <t>573-CQT</t>
  </si>
  <si>
    <t>ME34E-5020153</t>
  </si>
  <si>
    <t>9C2MD34005R020153</t>
  </si>
  <si>
    <t>328</t>
  </si>
  <si>
    <t>574-CQT</t>
  </si>
  <si>
    <t>MD34E-5020150</t>
  </si>
  <si>
    <t>9C2MD34005R020150</t>
  </si>
  <si>
    <t>329</t>
  </si>
  <si>
    <t>575-CQT</t>
  </si>
  <si>
    <t>MD34E-5020152</t>
  </si>
  <si>
    <t>9C2MD34005R5020152</t>
  </si>
  <si>
    <t>330</t>
  </si>
  <si>
    <t>744-LBV</t>
  </si>
  <si>
    <t>TRIAX 250cc</t>
  </si>
  <si>
    <t>ZS167FMM5F100156</t>
  </si>
  <si>
    <t>8CVJCPL05FA003515</t>
  </si>
  <si>
    <t>331</t>
  </si>
  <si>
    <t>745-LBV</t>
  </si>
  <si>
    <t>ND07E-E701456</t>
  </si>
  <si>
    <t>8CHND0710FL000568</t>
  </si>
  <si>
    <t>332</t>
  </si>
  <si>
    <t>747-LBV</t>
  </si>
  <si>
    <t>ZS167FMM5F100181</t>
  </si>
  <si>
    <t>8CVJCPL08FA003516</t>
  </si>
  <si>
    <t>333</t>
  </si>
  <si>
    <t>749-LBV</t>
  </si>
  <si>
    <t>ZS167FMM5F100215</t>
  </si>
  <si>
    <t>8CVJCPL05FA003501</t>
  </si>
  <si>
    <t>334</t>
  </si>
  <si>
    <t>750-LBV</t>
  </si>
  <si>
    <t>ZS167FMM5F100173</t>
  </si>
  <si>
    <t>8CVJCPL04FA003490</t>
  </si>
  <si>
    <t>335</t>
  </si>
  <si>
    <t>751-LBV</t>
  </si>
  <si>
    <t>ZS167FMM5F100155</t>
  </si>
  <si>
    <t>8CVJCPL03FA003500</t>
  </si>
  <si>
    <t>336</t>
  </si>
  <si>
    <t>753-LBV</t>
  </si>
  <si>
    <t>ZS167FMM5F100219</t>
  </si>
  <si>
    <t>8CVJCPL04FA003506</t>
  </si>
  <si>
    <t>337</t>
  </si>
  <si>
    <t>754-LBV</t>
  </si>
  <si>
    <t>ZS167FMM5F100148</t>
  </si>
  <si>
    <t>8CVJCPL01FA003494</t>
  </si>
  <si>
    <t>338</t>
  </si>
  <si>
    <t>755-LBV</t>
  </si>
  <si>
    <t>ZS167FMM5F100226</t>
  </si>
  <si>
    <t>8CVJCPL01FA003513</t>
  </si>
  <si>
    <t>339</t>
  </si>
  <si>
    <t>756-LBV</t>
  </si>
  <si>
    <t>ZS167FMM5F100220</t>
  </si>
  <si>
    <t>8CVJCPL02FA003486</t>
  </si>
  <si>
    <t>340</t>
  </si>
  <si>
    <t>758-LBV</t>
  </si>
  <si>
    <t>ZS167FMM5F100261</t>
  </si>
  <si>
    <t>8CVJCPL02FA003519</t>
  </si>
  <si>
    <t>341</t>
  </si>
  <si>
    <t>759-LBV</t>
  </si>
  <si>
    <t>ZS167FMM5F100216</t>
  </si>
  <si>
    <t>8CVJCPL09FA003484</t>
  </si>
  <si>
    <t>342</t>
  </si>
  <si>
    <t>761-LBV</t>
  </si>
  <si>
    <t>ZS167FMM5F100177</t>
  </si>
  <si>
    <t>8CVJCPL08FA003489</t>
  </si>
  <si>
    <t>343</t>
  </si>
  <si>
    <t>762-LBV</t>
  </si>
  <si>
    <t>ZS167FMM5F100194</t>
  </si>
  <si>
    <t>8CVJCPL06FA003510</t>
  </si>
  <si>
    <t>344</t>
  </si>
  <si>
    <t>763-LBV</t>
  </si>
  <si>
    <t>ZS167FMM5F100225</t>
  </si>
  <si>
    <t>8CVJCPL05FA003496</t>
  </si>
  <si>
    <t>345</t>
  </si>
  <si>
    <t>764-LBV</t>
  </si>
  <si>
    <t>ZS167FMM5F100180</t>
  </si>
  <si>
    <t>8CVJCPL06FA003491</t>
  </si>
  <si>
    <t>346</t>
  </si>
  <si>
    <t>766-LBV</t>
  </si>
  <si>
    <t>ZS167FMM5F100205</t>
  </si>
  <si>
    <t>8CVJCPL09FA003498</t>
  </si>
  <si>
    <t>347</t>
  </si>
  <si>
    <t>768-LBV</t>
  </si>
  <si>
    <t>ZS167FMM5F100150</t>
  </si>
  <si>
    <t>8CVJCPL07FA003502</t>
  </si>
  <si>
    <t>348</t>
  </si>
  <si>
    <t>769-LBV</t>
  </si>
  <si>
    <t>ZS167FMM5F100218</t>
  </si>
  <si>
    <t>8CVJCPL03FA003495</t>
  </si>
  <si>
    <t>349</t>
  </si>
  <si>
    <t>770-LBV</t>
  </si>
  <si>
    <t>ZS167FMM5F100247</t>
  </si>
  <si>
    <t>8CVJCPL03FA003514</t>
  </si>
  <si>
    <t>350</t>
  </si>
  <si>
    <t>771-LBV</t>
  </si>
  <si>
    <t>ZS167FMM5F100208</t>
  </si>
  <si>
    <t>8CVJCPL05FA003479</t>
  </si>
  <si>
    <t>351</t>
  </si>
  <si>
    <t>772-LBV</t>
  </si>
  <si>
    <t>ZS167FMM5F100240</t>
  </si>
  <si>
    <t>8CVJCPL0XFA003509</t>
  </si>
  <si>
    <t>352</t>
  </si>
  <si>
    <t>773-LBV</t>
  </si>
  <si>
    <t>ZS167FMM5F100273</t>
  </si>
  <si>
    <t>8CVJCPL08FA003511</t>
  </si>
  <si>
    <t>353</t>
  </si>
  <si>
    <t>827-JQR</t>
  </si>
  <si>
    <t>JD21E-2186163</t>
  </si>
  <si>
    <t>8CHJD19A6DL019116</t>
  </si>
  <si>
    <t>354</t>
  </si>
  <si>
    <t>828-JQR</t>
  </si>
  <si>
    <t>JD21E-2184283</t>
  </si>
  <si>
    <t>8CHJD19A6DL018975</t>
  </si>
  <si>
    <t>355</t>
  </si>
  <si>
    <t>829-JQR</t>
  </si>
  <si>
    <t>JD21E-2184284</t>
  </si>
  <si>
    <t>8CHJD19A6DL018974</t>
  </si>
  <si>
    <t>356</t>
  </si>
  <si>
    <t>830-JQR</t>
  </si>
  <si>
    <t>JD21E-2182883</t>
  </si>
  <si>
    <t>8CHJD19A6DL018394</t>
  </si>
  <si>
    <t>357</t>
  </si>
  <si>
    <t>831-JQR</t>
  </si>
  <si>
    <t>JD21E-2186102</t>
  </si>
  <si>
    <t>8CHJD19A6DL019189</t>
  </si>
  <si>
    <t>358</t>
  </si>
  <si>
    <t>832-JQR</t>
  </si>
  <si>
    <t>JD21E-2186115</t>
  </si>
  <si>
    <t>8CHJD19A6DL019232</t>
  </si>
  <si>
    <t>359</t>
  </si>
  <si>
    <t>833-JQR</t>
  </si>
  <si>
    <t>JD21E-2182867</t>
  </si>
  <si>
    <t>8CHJD19A6DL018397</t>
  </si>
  <si>
    <t>360</t>
  </si>
  <si>
    <t>834-JQR</t>
  </si>
  <si>
    <t>JD21E-2185995</t>
  </si>
  <si>
    <t>8CHJD19A6DL019040</t>
  </si>
  <si>
    <t>361</t>
  </si>
  <si>
    <t>835-JQR</t>
  </si>
  <si>
    <t>JD21E-2185993</t>
  </si>
  <si>
    <t>8CHJD19A6DL019042</t>
  </si>
  <si>
    <t>362</t>
  </si>
  <si>
    <t>836-JQR</t>
  </si>
  <si>
    <t>JD21E-2186012</t>
  </si>
  <si>
    <t>8CHJD19A6DL019090</t>
  </si>
  <si>
    <t>363</t>
  </si>
  <si>
    <t>837-JQR</t>
  </si>
  <si>
    <t>JD21E-2186019</t>
  </si>
  <si>
    <t>8CHJD19A6DL019089</t>
  </si>
  <si>
    <t>364</t>
  </si>
  <si>
    <t>838-JQR</t>
  </si>
  <si>
    <t>JD21E-2186219</t>
  </si>
  <si>
    <t>8CHJD19A6DL019234</t>
  </si>
  <si>
    <t>365</t>
  </si>
  <si>
    <t>839-JQR</t>
  </si>
  <si>
    <t>JD21E-2186146</t>
  </si>
  <si>
    <t>8CHJD19A6DL019207</t>
  </si>
  <si>
    <t>366</t>
  </si>
  <si>
    <t>840-JQR</t>
  </si>
  <si>
    <t>JD21E-2186140</t>
  </si>
  <si>
    <t>8CHJD19A6DL019213</t>
  </si>
  <si>
    <t>367</t>
  </si>
  <si>
    <t>841-JQR</t>
  </si>
  <si>
    <t>JD21E-2186001</t>
  </si>
  <si>
    <t>8CHJD19A6DL019043</t>
  </si>
  <si>
    <t>368</t>
  </si>
  <si>
    <t>842-JQR</t>
  </si>
  <si>
    <t>JD21E-2185997</t>
  </si>
  <si>
    <t>8CHJD19A6DL019046</t>
  </si>
  <si>
    <t>369</t>
  </si>
  <si>
    <t>843-JQR</t>
  </si>
  <si>
    <t>JD21E-2184239</t>
  </si>
  <si>
    <t>8CHJD19A6DL019009</t>
  </si>
  <si>
    <t>370</t>
  </si>
  <si>
    <t>844-JQR</t>
  </si>
  <si>
    <t>JD21E-2184261</t>
  </si>
  <si>
    <t>8CHJD19A6DL019004</t>
  </si>
  <si>
    <t>371</t>
  </si>
  <si>
    <t>845-JQR</t>
  </si>
  <si>
    <t>JD21E-2184242</t>
  </si>
  <si>
    <t>8CHJD19A6DL019012</t>
  </si>
  <si>
    <t>372</t>
  </si>
  <si>
    <t>846-JQR</t>
  </si>
  <si>
    <t>JD21E-2184252</t>
  </si>
  <si>
    <t>8CHJD19A6DL018985</t>
  </si>
  <si>
    <t>373</t>
  </si>
  <si>
    <t>847-JQR</t>
  </si>
  <si>
    <t>JD21E-2184272</t>
  </si>
  <si>
    <t>8CHJD19A6DL018970</t>
  </si>
  <si>
    <t>374</t>
  </si>
  <si>
    <t>848-JQR</t>
  </si>
  <si>
    <t>JD21E-2184277</t>
  </si>
  <si>
    <t>8CHJD19A6DL018964</t>
  </si>
  <si>
    <t>375</t>
  </si>
  <si>
    <t>849-JQR</t>
  </si>
  <si>
    <t>JD21E-2184247</t>
  </si>
  <si>
    <t>8CHJD19A6DL018994</t>
  </si>
  <si>
    <t>376</t>
  </si>
  <si>
    <t>850-JQR</t>
  </si>
  <si>
    <t>JD21E-2184256</t>
  </si>
  <si>
    <t>8CHJD19A6DL018988</t>
  </si>
  <si>
    <t>377</t>
  </si>
  <si>
    <t>851-JQR</t>
  </si>
  <si>
    <t>JD21E-2185978</t>
  </si>
  <si>
    <t>8CHJD19A6DL019032</t>
  </si>
  <si>
    <t>378</t>
  </si>
  <si>
    <t>852-JQR</t>
  </si>
  <si>
    <t>JD21E-2184287</t>
  </si>
  <si>
    <t>8CHJD19A6DL018972</t>
  </si>
  <si>
    <t>379</t>
  </si>
  <si>
    <t>853-JQR</t>
  </si>
  <si>
    <t>JD21E-2184241</t>
  </si>
  <si>
    <t>8CHJD19A6DL019011</t>
  </si>
  <si>
    <t>380</t>
  </si>
  <si>
    <t>854-JQR</t>
  </si>
  <si>
    <t>JD21E-2184264</t>
  </si>
  <si>
    <t>8CHJD19A6DL019002</t>
  </si>
  <si>
    <t>381</t>
  </si>
  <si>
    <t>855-JQR</t>
  </si>
  <si>
    <t>JD21E-2184238</t>
  </si>
  <si>
    <t>8CHJD19A6DL019014</t>
  </si>
  <si>
    <t>382</t>
  </si>
  <si>
    <t>856-JQR</t>
  </si>
  <si>
    <t>JD21E-2186010</t>
  </si>
  <si>
    <t>8CHJD19A6DL019034</t>
  </si>
  <si>
    <t>383</t>
  </si>
  <si>
    <t>878-DHP</t>
  </si>
  <si>
    <t>XR-200</t>
  </si>
  <si>
    <t>MD28E - 97202339</t>
  </si>
  <si>
    <t>9C2MD28907R202339</t>
  </si>
  <si>
    <t>384</t>
  </si>
  <si>
    <t>880-DHP</t>
  </si>
  <si>
    <t>XL-200</t>
  </si>
  <si>
    <t>MD28E - 97202330</t>
  </si>
  <si>
    <t>9C2MD28947R202330</t>
  </si>
  <si>
    <t>385</t>
  </si>
  <si>
    <t>882-DHP</t>
  </si>
  <si>
    <t>WAVE CD</t>
  </si>
  <si>
    <t>NF-100</t>
  </si>
  <si>
    <t>SDH150FMG-275065475</t>
  </si>
  <si>
    <t>LTMPCGB2675063280</t>
  </si>
  <si>
    <t>386</t>
  </si>
  <si>
    <t>884-DHP</t>
  </si>
  <si>
    <t>SDH150FMG-275065478</t>
  </si>
  <si>
    <t>LTMPCGB2075063291</t>
  </si>
  <si>
    <t>387</t>
  </si>
  <si>
    <t>888-CKL</t>
  </si>
  <si>
    <t>JC30E85500455</t>
  </si>
  <si>
    <t>9C2JD20105R500455</t>
  </si>
  <si>
    <t>388</t>
  </si>
  <si>
    <t>889-CKL</t>
  </si>
  <si>
    <t>JC30E8-4502856</t>
  </si>
  <si>
    <t>9C2JD20104R502856</t>
  </si>
  <si>
    <t>389</t>
  </si>
  <si>
    <t>889-DHP</t>
  </si>
  <si>
    <t>MD28E - 97202332</t>
  </si>
  <si>
    <t>9C2MD28987R202332</t>
  </si>
  <si>
    <t>390</t>
  </si>
  <si>
    <t>893-CKL</t>
  </si>
  <si>
    <t>BIZ</t>
  </si>
  <si>
    <t>105 CC.</t>
  </si>
  <si>
    <t>HA07E-65001614</t>
  </si>
  <si>
    <t>9C2HA07605R001614</t>
  </si>
  <si>
    <t>391</t>
  </si>
  <si>
    <t>894-LET</t>
  </si>
  <si>
    <t>ND07E-E701962</t>
  </si>
  <si>
    <t>8CHND0710FL001373</t>
  </si>
  <si>
    <t>392</t>
  </si>
  <si>
    <t>A-018-CUL</t>
  </si>
  <si>
    <t>MD34E-H851478</t>
  </si>
  <si>
    <t>8CHMD3400HP000653</t>
  </si>
  <si>
    <t>393</t>
  </si>
  <si>
    <t>A-018-CUM</t>
  </si>
  <si>
    <t>MD34E-H851481</t>
  </si>
  <si>
    <t>8CHMD3400HP000652</t>
  </si>
  <si>
    <t>394</t>
  </si>
  <si>
    <t>A-018-CUN</t>
  </si>
  <si>
    <t>MD34E-H85652</t>
  </si>
  <si>
    <t>8CHMD3400HP000409</t>
  </si>
  <si>
    <t>395</t>
  </si>
  <si>
    <t>A-018-CUP</t>
  </si>
  <si>
    <t>MD34E-H851249</t>
  </si>
  <si>
    <t>8CHMD3400HP000648</t>
  </si>
  <si>
    <t>396</t>
  </si>
  <si>
    <t>A-018-CUQ</t>
  </si>
  <si>
    <t>MD34E-H851140</t>
  </si>
  <si>
    <t>8CHMD3400HP000647</t>
  </si>
  <si>
    <t>397</t>
  </si>
  <si>
    <t>A-018-CUR</t>
  </si>
  <si>
    <t>MD34E-H851482</t>
  </si>
  <si>
    <t>8CHMD3400HP000668</t>
  </si>
  <si>
    <t>398</t>
  </si>
  <si>
    <t>A-018-CUT</t>
  </si>
  <si>
    <t>MD34E-H851528</t>
  </si>
  <si>
    <t>8CHMD3400HP000666</t>
  </si>
  <si>
    <t>399</t>
  </si>
  <si>
    <t>A-018-CUU</t>
  </si>
  <si>
    <t>MD34E-H851474</t>
  </si>
  <si>
    <t>8CHMD3400HP000667</t>
  </si>
  <si>
    <t>400</t>
  </si>
  <si>
    <t>A-018-CUV</t>
  </si>
  <si>
    <t>MD34E-H851039</t>
  </si>
  <si>
    <t>8CHMD3400HP000662</t>
  </si>
  <si>
    <t>401</t>
  </si>
  <si>
    <t>A-018-CUW</t>
  </si>
  <si>
    <t>MD34E-H850814</t>
  </si>
  <si>
    <t>8CHMD3400HP000663</t>
  </si>
  <si>
    <t>402</t>
  </si>
  <si>
    <t>A-018-CUX</t>
  </si>
  <si>
    <t>MD34E-H851473</t>
  </si>
  <si>
    <t>8CHMD3400HP000658</t>
  </si>
  <si>
    <t>403</t>
  </si>
  <si>
    <t>A-018-CUY</t>
  </si>
  <si>
    <t>MD34E-H851141</t>
  </si>
  <si>
    <t>8CHMD3400HP000659</t>
  </si>
  <si>
    <t>404</t>
  </si>
  <si>
    <t>A-018-CUZ</t>
  </si>
  <si>
    <t>MD34E-H851487</t>
  </si>
  <si>
    <t>8CHMD3400HP000656</t>
  </si>
  <si>
    <t>405</t>
  </si>
  <si>
    <t>A-018-CVA</t>
  </si>
  <si>
    <t>MD34E-H851480</t>
  </si>
  <si>
    <t>8CHMD3400HP000657</t>
  </si>
  <si>
    <t>406</t>
  </si>
  <si>
    <t>A-018-CVB</t>
  </si>
  <si>
    <t>MD34E-H851488</t>
  </si>
  <si>
    <t>8CHMD3400HP000654</t>
  </si>
  <si>
    <t>407</t>
  </si>
  <si>
    <t>A-018-CVD</t>
  </si>
  <si>
    <t>MD34E-H850934</t>
  </si>
  <si>
    <t>8CHMD3400HP000642</t>
  </si>
  <si>
    <t>408</t>
  </si>
  <si>
    <t>A-018-CVE</t>
  </si>
  <si>
    <t>MD34E-H851489</t>
  </si>
  <si>
    <t>8CHMD3400HP000655</t>
  </si>
  <si>
    <t>409</t>
  </si>
  <si>
    <t>A-036-ZRV</t>
  </si>
  <si>
    <t>XR 150 L</t>
  </si>
  <si>
    <t>KD07E-2259067</t>
  </si>
  <si>
    <t>8CHKD0900HP004246</t>
  </si>
  <si>
    <t>410</t>
  </si>
  <si>
    <t>A-036-ZRW</t>
  </si>
  <si>
    <t>KD07E-2258949</t>
  </si>
  <si>
    <t>8CHKD0900HP004132</t>
  </si>
  <si>
    <t>411</t>
  </si>
  <si>
    <t>A-036-ZRX</t>
  </si>
  <si>
    <t>KD07E-2258976</t>
  </si>
  <si>
    <t>8CHKD0900HP004144</t>
  </si>
  <si>
    <t>412</t>
  </si>
  <si>
    <t>A-036-ZRY</t>
  </si>
  <si>
    <t>KD07E-2258951</t>
  </si>
  <si>
    <t>8CHKD0900HP004133</t>
  </si>
  <si>
    <t>413</t>
  </si>
  <si>
    <t>A-036-ZRZ</t>
  </si>
  <si>
    <t>KD07E-2258986</t>
  </si>
  <si>
    <t>8CHKD0900HP004142</t>
  </si>
  <si>
    <t>414</t>
  </si>
  <si>
    <t>A-036-ZSA</t>
  </si>
  <si>
    <t>KD07E-2258940</t>
  </si>
  <si>
    <t>8CHKD0900HP004138</t>
  </si>
  <si>
    <t>415</t>
  </si>
  <si>
    <t>A-036-ZSB</t>
  </si>
  <si>
    <t>KD07E-2259078</t>
  </si>
  <si>
    <t>8CHKD0900HP004248</t>
  </si>
  <si>
    <t>416</t>
  </si>
  <si>
    <t>A-036-ZSC</t>
  </si>
  <si>
    <t>KD07E-2259066</t>
  </si>
  <si>
    <t>8CHKD0900HP004245</t>
  </si>
  <si>
    <t>417</t>
  </si>
  <si>
    <t>A-036-ZSD</t>
  </si>
  <si>
    <t>KD07E-2259056</t>
  </si>
  <si>
    <t>8CHKD0900HP004240</t>
  </si>
  <si>
    <t>418</t>
  </si>
  <si>
    <t>A-036-ZSE</t>
  </si>
  <si>
    <t>KD07E-2258732</t>
  </si>
  <si>
    <t>8CHKD0900HP004221</t>
  </si>
  <si>
    <t>419</t>
  </si>
  <si>
    <t>A-036-ZSF</t>
  </si>
  <si>
    <t>KD07E-2258734</t>
  </si>
  <si>
    <t>8CHKD0900HP004087</t>
  </si>
  <si>
    <t>420</t>
  </si>
  <si>
    <t>A-036-ZSG</t>
  </si>
  <si>
    <t>KD07E-2258740</t>
  </si>
  <si>
    <t>8CHKD0900HP004224</t>
  </si>
  <si>
    <t>421</t>
  </si>
  <si>
    <t>A-036-ZSH</t>
  </si>
  <si>
    <t>KD07E-2258931</t>
  </si>
  <si>
    <t>8CHKD0900HP004114</t>
  </si>
  <si>
    <t>422</t>
  </si>
  <si>
    <t>A-036-ZSI</t>
  </si>
  <si>
    <t>KD07E-2258945</t>
  </si>
  <si>
    <t>8CHKD0900HP004122</t>
  </si>
  <si>
    <t>423</t>
  </si>
  <si>
    <t>A-036-ZSJ</t>
  </si>
  <si>
    <t>KD07E-2258924</t>
  </si>
  <si>
    <t>8CHKD0900HP004125</t>
  </si>
  <si>
    <t>424</t>
  </si>
  <si>
    <t>A-036-ZSK</t>
  </si>
  <si>
    <t>KD07E-2257741</t>
  </si>
  <si>
    <t>8CHKD0900HP004253</t>
  </si>
  <si>
    <t>425</t>
  </si>
  <si>
    <t>A-041-LNM</t>
  </si>
  <si>
    <t>KD07E-2258735</t>
  </si>
  <si>
    <t>8CHKD0900HP004237</t>
  </si>
  <si>
    <t>426</t>
  </si>
  <si>
    <t>A-041-LNN</t>
  </si>
  <si>
    <t>KD07E-2258707</t>
  </si>
  <si>
    <t>8CHKD0900HP004231</t>
  </si>
  <si>
    <t>427</t>
  </si>
  <si>
    <t>A-041-LNO</t>
  </si>
  <si>
    <t>KD07E-2258729</t>
  </si>
  <si>
    <t>8CHKD0900HP004208</t>
  </si>
  <si>
    <t>428</t>
  </si>
  <si>
    <t>A-041-LNP</t>
  </si>
  <si>
    <t>KD07E-2259057</t>
  </si>
  <si>
    <t>8CHKD0900HP004239</t>
  </si>
  <si>
    <t>429</t>
  </si>
  <si>
    <t>A-041-LNQ</t>
  </si>
  <si>
    <t>KD07E-2258799</t>
  </si>
  <si>
    <t>8CHKD0900HP004182</t>
  </si>
  <si>
    <t>430</t>
  </si>
  <si>
    <t>A-041-LNR</t>
  </si>
  <si>
    <t>KD07E-2258736</t>
  </si>
  <si>
    <t>8CHKD0900HP004225</t>
  </si>
  <si>
    <t>431</t>
  </si>
  <si>
    <t>A-041-LNS</t>
  </si>
  <si>
    <t>KD07E-2259064</t>
  </si>
  <si>
    <t>8CHKD0900HP004235</t>
  </si>
  <si>
    <t>432</t>
  </si>
  <si>
    <t>A-041-LNT</t>
  </si>
  <si>
    <t>KD07E-2258706</t>
  </si>
  <si>
    <t>8CHKD0900HP004233</t>
  </si>
  <si>
    <t>433</t>
  </si>
  <si>
    <t>A-041-LNU</t>
  </si>
  <si>
    <t>KD07E-2258756</t>
  </si>
  <si>
    <t>8CHKD0900HP004216</t>
  </si>
  <si>
    <t>434</t>
  </si>
  <si>
    <t>A-041-LNV</t>
  </si>
  <si>
    <t>KD07E-2258717</t>
  </si>
  <si>
    <t>8CHKD0900HP004200</t>
  </si>
  <si>
    <t>435</t>
  </si>
  <si>
    <t>A-041-LNW</t>
  </si>
  <si>
    <t>KD07E-2244374</t>
  </si>
  <si>
    <t>8CHKD0900HP005271</t>
  </si>
  <si>
    <t>436</t>
  </si>
  <si>
    <t>A-041-LNX</t>
  </si>
  <si>
    <t>KD07E-2258808</t>
  </si>
  <si>
    <t>8CHKD0900HP004164</t>
  </si>
  <si>
    <t>437</t>
  </si>
  <si>
    <t>A-041-LNY</t>
  </si>
  <si>
    <t>KD07E-2258721</t>
  </si>
  <si>
    <t>8CHKD0900HP004230</t>
  </si>
  <si>
    <t>438</t>
  </si>
  <si>
    <t>A-041-LNZ</t>
  </si>
  <si>
    <t>KD07E-2258713</t>
  </si>
  <si>
    <t>8CHKD0900HP004198</t>
  </si>
  <si>
    <t>439</t>
  </si>
  <si>
    <t>A-041-LOA</t>
  </si>
  <si>
    <t>KD07E-2259073</t>
  </si>
  <si>
    <t>8CHKD0900HP004243</t>
  </si>
  <si>
    <t>440</t>
  </si>
  <si>
    <t>A-041-LOB</t>
  </si>
  <si>
    <t>KD07E-2259062</t>
  </si>
  <si>
    <t>8CHKD0900HP004234</t>
  </si>
  <si>
    <t>441</t>
  </si>
  <si>
    <t>A-045-EUR</t>
  </si>
  <si>
    <t>Z5167FMM5F500020</t>
  </si>
  <si>
    <t>8CVJCPL08FA005307</t>
  </si>
  <si>
    <t>442</t>
  </si>
  <si>
    <t>A-045-EUS</t>
  </si>
  <si>
    <t>Z5167FMM5F600418</t>
  </si>
  <si>
    <t>8CVJCPL0XFA006250</t>
  </si>
  <si>
    <t>443</t>
  </si>
  <si>
    <t>A-045-EUU</t>
  </si>
  <si>
    <t>Z5167FMM8F102045</t>
  </si>
  <si>
    <t>8CVJCPL06FA004513</t>
  </si>
  <si>
    <t>444</t>
  </si>
  <si>
    <t>A-074 JHU</t>
  </si>
  <si>
    <t>KD07E-2341569</t>
  </si>
  <si>
    <t>8CHKD0900JP005784</t>
  </si>
  <si>
    <t>445</t>
  </si>
  <si>
    <t>A-074 JHW</t>
  </si>
  <si>
    <t>KD07E-2341693</t>
  </si>
  <si>
    <t>8CHKD0900JP005749</t>
  </si>
  <si>
    <t>446</t>
  </si>
  <si>
    <t>A-074 JHY</t>
  </si>
  <si>
    <t>KD07E-2344573</t>
  </si>
  <si>
    <t>8CHKD0900JP005706</t>
  </si>
  <si>
    <t>447</t>
  </si>
  <si>
    <t>A-074 JHZ</t>
  </si>
  <si>
    <t>KD07E-2341700</t>
  </si>
  <si>
    <t>8CHKD0900JP005752</t>
  </si>
  <si>
    <t>448</t>
  </si>
  <si>
    <t>A-074 JIC</t>
  </si>
  <si>
    <t>KD07E-2341556</t>
  </si>
  <si>
    <t>8CHKD0900JP005778</t>
  </si>
  <si>
    <t>449</t>
  </si>
  <si>
    <t>A-074 JID</t>
  </si>
  <si>
    <t>KD07E-2344623</t>
  </si>
  <si>
    <t>8CHKD0900JP005408</t>
  </si>
  <si>
    <t>450</t>
  </si>
  <si>
    <t>A-074 JIE</t>
  </si>
  <si>
    <t>KD07E-2344588</t>
  </si>
  <si>
    <t>8CHKD0900JP005703</t>
  </si>
  <si>
    <t>451</t>
  </si>
  <si>
    <t>A-074-JHV</t>
  </si>
  <si>
    <t>KD07E-2340600</t>
  </si>
  <si>
    <t>8CHKD0900JP005316</t>
  </si>
  <si>
    <t>452</t>
  </si>
  <si>
    <t>A-074-JHX</t>
  </si>
  <si>
    <t>KD07E-2344585</t>
  </si>
  <si>
    <t>8CHKD0900JP005718</t>
  </si>
  <si>
    <t>453</t>
  </si>
  <si>
    <t>A-076 UBY</t>
  </si>
  <si>
    <t>MD34E-J015917</t>
  </si>
  <si>
    <t>8CHMD3410JP010902</t>
  </si>
  <si>
    <t>454</t>
  </si>
  <si>
    <t>A-076 UBZ</t>
  </si>
  <si>
    <t>MD34E-J016174</t>
  </si>
  <si>
    <t>8CHMD3410JP010924</t>
  </si>
  <si>
    <t>455</t>
  </si>
  <si>
    <t>A-076 UCA</t>
  </si>
  <si>
    <t>MD34E-J016196</t>
  </si>
  <si>
    <t>8CHMD3410JP010898</t>
  </si>
  <si>
    <t>456</t>
  </si>
  <si>
    <t>A-076-UCB</t>
  </si>
  <si>
    <t>MD34E-J016198</t>
  </si>
  <si>
    <t>8CHMD3410JP010912</t>
  </si>
  <si>
    <t>457</t>
  </si>
  <si>
    <t>A-080 LGB</t>
  </si>
  <si>
    <t>XR RALLY</t>
  </si>
  <si>
    <t>KD07E-2348134</t>
  </si>
  <si>
    <t>8CHKD0910JP002853</t>
  </si>
  <si>
    <t>458</t>
  </si>
  <si>
    <t>A-080 LGC</t>
  </si>
  <si>
    <t>KD07E-2346617</t>
  </si>
  <si>
    <t>8CHKD0900JP007620</t>
  </si>
  <si>
    <t>459</t>
  </si>
  <si>
    <t>A-080 LGD</t>
  </si>
  <si>
    <t>KD07E-2348091</t>
  </si>
  <si>
    <t>8CHKD0910JP002798</t>
  </si>
  <si>
    <t>460</t>
  </si>
  <si>
    <t>A-092-QNF</t>
  </si>
  <si>
    <t>MD34E-J007374</t>
  </si>
  <si>
    <t>8CHMD3410JP007103</t>
  </si>
  <si>
    <t>461</t>
  </si>
  <si>
    <t>A-092-QNG</t>
  </si>
  <si>
    <t>MD34E-J003014</t>
  </si>
  <si>
    <t>8CHMD3410JP003164</t>
  </si>
  <si>
    <t>462</t>
  </si>
  <si>
    <t>A-092-QNH</t>
  </si>
  <si>
    <t>MD34E-J005865</t>
  </si>
  <si>
    <t>8CHMD3410JP005871</t>
  </si>
  <si>
    <t>463</t>
  </si>
  <si>
    <t>A-092-QNI</t>
  </si>
  <si>
    <t>MD34E-J007618</t>
  </si>
  <si>
    <t>8CHMD3410JP007069</t>
  </si>
  <si>
    <t>464</t>
  </si>
  <si>
    <t>A-093-FRC</t>
  </si>
  <si>
    <t>MD34E-J016317</t>
  </si>
  <si>
    <t>8CHMD3410JP011171</t>
  </si>
  <si>
    <t>465</t>
  </si>
  <si>
    <t>A-097 LIK</t>
  </si>
  <si>
    <t>KELLER</t>
  </si>
  <si>
    <t>KN 150GY</t>
  </si>
  <si>
    <t>KN162FMJJ0002918</t>
  </si>
  <si>
    <t>8E75A4B19J0003254</t>
  </si>
  <si>
    <t>466</t>
  </si>
  <si>
    <t>A-097 LIM</t>
  </si>
  <si>
    <t>KN162FMJJ0002946</t>
  </si>
  <si>
    <t>467</t>
  </si>
  <si>
    <t>A111SDV</t>
  </si>
  <si>
    <t>KN162FMJJ0006916</t>
  </si>
  <si>
    <t>8E75A4B18K0001089</t>
  </si>
  <si>
    <t>468</t>
  </si>
  <si>
    <t>A-124-AWG</t>
  </si>
  <si>
    <t>YAMAHA</t>
  </si>
  <si>
    <t>XTZ250ABS</t>
  </si>
  <si>
    <t>G3F2E-021258</t>
  </si>
  <si>
    <t>9C6DG2926L0000398</t>
  </si>
  <si>
    <t>469</t>
  </si>
  <si>
    <t>A-124-AWH</t>
  </si>
  <si>
    <t>G3F2E-021264</t>
  </si>
  <si>
    <t>9C6DG2921L0000373</t>
  </si>
  <si>
    <t>470</t>
  </si>
  <si>
    <t>A-124-AWI</t>
  </si>
  <si>
    <t>G3F2E-021135</t>
  </si>
  <si>
    <t>9C6DG2929L0000184</t>
  </si>
  <si>
    <t>471</t>
  </si>
  <si>
    <t>A-124-AWJ</t>
  </si>
  <si>
    <t>G3F2E-021129</t>
  </si>
  <si>
    <t>9C6DG2920L0000171</t>
  </si>
  <si>
    <t>472</t>
  </si>
  <si>
    <t>A-124-AWK</t>
  </si>
  <si>
    <t>G3F2E-021547</t>
  </si>
  <si>
    <t>9C6DG2928L0000483</t>
  </si>
  <si>
    <t>473</t>
  </si>
  <si>
    <t>A-124-AWL</t>
  </si>
  <si>
    <t>G3F2E-021257</t>
  </si>
  <si>
    <t>9C6DG2924L0000397</t>
  </si>
  <si>
    <t>474</t>
  </si>
  <si>
    <t>A-124-AWM</t>
  </si>
  <si>
    <t>G3F2E-021527</t>
  </si>
  <si>
    <t>9C6DG2929L0000492</t>
  </si>
  <si>
    <t>475</t>
  </si>
  <si>
    <t>A-124-AWN</t>
  </si>
  <si>
    <t>G3F2E-021550</t>
  </si>
  <si>
    <t>9C6DG2926L0000482</t>
  </si>
  <si>
    <t>476</t>
  </si>
  <si>
    <t>A-124-AWO</t>
  </si>
  <si>
    <t>G3F2E-021548</t>
  </si>
  <si>
    <t>9C6DG2924L0000495</t>
  </si>
  <si>
    <t>477</t>
  </si>
  <si>
    <t>A-124-AWP</t>
  </si>
  <si>
    <t>G3F2E-021750</t>
  </si>
  <si>
    <t>9C6DG2927L0000586</t>
  </si>
  <si>
    <t>478</t>
  </si>
  <si>
    <t>A-124-AWQ</t>
  </si>
  <si>
    <t>G3F2E-021148</t>
  </si>
  <si>
    <t>9C6DG2928L0000189</t>
  </si>
  <si>
    <t>479</t>
  </si>
  <si>
    <t>A-124-AWS</t>
  </si>
  <si>
    <t>GILERA</t>
  </si>
  <si>
    <t>SHAEL  150 L</t>
  </si>
  <si>
    <t>AD162FMJJ0088218</t>
  </si>
  <si>
    <t>8CXSAH150K0003398</t>
  </si>
  <si>
    <t>480</t>
  </si>
  <si>
    <t>A-124-AWU</t>
  </si>
  <si>
    <t>AD162FMJJ0071680</t>
  </si>
  <si>
    <t>8CXSAH150J0001991</t>
  </si>
  <si>
    <t>481</t>
  </si>
  <si>
    <t>A-124-OPJ</t>
  </si>
  <si>
    <t>G3F2E-021544</t>
  </si>
  <si>
    <t>9C6DG2922L0000494</t>
  </si>
  <si>
    <t>482</t>
  </si>
  <si>
    <t>A-124-OPK</t>
  </si>
  <si>
    <t>G3F2E-021733</t>
  </si>
  <si>
    <t>9C6DG2929L0000587</t>
  </si>
  <si>
    <t>483</t>
  </si>
  <si>
    <t>A-124-OPL</t>
  </si>
  <si>
    <t>G3F2E-021741</t>
  </si>
  <si>
    <t>9C6DG2921L0000597</t>
  </si>
  <si>
    <t>484</t>
  </si>
  <si>
    <t>A-124-OPM</t>
  </si>
  <si>
    <t>G3F2E-021139</t>
  </si>
  <si>
    <t>9C6DG2925L0000179</t>
  </si>
  <si>
    <t>485</t>
  </si>
  <si>
    <t>A-124-OPN</t>
  </si>
  <si>
    <t>G3F2E-021345</t>
  </si>
  <si>
    <t>9C6DG2925L0000389</t>
  </si>
  <si>
    <t>486</t>
  </si>
  <si>
    <t>A-124-OPO</t>
  </si>
  <si>
    <t>G3F2E-021538</t>
  </si>
  <si>
    <t>9C6DG292XL0000498</t>
  </si>
  <si>
    <t>487</t>
  </si>
  <si>
    <t>A-124-OPP</t>
  </si>
  <si>
    <t>G3F2E-021546</t>
  </si>
  <si>
    <t>9C6DG2926L0000496</t>
  </si>
  <si>
    <t>488</t>
  </si>
  <si>
    <t>A-124-OPQ</t>
  </si>
  <si>
    <t>G3F2E-021104</t>
  </si>
  <si>
    <t>9C6DG2923L0000200</t>
  </si>
  <si>
    <t>489</t>
  </si>
  <si>
    <t>A-124-OPR</t>
  </si>
  <si>
    <t>G3F2E-021133</t>
  </si>
  <si>
    <t>9C6DG2922L0000186</t>
  </si>
  <si>
    <t>490</t>
  </si>
  <si>
    <t>A-124-OPS</t>
  </si>
  <si>
    <t>G3F2E-021146</t>
  </si>
  <si>
    <t>9C6DG2926L0000188</t>
  </si>
  <si>
    <t>491</t>
  </si>
  <si>
    <t>A-124-OPT</t>
  </si>
  <si>
    <t>G3F2E-021125</t>
  </si>
  <si>
    <t>9C6DG2923L0000178</t>
  </si>
  <si>
    <t>492</t>
  </si>
  <si>
    <t>A-124-OPU</t>
  </si>
  <si>
    <t>G3F2E-021542</t>
  </si>
  <si>
    <t>9C6DG2924L0000500</t>
  </si>
  <si>
    <t>493</t>
  </si>
  <si>
    <t>A-124-OPV</t>
  </si>
  <si>
    <t>G3F2E-021111</t>
  </si>
  <si>
    <t>9C6DG2922L0000172</t>
  </si>
  <si>
    <t>494</t>
  </si>
  <si>
    <t>A-124-OPW</t>
  </si>
  <si>
    <t>G3F2E-021543</t>
  </si>
  <si>
    <t>9C6DG2925L0000487</t>
  </si>
  <si>
    <t>495</t>
  </si>
  <si>
    <t>A-124-OPX</t>
  </si>
  <si>
    <t>G3F2E-021536</t>
  </si>
  <si>
    <t>9C6DG2928L0000497</t>
  </si>
  <si>
    <t>496</t>
  </si>
  <si>
    <t>A-124-OPY</t>
  </si>
  <si>
    <t>G3F2E-021262</t>
  </si>
  <si>
    <t>9C6DG2920L0000400</t>
  </si>
  <si>
    <t>497</t>
  </si>
  <si>
    <t>A-124-OPZ</t>
  </si>
  <si>
    <t>G3F2E-021147</t>
  </si>
  <si>
    <t>9C6DG292XL0000193</t>
  </si>
  <si>
    <t>498</t>
  </si>
  <si>
    <t>A-124-OQA</t>
  </si>
  <si>
    <t>G3F2E-021737</t>
  </si>
  <si>
    <t>9C6DG2928L0000581</t>
  </si>
  <si>
    <t>499</t>
  </si>
  <si>
    <t>A-124-OQB</t>
  </si>
  <si>
    <t>G3F2E-021738</t>
  </si>
  <si>
    <t>9C6DG2928L0000595</t>
  </si>
  <si>
    <t>500</t>
  </si>
  <si>
    <t>A134PJU</t>
  </si>
  <si>
    <t>SMX 200</t>
  </si>
  <si>
    <t>AD163FML*M0000144*</t>
  </si>
  <si>
    <t>8EGSMX200MNK02971</t>
  </si>
  <si>
    <t>501</t>
  </si>
  <si>
    <t>A134PJV</t>
  </si>
  <si>
    <t>AD163FML*M0000065*</t>
  </si>
  <si>
    <t>8EGSMX200MNK03025</t>
  </si>
  <si>
    <t>502</t>
  </si>
  <si>
    <t>A134PJW</t>
  </si>
  <si>
    <t>AD163FML*M0000070*</t>
  </si>
  <si>
    <t>8EGSMX200MNK02969</t>
  </si>
  <si>
    <t>503</t>
  </si>
  <si>
    <t>A134PJX</t>
  </si>
  <si>
    <t>AD163FML*M0000101*</t>
  </si>
  <si>
    <t>8EGSMX200MNK03028</t>
  </si>
  <si>
    <t>504</t>
  </si>
  <si>
    <t>A134PJY</t>
  </si>
  <si>
    <t>AD163FML*M0000094*</t>
  </si>
  <si>
    <t>8EGSMX200MNK02972</t>
  </si>
  <si>
    <t>505</t>
  </si>
  <si>
    <t>A134PJZ</t>
  </si>
  <si>
    <t>AD163FML*M0000074*</t>
  </si>
  <si>
    <t>8EGSMX200MNK03022</t>
  </si>
  <si>
    <t>506</t>
  </si>
  <si>
    <t>A134PKA</t>
  </si>
  <si>
    <t>AD163FML*M0000025*</t>
  </si>
  <si>
    <t>8EGSMX200MNK03023</t>
  </si>
  <si>
    <t>507</t>
  </si>
  <si>
    <t>A134PKB</t>
  </si>
  <si>
    <t>AD163FML*M0000038*</t>
  </si>
  <si>
    <t>8EGSMX200MNK02982</t>
  </si>
  <si>
    <t>508</t>
  </si>
  <si>
    <t>A134PKC</t>
  </si>
  <si>
    <t>AD163FML*M0000041*</t>
  </si>
  <si>
    <t>8EGSMX200MNK02983</t>
  </si>
  <si>
    <t>509</t>
  </si>
  <si>
    <t>A134PKD</t>
  </si>
  <si>
    <t>AD163FML*M0000058*</t>
  </si>
  <si>
    <t>8EGSMX200MNK02974</t>
  </si>
  <si>
    <t>510</t>
  </si>
  <si>
    <t>A134PKE</t>
  </si>
  <si>
    <t>AD163FML*M0000146*</t>
  </si>
  <si>
    <t>8EGSMX200MNK03024</t>
  </si>
  <si>
    <t>511</t>
  </si>
  <si>
    <t>A134PKF</t>
  </si>
  <si>
    <t>AD163FML*M0000049*</t>
  </si>
  <si>
    <t>8EGSMX200MNK02970</t>
  </si>
  <si>
    <t>512</t>
  </si>
  <si>
    <t>A134PKG</t>
  </si>
  <si>
    <t>AD163FML*M0000134*</t>
  </si>
  <si>
    <t>8EGSMX200MNK02981</t>
  </si>
  <si>
    <t>513</t>
  </si>
  <si>
    <t>A134PKH</t>
  </si>
  <si>
    <t>AD163FML*M0000084*</t>
  </si>
  <si>
    <t>8EGSMX200MNK03026</t>
  </si>
  <si>
    <t>514</t>
  </si>
  <si>
    <t>M-001-BXY</t>
  </si>
  <si>
    <t>KAWASAKI</t>
  </si>
  <si>
    <t>650CC</t>
  </si>
  <si>
    <t>KL650AEA34656</t>
  </si>
  <si>
    <t>JKAKLEA147DA34656</t>
  </si>
  <si>
    <t>515</t>
  </si>
  <si>
    <t>516</t>
  </si>
  <si>
    <t>MVH (CONTEINERS) C/RUEDAS.-</t>
  </si>
  <si>
    <t>101 QAL-208</t>
  </si>
  <si>
    <t>517</t>
  </si>
  <si>
    <t>TANQUETA 3</t>
  </si>
  <si>
    <t>QPT-806</t>
  </si>
  <si>
    <t>518</t>
  </si>
  <si>
    <t>TRAILER GOMON</t>
  </si>
  <si>
    <t>101 PIO-390</t>
  </si>
  <si>
    <t>MERCURI</t>
  </si>
  <si>
    <t>SEMI RIGIDO - BIM SR LIGERO 43 - 40HP.-</t>
  </si>
  <si>
    <t>FUERA DE BORDA</t>
  </si>
  <si>
    <t>SERIE "C" N° AA18B5737CC00</t>
  </si>
  <si>
    <t>519</t>
  </si>
  <si>
    <t>UTILITARIO</t>
  </si>
  <si>
    <t>AD-016-LM</t>
  </si>
  <si>
    <t>FIORINO FURGONETA</t>
  </si>
  <si>
    <t>327A0553238892</t>
  </si>
  <si>
    <t>9BD265524J9099595</t>
  </si>
  <si>
    <t>520</t>
  </si>
  <si>
    <t>HKX-860</t>
  </si>
  <si>
    <t>CITROEN</t>
  </si>
  <si>
    <t>BERLINGO</t>
  </si>
  <si>
    <t>10DXBE0049260</t>
  </si>
  <si>
    <t>8BCMFWJZF9G503429</t>
  </si>
  <si>
    <t>521</t>
  </si>
  <si>
    <t>HKX-863</t>
  </si>
  <si>
    <t>10DXBE0047228</t>
  </si>
  <si>
    <t>8BCMBWJZF9G555587</t>
  </si>
  <si>
    <t>522</t>
  </si>
  <si>
    <t>HKX-864</t>
  </si>
  <si>
    <t>10DXBE0049749</t>
  </si>
  <si>
    <t>8BCMBWJZF9G504328</t>
  </si>
  <si>
    <t>523</t>
  </si>
  <si>
    <t>HMW-858</t>
  </si>
  <si>
    <t>MASTER DCI 120</t>
  </si>
  <si>
    <t>G9UA724CO41695</t>
  </si>
  <si>
    <t>93YCDDUH59J082362</t>
  </si>
  <si>
    <t>524</t>
  </si>
  <si>
    <t>OOT-964</t>
  </si>
  <si>
    <t>DUCATO MAXICARGO</t>
  </si>
  <si>
    <t>7185440</t>
  </si>
  <si>
    <t>93W245G84E2120321</t>
  </si>
  <si>
    <t>525</t>
  </si>
  <si>
    <t>OPX-343</t>
  </si>
  <si>
    <t>KANGOO</t>
  </si>
  <si>
    <t>K4MJ730Q153135</t>
  </si>
  <si>
    <t>8A1FC1315FL738957</t>
  </si>
  <si>
    <t>526</t>
  </si>
  <si>
    <t>OPX-344</t>
  </si>
  <si>
    <t>K4MJ730Q144802</t>
  </si>
  <si>
    <t>8A1FC1315FL498441</t>
  </si>
  <si>
    <t>Que cumpla íntegramente con lo solicitado por cada renglon.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</si>
</sst>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1"/>
      <color theme="1"/>
      <name val="Calibri"/>
      <family val="2"/>
    </font>
    <font>
      <sz val="10"/>
      <color rgb="FFFF0000"/>
      <name val="Century Gothic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00"/>
      </patternFill>
    </fill>
    <fill>
      <patternFill patternType="solid">
        <fgColor theme="2" tint="-9.9978637043366805E-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5" fontId="6" fillId="0" borderId="0" applyBorder="0" applyProtection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1" fillId="0" borderId="0"/>
  </cellStyleXfs>
  <cellXfs count="141">
    <xf numFmtId="0" fontId="0" fillId="0" borderId="0" xfId="0"/>
    <xf numFmtId="0" fontId="7" fillId="0" borderId="0" xfId="0" applyFont="1"/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0" fillId="0" borderId="0" xfId="0" applyFont="1" applyFill="1" applyAlignment="1">
      <alignment horizontal="left" wrapText="1" indent="1"/>
    </xf>
    <xf numFmtId="0" fontId="12" fillId="0" borderId="0" xfId="0" applyFont="1" applyFill="1" applyAlignment="1">
      <alignment horizontal="left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vertical="center"/>
    </xf>
    <xf numFmtId="0" fontId="14" fillId="0" borderId="44" xfId="0" applyFont="1" applyBorder="1" applyAlignment="1">
      <alignment horizontal="center" vertical="center" wrapText="1"/>
    </xf>
    <xf numFmtId="0" fontId="7" fillId="0" borderId="45" xfId="0" applyFont="1" applyBorder="1" applyAlignment="1">
      <alignment vertical="center"/>
    </xf>
    <xf numFmtId="0" fontId="13" fillId="0" borderId="44" xfId="0" applyFont="1" applyFill="1" applyBorder="1" applyAlignment="1">
      <alignment horizontal="center" vertical="center" wrapText="1"/>
    </xf>
    <xf numFmtId="166" fontId="13" fillId="0" borderId="46" xfId="1" applyNumberFormat="1" applyFont="1" applyFill="1" applyBorder="1" applyAlignment="1" applyProtection="1">
      <alignment horizontal="right" vertical="center" wrapText="1"/>
    </xf>
    <xf numFmtId="0" fontId="7" fillId="0" borderId="0" xfId="0" applyFont="1" applyAlignment="1">
      <alignment vertical="center"/>
    </xf>
    <xf numFmtId="0" fontId="15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Border="1"/>
    <xf numFmtId="0" fontId="7" fillId="0" borderId="6" xfId="0" applyFont="1" applyBorder="1"/>
    <xf numFmtId="0" fontId="15" fillId="0" borderId="5" xfId="0" applyFont="1" applyBorder="1" applyAlignment="1">
      <alignment horizontal="left" indent="3"/>
    </xf>
    <xf numFmtId="0" fontId="7" fillId="0" borderId="5" xfId="0" applyFont="1" applyBorder="1" applyAlignment="1">
      <alignment horizontal="left" indent="3"/>
    </xf>
    <xf numFmtId="0" fontId="7" fillId="0" borderId="0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left" indent="3"/>
    </xf>
    <xf numFmtId="0" fontId="7" fillId="0" borderId="8" xfId="0" applyFont="1" applyBorder="1"/>
    <xf numFmtId="0" fontId="7" fillId="0" borderId="9" xfId="0" applyFont="1" applyBorder="1"/>
    <xf numFmtId="0" fontId="18" fillId="0" borderId="10" xfId="0" applyFont="1" applyFill="1" applyBorder="1" applyAlignment="1">
      <alignment horizontal="right" vertical="center"/>
    </xf>
    <xf numFmtId="0" fontId="19" fillId="0" borderId="1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18" fillId="0" borderId="12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 wrapText="1" indent="1"/>
    </xf>
    <xf numFmtId="0" fontId="7" fillId="0" borderId="19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left" vertical="center"/>
    </xf>
    <xf numFmtId="0" fontId="7" fillId="0" borderId="19" xfId="0" applyFont="1" applyFill="1" applyBorder="1" applyAlignment="1">
      <alignment horizontal="center" vertical="center" wrapText="1"/>
    </xf>
    <xf numFmtId="166" fontId="7" fillId="0" borderId="19" xfId="1" applyNumberFormat="1" applyFont="1" applyFill="1" applyBorder="1" applyAlignment="1" applyProtection="1">
      <alignment horizontal="right" vertical="center" wrapText="1"/>
    </xf>
    <xf numFmtId="3" fontId="7" fillId="0" borderId="19" xfId="0" applyNumberFormat="1" applyFont="1" applyFill="1" applyBorder="1" applyAlignment="1">
      <alignment horizontal="center" vertical="center"/>
    </xf>
    <xf numFmtId="0" fontId="19" fillId="0" borderId="45" xfId="0" applyFont="1" applyFill="1" applyBorder="1" applyAlignment="1">
      <alignment vertical="center" wrapText="1"/>
    </xf>
    <xf numFmtId="0" fontId="19" fillId="0" borderId="21" xfId="0" applyFont="1" applyFill="1" applyBorder="1" applyAlignment="1">
      <alignment vertical="center" wrapText="1"/>
    </xf>
    <xf numFmtId="3" fontId="21" fillId="3" borderId="0" xfId="0" applyNumberFormat="1" applyFont="1" applyFill="1" applyBorder="1" applyAlignment="1"/>
    <xf numFmtId="168" fontId="7" fillId="3" borderId="0" xfId="0" applyNumberFormat="1" applyFont="1" applyFill="1" applyAlignment="1">
      <alignment horizontal="left"/>
    </xf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7" fillId="3" borderId="0" xfId="0" applyFont="1" applyFill="1" applyBorder="1"/>
    <xf numFmtId="0" fontId="7" fillId="3" borderId="10" xfId="0" applyFont="1" applyFill="1" applyBorder="1"/>
    <xf numFmtId="0" fontId="7" fillId="3" borderId="25" xfId="0" applyFont="1" applyFill="1" applyBorder="1"/>
    <xf numFmtId="0" fontId="7" fillId="3" borderId="12" xfId="0" applyFont="1" applyFill="1" applyBorder="1"/>
    <xf numFmtId="0" fontId="7" fillId="3" borderId="12" xfId="0" applyFont="1" applyFill="1" applyBorder="1" applyAlignment="1">
      <alignment horizontal="left"/>
    </xf>
    <xf numFmtId="0" fontId="7" fillId="3" borderId="26" xfId="0" applyFont="1" applyFill="1" applyBorder="1"/>
    <xf numFmtId="0" fontId="17" fillId="3" borderId="28" xfId="0" applyFont="1" applyFill="1" applyBorder="1" applyAlignment="1">
      <alignment horizontal="center" vertical="center"/>
    </xf>
    <xf numFmtId="0" fontId="17" fillId="3" borderId="29" xfId="0" applyFont="1" applyFill="1" applyBorder="1" applyAlignment="1">
      <alignment horizontal="center" vertical="center"/>
    </xf>
    <xf numFmtId="0" fontId="17" fillId="3" borderId="29" xfId="0" applyFont="1" applyFill="1" applyBorder="1" applyAlignment="1">
      <alignment horizontal="left" vertical="center"/>
    </xf>
    <xf numFmtId="0" fontId="17" fillId="3" borderId="30" xfId="0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166" fontId="7" fillId="3" borderId="14" xfId="3" applyNumberFormat="1" applyFont="1" applyFill="1" applyBorder="1" applyAlignment="1" applyProtection="1">
      <alignment horizontal="center" vertical="center"/>
    </xf>
    <xf numFmtId="0" fontId="23" fillId="0" borderId="0" xfId="0" applyFont="1"/>
    <xf numFmtId="0" fontId="0" fillId="0" borderId="0" xfId="0" applyFont="1" applyAlignment="1"/>
    <xf numFmtId="0" fontId="15" fillId="0" borderId="5" xfId="0" applyFont="1" applyBorder="1"/>
    <xf numFmtId="169" fontId="0" fillId="3" borderId="0" xfId="0" applyNumberFormat="1" applyFill="1"/>
    <xf numFmtId="169" fontId="13" fillId="0" borderId="44" xfId="1" applyNumberFormat="1" applyFont="1" applyFill="1" applyBorder="1" applyAlignment="1" applyProtection="1">
      <alignment horizontal="right" vertical="center" wrapText="1"/>
    </xf>
    <xf numFmtId="0" fontId="24" fillId="0" borderId="0" xfId="0" applyFont="1"/>
    <xf numFmtId="0" fontId="24" fillId="0" borderId="0" xfId="0" applyFont="1" applyAlignment="1">
      <alignment vertical="center"/>
    </xf>
    <xf numFmtId="0" fontId="12" fillId="0" borderId="14" xfId="0" applyFont="1" applyBorder="1" applyAlignment="1">
      <alignment horizontal="center" vertical="center" wrapText="1"/>
    </xf>
    <xf numFmtId="166" fontId="17" fillId="0" borderId="0" xfId="0" applyNumberFormat="1" applyFont="1"/>
    <xf numFmtId="166" fontId="17" fillId="0" borderId="14" xfId="0" applyNumberFormat="1" applyFont="1" applyBorder="1"/>
    <xf numFmtId="0" fontId="11" fillId="4" borderId="0" xfId="0" applyFont="1" applyFill="1" applyAlignment="1">
      <alignment horizontal="left" wrapText="1"/>
    </xf>
    <xf numFmtId="0" fontId="11" fillId="4" borderId="0" xfId="0" applyFont="1" applyFill="1" applyAlignment="1">
      <alignment horizontal="center" wrapText="1"/>
    </xf>
    <xf numFmtId="0" fontId="7" fillId="4" borderId="0" xfId="0" applyFont="1" applyFill="1"/>
    <xf numFmtId="0" fontId="28" fillId="6" borderId="51" xfId="11" applyFont="1" applyFill="1" applyBorder="1"/>
    <xf numFmtId="0" fontId="25" fillId="3" borderId="0" xfId="11" applyFont="1" applyFill="1" applyBorder="1"/>
    <xf numFmtId="0" fontId="26" fillId="3" borderId="0" xfId="11" applyFont="1" applyFill="1"/>
    <xf numFmtId="0" fontId="1" fillId="3" borderId="51" xfId="11" quotePrefix="1" applyFill="1" applyBorder="1"/>
    <xf numFmtId="0" fontId="1" fillId="3" borderId="51" xfId="11" applyFill="1" applyBorder="1"/>
    <xf numFmtId="0" fontId="27" fillId="3" borderId="0" xfId="11" applyFont="1" applyFill="1" applyBorder="1"/>
    <xf numFmtId="0" fontId="1" fillId="3" borderId="0" xfId="11" applyFill="1"/>
    <xf numFmtId="0" fontId="7" fillId="0" borderId="0" xfId="0" applyFont="1" applyFill="1" applyBorder="1" applyAlignment="1">
      <alignment horizontal="left"/>
    </xf>
    <xf numFmtId="0" fontId="7" fillId="0" borderId="6" xfId="0" applyFont="1" applyFill="1" applyBorder="1" applyAlignment="1">
      <alignment horizontal="left"/>
    </xf>
    <xf numFmtId="0" fontId="9" fillId="0" borderId="0" xfId="0" applyFont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wrapText="1"/>
    </xf>
    <xf numFmtId="0" fontId="7" fillId="0" borderId="6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8" fillId="0" borderId="0" xfId="0" applyFont="1" applyBorder="1" applyAlignment="1">
      <alignment horizontal="center"/>
    </xf>
    <xf numFmtId="0" fontId="9" fillId="4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wrapText="1" indent="1"/>
    </xf>
    <xf numFmtId="167" fontId="20" fillId="0" borderId="14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left" vertical="center" wrapText="1"/>
    </xf>
    <xf numFmtId="0" fontId="20" fillId="0" borderId="16" xfId="0" applyFont="1" applyFill="1" applyBorder="1" applyAlignment="1">
      <alignment horizontal="left" vertical="center"/>
    </xf>
    <xf numFmtId="0" fontId="19" fillId="0" borderId="17" xfId="0" applyFont="1" applyFill="1" applyBorder="1" applyAlignment="1">
      <alignment horizontal="left" vertical="center" wrapText="1" indent="1"/>
    </xf>
    <xf numFmtId="0" fontId="21" fillId="0" borderId="16" xfId="0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19" fillId="0" borderId="45" xfId="0" applyFont="1" applyFill="1" applyBorder="1" applyAlignment="1">
      <alignment horizontal="left" vertical="center" wrapText="1"/>
    </xf>
    <xf numFmtId="0" fontId="19" fillId="0" borderId="20" xfId="0" applyFont="1" applyFill="1" applyBorder="1" applyAlignment="1">
      <alignment horizontal="right" vertical="center" wrapText="1"/>
    </xf>
    <xf numFmtId="0" fontId="19" fillId="0" borderId="45" xfId="0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left" vertical="center" wrapText="1"/>
    </xf>
    <xf numFmtId="0" fontId="19" fillId="0" borderId="14" xfId="0" applyFont="1" applyFill="1" applyBorder="1" applyAlignment="1">
      <alignment horizontal="left" vertical="center" wrapText="1" indent="1"/>
    </xf>
    <xf numFmtId="0" fontId="20" fillId="0" borderId="15" xfId="0" applyFont="1" applyFill="1" applyBorder="1" applyAlignment="1">
      <alignment horizontal="left" vertical="center" wrapText="1"/>
    </xf>
    <xf numFmtId="0" fontId="21" fillId="3" borderId="20" xfId="0" applyFont="1" applyFill="1" applyBorder="1" applyAlignment="1">
      <alignment vertical="center" wrapText="1"/>
    </xf>
    <xf numFmtId="0" fontId="21" fillId="3" borderId="35" xfId="0" applyFont="1" applyFill="1" applyBorder="1" applyAlignment="1">
      <alignment vertical="center" wrapText="1"/>
    </xf>
    <xf numFmtId="0" fontId="21" fillId="3" borderId="17" xfId="0" applyFont="1" applyFill="1" applyBorder="1" applyAlignment="1">
      <alignment vertical="center" wrapText="1"/>
    </xf>
    <xf numFmtId="0" fontId="22" fillId="3" borderId="27" xfId="0" applyFont="1" applyFill="1" applyBorder="1" applyAlignment="1">
      <alignment vertical="center" wrapText="1"/>
    </xf>
    <xf numFmtId="0" fontId="22" fillId="3" borderId="34" xfId="0" applyFont="1" applyFill="1" applyBorder="1" applyAlignment="1">
      <alignment horizontal="left" vertical="center" wrapText="1" inden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/>
    <xf numFmtId="0" fontId="7" fillId="3" borderId="24" xfId="0" applyFont="1" applyFill="1" applyBorder="1" applyAlignment="1"/>
    <xf numFmtId="0" fontId="22" fillId="3" borderId="24" xfId="0" applyFont="1" applyFill="1" applyBorder="1" applyAlignment="1">
      <alignment horizontal="left" vertical="center" wrapText="1" indent="1"/>
    </xf>
    <xf numFmtId="0" fontId="17" fillId="3" borderId="22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/>
    </xf>
    <xf numFmtId="0" fontId="21" fillId="3" borderId="47" xfId="0" applyFont="1" applyFill="1" applyBorder="1" applyAlignment="1">
      <alignment horizontal="left" vertical="center" wrapText="1"/>
    </xf>
    <xf numFmtId="0" fontId="21" fillId="3" borderId="48" xfId="0" applyFont="1" applyFill="1" applyBorder="1" applyAlignment="1">
      <alignment horizontal="left" vertical="center" wrapText="1"/>
    </xf>
    <xf numFmtId="166" fontId="17" fillId="3" borderId="49" xfId="0" applyNumberFormat="1" applyFont="1" applyFill="1" applyBorder="1" applyAlignment="1">
      <alignment horizontal="center" vertical="center"/>
    </xf>
    <xf numFmtId="166" fontId="17" fillId="3" borderId="50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/>
    </xf>
    <xf numFmtId="3" fontId="21" fillId="3" borderId="21" xfId="0" applyNumberFormat="1" applyFont="1" applyFill="1" applyBorder="1" applyAlignment="1">
      <alignment horizontal="center"/>
    </xf>
    <xf numFmtId="0" fontId="19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/>
    <xf numFmtId="0" fontId="22" fillId="3" borderId="11" xfId="0" applyFont="1" applyFill="1" applyBorder="1" applyAlignment="1">
      <alignment horizontal="left" indent="1"/>
    </xf>
    <xf numFmtId="0" fontId="7" fillId="3" borderId="13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>
      <alignment horizontal="left" vertical="center" wrapText="1"/>
    </xf>
    <xf numFmtId="0" fontId="7" fillId="3" borderId="37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/>
    </xf>
    <xf numFmtId="0" fontId="7" fillId="3" borderId="32" xfId="0" applyFont="1" applyFill="1" applyBorder="1" applyAlignment="1">
      <alignment horizontal="left" vertical="center" wrapText="1"/>
    </xf>
    <xf numFmtId="0" fontId="7" fillId="3" borderId="33" xfId="0" applyFont="1" applyFill="1" applyBorder="1" applyAlignment="1">
      <alignment horizontal="left" vertical="center" wrapText="1"/>
    </xf>
    <xf numFmtId="0" fontId="22" fillId="3" borderId="23" xfId="0" applyFont="1" applyFill="1" applyBorder="1" applyAlignment="1"/>
  </cellXfs>
  <cellStyles count="12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11" xr:uid="{00000000-0005-0000-0000-000005000000}"/>
    <cellStyle name="Normal 2 44" xfId="8" xr:uid="{00000000-0005-0000-0000-000006000000}"/>
    <cellStyle name="Normal 2 44 2" xfId="9" xr:uid="{00000000-0005-0000-0000-000007000000}"/>
    <cellStyle name="Normal 27 2" xfId="5" xr:uid="{00000000-0005-0000-0000-000008000000}"/>
    <cellStyle name="Normal 4 10" xfId="10" xr:uid="{00000000-0005-0000-0000-000009000000}"/>
    <cellStyle name="Normal 49" xfId="7" xr:uid="{00000000-0005-0000-0000-00000A000000}"/>
    <cellStyle name="Normal 5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9"/>
  <sheetViews>
    <sheetView tabSelected="1" view="pageBreakPreview" zoomScaleNormal="85" zoomScaleSheetLayoutView="100" zoomScalePageLayoutView="40" workbookViewId="0">
      <selection activeCell="C33" sqref="C33:E33"/>
    </sheetView>
  </sheetViews>
  <sheetFormatPr baseColWidth="10" defaultColWidth="11" defaultRowHeight="13.5" x14ac:dyDescent="0.25"/>
  <cols>
    <col min="1" max="1" width="4.5703125" style="1" customWidth="1"/>
    <col min="2" max="2" width="12.85546875" style="1" customWidth="1"/>
    <col min="3" max="3" width="27.42578125" style="1" customWidth="1"/>
    <col min="4" max="4" width="8.42578125" style="1" customWidth="1"/>
    <col min="5" max="5" width="74.140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11" ht="28.5" x14ac:dyDescent="0.4">
      <c r="B2" s="94" t="s">
        <v>0</v>
      </c>
      <c r="C2" s="94"/>
      <c r="D2" s="94"/>
      <c r="E2" s="94"/>
      <c r="F2" s="94"/>
      <c r="G2" s="94"/>
      <c r="H2" s="94"/>
    </row>
    <row r="3" spans="1:11" ht="15.75" x14ac:dyDescent="0.25">
      <c r="A3" s="95" t="s">
        <v>84</v>
      </c>
      <c r="B3" s="95"/>
      <c r="C3" s="96" t="s">
        <v>85</v>
      </c>
      <c r="D3" s="96"/>
      <c r="E3" s="96"/>
      <c r="F3" s="75"/>
      <c r="G3" s="76"/>
      <c r="H3" s="75"/>
      <c r="I3" s="77"/>
    </row>
    <row r="4" spans="1:11" ht="15.75" x14ac:dyDescent="0.25">
      <c r="A4" s="95" t="s">
        <v>86</v>
      </c>
      <c r="B4" s="95"/>
      <c r="C4" s="96" t="s">
        <v>87</v>
      </c>
      <c r="D4" s="96"/>
      <c r="E4" s="96"/>
      <c r="F4" s="75"/>
      <c r="G4" s="76"/>
      <c r="H4" s="75"/>
      <c r="I4" s="77"/>
    </row>
    <row r="5" spans="1:11" ht="16.5" customHeight="1" x14ac:dyDescent="0.25">
      <c r="A5" s="87" t="s">
        <v>1</v>
      </c>
      <c r="B5" s="87"/>
      <c r="C5" s="4">
        <v>2021</v>
      </c>
      <c r="D5" s="5"/>
      <c r="E5" s="5"/>
      <c r="F5" s="2"/>
      <c r="G5" s="3"/>
      <c r="H5" s="2"/>
    </row>
    <row r="6" spans="1:11" ht="16.5" customHeight="1" x14ac:dyDescent="0.25">
      <c r="A6" s="87" t="s">
        <v>2</v>
      </c>
      <c r="B6" s="87"/>
      <c r="C6" s="4">
        <v>4</v>
      </c>
      <c r="D6" s="5"/>
      <c r="E6" s="5"/>
      <c r="F6" s="2"/>
      <c r="G6" s="3"/>
      <c r="H6" s="2"/>
    </row>
    <row r="7" spans="1:11" ht="14.25" thickBot="1" x14ac:dyDescent="0.3">
      <c r="B7" s="2"/>
      <c r="C7" s="3"/>
      <c r="D7" s="2"/>
      <c r="E7" s="2"/>
      <c r="F7" s="2"/>
      <c r="G7" s="3"/>
      <c r="H7" s="2"/>
      <c r="J7" s="70"/>
      <c r="K7" s="70"/>
    </row>
    <row r="8" spans="1:11" ht="39.75" thickTop="1" thickBot="1" x14ac:dyDescent="0.3">
      <c r="A8" s="6" t="s">
        <v>3</v>
      </c>
      <c r="B8" s="7" t="s">
        <v>4</v>
      </c>
      <c r="C8" s="8" t="s">
        <v>5</v>
      </c>
      <c r="D8" s="9" t="s">
        <v>6</v>
      </c>
      <c r="E8" s="8" t="s">
        <v>7</v>
      </c>
      <c r="F8" s="10" t="s">
        <v>8</v>
      </c>
      <c r="G8" s="6" t="s">
        <v>9</v>
      </c>
      <c r="H8" s="72" t="s">
        <v>10</v>
      </c>
      <c r="I8" s="10" t="s">
        <v>11</v>
      </c>
      <c r="J8" s="70"/>
      <c r="K8" s="70"/>
    </row>
    <row r="9" spans="1:11" s="17" customFormat="1" ht="21.75" customHeight="1" thickBot="1" x14ac:dyDescent="0.25">
      <c r="A9" s="11">
        <v>1</v>
      </c>
      <c r="B9" s="12" t="s">
        <v>12</v>
      </c>
      <c r="C9" s="12" t="s">
        <v>13</v>
      </c>
      <c r="D9" s="13" t="str">
        <f>LEFT(B9,5)</f>
        <v>3.5.4</v>
      </c>
      <c r="E9" s="14" t="s">
        <v>14</v>
      </c>
      <c r="F9" s="15" t="s">
        <v>70</v>
      </c>
      <c r="G9" s="15">
        <v>1</v>
      </c>
      <c r="H9" s="68">
        <v>90297.39</v>
      </c>
      <c r="I9" s="16">
        <f>H9*G9</f>
        <v>90297.39</v>
      </c>
      <c r="J9" s="71"/>
      <c r="K9" s="71"/>
    </row>
    <row r="10" spans="1:11" s="17" customFormat="1" ht="21.75" customHeight="1" thickBot="1" x14ac:dyDescent="0.25">
      <c r="A10" s="11">
        <v>2</v>
      </c>
      <c r="B10" s="12" t="s">
        <v>12</v>
      </c>
      <c r="C10" s="12" t="s">
        <v>13</v>
      </c>
      <c r="D10" s="13" t="str">
        <f t="shared" ref="D10:D11" si="0">LEFT(B10,5)</f>
        <v>3.5.4</v>
      </c>
      <c r="E10" s="14" t="s">
        <v>14</v>
      </c>
      <c r="F10" s="15" t="s">
        <v>70</v>
      </c>
      <c r="G10" s="15">
        <v>1</v>
      </c>
      <c r="H10" s="69">
        <v>126203.32</v>
      </c>
      <c r="I10" s="16">
        <f t="shared" ref="I10:I15" si="1">H10*G10</f>
        <v>126203.32</v>
      </c>
      <c r="J10" s="71"/>
      <c r="K10" s="71"/>
    </row>
    <row r="11" spans="1:11" s="17" customFormat="1" ht="21.75" customHeight="1" thickBot="1" x14ac:dyDescent="0.25">
      <c r="A11" s="11">
        <v>3</v>
      </c>
      <c r="B11" s="12" t="s">
        <v>12</v>
      </c>
      <c r="C11" s="12" t="s">
        <v>13</v>
      </c>
      <c r="D11" s="13" t="str">
        <f t="shared" si="0"/>
        <v>3.5.4</v>
      </c>
      <c r="E11" s="14" t="s">
        <v>14</v>
      </c>
      <c r="F11" s="15" t="s">
        <v>70</v>
      </c>
      <c r="G11" s="15">
        <v>1</v>
      </c>
      <c r="H11" s="69">
        <v>996677.21</v>
      </c>
      <c r="I11" s="16">
        <f t="shared" si="1"/>
        <v>996677.21</v>
      </c>
      <c r="J11" s="71"/>
      <c r="K11" s="71"/>
    </row>
    <row r="12" spans="1:11" s="17" customFormat="1" ht="21.75" customHeight="1" thickBot="1" x14ac:dyDescent="0.25">
      <c r="A12" s="11">
        <v>4</v>
      </c>
      <c r="B12" s="12" t="s">
        <v>12</v>
      </c>
      <c r="C12" s="12" t="s">
        <v>13</v>
      </c>
      <c r="D12" s="13" t="str">
        <f t="shared" ref="D12:D13" si="2">LEFT(B12,5)</f>
        <v>3.5.4</v>
      </c>
      <c r="E12" s="14" t="s">
        <v>14</v>
      </c>
      <c r="F12" s="15" t="s">
        <v>70</v>
      </c>
      <c r="G12" s="15">
        <v>1</v>
      </c>
      <c r="H12" s="69">
        <v>63014.35</v>
      </c>
      <c r="I12" s="16">
        <f t="shared" si="1"/>
        <v>63014.35</v>
      </c>
      <c r="J12" s="71"/>
      <c r="K12" s="71"/>
    </row>
    <row r="13" spans="1:11" s="17" customFormat="1" ht="21.75" customHeight="1" thickBot="1" x14ac:dyDescent="0.25">
      <c r="A13" s="11">
        <v>5</v>
      </c>
      <c r="B13" s="12" t="s">
        <v>12</v>
      </c>
      <c r="C13" s="12" t="s">
        <v>13</v>
      </c>
      <c r="D13" s="13" t="str">
        <f t="shared" si="2"/>
        <v>3.5.4</v>
      </c>
      <c r="E13" s="14" t="s">
        <v>14</v>
      </c>
      <c r="F13" s="15" t="s">
        <v>70</v>
      </c>
      <c r="G13" s="15">
        <v>1</v>
      </c>
      <c r="H13" s="69">
        <v>137591.67000000001</v>
      </c>
      <c r="I13" s="16">
        <f t="shared" si="1"/>
        <v>137591.67000000001</v>
      </c>
      <c r="J13" s="71"/>
      <c r="K13" s="71"/>
    </row>
    <row r="14" spans="1:11" s="17" customFormat="1" ht="21.75" customHeight="1" thickBot="1" x14ac:dyDescent="0.25">
      <c r="A14" s="11">
        <v>6</v>
      </c>
      <c r="B14" s="12" t="s">
        <v>12</v>
      </c>
      <c r="C14" s="12" t="s">
        <v>13</v>
      </c>
      <c r="D14" s="13" t="str">
        <f t="shared" ref="D14" si="3">LEFT(B14,5)</f>
        <v>3.5.4</v>
      </c>
      <c r="E14" s="14" t="s">
        <v>14</v>
      </c>
      <c r="F14" s="15" t="s">
        <v>70</v>
      </c>
      <c r="G14" s="15">
        <v>1</v>
      </c>
      <c r="H14" s="69">
        <v>1644973.46</v>
      </c>
      <c r="I14" s="16">
        <f t="shared" si="1"/>
        <v>1644973.46</v>
      </c>
      <c r="J14" s="71"/>
      <c r="K14" s="71"/>
    </row>
    <row r="15" spans="1:11" s="17" customFormat="1" ht="21.75" customHeight="1" thickBot="1" x14ac:dyDescent="0.25">
      <c r="A15" s="11">
        <v>7</v>
      </c>
      <c r="B15" s="12" t="s">
        <v>12</v>
      </c>
      <c r="C15" s="12" t="s">
        <v>13</v>
      </c>
      <c r="D15" s="13" t="str">
        <f t="shared" ref="D15" si="4">LEFT(B15,5)</f>
        <v>3.5.4</v>
      </c>
      <c r="E15" s="14" t="s">
        <v>14</v>
      </c>
      <c r="F15" s="15" t="s">
        <v>70</v>
      </c>
      <c r="G15" s="15">
        <v>1</v>
      </c>
      <c r="H15" s="69">
        <v>71123.520000000004</v>
      </c>
      <c r="I15" s="16">
        <f t="shared" si="1"/>
        <v>71123.520000000004</v>
      </c>
      <c r="J15" s="71"/>
      <c r="K15" s="71"/>
    </row>
    <row r="16" spans="1:11" ht="14.25" thickBot="1" x14ac:dyDescent="0.3">
      <c r="I16" s="74">
        <f>SUM(I9:I15)</f>
        <v>3129880.92</v>
      </c>
      <c r="J16" s="70"/>
      <c r="K16" s="70"/>
    </row>
    <row r="17" spans="2:11" ht="14.25" thickBot="1" x14ac:dyDescent="0.3">
      <c r="I17" s="73"/>
      <c r="J17" s="70"/>
      <c r="K17" s="70"/>
    </row>
    <row r="18" spans="2:11" x14ac:dyDescent="0.25">
      <c r="B18" s="18" t="s">
        <v>15</v>
      </c>
      <c r="C18" s="19"/>
      <c r="D18" s="19"/>
      <c r="E18" s="20"/>
      <c r="J18" s="70"/>
      <c r="K18" s="70"/>
    </row>
    <row r="19" spans="2:11" ht="75" customHeight="1" thickBot="1" x14ac:dyDescent="0.3">
      <c r="B19" s="67"/>
      <c r="C19" s="92" t="s">
        <v>80</v>
      </c>
      <c r="D19" s="92"/>
      <c r="E19" s="93"/>
      <c r="F19" s="70"/>
      <c r="G19" s="70"/>
      <c r="H19" s="70"/>
      <c r="J19" s="70"/>
      <c r="K19" s="70"/>
    </row>
    <row r="20" spans="2:11" x14ac:dyDescent="0.25">
      <c r="B20" s="18" t="s">
        <v>71</v>
      </c>
      <c r="C20" s="19"/>
      <c r="D20" s="19"/>
      <c r="E20" s="20"/>
      <c r="F20" s="70"/>
      <c r="G20" s="70"/>
      <c r="H20" s="70"/>
    </row>
    <row r="21" spans="2:11" ht="83.25" customHeight="1" thickBot="1" x14ac:dyDescent="0.3">
      <c r="B21" s="67"/>
      <c r="C21" s="92" t="s">
        <v>79</v>
      </c>
      <c r="D21" s="92"/>
      <c r="E21" s="93"/>
      <c r="F21" s="70"/>
      <c r="G21" s="70"/>
      <c r="H21" s="70"/>
    </row>
    <row r="22" spans="2:11" x14ac:dyDescent="0.25">
      <c r="B22" s="18" t="s">
        <v>72</v>
      </c>
      <c r="C22" s="19"/>
      <c r="D22" s="19"/>
      <c r="E22" s="20"/>
      <c r="F22" s="70"/>
      <c r="G22" s="70"/>
      <c r="H22" s="70"/>
    </row>
    <row r="23" spans="2:11" ht="82.5" customHeight="1" thickBot="1" x14ac:dyDescent="0.3">
      <c r="B23" s="67"/>
      <c r="C23" s="92" t="s">
        <v>81</v>
      </c>
      <c r="D23" s="92"/>
      <c r="E23" s="93"/>
      <c r="F23" s="70"/>
      <c r="G23" s="70"/>
      <c r="H23" s="70"/>
    </row>
    <row r="24" spans="2:11" x14ac:dyDescent="0.25">
      <c r="B24" s="18" t="s">
        <v>73</v>
      </c>
      <c r="C24" s="19"/>
      <c r="D24" s="19"/>
      <c r="E24" s="20"/>
      <c r="F24" s="70"/>
      <c r="G24" s="70"/>
      <c r="H24" s="70"/>
    </row>
    <row r="25" spans="2:11" ht="86.25" customHeight="1" thickBot="1" x14ac:dyDescent="0.3">
      <c r="B25" s="21"/>
      <c r="C25" s="92" t="s">
        <v>78</v>
      </c>
      <c r="D25" s="92"/>
      <c r="E25" s="93"/>
      <c r="F25" s="70"/>
      <c r="G25" s="70"/>
      <c r="H25" s="70"/>
    </row>
    <row r="26" spans="2:11" x14ac:dyDescent="0.25">
      <c r="B26" s="18" t="s">
        <v>74</v>
      </c>
      <c r="C26" s="19"/>
      <c r="D26" s="19"/>
      <c r="E26" s="20"/>
      <c r="F26" s="70"/>
      <c r="G26" s="70"/>
      <c r="H26" s="70"/>
    </row>
    <row r="27" spans="2:11" ht="82.5" customHeight="1" thickBot="1" x14ac:dyDescent="0.3">
      <c r="B27" s="21"/>
      <c r="C27" s="92" t="s">
        <v>77</v>
      </c>
      <c r="D27" s="92"/>
      <c r="E27" s="93"/>
      <c r="F27" s="70"/>
      <c r="G27" s="70"/>
      <c r="H27" s="70"/>
    </row>
    <row r="28" spans="2:11" x14ac:dyDescent="0.25">
      <c r="B28" s="18" t="s">
        <v>75</v>
      </c>
      <c r="C28" s="19"/>
      <c r="D28" s="19"/>
      <c r="E28" s="20"/>
      <c r="F28" s="70"/>
      <c r="G28" s="70"/>
      <c r="H28" s="70"/>
    </row>
    <row r="29" spans="2:11" ht="95.25" customHeight="1" thickBot="1" x14ac:dyDescent="0.3">
      <c r="B29" s="21"/>
      <c r="C29" s="92" t="s">
        <v>82</v>
      </c>
      <c r="D29" s="92"/>
      <c r="E29" s="93"/>
      <c r="F29" s="70"/>
      <c r="G29" s="70"/>
      <c r="H29" s="70"/>
    </row>
    <row r="30" spans="2:11" x14ac:dyDescent="0.25">
      <c r="B30" s="18" t="s">
        <v>76</v>
      </c>
      <c r="C30" s="19"/>
      <c r="D30" s="19"/>
      <c r="E30" s="20"/>
      <c r="F30" s="70"/>
      <c r="G30" s="70"/>
      <c r="H30" s="70"/>
    </row>
    <row r="31" spans="2:11" ht="99.75" customHeight="1" x14ac:dyDescent="0.25">
      <c r="B31" s="21"/>
      <c r="C31" s="92" t="s">
        <v>83</v>
      </c>
      <c r="D31" s="92"/>
      <c r="E31" s="93"/>
      <c r="F31" s="70"/>
      <c r="G31" s="70"/>
      <c r="H31" s="70"/>
    </row>
    <row r="32" spans="2:11" ht="24.75" customHeight="1" x14ac:dyDescent="0.25">
      <c r="B32" s="24" t="s">
        <v>16</v>
      </c>
      <c r="C32" s="22"/>
      <c r="D32" s="22"/>
      <c r="E32" s="23"/>
    </row>
    <row r="33" spans="1:5" ht="102" customHeight="1" x14ac:dyDescent="0.25">
      <c r="B33" s="25"/>
      <c r="C33" s="90" t="s">
        <v>17</v>
      </c>
      <c r="D33" s="90"/>
      <c r="E33" s="91"/>
    </row>
    <row r="34" spans="1:5" ht="26.25" customHeight="1" x14ac:dyDescent="0.25">
      <c r="B34" s="24" t="s">
        <v>18</v>
      </c>
      <c r="C34" s="22"/>
      <c r="D34" s="22"/>
      <c r="E34" s="23"/>
    </row>
    <row r="35" spans="1:5" x14ac:dyDescent="0.25">
      <c r="B35" s="25"/>
      <c r="C35" s="88" t="s">
        <v>2286</v>
      </c>
      <c r="D35" s="88"/>
      <c r="E35" s="89"/>
    </row>
    <row r="36" spans="1:5" x14ac:dyDescent="0.25">
      <c r="B36" s="24" t="s">
        <v>19</v>
      </c>
      <c r="C36" s="26"/>
      <c r="D36" s="26"/>
      <c r="E36" s="27"/>
    </row>
    <row r="37" spans="1:5" x14ac:dyDescent="0.25">
      <c r="B37" s="25"/>
      <c r="C37" s="88" t="s">
        <v>20</v>
      </c>
      <c r="D37" s="88"/>
      <c r="E37" s="89"/>
    </row>
    <row r="38" spans="1:5" x14ac:dyDescent="0.25">
      <c r="B38" s="24" t="s">
        <v>21</v>
      </c>
      <c r="C38" s="22"/>
      <c r="D38" s="22"/>
      <c r="E38" s="23"/>
    </row>
    <row r="39" spans="1:5" ht="26.25" customHeight="1" x14ac:dyDescent="0.25">
      <c r="B39" s="24"/>
      <c r="C39" s="85"/>
      <c r="D39" s="85"/>
      <c r="E39" s="86"/>
    </row>
    <row r="40" spans="1:5" ht="14.25" thickBot="1" x14ac:dyDescent="0.3">
      <c r="B40" s="28"/>
      <c r="C40" s="29"/>
      <c r="D40" s="29"/>
      <c r="E40" s="30"/>
    </row>
    <row r="41" spans="1:5" ht="26.25" customHeight="1" x14ac:dyDescent="0.25"/>
    <row r="43" spans="1:5" ht="23.25" customHeight="1" x14ac:dyDescent="0.25"/>
    <row r="45" spans="1:5" s="66" customFormat="1" ht="14.25" customHeight="1" x14ac:dyDescent="0.25">
      <c r="A45" s="65"/>
      <c r="B45" s="65"/>
      <c r="C45" s="65"/>
      <c r="D45" s="65"/>
    </row>
    <row r="46" spans="1:5" s="66" customFormat="1" ht="14.25" customHeight="1" x14ac:dyDescent="0.25">
      <c r="A46" s="65"/>
      <c r="B46" s="65"/>
      <c r="C46" s="65"/>
      <c r="D46" s="65"/>
    </row>
    <row r="47" spans="1:5" s="66" customFormat="1" ht="14.25" customHeight="1" x14ac:dyDescent="0.25">
      <c r="A47" s="65"/>
      <c r="B47" s="65"/>
      <c r="C47" s="65"/>
      <c r="D47" s="65"/>
    </row>
    <row r="49" ht="39" customHeight="1" x14ac:dyDescent="0.25"/>
  </sheetData>
  <mergeCells count="18">
    <mergeCell ref="B2:H2"/>
    <mergeCell ref="A3:B3"/>
    <mergeCell ref="C3:E3"/>
    <mergeCell ref="A4:B4"/>
    <mergeCell ref="C4:E4"/>
    <mergeCell ref="C39:E39"/>
    <mergeCell ref="A5:B5"/>
    <mergeCell ref="A6:B6"/>
    <mergeCell ref="C37:E37"/>
    <mergeCell ref="C33:E33"/>
    <mergeCell ref="C35:E35"/>
    <mergeCell ref="C19:E19"/>
    <mergeCell ref="C21:E21"/>
    <mergeCell ref="C23:E23"/>
    <mergeCell ref="C25:E25"/>
    <mergeCell ref="C27:E27"/>
    <mergeCell ref="C29:E29"/>
    <mergeCell ref="C31:E31"/>
  </mergeCells>
  <pageMargins left="0.44270833333333331" right="0.41666666666666669" top="0.75" bottom="0.75" header="0.51180555555555496" footer="0.51180555555555496"/>
  <pageSetup paperSize="190" scale="78" firstPageNumber="0" orientation="landscape" horizontalDpi="300" verticalDpi="300" r:id="rId1"/>
  <rowBreaks count="1" manualBreakCount="1">
    <brk id="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27"/>
  <sheetViews>
    <sheetView topLeftCell="A316" workbookViewId="0">
      <selection activeCell="D17" sqref="D17"/>
    </sheetView>
  </sheetViews>
  <sheetFormatPr baseColWidth="10" defaultRowHeight="15" x14ac:dyDescent="0.25"/>
  <cols>
    <col min="1" max="1" width="7.7109375" style="84" customWidth="1"/>
    <col min="2" max="2" width="22.7109375" style="84" customWidth="1"/>
    <col min="3" max="3" width="14.28515625" style="84" customWidth="1"/>
    <col min="4" max="4" width="19.7109375" style="84" customWidth="1"/>
    <col min="5" max="5" width="27.7109375" style="84" customWidth="1"/>
    <col min="6" max="6" width="11.42578125" style="84"/>
    <col min="7" max="7" width="20.85546875" style="84" customWidth="1"/>
    <col min="8" max="8" width="28.140625" style="84" customWidth="1"/>
    <col min="9" max="12" width="11.42578125" style="83"/>
    <col min="13" max="13" width="27.42578125" style="83" customWidth="1"/>
    <col min="14" max="14" width="19" style="83" customWidth="1"/>
    <col min="15" max="19" width="11.42578125" style="83"/>
    <col min="20" max="16384" width="11.42578125" style="84"/>
  </cols>
  <sheetData>
    <row r="1" spans="1:19" s="80" customFormat="1" x14ac:dyDescent="0.25">
      <c r="A1" s="78" t="s">
        <v>88</v>
      </c>
      <c r="B1" s="78" t="s">
        <v>89</v>
      </c>
      <c r="C1" s="78" t="s">
        <v>90</v>
      </c>
      <c r="D1" s="78" t="s">
        <v>91</v>
      </c>
      <c r="E1" s="78" t="s">
        <v>92</v>
      </c>
      <c r="F1" s="78" t="s">
        <v>93</v>
      </c>
      <c r="G1" s="78" t="s">
        <v>94</v>
      </c>
      <c r="H1" s="78" t="s">
        <v>95</v>
      </c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</row>
    <row r="2" spans="1:19" x14ac:dyDescent="0.25">
      <c r="A2" s="81" t="s">
        <v>96</v>
      </c>
      <c r="B2" s="82" t="s">
        <v>97</v>
      </c>
      <c r="C2" s="82" t="s">
        <v>98</v>
      </c>
      <c r="D2" s="82" t="s">
        <v>99</v>
      </c>
      <c r="E2" s="82" t="s">
        <v>99</v>
      </c>
      <c r="F2" s="82">
        <v>2014</v>
      </c>
      <c r="G2" s="82" t="s">
        <v>100</v>
      </c>
      <c r="H2" s="82" t="s">
        <v>101</v>
      </c>
    </row>
    <row r="3" spans="1:19" x14ac:dyDescent="0.25">
      <c r="A3" s="81" t="s">
        <v>102</v>
      </c>
      <c r="B3" s="82" t="s">
        <v>103</v>
      </c>
      <c r="C3" s="82" t="s">
        <v>104</v>
      </c>
      <c r="D3" s="82" t="s">
        <v>105</v>
      </c>
      <c r="E3" s="82" t="s">
        <v>106</v>
      </c>
      <c r="F3" s="82">
        <v>2015</v>
      </c>
      <c r="G3" s="82" t="s">
        <v>107</v>
      </c>
      <c r="H3" s="82" t="s">
        <v>108</v>
      </c>
    </row>
    <row r="4" spans="1:19" x14ac:dyDescent="0.25">
      <c r="A4" s="81" t="s">
        <v>109</v>
      </c>
      <c r="B4" s="82" t="s">
        <v>103</v>
      </c>
      <c r="C4" s="82" t="s">
        <v>110</v>
      </c>
      <c r="D4" s="82" t="s">
        <v>105</v>
      </c>
      <c r="E4" s="82" t="s">
        <v>106</v>
      </c>
      <c r="F4" s="82">
        <v>2015</v>
      </c>
      <c r="G4" s="82" t="s">
        <v>111</v>
      </c>
      <c r="H4" s="82" t="s">
        <v>112</v>
      </c>
    </row>
    <row r="5" spans="1:19" x14ac:dyDescent="0.25">
      <c r="A5" s="81" t="s">
        <v>113</v>
      </c>
      <c r="B5" s="82" t="s">
        <v>103</v>
      </c>
      <c r="C5" s="82" t="s">
        <v>114</v>
      </c>
      <c r="D5" s="82" t="s">
        <v>105</v>
      </c>
      <c r="E5" s="82" t="s">
        <v>115</v>
      </c>
      <c r="F5" s="82">
        <v>2012</v>
      </c>
      <c r="G5" s="82"/>
      <c r="H5" s="82"/>
    </row>
    <row r="6" spans="1:19" x14ac:dyDescent="0.25">
      <c r="A6" s="81" t="s">
        <v>116</v>
      </c>
      <c r="B6" s="82" t="s">
        <v>103</v>
      </c>
      <c r="C6" s="82" t="s">
        <v>117</v>
      </c>
      <c r="D6" s="82" t="s">
        <v>118</v>
      </c>
      <c r="E6" s="82" t="s">
        <v>119</v>
      </c>
      <c r="F6" s="82">
        <v>2017</v>
      </c>
      <c r="G6" s="82" t="s">
        <v>120</v>
      </c>
      <c r="H6" s="82" t="s">
        <v>121</v>
      </c>
    </row>
    <row r="7" spans="1:19" x14ac:dyDescent="0.25">
      <c r="A7" s="81" t="s">
        <v>122</v>
      </c>
      <c r="B7" s="82" t="s">
        <v>103</v>
      </c>
      <c r="C7" s="82" t="s">
        <v>123</v>
      </c>
      <c r="D7" s="82" t="s">
        <v>105</v>
      </c>
      <c r="E7" s="82" t="s">
        <v>124</v>
      </c>
      <c r="F7" s="82">
        <v>2014</v>
      </c>
      <c r="G7" s="82" t="s">
        <v>125</v>
      </c>
      <c r="H7" s="82" t="s">
        <v>126</v>
      </c>
    </row>
    <row r="8" spans="1:19" x14ac:dyDescent="0.25">
      <c r="A8" s="81" t="s">
        <v>127</v>
      </c>
      <c r="B8" s="82" t="s">
        <v>103</v>
      </c>
      <c r="C8" s="82" t="s">
        <v>128</v>
      </c>
      <c r="D8" s="82" t="s">
        <v>129</v>
      </c>
      <c r="E8" s="82" t="s">
        <v>130</v>
      </c>
      <c r="F8" s="82">
        <v>2015</v>
      </c>
      <c r="G8" s="82" t="s">
        <v>131</v>
      </c>
      <c r="H8" s="82" t="s">
        <v>132</v>
      </c>
    </row>
    <row r="9" spans="1:19" x14ac:dyDescent="0.25">
      <c r="A9" s="81" t="s">
        <v>133</v>
      </c>
      <c r="B9" s="82" t="s">
        <v>103</v>
      </c>
      <c r="C9" s="82" t="s">
        <v>134</v>
      </c>
      <c r="D9" s="82" t="s">
        <v>118</v>
      </c>
      <c r="E9" s="82" t="s">
        <v>119</v>
      </c>
      <c r="F9" s="82">
        <v>2015</v>
      </c>
      <c r="G9" s="82" t="s">
        <v>135</v>
      </c>
      <c r="H9" s="82" t="s">
        <v>136</v>
      </c>
    </row>
    <row r="10" spans="1:19" x14ac:dyDescent="0.25">
      <c r="A10" s="81" t="s">
        <v>137</v>
      </c>
      <c r="B10" s="82" t="s">
        <v>103</v>
      </c>
      <c r="C10" s="82" t="s">
        <v>138</v>
      </c>
      <c r="D10" s="82" t="s">
        <v>118</v>
      </c>
      <c r="E10" s="82" t="s">
        <v>119</v>
      </c>
      <c r="F10" s="82">
        <v>2015</v>
      </c>
      <c r="G10" s="82" t="s">
        <v>139</v>
      </c>
      <c r="H10" s="82" t="s">
        <v>140</v>
      </c>
    </row>
    <row r="11" spans="1:19" x14ac:dyDescent="0.25">
      <c r="A11" s="81" t="s">
        <v>141</v>
      </c>
      <c r="B11" s="82" t="s">
        <v>103</v>
      </c>
      <c r="C11" s="82" t="s">
        <v>142</v>
      </c>
      <c r="D11" s="82" t="s">
        <v>118</v>
      </c>
      <c r="E11" s="82" t="s">
        <v>119</v>
      </c>
      <c r="F11" s="82">
        <v>2015</v>
      </c>
      <c r="G11" s="82" t="s">
        <v>143</v>
      </c>
      <c r="H11" s="82" t="s">
        <v>144</v>
      </c>
    </row>
    <row r="12" spans="1:19" x14ac:dyDescent="0.25">
      <c r="A12" s="81" t="s">
        <v>145</v>
      </c>
      <c r="B12" s="82" t="s">
        <v>103</v>
      </c>
      <c r="C12" s="82" t="s">
        <v>146</v>
      </c>
      <c r="D12" s="82" t="s">
        <v>118</v>
      </c>
      <c r="E12" s="82" t="s">
        <v>119</v>
      </c>
      <c r="F12" s="82">
        <v>2015</v>
      </c>
      <c r="G12" s="82" t="s">
        <v>147</v>
      </c>
      <c r="H12" s="82" t="s">
        <v>148</v>
      </c>
    </row>
    <row r="13" spans="1:19" x14ac:dyDescent="0.25">
      <c r="A13" s="81" t="s">
        <v>149</v>
      </c>
      <c r="B13" s="82" t="s">
        <v>103</v>
      </c>
      <c r="C13" s="82" t="s">
        <v>150</v>
      </c>
      <c r="D13" s="82" t="s">
        <v>118</v>
      </c>
      <c r="E13" s="82" t="s">
        <v>119</v>
      </c>
      <c r="F13" s="82">
        <v>2015</v>
      </c>
      <c r="G13" s="82" t="s">
        <v>151</v>
      </c>
      <c r="H13" s="82" t="s">
        <v>152</v>
      </c>
    </row>
    <row r="14" spans="1:19" x14ac:dyDescent="0.25">
      <c r="A14" s="81" t="s">
        <v>153</v>
      </c>
      <c r="B14" s="82" t="s">
        <v>103</v>
      </c>
      <c r="C14" s="82" t="s">
        <v>154</v>
      </c>
      <c r="D14" s="82" t="s">
        <v>118</v>
      </c>
      <c r="E14" s="82" t="s">
        <v>119</v>
      </c>
      <c r="F14" s="82">
        <v>2015</v>
      </c>
      <c r="G14" s="82" t="s">
        <v>155</v>
      </c>
      <c r="H14" s="82" t="s">
        <v>156</v>
      </c>
    </row>
    <row r="15" spans="1:19" x14ac:dyDescent="0.25">
      <c r="A15" s="81" t="s">
        <v>157</v>
      </c>
      <c r="B15" s="82" t="s">
        <v>103</v>
      </c>
      <c r="C15" s="82" t="s">
        <v>158</v>
      </c>
      <c r="D15" s="82" t="s">
        <v>118</v>
      </c>
      <c r="E15" s="82" t="s">
        <v>119</v>
      </c>
      <c r="F15" s="82">
        <v>2015</v>
      </c>
      <c r="G15" s="82" t="s">
        <v>159</v>
      </c>
      <c r="H15" s="82" t="s">
        <v>160</v>
      </c>
    </row>
    <row r="16" spans="1:19" x14ac:dyDescent="0.25">
      <c r="A16" s="81" t="s">
        <v>161</v>
      </c>
      <c r="B16" s="82" t="s">
        <v>103</v>
      </c>
      <c r="C16" s="82" t="s">
        <v>162</v>
      </c>
      <c r="D16" s="82" t="s">
        <v>163</v>
      </c>
      <c r="E16" s="82" t="s">
        <v>164</v>
      </c>
      <c r="F16" s="82">
        <v>2017</v>
      </c>
      <c r="G16" s="82" t="s">
        <v>165</v>
      </c>
      <c r="H16" s="82" t="s">
        <v>166</v>
      </c>
    </row>
    <row r="17" spans="1:17" s="84" customFormat="1" x14ac:dyDescent="0.25">
      <c r="A17" s="81" t="s">
        <v>167</v>
      </c>
      <c r="B17" s="82" t="s">
        <v>103</v>
      </c>
      <c r="C17" s="82" t="s">
        <v>168</v>
      </c>
      <c r="D17" s="82" t="s">
        <v>163</v>
      </c>
      <c r="E17" s="82" t="s">
        <v>169</v>
      </c>
      <c r="F17" s="82">
        <v>2019</v>
      </c>
      <c r="G17" s="82" t="s">
        <v>170</v>
      </c>
      <c r="H17" s="82" t="s">
        <v>171</v>
      </c>
      <c r="I17" s="83"/>
      <c r="J17" s="83"/>
      <c r="K17" s="83"/>
      <c r="L17" s="83"/>
      <c r="M17" s="83"/>
      <c r="N17" s="83"/>
      <c r="O17" s="83"/>
      <c r="P17" s="83"/>
      <c r="Q17" s="83"/>
    </row>
    <row r="18" spans="1:17" s="84" customFormat="1" x14ac:dyDescent="0.25">
      <c r="A18" s="81" t="s">
        <v>172</v>
      </c>
      <c r="B18" s="82" t="s">
        <v>103</v>
      </c>
      <c r="C18" s="82" t="s">
        <v>173</v>
      </c>
      <c r="D18" s="82" t="s">
        <v>174</v>
      </c>
      <c r="E18" s="82" t="s">
        <v>175</v>
      </c>
      <c r="F18" s="82">
        <v>2020</v>
      </c>
      <c r="G18" s="82" t="s">
        <v>176</v>
      </c>
      <c r="H18" s="82" t="s">
        <v>177</v>
      </c>
      <c r="I18" s="83"/>
      <c r="J18" s="83"/>
      <c r="K18" s="83"/>
      <c r="L18" s="83"/>
      <c r="M18" s="83"/>
      <c r="N18" s="83"/>
      <c r="O18" s="83"/>
      <c r="P18" s="83"/>
      <c r="Q18" s="83"/>
    </row>
    <row r="19" spans="1:17" s="84" customFormat="1" x14ac:dyDescent="0.25">
      <c r="A19" s="81" t="s">
        <v>178</v>
      </c>
      <c r="B19" s="82" t="s">
        <v>103</v>
      </c>
      <c r="C19" s="82" t="s">
        <v>179</v>
      </c>
      <c r="D19" s="82" t="s">
        <v>129</v>
      </c>
      <c r="E19" s="82" t="s">
        <v>180</v>
      </c>
      <c r="F19" s="82">
        <v>2005</v>
      </c>
      <c r="G19" s="82" t="s">
        <v>181</v>
      </c>
      <c r="H19" s="82" t="s">
        <v>182</v>
      </c>
      <c r="I19" s="83"/>
      <c r="J19" s="83"/>
      <c r="K19" s="83"/>
      <c r="L19" s="83"/>
      <c r="M19" s="83"/>
      <c r="N19" s="83"/>
      <c r="O19" s="83"/>
      <c r="P19" s="83"/>
      <c r="Q19" s="83"/>
    </row>
    <row r="20" spans="1:17" s="84" customFormat="1" x14ac:dyDescent="0.25">
      <c r="A20" s="81" t="s">
        <v>183</v>
      </c>
      <c r="B20" s="82" t="s">
        <v>103</v>
      </c>
      <c r="C20" s="82" t="s">
        <v>184</v>
      </c>
      <c r="D20" s="82" t="s">
        <v>163</v>
      </c>
      <c r="E20" s="82" t="s">
        <v>185</v>
      </c>
      <c r="F20" s="82">
        <v>2008</v>
      </c>
      <c r="G20" s="82" t="s">
        <v>186</v>
      </c>
      <c r="H20" s="82" t="s">
        <v>187</v>
      </c>
      <c r="I20" s="83"/>
      <c r="J20" s="83"/>
      <c r="K20" s="83"/>
      <c r="L20" s="83"/>
      <c r="M20" s="83"/>
      <c r="N20" s="83"/>
      <c r="O20" s="83"/>
      <c r="P20" s="83"/>
      <c r="Q20" s="83"/>
    </row>
    <row r="21" spans="1:17" s="84" customFormat="1" x14ac:dyDescent="0.25">
      <c r="A21" s="81" t="s">
        <v>188</v>
      </c>
      <c r="B21" s="82" t="s">
        <v>103</v>
      </c>
      <c r="C21" s="82" t="s">
        <v>189</v>
      </c>
      <c r="D21" s="82" t="s">
        <v>174</v>
      </c>
      <c r="E21" s="82" t="s">
        <v>190</v>
      </c>
      <c r="F21" s="82">
        <v>2008</v>
      </c>
      <c r="G21" s="82" t="s">
        <v>191</v>
      </c>
      <c r="H21" s="82" t="s">
        <v>192</v>
      </c>
      <c r="I21" s="83"/>
      <c r="J21" s="83"/>
      <c r="K21" s="83"/>
      <c r="L21" s="83"/>
      <c r="M21" s="83"/>
      <c r="N21" s="83"/>
      <c r="O21" s="83"/>
      <c r="P21" s="83"/>
      <c r="Q21" s="83"/>
    </row>
    <row r="22" spans="1:17" s="84" customFormat="1" x14ac:dyDescent="0.25">
      <c r="A22" s="81" t="s">
        <v>193</v>
      </c>
      <c r="B22" s="82" t="s">
        <v>103</v>
      </c>
      <c r="C22" s="82" t="s">
        <v>194</v>
      </c>
      <c r="D22" s="82" t="s">
        <v>129</v>
      </c>
      <c r="E22" s="82" t="s">
        <v>195</v>
      </c>
      <c r="F22" s="82">
        <v>2008</v>
      </c>
      <c r="G22" s="82" t="s">
        <v>196</v>
      </c>
      <c r="H22" s="82" t="s">
        <v>197</v>
      </c>
      <c r="I22" s="83"/>
      <c r="J22" s="83"/>
      <c r="K22" s="83"/>
      <c r="L22" s="83"/>
      <c r="M22" s="83"/>
      <c r="N22" s="83"/>
      <c r="O22" s="83"/>
      <c r="P22" s="83"/>
      <c r="Q22" s="83"/>
    </row>
    <row r="23" spans="1:17" s="84" customFormat="1" x14ac:dyDescent="0.25">
      <c r="A23" s="81" t="s">
        <v>198</v>
      </c>
      <c r="B23" s="82" t="s">
        <v>103</v>
      </c>
      <c r="C23" s="82" t="s">
        <v>199</v>
      </c>
      <c r="D23" s="82" t="s">
        <v>105</v>
      </c>
      <c r="E23" s="82" t="s">
        <v>124</v>
      </c>
      <c r="F23" s="82">
        <v>2011</v>
      </c>
      <c r="G23" s="82" t="s">
        <v>200</v>
      </c>
      <c r="H23" s="82" t="s">
        <v>201</v>
      </c>
      <c r="I23" s="83"/>
      <c r="J23" s="83"/>
      <c r="K23" s="83"/>
      <c r="L23" s="83"/>
      <c r="M23" s="83"/>
      <c r="N23" s="83"/>
      <c r="O23" s="83"/>
      <c r="P23" s="83"/>
      <c r="Q23" s="83"/>
    </row>
    <row r="24" spans="1:17" s="84" customFormat="1" x14ac:dyDescent="0.25">
      <c r="A24" s="81" t="s">
        <v>202</v>
      </c>
      <c r="B24" s="82" t="s">
        <v>103</v>
      </c>
      <c r="C24" s="82" t="s">
        <v>203</v>
      </c>
      <c r="D24" s="82" t="s">
        <v>118</v>
      </c>
      <c r="E24" s="82" t="s">
        <v>204</v>
      </c>
      <c r="F24" s="82">
        <v>2012</v>
      </c>
      <c r="G24" s="82" t="s">
        <v>205</v>
      </c>
      <c r="H24" s="82" t="s">
        <v>206</v>
      </c>
      <c r="I24" s="83"/>
      <c r="J24" s="83"/>
      <c r="K24" s="83"/>
      <c r="L24" s="83"/>
      <c r="M24" s="83"/>
      <c r="N24" s="83"/>
      <c r="O24" s="83"/>
      <c r="P24" s="83"/>
      <c r="Q24" s="83"/>
    </row>
    <row r="25" spans="1:17" s="84" customFormat="1" x14ac:dyDescent="0.25">
      <c r="A25" s="81" t="s">
        <v>207</v>
      </c>
      <c r="B25" s="82" t="s">
        <v>103</v>
      </c>
      <c r="C25" s="82" t="s">
        <v>208</v>
      </c>
      <c r="D25" s="82" t="s">
        <v>163</v>
      </c>
      <c r="E25" s="82" t="s">
        <v>209</v>
      </c>
      <c r="F25" s="82">
        <v>2013</v>
      </c>
      <c r="G25" s="82" t="s">
        <v>210</v>
      </c>
      <c r="H25" s="82" t="s">
        <v>211</v>
      </c>
      <c r="I25" s="83"/>
      <c r="J25" s="83"/>
      <c r="K25" s="83"/>
      <c r="L25" s="83"/>
      <c r="M25" s="83"/>
      <c r="N25" s="83"/>
      <c r="O25" s="83"/>
      <c r="P25" s="83"/>
      <c r="Q25" s="83"/>
    </row>
    <row r="26" spans="1:17" s="84" customFormat="1" x14ac:dyDescent="0.25">
      <c r="A26" s="81" t="s">
        <v>212</v>
      </c>
      <c r="B26" s="82" t="s">
        <v>103</v>
      </c>
      <c r="C26" s="82" t="s">
        <v>213</v>
      </c>
      <c r="D26" s="82" t="s">
        <v>163</v>
      </c>
      <c r="E26" s="82" t="s">
        <v>214</v>
      </c>
      <c r="F26" s="82">
        <v>2013</v>
      </c>
      <c r="G26" s="82" t="s">
        <v>215</v>
      </c>
      <c r="H26" s="82" t="s">
        <v>216</v>
      </c>
      <c r="I26" s="83"/>
      <c r="J26" s="83"/>
      <c r="K26" s="83"/>
      <c r="L26" s="83"/>
      <c r="M26" s="83"/>
      <c r="N26" s="83"/>
      <c r="O26" s="83"/>
      <c r="P26" s="83"/>
      <c r="Q26" s="83"/>
    </row>
    <row r="27" spans="1:17" s="84" customFormat="1" x14ac:dyDescent="0.25">
      <c r="A27" s="81" t="s">
        <v>217</v>
      </c>
      <c r="B27" s="82" t="s">
        <v>103</v>
      </c>
      <c r="C27" s="82" t="s">
        <v>218</v>
      </c>
      <c r="D27" s="82" t="s">
        <v>163</v>
      </c>
      <c r="E27" s="82" t="s">
        <v>219</v>
      </c>
      <c r="F27" s="82">
        <v>2013</v>
      </c>
      <c r="G27" s="82" t="s">
        <v>220</v>
      </c>
      <c r="H27" s="82" t="s">
        <v>221</v>
      </c>
      <c r="I27" s="83"/>
      <c r="J27" s="83"/>
      <c r="K27" s="83"/>
      <c r="L27" s="83"/>
      <c r="M27" s="83"/>
      <c r="N27" s="83"/>
      <c r="O27" s="83"/>
      <c r="P27" s="83"/>
      <c r="Q27" s="83"/>
    </row>
    <row r="28" spans="1:17" s="84" customFormat="1" x14ac:dyDescent="0.25">
      <c r="A28" s="81" t="s">
        <v>222</v>
      </c>
      <c r="B28" s="82" t="s">
        <v>103</v>
      </c>
      <c r="C28" s="82" t="s">
        <v>223</v>
      </c>
      <c r="D28" s="82" t="s">
        <v>163</v>
      </c>
      <c r="E28" s="82" t="s">
        <v>219</v>
      </c>
      <c r="F28" s="82">
        <v>2013</v>
      </c>
      <c r="G28" s="82" t="s">
        <v>224</v>
      </c>
      <c r="H28" s="82" t="s">
        <v>225</v>
      </c>
      <c r="I28" s="83"/>
      <c r="J28" s="83"/>
      <c r="K28" s="83"/>
      <c r="L28" s="83"/>
      <c r="M28" s="83"/>
      <c r="N28" s="83"/>
      <c r="O28" s="83"/>
      <c r="P28" s="83"/>
      <c r="Q28" s="83"/>
    </row>
    <row r="29" spans="1:17" s="84" customFormat="1" x14ac:dyDescent="0.25">
      <c r="A29" s="81" t="s">
        <v>226</v>
      </c>
      <c r="B29" s="82" t="s">
        <v>103</v>
      </c>
      <c r="C29" s="82" t="s">
        <v>227</v>
      </c>
      <c r="D29" s="82" t="s">
        <v>163</v>
      </c>
      <c r="E29" s="82" t="s">
        <v>219</v>
      </c>
      <c r="F29" s="82">
        <v>2013</v>
      </c>
      <c r="G29" s="82" t="s">
        <v>228</v>
      </c>
      <c r="H29" s="82" t="s">
        <v>229</v>
      </c>
      <c r="I29" s="83"/>
      <c r="J29" s="83"/>
      <c r="K29" s="83"/>
      <c r="L29" s="83"/>
      <c r="M29" s="83"/>
      <c r="N29" s="83"/>
      <c r="O29" s="83"/>
      <c r="P29" s="83"/>
      <c r="Q29" s="83"/>
    </row>
    <row r="30" spans="1:17" s="84" customFormat="1" x14ac:dyDescent="0.25">
      <c r="A30" s="81" t="s">
        <v>230</v>
      </c>
      <c r="B30" s="82" t="s">
        <v>103</v>
      </c>
      <c r="C30" s="82" t="s">
        <v>231</v>
      </c>
      <c r="D30" s="82" t="s">
        <v>118</v>
      </c>
      <c r="E30" s="82" t="s">
        <v>204</v>
      </c>
      <c r="F30" s="82">
        <v>2013</v>
      </c>
      <c r="G30" s="82" t="s">
        <v>232</v>
      </c>
      <c r="H30" s="82" t="s">
        <v>233</v>
      </c>
      <c r="I30" s="83"/>
      <c r="J30" s="83"/>
      <c r="K30" s="83"/>
      <c r="L30" s="83"/>
      <c r="M30" s="83"/>
      <c r="N30" s="83"/>
      <c r="O30" s="83"/>
      <c r="P30" s="83"/>
      <c r="Q30" s="83"/>
    </row>
    <row r="31" spans="1:17" s="84" customFormat="1" x14ac:dyDescent="0.25">
      <c r="A31" s="81" t="s">
        <v>234</v>
      </c>
      <c r="B31" s="82" t="s">
        <v>103</v>
      </c>
      <c r="C31" s="82" t="s">
        <v>235</v>
      </c>
      <c r="D31" s="82" t="s">
        <v>129</v>
      </c>
      <c r="E31" s="82" t="s">
        <v>236</v>
      </c>
      <c r="F31" s="82">
        <v>2013</v>
      </c>
      <c r="G31" s="82" t="s">
        <v>237</v>
      </c>
      <c r="H31" s="82" t="s">
        <v>238</v>
      </c>
      <c r="I31" s="83"/>
      <c r="J31" s="83"/>
      <c r="K31" s="83"/>
      <c r="L31" s="83"/>
      <c r="M31" s="83"/>
      <c r="N31" s="83"/>
      <c r="O31" s="83"/>
      <c r="P31" s="83"/>
      <c r="Q31" s="83"/>
    </row>
    <row r="32" spans="1:17" s="84" customFormat="1" x14ac:dyDescent="0.25">
      <c r="A32" s="81" t="s">
        <v>239</v>
      </c>
      <c r="B32" s="82" t="s">
        <v>240</v>
      </c>
      <c r="C32" s="82" t="s">
        <v>241</v>
      </c>
      <c r="D32" s="82" t="s">
        <v>242</v>
      </c>
      <c r="E32" s="82" t="s">
        <v>243</v>
      </c>
      <c r="F32" s="82">
        <v>2009</v>
      </c>
      <c r="G32" s="82" t="s">
        <v>244</v>
      </c>
      <c r="H32" s="82" t="s">
        <v>245</v>
      </c>
      <c r="I32" s="83"/>
      <c r="J32" s="83"/>
      <c r="K32" s="83"/>
      <c r="L32" s="83"/>
      <c r="M32" s="83"/>
      <c r="N32" s="83"/>
      <c r="O32" s="83"/>
      <c r="P32" s="83"/>
      <c r="Q32" s="83"/>
    </row>
    <row r="33" spans="1:17" s="84" customFormat="1" x14ac:dyDescent="0.25">
      <c r="A33" s="81" t="s">
        <v>246</v>
      </c>
      <c r="B33" s="82" t="s">
        <v>247</v>
      </c>
      <c r="C33" s="82" t="s">
        <v>248</v>
      </c>
      <c r="D33" s="82" t="s">
        <v>242</v>
      </c>
      <c r="E33" s="82" t="s">
        <v>249</v>
      </c>
      <c r="F33" s="82">
        <v>2018</v>
      </c>
      <c r="G33" s="82" t="s">
        <v>250</v>
      </c>
      <c r="H33" s="82" t="s">
        <v>251</v>
      </c>
      <c r="I33" s="83"/>
      <c r="J33" s="83"/>
      <c r="K33" s="83"/>
      <c r="L33" s="83"/>
      <c r="M33" s="83"/>
      <c r="N33" s="83"/>
      <c r="O33" s="83"/>
      <c r="P33" s="83"/>
      <c r="Q33" s="83"/>
    </row>
    <row r="34" spans="1:17" s="84" customFormat="1" x14ac:dyDescent="0.25">
      <c r="A34" s="81" t="s">
        <v>252</v>
      </c>
      <c r="B34" s="82" t="s">
        <v>253</v>
      </c>
      <c r="C34" s="82" t="s">
        <v>254</v>
      </c>
      <c r="D34" s="82" t="s">
        <v>129</v>
      </c>
      <c r="E34" s="82"/>
      <c r="F34" s="82">
        <v>2009</v>
      </c>
      <c r="G34" s="82" t="s">
        <v>255</v>
      </c>
      <c r="H34" s="82" t="s">
        <v>256</v>
      </c>
      <c r="I34" s="83"/>
      <c r="J34" s="83"/>
      <c r="K34" s="83"/>
      <c r="L34" s="83"/>
      <c r="M34" s="83"/>
      <c r="N34" s="83"/>
      <c r="O34" s="83"/>
      <c r="P34" s="83"/>
      <c r="Q34" s="83"/>
    </row>
    <row r="35" spans="1:17" s="84" customFormat="1" x14ac:dyDescent="0.25">
      <c r="A35" s="81" t="s">
        <v>257</v>
      </c>
      <c r="B35" s="82" t="s">
        <v>258</v>
      </c>
      <c r="C35" s="82" t="s">
        <v>259</v>
      </c>
      <c r="D35" s="82" t="s">
        <v>242</v>
      </c>
      <c r="E35" s="82" t="s">
        <v>260</v>
      </c>
      <c r="F35" s="82">
        <v>2009</v>
      </c>
      <c r="G35" s="82" t="s">
        <v>261</v>
      </c>
      <c r="H35" s="82" t="s">
        <v>262</v>
      </c>
      <c r="I35" s="83"/>
      <c r="J35" s="83"/>
      <c r="K35" s="83"/>
      <c r="L35" s="83"/>
      <c r="M35" s="83"/>
      <c r="N35" s="83"/>
      <c r="O35" s="83"/>
      <c r="P35" s="83"/>
      <c r="Q35" s="83"/>
    </row>
    <row r="36" spans="1:17" s="84" customFormat="1" x14ac:dyDescent="0.25">
      <c r="A36" s="81" t="s">
        <v>263</v>
      </c>
      <c r="B36" s="82" t="s">
        <v>264</v>
      </c>
      <c r="C36" s="82" t="s">
        <v>265</v>
      </c>
      <c r="D36" s="82" t="s">
        <v>266</v>
      </c>
      <c r="E36" s="82" t="s">
        <v>267</v>
      </c>
      <c r="F36" s="82">
        <v>2007</v>
      </c>
      <c r="G36" s="82" t="s">
        <v>268</v>
      </c>
      <c r="H36" s="82" t="s">
        <v>269</v>
      </c>
      <c r="I36" s="83"/>
      <c r="J36" s="83"/>
      <c r="K36" s="83"/>
      <c r="L36" s="83"/>
      <c r="M36" s="83"/>
      <c r="N36" s="83"/>
      <c r="O36" s="83"/>
      <c r="P36" s="83"/>
      <c r="Q36" s="83"/>
    </row>
    <row r="37" spans="1:17" s="84" customFormat="1" x14ac:dyDescent="0.25">
      <c r="A37" s="81" t="s">
        <v>270</v>
      </c>
      <c r="B37" s="82" t="s">
        <v>264</v>
      </c>
      <c r="C37" s="82" t="s">
        <v>271</v>
      </c>
      <c r="D37" s="82" t="s">
        <v>266</v>
      </c>
      <c r="E37" s="82" t="s">
        <v>272</v>
      </c>
      <c r="F37" s="82">
        <v>1980</v>
      </c>
      <c r="G37" s="82" t="s">
        <v>273</v>
      </c>
      <c r="H37" s="82" t="s">
        <v>274</v>
      </c>
      <c r="I37" s="83"/>
      <c r="J37" s="83"/>
      <c r="K37" s="83"/>
      <c r="L37" s="83"/>
      <c r="M37" s="83"/>
      <c r="N37" s="83"/>
      <c r="O37" s="83"/>
      <c r="P37" s="83"/>
      <c r="Q37" s="83"/>
    </row>
    <row r="38" spans="1:17" s="84" customFormat="1" x14ac:dyDescent="0.25">
      <c r="A38" s="81" t="s">
        <v>275</v>
      </c>
      <c r="B38" s="82" t="s">
        <v>276</v>
      </c>
      <c r="C38" s="82" t="s">
        <v>277</v>
      </c>
      <c r="D38" s="82" t="s">
        <v>129</v>
      </c>
      <c r="E38" s="82"/>
      <c r="F38" s="82">
        <v>2009</v>
      </c>
      <c r="G38" s="82" t="s">
        <v>278</v>
      </c>
      <c r="H38" s="82" t="s">
        <v>279</v>
      </c>
      <c r="I38" s="83"/>
      <c r="J38" s="83"/>
      <c r="K38" s="83"/>
      <c r="L38" s="83"/>
      <c r="M38" s="83"/>
      <c r="N38" s="83"/>
      <c r="O38" s="83"/>
      <c r="P38" s="83"/>
      <c r="Q38" s="83"/>
    </row>
    <row r="39" spans="1:17" s="84" customFormat="1" x14ac:dyDescent="0.25">
      <c r="A39" s="81" t="s">
        <v>280</v>
      </c>
      <c r="B39" s="82" t="s">
        <v>281</v>
      </c>
      <c r="C39" s="82" t="s">
        <v>282</v>
      </c>
      <c r="D39" s="82" t="s">
        <v>129</v>
      </c>
      <c r="E39" s="82"/>
      <c r="F39" s="82">
        <v>2009</v>
      </c>
      <c r="G39" s="82" t="s">
        <v>283</v>
      </c>
      <c r="H39" s="82" t="s">
        <v>284</v>
      </c>
      <c r="I39" s="83"/>
      <c r="J39" s="83"/>
      <c r="K39" s="83"/>
      <c r="L39" s="83"/>
      <c r="M39" s="83"/>
      <c r="N39" s="83"/>
      <c r="O39" s="83"/>
      <c r="P39" s="83"/>
      <c r="Q39" s="83"/>
    </row>
    <row r="40" spans="1:17" s="84" customFormat="1" x14ac:dyDescent="0.25">
      <c r="A40" s="81" t="s">
        <v>285</v>
      </c>
      <c r="B40" s="82" t="s">
        <v>286</v>
      </c>
      <c r="C40" s="82" t="s">
        <v>287</v>
      </c>
      <c r="D40" s="82" t="s">
        <v>129</v>
      </c>
      <c r="E40" s="82"/>
      <c r="F40" s="82">
        <v>2009</v>
      </c>
      <c r="G40" s="82" t="s">
        <v>288</v>
      </c>
      <c r="H40" s="82" t="s">
        <v>289</v>
      </c>
      <c r="I40" s="83"/>
      <c r="J40" s="83"/>
      <c r="K40" s="83"/>
      <c r="L40" s="83"/>
      <c r="M40" s="83"/>
      <c r="N40" s="83"/>
      <c r="O40" s="83"/>
      <c r="P40" s="83"/>
      <c r="Q40" s="83"/>
    </row>
    <row r="41" spans="1:17" s="84" customFormat="1" x14ac:dyDescent="0.25">
      <c r="A41" s="81" t="s">
        <v>290</v>
      </c>
      <c r="B41" s="82" t="s">
        <v>291</v>
      </c>
      <c r="C41" s="82" t="s">
        <v>292</v>
      </c>
      <c r="D41" s="82" t="s">
        <v>163</v>
      </c>
      <c r="E41" s="82" t="s">
        <v>293</v>
      </c>
      <c r="F41" s="82">
        <v>2019</v>
      </c>
      <c r="G41" s="82" t="s">
        <v>294</v>
      </c>
      <c r="H41" s="82" t="s">
        <v>295</v>
      </c>
      <c r="I41" s="83"/>
      <c r="J41" s="83"/>
      <c r="K41" s="83"/>
      <c r="L41" s="83"/>
      <c r="M41" s="83"/>
      <c r="N41" s="83"/>
      <c r="O41" s="83"/>
      <c r="P41" s="83"/>
      <c r="Q41" s="83"/>
    </row>
    <row r="42" spans="1:17" s="84" customFormat="1" x14ac:dyDescent="0.25">
      <c r="A42" s="81" t="s">
        <v>296</v>
      </c>
      <c r="B42" s="82" t="s">
        <v>291</v>
      </c>
      <c r="C42" s="82" t="s">
        <v>297</v>
      </c>
      <c r="D42" s="82" t="s">
        <v>163</v>
      </c>
      <c r="E42" s="82" t="s">
        <v>293</v>
      </c>
      <c r="F42" s="82">
        <v>2019</v>
      </c>
      <c r="G42" s="82" t="s">
        <v>298</v>
      </c>
      <c r="H42" s="82" t="s">
        <v>299</v>
      </c>
      <c r="I42" s="83"/>
      <c r="J42" s="83"/>
      <c r="K42" s="83"/>
      <c r="L42" s="83"/>
      <c r="M42" s="83"/>
      <c r="N42" s="83"/>
      <c r="O42" s="83"/>
      <c r="P42" s="83"/>
      <c r="Q42" s="83"/>
    </row>
    <row r="43" spans="1:17" s="84" customFormat="1" x14ac:dyDescent="0.25">
      <c r="A43" s="81" t="s">
        <v>300</v>
      </c>
      <c r="B43" s="82" t="s">
        <v>291</v>
      </c>
      <c r="C43" s="82" t="s">
        <v>301</v>
      </c>
      <c r="D43" s="82" t="s">
        <v>163</v>
      </c>
      <c r="E43" s="82" t="s">
        <v>293</v>
      </c>
      <c r="F43" s="82">
        <v>2019</v>
      </c>
      <c r="G43" s="82" t="s">
        <v>302</v>
      </c>
      <c r="H43" s="82" t="s">
        <v>303</v>
      </c>
      <c r="I43" s="83"/>
      <c r="J43" s="83"/>
      <c r="K43" s="83"/>
      <c r="L43" s="83"/>
      <c r="M43" s="83"/>
      <c r="N43" s="83"/>
      <c r="O43" s="83"/>
      <c r="P43" s="83"/>
      <c r="Q43" s="83"/>
    </row>
    <row r="44" spans="1:17" s="84" customFormat="1" x14ac:dyDescent="0.25">
      <c r="A44" s="81" t="s">
        <v>304</v>
      </c>
      <c r="B44" s="82" t="s">
        <v>291</v>
      </c>
      <c r="C44" s="82" t="s">
        <v>305</v>
      </c>
      <c r="D44" s="82" t="s">
        <v>163</v>
      </c>
      <c r="E44" s="82" t="s">
        <v>293</v>
      </c>
      <c r="F44" s="82">
        <v>2019</v>
      </c>
      <c r="G44" s="82" t="s">
        <v>306</v>
      </c>
      <c r="H44" s="82" t="s">
        <v>307</v>
      </c>
      <c r="I44" s="83"/>
      <c r="J44" s="83"/>
      <c r="K44" s="83"/>
      <c r="L44" s="83"/>
      <c r="M44" s="83"/>
      <c r="N44" s="83"/>
      <c r="O44" s="83"/>
      <c r="P44" s="83"/>
      <c r="Q44" s="83"/>
    </row>
    <row r="45" spans="1:17" s="84" customFormat="1" x14ac:dyDescent="0.25">
      <c r="A45" s="81" t="s">
        <v>308</v>
      </c>
      <c r="B45" s="82" t="s">
        <v>291</v>
      </c>
      <c r="C45" s="82" t="s">
        <v>309</v>
      </c>
      <c r="D45" s="82" t="s">
        <v>163</v>
      </c>
      <c r="E45" s="82" t="s">
        <v>293</v>
      </c>
      <c r="F45" s="82">
        <v>2019</v>
      </c>
      <c r="G45" s="82" t="s">
        <v>310</v>
      </c>
      <c r="H45" s="82" t="s">
        <v>311</v>
      </c>
      <c r="I45" s="83"/>
      <c r="J45" s="83"/>
      <c r="K45" s="83"/>
      <c r="L45" s="83"/>
      <c r="M45" s="83"/>
      <c r="N45" s="83"/>
      <c r="O45" s="83"/>
      <c r="P45" s="83"/>
      <c r="Q45" s="83"/>
    </row>
    <row r="46" spans="1:17" s="84" customFormat="1" x14ac:dyDescent="0.25">
      <c r="A46" s="81" t="s">
        <v>312</v>
      </c>
      <c r="B46" s="82" t="s">
        <v>291</v>
      </c>
      <c r="C46" s="82" t="s">
        <v>313</v>
      </c>
      <c r="D46" s="82" t="s">
        <v>163</v>
      </c>
      <c r="E46" s="82" t="s">
        <v>293</v>
      </c>
      <c r="F46" s="82">
        <v>2019</v>
      </c>
      <c r="G46" s="82" t="s">
        <v>314</v>
      </c>
      <c r="H46" s="82" t="s">
        <v>315</v>
      </c>
      <c r="I46" s="83"/>
      <c r="J46" s="83"/>
      <c r="K46" s="83"/>
      <c r="L46" s="83"/>
      <c r="M46" s="83"/>
      <c r="N46" s="83"/>
      <c r="O46" s="83"/>
      <c r="P46" s="83"/>
      <c r="Q46" s="83"/>
    </row>
    <row r="47" spans="1:17" s="84" customFormat="1" x14ac:dyDescent="0.25">
      <c r="A47" s="81" t="s">
        <v>316</v>
      </c>
      <c r="B47" s="82" t="s">
        <v>291</v>
      </c>
      <c r="C47" s="82" t="s">
        <v>317</v>
      </c>
      <c r="D47" s="82" t="s">
        <v>163</v>
      </c>
      <c r="E47" s="82" t="s">
        <v>293</v>
      </c>
      <c r="F47" s="82">
        <v>2019</v>
      </c>
      <c r="G47" s="82" t="s">
        <v>318</v>
      </c>
      <c r="H47" s="82" t="s">
        <v>319</v>
      </c>
      <c r="I47" s="83"/>
      <c r="J47" s="83"/>
      <c r="K47" s="83"/>
      <c r="L47" s="83"/>
      <c r="M47" s="83"/>
      <c r="N47" s="83"/>
      <c r="O47" s="83"/>
      <c r="P47" s="83"/>
      <c r="Q47" s="83"/>
    </row>
    <row r="48" spans="1:17" s="84" customFormat="1" x14ac:dyDescent="0.25">
      <c r="A48" s="81" t="s">
        <v>320</v>
      </c>
      <c r="B48" s="82" t="s">
        <v>291</v>
      </c>
      <c r="C48" s="82" t="s">
        <v>321</v>
      </c>
      <c r="D48" s="82" t="s">
        <v>163</v>
      </c>
      <c r="E48" s="82" t="s">
        <v>293</v>
      </c>
      <c r="F48" s="82">
        <v>2019</v>
      </c>
      <c r="G48" s="82" t="s">
        <v>322</v>
      </c>
      <c r="H48" s="82" t="s">
        <v>323</v>
      </c>
      <c r="I48" s="83"/>
      <c r="J48" s="83"/>
      <c r="K48" s="83"/>
      <c r="L48" s="83"/>
      <c r="M48" s="83"/>
      <c r="N48" s="83"/>
      <c r="O48" s="83"/>
      <c r="P48" s="83"/>
      <c r="Q48" s="83"/>
    </row>
    <row r="49" spans="1:17" s="84" customFormat="1" x14ac:dyDescent="0.25">
      <c r="A49" s="81" t="s">
        <v>324</v>
      </c>
      <c r="B49" s="82" t="s">
        <v>291</v>
      </c>
      <c r="C49" s="82" t="s">
        <v>325</v>
      </c>
      <c r="D49" s="82" t="s">
        <v>163</v>
      </c>
      <c r="E49" s="82" t="s">
        <v>293</v>
      </c>
      <c r="F49" s="82">
        <v>2019</v>
      </c>
      <c r="G49" s="82" t="s">
        <v>326</v>
      </c>
      <c r="H49" s="82" t="s">
        <v>327</v>
      </c>
      <c r="I49" s="83"/>
      <c r="J49" s="83"/>
      <c r="K49" s="83"/>
      <c r="L49" s="83"/>
      <c r="M49" s="83"/>
      <c r="N49" s="83"/>
      <c r="O49" s="83"/>
      <c r="P49" s="83"/>
      <c r="Q49" s="83"/>
    </row>
    <row r="50" spans="1:17" s="84" customFormat="1" x14ac:dyDescent="0.25">
      <c r="A50" s="81" t="s">
        <v>328</v>
      </c>
      <c r="B50" s="82" t="s">
        <v>291</v>
      </c>
      <c r="C50" s="82" t="s">
        <v>329</v>
      </c>
      <c r="D50" s="82" t="s">
        <v>163</v>
      </c>
      <c r="E50" s="82" t="s">
        <v>293</v>
      </c>
      <c r="F50" s="82">
        <v>2019</v>
      </c>
      <c r="G50" s="82" t="s">
        <v>330</v>
      </c>
      <c r="H50" s="82" t="s">
        <v>331</v>
      </c>
      <c r="I50" s="83"/>
      <c r="J50" s="83"/>
      <c r="K50" s="83"/>
      <c r="L50" s="83"/>
      <c r="M50" s="83"/>
      <c r="N50" s="83"/>
      <c r="O50" s="83"/>
      <c r="P50" s="83"/>
      <c r="Q50" s="83"/>
    </row>
    <row r="51" spans="1:17" s="84" customFormat="1" x14ac:dyDescent="0.25">
      <c r="A51" s="81" t="s">
        <v>332</v>
      </c>
      <c r="B51" s="82" t="s">
        <v>291</v>
      </c>
      <c r="C51" s="82" t="s">
        <v>333</v>
      </c>
      <c r="D51" s="82" t="s">
        <v>118</v>
      </c>
      <c r="E51" s="82" t="s">
        <v>334</v>
      </c>
      <c r="F51" s="82"/>
      <c r="G51" s="82" t="s">
        <v>335</v>
      </c>
      <c r="H51" s="82" t="s">
        <v>336</v>
      </c>
      <c r="I51" s="83"/>
      <c r="J51" s="83"/>
      <c r="K51" s="83"/>
      <c r="L51" s="83"/>
      <c r="M51" s="83"/>
      <c r="N51" s="83"/>
      <c r="O51" s="83"/>
      <c r="P51" s="83"/>
      <c r="Q51" s="83"/>
    </row>
    <row r="52" spans="1:17" s="84" customFormat="1" x14ac:dyDescent="0.25">
      <c r="A52" s="81" t="s">
        <v>337</v>
      </c>
      <c r="B52" s="82" t="s">
        <v>291</v>
      </c>
      <c r="C52" s="82" t="s">
        <v>338</v>
      </c>
      <c r="D52" s="82" t="s">
        <v>118</v>
      </c>
      <c r="E52" s="82" t="s">
        <v>339</v>
      </c>
      <c r="F52" s="82">
        <v>2021</v>
      </c>
      <c r="G52" s="82" t="s">
        <v>340</v>
      </c>
      <c r="H52" s="82" t="s">
        <v>341</v>
      </c>
      <c r="I52" s="83"/>
      <c r="J52" s="83"/>
      <c r="K52" s="83"/>
      <c r="L52" s="83"/>
      <c r="M52" s="83"/>
      <c r="N52" s="83"/>
      <c r="O52" s="83"/>
      <c r="P52" s="83"/>
      <c r="Q52" s="83"/>
    </row>
    <row r="53" spans="1:17" s="84" customFormat="1" x14ac:dyDescent="0.25">
      <c r="A53" s="81" t="s">
        <v>342</v>
      </c>
      <c r="B53" s="82" t="s">
        <v>291</v>
      </c>
      <c r="C53" s="82" t="s">
        <v>343</v>
      </c>
      <c r="D53" s="82" t="s">
        <v>118</v>
      </c>
      <c r="E53" s="82" t="s">
        <v>339</v>
      </c>
      <c r="F53" s="82">
        <v>2021</v>
      </c>
      <c r="G53" s="82" t="s">
        <v>344</v>
      </c>
      <c r="H53" s="82" t="s">
        <v>345</v>
      </c>
      <c r="I53" s="83"/>
      <c r="J53" s="83"/>
      <c r="K53" s="83"/>
      <c r="L53" s="83"/>
      <c r="M53" s="83"/>
      <c r="N53" s="83"/>
      <c r="O53" s="83"/>
      <c r="P53" s="83"/>
      <c r="Q53" s="83"/>
    </row>
    <row r="54" spans="1:17" s="84" customFormat="1" x14ac:dyDescent="0.25">
      <c r="A54" s="81" t="s">
        <v>346</v>
      </c>
      <c r="B54" s="82" t="s">
        <v>291</v>
      </c>
      <c r="C54" s="82" t="s">
        <v>347</v>
      </c>
      <c r="D54" s="82" t="s">
        <v>118</v>
      </c>
      <c r="E54" s="82" t="s">
        <v>339</v>
      </c>
      <c r="F54" s="82">
        <v>2021</v>
      </c>
      <c r="G54" s="82" t="s">
        <v>348</v>
      </c>
      <c r="H54" s="82" t="s">
        <v>349</v>
      </c>
      <c r="I54" s="83"/>
      <c r="J54" s="83"/>
      <c r="K54" s="83"/>
      <c r="L54" s="83"/>
      <c r="M54" s="83"/>
      <c r="N54" s="83"/>
      <c r="O54" s="83"/>
      <c r="P54" s="83"/>
      <c r="Q54" s="83"/>
    </row>
    <row r="55" spans="1:17" s="84" customFormat="1" x14ac:dyDescent="0.25">
      <c r="A55" s="81" t="s">
        <v>350</v>
      </c>
      <c r="B55" s="82" t="s">
        <v>291</v>
      </c>
      <c r="C55" s="82" t="s">
        <v>351</v>
      </c>
      <c r="D55" s="82" t="s">
        <v>118</v>
      </c>
      <c r="E55" s="82" t="s">
        <v>339</v>
      </c>
      <c r="F55" s="82">
        <v>2021</v>
      </c>
      <c r="G55" s="82" t="s">
        <v>352</v>
      </c>
      <c r="H55" s="82" t="s">
        <v>353</v>
      </c>
      <c r="I55" s="83"/>
      <c r="J55" s="83"/>
      <c r="K55" s="83"/>
      <c r="L55" s="83"/>
      <c r="M55" s="83"/>
      <c r="N55" s="83"/>
      <c r="O55" s="83"/>
      <c r="P55" s="83"/>
      <c r="Q55" s="83"/>
    </row>
    <row r="56" spans="1:17" s="84" customFormat="1" x14ac:dyDescent="0.25">
      <c r="A56" s="81" t="s">
        <v>354</v>
      </c>
      <c r="B56" s="82" t="s">
        <v>291</v>
      </c>
      <c r="C56" s="82" t="s">
        <v>355</v>
      </c>
      <c r="D56" s="82" t="s">
        <v>118</v>
      </c>
      <c r="E56" s="82" t="s">
        <v>339</v>
      </c>
      <c r="F56" s="82">
        <v>2021</v>
      </c>
      <c r="G56" s="82" t="s">
        <v>356</v>
      </c>
      <c r="H56" s="82" t="s">
        <v>357</v>
      </c>
      <c r="I56" s="83"/>
      <c r="J56" s="83"/>
      <c r="K56" s="83"/>
      <c r="L56" s="83"/>
      <c r="M56" s="83"/>
      <c r="N56" s="83"/>
      <c r="O56" s="83"/>
      <c r="P56" s="83"/>
      <c r="Q56" s="83"/>
    </row>
    <row r="57" spans="1:17" s="84" customFormat="1" x14ac:dyDescent="0.25">
      <c r="A57" s="81" t="s">
        <v>358</v>
      </c>
      <c r="B57" s="82" t="s">
        <v>291</v>
      </c>
      <c r="C57" s="82" t="s">
        <v>359</v>
      </c>
      <c r="D57" s="82" t="s">
        <v>174</v>
      </c>
      <c r="E57" s="82" t="s">
        <v>360</v>
      </c>
      <c r="F57" s="82">
        <v>2019</v>
      </c>
      <c r="G57" s="82" t="s">
        <v>361</v>
      </c>
      <c r="H57" s="82" t="s">
        <v>362</v>
      </c>
      <c r="I57" s="83"/>
      <c r="J57" s="83"/>
      <c r="K57" s="83"/>
      <c r="L57" s="83"/>
      <c r="M57" s="83"/>
      <c r="N57" s="83"/>
      <c r="O57" s="83"/>
      <c r="P57" s="83"/>
      <c r="Q57" s="83"/>
    </row>
    <row r="58" spans="1:17" s="84" customFormat="1" x14ac:dyDescent="0.25">
      <c r="A58" s="81" t="s">
        <v>363</v>
      </c>
      <c r="B58" s="82" t="s">
        <v>291</v>
      </c>
      <c r="C58" s="82" t="s">
        <v>364</v>
      </c>
      <c r="D58" s="82" t="s">
        <v>118</v>
      </c>
      <c r="E58" s="82" t="s">
        <v>365</v>
      </c>
      <c r="F58" s="82">
        <v>2020</v>
      </c>
      <c r="G58" s="82" t="s">
        <v>366</v>
      </c>
      <c r="H58" s="82" t="s">
        <v>367</v>
      </c>
      <c r="I58" s="83"/>
      <c r="J58" s="83"/>
      <c r="K58" s="83"/>
      <c r="L58" s="83"/>
      <c r="M58" s="83"/>
      <c r="N58" s="83"/>
      <c r="O58" s="83"/>
      <c r="P58" s="83"/>
      <c r="Q58" s="83"/>
    </row>
    <row r="59" spans="1:17" s="84" customFormat="1" x14ac:dyDescent="0.25">
      <c r="A59" s="81" t="s">
        <v>368</v>
      </c>
      <c r="B59" s="82" t="s">
        <v>291</v>
      </c>
      <c r="C59" s="82" t="s">
        <v>369</v>
      </c>
      <c r="D59" s="82" t="s">
        <v>118</v>
      </c>
      <c r="E59" s="82" t="s">
        <v>365</v>
      </c>
      <c r="F59" s="82">
        <v>2020</v>
      </c>
      <c r="G59" s="82" t="s">
        <v>370</v>
      </c>
      <c r="H59" s="82" t="s">
        <v>371</v>
      </c>
      <c r="I59" s="83"/>
      <c r="J59" s="83"/>
      <c r="K59" s="83"/>
      <c r="L59" s="83"/>
      <c r="M59" s="83"/>
      <c r="N59" s="83"/>
      <c r="O59" s="83"/>
      <c r="P59" s="83"/>
      <c r="Q59" s="83"/>
    </row>
    <row r="60" spans="1:17" s="84" customFormat="1" x14ac:dyDescent="0.25">
      <c r="A60" s="81" t="s">
        <v>372</v>
      </c>
      <c r="B60" s="82" t="s">
        <v>291</v>
      </c>
      <c r="C60" s="82" t="s">
        <v>373</v>
      </c>
      <c r="D60" s="82" t="s">
        <v>118</v>
      </c>
      <c r="E60" s="82" t="s">
        <v>365</v>
      </c>
      <c r="F60" s="82">
        <v>2020</v>
      </c>
      <c r="G60" s="82" t="s">
        <v>374</v>
      </c>
      <c r="H60" s="82" t="s">
        <v>375</v>
      </c>
      <c r="I60" s="83"/>
      <c r="J60" s="83"/>
      <c r="K60" s="83"/>
      <c r="L60" s="83"/>
      <c r="M60" s="83"/>
      <c r="N60" s="83"/>
      <c r="O60" s="83"/>
      <c r="P60" s="83"/>
      <c r="Q60" s="83"/>
    </row>
    <row r="61" spans="1:17" s="84" customFormat="1" x14ac:dyDescent="0.25">
      <c r="A61" s="81" t="s">
        <v>376</v>
      </c>
      <c r="B61" s="82" t="s">
        <v>291</v>
      </c>
      <c r="C61" s="82" t="s">
        <v>377</v>
      </c>
      <c r="D61" s="82" t="s">
        <v>118</v>
      </c>
      <c r="E61" s="82" t="s">
        <v>365</v>
      </c>
      <c r="F61" s="82">
        <v>2020</v>
      </c>
      <c r="G61" s="82" t="s">
        <v>378</v>
      </c>
      <c r="H61" s="82" t="s">
        <v>379</v>
      </c>
      <c r="I61" s="83"/>
      <c r="J61" s="83"/>
      <c r="K61" s="83"/>
      <c r="L61" s="83"/>
      <c r="M61" s="83"/>
      <c r="N61" s="83"/>
      <c r="O61" s="83"/>
      <c r="P61" s="83"/>
      <c r="Q61" s="83"/>
    </row>
    <row r="62" spans="1:17" s="84" customFormat="1" x14ac:dyDescent="0.25">
      <c r="A62" s="81" t="s">
        <v>380</v>
      </c>
      <c r="B62" s="82" t="s">
        <v>291</v>
      </c>
      <c r="C62" s="82" t="s">
        <v>381</v>
      </c>
      <c r="D62" s="82" t="s">
        <v>118</v>
      </c>
      <c r="E62" s="82" t="s">
        <v>365</v>
      </c>
      <c r="F62" s="82">
        <v>2020</v>
      </c>
      <c r="G62" s="82" t="s">
        <v>382</v>
      </c>
      <c r="H62" s="82" t="s">
        <v>383</v>
      </c>
      <c r="I62" s="83"/>
      <c r="J62" s="83"/>
      <c r="K62" s="83"/>
      <c r="L62" s="83"/>
      <c r="M62" s="83"/>
      <c r="N62" s="83"/>
      <c r="O62" s="83"/>
      <c r="P62" s="83"/>
      <c r="Q62" s="83"/>
    </row>
    <row r="63" spans="1:17" s="84" customFormat="1" x14ac:dyDescent="0.25">
      <c r="A63" s="81" t="s">
        <v>384</v>
      </c>
      <c r="B63" s="82" t="s">
        <v>291</v>
      </c>
      <c r="C63" s="82" t="s">
        <v>385</v>
      </c>
      <c r="D63" s="82" t="s">
        <v>118</v>
      </c>
      <c r="E63" s="82" t="s">
        <v>365</v>
      </c>
      <c r="F63" s="82">
        <v>2020</v>
      </c>
      <c r="G63" s="82" t="s">
        <v>386</v>
      </c>
      <c r="H63" s="82" t="s">
        <v>387</v>
      </c>
      <c r="I63" s="83"/>
      <c r="J63" s="83"/>
      <c r="K63" s="83"/>
      <c r="L63" s="83"/>
      <c r="M63" s="83"/>
      <c r="N63" s="83"/>
      <c r="O63" s="83"/>
      <c r="P63" s="83"/>
      <c r="Q63" s="83"/>
    </row>
    <row r="64" spans="1:17" s="84" customFormat="1" x14ac:dyDescent="0.25">
      <c r="A64" s="81" t="s">
        <v>388</v>
      </c>
      <c r="B64" s="82" t="s">
        <v>291</v>
      </c>
      <c r="C64" s="82" t="s">
        <v>389</v>
      </c>
      <c r="D64" s="82" t="s">
        <v>118</v>
      </c>
      <c r="E64" s="82" t="s">
        <v>365</v>
      </c>
      <c r="F64" s="82">
        <v>2020</v>
      </c>
      <c r="G64" s="82" t="s">
        <v>390</v>
      </c>
      <c r="H64" s="82" t="s">
        <v>391</v>
      </c>
      <c r="I64" s="83"/>
      <c r="J64" s="83"/>
      <c r="K64" s="83"/>
      <c r="L64" s="83"/>
      <c r="M64" s="83"/>
      <c r="N64" s="83"/>
      <c r="O64" s="83"/>
      <c r="P64" s="83"/>
      <c r="Q64" s="83"/>
    </row>
    <row r="65" spans="1:17" s="84" customFormat="1" x14ac:dyDescent="0.25">
      <c r="A65" s="81" t="s">
        <v>392</v>
      </c>
      <c r="B65" s="82" t="s">
        <v>291</v>
      </c>
      <c r="C65" s="82" t="s">
        <v>393</v>
      </c>
      <c r="D65" s="82" t="s">
        <v>118</v>
      </c>
      <c r="E65" s="82" t="s">
        <v>365</v>
      </c>
      <c r="F65" s="82">
        <v>2020</v>
      </c>
      <c r="G65" s="82" t="s">
        <v>394</v>
      </c>
      <c r="H65" s="82" t="s">
        <v>395</v>
      </c>
      <c r="I65" s="83"/>
      <c r="J65" s="83"/>
      <c r="K65" s="83"/>
      <c r="L65" s="83"/>
      <c r="M65" s="83"/>
      <c r="N65" s="83"/>
      <c r="O65" s="83"/>
      <c r="P65" s="83"/>
      <c r="Q65" s="83"/>
    </row>
    <row r="66" spans="1:17" s="84" customFormat="1" x14ac:dyDescent="0.25">
      <c r="A66" s="81" t="s">
        <v>396</v>
      </c>
      <c r="B66" s="82" t="s">
        <v>291</v>
      </c>
      <c r="C66" s="82" t="s">
        <v>397</v>
      </c>
      <c r="D66" s="82" t="s">
        <v>118</v>
      </c>
      <c r="E66" s="82" t="s">
        <v>365</v>
      </c>
      <c r="F66" s="82">
        <v>2020</v>
      </c>
      <c r="G66" s="82" t="s">
        <v>398</v>
      </c>
      <c r="H66" s="82" t="s">
        <v>399</v>
      </c>
      <c r="I66" s="83"/>
      <c r="J66" s="83"/>
      <c r="K66" s="83"/>
      <c r="L66" s="83"/>
      <c r="M66" s="83"/>
      <c r="N66" s="83"/>
      <c r="O66" s="83"/>
      <c r="P66" s="83"/>
      <c r="Q66" s="83"/>
    </row>
    <row r="67" spans="1:17" s="84" customFormat="1" x14ac:dyDescent="0.25">
      <c r="A67" s="81" t="s">
        <v>400</v>
      </c>
      <c r="B67" s="82" t="s">
        <v>291</v>
      </c>
      <c r="C67" s="82" t="s">
        <v>401</v>
      </c>
      <c r="D67" s="82" t="s">
        <v>118</v>
      </c>
      <c r="E67" s="82" t="s">
        <v>365</v>
      </c>
      <c r="F67" s="82">
        <v>2020</v>
      </c>
      <c r="G67" s="82" t="s">
        <v>402</v>
      </c>
      <c r="H67" s="82" t="s">
        <v>403</v>
      </c>
      <c r="I67" s="83"/>
      <c r="J67" s="83"/>
      <c r="K67" s="83"/>
      <c r="L67" s="83"/>
      <c r="M67" s="83"/>
      <c r="N67" s="83"/>
      <c r="O67" s="83"/>
      <c r="P67" s="83"/>
      <c r="Q67" s="83"/>
    </row>
    <row r="68" spans="1:17" s="84" customFormat="1" x14ac:dyDescent="0.25">
      <c r="A68" s="81" t="s">
        <v>404</v>
      </c>
      <c r="B68" s="82" t="s">
        <v>291</v>
      </c>
      <c r="C68" s="82" t="s">
        <v>405</v>
      </c>
      <c r="D68" s="82" t="s">
        <v>118</v>
      </c>
      <c r="E68" s="82" t="s">
        <v>365</v>
      </c>
      <c r="F68" s="82">
        <v>2020</v>
      </c>
      <c r="G68" s="82" t="s">
        <v>406</v>
      </c>
      <c r="H68" s="82" t="s">
        <v>407</v>
      </c>
      <c r="I68" s="83"/>
      <c r="J68" s="83"/>
      <c r="K68" s="83"/>
      <c r="L68" s="83"/>
      <c r="M68" s="83"/>
      <c r="N68" s="83"/>
      <c r="O68" s="83"/>
      <c r="P68" s="83"/>
      <c r="Q68" s="83"/>
    </row>
    <row r="69" spans="1:17" s="84" customFormat="1" x14ac:dyDescent="0.25">
      <c r="A69" s="81" t="s">
        <v>408</v>
      </c>
      <c r="B69" s="82" t="s">
        <v>291</v>
      </c>
      <c r="C69" s="82" t="s">
        <v>409</v>
      </c>
      <c r="D69" s="82" t="s">
        <v>118</v>
      </c>
      <c r="E69" s="82" t="s">
        <v>365</v>
      </c>
      <c r="F69" s="82">
        <v>2020</v>
      </c>
      <c r="G69" s="82" t="s">
        <v>410</v>
      </c>
      <c r="H69" s="82" t="s">
        <v>411</v>
      </c>
      <c r="I69" s="83"/>
      <c r="J69" s="83"/>
      <c r="K69" s="83"/>
      <c r="L69" s="83"/>
      <c r="M69" s="83"/>
      <c r="N69" s="83"/>
      <c r="O69" s="83"/>
      <c r="P69" s="83"/>
      <c r="Q69" s="83"/>
    </row>
    <row r="70" spans="1:17" s="84" customFormat="1" x14ac:dyDescent="0.25">
      <c r="A70" s="81" t="s">
        <v>412</v>
      </c>
      <c r="B70" s="82" t="s">
        <v>291</v>
      </c>
      <c r="C70" s="82" t="s">
        <v>413</v>
      </c>
      <c r="D70" s="82" t="s">
        <v>118</v>
      </c>
      <c r="E70" s="82" t="s">
        <v>365</v>
      </c>
      <c r="F70" s="82">
        <v>2020</v>
      </c>
      <c r="G70" s="82" t="s">
        <v>414</v>
      </c>
      <c r="H70" s="82" t="s">
        <v>415</v>
      </c>
      <c r="I70" s="83"/>
      <c r="J70" s="83"/>
      <c r="K70" s="83"/>
      <c r="L70" s="83"/>
      <c r="M70" s="83"/>
      <c r="N70" s="83"/>
      <c r="O70" s="83"/>
      <c r="P70" s="83"/>
      <c r="Q70" s="83"/>
    </row>
    <row r="71" spans="1:17" s="84" customFormat="1" x14ac:dyDescent="0.25">
      <c r="A71" s="81" t="s">
        <v>416</v>
      </c>
      <c r="B71" s="82" t="s">
        <v>291</v>
      </c>
      <c r="C71" s="82" t="s">
        <v>417</v>
      </c>
      <c r="D71" s="82" t="s">
        <v>118</v>
      </c>
      <c r="E71" s="82" t="s">
        <v>365</v>
      </c>
      <c r="F71" s="82">
        <v>2020</v>
      </c>
      <c r="G71" s="82" t="s">
        <v>418</v>
      </c>
      <c r="H71" s="82" t="s">
        <v>419</v>
      </c>
      <c r="I71" s="83"/>
      <c r="J71" s="83"/>
      <c r="K71" s="83"/>
      <c r="L71" s="83"/>
      <c r="M71" s="83"/>
      <c r="N71" s="83"/>
      <c r="O71" s="83"/>
      <c r="P71" s="83"/>
      <c r="Q71" s="83"/>
    </row>
    <row r="72" spans="1:17" s="84" customFormat="1" x14ac:dyDescent="0.25">
      <c r="A72" s="81" t="s">
        <v>420</v>
      </c>
      <c r="B72" s="82" t="s">
        <v>291</v>
      </c>
      <c r="C72" s="82" t="s">
        <v>421</v>
      </c>
      <c r="D72" s="82" t="s">
        <v>118</v>
      </c>
      <c r="E72" s="82" t="s">
        <v>365</v>
      </c>
      <c r="F72" s="82">
        <v>2020</v>
      </c>
      <c r="G72" s="82" t="s">
        <v>422</v>
      </c>
      <c r="H72" s="82" t="s">
        <v>423</v>
      </c>
      <c r="I72" s="83"/>
      <c r="J72" s="83"/>
      <c r="K72" s="83"/>
      <c r="L72" s="83"/>
      <c r="M72" s="83"/>
      <c r="N72" s="83"/>
      <c r="O72" s="83"/>
      <c r="P72" s="83"/>
      <c r="Q72" s="83"/>
    </row>
    <row r="73" spans="1:17" s="84" customFormat="1" x14ac:dyDescent="0.25">
      <c r="A73" s="81" t="s">
        <v>424</v>
      </c>
      <c r="B73" s="82" t="s">
        <v>291</v>
      </c>
      <c r="C73" s="82" t="s">
        <v>425</v>
      </c>
      <c r="D73" s="82" t="s">
        <v>118</v>
      </c>
      <c r="E73" s="82" t="s">
        <v>365</v>
      </c>
      <c r="F73" s="82">
        <v>2020</v>
      </c>
      <c r="G73" s="82" t="s">
        <v>426</v>
      </c>
      <c r="H73" s="82" t="s">
        <v>427</v>
      </c>
      <c r="I73" s="83"/>
      <c r="J73" s="83"/>
      <c r="K73" s="83"/>
      <c r="L73" s="83"/>
      <c r="M73" s="83"/>
      <c r="N73" s="83"/>
      <c r="O73" s="83"/>
      <c r="P73" s="83"/>
      <c r="Q73" s="83"/>
    </row>
    <row r="74" spans="1:17" s="84" customFormat="1" x14ac:dyDescent="0.25">
      <c r="A74" s="81" t="s">
        <v>428</v>
      </c>
      <c r="B74" s="82" t="s">
        <v>291</v>
      </c>
      <c r="C74" s="82" t="s">
        <v>429</v>
      </c>
      <c r="D74" s="82" t="s">
        <v>118</v>
      </c>
      <c r="E74" s="82" t="s">
        <v>365</v>
      </c>
      <c r="F74" s="82">
        <v>2020</v>
      </c>
      <c r="G74" s="82" t="s">
        <v>430</v>
      </c>
      <c r="H74" s="82" t="s">
        <v>431</v>
      </c>
      <c r="I74" s="83"/>
      <c r="J74" s="83"/>
      <c r="K74" s="83"/>
      <c r="L74" s="83"/>
      <c r="M74" s="83"/>
      <c r="N74" s="83"/>
      <c r="O74" s="83"/>
      <c r="P74" s="83"/>
      <c r="Q74" s="83"/>
    </row>
    <row r="75" spans="1:17" s="84" customFormat="1" x14ac:dyDescent="0.25">
      <c r="A75" s="81" t="s">
        <v>432</v>
      </c>
      <c r="B75" s="82" t="s">
        <v>291</v>
      </c>
      <c r="C75" s="82" t="s">
        <v>433</v>
      </c>
      <c r="D75" s="82" t="s">
        <v>118</v>
      </c>
      <c r="E75" s="82" t="s">
        <v>365</v>
      </c>
      <c r="F75" s="82">
        <v>2020</v>
      </c>
      <c r="G75" s="82" t="s">
        <v>434</v>
      </c>
      <c r="H75" s="82" t="s">
        <v>435</v>
      </c>
      <c r="I75" s="83"/>
      <c r="J75" s="83"/>
      <c r="K75" s="83"/>
      <c r="L75" s="83"/>
      <c r="M75" s="83"/>
      <c r="N75" s="83"/>
      <c r="O75" s="83"/>
      <c r="P75" s="83"/>
      <c r="Q75" s="83"/>
    </row>
    <row r="76" spans="1:17" s="84" customFormat="1" x14ac:dyDescent="0.25">
      <c r="A76" s="81" t="s">
        <v>436</v>
      </c>
      <c r="B76" s="82" t="s">
        <v>291</v>
      </c>
      <c r="C76" s="82" t="s">
        <v>437</v>
      </c>
      <c r="D76" s="82" t="s">
        <v>118</v>
      </c>
      <c r="E76" s="82" t="s">
        <v>365</v>
      </c>
      <c r="F76" s="82">
        <v>2020</v>
      </c>
      <c r="G76" s="82" t="s">
        <v>438</v>
      </c>
      <c r="H76" s="82" t="s">
        <v>439</v>
      </c>
      <c r="I76" s="83"/>
      <c r="J76" s="83"/>
      <c r="K76" s="83"/>
      <c r="L76" s="83"/>
      <c r="M76" s="83"/>
      <c r="N76" s="83"/>
      <c r="O76" s="83"/>
      <c r="P76" s="83"/>
      <c r="Q76" s="83"/>
    </row>
    <row r="77" spans="1:17" s="84" customFormat="1" x14ac:dyDescent="0.25">
      <c r="A77" s="81" t="s">
        <v>440</v>
      </c>
      <c r="B77" s="82" t="s">
        <v>291</v>
      </c>
      <c r="C77" s="82" t="s">
        <v>441</v>
      </c>
      <c r="D77" s="82" t="s">
        <v>118</v>
      </c>
      <c r="E77" s="82" t="s">
        <v>365</v>
      </c>
      <c r="F77" s="82">
        <v>2020</v>
      </c>
      <c r="G77" s="82" t="s">
        <v>442</v>
      </c>
      <c r="H77" s="82" t="s">
        <v>443</v>
      </c>
      <c r="I77" s="83"/>
      <c r="J77" s="83"/>
      <c r="K77" s="83"/>
      <c r="L77" s="83"/>
      <c r="M77" s="83"/>
      <c r="N77" s="83"/>
      <c r="O77" s="83"/>
      <c r="P77" s="83"/>
      <c r="Q77" s="83"/>
    </row>
    <row r="78" spans="1:17" s="84" customFormat="1" x14ac:dyDescent="0.25">
      <c r="A78" s="81" t="s">
        <v>444</v>
      </c>
      <c r="B78" s="82" t="s">
        <v>291</v>
      </c>
      <c r="C78" s="82" t="s">
        <v>445</v>
      </c>
      <c r="D78" s="82" t="s">
        <v>118</v>
      </c>
      <c r="E78" s="82" t="s">
        <v>365</v>
      </c>
      <c r="F78" s="82">
        <v>2020</v>
      </c>
      <c r="G78" s="82" t="s">
        <v>446</v>
      </c>
      <c r="H78" s="82" t="s">
        <v>447</v>
      </c>
      <c r="I78" s="83"/>
      <c r="J78" s="83"/>
      <c r="K78" s="83"/>
      <c r="L78" s="83"/>
      <c r="M78" s="83"/>
      <c r="N78" s="83"/>
      <c r="O78" s="83"/>
      <c r="P78" s="83"/>
      <c r="Q78" s="83"/>
    </row>
    <row r="79" spans="1:17" s="84" customFormat="1" x14ac:dyDescent="0.25">
      <c r="A79" s="81" t="s">
        <v>448</v>
      </c>
      <c r="B79" s="82" t="s">
        <v>291</v>
      </c>
      <c r="C79" s="82" t="s">
        <v>449</v>
      </c>
      <c r="D79" s="82" t="s">
        <v>118</v>
      </c>
      <c r="E79" s="82" t="s">
        <v>365</v>
      </c>
      <c r="F79" s="82">
        <v>2020</v>
      </c>
      <c r="G79" s="82" t="s">
        <v>450</v>
      </c>
      <c r="H79" s="82" t="s">
        <v>451</v>
      </c>
      <c r="I79" s="83"/>
      <c r="J79" s="83"/>
      <c r="K79" s="83"/>
      <c r="L79" s="83"/>
      <c r="M79" s="83"/>
      <c r="N79" s="83"/>
      <c r="O79" s="83"/>
      <c r="P79" s="83"/>
      <c r="Q79" s="83"/>
    </row>
    <row r="80" spans="1:17" s="84" customFormat="1" x14ac:dyDescent="0.25">
      <c r="A80" s="81" t="s">
        <v>452</v>
      </c>
      <c r="B80" s="82" t="s">
        <v>291</v>
      </c>
      <c r="C80" s="82" t="s">
        <v>453</v>
      </c>
      <c r="D80" s="82" t="s">
        <v>118</v>
      </c>
      <c r="E80" s="82" t="s">
        <v>365</v>
      </c>
      <c r="F80" s="82">
        <v>2020</v>
      </c>
      <c r="G80" s="82" t="s">
        <v>454</v>
      </c>
      <c r="H80" s="82" t="s">
        <v>455</v>
      </c>
      <c r="I80" s="83"/>
      <c r="J80" s="83"/>
      <c r="K80" s="83"/>
      <c r="L80" s="83"/>
      <c r="M80" s="83"/>
      <c r="N80" s="83"/>
      <c r="O80" s="83"/>
      <c r="P80" s="83"/>
      <c r="Q80" s="83"/>
    </row>
    <row r="81" spans="1:17" s="84" customFormat="1" x14ac:dyDescent="0.25">
      <c r="A81" s="81" t="s">
        <v>456</v>
      </c>
      <c r="B81" s="82" t="s">
        <v>291</v>
      </c>
      <c r="C81" s="82" t="s">
        <v>457</v>
      </c>
      <c r="D81" s="82" t="s">
        <v>118</v>
      </c>
      <c r="E81" s="82" t="s">
        <v>365</v>
      </c>
      <c r="F81" s="82">
        <v>2020</v>
      </c>
      <c r="G81" s="82" t="s">
        <v>458</v>
      </c>
      <c r="H81" s="82" t="s">
        <v>459</v>
      </c>
      <c r="I81" s="83"/>
      <c r="J81" s="83"/>
      <c r="K81" s="83"/>
      <c r="L81" s="83"/>
      <c r="M81" s="83"/>
      <c r="N81" s="83"/>
      <c r="O81" s="83"/>
      <c r="P81" s="83"/>
      <c r="Q81" s="83"/>
    </row>
    <row r="82" spans="1:17" s="84" customFormat="1" x14ac:dyDescent="0.25">
      <c r="A82" s="81" t="s">
        <v>460</v>
      </c>
      <c r="B82" s="82" t="s">
        <v>291</v>
      </c>
      <c r="C82" s="82" t="s">
        <v>461</v>
      </c>
      <c r="D82" s="82" t="s">
        <v>462</v>
      </c>
      <c r="E82" s="82" t="s">
        <v>463</v>
      </c>
      <c r="F82" s="82">
        <v>2020</v>
      </c>
      <c r="G82" s="82" t="s">
        <v>464</v>
      </c>
      <c r="H82" s="82" t="s">
        <v>465</v>
      </c>
      <c r="I82" s="83"/>
      <c r="J82" s="83"/>
      <c r="K82" s="83"/>
      <c r="L82" s="83"/>
      <c r="M82" s="83"/>
      <c r="N82" s="83"/>
      <c r="O82" s="83"/>
      <c r="P82" s="83"/>
      <c r="Q82" s="83"/>
    </row>
    <row r="83" spans="1:17" s="84" customFormat="1" x14ac:dyDescent="0.25">
      <c r="A83" s="81" t="s">
        <v>466</v>
      </c>
      <c r="B83" s="82" t="s">
        <v>291</v>
      </c>
      <c r="C83" s="82" t="s">
        <v>467</v>
      </c>
      <c r="D83" s="82" t="s">
        <v>462</v>
      </c>
      <c r="E83" s="82" t="s">
        <v>463</v>
      </c>
      <c r="F83" s="82">
        <v>2021</v>
      </c>
      <c r="G83" s="82" t="s">
        <v>468</v>
      </c>
      <c r="H83" s="82" t="s">
        <v>469</v>
      </c>
      <c r="I83" s="83"/>
      <c r="J83" s="83"/>
      <c r="K83" s="83"/>
      <c r="L83" s="83"/>
      <c r="M83" s="83"/>
      <c r="N83" s="83"/>
      <c r="O83" s="83"/>
      <c r="P83" s="83"/>
      <c r="Q83" s="83"/>
    </row>
    <row r="84" spans="1:17" s="84" customFormat="1" x14ac:dyDescent="0.25">
      <c r="A84" s="81" t="s">
        <v>470</v>
      </c>
      <c r="B84" s="82" t="s">
        <v>291</v>
      </c>
      <c r="C84" s="82" t="s">
        <v>471</v>
      </c>
      <c r="D84" s="82" t="s">
        <v>462</v>
      </c>
      <c r="E84" s="82" t="s">
        <v>463</v>
      </c>
      <c r="F84" s="82">
        <v>2021</v>
      </c>
      <c r="G84" s="82" t="s">
        <v>472</v>
      </c>
      <c r="H84" s="82" t="s">
        <v>473</v>
      </c>
      <c r="I84" s="83"/>
      <c r="J84" s="83"/>
      <c r="K84" s="83"/>
      <c r="L84" s="83"/>
      <c r="M84" s="83"/>
      <c r="N84" s="83"/>
      <c r="O84" s="83"/>
      <c r="P84" s="83"/>
      <c r="Q84" s="83"/>
    </row>
    <row r="85" spans="1:17" s="84" customFormat="1" x14ac:dyDescent="0.25">
      <c r="A85" s="81" t="s">
        <v>474</v>
      </c>
      <c r="B85" s="82" t="s">
        <v>291</v>
      </c>
      <c r="C85" s="82" t="s">
        <v>475</v>
      </c>
      <c r="D85" s="82" t="s">
        <v>462</v>
      </c>
      <c r="E85" s="82" t="s">
        <v>463</v>
      </c>
      <c r="F85" s="82">
        <v>2021</v>
      </c>
      <c r="G85" s="82" t="s">
        <v>476</v>
      </c>
      <c r="H85" s="82" t="s">
        <v>477</v>
      </c>
      <c r="I85" s="83"/>
      <c r="J85" s="83"/>
      <c r="K85" s="83"/>
      <c r="L85" s="83"/>
      <c r="M85" s="83"/>
      <c r="N85" s="83"/>
      <c r="O85" s="83"/>
      <c r="P85" s="83"/>
      <c r="Q85" s="83"/>
    </row>
    <row r="86" spans="1:17" s="84" customFormat="1" x14ac:dyDescent="0.25">
      <c r="A86" s="81" t="s">
        <v>478</v>
      </c>
      <c r="B86" s="82" t="s">
        <v>291</v>
      </c>
      <c r="C86" s="82" t="s">
        <v>479</v>
      </c>
      <c r="D86" s="82" t="s">
        <v>462</v>
      </c>
      <c r="E86" s="82" t="s">
        <v>463</v>
      </c>
      <c r="F86" s="82">
        <v>2021</v>
      </c>
      <c r="G86" s="82" t="s">
        <v>480</v>
      </c>
      <c r="H86" s="82" t="s">
        <v>481</v>
      </c>
      <c r="I86" s="83"/>
      <c r="J86" s="83"/>
      <c r="K86" s="83"/>
      <c r="L86" s="83"/>
      <c r="M86" s="83"/>
      <c r="N86" s="83"/>
      <c r="O86" s="83"/>
      <c r="P86" s="83"/>
      <c r="Q86" s="83"/>
    </row>
    <row r="87" spans="1:17" s="84" customFormat="1" x14ac:dyDescent="0.25">
      <c r="A87" s="81" t="s">
        <v>482</v>
      </c>
      <c r="B87" s="82" t="s">
        <v>291</v>
      </c>
      <c r="C87" s="82" t="s">
        <v>483</v>
      </c>
      <c r="D87" s="82" t="s">
        <v>462</v>
      </c>
      <c r="E87" s="82" t="s">
        <v>463</v>
      </c>
      <c r="F87" s="82">
        <v>2021</v>
      </c>
      <c r="G87" s="82" t="s">
        <v>484</v>
      </c>
      <c r="H87" s="82" t="s">
        <v>485</v>
      </c>
      <c r="I87" s="83"/>
      <c r="J87" s="83"/>
      <c r="K87" s="83"/>
      <c r="L87" s="83"/>
      <c r="M87" s="83"/>
      <c r="N87" s="83"/>
      <c r="O87" s="83"/>
      <c r="P87" s="83"/>
      <c r="Q87" s="83"/>
    </row>
    <row r="88" spans="1:17" s="84" customFormat="1" x14ac:dyDescent="0.25">
      <c r="A88" s="81" t="s">
        <v>486</v>
      </c>
      <c r="B88" s="82" t="s">
        <v>291</v>
      </c>
      <c r="C88" s="82" t="s">
        <v>487</v>
      </c>
      <c r="D88" s="82" t="s">
        <v>242</v>
      </c>
      <c r="E88" s="82" t="s">
        <v>488</v>
      </c>
      <c r="F88" s="82">
        <v>1998</v>
      </c>
      <c r="G88" s="82" t="s">
        <v>489</v>
      </c>
      <c r="H88" s="82" t="s">
        <v>490</v>
      </c>
      <c r="I88" s="83"/>
      <c r="J88" s="83"/>
      <c r="K88" s="83"/>
      <c r="L88" s="83"/>
      <c r="M88" s="83"/>
      <c r="N88" s="83"/>
      <c r="O88" s="83"/>
      <c r="P88" s="83"/>
      <c r="Q88" s="83"/>
    </row>
    <row r="89" spans="1:17" s="84" customFormat="1" x14ac:dyDescent="0.25">
      <c r="A89" s="81" t="s">
        <v>491</v>
      </c>
      <c r="B89" s="82" t="s">
        <v>291</v>
      </c>
      <c r="C89" s="82" t="s">
        <v>492</v>
      </c>
      <c r="D89" s="82" t="s">
        <v>163</v>
      </c>
      <c r="E89" s="82" t="s">
        <v>293</v>
      </c>
      <c r="F89" s="82">
        <v>2005</v>
      </c>
      <c r="G89" s="82" t="s">
        <v>493</v>
      </c>
      <c r="H89" s="82" t="s">
        <v>494</v>
      </c>
      <c r="I89" s="83"/>
      <c r="J89" s="83"/>
      <c r="K89" s="83"/>
      <c r="L89" s="83"/>
      <c r="M89" s="83"/>
      <c r="N89" s="83"/>
      <c r="O89" s="83"/>
      <c r="P89" s="83"/>
      <c r="Q89" s="83"/>
    </row>
    <row r="90" spans="1:17" s="84" customFormat="1" x14ac:dyDescent="0.25">
      <c r="A90" s="81" t="s">
        <v>495</v>
      </c>
      <c r="B90" s="82" t="s">
        <v>291</v>
      </c>
      <c r="C90" s="82" t="s">
        <v>496</v>
      </c>
      <c r="D90" s="82" t="s">
        <v>163</v>
      </c>
      <c r="E90" s="82" t="s">
        <v>293</v>
      </c>
      <c r="F90" s="82">
        <v>2005</v>
      </c>
      <c r="G90" s="82" t="s">
        <v>497</v>
      </c>
      <c r="H90" s="82" t="s">
        <v>498</v>
      </c>
      <c r="I90" s="83"/>
      <c r="J90" s="83"/>
      <c r="K90" s="83"/>
      <c r="L90" s="83"/>
      <c r="M90" s="83"/>
      <c r="N90" s="83"/>
      <c r="O90" s="83"/>
      <c r="P90" s="83"/>
      <c r="Q90" s="83"/>
    </row>
    <row r="91" spans="1:17" s="84" customFormat="1" x14ac:dyDescent="0.25">
      <c r="A91" s="81" t="s">
        <v>499</v>
      </c>
      <c r="B91" s="82" t="s">
        <v>291</v>
      </c>
      <c r="C91" s="82" t="s">
        <v>500</v>
      </c>
      <c r="D91" s="82" t="s">
        <v>163</v>
      </c>
      <c r="E91" s="82" t="s">
        <v>293</v>
      </c>
      <c r="F91" s="82">
        <v>2005</v>
      </c>
      <c r="G91" s="82" t="s">
        <v>501</v>
      </c>
      <c r="H91" s="82" t="s">
        <v>502</v>
      </c>
      <c r="I91" s="83"/>
      <c r="J91" s="83"/>
      <c r="K91" s="83"/>
      <c r="L91" s="83"/>
      <c r="M91" s="83"/>
      <c r="N91" s="83"/>
      <c r="O91" s="83"/>
      <c r="P91" s="83"/>
      <c r="Q91" s="83"/>
    </row>
    <row r="92" spans="1:17" s="84" customFormat="1" x14ac:dyDescent="0.25">
      <c r="A92" s="81" t="s">
        <v>503</v>
      </c>
      <c r="B92" s="82" t="s">
        <v>291</v>
      </c>
      <c r="C92" s="82" t="s">
        <v>504</v>
      </c>
      <c r="D92" s="82" t="s">
        <v>242</v>
      </c>
      <c r="E92" s="82" t="s">
        <v>505</v>
      </c>
      <c r="F92" s="82">
        <v>2010</v>
      </c>
      <c r="G92" s="82" t="s">
        <v>506</v>
      </c>
      <c r="H92" s="82" t="s">
        <v>507</v>
      </c>
      <c r="I92" s="83"/>
      <c r="J92" s="83"/>
      <c r="K92" s="83"/>
      <c r="L92" s="83"/>
      <c r="M92" s="83"/>
      <c r="N92" s="83"/>
      <c r="O92" s="83"/>
      <c r="P92" s="83"/>
      <c r="Q92" s="83"/>
    </row>
    <row r="93" spans="1:17" s="84" customFormat="1" x14ac:dyDescent="0.25">
      <c r="A93" s="81" t="s">
        <v>508</v>
      </c>
      <c r="B93" s="82" t="s">
        <v>291</v>
      </c>
      <c r="C93" s="82" t="s">
        <v>509</v>
      </c>
      <c r="D93" s="82" t="s">
        <v>163</v>
      </c>
      <c r="E93" s="82" t="s">
        <v>293</v>
      </c>
      <c r="F93" s="82">
        <v>2010</v>
      </c>
      <c r="G93" s="82" t="s">
        <v>510</v>
      </c>
      <c r="H93" s="82" t="s">
        <v>511</v>
      </c>
      <c r="I93" s="83"/>
      <c r="J93" s="83"/>
      <c r="K93" s="83"/>
      <c r="L93" s="83"/>
      <c r="M93" s="83"/>
      <c r="N93" s="83"/>
      <c r="O93" s="83"/>
      <c r="P93" s="83"/>
      <c r="Q93" s="83"/>
    </row>
    <row r="94" spans="1:17" s="84" customFormat="1" x14ac:dyDescent="0.25">
      <c r="A94" s="81" t="s">
        <v>512</v>
      </c>
      <c r="B94" s="82" t="s">
        <v>291</v>
      </c>
      <c r="C94" s="82" t="s">
        <v>513</v>
      </c>
      <c r="D94" s="82" t="s">
        <v>163</v>
      </c>
      <c r="E94" s="82" t="s">
        <v>293</v>
      </c>
      <c r="F94" s="82">
        <v>2010</v>
      </c>
      <c r="G94" s="82" t="s">
        <v>514</v>
      </c>
      <c r="H94" s="82" t="s">
        <v>515</v>
      </c>
      <c r="I94" s="83"/>
      <c r="J94" s="83"/>
      <c r="K94" s="83"/>
      <c r="L94" s="83"/>
      <c r="M94" s="83"/>
      <c r="N94" s="83"/>
      <c r="O94" s="83"/>
      <c r="P94" s="83"/>
      <c r="Q94" s="83"/>
    </row>
    <row r="95" spans="1:17" s="84" customFormat="1" x14ac:dyDescent="0.25">
      <c r="A95" s="81" t="s">
        <v>516</v>
      </c>
      <c r="B95" s="82" t="s">
        <v>291</v>
      </c>
      <c r="C95" s="82" t="s">
        <v>517</v>
      </c>
      <c r="D95" s="82" t="s">
        <v>118</v>
      </c>
      <c r="E95" s="82" t="s">
        <v>518</v>
      </c>
      <c r="F95" s="82">
        <v>2012</v>
      </c>
      <c r="G95" s="82" t="s">
        <v>519</v>
      </c>
      <c r="H95" s="82" t="s">
        <v>520</v>
      </c>
      <c r="I95" s="83"/>
      <c r="J95" s="83"/>
      <c r="K95" s="83"/>
      <c r="L95" s="83"/>
      <c r="M95" s="83"/>
      <c r="N95" s="83"/>
      <c r="O95" s="83"/>
      <c r="P95" s="83"/>
      <c r="Q95" s="83"/>
    </row>
    <row r="96" spans="1:17" s="84" customFormat="1" x14ac:dyDescent="0.25">
      <c r="A96" s="81" t="s">
        <v>521</v>
      </c>
      <c r="B96" s="82" t="s">
        <v>291</v>
      </c>
      <c r="C96" s="82" t="s">
        <v>522</v>
      </c>
      <c r="D96" s="82" t="s">
        <v>118</v>
      </c>
      <c r="E96" s="82" t="s">
        <v>365</v>
      </c>
      <c r="F96" s="82">
        <v>2012</v>
      </c>
      <c r="G96" s="82" t="s">
        <v>523</v>
      </c>
      <c r="H96" s="82" t="s">
        <v>524</v>
      </c>
      <c r="I96" s="83"/>
      <c r="J96" s="83"/>
      <c r="K96" s="83"/>
      <c r="L96" s="83"/>
      <c r="M96" s="83"/>
      <c r="N96" s="83"/>
      <c r="O96" s="83"/>
      <c r="P96" s="83"/>
      <c r="Q96" s="83"/>
    </row>
    <row r="97" spans="1:17" s="84" customFormat="1" x14ac:dyDescent="0.25">
      <c r="A97" s="81" t="s">
        <v>525</v>
      </c>
      <c r="B97" s="82" t="s">
        <v>291</v>
      </c>
      <c r="C97" s="82" t="s">
        <v>526</v>
      </c>
      <c r="D97" s="82" t="s">
        <v>118</v>
      </c>
      <c r="E97" s="82" t="s">
        <v>365</v>
      </c>
      <c r="F97" s="82">
        <v>2012</v>
      </c>
      <c r="G97" s="82" t="s">
        <v>527</v>
      </c>
      <c r="H97" s="82" t="s">
        <v>528</v>
      </c>
      <c r="I97" s="83"/>
      <c r="J97" s="83"/>
      <c r="K97" s="83"/>
      <c r="L97" s="83"/>
      <c r="M97" s="83"/>
      <c r="N97" s="83"/>
      <c r="O97" s="83"/>
      <c r="P97" s="83"/>
      <c r="Q97" s="83"/>
    </row>
    <row r="98" spans="1:17" s="84" customFormat="1" x14ac:dyDescent="0.25">
      <c r="A98" s="81" t="s">
        <v>529</v>
      </c>
      <c r="B98" s="82" t="s">
        <v>291</v>
      </c>
      <c r="C98" s="82" t="s">
        <v>530</v>
      </c>
      <c r="D98" s="82" t="s">
        <v>118</v>
      </c>
      <c r="E98" s="82" t="s">
        <v>531</v>
      </c>
      <c r="F98" s="82">
        <v>2012</v>
      </c>
      <c r="G98" s="82" t="s">
        <v>532</v>
      </c>
      <c r="H98" s="82" t="s">
        <v>533</v>
      </c>
      <c r="I98" s="83"/>
      <c r="J98" s="83"/>
      <c r="K98" s="83"/>
      <c r="L98" s="83"/>
      <c r="M98" s="83"/>
      <c r="N98" s="83"/>
      <c r="O98" s="83"/>
      <c r="P98" s="83"/>
      <c r="Q98" s="83"/>
    </row>
    <row r="99" spans="1:17" s="84" customFormat="1" x14ac:dyDescent="0.25">
      <c r="A99" s="81" t="s">
        <v>534</v>
      </c>
      <c r="B99" s="82" t="s">
        <v>291</v>
      </c>
      <c r="C99" s="82" t="s">
        <v>535</v>
      </c>
      <c r="D99" s="82" t="s">
        <v>118</v>
      </c>
      <c r="E99" s="82" t="s">
        <v>531</v>
      </c>
      <c r="F99" s="82">
        <v>2012</v>
      </c>
      <c r="G99" s="82" t="s">
        <v>536</v>
      </c>
      <c r="H99" s="82" t="s">
        <v>537</v>
      </c>
      <c r="I99" s="83"/>
      <c r="J99" s="83"/>
      <c r="K99" s="83"/>
      <c r="L99" s="83"/>
      <c r="M99" s="83"/>
      <c r="N99" s="83"/>
      <c r="O99" s="83"/>
      <c r="P99" s="83"/>
      <c r="Q99" s="83"/>
    </row>
    <row r="100" spans="1:17" s="84" customFormat="1" x14ac:dyDescent="0.25">
      <c r="A100" s="81" t="s">
        <v>538</v>
      </c>
      <c r="B100" s="82" t="s">
        <v>291</v>
      </c>
      <c r="C100" s="82" t="s">
        <v>539</v>
      </c>
      <c r="D100" s="82" t="s">
        <v>118</v>
      </c>
      <c r="E100" s="82" t="s">
        <v>531</v>
      </c>
      <c r="F100" s="82">
        <v>2012</v>
      </c>
      <c r="G100" s="82" t="s">
        <v>540</v>
      </c>
      <c r="H100" s="82" t="s">
        <v>541</v>
      </c>
      <c r="I100" s="83"/>
      <c r="J100" s="83"/>
      <c r="K100" s="83"/>
      <c r="L100" s="83"/>
      <c r="M100" s="83"/>
      <c r="N100" s="83"/>
      <c r="O100" s="83"/>
      <c r="P100" s="83"/>
      <c r="Q100" s="83"/>
    </row>
    <row r="101" spans="1:17" s="84" customFormat="1" x14ac:dyDescent="0.25">
      <c r="A101" s="81" t="s">
        <v>542</v>
      </c>
      <c r="B101" s="82" t="s">
        <v>291</v>
      </c>
      <c r="C101" s="82" t="s">
        <v>543</v>
      </c>
      <c r="D101" s="82" t="s">
        <v>118</v>
      </c>
      <c r="E101" s="82" t="s">
        <v>365</v>
      </c>
      <c r="F101" s="82">
        <v>2012</v>
      </c>
      <c r="G101" s="82" t="s">
        <v>544</v>
      </c>
      <c r="H101" s="82" t="s">
        <v>545</v>
      </c>
      <c r="I101" s="83"/>
      <c r="J101" s="83"/>
      <c r="K101" s="83"/>
      <c r="L101" s="83"/>
      <c r="M101" s="83"/>
      <c r="N101" s="83"/>
      <c r="O101" s="83"/>
      <c r="P101" s="83"/>
      <c r="Q101" s="83"/>
    </row>
    <row r="102" spans="1:17" s="84" customFormat="1" x14ac:dyDescent="0.25">
      <c r="A102" s="81" t="s">
        <v>546</v>
      </c>
      <c r="B102" s="82" t="s">
        <v>291</v>
      </c>
      <c r="C102" s="82" t="s">
        <v>547</v>
      </c>
      <c r="D102" s="82" t="s">
        <v>118</v>
      </c>
      <c r="E102" s="82" t="s">
        <v>531</v>
      </c>
      <c r="F102" s="82">
        <v>2012</v>
      </c>
      <c r="G102" s="82" t="s">
        <v>548</v>
      </c>
      <c r="H102" s="82" t="s">
        <v>549</v>
      </c>
      <c r="I102" s="83"/>
      <c r="J102" s="83"/>
      <c r="K102" s="83"/>
      <c r="L102" s="83"/>
      <c r="M102" s="83"/>
      <c r="N102" s="83"/>
      <c r="O102" s="83"/>
      <c r="P102" s="83"/>
      <c r="Q102" s="83"/>
    </row>
    <row r="103" spans="1:17" s="84" customFormat="1" x14ac:dyDescent="0.25">
      <c r="A103" s="81" t="s">
        <v>550</v>
      </c>
      <c r="B103" s="82" t="s">
        <v>291</v>
      </c>
      <c r="C103" s="82" t="s">
        <v>551</v>
      </c>
      <c r="D103" s="82" t="s">
        <v>118</v>
      </c>
      <c r="E103" s="82" t="s">
        <v>531</v>
      </c>
      <c r="F103" s="82">
        <v>2012</v>
      </c>
      <c r="G103" s="82" t="s">
        <v>552</v>
      </c>
      <c r="H103" s="82" t="s">
        <v>553</v>
      </c>
      <c r="I103" s="83"/>
      <c r="J103" s="83"/>
      <c r="K103" s="83"/>
      <c r="L103" s="83"/>
      <c r="M103" s="83"/>
      <c r="N103" s="83"/>
      <c r="O103" s="83"/>
      <c r="P103" s="83"/>
      <c r="Q103" s="83"/>
    </row>
    <row r="104" spans="1:17" s="84" customFormat="1" x14ac:dyDescent="0.25">
      <c r="A104" s="81" t="s">
        <v>554</v>
      </c>
      <c r="B104" s="82" t="s">
        <v>291</v>
      </c>
      <c r="C104" s="82" t="s">
        <v>555</v>
      </c>
      <c r="D104" s="82" t="s">
        <v>118</v>
      </c>
      <c r="E104" s="82" t="s">
        <v>531</v>
      </c>
      <c r="F104" s="82">
        <v>2012</v>
      </c>
      <c r="G104" s="82" t="s">
        <v>556</v>
      </c>
      <c r="H104" s="82" t="s">
        <v>557</v>
      </c>
      <c r="I104" s="83"/>
      <c r="J104" s="83"/>
      <c r="K104" s="83"/>
      <c r="L104" s="83"/>
      <c r="M104" s="83"/>
      <c r="N104" s="83"/>
      <c r="O104" s="83"/>
      <c r="P104" s="83"/>
      <c r="Q104" s="83"/>
    </row>
    <row r="105" spans="1:17" s="84" customFormat="1" x14ac:dyDescent="0.25">
      <c r="A105" s="81" t="s">
        <v>558</v>
      </c>
      <c r="B105" s="82" t="s">
        <v>291</v>
      </c>
      <c r="C105" s="82" t="s">
        <v>559</v>
      </c>
      <c r="D105" s="82" t="s">
        <v>118</v>
      </c>
      <c r="E105" s="82" t="s">
        <v>531</v>
      </c>
      <c r="F105" s="82">
        <v>2012</v>
      </c>
      <c r="G105" s="82" t="s">
        <v>560</v>
      </c>
      <c r="H105" s="82" t="s">
        <v>561</v>
      </c>
      <c r="I105" s="83"/>
      <c r="J105" s="83"/>
      <c r="K105" s="83"/>
      <c r="L105" s="83"/>
      <c r="M105" s="83"/>
      <c r="N105" s="83"/>
      <c r="O105" s="83"/>
      <c r="P105" s="83"/>
      <c r="Q105" s="83"/>
    </row>
    <row r="106" spans="1:17" s="84" customFormat="1" x14ac:dyDescent="0.25">
      <c r="A106" s="81" t="s">
        <v>562</v>
      </c>
      <c r="B106" s="82" t="s">
        <v>291</v>
      </c>
      <c r="C106" s="82" t="s">
        <v>563</v>
      </c>
      <c r="D106" s="82" t="s">
        <v>118</v>
      </c>
      <c r="E106" s="82" t="s">
        <v>531</v>
      </c>
      <c r="F106" s="82">
        <v>2012</v>
      </c>
      <c r="G106" s="82" t="s">
        <v>564</v>
      </c>
      <c r="H106" s="82" t="s">
        <v>565</v>
      </c>
      <c r="I106" s="83"/>
      <c r="J106" s="83"/>
      <c r="K106" s="83"/>
      <c r="L106" s="83"/>
      <c r="M106" s="83"/>
      <c r="N106" s="83"/>
      <c r="O106" s="83"/>
      <c r="P106" s="83"/>
      <c r="Q106" s="83"/>
    </row>
    <row r="107" spans="1:17" s="84" customFormat="1" x14ac:dyDescent="0.25">
      <c r="A107" s="81" t="s">
        <v>566</v>
      </c>
      <c r="B107" s="82" t="s">
        <v>291</v>
      </c>
      <c r="C107" s="82" t="s">
        <v>567</v>
      </c>
      <c r="D107" s="82" t="s">
        <v>118</v>
      </c>
      <c r="E107" s="82" t="s">
        <v>531</v>
      </c>
      <c r="F107" s="82">
        <v>2012</v>
      </c>
      <c r="G107" s="82" t="s">
        <v>568</v>
      </c>
      <c r="H107" s="82" t="s">
        <v>569</v>
      </c>
      <c r="I107" s="83"/>
      <c r="J107" s="83"/>
      <c r="K107" s="83"/>
      <c r="L107" s="83"/>
      <c r="M107" s="83"/>
      <c r="N107" s="83"/>
      <c r="O107" s="83"/>
      <c r="P107" s="83"/>
      <c r="Q107" s="83"/>
    </row>
    <row r="108" spans="1:17" s="84" customFormat="1" x14ac:dyDescent="0.25">
      <c r="A108" s="81" t="s">
        <v>570</v>
      </c>
      <c r="B108" s="82" t="s">
        <v>291</v>
      </c>
      <c r="C108" s="82" t="s">
        <v>571</v>
      </c>
      <c r="D108" s="82" t="s">
        <v>118</v>
      </c>
      <c r="E108" s="82" t="s">
        <v>531</v>
      </c>
      <c r="F108" s="82">
        <v>2012</v>
      </c>
      <c r="G108" s="82" t="s">
        <v>572</v>
      </c>
      <c r="H108" s="82" t="s">
        <v>573</v>
      </c>
      <c r="I108" s="83"/>
      <c r="J108" s="83"/>
      <c r="K108" s="83"/>
      <c r="L108" s="83"/>
      <c r="M108" s="83"/>
      <c r="N108" s="83"/>
      <c r="O108" s="83"/>
      <c r="P108" s="83"/>
      <c r="Q108" s="83"/>
    </row>
    <row r="109" spans="1:17" s="84" customFormat="1" x14ac:dyDescent="0.25">
      <c r="A109" s="81" t="s">
        <v>574</v>
      </c>
      <c r="B109" s="82" t="s">
        <v>291</v>
      </c>
      <c r="C109" s="82" t="s">
        <v>575</v>
      </c>
      <c r="D109" s="82" t="s">
        <v>118</v>
      </c>
      <c r="E109" s="82" t="s">
        <v>531</v>
      </c>
      <c r="F109" s="82">
        <v>2012</v>
      </c>
      <c r="G109" s="82" t="s">
        <v>576</v>
      </c>
      <c r="H109" s="82" t="s">
        <v>577</v>
      </c>
      <c r="I109" s="83"/>
      <c r="J109" s="83"/>
      <c r="K109" s="83"/>
      <c r="L109" s="83"/>
      <c r="M109" s="83"/>
      <c r="N109" s="83"/>
      <c r="O109" s="83"/>
      <c r="P109" s="83"/>
      <c r="Q109" s="83"/>
    </row>
    <row r="110" spans="1:17" s="84" customFormat="1" x14ac:dyDescent="0.25">
      <c r="A110" s="81" t="s">
        <v>578</v>
      </c>
      <c r="B110" s="82" t="s">
        <v>291</v>
      </c>
      <c r="C110" s="82" t="s">
        <v>579</v>
      </c>
      <c r="D110" s="82" t="s">
        <v>118</v>
      </c>
      <c r="E110" s="82" t="s">
        <v>531</v>
      </c>
      <c r="F110" s="82">
        <v>2012</v>
      </c>
      <c r="G110" s="82" t="s">
        <v>580</v>
      </c>
      <c r="H110" s="82" t="s">
        <v>581</v>
      </c>
      <c r="I110" s="83"/>
      <c r="J110" s="83"/>
      <c r="K110" s="83"/>
      <c r="L110" s="83"/>
      <c r="M110" s="83"/>
      <c r="N110" s="83"/>
      <c r="O110" s="83"/>
      <c r="P110" s="83"/>
      <c r="Q110" s="83"/>
    </row>
    <row r="111" spans="1:17" s="84" customFormat="1" x14ac:dyDescent="0.25">
      <c r="A111" s="81" t="s">
        <v>582</v>
      </c>
      <c r="B111" s="82" t="s">
        <v>291</v>
      </c>
      <c r="C111" s="82" t="s">
        <v>583</v>
      </c>
      <c r="D111" s="82" t="s">
        <v>118</v>
      </c>
      <c r="E111" s="82" t="s">
        <v>365</v>
      </c>
      <c r="F111" s="82">
        <v>2012</v>
      </c>
      <c r="G111" s="82" t="s">
        <v>584</v>
      </c>
      <c r="H111" s="82" t="s">
        <v>585</v>
      </c>
      <c r="I111" s="83"/>
      <c r="J111" s="83"/>
      <c r="K111" s="83"/>
      <c r="L111" s="83"/>
      <c r="M111" s="83"/>
      <c r="N111" s="83"/>
      <c r="O111" s="83"/>
      <c r="P111" s="83"/>
      <c r="Q111" s="83"/>
    </row>
    <row r="112" spans="1:17" s="84" customFormat="1" x14ac:dyDescent="0.25">
      <c r="A112" s="81" t="s">
        <v>586</v>
      </c>
      <c r="B112" s="82" t="s">
        <v>291</v>
      </c>
      <c r="C112" s="82" t="s">
        <v>587</v>
      </c>
      <c r="D112" s="82" t="s">
        <v>118</v>
      </c>
      <c r="E112" s="82" t="s">
        <v>365</v>
      </c>
      <c r="F112" s="82">
        <v>2013</v>
      </c>
      <c r="G112" s="82" t="s">
        <v>588</v>
      </c>
      <c r="H112" s="82" t="s">
        <v>589</v>
      </c>
      <c r="I112" s="83"/>
      <c r="J112" s="83"/>
      <c r="K112" s="83"/>
      <c r="L112" s="83"/>
      <c r="M112" s="83"/>
      <c r="N112" s="83"/>
      <c r="O112" s="83"/>
      <c r="P112" s="83"/>
      <c r="Q112" s="83"/>
    </row>
    <row r="113" spans="1:17" s="84" customFormat="1" x14ac:dyDescent="0.25">
      <c r="A113" s="81" t="s">
        <v>590</v>
      </c>
      <c r="B113" s="82" t="s">
        <v>291</v>
      </c>
      <c r="C113" s="82" t="s">
        <v>591</v>
      </c>
      <c r="D113" s="82" t="s">
        <v>105</v>
      </c>
      <c r="E113" s="82" t="s">
        <v>592</v>
      </c>
      <c r="F113" s="82">
        <v>2015</v>
      </c>
      <c r="G113" s="82" t="s">
        <v>593</v>
      </c>
      <c r="H113" s="82" t="s">
        <v>594</v>
      </c>
      <c r="I113" s="83"/>
      <c r="J113" s="83"/>
      <c r="K113" s="83"/>
      <c r="L113" s="83"/>
      <c r="M113" s="83"/>
      <c r="N113" s="83"/>
      <c r="O113" s="83"/>
      <c r="P113" s="83"/>
      <c r="Q113" s="83"/>
    </row>
    <row r="114" spans="1:17" s="84" customFormat="1" x14ac:dyDescent="0.25">
      <c r="A114" s="81" t="s">
        <v>595</v>
      </c>
      <c r="B114" s="82" t="s">
        <v>291</v>
      </c>
      <c r="C114" s="82" t="s">
        <v>596</v>
      </c>
      <c r="D114" s="82" t="s">
        <v>118</v>
      </c>
      <c r="E114" s="82" t="s">
        <v>365</v>
      </c>
      <c r="F114" s="82">
        <v>2015</v>
      </c>
      <c r="G114" s="82" t="s">
        <v>597</v>
      </c>
      <c r="H114" s="82" t="s">
        <v>598</v>
      </c>
      <c r="I114" s="83"/>
      <c r="J114" s="83"/>
      <c r="K114" s="83"/>
      <c r="L114" s="83"/>
      <c r="M114" s="83"/>
      <c r="N114" s="83"/>
      <c r="O114" s="83"/>
      <c r="P114" s="83"/>
      <c r="Q114" s="83"/>
    </row>
    <row r="115" spans="1:17" s="84" customFormat="1" x14ac:dyDescent="0.25">
      <c r="A115" s="81" t="s">
        <v>599</v>
      </c>
      <c r="B115" s="82" t="s">
        <v>291</v>
      </c>
      <c r="C115" s="82" t="s">
        <v>600</v>
      </c>
      <c r="D115" s="82" t="s">
        <v>118</v>
      </c>
      <c r="E115" s="82" t="s">
        <v>365</v>
      </c>
      <c r="F115" s="82">
        <v>2015</v>
      </c>
      <c r="G115" s="82" t="s">
        <v>601</v>
      </c>
      <c r="H115" s="82" t="s">
        <v>602</v>
      </c>
      <c r="I115" s="83"/>
      <c r="J115" s="83"/>
      <c r="K115" s="83"/>
      <c r="L115" s="83"/>
      <c r="M115" s="83"/>
      <c r="N115" s="83"/>
      <c r="O115" s="83"/>
      <c r="P115" s="83"/>
      <c r="Q115" s="83"/>
    </row>
    <row r="116" spans="1:17" s="84" customFormat="1" x14ac:dyDescent="0.25">
      <c r="A116" s="81" t="s">
        <v>603</v>
      </c>
      <c r="B116" s="82" t="s">
        <v>291</v>
      </c>
      <c r="C116" s="82" t="s">
        <v>604</v>
      </c>
      <c r="D116" s="82" t="s">
        <v>118</v>
      </c>
      <c r="E116" s="82" t="s">
        <v>365</v>
      </c>
      <c r="F116" s="82">
        <v>2015</v>
      </c>
      <c r="G116" s="82" t="s">
        <v>605</v>
      </c>
      <c r="H116" s="82" t="s">
        <v>606</v>
      </c>
      <c r="I116" s="83"/>
      <c r="J116" s="83"/>
      <c r="K116" s="83"/>
      <c r="L116" s="83"/>
      <c r="M116" s="83"/>
      <c r="N116" s="83"/>
      <c r="O116" s="83"/>
      <c r="P116" s="83"/>
      <c r="Q116" s="83"/>
    </row>
    <row r="117" spans="1:17" s="84" customFormat="1" x14ac:dyDescent="0.25">
      <c r="A117" s="81" t="s">
        <v>607</v>
      </c>
      <c r="B117" s="82" t="s">
        <v>291</v>
      </c>
      <c r="C117" s="82" t="s">
        <v>608</v>
      </c>
      <c r="D117" s="82" t="s">
        <v>118</v>
      </c>
      <c r="E117" s="82" t="s">
        <v>365</v>
      </c>
      <c r="F117" s="82">
        <v>2015</v>
      </c>
      <c r="G117" s="82" t="s">
        <v>609</v>
      </c>
      <c r="H117" s="82" t="s">
        <v>610</v>
      </c>
      <c r="I117" s="83"/>
      <c r="J117" s="83"/>
      <c r="K117" s="83"/>
      <c r="L117" s="83"/>
      <c r="M117" s="83"/>
      <c r="N117" s="83"/>
      <c r="O117" s="83"/>
      <c r="P117" s="83"/>
      <c r="Q117" s="83"/>
    </row>
    <row r="118" spans="1:17" s="84" customFormat="1" x14ac:dyDescent="0.25">
      <c r="A118" s="81" t="s">
        <v>611</v>
      </c>
      <c r="B118" s="82" t="s">
        <v>291</v>
      </c>
      <c r="C118" s="82" t="s">
        <v>612</v>
      </c>
      <c r="D118" s="82" t="s">
        <v>118</v>
      </c>
      <c r="E118" s="82" t="s">
        <v>365</v>
      </c>
      <c r="F118" s="82">
        <v>2015</v>
      </c>
      <c r="G118" s="82" t="s">
        <v>613</v>
      </c>
      <c r="H118" s="82" t="s">
        <v>610</v>
      </c>
      <c r="I118" s="83"/>
      <c r="J118" s="83"/>
      <c r="K118" s="83"/>
      <c r="L118" s="83"/>
      <c r="M118" s="83"/>
      <c r="N118" s="83"/>
      <c r="O118" s="83"/>
      <c r="P118" s="83"/>
      <c r="Q118" s="83"/>
    </row>
    <row r="119" spans="1:17" s="84" customFormat="1" x14ac:dyDescent="0.25">
      <c r="A119" s="81" t="s">
        <v>614</v>
      </c>
      <c r="B119" s="82" t="s">
        <v>291</v>
      </c>
      <c r="C119" s="82" t="s">
        <v>615</v>
      </c>
      <c r="D119" s="82" t="s">
        <v>118</v>
      </c>
      <c r="E119" s="82" t="s">
        <v>365</v>
      </c>
      <c r="F119" s="82">
        <v>2015</v>
      </c>
      <c r="G119" s="82" t="s">
        <v>616</v>
      </c>
      <c r="H119" s="82" t="s">
        <v>617</v>
      </c>
      <c r="I119" s="83"/>
      <c r="J119" s="83"/>
      <c r="K119" s="83"/>
      <c r="L119" s="83"/>
      <c r="M119" s="83"/>
      <c r="N119" s="83"/>
      <c r="O119" s="83"/>
      <c r="P119" s="83"/>
      <c r="Q119" s="83"/>
    </row>
    <row r="120" spans="1:17" s="84" customFormat="1" x14ac:dyDescent="0.25">
      <c r="A120" s="81" t="s">
        <v>618</v>
      </c>
      <c r="B120" s="82" t="s">
        <v>291</v>
      </c>
      <c r="C120" s="82" t="s">
        <v>619</v>
      </c>
      <c r="D120" s="82" t="s">
        <v>118</v>
      </c>
      <c r="E120" s="82" t="s">
        <v>620</v>
      </c>
      <c r="F120" s="82">
        <v>2015</v>
      </c>
      <c r="G120" s="82" t="s">
        <v>621</v>
      </c>
      <c r="H120" s="82" t="s">
        <v>622</v>
      </c>
      <c r="I120" s="83"/>
      <c r="J120" s="83"/>
      <c r="K120" s="83"/>
      <c r="L120" s="83"/>
      <c r="M120" s="83"/>
      <c r="N120" s="83"/>
      <c r="O120" s="83"/>
      <c r="P120" s="83"/>
      <c r="Q120" s="83"/>
    </row>
    <row r="121" spans="1:17" s="84" customFormat="1" x14ac:dyDescent="0.25">
      <c r="A121" s="81" t="s">
        <v>623</v>
      </c>
      <c r="B121" s="82" t="s">
        <v>291</v>
      </c>
      <c r="C121" s="82" t="s">
        <v>624</v>
      </c>
      <c r="D121" s="82" t="s">
        <v>118</v>
      </c>
      <c r="E121" s="82" t="s">
        <v>365</v>
      </c>
      <c r="F121" s="82">
        <v>2015</v>
      </c>
      <c r="G121" s="82" t="s">
        <v>625</v>
      </c>
      <c r="H121" s="82" t="s">
        <v>626</v>
      </c>
      <c r="I121" s="83"/>
      <c r="J121" s="83"/>
      <c r="K121" s="83"/>
      <c r="L121" s="83"/>
      <c r="M121" s="83"/>
      <c r="N121" s="83"/>
      <c r="O121" s="83"/>
      <c r="P121" s="83"/>
      <c r="Q121" s="83"/>
    </row>
    <row r="122" spans="1:17" s="84" customFormat="1" x14ac:dyDescent="0.25">
      <c r="A122" s="81" t="s">
        <v>627</v>
      </c>
      <c r="B122" s="82" t="s">
        <v>291</v>
      </c>
      <c r="C122" s="82" t="s">
        <v>628</v>
      </c>
      <c r="D122" s="82" t="s">
        <v>118</v>
      </c>
      <c r="E122" s="82" t="s">
        <v>531</v>
      </c>
      <c r="F122" s="82">
        <v>2015</v>
      </c>
      <c r="G122" s="82" t="s">
        <v>629</v>
      </c>
      <c r="H122" s="82" t="s">
        <v>630</v>
      </c>
      <c r="I122" s="83"/>
      <c r="J122" s="83"/>
      <c r="K122" s="83"/>
      <c r="L122" s="83"/>
      <c r="M122" s="83"/>
      <c r="N122" s="83"/>
      <c r="O122" s="83"/>
      <c r="P122" s="83"/>
      <c r="Q122" s="83"/>
    </row>
    <row r="123" spans="1:17" s="84" customFormat="1" x14ac:dyDescent="0.25">
      <c r="A123" s="81" t="s">
        <v>631</v>
      </c>
      <c r="B123" s="82" t="s">
        <v>291</v>
      </c>
      <c r="C123" s="82" t="s">
        <v>632</v>
      </c>
      <c r="D123" s="82" t="s">
        <v>118</v>
      </c>
      <c r="E123" s="82" t="s">
        <v>531</v>
      </c>
      <c r="F123" s="82">
        <v>2015</v>
      </c>
      <c r="G123" s="82" t="s">
        <v>633</v>
      </c>
      <c r="H123" s="82" t="s">
        <v>634</v>
      </c>
      <c r="I123" s="83"/>
      <c r="J123" s="83"/>
      <c r="K123" s="83"/>
      <c r="L123" s="83"/>
      <c r="M123" s="83"/>
      <c r="N123" s="83"/>
      <c r="O123" s="83"/>
      <c r="P123" s="83"/>
      <c r="Q123" s="83"/>
    </row>
    <row r="124" spans="1:17" s="84" customFormat="1" x14ac:dyDescent="0.25">
      <c r="A124" s="81" t="s">
        <v>635</v>
      </c>
      <c r="B124" s="82" t="s">
        <v>291</v>
      </c>
      <c r="C124" s="82" t="s">
        <v>636</v>
      </c>
      <c r="D124" s="82" t="s">
        <v>118</v>
      </c>
      <c r="E124" s="82" t="s">
        <v>365</v>
      </c>
      <c r="F124" s="82">
        <v>2015</v>
      </c>
      <c r="G124" s="82" t="s">
        <v>637</v>
      </c>
      <c r="H124" s="82" t="s">
        <v>638</v>
      </c>
      <c r="I124" s="83"/>
      <c r="J124" s="83"/>
      <c r="K124" s="83"/>
      <c r="L124" s="83"/>
      <c r="M124" s="83"/>
      <c r="N124" s="83"/>
      <c r="O124" s="83"/>
      <c r="P124" s="83"/>
      <c r="Q124" s="83"/>
    </row>
    <row r="125" spans="1:17" s="84" customFormat="1" x14ac:dyDescent="0.25">
      <c r="A125" s="81" t="s">
        <v>639</v>
      </c>
      <c r="B125" s="82" t="s">
        <v>291</v>
      </c>
      <c r="C125" s="82" t="s">
        <v>640</v>
      </c>
      <c r="D125" s="82" t="s">
        <v>118</v>
      </c>
      <c r="E125" s="82" t="s">
        <v>365</v>
      </c>
      <c r="F125" s="82">
        <v>2015</v>
      </c>
      <c r="G125" s="82" t="s">
        <v>641</v>
      </c>
      <c r="H125" s="82" t="s">
        <v>642</v>
      </c>
      <c r="I125" s="83"/>
      <c r="J125" s="83"/>
      <c r="K125" s="83"/>
      <c r="L125" s="83"/>
      <c r="M125" s="83"/>
      <c r="N125" s="83"/>
      <c r="O125" s="83"/>
      <c r="P125" s="83"/>
      <c r="Q125" s="83"/>
    </row>
    <row r="126" spans="1:17" s="84" customFormat="1" x14ac:dyDescent="0.25">
      <c r="A126" s="81" t="s">
        <v>643</v>
      </c>
      <c r="B126" s="82" t="s">
        <v>291</v>
      </c>
      <c r="C126" s="82" t="s">
        <v>644</v>
      </c>
      <c r="D126" s="82" t="s">
        <v>118</v>
      </c>
      <c r="E126" s="82" t="s">
        <v>365</v>
      </c>
      <c r="F126" s="82">
        <v>2015</v>
      </c>
      <c r="G126" s="82" t="s">
        <v>645</v>
      </c>
      <c r="H126" s="82" t="s">
        <v>646</v>
      </c>
      <c r="I126" s="83"/>
      <c r="J126" s="83"/>
      <c r="K126" s="83"/>
      <c r="L126" s="83"/>
      <c r="M126" s="83"/>
      <c r="N126" s="83"/>
      <c r="O126" s="83"/>
      <c r="P126" s="83"/>
      <c r="Q126" s="83"/>
    </row>
    <row r="127" spans="1:17" s="84" customFormat="1" x14ac:dyDescent="0.25">
      <c r="A127" s="81" t="s">
        <v>647</v>
      </c>
      <c r="B127" s="82" t="s">
        <v>291</v>
      </c>
      <c r="C127" s="82" t="s">
        <v>648</v>
      </c>
      <c r="D127" s="82" t="s">
        <v>118</v>
      </c>
      <c r="E127" s="82" t="s">
        <v>365</v>
      </c>
      <c r="F127" s="82">
        <v>2015</v>
      </c>
      <c r="G127" s="82" t="s">
        <v>649</v>
      </c>
      <c r="H127" s="82" t="s">
        <v>650</v>
      </c>
      <c r="I127" s="83"/>
      <c r="J127" s="83"/>
      <c r="K127" s="83"/>
      <c r="L127" s="83"/>
      <c r="M127" s="83"/>
      <c r="N127" s="83"/>
      <c r="O127" s="83"/>
      <c r="P127" s="83"/>
      <c r="Q127" s="83"/>
    </row>
    <row r="128" spans="1:17" s="84" customFormat="1" x14ac:dyDescent="0.25">
      <c r="A128" s="81" t="s">
        <v>651</v>
      </c>
      <c r="B128" s="82" t="s">
        <v>291</v>
      </c>
      <c r="C128" s="82" t="s">
        <v>652</v>
      </c>
      <c r="D128" s="82" t="s">
        <v>118</v>
      </c>
      <c r="E128" s="82" t="s">
        <v>365</v>
      </c>
      <c r="F128" s="82">
        <v>2015</v>
      </c>
      <c r="G128" s="82" t="s">
        <v>653</v>
      </c>
      <c r="H128" s="82" t="s">
        <v>654</v>
      </c>
      <c r="I128" s="83"/>
      <c r="J128" s="83"/>
      <c r="K128" s="83"/>
      <c r="L128" s="83"/>
      <c r="M128" s="83"/>
      <c r="N128" s="83"/>
      <c r="O128" s="83"/>
      <c r="P128" s="83"/>
      <c r="Q128" s="83"/>
    </row>
    <row r="129" spans="1:17" s="84" customFormat="1" x14ac:dyDescent="0.25">
      <c r="A129" s="81" t="s">
        <v>655</v>
      </c>
      <c r="B129" s="82" t="s">
        <v>291</v>
      </c>
      <c r="C129" s="82" t="s">
        <v>656</v>
      </c>
      <c r="D129" s="82" t="s">
        <v>118</v>
      </c>
      <c r="E129" s="82" t="s">
        <v>365</v>
      </c>
      <c r="F129" s="82">
        <v>2015</v>
      </c>
      <c r="G129" s="82" t="s">
        <v>657</v>
      </c>
      <c r="H129" s="82" t="s">
        <v>658</v>
      </c>
      <c r="I129" s="83"/>
      <c r="J129" s="83"/>
      <c r="K129" s="83"/>
      <c r="L129" s="83"/>
      <c r="M129" s="83"/>
      <c r="N129" s="83"/>
      <c r="O129" s="83"/>
      <c r="P129" s="83"/>
      <c r="Q129" s="83"/>
    </row>
    <row r="130" spans="1:17" s="84" customFormat="1" x14ac:dyDescent="0.25">
      <c r="A130" s="81" t="s">
        <v>659</v>
      </c>
      <c r="B130" s="82" t="s">
        <v>291</v>
      </c>
      <c r="C130" s="82" t="s">
        <v>660</v>
      </c>
      <c r="D130" s="82" t="s">
        <v>118</v>
      </c>
      <c r="E130" s="82" t="s">
        <v>365</v>
      </c>
      <c r="F130" s="82">
        <v>2015</v>
      </c>
      <c r="G130" s="82" t="s">
        <v>661</v>
      </c>
      <c r="H130" s="82" t="s">
        <v>662</v>
      </c>
      <c r="I130" s="83"/>
      <c r="J130" s="83"/>
      <c r="K130" s="83"/>
      <c r="L130" s="83"/>
      <c r="M130" s="83"/>
      <c r="N130" s="83"/>
      <c r="O130" s="83"/>
      <c r="P130" s="83"/>
      <c r="Q130" s="83"/>
    </row>
    <row r="131" spans="1:17" s="84" customFormat="1" x14ac:dyDescent="0.25">
      <c r="A131" s="81" t="s">
        <v>663</v>
      </c>
      <c r="B131" s="82" t="s">
        <v>291</v>
      </c>
      <c r="C131" s="82" t="s">
        <v>664</v>
      </c>
      <c r="D131" s="82" t="s">
        <v>118</v>
      </c>
      <c r="E131" s="82" t="s">
        <v>365</v>
      </c>
      <c r="F131" s="82">
        <v>2015</v>
      </c>
      <c r="G131" s="82" t="s">
        <v>665</v>
      </c>
      <c r="H131" s="82" t="s">
        <v>666</v>
      </c>
      <c r="I131" s="83"/>
      <c r="J131" s="83"/>
      <c r="K131" s="83"/>
      <c r="L131" s="83"/>
      <c r="M131" s="83"/>
      <c r="N131" s="83"/>
      <c r="O131" s="83"/>
      <c r="P131" s="83"/>
      <c r="Q131" s="83"/>
    </row>
    <row r="132" spans="1:17" s="84" customFormat="1" x14ac:dyDescent="0.25">
      <c r="A132" s="81" t="s">
        <v>667</v>
      </c>
      <c r="B132" s="82" t="s">
        <v>291</v>
      </c>
      <c r="C132" s="82" t="s">
        <v>668</v>
      </c>
      <c r="D132" s="82" t="s">
        <v>129</v>
      </c>
      <c r="E132" s="82" t="s">
        <v>669</v>
      </c>
      <c r="F132" s="82">
        <v>2015</v>
      </c>
      <c r="G132" s="82" t="s">
        <v>670</v>
      </c>
      <c r="H132" s="82" t="s">
        <v>671</v>
      </c>
      <c r="I132" s="83"/>
      <c r="J132" s="83"/>
      <c r="K132" s="83"/>
      <c r="L132" s="83"/>
      <c r="M132" s="83"/>
      <c r="N132" s="83"/>
      <c r="O132" s="83"/>
      <c r="P132" s="83"/>
      <c r="Q132" s="83"/>
    </row>
    <row r="133" spans="1:17" s="84" customFormat="1" x14ac:dyDescent="0.25">
      <c r="A133" s="81" t="s">
        <v>672</v>
      </c>
      <c r="B133" s="82" t="s">
        <v>291</v>
      </c>
      <c r="C133" s="82" t="s">
        <v>673</v>
      </c>
      <c r="D133" s="82" t="s">
        <v>129</v>
      </c>
      <c r="E133" s="82" t="s">
        <v>669</v>
      </c>
      <c r="F133" s="82">
        <v>2015</v>
      </c>
      <c r="G133" s="82" t="s">
        <v>674</v>
      </c>
      <c r="H133" s="82" t="s">
        <v>675</v>
      </c>
      <c r="I133" s="83"/>
      <c r="J133" s="83"/>
      <c r="K133" s="83"/>
      <c r="L133" s="83"/>
      <c r="M133" s="83"/>
      <c r="N133" s="83"/>
      <c r="O133" s="83"/>
      <c r="P133" s="83"/>
      <c r="Q133" s="83"/>
    </row>
    <row r="134" spans="1:17" s="84" customFormat="1" x14ac:dyDescent="0.25">
      <c r="A134" s="81" t="s">
        <v>676</v>
      </c>
      <c r="B134" s="82" t="s">
        <v>291</v>
      </c>
      <c r="C134" s="82" t="s">
        <v>677</v>
      </c>
      <c r="D134" s="82" t="s">
        <v>129</v>
      </c>
      <c r="E134" s="82" t="s">
        <v>678</v>
      </c>
      <c r="F134" s="82">
        <v>2015</v>
      </c>
      <c r="G134" s="82" t="s">
        <v>679</v>
      </c>
      <c r="H134" s="82" t="s">
        <v>680</v>
      </c>
      <c r="I134" s="83"/>
      <c r="J134" s="83"/>
      <c r="K134" s="83"/>
      <c r="L134" s="83"/>
      <c r="M134" s="83"/>
      <c r="N134" s="83"/>
      <c r="O134" s="83"/>
      <c r="P134" s="83"/>
      <c r="Q134" s="83"/>
    </row>
    <row r="135" spans="1:17" s="84" customFormat="1" x14ac:dyDescent="0.25">
      <c r="A135" s="81" t="s">
        <v>681</v>
      </c>
      <c r="B135" s="82" t="s">
        <v>291</v>
      </c>
      <c r="C135" s="82" t="s">
        <v>682</v>
      </c>
      <c r="D135" s="82" t="s">
        <v>129</v>
      </c>
      <c r="E135" s="82" t="s">
        <v>669</v>
      </c>
      <c r="F135" s="82">
        <v>2015</v>
      </c>
      <c r="G135" s="82" t="s">
        <v>683</v>
      </c>
      <c r="H135" s="82" t="s">
        <v>684</v>
      </c>
      <c r="I135" s="83"/>
      <c r="J135" s="83"/>
      <c r="K135" s="83"/>
      <c r="L135" s="83"/>
      <c r="M135" s="83"/>
      <c r="N135" s="83"/>
      <c r="O135" s="83"/>
      <c r="P135" s="83"/>
      <c r="Q135" s="83"/>
    </row>
    <row r="136" spans="1:17" s="84" customFormat="1" x14ac:dyDescent="0.25">
      <c r="A136" s="81" t="s">
        <v>685</v>
      </c>
      <c r="B136" s="82" t="s">
        <v>291</v>
      </c>
      <c r="C136" s="82" t="s">
        <v>686</v>
      </c>
      <c r="D136" s="82" t="s">
        <v>129</v>
      </c>
      <c r="E136" s="82" t="s">
        <v>669</v>
      </c>
      <c r="F136" s="82">
        <v>2015</v>
      </c>
      <c r="G136" s="82" t="s">
        <v>687</v>
      </c>
      <c r="H136" s="82" t="s">
        <v>688</v>
      </c>
      <c r="I136" s="83"/>
      <c r="J136" s="83"/>
      <c r="K136" s="83"/>
      <c r="L136" s="83"/>
      <c r="M136" s="83"/>
      <c r="N136" s="83"/>
      <c r="O136" s="83"/>
      <c r="P136" s="83"/>
      <c r="Q136" s="83"/>
    </row>
    <row r="137" spans="1:17" s="84" customFormat="1" x14ac:dyDescent="0.25">
      <c r="A137" s="81" t="s">
        <v>689</v>
      </c>
      <c r="B137" s="82" t="s">
        <v>291</v>
      </c>
      <c r="C137" s="82" t="s">
        <v>690</v>
      </c>
      <c r="D137" s="82" t="s">
        <v>129</v>
      </c>
      <c r="E137" s="82" t="s">
        <v>669</v>
      </c>
      <c r="F137" s="82">
        <v>2015</v>
      </c>
      <c r="G137" s="82" t="s">
        <v>691</v>
      </c>
      <c r="H137" s="82" t="s">
        <v>692</v>
      </c>
      <c r="I137" s="83"/>
      <c r="J137" s="83"/>
      <c r="K137" s="83"/>
      <c r="L137" s="83"/>
      <c r="M137" s="83"/>
      <c r="N137" s="83"/>
      <c r="O137" s="83"/>
      <c r="P137" s="83"/>
      <c r="Q137" s="83"/>
    </row>
    <row r="138" spans="1:17" s="84" customFormat="1" x14ac:dyDescent="0.25">
      <c r="A138" s="81" t="s">
        <v>693</v>
      </c>
      <c r="B138" s="82" t="s">
        <v>291</v>
      </c>
      <c r="C138" s="82" t="s">
        <v>694</v>
      </c>
      <c r="D138" s="82" t="s">
        <v>129</v>
      </c>
      <c r="E138" s="82" t="s">
        <v>669</v>
      </c>
      <c r="F138" s="82">
        <v>2015</v>
      </c>
      <c r="G138" s="82" t="s">
        <v>695</v>
      </c>
      <c r="H138" s="82" t="s">
        <v>696</v>
      </c>
      <c r="I138" s="83"/>
      <c r="J138" s="83"/>
      <c r="K138" s="83"/>
      <c r="L138" s="83"/>
      <c r="M138" s="83"/>
      <c r="N138" s="83"/>
      <c r="O138" s="83"/>
      <c r="P138" s="83"/>
      <c r="Q138" s="83"/>
    </row>
    <row r="139" spans="1:17" s="84" customFormat="1" x14ac:dyDescent="0.25">
      <c r="A139" s="81" t="s">
        <v>697</v>
      </c>
      <c r="B139" s="82" t="s">
        <v>291</v>
      </c>
      <c r="C139" s="82" t="s">
        <v>698</v>
      </c>
      <c r="D139" s="82" t="s">
        <v>129</v>
      </c>
      <c r="E139" s="82" t="s">
        <v>669</v>
      </c>
      <c r="F139" s="82">
        <v>2015</v>
      </c>
      <c r="G139" s="82" t="s">
        <v>699</v>
      </c>
      <c r="H139" s="82" t="s">
        <v>700</v>
      </c>
      <c r="I139" s="83"/>
      <c r="J139" s="83"/>
      <c r="K139" s="83"/>
      <c r="L139" s="83"/>
      <c r="M139" s="83"/>
      <c r="N139" s="83"/>
      <c r="O139" s="83"/>
      <c r="P139" s="83"/>
      <c r="Q139" s="83"/>
    </row>
    <row r="140" spans="1:17" s="84" customFormat="1" x14ac:dyDescent="0.25">
      <c r="A140" s="81" t="s">
        <v>701</v>
      </c>
      <c r="B140" s="82" t="s">
        <v>291</v>
      </c>
      <c r="C140" s="82" t="s">
        <v>702</v>
      </c>
      <c r="D140" s="82" t="s">
        <v>129</v>
      </c>
      <c r="E140" s="82" t="s">
        <v>669</v>
      </c>
      <c r="F140" s="82">
        <v>2015</v>
      </c>
      <c r="G140" s="82" t="s">
        <v>703</v>
      </c>
      <c r="H140" s="82" t="s">
        <v>704</v>
      </c>
      <c r="I140" s="83"/>
      <c r="J140" s="83"/>
      <c r="K140" s="83"/>
      <c r="L140" s="83"/>
      <c r="M140" s="83"/>
      <c r="N140" s="83"/>
      <c r="O140" s="83"/>
      <c r="P140" s="83"/>
      <c r="Q140" s="83"/>
    </row>
    <row r="141" spans="1:17" s="84" customFormat="1" x14ac:dyDescent="0.25">
      <c r="A141" s="81" t="s">
        <v>705</v>
      </c>
      <c r="B141" s="82" t="s">
        <v>291</v>
      </c>
      <c r="C141" s="82" t="s">
        <v>706</v>
      </c>
      <c r="D141" s="82" t="s">
        <v>129</v>
      </c>
      <c r="E141" s="82" t="s">
        <v>669</v>
      </c>
      <c r="F141" s="82">
        <v>2015</v>
      </c>
      <c r="G141" s="82" t="s">
        <v>707</v>
      </c>
      <c r="H141" s="82" t="s">
        <v>708</v>
      </c>
      <c r="I141" s="83"/>
      <c r="J141" s="83"/>
      <c r="K141" s="83"/>
      <c r="L141" s="83"/>
      <c r="M141" s="83"/>
      <c r="N141" s="83"/>
      <c r="O141" s="83"/>
      <c r="P141" s="83"/>
      <c r="Q141" s="83"/>
    </row>
    <row r="142" spans="1:17" s="84" customFormat="1" x14ac:dyDescent="0.25">
      <c r="A142" s="81" t="s">
        <v>709</v>
      </c>
      <c r="B142" s="82" t="s">
        <v>291</v>
      </c>
      <c r="C142" s="82" t="s">
        <v>710</v>
      </c>
      <c r="D142" s="82" t="s">
        <v>129</v>
      </c>
      <c r="E142" s="82" t="s">
        <v>669</v>
      </c>
      <c r="F142" s="82">
        <v>2015</v>
      </c>
      <c r="G142" s="82" t="s">
        <v>711</v>
      </c>
      <c r="H142" s="82" t="s">
        <v>712</v>
      </c>
      <c r="I142" s="83"/>
      <c r="J142" s="83"/>
      <c r="K142" s="83"/>
      <c r="L142" s="83"/>
      <c r="M142" s="83"/>
      <c r="N142" s="83"/>
      <c r="O142" s="83"/>
      <c r="P142" s="83"/>
      <c r="Q142" s="83"/>
    </row>
    <row r="143" spans="1:17" s="84" customFormat="1" x14ac:dyDescent="0.25">
      <c r="A143" s="81" t="s">
        <v>713</v>
      </c>
      <c r="B143" s="82" t="s">
        <v>291</v>
      </c>
      <c r="C143" s="82" t="s">
        <v>714</v>
      </c>
      <c r="D143" s="82" t="s">
        <v>129</v>
      </c>
      <c r="E143" s="82" t="s">
        <v>669</v>
      </c>
      <c r="F143" s="82">
        <v>2015</v>
      </c>
      <c r="G143" s="82" t="s">
        <v>715</v>
      </c>
      <c r="H143" s="82" t="s">
        <v>716</v>
      </c>
      <c r="I143" s="83"/>
      <c r="J143" s="83"/>
      <c r="K143" s="83"/>
      <c r="L143" s="83"/>
      <c r="M143" s="83"/>
      <c r="N143" s="83"/>
      <c r="O143" s="83"/>
      <c r="P143" s="83"/>
      <c r="Q143" s="83"/>
    </row>
    <row r="144" spans="1:17" s="84" customFormat="1" x14ac:dyDescent="0.25">
      <c r="A144" s="81" t="s">
        <v>717</v>
      </c>
      <c r="B144" s="82" t="s">
        <v>291</v>
      </c>
      <c r="C144" s="82" t="s">
        <v>718</v>
      </c>
      <c r="D144" s="82" t="s">
        <v>129</v>
      </c>
      <c r="E144" s="82" t="s">
        <v>669</v>
      </c>
      <c r="F144" s="82">
        <v>2015</v>
      </c>
      <c r="G144" s="82" t="s">
        <v>719</v>
      </c>
      <c r="H144" s="82" t="s">
        <v>720</v>
      </c>
      <c r="I144" s="83"/>
      <c r="J144" s="83"/>
      <c r="K144" s="83"/>
      <c r="L144" s="83"/>
      <c r="M144" s="83"/>
      <c r="N144" s="83"/>
      <c r="O144" s="83"/>
      <c r="P144" s="83"/>
      <c r="Q144" s="83"/>
    </row>
    <row r="145" spans="1:17" s="84" customFormat="1" x14ac:dyDescent="0.25">
      <c r="A145" s="81" t="s">
        <v>721</v>
      </c>
      <c r="B145" s="82" t="s">
        <v>291</v>
      </c>
      <c r="C145" s="82" t="s">
        <v>722</v>
      </c>
      <c r="D145" s="82" t="s">
        <v>129</v>
      </c>
      <c r="E145" s="82" t="s">
        <v>669</v>
      </c>
      <c r="F145" s="82">
        <v>2015</v>
      </c>
      <c r="G145" s="82" t="s">
        <v>723</v>
      </c>
      <c r="H145" s="82" t="s">
        <v>724</v>
      </c>
      <c r="I145" s="83"/>
      <c r="J145" s="83"/>
      <c r="K145" s="83"/>
      <c r="L145" s="83"/>
      <c r="M145" s="83"/>
      <c r="N145" s="83"/>
      <c r="O145" s="83"/>
      <c r="P145" s="83"/>
      <c r="Q145" s="83"/>
    </row>
    <row r="146" spans="1:17" s="84" customFormat="1" x14ac:dyDescent="0.25">
      <c r="A146" s="81" t="s">
        <v>725</v>
      </c>
      <c r="B146" s="82" t="s">
        <v>291</v>
      </c>
      <c r="C146" s="82" t="s">
        <v>726</v>
      </c>
      <c r="D146" s="82" t="s">
        <v>129</v>
      </c>
      <c r="E146" s="82" t="s">
        <v>669</v>
      </c>
      <c r="F146" s="82">
        <v>2015</v>
      </c>
      <c r="G146" s="82" t="s">
        <v>727</v>
      </c>
      <c r="H146" s="82" t="s">
        <v>728</v>
      </c>
      <c r="I146" s="83"/>
      <c r="J146" s="83"/>
      <c r="K146" s="83"/>
      <c r="L146" s="83"/>
      <c r="M146" s="83"/>
      <c r="N146" s="83"/>
      <c r="O146" s="83"/>
      <c r="P146" s="83"/>
      <c r="Q146" s="83"/>
    </row>
    <row r="147" spans="1:17" s="84" customFormat="1" x14ac:dyDescent="0.25">
      <c r="A147" s="81" t="s">
        <v>729</v>
      </c>
      <c r="B147" s="82" t="s">
        <v>291</v>
      </c>
      <c r="C147" s="82" t="s">
        <v>730</v>
      </c>
      <c r="D147" s="82" t="s">
        <v>129</v>
      </c>
      <c r="E147" s="82" t="s">
        <v>669</v>
      </c>
      <c r="F147" s="82">
        <v>2015</v>
      </c>
      <c r="G147" s="82" t="s">
        <v>731</v>
      </c>
      <c r="H147" s="82" t="s">
        <v>732</v>
      </c>
      <c r="I147" s="83"/>
      <c r="J147" s="83"/>
      <c r="K147" s="83"/>
      <c r="L147" s="83"/>
      <c r="M147" s="83"/>
      <c r="N147" s="83"/>
      <c r="O147" s="83"/>
      <c r="P147" s="83"/>
      <c r="Q147" s="83"/>
    </row>
    <row r="148" spans="1:17" s="84" customFormat="1" x14ac:dyDescent="0.25">
      <c r="A148" s="81" t="s">
        <v>733</v>
      </c>
      <c r="B148" s="82" t="s">
        <v>291</v>
      </c>
      <c r="C148" s="82" t="s">
        <v>734</v>
      </c>
      <c r="D148" s="82" t="s">
        <v>129</v>
      </c>
      <c r="E148" s="82" t="s">
        <v>669</v>
      </c>
      <c r="F148" s="82">
        <v>2015</v>
      </c>
      <c r="G148" s="82" t="s">
        <v>735</v>
      </c>
      <c r="H148" s="82" t="s">
        <v>736</v>
      </c>
      <c r="I148" s="83"/>
      <c r="J148" s="83"/>
      <c r="K148" s="83"/>
      <c r="L148" s="83"/>
      <c r="M148" s="83"/>
      <c r="N148" s="83"/>
      <c r="O148" s="83"/>
      <c r="P148" s="83"/>
      <c r="Q148" s="83"/>
    </row>
    <row r="149" spans="1:17" s="84" customFormat="1" x14ac:dyDescent="0.25">
      <c r="A149" s="81" t="s">
        <v>737</v>
      </c>
      <c r="B149" s="82" t="s">
        <v>291</v>
      </c>
      <c r="C149" s="82" t="s">
        <v>738</v>
      </c>
      <c r="D149" s="82" t="s">
        <v>129</v>
      </c>
      <c r="E149" s="82" t="s">
        <v>669</v>
      </c>
      <c r="F149" s="82">
        <v>2015</v>
      </c>
      <c r="G149" s="82" t="s">
        <v>739</v>
      </c>
      <c r="H149" s="82" t="s">
        <v>740</v>
      </c>
      <c r="I149" s="83"/>
      <c r="J149" s="83"/>
      <c r="K149" s="83"/>
      <c r="L149" s="83"/>
      <c r="M149" s="83"/>
      <c r="N149" s="83"/>
      <c r="O149" s="83"/>
      <c r="P149" s="83"/>
      <c r="Q149" s="83"/>
    </row>
    <row r="150" spans="1:17" s="84" customFormat="1" x14ac:dyDescent="0.25">
      <c r="A150" s="81" t="s">
        <v>741</v>
      </c>
      <c r="B150" s="82" t="s">
        <v>291</v>
      </c>
      <c r="C150" s="82" t="s">
        <v>742</v>
      </c>
      <c r="D150" s="82" t="s">
        <v>129</v>
      </c>
      <c r="E150" s="82" t="s">
        <v>669</v>
      </c>
      <c r="F150" s="82">
        <v>2015</v>
      </c>
      <c r="G150" s="82" t="s">
        <v>743</v>
      </c>
      <c r="H150" s="82" t="s">
        <v>744</v>
      </c>
      <c r="I150" s="83"/>
      <c r="J150" s="83"/>
      <c r="K150" s="83"/>
      <c r="L150" s="83"/>
      <c r="M150" s="83"/>
      <c r="N150" s="83"/>
      <c r="O150" s="83"/>
      <c r="P150" s="83"/>
      <c r="Q150" s="83"/>
    </row>
    <row r="151" spans="1:17" s="84" customFormat="1" x14ac:dyDescent="0.25">
      <c r="A151" s="81" t="s">
        <v>745</v>
      </c>
      <c r="B151" s="82" t="s">
        <v>291</v>
      </c>
      <c r="C151" s="82" t="s">
        <v>746</v>
      </c>
      <c r="D151" s="82" t="s">
        <v>129</v>
      </c>
      <c r="E151" s="82" t="s">
        <v>669</v>
      </c>
      <c r="F151" s="82">
        <v>2015</v>
      </c>
      <c r="G151" s="82" t="s">
        <v>715</v>
      </c>
      <c r="H151" s="82" t="s">
        <v>747</v>
      </c>
      <c r="I151" s="83"/>
      <c r="J151" s="83"/>
      <c r="K151" s="83"/>
      <c r="L151" s="83"/>
      <c r="M151" s="83"/>
      <c r="N151" s="83"/>
      <c r="O151" s="83"/>
      <c r="P151" s="83"/>
      <c r="Q151" s="83"/>
    </row>
    <row r="152" spans="1:17" s="84" customFormat="1" x14ac:dyDescent="0.25">
      <c r="A152" s="81" t="s">
        <v>748</v>
      </c>
      <c r="B152" s="82" t="s">
        <v>291</v>
      </c>
      <c r="C152" s="82" t="s">
        <v>749</v>
      </c>
      <c r="D152" s="82" t="s">
        <v>129</v>
      </c>
      <c r="E152" s="82" t="s">
        <v>669</v>
      </c>
      <c r="F152" s="82">
        <v>2015</v>
      </c>
      <c r="G152" s="82" t="s">
        <v>750</v>
      </c>
      <c r="H152" s="82" t="s">
        <v>751</v>
      </c>
      <c r="I152" s="83"/>
      <c r="J152" s="83"/>
      <c r="K152" s="83"/>
      <c r="L152" s="83"/>
      <c r="M152" s="83"/>
      <c r="N152" s="83"/>
      <c r="O152" s="83"/>
      <c r="P152" s="83"/>
      <c r="Q152" s="83"/>
    </row>
    <row r="153" spans="1:17" s="84" customFormat="1" x14ac:dyDescent="0.25">
      <c r="A153" s="81" t="s">
        <v>752</v>
      </c>
      <c r="B153" s="82" t="s">
        <v>291</v>
      </c>
      <c r="C153" s="82" t="s">
        <v>753</v>
      </c>
      <c r="D153" s="82" t="s">
        <v>129</v>
      </c>
      <c r="E153" s="82" t="s">
        <v>669</v>
      </c>
      <c r="F153" s="82">
        <v>2015</v>
      </c>
      <c r="G153" s="82" t="s">
        <v>754</v>
      </c>
      <c r="H153" s="82" t="s">
        <v>755</v>
      </c>
      <c r="I153" s="83"/>
      <c r="J153" s="83"/>
      <c r="K153" s="83"/>
      <c r="L153" s="83"/>
      <c r="M153" s="83"/>
      <c r="N153" s="83"/>
      <c r="O153" s="83"/>
      <c r="P153" s="83"/>
      <c r="Q153" s="83"/>
    </row>
    <row r="154" spans="1:17" s="84" customFormat="1" x14ac:dyDescent="0.25">
      <c r="A154" s="81" t="s">
        <v>756</v>
      </c>
      <c r="B154" s="82" t="s">
        <v>291</v>
      </c>
      <c r="C154" s="82" t="s">
        <v>757</v>
      </c>
      <c r="D154" s="82" t="s">
        <v>129</v>
      </c>
      <c r="E154" s="82" t="s">
        <v>669</v>
      </c>
      <c r="F154" s="82">
        <v>2015</v>
      </c>
      <c r="G154" s="82" t="s">
        <v>758</v>
      </c>
      <c r="H154" s="82" t="s">
        <v>759</v>
      </c>
      <c r="I154" s="83"/>
      <c r="J154" s="83"/>
      <c r="K154" s="83"/>
      <c r="L154" s="83"/>
      <c r="M154" s="83"/>
      <c r="N154" s="83"/>
      <c r="O154" s="83"/>
      <c r="P154" s="83"/>
      <c r="Q154" s="83"/>
    </row>
    <row r="155" spans="1:17" s="84" customFormat="1" x14ac:dyDescent="0.25">
      <c r="A155" s="81" t="s">
        <v>760</v>
      </c>
      <c r="B155" s="82" t="s">
        <v>291</v>
      </c>
      <c r="C155" s="82" t="s">
        <v>761</v>
      </c>
      <c r="D155" s="82" t="s">
        <v>129</v>
      </c>
      <c r="E155" s="82" t="s">
        <v>669</v>
      </c>
      <c r="F155" s="82">
        <v>2015</v>
      </c>
      <c r="G155" s="82" t="s">
        <v>762</v>
      </c>
      <c r="H155" s="82" t="s">
        <v>763</v>
      </c>
      <c r="I155" s="83"/>
      <c r="J155" s="83"/>
      <c r="K155" s="83"/>
      <c r="L155" s="83"/>
      <c r="M155" s="83"/>
      <c r="N155" s="83"/>
      <c r="O155" s="83"/>
      <c r="P155" s="83"/>
      <c r="Q155" s="83"/>
    </row>
    <row r="156" spans="1:17" s="84" customFormat="1" x14ac:dyDescent="0.25">
      <c r="A156" s="81" t="s">
        <v>764</v>
      </c>
      <c r="B156" s="82" t="s">
        <v>291</v>
      </c>
      <c r="C156" s="82" t="s">
        <v>765</v>
      </c>
      <c r="D156" s="82" t="s">
        <v>129</v>
      </c>
      <c r="E156" s="82" t="s">
        <v>669</v>
      </c>
      <c r="F156" s="82">
        <v>2015</v>
      </c>
      <c r="G156" s="82" t="s">
        <v>766</v>
      </c>
      <c r="H156" s="82" t="s">
        <v>767</v>
      </c>
      <c r="I156" s="83"/>
      <c r="J156" s="83"/>
      <c r="K156" s="83"/>
      <c r="L156" s="83"/>
      <c r="M156" s="83"/>
      <c r="N156" s="83"/>
      <c r="O156" s="83"/>
      <c r="P156" s="83"/>
      <c r="Q156" s="83"/>
    </row>
    <row r="157" spans="1:17" s="84" customFormat="1" x14ac:dyDescent="0.25">
      <c r="A157" s="81" t="s">
        <v>768</v>
      </c>
      <c r="B157" s="82" t="s">
        <v>291</v>
      </c>
      <c r="C157" s="82" t="s">
        <v>769</v>
      </c>
      <c r="D157" s="82" t="s">
        <v>129</v>
      </c>
      <c r="E157" s="82" t="s">
        <v>669</v>
      </c>
      <c r="F157" s="82">
        <v>2015</v>
      </c>
      <c r="G157" s="82" t="s">
        <v>770</v>
      </c>
      <c r="H157" s="82" t="s">
        <v>771</v>
      </c>
      <c r="I157" s="83"/>
      <c r="J157" s="83"/>
      <c r="K157" s="83"/>
      <c r="L157" s="83"/>
      <c r="M157" s="83"/>
      <c r="N157" s="83"/>
      <c r="O157" s="83"/>
      <c r="P157" s="83"/>
      <c r="Q157" s="83"/>
    </row>
    <row r="158" spans="1:17" s="84" customFormat="1" x14ac:dyDescent="0.25">
      <c r="A158" s="81" t="s">
        <v>772</v>
      </c>
      <c r="B158" s="82" t="s">
        <v>291</v>
      </c>
      <c r="C158" s="82" t="s">
        <v>773</v>
      </c>
      <c r="D158" s="82" t="s">
        <v>129</v>
      </c>
      <c r="E158" s="82" t="s">
        <v>669</v>
      </c>
      <c r="F158" s="82">
        <v>2015</v>
      </c>
      <c r="G158" s="82" t="s">
        <v>774</v>
      </c>
      <c r="H158" s="82" t="s">
        <v>775</v>
      </c>
      <c r="I158" s="83"/>
      <c r="J158" s="83"/>
      <c r="K158" s="83"/>
      <c r="L158" s="83"/>
      <c r="M158" s="83"/>
      <c r="N158" s="83"/>
      <c r="O158" s="83"/>
      <c r="P158" s="83"/>
      <c r="Q158" s="83"/>
    </row>
    <row r="159" spans="1:17" s="84" customFormat="1" x14ac:dyDescent="0.25">
      <c r="A159" s="81" t="s">
        <v>776</v>
      </c>
      <c r="B159" s="82" t="s">
        <v>291</v>
      </c>
      <c r="C159" s="82" t="s">
        <v>777</v>
      </c>
      <c r="D159" s="82" t="s">
        <v>129</v>
      </c>
      <c r="E159" s="82" t="s">
        <v>669</v>
      </c>
      <c r="F159" s="82">
        <v>2015</v>
      </c>
      <c r="G159" s="82" t="s">
        <v>778</v>
      </c>
      <c r="H159" s="82" t="s">
        <v>779</v>
      </c>
      <c r="I159" s="83"/>
      <c r="J159" s="83"/>
      <c r="K159" s="83"/>
      <c r="L159" s="83"/>
      <c r="M159" s="83"/>
      <c r="N159" s="83"/>
      <c r="O159" s="83"/>
      <c r="P159" s="83"/>
      <c r="Q159" s="83"/>
    </row>
    <row r="160" spans="1:17" s="84" customFormat="1" x14ac:dyDescent="0.25">
      <c r="A160" s="81" t="s">
        <v>780</v>
      </c>
      <c r="B160" s="82" t="s">
        <v>291</v>
      </c>
      <c r="C160" s="82" t="s">
        <v>781</v>
      </c>
      <c r="D160" s="82" t="s">
        <v>129</v>
      </c>
      <c r="E160" s="82" t="s">
        <v>669</v>
      </c>
      <c r="F160" s="82">
        <v>2015</v>
      </c>
      <c r="G160" s="82" t="s">
        <v>782</v>
      </c>
      <c r="H160" s="82" t="s">
        <v>783</v>
      </c>
      <c r="I160" s="83"/>
      <c r="J160" s="83"/>
      <c r="K160" s="83"/>
      <c r="L160" s="83"/>
      <c r="M160" s="83"/>
      <c r="N160" s="83"/>
      <c r="O160" s="83"/>
      <c r="P160" s="83"/>
      <c r="Q160" s="83"/>
    </row>
    <row r="161" spans="1:17" s="84" customFormat="1" x14ac:dyDescent="0.25">
      <c r="A161" s="81" t="s">
        <v>784</v>
      </c>
      <c r="B161" s="82" t="s">
        <v>291</v>
      </c>
      <c r="C161" s="82" t="s">
        <v>785</v>
      </c>
      <c r="D161" s="82" t="s">
        <v>129</v>
      </c>
      <c r="E161" s="82" t="s">
        <v>669</v>
      </c>
      <c r="F161" s="82">
        <v>2015</v>
      </c>
      <c r="G161" s="82" t="s">
        <v>786</v>
      </c>
      <c r="H161" s="82" t="s">
        <v>787</v>
      </c>
      <c r="I161" s="83"/>
      <c r="J161" s="83"/>
      <c r="K161" s="83"/>
      <c r="L161" s="83"/>
      <c r="M161" s="83"/>
      <c r="N161" s="83"/>
      <c r="O161" s="83"/>
      <c r="P161" s="83"/>
      <c r="Q161" s="83"/>
    </row>
    <row r="162" spans="1:17" s="84" customFormat="1" x14ac:dyDescent="0.25">
      <c r="A162" s="81" t="s">
        <v>788</v>
      </c>
      <c r="B162" s="82" t="s">
        <v>291</v>
      </c>
      <c r="C162" s="82" t="s">
        <v>789</v>
      </c>
      <c r="D162" s="82" t="s">
        <v>129</v>
      </c>
      <c r="E162" s="82" t="s">
        <v>669</v>
      </c>
      <c r="F162" s="82">
        <v>2015</v>
      </c>
      <c r="G162" s="82" t="s">
        <v>790</v>
      </c>
      <c r="H162" s="82" t="s">
        <v>791</v>
      </c>
      <c r="I162" s="83"/>
      <c r="J162" s="83"/>
      <c r="K162" s="83"/>
      <c r="L162" s="83"/>
      <c r="M162" s="83"/>
      <c r="N162" s="83"/>
      <c r="O162" s="83"/>
      <c r="P162" s="83"/>
      <c r="Q162" s="83"/>
    </row>
    <row r="163" spans="1:17" s="84" customFormat="1" x14ac:dyDescent="0.25">
      <c r="A163" s="81" t="s">
        <v>792</v>
      </c>
      <c r="B163" s="82" t="s">
        <v>291</v>
      </c>
      <c r="C163" s="82" t="s">
        <v>793</v>
      </c>
      <c r="D163" s="82" t="s">
        <v>129</v>
      </c>
      <c r="E163" s="82" t="s">
        <v>669</v>
      </c>
      <c r="F163" s="82">
        <v>2015</v>
      </c>
      <c r="G163" s="82" t="s">
        <v>794</v>
      </c>
      <c r="H163" s="82" t="s">
        <v>795</v>
      </c>
      <c r="I163" s="83"/>
      <c r="J163" s="83"/>
      <c r="K163" s="83"/>
      <c r="L163" s="83"/>
      <c r="M163" s="83"/>
      <c r="N163" s="83"/>
      <c r="O163" s="83"/>
      <c r="P163" s="83"/>
      <c r="Q163" s="83"/>
    </row>
    <row r="164" spans="1:17" s="84" customFormat="1" x14ac:dyDescent="0.25">
      <c r="A164" s="81" t="s">
        <v>796</v>
      </c>
      <c r="B164" s="82" t="s">
        <v>291</v>
      </c>
      <c r="C164" s="82" t="s">
        <v>797</v>
      </c>
      <c r="D164" s="82" t="s">
        <v>129</v>
      </c>
      <c r="E164" s="82" t="s">
        <v>669</v>
      </c>
      <c r="F164" s="82">
        <v>2015</v>
      </c>
      <c r="G164" s="82" t="s">
        <v>798</v>
      </c>
      <c r="H164" s="82" t="s">
        <v>799</v>
      </c>
      <c r="I164" s="83"/>
      <c r="J164" s="83"/>
      <c r="K164" s="83"/>
      <c r="L164" s="83"/>
      <c r="M164" s="83"/>
      <c r="N164" s="83"/>
      <c r="O164" s="83"/>
      <c r="P164" s="83"/>
      <c r="Q164" s="83"/>
    </row>
    <row r="165" spans="1:17" s="84" customFormat="1" x14ac:dyDescent="0.25">
      <c r="A165" s="81" t="s">
        <v>800</v>
      </c>
      <c r="B165" s="82" t="s">
        <v>291</v>
      </c>
      <c r="C165" s="82" t="s">
        <v>801</v>
      </c>
      <c r="D165" s="82" t="s">
        <v>129</v>
      </c>
      <c r="E165" s="82" t="s">
        <v>669</v>
      </c>
      <c r="F165" s="82">
        <v>2015</v>
      </c>
      <c r="G165" s="82" t="s">
        <v>802</v>
      </c>
      <c r="H165" s="82" t="s">
        <v>803</v>
      </c>
      <c r="I165" s="83"/>
      <c r="J165" s="83"/>
      <c r="K165" s="83"/>
      <c r="L165" s="83"/>
      <c r="M165" s="83"/>
      <c r="N165" s="83"/>
      <c r="O165" s="83"/>
      <c r="P165" s="83"/>
      <c r="Q165" s="83"/>
    </row>
    <row r="166" spans="1:17" s="84" customFormat="1" x14ac:dyDescent="0.25">
      <c r="A166" s="81" t="s">
        <v>804</v>
      </c>
      <c r="B166" s="82" t="s">
        <v>291</v>
      </c>
      <c r="C166" s="82" t="s">
        <v>805</v>
      </c>
      <c r="D166" s="82" t="s">
        <v>129</v>
      </c>
      <c r="E166" s="82" t="s">
        <v>669</v>
      </c>
      <c r="F166" s="82">
        <v>2015</v>
      </c>
      <c r="G166" s="82" t="s">
        <v>806</v>
      </c>
      <c r="H166" s="82" t="s">
        <v>807</v>
      </c>
      <c r="I166" s="83"/>
      <c r="J166" s="83"/>
      <c r="K166" s="83"/>
      <c r="L166" s="83"/>
      <c r="M166" s="83"/>
      <c r="N166" s="83"/>
      <c r="O166" s="83"/>
      <c r="P166" s="83"/>
      <c r="Q166" s="83"/>
    </row>
    <row r="167" spans="1:17" s="84" customFormat="1" x14ac:dyDescent="0.25">
      <c r="A167" s="81" t="s">
        <v>808</v>
      </c>
      <c r="B167" s="82" t="s">
        <v>291</v>
      </c>
      <c r="C167" s="82" t="s">
        <v>809</v>
      </c>
      <c r="D167" s="82" t="s">
        <v>129</v>
      </c>
      <c r="E167" s="82" t="s">
        <v>669</v>
      </c>
      <c r="F167" s="82">
        <v>2015</v>
      </c>
      <c r="G167" s="82" t="s">
        <v>810</v>
      </c>
      <c r="H167" s="82" t="s">
        <v>811</v>
      </c>
      <c r="I167" s="83"/>
      <c r="J167" s="83"/>
      <c r="K167" s="83"/>
      <c r="L167" s="83"/>
      <c r="M167" s="83"/>
      <c r="N167" s="83"/>
      <c r="O167" s="83"/>
      <c r="P167" s="83"/>
      <c r="Q167" s="83"/>
    </row>
    <row r="168" spans="1:17" s="84" customFormat="1" x14ac:dyDescent="0.25">
      <c r="A168" s="81" t="s">
        <v>812</v>
      </c>
      <c r="B168" s="82" t="s">
        <v>291</v>
      </c>
      <c r="C168" s="82" t="s">
        <v>813</v>
      </c>
      <c r="D168" s="82" t="s">
        <v>129</v>
      </c>
      <c r="E168" s="82" t="s">
        <v>669</v>
      </c>
      <c r="F168" s="82">
        <v>2015</v>
      </c>
      <c r="G168" s="82" t="s">
        <v>814</v>
      </c>
      <c r="H168" s="82" t="s">
        <v>815</v>
      </c>
      <c r="I168" s="83"/>
      <c r="J168" s="83"/>
      <c r="K168" s="83"/>
      <c r="L168" s="83"/>
      <c r="M168" s="83"/>
      <c r="N168" s="83"/>
      <c r="O168" s="83"/>
      <c r="P168" s="83"/>
      <c r="Q168" s="83"/>
    </row>
    <row r="169" spans="1:17" s="84" customFormat="1" x14ac:dyDescent="0.25">
      <c r="A169" s="81" t="s">
        <v>816</v>
      </c>
      <c r="B169" s="82" t="s">
        <v>291</v>
      </c>
      <c r="C169" s="82" t="s">
        <v>817</v>
      </c>
      <c r="D169" s="82" t="s">
        <v>129</v>
      </c>
      <c r="E169" s="82" t="s">
        <v>669</v>
      </c>
      <c r="F169" s="82">
        <v>2015</v>
      </c>
      <c r="G169" s="82" t="s">
        <v>818</v>
      </c>
      <c r="H169" s="82" t="s">
        <v>819</v>
      </c>
      <c r="I169" s="83"/>
      <c r="J169" s="83"/>
      <c r="K169" s="83"/>
      <c r="L169" s="83"/>
      <c r="M169" s="83"/>
      <c r="N169" s="83"/>
      <c r="O169" s="83"/>
      <c r="P169" s="83"/>
      <c r="Q169" s="83"/>
    </row>
    <row r="170" spans="1:17" s="84" customFormat="1" x14ac:dyDescent="0.25">
      <c r="A170" s="81" t="s">
        <v>820</v>
      </c>
      <c r="B170" s="82" t="s">
        <v>291</v>
      </c>
      <c r="C170" s="82" t="s">
        <v>821</v>
      </c>
      <c r="D170" s="82" t="s">
        <v>129</v>
      </c>
      <c r="E170" s="82" t="s">
        <v>669</v>
      </c>
      <c r="F170" s="82">
        <v>2015</v>
      </c>
      <c r="G170" s="82" t="s">
        <v>822</v>
      </c>
      <c r="H170" s="82" t="s">
        <v>823</v>
      </c>
      <c r="I170" s="83"/>
      <c r="J170" s="83"/>
      <c r="K170" s="83"/>
      <c r="L170" s="83"/>
      <c r="M170" s="83"/>
      <c r="N170" s="83"/>
      <c r="O170" s="83"/>
      <c r="P170" s="83"/>
      <c r="Q170" s="83"/>
    </row>
    <row r="171" spans="1:17" s="84" customFormat="1" x14ac:dyDescent="0.25">
      <c r="A171" s="81" t="s">
        <v>824</v>
      </c>
      <c r="B171" s="82" t="s">
        <v>291</v>
      </c>
      <c r="C171" s="82" t="s">
        <v>825</v>
      </c>
      <c r="D171" s="82" t="s">
        <v>129</v>
      </c>
      <c r="E171" s="82" t="s">
        <v>669</v>
      </c>
      <c r="F171" s="82">
        <v>2015</v>
      </c>
      <c r="G171" s="82" t="s">
        <v>826</v>
      </c>
      <c r="H171" s="82" t="s">
        <v>827</v>
      </c>
      <c r="I171" s="83"/>
      <c r="J171" s="83"/>
      <c r="K171" s="83"/>
      <c r="L171" s="83"/>
      <c r="M171" s="83"/>
      <c r="N171" s="83"/>
      <c r="O171" s="83"/>
      <c r="P171" s="83"/>
      <c r="Q171" s="83"/>
    </row>
    <row r="172" spans="1:17" s="84" customFormat="1" x14ac:dyDescent="0.25">
      <c r="A172" s="81" t="s">
        <v>828</v>
      </c>
      <c r="B172" s="82" t="s">
        <v>291</v>
      </c>
      <c r="C172" s="82" t="s">
        <v>829</v>
      </c>
      <c r="D172" s="82" t="s">
        <v>129</v>
      </c>
      <c r="E172" s="82" t="s">
        <v>669</v>
      </c>
      <c r="F172" s="82">
        <v>2015</v>
      </c>
      <c r="G172" s="82" t="s">
        <v>830</v>
      </c>
      <c r="H172" s="82" t="s">
        <v>831</v>
      </c>
      <c r="I172" s="83"/>
      <c r="J172" s="83"/>
      <c r="K172" s="83"/>
      <c r="L172" s="83"/>
      <c r="M172" s="83"/>
      <c r="N172" s="83"/>
      <c r="O172" s="83"/>
      <c r="P172" s="83"/>
      <c r="Q172" s="83"/>
    </row>
    <row r="173" spans="1:17" s="84" customFormat="1" x14ac:dyDescent="0.25">
      <c r="A173" s="81" t="s">
        <v>832</v>
      </c>
      <c r="B173" s="82" t="s">
        <v>291</v>
      </c>
      <c r="C173" s="82" t="s">
        <v>833</v>
      </c>
      <c r="D173" s="82" t="s">
        <v>129</v>
      </c>
      <c r="E173" s="82" t="s">
        <v>669</v>
      </c>
      <c r="F173" s="82">
        <v>2015</v>
      </c>
      <c r="G173" s="82" t="s">
        <v>834</v>
      </c>
      <c r="H173" s="82" t="s">
        <v>835</v>
      </c>
      <c r="I173" s="83"/>
      <c r="J173" s="83"/>
      <c r="K173" s="83"/>
      <c r="L173" s="83"/>
      <c r="M173" s="83"/>
      <c r="N173" s="83"/>
      <c r="O173" s="83"/>
      <c r="P173" s="83"/>
      <c r="Q173" s="83"/>
    </row>
    <row r="174" spans="1:17" s="84" customFormat="1" x14ac:dyDescent="0.25">
      <c r="A174" s="81" t="s">
        <v>836</v>
      </c>
      <c r="B174" s="82" t="s">
        <v>291</v>
      </c>
      <c r="C174" s="82" t="s">
        <v>837</v>
      </c>
      <c r="D174" s="82" t="s">
        <v>129</v>
      </c>
      <c r="E174" s="82" t="s">
        <v>669</v>
      </c>
      <c r="F174" s="82">
        <v>2015</v>
      </c>
      <c r="G174" s="82" t="s">
        <v>838</v>
      </c>
      <c r="H174" s="82" t="s">
        <v>839</v>
      </c>
      <c r="I174" s="83"/>
      <c r="J174" s="83"/>
      <c r="K174" s="83"/>
      <c r="L174" s="83"/>
      <c r="M174" s="83"/>
      <c r="N174" s="83"/>
      <c r="O174" s="83"/>
      <c r="P174" s="83"/>
      <c r="Q174" s="83"/>
    </row>
    <row r="175" spans="1:17" s="84" customFormat="1" x14ac:dyDescent="0.25">
      <c r="A175" s="81" t="s">
        <v>840</v>
      </c>
      <c r="B175" s="82" t="s">
        <v>291</v>
      </c>
      <c r="C175" s="82" t="s">
        <v>841</v>
      </c>
      <c r="D175" s="82" t="s">
        <v>129</v>
      </c>
      <c r="E175" s="82" t="s">
        <v>669</v>
      </c>
      <c r="F175" s="82">
        <v>2015</v>
      </c>
      <c r="G175" s="82" t="s">
        <v>842</v>
      </c>
      <c r="H175" s="82" t="s">
        <v>843</v>
      </c>
      <c r="I175" s="83"/>
      <c r="J175" s="83"/>
      <c r="K175" s="83"/>
      <c r="L175" s="83"/>
      <c r="M175" s="83"/>
      <c r="N175" s="83"/>
      <c r="O175" s="83"/>
      <c r="P175" s="83"/>
      <c r="Q175" s="83"/>
    </row>
    <row r="176" spans="1:17" s="84" customFormat="1" x14ac:dyDescent="0.25">
      <c r="A176" s="81" t="s">
        <v>844</v>
      </c>
      <c r="B176" s="82" t="s">
        <v>291</v>
      </c>
      <c r="C176" s="82" t="s">
        <v>845</v>
      </c>
      <c r="D176" s="82" t="s">
        <v>129</v>
      </c>
      <c r="E176" s="82" t="s">
        <v>669</v>
      </c>
      <c r="F176" s="82">
        <v>2015</v>
      </c>
      <c r="G176" s="82" t="s">
        <v>846</v>
      </c>
      <c r="H176" s="82" t="s">
        <v>847</v>
      </c>
      <c r="I176" s="83"/>
      <c r="J176" s="83"/>
      <c r="K176" s="83"/>
      <c r="L176" s="83"/>
      <c r="M176" s="83"/>
      <c r="N176" s="83"/>
      <c r="O176" s="83"/>
      <c r="P176" s="83"/>
      <c r="Q176" s="83"/>
    </row>
    <row r="177" spans="1:17" s="84" customFormat="1" x14ac:dyDescent="0.25">
      <c r="A177" s="81" t="s">
        <v>848</v>
      </c>
      <c r="B177" s="82" t="s">
        <v>291</v>
      </c>
      <c r="C177" s="82" t="s">
        <v>849</v>
      </c>
      <c r="D177" s="82" t="s">
        <v>129</v>
      </c>
      <c r="E177" s="82" t="s">
        <v>669</v>
      </c>
      <c r="F177" s="82">
        <v>2015</v>
      </c>
      <c r="G177" s="82" t="s">
        <v>850</v>
      </c>
      <c r="H177" s="82" t="s">
        <v>851</v>
      </c>
      <c r="I177" s="83"/>
      <c r="J177" s="83"/>
      <c r="K177" s="83"/>
      <c r="L177" s="83"/>
      <c r="M177" s="83"/>
      <c r="N177" s="83"/>
      <c r="O177" s="83"/>
      <c r="P177" s="83"/>
      <c r="Q177" s="83"/>
    </row>
    <row r="178" spans="1:17" s="84" customFormat="1" x14ac:dyDescent="0.25">
      <c r="A178" s="81" t="s">
        <v>852</v>
      </c>
      <c r="B178" s="82" t="s">
        <v>291</v>
      </c>
      <c r="C178" s="82" t="s">
        <v>853</v>
      </c>
      <c r="D178" s="82" t="s">
        <v>462</v>
      </c>
      <c r="E178" s="82" t="s">
        <v>854</v>
      </c>
      <c r="F178" s="82">
        <v>2018</v>
      </c>
      <c r="G178" s="82" t="s">
        <v>855</v>
      </c>
      <c r="H178" s="82" t="s">
        <v>856</v>
      </c>
      <c r="I178" s="83"/>
      <c r="J178" s="83"/>
      <c r="K178" s="83"/>
      <c r="L178" s="83"/>
      <c r="M178" s="83"/>
      <c r="N178" s="83"/>
      <c r="O178" s="83"/>
      <c r="P178" s="83"/>
      <c r="Q178" s="83"/>
    </row>
    <row r="179" spans="1:17" s="84" customFormat="1" x14ac:dyDescent="0.25">
      <c r="A179" s="81" t="s">
        <v>857</v>
      </c>
      <c r="B179" s="82" t="s">
        <v>291</v>
      </c>
      <c r="C179" s="82" t="s">
        <v>858</v>
      </c>
      <c r="D179" s="82" t="s">
        <v>163</v>
      </c>
      <c r="E179" s="82" t="s">
        <v>293</v>
      </c>
      <c r="F179" s="82">
        <v>2019</v>
      </c>
      <c r="G179" s="82" t="s">
        <v>859</v>
      </c>
      <c r="H179" s="82" t="s">
        <v>860</v>
      </c>
      <c r="I179" s="83"/>
      <c r="J179" s="83"/>
      <c r="K179" s="83"/>
      <c r="L179" s="83"/>
      <c r="M179" s="83"/>
      <c r="N179" s="83"/>
      <c r="O179" s="83"/>
      <c r="P179" s="83"/>
      <c r="Q179" s="83"/>
    </row>
    <row r="180" spans="1:17" s="84" customFormat="1" x14ac:dyDescent="0.25">
      <c r="A180" s="81" t="s">
        <v>861</v>
      </c>
      <c r="B180" s="82" t="s">
        <v>291</v>
      </c>
      <c r="C180" s="82" t="s">
        <v>862</v>
      </c>
      <c r="D180" s="82" t="s">
        <v>163</v>
      </c>
      <c r="E180" s="82" t="s">
        <v>293</v>
      </c>
      <c r="F180" s="82">
        <v>2019</v>
      </c>
      <c r="G180" s="82" t="s">
        <v>863</v>
      </c>
      <c r="H180" s="82" t="s">
        <v>864</v>
      </c>
      <c r="I180" s="83"/>
      <c r="J180" s="83"/>
      <c r="K180" s="83"/>
      <c r="L180" s="83"/>
      <c r="M180" s="83"/>
      <c r="N180" s="83"/>
      <c r="O180" s="83"/>
      <c r="P180" s="83"/>
      <c r="Q180" s="83"/>
    </row>
    <row r="181" spans="1:17" s="84" customFormat="1" x14ac:dyDescent="0.25">
      <c r="A181" s="81" t="s">
        <v>865</v>
      </c>
      <c r="B181" s="82" t="s">
        <v>291</v>
      </c>
      <c r="C181" s="82" t="s">
        <v>866</v>
      </c>
      <c r="D181" s="82" t="s">
        <v>163</v>
      </c>
      <c r="E181" s="82" t="s">
        <v>293</v>
      </c>
      <c r="F181" s="82">
        <v>2019</v>
      </c>
      <c r="G181" s="82" t="s">
        <v>867</v>
      </c>
      <c r="H181" s="82" t="s">
        <v>868</v>
      </c>
      <c r="I181" s="83"/>
      <c r="J181" s="83"/>
      <c r="K181" s="83"/>
      <c r="L181" s="83"/>
      <c r="M181" s="83"/>
      <c r="N181" s="83"/>
      <c r="O181" s="83"/>
      <c r="P181" s="83"/>
      <c r="Q181" s="83"/>
    </row>
    <row r="182" spans="1:17" s="84" customFormat="1" x14ac:dyDescent="0.25">
      <c r="A182" s="81" t="s">
        <v>869</v>
      </c>
      <c r="B182" s="82" t="s">
        <v>870</v>
      </c>
      <c r="C182" s="82" t="s">
        <v>871</v>
      </c>
      <c r="D182" s="82" t="s">
        <v>99</v>
      </c>
      <c r="E182" s="82" t="s">
        <v>99</v>
      </c>
      <c r="F182" s="82">
        <v>2005</v>
      </c>
      <c r="G182" s="82" t="s">
        <v>100</v>
      </c>
      <c r="H182" s="82" t="s">
        <v>872</v>
      </c>
      <c r="I182" s="83"/>
      <c r="J182" s="83"/>
      <c r="K182" s="83"/>
      <c r="L182" s="83"/>
      <c r="M182" s="83"/>
      <c r="N182" s="83"/>
      <c r="O182" s="83"/>
      <c r="P182" s="83"/>
      <c r="Q182" s="83"/>
    </row>
    <row r="183" spans="1:17" s="84" customFormat="1" x14ac:dyDescent="0.25">
      <c r="A183" s="81" t="s">
        <v>873</v>
      </c>
      <c r="B183" s="82" t="s">
        <v>870</v>
      </c>
      <c r="C183" s="82" t="s">
        <v>874</v>
      </c>
      <c r="D183" s="82" t="s">
        <v>99</v>
      </c>
      <c r="E183" s="82" t="s">
        <v>99</v>
      </c>
      <c r="F183" s="82">
        <v>2013</v>
      </c>
      <c r="G183" s="82" t="s">
        <v>100</v>
      </c>
      <c r="H183" s="82" t="s">
        <v>872</v>
      </c>
      <c r="I183" s="83"/>
      <c r="J183" s="83"/>
      <c r="K183" s="83"/>
      <c r="L183" s="83"/>
      <c r="M183" s="83"/>
      <c r="N183" s="83"/>
      <c r="O183" s="83"/>
      <c r="P183" s="83"/>
      <c r="Q183" s="83"/>
    </row>
    <row r="184" spans="1:17" s="84" customFormat="1" x14ac:dyDescent="0.25">
      <c r="A184" s="81" t="s">
        <v>875</v>
      </c>
      <c r="B184" s="82" t="s">
        <v>876</v>
      </c>
      <c r="C184" s="82" t="s">
        <v>877</v>
      </c>
      <c r="D184" s="82" t="s">
        <v>99</v>
      </c>
      <c r="E184" s="82" t="s">
        <v>99</v>
      </c>
      <c r="F184" s="82"/>
      <c r="G184" s="82" t="s">
        <v>100</v>
      </c>
      <c r="H184" s="82" t="s">
        <v>872</v>
      </c>
      <c r="I184" s="83"/>
      <c r="J184" s="83"/>
      <c r="K184" s="83"/>
      <c r="L184" s="83"/>
      <c r="M184" s="83"/>
      <c r="N184" s="83"/>
      <c r="O184" s="83"/>
      <c r="P184" s="83"/>
      <c r="Q184" s="83"/>
    </row>
    <row r="185" spans="1:17" s="84" customFormat="1" x14ac:dyDescent="0.25">
      <c r="A185" s="81" t="s">
        <v>878</v>
      </c>
      <c r="B185" s="82" t="s">
        <v>879</v>
      </c>
      <c r="C185" s="82" t="s">
        <v>880</v>
      </c>
      <c r="D185" s="82" t="s">
        <v>99</v>
      </c>
      <c r="E185" s="82" t="s">
        <v>99</v>
      </c>
      <c r="F185" s="82">
        <v>2013</v>
      </c>
      <c r="G185" s="82" t="s">
        <v>100</v>
      </c>
      <c r="H185" s="82" t="s">
        <v>872</v>
      </c>
      <c r="I185" s="83"/>
      <c r="J185" s="83"/>
      <c r="K185" s="83"/>
      <c r="L185" s="83"/>
      <c r="M185" s="83"/>
      <c r="N185" s="83"/>
      <c r="O185" s="83"/>
      <c r="P185" s="83"/>
      <c r="Q185" s="83"/>
    </row>
    <row r="186" spans="1:17" s="84" customFormat="1" x14ac:dyDescent="0.25">
      <c r="A186" s="81" t="s">
        <v>881</v>
      </c>
      <c r="B186" s="82" t="s">
        <v>882</v>
      </c>
      <c r="C186" s="82" t="s">
        <v>883</v>
      </c>
      <c r="D186" s="82" t="s">
        <v>99</v>
      </c>
      <c r="E186" s="82" t="s">
        <v>99</v>
      </c>
      <c r="F186" s="82">
        <v>2015</v>
      </c>
      <c r="G186" s="82" t="s">
        <v>100</v>
      </c>
      <c r="H186" s="82" t="s">
        <v>872</v>
      </c>
      <c r="I186" s="83"/>
      <c r="J186" s="83"/>
      <c r="K186" s="83"/>
      <c r="L186" s="83"/>
      <c r="M186" s="83"/>
      <c r="N186" s="83"/>
      <c r="O186" s="83"/>
      <c r="P186" s="83"/>
      <c r="Q186" s="83"/>
    </row>
    <row r="187" spans="1:17" s="84" customFormat="1" x14ac:dyDescent="0.25">
      <c r="A187" s="81" t="s">
        <v>884</v>
      </c>
      <c r="B187" s="82" t="s">
        <v>885</v>
      </c>
      <c r="C187" s="82" t="s">
        <v>886</v>
      </c>
      <c r="D187" s="82" t="s">
        <v>99</v>
      </c>
      <c r="E187" s="82" t="s">
        <v>99</v>
      </c>
      <c r="F187" s="82"/>
      <c r="G187" s="82" t="s">
        <v>100</v>
      </c>
      <c r="H187" s="82" t="s">
        <v>872</v>
      </c>
      <c r="I187" s="83"/>
      <c r="J187" s="83"/>
      <c r="K187" s="83"/>
      <c r="L187" s="83"/>
      <c r="M187" s="83"/>
      <c r="N187" s="83"/>
      <c r="O187" s="83"/>
      <c r="P187" s="83"/>
      <c r="Q187" s="83"/>
    </row>
    <row r="188" spans="1:17" s="84" customFormat="1" x14ac:dyDescent="0.25">
      <c r="A188" s="81" t="s">
        <v>887</v>
      </c>
      <c r="B188" s="82" t="s">
        <v>888</v>
      </c>
      <c r="C188" s="82" t="s">
        <v>889</v>
      </c>
      <c r="D188" s="82" t="s">
        <v>99</v>
      </c>
      <c r="E188" s="82" t="s">
        <v>99</v>
      </c>
      <c r="F188" s="82"/>
      <c r="G188" s="82" t="s">
        <v>100</v>
      </c>
      <c r="H188" s="82" t="s">
        <v>872</v>
      </c>
      <c r="I188" s="83"/>
      <c r="J188" s="83"/>
      <c r="K188" s="83"/>
      <c r="L188" s="83"/>
      <c r="M188" s="83"/>
      <c r="N188" s="83"/>
      <c r="O188" s="83"/>
      <c r="P188" s="83"/>
      <c r="Q188" s="83"/>
    </row>
    <row r="189" spans="1:17" s="84" customFormat="1" x14ac:dyDescent="0.25">
      <c r="A189" s="81" t="s">
        <v>890</v>
      </c>
      <c r="B189" s="82" t="s">
        <v>891</v>
      </c>
      <c r="C189" s="82" t="s">
        <v>892</v>
      </c>
      <c r="D189" s="82" t="s">
        <v>99</v>
      </c>
      <c r="E189" s="82" t="s">
        <v>99</v>
      </c>
      <c r="F189" s="82"/>
      <c r="G189" s="82" t="s">
        <v>100</v>
      </c>
      <c r="H189" s="82" t="s">
        <v>872</v>
      </c>
      <c r="I189" s="83"/>
      <c r="J189" s="83"/>
      <c r="K189" s="83"/>
      <c r="L189" s="83"/>
      <c r="M189" s="83"/>
      <c r="N189" s="83"/>
      <c r="O189" s="83"/>
      <c r="P189" s="83"/>
      <c r="Q189" s="83"/>
    </row>
    <row r="190" spans="1:17" s="84" customFormat="1" x14ac:dyDescent="0.25">
      <c r="A190" s="81" t="s">
        <v>893</v>
      </c>
      <c r="B190" s="82" t="s">
        <v>894</v>
      </c>
      <c r="C190" s="82" t="s">
        <v>895</v>
      </c>
      <c r="D190" s="82" t="s">
        <v>896</v>
      </c>
      <c r="E190" s="82" t="s">
        <v>99</v>
      </c>
      <c r="F190" s="82">
        <v>2008</v>
      </c>
      <c r="G190" s="82" t="s">
        <v>100</v>
      </c>
      <c r="H190" s="82" t="s">
        <v>897</v>
      </c>
      <c r="I190" s="83"/>
      <c r="J190" s="83"/>
      <c r="K190" s="83"/>
      <c r="L190" s="83"/>
      <c r="M190" s="83"/>
      <c r="N190" s="83"/>
      <c r="O190" s="83"/>
      <c r="P190" s="83"/>
      <c r="Q190" s="83"/>
    </row>
    <row r="191" spans="1:17" s="84" customFormat="1" x14ac:dyDescent="0.25">
      <c r="A191" s="81" t="s">
        <v>898</v>
      </c>
      <c r="B191" s="82" t="s">
        <v>899</v>
      </c>
      <c r="C191" s="82" t="s">
        <v>900</v>
      </c>
      <c r="D191" s="82" t="s">
        <v>901</v>
      </c>
      <c r="E191" s="82" t="s">
        <v>902</v>
      </c>
      <c r="F191" s="82">
        <v>2008</v>
      </c>
      <c r="G191" s="82" t="s">
        <v>903</v>
      </c>
      <c r="H191" s="82" t="s">
        <v>904</v>
      </c>
      <c r="I191" s="83"/>
      <c r="J191" s="83"/>
      <c r="K191" s="83"/>
      <c r="L191" s="83"/>
      <c r="M191" s="83"/>
      <c r="N191" s="83"/>
      <c r="O191" s="83"/>
      <c r="P191" s="83"/>
      <c r="Q191" s="83"/>
    </row>
    <row r="192" spans="1:17" s="84" customFormat="1" x14ac:dyDescent="0.25">
      <c r="A192" s="81" t="s">
        <v>905</v>
      </c>
      <c r="B192" s="82" t="s">
        <v>899</v>
      </c>
      <c r="C192" s="82" t="s">
        <v>906</v>
      </c>
      <c r="D192" s="82" t="s">
        <v>901</v>
      </c>
      <c r="E192" s="82" t="s">
        <v>902</v>
      </c>
      <c r="F192" s="82">
        <v>2008</v>
      </c>
      <c r="G192" s="82" t="s">
        <v>907</v>
      </c>
      <c r="H192" s="82" t="s">
        <v>908</v>
      </c>
      <c r="I192" s="83"/>
      <c r="J192" s="83"/>
      <c r="K192" s="83"/>
      <c r="L192" s="83"/>
      <c r="M192" s="83"/>
      <c r="N192" s="83"/>
      <c r="O192" s="83"/>
      <c r="P192" s="83"/>
      <c r="Q192" s="83"/>
    </row>
    <row r="193" spans="1:17" s="84" customFormat="1" x14ac:dyDescent="0.25">
      <c r="A193" s="81" t="s">
        <v>909</v>
      </c>
      <c r="B193" s="82" t="s">
        <v>910</v>
      </c>
      <c r="C193" s="82" t="s">
        <v>911</v>
      </c>
      <c r="D193" s="82" t="s">
        <v>242</v>
      </c>
      <c r="E193" s="82" t="s">
        <v>912</v>
      </c>
      <c r="F193" s="82">
        <v>2018</v>
      </c>
      <c r="G193" s="82" t="s">
        <v>913</v>
      </c>
      <c r="H193" s="82" t="s">
        <v>914</v>
      </c>
      <c r="I193" s="83"/>
      <c r="J193" s="83"/>
      <c r="K193" s="83"/>
      <c r="L193" s="83"/>
      <c r="M193" s="83"/>
      <c r="N193" s="83"/>
      <c r="O193" s="83"/>
      <c r="P193" s="83"/>
      <c r="Q193" s="83"/>
    </row>
    <row r="194" spans="1:17" s="84" customFormat="1" x14ac:dyDescent="0.25">
      <c r="A194" s="81" t="s">
        <v>915</v>
      </c>
      <c r="B194" s="82" t="s">
        <v>910</v>
      </c>
      <c r="C194" s="82" t="s">
        <v>916</v>
      </c>
      <c r="D194" s="82" t="s">
        <v>266</v>
      </c>
      <c r="E194" s="82" t="s">
        <v>917</v>
      </c>
      <c r="F194" s="82">
        <v>2008</v>
      </c>
      <c r="G194" s="82" t="s">
        <v>918</v>
      </c>
      <c r="H194" s="82" t="s">
        <v>919</v>
      </c>
      <c r="I194" s="83"/>
      <c r="J194" s="83"/>
      <c r="K194" s="83"/>
      <c r="L194" s="83"/>
      <c r="M194" s="83"/>
      <c r="N194" s="83"/>
      <c r="O194" s="83"/>
      <c r="P194" s="83"/>
      <c r="Q194" s="83"/>
    </row>
    <row r="195" spans="1:17" s="84" customFormat="1" x14ac:dyDescent="0.25">
      <c r="A195" s="81" t="s">
        <v>920</v>
      </c>
      <c r="B195" s="82" t="s">
        <v>921</v>
      </c>
      <c r="C195" s="82" t="s">
        <v>922</v>
      </c>
      <c r="D195" s="82" t="s">
        <v>901</v>
      </c>
      <c r="E195" s="82" t="s">
        <v>923</v>
      </c>
      <c r="F195" s="82">
        <v>2013</v>
      </c>
      <c r="G195" s="82" t="s">
        <v>924</v>
      </c>
      <c r="H195" s="82" t="s">
        <v>925</v>
      </c>
      <c r="I195" s="83"/>
      <c r="J195" s="83"/>
      <c r="K195" s="83"/>
      <c r="L195" s="83"/>
      <c r="M195" s="83"/>
      <c r="N195" s="83"/>
      <c r="O195" s="83"/>
      <c r="P195" s="83"/>
      <c r="Q195" s="83"/>
    </row>
    <row r="196" spans="1:17" s="84" customFormat="1" x14ac:dyDescent="0.25">
      <c r="A196" s="81" t="s">
        <v>926</v>
      </c>
      <c r="B196" s="82" t="s">
        <v>921</v>
      </c>
      <c r="C196" s="82" t="s">
        <v>927</v>
      </c>
      <c r="D196" s="82" t="s">
        <v>928</v>
      </c>
      <c r="E196" s="82" t="s">
        <v>929</v>
      </c>
      <c r="F196" s="82">
        <v>2021</v>
      </c>
      <c r="G196" s="82" t="s">
        <v>930</v>
      </c>
      <c r="H196" s="82" t="s">
        <v>931</v>
      </c>
      <c r="I196" s="83"/>
      <c r="J196" s="83"/>
      <c r="K196" s="83"/>
      <c r="L196" s="83"/>
      <c r="M196" s="83"/>
      <c r="N196" s="83"/>
      <c r="O196" s="83"/>
      <c r="P196" s="83"/>
      <c r="Q196" s="83"/>
    </row>
    <row r="197" spans="1:17" s="84" customFormat="1" x14ac:dyDescent="0.25">
      <c r="A197" s="81" t="s">
        <v>932</v>
      </c>
      <c r="B197" s="82" t="s">
        <v>921</v>
      </c>
      <c r="C197" s="82" t="s">
        <v>933</v>
      </c>
      <c r="D197" s="82" t="s">
        <v>928</v>
      </c>
      <c r="E197" s="82" t="s">
        <v>929</v>
      </c>
      <c r="F197" s="82">
        <v>2021</v>
      </c>
      <c r="G197" s="82" t="s">
        <v>934</v>
      </c>
      <c r="H197" s="82" t="s">
        <v>935</v>
      </c>
      <c r="I197" s="83"/>
      <c r="J197" s="83"/>
      <c r="K197" s="83"/>
      <c r="L197" s="83"/>
      <c r="M197" s="83"/>
      <c r="N197" s="83"/>
      <c r="O197" s="83"/>
      <c r="P197" s="83"/>
      <c r="Q197" s="83"/>
    </row>
    <row r="198" spans="1:17" s="84" customFormat="1" x14ac:dyDescent="0.25">
      <c r="A198" s="81" t="s">
        <v>936</v>
      </c>
      <c r="B198" s="82" t="s">
        <v>921</v>
      </c>
      <c r="C198" s="82" t="s">
        <v>937</v>
      </c>
      <c r="D198" s="82" t="s">
        <v>928</v>
      </c>
      <c r="E198" s="82" t="s">
        <v>929</v>
      </c>
      <c r="F198" s="82">
        <v>2021</v>
      </c>
      <c r="G198" s="82" t="s">
        <v>938</v>
      </c>
      <c r="H198" s="82" t="s">
        <v>939</v>
      </c>
      <c r="I198" s="83"/>
      <c r="J198" s="83"/>
      <c r="K198" s="83"/>
      <c r="L198" s="83"/>
      <c r="M198" s="83"/>
      <c r="N198" s="83"/>
      <c r="O198" s="83"/>
      <c r="P198" s="83"/>
      <c r="Q198" s="83"/>
    </row>
    <row r="199" spans="1:17" s="84" customFormat="1" x14ac:dyDescent="0.25">
      <c r="A199" s="81" t="s">
        <v>940</v>
      </c>
      <c r="B199" s="82" t="s">
        <v>921</v>
      </c>
      <c r="C199" s="82" t="s">
        <v>941</v>
      </c>
      <c r="D199" s="82" t="s">
        <v>928</v>
      </c>
      <c r="E199" s="82" t="s">
        <v>929</v>
      </c>
      <c r="F199" s="82">
        <v>2021</v>
      </c>
      <c r="G199" s="82" t="s">
        <v>942</v>
      </c>
      <c r="H199" s="82" t="s">
        <v>943</v>
      </c>
      <c r="I199" s="83"/>
      <c r="J199" s="83"/>
      <c r="K199" s="83"/>
      <c r="L199" s="83"/>
      <c r="M199" s="83"/>
      <c r="N199" s="83"/>
      <c r="O199" s="83"/>
      <c r="P199" s="83"/>
      <c r="Q199" s="83"/>
    </row>
    <row r="200" spans="1:17" s="84" customFormat="1" x14ac:dyDescent="0.25">
      <c r="A200" s="81" t="s">
        <v>944</v>
      </c>
      <c r="B200" s="82" t="s">
        <v>921</v>
      </c>
      <c r="C200" s="82" t="s">
        <v>945</v>
      </c>
      <c r="D200" s="82" t="s">
        <v>928</v>
      </c>
      <c r="E200" s="82" t="s">
        <v>929</v>
      </c>
      <c r="F200" s="82">
        <v>2021</v>
      </c>
      <c r="G200" s="82" t="s">
        <v>946</v>
      </c>
      <c r="H200" s="82" t="s">
        <v>947</v>
      </c>
      <c r="I200" s="83"/>
      <c r="J200" s="83"/>
      <c r="K200" s="83"/>
      <c r="L200" s="83"/>
      <c r="M200" s="83"/>
      <c r="N200" s="83"/>
      <c r="O200" s="83"/>
      <c r="P200" s="83"/>
      <c r="Q200" s="83"/>
    </row>
    <row r="201" spans="1:17" s="84" customFormat="1" x14ac:dyDescent="0.25">
      <c r="A201" s="81" t="s">
        <v>948</v>
      </c>
      <c r="B201" s="82" t="s">
        <v>921</v>
      </c>
      <c r="C201" s="82" t="s">
        <v>949</v>
      </c>
      <c r="D201" s="82" t="s">
        <v>901</v>
      </c>
      <c r="E201" s="82" t="s">
        <v>950</v>
      </c>
      <c r="F201" s="82">
        <v>2013</v>
      </c>
      <c r="G201" s="82" t="s">
        <v>951</v>
      </c>
      <c r="H201" s="82" t="s">
        <v>952</v>
      </c>
      <c r="I201" s="83"/>
      <c r="J201" s="83"/>
      <c r="K201" s="83"/>
      <c r="L201" s="83"/>
      <c r="M201" s="83"/>
      <c r="N201" s="83"/>
      <c r="O201" s="83"/>
      <c r="P201" s="83"/>
      <c r="Q201" s="83"/>
    </row>
    <row r="202" spans="1:17" s="84" customFormat="1" x14ac:dyDescent="0.25">
      <c r="A202" s="81" t="s">
        <v>953</v>
      </c>
      <c r="B202" s="82" t="s">
        <v>921</v>
      </c>
      <c r="C202" s="82" t="s">
        <v>954</v>
      </c>
      <c r="D202" s="82" t="s">
        <v>901</v>
      </c>
      <c r="E202" s="82" t="s">
        <v>923</v>
      </c>
      <c r="F202" s="82">
        <v>2013</v>
      </c>
      <c r="G202" s="82" t="s">
        <v>955</v>
      </c>
      <c r="H202" s="82" t="s">
        <v>956</v>
      </c>
      <c r="I202" s="83"/>
      <c r="J202" s="83"/>
      <c r="K202" s="83"/>
      <c r="L202" s="83"/>
      <c r="M202" s="83"/>
      <c r="N202" s="83"/>
      <c r="O202" s="83"/>
      <c r="P202" s="83"/>
      <c r="Q202" s="83"/>
    </row>
    <row r="203" spans="1:17" s="84" customFormat="1" x14ac:dyDescent="0.25">
      <c r="A203" s="81" t="s">
        <v>957</v>
      </c>
      <c r="B203" s="82" t="s">
        <v>921</v>
      </c>
      <c r="C203" s="82" t="s">
        <v>958</v>
      </c>
      <c r="D203" s="82" t="s">
        <v>901</v>
      </c>
      <c r="E203" s="82" t="s">
        <v>950</v>
      </c>
      <c r="F203" s="82">
        <v>2013</v>
      </c>
      <c r="G203" s="82" t="s">
        <v>959</v>
      </c>
      <c r="H203" s="82" t="s">
        <v>960</v>
      </c>
      <c r="I203" s="83"/>
      <c r="J203" s="83"/>
      <c r="K203" s="83"/>
      <c r="L203" s="83"/>
      <c r="M203" s="83"/>
      <c r="N203" s="83"/>
      <c r="O203" s="83"/>
      <c r="P203" s="83"/>
      <c r="Q203" s="83"/>
    </row>
    <row r="204" spans="1:17" s="84" customFormat="1" x14ac:dyDescent="0.25">
      <c r="A204" s="81" t="s">
        <v>961</v>
      </c>
      <c r="B204" s="82" t="s">
        <v>921</v>
      </c>
      <c r="C204" s="82" t="s">
        <v>962</v>
      </c>
      <c r="D204" s="82" t="s">
        <v>901</v>
      </c>
      <c r="E204" s="82" t="s">
        <v>950</v>
      </c>
      <c r="F204" s="82">
        <v>2013</v>
      </c>
      <c r="G204" s="82" t="s">
        <v>963</v>
      </c>
      <c r="H204" s="82" t="s">
        <v>964</v>
      </c>
      <c r="I204" s="83"/>
      <c r="J204" s="83"/>
      <c r="K204" s="83"/>
      <c r="L204" s="83"/>
      <c r="M204" s="83"/>
      <c r="N204" s="83"/>
      <c r="O204" s="83"/>
      <c r="P204" s="83"/>
      <c r="Q204" s="83"/>
    </row>
    <row r="205" spans="1:17" s="84" customFormat="1" x14ac:dyDescent="0.25">
      <c r="A205" s="81" t="s">
        <v>965</v>
      </c>
      <c r="B205" s="82" t="s">
        <v>921</v>
      </c>
      <c r="C205" s="82" t="s">
        <v>966</v>
      </c>
      <c r="D205" s="82" t="s">
        <v>901</v>
      </c>
      <c r="E205" s="82" t="s">
        <v>950</v>
      </c>
      <c r="F205" s="82">
        <v>2013</v>
      </c>
      <c r="G205" s="82" t="s">
        <v>967</v>
      </c>
      <c r="H205" s="82" t="s">
        <v>968</v>
      </c>
      <c r="I205" s="83"/>
      <c r="J205" s="83"/>
      <c r="K205" s="83"/>
      <c r="L205" s="83"/>
      <c r="M205" s="83"/>
      <c r="N205" s="83"/>
      <c r="O205" s="83"/>
      <c r="P205" s="83"/>
      <c r="Q205" s="83"/>
    </row>
    <row r="206" spans="1:17" s="84" customFormat="1" x14ac:dyDescent="0.25">
      <c r="A206" s="81" t="s">
        <v>969</v>
      </c>
      <c r="B206" s="82" t="s">
        <v>921</v>
      </c>
      <c r="C206" s="82" t="s">
        <v>970</v>
      </c>
      <c r="D206" s="82" t="s">
        <v>901</v>
      </c>
      <c r="E206" s="82" t="s">
        <v>950</v>
      </c>
      <c r="F206" s="82">
        <v>2013</v>
      </c>
      <c r="G206" s="82" t="s">
        <v>971</v>
      </c>
      <c r="H206" s="82" t="s">
        <v>972</v>
      </c>
      <c r="I206" s="83"/>
      <c r="J206" s="83"/>
      <c r="K206" s="83"/>
      <c r="L206" s="83"/>
      <c r="M206" s="83"/>
      <c r="N206" s="83"/>
      <c r="O206" s="83"/>
      <c r="P206" s="83"/>
      <c r="Q206" s="83"/>
    </row>
    <row r="207" spans="1:17" s="84" customFormat="1" x14ac:dyDescent="0.25">
      <c r="A207" s="81" t="s">
        <v>973</v>
      </c>
      <c r="B207" s="82" t="s">
        <v>921</v>
      </c>
      <c r="C207" s="82" t="s">
        <v>974</v>
      </c>
      <c r="D207" s="82" t="s">
        <v>901</v>
      </c>
      <c r="E207" s="82" t="s">
        <v>923</v>
      </c>
      <c r="F207" s="82">
        <v>2013</v>
      </c>
      <c r="G207" s="82" t="s">
        <v>975</v>
      </c>
      <c r="H207" s="82" t="s">
        <v>976</v>
      </c>
      <c r="I207" s="83"/>
      <c r="J207" s="83"/>
      <c r="K207" s="83"/>
      <c r="L207" s="83"/>
      <c r="M207" s="83"/>
      <c r="N207" s="83"/>
      <c r="O207" s="83"/>
      <c r="P207" s="83"/>
      <c r="Q207" s="83"/>
    </row>
    <row r="208" spans="1:17" s="84" customFormat="1" x14ac:dyDescent="0.25">
      <c r="A208" s="81" t="s">
        <v>977</v>
      </c>
      <c r="B208" s="82" t="s">
        <v>921</v>
      </c>
      <c r="C208" s="82" t="s">
        <v>978</v>
      </c>
      <c r="D208" s="82" t="s">
        <v>901</v>
      </c>
      <c r="E208" s="82" t="s">
        <v>923</v>
      </c>
      <c r="F208" s="82">
        <v>2013</v>
      </c>
      <c r="G208" s="82" t="s">
        <v>979</v>
      </c>
      <c r="H208" s="82" t="s">
        <v>980</v>
      </c>
      <c r="I208" s="83"/>
      <c r="J208" s="83"/>
      <c r="K208" s="83"/>
      <c r="L208" s="83"/>
      <c r="M208" s="83"/>
      <c r="N208" s="83"/>
      <c r="O208" s="83"/>
      <c r="P208" s="83"/>
      <c r="Q208" s="83"/>
    </row>
    <row r="209" spans="1:17" s="84" customFormat="1" x14ac:dyDescent="0.25">
      <c r="A209" s="81" t="s">
        <v>981</v>
      </c>
      <c r="B209" s="82" t="s">
        <v>921</v>
      </c>
      <c r="C209" s="82" t="s">
        <v>982</v>
      </c>
      <c r="D209" s="82" t="s">
        <v>901</v>
      </c>
      <c r="E209" s="82" t="s">
        <v>923</v>
      </c>
      <c r="F209" s="82">
        <v>2013</v>
      </c>
      <c r="G209" s="82" t="s">
        <v>983</v>
      </c>
      <c r="H209" s="82" t="s">
        <v>984</v>
      </c>
      <c r="I209" s="83"/>
      <c r="J209" s="83"/>
      <c r="K209" s="83"/>
      <c r="L209" s="83"/>
      <c r="M209" s="83"/>
      <c r="N209" s="83"/>
      <c r="O209" s="83"/>
      <c r="P209" s="83"/>
      <c r="Q209" s="83"/>
    </row>
    <row r="210" spans="1:17" s="84" customFormat="1" x14ac:dyDescent="0.25">
      <c r="A210" s="81" t="s">
        <v>985</v>
      </c>
      <c r="B210" s="82" t="s">
        <v>921</v>
      </c>
      <c r="C210" s="82" t="s">
        <v>986</v>
      </c>
      <c r="D210" s="82" t="s">
        <v>901</v>
      </c>
      <c r="E210" s="82" t="s">
        <v>923</v>
      </c>
      <c r="F210" s="82">
        <v>2013</v>
      </c>
      <c r="G210" s="82" t="s">
        <v>987</v>
      </c>
      <c r="H210" s="82" t="s">
        <v>988</v>
      </c>
      <c r="I210" s="83"/>
      <c r="J210" s="83"/>
      <c r="K210" s="83"/>
      <c r="L210" s="83"/>
      <c r="M210" s="83"/>
      <c r="N210" s="83"/>
      <c r="O210" s="83"/>
      <c r="P210" s="83"/>
      <c r="Q210" s="83"/>
    </row>
    <row r="211" spans="1:17" s="84" customFormat="1" x14ac:dyDescent="0.25">
      <c r="A211" s="81" t="s">
        <v>989</v>
      </c>
      <c r="B211" s="82" t="s">
        <v>921</v>
      </c>
      <c r="C211" s="82" t="s">
        <v>990</v>
      </c>
      <c r="D211" s="82" t="s">
        <v>901</v>
      </c>
      <c r="E211" s="82" t="s">
        <v>923</v>
      </c>
      <c r="F211" s="82">
        <v>2013</v>
      </c>
      <c r="G211" s="82" t="s">
        <v>991</v>
      </c>
      <c r="H211" s="82" t="s">
        <v>992</v>
      </c>
      <c r="I211" s="83"/>
      <c r="J211" s="83"/>
      <c r="K211" s="83"/>
      <c r="L211" s="83"/>
      <c r="M211" s="83"/>
      <c r="N211" s="83"/>
      <c r="O211" s="83"/>
      <c r="P211" s="83"/>
      <c r="Q211" s="83"/>
    </row>
    <row r="212" spans="1:17" s="84" customFormat="1" x14ac:dyDescent="0.25">
      <c r="A212" s="81" t="s">
        <v>993</v>
      </c>
      <c r="B212" s="82" t="s">
        <v>921</v>
      </c>
      <c r="C212" s="82" t="s">
        <v>994</v>
      </c>
      <c r="D212" s="82" t="s">
        <v>901</v>
      </c>
      <c r="E212" s="82" t="s">
        <v>923</v>
      </c>
      <c r="F212" s="82">
        <v>2013</v>
      </c>
      <c r="G212" s="82" t="s">
        <v>995</v>
      </c>
      <c r="H212" s="82" t="s">
        <v>996</v>
      </c>
      <c r="I212" s="83"/>
      <c r="J212" s="83"/>
      <c r="K212" s="83"/>
      <c r="L212" s="83"/>
      <c r="M212" s="83"/>
      <c r="N212" s="83"/>
      <c r="O212" s="83"/>
      <c r="P212" s="83"/>
      <c r="Q212" s="83"/>
    </row>
    <row r="213" spans="1:17" s="84" customFormat="1" x14ac:dyDescent="0.25">
      <c r="A213" s="81" t="s">
        <v>997</v>
      </c>
      <c r="B213" s="82" t="s">
        <v>921</v>
      </c>
      <c r="C213" s="82" t="s">
        <v>998</v>
      </c>
      <c r="D213" s="82" t="s">
        <v>901</v>
      </c>
      <c r="E213" s="82" t="s">
        <v>923</v>
      </c>
      <c r="F213" s="82">
        <v>2013</v>
      </c>
      <c r="G213" s="82" t="s">
        <v>999</v>
      </c>
      <c r="H213" s="82" t="s">
        <v>1000</v>
      </c>
      <c r="I213" s="83"/>
      <c r="J213" s="83"/>
      <c r="K213" s="83"/>
      <c r="L213" s="83"/>
      <c r="M213" s="83"/>
      <c r="N213" s="83"/>
      <c r="O213" s="83"/>
      <c r="P213" s="83"/>
      <c r="Q213" s="83"/>
    </row>
    <row r="214" spans="1:17" s="84" customFormat="1" x14ac:dyDescent="0.25">
      <c r="A214" s="81" t="s">
        <v>1001</v>
      </c>
      <c r="B214" s="82" t="s">
        <v>921</v>
      </c>
      <c r="C214" s="82" t="s">
        <v>1002</v>
      </c>
      <c r="D214" s="82" t="s">
        <v>901</v>
      </c>
      <c r="E214" s="82" t="s">
        <v>923</v>
      </c>
      <c r="F214" s="82">
        <v>2013</v>
      </c>
      <c r="G214" s="82" t="s">
        <v>1003</v>
      </c>
      <c r="H214" s="82" t="s">
        <v>1004</v>
      </c>
      <c r="I214" s="83"/>
      <c r="J214" s="83"/>
      <c r="K214" s="83"/>
      <c r="L214" s="83"/>
      <c r="M214" s="83"/>
      <c r="N214" s="83"/>
      <c r="O214" s="83"/>
      <c r="P214" s="83"/>
      <c r="Q214" s="83"/>
    </row>
    <row r="215" spans="1:17" s="84" customFormat="1" x14ac:dyDescent="0.25">
      <c r="A215" s="81" t="s">
        <v>1005</v>
      </c>
      <c r="B215" s="82" t="s">
        <v>921</v>
      </c>
      <c r="C215" s="82" t="s">
        <v>1006</v>
      </c>
      <c r="D215" s="82" t="s">
        <v>901</v>
      </c>
      <c r="E215" s="82" t="s">
        <v>923</v>
      </c>
      <c r="F215" s="82">
        <v>2013</v>
      </c>
      <c r="G215" s="82" t="s">
        <v>924</v>
      </c>
      <c r="H215" s="82" t="s">
        <v>925</v>
      </c>
      <c r="I215" s="83"/>
      <c r="J215" s="83"/>
      <c r="K215" s="83"/>
      <c r="L215" s="83"/>
      <c r="M215" s="83"/>
      <c r="N215" s="83"/>
      <c r="O215" s="83"/>
      <c r="P215" s="83"/>
      <c r="Q215" s="83"/>
    </row>
    <row r="216" spans="1:17" s="84" customFormat="1" x14ac:dyDescent="0.25">
      <c r="A216" s="81" t="s">
        <v>1007</v>
      </c>
      <c r="B216" s="82" t="s">
        <v>921</v>
      </c>
      <c r="C216" s="82" t="s">
        <v>1008</v>
      </c>
      <c r="D216" s="82" t="s">
        <v>901</v>
      </c>
      <c r="E216" s="82" t="s">
        <v>923</v>
      </c>
      <c r="F216" s="82">
        <v>2013</v>
      </c>
      <c r="G216" s="82" t="s">
        <v>1009</v>
      </c>
      <c r="H216" s="82" t="s">
        <v>1010</v>
      </c>
      <c r="I216" s="83"/>
      <c r="J216" s="83"/>
      <c r="K216" s="83"/>
      <c r="L216" s="83"/>
      <c r="M216" s="83"/>
      <c r="N216" s="83"/>
      <c r="O216" s="83"/>
      <c r="P216" s="83"/>
      <c r="Q216" s="83"/>
    </row>
    <row r="217" spans="1:17" s="84" customFormat="1" x14ac:dyDescent="0.25">
      <c r="A217" s="81" t="s">
        <v>1011</v>
      </c>
      <c r="B217" s="82" t="s">
        <v>921</v>
      </c>
      <c r="C217" s="82" t="s">
        <v>1012</v>
      </c>
      <c r="D217" s="82" t="s">
        <v>901</v>
      </c>
      <c r="E217" s="82" t="s">
        <v>923</v>
      </c>
      <c r="F217" s="82">
        <v>2013</v>
      </c>
      <c r="G217" s="82" t="s">
        <v>1013</v>
      </c>
      <c r="H217" s="82" t="s">
        <v>1014</v>
      </c>
      <c r="I217" s="83"/>
      <c r="J217" s="83"/>
      <c r="K217" s="83"/>
      <c r="L217" s="83"/>
      <c r="M217" s="83"/>
      <c r="N217" s="83"/>
      <c r="O217" s="83"/>
      <c r="P217" s="83"/>
      <c r="Q217" s="83"/>
    </row>
    <row r="218" spans="1:17" s="84" customFormat="1" x14ac:dyDescent="0.25">
      <c r="A218" s="81" t="s">
        <v>1015</v>
      </c>
      <c r="B218" s="82" t="s">
        <v>921</v>
      </c>
      <c r="C218" s="82" t="s">
        <v>1016</v>
      </c>
      <c r="D218" s="82" t="s">
        <v>901</v>
      </c>
      <c r="E218" s="82" t="s">
        <v>923</v>
      </c>
      <c r="F218" s="82">
        <v>2013</v>
      </c>
      <c r="G218" s="82" t="s">
        <v>1017</v>
      </c>
      <c r="H218" s="82" t="s">
        <v>1018</v>
      </c>
      <c r="I218" s="83"/>
      <c r="J218" s="83"/>
      <c r="K218" s="83"/>
      <c r="L218" s="83"/>
      <c r="M218" s="83"/>
      <c r="N218" s="83"/>
      <c r="O218" s="83"/>
      <c r="P218" s="83"/>
      <c r="Q218" s="83"/>
    </row>
    <row r="219" spans="1:17" s="84" customFormat="1" x14ac:dyDescent="0.25">
      <c r="A219" s="81" t="s">
        <v>1019</v>
      </c>
      <c r="B219" s="82" t="s">
        <v>921</v>
      </c>
      <c r="C219" s="82" t="s">
        <v>1020</v>
      </c>
      <c r="D219" s="82" t="s">
        <v>901</v>
      </c>
      <c r="E219" s="82" t="s">
        <v>950</v>
      </c>
      <c r="F219" s="82">
        <v>2008</v>
      </c>
      <c r="G219" s="82" t="s">
        <v>1021</v>
      </c>
      <c r="H219" s="82" t="s">
        <v>1022</v>
      </c>
      <c r="I219" s="83"/>
      <c r="J219" s="83"/>
      <c r="K219" s="83"/>
      <c r="L219" s="83"/>
      <c r="M219" s="83"/>
      <c r="N219" s="83"/>
      <c r="O219" s="83"/>
      <c r="P219" s="83"/>
      <c r="Q219" s="83"/>
    </row>
    <row r="220" spans="1:17" s="84" customFormat="1" x14ac:dyDescent="0.25">
      <c r="A220" s="81" t="s">
        <v>1023</v>
      </c>
      <c r="B220" s="82" t="s">
        <v>921</v>
      </c>
      <c r="C220" s="82" t="s">
        <v>1024</v>
      </c>
      <c r="D220" s="82" t="s">
        <v>901</v>
      </c>
      <c r="E220" s="82" t="s">
        <v>950</v>
      </c>
      <c r="F220" s="82">
        <v>2008</v>
      </c>
      <c r="G220" s="82" t="s">
        <v>1025</v>
      </c>
      <c r="H220" s="82" t="s">
        <v>1026</v>
      </c>
      <c r="I220" s="83"/>
      <c r="J220" s="83"/>
      <c r="K220" s="83"/>
      <c r="L220" s="83"/>
      <c r="M220" s="83"/>
      <c r="N220" s="83"/>
      <c r="O220" s="83"/>
      <c r="P220" s="83"/>
      <c r="Q220" s="83"/>
    </row>
    <row r="221" spans="1:17" s="84" customFormat="1" x14ac:dyDescent="0.25">
      <c r="A221" s="81" t="s">
        <v>1027</v>
      </c>
      <c r="B221" s="82" t="s">
        <v>921</v>
      </c>
      <c r="C221" s="82" t="s">
        <v>1028</v>
      </c>
      <c r="D221" s="82" t="s">
        <v>901</v>
      </c>
      <c r="E221" s="82" t="s">
        <v>950</v>
      </c>
      <c r="F221" s="82">
        <v>2008</v>
      </c>
      <c r="G221" s="82" t="s">
        <v>1029</v>
      </c>
      <c r="H221" s="82" t="s">
        <v>1030</v>
      </c>
      <c r="I221" s="83"/>
      <c r="J221" s="83"/>
      <c r="K221" s="83"/>
      <c r="L221" s="83"/>
      <c r="M221" s="83"/>
      <c r="N221" s="83"/>
      <c r="O221" s="83"/>
      <c r="P221" s="83"/>
      <c r="Q221" s="83"/>
    </row>
    <row r="222" spans="1:17" s="84" customFormat="1" x14ac:dyDescent="0.25">
      <c r="A222" s="81" t="s">
        <v>1031</v>
      </c>
      <c r="B222" s="82" t="s">
        <v>921</v>
      </c>
      <c r="C222" s="82" t="s">
        <v>1032</v>
      </c>
      <c r="D222" s="82" t="s">
        <v>901</v>
      </c>
      <c r="E222" s="82" t="s">
        <v>950</v>
      </c>
      <c r="F222" s="82">
        <v>2008</v>
      </c>
      <c r="G222" s="82" t="s">
        <v>1033</v>
      </c>
      <c r="H222" s="82" t="s">
        <v>1034</v>
      </c>
      <c r="I222" s="83"/>
      <c r="J222" s="83"/>
      <c r="K222" s="83"/>
      <c r="L222" s="83"/>
      <c r="M222" s="83"/>
      <c r="N222" s="83"/>
      <c r="O222" s="83"/>
      <c r="P222" s="83"/>
      <c r="Q222" s="83"/>
    </row>
    <row r="223" spans="1:17" s="84" customFormat="1" x14ac:dyDescent="0.25">
      <c r="A223" s="81" t="s">
        <v>1035</v>
      </c>
      <c r="B223" s="82" t="s">
        <v>921</v>
      </c>
      <c r="C223" s="82" t="s">
        <v>1036</v>
      </c>
      <c r="D223" s="82" t="s">
        <v>901</v>
      </c>
      <c r="E223" s="82" t="s">
        <v>1037</v>
      </c>
      <c r="F223" s="82">
        <v>2014</v>
      </c>
      <c r="G223" s="82" t="s">
        <v>1038</v>
      </c>
      <c r="H223" s="82" t="s">
        <v>1039</v>
      </c>
      <c r="I223" s="83"/>
      <c r="J223" s="83"/>
      <c r="K223" s="83"/>
      <c r="L223" s="83"/>
      <c r="M223" s="83"/>
      <c r="N223" s="83"/>
      <c r="O223" s="83"/>
      <c r="P223" s="83"/>
      <c r="Q223" s="83"/>
    </row>
    <row r="224" spans="1:17" s="84" customFormat="1" x14ac:dyDescent="0.25">
      <c r="A224" s="81" t="s">
        <v>1040</v>
      </c>
      <c r="B224" s="82" t="s">
        <v>921</v>
      </c>
      <c r="C224" s="82" t="s">
        <v>1041</v>
      </c>
      <c r="D224" s="82" t="s">
        <v>901</v>
      </c>
      <c r="E224" s="82" t="s">
        <v>1037</v>
      </c>
      <c r="F224" s="82">
        <v>2014</v>
      </c>
      <c r="G224" s="82" t="s">
        <v>1042</v>
      </c>
      <c r="H224" s="82" t="s">
        <v>1043</v>
      </c>
      <c r="I224" s="83"/>
      <c r="J224" s="83"/>
      <c r="K224" s="83"/>
      <c r="L224" s="83"/>
      <c r="M224" s="83"/>
      <c r="N224" s="83"/>
      <c r="O224" s="83"/>
      <c r="P224" s="83"/>
      <c r="Q224" s="83"/>
    </row>
    <row r="225" spans="1:17" s="84" customFormat="1" x14ac:dyDescent="0.25">
      <c r="A225" s="81" t="s">
        <v>1044</v>
      </c>
      <c r="B225" s="82" t="s">
        <v>921</v>
      </c>
      <c r="C225" s="82" t="s">
        <v>1045</v>
      </c>
      <c r="D225" s="82" t="s">
        <v>901</v>
      </c>
      <c r="E225" s="82" t="s">
        <v>1037</v>
      </c>
      <c r="F225" s="82">
        <v>2014</v>
      </c>
      <c r="G225" s="82" t="s">
        <v>1046</v>
      </c>
      <c r="H225" s="82" t="s">
        <v>1047</v>
      </c>
      <c r="I225" s="83"/>
      <c r="J225" s="83"/>
      <c r="K225" s="83"/>
      <c r="L225" s="83"/>
      <c r="M225" s="83"/>
      <c r="N225" s="83"/>
      <c r="O225" s="83"/>
      <c r="P225" s="83"/>
      <c r="Q225" s="83"/>
    </row>
    <row r="226" spans="1:17" s="84" customFormat="1" x14ac:dyDescent="0.25">
      <c r="A226" s="81" t="s">
        <v>1048</v>
      </c>
      <c r="B226" s="82" t="s">
        <v>921</v>
      </c>
      <c r="C226" s="82" t="s">
        <v>1049</v>
      </c>
      <c r="D226" s="82" t="s">
        <v>901</v>
      </c>
      <c r="E226" s="82" t="s">
        <v>923</v>
      </c>
      <c r="F226" s="82">
        <v>2014</v>
      </c>
      <c r="G226" s="82" t="s">
        <v>1050</v>
      </c>
      <c r="H226" s="82" t="s">
        <v>1051</v>
      </c>
      <c r="I226" s="83"/>
      <c r="J226" s="83"/>
      <c r="K226" s="83"/>
      <c r="L226" s="83"/>
      <c r="M226" s="83"/>
      <c r="N226" s="83"/>
      <c r="O226" s="83"/>
      <c r="P226" s="83"/>
      <c r="Q226" s="83"/>
    </row>
    <row r="227" spans="1:17" s="84" customFormat="1" x14ac:dyDescent="0.25">
      <c r="A227" s="81" t="s">
        <v>1052</v>
      </c>
      <c r="B227" s="82" t="s">
        <v>921</v>
      </c>
      <c r="C227" s="82" t="s">
        <v>1053</v>
      </c>
      <c r="D227" s="82" t="s">
        <v>901</v>
      </c>
      <c r="E227" s="82" t="s">
        <v>923</v>
      </c>
      <c r="F227" s="82">
        <v>2014</v>
      </c>
      <c r="G227" s="82" t="s">
        <v>1054</v>
      </c>
      <c r="H227" s="82" t="s">
        <v>1055</v>
      </c>
      <c r="I227" s="83"/>
      <c r="J227" s="83"/>
      <c r="K227" s="83"/>
      <c r="L227" s="83"/>
      <c r="M227" s="83"/>
      <c r="N227" s="83"/>
      <c r="O227" s="83"/>
      <c r="P227" s="83"/>
      <c r="Q227" s="83"/>
    </row>
    <row r="228" spans="1:17" s="84" customFormat="1" x14ac:dyDescent="0.25">
      <c r="A228" s="81" t="s">
        <v>1056</v>
      </c>
      <c r="B228" s="82" t="s">
        <v>921</v>
      </c>
      <c r="C228" s="82" t="s">
        <v>1057</v>
      </c>
      <c r="D228" s="82" t="s">
        <v>901</v>
      </c>
      <c r="E228" s="82" t="s">
        <v>923</v>
      </c>
      <c r="F228" s="82">
        <v>2014</v>
      </c>
      <c r="G228" s="82" t="s">
        <v>1058</v>
      </c>
      <c r="H228" s="82" t="s">
        <v>1059</v>
      </c>
      <c r="I228" s="83"/>
      <c r="J228" s="83"/>
      <c r="K228" s="83"/>
      <c r="L228" s="83"/>
      <c r="M228" s="83"/>
      <c r="N228" s="83"/>
      <c r="O228" s="83"/>
      <c r="P228" s="83"/>
      <c r="Q228" s="83"/>
    </row>
    <row r="229" spans="1:17" s="84" customFormat="1" x14ac:dyDescent="0.25">
      <c r="A229" s="81" t="s">
        <v>1060</v>
      </c>
      <c r="B229" s="82" t="s">
        <v>921</v>
      </c>
      <c r="C229" s="82" t="s">
        <v>1061</v>
      </c>
      <c r="D229" s="82" t="s">
        <v>901</v>
      </c>
      <c r="E229" s="82" t="s">
        <v>923</v>
      </c>
      <c r="F229" s="82">
        <v>2014</v>
      </c>
      <c r="G229" s="82" t="s">
        <v>1062</v>
      </c>
      <c r="H229" s="82" t="s">
        <v>1063</v>
      </c>
      <c r="I229" s="83"/>
      <c r="J229" s="83"/>
      <c r="K229" s="83"/>
      <c r="L229" s="83"/>
      <c r="M229" s="83"/>
      <c r="N229" s="83"/>
      <c r="O229" s="83"/>
      <c r="P229" s="83"/>
      <c r="Q229" s="83"/>
    </row>
    <row r="230" spans="1:17" s="84" customFormat="1" x14ac:dyDescent="0.25">
      <c r="A230" s="81" t="s">
        <v>1064</v>
      </c>
      <c r="B230" s="82" t="s">
        <v>921</v>
      </c>
      <c r="C230" s="82" t="s">
        <v>1065</v>
      </c>
      <c r="D230" s="82" t="s">
        <v>901</v>
      </c>
      <c r="E230" s="82" t="s">
        <v>923</v>
      </c>
      <c r="F230" s="82">
        <v>2014</v>
      </c>
      <c r="G230" s="82" t="s">
        <v>1066</v>
      </c>
      <c r="H230" s="82" t="s">
        <v>1067</v>
      </c>
      <c r="I230" s="83"/>
      <c r="J230" s="83"/>
      <c r="K230" s="83"/>
      <c r="L230" s="83"/>
      <c r="M230" s="83"/>
      <c r="N230" s="83"/>
      <c r="O230" s="83"/>
      <c r="P230" s="83"/>
      <c r="Q230" s="83"/>
    </row>
    <row r="231" spans="1:17" s="84" customFormat="1" x14ac:dyDescent="0.25">
      <c r="A231" s="81" t="s">
        <v>1068</v>
      </c>
      <c r="B231" s="82" t="s">
        <v>921</v>
      </c>
      <c r="C231" s="82" t="s">
        <v>1069</v>
      </c>
      <c r="D231" s="82" t="s">
        <v>901</v>
      </c>
      <c r="E231" s="82" t="s">
        <v>923</v>
      </c>
      <c r="F231" s="82">
        <v>2014</v>
      </c>
      <c r="G231" s="82" t="s">
        <v>1070</v>
      </c>
      <c r="H231" s="82" t="s">
        <v>1071</v>
      </c>
      <c r="I231" s="83"/>
      <c r="J231" s="83"/>
      <c r="K231" s="83"/>
      <c r="L231" s="83"/>
      <c r="M231" s="83"/>
      <c r="N231" s="83"/>
      <c r="O231" s="83"/>
      <c r="P231" s="83"/>
      <c r="Q231" s="83"/>
    </row>
    <row r="232" spans="1:17" s="84" customFormat="1" x14ac:dyDescent="0.25">
      <c r="A232" s="81" t="s">
        <v>1072</v>
      </c>
      <c r="B232" s="82" t="s">
        <v>921</v>
      </c>
      <c r="C232" s="82" t="s">
        <v>1073</v>
      </c>
      <c r="D232" s="82" t="s">
        <v>901</v>
      </c>
      <c r="E232" s="82" t="s">
        <v>923</v>
      </c>
      <c r="F232" s="82">
        <v>2014</v>
      </c>
      <c r="G232" s="82" t="s">
        <v>1074</v>
      </c>
      <c r="H232" s="82" t="s">
        <v>1075</v>
      </c>
      <c r="I232" s="83"/>
      <c r="J232" s="83"/>
      <c r="K232" s="83"/>
      <c r="L232" s="83"/>
      <c r="M232" s="83"/>
      <c r="N232" s="83"/>
      <c r="O232" s="83"/>
      <c r="P232" s="83"/>
      <c r="Q232" s="83"/>
    </row>
    <row r="233" spans="1:17" s="84" customFormat="1" x14ac:dyDescent="0.25">
      <c r="A233" s="81" t="s">
        <v>1076</v>
      </c>
      <c r="B233" s="82" t="s">
        <v>921</v>
      </c>
      <c r="C233" s="82" t="s">
        <v>1077</v>
      </c>
      <c r="D233" s="82" t="s">
        <v>901</v>
      </c>
      <c r="E233" s="82" t="s">
        <v>923</v>
      </c>
      <c r="F233" s="82">
        <v>2014</v>
      </c>
      <c r="G233" s="82" t="s">
        <v>1078</v>
      </c>
      <c r="H233" s="82" t="s">
        <v>1079</v>
      </c>
      <c r="I233" s="83"/>
      <c r="J233" s="83"/>
      <c r="K233" s="83"/>
      <c r="L233" s="83"/>
      <c r="M233" s="83"/>
      <c r="N233" s="83"/>
      <c r="O233" s="83"/>
      <c r="P233" s="83"/>
      <c r="Q233" s="83"/>
    </row>
    <row r="234" spans="1:17" s="84" customFormat="1" x14ac:dyDescent="0.25">
      <c r="A234" s="81" t="s">
        <v>1080</v>
      </c>
      <c r="B234" s="82" t="s">
        <v>921</v>
      </c>
      <c r="C234" s="82" t="s">
        <v>1081</v>
      </c>
      <c r="D234" s="82" t="s">
        <v>901</v>
      </c>
      <c r="E234" s="82" t="s">
        <v>923</v>
      </c>
      <c r="F234" s="82">
        <v>2014</v>
      </c>
      <c r="G234" s="82" t="s">
        <v>1082</v>
      </c>
      <c r="H234" s="82" t="s">
        <v>1083</v>
      </c>
      <c r="I234" s="83"/>
      <c r="J234" s="83"/>
      <c r="K234" s="83"/>
      <c r="L234" s="83"/>
      <c r="M234" s="83"/>
      <c r="N234" s="83"/>
      <c r="O234" s="83"/>
      <c r="P234" s="83"/>
      <c r="Q234" s="83"/>
    </row>
    <row r="235" spans="1:17" s="84" customFormat="1" x14ac:dyDescent="0.25">
      <c r="A235" s="81" t="s">
        <v>1084</v>
      </c>
      <c r="B235" s="82" t="s">
        <v>921</v>
      </c>
      <c r="C235" s="82" t="s">
        <v>1085</v>
      </c>
      <c r="D235" s="82" t="s">
        <v>901</v>
      </c>
      <c r="E235" s="82" t="s">
        <v>923</v>
      </c>
      <c r="F235" s="82">
        <v>2014</v>
      </c>
      <c r="G235" s="82" t="s">
        <v>1086</v>
      </c>
      <c r="H235" s="82" t="s">
        <v>1087</v>
      </c>
      <c r="I235" s="83"/>
      <c r="J235" s="83"/>
      <c r="K235" s="83"/>
      <c r="L235" s="83"/>
      <c r="M235" s="83"/>
      <c r="N235" s="83"/>
      <c r="O235" s="83"/>
      <c r="P235" s="83"/>
      <c r="Q235" s="83"/>
    </row>
    <row r="236" spans="1:17" s="84" customFormat="1" x14ac:dyDescent="0.25">
      <c r="A236" s="81" t="s">
        <v>1088</v>
      </c>
      <c r="B236" s="82" t="s">
        <v>921</v>
      </c>
      <c r="C236" s="82" t="s">
        <v>1089</v>
      </c>
      <c r="D236" s="82" t="s">
        <v>901</v>
      </c>
      <c r="E236" s="82" t="s">
        <v>923</v>
      </c>
      <c r="F236" s="82">
        <v>2014</v>
      </c>
      <c r="G236" s="82" t="s">
        <v>1090</v>
      </c>
      <c r="H236" s="82" t="s">
        <v>1091</v>
      </c>
      <c r="I236" s="83"/>
      <c r="J236" s="83"/>
      <c r="K236" s="83"/>
      <c r="L236" s="83"/>
      <c r="M236" s="83"/>
      <c r="N236" s="83"/>
      <c r="O236" s="83"/>
      <c r="P236" s="83"/>
      <c r="Q236" s="83"/>
    </row>
    <row r="237" spans="1:17" s="84" customFormat="1" x14ac:dyDescent="0.25">
      <c r="A237" s="81" t="s">
        <v>1092</v>
      </c>
      <c r="B237" s="82" t="s">
        <v>921</v>
      </c>
      <c r="C237" s="82" t="s">
        <v>1093</v>
      </c>
      <c r="D237" s="82" t="s">
        <v>901</v>
      </c>
      <c r="E237" s="82" t="s">
        <v>923</v>
      </c>
      <c r="F237" s="82">
        <v>2014</v>
      </c>
      <c r="G237" s="82" t="s">
        <v>1094</v>
      </c>
      <c r="H237" s="82" t="s">
        <v>1095</v>
      </c>
      <c r="I237" s="83"/>
      <c r="J237" s="83"/>
      <c r="K237" s="83"/>
      <c r="L237" s="83"/>
      <c r="M237" s="83"/>
      <c r="N237" s="83"/>
      <c r="O237" s="83"/>
      <c r="P237" s="83"/>
      <c r="Q237" s="83"/>
    </row>
    <row r="238" spans="1:17" s="84" customFormat="1" x14ac:dyDescent="0.25">
      <c r="A238" s="81" t="s">
        <v>1096</v>
      </c>
      <c r="B238" s="82" t="s">
        <v>921</v>
      </c>
      <c r="C238" s="82" t="s">
        <v>1097</v>
      </c>
      <c r="D238" s="82" t="s">
        <v>901</v>
      </c>
      <c r="E238" s="82" t="s">
        <v>923</v>
      </c>
      <c r="F238" s="82">
        <v>2012</v>
      </c>
      <c r="G238" s="82" t="s">
        <v>1098</v>
      </c>
      <c r="H238" s="82" t="s">
        <v>1099</v>
      </c>
      <c r="I238" s="83"/>
      <c r="J238" s="83"/>
      <c r="K238" s="83"/>
      <c r="L238" s="83"/>
      <c r="M238" s="83"/>
      <c r="N238" s="83"/>
      <c r="O238" s="83"/>
      <c r="P238" s="83"/>
      <c r="Q238" s="83"/>
    </row>
    <row r="239" spans="1:17" s="84" customFormat="1" x14ac:dyDescent="0.25">
      <c r="A239" s="81" t="s">
        <v>1100</v>
      </c>
      <c r="B239" s="82" t="s">
        <v>921</v>
      </c>
      <c r="C239" s="82" t="s">
        <v>1101</v>
      </c>
      <c r="D239" s="82" t="s">
        <v>901</v>
      </c>
      <c r="E239" s="82" t="s">
        <v>1102</v>
      </c>
      <c r="F239" s="82">
        <v>2013</v>
      </c>
      <c r="G239" s="82" t="s">
        <v>1103</v>
      </c>
      <c r="H239" s="82" t="s">
        <v>1104</v>
      </c>
      <c r="I239" s="83"/>
      <c r="J239" s="83"/>
      <c r="K239" s="83"/>
      <c r="L239" s="83"/>
      <c r="M239" s="83"/>
      <c r="N239" s="83"/>
      <c r="O239" s="83"/>
      <c r="P239" s="83"/>
      <c r="Q239" s="83"/>
    </row>
    <row r="240" spans="1:17" s="84" customFormat="1" x14ac:dyDescent="0.25">
      <c r="A240" s="81" t="s">
        <v>1105</v>
      </c>
      <c r="B240" s="82" t="s">
        <v>921</v>
      </c>
      <c r="C240" s="82" t="s">
        <v>1106</v>
      </c>
      <c r="D240" s="82" t="s">
        <v>901</v>
      </c>
      <c r="E240" s="82" t="s">
        <v>923</v>
      </c>
      <c r="F240" s="82">
        <v>2013</v>
      </c>
      <c r="G240" s="82" t="s">
        <v>1107</v>
      </c>
      <c r="H240" s="82" t="s">
        <v>1108</v>
      </c>
      <c r="I240" s="83"/>
      <c r="J240" s="83"/>
      <c r="K240" s="83"/>
      <c r="L240" s="83"/>
      <c r="M240" s="83"/>
      <c r="N240" s="83"/>
      <c r="O240" s="83"/>
      <c r="P240" s="83"/>
      <c r="Q240" s="83"/>
    </row>
    <row r="241" spans="1:17" s="84" customFormat="1" x14ac:dyDescent="0.25">
      <c r="A241" s="81" t="s">
        <v>1109</v>
      </c>
      <c r="B241" s="82" t="s">
        <v>921</v>
      </c>
      <c r="C241" s="82" t="s">
        <v>1110</v>
      </c>
      <c r="D241" s="82" t="s">
        <v>901</v>
      </c>
      <c r="E241" s="82" t="s">
        <v>1037</v>
      </c>
      <c r="F241" s="82">
        <v>2013</v>
      </c>
      <c r="G241" s="82" t="s">
        <v>1111</v>
      </c>
      <c r="H241" s="82" t="s">
        <v>1112</v>
      </c>
      <c r="I241" s="83"/>
      <c r="J241" s="83"/>
      <c r="K241" s="83"/>
      <c r="L241" s="83"/>
      <c r="M241" s="83"/>
      <c r="N241" s="83"/>
      <c r="O241" s="83"/>
      <c r="P241" s="83"/>
      <c r="Q241" s="83"/>
    </row>
    <row r="242" spans="1:17" s="84" customFormat="1" x14ac:dyDescent="0.25">
      <c r="A242" s="81" t="s">
        <v>1113</v>
      </c>
      <c r="B242" s="82" t="s">
        <v>921</v>
      </c>
      <c r="C242" s="82" t="s">
        <v>1114</v>
      </c>
      <c r="D242" s="82" t="s">
        <v>901</v>
      </c>
      <c r="E242" s="82" t="s">
        <v>923</v>
      </c>
      <c r="F242" s="82">
        <v>2013</v>
      </c>
      <c r="G242" s="82" t="s">
        <v>1115</v>
      </c>
      <c r="H242" s="82" t="s">
        <v>1116</v>
      </c>
      <c r="I242" s="83"/>
      <c r="J242" s="83"/>
      <c r="K242" s="83"/>
      <c r="L242" s="83"/>
      <c r="M242" s="83"/>
      <c r="N242" s="83"/>
      <c r="O242" s="83"/>
      <c r="P242" s="83"/>
      <c r="Q242" s="83"/>
    </row>
    <row r="243" spans="1:17" s="84" customFormat="1" x14ac:dyDescent="0.25">
      <c r="A243" s="81" t="s">
        <v>1117</v>
      </c>
      <c r="B243" s="82" t="s">
        <v>921</v>
      </c>
      <c r="C243" s="82" t="s">
        <v>1118</v>
      </c>
      <c r="D243" s="82" t="s">
        <v>901</v>
      </c>
      <c r="E243" s="82" t="s">
        <v>1102</v>
      </c>
      <c r="F243" s="82">
        <v>2013</v>
      </c>
      <c r="G243" s="82" t="s">
        <v>1119</v>
      </c>
      <c r="H243" s="82" t="s">
        <v>1120</v>
      </c>
      <c r="I243" s="83"/>
      <c r="J243" s="83"/>
      <c r="K243" s="83"/>
      <c r="L243" s="83"/>
      <c r="M243" s="83"/>
      <c r="N243" s="83"/>
      <c r="O243" s="83"/>
      <c r="P243" s="83"/>
      <c r="Q243" s="83"/>
    </row>
    <row r="244" spans="1:17" s="84" customFormat="1" x14ac:dyDescent="0.25">
      <c r="A244" s="81" t="s">
        <v>1121</v>
      </c>
      <c r="B244" s="82" t="s">
        <v>921</v>
      </c>
      <c r="C244" s="82" t="s">
        <v>1122</v>
      </c>
      <c r="D244" s="82" t="s">
        <v>901</v>
      </c>
      <c r="E244" s="82" t="s">
        <v>1102</v>
      </c>
      <c r="F244" s="82">
        <v>2013</v>
      </c>
      <c r="G244" s="82" t="s">
        <v>1123</v>
      </c>
      <c r="H244" s="82" t="s">
        <v>1124</v>
      </c>
      <c r="I244" s="83"/>
      <c r="J244" s="83"/>
      <c r="K244" s="83"/>
      <c r="L244" s="83"/>
      <c r="M244" s="83"/>
      <c r="N244" s="83"/>
      <c r="O244" s="83"/>
      <c r="P244" s="83"/>
      <c r="Q244" s="83"/>
    </row>
    <row r="245" spans="1:17" s="84" customFormat="1" x14ac:dyDescent="0.25">
      <c r="A245" s="81" t="s">
        <v>1125</v>
      </c>
      <c r="B245" s="82" t="s">
        <v>921</v>
      </c>
      <c r="C245" s="82" t="s">
        <v>1126</v>
      </c>
      <c r="D245" s="82" t="s">
        <v>901</v>
      </c>
      <c r="E245" s="82" t="s">
        <v>1102</v>
      </c>
      <c r="F245" s="82">
        <v>2013</v>
      </c>
      <c r="G245" s="82" t="s">
        <v>1127</v>
      </c>
      <c r="H245" s="82" t="s">
        <v>1128</v>
      </c>
      <c r="I245" s="83"/>
      <c r="J245" s="83"/>
      <c r="K245" s="83"/>
      <c r="L245" s="83"/>
      <c r="M245" s="83"/>
      <c r="N245" s="83"/>
      <c r="O245" s="83"/>
      <c r="P245" s="83"/>
      <c r="Q245" s="83"/>
    </row>
    <row r="246" spans="1:17" s="84" customFormat="1" x14ac:dyDescent="0.25">
      <c r="A246" s="81" t="s">
        <v>1129</v>
      </c>
      <c r="B246" s="82" t="s">
        <v>921</v>
      </c>
      <c r="C246" s="82" t="s">
        <v>1130</v>
      </c>
      <c r="D246" s="82" t="s">
        <v>901</v>
      </c>
      <c r="E246" s="82" t="s">
        <v>1131</v>
      </c>
      <c r="F246" s="82">
        <v>2010</v>
      </c>
      <c r="G246" s="82" t="s">
        <v>1132</v>
      </c>
      <c r="H246" s="82" t="s">
        <v>1133</v>
      </c>
      <c r="I246" s="83"/>
      <c r="J246" s="83"/>
      <c r="K246" s="83"/>
      <c r="L246" s="83"/>
      <c r="M246" s="83"/>
      <c r="N246" s="83"/>
      <c r="O246" s="83"/>
      <c r="P246" s="83"/>
      <c r="Q246" s="83"/>
    </row>
    <row r="247" spans="1:17" s="84" customFormat="1" x14ac:dyDescent="0.25">
      <c r="A247" s="81" t="s">
        <v>1134</v>
      </c>
      <c r="B247" s="82" t="s">
        <v>921</v>
      </c>
      <c r="C247" s="82" t="s">
        <v>1135</v>
      </c>
      <c r="D247" s="82" t="s">
        <v>901</v>
      </c>
      <c r="E247" s="82" t="s">
        <v>950</v>
      </c>
      <c r="F247" s="82">
        <v>2010</v>
      </c>
      <c r="G247" s="82" t="s">
        <v>1136</v>
      </c>
      <c r="H247" s="82" t="s">
        <v>1137</v>
      </c>
      <c r="I247" s="83"/>
      <c r="J247" s="83"/>
      <c r="K247" s="83"/>
      <c r="L247" s="83"/>
      <c r="M247" s="83"/>
      <c r="N247" s="83"/>
      <c r="O247" s="83"/>
      <c r="P247" s="83"/>
      <c r="Q247" s="83"/>
    </row>
    <row r="248" spans="1:17" s="84" customFormat="1" x14ac:dyDescent="0.25">
      <c r="A248" s="81" t="s">
        <v>1138</v>
      </c>
      <c r="B248" s="82" t="s">
        <v>921</v>
      </c>
      <c r="C248" s="82" t="s">
        <v>1139</v>
      </c>
      <c r="D248" s="82" t="s">
        <v>901</v>
      </c>
      <c r="E248" s="82" t="s">
        <v>950</v>
      </c>
      <c r="F248" s="82">
        <v>2010</v>
      </c>
      <c r="G248" s="82" t="s">
        <v>1140</v>
      </c>
      <c r="H248" s="82" t="s">
        <v>1141</v>
      </c>
      <c r="I248" s="83"/>
      <c r="J248" s="83"/>
      <c r="K248" s="83"/>
      <c r="L248" s="83"/>
      <c r="M248" s="83"/>
      <c r="N248" s="83"/>
      <c r="O248" s="83"/>
      <c r="P248" s="83"/>
      <c r="Q248" s="83"/>
    </row>
    <row r="249" spans="1:17" s="84" customFormat="1" x14ac:dyDescent="0.25">
      <c r="A249" s="81" t="s">
        <v>1142</v>
      </c>
      <c r="B249" s="82" t="s">
        <v>921</v>
      </c>
      <c r="C249" s="82" t="s">
        <v>1143</v>
      </c>
      <c r="D249" s="82" t="s">
        <v>901</v>
      </c>
      <c r="E249" s="82" t="s">
        <v>950</v>
      </c>
      <c r="F249" s="82">
        <v>2010</v>
      </c>
      <c r="G249" s="82" t="s">
        <v>1144</v>
      </c>
      <c r="H249" s="82" t="s">
        <v>1145</v>
      </c>
      <c r="I249" s="83"/>
      <c r="J249" s="83"/>
      <c r="K249" s="83"/>
      <c r="L249" s="83"/>
      <c r="M249" s="83"/>
      <c r="N249" s="83"/>
      <c r="O249" s="83"/>
      <c r="P249" s="83"/>
      <c r="Q249" s="83"/>
    </row>
    <row r="250" spans="1:17" s="84" customFormat="1" x14ac:dyDescent="0.25">
      <c r="A250" s="81" t="s">
        <v>1146</v>
      </c>
      <c r="B250" s="82" t="s">
        <v>921</v>
      </c>
      <c r="C250" s="82" t="s">
        <v>1147</v>
      </c>
      <c r="D250" s="82" t="s">
        <v>901</v>
      </c>
      <c r="E250" s="82" t="s">
        <v>950</v>
      </c>
      <c r="F250" s="82">
        <v>2010</v>
      </c>
      <c r="G250" s="82" t="s">
        <v>1148</v>
      </c>
      <c r="H250" s="82" t="s">
        <v>1149</v>
      </c>
      <c r="I250" s="83"/>
      <c r="J250" s="83"/>
      <c r="K250" s="83"/>
      <c r="L250" s="83"/>
      <c r="M250" s="83"/>
      <c r="N250" s="83"/>
      <c r="O250" s="83"/>
      <c r="P250" s="83"/>
      <c r="Q250" s="83"/>
    </row>
    <row r="251" spans="1:17" s="84" customFormat="1" x14ac:dyDescent="0.25">
      <c r="A251" s="81" t="s">
        <v>1150</v>
      </c>
      <c r="B251" s="82" t="s">
        <v>921</v>
      </c>
      <c r="C251" s="82" t="s">
        <v>1151</v>
      </c>
      <c r="D251" s="82" t="s">
        <v>901</v>
      </c>
      <c r="E251" s="82" t="s">
        <v>950</v>
      </c>
      <c r="F251" s="82">
        <v>2010</v>
      </c>
      <c r="G251" s="82" t="s">
        <v>1152</v>
      </c>
      <c r="H251" s="82" t="s">
        <v>1153</v>
      </c>
      <c r="I251" s="83"/>
      <c r="J251" s="83"/>
      <c r="K251" s="83"/>
      <c r="L251" s="83"/>
      <c r="M251" s="83"/>
      <c r="N251" s="83"/>
      <c r="O251" s="83"/>
      <c r="P251" s="83"/>
      <c r="Q251" s="83"/>
    </row>
    <row r="252" spans="1:17" s="84" customFormat="1" x14ac:dyDescent="0.25">
      <c r="A252" s="81" t="s">
        <v>1154</v>
      </c>
      <c r="B252" s="82" t="s">
        <v>921</v>
      </c>
      <c r="C252" s="82" t="s">
        <v>1155</v>
      </c>
      <c r="D252" s="82" t="s">
        <v>901</v>
      </c>
      <c r="E252" s="82" t="s">
        <v>950</v>
      </c>
      <c r="F252" s="82">
        <v>2010</v>
      </c>
      <c r="G252" s="82" t="s">
        <v>1156</v>
      </c>
      <c r="H252" s="82" t="s">
        <v>1157</v>
      </c>
      <c r="I252" s="83"/>
      <c r="J252" s="83"/>
      <c r="K252" s="83"/>
      <c r="L252" s="83"/>
      <c r="M252" s="83"/>
      <c r="N252" s="83"/>
      <c r="O252" s="83"/>
      <c r="P252" s="83"/>
      <c r="Q252" s="83"/>
    </row>
    <row r="253" spans="1:17" s="84" customFormat="1" x14ac:dyDescent="0.25">
      <c r="A253" s="81" t="s">
        <v>1158</v>
      </c>
      <c r="B253" s="82" t="s">
        <v>921</v>
      </c>
      <c r="C253" s="82" t="s">
        <v>1159</v>
      </c>
      <c r="D253" s="82" t="s">
        <v>901</v>
      </c>
      <c r="E253" s="82" t="s">
        <v>950</v>
      </c>
      <c r="F253" s="82">
        <v>2010</v>
      </c>
      <c r="G253" s="82" t="s">
        <v>1160</v>
      </c>
      <c r="H253" s="82" t="s">
        <v>1161</v>
      </c>
      <c r="I253" s="83"/>
      <c r="J253" s="83"/>
      <c r="K253" s="83"/>
      <c r="L253" s="83"/>
      <c r="M253" s="83"/>
      <c r="N253" s="83"/>
      <c r="O253" s="83"/>
      <c r="P253" s="83"/>
      <c r="Q253" s="83"/>
    </row>
    <row r="254" spans="1:17" s="84" customFormat="1" x14ac:dyDescent="0.25">
      <c r="A254" s="81" t="s">
        <v>1162</v>
      </c>
      <c r="B254" s="82" t="s">
        <v>921</v>
      </c>
      <c r="C254" s="82" t="s">
        <v>1163</v>
      </c>
      <c r="D254" s="82" t="s">
        <v>901</v>
      </c>
      <c r="E254" s="82" t="s">
        <v>950</v>
      </c>
      <c r="F254" s="82">
        <v>2010</v>
      </c>
      <c r="G254" s="82" t="s">
        <v>1164</v>
      </c>
      <c r="H254" s="82" t="s">
        <v>1165</v>
      </c>
      <c r="I254" s="83"/>
      <c r="J254" s="83"/>
      <c r="K254" s="83"/>
      <c r="L254" s="83"/>
      <c r="M254" s="83"/>
      <c r="N254" s="83"/>
      <c r="O254" s="83"/>
      <c r="P254" s="83"/>
      <c r="Q254" s="83"/>
    </row>
    <row r="255" spans="1:17" s="84" customFormat="1" x14ac:dyDescent="0.25">
      <c r="A255" s="81" t="s">
        <v>1166</v>
      </c>
      <c r="B255" s="82" t="s">
        <v>921</v>
      </c>
      <c r="C255" s="82" t="s">
        <v>1167</v>
      </c>
      <c r="D255" s="82" t="s">
        <v>901</v>
      </c>
      <c r="E255" s="82" t="s">
        <v>950</v>
      </c>
      <c r="F255" s="82">
        <v>2010</v>
      </c>
      <c r="G255" s="82" t="s">
        <v>1168</v>
      </c>
      <c r="H255" s="82" t="s">
        <v>1169</v>
      </c>
      <c r="I255" s="83"/>
      <c r="J255" s="83"/>
      <c r="K255" s="83"/>
      <c r="L255" s="83"/>
      <c r="M255" s="83"/>
      <c r="N255" s="83"/>
      <c r="O255" s="83"/>
      <c r="P255" s="83"/>
      <c r="Q255" s="83"/>
    </row>
    <row r="256" spans="1:17" s="84" customFormat="1" x14ac:dyDescent="0.25">
      <c r="A256" s="81" t="s">
        <v>1170</v>
      </c>
      <c r="B256" s="82" t="s">
        <v>921</v>
      </c>
      <c r="C256" s="82" t="s">
        <v>1171</v>
      </c>
      <c r="D256" s="82" t="s">
        <v>901</v>
      </c>
      <c r="E256" s="82" t="s">
        <v>950</v>
      </c>
      <c r="F256" s="82">
        <v>2010</v>
      </c>
      <c r="G256" s="82" t="s">
        <v>1172</v>
      </c>
      <c r="H256" s="82" t="s">
        <v>1173</v>
      </c>
      <c r="I256" s="83"/>
      <c r="J256" s="83"/>
      <c r="K256" s="83"/>
      <c r="L256" s="83"/>
      <c r="M256" s="83"/>
      <c r="N256" s="83"/>
      <c r="O256" s="83"/>
      <c r="P256" s="83"/>
      <c r="Q256" s="83"/>
    </row>
    <row r="257" spans="1:17" s="84" customFormat="1" x14ac:dyDescent="0.25">
      <c r="A257" s="81" t="s">
        <v>1174</v>
      </c>
      <c r="B257" s="82" t="s">
        <v>921</v>
      </c>
      <c r="C257" s="82" t="s">
        <v>1175</v>
      </c>
      <c r="D257" s="82" t="s">
        <v>901</v>
      </c>
      <c r="E257" s="82" t="s">
        <v>950</v>
      </c>
      <c r="F257" s="82">
        <v>2010</v>
      </c>
      <c r="G257" s="82" t="s">
        <v>1176</v>
      </c>
      <c r="H257" s="82" t="s">
        <v>1177</v>
      </c>
      <c r="I257" s="83"/>
      <c r="J257" s="83"/>
      <c r="K257" s="83"/>
      <c r="L257" s="83"/>
      <c r="M257" s="83"/>
      <c r="N257" s="83"/>
      <c r="O257" s="83"/>
      <c r="P257" s="83"/>
      <c r="Q257" s="83"/>
    </row>
    <row r="258" spans="1:17" s="84" customFormat="1" x14ac:dyDescent="0.25">
      <c r="A258" s="81" t="s">
        <v>1178</v>
      </c>
      <c r="B258" s="82" t="s">
        <v>921</v>
      </c>
      <c r="C258" s="82" t="s">
        <v>1179</v>
      </c>
      <c r="D258" s="82" t="s">
        <v>901</v>
      </c>
      <c r="E258" s="82" t="s">
        <v>1131</v>
      </c>
      <c r="F258" s="82">
        <v>2010</v>
      </c>
      <c r="G258" s="82" t="s">
        <v>1180</v>
      </c>
      <c r="H258" s="82" t="s">
        <v>1181</v>
      </c>
      <c r="I258" s="83"/>
      <c r="J258" s="83"/>
      <c r="K258" s="83"/>
      <c r="L258" s="83"/>
      <c r="M258" s="83"/>
      <c r="N258" s="83"/>
      <c r="O258" s="83"/>
      <c r="P258" s="83"/>
      <c r="Q258" s="83"/>
    </row>
    <row r="259" spans="1:17" s="84" customFormat="1" x14ac:dyDescent="0.25">
      <c r="A259" s="81" t="s">
        <v>1182</v>
      </c>
      <c r="B259" s="82" t="s">
        <v>921</v>
      </c>
      <c r="C259" s="82" t="s">
        <v>1183</v>
      </c>
      <c r="D259" s="82" t="s">
        <v>901</v>
      </c>
      <c r="E259" s="82" t="s">
        <v>950</v>
      </c>
      <c r="F259" s="82">
        <v>2010</v>
      </c>
      <c r="G259" s="82" t="s">
        <v>1184</v>
      </c>
      <c r="H259" s="82" t="s">
        <v>1185</v>
      </c>
      <c r="I259" s="83"/>
      <c r="J259" s="83"/>
      <c r="K259" s="83"/>
      <c r="L259" s="83"/>
      <c r="M259" s="83"/>
      <c r="N259" s="83"/>
      <c r="O259" s="83"/>
      <c r="P259" s="83"/>
      <c r="Q259" s="83"/>
    </row>
    <row r="260" spans="1:17" s="84" customFormat="1" x14ac:dyDescent="0.25">
      <c r="A260" s="81" t="s">
        <v>1186</v>
      </c>
      <c r="B260" s="82" t="s">
        <v>921</v>
      </c>
      <c r="C260" s="82" t="s">
        <v>1187</v>
      </c>
      <c r="D260" s="82" t="s">
        <v>901</v>
      </c>
      <c r="E260" s="82" t="s">
        <v>1131</v>
      </c>
      <c r="F260" s="82">
        <v>2010</v>
      </c>
      <c r="G260" s="82" t="s">
        <v>1188</v>
      </c>
      <c r="H260" s="82" t="s">
        <v>1189</v>
      </c>
      <c r="I260" s="83"/>
      <c r="J260" s="83"/>
      <c r="K260" s="83"/>
      <c r="L260" s="83"/>
      <c r="M260" s="83"/>
      <c r="N260" s="83"/>
      <c r="O260" s="83"/>
      <c r="P260" s="83"/>
      <c r="Q260" s="83"/>
    </row>
    <row r="261" spans="1:17" s="84" customFormat="1" x14ac:dyDescent="0.25">
      <c r="A261" s="81" t="s">
        <v>1190</v>
      </c>
      <c r="B261" s="82" t="s">
        <v>921</v>
      </c>
      <c r="C261" s="82" t="s">
        <v>1191</v>
      </c>
      <c r="D261" s="82" t="s">
        <v>901</v>
      </c>
      <c r="E261" s="82" t="s">
        <v>950</v>
      </c>
      <c r="F261" s="82">
        <v>2010</v>
      </c>
      <c r="G261" s="82" t="s">
        <v>1192</v>
      </c>
      <c r="H261" s="82" t="s">
        <v>1193</v>
      </c>
      <c r="I261" s="83"/>
      <c r="J261" s="83"/>
      <c r="K261" s="83"/>
      <c r="L261" s="83"/>
      <c r="M261" s="83"/>
      <c r="N261" s="83"/>
      <c r="O261" s="83"/>
      <c r="P261" s="83"/>
      <c r="Q261" s="83"/>
    </row>
    <row r="262" spans="1:17" s="84" customFormat="1" x14ac:dyDescent="0.25">
      <c r="A262" s="81" t="s">
        <v>1194</v>
      </c>
      <c r="B262" s="82" t="s">
        <v>921</v>
      </c>
      <c r="C262" s="82" t="s">
        <v>1195</v>
      </c>
      <c r="D262" s="82" t="s">
        <v>901</v>
      </c>
      <c r="E262" s="82" t="s">
        <v>923</v>
      </c>
      <c r="F262" s="82">
        <v>2014</v>
      </c>
      <c r="G262" s="82" t="s">
        <v>1196</v>
      </c>
      <c r="H262" s="82" t="s">
        <v>1197</v>
      </c>
      <c r="I262" s="83"/>
      <c r="J262" s="83"/>
      <c r="K262" s="83"/>
      <c r="L262" s="83"/>
      <c r="M262" s="83"/>
      <c r="N262" s="83"/>
      <c r="O262" s="83"/>
      <c r="P262" s="83"/>
      <c r="Q262" s="83"/>
    </row>
    <row r="263" spans="1:17" s="84" customFormat="1" x14ac:dyDescent="0.25">
      <c r="A263" s="81" t="s">
        <v>1198</v>
      </c>
      <c r="B263" s="82" t="s">
        <v>921</v>
      </c>
      <c r="C263" s="82" t="s">
        <v>1199</v>
      </c>
      <c r="D263" s="82" t="s">
        <v>901</v>
      </c>
      <c r="E263" s="82" t="s">
        <v>923</v>
      </c>
      <c r="F263" s="82">
        <v>2014</v>
      </c>
      <c r="G263" s="82" t="s">
        <v>1200</v>
      </c>
      <c r="H263" s="82" t="s">
        <v>1201</v>
      </c>
      <c r="I263" s="83"/>
      <c r="J263" s="83"/>
      <c r="K263" s="83"/>
      <c r="L263" s="83"/>
      <c r="M263" s="83"/>
      <c r="N263" s="83"/>
      <c r="O263" s="83"/>
      <c r="P263" s="83"/>
      <c r="Q263" s="83"/>
    </row>
    <row r="264" spans="1:17" s="84" customFormat="1" x14ac:dyDescent="0.25">
      <c r="A264" s="81" t="s">
        <v>1202</v>
      </c>
      <c r="B264" s="82" t="s">
        <v>921</v>
      </c>
      <c r="C264" s="82" t="s">
        <v>1203</v>
      </c>
      <c r="D264" s="82" t="s">
        <v>901</v>
      </c>
      <c r="E264" s="82" t="s">
        <v>1037</v>
      </c>
      <c r="F264" s="82">
        <v>2014</v>
      </c>
      <c r="G264" s="82" t="s">
        <v>1204</v>
      </c>
      <c r="H264" s="82" t="s">
        <v>1205</v>
      </c>
      <c r="I264" s="83"/>
      <c r="J264" s="83"/>
      <c r="K264" s="83"/>
      <c r="L264" s="83"/>
      <c r="M264" s="83"/>
      <c r="N264" s="83"/>
      <c r="O264" s="83"/>
      <c r="P264" s="83"/>
      <c r="Q264" s="83"/>
    </row>
    <row r="265" spans="1:17" s="84" customFormat="1" x14ac:dyDescent="0.25">
      <c r="A265" s="81" t="s">
        <v>1206</v>
      </c>
      <c r="B265" s="82" t="s">
        <v>921</v>
      </c>
      <c r="C265" s="82" t="s">
        <v>1207</v>
      </c>
      <c r="D265" s="82" t="s">
        <v>901</v>
      </c>
      <c r="E265" s="82" t="s">
        <v>1037</v>
      </c>
      <c r="F265" s="82">
        <v>2014</v>
      </c>
      <c r="G265" s="82" t="s">
        <v>1208</v>
      </c>
      <c r="H265" s="82" t="s">
        <v>1209</v>
      </c>
      <c r="I265" s="83"/>
      <c r="J265" s="83"/>
      <c r="K265" s="83"/>
      <c r="L265" s="83"/>
      <c r="M265" s="83"/>
      <c r="N265" s="83"/>
      <c r="O265" s="83"/>
      <c r="P265" s="83"/>
      <c r="Q265" s="83"/>
    </row>
    <row r="266" spans="1:17" s="84" customFormat="1" x14ac:dyDescent="0.25">
      <c r="A266" s="81" t="s">
        <v>1210</v>
      </c>
      <c r="B266" s="82" t="s">
        <v>921</v>
      </c>
      <c r="C266" s="82" t="s">
        <v>1211</v>
      </c>
      <c r="D266" s="82" t="s">
        <v>901</v>
      </c>
      <c r="E266" s="82" t="s">
        <v>950</v>
      </c>
      <c r="F266" s="82">
        <v>2013</v>
      </c>
      <c r="G266" s="82" t="s">
        <v>1212</v>
      </c>
      <c r="H266" s="82" t="s">
        <v>1213</v>
      </c>
      <c r="I266" s="83"/>
      <c r="J266" s="83"/>
      <c r="K266" s="83"/>
      <c r="L266" s="83"/>
      <c r="M266" s="83"/>
      <c r="N266" s="83"/>
      <c r="O266" s="83"/>
      <c r="P266" s="83"/>
      <c r="Q266" s="83"/>
    </row>
    <row r="267" spans="1:17" s="84" customFormat="1" x14ac:dyDescent="0.25">
      <c r="A267" s="81" t="s">
        <v>1214</v>
      </c>
      <c r="B267" s="82" t="s">
        <v>921</v>
      </c>
      <c r="C267" s="82" t="s">
        <v>1215</v>
      </c>
      <c r="D267" s="82" t="s">
        <v>901</v>
      </c>
      <c r="E267" s="82" t="s">
        <v>1037</v>
      </c>
      <c r="F267" s="82">
        <v>2014</v>
      </c>
      <c r="G267" s="82" t="s">
        <v>1216</v>
      </c>
      <c r="H267" s="82" t="s">
        <v>1217</v>
      </c>
      <c r="I267" s="83"/>
      <c r="J267" s="83"/>
      <c r="K267" s="83"/>
      <c r="L267" s="83"/>
      <c r="M267" s="83"/>
      <c r="N267" s="83"/>
      <c r="O267" s="83"/>
      <c r="P267" s="83"/>
      <c r="Q267" s="83"/>
    </row>
    <row r="268" spans="1:17" s="84" customFormat="1" x14ac:dyDescent="0.25">
      <c r="A268" s="81" t="s">
        <v>1218</v>
      </c>
      <c r="B268" s="82" t="s">
        <v>921</v>
      </c>
      <c r="C268" s="82" t="s">
        <v>1219</v>
      </c>
      <c r="D268" s="82" t="s">
        <v>901</v>
      </c>
      <c r="E268" s="82" t="s">
        <v>950</v>
      </c>
      <c r="F268" s="82">
        <v>2013</v>
      </c>
      <c r="G268" s="82" t="s">
        <v>1220</v>
      </c>
      <c r="H268" s="82" t="s">
        <v>1221</v>
      </c>
      <c r="I268" s="83"/>
      <c r="J268" s="83"/>
      <c r="K268" s="83"/>
      <c r="L268" s="83"/>
      <c r="M268" s="83"/>
      <c r="N268" s="83"/>
      <c r="O268" s="83"/>
      <c r="P268" s="83"/>
      <c r="Q268" s="83"/>
    </row>
    <row r="269" spans="1:17" s="84" customFormat="1" x14ac:dyDescent="0.25">
      <c r="A269" s="81" t="s">
        <v>1222</v>
      </c>
      <c r="B269" s="82" t="s">
        <v>921</v>
      </c>
      <c r="C269" s="82" t="s">
        <v>1223</v>
      </c>
      <c r="D269" s="82" t="s">
        <v>901</v>
      </c>
      <c r="E269" s="82" t="s">
        <v>1037</v>
      </c>
      <c r="F269" s="82">
        <v>2013</v>
      </c>
      <c r="G269" s="82" t="s">
        <v>1224</v>
      </c>
      <c r="H269" s="82" t="s">
        <v>1225</v>
      </c>
      <c r="I269" s="83"/>
      <c r="J269" s="83"/>
      <c r="K269" s="83"/>
      <c r="L269" s="83"/>
      <c r="M269" s="83"/>
      <c r="N269" s="83"/>
      <c r="O269" s="83"/>
      <c r="P269" s="83"/>
      <c r="Q269" s="83"/>
    </row>
    <row r="270" spans="1:17" s="84" customFormat="1" x14ac:dyDescent="0.25">
      <c r="A270" s="81" t="s">
        <v>1226</v>
      </c>
      <c r="B270" s="82" t="s">
        <v>921</v>
      </c>
      <c r="C270" s="82" t="s">
        <v>1227</v>
      </c>
      <c r="D270" s="82" t="s">
        <v>901</v>
      </c>
      <c r="E270" s="82" t="s">
        <v>950</v>
      </c>
      <c r="F270" s="82">
        <v>2013</v>
      </c>
      <c r="G270" s="82" t="s">
        <v>1228</v>
      </c>
      <c r="H270" s="82" t="s">
        <v>1229</v>
      </c>
      <c r="I270" s="83"/>
      <c r="J270" s="83"/>
      <c r="K270" s="83"/>
      <c r="L270" s="83"/>
      <c r="M270" s="83"/>
      <c r="N270" s="83"/>
      <c r="O270" s="83"/>
      <c r="P270" s="83"/>
      <c r="Q270" s="83"/>
    </row>
    <row r="271" spans="1:17" s="84" customFormat="1" x14ac:dyDescent="0.25">
      <c r="A271" s="81" t="s">
        <v>1230</v>
      </c>
      <c r="B271" s="82" t="s">
        <v>921</v>
      </c>
      <c r="C271" s="82" t="s">
        <v>1231</v>
      </c>
      <c r="D271" s="82" t="s">
        <v>901</v>
      </c>
      <c r="E271" s="82" t="s">
        <v>950</v>
      </c>
      <c r="F271" s="82">
        <v>2013</v>
      </c>
      <c r="G271" s="82" t="s">
        <v>1232</v>
      </c>
      <c r="H271" s="82" t="s">
        <v>1233</v>
      </c>
      <c r="I271" s="83"/>
      <c r="J271" s="83"/>
      <c r="K271" s="83"/>
      <c r="L271" s="83"/>
      <c r="M271" s="83"/>
      <c r="N271" s="83"/>
      <c r="O271" s="83"/>
      <c r="P271" s="83"/>
      <c r="Q271" s="83"/>
    </row>
    <row r="272" spans="1:17" s="84" customFormat="1" x14ac:dyDescent="0.25">
      <c r="A272" s="81" t="s">
        <v>1234</v>
      </c>
      <c r="B272" s="82" t="s">
        <v>921</v>
      </c>
      <c r="C272" s="82" t="s">
        <v>1235</v>
      </c>
      <c r="D272" s="82" t="s">
        <v>901</v>
      </c>
      <c r="E272" s="82" t="s">
        <v>1037</v>
      </c>
      <c r="F272" s="82">
        <v>2014</v>
      </c>
      <c r="G272" s="82" t="s">
        <v>1236</v>
      </c>
      <c r="H272" s="82" t="s">
        <v>1237</v>
      </c>
      <c r="I272" s="83"/>
      <c r="J272" s="83"/>
      <c r="K272" s="83"/>
      <c r="L272" s="83"/>
      <c r="M272" s="83"/>
      <c r="N272" s="83"/>
      <c r="O272" s="83"/>
      <c r="P272" s="83"/>
      <c r="Q272" s="83"/>
    </row>
    <row r="273" spans="1:17" s="84" customFormat="1" x14ac:dyDescent="0.25">
      <c r="A273" s="81" t="s">
        <v>1238</v>
      </c>
      <c r="B273" s="82" t="s">
        <v>921</v>
      </c>
      <c r="C273" s="82" t="s">
        <v>1239</v>
      </c>
      <c r="D273" s="82" t="s">
        <v>901</v>
      </c>
      <c r="E273" s="82" t="s">
        <v>950</v>
      </c>
      <c r="F273" s="82">
        <v>2013</v>
      </c>
      <c r="G273" s="82" t="s">
        <v>1240</v>
      </c>
      <c r="H273" s="82" t="s">
        <v>1241</v>
      </c>
      <c r="I273" s="83"/>
      <c r="J273" s="83"/>
      <c r="K273" s="83"/>
      <c r="L273" s="83"/>
      <c r="M273" s="83"/>
      <c r="N273" s="83"/>
      <c r="O273" s="83"/>
      <c r="P273" s="83"/>
      <c r="Q273" s="83"/>
    </row>
    <row r="274" spans="1:17" s="84" customFormat="1" x14ac:dyDescent="0.25">
      <c r="A274" s="81" t="s">
        <v>1242</v>
      </c>
      <c r="B274" s="82" t="s">
        <v>921</v>
      </c>
      <c r="C274" s="82" t="s">
        <v>1243</v>
      </c>
      <c r="D274" s="82" t="s">
        <v>901</v>
      </c>
      <c r="E274" s="82" t="s">
        <v>1037</v>
      </c>
      <c r="F274" s="82">
        <v>2014</v>
      </c>
      <c r="G274" s="82" t="s">
        <v>1244</v>
      </c>
      <c r="H274" s="82" t="s">
        <v>1245</v>
      </c>
      <c r="I274" s="83"/>
      <c r="J274" s="83"/>
      <c r="K274" s="83"/>
      <c r="L274" s="83"/>
      <c r="M274" s="83"/>
      <c r="N274" s="83"/>
      <c r="O274" s="83"/>
      <c r="P274" s="83"/>
      <c r="Q274" s="83"/>
    </row>
    <row r="275" spans="1:17" s="84" customFormat="1" x14ac:dyDescent="0.25">
      <c r="A275" s="81" t="s">
        <v>1246</v>
      </c>
      <c r="B275" s="82" t="s">
        <v>921</v>
      </c>
      <c r="C275" s="82" t="s">
        <v>1247</v>
      </c>
      <c r="D275" s="82" t="s">
        <v>901</v>
      </c>
      <c r="E275" s="82" t="s">
        <v>1131</v>
      </c>
      <c r="F275" s="82">
        <v>2013</v>
      </c>
      <c r="G275" s="82" t="s">
        <v>1248</v>
      </c>
      <c r="H275" s="82" t="s">
        <v>1249</v>
      </c>
      <c r="I275" s="83"/>
      <c r="J275" s="83"/>
      <c r="K275" s="83"/>
      <c r="L275" s="83"/>
      <c r="M275" s="83"/>
      <c r="N275" s="83"/>
      <c r="O275" s="83"/>
      <c r="P275" s="83"/>
      <c r="Q275" s="83"/>
    </row>
    <row r="276" spans="1:17" s="84" customFormat="1" x14ac:dyDescent="0.25">
      <c r="A276" s="81" t="s">
        <v>1250</v>
      </c>
      <c r="B276" s="82" t="s">
        <v>921</v>
      </c>
      <c r="C276" s="82" t="s">
        <v>1251</v>
      </c>
      <c r="D276" s="82" t="s">
        <v>901</v>
      </c>
      <c r="E276" s="82" t="s">
        <v>923</v>
      </c>
      <c r="F276" s="82">
        <v>2014</v>
      </c>
      <c r="G276" s="82" t="s">
        <v>1252</v>
      </c>
      <c r="H276" s="82" t="s">
        <v>1253</v>
      </c>
      <c r="I276" s="83"/>
      <c r="J276" s="83"/>
      <c r="K276" s="83"/>
      <c r="L276" s="83"/>
      <c r="M276" s="83"/>
      <c r="N276" s="83"/>
      <c r="O276" s="83"/>
      <c r="P276" s="83"/>
      <c r="Q276" s="83"/>
    </row>
    <row r="277" spans="1:17" s="84" customFormat="1" x14ac:dyDescent="0.25">
      <c r="A277" s="81" t="s">
        <v>1254</v>
      </c>
      <c r="B277" s="82" t="s">
        <v>921</v>
      </c>
      <c r="C277" s="82" t="s">
        <v>1255</v>
      </c>
      <c r="D277" s="82" t="s">
        <v>901</v>
      </c>
      <c r="E277" s="82" t="s">
        <v>1131</v>
      </c>
      <c r="F277" s="82">
        <v>2013</v>
      </c>
      <c r="G277" s="82" t="s">
        <v>1256</v>
      </c>
      <c r="H277" s="82" t="s">
        <v>1257</v>
      </c>
      <c r="I277" s="83"/>
      <c r="J277" s="83"/>
      <c r="K277" s="83"/>
      <c r="L277" s="83"/>
      <c r="M277" s="83"/>
      <c r="N277" s="83"/>
      <c r="O277" s="83"/>
      <c r="P277" s="83"/>
      <c r="Q277" s="83"/>
    </row>
    <row r="278" spans="1:17" s="84" customFormat="1" x14ac:dyDescent="0.25">
      <c r="A278" s="81" t="s">
        <v>1258</v>
      </c>
      <c r="B278" s="82" t="s">
        <v>921</v>
      </c>
      <c r="C278" s="82" t="s">
        <v>1259</v>
      </c>
      <c r="D278" s="82" t="s">
        <v>901</v>
      </c>
      <c r="E278" s="82" t="s">
        <v>1037</v>
      </c>
      <c r="F278" s="82">
        <v>2014</v>
      </c>
      <c r="G278" s="82" t="s">
        <v>1260</v>
      </c>
      <c r="H278" s="82" t="s">
        <v>1261</v>
      </c>
      <c r="I278" s="83"/>
      <c r="J278" s="83"/>
      <c r="K278" s="83"/>
      <c r="L278" s="83"/>
      <c r="M278" s="83"/>
      <c r="N278" s="83"/>
      <c r="O278" s="83"/>
      <c r="P278" s="83"/>
      <c r="Q278" s="83"/>
    </row>
    <row r="279" spans="1:17" s="84" customFormat="1" x14ac:dyDescent="0.25">
      <c r="A279" s="81" t="s">
        <v>1262</v>
      </c>
      <c r="B279" s="82" t="s">
        <v>921</v>
      </c>
      <c r="C279" s="82" t="s">
        <v>1263</v>
      </c>
      <c r="D279" s="82" t="s">
        <v>901</v>
      </c>
      <c r="E279" s="82" t="s">
        <v>1131</v>
      </c>
      <c r="F279" s="82">
        <v>2013</v>
      </c>
      <c r="G279" s="82" t="s">
        <v>1264</v>
      </c>
      <c r="H279" s="82" t="s">
        <v>1265</v>
      </c>
      <c r="I279" s="83"/>
      <c r="J279" s="83"/>
      <c r="K279" s="83"/>
      <c r="L279" s="83"/>
      <c r="M279" s="83"/>
      <c r="N279" s="83"/>
      <c r="O279" s="83"/>
      <c r="P279" s="83"/>
      <c r="Q279" s="83"/>
    </row>
    <row r="280" spans="1:17" s="84" customFormat="1" x14ac:dyDescent="0.25">
      <c r="A280" s="81" t="s">
        <v>1266</v>
      </c>
      <c r="B280" s="82" t="s">
        <v>921</v>
      </c>
      <c r="C280" s="82" t="s">
        <v>1267</v>
      </c>
      <c r="D280" s="82" t="s">
        <v>901</v>
      </c>
      <c r="E280" s="82" t="s">
        <v>1037</v>
      </c>
      <c r="F280" s="82">
        <v>2014</v>
      </c>
      <c r="G280" s="82" t="s">
        <v>1268</v>
      </c>
      <c r="H280" s="82" t="s">
        <v>1269</v>
      </c>
      <c r="I280" s="83"/>
      <c r="J280" s="83"/>
      <c r="K280" s="83"/>
      <c r="L280" s="83"/>
      <c r="M280" s="83"/>
      <c r="N280" s="83"/>
      <c r="O280" s="83"/>
      <c r="P280" s="83"/>
      <c r="Q280" s="83"/>
    </row>
    <row r="281" spans="1:17" s="84" customFormat="1" x14ac:dyDescent="0.25">
      <c r="A281" s="81" t="s">
        <v>1270</v>
      </c>
      <c r="B281" s="82" t="s">
        <v>921</v>
      </c>
      <c r="C281" s="82" t="s">
        <v>1271</v>
      </c>
      <c r="D281" s="82" t="s">
        <v>901</v>
      </c>
      <c r="E281" s="82" t="s">
        <v>1037</v>
      </c>
      <c r="F281" s="82">
        <v>2014</v>
      </c>
      <c r="G281" s="82" t="s">
        <v>1272</v>
      </c>
      <c r="H281" s="82" t="s">
        <v>1273</v>
      </c>
      <c r="I281" s="83"/>
      <c r="J281" s="83"/>
      <c r="K281" s="83"/>
      <c r="L281" s="83"/>
      <c r="M281" s="83"/>
      <c r="N281" s="83"/>
      <c r="O281" s="83"/>
      <c r="P281" s="83"/>
      <c r="Q281" s="83"/>
    </row>
    <row r="282" spans="1:17" s="84" customFormat="1" x14ac:dyDescent="0.25">
      <c r="A282" s="81" t="s">
        <v>1274</v>
      </c>
      <c r="B282" s="82" t="s">
        <v>921</v>
      </c>
      <c r="C282" s="82" t="s">
        <v>1275</v>
      </c>
      <c r="D282" s="82" t="s">
        <v>901</v>
      </c>
      <c r="E282" s="82" t="s">
        <v>1131</v>
      </c>
      <c r="F282" s="82">
        <v>2013</v>
      </c>
      <c r="G282" s="82" t="s">
        <v>1276</v>
      </c>
      <c r="H282" s="82" t="s">
        <v>1277</v>
      </c>
      <c r="I282" s="83"/>
      <c r="J282" s="83"/>
      <c r="K282" s="83"/>
      <c r="L282" s="83"/>
      <c r="M282" s="83"/>
      <c r="N282" s="83"/>
      <c r="O282" s="83"/>
      <c r="P282" s="83"/>
      <c r="Q282" s="83"/>
    </row>
    <row r="283" spans="1:17" s="84" customFormat="1" x14ac:dyDescent="0.25">
      <c r="A283" s="81" t="s">
        <v>1278</v>
      </c>
      <c r="B283" s="82" t="s">
        <v>921</v>
      </c>
      <c r="C283" s="82" t="s">
        <v>1279</v>
      </c>
      <c r="D283" s="82" t="s">
        <v>901</v>
      </c>
      <c r="E283" s="82" t="s">
        <v>1037</v>
      </c>
      <c r="F283" s="82">
        <v>2014</v>
      </c>
      <c r="G283" s="82" t="s">
        <v>1280</v>
      </c>
      <c r="H283" s="82" t="s">
        <v>1281</v>
      </c>
      <c r="I283" s="83"/>
      <c r="J283" s="83"/>
      <c r="K283" s="83"/>
      <c r="L283" s="83"/>
      <c r="M283" s="83"/>
      <c r="N283" s="83"/>
      <c r="O283" s="83"/>
      <c r="P283" s="83"/>
      <c r="Q283" s="83"/>
    </row>
    <row r="284" spans="1:17" s="84" customFormat="1" x14ac:dyDescent="0.25">
      <c r="A284" s="81" t="s">
        <v>1282</v>
      </c>
      <c r="B284" s="82" t="s">
        <v>921</v>
      </c>
      <c r="C284" s="82" t="s">
        <v>1283</v>
      </c>
      <c r="D284" s="82" t="s">
        <v>901</v>
      </c>
      <c r="E284" s="82" t="s">
        <v>1131</v>
      </c>
      <c r="F284" s="82">
        <v>2013</v>
      </c>
      <c r="G284" s="82" t="s">
        <v>1284</v>
      </c>
      <c r="H284" s="82" t="s">
        <v>1285</v>
      </c>
      <c r="I284" s="83"/>
      <c r="J284" s="83"/>
      <c r="K284" s="83"/>
      <c r="L284" s="83"/>
      <c r="M284" s="83"/>
      <c r="N284" s="83"/>
      <c r="O284" s="83"/>
      <c r="P284" s="83"/>
      <c r="Q284" s="83"/>
    </row>
    <row r="285" spans="1:17" s="84" customFormat="1" x14ac:dyDescent="0.25">
      <c r="A285" s="81" t="s">
        <v>1286</v>
      </c>
      <c r="B285" s="82" t="s">
        <v>921</v>
      </c>
      <c r="C285" s="82" t="s">
        <v>1287</v>
      </c>
      <c r="D285" s="82" t="s">
        <v>901</v>
      </c>
      <c r="E285" s="82" t="s">
        <v>1037</v>
      </c>
      <c r="F285" s="82">
        <v>2014</v>
      </c>
      <c r="G285" s="82" t="s">
        <v>1288</v>
      </c>
      <c r="H285" s="82" t="s">
        <v>1289</v>
      </c>
      <c r="I285" s="83"/>
      <c r="J285" s="83"/>
      <c r="K285" s="83"/>
      <c r="L285" s="83"/>
      <c r="M285" s="83"/>
      <c r="N285" s="83"/>
      <c r="O285" s="83"/>
      <c r="P285" s="83"/>
      <c r="Q285" s="83"/>
    </row>
    <row r="286" spans="1:17" s="84" customFormat="1" x14ac:dyDescent="0.25">
      <c r="A286" s="81" t="s">
        <v>1290</v>
      </c>
      <c r="B286" s="82" t="s">
        <v>921</v>
      </c>
      <c r="C286" s="82" t="s">
        <v>1291</v>
      </c>
      <c r="D286" s="82" t="s">
        <v>901</v>
      </c>
      <c r="E286" s="82" t="s">
        <v>950</v>
      </c>
      <c r="F286" s="82">
        <v>2013</v>
      </c>
      <c r="G286" s="82" t="s">
        <v>1292</v>
      </c>
      <c r="H286" s="82" t="s">
        <v>1293</v>
      </c>
      <c r="I286" s="83"/>
      <c r="J286" s="83"/>
      <c r="K286" s="83"/>
      <c r="L286" s="83"/>
      <c r="M286" s="83"/>
      <c r="N286" s="83"/>
      <c r="O286" s="83"/>
      <c r="P286" s="83"/>
      <c r="Q286" s="83"/>
    </row>
    <row r="287" spans="1:17" s="84" customFormat="1" x14ac:dyDescent="0.25">
      <c r="A287" s="81" t="s">
        <v>1294</v>
      </c>
      <c r="B287" s="82" t="s">
        <v>921</v>
      </c>
      <c r="C287" s="82" t="s">
        <v>1295</v>
      </c>
      <c r="D287" s="82" t="s">
        <v>901</v>
      </c>
      <c r="E287" s="82" t="s">
        <v>1037</v>
      </c>
      <c r="F287" s="82">
        <v>2014</v>
      </c>
      <c r="G287" s="82" t="s">
        <v>1296</v>
      </c>
      <c r="H287" s="82" t="s">
        <v>1297</v>
      </c>
      <c r="I287" s="83"/>
      <c r="J287" s="83"/>
      <c r="K287" s="83"/>
      <c r="L287" s="83"/>
      <c r="M287" s="83"/>
      <c r="N287" s="83"/>
      <c r="O287" s="83"/>
      <c r="P287" s="83"/>
      <c r="Q287" s="83"/>
    </row>
    <row r="288" spans="1:17" s="84" customFormat="1" x14ac:dyDescent="0.25">
      <c r="A288" s="81" t="s">
        <v>1298</v>
      </c>
      <c r="B288" s="82" t="s">
        <v>921</v>
      </c>
      <c r="C288" s="82" t="s">
        <v>1299</v>
      </c>
      <c r="D288" s="82" t="s">
        <v>901</v>
      </c>
      <c r="E288" s="82" t="s">
        <v>1131</v>
      </c>
      <c r="F288" s="82">
        <v>2013</v>
      </c>
      <c r="G288" s="82" t="s">
        <v>1300</v>
      </c>
      <c r="H288" s="82" t="s">
        <v>1301</v>
      </c>
      <c r="I288" s="83"/>
      <c r="J288" s="83"/>
      <c r="K288" s="83"/>
      <c r="L288" s="83"/>
      <c r="M288" s="83"/>
      <c r="N288" s="83"/>
      <c r="O288" s="83"/>
      <c r="P288" s="83"/>
      <c r="Q288" s="83"/>
    </row>
    <row r="289" spans="1:17" s="84" customFormat="1" x14ac:dyDescent="0.25">
      <c r="A289" s="81" t="s">
        <v>1302</v>
      </c>
      <c r="B289" s="82" t="s">
        <v>921</v>
      </c>
      <c r="C289" s="82" t="s">
        <v>1303</v>
      </c>
      <c r="D289" s="82" t="s">
        <v>901</v>
      </c>
      <c r="E289" s="82" t="s">
        <v>923</v>
      </c>
      <c r="F289" s="82">
        <v>2014</v>
      </c>
      <c r="G289" s="82" t="s">
        <v>1304</v>
      </c>
      <c r="H289" s="82" t="s">
        <v>1305</v>
      </c>
      <c r="I289" s="83"/>
      <c r="J289" s="83"/>
      <c r="K289" s="83"/>
      <c r="L289" s="83"/>
      <c r="M289" s="83"/>
      <c r="N289" s="83"/>
      <c r="O289" s="83"/>
      <c r="P289" s="83"/>
      <c r="Q289" s="83"/>
    </row>
    <row r="290" spans="1:17" s="84" customFormat="1" x14ac:dyDescent="0.25">
      <c r="A290" s="81" t="s">
        <v>1306</v>
      </c>
      <c r="B290" s="82" t="s">
        <v>921</v>
      </c>
      <c r="C290" s="82" t="s">
        <v>1307</v>
      </c>
      <c r="D290" s="82" t="s">
        <v>901</v>
      </c>
      <c r="E290" s="82" t="s">
        <v>1131</v>
      </c>
      <c r="F290" s="82">
        <v>2013</v>
      </c>
      <c r="G290" s="82" t="s">
        <v>1308</v>
      </c>
      <c r="H290" s="82" t="s">
        <v>1309</v>
      </c>
      <c r="I290" s="83"/>
      <c r="J290" s="83"/>
      <c r="K290" s="83"/>
      <c r="L290" s="83"/>
      <c r="M290" s="83"/>
      <c r="N290" s="83"/>
      <c r="O290" s="83"/>
      <c r="P290" s="83"/>
      <c r="Q290" s="83"/>
    </row>
    <row r="291" spans="1:17" s="84" customFormat="1" x14ac:dyDescent="0.25">
      <c r="A291" s="81" t="s">
        <v>1310</v>
      </c>
      <c r="B291" s="82" t="s">
        <v>921</v>
      </c>
      <c r="C291" s="82" t="s">
        <v>1311</v>
      </c>
      <c r="D291" s="82" t="s">
        <v>901</v>
      </c>
      <c r="E291" s="82" t="s">
        <v>1037</v>
      </c>
      <c r="F291" s="82">
        <v>2014</v>
      </c>
      <c r="G291" s="82" t="s">
        <v>1312</v>
      </c>
      <c r="H291" s="82" t="s">
        <v>1313</v>
      </c>
      <c r="I291" s="83"/>
      <c r="J291" s="83"/>
      <c r="K291" s="83"/>
      <c r="L291" s="83"/>
      <c r="M291" s="83"/>
      <c r="N291" s="83"/>
      <c r="O291" s="83"/>
      <c r="P291" s="83"/>
      <c r="Q291" s="83"/>
    </row>
    <row r="292" spans="1:17" s="84" customFormat="1" x14ac:dyDescent="0.25">
      <c r="A292" s="81" t="s">
        <v>1314</v>
      </c>
      <c r="B292" s="82" t="s">
        <v>921</v>
      </c>
      <c r="C292" s="82" t="s">
        <v>1315</v>
      </c>
      <c r="D292" s="82" t="s">
        <v>901</v>
      </c>
      <c r="E292" s="82" t="s">
        <v>1037</v>
      </c>
      <c r="F292" s="82">
        <v>2014</v>
      </c>
      <c r="G292" s="82" t="s">
        <v>1316</v>
      </c>
      <c r="H292" s="82" t="s">
        <v>1317</v>
      </c>
      <c r="I292" s="83"/>
      <c r="J292" s="83"/>
      <c r="K292" s="83"/>
      <c r="L292" s="83"/>
      <c r="M292" s="83"/>
      <c r="N292" s="83"/>
      <c r="O292" s="83"/>
      <c r="P292" s="83"/>
      <c r="Q292" s="83"/>
    </row>
    <row r="293" spans="1:17" s="84" customFormat="1" x14ac:dyDescent="0.25">
      <c r="A293" s="81" t="s">
        <v>1318</v>
      </c>
      <c r="B293" s="82" t="s">
        <v>921</v>
      </c>
      <c r="C293" s="82" t="s">
        <v>1319</v>
      </c>
      <c r="D293" s="82" t="s">
        <v>901</v>
      </c>
      <c r="E293" s="82" t="s">
        <v>1037</v>
      </c>
      <c r="F293" s="82">
        <v>2014</v>
      </c>
      <c r="G293" s="82" t="s">
        <v>1320</v>
      </c>
      <c r="H293" s="82" t="s">
        <v>1321</v>
      </c>
      <c r="I293" s="83"/>
      <c r="J293" s="83"/>
      <c r="K293" s="83"/>
      <c r="L293" s="83"/>
      <c r="M293" s="83"/>
      <c r="N293" s="83"/>
      <c r="O293" s="83"/>
      <c r="P293" s="83"/>
      <c r="Q293" s="83"/>
    </row>
    <row r="294" spans="1:17" s="84" customFormat="1" x14ac:dyDescent="0.25">
      <c r="A294" s="81" t="s">
        <v>1322</v>
      </c>
      <c r="B294" s="82" t="s">
        <v>921</v>
      </c>
      <c r="C294" s="82" t="s">
        <v>1323</v>
      </c>
      <c r="D294" s="82" t="s">
        <v>901</v>
      </c>
      <c r="E294" s="82" t="s">
        <v>1131</v>
      </c>
      <c r="F294" s="82">
        <v>2010</v>
      </c>
      <c r="G294" s="82" t="s">
        <v>1324</v>
      </c>
      <c r="H294" s="82" t="s">
        <v>1325</v>
      </c>
      <c r="I294" s="83"/>
      <c r="J294" s="83"/>
      <c r="K294" s="83"/>
      <c r="L294" s="83"/>
      <c r="M294" s="83"/>
      <c r="N294" s="83"/>
      <c r="O294" s="83"/>
      <c r="P294" s="83"/>
      <c r="Q294" s="83"/>
    </row>
    <row r="295" spans="1:17" s="84" customFormat="1" x14ac:dyDescent="0.25">
      <c r="A295" s="81" t="s">
        <v>1326</v>
      </c>
      <c r="B295" s="82" t="s">
        <v>921</v>
      </c>
      <c r="C295" s="82" t="s">
        <v>1327</v>
      </c>
      <c r="D295" s="82" t="s">
        <v>901</v>
      </c>
      <c r="E295" s="82" t="s">
        <v>1131</v>
      </c>
      <c r="F295" s="82">
        <v>2010</v>
      </c>
      <c r="G295" s="82" t="s">
        <v>1328</v>
      </c>
      <c r="H295" s="82" t="s">
        <v>1329</v>
      </c>
      <c r="I295" s="83"/>
      <c r="J295" s="83"/>
      <c r="K295" s="83"/>
      <c r="L295" s="83"/>
      <c r="M295" s="83"/>
      <c r="N295" s="83"/>
      <c r="O295" s="83"/>
      <c r="P295" s="83"/>
      <c r="Q295" s="83"/>
    </row>
    <row r="296" spans="1:17" s="84" customFormat="1" x14ac:dyDescent="0.25">
      <c r="A296" s="81" t="s">
        <v>1330</v>
      </c>
      <c r="B296" s="82" t="s">
        <v>921</v>
      </c>
      <c r="C296" s="82" t="s">
        <v>1331</v>
      </c>
      <c r="D296" s="82" t="s">
        <v>901</v>
      </c>
      <c r="E296" s="82" t="s">
        <v>1131</v>
      </c>
      <c r="F296" s="82">
        <v>2010</v>
      </c>
      <c r="G296" s="82" t="s">
        <v>1332</v>
      </c>
      <c r="H296" s="82" t="s">
        <v>1333</v>
      </c>
      <c r="I296" s="83"/>
      <c r="J296" s="83"/>
      <c r="K296" s="83"/>
      <c r="L296" s="83"/>
      <c r="M296" s="83"/>
      <c r="N296" s="83"/>
      <c r="O296" s="83"/>
      <c r="P296" s="83"/>
      <c r="Q296" s="83"/>
    </row>
    <row r="297" spans="1:17" s="84" customFormat="1" x14ac:dyDescent="0.25">
      <c r="A297" s="81" t="s">
        <v>1334</v>
      </c>
      <c r="B297" s="82" t="s">
        <v>921</v>
      </c>
      <c r="C297" s="82" t="s">
        <v>1335</v>
      </c>
      <c r="D297" s="82" t="s">
        <v>901</v>
      </c>
      <c r="E297" s="82" t="s">
        <v>1131</v>
      </c>
      <c r="F297" s="82">
        <v>2010</v>
      </c>
      <c r="G297" s="82" t="s">
        <v>1336</v>
      </c>
      <c r="H297" s="82" t="s">
        <v>1337</v>
      </c>
      <c r="I297" s="83"/>
      <c r="J297" s="83"/>
      <c r="K297" s="83"/>
      <c r="L297" s="83"/>
      <c r="M297" s="83"/>
      <c r="N297" s="83"/>
      <c r="O297" s="83"/>
      <c r="P297" s="83"/>
      <c r="Q297" s="83"/>
    </row>
    <row r="298" spans="1:17" s="84" customFormat="1" x14ac:dyDescent="0.25">
      <c r="A298" s="81" t="s">
        <v>1338</v>
      </c>
      <c r="B298" s="82" t="s">
        <v>921</v>
      </c>
      <c r="C298" s="82" t="s">
        <v>1339</v>
      </c>
      <c r="D298" s="82" t="s">
        <v>1340</v>
      </c>
      <c r="E298" s="82" t="s">
        <v>1341</v>
      </c>
      <c r="F298" s="82">
        <v>2008</v>
      </c>
      <c r="G298" s="82" t="s">
        <v>1342</v>
      </c>
      <c r="H298" s="82" t="s">
        <v>1343</v>
      </c>
      <c r="I298" s="83"/>
      <c r="J298" s="83"/>
      <c r="K298" s="83"/>
      <c r="L298" s="83"/>
      <c r="M298" s="83"/>
      <c r="N298" s="83"/>
      <c r="O298" s="83"/>
      <c r="P298" s="83"/>
      <c r="Q298" s="83"/>
    </row>
    <row r="299" spans="1:17" s="84" customFormat="1" x14ac:dyDescent="0.25">
      <c r="A299" s="81" t="s">
        <v>1344</v>
      </c>
      <c r="B299" s="82" t="s">
        <v>921</v>
      </c>
      <c r="C299" s="82" t="s">
        <v>1345</v>
      </c>
      <c r="D299" s="82" t="s">
        <v>901</v>
      </c>
      <c r="E299" s="82" t="s">
        <v>950</v>
      </c>
      <c r="F299" s="82">
        <v>2010</v>
      </c>
      <c r="G299" s="82" t="s">
        <v>1346</v>
      </c>
      <c r="H299" s="82" t="s">
        <v>1347</v>
      </c>
      <c r="I299" s="83"/>
      <c r="J299" s="83"/>
      <c r="K299" s="83"/>
      <c r="L299" s="83"/>
      <c r="M299" s="83"/>
      <c r="N299" s="83"/>
      <c r="O299" s="83"/>
      <c r="P299" s="83"/>
      <c r="Q299" s="83"/>
    </row>
    <row r="300" spans="1:17" s="84" customFormat="1" x14ac:dyDescent="0.25">
      <c r="A300" s="81" t="s">
        <v>1348</v>
      </c>
      <c r="B300" s="82" t="s">
        <v>921</v>
      </c>
      <c r="C300" s="82" t="s">
        <v>1349</v>
      </c>
      <c r="D300" s="82" t="s">
        <v>901</v>
      </c>
      <c r="E300" s="82" t="s">
        <v>950</v>
      </c>
      <c r="F300" s="82">
        <v>2010</v>
      </c>
      <c r="G300" s="82" t="s">
        <v>1350</v>
      </c>
      <c r="H300" s="82" t="s">
        <v>1351</v>
      </c>
      <c r="I300" s="83"/>
      <c r="J300" s="83"/>
      <c r="K300" s="83"/>
      <c r="L300" s="83"/>
      <c r="M300" s="83"/>
      <c r="N300" s="83"/>
      <c r="O300" s="83"/>
      <c r="P300" s="83"/>
      <c r="Q300" s="83"/>
    </row>
    <row r="301" spans="1:17" s="84" customFormat="1" x14ac:dyDescent="0.25">
      <c r="A301" s="81" t="s">
        <v>1352</v>
      </c>
      <c r="B301" s="82" t="s">
        <v>921</v>
      </c>
      <c r="C301" s="82" t="s">
        <v>1353</v>
      </c>
      <c r="D301" s="82" t="s">
        <v>1340</v>
      </c>
      <c r="E301" s="82" t="s">
        <v>1341</v>
      </c>
      <c r="F301" s="82">
        <v>2008</v>
      </c>
      <c r="G301" s="82" t="s">
        <v>1354</v>
      </c>
      <c r="H301" s="82" t="s">
        <v>1355</v>
      </c>
      <c r="I301" s="83"/>
      <c r="J301" s="83"/>
      <c r="K301" s="83"/>
      <c r="L301" s="83"/>
      <c r="M301" s="83"/>
      <c r="N301" s="83"/>
      <c r="O301" s="83"/>
      <c r="P301" s="83"/>
      <c r="Q301" s="83"/>
    </row>
    <row r="302" spans="1:17" s="84" customFormat="1" x14ac:dyDescent="0.25">
      <c r="A302" s="81" t="s">
        <v>1356</v>
      </c>
      <c r="B302" s="82" t="s">
        <v>921</v>
      </c>
      <c r="C302" s="82" t="s">
        <v>1357</v>
      </c>
      <c r="D302" s="82" t="s">
        <v>1340</v>
      </c>
      <c r="E302" s="82" t="s">
        <v>1341</v>
      </c>
      <c r="F302" s="82">
        <v>2008</v>
      </c>
      <c r="G302" s="82" t="s">
        <v>1358</v>
      </c>
      <c r="H302" s="82" t="s">
        <v>1359</v>
      </c>
      <c r="I302" s="83"/>
      <c r="J302" s="83"/>
      <c r="K302" s="83"/>
      <c r="L302" s="83"/>
      <c r="M302" s="83"/>
      <c r="N302" s="83"/>
      <c r="O302" s="83"/>
      <c r="P302" s="83"/>
      <c r="Q302" s="83"/>
    </row>
    <row r="303" spans="1:17" s="84" customFormat="1" x14ac:dyDescent="0.25">
      <c r="A303" s="81" t="s">
        <v>1360</v>
      </c>
      <c r="B303" s="82" t="s">
        <v>921</v>
      </c>
      <c r="C303" s="82" t="s">
        <v>1361</v>
      </c>
      <c r="D303" s="82" t="s">
        <v>901</v>
      </c>
      <c r="E303" s="82" t="s">
        <v>950</v>
      </c>
      <c r="F303" s="82">
        <v>2008</v>
      </c>
      <c r="G303" s="82" t="s">
        <v>1362</v>
      </c>
      <c r="H303" s="82" t="s">
        <v>1363</v>
      </c>
      <c r="I303" s="83"/>
      <c r="J303" s="83"/>
      <c r="K303" s="83"/>
      <c r="L303" s="83"/>
      <c r="M303" s="83"/>
      <c r="N303" s="83"/>
      <c r="O303" s="83"/>
      <c r="P303" s="83"/>
      <c r="Q303" s="83"/>
    </row>
    <row r="304" spans="1:17" s="84" customFormat="1" x14ac:dyDescent="0.25">
      <c r="A304" s="81" t="s">
        <v>1364</v>
      </c>
      <c r="B304" s="82" t="s">
        <v>921</v>
      </c>
      <c r="C304" s="82" t="s">
        <v>1365</v>
      </c>
      <c r="D304" s="82" t="s">
        <v>901</v>
      </c>
      <c r="E304" s="82" t="s">
        <v>950</v>
      </c>
      <c r="F304" s="82">
        <v>2008</v>
      </c>
      <c r="G304" s="82" t="s">
        <v>1366</v>
      </c>
      <c r="H304" s="82" t="s">
        <v>1367</v>
      </c>
      <c r="I304" s="83"/>
      <c r="J304" s="83"/>
      <c r="K304" s="83"/>
      <c r="L304" s="83"/>
      <c r="M304" s="83"/>
      <c r="N304" s="83"/>
      <c r="O304" s="83"/>
      <c r="P304" s="83"/>
      <c r="Q304" s="83"/>
    </row>
    <row r="305" spans="1:17" s="84" customFormat="1" x14ac:dyDescent="0.25">
      <c r="A305" s="81" t="s">
        <v>1368</v>
      </c>
      <c r="B305" s="82" t="s">
        <v>921</v>
      </c>
      <c r="C305" s="82" t="s">
        <v>1369</v>
      </c>
      <c r="D305" s="82" t="s">
        <v>1370</v>
      </c>
      <c r="E305" s="82" t="s">
        <v>1371</v>
      </c>
      <c r="F305" s="82">
        <v>1999</v>
      </c>
      <c r="G305" s="82" t="s">
        <v>1372</v>
      </c>
      <c r="H305" s="82" t="s">
        <v>1373</v>
      </c>
      <c r="I305" s="83"/>
      <c r="J305" s="83"/>
      <c r="K305" s="83"/>
      <c r="L305" s="83"/>
      <c r="M305" s="83"/>
      <c r="N305" s="83"/>
      <c r="O305" s="83"/>
      <c r="P305" s="83"/>
      <c r="Q305" s="83"/>
    </row>
    <row r="306" spans="1:17" s="84" customFormat="1" x14ac:dyDescent="0.25">
      <c r="A306" s="81" t="s">
        <v>1374</v>
      </c>
      <c r="B306" s="82" t="s">
        <v>921</v>
      </c>
      <c r="C306" s="82" t="s">
        <v>1375</v>
      </c>
      <c r="D306" s="82" t="s">
        <v>1370</v>
      </c>
      <c r="E306" s="82" t="s">
        <v>1371</v>
      </c>
      <c r="F306" s="82">
        <v>1999</v>
      </c>
      <c r="G306" s="82" t="s">
        <v>1376</v>
      </c>
      <c r="H306" s="82" t="s">
        <v>1377</v>
      </c>
      <c r="I306" s="83"/>
      <c r="J306" s="83"/>
      <c r="K306" s="83"/>
      <c r="L306" s="83"/>
      <c r="M306" s="83"/>
      <c r="N306" s="83"/>
      <c r="O306" s="83"/>
      <c r="P306" s="83"/>
      <c r="Q306" s="83"/>
    </row>
    <row r="307" spans="1:17" s="84" customFormat="1" x14ac:dyDescent="0.25">
      <c r="A307" s="81" t="s">
        <v>1378</v>
      </c>
      <c r="B307" s="82" t="s">
        <v>921</v>
      </c>
      <c r="C307" s="82" t="s">
        <v>1379</v>
      </c>
      <c r="D307" s="82" t="s">
        <v>1370</v>
      </c>
      <c r="E307" s="82" t="s">
        <v>1371</v>
      </c>
      <c r="F307" s="82">
        <v>1999</v>
      </c>
      <c r="G307" s="82" t="s">
        <v>1380</v>
      </c>
      <c r="H307" s="82" t="s">
        <v>1381</v>
      </c>
      <c r="I307" s="83"/>
      <c r="J307" s="83"/>
      <c r="K307" s="83"/>
      <c r="L307" s="83"/>
      <c r="M307" s="83"/>
      <c r="N307" s="83"/>
      <c r="O307" s="83"/>
      <c r="P307" s="83"/>
      <c r="Q307" s="83"/>
    </row>
    <row r="308" spans="1:17" s="84" customFormat="1" x14ac:dyDescent="0.25">
      <c r="A308" s="81" t="s">
        <v>1382</v>
      </c>
      <c r="B308" s="82" t="s">
        <v>921</v>
      </c>
      <c r="C308" s="82" t="s">
        <v>1383</v>
      </c>
      <c r="D308" s="82" t="s">
        <v>901</v>
      </c>
      <c r="E308" s="82" t="s">
        <v>950</v>
      </c>
      <c r="F308" s="82">
        <v>2005</v>
      </c>
      <c r="G308" s="82" t="s">
        <v>1384</v>
      </c>
      <c r="H308" s="82" t="s">
        <v>1385</v>
      </c>
      <c r="I308" s="83"/>
      <c r="J308" s="83"/>
      <c r="K308" s="83"/>
      <c r="L308" s="83"/>
      <c r="M308" s="83"/>
      <c r="N308" s="83"/>
      <c r="O308" s="83"/>
      <c r="P308" s="83"/>
      <c r="Q308" s="83"/>
    </row>
    <row r="309" spans="1:17" s="84" customFormat="1" x14ac:dyDescent="0.25">
      <c r="A309" s="81" t="s">
        <v>1386</v>
      </c>
      <c r="B309" s="82" t="s">
        <v>921</v>
      </c>
      <c r="C309" s="82" t="s">
        <v>1387</v>
      </c>
      <c r="D309" s="82" t="s">
        <v>901</v>
      </c>
      <c r="E309" s="82" t="s">
        <v>950</v>
      </c>
      <c r="F309" s="82">
        <v>2005</v>
      </c>
      <c r="G309" s="82" t="s">
        <v>1388</v>
      </c>
      <c r="H309" s="82" t="s">
        <v>1389</v>
      </c>
      <c r="I309" s="83"/>
      <c r="J309" s="83"/>
      <c r="K309" s="83"/>
      <c r="L309" s="83"/>
      <c r="M309" s="83"/>
      <c r="N309" s="83"/>
      <c r="O309" s="83"/>
      <c r="P309" s="83"/>
      <c r="Q309" s="83"/>
    </row>
    <row r="310" spans="1:17" s="84" customFormat="1" x14ac:dyDescent="0.25">
      <c r="A310" s="81" t="s">
        <v>1390</v>
      </c>
      <c r="B310" s="82" t="s">
        <v>921</v>
      </c>
      <c r="C310" s="82" t="s">
        <v>1391</v>
      </c>
      <c r="D310" s="82" t="s">
        <v>901</v>
      </c>
      <c r="E310" s="82" t="s">
        <v>950</v>
      </c>
      <c r="F310" s="82">
        <v>2005</v>
      </c>
      <c r="G310" s="82" t="s">
        <v>1392</v>
      </c>
      <c r="H310" s="82" t="s">
        <v>1393</v>
      </c>
      <c r="I310" s="83"/>
      <c r="J310" s="83"/>
      <c r="K310" s="83"/>
      <c r="L310" s="83"/>
      <c r="M310" s="83"/>
      <c r="N310" s="83"/>
      <c r="O310" s="83"/>
      <c r="P310" s="83"/>
      <c r="Q310" s="83"/>
    </row>
    <row r="311" spans="1:17" s="84" customFormat="1" x14ac:dyDescent="0.25">
      <c r="A311" s="81" t="s">
        <v>1394</v>
      </c>
      <c r="B311" s="82" t="s">
        <v>921</v>
      </c>
      <c r="C311" s="82" t="s">
        <v>1395</v>
      </c>
      <c r="D311" s="82" t="s">
        <v>901</v>
      </c>
      <c r="E311" s="82" t="s">
        <v>950</v>
      </c>
      <c r="F311" s="82">
        <v>2005</v>
      </c>
      <c r="G311" s="82" t="s">
        <v>1396</v>
      </c>
      <c r="H311" s="82" t="s">
        <v>1397</v>
      </c>
      <c r="I311" s="83"/>
      <c r="J311" s="83"/>
      <c r="K311" s="83"/>
      <c r="L311" s="83"/>
      <c r="M311" s="83"/>
      <c r="N311" s="83"/>
      <c r="O311" s="83"/>
      <c r="P311" s="83"/>
      <c r="Q311" s="83"/>
    </row>
    <row r="312" spans="1:17" s="84" customFormat="1" x14ac:dyDescent="0.25">
      <c r="A312" s="81" t="s">
        <v>1398</v>
      </c>
      <c r="B312" s="82" t="s">
        <v>921</v>
      </c>
      <c r="C312" s="82" t="s">
        <v>1399</v>
      </c>
      <c r="D312" s="82" t="s">
        <v>901</v>
      </c>
      <c r="E312" s="82" t="s">
        <v>950</v>
      </c>
      <c r="F312" s="82">
        <v>2005</v>
      </c>
      <c r="G312" s="82" t="s">
        <v>1400</v>
      </c>
      <c r="H312" s="82" t="s">
        <v>1401</v>
      </c>
      <c r="I312" s="83"/>
      <c r="J312" s="83"/>
      <c r="K312" s="83"/>
      <c r="L312" s="83"/>
      <c r="M312" s="83"/>
      <c r="N312" s="83"/>
      <c r="O312" s="83"/>
      <c r="P312" s="83"/>
      <c r="Q312" s="83"/>
    </row>
    <row r="313" spans="1:17" s="84" customFormat="1" x14ac:dyDescent="0.25">
      <c r="A313" s="81" t="s">
        <v>1402</v>
      </c>
      <c r="B313" s="82" t="s">
        <v>921</v>
      </c>
      <c r="C313" s="82" t="s">
        <v>1403</v>
      </c>
      <c r="D313" s="82" t="s">
        <v>901</v>
      </c>
      <c r="E313" s="82" t="s">
        <v>950</v>
      </c>
      <c r="F313" s="82">
        <v>2005</v>
      </c>
      <c r="G313" s="82" t="s">
        <v>1404</v>
      </c>
      <c r="H313" s="82" t="s">
        <v>1405</v>
      </c>
      <c r="I313" s="83"/>
      <c r="J313" s="83"/>
      <c r="K313" s="83"/>
      <c r="L313" s="83"/>
      <c r="M313" s="83"/>
      <c r="N313" s="83"/>
      <c r="O313" s="83"/>
      <c r="P313" s="83"/>
      <c r="Q313" s="83"/>
    </row>
    <row r="314" spans="1:17" s="84" customFormat="1" x14ac:dyDescent="0.25">
      <c r="A314" s="81" t="s">
        <v>1406</v>
      </c>
      <c r="B314" s="82" t="s">
        <v>921</v>
      </c>
      <c r="C314" s="82" t="s">
        <v>1407</v>
      </c>
      <c r="D314" s="82" t="s">
        <v>1408</v>
      </c>
      <c r="E314" s="82" t="s">
        <v>1409</v>
      </c>
      <c r="F314" s="82">
        <v>2015</v>
      </c>
      <c r="G314" s="82" t="s">
        <v>1410</v>
      </c>
      <c r="H314" s="82" t="s">
        <v>1411</v>
      </c>
      <c r="I314" s="83"/>
      <c r="J314" s="83"/>
      <c r="K314" s="83"/>
      <c r="L314" s="83"/>
      <c r="M314" s="83"/>
      <c r="N314" s="83"/>
      <c r="O314" s="83"/>
      <c r="P314" s="83"/>
      <c r="Q314" s="83"/>
    </row>
    <row r="315" spans="1:17" s="84" customFormat="1" x14ac:dyDescent="0.25">
      <c r="A315" s="81" t="s">
        <v>1412</v>
      </c>
      <c r="B315" s="82" t="s">
        <v>921</v>
      </c>
      <c r="C315" s="82" t="s">
        <v>1413</v>
      </c>
      <c r="D315" s="82" t="s">
        <v>901</v>
      </c>
      <c r="E315" s="82" t="s">
        <v>950</v>
      </c>
      <c r="F315" s="82">
        <v>2005</v>
      </c>
      <c r="G315" s="82" t="s">
        <v>1414</v>
      </c>
      <c r="H315" s="82" t="s">
        <v>1415</v>
      </c>
      <c r="I315" s="83"/>
      <c r="J315" s="83"/>
      <c r="K315" s="83"/>
      <c r="L315" s="83"/>
      <c r="M315" s="83"/>
      <c r="N315" s="83"/>
      <c r="O315" s="83"/>
      <c r="P315" s="83"/>
      <c r="Q315" s="83"/>
    </row>
    <row r="316" spans="1:17" s="84" customFormat="1" x14ac:dyDescent="0.25">
      <c r="A316" s="81" t="s">
        <v>1416</v>
      </c>
      <c r="B316" s="82" t="s">
        <v>921</v>
      </c>
      <c r="C316" s="82" t="s">
        <v>1417</v>
      </c>
      <c r="D316" s="82" t="s">
        <v>1408</v>
      </c>
      <c r="E316" s="82" t="s">
        <v>1409</v>
      </c>
      <c r="F316" s="82">
        <v>2015</v>
      </c>
      <c r="G316" s="82" t="s">
        <v>1418</v>
      </c>
      <c r="H316" s="82" t="s">
        <v>1419</v>
      </c>
      <c r="I316" s="83"/>
      <c r="J316" s="83"/>
      <c r="K316" s="83"/>
      <c r="L316" s="83"/>
      <c r="M316" s="83"/>
      <c r="N316" s="83"/>
      <c r="O316" s="83"/>
      <c r="P316" s="83"/>
      <c r="Q316" s="83"/>
    </row>
    <row r="317" spans="1:17" s="84" customFormat="1" x14ac:dyDescent="0.25">
      <c r="A317" s="81" t="s">
        <v>1420</v>
      </c>
      <c r="B317" s="82" t="s">
        <v>921</v>
      </c>
      <c r="C317" s="82" t="s">
        <v>1421</v>
      </c>
      <c r="D317" s="82" t="s">
        <v>1408</v>
      </c>
      <c r="E317" s="82" t="s">
        <v>1409</v>
      </c>
      <c r="F317" s="82">
        <v>2015</v>
      </c>
      <c r="G317" s="82" t="s">
        <v>1422</v>
      </c>
      <c r="H317" s="82" t="s">
        <v>1423</v>
      </c>
      <c r="I317" s="83"/>
      <c r="J317" s="83"/>
      <c r="K317" s="83"/>
      <c r="L317" s="83"/>
      <c r="M317" s="83"/>
      <c r="N317" s="83"/>
      <c r="O317" s="83"/>
      <c r="P317" s="83"/>
      <c r="Q317" s="83"/>
    </row>
    <row r="318" spans="1:17" s="84" customFormat="1" x14ac:dyDescent="0.25">
      <c r="A318" s="81" t="s">
        <v>1424</v>
      </c>
      <c r="B318" s="82" t="s">
        <v>921</v>
      </c>
      <c r="C318" s="82" t="s">
        <v>1425</v>
      </c>
      <c r="D318" s="82" t="s">
        <v>1408</v>
      </c>
      <c r="E318" s="82" t="s">
        <v>1409</v>
      </c>
      <c r="F318" s="82">
        <v>2015</v>
      </c>
      <c r="G318" s="82" t="s">
        <v>1426</v>
      </c>
      <c r="H318" s="82" t="s">
        <v>1427</v>
      </c>
      <c r="I318" s="83"/>
      <c r="J318" s="83"/>
      <c r="K318" s="83"/>
      <c r="L318" s="83"/>
      <c r="M318" s="83"/>
      <c r="N318" s="83"/>
      <c r="O318" s="83"/>
      <c r="P318" s="83"/>
      <c r="Q318" s="83"/>
    </row>
    <row r="319" spans="1:17" s="84" customFormat="1" x14ac:dyDescent="0.25">
      <c r="A319" s="81" t="s">
        <v>1428</v>
      </c>
      <c r="B319" s="82" t="s">
        <v>921</v>
      </c>
      <c r="C319" s="82" t="s">
        <v>1429</v>
      </c>
      <c r="D319" s="82" t="s">
        <v>901</v>
      </c>
      <c r="E319" s="82" t="s">
        <v>950</v>
      </c>
      <c r="F319" s="82">
        <v>2005</v>
      </c>
      <c r="G319" s="82" t="s">
        <v>1430</v>
      </c>
      <c r="H319" s="82" t="s">
        <v>1431</v>
      </c>
      <c r="I319" s="83"/>
      <c r="J319" s="83"/>
      <c r="K319" s="83"/>
      <c r="L319" s="83"/>
      <c r="M319" s="83"/>
      <c r="N319" s="83"/>
      <c r="O319" s="83"/>
      <c r="P319" s="83"/>
      <c r="Q319" s="83"/>
    </row>
    <row r="320" spans="1:17" s="84" customFormat="1" x14ac:dyDescent="0.25">
      <c r="A320" s="81" t="s">
        <v>1432</v>
      </c>
      <c r="B320" s="82" t="s">
        <v>921</v>
      </c>
      <c r="C320" s="82" t="s">
        <v>1433</v>
      </c>
      <c r="D320" s="82" t="s">
        <v>901</v>
      </c>
      <c r="E320" s="82" t="s">
        <v>950</v>
      </c>
      <c r="F320" s="82">
        <v>2005</v>
      </c>
      <c r="G320" s="82" t="s">
        <v>1434</v>
      </c>
      <c r="H320" s="82" t="s">
        <v>1435</v>
      </c>
      <c r="I320" s="83"/>
      <c r="J320" s="83"/>
      <c r="K320" s="83"/>
      <c r="L320" s="83"/>
      <c r="M320" s="83"/>
      <c r="N320" s="83"/>
      <c r="O320" s="83"/>
      <c r="P320" s="83"/>
      <c r="Q320" s="83"/>
    </row>
    <row r="321" spans="1:17" s="84" customFormat="1" x14ac:dyDescent="0.25">
      <c r="A321" s="81" t="s">
        <v>1436</v>
      </c>
      <c r="B321" s="82" t="s">
        <v>921</v>
      </c>
      <c r="C321" s="82" t="s">
        <v>1437</v>
      </c>
      <c r="D321" s="82" t="s">
        <v>901</v>
      </c>
      <c r="E321" s="82" t="s">
        <v>950</v>
      </c>
      <c r="F321" s="82">
        <v>2005</v>
      </c>
      <c r="G321" s="82" t="s">
        <v>1438</v>
      </c>
      <c r="H321" s="82" t="s">
        <v>1439</v>
      </c>
      <c r="I321" s="83"/>
      <c r="J321" s="83"/>
      <c r="K321" s="83"/>
      <c r="L321" s="83"/>
      <c r="M321" s="83"/>
      <c r="N321" s="83"/>
      <c r="O321" s="83"/>
      <c r="P321" s="83"/>
      <c r="Q321" s="83"/>
    </row>
    <row r="322" spans="1:17" s="84" customFormat="1" x14ac:dyDescent="0.25">
      <c r="A322" s="81" t="s">
        <v>1440</v>
      </c>
      <c r="B322" s="82" t="s">
        <v>921</v>
      </c>
      <c r="C322" s="82" t="s">
        <v>1441</v>
      </c>
      <c r="D322" s="82" t="s">
        <v>901</v>
      </c>
      <c r="E322" s="82" t="s">
        <v>950</v>
      </c>
      <c r="F322" s="82">
        <v>2005</v>
      </c>
      <c r="G322" s="82" t="s">
        <v>1442</v>
      </c>
      <c r="H322" s="82" t="s">
        <v>1443</v>
      </c>
      <c r="I322" s="83"/>
      <c r="J322" s="83"/>
      <c r="K322" s="83"/>
      <c r="L322" s="83"/>
      <c r="M322" s="83"/>
      <c r="N322" s="83"/>
      <c r="O322" s="83"/>
      <c r="P322" s="83"/>
      <c r="Q322" s="83"/>
    </row>
    <row r="323" spans="1:17" s="84" customFormat="1" x14ac:dyDescent="0.25">
      <c r="A323" s="81" t="s">
        <v>1444</v>
      </c>
      <c r="B323" s="82" t="s">
        <v>921</v>
      </c>
      <c r="C323" s="82" t="s">
        <v>1445</v>
      </c>
      <c r="D323" s="82" t="s">
        <v>901</v>
      </c>
      <c r="E323" s="82" t="s">
        <v>950</v>
      </c>
      <c r="F323" s="82">
        <v>2005</v>
      </c>
      <c r="G323" s="82" t="s">
        <v>1446</v>
      </c>
      <c r="H323" s="82" t="s">
        <v>1447</v>
      </c>
      <c r="I323" s="83"/>
      <c r="J323" s="83"/>
      <c r="K323" s="83"/>
      <c r="L323" s="83"/>
      <c r="M323" s="83"/>
      <c r="N323" s="83"/>
      <c r="O323" s="83"/>
      <c r="P323" s="83"/>
      <c r="Q323" s="83"/>
    </row>
    <row r="324" spans="1:17" s="84" customFormat="1" x14ac:dyDescent="0.25">
      <c r="A324" s="81" t="s">
        <v>1448</v>
      </c>
      <c r="B324" s="82" t="s">
        <v>921</v>
      </c>
      <c r="C324" s="82" t="s">
        <v>1449</v>
      </c>
      <c r="D324" s="82" t="s">
        <v>901</v>
      </c>
      <c r="E324" s="82" t="s">
        <v>950</v>
      </c>
      <c r="F324" s="82">
        <v>2005</v>
      </c>
      <c r="G324" s="82" t="s">
        <v>1450</v>
      </c>
      <c r="H324" s="82" t="s">
        <v>1451</v>
      </c>
      <c r="I324" s="83"/>
      <c r="J324" s="83"/>
      <c r="K324" s="83"/>
      <c r="L324" s="83"/>
      <c r="M324" s="83"/>
      <c r="N324" s="83"/>
      <c r="O324" s="83"/>
      <c r="P324" s="83"/>
      <c r="Q324" s="83"/>
    </row>
    <row r="325" spans="1:17" s="84" customFormat="1" x14ac:dyDescent="0.25">
      <c r="A325" s="81" t="s">
        <v>1452</v>
      </c>
      <c r="B325" s="82" t="s">
        <v>921</v>
      </c>
      <c r="C325" s="82" t="s">
        <v>1453</v>
      </c>
      <c r="D325" s="82" t="s">
        <v>901</v>
      </c>
      <c r="E325" s="82" t="s">
        <v>950</v>
      </c>
      <c r="F325" s="82">
        <v>2005</v>
      </c>
      <c r="G325" s="82" t="s">
        <v>1454</v>
      </c>
      <c r="H325" s="82" t="s">
        <v>1455</v>
      </c>
      <c r="I325" s="83"/>
      <c r="J325" s="83"/>
      <c r="K325" s="83"/>
      <c r="L325" s="83"/>
      <c r="M325" s="83"/>
      <c r="N325" s="83"/>
      <c r="O325" s="83"/>
      <c r="P325" s="83"/>
      <c r="Q325" s="83"/>
    </row>
    <row r="326" spans="1:17" s="84" customFormat="1" x14ac:dyDescent="0.25">
      <c r="A326" s="81" t="s">
        <v>1456</v>
      </c>
      <c r="B326" s="82" t="s">
        <v>921</v>
      </c>
      <c r="C326" s="82" t="s">
        <v>1457</v>
      </c>
      <c r="D326" s="82" t="s">
        <v>901</v>
      </c>
      <c r="E326" s="82" t="s">
        <v>950</v>
      </c>
      <c r="F326" s="82">
        <v>2005</v>
      </c>
      <c r="G326" s="82" t="s">
        <v>1458</v>
      </c>
      <c r="H326" s="82" t="s">
        <v>1459</v>
      </c>
      <c r="I326" s="83"/>
      <c r="J326" s="83"/>
      <c r="K326" s="83"/>
      <c r="L326" s="83"/>
      <c r="M326" s="83"/>
      <c r="N326" s="83"/>
      <c r="O326" s="83"/>
      <c r="P326" s="83"/>
      <c r="Q326" s="83"/>
    </row>
    <row r="327" spans="1:17" s="84" customFormat="1" x14ac:dyDescent="0.25">
      <c r="A327" s="81" t="s">
        <v>1460</v>
      </c>
      <c r="B327" s="82" t="s">
        <v>921</v>
      </c>
      <c r="C327" s="82" t="s">
        <v>1461</v>
      </c>
      <c r="D327" s="82" t="s">
        <v>901</v>
      </c>
      <c r="E327" s="82" t="s">
        <v>950</v>
      </c>
      <c r="F327" s="82">
        <v>2005</v>
      </c>
      <c r="G327" s="82" t="s">
        <v>1462</v>
      </c>
      <c r="H327" s="82" t="s">
        <v>1463</v>
      </c>
      <c r="I327" s="83"/>
      <c r="J327" s="83"/>
      <c r="K327" s="83"/>
      <c r="L327" s="83"/>
      <c r="M327" s="83"/>
      <c r="N327" s="83"/>
      <c r="O327" s="83"/>
      <c r="P327" s="83"/>
      <c r="Q327" s="83"/>
    </row>
    <row r="328" spans="1:17" s="84" customFormat="1" x14ac:dyDescent="0.25">
      <c r="A328" s="81" t="s">
        <v>1464</v>
      </c>
      <c r="B328" s="82" t="s">
        <v>921</v>
      </c>
      <c r="C328" s="82" t="s">
        <v>1465</v>
      </c>
      <c r="D328" s="82" t="s">
        <v>901</v>
      </c>
      <c r="E328" s="82" t="s">
        <v>950</v>
      </c>
      <c r="F328" s="82">
        <v>2005</v>
      </c>
      <c r="G328" s="82" t="s">
        <v>1466</v>
      </c>
      <c r="H328" s="82" t="s">
        <v>1467</v>
      </c>
      <c r="I328" s="83"/>
      <c r="J328" s="83"/>
      <c r="K328" s="83"/>
      <c r="L328" s="83"/>
      <c r="M328" s="83"/>
      <c r="N328" s="83"/>
      <c r="O328" s="83"/>
      <c r="P328" s="83"/>
      <c r="Q328" s="83"/>
    </row>
    <row r="329" spans="1:17" s="84" customFormat="1" x14ac:dyDescent="0.25">
      <c r="A329" s="81" t="s">
        <v>1468</v>
      </c>
      <c r="B329" s="82" t="s">
        <v>921</v>
      </c>
      <c r="C329" s="82" t="s">
        <v>1469</v>
      </c>
      <c r="D329" s="82" t="s">
        <v>901</v>
      </c>
      <c r="E329" s="82" t="s">
        <v>950</v>
      </c>
      <c r="F329" s="82">
        <v>2005</v>
      </c>
      <c r="G329" s="82" t="s">
        <v>1470</v>
      </c>
      <c r="H329" s="82" t="s">
        <v>1471</v>
      </c>
      <c r="I329" s="83"/>
      <c r="J329" s="83"/>
      <c r="K329" s="83"/>
      <c r="L329" s="83"/>
      <c r="M329" s="83"/>
      <c r="N329" s="83"/>
      <c r="O329" s="83"/>
      <c r="P329" s="83"/>
      <c r="Q329" s="83"/>
    </row>
    <row r="330" spans="1:17" s="84" customFormat="1" x14ac:dyDescent="0.25">
      <c r="A330" s="81" t="s">
        <v>1472</v>
      </c>
      <c r="B330" s="82" t="s">
        <v>921</v>
      </c>
      <c r="C330" s="82" t="s">
        <v>1473</v>
      </c>
      <c r="D330" s="82" t="s">
        <v>901</v>
      </c>
      <c r="E330" s="82" t="s">
        <v>950</v>
      </c>
      <c r="F330" s="82">
        <v>2005</v>
      </c>
      <c r="G330" s="82" t="s">
        <v>1474</v>
      </c>
      <c r="H330" s="82" t="s">
        <v>1475</v>
      </c>
      <c r="I330" s="83"/>
      <c r="J330" s="83"/>
      <c r="K330" s="83"/>
      <c r="L330" s="83"/>
      <c r="M330" s="83"/>
      <c r="N330" s="83"/>
      <c r="O330" s="83"/>
      <c r="P330" s="83"/>
      <c r="Q330" s="83"/>
    </row>
    <row r="331" spans="1:17" s="84" customFormat="1" x14ac:dyDescent="0.25">
      <c r="A331" s="81" t="s">
        <v>1476</v>
      </c>
      <c r="B331" s="82" t="s">
        <v>921</v>
      </c>
      <c r="C331" s="82" t="s">
        <v>1477</v>
      </c>
      <c r="D331" s="82" t="s">
        <v>1408</v>
      </c>
      <c r="E331" s="82" t="s">
        <v>1478</v>
      </c>
      <c r="F331" s="82">
        <v>2015</v>
      </c>
      <c r="G331" s="82" t="s">
        <v>1479</v>
      </c>
      <c r="H331" s="82" t="s">
        <v>1480</v>
      </c>
      <c r="I331" s="83"/>
      <c r="J331" s="83"/>
      <c r="K331" s="83"/>
      <c r="L331" s="83"/>
      <c r="M331" s="83"/>
      <c r="N331" s="83"/>
      <c r="O331" s="83"/>
      <c r="P331" s="83"/>
      <c r="Q331" s="83"/>
    </row>
    <row r="332" spans="1:17" s="84" customFormat="1" x14ac:dyDescent="0.25">
      <c r="A332" s="81" t="s">
        <v>1481</v>
      </c>
      <c r="B332" s="82" t="s">
        <v>921</v>
      </c>
      <c r="C332" s="82" t="s">
        <v>1482</v>
      </c>
      <c r="D332" s="82" t="s">
        <v>901</v>
      </c>
      <c r="E332" s="82" t="s">
        <v>1102</v>
      </c>
      <c r="F332" s="82">
        <v>2015</v>
      </c>
      <c r="G332" s="82" t="s">
        <v>1483</v>
      </c>
      <c r="H332" s="82" t="s">
        <v>1484</v>
      </c>
      <c r="I332" s="83"/>
      <c r="J332" s="83"/>
      <c r="K332" s="83"/>
      <c r="L332" s="83"/>
      <c r="M332" s="83"/>
      <c r="N332" s="83"/>
      <c r="O332" s="83"/>
      <c r="P332" s="83"/>
      <c r="Q332" s="83"/>
    </row>
    <row r="333" spans="1:17" s="84" customFormat="1" x14ac:dyDescent="0.25">
      <c r="A333" s="81" t="s">
        <v>1485</v>
      </c>
      <c r="B333" s="82" t="s">
        <v>921</v>
      </c>
      <c r="C333" s="82" t="s">
        <v>1486</v>
      </c>
      <c r="D333" s="82" t="s">
        <v>1408</v>
      </c>
      <c r="E333" s="82" t="s">
        <v>1478</v>
      </c>
      <c r="F333" s="82">
        <v>2015</v>
      </c>
      <c r="G333" s="82" t="s">
        <v>1487</v>
      </c>
      <c r="H333" s="82" t="s">
        <v>1488</v>
      </c>
      <c r="I333" s="83"/>
      <c r="J333" s="83"/>
      <c r="K333" s="83"/>
      <c r="L333" s="83"/>
      <c r="M333" s="83"/>
      <c r="N333" s="83"/>
      <c r="O333" s="83"/>
      <c r="P333" s="83"/>
      <c r="Q333" s="83"/>
    </row>
    <row r="334" spans="1:17" s="84" customFormat="1" x14ac:dyDescent="0.25">
      <c r="A334" s="81" t="s">
        <v>1489</v>
      </c>
      <c r="B334" s="82" t="s">
        <v>921</v>
      </c>
      <c r="C334" s="82" t="s">
        <v>1490</v>
      </c>
      <c r="D334" s="82" t="s">
        <v>1408</v>
      </c>
      <c r="E334" s="82" t="s">
        <v>1478</v>
      </c>
      <c r="F334" s="82">
        <v>2015</v>
      </c>
      <c r="G334" s="82" t="s">
        <v>1491</v>
      </c>
      <c r="H334" s="82" t="s">
        <v>1492</v>
      </c>
      <c r="I334" s="83"/>
      <c r="J334" s="83"/>
      <c r="K334" s="83"/>
      <c r="L334" s="83"/>
      <c r="M334" s="83"/>
      <c r="N334" s="83"/>
      <c r="O334" s="83"/>
      <c r="P334" s="83"/>
      <c r="Q334" s="83"/>
    </row>
    <row r="335" spans="1:17" s="84" customFormat="1" x14ac:dyDescent="0.25">
      <c r="A335" s="81" t="s">
        <v>1493</v>
      </c>
      <c r="B335" s="82" t="s">
        <v>921</v>
      </c>
      <c r="C335" s="82" t="s">
        <v>1494</v>
      </c>
      <c r="D335" s="82" t="s">
        <v>1408</v>
      </c>
      <c r="E335" s="82" t="s">
        <v>1478</v>
      </c>
      <c r="F335" s="82">
        <v>2015</v>
      </c>
      <c r="G335" s="82" t="s">
        <v>1495</v>
      </c>
      <c r="H335" s="82" t="s">
        <v>1496</v>
      </c>
      <c r="I335" s="83"/>
      <c r="J335" s="83"/>
      <c r="K335" s="83"/>
      <c r="L335" s="83"/>
      <c r="M335" s="83"/>
      <c r="N335" s="83"/>
      <c r="O335" s="83"/>
      <c r="P335" s="83"/>
      <c r="Q335" s="83"/>
    </row>
    <row r="336" spans="1:17" s="84" customFormat="1" x14ac:dyDescent="0.25">
      <c r="A336" s="81" t="s">
        <v>1497</v>
      </c>
      <c r="B336" s="82" t="s">
        <v>921</v>
      </c>
      <c r="C336" s="82" t="s">
        <v>1498</v>
      </c>
      <c r="D336" s="82" t="s">
        <v>1408</v>
      </c>
      <c r="E336" s="82" t="s">
        <v>1478</v>
      </c>
      <c r="F336" s="82">
        <v>2015</v>
      </c>
      <c r="G336" s="82" t="s">
        <v>1499</v>
      </c>
      <c r="H336" s="82" t="s">
        <v>1500</v>
      </c>
      <c r="I336" s="83"/>
      <c r="J336" s="83"/>
      <c r="K336" s="83"/>
      <c r="L336" s="83"/>
      <c r="M336" s="83"/>
      <c r="N336" s="83"/>
      <c r="O336" s="83"/>
      <c r="P336" s="83"/>
      <c r="Q336" s="83"/>
    </row>
    <row r="337" spans="1:17" s="84" customFormat="1" x14ac:dyDescent="0.25">
      <c r="A337" s="81" t="s">
        <v>1501</v>
      </c>
      <c r="B337" s="82" t="s">
        <v>921</v>
      </c>
      <c r="C337" s="82" t="s">
        <v>1502</v>
      </c>
      <c r="D337" s="82" t="s">
        <v>1408</v>
      </c>
      <c r="E337" s="82" t="s">
        <v>1478</v>
      </c>
      <c r="F337" s="82">
        <v>2015</v>
      </c>
      <c r="G337" s="82" t="s">
        <v>1503</v>
      </c>
      <c r="H337" s="82" t="s">
        <v>1504</v>
      </c>
      <c r="I337" s="83"/>
      <c r="J337" s="83"/>
      <c r="K337" s="83"/>
      <c r="L337" s="83"/>
      <c r="M337" s="83"/>
      <c r="N337" s="83"/>
      <c r="O337" s="83"/>
      <c r="P337" s="83"/>
      <c r="Q337" s="83"/>
    </row>
    <row r="338" spans="1:17" s="84" customFormat="1" x14ac:dyDescent="0.25">
      <c r="A338" s="81" t="s">
        <v>1505</v>
      </c>
      <c r="B338" s="82" t="s">
        <v>921</v>
      </c>
      <c r="C338" s="82" t="s">
        <v>1506</v>
      </c>
      <c r="D338" s="82" t="s">
        <v>1408</v>
      </c>
      <c r="E338" s="82" t="s">
        <v>1478</v>
      </c>
      <c r="F338" s="82">
        <v>2015</v>
      </c>
      <c r="G338" s="82" t="s">
        <v>1507</v>
      </c>
      <c r="H338" s="82" t="s">
        <v>1508</v>
      </c>
      <c r="I338" s="83"/>
      <c r="J338" s="83"/>
      <c r="K338" s="83"/>
      <c r="L338" s="83"/>
      <c r="M338" s="83"/>
      <c r="N338" s="83"/>
      <c r="O338" s="83"/>
      <c r="P338" s="83"/>
      <c r="Q338" s="83"/>
    </row>
    <row r="339" spans="1:17" s="84" customFormat="1" x14ac:dyDescent="0.25">
      <c r="A339" s="81" t="s">
        <v>1509</v>
      </c>
      <c r="B339" s="82" t="s">
        <v>921</v>
      </c>
      <c r="C339" s="82" t="s">
        <v>1510</v>
      </c>
      <c r="D339" s="82" t="s">
        <v>1408</v>
      </c>
      <c r="E339" s="82" t="s">
        <v>1478</v>
      </c>
      <c r="F339" s="82">
        <v>2015</v>
      </c>
      <c r="G339" s="82" t="s">
        <v>1511</v>
      </c>
      <c r="H339" s="82" t="s">
        <v>1512</v>
      </c>
      <c r="I339" s="83"/>
      <c r="J339" s="83"/>
      <c r="K339" s="83"/>
      <c r="L339" s="83"/>
      <c r="M339" s="83"/>
      <c r="N339" s="83"/>
      <c r="O339" s="83"/>
      <c r="P339" s="83"/>
      <c r="Q339" s="83"/>
    </row>
    <row r="340" spans="1:17" s="84" customFormat="1" x14ac:dyDescent="0.25">
      <c r="A340" s="81" t="s">
        <v>1513</v>
      </c>
      <c r="B340" s="82" t="s">
        <v>921</v>
      </c>
      <c r="C340" s="82" t="s">
        <v>1514</v>
      </c>
      <c r="D340" s="82" t="s">
        <v>1408</v>
      </c>
      <c r="E340" s="82" t="s">
        <v>1478</v>
      </c>
      <c r="F340" s="82">
        <v>2015</v>
      </c>
      <c r="G340" s="82" t="s">
        <v>1515</v>
      </c>
      <c r="H340" s="82" t="s">
        <v>1516</v>
      </c>
      <c r="I340" s="83"/>
      <c r="J340" s="83"/>
      <c r="K340" s="83"/>
      <c r="L340" s="83"/>
      <c r="M340" s="83"/>
      <c r="N340" s="83"/>
      <c r="O340" s="83"/>
      <c r="P340" s="83"/>
      <c r="Q340" s="83"/>
    </row>
    <row r="341" spans="1:17" s="84" customFormat="1" x14ac:dyDescent="0.25">
      <c r="A341" s="81" t="s">
        <v>1517</v>
      </c>
      <c r="B341" s="82" t="s">
        <v>921</v>
      </c>
      <c r="C341" s="82" t="s">
        <v>1518</v>
      </c>
      <c r="D341" s="82" t="s">
        <v>1408</v>
      </c>
      <c r="E341" s="82" t="s">
        <v>1478</v>
      </c>
      <c r="F341" s="82">
        <v>2015</v>
      </c>
      <c r="G341" s="82" t="s">
        <v>1519</v>
      </c>
      <c r="H341" s="82" t="s">
        <v>1520</v>
      </c>
      <c r="I341" s="83"/>
      <c r="J341" s="83"/>
      <c r="K341" s="83"/>
      <c r="L341" s="83"/>
      <c r="M341" s="83"/>
      <c r="N341" s="83"/>
      <c r="O341" s="83"/>
      <c r="P341" s="83"/>
      <c r="Q341" s="83"/>
    </row>
    <row r="342" spans="1:17" s="84" customFormat="1" x14ac:dyDescent="0.25">
      <c r="A342" s="81" t="s">
        <v>1521</v>
      </c>
      <c r="B342" s="82" t="s">
        <v>921</v>
      </c>
      <c r="C342" s="82" t="s">
        <v>1522</v>
      </c>
      <c r="D342" s="82" t="s">
        <v>1408</v>
      </c>
      <c r="E342" s="82" t="s">
        <v>1478</v>
      </c>
      <c r="F342" s="82">
        <v>2015</v>
      </c>
      <c r="G342" s="82" t="s">
        <v>1523</v>
      </c>
      <c r="H342" s="82" t="s">
        <v>1524</v>
      </c>
      <c r="I342" s="83"/>
      <c r="J342" s="83"/>
      <c r="K342" s="83"/>
      <c r="L342" s="83"/>
      <c r="M342" s="83"/>
      <c r="N342" s="83"/>
      <c r="O342" s="83"/>
      <c r="P342" s="83"/>
      <c r="Q342" s="83"/>
    </row>
    <row r="343" spans="1:17" s="84" customFormat="1" x14ac:dyDescent="0.25">
      <c r="A343" s="81" t="s">
        <v>1525</v>
      </c>
      <c r="B343" s="82" t="s">
        <v>921</v>
      </c>
      <c r="C343" s="82" t="s">
        <v>1526</v>
      </c>
      <c r="D343" s="82" t="s">
        <v>1408</v>
      </c>
      <c r="E343" s="82" t="s">
        <v>1478</v>
      </c>
      <c r="F343" s="82">
        <v>2015</v>
      </c>
      <c r="G343" s="82" t="s">
        <v>1527</v>
      </c>
      <c r="H343" s="82" t="s">
        <v>1528</v>
      </c>
      <c r="I343" s="83"/>
      <c r="J343" s="83"/>
      <c r="K343" s="83"/>
      <c r="L343" s="83"/>
      <c r="M343" s="83"/>
      <c r="N343" s="83"/>
      <c r="O343" s="83"/>
      <c r="P343" s="83"/>
      <c r="Q343" s="83"/>
    </row>
    <row r="344" spans="1:17" s="84" customFormat="1" x14ac:dyDescent="0.25">
      <c r="A344" s="81" t="s">
        <v>1529</v>
      </c>
      <c r="B344" s="82" t="s">
        <v>921</v>
      </c>
      <c r="C344" s="82" t="s">
        <v>1530</v>
      </c>
      <c r="D344" s="82" t="s">
        <v>1408</v>
      </c>
      <c r="E344" s="82" t="s">
        <v>1478</v>
      </c>
      <c r="F344" s="82">
        <v>2015</v>
      </c>
      <c r="G344" s="82" t="s">
        <v>1531</v>
      </c>
      <c r="H344" s="82" t="s">
        <v>1532</v>
      </c>
      <c r="I344" s="83"/>
      <c r="J344" s="83"/>
      <c r="K344" s="83"/>
      <c r="L344" s="83"/>
      <c r="M344" s="83"/>
      <c r="N344" s="83"/>
      <c r="O344" s="83"/>
      <c r="P344" s="83"/>
      <c r="Q344" s="83"/>
    </row>
    <row r="345" spans="1:17" s="84" customFormat="1" x14ac:dyDescent="0.25">
      <c r="A345" s="81" t="s">
        <v>1533</v>
      </c>
      <c r="B345" s="82" t="s">
        <v>921</v>
      </c>
      <c r="C345" s="82" t="s">
        <v>1534</v>
      </c>
      <c r="D345" s="82" t="s">
        <v>1408</v>
      </c>
      <c r="E345" s="82" t="s">
        <v>1478</v>
      </c>
      <c r="F345" s="82">
        <v>2015</v>
      </c>
      <c r="G345" s="82" t="s">
        <v>1535</v>
      </c>
      <c r="H345" s="82" t="s">
        <v>1536</v>
      </c>
      <c r="I345" s="83"/>
      <c r="J345" s="83"/>
      <c r="K345" s="83"/>
      <c r="L345" s="83"/>
      <c r="M345" s="83"/>
      <c r="N345" s="83"/>
      <c r="O345" s="83"/>
      <c r="P345" s="83"/>
      <c r="Q345" s="83"/>
    </row>
    <row r="346" spans="1:17" s="84" customFormat="1" x14ac:dyDescent="0.25">
      <c r="A346" s="81" t="s">
        <v>1537</v>
      </c>
      <c r="B346" s="82" t="s">
        <v>921</v>
      </c>
      <c r="C346" s="82" t="s">
        <v>1538</v>
      </c>
      <c r="D346" s="82" t="s">
        <v>1408</v>
      </c>
      <c r="E346" s="82" t="s">
        <v>1478</v>
      </c>
      <c r="F346" s="82">
        <v>2015</v>
      </c>
      <c r="G346" s="82" t="s">
        <v>1539</v>
      </c>
      <c r="H346" s="82" t="s">
        <v>1540</v>
      </c>
      <c r="I346" s="83"/>
      <c r="J346" s="83"/>
      <c r="K346" s="83"/>
      <c r="L346" s="83"/>
      <c r="M346" s="83"/>
      <c r="N346" s="83"/>
      <c r="O346" s="83"/>
      <c r="P346" s="83"/>
      <c r="Q346" s="83"/>
    </row>
    <row r="347" spans="1:17" s="84" customFormat="1" x14ac:dyDescent="0.25">
      <c r="A347" s="81" t="s">
        <v>1541</v>
      </c>
      <c r="B347" s="82" t="s">
        <v>921</v>
      </c>
      <c r="C347" s="82" t="s">
        <v>1542</v>
      </c>
      <c r="D347" s="82" t="s">
        <v>1408</v>
      </c>
      <c r="E347" s="82" t="s">
        <v>1478</v>
      </c>
      <c r="F347" s="82">
        <v>2015</v>
      </c>
      <c r="G347" s="82" t="s">
        <v>1543</v>
      </c>
      <c r="H347" s="82" t="s">
        <v>1544</v>
      </c>
      <c r="I347" s="83"/>
      <c r="J347" s="83"/>
      <c r="K347" s="83"/>
      <c r="L347" s="83"/>
      <c r="M347" s="83"/>
      <c r="N347" s="83"/>
      <c r="O347" s="83"/>
      <c r="P347" s="83"/>
      <c r="Q347" s="83"/>
    </row>
    <row r="348" spans="1:17" s="84" customFormat="1" x14ac:dyDescent="0.25">
      <c r="A348" s="81" t="s">
        <v>1545</v>
      </c>
      <c r="B348" s="82" t="s">
        <v>921</v>
      </c>
      <c r="C348" s="82" t="s">
        <v>1546</v>
      </c>
      <c r="D348" s="82" t="s">
        <v>1408</v>
      </c>
      <c r="E348" s="82" t="s">
        <v>1478</v>
      </c>
      <c r="F348" s="82">
        <v>2015</v>
      </c>
      <c r="G348" s="82" t="s">
        <v>1547</v>
      </c>
      <c r="H348" s="82" t="s">
        <v>1548</v>
      </c>
      <c r="I348" s="83"/>
      <c r="J348" s="83"/>
      <c r="K348" s="83"/>
      <c r="L348" s="83"/>
      <c r="M348" s="83"/>
      <c r="N348" s="83"/>
      <c r="O348" s="83"/>
      <c r="P348" s="83"/>
      <c r="Q348" s="83"/>
    </row>
    <row r="349" spans="1:17" s="84" customFormat="1" x14ac:dyDescent="0.25">
      <c r="A349" s="81" t="s">
        <v>1549</v>
      </c>
      <c r="B349" s="82" t="s">
        <v>921</v>
      </c>
      <c r="C349" s="82" t="s">
        <v>1550</v>
      </c>
      <c r="D349" s="82" t="s">
        <v>1408</v>
      </c>
      <c r="E349" s="82" t="s">
        <v>1478</v>
      </c>
      <c r="F349" s="82">
        <v>2015</v>
      </c>
      <c r="G349" s="82" t="s">
        <v>1551</v>
      </c>
      <c r="H349" s="82" t="s">
        <v>1552</v>
      </c>
      <c r="I349" s="83"/>
      <c r="J349" s="83"/>
      <c r="K349" s="83"/>
      <c r="L349" s="83"/>
      <c r="M349" s="83"/>
      <c r="N349" s="83"/>
      <c r="O349" s="83"/>
      <c r="P349" s="83"/>
      <c r="Q349" s="83"/>
    </row>
    <row r="350" spans="1:17" s="84" customFormat="1" x14ac:dyDescent="0.25">
      <c r="A350" s="81" t="s">
        <v>1553</v>
      </c>
      <c r="B350" s="82" t="s">
        <v>921</v>
      </c>
      <c r="C350" s="82" t="s">
        <v>1554</v>
      </c>
      <c r="D350" s="82" t="s">
        <v>1408</v>
      </c>
      <c r="E350" s="82" t="s">
        <v>1478</v>
      </c>
      <c r="F350" s="82">
        <v>2015</v>
      </c>
      <c r="G350" s="82" t="s">
        <v>1555</v>
      </c>
      <c r="H350" s="82" t="s">
        <v>1556</v>
      </c>
      <c r="I350" s="83"/>
      <c r="J350" s="83"/>
      <c r="K350" s="83"/>
      <c r="L350" s="83"/>
      <c r="M350" s="83"/>
      <c r="N350" s="83"/>
      <c r="O350" s="83"/>
      <c r="P350" s="83"/>
      <c r="Q350" s="83"/>
    </row>
    <row r="351" spans="1:17" s="84" customFormat="1" x14ac:dyDescent="0.25">
      <c r="A351" s="81" t="s">
        <v>1557</v>
      </c>
      <c r="B351" s="82" t="s">
        <v>921</v>
      </c>
      <c r="C351" s="82" t="s">
        <v>1558</v>
      </c>
      <c r="D351" s="82" t="s">
        <v>1408</v>
      </c>
      <c r="E351" s="82" t="s">
        <v>1478</v>
      </c>
      <c r="F351" s="82">
        <v>2015</v>
      </c>
      <c r="G351" s="82" t="s">
        <v>1559</v>
      </c>
      <c r="H351" s="82" t="s">
        <v>1560</v>
      </c>
      <c r="I351" s="83"/>
      <c r="J351" s="83"/>
      <c r="K351" s="83"/>
      <c r="L351" s="83"/>
      <c r="M351" s="83"/>
      <c r="N351" s="83"/>
      <c r="O351" s="83"/>
      <c r="P351" s="83"/>
      <c r="Q351" s="83"/>
    </row>
    <row r="352" spans="1:17" s="84" customFormat="1" x14ac:dyDescent="0.25">
      <c r="A352" s="81" t="s">
        <v>1561</v>
      </c>
      <c r="B352" s="82" t="s">
        <v>921</v>
      </c>
      <c r="C352" s="82" t="s">
        <v>1562</v>
      </c>
      <c r="D352" s="82" t="s">
        <v>1408</v>
      </c>
      <c r="E352" s="82" t="s">
        <v>1478</v>
      </c>
      <c r="F352" s="82">
        <v>2015</v>
      </c>
      <c r="G352" s="82" t="s">
        <v>1563</v>
      </c>
      <c r="H352" s="82" t="s">
        <v>1564</v>
      </c>
      <c r="I352" s="83"/>
      <c r="J352" s="83"/>
      <c r="K352" s="83"/>
      <c r="L352" s="83"/>
      <c r="M352" s="83"/>
      <c r="N352" s="83"/>
      <c r="O352" s="83"/>
      <c r="P352" s="83"/>
      <c r="Q352" s="83"/>
    </row>
    <row r="353" spans="1:17" s="84" customFormat="1" x14ac:dyDescent="0.25">
      <c r="A353" s="81" t="s">
        <v>1565</v>
      </c>
      <c r="B353" s="82" t="s">
        <v>921</v>
      </c>
      <c r="C353" s="82" t="s">
        <v>1566</v>
      </c>
      <c r="D353" s="82" t="s">
        <v>1408</v>
      </c>
      <c r="E353" s="82" t="s">
        <v>1478</v>
      </c>
      <c r="F353" s="82">
        <v>2015</v>
      </c>
      <c r="G353" s="82" t="s">
        <v>1567</v>
      </c>
      <c r="H353" s="82" t="s">
        <v>1568</v>
      </c>
      <c r="I353" s="83"/>
      <c r="J353" s="83"/>
      <c r="K353" s="83"/>
      <c r="L353" s="83"/>
      <c r="M353" s="83"/>
      <c r="N353" s="83"/>
      <c r="O353" s="83"/>
      <c r="P353" s="83"/>
      <c r="Q353" s="83"/>
    </row>
    <row r="354" spans="1:17" s="84" customFormat="1" x14ac:dyDescent="0.25">
      <c r="A354" s="81" t="s">
        <v>1569</v>
      </c>
      <c r="B354" s="82" t="s">
        <v>921</v>
      </c>
      <c r="C354" s="82" t="s">
        <v>1570</v>
      </c>
      <c r="D354" s="82" t="s">
        <v>901</v>
      </c>
      <c r="E354" s="82" t="s">
        <v>923</v>
      </c>
      <c r="F354" s="82">
        <v>2013</v>
      </c>
      <c r="G354" s="82" t="s">
        <v>1571</v>
      </c>
      <c r="H354" s="82" t="s">
        <v>1572</v>
      </c>
      <c r="I354" s="83"/>
      <c r="J354" s="83"/>
      <c r="K354" s="83"/>
      <c r="L354" s="83"/>
      <c r="M354" s="83"/>
      <c r="N354" s="83"/>
      <c r="O354" s="83"/>
      <c r="P354" s="83"/>
      <c r="Q354" s="83"/>
    </row>
    <row r="355" spans="1:17" s="84" customFormat="1" x14ac:dyDescent="0.25">
      <c r="A355" s="81" t="s">
        <v>1573</v>
      </c>
      <c r="B355" s="82" t="s">
        <v>921</v>
      </c>
      <c r="C355" s="82" t="s">
        <v>1574</v>
      </c>
      <c r="D355" s="82" t="s">
        <v>901</v>
      </c>
      <c r="E355" s="82" t="s">
        <v>923</v>
      </c>
      <c r="F355" s="82">
        <v>2013</v>
      </c>
      <c r="G355" s="82" t="s">
        <v>1575</v>
      </c>
      <c r="H355" s="82" t="s">
        <v>1576</v>
      </c>
      <c r="I355" s="83"/>
      <c r="J355" s="83"/>
      <c r="K355" s="83"/>
      <c r="L355" s="83"/>
      <c r="M355" s="83"/>
      <c r="N355" s="83"/>
      <c r="O355" s="83"/>
      <c r="P355" s="83"/>
      <c r="Q355" s="83"/>
    </row>
    <row r="356" spans="1:17" s="84" customFormat="1" x14ac:dyDescent="0.25">
      <c r="A356" s="81" t="s">
        <v>1577</v>
      </c>
      <c r="B356" s="82" t="s">
        <v>921</v>
      </c>
      <c r="C356" s="82" t="s">
        <v>1578</v>
      </c>
      <c r="D356" s="82" t="s">
        <v>901</v>
      </c>
      <c r="E356" s="82" t="s">
        <v>923</v>
      </c>
      <c r="F356" s="82">
        <v>2013</v>
      </c>
      <c r="G356" s="82" t="s">
        <v>1579</v>
      </c>
      <c r="H356" s="82" t="s">
        <v>1580</v>
      </c>
      <c r="I356" s="83"/>
      <c r="J356" s="83"/>
      <c r="K356" s="83"/>
      <c r="L356" s="83"/>
      <c r="M356" s="83"/>
      <c r="N356" s="83"/>
      <c r="O356" s="83"/>
      <c r="P356" s="83"/>
      <c r="Q356" s="83"/>
    </row>
    <row r="357" spans="1:17" s="84" customFormat="1" x14ac:dyDescent="0.25">
      <c r="A357" s="81" t="s">
        <v>1581</v>
      </c>
      <c r="B357" s="82" t="s">
        <v>921</v>
      </c>
      <c r="C357" s="82" t="s">
        <v>1582</v>
      </c>
      <c r="D357" s="82" t="s">
        <v>901</v>
      </c>
      <c r="E357" s="82" t="s">
        <v>923</v>
      </c>
      <c r="F357" s="82">
        <v>2013</v>
      </c>
      <c r="G357" s="82" t="s">
        <v>1583</v>
      </c>
      <c r="H357" s="82" t="s">
        <v>1584</v>
      </c>
      <c r="I357" s="83"/>
      <c r="J357" s="83"/>
      <c r="K357" s="83"/>
      <c r="L357" s="83"/>
      <c r="M357" s="83"/>
      <c r="N357" s="83"/>
      <c r="O357" s="83"/>
      <c r="P357" s="83"/>
      <c r="Q357" s="83"/>
    </row>
    <row r="358" spans="1:17" s="84" customFormat="1" x14ac:dyDescent="0.25">
      <c r="A358" s="81" t="s">
        <v>1585</v>
      </c>
      <c r="B358" s="82" t="s">
        <v>921</v>
      </c>
      <c r="C358" s="82" t="s">
        <v>1586</v>
      </c>
      <c r="D358" s="82" t="s">
        <v>901</v>
      </c>
      <c r="E358" s="82" t="s">
        <v>923</v>
      </c>
      <c r="F358" s="82">
        <v>2013</v>
      </c>
      <c r="G358" s="82" t="s">
        <v>1587</v>
      </c>
      <c r="H358" s="82" t="s">
        <v>1588</v>
      </c>
      <c r="I358" s="83"/>
      <c r="J358" s="83"/>
      <c r="K358" s="83"/>
      <c r="L358" s="83"/>
      <c r="M358" s="83"/>
      <c r="N358" s="83"/>
      <c r="O358" s="83"/>
      <c r="P358" s="83"/>
      <c r="Q358" s="83"/>
    </row>
    <row r="359" spans="1:17" s="84" customFormat="1" x14ac:dyDescent="0.25">
      <c r="A359" s="81" t="s">
        <v>1589</v>
      </c>
      <c r="B359" s="82" t="s">
        <v>921</v>
      </c>
      <c r="C359" s="82" t="s">
        <v>1590</v>
      </c>
      <c r="D359" s="82" t="s">
        <v>901</v>
      </c>
      <c r="E359" s="82" t="s">
        <v>923</v>
      </c>
      <c r="F359" s="82">
        <v>2013</v>
      </c>
      <c r="G359" s="82" t="s">
        <v>1591</v>
      </c>
      <c r="H359" s="82" t="s">
        <v>1592</v>
      </c>
      <c r="I359" s="83"/>
      <c r="J359" s="83"/>
      <c r="K359" s="83"/>
      <c r="L359" s="83"/>
      <c r="M359" s="83"/>
      <c r="N359" s="83"/>
      <c r="O359" s="83"/>
      <c r="P359" s="83"/>
      <c r="Q359" s="83"/>
    </row>
    <row r="360" spans="1:17" s="84" customFormat="1" x14ac:dyDescent="0.25">
      <c r="A360" s="81" t="s">
        <v>1593</v>
      </c>
      <c r="B360" s="82" t="s">
        <v>921</v>
      </c>
      <c r="C360" s="82" t="s">
        <v>1594</v>
      </c>
      <c r="D360" s="82" t="s">
        <v>901</v>
      </c>
      <c r="E360" s="82" t="s">
        <v>923</v>
      </c>
      <c r="F360" s="82">
        <v>2013</v>
      </c>
      <c r="G360" s="82" t="s">
        <v>1595</v>
      </c>
      <c r="H360" s="82" t="s">
        <v>1596</v>
      </c>
      <c r="I360" s="83"/>
      <c r="J360" s="83"/>
      <c r="K360" s="83"/>
      <c r="L360" s="83"/>
      <c r="M360" s="83"/>
      <c r="N360" s="83"/>
      <c r="O360" s="83"/>
      <c r="P360" s="83"/>
      <c r="Q360" s="83"/>
    </row>
    <row r="361" spans="1:17" s="84" customFormat="1" x14ac:dyDescent="0.25">
      <c r="A361" s="81" t="s">
        <v>1597</v>
      </c>
      <c r="B361" s="82" t="s">
        <v>921</v>
      </c>
      <c r="C361" s="82" t="s">
        <v>1598</v>
      </c>
      <c r="D361" s="82" t="s">
        <v>901</v>
      </c>
      <c r="E361" s="82" t="s">
        <v>1037</v>
      </c>
      <c r="F361" s="82">
        <v>2013</v>
      </c>
      <c r="G361" s="82" t="s">
        <v>1599</v>
      </c>
      <c r="H361" s="82" t="s">
        <v>1600</v>
      </c>
      <c r="I361" s="83"/>
      <c r="J361" s="83"/>
      <c r="K361" s="83"/>
      <c r="L361" s="83"/>
      <c r="M361" s="83"/>
      <c r="N361" s="83"/>
      <c r="O361" s="83"/>
      <c r="P361" s="83"/>
      <c r="Q361" s="83"/>
    </row>
    <row r="362" spans="1:17" s="84" customFormat="1" x14ac:dyDescent="0.25">
      <c r="A362" s="81" t="s">
        <v>1601</v>
      </c>
      <c r="B362" s="82" t="s">
        <v>921</v>
      </c>
      <c r="C362" s="82" t="s">
        <v>1602</v>
      </c>
      <c r="D362" s="82" t="s">
        <v>901</v>
      </c>
      <c r="E362" s="82" t="s">
        <v>923</v>
      </c>
      <c r="F362" s="82">
        <v>2013</v>
      </c>
      <c r="G362" s="82" t="s">
        <v>1603</v>
      </c>
      <c r="H362" s="82" t="s">
        <v>1604</v>
      </c>
      <c r="I362" s="83"/>
      <c r="J362" s="83"/>
      <c r="K362" s="83"/>
      <c r="L362" s="83"/>
      <c r="M362" s="83"/>
      <c r="N362" s="83"/>
      <c r="O362" s="83"/>
      <c r="P362" s="83"/>
      <c r="Q362" s="83"/>
    </row>
    <row r="363" spans="1:17" s="84" customFormat="1" x14ac:dyDescent="0.25">
      <c r="A363" s="81" t="s">
        <v>1605</v>
      </c>
      <c r="B363" s="82" t="s">
        <v>921</v>
      </c>
      <c r="C363" s="82" t="s">
        <v>1606</v>
      </c>
      <c r="D363" s="82" t="s">
        <v>901</v>
      </c>
      <c r="E363" s="82" t="s">
        <v>923</v>
      </c>
      <c r="F363" s="82">
        <v>2013</v>
      </c>
      <c r="G363" s="82" t="s">
        <v>1607</v>
      </c>
      <c r="H363" s="82" t="s">
        <v>1608</v>
      </c>
      <c r="I363" s="83"/>
      <c r="J363" s="83"/>
      <c r="K363" s="83"/>
      <c r="L363" s="83"/>
      <c r="M363" s="83"/>
      <c r="N363" s="83"/>
      <c r="O363" s="83"/>
      <c r="P363" s="83"/>
      <c r="Q363" s="83"/>
    </row>
    <row r="364" spans="1:17" s="84" customFormat="1" x14ac:dyDescent="0.25">
      <c r="A364" s="81" t="s">
        <v>1609</v>
      </c>
      <c r="B364" s="82" t="s">
        <v>921</v>
      </c>
      <c r="C364" s="82" t="s">
        <v>1610</v>
      </c>
      <c r="D364" s="82" t="s">
        <v>901</v>
      </c>
      <c r="E364" s="82" t="s">
        <v>923</v>
      </c>
      <c r="F364" s="82">
        <v>2013</v>
      </c>
      <c r="G364" s="82" t="s">
        <v>1611</v>
      </c>
      <c r="H364" s="82" t="s">
        <v>1612</v>
      </c>
      <c r="I364" s="83"/>
      <c r="J364" s="83"/>
      <c r="K364" s="83"/>
      <c r="L364" s="83"/>
      <c r="M364" s="83"/>
      <c r="N364" s="83"/>
      <c r="O364" s="83"/>
      <c r="P364" s="83"/>
      <c r="Q364" s="83"/>
    </row>
    <row r="365" spans="1:17" s="84" customFormat="1" x14ac:dyDescent="0.25">
      <c r="A365" s="81" t="s">
        <v>1613</v>
      </c>
      <c r="B365" s="82" t="s">
        <v>921</v>
      </c>
      <c r="C365" s="82" t="s">
        <v>1614</v>
      </c>
      <c r="D365" s="82" t="s">
        <v>901</v>
      </c>
      <c r="E365" s="82" t="s">
        <v>923</v>
      </c>
      <c r="F365" s="82">
        <v>2013</v>
      </c>
      <c r="G365" s="82" t="s">
        <v>1615</v>
      </c>
      <c r="H365" s="82" t="s">
        <v>1616</v>
      </c>
      <c r="I365" s="83"/>
      <c r="J365" s="83"/>
      <c r="K365" s="83"/>
      <c r="L365" s="83"/>
      <c r="M365" s="83"/>
      <c r="N365" s="83"/>
      <c r="O365" s="83"/>
      <c r="P365" s="83"/>
      <c r="Q365" s="83"/>
    </row>
    <row r="366" spans="1:17" s="84" customFormat="1" x14ac:dyDescent="0.25">
      <c r="A366" s="81" t="s">
        <v>1617</v>
      </c>
      <c r="B366" s="82" t="s">
        <v>921</v>
      </c>
      <c r="C366" s="82" t="s">
        <v>1618</v>
      </c>
      <c r="D366" s="82" t="s">
        <v>901</v>
      </c>
      <c r="E366" s="82" t="s">
        <v>923</v>
      </c>
      <c r="F366" s="82">
        <v>2013</v>
      </c>
      <c r="G366" s="82" t="s">
        <v>1619</v>
      </c>
      <c r="H366" s="82" t="s">
        <v>1620</v>
      </c>
      <c r="I366" s="83"/>
      <c r="J366" s="83"/>
      <c r="K366" s="83"/>
      <c r="L366" s="83"/>
      <c r="M366" s="83"/>
      <c r="N366" s="83"/>
      <c r="O366" s="83"/>
      <c r="P366" s="83"/>
      <c r="Q366" s="83"/>
    </row>
    <row r="367" spans="1:17" s="84" customFormat="1" x14ac:dyDescent="0.25">
      <c r="A367" s="81" t="s">
        <v>1621</v>
      </c>
      <c r="B367" s="82" t="s">
        <v>921</v>
      </c>
      <c r="C367" s="82" t="s">
        <v>1622</v>
      </c>
      <c r="D367" s="82" t="s">
        <v>901</v>
      </c>
      <c r="E367" s="82" t="s">
        <v>923</v>
      </c>
      <c r="F367" s="82">
        <v>2013</v>
      </c>
      <c r="G367" s="82" t="s">
        <v>1623</v>
      </c>
      <c r="H367" s="82" t="s">
        <v>1624</v>
      </c>
      <c r="I367" s="83"/>
      <c r="J367" s="83"/>
      <c r="K367" s="83"/>
      <c r="L367" s="83"/>
      <c r="M367" s="83"/>
      <c r="N367" s="83"/>
      <c r="O367" s="83"/>
      <c r="P367" s="83"/>
      <c r="Q367" s="83"/>
    </row>
    <row r="368" spans="1:17" s="84" customFormat="1" x14ac:dyDescent="0.25">
      <c r="A368" s="81" t="s">
        <v>1625</v>
      </c>
      <c r="B368" s="82" t="s">
        <v>921</v>
      </c>
      <c r="C368" s="82" t="s">
        <v>1626</v>
      </c>
      <c r="D368" s="82" t="s">
        <v>901</v>
      </c>
      <c r="E368" s="82" t="s">
        <v>923</v>
      </c>
      <c r="F368" s="82">
        <v>2013</v>
      </c>
      <c r="G368" s="82" t="s">
        <v>1627</v>
      </c>
      <c r="H368" s="82" t="s">
        <v>1628</v>
      </c>
      <c r="I368" s="83"/>
      <c r="J368" s="83"/>
      <c r="K368" s="83"/>
      <c r="L368" s="83"/>
      <c r="M368" s="83"/>
      <c r="N368" s="83"/>
      <c r="O368" s="83"/>
      <c r="P368" s="83"/>
      <c r="Q368" s="83"/>
    </row>
    <row r="369" spans="1:17" s="84" customFormat="1" x14ac:dyDescent="0.25">
      <c r="A369" s="81" t="s">
        <v>1629</v>
      </c>
      <c r="B369" s="82" t="s">
        <v>921</v>
      </c>
      <c r="C369" s="82" t="s">
        <v>1630</v>
      </c>
      <c r="D369" s="82" t="s">
        <v>901</v>
      </c>
      <c r="E369" s="82" t="s">
        <v>923</v>
      </c>
      <c r="F369" s="82">
        <v>2013</v>
      </c>
      <c r="G369" s="82" t="s">
        <v>1631</v>
      </c>
      <c r="H369" s="82" t="s">
        <v>1632</v>
      </c>
      <c r="I369" s="83"/>
      <c r="J369" s="83"/>
      <c r="K369" s="83"/>
      <c r="L369" s="83"/>
      <c r="M369" s="83"/>
      <c r="N369" s="83"/>
      <c r="O369" s="83"/>
      <c r="P369" s="83"/>
      <c r="Q369" s="83"/>
    </row>
    <row r="370" spans="1:17" s="84" customFormat="1" x14ac:dyDescent="0.25">
      <c r="A370" s="81" t="s">
        <v>1633</v>
      </c>
      <c r="B370" s="82" t="s">
        <v>921</v>
      </c>
      <c r="C370" s="82" t="s">
        <v>1634</v>
      </c>
      <c r="D370" s="82" t="s">
        <v>901</v>
      </c>
      <c r="E370" s="82" t="s">
        <v>923</v>
      </c>
      <c r="F370" s="82">
        <v>2013</v>
      </c>
      <c r="G370" s="82" t="s">
        <v>1635</v>
      </c>
      <c r="H370" s="82" t="s">
        <v>1636</v>
      </c>
      <c r="I370" s="83"/>
      <c r="J370" s="83"/>
      <c r="K370" s="83"/>
      <c r="L370" s="83"/>
      <c r="M370" s="83"/>
      <c r="N370" s="83"/>
      <c r="O370" s="83"/>
      <c r="P370" s="83"/>
      <c r="Q370" s="83"/>
    </row>
    <row r="371" spans="1:17" s="84" customFormat="1" x14ac:dyDescent="0.25">
      <c r="A371" s="81" t="s">
        <v>1637</v>
      </c>
      <c r="B371" s="82" t="s">
        <v>921</v>
      </c>
      <c r="C371" s="82" t="s">
        <v>1638</v>
      </c>
      <c r="D371" s="82" t="s">
        <v>901</v>
      </c>
      <c r="E371" s="82" t="s">
        <v>923</v>
      </c>
      <c r="F371" s="82">
        <v>2013</v>
      </c>
      <c r="G371" s="82" t="s">
        <v>1639</v>
      </c>
      <c r="H371" s="82" t="s">
        <v>1640</v>
      </c>
      <c r="I371" s="83"/>
      <c r="J371" s="83"/>
      <c r="K371" s="83"/>
      <c r="L371" s="83"/>
      <c r="M371" s="83"/>
      <c r="N371" s="83"/>
      <c r="O371" s="83"/>
      <c r="P371" s="83"/>
      <c r="Q371" s="83"/>
    </row>
    <row r="372" spans="1:17" s="84" customFormat="1" x14ac:dyDescent="0.25">
      <c r="A372" s="81" t="s">
        <v>1641</v>
      </c>
      <c r="B372" s="82" t="s">
        <v>921</v>
      </c>
      <c r="C372" s="82" t="s">
        <v>1642</v>
      </c>
      <c r="D372" s="82" t="s">
        <v>901</v>
      </c>
      <c r="E372" s="82" t="s">
        <v>923</v>
      </c>
      <c r="F372" s="82">
        <v>2013</v>
      </c>
      <c r="G372" s="82" t="s">
        <v>1643</v>
      </c>
      <c r="H372" s="82" t="s">
        <v>1644</v>
      </c>
      <c r="I372" s="83"/>
      <c r="J372" s="83"/>
      <c r="K372" s="83"/>
      <c r="L372" s="83"/>
      <c r="M372" s="83"/>
      <c r="N372" s="83"/>
      <c r="O372" s="83"/>
      <c r="P372" s="83"/>
      <c r="Q372" s="83"/>
    </row>
    <row r="373" spans="1:17" s="84" customFormat="1" x14ac:dyDescent="0.25">
      <c r="A373" s="81" t="s">
        <v>1645</v>
      </c>
      <c r="B373" s="82" t="s">
        <v>921</v>
      </c>
      <c r="C373" s="82" t="s">
        <v>1646</v>
      </c>
      <c r="D373" s="82" t="s">
        <v>901</v>
      </c>
      <c r="E373" s="82" t="s">
        <v>923</v>
      </c>
      <c r="F373" s="82">
        <v>2013</v>
      </c>
      <c r="G373" s="82" t="s">
        <v>1647</v>
      </c>
      <c r="H373" s="82" t="s">
        <v>1648</v>
      </c>
      <c r="I373" s="83"/>
      <c r="J373" s="83"/>
      <c r="K373" s="83"/>
      <c r="L373" s="83"/>
      <c r="M373" s="83"/>
      <c r="N373" s="83"/>
      <c r="O373" s="83"/>
      <c r="P373" s="83"/>
      <c r="Q373" s="83"/>
    </row>
    <row r="374" spans="1:17" s="84" customFormat="1" x14ac:dyDescent="0.25">
      <c r="A374" s="81" t="s">
        <v>1649</v>
      </c>
      <c r="B374" s="82" t="s">
        <v>921</v>
      </c>
      <c r="C374" s="82" t="s">
        <v>1650</v>
      </c>
      <c r="D374" s="82" t="s">
        <v>901</v>
      </c>
      <c r="E374" s="82" t="s">
        <v>923</v>
      </c>
      <c r="F374" s="82">
        <v>2013</v>
      </c>
      <c r="G374" s="82" t="s">
        <v>1651</v>
      </c>
      <c r="H374" s="82" t="s">
        <v>1652</v>
      </c>
      <c r="I374" s="83"/>
      <c r="J374" s="83"/>
      <c r="K374" s="83"/>
      <c r="L374" s="83"/>
      <c r="M374" s="83"/>
      <c r="N374" s="83"/>
      <c r="O374" s="83"/>
      <c r="P374" s="83"/>
      <c r="Q374" s="83"/>
    </row>
    <row r="375" spans="1:17" s="84" customFormat="1" x14ac:dyDescent="0.25">
      <c r="A375" s="81" t="s">
        <v>1653</v>
      </c>
      <c r="B375" s="82" t="s">
        <v>921</v>
      </c>
      <c r="C375" s="82" t="s">
        <v>1654</v>
      </c>
      <c r="D375" s="82" t="s">
        <v>901</v>
      </c>
      <c r="E375" s="82" t="s">
        <v>923</v>
      </c>
      <c r="F375" s="82">
        <v>2013</v>
      </c>
      <c r="G375" s="82" t="s">
        <v>1655</v>
      </c>
      <c r="H375" s="82" t="s">
        <v>1656</v>
      </c>
      <c r="I375" s="83"/>
      <c r="J375" s="83"/>
      <c r="K375" s="83"/>
      <c r="L375" s="83"/>
      <c r="M375" s="83"/>
      <c r="N375" s="83"/>
      <c r="O375" s="83"/>
      <c r="P375" s="83"/>
      <c r="Q375" s="83"/>
    </row>
    <row r="376" spans="1:17" s="84" customFormat="1" x14ac:dyDescent="0.25">
      <c r="A376" s="81" t="s">
        <v>1657</v>
      </c>
      <c r="B376" s="82" t="s">
        <v>921</v>
      </c>
      <c r="C376" s="82" t="s">
        <v>1658</v>
      </c>
      <c r="D376" s="82" t="s">
        <v>901</v>
      </c>
      <c r="E376" s="82" t="s">
        <v>923</v>
      </c>
      <c r="F376" s="82">
        <v>2013</v>
      </c>
      <c r="G376" s="82" t="s">
        <v>1659</v>
      </c>
      <c r="H376" s="82" t="s">
        <v>1660</v>
      </c>
      <c r="I376" s="83"/>
      <c r="J376" s="83"/>
      <c r="K376" s="83"/>
      <c r="L376" s="83"/>
      <c r="M376" s="83"/>
      <c r="N376" s="83"/>
      <c r="O376" s="83"/>
      <c r="P376" s="83"/>
      <c r="Q376" s="83"/>
    </row>
    <row r="377" spans="1:17" s="84" customFormat="1" x14ac:dyDescent="0.25">
      <c r="A377" s="81" t="s">
        <v>1661</v>
      </c>
      <c r="B377" s="82" t="s">
        <v>921</v>
      </c>
      <c r="C377" s="82" t="s">
        <v>1662</v>
      </c>
      <c r="D377" s="82" t="s">
        <v>901</v>
      </c>
      <c r="E377" s="82" t="s">
        <v>923</v>
      </c>
      <c r="F377" s="82">
        <v>2013</v>
      </c>
      <c r="G377" s="82" t="s">
        <v>1663</v>
      </c>
      <c r="H377" s="82" t="s">
        <v>1664</v>
      </c>
      <c r="I377" s="83"/>
      <c r="J377" s="83"/>
      <c r="K377" s="83"/>
      <c r="L377" s="83"/>
      <c r="M377" s="83"/>
      <c r="N377" s="83"/>
      <c r="O377" s="83"/>
      <c r="P377" s="83"/>
      <c r="Q377" s="83"/>
    </row>
    <row r="378" spans="1:17" s="84" customFormat="1" x14ac:dyDescent="0.25">
      <c r="A378" s="81" t="s">
        <v>1665</v>
      </c>
      <c r="B378" s="82" t="s">
        <v>921</v>
      </c>
      <c r="C378" s="82" t="s">
        <v>1666</v>
      </c>
      <c r="D378" s="82" t="s">
        <v>901</v>
      </c>
      <c r="E378" s="82" t="s">
        <v>923</v>
      </c>
      <c r="F378" s="82">
        <v>2013</v>
      </c>
      <c r="G378" s="82" t="s">
        <v>1667</v>
      </c>
      <c r="H378" s="82" t="s">
        <v>1668</v>
      </c>
      <c r="I378" s="83"/>
      <c r="J378" s="83"/>
      <c r="K378" s="83"/>
      <c r="L378" s="83"/>
      <c r="M378" s="83"/>
      <c r="N378" s="83"/>
      <c r="O378" s="83"/>
      <c r="P378" s="83"/>
      <c r="Q378" s="83"/>
    </row>
    <row r="379" spans="1:17" s="84" customFormat="1" x14ac:dyDescent="0.25">
      <c r="A379" s="81" t="s">
        <v>1669</v>
      </c>
      <c r="B379" s="82" t="s">
        <v>921</v>
      </c>
      <c r="C379" s="82" t="s">
        <v>1670</v>
      </c>
      <c r="D379" s="82" t="s">
        <v>901</v>
      </c>
      <c r="E379" s="82" t="s">
        <v>923</v>
      </c>
      <c r="F379" s="82">
        <v>2013</v>
      </c>
      <c r="G379" s="82" t="s">
        <v>1671</v>
      </c>
      <c r="H379" s="82" t="s">
        <v>1672</v>
      </c>
      <c r="I379" s="83"/>
      <c r="J379" s="83"/>
      <c r="K379" s="83"/>
      <c r="L379" s="83"/>
      <c r="M379" s="83"/>
      <c r="N379" s="83"/>
      <c r="O379" s="83"/>
      <c r="P379" s="83"/>
      <c r="Q379" s="83"/>
    </row>
    <row r="380" spans="1:17" s="84" customFormat="1" x14ac:dyDescent="0.25">
      <c r="A380" s="81" t="s">
        <v>1673</v>
      </c>
      <c r="B380" s="82" t="s">
        <v>921</v>
      </c>
      <c r="C380" s="82" t="s">
        <v>1674</v>
      </c>
      <c r="D380" s="82" t="s">
        <v>901</v>
      </c>
      <c r="E380" s="82" t="s">
        <v>923</v>
      </c>
      <c r="F380" s="82">
        <v>2013</v>
      </c>
      <c r="G380" s="82" t="s">
        <v>1675</v>
      </c>
      <c r="H380" s="82" t="s">
        <v>1676</v>
      </c>
      <c r="I380" s="83"/>
      <c r="J380" s="83"/>
      <c r="K380" s="83"/>
      <c r="L380" s="83"/>
      <c r="M380" s="83"/>
      <c r="N380" s="83"/>
      <c r="O380" s="83"/>
      <c r="P380" s="83"/>
      <c r="Q380" s="83"/>
    </row>
    <row r="381" spans="1:17" s="84" customFormat="1" x14ac:dyDescent="0.25">
      <c r="A381" s="81" t="s">
        <v>1677</v>
      </c>
      <c r="B381" s="82" t="s">
        <v>921</v>
      </c>
      <c r="C381" s="82" t="s">
        <v>1678</v>
      </c>
      <c r="D381" s="82" t="s">
        <v>901</v>
      </c>
      <c r="E381" s="82" t="s">
        <v>923</v>
      </c>
      <c r="F381" s="82">
        <v>2013</v>
      </c>
      <c r="G381" s="82" t="s">
        <v>1679</v>
      </c>
      <c r="H381" s="82" t="s">
        <v>1680</v>
      </c>
      <c r="I381" s="83"/>
      <c r="J381" s="83"/>
      <c r="K381" s="83"/>
      <c r="L381" s="83"/>
      <c r="M381" s="83"/>
      <c r="N381" s="83"/>
      <c r="O381" s="83"/>
      <c r="P381" s="83"/>
      <c r="Q381" s="83"/>
    </row>
    <row r="382" spans="1:17" s="84" customFormat="1" x14ac:dyDescent="0.25">
      <c r="A382" s="81" t="s">
        <v>1681</v>
      </c>
      <c r="B382" s="82" t="s">
        <v>921</v>
      </c>
      <c r="C382" s="82" t="s">
        <v>1682</v>
      </c>
      <c r="D382" s="82" t="s">
        <v>901</v>
      </c>
      <c r="E382" s="82" t="s">
        <v>923</v>
      </c>
      <c r="F382" s="82">
        <v>2013</v>
      </c>
      <c r="G382" s="82" t="s">
        <v>1683</v>
      </c>
      <c r="H382" s="82" t="s">
        <v>1684</v>
      </c>
      <c r="I382" s="83"/>
      <c r="J382" s="83"/>
      <c r="K382" s="83"/>
      <c r="L382" s="83"/>
      <c r="M382" s="83"/>
      <c r="N382" s="83"/>
      <c r="O382" s="83"/>
      <c r="P382" s="83"/>
      <c r="Q382" s="83"/>
    </row>
    <row r="383" spans="1:17" s="84" customFormat="1" x14ac:dyDescent="0.25">
      <c r="A383" s="81" t="s">
        <v>1685</v>
      </c>
      <c r="B383" s="82" t="s">
        <v>921</v>
      </c>
      <c r="C383" s="82" t="s">
        <v>1686</v>
      </c>
      <c r="D383" s="82" t="s">
        <v>901</v>
      </c>
      <c r="E383" s="82" t="s">
        <v>923</v>
      </c>
      <c r="F383" s="82">
        <v>2013</v>
      </c>
      <c r="G383" s="82" t="s">
        <v>1687</v>
      </c>
      <c r="H383" s="82" t="s">
        <v>1688</v>
      </c>
      <c r="I383" s="83"/>
      <c r="J383" s="83"/>
      <c r="K383" s="83"/>
      <c r="L383" s="83"/>
      <c r="M383" s="83"/>
      <c r="N383" s="83"/>
      <c r="O383" s="83"/>
      <c r="P383" s="83"/>
      <c r="Q383" s="83"/>
    </row>
    <row r="384" spans="1:17" s="84" customFormat="1" x14ac:dyDescent="0.25">
      <c r="A384" s="81" t="s">
        <v>1689</v>
      </c>
      <c r="B384" s="82" t="s">
        <v>921</v>
      </c>
      <c r="C384" s="82" t="s">
        <v>1690</v>
      </c>
      <c r="D384" s="82" t="s">
        <v>901</v>
      </c>
      <c r="E384" s="82" t="s">
        <v>1691</v>
      </c>
      <c r="F384" s="82">
        <v>2007</v>
      </c>
      <c r="G384" s="82" t="s">
        <v>1692</v>
      </c>
      <c r="H384" s="82" t="s">
        <v>1693</v>
      </c>
      <c r="I384" s="83"/>
      <c r="J384" s="83"/>
      <c r="K384" s="83"/>
      <c r="L384" s="83"/>
      <c r="M384" s="83"/>
      <c r="N384" s="83"/>
      <c r="O384" s="83"/>
      <c r="P384" s="83"/>
      <c r="Q384" s="83"/>
    </row>
    <row r="385" spans="1:17" s="84" customFormat="1" x14ac:dyDescent="0.25">
      <c r="A385" s="81" t="s">
        <v>1694</v>
      </c>
      <c r="B385" s="82" t="s">
        <v>921</v>
      </c>
      <c r="C385" s="82" t="s">
        <v>1695</v>
      </c>
      <c r="D385" s="82" t="s">
        <v>901</v>
      </c>
      <c r="E385" s="82" t="s">
        <v>1696</v>
      </c>
      <c r="F385" s="82">
        <v>2007</v>
      </c>
      <c r="G385" s="82" t="s">
        <v>1697</v>
      </c>
      <c r="H385" s="82" t="s">
        <v>1698</v>
      </c>
      <c r="I385" s="83"/>
      <c r="J385" s="83"/>
      <c r="K385" s="83"/>
      <c r="L385" s="83"/>
      <c r="M385" s="83"/>
      <c r="N385" s="83"/>
      <c r="O385" s="83"/>
      <c r="P385" s="83"/>
      <c r="Q385" s="83"/>
    </row>
    <row r="386" spans="1:17" s="84" customFormat="1" x14ac:dyDescent="0.25">
      <c r="A386" s="81" t="s">
        <v>1699</v>
      </c>
      <c r="B386" s="82" t="s">
        <v>921</v>
      </c>
      <c r="C386" s="82" t="s">
        <v>1700</v>
      </c>
      <c r="D386" s="82" t="s">
        <v>1701</v>
      </c>
      <c r="E386" s="82" t="s">
        <v>1702</v>
      </c>
      <c r="F386" s="82">
        <v>2007</v>
      </c>
      <c r="G386" s="82" t="s">
        <v>1703</v>
      </c>
      <c r="H386" s="82" t="s">
        <v>1704</v>
      </c>
      <c r="I386" s="83"/>
      <c r="J386" s="83"/>
      <c r="K386" s="83"/>
      <c r="L386" s="83"/>
      <c r="M386" s="83"/>
      <c r="N386" s="83"/>
      <c r="O386" s="83"/>
      <c r="P386" s="83"/>
      <c r="Q386" s="83"/>
    </row>
    <row r="387" spans="1:17" s="84" customFormat="1" x14ac:dyDescent="0.25">
      <c r="A387" s="81" t="s">
        <v>1705</v>
      </c>
      <c r="B387" s="82" t="s">
        <v>921</v>
      </c>
      <c r="C387" s="82" t="s">
        <v>1706</v>
      </c>
      <c r="D387" s="82" t="s">
        <v>1701</v>
      </c>
      <c r="E387" s="82" t="s">
        <v>1702</v>
      </c>
      <c r="F387" s="82">
        <v>2007</v>
      </c>
      <c r="G387" s="82" t="s">
        <v>1707</v>
      </c>
      <c r="H387" s="82" t="s">
        <v>1708</v>
      </c>
      <c r="I387" s="83"/>
      <c r="J387" s="83"/>
      <c r="K387" s="83"/>
      <c r="L387" s="83"/>
      <c r="M387" s="83"/>
      <c r="N387" s="83"/>
      <c r="O387" s="83"/>
      <c r="P387" s="83"/>
      <c r="Q387" s="83"/>
    </row>
    <row r="388" spans="1:17" s="84" customFormat="1" x14ac:dyDescent="0.25">
      <c r="A388" s="81" t="s">
        <v>1709</v>
      </c>
      <c r="B388" s="82" t="s">
        <v>921</v>
      </c>
      <c r="C388" s="82" t="s">
        <v>1710</v>
      </c>
      <c r="D388" s="82" t="s">
        <v>1340</v>
      </c>
      <c r="E388" s="82" t="s">
        <v>1341</v>
      </c>
      <c r="F388" s="82">
        <v>2004</v>
      </c>
      <c r="G388" s="82" t="s">
        <v>1711</v>
      </c>
      <c r="H388" s="82" t="s">
        <v>1712</v>
      </c>
      <c r="I388" s="83"/>
      <c r="J388" s="83"/>
      <c r="K388" s="83"/>
      <c r="L388" s="83"/>
      <c r="M388" s="83"/>
      <c r="N388" s="83"/>
      <c r="O388" s="83"/>
      <c r="P388" s="83"/>
      <c r="Q388" s="83"/>
    </row>
    <row r="389" spans="1:17" s="84" customFormat="1" x14ac:dyDescent="0.25">
      <c r="A389" s="81" t="s">
        <v>1713</v>
      </c>
      <c r="B389" s="82" t="s">
        <v>921</v>
      </c>
      <c r="C389" s="82" t="s">
        <v>1714</v>
      </c>
      <c r="D389" s="82" t="s">
        <v>1340</v>
      </c>
      <c r="E389" s="82" t="s">
        <v>1341</v>
      </c>
      <c r="F389" s="82">
        <v>2004</v>
      </c>
      <c r="G389" s="82" t="s">
        <v>1715</v>
      </c>
      <c r="H389" s="82" t="s">
        <v>1716</v>
      </c>
      <c r="I389" s="83"/>
      <c r="J389" s="83"/>
      <c r="K389" s="83"/>
      <c r="L389" s="83"/>
      <c r="M389" s="83"/>
      <c r="N389" s="83"/>
      <c r="O389" s="83"/>
      <c r="P389" s="83"/>
      <c r="Q389" s="83"/>
    </row>
    <row r="390" spans="1:17" s="84" customFormat="1" x14ac:dyDescent="0.25">
      <c r="A390" s="81" t="s">
        <v>1717</v>
      </c>
      <c r="B390" s="82" t="s">
        <v>921</v>
      </c>
      <c r="C390" s="82" t="s">
        <v>1718</v>
      </c>
      <c r="D390" s="82" t="s">
        <v>901</v>
      </c>
      <c r="E390" s="82" t="s">
        <v>1691</v>
      </c>
      <c r="F390" s="82">
        <v>2007</v>
      </c>
      <c r="G390" s="82" t="s">
        <v>1719</v>
      </c>
      <c r="H390" s="82" t="s">
        <v>1720</v>
      </c>
      <c r="I390" s="83"/>
      <c r="J390" s="83"/>
      <c r="K390" s="83"/>
      <c r="L390" s="83"/>
      <c r="M390" s="83"/>
      <c r="N390" s="83"/>
      <c r="O390" s="83"/>
      <c r="P390" s="83"/>
      <c r="Q390" s="83"/>
    </row>
    <row r="391" spans="1:17" s="84" customFormat="1" x14ac:dyDescent="0.25">
      <c r="A391" s="81" t="s">
        <v>1721</v>
      </c>
      <c r="B391" s="82" t="s">
        <v>921</v>
      </c>
      <c r="C391" s="82" t="s">
        <v>1722</v>
      </c>
      <c r="D391" s="82" t="s">
        <v>1723</v>
      </c>
      <c r="E391" s="82" t="s">
        <v>1724</v>
      </c>
      <c r="F391" s="82">
        <v>2004</v>
      </c>
      <c r="G391" s="82" t="s">
        <v>1725</v>
      </c>
      <c r="H391" s="82" t="s">
        <v>1726</v>
      </c>
      <c r="I391" s="83"/>
      <c r="J391" s="83"/>
      <c r="K391" s="83"/>
      <c r="L391" s="83"/>
      <c r="M391" s="83"/>
      <c r="N391" s="83"/>
      <c r="O391" s="83"/>
      <c r="P391" s="83"/>
      <c r="Q391" s="83"/>
    </row>
    <row r="392" spans="1:17" s="84" customFormat="1" x14ac:dyDescent="0.25">
      <c r="A392" s="81" t="s">
        <v>1727</v>
      </c>
      <c r="B392" s="82" t="s">
        <v>921</v>
      </c>
      <c r="C392" s="82" t="s">
        <v>1728</v>
      </c>
      <c r="D392" s="82" t="s">
        <v>901</v>
      </c>
      <c r="E392" s="82" t="s">
        <v>1102</v>
      </c>
      <c r="F392" s="82">
        <v>2015</v>
      </c>
      <c r="G392" s="82" t="s">
        <v>1729</v>
      </c>
      <c r="H392" s="82" t="s">
        <v>1730</v>
      </c>
      <c r="I392" s="83"/>
      <c r="J392" s="83"/>
      <c r="K392" s="83"/>
      <c r="L392" s="83"/>
      <c r="M392" s="83"/>
      <c r="N392" s="83"/>
      <c r="O392" s="83"/>
      <c r="P392" s="83"/>
      <c r="Q392" s="83"/>
    </row>
    <row r="393" spans="1:17" s="84" customFormat="1" x14ac:dyDescent="0.25">
      <c r="A393" s="81" t="s">
        <v>1731</v>
      </c>
      <c r="B393" s="82" t="s">
        <v>921</v>
      </c>
      <c r="C393" s="82" t="s">
        <v>1732</v>
      </c>
      <c r="D393" s="82" t="s">
        <v>901</v>
      </c>
      <c r="E393" s="82" t="s">
        <v>950</v>
      </c>
      <c r="F393" s="82">
        <v>2016</v>
      </c>
      <c r="G393" s="82" t="s">
        <v>1733</v>
      </c>
      <c r="H393" s="82" t="s">
        <v>1734</v>
      </c>
      <c r="I393" s="83"/>
      <c r="J393" s="83"/>
      <c r="K393" s="83"/>
      <c r="L393" s="83"/>
      <c r="M393" s="83"/>
      <c r="N393" s="83"/>
      <c r="O393" s="83"/>
      <c r="P393" s="83"/>
      <c r="Q393" s="83"/>
    </row>
    <row r="394" spans="1:17" s="84" customFormat="1" x14ac:dyDescent="0.25">
      <c r="A394" s="81" t="s">
        <v>1735</v>
      </c>
      <c r="B394" s="82" t="s">
        <v>921</v>
      </c>
      <c r="C394" s="82" t="s">
        <v>1736</v>
      </c>
      <c r="D394" s="82" t="s">
        <v>901</v>
      </c>
      <c r="E394" s="82" t="s">
        <v>950</v>
      </c>
      <c r="F394" s="82">
        <v>2016</v>
      </c>
      <c r="G394" s="82" t="s">
        <v>1737</v>
      </c>
      <c r="H394" s="82" t="s">
        <v>1738</v>
      </c>
      <c r="I394" s="83"/>
      <c r="J394" s="83"/>
      <c r="K394" s="83"/>
      <c r="L394" s="83"/>
      <c r="M394" s="83"/>
      <c r="N394" s="83"/>
      <c r="O394" s="83"/>
      <c r="P394" s="83"/>
      <c r="Q394" s="83"/>
    </row>
    <row r="395" spans="1:17" s="84" customFormat="1" x14ac:dyDescent="0.25">
      <c r="A395" s="81" t="s">
        <v>1739</v>
      </c>
      <c r="B395" s="82" t="s">
        <v>921</v>
      </c>
      <c r="C395" s="82" t="s">
        <v>1740</v>
      </c>
      <c r="D395" s="82" t="s">
        <v>901</v>
      </c>
      <c r="E395" s="82" t="s">
        <v>950</v>
      </c>
      <c r="F395" s="82">
        <v>2016</v>
      </c>
      <c r="G395" s="82" t="s">
        <v>1741</v>
      </c>
      <c r="H395" s="82" t="s">
        <v>1742</v>
      </c>
      <c r="I395" s="83"/>
      <c r="J395" s="83"/>
      <c r="K395" s="83"/>
      <c r="L395" s="83"/>
      <c r="M395" s="83"/>
      <c r="N395" s="83"/>
      <c r="O395" s="83"/>
      <c r="P395" s="83"/>
      <c r="Q395" s="83"/>
    </row>
    <row r="396" spans="1:17" s="84" customFormat="1" x14ac:dyDescent="0.25">
      <c r="A396" s="81" t="s">
        <v>1743</v>
      </c>
      <c r="B396" s="82" t="s">
        <v>921</v>
      </c>
      <c r="C396" s="82" t="s">
        <v>1744</v>
      </c>
      <c r="D396" s="82" t="s">
        <v>901</v>
      </c>
      <c r="E396" s="82" t="s">
        <v>950</v>
      </c>
      <c r="F396" s="82">
        <v>2016</v>
      </c>
      <c r="G396" s="82" t="s">
        <v>1745</v>
      </c>
      <c r="H396" s="82" t="s">
        <v>1746</v>
      </c>
      <c r="I396" s="83"/>
      <c r="J396" s="83"/>
      <c r="K396" s="83"/>
      <c r="L396" s="83"/>
      <c r="M396" s="83"/>
      <c r="N396" s="83"/>
      <c r="O396" s="83"/>
      <c r="P396" s="83"/>
      <c r="Q396" s="83"/>
    </row>
    <row r="397" spans="1:17" s="84" customFormat="1" x14ac:dyDescent="0.25">
      <c r="A397" s="81" t="s">
        <v>1747</v>
      </c>
      <c r="B397" s="82" t="s">
        <v>921</v>
      </c>
      <c r="C397" s="82" t="s">
        <v>1748</v>
      </c>
      <c r="D397" s="82" t="s">
        <v>901</v>
      </c>
      <c r="E397" s="82" t="s">
        <v>950</v>
      </c>
      <c r="F397" s="82">
        <v>2016</v>
      </c>
      <c r="G397" s="82" t="s">
        <v>1749</v>
      </c>
      <c r="H397" s="82" t="s">
        <v>1750</v>
      </c>
      <c r="I397" s="83"/>
      <c r="J397" s="83"/>
      <c r="K397" s="83"/>
      <c r="L397" s="83"/>
      <c r="M397" s="83"/>
      <c r="N397" s="83"/>
      <c r="O397" s="83"/>
      <c r="P397" s="83"/>
      <c r="Q397" s="83"/>
    </row>
    <row r="398" spans="1:17" s="84" customFormat="1" x14ac:dyDescent="0.25">
      <c r="A398" s="81" t="s">
        <v>1751</v>
      </c>
      <c r="B398" s="82" t="s">
        <v>921</v>
      </c>
      <c r="C398" s="82" t="s">
        <v>1752</v>
      </c>
      <c r="D398" s="82" t="s">
        <v>901</v>
      </c>
      <c r="E398" s="82" t="s">
        <v>950</v>
      </c>
      <c r="F398" s="82">
        <v>2016</v>
      </c>
      <c r="G398" s="82" t="s">
        <v>1753</v>
      </c>
      <c r="H398" s="82" t="s">
        <v>1754</v>
      </c>
      <c r="I398" s="83"/>
      <c r="J398" s="83"/>
      <c r="K398" s="83"/>
      <c r="L398" s="83"/>
      <c r="M398" s="83"/>
      <c r="N398" s="83"/>
      <c r="O398" s="83"/>
      <c r="P398" s="83"/>
      <c r="Q398" s="83"/>
    </row>
    <row r="399" spans="1:17" s="84" customFormat="1" x14ac:dyDescent="0.25">
      <c r="A399" s="81" t="s">
        <v>1755</v>
      </c>
      <c r="B399" s="82" t="s">
        <v>921</v>
      </c>
      <c r="C399" s="82" t="s">
        <v>1756</v>
      </c>
      <c r="D399" s="82" t="s">
        <v>901</v>
      </c>
      <c r="E399" s="82" t="s">
        <v>950</v>
      </c>
      <c r="F399" s="82">
        <v>2016</v>
      </c>
      <c r="G399" s="82" t="s">
        <v>1757</v>
      </c>
      <c r="H399" s="82" t="s">
        <v>1758</v>
      </c>
      <c r="I399" s="83"/>
      <c r="J399" s="83"/>
      <c r="K399" s="83"/>
      <c r="L399" s="83"/>
      <c r="M399" s="83"/>
      <c r="N399" s="83"/>
      <c r="O399" s="83"/>
      <c r="P399" s="83"/>
      <c r="Q399" s="83"/>
    </row>
    <row r="400" spans="1:17" s="84" customFormat="1" x14ac:dyDescent="0.25">
      <c r="A400" s="81" t="s">
        <v>1759</v>
      </c>
      <c r="B400" s="82" t="s">
        <v>921</v>
      </c>
      <c r="C400" s="82" t="s">
        <v>1760</v>
      </c>
      <c r="D400" s="82" t="s">
        <v>901</v>
      </c>
      <c r="E400" s="82" t="s">
        <v>950</v>
      </c>
      <c r="F400" s="82">
        <v>2016</v>
      </c>
      <c r="G400" s="82" t="s">
        <v>1761</v>
      </c>
      <c r="H400" s="82" t="s">
        <v>1762</v>
      </c>
      <c r="I400" s="83"/>
      <c r="J400" s="83"/>
      <c r="K400" s="83"/>
      <c r="L400" s="83"/>
      <c r="M400" s="83"/>
      <c r="N400" s="83"/>
      <c r="O400" s="83"/>
      <c r="P400" s="83"/>
      <c r="Q400" s="83"/>
    </row>
    <row r="401" spans="1:17" s="84" customFormat="1" x14ac:dyDescent="0.25">
      <c r="A401" s="81" t="s">
        <v>1763</v>
      </c>
      <c r="B401" s="82" t="s">
        <v>921</v>
      </c>
      <c r="C401" s="82" t="s">
        <v>1764</v>
      </c>
      <c r="D401" s="82" t="s">
        <v>901</v>
      </c>
      <c r="E401" s="82" t="s">
        <v>950</v>
      </c>
      <c r="F401" s="82">
        <v>2016</v>
      </c>
      <c r="G401" s="82" t="s">
        <v>1765</v>
      </c>
      <c r="H401" s="82" t="s">
        <v>1766</v>
      </c>
      <c r="I401" s="83"/>
      <c r="J401" s="83"/>
      <c r="K401" s="83"/>
      <c r="L401" s="83"/>
      <c r="M401" s="83"/>
      <c r="N401" s="83"/>
      <c r="O401" s="83"/>
      <c r="P401" s="83"/>
      <c r="Q401" s="83"/>
    </row>
    <row r="402" spans="1:17" s="84" customFormat="1" x14ac:dyDescent="0.25">
      <c r="A402" s="81" t="s">
        <v>1767</v>
      </c>
      <c r="B402" s="82" t="s">
        <v>921</v>
      </c>
      <c r="C402" s="82" t="s">
        <v>1768</v>
      </c>
      <c r="D402" s="82" t="s">
        <v>901</v>
      </c>
      <c r="E402" s="82" t="s">
        <v>950</v>
      </c>
      <c r="F402" s="82">
        <v>2016</v>
      </c>
      <c r="G402" s="82" t="s">
        <v>1769</v>
      </c>
      <c r="H402" s="82" t="s">
        <v>1770</v>
      </c>
      <c r="I402" s="83"/>
      <c r="J402" s="83"/>
      <c r="K402" s="83"/>
      <c r="L402" s="83"/>
      <c r="M402" s="83"/>
      <c r="N402" s="83"/>
      <c r="O402" s="83"/>
      <c r="P402" s="83"/>
      <c r="Q402" s="83"/>
    </row>
    <row r="403" spans="1:17" s="84" customFormat="1" x14ac:dyDescent="0.25">
      <c r="A403" s="81" t="s">
        <v>1771</v>
      </c>
      <c r="B403" s="82" t="s">
        <v>921</v>
      </c>
      <c r="C403" s="82" t="s">
        <v>1772</v>
      </c>
      <c r="D403" s="82" t="s">
        <v>901</v>
      </c>
      <c r="E403" s="82" t="s">
        <v>950</v>
      </c>
      <c r="F403" s="82">
        <v>2016</v>
      </c>
      <c r="G403" s="82" t="s">
        <v>1773</v>
      </c>
      <c r="H403" s="82" t="s">
        <v>1774</v>
      </c>
      <c r="I403" s="83"/>
      <c r="J403" s="83"/>
      <c r="K403" s="83"/>
      <c r="L403" s="83"/>
      <c r="M403" s="83"/>
      <c r="N403" s="83"/>
      <c r="O403" s="83"/>
      <c r="P403" s="83"/>
      <c r="Q403" s="83"/>
    </row>
    <row r="404" spans="1:17" s="84" customFormat="1" x14ac:dyDescent="0.25">
      <c r="A404" s="81" t="s">
        <v>1775</v>
      </c>
      <c r="B404" s="82" t="s">
        <v>921</v>
      </c>
      <c r="C404" s="82" t="s">
        <v>1776</v>
      </c>
      <c r="D404" s="82" t="s">
        <v>901</v>
      </c>
      <c r="E404" s="82" t="s">
        <v>950</v>
      </c>
      <c r="F404" s="82">
        <v>2016</v>
      </c>
      <c r="G404" s="82" t="s">
        <v>1777</v>
      </c>
      <c r="H404" s="82" t="s">
        <v>1778</v>
      </c>
      <c r="I404" s="83"/>
      <c r="J404" s="83"/>
      <c r="K404" s="83"/>
      <c r="L404" s="83"/>
      <c r="M404" s="83"/>
      <c r="N404" s="83"/>
      <c r="O404" s="83"/>
      <c r="P404" s="83"/>
      <c r="Q404" s="83"/>
    </row>
    <row r="405" spans="1:17" s="84" customFormat="1" x14ac:dyDescent="0.25">
      <c r="A405" s="81" t="s">
        <v>1779</v>
      </c>
      <c r="B405" s="82" t="s">
        <v>921</v>
      </c>
      <c r="C405" s="82" t="s">
        <v>1780</v>
      </c>
      <c r="D405" s="82" t="s">
        <v>901</v>
      </c>
      <c r="E405" s="82" t="s">
        <v>950</v>
      </c>
      <c r="F405" s="82">
        <v>2016</v>
      </c>
      <c r="G405" s="82" t="s">
        <v>1781</v>
      </c>
      <c r="H405" s="82" t="s">
        <v>1782</v>
      </c>
      <c r="I405" s="83"/>
      <c r="J405" s="83"/>
      <c r="K405" s="83"/>
      <c r="L405" s="83"/>
      <c r="M405" s="83"/>
      <c r="N405" s="83"/>
      <c r="O405" s="83"/>
      <c r="P405" s="83"/>
      <c r="Q405" s="83"/>
    </row>
    <row r="406" spans="1:17" s="84" customFormat="1" x14ac:dyDescent="0.25">
      <c r="A406" s="81" t="s">
        <v>1783</v>
      </c>
      <c r="B406" s="82" t="s">
        <v>921</v>
      </c>
      <c r="C406" s="82" t="s">
        <v>1784</v>
      </c>
      <c r="D406" s="82" t="s">
        <v>901</v>
      </c>
      <c r="E406" s="82" t="s">
        <v>950</v>
      </c>
      <c r="F406" s="82">
        <v>2016</v>
      </c>
      <c r="G406" s="82" t="s">
        <v>1785</v>
      </c>
      <c r="H406" s="82" t="s">
        <v>1786</v>
      </c>
      <c r="I406" s="83"/>
      <c r="J406" s="83"/>
      <c r="K406" s="83"/>
      <c r="L406" s="83"/>
      <c r="M406" s="83"/>
      <c r="N406" s="83"/>
      <c r="O406" s="83"/>
      <c r="P406" s="83"/>
      <c r="Q406" s="83"/>
    </row>
    <row r="407" spans="1:17" s="84" customFormat="1" x14ac:dyDescent="0.25">
      <c r="A407" s="81" t="s">
        <v>1787</v>
      </c>
      <c r="B407" s="82" t="s">
        <v>921</v>
      </c>
      <c r="C407" s="82" t="s">
        <v>1788</v>
      </c>
      <c r="D407" s="82" t="s">
        <v>901</v>
      </c>
      <c r="E407" s="82" t="s">
        <v>950</v>
      </c>
      <c r="F407" s="82">
        <v>2016</v>
      </c>
      <c r="G407" s="82" t="s">
        <v>1789</v>
      </c>
      <c r="H407" s="82" t="s">
        <v>1790</v>
      </c>
      <c r="I407" s="83"/>
      <c r="J407" s="83"/>
      <c r="K407" s="83"/>
      <c r="L407" s="83"/>
      <c r="M407" s="83"/>
      <c r="N407" s="83"/>
      <c r="O407" s="83"/>
      <c r="P407" s="83"/>
      <c r="Q407" s="83"/>
    </row>
    <row r="408" spans="1:17" s="84" customFormat="1" x14ac:dyDescent="0.25">
      <c r="A408" s="81" t="s">
        <v>1791</v>
      </c>
      <c r="B408" s="82" t="s">
        <v>921</v>
      </c>
      <c r="C408" s="82" t="s">
        <v>1792</v>
      </c>
      <c r="D408" s="82" t="s">
        <v>901</v>
      </c>
      <c r="E408" s="82" t="s">
        <v>950</v>
      </c>
      <c r="F408" s="82">
        <v>2016</v>
      </c>
      <c r="G408" s="82" t="s">
        <v>1793</v>
      </c>
      <c r="H408" s="82" t="s">
        <v>1794</v>
      </c>
      <c r="I408" s="83"/>
      <c r="J408" s="83"/>
      <c r="K408" s="83"/>
      <c r="L408" s="83"/>
      <c r="M408" s="83"/>
      <c r="N408" s="83"/>
      <c r="O408" s="83"/>
      <c r="P408" s="83"/>
      <c r="Q408" s="83"/>
    </row>
    <row r="409" spans="1:17" s="84" customFormat="1" x14ac:dyDescent="0.25">
      <c r="A409" s="81" t="s">
        <v>1795</v>
      </c>
      <c r="B409" s="82" t="s">
        <v>921</v>
      </c>
      <c r="C409" s="82" t="s">
        <v>1796</v>
      </c>
      <c r="D409" s="82" t="s">
        <v>901</v>
      </c>
      <c r="E409" s="82" t="s">
        <v>950</v>
      </c>
      <c r="F409" s="82">
        <v>2016</v>
      </c>
      <c r="G409" s="82" t="s">
        <v>1797</v>
      </c>
      <c r="H409" s="82" t="s">
        <v>1798</v>
      </c>
      <c r="I409" s="83"/>
      <c r="J409" s="83"/>
      <c r="K409" s="83"/>
      <c r="L409" s="83"/>
      <c r="M409" s="83"/>
      <c r="N409" s="83"/>
      <c r="O409" s="83"/>
      <c r="P409" s="83"/>
      <c r="Q409" s="83"/>
    </row>
    <row r="410" spans="1:17" s="84" customFormat="1" x14ac:dyDescent="0.25">
      <c r="A410" s="81" t="s">
        <v>1799</v>
      </c>
      <c r="B410" s="82" t="s">
        <v>921</v>
      </c>
      <c r="C410" s="82" t="s">
        <v>1800</v>
      </c>
      <c r="D410" s="82" t="s">
        <v>901</v>
      </c>
      <c r="E410" s="82" t="s">
        <v>1801</v>
      </c>
      <c r="F410" s="82">
        <v>2017</v>
      </c>
      <c r="G410" s="82" t="s">
        <v>1802</v>
      </c>
      <c r="H410" s="82" t="s">
        <v>1803</v>
      </c>
      <c r="I410" s="83"/>
      <c r="J410" s="83"/>
      <c r="K410" s="83"/>
      <c r="L410" s="83"/>
      <c r="M410" s="83"/>
      <c r="N410" s="83"/>
      <c r="O410" s="83"/>
      <c r="P410" s="83"/>
      <c r="Q410" s="83"/>
    </row>
    <row r="411" spans="1:17" s="84" customFormat="1" x14ac:dyDescent="0.25">
      <c r="A411" s="81" t="s">
        <v>1804</v>
      </c>
      <c r="B411" s="82" t="s">
        <v>921</v>
      </c>
      <c r="C411" s="82" t="s">
        <v>1805</v>
      </c>
      <c r="D411" s="82" t="s">
        <v>901</v>
      </c>
      <c r="E411" s="82" t="s">
        <v>1801</v>
      </c>
      <c r="F411" s="82">
        <v>2017</v>
      </c>
      <c r="G411" s="82" t="s">
        <v>1806</v>
      </c>
      <c r="H411" s="82" t="s">
        <v>1807</v>
      </c>
      <c r="I411" s="83"/>
      <c r="J411" s="83"/>
      <c r="K411" s="83"/>
      <c r="L411" s="83"/>
      <c r="M411" s="83"/>
      <c r="N411" s="83"/>
      <c r="O411" s="83"/>
      <c r="P411" s="83"/>
      <c r="Q411" s="83"/>
    </row>
    <row r="412" spans="1:17" s="84" customFormat="1" x14ac:dyDescent="0.25">
      <c r="A412" s="81" t="s">
        <v>1808</v>
      </c>
      <c r="B412" s="82" t="s">
        <v>921</v>
      </c>
      <c r="C412" s="82" t="s">
        <v>1809</v>
      </c>
      <c r="D412" s="82" t="s">
        <v>901</v>
      </c>
      <c r="E412" s="82" t="s">
        <v>1801</v>
      </c>
      <c r="F412" s="82">
        <v>2017</v>
      </c>
      <c r="G412" s="82" t="s">
        <v>1810</v>
      </c>
      <c r="H412" s="82" t="s">
        <v>1811</v>
      </c>
      <c r="I412" s="83"/>
      <c r="J412" s="83"/>
      <c r="K412" s="83"/>
      <c r="L412" s="83"/>
      <c r="M412" s="83"/>
      <c r="N412" s="83"/>
      <c r="O412" s="83"/>
      <c r="P412" s="83"/>
      <c r="Q412" s="83"/>
    </row>
    <row r="413" spans="1:17" s="84" customFormat="1" x14ac:dyDescent="0.25">
      <c r="A413" s="81" t="s">
        <v>1812</v>
      </c>
      <c r="B413" s="82" t="s">
        <v>921</v>
      </c>
      <c r="C413" s="82" t="s">
        <v>1813</v>
      </c>
      <c r="D413" s="82" t="s">
        <v>901</v>
      </c>
      <c r="E413" s="82" t="s">
        <v>1801</v>
      </c>
      <c r="F413" s="82">
        <v>2017</v>
      </c>
      <c r="G413" s="82" t="s">
        <v>1814</v>
      </c>
      <c r="H413" s="82" t="s">
        <v>1815</v>
      </c>
      <c r="I413" s="83"/>
      <c r="J413" s="83"/>
      <c r="K413" s="83"/>
      <c r="L413" s="83"/>
      <c r="M413" s="83"/>
      <c r="N413" s="83"/>
      <c r="O413" s="83"/>
      <c r="P413" s="83"/>
      <c r="Q413" s="83"/>
    </row>
    <row r="414" spans="1:17" s="84" customFormat="1" x14ac:dyDescent="0.25">
      <c r="A414" s="81" t="s">
        <v>1816</v>
      </c>
      <c r="B414" s="82" t="s">
        <v>921</v>
      </c>
      <c r="C414" s="82" t="s">
        <v>1817</v>
      </c>
      <c r="D414" s="82" t="s">
        <v>901</v>
      </c>
      <c r="E414" s="82" t="s">
        <v>1801</v>
      </c>
      <c r="F414" s="82">
        <v>2017</v>
      </c>
      <c r="G414" s="82" t="s">
        <v>1818</v>
      </c>
      <c r="H414" s="82" t="s">
        <v>1819</v>
      </c>
      <c r="I414" s="83"/>
      <c r="J414" s="83"/>
      <c r="K414" s="83"/>
      <c r="L414" s="83"/>
      <c r="M414" s="83"/>
      <c r="N414" s="83"/>
      <c r="O414" s="83"/>
      <c r="P414" s="83"/>
      <c r="Q414" s="83"/>
    </row>
    <row r="415" spans="1:17" s="84" customFormat="1" x14ac:dyDescent="0.25">
      <c r="A415" s="81" t="s">
        <v>1820</v>
      </c>
      <c r="B415" s="82" t="s">
        <v>921</v>
      </c>
      <c r="C415" s="82" t="s">
        <v>1821</v>
      </c>
      <c r="D415" s="82" t="s">
        <v>901</v>
      </c>
      <c r="E415" s="82" t="s">
        <v>1801</v>
      </c>
      <c r="F415" s="82">
        <v>2017</v>
      </c>
      <c r="G415" s="82" t="s">
        <v>1822</v>
      </c>
      <c r="H415" s="82" t="s">
        <v>1823</v>
      </c>
      <c r="I415" s="83"/>
      <c r="J415" s="83"/>
      <c r="K415" s="83"/>
      <c r="L415" s="83"/>
      <c r="M415" s="83"/>
      <c r="N415" s="83"/>
      <c r="O415" s="83"/>
      <c r="P415" s="83"/>
      <c r="Q415" s="83"/>
    </row>
    <row r="416" spans="1:17" s="84" customFormat="1" x14ac:dyDescent="0.25">
      <c r="A416" s="81" t="s">
        <v>1824</v>
      </c>
      <c r="B416" s="82" t="s">
        <v>921</v>
      </c>
      <c r="C416" s="82" t="s">
        <v>1825</v>
      </c>
      <c r="D416" s="82" t="s">
        <v>901</v>
      </c>
      <c r="E416" s="82" t="s">
        <v>1801</v>
      </c>
      <c r="F416" s="82">
        <v>2017</v>
      </c>
      <c r="G416" s="82" t="s">
        <v>1826</v>
      </c>
      <c r="H416" s="82" t="s">
        <v>1827</v>
      </c>
      <c r="I416" s="83"/>
      <c r="J416" s="83"/>
      <c r="K416" s="83"/>
      <c r="L416" s="83"/>
      <c r="M416" s="83"/>
      <c r="N416" s="83"/>
      <c r="O416" s="83"/>
      <c r="P416" s="83"/>
      <c r="Q416" s="83"/>
    </row>
    <row r="417" spans="1:17" s="84" customFormat="1" x14ac:dyDescent="0.25">
      <c r="A417" s="81" t="s">
        <v>1828</v>
      </c>
      <c r="B417" s="82" t="s">
        <v>921</v>
      </c>
      <c r="C417" s="82" t="s">
        <v>1829</v>
      </c>
      <c r="D417" s="82" t="s">
        <v>901</v>
      </c>
      <c r="E417" s="82" t="s">
        <v>1801</v>
      </c>
      <c r="F417" s="82">
        <v>2017</v>
      </c>
      <c r="G417" s="82" t="s">
        <v>1830</v>
      </c>
      <c r="H417" s="82" t="s">
        <v>1831</v>
      </c>
      <c r="I417" s="83"/>
      <c r="J417" s="83"/>
      <c r="K417" s="83"/>
      <c r="L417" s="83"/>
      <c r="M417" s="83"/>
      <c r="N417" s="83"/>
      <c r="O417" s="83"/>
      <c r="P417" s="83"/>
      <c r="Q417" s="83"/>
    </row>
    <row r="418" spans="1:17" s="84" customFormat="1" x14ac:dyDescent="0.25">
      <c r="A418" s="81" t="s">
        <v>1832</v>
      </c>
      <c r="B418" s="82" t="s">
        <v>921</v>
      </c>
      <c r="C418" s="82" t="s">
        <v>1833</v>
      </c>
      <c r="D418" s="82" t="s">
        <v>901</v>
      </c>
      <c r="E418" s="82" t="s">
        <v>1801</v>
      </c>
      <c r="F418" s="82">
        <v>2017</v>
      </c>
      <c r="G418" s="82" t="s">
        <v>1834</v>
      </c>
      <c r="H418" s="82" t="s">
        <v>1835</v>
      </c>
      <c r="I418" s="83"/>
      <c r="J418" s="83"/>
      <c r="K418" s="83"/>
      <c r="L418" s="83"/>
      <c r="M418" s="83"/>
      <c r="N418" s="83"/>
      <c r="O418" s="83"/>
      <c r="P418" s="83"/>
      <c r="Q418" s="83"/>
    </row>
    <row r="419" spans="1:17" s="84" customFormat="1" x14ac:dyDescent="0.25">
      <c r="A419" s="81" t="s">
        <v>1836</v>
      </c>
      <c r="B419" s="82" t="s">
        <v>921</v>
      </c>
      <c r="C419" s="82" t="s">
        <v>1837</v>
      </c>
      <c r="D419" s="82" t="s">
        <v>901</v>
      </c>
      <c r="E419" s="82" t="s">
        <v>1801</v>
      </c>
      <c r="F419" s="82">
        <v>2017</v>
      </c>
      <c r="G419" s="82" t="s">
        <v>1838</v>
      </c>
      <c r="H419" s="82" t="s">
        <v>1839</v>
      </c>
      <c r="I419" s="83"/>
      <c r="J419" s="83"/>
      <c r="K419" s="83"/>
      <c r="L419" s="83"/>
      <c r="M419" s="83"/>
      <c r="N419" s="83"/>
      <c r="O419" s="83"/>
      <c r="P419" s="83"/>
      <c r="Q419" s="83"/>
    </row>
    <row r="420" spans="1:17" s="84" customFormat="1" x14ac:dyDescent="0.25">
      <c r="A420" s="81" t="s">
        <v>1840</v>
      </c>
      <c r="B420" s="82" t="s">
        <v>921</v>
      </c>
      <c r="C420" s="82" t="s">
        <v>1841</v>
      </c>
      <c r="D420" s="82" t="s">
        <v>901</v>
      </c>
      <c r="E420" s="82" t="s">
        <v>1801</v>
      </c>
      <c r="F420" s="82">
        <v>2017</v>
      </c>
      <c r="G420" s="82" t="s">
        <v>1842</v>
      </c>
      <c r="H420" s="82" t="s">
        <v>1843</v>
      </c>
      <c r="I420" s="83"/>
      <c r="J420" s="83"/>
      <c r="K420" s="83"/>
      <c r="L420" s="83"/>
      <c r="M420" s="83"/>
      <c r="N420" s="83"/>
      <c r="O420" s="83"/>
      <c r="P420" s="83"/>
      <c r="Q420" s="83"/>
    </row>
    <row r="421" spans="1:17" s="84" customFormat="1" x14ac:dyDescent="0.25">
      <c r="A421" s="81" t="s">
        <v>1844</v>
      </c>
      <c r="B421" s="82" t="s">
        <v>921</v>
      </c>
      <c r="C421" s="82" t="s">
        <v>1845</v>
      </c>
      <c r="D421" s="82" t="s">
        <v>901</v>
      </c>
      <c r="E421" s="82" t="s">
        <v>1801</v>
      </c>
      <c r="F421" s="82">
        <v>2017</v>
      </c>
      <c r="G421" s="82" t="s">
        <v>1846</v>
      </c>
      <c r="H421" s="82" t="s">
        <v>1847</v>
      </c>
      <c r="I421" s="83"/>
      <c r="J421" s="83"/>
      <c r="K421" s="83"/>
      <c r="L421" s="83"/>
      <c r="M421" s="83"/>
      <c r="N421" s="83"/>
      <c r="O421" s="83"/>
      <c r="P421" s="83"/>
      <c r="Q421" s="83"/>
    </row>
    <row r="422" spans="1:17" s="84" customFormat="1" x14ac:dyDescent="0.25">
      <c r="A422" s="81" t="s">
        <v>1848</v>
      </c>
      <c r="B422" s="82" t="s">
        <v>921</v>
      </c>
      <c r="C422" s="82" t="s">
        <v>1849</v>
      </c>
      <c r="D422" s="82" t="s">
        <v>901</v>
      </c>
      <c r="E422" s="82" t="s">
        <v>1801</v>
      </c>
      <c r="F422" s="82">
        <v>2017</v>
      </c>
      <c r="G422" s="82" t="s">
        <v>1850</v>
      </c>
      <c r="H422" s="82" t="s">
        <v>1851</v>
      </c>
      <c r="I422" s="83"/>
      <c r="J422" s="83"/>
      <c r="K422" s="83"/>
      <c r="L422" s="83"/>
      <c r="M422" s="83"/>
      <c r="N422" s="83"/>
      <c r="O422" s="83"/>
      <c r="P422" s="83"/>
      <c r="Q422" s="83"/>
    </row>
    <row r="423" spans="1:17" s="84" customFormat="1" x14ac:dyDescent="0.25">
      <c r="A423" s="81" t="s">
        <v>1852</v>
      </c>
      <c r="B423" s="82" t="s">
        <v>921</v>
      </c>
      <c r="C423" s="82" t="s">
        <v>1853</v>
      </c>
      <c r="D423" s="82" t="s">
        <v>901</v>
      </c>
      <c r="E423" s="82" t="s">
        <v>1801</v>
      </c>
      <c r="F423" s="82">
        <v>2017</v>
      </c>
      <c r="G423" s="82" t="s">
        <v>1854</v>
      </c>
      <c r="H423" s="82" t="s">
        <v>1855</v>
      </c>
      <c r="I423" s="83"/>
      <c r="J423" s="83"/>
      <c r="K423" s="83"/>
      <c r="L423" s="83"/>
      <c r="M423" s="83"/>
      <c r="N423" s="83"/>
      <c r="O423" s="83"/>
      <c r="P423" s="83"/>
      <c r="Q423" s="83"/>
    </row>
    <row r="424" spans="1:17" s="84" customFormat="1" x14ac:dyDescent="0.25">
      <c r="A424" s="81" t="s">
        <v>1856</v>
      </c>
      <c r="B424" s="82" t="s">
        <v>921</v>
      </c>
      <c r="C424" s="82" t="s">
        <v>1857</v>
      </c>
      <c r="D424" s="82" t="s">
        <v>901</v>
      </c>
      <c r="E424" s="82" t="s">
        <v>1801</v>
      </c>
      <c r="F424" s="82">
        <v>2017</v>
      </c>
      <c r="G424" s="82" t="s">
        <v>1858</v>
      </c>
      <c r="H424" s="82" t="s">
        <v>1859</v>
      </c>
      <c r="I424" s="83"/>
      <c r="J424" s="83"/>
      <c r="K424" s="83"/>
      <c r="L424" s="83"/>
      <c r="M424" s="83"/>
      <c r="N424" s="83"/>
      <c r="O424" s="83"/>
      <c r="P424" s="83"/>
      <c r="Q424" s="83"/>
    </row>
    <row r="425" spans="1:17" s="84" customFormat="1" x14ac:dyDescent="0.25">
      <c r="A425" s="81" t="s">
        <v>1860</v>
      </c>
      <c r="B425" s="82" t="s">
        <v>921</v>
      </c>
      <c r="C425" s="82" t="s">
        <v>1861</v>
      </c>
      <c r="D425" s="82" t="s">
        <v>901</v>
      </c>
      <c r="E425" s="82" t="s">
        <v>1801</v>
      </c>
      <c r="F425" s="82">
        <v>2017</v>
      </c>
      <c r="G425" s="82" t="s">
        <v>1862</v>
      </c>
      <c r="H425" s="82" t="s">
        <v>1863</v>
      </c>
      <c r="I425" s="83"/>
      <c r="J425" s="83"/>
      <c r="K425" s="83"/>
      <c r="L425" s="83"/>
      <c r="M425" s="83"/>
      <c r="N425" s="83"/>
      <c r="O425" s="83"/>
      <c r="P425" s="83"/>
      <c r="Q425" s="83"/>
    </row>
    <row r="426" spans="1:17" s="84" customFormat="1" x14ac:dyDescent="0.25">
      <c r="A426" s="81" t="s">
        <v>1864</v>
      </c>
      <c r="B426" s="82" t="s">
        <v>921</v>
      </c>
      <c r="C426" s="82" t="s">
        <v>1865</v>
      </c>
      <c r="D426" s="82" t="s">
        <v>901</v>
      </c>
      <c r="E426" s="82" t="s">
        <v>1801</v>
      </c>
      <c r="F426" s="82">
        <v>2017</v>
      </c>
      <c r="G426" s="82" t="s">
        <v>1866</v>
      </c>
      <c r="H426" s="82" t="s">
        <v>1867</v>
      </c>
      <c r="I426" s="83"/>
      <c r="J426" s="83"/>
      <c r="K426" s="83"/>
      <c r="L426" s="83"/>
      <c r="M426" s="83"/>
      <c r="N426" s="83"/>
      <c r="O426" s="83"/>
      <c r="P426" s="83"/>
      <c r="Q426" s="83"/>
    </row>
    <row r="427" spans="1:17" s="84" customFormat="1" x14ac:dyDescent="0.25">
      <c r="A427" s="81" t="s">
        <v>1868</v>
      </c>
      <c r="B427" s="82" t="s">
        <v>921</v>
      </c>
      <c r="C427" s="82" t="s">
        <v>1869</v>
      </c>
      <c r="D427" s="82" t="s">
        <v>901</v>
      </c>
      <c r="E427" s="82" t="s">
        <v>1801</v>
      </c>
      <c r="F427" s="82">
        <v>2017</v>
      </c>
      <c r="G427" s="82" t="s">
        <v>1870</v>
      </c>
      <c r="H427" s="82" t="s">
        <v>1871</v>
      </c>
      <c r="I427" s="83"/>
      <c r="J427" s="83"/>
      <c r="K427" s="83"/>
      <c r="L427" s="83"/>
      <c r="M427" s="83"/>
      <c r="N427" s="83"/>
      <c r="O427" s="83"/>
      <c r="P427" s="83"/>
      <c r="Q427" s="83"/>
    </row>
    <row r="428" spans="1:17" s="84" customFormat="1" x14ac:dyDescent="0.25">
      <c r="A428" s="81" t="s">
        <v>1872</v>
      </c>
      <c r="B428" s="82" t="s">
        <v>921</v>
      </c>
      <c r="C428" s="82" t="s">
        <v>1873</v>
      </c>
      <c r="D428" s="82" t="s">
        <v>901</v>
      </c>
      <c r="E428" s="82" t="s">
        <v>1801</v>
      </c>
      <c r="F428" s="82">
        <v>2017</v>
      </c>
      <c r="G428" s="82" t="s">
        <v>1874</v>
      </c>
      <c r="H428" s="82" t="s">
        <v>1875</v>
      </c>
      <c r="I428" s="83"/>
      <c r="J428" s="83"/>
      <c r="K428" s="83"/>
      <c r="L428" s="83"/>
      <c r="M428" s="83"/>
      <c r="N428" s="83"/>
      <c r="O428" s="83"/>
      <c r="P428" s="83"/>
      <c r="Q428" s="83"/>
    </row>
    <row r="429" spans="1:17" s="84" customFormat="1" x14ac:dyDescent="0.25">
      <c r="A429" s="81" t="s">
        <v>1876</v>
      </c>
      <c r="B429" s="82" t="s">
        <v>921</v>
      </c>
      <c r="C429" s="82" t="s">
        <v>1877</v>
      </c>
      <c r="D429" s="82" t="s">
        <v>901</v>
      </c>
      <c r="E429" s="82" t="s">
        <v>1801</v>
      </c>
      <c r="F429" s="82">
        <v>2017</v>
      </c>
      <c r="G429" s="82" t="s">
        <v>1878</v>
      </c>
      <c r="H429" s="82" t="s">
        <v>1879</v>
      </c>
      <c r="I429" s="83"/>
      <c r="J429" s="83"/>
      <c r="K429" s="83"/>
      <c r="L429" s="83"/>
      <c r="M429" s="83"/>
      <c r="N429" s="83"/>
      <c r="O429" s="83"/>
      <c r="P429" s="83"/>
      <c r="Q429" s="83"/>
    </row>
    <row r="430" spans="1:17" s="84" customFormat="1" x14ac:dyDescent="0.25">
      <c r="A430" s="81" t="s">
        <v>1880</v>
      </c>
      <c r="B430" s="82" t="s">
        <v>921</v>
      </c>
      <c r="C430" s="82" t="s">
        <v>1881</v>
      </c>
      <c r="D430" s="82" t="s">
        <v>901</v>
      </c>
      <c r="E430" s="82" t="s">
        <v>1801</v>
      </c>
      <c r="F430" s="82">
        <v>2017</v>
      </c>
      <c r="G430" s="82" t="s">
        <v>1882</v>
      </c>
      <c r="H430" s="82" t="s">
        <v>1883</v>
      </c>
      <c r="I430" s="83"/>
      <c r="J430" s="83"/>
      <c r="K430" s="83"/>
      <c r="L430" s="83"/>
      <c r="M430" s="83"/>
      <c r="N430" s="83"/>
      <c r="O430" s="83"/>
      <c r="P430" s="83"/>
      <c r="Q430" s="83"/>
    </row>
    <row r="431" spans="1:17" s="84" customFormat="1" x14ac:dyDescent="0.25">
      <c r="A431" s="81" t="s">
        <v>1884</v>
      </c>
      <c r="B431" s="82" t="s">
        <v>921</v>
      </c>
      <c r="C431" s="82" t="s">
        <v>1885</v>
      </c>
      <c r="D431" s="82" t="s">
        <v>901</v>
      </c>
      <c r="E431" s="82" t="s">
        <v>1801</v>
      </c>
      <c r="F431" s="82">
        <v>2017</v>
      </c>
      <c r="G431" s="82" t="s">
        <v>1886</v>
      </c>
      <c r="H431" s="82" t="s">
        <v>1887</v>
      </c>
      <c r="I431" s="83"/>
      <c r="J431" s="83"/>
      <c r="K431" s="83"/>
      <c r="L431" s="83"/>
      <c r="M431" s="83"/>
      <c r="N431" s="83"/>
      <c r="O431" s="83"/>
      <c r="P431" s="83"/>
      <c r="Q431" s="83"/>
    </row>
    <row r="432" spans="1:17" s="84" customFormat="1" x14ac:dyDescent="0.25">
      <c r="A432" s="81" t="s">
        <v>1888</v>
      </c>
      <c r="B432" s="82" t="s">
        <v>921</v>
      </c>
      <c r="C432" s="82" t="s">
        <v>1889</v>
      </c>
      <c r="D432" s="82" t="s">
        <v>901</v>
      </c>
      <c r="E432" s="82" t="s">
        <v>1801</v>
      </c>
      <c r="F432" s="82">
        <v>2017</v>
      </c>
      <c r="G432" s="82" t="s">
        <v>1890</v>
      </c>
      <c r="H432" s="82" t="s">
        <v>1891</v>
      </c>
      <c r="I432" s="83"/>
      <c r="J432" s="83"/>
      <c r="K432" s="83"/>
      <c r="L432" s="83"/>
      <c r="M432" s="83"/>
      <c r="N432" s="83"/>
      <c r="O432" s="83"/>
      <c r="P432" s="83"/>
      <c r="Q432" s="83"/>
    </row>
    <row r="433" spans="1:17" s="84" customFormat="1" x14ac:dyDescent="0.25">
      <c r="A433" s="81" t="s">
        <v>1892</v>
      </c>
      <c r="B433" s="82" t="s">
        <v>921</v>
      </c>
      <c r="C433" s="82" t="s">
        <v>1893</v>
      </c>
      <c r="D433" s="82" t="s">
        <v>901</v>
      </c>
      <c r="E433" s="82" t="s">
        <v>1801</v>
      </c>
      <c r="F433" s="82">
        <v>2017</v>
      </c>
      <c r="G433" s="82" t="s">
        <v>1894</v>
      </c>
      <c r="H433" s="82" t="s">
        <v>1895</v>
      </c>
      <c r="I433" s="83"/>
      <c r="J433" s="83"/>
      <c r="K433" s="83"/>
      <c r="L433" s="83"/>
      <c r="M433" s="83"/>
      <c r="N433" s="83"/>
      <c r="O433" s="83"/>
      <c r="P433" s="83"/>
      <c r="Q433" s="83"/>
    </row>
    <row r="434" spans="1:17" s="84" customFormat="1" x14ac:dyDescent="0.25">
      <c r="A434" s="81" t="s">
        <v>1896</v>
      </c>
      <c r="B434" s="82" t="s">
        <v>921</v>
      </c>
      <c r="C434" s="82" t="s">
        <v>1897</v>
      </c>
      <c r="D434" s="82" t="s">
        <v>901</v>
      </c>
      <c r="E434" s="82" t="s">
        <v>1801</v>
      </c>
      <c r="F434" s="82">
        <v>2017</v>
      </c>
      <c r="G434" s="82" t="s">
        <v>1898</v>
      </c>
      <c r="H434" s="82" t="s">
        <v>1899</v>
      </c>
      <c r="I434" s="83"/>
      <c r="J434" s="83"/>
      <c r="K434" s="83"/>
      <c r="L434" s="83"/>
      <c r="M434" s="83"/>
      <c r="N434" s="83"/>
      <c r="O434" s="83"/>
      <c r="P434" s="83"/>
      <c r="Q434" s="83"/>
    </row>
    <row r="435" spans="1:17" s="84" customFormat="1" x14ac:dyDescent="0.25">
      <c r="A435" s="81" t="s">
        <v>1900</v>
      </c>
      <c r="B435" s="82" t="s">
        <v>921</v>
      </c>
      <c r="C435" s="82" t="s">
        <v>1901</v>
      </c>
      <c r="D435" s="82" t="s">
        <v>901</v>
      </c>
      <c r="E435" s="82" t="s">
        <v>1801</v>
      </c>
      <c r="F435" s="82">
        <v>2017</v>
      </c>
      <c r="G435" s="82" t="s">
        <v>1902</v>
      </c>
      <c r="H435" s="82" t="s">
        <v>1903</v>
      </c>
      <c r="I435" s="83"/>
      <c r="J435" s="83"/>
      <c r="K435" s="83"/>
      <c r="L435" s="83"/>
      <c r="M435" s="83"/>
      <c r="N435" s="83"/>
      <c r="O435" s="83"/>
      <c r="P435" s="83"/>
      <c r="Q435" s="83"/>
    </row>
    <row r="436" spans="1:17" s="84" customFormat="1" x14ac:dyDescent="0.25">
      <c r="A436" s="81" t="s">
        <v>1904</v>
      </c>
      <c r="B436" s="82" t="s">
        <v>921</v>
      </c>
      <c r="C436" s="82" t="s">
        <v>1905</v>
      </c>
      <c r="D436" s="82" t="s">
        <v>901</v>
      </c>
      <c r="E436" s="82" t="s">
        <v>1801</v>
      </c>
      <c r="F436" s="82">
        <v>2017</v>
      </c>
      <c r="G436" s="82" t="s">
        <v>1906</v>
      </c>
      <c r="H436" s="82" t="s">
        <v>1907</v>
      </c>
      <c r="I436" s="83"/>
      <c r="J436" s="83"/>
      <c r="K436" s="83"/>
      <c r="L436" s="83"/>
      <c r="M436" s="83"/>
      <c r="N436" s="83"/>
      <c r="O436" s="83"/>
      <c r="P436" s="83"/>
      <c r="Q436" s="83"/>
    </row>
    <row r="437" spans="1:17" s="84" customFormat="1" x14ac:dyDescent="0.25">
      <c r="A437" s="81" t="s">
        <v>1908</v>
      </c>
      <c r="B437" s="82" t="s">
        <v>921</v>
      </c>
      <c r="C437" s="82" t="s">
        <v>1909</v>
      </c>
      <c r="D437" s="82" t="s">
        <v>901</v>
      </c>
      <c r="E437" s="82" t="s">
        <v>1801</v>
      </c>
      <c r="F437" s="82">
        <v>2017</v>
      </c>
      <c r="G437" s="82" t="s">
        <v>1910</v>
      </c>
      <c r="H437" s="82" t="s">
        <v>1911</v>
      </c>
      <c r="I437" s="83"/>
      <c r="J437" s="83"/>
      <c r="K437" s="83"/>
      <c r="L437" s="83"/>
      <c r="M437" s="83"/>
      <c r="N437" s="83"/>
      <c r="O437" s="83"/>
      <c r="P437" s="83"/>
      <c r="Q437" s="83"/>
    </row>
    <row r="438" spans="1:17" s="84" customFormat="1" x14ac:dyDescent="0.25">
      <c r="A438" s="81" t="s">
        <v>1912</v>
      </c>
      <c r="B438" s="82" t="s">
        <v>921</v>
      </c>
      <c r="C438" s="82" t="s">
        <v>1913</v>
      </c>
      <c r="D438" s="82" t="s">
        <v>901</v>
      </c>
      <c r="E438" s="82" t="s">
        <v>1801</v>
      </c>
      <c r="F438" s="82">
        <v>2017</v>
      </c>
      <c r="G438" s="82" t="s">
        <v>1914</v>
      </c>
      <c r="H438" s="82" t="s">
        <v>1915</v>
      </c>
      <c r="I438" s="83"/>
      <c r="J438" s="83"/>
      <c r="K438" s="83"/>
      <c r="L438" s="83"/>
      <c r="M438" s="83"/>
      <c r="N438" s="83"/>
      <c r="O438" s="83"/>
      <c r="P438" s="83"/>
      <c r="Q438" s="83"/>
    </row>
    <row r="439" spans="1:17" s="84" customFormat="1" x14ac:dyDescent="0.25">
      <c r="A439" s="81" t="s">
        <v>1916</v>
      </c>
      <c r="B439" s="82" t="s">
        <v>921</v>
      </c>
      <c r="C439" s="82" t="s">
        <v>1917</v>
      </c>
      <c r="D439" s="82" t="s">
        <v>901</v>
      </c>
      <c r="E439" s="82" t="s">
        <v>1801</v>
      </c>
      <c r="F439" s="82">
        <v>2017</v>
      </c>
      <c r="G439" s="82" t="s">
        <v>1918</v>
      </c>
      <c r="H439" s="82" t="s">
        <v>1919</v>
      </c>
      <c r="I439" s="83"/>
      <c r="J439" s="83"/>
      <c r="K439" s="83"/>
      <c r="L439" s="83"/>
      <c r="M439" s="83"/>
      <c r="N439" s="83"/>
      <c r="O439" s="83"/>
      <c r="P439" s="83"/>
      <c r="Q439" s="83"/>
    </row>
    <row r="440" spans="1:17" s="84" customFormat="1" x14ac:dyDescent="0.25">
      <c r="A440" s="81" t="s">
        <v>1920</v>
      </c>
      <c r="B440" s="82" t="s">
        <v>921</v>
      </c>
      <c r="C440" s="82" t="s">
        <v>1921</v>
      </c>
      <c r="D440" s="82" t="s">
        <v>901</v>
      </c>
      <c r="E440" s="82" t="s">
        <v>1801</v>
      </c>
      <c r="F440" s="82">
        <v>2017</v>
      </c>
      <c r="G440" s="82" t="s">
        <v>1922</v>
      </c>
      <c r="H440" s="82" t="s">
        <v>1923</v>
      </c>
      <c r="I440" s="83"/>
      <c r="J440" s="83"/>
      <c r="K440" s="83"/>
      <c r="L440" s="83"/>
      <c r="M440" s="83"/>
      <c r="N440" s="83"/>
      <c r="O440" s="83"/>
      <c r="P440" s="83"/>
      <c r="Q440" s="83"/>
    </row>
    <row r="441" spans="1:17" s="84" customFormat="1" x14ac:dyDescent="0.25">
      <c r="A441" s="81" t="s">
        <v>1924</v>
      </c>
      <c r="B441" s="82" t="s">
        <v>921</v>
      </c>
      <c r="C441" s="82" t="s">
        <v>1925</v>
      </c>
      <c r="D441" s="82" t="s">
        <v>901</v>
      </c>
      <c r="E441" s="82" t="s">
        <v>1801</v>
      </c>
      <c r="F441" s="82">
        <v>2017</v>
      </c>
      <c r="G441" s="82" t="s">
        <v>1926</v>
      </c>
      <c r="H441" s="82" t="s">
        <v>1927</v>
      </c>
      <c r="I441" s="83"/>
      <c r="J441" s="83"/>
      <c r="K441" s="83"/>
      <c r="L441" s="83"/>
      <c r="M441" s="83"/>
      <c r="N441" s="83"/>
      <c r="O441" s="83"/>
      <c r="P441" s="83"/>
      <c r="Q441" s="83"/>
    </row>
    <row r="442" spans="1:17" s="84" customFormat="1" x14ac:dyDescent="0.25">
      <c r="A442" s="81" t="s">
        <v>1928</v>
      </c>
      <c r="B442" s="82" t="s">
        <v>921</v>
      </c>
      <c r="C442" s="82" t="s">
        <v>1929</v>
      </c>
      <c r="D442" s="82" t="s">
        <v>1408</v>
      </c>
      <c r="E442" s="82" t="s">
        <v>1478</v>
      </c>
      <c r="F442" s="82">
        <v>2016</v>
      </c>
      <c r="G442" s="82" t="s">
        <v>1930</v>
      </c>
      <c r="H442" s="82" t="s">
        <v>1931</v>
      </c>
      <c r="I442" s="83"/>
      <c r="J442" s="83"/>
      <c r="K442" s="83"/>
      <c r="L442" s="83"/>
      <c r="M442" s="83"/>
      <c r="N442" s="83"/>
      <c r="O442" s="83"/>
      <c r="P442" s="83"/>
      <c r="Q442" s="83"/>
    </row>
    <row r="443" spans="1:17" s="84" customFormat="1" x14ac:dyDescent="0.25">
      <c r="A443" s="81" t="s">
        <v>1932</v>
      </c>
      <c r="B443" s="82" t="s">
        <v>921</v>
      </c>
      <c r="C443" s="82" t="s">
        <v>1933</v>
      </c>
      <c r="D443" s="82" t="s">
        <v>1408</v>
      </c>
      <c r="E443" s="82" t="s">
        <v>1478</v>
      </c>
      <c r="F443" s="82">
        <v>2016</v>
      </c>
      <c r="G443" s="82" t="s">
        <v>1934</v>
      </c>
      <c r="H443" s="82" t="s">
        <v>1935</v>
      </c>
      <c r="I443" s="83"/>
      <c r="J443" s="83"/>
      <c r="K443" s="83"/>
      <c r="L443" s="83"/>
      <c r="M443" s="83"/>
      <c r="N443" s="83"/>
      <c r="O443" s="83"/>
      <c r="P443" s="83"/>
      <c r="Q443" s="83"/>
    </row>
    <row r="444" spans="1:17" s="84" customFormat="1" x14ac:dyDescent="0.25">
      <c r="A444" s="81" t="s">
        <v>1936</v>
      </c>
      <c r="B444" s="82" t="s">
        <v>921</v>
      </c>
      <c r="C444" s="82" t="s">
        <v>1937</v>
      </c>
      <c r="D444" s="82" t="s">
        <v>1408</v>
      </c>
      <c r="E444" s="82" t="s">
        <v>1478</v>
      </c>
      <c r="F444" s="82">
        <v>2016</v>
      </c>
      <c r="G444" s="82" t="s">
        <v>1938</v>
      </c>
      <c r="H444" s="82" t="s">
        <v>1939</v>
      </c>
      <c r="I444" s="83"/>
      <c r="J444" s="83"/>
      <c r="K444" s="83"/>
      <c r="L444" s="83"/>
      <c r="M444" s="83"/>
      <c r="N444" s="83"/>
      <c r="O444" s="83"/>
      <c r="P444" s="83"/>
      <c r="Q444" s="83"/>
    </row>
    <row r="445" spans="1:17" s="84" customFormat="1" x14ac:dyDescent="0.25">
      <c r="A445" s="81" t="s">
        <v>1940</v>
      </c>
      <c r="B445" s="82" t="s">
        <v>921</v>
      </c>
      <c r="C445" s="82" t="s">
        <v>1941</v>
      </c>
      <c r="D445" s="82" t="s">
        <v>901</v>
      </c>
      <c r="E445" s="82" t="s">
        <v>1801</v>
      </c>
      <c r="F445" s="82">
        <v>2018</v>
      </c>
      <c r="G445" s="82" t="s">
        <v>1942</v>
      </c>
      <c r="H445" s="82" t="s">
        <v>1943</v>
      </c>
      <c r="I445" s="83"/>
      <c r="J445" s="83"/>
      <c r="K445" s="83"/>
      <c r="L445" s="83"/>
      <c r="M445" s="83"/>
      <c r="N445" s="83"/>
      <c r="O445" s="83"/>
      <c r="P445" s="83"/>
      <c r="Q445" s="83"/>
    </row>
    <row r="446" spans="1:17" s="84" customFormat="1" x14ac:dyDescent="0.25">
      <c r="A446" s="81" t="s">
        <v>1944</v>
      </c>
      <c r="B446" s="82" t="s">
        <v>921</v>
      </c>
      <c r="C446" s="82" t="s">
        <v>1945</v>
      </c>
      <c r="D446" s="82" t="s">
        <v>901</v>
      </c>
      <c r="E446" s="82" t="s">
        <v>1801</v>
      </c>
      <c r="F446" s="82">
        <v>2018</v>
      </c>
      <c r="G446" s="82" t="s">
        <v>1946</v>
      </c>
      <c r="H446" s="82" t="s">
        <v>1947</v>
      </c>
      <c r="I446" s="83"/>
      <c r="J446" s="83"/>
      <c r="K446" s="83"/>
      <c r="L446" s="83"/>
      <c r="M446" s="83"/>
      <c r="N446" s="83"/>
      <c r="O446" s="83"/>
      <c r="P446" s="83"/>
      <c r="Q446" s="83"/>
    </row>
    <row r="447" spans="1:17" s="84" customFormat="1" x14ac:dyDescent="0.25">
      <c r="A447" s="81" t="s">
        <v>1948</v>
      </c>
      <c r="B447" s="82" t="s">
        <v>921</v>
      </c>
      <c r="C447" s="82" t="s">
        <v>1949</v>
      </c>
      <c r="D447" s="82" t="s">
        <v>901</v>
      </c>
      <c r="E447" s="82" t="s">
        <v>1801</v>
      </c>
      <c r="F447" s="82">
        <v>2018</v>
      </c>
      <c r="G447" s="82" t="s">
        <v>1950</v>
      </c>
      <c r="H447" s="82" t="s">
        <v>1951</v>
      </c>
      <c r="I447" s="83"/>
      <c r="J447" s="83"/>
      <c r="K447" s="83"/>
      <c r="L447" s="83"/>
      <c r="M447" s="83"/>
      <c r="N447" s="83"/>
      <c r="O447" s="83"/>
      <c r="P447" s="83"/>
      <c r="Q447" s="83"/>
    </row>
    <row r="448" spans="1:17" s="84" customFormat="1" x14ac:dyDescent="0.25">
      <c r="A448" s="81" t="s">
        <v>1952</v>
      </c>
      <c r="B448" s="82" t="s">
        <v>921</v>
      </c>
      <c r="C448" s="82" t="s">
        <v>1953</v>
      </c>
      <c r="D448" s="82" t="s">
        <v>901</v>
      </c>
      <c r="E448" s="82" t="s">
        <v>1801</v>
      </c>
      <c r="F448" s="82">
        <v>2018</v>
      </c>
      <c r="G448" s="82" t="s">
        <v>1954</v>
      </c>
      <c r="H448" s="82" t="s">
        <v>1955</v>
      </c>
      <c r="I448" s="83"/>
      <c r="J448" s="83"/>
      <c r="K448" s="83"/>
      <c r="L448" s="83"/>
      <c r="M448" s="83"/>
      <c r="N448" s="83"/>
      <c r="O448" s="83"/>
      <c r="P448" s="83"/>
      <c r="Q448" s="83"/>
    </row>
    <row r="449" spans="1:17" s="84" customFormat="1" x14ac:dyDescent="0.25">
      <c r="A449" s="81" t="s">
        <v>1956</v>
      </c>
      <c r="B449" s="82" t="s">
        <v>921</v>
      </c>
      <c r="C449" s="82" t="s">
        <v>1957</v>
      </c>
      <c r="D449" s="82" t="s">
        <v>901</v>
      </c>
      <c r="E449" s="82" t="s">
        <v>1801</v>
      </c>
      <c r="F449" s="82">
        <v>2018</v>
      </c>
      <c r="G449" s="82" t="s">
        <v>1958</v>
      </c>
      <c r="H449" s="82" t="s">
        <v>1959</v>
      </c>
      <c r="I449" s="83"/>
      <c r="J449" s="83"/>
      <c r="K449" s="83"/>
      <c r="L449" s="83"/>
      <c r="M449" s="83"/>
      <c r="N449" s="83"/>
      <c r="O449" s="83"/>
      <c r="P449" s="83"/>
      <c r="Q449" s="83"/>
    </row>
    <row r="450" spans="1:17" s="84" customFormat="1" x14ac:dyDescent="0.25">
      <c r="A450" s="81" t="s">
        <v>1960</v>
      </c>
      <c r="B450" s="82" t="s">
        <v>921</v>
      </c>
      <c r="C450" s="82" t="s">
        <v>1961</v>
      </c>
      <c r="D450" s="82" t="s">
        <v>901</v>
      </c>
      <c r="E450" s="82" t="s">
        <v>1801</v>
      </c>
      <c r="F450" s="82">
        <v>2018</v>
      </c>
      <c r="G450" s="82" t="s">
        <v>1962</v>
      </c>
      <c r="H450" s="82" t="s">
        <v>1963</v>
      </c>
      <c r="I450" s="83"/>
      <c r="J450" s="83"/>
      <c r="K450" s="83"/>
      <c r="L450" s="83"/>
      <c r="M450" s="83"/>
      <c r="N450" s="83"/>
      <c r="O450" s="83"/>
      <c r="P450" s="83"/>
      <c r="Q450" s="83"/>
    </row>
    <row r="451" spans="1:17" s="84" customFormat="1" x14ac:dyDescent="0.25">
      <c r="A451" s="81" t="s">
        <v>1964</v>
      </c>
      <c r="B451" s="82" t="s">
        <v>921</v>
      </c>
      <c r="C451" s="82" t="s">
        <v>1965</v>
      </c>
      <c r="D451" s="82" t="s">
        <v>901</v>
      </c>
      <c r="E451" s="82" t="s">
        <v>1801</v>
      </c>
      <c r="F451" s="82">
        <v>2018</v>
      </c>
      <c r="G451" s="82" t="s">
        <v>1966</v>
      </c>
      <c r="H451" s="82" t="s">
        <v>1967</v>
      </c>
      <c r="I451" s="83"/>
      <c r="J451" s="83"/>
      <c r="K451" s="83"/>
      <c r="L451" s="83"/>
      <c r="M451" s="83"/>
      <c r="N451" s="83"/>
      <c r="O451" s="83"/>
      <c r="P451" s="83"/>
      <c r="Q451" s="83"/>
    </row>
    <row r="452" spans="1:17" s="84" customFormat="1" x14ac:dyDescent="0.25">
      <c r="A452" s="81" t="s">
        <v>1968</v>
      </c>
      <c r="B452" s="82" t="s">
        <v>921</v>
      </c>
      <c r="C452" s="82" t="s">
        <v>1969</v>
      </c>
      <c r="D452" s="82" t="s">
        <v>901</v>
      </c>
      <c r="E452" s="82" t="s">
        <v>1801</v>
      </c>
      <c r="F452" s="82">
        <v>2018</v>
      </c>
      <c r="G452" s="82" t="s">
        <v>1970</v>
      </c>
      <c r="H452" s="82" t="s">
        <v>1971</v>
      </c>
      <c r="I452" s="83"/>
      <c r="J452" s="83"/>
      <c r="K452" s="83"/>
      <c r="L452" s="83"/>
      <c r="M452" s="83"/>
      <c r="N452" s="83"/>
      <c r="O452" s="83"/>
      <c r="P452" s="83"/>
      <c r="Q452" s="83"/>
    </row>
    <row r="453" spans="1:17" s="84" customFormat="1" x14ac:dyDescent="0.25">
      <c r="A453" s="81" t="s">
        <v>1972</v>
      </c>
      <c r="B453" s="82" t="s">
        <v>921</v>
      </c>
      <c r="C453" s="82" t="s">
        <v>1973</v>
      </c>
      <c r="D453" s="82" t="s">
        <v>901</v>
      </c>
      <c r="E453" s="82" t="s">
        <v>1801</v>
      </c>
      <c r="F453" s="82">
        <v>2018</v>
      </c>
      <c r="G453" s="82" t="s">
        <v>1974</v>
      </c>
      <c r="H453" s="82" t="s">
        <v>1975</v>
      </c>
      <c r="I453" s="83"/>
      <c r="J453" s="83"/>
      <c r="K453" s="83"/>
      <c r="L453" s="83"/>
      <c r="M453" s="83"/>
      <c r="N453" s="83"/>
      <c r="O453" s="83"/>
      <c r="P453" s="83"/>
      <c r="Q453" s="83"/>
    </row>
    <row r="454" spans="1:17" s="84" customFormat="1" x14ac:dyDescent="0.25">
      <c r="A454" s="81" t="s">
        <v>1976</v>
      </c>
      <c r="B454" s="82" t="s">
        <v>921</v>
      </c>
      <c r="C454" s="82" t="s">
        <v>1977</v>
      </c>
      <c r="D454" s="82" t="s">
        <v>901</v>
      </c>
      <c r="E454" s="82" t="s">
        <v>950</v>
      </c>
      <c r="F454" s="82">
        <v>2018</v>
      </c>
      <c r="G454" s="82" t="s">
        <v>1978</v>
      </c>
      <c r="H454" s="82" t="s">
        <v>1979</v>
      </c>
      <c r="I454" s="83"/>
      <c r="J454" s="83"/>
      <c r="K454" s="83"/>
      <c r="L454" s="83"/>
      <c r="M454" s="83"/>
      <c r="N454" s="83"/>
      <c r="O454" s="83"/>
      <c r="P454" s="83"/>
      <c r="Q454" s="83"/>
    </row>
    <row r="455" spans="1:17" s="84" customFormat="1" x14ac:dyDescent="0.25">
      <c r="A455" s="81" t="s">
        <v>1980</v>
      </c>
      <c r="B455" s="82" t="s">
        <v>921</v>
      </c>
      <c r="C455" s="82" t="s">
        <v>1981</v>
      </c>
      <c r="D455" s="82" t="s">
        <v>901</v>
      </c>
      <c r="E455" s="82" t="s">
        <v>950</v>
      </c>
      <c r="F455" s="82">
        <v>2018</v>
      </c>
      <c r="G455" s="82" t="s">
        <v>1982</v>
      </c>
      <c r="H455" s="82" t="s">
        <v>1983</v>
      </c>
      <c r="I455" s="83"/>
      <c r="J455" s="83"/>
      <c r="K455" s="83"/>
      <c r="L455" s="83"/>
      <c r="M455" s="83"/>
      <c r="N455" s="83"/>
      <c r="O455" s="83"/>
      <c r="P455" s="83"/>
      <c r="Q455" s="83"/>
    </row>
    <row r="456" spans="1:17" s="84" customFormat="1" x14ac:dyDescent="0.25">
      <c r="A456" s="81" t="s">
        <v>1984</v>
      </c>
      <c r="B456" s="82" t="s">
        <v>921</v>
      </c>
      <c r="C456" s="82" t="s">
        <v>1985</v>
      </c>
      <c r="D456" s="82" t="s">
        <v>901</v>
      </c>
      <c r="E456" s="82" t="s">
        <v>950</v>
      </c>
      <c r="F456" s="82">
        <v>2018</v>
      </c>
      <c r="G456" s="82" t="s">
        <v>1986</v>
      </c>
      <c r="H456" s="82" t="s">
        <v>1987</v>
      </c>
      <c r="I456" s="83"/>
      <c r="J456" s="83"/>
      <c r="K456" s="83"/>
      <c r="L456" s="83"/>
      <c r="M456" s="83"/>
      <c r="N456" s="83"/>
      <c r="O456" s="83"/>
      <c r="P456" s="83"/>
      <c r="Q456" s="83"/>
    </row>
    <row r="457" spans="1:17" s="84" customFormat="1" x14ac:dyDescent="0.25">
      <c r="A457" s="81" t="s">
        <v>1988</v>
      </c>
      <c r="B457" s="82" t="s">
        <v>921</v>
      </c>
      <c r="C457" s="82" t="s">
        <v>1989</v>
      </c>
      <c r="D457" s="82" t="s">
        <v>901</v>
      </c>
      <c r="E457" s="82" t="s">
        <v>950</v>
      </c>
      <c r="F457" s="82">
        <v>2018</v>
      </c>
      <c r="G457" s="82" t="s">
        <v>1990</v>
      </c>
      <c r="H457" s="82" t="s">
        <v>1991</v>
      </c>
      <c r="I457" s="83"/>
      <c r="J457" s="83"/>
      <c r="K457" s="83"/>
      <c r="L457" s="83"/>
      <c r="M457" s="83"/>
      <c r="N457" s="83"/>
      <c r="O457" s="83"/>
      <c r="P457" s="83"/>
      <c r="Q457" s="83"/>
    </row>
    <row r="458" spans="1:17" s="84" customFormat="1" x14ac:dyDescent="0.25">
      <c r="A458" s="81" t="s">
        <v>1992</v>
      </c>
      <c r="B458" s="82" t="s">
        <v>921</v>
      </c>
      <c r="C458" s="82" t="s">
        <v>1993</v>
      </c>
      <c r="D458" s="82" t="s">
        <v>901</v>
      </c>
      <c r="E458" s="82" t="s">
        <v>1994</v>
      </c>
      <c r="F458" s="82">
        <v>2018</v>
      </c>
      <c r="G458" s="82" t="s">
        <v>1995</v>
      </c>
      <c r="H458" s="82" t="s">
        <v>1996</v>
      </c>
      <c r="I458" s="83"/>
      <c r="J458" s="83"/>
      <c r="K458" s="83"/>
      <c r="L458" s="83"/>
      <c r="M458" s="83"/>
      <c r="N458" s="83"/>
      <c r="O458" s="83"/>
      <c r="P458" s="83"/>
      <c r="Q458" s="83"/>
    </row>
    <row r="459" spans="1:17" s="84" customFormat="1" x14ac:dyDescent="0.25">
      <c r="A459" s="81" t="s">
        <v>1997</v>
      </c>
      <c r="B459" s="82" t="s">
        <v>921</v>
      </c>
      <c r="C459" s="82" t="s">
        <v>1998</v>
      </c>
      <c r="D459" s="82" t="s">
        <v>901</v>
      </c>
      <c r="E459" s="82" t="s">
        <v>1801</v>
      </c>
      <c r="F459" s="82">
        <v>2018</v>
      </c>
      <c r="G459" s="82" t="s">
        <v>1999</v>
      </c>
      <c r="H459" s="82" t="s">
        <v>2000</v>
      </c>
      <c r="I459" s="83"/>
      <c r="J459" s="83"/>
      <c r="K459" s="83"/>
      <c r="L459" s="83"/>
      <c r="M459" s="83"/>
      <c r="N459" s="83"/>
      <c r="O459" s="83"/>
      <c r="P459" s="83"/>
      <c r="Q459" s="83"/>
    </row>
    <row r="460" spans="1:17" s="84" customFormat="1" x14ac:dyDescent="0.25">
      <c r="A460" s="81" t="s">
        <v>2001</v>
      </c>
      <c r="B460" s="82" t="s">
        <v>921</v>
      </c>
      <c r="C460" s="82" t="s">
        <v>2002</v>
      </c>
      <c r="D460" s="82" t="s">
        <v>901</v>
      </c>
      <c r="E460" s="82" t="s">
        <v>1994</v>
      </c>
      <c r="F460" s="82">
        <v>2018</v>
      </c>
      <c r="G460" s="82" t="s">
        <v>2003</v>
      </c>
      <c r="H460" s="82" t="s">
        <v>2004</v>
      </c>
      <c r="I460" s="83"/>
      <c r="J460" s="83"/>
      <c r="K460" s="83"/>
      <c r="L460" s="83"/>
      <c r="M460" s="83"/>
      <c r="N460" s="83"/>
      <c r="O460" s="83"/>
      <c r="P460" s="83"/>
      <c r="Q460" s="83"/>
    </row>
    <row r="461" spans="1:17" s="84" customFormat="1" x14ac:dyDescent="0.25">
      <c r="A461" s="81" t="s">
        <v>2005</v>
      </c>
      <c r="B461" s="82" t="s">
        <v>921</v>
      </c>
      <c r="C461" s="82" t="s">
        <v>2006</v>
      </c>
      <c r="D461" s="82" t="s">
        <v>901</v>
      </c>
      <c r="E461" s="82" t="s">
        <v>950</v>
      </c>
      <c r="F461" s="82">
        <v>2018</v>
      </c>
      <c r="G461" s="82" t="s">
        <v>2007</v>
      </c>
      <c r="H461" s="82" t="s">
        <v>2008</v>
      </c>
      <c r="I461" s="83"/>
      <c r="J461" s="83"/>
      <c r="K461" s="83"/>
      <c r="L461" s="83"/>
      <c r="M461" s="83"/>
      <c r="N461" s="83"/>
      <c r="O461" s="83"/>
      <c r="P461" s="83"/>
      <c r="Q461" s="83"/>
    </row>
    <row r="462" spans="1:17" s="84" customFormat="1" x14ac:dyDescent="0.25">
      <c r="A462" s="81" t="s">
        <v>2009</v>
      </c>
      <c r="B462" s="82" t="s">
        <v>921</v>
      </c>
      <c r="C462" s="82" t="s">
        <v>2010</v>
      </c>
      <c r="D462" s="82" t="s">
        <v>901</v>
      </c>
      <c r="E462" s="82" t="s">
        <v>950</v>
      </c>
      <c r="F462" s="82">
        <v>2018</v>
      </c>
      <c r="G462" s="82" t="s">
        <v>2011</v>
      </c>
      <c r="H462" s="82" t="s">
        <v>2012</v>
      </c>
      <c r="I462" s="83"/>
      <c r="J462" s="83"/>
      <c r="K462" s="83"/>
      <c r="L462" s="83"/>
      <c r="M462" s="83"/>
      <c r="N462" s="83"/>
      <c r="O462" s="83"/>
      <c r="P462" s="83"/>
      <c r="Q462" s="83"/>
    </row>
    <row r="463" spans="1:17" s="84" customFormat="1" x14ac:dyDescent="0.25">
      <c r="A463" s="81" t="s">
        <v>2013</v>
      </c>
      <c r="B463" s="82" t="s">
        <v>921</v>
      </c>
      <c r="C463" s="82" t="s">
        <v>2014</v>
      </c>
      <c r="D463" s="82" t="s">
        <v>901</v>
      </c>
      <c r="E463" s="82" t="s">
        <v>950</v>
      </c>
      <c r="F463" s="82">
        <v>2018</v>
      </c>
      <c r="G463" s="82" t="s">
        <v>2015</v>
      </c>
      <c r="H463" s="82" t="s">
        <v>2016</v>
      </c>
      <c r="I463" s="83"/>
      <c r="J463" s="83"/>
      <c r="K463" s="83"/>
      <c r="L463" s="83"/>
      <c r="M463" s="83"/>
      <c r="N463" s="83"/>
      <c r="O463" s="83"/>
      <c r="P463" s="83"/>
      <c r="Q463" s="83"/>
    </row>
    <row r="464" spans="1:17" s="84" customFormat="1" x14ac:dyDescent="0.25">
      <c r="A464" s="81" t="s">
        <v>2017</v>
      </c>
      <c r="B464" s="82" t="s">
        <v>921</v>
      </c>
      <c r="C464" s="82" t="s">
        <v>2018</v>
      </c>
      <c r="D464" s="82" t="s">
        <v>901</v>
      </c>
      <c r="E464" s="82" t="s">
        <v>950</v>
      </c>
      <c r="F464" s="82">
        <v>2018</v>
      </c>
      <c r="G464" s="82" t="s">
        <v>2019</v>
      </c>
      <c r="H464" s="82" t="s">
        <v>2020</v>
      </c>
      <c r="I464" s="83"/>
      <c r="J464" s="83"/>
      <c r="K464" s="83"/>
      <c r="L464" s="83"/>
      <c r="M464" s="83"/>
      <c r="N464" s="83"/>
      <c r="O464" s="83"/>
      <c r="P464" s="83"/>
      <c r="Q464" s="83"/>
    </row>
    <row r="465" spans="1:17" s="84" customFormat="1" x14ac:dyDescent="0.25">
      <c r="A465" s="81" t="s">
        <v>2021</v>
      </c>
      <c r="B465" s="82" t="s">
        <v>921</v>
      </c>
      <c r="C465" s="82" t="s">
        <v>2022</v>
      </c>
      <c r="D465" s="82" t="s">
        <v>901</v>
      </c>
      <c r="E465" s="82" t="s">
        <v>950</v>
      </c>
      <c r="F465" s="82">
        <v>2018</v>
      </c>
      <c r="G465" s="82" t="s">
        <v>2023</v>
      </c>
      <c r="H465" s="82" t="s">
        <v>2024</v>
      </c>
      <c r="I465" s="83"/>
      <c r="J465" s="83"/>
      <c r="K465" s="83"/>
      <c r="L465" s="83"/>
      <c r="M465" s="83"/>
      <c r="N465" s="83"/>
      <c r="O465" s="83"/>
      <c r="P465" s="83"/>
      <c r="Q465" s="83"/>
    </row>
    <row r="466" spans="1:17" s="84" customFormat="1" x14ac:dyDescent="0.25">
      <c r="A466" s="81" t="s">
        <v>2025</v>
      </c>
      <c r="B466" s="82" t="s">
        <v>921</v>
      </c>
      <c r="C466" s="82" t="s">
        <v>2026</v>
      </c>
      <c r="D466" s="82" t="s">
        <v>2027</v>
      </c>
      <c r="E466" s="82" t="s">
        <v>2028</v>
      </c>
      <c r="F466" s="82">
        <v>2019</v>
      </c>
      <c r="G466" s="82" t="s">
        <v>2029</v>
      </c>
      <c r="H466" s="82" t="s">
        <v>2030</v>
      </c>
      <c r="I466" s="83"/>
      <c r="J466" s="83"/>
      <c r="K466" s="83"/>
      <c r="L466" s="83"/>
      <c r="M466" s="83"/>
      <c r="N466" s="83"/>
      <c r="O466" s="83"/>
      <c r="P466" s="83"/>
      <c r="Q466" s="83"/>
    </row>
    <row r="467" spans="1:17" s="84" customFormat="1" x14ac:dyDescent="0.25">
      <c r="A467" s="81" t="s">
        <v>2031</v>
      </c>
      <c r="B467" s="82" t="s">
        <v>921</v>
      </c>
      <c r="C467" s="82" t="s">
        <v>2032</v>
      </c>
      <c r="D467" s="82" t="s">
        <v>2027</v>
      </c>
      <c r="E467" s="82" t="s">
        <v>2028</v>
      </c>
      <c r="F467" s="82">
        <v>2019</v>
      </c>
      <c r="G467" s="82" t="s">
        <v>2033</v>
      </c>
      <c r="H467" s="82" t="s">
        <v>2030</v>
      </c>
      <c r="I467" s="83"/>
      <c r="J467" s="83"/>
      <c r="K467" s="83"/>
      <c r="L467" s="83"/>
      <c r="M467" s="83"/>
      <c r="N467" s="83"/>
      <c r="O467" s="83"/>
      <c r="P467" s="83"/>
      <c r="Q467" s="83"/>
    </row>
    <row r="468" spans="1:17" s="84" customFormat="1" x14ac:dyDescent="0.25">
      <c r="A468" s="81" t="s">
        <v>2034</v>
      </c>
      <c r="B468" s="82" t="s">
        <v>921</v>
      </c>
      <c r="C468" s="82" t="s">
        <v>2035</v>
      </c>
      <c r="D468" s="82" t="s">
        <v>2027</v>
      </c>
      <c r="E468" s="82" t="s">
        <v>2028</v>
      </c>
      <c r="F468" s="82">
        <v>2019</v>
      </c>
      <c r="G468" s="82" t="s">
        <v>2036</v>
      </c>
      <c r="H468" s="82" t="s">
        <v>2037</v>
      </c>
      <c r="I468" s="83"/>
      <c r="J468" s="83"/>
      <c r="K468" s="83"/>
      <c r="L468" s="83"/>
      <c r="M468" s="83"/>
      <c r="N468" s="83"/>
      <c r="O468" s="83"/>
      <c r="P468" s="83"/>
      <c r="Q468" s="83"/>
    </row>
    <row r="469" spans="1:17" s="84" customFormat="1" x14ac:dyDescent="0.25">
      <c r="A469" s="81" t="s">
        <v>2038</v>
      </c>
      <c r="B469" s="82" t="s">
        <v>921</v>
      </c>
      <c r="C469" s="82" t="s">
        <v>2039</v>
      </c>
      <c r="D469" s="82" t="s">
        <v>2040</v>
      </c>
      <c r="E469" s="82" t="s">
        <v>2041</v>
      </c>
      <c r="F469" s="82">
        <v>2020</v>
      </c>
      <c r="G469" s="82" t="s">
        <v>2042</v>
      </c>
      <c r="H469" s="82" t="s">
        <v>2043</v>
      </c>
      <c r="I469" s="83"/>
      <c r="J469" s="83"/>
      <c r="K469" s="83"/>
      <c r="L469" s="83"/>
      <c r="M469" s="83"/>
      <c r="N469" s="83"/>
      <c r="O469" s="83"/>
      <c r="P469" s="83"/>
      <c r="Q469" s="83"/>
    </row>
    <row r="470" spans="1:17" s="84" customFormat="1" x14ac:dyDescent="0.25">
      <c r="A470" s="81" t="s">
        <v>2044</v>
      </c>
      <c r="B470" s="82" t="s">
        <v>921</v>
      </c>
      <c r="C470" s="82" t="s">
        <v>2045</v>
      </c>
      <c r="D470" s="82" t="s">
        <v>2040</v>
      </c>
      <c r="E470" s="82" t="s">
        <v>2041</v>
      </c>
      <c r="F470" s="82">
        <v>2020</v>
      </c>
      <c r="G470" s="82" t="s">
        <v>2046</v>
      </c>
      <c r="H470" s="82" t="s">
        <v>2047</v>
      </c>
      <c r="I470" s="83"/>
      <c r="J470" s="83"/>
      <c r="K470" s="83"/>
      <c r="L470" s="83"/>
      <c r="M470" s="83"/>
      <c r="N470" s="83"/>
      <c r="O470" s="83"/>
      <c r="P470" s="83"/>
      <c r="Q470" s="83"/>
    </row>
    <row r="471" spans="1:17" s="84" customFormat="1" x14ac:dyDescent="0.25">
      <c r="A471" s="81" t="s">
        <v>2048</v>
      </c>
      <c r="B471" s="82" t="s">
        <v>921</v>
      </c>
      <c r="C471" s="82" t="s">
        <v>2049</v>
      </c>
      <c r="D471" s="82" t="s">
        <v>2040</v>
      </c>
      <c r="E471" s="82" t="s">
        <v>2041</v>
      </c>
      <c r="F471" s="82">
        <v>2020</v>
      </c>
      <c r="G471" s="82" t="s">
        <v>2050</v>
      </c>
      <c r="H471" s="82" t="s">
        <v>2051</v>
      </c>
      <c r="I471" s="83"/>
      <c r="J471" s="83"/>
      <c r="K471" s="83"/>
      <c r="L471" s="83"/>
      <c r="M471" s="83"/>
      <c r="N471" s="83"/>
      <c r="O471" s="83"/>
      <c r="P471" s="83"/>
      <c r="Q471" s="83"/>
    </row>
    <row r="472" spans="1:17" s="84" customFormat="1" x14ac:dyDescent="0.25">
      <c r="A472" s="81" t="s">
        <v>2052</v>
      </c>
      <c r="B472" s="82" t="s">
        <v>921</v>
      </c>
      <c r="C472" s="82" t="s">
        <v>2053</v>
      </c>
      <c r="D472" s="82" t="s">
        <v>2040</v>
      </c>
      <c r="E472" s="82" t="s">
        <v>2041</v>
      </c>
      <c r="F472" s="82">
        <v>2020</v>
      </c>
      <c r="G472" s="82" t="s">
        <v>2054</v>
      </c>
      <c r="H472" s="82" t="s">
        <v>2055</v>
      </c>
      <c r="I472" s="83"/>
      <c r="J472" s="83"/>
      <c r="K472" s="83"/>
      <c r="L472" s="83"/>
      <c r="M472" s="83"/>
      <c r="N472" s="83"/>
      <c r="O472" s="83"/>
      <c r="P472" s="83"/>
      <c r="Q472" s="83"/>
    </row>
    <row r="473" spans="1:17" s="84" customFormat="1" x14ac:dyDescent="0.25">
      <c r="A473" s="81" t="s">
        <v>2056</v>
      </c>
      <c r="B473" s="82" t="s">
        <v>921</v>
      </c>
      <c r="C473" s="82" t="s">
        <v>2057</v>
      </c>
      <c r="D473" s="82" t="s">
        <v>2040</v>
      </c>
      <c r="E473" s="82" t="s">
        <v>2041</v>
      </c>
      <c r="F473" s="82">
        <v>2020</v>
      </c>
      <c r="G473" s="82" t="s">
        <v>2058</v>
      </c>
      <c r="H473" s="82" t="s">
        <v>2059</v>
      </c>
      <c r="I473" s="83"/>
      <c r="J473" s="83"/>
      <c r="K473" s="83"/>
      <c r="L473" s="83"/>
      <c r="M473" s="83"/>
      <c r="N473" s="83"/>
      <c r="O473" s="83"/>
      <c r="P473" s="83"/>
      <c r="Q473" s="83"/>
    </row>
    <row r="474" spans="1:17" s="84" customFormat="1" x14ac:dyDescent="0.25">
      <c r="A474" s="81" t="s">
        <v>2060</v>
      </c>
      <c r="B474" s="82" t="s">
        <v>921</v>
      </c>
      <c r="C474" s="82" t="s">
        <v>2061</v>
      </c>
      <c r="D474" s="82" t="s">
        <v>2040</v>
      </c>
      <c r="E474" s="82" t="s">
        <v>2041</v>
      </c>
      <c r="F474" s="82">
        <v>2020</v>
      </c>
      <c r="G474" s="82" t="s">
        <v>2062</v>
      </c>
      <c r="H474" s="82" t="s">
        <v>2063</v>
      </c>
      <c r="I474" s="83"/>
      <c r="J474" s="83"/>
      <c r="K474" s="83"/>
      <c r="L474" s="83"/>
      <c r="M474" s="83"/>
      <c r="N474" s="83"/>
      <c r="O474" s="83"/>
      <c r="P474" s="83"/>
      <c r="Q474" s="83"/>
    </row>
    <row r="475" spans="1:17" s="84" customFormat="1" x14ac:dyDescent="0.25">
      <c r="A475" s="81" t="s">
        <v>2064</v>
      </c>
      <c r="B475" s="82" t="s">
        <v>921</v>
      </c>
      <c r="C475" s="82" t="s">
        <v>2065</v>
      </c>
      <c r="D475" s="82" t="s">
        <v>2040</v>
      </c>
      <c r="E475" s="82" t="s">
        <v>2041</v>
      </c>
      <c r="F475" s="82">
        <v>2020</v>
      </c>
      <c r="G475" s="82" t="s">
        <v>2066</v>
      </c>
      <c r="H475" s="82" t="s">
        <v>2067</v>
      </c>
      <c r="I475" s="83"/>
      <c r="J475" s="83"/>
      <c r="K475" s="83"/>
      <c r="L475" s="83"/>
      <c r="M475" s="83"/>
      <c r="N475" s="83"/>
      <c r="O475" s="83"/>
      <c r="P475" s="83"/>
      <c r="Q475" s="83"/>
    </row>
    <row r="476" spans="1:17" s="84" customFormat="1" x14ac:dyDescent="0.25">
      <c r="A476" s="81" t="s">
        <v>2068</v>
      </c>
      <c r="B476" s="82" t="s">
        <v>921</v>
      </c>
      <c r="C476" s="82" t="s">
        <v>2069</v>
      </c>
      <c r="D476" s="82" t="s">
        <v>2040</v>
      </c>
      <c r="E476" s="82" t="s">
        <v>2041</v>
      </c>
      <c r="F476" s="82">
        <v>2020</v>
      </c>
      <c r="G476" s="82" t="s">
        <v>2070</v>
      </c>
      <c r="H476" s="82" t="s">
        <v>2071</v>
      </c>
      <c r="I476" s="83"/>
      <c r="J476" s="83"/>
      <c r="K476" s="83"/>
      <c r="L476" s="83"/>
      <c r="M476" s="83"/>
      <c r="N476" s="83"/>
      <c r="O476" s="83"/>
      <c r="P476" s="83"/>
      <c r="Q476" s="83"/>
    </row>
    <row r="477" spans="1:17" s="84" customFormat="1" x14ac:dyDescent="0.25">
      <c r="A477" s="81" t="s">
        <v>2072</v>
      </c>
      <c r="B477" s="82" t="s">
        <v>921</v>
      </c>
      <c r="C477" s="82" t="s">
        <v>2073</v>
      </c>
      <c r="D477" s="82" t="s">
        <v>2040</v>
      </c>
      <c r="E477" s="82" t="s">
        <v>2041</v>
      </c>
      <c r="F477" s="82">
        <v>2020</v>
      </c>
      <c r="G477" s="82" t="s">
        <v>2074</v>
      </c>
      <c r="H477" s="82" t="s">
        <v>2075</v>
      </c>
      <c r="I477" s="83"/>
      <c r="J477" s="83"/>
      <c r="K477" s="83"/>
      <c r="L477" s="83"/>
      <c r="M477" s="83"/>
      <c r="N477" s="83"/>
      <c r="O477" s="83"/>
      <c r="P477" s="83"/>
      <c r="Q477" s="83"/>
    </row>
    <row r="478" spans="1:17" s="84" customFormat="1" x14ac:dyDescent="0.25">
      <c r="A478" s="81" t="s">
        <v>2076</v>
      </c>
      <c r="B478" s="82" t="s">
        <v>921</v>
      </c>
      <c r="C478" s="82" t="s">
        <v>2077</v>
      </c>
      <c r="D478" s="82" t="s">
        <v>2040</v>
      </c>
      <c r="E478" s="82" t="s">
        <v>2041</v>
      </c>
      <c r="F478" s="82">
        <v>2020</v>
      </c>
      <c r="G478" s="82" t="s">
        <v>2078</v>
      </c>
      <c r="H478" s="82" t="s">
        <v>2079</v>
      </c>
      <c r="I478" s="83"/>
      <c r="J478" s="83"/>
      <c r="K478" s="83"/>
      <c r="L478" s="83"/>
      <c r="M478" s="83"/>
      <c r="N478" s="83"/>
      <c r="O478" s="83"/>
      <c r="P478" s="83"/>
      <c r="Q478" s="83"/>
    </row>
    <row r="479" spans="1:17" s="84" customFormat="1" x14ac:dyDescent="0.25">
      <c r="A479" s="81" t="s">
        <v>2080</v>
      </c>
      <c r="B479" s="82" t="s">
        <v>921</v>
      </c>
      <c r="C479" s="82" t="s">
        <v>2081</v>
      </c>
      <c r="D479" s="82" t="s">
        <v>2040</v>
      </c>
      <c r="E479" s="82" t="s">
        <v>2041</v>
      </c>
      <c r="F479" s="82">
        <v>2020</v>
      </c>
      <c r="G479" s="82" t="s">
        <v>2082</v>
      </c>
      <c r="H479" s="82" t="s">
        <v>2083</v>
      </c>
      <c r="I479" s="83"/>
      <c r="J479" s="83"/>
      <c r="K479" s="83"/>
      <c r="L479" s="83"/>
      <c r="M479" s="83"/>
      <c r="N479" s="83"/>
      <c r="O479" s="83"/>
      <c r="P479" s="83"/>
      <c r="Q479" s="83"/>
    </row>
    <row r="480" spans="1:17" s="84" customFormat="1" x14ac:dyDescent="0.25">
      <c r="A480" s="81" t="s">
        <v>2084</v>
      </c>
      <c r="B480" s="82" t="s">
        <v>921</v>
      </c>
      <c r="C480" s="82" t="s">
        <v>2085</v>
      </c>
      <c r="D480" s="82" t="s">
        <v>2086</v>
      </c>
      <c r="E480" s="82" t="s">
        <v>2087</v>
      </c>
      <c r="F480" s="82">
        <v>2020</v>
      </c>
      <c r="G480" s="82" t="s">
        <v>2088</v>
      </c>
      <c r="H480" s="82" t="s">
        <v>2089</v>
      </c>
      <c r="I480" s="83"/>
      <c r="J480" s="83"/>
      <c r="K480" s="83"/>
      <c r="L480" s="83"/>
      <c r="M480" s="83"/>
      <c r="N480" s="83"/>
      <c r="O480" s="83"/>
      <c r="P480" s="83"/>
      <c r="Q480" s="83"/>
    </row>
    <row r="481" spans="1:17" s="84" customFormat="1" x14ac:dyDescent="0.25">
      <c r="A481" s="81" t="s">
        <v>2090</v>
      </c>
      <c r="B481" s="82" t="s">
        <v>921</v>
      </c>
      <c r="C481" s="82" t="s">
        <v>2091</v>
      </c>
      <c r="D481" s="82" t="s">
        <v>2086</v>
      </c>
      <c r="E481" s="82" t="s">
        <v>2087</v>
      </c>
      <c r="F481" s="82">
        <v>2020</v>
      </c>
      <c r="G481" s="82" t="s">
        <v>2092</v>
      </c>
      <c r="H481" s="82" t="s">
        <v>2093</v>
      </c>
      <c r="I481" s="83"/>
      <c r="J481" s="83"/>
      <c r="K481" s="83"/>
      <c r="L481" s="83"/>
      <c r="M481" s="83"/>
      <c r="N481" s="83"/>
      <c r="O481" s="83"/>
      <c r="P481" s="83"/>
      <c r="Q481" s="83"/>
    </row>
    <row r="482" spans="1:17" s="84" customFormat="1" x14ac:dyDescent="0.25">
      <c r="A482" s="81" t="s">
        <v>2094</v>
      </c>
      <c r="B482" s="82" t="s">
        <v>921</v>
      </c>
      <c r="C482" s="82" t="s">
        <v>2095</v>
      </c>
      <c r="D482" s="82" t="s">
        <v>2040</v>
      </c>
      <c r="E482" s="82" t="s">
        <v>2041</v>
      </c>
      <c r="F482" s="82">
        <v>2020</v>
      </c>
      <c r="G482" s="82" t="s">
        <v>2096</v>
      </c>
      <c r="H482" s="82" t="s">
        <v>2097</v>
      </c>
      <c r="I482" s="83"/>
      <c r="J482" s="83"/>
      <c r="K482" s="83"/>
      <c r="L482" s="83"/>
      <c r="M482" s="83"/>
      <c r="N482" s="83"/>
      <c r="O482" s="83"/>
      <c r="P482" s="83"/>
      <c r="Q482" s="83"/>
    </row>
    <row r="483" spans="1:17" s="84" customFormat="1" x14ac:dyDescent="0.25">
      <c r="A483" s="81" t="s">
        <v>2098</v>
      </c>
      <c r="B483" s="82" t="s">
        <v>921</v>
      </c>
      <c r="C483" s="82" t="s">
        <v>2099</v>
      </c>
      <c r="D483" s="82" t="s">
        <v>2040</v>
      </c>
      <c r="E483" s="82" t="s">
        <v>2041</v>
      </c>
      <c r="F483" s="82">
        <v>2020</v>
      </c>
      <c r="G483" s="82" t="s">
        <v>2100</v>
      </c>
      <c r="H483" s="82" t="s">
        <v>2101</v>
      </c>
      <c r="I483" s="83"/>
      <c r="J483" s="83"/>
      <c r="K483" s="83"/>
      <c r="L483" s="83"/>
      <c r="M483" s="83"/>
      <c r="N483" s="83"/>
      <c r="O483" s="83"/>
      <c r="P483" s="83"/>
      <c r="Q483" s="83"/>
    </row>
    <row r="484" spans="1:17" s="84" customFormat="1" x14ac:dyDescent="0.25">
      <c r="A484" s="81" t="s">
        <v>2102</v>
      </c>
      <c r="B484" s="82" t="s">
        <v>921</v>
      </c>
      <c r="C484" s="82" t="s">
        <v>2103</v>
      </c>
      <c r="D484" s="82" t="s">
        <v>2040</v>
      </c>
      <c r="E484" s="82" t="s">
        <v>2041</v>
      </c>
      <c r="F484" s="82">
        <v>2020</v>
      </c>
      <c r="G484" s="82" t="s">
        <v>2104</v>
      </c>
      <c r="H484" s="82" t="s">
        <v>2105</v>
      </c>
      <c r="I484" s="83"/>
      <c r="J484" s="83"/>
      <c r="K484" s="83"/>
      <c r="L484" s="83"/>
      <c r="M484" s="83"/>
      <c r="N484" s="83"/>
      <c r="O484" s="83"/>
      <c r="P484" s="83"/>
      <c r="Q484" s="83"/>
    </row>
    <row r="485" spans="1:17" s="84" customFormat="1" x14ac:dyDescent="0.25">
      <c r="A485" s="81" t="s">
        <v>2106</v>
      </c>
      <c r="B485" s="82" t="s">
        <v>921</v>
      </c>
      <c r="C485" s="82" t="s">
        <v>2107</v>
      </c>
      <c r="D485" s="82" t="s">
        <v>2040</v>
      </c>
      <c r="E485" s="82" t="s">
        <v>2041</v>
      </c>
      <c r="F485" s="82">
        <v>2020</v>
      </c>
      <c r="G485" s="82" t="s">
        <v>2108</v>
      </c>
      <c r="H485" s="82" t="s">
        <v>2109</v>
      </c>
      <c r="I485" s="83"/>
      <c r="J485" s="83"/>
      <c r="K485" s="83"/>
      <c r="L485" s="83"/>
      <c r="M485" s="83"/>
      <c r="N485" s="83"/>
      <c r="O485" s="83"/>
      <c r="P485" s="83"/>
      <c r="Q485" s="83"/>
    </row>
    <row r="486" spans="1:17" s="84" customFormat="1" x14ac:dyDescent="0.25">
      <c r="A486" s="81" t="s">
        <v>2110</v>
      </c>
      <c r="B486" s="82" t="s">
        <v>921</v>
      </c>
      <c r="C486" s="82" t="s">
        <v>2111</v>
      </c>
      <c r="D486" s="82" t="s">
        <v>2040</v>
      </c>
      <c r="E486" s="82" t="s">
        <v>2041</v>
      </c>
      <c r="F486" s="82">
        <v>2020</v>
      </c>
      <c r="G486" s="82" t="s">
        <v>2112</v>
      </c>
      <c r="H486" s="82" t="s">
        <v>2113</v>
      </c>
      <c r="I486" s="83"/>
      <c r="J486" s="83"/>
      <c r="K486" s="83"/>
      <c r="L486" s="83"/>
      <c r="M486" s="83"/>
      <c r="N486" s="83"/>
      <c r="O486" s="83"/>
      <c r="P486" s="83"/>
      <c r="Q486" s="83"/>
    </row>
    <row r="487" spans="1:17" s="84" customFormat="1" x14ac:dyDescent="0.25">
      <c r="A487" s="81" t="s">
        <v>2114</v>
      </c>
      <c r="B487" s="82" t="s">
        <v>921</v>
      </c>
      <c r="C487" s="82" t="s">
        <v>2115</v>
      </c>
      <c r="D487" s="82" t="s">
        <v>2040</v>
      </c>
      <c r="E487" s="82" t="s">
        <v>2041</v>
      </c>
      <c r="F487" s="82">
        <v>2020</v>
      </c>
      <c r="G487" s="82" t="s">
        <v>2116</v>
      </c>
      <c r="H487" s="82" t="s">
        <v>2117</v>
      </c>
      <c r="I487" s="83"/>
      <c r="J487" s="83"/>
      <c r="K487" s="83"/>
      <c r="L487" s="83"/>
      <c r="M487" s="83"/>
      <c r="N487" s="83"/>
      <c r="O487" s="83"/>
      <c r="P487" s="83"/>
      <c r="Q487" s="83"/>
    </row>
    <row r="488" spans="1:17" s="84" customFormat="1" x14ac:dyDescent="0.25">
      <c r="A488" s="81" t="s">
        <v>2118</v>
      </c>
      <c r="B488" s="82" t="s">
        <v>921</v>
      </c>
      <c r="C488" s="82" t="s">
        <v>2119</v>
      </c>
      <c r="D488" s="82" t="s">
        <v>2040</v>
      </c>
      <c r="E488" s="82" t="s">
        <v>2041</v>
      </c>
      <c r="F488" s="82">
        <v>2020</v>
      </c>
      <c r="G488" s="82" t="s">
        <v>2120</v>
      </c>
      <c r="H488" s="82" t="s">
        <v>2121</v>
      </c>
      <c r="I488" s="83"/>
      <c r="J488" s="83"/>
      <c r="K488" s="83"/>
      <c r="L488" s="83"/>
      <c r="M488" s="83"/>
      <c r="N488" s="83"/>
      <c r="O488" s="83"/>
      <c r="P488" s="83"/>
      <c r="Q488" s="83"/>
    </row>
    <row r="489" spans="1:17" s="84" customFormat="1" x14ac:dyDescent="0.25">
      <c r="A489" s="81" t="s">
        <v>2122</v>
      </c>
      <c r="B489" s="82" t="s">
        <v>921</v>
      </c>
      <c r="C489" s="82" t="s">
        <v>2123</v>
      </c>
      <c r="D489" s="82" t="s">
        <v>2040</v>
      </c>
      <c r="E489" s="82" t="s">
        <v>2041</v>
      </c>
      <c r="F489" s="82">
        <v>2020</v>
      </c>
      <c r="G489" s="82" t="s">
        <v>2124</v>
      </c>
      <c r="H489" s="82" t="s">
        <v>2125</v>
      </c>
      <c r="I489" s="83"/>
      <c r="J489" s="83"/>
      <c r="K489" s="83"/>
      <c r="L489" s="83"/>
      <c r="M489" s="83"/>
      <c r="N489" s="83"/>
      <c r="O489" s="83"/>
      <c r="P489" s="83"/>
      <c r="Q489" s="83"/>
    </row>
    <row r="490" spans="1:17" s="84" customFormat="1" x14ac:dyDescent="0.25">
      <c r="A490" s="81" t="s">
        <v>2126</v>
      </c>
      <c r="B490" s="82" t="s">
        <v>921</v>
      </c>
      <c r="C490" s="82" t="s">
        <v>2127</v>
      </c>
      <c r="D490" s="82" t="s">
        <v>2040</v>
      </c>
      <c r="E490" s="82" t="s">
        <v>2041</v>
      </c>
      <c r="F490" s="82">
        <v>2020</v>
      </c>
      <c r="G490" s="82" t="s">
        <v>2128</v>
      </c>
      <c r="H490" s="82" t="s">
        <v>2129</v>
      </c>
      <c r="I490" s="83"/>
      <c r="J490" s="83"/>
      <c r="K490" s="83"/>
      <c r="L490" s="83"/>
      <c r="M490" s="83"/>
      <c r="N490" s="83"/>
      <c r="O490" s="83"/>
      <c r="P490" s="83"/>
      <c r="Q490" s="83"/>
    </row>
    <row r="491" spans="1:17" s="84" customFormat="1" x14ac:dyDescent="0.25">
      <c r="A491" s="81" t="s">
        <v>2130</v>
      </c>
      <c r="B491" s="82" t="s">
        <v>921</v>
      </c>
      <c r="C491" s="82" t="s">
        <v>2131</v>
      </c>
      <c r="D491" s="82" t="s">
        <v>2040</v>
      </c>
      <c r="E491" s="82" t="s">
        <v>2041</v>
      </c>
      <c r="F491" s="82">
        <v>2020</v>
      </c>
      <c r="G491" s="82" t="s">
        <v>2132</v>
      </c>
      <c r="H491" s="82" t="s">
        <v>2133</v>
      </c>
      <c r="I491" s="83"/>
      <c r="J491" s="83"/>
      <c r="K491" s="83"/>
      <c r="L491" s="83"/>
      <c r="M491" s="83"/>
      <c r="N491" s="83"/>
      <c r="O491" s="83"/>
      <c r="P491" s="83"/>
      <c r="Q491" s="83"/>
    </row>
    <row r="492" spans="1:17" s="84" customFormat="1" x14ac:dyDescent="0.25">
      <c r="A492" s="81" t="s">
        <v>2134</v>
      </c>
      <c r="B492" s="82" t="s">
        <v>921</v>
      </c>
      <c r="C492" s="82" t="s">
        <v>2135</v>
      </c>
      <c r="D492" s="82" t="s">
        <v>2040</v>
      </c>
      <c r="E492" s="82" t="s">
        <v>2041</v>
      </c>
      <c r="F492" s="82">
        <v>2020</v>
      </c>
      <c r="G492" s="82" t="s">
        <v>2136</v>
      </c>
      <c r="H492" s="82" t="s">
        <v>2137</v>
      </c>
      <c r="I492" s="83"/>
      <c r="J492" s="83"/>
      <c r="K492" s="83"/>
      <c r="L492" s="83"/>
      <c r="M492" s="83"/>
      <c r="N492" s="83"/>
      <c r="O492" s="83"/>
      <c r="P492" s="83"/>
      <c r="Q492" s="83"/>
    </row>
    <row r="493" spans="1:17" s="84" customFormat="1" x14ac:dyDescent="0.25">
      <c r="A493" s="81" t="s">
        <v>2138</v>
      </c>
      <c r="B493" s="82" t="s">
        <v>921</v>
      </c>
      <c r="C493" s="82" t="s">
        <v>2139</v>
      </c>
      <c r="D493" s="82" t="s">
        <v>2040</v>
      </c>
      <c r="E493" s="82" t="s">
        <v>2041</v>
      </c>
      <c r="F493" s="82">
        <v>2020</v>
      </c>
      <c r="G493" s="82" t="s">
        <v>2140</v>
      </c>
      <c r="H493" s="82" t="s">
        <v>2141</v>
      </c>
      <c r="I493" s="83"/>
      <c r="J493" s="83"/>
      <c r="K493" s="83"/>
      <c r="L493" s="83"/>
      <c r="M493" s="83"/>
      <c r="N493" s="83"/>
      <c r="O493" s="83"/>
      <c r="P493" s="83"/>
      <c r="Q493" s="83"/>
    </row>
    <row r="494" spans="1:17" s="84" customFormat="1" x14ac:dyDescent="0.25">
      <c r="A494" s="81" t="s">
        <v>2142</v>
      </c>
      <c r="B494" s="82" t="s">
        <v>921</v>
      </c>
      <c r="C494" s="82" t="s">
        <v>2143</v>
      </c>
      <c r="D494" s="82" t="s">
        <v>2040</v>
      </c>
      <c r="E494" s="82" t="s">
        <v>2041</v>
      </c>
      <c r="F494" s="82">
        <v>2020</v>
      </c>
      <c r="G494" s="82" t="s">
        <v>2144</v>
      </c>
      <c r="H494" s="82" t="s">
        <v>2145</v>
      </c>
      <c r="I494" s="83"/>
      <c r="J494" s="83"/>
      <c r="K494" s="83"/>
      <c r="L494" s="83"/>
      <c r="M494" s="83"/>
      <c r="N494" s="83"/>
      <c r="O494" s="83"/>
      <c r="P494" s="83"/>
      <c r="Q494" s="83"/>
    </row>
    <row r="495" spans="1:17" s="84" customFormat="1" x14ac:dyDescent="0.25">
      <c r="A495" s="81" t="s">
        <v>2146</v>
      </c>
      <c r="B495" s="82" t="s">
        <v>921</v>
      </c>
      <c r="C495" s="82" t="s">
        <v>2147</v>
      </c>
      <c r="D495" s="82" t="s">
        <v>2040</v>
      </c>
      <c r="E495" s="82" t="s">
        <v>2041</v>
      </c>
      <c r="F495" s="82">
        <v>2020</v>
      </c>
      <c r="G495" s="82" t="s">
        <v>2148</v>
      </c>
      <c r="H495" s="82" t="s">
        <v>2149</v>
      </c>
      <c r="I495" s="83"/>
      <c r="J495" s="83"/>
      <c r="K495" s="83"/>
      <c r="L495" s="83"/>
      <c r="M495" s="83"/>
      <c r="N495" s="83"/>
      <c r="O495" s="83"/>
      <c r="P495" s="83"/>
      <c r="Q495" s="83"/>
    </row>
    <row r="496" spans="1:17" s="84" customFormat="1" x14ac:dyDescent="0.25">
      <c r="A496" s="81" t="s">
        <v>2150</v>
      </c>
      <c r="B496" s="82" t="s">
        <v>921</v>
      </c>
      <c r="C496" s="82" t="s">
        <v>2151</v>
      </c>
      <c r="D496" s="82" t="s">
        <v>2040</v>
      </c>
      <c r="E496" s="82" t="s">
        <v>2041</v>
      </c>
      <c r="F496" s="82">
        <v>2020</v>
      </c>
      <c r="G496" s="82" t="s">
        <v>2152</v>
      </c>
      <c r="H496" s="82" t="s">
        <v>2153</v>
      </c>
      <c r="I496" s="83"/>
      <c r="J496" s="83"/>
      <c r="K496" s="83"/>
      <c r="L496" s="83"/>
      <c r="M496" s="83"/>
      <c r="N496" s="83"/>
      <c r="O496" s="83"/>
      <c r="P496" s="83"/>
      <c r="Q496" s="83"/>
    </row>
    <row r="497" spans="1:17" s="84" customFormat="1" x14ac:dyDescent="0.25">
      <c r="A497" s="81" t="s">
        <v>2154</v>
      </c>
      <c r="B497" s="82" t="s">
        <v>921</v>
      </c>
      <c r="C497" s="82" t="s">
        <v>2155</v>
      </c>
      <c r="D497" s="82" t="s">
        <v>2040</v>
      </c>
      <c r="E497" s="82" t="s">
        <v>2041</v>
      </c>
      <c r="F497" s="82">
        <v>2020</v>
      </c>
      <c r="G497" s="82" t="s">
        <v>2156</v>
      </c>
      <c r="H497" s="82" t="s">
        <v>2157</v>
      </c>
      <c r="I497" s="83"/>
      <c r="J497" s="83"/>
      <c r="K497" s="83"/>
      <c r="L497" s="83"/>
      <c r="M497" s="83"/>
      <c r="N497" s="83"/>
      <c r="O497" s="83"/>
      <c r="P497" s="83"/>
      <c r="Q497" s="83"/>
    </row>
    <row r="498" spans="1:17" s="84" customFormat="1" x14ac:dyDescent="0.25">
      <c r="A498" s="81" t="s">
        <v>2158</v>
      </c>
      <c r="B498" s="82" t="s">
        <v>921</v>
      </c>
      <c r="C498" s="82" t="s">
        <v>2159</v>
      </c>
      <c r="D498" s="82" t="s">
        <v>2040</v>
      </c>
      <c r="E498" s="82" t="s">
        <v>2041</v>
      </c>
      <c r="F498" s="82">
        <v>2020</v>
      </c>
      <c r="G498" s="82" t="s">
        <v>2160</v>
      </c>
      <c r="H498" s="82" t="s">
        <v>2161</v>
      </c>
      <c r="I498" s="83"/>
      <c r="J498" s="83"/>
      <c r="K498" s="83"/>
      <c r="L498" s="83"/>
      <c r="M498" s="83"/>
      <c r="N498" s="83"/>
      <c r="O498" s="83"/>
      <c r="P498" s="83"/>
      <c r="Q498" s="83"/>
    </row>
    <row r="499" spans="1:17" s="84" customFormat="1" x14ac:dyDescent="0.25">
      <c r="A499" s="81" t="s">
        <v>2162</v>
      </c>
      <c r="B499" s="82" t="s">
        <v>921</v>
      </c>
      <c r="C499" s="82" t="s">
        <v>2163</v>
      </c>
      <c r="D499" s="82" t="s">
        <v>2040</v>
      </c>
      <c r="E499" s="82" t="s">
        <v>2041</v>
      </c>
      <c r="F499" s="82">
        <v>2020</v>
      </c>
      <c r="G499" s="82" t="s">
        <v>2164</v>
      </c>
      <c r="H499" s="82" t="s">
        <v>2165</v>
      </c>
      <c r="I499" s="83"/>
      <c r="J499" s="83"/>
      <c r="K499" s="83"/>
      <c r="L499" s="83"/>
      <c r="M499" s="83"/>
      <c r="N499" s="83"/>
      <c r="O499" s="83"/>
      <c r="P499" s="83"/>
      <c r="Q499" s="83"/>
    </row>
    <row r="500" spans="1:17" s="84" customFormat="1" x14ac:dyDescent="0.25">
      <c r="A500" s="81" t="s">
        <v>2166</v>
      </c>
      <c r="B500" s="82" t="s">
        <v>921</v>
      </c>
      <c r="C500" s="82" t="s">
        <v>2167</v>
      </c>
      <c r="D500" s="82" t="s">
        <v>2040</v>
      </c>
      <c r="E500" s="82" t="s">
        <v>2041</v>
      </c>
      <c r="F500" s="82">
        <v>2020</v>
      </c>
      <c r="G500" s="82" t="s">
        <v>2168</v>
      </c>
      <c r="H500" s="82" t="s">
        <v>2169</v>
      </c>
      <c r="I500" s="83"/>
      <c r="J500" s="83"/>
      <c r="K500" s="83"/>
      <c r="L500" s="83"/>
      <c r="M500" s="83"/>
      <c r="N500" s="83"/>
      <c r="O500" s="83"/>
      <c r="P500" s="83"/>
      <c r="Q500" s="83"/>
    </row>
    <row r="501" spans="1:17" s="84" customFormat="1" x14ac:dyDescent="0.25">
      <c r="A501" s="81" t="s">
        <v>2170</v>
      </c>
      <c r="B501" s="82" t="s">
        <v>921</v>
      </c>
      <c r="C501" s="82" t="s">
        <v>2171</v>
      </c>
      <c r="D501" s="82" t="s">
        <v>2086</v>
      </c>
      <c r="E501" s="82" t="s">
        <v>2172</v>
      </c>
      <c r="F501" s="82">
        <v>2021</v>
      </c>
      <c r="G501" s="82" t="s">
        <v>2173</v>
      </c>
      <c r="H501" s="82" t="s">
        <v>2174</v>
      </c>
      <c r="I501" s="83"/>
      <c r="J501" s="83"/>
      <c r="K501" s="83"/>
      <c r="L501" s="83"/>
      <c r="M501" s="83"/>
      <c r="N501" s="83"/>
      <c r="O501" s="83"/>
      <c r="P501" s="83"/>
      <c r="Q501" s="83"/>
    </row>
    <row r="502" spans="1:17" s="84" customFormat="1" x14ac:dyDescent="0.25">
      <c r="A502" s="81" t="s">
        <v>2175</v>
      </c>
      <c r="B502" s="82" t="s">
        <v>921</v>
      </c>
      <c r="C502" s="82" t="s">
        <v>2176</v>
      </c>
      <c r="D502" s="82" t="s">
        <v>2086</v>
      </c>
      <c r="E502" s="82" t="s">
        <v>2172</v>
      </c>
      <c r="F502" s="82">
        <v>2021</v>
      </c>
      <c r="G502" s="82" t="s">
        <v>2177</v>
      </c>
      <c r="H502" s="82" t="s">
        <v>2178</v>
      </c>
      <c r="I502" s="83"/>
      <c r="J502" s="83"/>
      <c r="K502" s="83"/>
      <c r="L502" s="83"/>
      <c r="M502" s="83"/>
      <c r="N502" s="83"/>
      <c r="O502" s="83"/>
      <c r="P502" s="83"/>
      <c r="Q502" s="83"/>
    </row>
    <row r="503" spans="1:17" s="84" customFormat="1" x14ac:dyDescent="0.25">
      <c r="A503" s="81" t="s">
        <v>2179</v>
      </c>
      <c r="B503" s="82" t="s">
        <v>921</v>
      </c>
      <c r="C503" s="82" t="s">
        <v>2180</v>
      </c>
      <c r="D503" s="82" t="s">
        <v>2086</v>
      </c>
      <c r="E503" s="82" t="s">
        <v>2172</v>
      </c>
      <c r="F503" s="82">
        <v>2021</v>
      </c>
      <c r="G503" s="82" t="s">
        <v>2181</v>
      </c>
      <c r="H503" s="82" t="s">
        <v>2182</v>
      </c>
      <c r="I503" s="83"/>
      <c r="J503" s="83"/>
      <c r="K503" s="83"/>
      <c r="L503" s="83"/>
      <c r="M503" s="83"/>
      <c r="N503" s="83"/>
      <c r="O503" s="83"/>
      <c r="P503" s="83"/>
      <c r="Q503" s="83"/>
    </row>
    <row r="504" spans="1:17" s="84" customFormat="1" x14ac:dyDescent="0.25">
      <c r="A504" s="81" t="s">
        <v>2183</v>
      </c>
      <c r="B504" s="82" t="s">
        <v>921</v>
      </c>
      <c r="C504" s="82" t="s">
        <v>2184</v>
      </c>
      <c r="D504" s="82" t="s">
        <v>2086</v>
      </c>
      <c r="E504" s="82" t="s">
        <v>2172</v>
      </c>
      <c r="F504" s="82">
        <v>2021</v>
      </c>
      <c r="G504" s="82" t="s">
        <v>2185</v>
      </c>
      <c r="H504" s="82" t="s">
        <v>2186</v>
      </c>
      <c r="I504" s="83"/>
      <c r="J504" s="83"/>
      <c r="K504" s="83"/>
      <c r="L504" s="83"/>
      <c r="M504" s="83"/>
      <c r="N504" s="83"/>
      <c r="O504" s="83"/>
      <c r="P504" s="83"/>
      <c r="Q504" s="83"/>
    </row>
    <row r="505" spans="1:17" s="84" customFormat="1" x14ac:dyDescent="0.25">
      <c r="A505" s="81" t="s">
        <v>2187</v>
      </c>
      <c r="B505" s="82" t="s">
        <v>921</v>
      </c>
      <c r="C505" s="82" t="s">
        <v>2188</v>
      </c>
      <c r="D505" s="82" t="s">
        <v>2086</v>
      </c>
      <c r="E505" s="82" t="s">
        <v>2172</v>
      </c>
      <c r="F505" s="82">
        <v>2021</v>
      </c>
      <c r="G505" s="82" t="s">
        <v>2189</v>
      </c>
      <c r="H505" s="82" t="s">
        <v>2190</v>
      </c>
      <c r="I505" s="83"/>
      <c r="J505" s="83"/>
      <c r="K505" s="83"/>
      <c r="L505" s="83"/>
      <c r="M505" s="83"/>
      <c r="N505" s="83"/>
      <c r="O505" s="83"/>
      <c r="P505" s="83"/>
      <c r="Q505" s="83"/>
    </row>
    <row r="506" spans="1:17" s="84" customFormat="1" x14ac:dyDescent="0.25">
      <c r="A506" s="81" t="s">
        <v>2191</v>
      </c>
      <c r="B506" s="82" t="s">
        <v>921</v>
      </c>
      <c r="C506" s="82" t="s">
        <v>2192</v>
      </c>
      <c r="D506" s="82" t="s">
        <v>2086</v>
      </c>
      <c r="E506" s="82" t="s">
        <v>2172</v>
      </c>
      <c r="F506" s="82">
        <v>2021</v>
      </c>
      <c r="G506" s="82" t="s">
        <v>2193</v>
      </c>
      <c r="H506" s="82" t="s">
        <v>2194</v>
      </c>
      <c r="I506" s="83"/>
      <c r="J506" s="83"/>
      <c r="K506" s="83"/>
      <c r="L506" s="83"/>
      <c r="M506" s="83"/>
      <c r="N506" s="83"/>
      <c r="O506" s="83"/>
      <c r="P506" s="83"/>
      <c r="Q506" s="83"/>
    </row>
    <row r="507" spans="1:17" s="84" customFormat="1" x14ac:dyDescent="0.25">
      <c r="A507" s="81" t="s">
        <v>2195</v>
      </c>
      <c r="B507" s="82" t="s">
        <v>921</v>
      </c>
      <c r="C507" s="82" t="s">
        <v>2196</v>
      </c>
      <c r="D507" s="82" t="s">
        <v>2086</v>
      </c>
      <c r="E507" s="82" t="s">
        <v>2172</v>
      </c>
      <c r="F507" s="82">
        <v>2021</v>
      </c>
      <c r="G507" s="82" t="s">
        <v>2197</v>
      </c>
      <c r="H507" s="82" t="s">
        <v>2198</v>
      </c>
      <c r="I507" s="83"/>
      <c r="J507" s="83"/>
      <c r="K507" s="83"/>
      <c r="L507" s="83"/>
      <c r="M507" s="83"/>
      <c r="N507" s="83"/>
      <c r="O507" s="83"/>
      <c r="P507" s="83"/>
      <c r="Q507" s="83"/>
    </row>
    <row r="508" spans="1:17" s="84" customFormat="1" x14ac:dyDescent="0.25">
      <c r="A508" s="81" t="s">
        <v>2199</v>
      </c>
      <c r="B508" s="82" t="s">
        <v>921</v>
      </c>
      <c r="C508" s="82" t="s">
        <v>2200</v>
      </c>
      <c r="D508" s="82" t="s">
        <v>2086</v>
      </c>
      <c r="E508" s="82" t="s">
        <v>2172</v>
      </c>
      <c r="F508" s="82">
        <v>2021</v>
      </c>
      <c r="G508" s="82" t="s">
        <v>2201</v>
      </c>
      <c r="H508" s="82" t="s">
        <v>2202</v>
      </c>
      <c r="I508" s="83"/>
      <c r="J508" s="83"/>
      <c r="K508" s="83"/>
      <c r="L508" s="83"/>
      <c r="M508" s="83"/>
      <c r="N508" s="83"/>
      <c r="O508" s="83"/>
      <c r="P508" s="83"/>
      <c r="Q508" s="83"/>
    </row>
    <row r="509" spans="1:17" s="84" customFormat="1" x14ac:dyDescent="0.25">
      <c r="A509" s="81" t="s">
        <v>2203</v>
      </c>
      <c r="B509" s="82" t="s">
        <v>921</v>
      </c>
      <c r="C509" s="82" t="s">
        <v>2204</v>
      </c>
      <c r="D509" s="82" t="s">
        <v>2086</v>
      </c>
      <c r="E509" s="82" t="s">
        <v>2172</v>
      </c>
      <c r="F509" s="82">
        <v>2021</v>
      </c>
      <c r="G509" s="82" t="s">
        <v>2205</v>
      </c>
      <c r="H509" s="82" t="s">
        <v>2206</v>
      </c>
      <c r="I509" s="83"/>
      <c r="J509" s="83"/>
      <c r="K509" s="83"/>
      <c r="L509" s="83"/>
      <c r="M509" s="83"/>
      <c r="N509" s="83"/>
      <c r="O509" s="83"/>
      <c r="P509" s="83"/>
      <c r="Q509" s="83"/>
    </row>
    <row r="510" spans="1:17" s="84" customFormat="1" x14ac:dyDescent="0.25">
      <c r="A510" s="81" t="s">
        <v>2207</v>
      </c>
      <c r="B510" s="82" t="s">
        <v>921</v>
      </c>
      <c r="C510" s="82" t="s">
        <v>2208</v>
      </c>
      <c r="D510" s="82" t="s">
        <v>2086</v>
      </c>
      <c r="E510" s="82" t="s">
        <v>2172</v>
      </c>
      <c r="F510" s="82">
        <v>2021</v>
      </c>
      <c r="G510" s="82" t="s">
        <v>2209</v>
      </c>
      <c r="H510" s="82" t="s">
        <v>2210</v>
      </c>
      <c r="I510" s="83"/>
      <c r="J510" s="83"/>
      <c r="K510" s="83"/>
      <c r="L510" s="83"/>
      <c r="M510" s="83"/>
      <c r="N510" s="83"/>
      <c r="O510" s="83"/>
      <c r="P510" s="83"/>
      <c r="Q510" s="83"/>
    </row>
    <row r="511" spans="1:17" s="84" customFormat="1" x14ac:dyDescent="0.25">
      <c r="A511" s="81" t="s">
        <v>2211</v>
      </c>
      <c r="B511" s="82" t="s">
        <v>921</v>
      </c>
      <c r="C511" s="82" t="s">
        <v>2212</v>
      </c>
      <c r="D511" s="82" t="s">
        <v>2086</v>
      </c>
      <c r="E511" s="82" t="s">
        <v>2172</v>
      </c>
      <c r="F511" s="82">
        <v>2021</v>
      </c>
      <c r="G511" s="82" t="s">
        <v>2213</v>
      </c>
      <c r="H511" s="82" t="s">
        <v>2214</v>
      </c>
      <c r="I511" s="83"/>
      <c r="J511" s="83"/>
      <c r="K511" s="83"/>
      <c r="L511" s="83"/>
      <c r="M511" s="83"/>
      <c r="N511" s="83"/>
      <c r="O511" s="83"/>
      <c r="P511" s="83"/>
      <c r="Q511" s="83"/>
    </row>
    <row r="512" spans="1:17" s="84" customFormat="1" x14ac:dyDescent="0.25">
      <c r="A512" s="81" t="s">
        <v>2215</v>
      </c>
      <c r="B512" s="82" t="s">
        <v>921</v>
      </c>
      <c r="C512" s="82" t="s">
        <v>2216</v>
      </c>
      <c r="D512" s="82" t="s">
        <v>2086</v>
      </c>
      <c r="E512" s="82" t="s">
        <v>2172</v>
      </c>
      <c r="F512" s="82">
        <v>2021</v>
      </c>
      <c r="G512" s="82" t="s">
        <v>2217</v>
      </c>
      <c r="H512" s="82" t="s">
        <v>2218</v>
      </c>
      <c r="I512" s="83"/>
      <c r="J512" s="83"/>
      <c r="K512" s="83"/>
      <c r="L512" s="83"/>
      <c r="M512" s="83"/>
      <c r="N512" s="83"/>
      <c r="O512" s="83"/>
      <c r="P512" s="83"/>
      <c r="Q512" s="83"/>
    </row>
    <row r="513" spans="1:17" s="84" customFormat="1" x14ac:dyDescent="0.25">
      <c r="A513" s="81" t="s">
        <v>2219</v>
      </c>
      <c r="B513" s="82" t="s">
        <v>921</v>
      </c>
      <c r="C513" s="82" t="s">
        <v>2220</v>
      </c>
      <c r="D513" s="82" t="s">
        <v>2086</v>
      </c>
      <c r="E513" s="82" t="s">
        <v>2172</v>
      </c>
      <c r="F513" s="82">
        <v>2021</v>
      </c>
      <c r="G513" s="82" t="s">
        <v>2221</v>
      </c>
      <c r="H513" s="82" t="s">
        <v>2222</v>
      </c>
      <c r="I513" s="83"/>
      <c r="J513" s="83"/>
      <c r="K513" s="83"/>
      <c r="L513" s="83"/>
      <c r="M513" s="83"/>
      <c r="N513" s="83"/>
      <c r="O513" s="83"/>
      <c r="P513" s="83"/>
      <c r="Q513" s="83"/>
    </row>
    <row r="514" spans="1:17" s="84" customFormat="1" x14ac:dyDescent="0.25">
      <c r="A514" s="81" t="s">
        <v>2223</v>
      </c>
      <c r="B514" s="82" t="s">
        <v>921</v>
      </c>
      <c r="C514" s="82" t="s">
        <v>2224</v>
      </c>
      <c r="D514" s="82" t="s">
        <v>2086</v>
      </c>
      <c r="E514" s="82" t="s">
        <v>2172</v>
      </c>
      <c r="F514" s="82">
        <v>2021</v>
      </c>
      <c r="G514" s="82" t="s">
        <v>2225</v>
      </c>
      <c r="H514" s="82" t="s">
        <v>2226</v>
      </c>
      <c r="I514" s="83"/>
      <c r="J514" s="83"/>
      <c r="K514" s="83"/>
      <c r="L514" s="83"/>
      <c r="M514" s="83"/>
      <c r="N514" s="83"/>
      <c r="O514" s="83"/>
      <c r="P514" s="83"/>
      <c r="Q514" s="83"/>
    </row>
    <row r="515" spans="1:17" s="84" customFormat="1" x14ac:dyDescent="0.25">
      <c r="A515" s="81" t="s">
        <v>2227</v>
      </c>
      <c r="B515" s="82" t="s">
        <v>921</v>
      </c>
      <c r="C515" s="82" t="s">
        <v>2228</v>
      </c>
      <c r="D515" s="82" t="s">
        <v>2229</v>
      </c>
      <c r="E515" s="82" t="s">
        <v>2230</v>
      </c>
      <c r="F515" s="82"/>
      <c r="G515" s="82" t="s">
        <v>2231</v>
      </c>
      <c r="H515" s="82" t="s">
        <v>2232</v>
      </c>
      <c r="I515" s="83"/>
      <c r="J515" s="83"/>
      <c r="K515" s="83"/>
      <c r="L515" s="83"/>
      <c r="M515" s="83"/>
      <c r="N515" s="83"/>
      <c r="O515" s="83"/>
      <c r="P515" s="83"/>
      <c r="Q515" s="83"/>
    </row>
    <row r="516" spans="1:17" s="84" customFormat="1" x14ac:dyDescent="0.25">
      <c r="A516" s="81" t="s">
        <v>2233</v>
      </c>
      <c r="B516" s="82" t="s">
        <v>921</v>
      </c>
      <c r="C516" s="82" t="s">
        <v>1207</v>
      </c>
      <c r="D516" s="82" t="s">
        <v>901</v>
      </c>
      <c r="E516" s="82" t="s">
        <v>923</v>
      </c>
      <c r="F516" s="82">
        <v>2014</v>
      </c>
      <c r="G516" s="82" t="s">
        <v>1208</v>
      </c>
      <c r="H516" s="82" t="s">
        <v>1209</v>
      </c>
      <c r="I516" s="83"/>
      <c r="J516" s="83"/>
      <c r="K516" s="83"/>
      <c r="L516" s="83"/>
      <c r="M516" s="83"/>
      <c r="N516" s="83"/>
      <c r="O516" s="83"/>
      <c r="P516" s="83"/>
      <c r="Q516" s="83"/>
    </row>
    <row r="517" spans="1:17" s="84" customFormat="1" x14ac:dyDescent="0.25">
      <c r="A517" s="81" t="s">
        <v>2234</v>
      </c>
      <c r="B517" s="82" t="s">
        <v>2235</v>
      </c>
      <c r="C517" s="82" t="s">
        <v>2236</v>
      </c>
      <c r="D517" s="82" t="s">
        <v>99</v>
      </c>
      <c r="E517" s="82" t="s">
        <v>99</v>
      </c>
      <c r="F517" s="82">
        <v>2008</v>
      </c>
      <c r="G517" s="82" t="s">
        <v>100</v>
      </c>
      <c r="H517" s="82" t="s">
        <v>872</v>
      </c>
      <c r="I517" s="83"/>
      <c r="J517" s="83"/>
      <c r="K517" s="83"/>
      <c r="L517" s="83"/>
      <c r="M517" s="83"/>
      <c r="N517" s="83"/>
      <c r="O517" s="83"/>
      <c r="P517" s="83"/>
      <c r="Q517" s="83"/>
    </row>
    <row r="518" spans="1:17" s="84" customFormat="1" x14ac:dyDescent="0.25">
      <c r="A518" s="81" t="s">
        <v>2237</v>
      </c>
      <c r="B518" s="82" t="s">
        <v>2238</v>
      </c>
      <c r="C518" s="82" t="s">
        <v>2239</v>
      </c>
      <c r="D518" s="82" t="s">
        <v>99</v>
      </c>
      <c r="E518" s="82" t="s">
        <v>99</v>
      </c>
      <c r="F518" s="82"/>
      <c r="G518" s="82" t="s">
        <v>100</v>
      </c>
      <c r="H518" s="82" t="s">
        <v>872</v>
      </c>
      <c r="I518" s="83"/>
      <c r="J518" s="83"/>
      <c r="K518" s="83"/>
      <c r="L518" s="83"/>
      <c r="M518" s="83"/>
      <c r="N518" s="83"/>
      <c r="O518" s="83"/>
      <c r="P518" s="83"/>
      <c r="Q518" s="83"/>
    </row>
    <row r="519" spans="1:17" s="84" customFormat="1" x14ac:dyDescent="0.25">
      <c r="A519" s="81" t="s">
        <v>2240</v>
      </c>
      <c r="B519" s="82" t="s">
        <v>2241</v>
      </c>
      <c r="C519" s="82" t="s">
        <v>2242</v>
      </c>
      <c r="D519" s="82" t="s">
        <v>2243</v>
      </c>
      <c r="E519" s="82" t="s">
        <v>2244</v>
      </c>
      <c r="F519" s="82">
        <v>2005</v>
      </c>
      <c r="G519" s="82" t="s">
        <v>2245</v>
      </c>
      <c r="H519" s="82" t="s">
        <v>2246</v>
      </c>
      <c r="I519" s="83"/>
      <c r="J519" s="83"/>
      <c r="K519" s="83"/>
      <c r="L519" s="83"/>
      <c r="M519" s="83"/>
      <c r="N519" s="83"/>
      <c r="O519" s="83"/>
      <c r="P519" s="83"/>
      <c r="Q519" s="83"/>
    </row>
    <row r="520" spans="1:17" s="84" customFormat="1" x14ac:dyDescent="0.25">
      <c r="A520" s="81" t="s">
        <v>2247</v>
      </c>
      <c r="B520" s="82" t="s">
        <v>2248</v>
      </c>
      <c r="C520" s="82" t="s">
        <v>2249</v>
      </c>
      <c r="D520" s="82" t="s">
        <v>105</v>
      </c>
      <c r="E520" s="82" t="s">
        <v>2250</v>
      </c>
      <c r="F520" s="82">
        <v>2018</v>
      </c>
      <c r="G520" s="82" t="s">
        <v>2251</v>
      </c>
      <c r="H520" s="82" t="s">
        <v>2252</v>
      </c>
      <c r="I520" s="83"/>
      <c r="J520" s="83"/>
      <c r="K520" s="83"/>
      <c r="L520" s="83"/>
      <c r="M520" s="83"/>
      <c r="N520" s="83"/>
      <c r="O520" s="83"/>
      <c r="P520" s="83"/>
      <c r="Q520" s="83"/>
    </row>
    <row r="521" spans="1:17" s="84" customFormat="1" x14ac:dyDescent="0.25">
      <c r="A521" s="81" t="s">
        <v>2253</v>
      </c>
      <c r="B521" s="82" t="s">
        <v>2248</v>
      </c>
      <c r="C521" s="82" t="s">
        <v>2254</v>
      </c>
      <c r="D521" s="82" t="s">
        <v>2255</v>
      </c>
      <c r="E521" s="82" t="s">
        <v>2256</v>
      </c>
      <c r="F521" s="82">
        <v>2008</v>
      </c>
      <c r="G521" s="82" t="s">
        <v>2257</v>
      </c>
      <c r="H521" s="82" t="s">
        <v>2258</v>
      </c>
      <c r="I521" s="83"/>
      <c r="J521" s="83"/>
      <c r="K521" s="83"/>
      <c r="L521" s="83"/>
      <c r="M521" s="83"/>
      <c r="N521" s="83"/>
      <c r="O521" s="83"/>
      <c r="P521" s="83"/>
      <c r="Q521" s="83"/>
    </row>
    <row r="522" spans="1:17" s="84" customFormat="1" x14ac:dyDescent="0.25">
      <c r="A522" s="81" t="s">
        <v>2259</v>
      </c>
      <c r="B522" s="82" t="s">
        <v>2248</v>
      </c>
      <c r="C522" s="82" t="s">
        <v>2260</v>
      </c>
      <c r="D522" s="82" t="s">
        <v>2255</v>
      </c>
      <c r="E522" s="82" t="s">
        <v>2256</v>
      </c>
      <c r="F522" s="82">
        <v>2008</v>
      </c>
      <c r="G522" s="82" t="s">
        <v>2261</v>
      </c>
      <c r="H522" s="82" t="s">
        <v>2262</v>
      </c>
      <c r="I522" s="83"/>
      <c r="J522" s="83"/>
      <c r="K522" s="83"/>
      <c r="L522" s="83"/>
      <c r="M522" s="83"/>
      <c r="N522" s="83"/>
      <c r="O522" s="83"/>
      <c r="P522" s="83"/>
      <c r="Q522" s="83"/>
    </row>
    <row r="523" spans="1:17" s="84" customFormat="1" x14ac:dyDescent="0.25">
      <c r="A523" s="81" t="s">
        <v>2263</v>
      </c>
      <c r="B523" s="82" t="s">
        <v>2248</v>
      </c>
      <c r="C523" s="82" t="s">
        <v>2264</v>
      </c>
      <c r="D523" s="82" t="s">
        <v>2255</v>
      </c>
      <c r="E523" s="82" t="s">
        <v>2256</v>
      </c>
      <c r="F523" s="82">
        <v>2008</v>
      </c>
      <c r="G523" s="82" t="s">
        <v>2265</v>
      </c>
      <c r="H523" s="82" t="s">
        <v>2266</v>
      </c>
      <c r="I523" s="83"/>
      <c r="J523" s="83"/>
      <c r="K523" s="83"/>
      <c r="L523" s="83"/>
      <c r="M523" s="83"/>
      <c r="N523" s="83"/>
      <c r="O523" s="83"/>
      <c r="P523" s="83"/>
      <c r="Q523" s="83"/>
    </row>
    <row r="524" spans="1:17" s="84" customFormat="1" x14ac:dyDescent="0.25">
      <c r="A524" s="81" t="s">
        <v>2267</v>
      </c>
      <c r="B524" s="82" t="s">
        <v>2248</v>
      </c>
      <c r="C524" s="82" t="s">
        <v>2268</v>
      </c>
      <c r="D524" s="82" t="s">
        <v>174</v>
      </c>
      <c r="E524" s="82" t="s">
        <v>2269</v>
      </c>
      <c r="F524" s="82">
        <v>2008</v>
      </c>
      <c r="G524" s="82" t="s">
        <v>2270</v>
      </c>
      <c r="H524" s="82" t="s">
        <v>2271</v>
      </c>
      <c r="I524" s="83"/>
      <c r="J524" s="83"/>
      <c r="K524" s="83"/>
      <c r="L524" s="83"/>
      <c r="M524" s="83"/>
      <c r="N524" s="83"/>
      <c r="O524" s="83"/>
      <c r="P524" s="83"/>
      <c r="Q524" s="83"/>
    </row>
    <row r="525" spans="1:17" s="84" customFormat="1" x14ac:dyDescent="0.25">
      <c r="A525" s="81" t="s">
        <v>2272</v>
      </c>
      <c r="B525" s="82" t="s">
        <v>2248</v>
      </c>
      <c r="C525" s="82" t="s">
        <v>2273</v>
      </c>
      <c r="D525" s="82" t="s">
        <v>105</v>
      </c>
      <c r="E525" s="82" t="s">
        <v>2274</v>
      </c>
      <c r="F525" s="82">
        <v>2014</v>
      </c>
      <c r="G525" s="82" t="s">
        <v>2275</v>
      </c>
      <c r="H525" s="82" t="s">
        <v>2276</v>
      </c>
      <c r="I525" s="83"/>
      <c r="J525" s="83"/>
      <c r="K525" s="83"/>
      <c r="L525" s="83"/>
      <c r="M525" s="83"/>
      <c r="N525" s="83"/>
      <c r="O525" s="83"/>
      <c r="P525" s="83"/>
      <c r="Q525" s="83"/>
    </row>
    <row r="526" spans="1:17" s="84" customFormat="1" x14ac:dyDescent="0.25">
      <c r="A526" s="81" t="s">
        <v>2277</v>
      </c>
      <c r="B526" s="82" t="s">
        <v>2248</v>
      </c>
      <c r="C526" s="82" t="s">
        <v>2278</v>
      </c>
      <c r="D526" s="82" t="s">
        <v>174</v>
      </c>
      <c r="E526" s="82" t="s">
        <v>2279</v>
      </c>
      <c r="F526" s="82">
        <v>2015</v>
      </c>
      <c r="G526" s="82" t="s">
        <v>2280</v>
      </c>
      <c r="H526" s="82" t="s">
        <v>2281</v>
      </c>
      <c r="I526" s="83"/>
      <c r="J526" s="83"/>
      <c r="K526" s="83"/>
      <c r="L526" s="83"/>
      <c r="M526" s="83"/>
      <c r="N526" s="83"/>
      <c r="O526" s="83"/>
      <c r="P526" s="83"/>
      <c r="Q526" s="83"/>
    </row>
    <row r="527" spans="1:17" s="84" customFormat="1" x14ac:dyDescent="0.25">
      <c r="A527" s="81" t="s">
        <v>2282</v>
      </c>
      <c r="B527" s="82" t="s">
        <v>2248</v>
      </c>
      <c r="C527" s="82" t="s">
        <v>2283</v>
      </c>
      <c r="D527" s="82" t="s">
        <v>174</v>
      </c>
      <c r="E527" s="82" t="s">
        <v>2279</v>
      </c>
      <c r="F527" s="82">
        <v>2015</v>
      </c>
      <c r="G527" s="82" t="s">
        <v>2284</v>
      </c>
      <c r="H527" s="82" t="s">
        <v>2285</v>
      </c>
      <c r="I527" s="83"/>
      <c r="J527" s="83"/>
      <c r="K527" s="83"/>
      <c r="L527" s="83"/>
      <c r="M527" s="83"/>
      <c r="N527" s="83"/>
      <c r="O527" s="83"/>
      <c r="P527" s="83"/>
      <c r="Q527" s="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3"/>
  <sheetViews>
    <sheetView workbookViewId="0">
      <selection activeCell="D19" sqref="D19"/>
    </sheetView>
  </sheetViews>
  <sheetFormatPr baseColWidth="10" defaultColWidth="9.140625" defaultRowHeight="13.5" x14ac:dyDescent="0.25"/>
  <cols>
    <col min="1" max="1" width="5.5703125" style="33" customWidth="1"/>
    <col min="2" max="2" width="15.140625" style="33" customWidth="1"/>
    <col min="3" max="3" width="14.140625" style="33" customWidth="1"/>
    <col min="4" max="4" width="26" style="33" customWidth="1"/>
    <col min="5" max="5" width="8" style="33" customWidth="1"/>
    <col min="6" max="6" width="7.85546875" style="33" customWidth="1"/>
    <col min="7" max="7" width="42" style="33" customWidth="1"/>
    <col min="8" max="8" width="9.28515625" style="33" customWidth="1"/>
    <col min="9" max="9" width="15.5703125" style="33" customWidth="1"/>
    <col min="10" max="10" width="14.7109375" style="33" customWidth="1"/>
    <col min="11" max="11" width="15.5703125" style="33" customWidth="1"/>
    <col min="12" max="14" width="5.85546875" style="33" customWidth="1"/>
    <col min="15" max="15" width="12.5703125" style="33" customWidth="1"/>
    <col min="16" max="1024" width="9.140625" style="33"/>
    <col min="1025" max="16384" width="9.140625" style="34"/>
  </cols>
  <sheetData>
    <row r="1" spans="1:11" ht="18" customHeight="1" x14ac:dyDescent="0.25">
      <c r="A1" s="107" t="s">
        <v>22</v>
      </c>
      <c r="B1" s="107"/>
      <c r="C1" s="107"/>
      <c r="D1" s="107"/>
      <c r="E1" s="107"/>
      <c r="F1" s="107"/>
      <c r="G1" s="107"/>
      <c r="H1" s="107"/>
      <c r="I1" s="107"/>
      <c r="J1" s="31" t="s">
        <v>23</v>
      </c>
      <c r="K1" s="32" t="s">
        <v>24</v>
      </c>
    </row>
    <row r="2" spans="1:11" ht="18.75" customHeight="1" thickBot="1" x14ac:dyDescent="0.3">
      <c r="A2" s="35"/>
      <c r="B2" s="35"/>
      <c r="C2" s="35"/>
      <c r="D2" s="36"/>
      <c r="E2" s="36"/>
      <c r="F2" s="36"/>
      <c r="G2" s="36"/>
      <c r="H2" s="36"/>
      <c r="I2" s="36"/>
      <c r="J2" s="36"/>
      <c r="K2" s="36"/>
    </row>
    <row r="3" spans="1:11" ht="18.75" customHeight="1" thickBot="1" x14ac:dyDescent="0.3">
      <c r="A3" s="108" t="s">
        <v>25</v>
      </c>
      <c r="B3" s="108"/>
      <c r="C3" s="108"/>
      <c r="D3" s="109" t="e">
        <f>'Necesidades Trimestrales'!#REF!</f>
        <v>#REF!</v>
      </c>
      <c r="E3" s="109"/>
      <c r="F3" s="109"/>
      <c r="G3" s="109"/>
      <c r="H3" s="109"/>
      <c r="I3" s="109"/>
      <c r="J3" s="109"/>
      <c r="K3" s="109"/>
    </row>
    <row r="4" spans="1:11" ht="18.75" customHeight="1" thickBot="1" x14ac:dyDescent="0.3">
      <c r="A4" s="110" t="s">
        <v>26</v>
      </c>
      <c r="B4" s="110"/>
      <c r="C4" s="110"/>
      <c r="D4" s="109" t="e">
        <f>'Necesidades Trimestrales'!#REF!</f>
        <v>#REF!</v>
      </c>
      <c r="E4" s="109"/>
      <c r="F4" s="109"/>
      <c r="G4" s="109"/>
      <c r="H4" s="109"/>
      <c r="I4" s="109"/>
      <c r="J4" s="109"/>
      <c r="K4" s="109"/>
    </row>
    <row r="5" spans="1:11" ht="18.75" customHeight="1" thickBot="1" x14ac:dyDescent="0.3">
      <c r="A5" s="110" t="s">
        <v>27</v>
      </c>
      <c r="B5" s="110"/>
      <c r="C5" s="110"/>
      <c r="D5" s="109" t="s">
        <v>28</v>
      </c>
      <c r="E5" s="109"/>
      <c r="F5" s="109"/>
      <c r="G5" s="109"/>
      <c r="H5" s="109"/>
      <c r="I5" s="109"/>
      <c r="J5" s="109"/>
      <c r="K5" s="109"/>
    </row>
    <row r="6" spans="1:11" ht="16.5" customHeight="1" thickBot="1" x14ac:dyDescent="0.3">
      <c r="A6" s="108" t="s">
        <v>29</v>
      </c>
      <c r="B6" s="108"/>
      <c r="C6" s="108"/>
      <c r="D6" s="109" t="s">
        <v>30</v>
      </c>
      <c r="E6" s="109"/>
      <c r="F6" s="109"/>
      <c r="G6" s="109"/>
      <c r="H6" s="109"/>
      <c r="I6" s="109"/>
      <c r="J6" s="109"/>
      <c r="K6" s="109"/>
    </row>
    <row r="7" spans="1:11" ht="16.5" customHeight="1" x14ac:dyDescent="0.25">
      <c r="A7" s="110" t="s">
        <v>31</v>
      </c>
      <c r="B7" s="110"/>
      <c r="C7" s="110"/>
      <c r="D7" s="109" t="str">
        <f>'Necesidades Trimestrales'!C6 &amp; "° Trimestre - Año " &amp; 'Necesidades Trimestrales'!C5</f>
        <v>4° Trimestre - Año 2021</v>
      </c>
      <c r="E7" s="109"/>
      <c r="F7" s="109"/>
      <c r="G7" s="109"/>
      <c r="H7" s="109"/>
      <c r="I7" s="109"/>
      <c r="J7" s="109"/>
      <c r="K7" s="109"/>
    </row>
    <row r="8" spans="1:11" ht="16.5" customHeight="1" x14ac:dyDescent="0.25">
      <c r="A8" s="99" t="s">
        <v>32</v>
      </c>
      <c r="B8" s="99"/>
      <c r="C8" s="99"/>
      <c r="D8" s="100" t="s">
        <v>33</v>
      </c>
      <c r="E8" s="100"/>
      <c r="F8" s="100"/>
      <c r="G8" s="100"/>
      <c r="H8" s="100"/>
      <c r="I8" s="100"/>
      <c r="J8" s="100"/>
      <c r="K8" s="100"/>
    </row>
    <row r="9" spans="1:11" ht="17.25" x14ac:dyDescent="0.25">
      <c r="A9" s="37"/>
      <c r="B9" s="37"/>
      <c r="C9" s="37"/>
      <c r="D9" s="38"/>
      <c r="E9" s="38"/>
      <c r="F9" s="38"/>
      <c r="G9" s="38"/>
      <c r="H9" s="38"/>
      <c r="I9" s="38"/>
      <c r="J9" s="38"/>
      <c r="K9" s="38"/>
    </row>
    <row r="10" spans="1:11" ht="18.75" customHeight="1" x14ac:dyDescent="0.25">
      <c r="A10" s="101" t="s">
        <v>34</v>
      </c>
      <c r="B10" s="102" t="s">
        <v>35</v>
      </c>
      <c r="C10" s="102" t="s">
        <v>36</v>
      </c>
      <c r="D10" s="102"/>
      <c r="E10" s="102"/>
      <c r="F10" s="102"/>
      <c r="G10" s="102"/>
      <c r="H10" s="102" t="s">
        <v>37</v>
      </c>
      <c r="I10" s="102" t="s">
        <v>38</v>
      </c>
      <c r="J10" s="102" t="s">
        <v>39</v>
      </c>
      <c r="K10" s="103" t="s">
        <v>40</v>
      </c>
    </row>
    <row r="11" spans="1:11" ht="24" customHeigh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1" ht="20.25" customHeight="1" thickBot="1" x14ac:dyDescent="0.3">
      <c r="A12" s="39">
        <v>1</v>
      </c>
      <c r="B12" s="40" t="str">
        <f>'Necesidades Trimestrales'!B9</f>
        <v>3.5.4-2065.1</v>
      </c>
      <c r="C12" s="98" t="str">
        <f>'Necesidades Trimestrales'!E9</f>
        <v>SEGURO DE RESPONSABILIDAD; DESCRIPCION: SEGURO DE RESPONSABILIDAD</v>
      </c>
      <c r="D12" s="98"/>
      <c r="E12" s="98"/>
      <c r="F12" s="98"/>
      <c r="G12" s="98"/>
      <c r="H12" s="39" t="s">
        <v>41</v>
      </c>
      <c r="I12" s="41" t="str">
        <f>'Necesidades Trimestrales'!F9</f>
        <v>UNIDAD</v>
      </c>
      <c r="J12" s="42">
        <f>'Necesidades Trimestrales'!H9</f>
        <v>90297.39</v>
      </c>
      <c r="K12" s="43">
        <f>'Necesidades Trimestrales'!G9</f>
        <v>1</v>
      </c>
    </row>
    <row r="13" spans="1:11" ht="20.25" customHeight="1" thickBot="1" x14ac:dyDescent="0.3">
      <c r="A13" s="105" t="s">
        <v>42</v>
      </c>
      <c r="B13" s="106"/>
      <c r="C13" s="106"/>
      <c r="D13" s="104" t="s">
        <v>43</v>
      </c>
      <c r="E13" s="104"/>
      <c r="F13" s="104"/>
      <c r="G13" s="104"/>
      <c r="H13" s="44"/>
      <c r="I13" s="45"/>
      <c r="J13" s="97">
        <f>'Necesidades Trimestrales'!I9</f>
        <v>90297.39</v>
      </c>
      <c r="K13" s="97"/>
    </row>
  </sheetData>
  <mergeCells count="2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D13:G13"/>
    <mergeCell ref="A13:C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"/>
  <sheetViews>
    <sheetView zoomScale="130" zoomScaleNormal="130" workbookViewId="0">
      <selection activeCell="N26" sqref="N26"/>
    </sheetView>
  </sheetViews>
  <sheetFormatPr baseColWidth="10" defaultColWidth="11" defaultRowHeight="13.5" x14ac:dyDescent="0.25"/>
  <cols>
    <col min="1" max="6" width="4.42578125" style="48" customWidth="1"/>
    <col min="7" max="7" width="4.42578125" style="49" customWidth="1"/>
    <col min="8" max="14" width="4.42578125" style="48" customWidth="1"/>
    <col min="15" max="16" width="14.85546875" style="48" customWidth="1"/>
    <col min="17" max="17" width="14.7109375" style="48" customWidth="1"/>
    <col min="18" max="16384" width="11" style="48"/>
  </cols>
  <sheetData>
    <row r="1" spans="1:17" ht="15.75" customHeight="1" x14ac:dyDescent="0.25">
      <c r="A1" s="129" t="s">
        <v>1</v>
      </c>
      <c r="B1" s="129"/>
      <c r="C1" s="129"/>
      <c r="D1" s="130">
        <f>'Necesidades Trimestrales'!C5</f>
        <v>2021</v>
      </c>
      <c r="E1" s="130"/>
      <c r="F1" s="46"/>
      <c r="G1" s="46"/>
      <c r="H1" s="47"/>
      <c r="I1" s="47"/>
      <c r="J1" s="47"/>
      <c r="K1" s="47"/>
      <c r="L1" s="47"/>
      <c r="M1" s="47"/>
      <c r="N1" s="47"/>
      <c r="P1" s="131" t="s">
        <v>44</v>
      </c>
      <c r="Q1" s="131"/>
    </row>
    <row r="2" spans="1:17" ht="15.75" customHeight="1" x14ac:dyDescent="0.25">
      <c r="H2" s="47"/>
      <c r="I2" s="47"/>
      <c r="J2" s="47"/>
      <c r="K2" s="47"/>
      <c r="L2" s="47"/>
      <c r="M2" s="47"/>
      <c r="N2" s="47"/>
      <c r="P2" s="131"/>
      <c r="Q2" s="131"/>
    </row>
    <row r="4" spans="1:17" ht="18" customHeight="1" thickBot="1" x14ac:dyDescent="0.35">
      <c r="A4" s="132" t="s">
        <v>45</v>
      </c>
      <c r="B4" s="132"/>
      <c r="C4" s="132"/>
      <c r="D4" s="132"/>
      <c r="E4" s="132"/>
      <c r="F4" s="132"/>
      <c r="G4" s="133" t="e">
        <f>' NotaPedido'!D3</f>
        <v>#REF!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ht="18" customHeight="1" thickBot="1" x14ac:dyDescent="0.35">
      <c r="A5" s="134" t="s">
        <v>26</v>
      </c>
      <c r="B5" s="135"/>
      <c r="C5" s="135"/>
      <c r="D5" s="135"/>
      <c r="E5" s="135"/>
      <c r="F5" s="136"/>
      <c r="G5" s="133" t="e">
        <f>' NotaPedido'!D4</f>
        <v>#REF!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ht="18" customHeight="1" thickBot="1" x14ac:dyDescent="0.35">
      <c r="A6" s="134" t="s">
        <v>27</v>
      </c>
      <c r="B6" s="135"/>
      <c r="C6" s="135"/>
      <c r="D6" s="135"/>
      <c r="E6" s="135"/>
      <c r="F6" s="136"/>
      <c r="G6" s="133" t="str">
        <f>' NotaPedido'!D5</f>
        <v>Jefatura de Policía de la Provincia de Catamarca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ht="18" customHeight="1" thickBot="1" x14ac:dyDescent="0.35">
      <c r="A7" s="134" t="s">
        <v>29</v>
      </c>
      <c r="B7" s="135"/>
      <c r="C7" s="135"/>
      <c r="D7" s="135"/>
      <c r="E7" s="135"/>
      <c r="F7" s="136"/>
      <c r="G7" s="133" t="str">
        <f>' NotaPedido'!D6</f>
        <v>Sección Control Patrimonial - Dpto. Logistica (D-4)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3">
      <c r="A8" s="137" t="s">
        <v>46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</row>
    <row r="9" spans="1:17" ht="18" customHeight="1" x14ac:dyDescent="0.3">
      <c r="A9" s="140" t="s">
        <v>47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50"/>
      <c r="P9" s="50"/>
      <c r="Q9" s="51"/>
    </row>
    <row r="10" spans="1:17" ht="54.75" customHeight="1" x14ac:dyDescent="0.25">
      <c r="A10" s="12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41/2020,  afectando la erogación resultante a los créditos presupuestarios aprobados a favor de esta Unidad Ejecutora, conforme al siguiente detalle: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</row>
    <row r="11" spans="1:17" ht="9" customHeight="1" x14ac:dyDescent="0.25">
      <c r="A11" s="52"/>
      <c r="B11" s="53"/>
      <c r="C11" s="53"/>
      <c r="D11" s="53"/>
      <c r="E11" s="53"/>
      <c r="F11" s="53"/>
      <c r="G11" s="54"/>
      <c r="H11" s="53"/>
      <c r="I11" s="53"/>
      <c r="J11" s="53"/>
      <c r="K11" s="53"/>
      <c r="L11" s="53"/>
      <c r="M11" s="53"/>
      <c r="N11" s="53"/>
      <c r="O11" s="53"/>
      <c r="P11" s="53"/>
      <c r="Q11" s="55"/>
    </row>
    <row r="12" spans="1:17" ht="15.75" customHeight="1" x14ac:dyDescent="0.25">
      <c r="A12" s="121" t="s">
        <v>48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</row>
    <row r="13" spans="1:17" ht="15.75" customHeight="1" x14ac:dyDescent="0.25">
      <c r="A13" s="122" t="s">
        <v>49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3" t="s">
        <v>50</v>
      </c>
      <c r="P13" s="123"/>
      <c r="Q13" s="124" t="s">
        <v>51</v>
      </c>
    </row>
    <row r="14" spans="1:17" ht="15.75" customHeight="1" thickBot="1" x14ac:dyDescent="0.3">
      <c r="A14" s="56" t="s">
        <v>52</v>
      </c>
      <c r="B14" s="57" t="s">
        <v>53</v>
      </c>
      <c r="C14" s="57" t="s">
        <v>54</v>
      </c>
      <c r="D14" s="57" t="s">
        <v>55</v>
      </c>
      <c r="E14" s="57" t="s">
        <v>56</v>
      </c>
      <c r="F14" s="57" t="s">
        <v>57</v>
      </c>
      <c r="G14" s="58" t="s">
        <v>58</v>
      </c>
      <c r="H14" s="57" t="s">
        <v>59</v>
      </c>
      <c r="I14" s="57" t="s">
        <v>60</v>
      </c>
      <c r="J14" s="57" t="s">
        <v>61</v>
      </c>
      <c r="K14" s="57" t="s">
        <v>61</v>
      </c>
      <c r="L14" s="57" t="s">
        <v>62</v>
      </c>
      <c r="M14" s="59" t="s">
        <v>63</v>
      </c>
      <c r="N14" s="60" t="s">
        <v>64</v>
      </c>
      <c r="O14" s="123"/>
      <c r="P14" s="123"/>
      <c r="Q14" s="124"/>
    </row>
    <row r="15" spans="1:17" ht="17.25" customHeight="1" thickBot="1" x14ac:dyDescent="0.3">
      <c r="A15" s="61">
        <v>16</v>
      </c>
      <c r="B15" s="62">
        <v>0</v>
      </c>
      <c r="C15" s="62">
        <v>0</v>
      </c>
      <c r="D15" s="62">
        <v>1</v>
      </c>
      <c r="E15" s="62">
        <v>0</v>
      </c>
      <c r="F15" s="62">
        <v>10</v>
      </c>
      <c r="G15" s="62">
        <v>2</v>
      </c>
      <c r="H15" s="62">
        <v>1</v>
      </c>
      <c r="I15" s="62" t="str">
        <f>LEFT('Necesidades Trimestrales'!D9,1)</f>
        <v>3</v>
      </c>
      <c r="J15" s="62" t="str">
        <f>MID('Necesidades Trimestrales'!D9,3,1)</f>
        <v>5</v>
      </c>
      <c r="K15" s="62" t="str">
        <f>RIGHT('Necesidades Trimestrales'!D9,1)</f>
        <v>4</v>
      </c>
      <c r="L15" s="62">
        <v>0</v>
      </c>
      <c r="M15" s="63">
        <v>1</v>
      </c>
      <c r="N15" s="62" t="s">
        <v>65</v>
      </c>
      <c r="O15" s="138" t="s">
        <v>66</v>
      </c>
      <c r="P15" s="139"/>
      <c r="Q15" s="64">
        <f>'Necesidades Trimestrales'!I9</f>
        <v>90297.39</v>
      </c>
    </row>
    <row r="16" spans="1:17" ht="17.25" customHeight="1" x14ac:dyDescent="0.25">
      <c r="A16" s="125" t="s">
        <v>67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7">
        <f>SUM(Q15)</f>
        <v>90297.39</v>
      </c>
    </row>
    <row r="17" spans="1:17" ht="14.25" customHeight="1" thickBot="1" x14ac:dyDescent="0.3">
      <c r="A17" s="116" t="str">
        <f>' NotaPedido'!D13</f>
        <v>Un Millon Quinientos Diecisiete Mil Cientoo Noventa y Nuene con 57/100</v>
      </c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28"/>
    </row>
    <row r="18" spans="1:17" ht="18" customHeight="1" thickBot="1" x14ac:dyDescent="0.3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</row>
    <row r="19" spans="1:17" ht="17.25" customHeight="1" thickBot="1" x14ac:dyDescent="0.3">
      <c r="A19" s="111" t="s">
        <v>68</v>
      </c>
      <c r="B19" s="112"/>
      <c r="C19" s="112"/>
      <c r="D19" s="112"/>
      <c r="E19" s="112"/>
      <c r="F19" s="113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</row>
    <row r="20" spans="1:17" ht="18" customHeight="1" thickBot="1" x14ac:dyDescent="0.3">
      <c r="A20" s="115" t="s">
        <v>69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</row>
    <row r="21" spans="1:17" ht="15" customHeight="1" x14ac:dyDescent="0.25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</row>
  </sheetData>
  <mergeCells count="26">
    <mergeCell ref="A16:P16"/>
    <mergeCell ref="Q16:Q17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A9:N9"/>
    <mergeCell ref="A10:Q10"/>
    <mergeCell ref="A12:Q12"/>
    <mergeCell ref="A13:N13"/>
    <mergeCell ref="O13:P14"/>
    <mergeCell ref="Q13:Q14"/>
    <mergeCell ref="A19:F19"/>
    <mergeCell ref="G19:Q19"/>
    <mergeCell ref="A20:Q21"/>
    <mergeCell ref="A17:P17"/>
    <mergeCell ref="A18:Q18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</vt:lpstr>
      <vt:lpstr>PQUE_AUTOMOTOR SAF7 2021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Armeria</dc:creator>
  <cp:lastModifiedBy>ELIAS QUINTAR</cp:lastModifiedBy>
  <cp:revision>2</cp:revision>
  <cp:lastPrinted>2021-09-01T13:23:39Z</cp:lastPrinted>
  <dcterms:created xsi:type="dcterms:W3CDTF">2020-07-17T23:44:49Z</dcterms:created>
  <dcterms:modified xsi:type="dcterms:W3CDTF">2021-11-03T13:43:03Z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