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LVINA ATENCIO\Downloads\"/>
    </mc:Choice>
  </mc:AlternateContent>
  <xr:revisionPtr revIDLastSave="0" documentId="8_{F075FE51-6607-4344-A6F8-D0B79270DD6A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ELEM. LIMPIEZA" sheetId="4" r:id="rId1"/>
    <sheet name="Autor Gastar" sheetId="3" r:id="rId2"/>
  </sheets>
  <definedNames>
    <definedName name="_xlnm._FilterDatabase" localSheetId="0" hidden="1">'ELEM. LIMPIEZA'!$A$9:$I$45</definedName>
    <definedName name="_xlnm.Print_Area" localSheetId="1">'Autor Gastar'!$A$1:$Q$26</definedName>
  </definedNames>
  <calcPr calcId="181029"/>
</workbook>
</file>

<file path=xl/calcChain.xml><?xml version="1.0" encoding="utf-8"?>
<calcChain xmlns="http://schemas.openxmlformats.org/spreadsheetml/2006/main">
  <c r="Q22" i="3" l="1"/>
  <c r="A22" i="3" l="1"/>
  <c r="G7" i="3" l="1"/>
  <c r="I43" i="4"/>
  <c r="I42" i="4"/>
  <c r="D42" i="4"/>
  <c r="I41" i="4"/>
  <c r="D41" i="4"/>
  <c r="I40" i="4"/>
  <c r="I39" i="4"/>
  <c r="I38" i="4"/>
  <c r="I37" i="4"/>
  <c r="D37" i="4"/>
  <c r="I36" i="4"/>
  <c r="D36" i="4"/>
  <c r="I35" i="4"/>
  <c r="D35" i="4"/>
  <c r="I34" i="4"/>
  <c r="D34" i="4"/>
  <c r="I33" i="4"/>
  <c r="D33" i="4"/>
  <c r="I32" i="4"/>
  <c r="D32" i="4"/>
  <c r="I31" i="4"/>
  <c r="D31" i="4"/>
  <c r="I30" i="4"/>
  <c r="D30" i="4"/>
  <c r="I29" i="4"/>
  <c r="D29" i="4"/>
  <c r="I28" i="4"/>
  <c r="D28" i="4"/>
  <c r="I27" i="4"/>
  <c r="D27" i="4"/>
  <c r="I26" i="4"/>
  <c r="D26" i="4"/>
  <c r="I25" i="4"/>
  <c r="D25" i="4"/>
  <c r="I24" i="4"/>
  <c r="I23" i="4"/>
  <c r="D23" i="4"/>
  <c r="I22" i="4"/>
  <c r="D22" i="4"/>
  <c r="I21" i="4"/>
  <c r="D21" i="4"/>
  <c r="I20" i="4"/>
  <c r="D20" i="4"/>
  <c r="I19" i="4"/>
  <c r="D19" i="4"/>
  <c r="I18" i="4"/>
  <c r="D18" i="4"/>
  <c r="I17" i="4"/>
  <c r="D17" i="4"/>
  <c r="I16" i="4"/>
  <c r="D16" i="4"/>
  <c r="I15" i="4"/>
  <c r="D15" i="4"/>
  <c r="I14" i="4"/>
  <c r="D14" i="4"/>
  <c r="I13" i="4"/>
  <c r="I12" i="4"/>
  <c r="D12" i="4"/>
  <c r="I11" i="4"/>
  <c r="D11" i="4"/>
  <c r="I10" i="4"/>
  <c r="I45" i="4" l="1"/>
</calcChain>
</file>

<file path=xl/sharedStrings.xml><?xml version="1.0" encoding="utf-8"?>
<sst xmlns="http://schemas.openxmlformats.org/spreadsheetml/2006/main" count="219" uniqueCount="145">
  <si>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</si>
  <si>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</si>
  <si>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</si>
  <si>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</si>
  <si>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</si>
  <si>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</si>
  <si>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</si>
  <si>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</si>
  <si>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</si>
  <si>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</si>
  <si>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</si>
  <si>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</si>
  <si>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</si>
  <si>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</si>
  <si>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Plazos y lugares de entrega</t>
  </si>
  <si>
    <t>Mantenimiento</t>
  </si>
  <si>
    <t>AUTORIZACION PARA GASTAR</t>
  </si>
  <si>
    <t>JURISDICCIÓN:</t>
  </si>
  <si>
    <t>UNIDAD EJECUTORA:</t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</si>
  <si>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</si>
  <si>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</si>
  <si>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</si>
  <si>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</si>
  <si>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</si>
  <si>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</si>
  <si>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</si>
  <si>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</si>
  <si>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</si>
  <si>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</si>
  <si>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</si>
  <si>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</si>
  <si>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</si>
  <si>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</si>
  <si>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</si>
  <si>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</si>
  <si>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</si>
  <si>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</si>
  <si>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</si>
  <si>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SAF:</t>
  </si>
  <si>
    <t xml:space="preserve">DEPENDENCIA SOLICITANTE: </t>
  </si>
  <si>
    <r>
      <t>AUTORIZACIÓN</t>
    </r>
    <r>
      <rPr>
        <b/>
        <sz val="10"/>
        <rFont val="Century Gothic"/>
        <family val="2"/>
      </rPr>
      <t>:</t>
    </r>
  </si>
  <si>
    <t>1.1</t>
  </si>
  <si>
    <t>12 -Ministerio de Trabajo y Recursos Humanos</t>
  </si>
  <si>
    <t>Ministerio de Trabajo y Reursos Humanos</t>
  </si>
  <si>
    <t>UNIDAD</t>
  </si>
  <si>
    <t>Descripción técnica</t>
  </si>
  <si>
    <t>2.3.4-5442.13</t>
  </si>
  <si>
    <t>BAZAR Y MENAJE</t>
  </si>
  <si>
    <r>
      <rPr>
        <b/>
        <sz val="11"/>
        <rFont val="Times New Roman"/>
        <family val="1"/>
      </rPr>
      <t>ROLLOS P/COCINA</t>
    </r>
    <r>
      <rPr>
        <sz val="11"/>
        <rFont val="Times New Roman"/>
        <family val="1"/>
      </rPr>
      <t>; DIMENSION: 21 X 20 Cm, PRESENTACION: ENVASE X 3 UN</t>
    </r>
  </si>
  <si>
    <t>ELEMENTOS DE LIMPIEZA</t>
  </si>
  <si>
    <t>2.3.4-786.80</t>
  </si>
  <si>
    <r>
      <rPr>
        <b/>
        <sz val="11"/>
        <rFont val="Times New Roman"/>
        <family val="1"/>
      </rPr>
      <t>PAPEL HIGIENICO</t>
    </r>
    <r>
      <rPr>
        <sz val="11"/>
        <rFont val="Times New Roman"/>
        <family val="1"/>
      </rPr>
      <t>; PRESENTACION: PAQUETE X 4, TIPO: ROLLO, ANCHO: 10 Cm, LARGO: 90 M, TIPO DE HOJA: DOBLE</t>
    </r>
  </si>
  <si>
    <t>2.4.3-2335.2</t>
  </si>
  <si>
    <r>
      <rPr>
        <b/>
        <sz val="11"/>
        <rFont val="Times New Roman"/>
        <family val="1"/>
      </rPr>
      <t>SOPAPAS DE GOMA</t>
    </r>
    <r>
      <rPr>
        <sz val="11"/>
        <rFont val="Times New Roman"/>
        <family val="1"/>
      </rPr>
      <t>; TIPO: REFORZADA</t>
    </r>
  </si>
  <si>
    <t>2.5.4-505.73</t>
  </si>
  <si>
    <r>
      <t xml:space="preserve">DESINFECTANTES; PRINCIPIO ACTIVO: 2-FENILFENOL, CONTROL: </t>
    </r>
    <r>
      <rPr>
        <b/>
        <sz val="11"/>
        <rFont val="Times New Roman"/>
        <family val="1"/>
      </rPr>
      <t>BACTERIAS, HONGOS Y VIRUS</t>
    </r>
    <r>
      <rPr>
        <sz val="11"/>
        <rFont val="Times New Roman"/>
        <family val="1"/>
      </rPr>
      <t>, PRESENTACION: ENVASE X 360 CM3</t>
    </r>
  </si>
  <si>
    <t>2.5.4-506.192</t>
  </si>
  <si>
    <t>2.5.4-506.194</t>
  </si>
  <si>
    <r>
      <t xml:space="preserve">INSECTICIDAS; PRINCIPIO ACTIVO: TETRAMETRINA, </t>
    </r>
    <r>
      <rPr>
        <b/>
        <sz val="11"/>
        <rFont val="Times New Roman"/>
        <family val="1"/>
      </rPr>
      <t>CONTROL: HORMIGAS</t>
    </r>
    <r>
      <rPr>
        <sz val="11"/>
        <rFont val="Times New Roman"/>
        <family val="1"/>
      </rPr>
      <t>, ACCION: VOLTEO Y RESIDUAL, PRESENTACION: ENVASE X 360 CM3</t>
    </r>
  </si>
  <si>
    <t>2.9.1-1156.1</t>
  </si>
  <si>
    <r>
      <rPr>
        <b/>
        <sz val="11"/>
        <rFont val="Times New Roman"/>
        <family val="1"/>
      </rPr>
      <t>PLUMEROS</t>
    </r>
    <r>
      <rPr>
        <sz val="11"/>
        <rFont val="Times New Roman"/>
        <family val="1"/>
      </rPr>
      <t>; PLUMA: SINTETICA, CLASE: SUAVE, MATERIAL MANGO: MADERA, LARGO MANGO: 60 Cm, Nº VUELTAS PENACHO: 6, TIPO: SUAVE</t>
    </r>
  </si>
  <si>
    <t>2.9.1-1164.18</t>
  </si>
  <si>
    <r>
      <rPr>
        <b/>
        <sz val="11"/>
        <rFont val="Times New Roman"/>
        <family val="1"/>
      </rPr>
      <t>ESPONJAS; MATERIAL: METAL</t>
    </r>
    <r>
      <rPr>
        <sz val="11"/>
        <rFont val="Times New Roman"/>
        <family val="1"/>
      </rPr>
      <t>, USO: PARA COCINA, ADITAMENTO: SIN VALOR, FORMA: REDONDA, LARGO X ANCHO X ESP: ROLLO X 30 GR, COLOR: DORADO</t>
    </r>
  </si>
  <si>
    <t>2.9.1-1164.35</t>
  </si>
  <si>
    <r>
      <rPr>
        <b/>
        <sz val="11"/>
        <rFont val="Times New Roman"/>
        <family val="1"/>
      </rPr>
      <t>ESPONJAS; MATERIAL: FIBRA</t>
    </r>
    <r>
      <rPr>
        <sz val="11"/>
        <rFont val="Times New Roman"/>
        <family val="1"/>
      </rPr>
      <t>, USO: DOMESTICO, ADITAMENTO: FIBRA, FORMA: RECTANGULAR, LARGO X ANCHO X ESP: 10 X 6 X 4 Cm</t>
    </r>
  </si>
  <si>
    <t>2.9.1-2661.20</t>
  </si>
  <si>
    <r>
      <rPr>
        <b/>
        <sz val="11"/>
        <rFont val="Times New Roman"/>
        <family val="1"/>
      </rPr>
      <t>TACHOS DE RESIDUOS</t>
    </r>
    <r>
      <rPr>
        <sz val="11"/>
        <rFont val="Times New Roman"/>
        <family val="1"/>
      </rPr>
      <t>; MATERIAL: PLASTICO, SECCION: CIRCULAR, DIMENSION: 12 L, TAPA: CON</t>
    </r>
  </si>
  <si>
    <t>2.9.1-544.82</t>
  </si>
  <si>
    <t>2.9.1-564.18</t>
  </si>
  <si>
    <r>
      <rPr>
        <b/>
        <sz val="11"/>
        <rFont val="Times New Roman"/>
        <family val="1"/>
      </rPr>
      <t>BALDES DE PLASTICO</t>
    </r>
    <r>
      <rPr>
        <sz val="11"/>
        <rFont val="Times New Roman"/>
        <family val="1"/>
      </rPr>
      <t>; CAPACIDAD: 14 L</t>
    </r>
  </si>
  <si>
    <t>2.9.1-678.1</t>
  </si>
  <si>
    <r>
      <rPr>
        <b/>
        <sz val="11"/>
        <rFont val="Times New Roman"/>
        <family val="1"/>
      </rPr>
      <t>TRAPOS REJILLA</t>
    </r>
    <r>
      <rPr>
        <sz val="11"/>
        <rFont val="Times New Roman"/>
        <family val="1"/>
      </rPr>
      <t>; DIMENSION: 38 X 42 Cm, MATERIAL: PURO ALGODON, COLOR: BLANCO</t>
    </r>
  </si>
  <si>
    <t>2.9.1-683.6</t>
  </si>
  <si>
    <r>
      <rPr>
        <b/>
        <sz val="11"/>
        <rFont val="Times New Roman"/>
        <family val="1"/>
      </rPr>
      <t>SECADORES DE GOMA</t>
    </r>
    <r>
      <rPr>
        <sz val="11"/>
        <rFont val="Times New Roman"/>
        <family val="1"/>
      </rPr>
      <t>; COLOR: NEGRO, LARGO: 50 Cm</t>
    </r>
  </si>
  <si>
    <t>2.9.1-6950.30</t>
  </si>
  <si>
    <r>
      <rPr>
        <b/>
        <sz val="11"/>
        <rFont val="Times New Roman"/>
        <family val="1"/>
      </rPr>
      <t>LUSTRADORES</t>
    </r>
    <r>
      <rPr>
        <sz val="11"/>
        <rFont val="Times New Roman"/>
        <family val="1"/>
      </rPr>
      <t>; TIPO: LUSTRAMUEBLES, PRESENTACION: AEROSOL X 360 CM3</t>
    </r>
  </si>
  <si>
    <t>2.9.1-6951.12</t>
  </si>
  <si>
    <r>
      <t xml:space="preserve">LIMPIADORES; PRESENTACION: ENVASE X 5 L, TIPO: </t>
    </r>
    <r>
      <rPr>
        <b/>
        <sz val="11"/>
        <rFont val="Times New Roman"/>
        <family val="1"/>
      </rPr>
      <t>DETERGENTE</t>
    </r>
  </si>
  <si>
    <t>2.9.1-6951.137</t>
  </si>
  <si>
    <t>2.9.1-6951.30</t>
  </si>
  <si>
    <r>
      <t>LIMPIADORES; TIPO:</t>
    </r>
    <r>
      <rPr>
        <b/>
        <sz val="11"/>
        <rFont val="Times New Roman"/>
        <family val="1"/>
      </rPr>
      <t xml:space="preserve"> LAVANDINA</t>
    </r>
    <r>
      <rPr>
        <sz val="11"/>
        <rFont val="Times New Roman"/>
        <family val="1"/>
      </rPr>
      <t>, PRESENTACION: ENVASE X 5 L</t>
    </r>
  </si>
  <si>
    <t>2.9.1-6951.98</t>
  </si>
  <si>
    <r>
      <t>LIMPIADORES; TIPO:</t>
    </r>
    <r>
      <rPr>
        <b/>
        <sz val="11"/>
        <rFont val="Times New Roman"/>
        <family val="1"/>
      </rPr>
      <t xml:space="preserve"> LIMPIA ALFOMBRAS</t>
    </r>
    <r>
      <rPr>
        <sz val="11"/>
        <rFont val="Times New Roman"/>
        <family val="1"/>
      </rPr>
      <t>, PRESENTACION: ENVASE X 5 L</t>
    </r>
  </si>
  <si>
    <t>2.9.1-6952.29</t>
  </si>
  <si>
    <r>
      <t>CEPILLOS; TIPO:</t>
    </r>
    <r>
      <rPr>
        <b/>
        <sz val="11"/>
        <rFont val="Times New Roman"/>
        <family val="1"/>
      </rPr>
      <t xml:space="preserve"> ESCOBILLA LIMPIA INODORO</t>
    </r>
    <r>
      <rPr>
        <sz val="11"/>
        <rFont val="Times New Roman"/>
        <family val="1"/>
      </rPr>
      <t>, MATERIAL: PLASTICO</t>
    </r>
  </si>
  <si>
    <t>2.9.1-6952.45</t>
  </si>
  <si>
    <r>
      <t xml:space="preserve">CEPILLOS; TIPO: </t>
    </r>
    <r>
      <rPr>
        <b/>
        <sz val="11"/>
        <rFont val="Times New Roman"/>
        <family val="1"/>
      </rPr>
      <t xml:space="preserve">ESCOBILLA LIMPIAVIDRIOS, </t>
    </r>
    <r>
      <rPr>
        <sz val="11"/>
        <rFont val="Times New Roman"/>
        <family val="1"/>
      </rPr>
      <t>MATERIAL: PLASTICO Y GOMA</t>
    </r>
  </si>
  <si>
    <t>2.9.1-6952.87</t>
  </si>
  <si>
    <r>
      <t>CEPILLOS; TIPO:</t>
    </r>
    <r>
      <rPr>
        <b/>
        <sz val="11"/>
        <rFont val="Times New Roman"/>
        <family val="1"/>
      </rPr>
      <t xml:space="preserve"> ESCOBA</t>
    </r>
    <r>
      <rPr>
        <sz val="11"/>
        <rFont val="Times New Roman"/>
        <family val="1"/>
      </rPr>
      <t>, MATERIAL: PLASTICO</t>
    </r>
  </si>
  <si>
    <t>2.9.1-6956.73</t>
  </si>
  <si>
    <t>2.9.1-6961.9</t>
  </si>
  <si>
    <r>
      <t xml:space="preserve">ELEM. P/LIMPIEZA SANITARIOS; TIPO: </t>
    </r>
    <r>
      <rPr>
        <b/>
        <sz val="11"/>
        <rFont val="Times New Roman"/>
        <family val="1"/>
      </rPr>
      <t xml:space="preserve">PASTILLA DESODORANTE, </t>
    </r>
    <r>
      <rPr>
        <sz val="11"/>
        <rFont val="Times New Roman"/>
        <family val="1"/>
      </rPr>
      <t>PRESENTACION: CAJA X 24 UN</t>
    </r>
  </si>
  <si>
    <t>2.9.1-6963.15</t>
  </si>
  <si>
    <t>2.9.1-714.2</t>
  </si>
  <si>
    <r>
      <rPr>
        <b/>
        <sz val="11"/>
        <rFont val="Times New Roman"/>
        <family val="1"/>
      </rPr>
      <t>FRANELAS</t>
    </r>
    <r>
      <rPr>
        <sz val="11"/>
        <rFont val="Times New Roman"/>
        <family val="1"/>
      </rPr>
      <t>; DIMENSION: 50 X 50 Cm</t>
    </r>
  </si>
  <si>
    <t>2.9.1-761.2</t>
  </si>
  <si>
    <r>
      <rPr>
        <b/>
        <sz val="11"/>
        <rFont val="Times New Roman"/>
        <family val="1"/>
      </rPr>
      <t>GUANTES</t>
    </r>
    <r>
      <rPr>
        <sz val="11"/>
        <rFont val="Times New Roman"/>
        <family val="1"/>
      </rPr>
      <t xml:space="preserve"> P/LIMPIEZA; MATERIAL: LATEX, TAMAÑO: MEDIANO</t>
    </r>
  </si>
  <si>
    <r>
      <t xml:space="preserve">a) </t>
    </r>
    <r>
      <rPr>
        <b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 xml:space="preserve"> Pabellón Nº 20 Ministerio de Trabajo y Recursos Humanos (CAPE), sito en Av. Presidente Castillo y Av.  Venezuela - Capital - De 08 a 12 horas. 
b)</t>
    </r>
    <r>
      <rPr>
        <b/>
        <sz val="10"/>
        <rFont val="Times New Roman"/>
        <family val="1"/>
      </rPr>
      <t xml:space="preserve"> FORMA DE LA ENTREGA</t>
    </r>
    <r>
      <rPr>
        <sz val="10"/>
        <rFont val="Times New Roman"/>
        <family val="1"/>
      </rPr>
      <t xml:space="preserve">: Libre de flete, acarreo y embalaje, como así también, de todo riesgo de pérdida o destrucción total o parcial, por causas ajenas a la Institución.
c)  </t>
    </r>
    <r>
      <rPr>
        <b/>
        <sz val="10"/>
        <rFont val="Times New Roman"/>
        <family val="1"/>
      </rPr>
      <t>PLAZO DE ENTREGA</t>
    </r>
    <r>
      <rPr>
        <sz val="10"/>
        <rFont val="Times New Roman"/>
        <family val="1"/>
      </rPr>
      <t>: El Oferente deberá establecer plazo de entrega de los elementos cotizados, debiendo ser expresado en días hábiles; que no podrá ser superior a cinco (5) días hábiles, contados a partir de la recepción de la comunicación prevista en el Artículo en el Reglamento Parcial N° 2 de la ley 4938.</t>
    </r>
  </si>
  <si>
    <t>Que cumpla íntegramente con lo solicitado</t>
  </si>
  <si>
    <t>30 (treinta) días</t>
  </si>
  <si>
    <t>Productos de Papel y Cartón</t>
  </si>
  <si>
    <t>Insecticidas, Fumigantes y Otros</t>
  </si>
  <si>
    <t>Elementos de Limpieza</t>
  </si>
  <si>
    <t>22 - Secretaria de Administracion del Ministerio de Trabajo y Recursos Humanos</t>
  </si>
  <si>
    <t>2.2.2-1629.172</t>
  </si>
  <si>
    <t>INDUMENT TEXTIL Y CONFECCIONES</t>
  </si>
  <si>
    <r>
      <rPr>
        <b/>
        <sz val="11"/>
        <rFont val="Times New Roman"/>
        <family val="1"/>
      </rPr>
      <t>GUANTES</t>
    </r>
    <r>
      <rPr>
        <sz val="11"/>
        <rFont val="Times New Roman"/>
        <family val="1"/>
      </rPr>
      <t>; PROTECCION: SIN VALOR, MATERIAL: LATEX, TIPO:</t>
    </r>
    <r>
      <rPr>
        <b/>
        <sz val="11"/>
        <rFont val="Times New Roman"/>
        <family val="1"/>
      </rPr>
      <t xml:space="preserve"> EXAMINACION</t>
    </r>
    <r>
      <rPr>
        <sz val="11"/>
        <rFont val="Times New Roman"/>
        <family val="1"/>
      </rPr>
      <t>, INTERIOR: LATEX, LARGO: HASTA MUÑECA, CIERRE: ELASTICO, MATERIAL INTERNO: LATEX</t>
    </r>
  </si>
  <si>
    <t>2.9.1-2661.30</t>
  </si>
  <si>
    <r>
      <rPr>
        <b/>
        <sz val="11"/>
        <rFont val="Times New Roman"/>
        <family val="1"/>
      </rPr>
      <t>TACHOS DE RESIDUOS</t>
    </r>
    <r>
      <rPr>
        <sz val="11"/>
        <rFont val="Times New Roman"/>
        <family val="1"/>
      </rPr>
      <t>; MATERIAL: PLASTICO, SECCION: 30 X 27 Cm, DIMENSION: 15 L, TAPA: A PEDAL</t>
    </r>
  </si>
  <si>
    <t>2.9.1-646.1</t>
  </si>
  <si>
    <r>
      <rPr>
        <b/>
        <sz val="11"/>
        <rFont val="Times New Roman"/>
        <family val="1"/>
      </rPr>
      <t>BOLSAS DE RESIDUOS</t>
    </r>
    <r>
      <rPr>
        <sz val="11"/>
        <rFont val="Times New Roman"/>
        <family val="1"/>
      </rPr>
      <t>; PRESENTACION: BOLSA X 30, ESPESOR: SIN VALOR, DIMENSION: 45 X 60 Cm, COLOR: SIN VALOR</t>
    </r>
  </si>
  <si>
    <r>
      <t xml:space="preserve">LIMPIADORES; TIPO: </t>
    </r>
    <r>
      <rPr>
        <b/>
        <sz val="11"/>
        <rFont val="Times New Roman"/>
        <family val="1"/>
      </rPr>
      <t>QUITASARRO</t>
    </r>
    <r>
      <rPr>
        <sz val="11"/>
        <rFont val="Times New Roman"/>
        <family val="1"/>
      </rPr>
      <t>, PRESENTACION: ENVASE X 5 L</t>
    </r>
  </si>
  <si>
    <t>2.9.1-6951.41</t>
  </si>
  <si>
    <r>
      <t xml:space="preserve">LIMPIADORES; TIPO: </t>
    </r>
    <r>
      <rPr>
        <b/>
        <sz val="11"/>
        <rFont val="Times New Roman"/>
        <family val="1"/>
      </rPr>
      <t>DESINFECTANTE P/PISO,</t>
    </r>
    <r>
      <rPr>
        <sz val="11"/>
        <rFont val="Times New Roman"/>
        <family val="1"/>
      </rPr>
      <t xml:space="preserve"> PRESENTACION: ENVASE X 5 L</t>
    </r>
  </si>
  <si>
    <r>
      <t xml:space="preserve">UTENSILLOS P/HIGIENE PERSONAL; TIPO: </t>
    </r>
    <r>
      <rPr>
        <b/>
        <sz val="11"/>
        <rFont val="Times New Roman"/>
        <family val="1"/>
      </rPr>
      <t>ALCOHOL EN GE</t>
    </r>
    <r>
      <rPr>
        <sz val="11"/>
        <rFont val="Times New Roman"/>
        <family val="1"/>
      </rPr>
      <t>L, PRESENTACION: ENVASE X 5 L</t>
    </r>
  </si>
  <si>
    <t>2.5.2-711.49</t>
  </si>
  <si>
    <t>PROD. MEDICO /FARMACEUTICOS/LAB</t>
  </si>
  <si>
    <t>2.5.2</t>
  </si>
  <si>
    <r>
      <rPr>
        <b/>
        <u/>
        <sz val="11"/>
        <rFont val="Times New Roman"/>
        <family val="1"/>
      </rPr>
      <t xml:space="preserve">ALCOHOL </t>
    </r>
    <r>
      <rPr>
        <sz val="11"/>
        <rFont val="Times New Roman"/>
        <family val="1"/>
      </rPr>
      <t>USO MEDICINAL; PUREZA: 70 %, PRESENTACIÓN: SEGÚN PLIEGO, CANTIDAD: SEGÚN PLIEGO</t>
    </r>
  </si>
  <si>
    <t>2.9.5-428.26</t>
  </si>
  <si>
    <t>PROD. MEDICO/ FARMACEUTICOS/LAB</t>
  </si>
  <si>
    <t>2.9.5</t>
  </si>
  <si>
    <r>
      <rPr>
        <b/>
        <u/>
        <sz val="11"/>
        <rFont val="Times New Roman"/>
        <family val="1"/>
      </rPr>
      <t>BARBIJOS</t>
    </r>
    <r>
      <rPr>
        <sz val="11"/>
        <rFont val="Times New Roman"/>
        <family val="1"/>
      </rPr>
      <t>; TIPO: RECTANGULAR, MATERIAL: POLIPROPILENO, CANTIDAD DE CAPAS: 2, DESCARTABLE: SI, PRESENTACION: ENVASE X 50 UN</t>
    </r>
  </si>
  <si>
    <t>2.7.5-1491.11</t>
  </si>
  <si>
    <t>PULVERIZADORES; MATERIAL: PLASTICO, CAPACIDAD: 500 mL, TIPO: MANUAL</t>
  </si>
  <si>
    <t>ALCOHOL USO MEDICINAL; PUREZA: 70 %, PRESENTACIÓN: BIDONES DE 5 LTS, CANTIDAD: ENVASE POR 5 LTS</t>
  </si>
  <si>
    <t>Autorizo la realización de los  trámites correspondientes, a fin de proveer a  este Organismo los bienes y/o servicios que se detallan en el plan Trimestral ,  afectando la erogación resultante a los créditos presupuestarios aprobados a favor de esta Unidad Ejecutora, conforme al siguiente detalle:"</t>
  </si>
  <si>
    <t>Especificidades Ítem N° 1:</t>
  </si>
  <si>
    <t>Calidad Mínima esperada</t>
  </si>
  <si>
    <t>Garantía</t>
  </si>
  <si>
    <t>22 - Secretaria de Administración del Ministerio de Trabajo y Recursos Humanos</t>
  </si>
  <si>
    <t>Productos Farmacéuticos y Medicinales</t>
  </si>
  <si>
    <t>Útiles Menores Médico, Quirúrgico y de Laboratorio</t>
  </si>
  <si>
    <t>Adquisición de ELEMENTOS DE LIMPIEZA para las distintas dependencias de este Ministerio.</t>
  </si>
  <si>
    <t>2.9.1</t>
  </si>
  <si>
    <t>PAQUETE</t>
  </si>
  <si>
    <r>
      <t xml:space="preserve">GUANTES; PROTECCION: SIN VALOR, MATERIAL: LATEX, TIPO: EXAMINACION, INTERIOR: LATEX, LARGO: HASTA MUÑECA, CIERRE: ELASTICO, MATERIAL INTERNO: LATEX : PRESENTACION </t>
    </r>
    <r>
      <rPr>
        <b/>
        <sz val="10"/>
        <rFont val="Times New Roman"/>
        <family val="1"/>
      </rPr>
      <t>CAJA</t>
    </r>
    <r>
      <rPr>
        <sz val="10"/>
        <rFont val="Times New Roman"/>
        <family val="1"/>
      </rPr>
      <t xml:space="preserve"> POR 100 UNIDADES</t>
    </r>
  </si>
  <si>
    <t>CAJA</t>
  </si>
  <si>
    <r>
      <t xml:space="preserve">DESODORANTES DE AMBIENTE; FORMATO: </t>
    </r>
    <r>
      <rPr>
        <b/>
        <sz val="11"/>
        <rFont val="Times New Roman"/>
        <family val="1"/>
      </rPr>
      <t>AEROSOL, FRAGANCIA</t>
    </r>
    <r>
      <rPr>
        <sz val="11"/>
        <rFont val="Times New Roman"/>
        <family val="1"/>
      </rPr>
      <t>: ORIGINAL, PRESENTACION: ENVASE X 360 CM3, LIBRE DE CFC: SI</t>
    </r>
  </si>
  <si>
    <r>
      <t xml:space="preserve">ARTICULOS DE TOCADOR; TIPO: </t>
    </r>
    <r>
      <rPr>
        <b/>
        <sz val="11"/>
        <rFont val="Times New Roman"/>
        <family val="1"/>
      </rPr>
      <t>JABON LIQUIDO</t>
    </r>
    <r>
      <rPr>
        <sz val="11"/>
        <rFont val="Times New Roman"/>
        <family val="1"/>
      </rPr>
      <t>, PRESENTACION: ENVASE X 5 L</t>
    </r>
  </si>
  <si>
    <t>Especificidades Ítem N° 30:</t>
  </si>
  <si>
    <r>
      <t xml:space="preserve">INSECTICIDAS; PRINCIPIO ACTIVO: TETRAMETRINA, CONTROL: </t>
    </r>
    <r>
      <rPr>
        <b/>
        <sz val="11"/>
        <rFont val="Times New Roman"/>
        <family val="1"/>
      </rPr>
      <t xml:space="preserve">CUCARACHA, </t>
    </r>
    <r>
      <rPr>
        <sz val="11"/>
        <rFont val="Times New Roman"/>
        <family val="1"/>
      </rPr>
      <t>ACCION: CONTROL, PRESENTACION: AEROSOL X 360 CM3</t>
    </r>
  </si>
  <si>
    <t>2.5.8</t>
  </si>
  <si>
    <r>
      <rPr>
        <b/>
        <u/>
        <sz val="10"/>
        <rFont val="Times New Roman"/>
        <family val="1"/>
      </rPr>
      <t>COSTO ESTIMADO TOTAL:</t>
    </r>
    <r>
      <rPr>
        <sz val="10"/>
        <rFont val="Times New Roman"/>
        <family val="1"/>
      </rPr>
      <t xml:space="preserve"> Novecientos Setenta Mil Setecientos Cuarenta y Dos con 40/100</t>
    </r>
  </si>
  <si>
    <t>Productos de Material Plástico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</si>
</sst>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5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u/>
      <sz val="10"/>
      <name val="Century Gothic"/>
      <family val="2"/>
    </font>
    <font>
      <b/>
      <sz val="10"/>
      <name val="Century Gothic"/>
      <family val="2"/>
    </font>
    <font>
      <sz val="11"/>
      <name val="Century Gothic"/>
      <family val="2"/>
    </font>
    <font>
      <b/>
      <sz val="11"/>
      <name val="Century Gothic"/>
      <family val="2"/>
    </font>
    <font>
      <b/>
      <sz val="12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name val="Times New Roman"/>
      <family val="1"/>
    </font>
    <font>
      <u/>
      <sz val="10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0"/>
      <color rgb="FF000000"/>
      <name val="Times New Roman"/>
      <family val="1"/>
    </font>
    <font>
      <b/>
      <sz val="11"/>
      <name val="Times New Roman"/>
      <family val="1"/>
    </font>
    <font>
      <b/>
      <sz val="11"/>
      <color rgb="FF000000"/>
      <name val="Times New Roman"/>
      <family val="1"/>
    </font>
    <font>
      <b/>
      <sz val="22"/>
      <name val="Times New Roman"/>
      <family val="1"/>
    </font>
    <font>
      <sz val="11"/>
      <color rgb="FF000000"/>
      <name val="Times New Roman"/>
      <family val="1"/>
    </font>
    <font>
      <b/>
      <u/>
      <sz val="11"/>
      <name val="Times New Roman"/>
      <family val="1"/>
    </font>
    <font>
      <b/>
      <sz val="14"/>
      <name val="Times New Roman"/>
      <family val="1"/>
    </font>
    <font>
      <b/>
      <u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56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3D3D3D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rgb="FF3D3D3D"/>
      </bottom>
      <diagonal/>
    </border>
    <border>
      <left/>
      <right/>
      <top style="medium">
        <color indexed="64"/>
      </top>
      <bottom style="medium">
        <color rgb="FF3D3D3D"/>
      </bottom>
      <diagonal/>
    </border>
    <border>
      <left/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/>
      <diagonal/>
    </border>
    <border>
      <left/>
      <right style="medium">
        <color rgb="FF3D3D3D"/>
      </right>
      <top style="medium">
        <color indexed="64"/>
      </top>
      <bottom/>
      <diagonal/>
    </border>
    <border>
      <left style="medium">
        <color rgb="FF3D3D3D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/>
      <top/>
      <bottom style="medium">
        <color indexed="64"/>
      </bottom>
      <diagonal/>
    </border>
    <border>
      <left/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medium">
        <color indexed="64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/>
      <right style="thick">
        <color auto="1"/>
      </right>
      <top style="medium">
        <color indexed="64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165" fontId="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61">
    <xf numFmtId="0" fontId="0" fillId="0" borderId="0" xfId="0"/>
    <xf numFmtId="0" fontId="5" fillId="0" borderId="0" xfId="0" applyFont="1"/>
    <xf numFmtId="0" fontId="5" fillId="0" borderId="0" xfId="0" applyFont="1" applyBorder="1"/>
    <xf numFmtId="3" fontId="10" fillId="0" borderId="0" xfId="0" applyNumberFormat="1" applyFont="1" applyBorder="1" applyAlignment="1"/>
    <xf numFmtId="168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10" xfId="0" applyFont="1" applyBorder="1"/>
    <xf numFmtId="0" fontId="5" fillId="0" borderId="18" xfId="0" applyFont="1" applyBorder="1"/>
    <xf numFmtId="0" fontId="5" fillId="0" borderId="11" xfId="0" applyFont="1" applyBorder="1"/>
    <xf numFmtId="0" fontId="5" fillId="0" borderId="11" xfId="0" applyFont="1" applyBorder="1" applyAlignment="1">
      <alignment horizontal="left"/>
    </xf>
    <xf numFmtId="0" fontId="5" fillId="0" borderId="19" xfId="0" applyFont="1" applyBorder="1"/>
    <xf numFmtId="0" fontId="13" fillId="0" borderId="0" xfId="0" applyFont="1"/>
    <xf numFmtId="0" fontId="13" fillId="0" borderId="0" xfId="0" applyFont="1" applyAlignment="1">
      <alignment horizontal="center" vertical="center"/>
    </xf>
    <xf numFmtId="0" fontId="13" fillId="0" borderId="3" xfId="0" applyFont="1" applyBorder="1"/>
    <xf numFmtId="0" fontId="13" fillId="0" borderId="0" xfId="0" applyFont="1" applyBorder="1"/>
    <xf numFmtId="0" fontId="13" fillId="0" borderId="8" xfId="0" applyFont="1" applyBorder="1"/>
    <xf numFmtId="0" fontId="13" fillId="0" borderId="5" xfId="0" applyFont="1" applyBorder="1" applyAlignment="1">
      <alignment horizontal="left" indent="3"/>
    </xf>
    <xf numFmtId="0" fontId="14" fillId="0" borderId="5" xfId="0" applyFont="1" applyBorder="1" applyAlignment="1">
      <alignment horizontal="left" indent="3"/>
    </xf>
    <xf numFmtId="0" fontId="13" fillId="0" borderId="7" xfId="0" applyFont="1" applyBorder="1" applyAlignment="1">
      <alignment horizontal="left" indent="3"/>
    </xf>
    <xf numFmtId="0" fontId="13" fillId="0" borderId="0" xfId="0" applyFont="1" applyBorder="1" applyAlignment="1">
      <alignment horizontal="center" wrapText="1"/>
    </xf>
    <xf numFmtId="0" fontId="13" fillId="0" borderId="6" xfId="0" applyFont="1" applyFill="1" applyBorder="1" applyAlignment="1">
      <alignment horizontal="center"/>
    </xf>
    <xf numFmtId="167" fontId="5" fillId="0" borderId="0" xfId="0" applyNumberFormat="1" applyFont="1"/>
    <xf numFmtId="0" fontId="5" fillId="0" borderId="28" xfId="0" applyFont="1" applyFill="1" applyBorder="1" applyAlignment="1">
      <alignment horizontal="center" vertical="center"/>
    </xf>
    <xf numFmtId="0" fontId="8" fillId="0" borderId="40" xfId="0" applyFont="1" applyBorder="1" applyAlignment="1">
      <alignment horizontal="center" vertical="center"/>
    </xf>
    <xf numFmtId="0" fontId="8" fillId="0" borderId="41" xfId="0" applyFont="1" applyBorder="1" applyAlignment="1">
      <alignment horizontal="center" vertical="center"/>
    </xf>
    <xf numFmtId="0" fontId="8" fillId="0" borderId="41" xfId="0" applyFont="1" applyBorder="1" applyAlignment="1">
      <alignment horizontal="left" vertical="center"/>
    </xf>
    <xf numFmtId="0" fontId="8" fillId="0" borderId="42" xfId="0" applyFont="1" applyBorder="1" applyAlignment="1">
      <alignment horizontal="center" vertical="center"/>
    </xf>
    <xf numFmtId="0" fontId="8" fillId="0" borderId="43" xfId="0" applyFont="1" applyBorder="1" applyAlignment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166" fontId="5" fillId="0" borderId="26" xfId="3" applyNumberFormat="1" applyFont="1" applyFill="1" applyBorder="1" applyAlignment="1" applyProtection="1">
      <alignment horizontal="center" vertical="center"/>
    </xf>
    <xf numFmtId="0" fontId="5" fillId="0" borderId="27" xfId="0" applyFont="1" applyFill="1" applyBorder="1" applyAlignment="1">
      <alignment horizontal="center" vertical="center"/>
    </xf>
    <xf numFmtId="166" fontId="5" fillId="0" borderId="29" xfId="3" applyNumberFormat="1" applyFont="1" applyFill="1" applyBorder="1" applyAlignment="1" applyProtection="1">
      <alignment horizontal="center" vertical="center"/>
    </xf>
    <xf numFmtId="0" fontId="11" fillId="0" borderId="0" xfId="0" applyFont="1" applyFill="1" applyAlignment="1">
      <alignment horizontal="center" wrapText="1"/>
    </xf>
    <xf numFmtId="0" fontId="12" fillId="0" borderId="0" xfId="0" applyFont="1" applyFill="1" applyAlignment="1">
      <alignment horizontal="left" wrapText="1"/>
    </xf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wrapText="1"/>
    </xf>
    <xf numFmtId="0" fontId="17" fillId="0" borderId="0" xfId="0" applyFont="1" applyAlignment="1">
      <alignment horizontal="left" wrapText="1"/>
    </xf>
    <xf numFmtId="0" fontId="13" fillId="0" borderId="0" xfId="0" applyFont="1" applyAlignment="1">
      <alignment vertical="center"/>
    </xf>
    <xf numFmtId="0" fontId="15" fillId="0" borderId="27" xfId="0" applyFont="1" applyBorder="1" applyAlignment="1">
      <alignment horizontal="center" vertical="center"/>
    </xf>
    <xf numFmtId="0" fontId="15" fillId="0" borderId="28" xfId="0" applyFont="1" applyBorder="1" applyAlignment="1">
      <alignment vertical="center"/>
    </xf>
    <xf numFmtId="0" fontId="15" fillId="0" borderId="28" xfId="0" applyFont="1" applyBorder="1" applyAlignment="1">
      <alignment vertical="center" wrapText="1"/>
    </xf>
    <xf numFmtId="0" fontId="15" fillId="0" borderId="28" xfId="0" applyFont="1" applyFill="1" applyBorder="1" applyAlignment="1">
      <alignment horizontal="center" vertical="center" wrapText="1"/>
    </xf>
    <xf numFmtId="166" fontId="15" fillId="0" borderId="28" xfId="1" applyNumberFormat="1" applyFont="1" applyFill="1" applyBorder="1" applyAlignment="1" applyProtection="1">
      <alignment horizontal="right" vertical="center" wrapText="1"/>
    </xf>
    <xf numFmtId="166" fontId="15" fillId="0" borderId="29" xfId="1" applyNumberFormat="1" applyFont="1" applyFill="1" applyBorder="1" applyAlignment="1" applyProtection="1">
      <alignment horizontal="right" vertical="center" wrapText="1"/>
    </xf>
    <xf numFmtId="0" fontId="15" fillId="0" borderId="28" xfId="0" applyFont="1" applyFill="1" applyBorder="1" applyAlignment="1">
      <alignment vertical="center" wrapText="1"/>
    </xf>
    <xf numFmtId="0" fontId="13" fillId="0" borderId="0" xfId="0" applyFont="1" applyAlignment="1">
      <alignment wrapText="1"/>
    </xf>
    <xf numFmtId="0" fontId="14" fillId="0" borderId="2" xfId="0" applyFont="1" applyBorder="1"/>
    <xf numFmtId="0" fontId="13" fillId="0" borderId="4" xfId="0" applyFont="1" applyBorder="1" applyAlignment="1">
      <alignment wrapText="1"/>
    </xf>
    <xf numFmtId="0" fontId="13" fillId="0" borderId="5" xfId="0" applyFont="1" applyBorder="1"/>
    <xf numFmtId="0" fontId="13" fillId="0" borderId="6" xfId="0" applyFont="1" applyBorder="1" applyAlignment="1">
      <alignment wrapText="1"/>
    </xf>
    <xf numFmtId="0" fontId="13" fillId="0" borderId="0" xfId="0" applyFont="1" applyFill="1" applyBorder="1" applyAlignment="1">
      <alignment horizontal="center"/>
    </xf>
    <xf numFmtId="0" fontId="13" fillId="0" borderId="6" xfId="0" applyFont="1" applyBorder="1" applyAlignment="1">
      <alignment horizontal="center" wrapText="1"/>
    </xf>
    <xf numFmtId="0" fontId="13" fillId="0" borderId="9" xfId="0" applyFont="1" applyBorder="1" applyAlignment="1">
      <alignment wrapText="1"/>
    </xf>
    <xf numFmtId="0" fontId="15" fillId="0" borderId="28" xfId="0" applyFont="1" applyFill="1" applyBorder="1" applyAlignment="1">
      <alignment horizontal="center" vertical="center"/>
    </xf>
    <xf numFmtId="166" fontId="8" fillId="0" borderId="13" xfId="0" applyNumberFormat="1" applyFont="1" applyBorder="1" applyAlignment="1">
      <alignment horizontal="center" vertical="center"/>
    </xf>
    <xf numFmtId="0" fontId="13" fillId="0" borderId="0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wrapText="1"/>
    </xf>
    <xf numFmtId="0" fontId="13" fillId="0" borderId="6" xfId="0" applyFont="1" applyFill="1" applyBorder="1" applyAlignment="1">
      <alignment horizontal="left" wrapText="1"/>
    </xf>
    <xf numFmtId="0" fontId="12" fillId="0" borderId="49" xfId="0" applyFont="1" applyBorder="1" applyAlignment="1">
      <alignment horizontal="center" vertical="center" wrapText="1"/>
    </xf>
    <xf numFmtId="0" fontId="12" fillId="0" borderId="50" xfId="0" applyFont="1" applyBorder="1" applyAlignment="1">
      <alignment horizontal="center" vertical="center" wrapText="1"/>
    </xf>
    <xf numFmtId="0" fontId="12" fillId="0" borderId="51" xfId="0" applyFont="1" applyBorder="1" applyAlignment="1">
      <alignment horizontal="center" vertical="center" wrapText="1"/>
    </xf>
    <xf numFmtId="0" fontId="12" fillId="0" borderId="52" xfId="0" applyFont="1" applyBorder="1" applyAlignment="1">
      <alignment horizontal="center" vertical="center" wrapText="1"/>
    </xf>
    <xf numFmtId="0" fontId="12" fillId="0" borderId="53" xfId="0" applyFont="1" applyBorder="1" applyAlignment="1">
      <alignment horizontal="center" vertical="center" wrapText="1"/>
    </xf>
    <xf numFmtId="0" fontId="12" fillId="0" borderId="54" xfId="0" applyFont="1" applyBorder="1" applyAlignment="1">
      <alignment horizontal="center" vertical="center" wrapText="1"/>
    </xf>
    <xf numFmtId="0" fontId="15" fillId="0" borderId="24" xfId="0" applyFont="1" applyBorder="1" applyAlignment="1">
      <alignment horizontal="center" vertical="center"/>
    </xf>
    <xf numFmtId="0" fontId="15" fillId="0" borderId="25" xfId="0" applyFont="1" applyBorder="1" applyAlignment="1">
      <alignment vertical="center"/>
    </xf>
    <xf numFmtId="0" fontId="15" fillId="0" borderId="25" xfId="0" applyFont="1" applyBorder="1" applyAlignment="1">
      <alignment vertical="center" wrapText="1"/>
    </xf>
    <xf numFmtId="0" fontId="21" fillId="0" borderId="25" xfId="0" applyFont="1" applyBorder="1" applyAlignment="1">
      <alignment horizontal="center" vertical="center" wrapText="1"/>
    </xf>
    <xf numFmtId="0" fontId="15" fillId="0" borderId="25" xfId="0" applyFont="1" applyFill="1" applyBorder="1" applyAlignment="1">
      <alignment horizontal="center" vertical="center" wrapText="1"/>
    </xf>
    <xf numFmtId="166" fontId="15" fillId="0" borderId="25" xfId="1" applyNumberFormat="1" applyFont="1" applyFill="1" applyBorder="1" applyAlignment="1" applyProtection="1">
      <alignment horizontal="right" vertical="center" wrapText="1"/>
    </xf>
    <xf numFmtId="166" fontId="15" fillId="0" borderId="26" xfId="1" applyNumberFormat="1" applyFont="1" applyFill="1" applyBorder="1" applyAlignment="1" applyProtection="1">
      <alignment horizontal="right" vertical="center" wrapText="1"/>
    </xf>
    <xf numFmtId="0" fontId="21" fillId="0" borderId="28" xfId="0" applyFont="1" applyBorder="1" applyAlignment="1">
      <alignment horizontal="center" vertical="center" wrapText="1"/>
    </xf>
    <xf numFmtId="0" fontId="13" fillId="0" borderId="6" xfId="0" applyFont="1" applyBorder="1"/>
    <xf numFmtId="0" fontId="14" fillId="0" borderId="5" xfId="0" applyFont="1" applyBorder="1"/>
    <xf numFmtId="0" fontId="14" fillId="0" borderId="0" xfId="0" applyFont="1" applyBorder="1" applyAlignment="1">
      <alignment vertical="center" wrapText="1"/>
    </xf>
    <xf numFmtId="0" fontId="13" fillId="0" borderId="0" xfId="0" applyFont="1" applyBorder="1" applyAlignment="1">
      <alignment vertical="center" wrapText="1"/>
    </xf>
    <xf numFmtId="0" fontId="13" fillId="0" borderId="6" xfId="0" applyFont="1" applyBorder="1" applyAlignment="1">
      <alignment vertical="center" wrapText="1"/>
    </xf>
    <xf numFmtId="166" fontId="23" fillId="0" borderId="9" xfId="0" applyNumberFormat="1" applyFont="1" applyBorder="1"/>
    <xf numFmtId="167" fontId="13" fillId="0" borderId="0" xfId="0" applyNumberFormat="1" applyFont="1"/>
    <xf numFmtId="0" fontId="20" fillId="0" borderId="0" xfId="0" applyFont="1" applyBorder="1" applyAlignment="1">
      <alignment horizontal="center"/>
    </xf>
    <xf numFmtId="0" fontId="19" fillId="0" borderId="0" xfId="0" applyFont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left" vertical="center" wrapText="1"/>
    </xf>
    <xf numFmtId="0" fontId="13" fillId="0" borderId="0" xfId="0" applyNumberFormat="1" applyFont="1" applyFill="1" applyBorder="1" applyAlignment="1">
      <alignment horizontal="left" vertical="center" wrapText="1"/>
    </xf>
    <xf numFmtId="0" fontId="13" fillId="0" borderId="6" xfId="0" applyNumberFormat="1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6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wrapText="1"/>
    </xf>
    <xf numFmtId="0" fontId="13" fillId="0" borderId="6" xfId="0" applyFont="1" applyFill="1" applyBorder="1" applyAlignment="1">
      <alignment horizontal="left" wrapText="1"/>
    </xf>
    <xf numFmtId="0" fontId="13" fillId="0" borderId="31" xfId="0" applyFont="1" applyBorder="1" applyAlignment="1">
      <alignment horizontal="left"/>
    </xf>
    <xf numFmtId="0" fontId="13" fillId="0" borderId="55" xfId="0" applyFont="1" applyBorder="1" applyAlignment="1">
      <alignment horizontal="left"/>
    </xf>
    <xf numFmtId="0" fontId="13" fillId="0" borderId="32" xfId="0" applyFont="1" applyBorder="1" applyAlignment="1">
      <alignment horizontal="left"/>
    </xf>
    <xf numFmtId="0" fontId="9" fillId="0" borderId="17" xfId="0" applyFont="1" applyFill="1" applyBorder="1" applyAlignment="1">
      <alignment horizontal="left" vertical="center" wrapText="1" indent="1"/>
    </xf>
    <xf numFmtId="0" fontId="9" fillId="0" borderId="0" xfId="0" applyFont="1" applyFill="1" applyBorder="1" applyAlignment="1">
      <alignment horizontal="left" vertical="center" wrapText="1" indent="1"/>
    </xf>
    <xf numFmtId="0" fontId="9" fillId="0" borderId="10" xfId="0" applyFont="1" applyFill="1" applyBorder="1" applyAlignment="1">
      <alignment horizontal="left" vertical="center" wrapText="1" indent="1"/>
    </xf>
    <xf numFmtId="0" fontId="9" fillId="0" borderId="18" xfId="0" applyFont="1" applyFill="1" applyBorder="1" applyAlignment="1">
      <alignment horizontal="left" vertical="center" wrapText="1" indent="1"/>
    </xf>
    <xf numFmtId="0" fontId="9" fillId="0" borderId="11" xfId="0" applyFont="1" applyFill="1" applyBorder="1" applyAlignment="1">
      <alignment horizontal="left" vertical="center" wrapText="1" indent="1"/>
    </xf>
    <xf numFmtId="0" fontId="9" fillId="0" borderId="19" xfId="0" applyFont="1" applyFill="1" applyBorder="1" applyAlignment="1">
      <alignment horizontal="left" vertical="center" wrapText="1" indent="1"/>
    </xf>
    <xf numFmtId="0" fontId="10" fillId="0" borderId="15" xfId="0" applyFont="1" applyBorder="1" applyAlignment="1">
      <alignment horizontal="left" vertical="center" wrapText="1"/>
    </xf>
    <xf numFmtId="0" fontId="10" fillId="0" borderId="23" xfId="0" applyFont="1" applyBorder="1" applyAlignment="1">
      <alignment horizontal="left" vertical="center" wrapText="1"/>
    </xf>
    <xf numFmtId="0" fontId="10" fillId="0" borderId="16" xfId="0" applyFont="1" applyBorder="1" applyAlignment="1">
      <alignment horizontal="left" vertical="center" wrapText="1"/>
    </xf>
    <xf numFmtId="0" fontId="5" fillId="0" borderId="17" xfId="0" applyFont="1" applyBorder="1"/>
    <xf numFmtId="0" fontId="5" fillId="0" borderId="0" xfId="0" applyFont="1" applyBorder="1"/>
    <xf numFmtId="0" fontId="5" fillId="0" borderId="10" xfId="0" applyFont="1" applyBorder="1"/>
    <xf numFmtId="0" fontId="5" fillId="0" borderId="28" xfId="0" applyFont="1" applyFill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 wrapText="1"/>
    </xf>
    <xf numFmtId="0" fontId="8" fillId="0" borderId="38" xfId="0" applyFont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0" fontId="8" fillId="0" borderId="45" xfId="0" applyFont="1" applyBorder="1" applyAlignment="1">
      <alignment horizontal="center" vertical="center" wrapText="1"/>
    </xf>
    <xf numFmtId="0" fontId="8" fillId="0" borderId="39" xfId="0" applyFont="1" applyBorder="1" applyAlignment="1">
      <alignment horizontal="center" vertical="center"/>
    </xf>
    <xf numFmtId="0" fontId="8" fillId="0" borderId="46" xfId="0" applyFont="1" applyBorder="1" applyAlignment="1">
      <alignment horizontal="center" vertical="center"/>
    </xf>
    <xf numFmtId="0" fontId="10" fillId="0" borderId="15" xfId="0" applyFont="1" applyBorder="1" applyAlignment="1">
      <alignment vertical="center" wrapText="1"/>
    </xf>
    <xf numFmtId="0" fontId="10" fillId="0" borderId="23" xfId="0" applyFont="1" applyBorder="1" applyAlignment="1">
      <alignment vertical="center" wrapText="1"/>
    </xf>
    <xf numFmtId="0" fontId="10" fillId="0" borderId="16" xfId="0" applyFont="1" applyBorder="1" applyAlignment="1">
      <alignment vertical="center" wrapText="1"/>
    </xf>
    <xf numFmtId="0" fontId="9" fillId="0" borderId="33" xfId="0" applyFont="1" applyBorder="1" applyAlignment="1">
      <alignment vertical="center" wrapText="1"/>
    </xf>
    <xf numFmtId="0" fontId="9" fillId="0" borderId="30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5" fillId="0" borderId="47" xfId="0" applyFont="1" applyFill="1" applyBorder="1" applyAlignment="1">
      <alignment horizontal="center" vertical="center" wrapText="1"/>
    </xf>
    <xf numFmtId="0" fontId="5" fillId="0" borderId="48" xfId="0" applyFont="1" applyFill="1" applyBorder="1" applyAlignment="1">
      <alignment horizontal="center" vertical="center" wrapText="1"/>
    </xf>
    <xf numFmtId="0" fontId="5" fillId="0" borderId="31" xfId="0" applyFont="1" applyFill="1" applyBorder="1" applyAlignment="1">
      <alignment horizontal="center" vertical="center" wrapText="1"/>
    </xf>
    <xf numFmtId="0" fontId="5" fillId="0" borderId="32" xfId="0" applyFont="1" applyFill="1" applyBorder="1" applyAlignment="1">
      <alignment horizontal="center" vertical="center" wrapText="1"/>
    </xf>
    <xf numFmtId="0" fontId="5" fillId="0" borderId="15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3" fontId="10" fillId="0" borderId="23" xfId="0" applyNumberFormat="1" applyFont="1" applyBorder="1" applyAlignment="1">
      <alignment horizontal="center"/>
    </xf>
    <xf numFmtId="3" fontId="10" fillId="0" borderId="16" xfId="0" applyNumberFormat="1" applyFont="1" applyBorder="1" applyAlignment="1">
      <alignment horizontal="center"/>
    </xf>
    <xf numFmtId="0" fontId="6" fillId="0" borderId="14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5" fillId="0" borderId="12" xfId="0" applyFont="1" applyBorder="1"/>
    <xf numFmtId="0" fontId="5" fillId="0" borderId="21" xfId="0" applyFont="1" applyBorder="1"/>
    <xf numFmtId="0" fontId="5" fillId="0" borderId="22" xfId="0" applyFont="1" applyBorder="1"/>
    <xf numFmtId="49" fontId="9" fillId="0" borderId="12" xfId="0" applyNumberFormat="1" applyFont="1" applyBorder="1" applyAlignment="1">
      <alignment horizontal="left"/>
    </xf>
    <xf numFmtId="49" fontId="9" fillId="0" borderId="21" xfId="0" applyNumberFormat="1" applyFont="1" applyBorder="1" applyAlignment="1">
      <alignment horizontal="left"/>
    </xf>
    <xf numFmtId="49" fontId="9" fillId="0" borderId="22" xfId="0" applyNumberFormat="1" applyFont="1" applyBorder="1" applyAlignment="1">
      <alignment horizontal="left"/>
    </xf>
    <xf numFmtId="0" fontId="9" fillId="0" borderId="14" xfId="0" applyFont="1" applyBorder="1"/>
    <xf numFmtId="0" fontId="9" fillId="0" borderId="30" xfId="0" applyFont="1" applyBorder="1"/>
    <xf numFmtId="0" fontId="9" fillId="0" borderId="17" xfId="0" applyFont="1" applyBorder="1" applyAlignment="1">
      <alignment horizontal="left" vertical="center" wrapText="1" indent="1"/>
    </xf>
    <xf numFmtId="0" fontId="9" fillId="0" borderId="0" xfId="0" applyFont="1" applyBorder="1" applyAlignment="1">
      <alignment horizontal="left" vertical="center" wrapText="1" indent="1"/>
    </xf>
    <xf numFmtId="0" fontId="9" fillId="0" borderId="10" xfId="0" applyFont="1" applyBorder="1" applyAlignment="1">
      <alignment horizontal="left" vertical="center" wrapText="1" indent="1"/>
    </xf>
    <xf numFmtId="0" fontId="8" fillId="0" borderId="14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5" fillId="0" borderId="12" xfId="0" applyFont="1" applyBorder="1" applyAlignment="1">
      <alignment horizontal="left" vertical="center" wrapText="1"/>
    </xf>
    <xf numFmtId="0" fontId="5" fillId="0" borderId="21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/>
    </xf>
    <xf numFmtId="0" fontId="9" fillId="0" borderId="21" xfId="0" applyFont="1" applyBorder="1" applyAlignment="1">
      <alignment horizontal="left"/>
    </xf>
    <xf numFmtId="0" fontId="9" fillId="0" borderId="22" xfId="0" applyFont="1" applyBorder="1" applyAlignment="1">
      <alignment horizontal="left"/>
    </xf>
    <xf numFmtId="0" fontId="7" fillId="0" borderId="12" xfId="0" applyFont="1" applyBorder="1" applyAlignment="1">
      <alignment horizontal="left"/>
    </xf>
    <xf numFmtId="0" fontId="7" fillId="0" borderId="21" xfId="0" applyFont="1" applyBorder="1" applyAlignment="1">
      <alignment horizontal="left"/>
    </xf>
    <xf numFmtId="0" fontId="7" fillId="0" borderId="22" xfId="0" applyFont="1" applyBorder="1" applyAlignment="1">
      <alignment horizontal="left"/>
    </xf>
    <xf numFmtId="0" fontId="9" fillId="0" borderId="12" xfId="0" applyFont="1" applyBorder="1" applyAlignment="1">
      <alignment horizontal="left" indent="1"/>
    </xf>
    <xf numFmtId="0" fontId="9" fillId="0" borderId="21" xfId="0" applyFont="1" applyBorder="1" applyAlignment="1">
      <alignment horizontal="left" indent="1"/>
    </xf>
    <xf numFmtId="0" fontId="9" fillId="0" borderId="22" xfId="0" applyFont="1" applyBorder="1" applyAlignment="1">
      <alignment horizontal="left" indent="1"/>
    </xf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4"/>
  <sheetViews>
    <sheetView tabSelected="1" zoomScale="90" zoomScaleNormal="90" workbookViewId="0">
      <selection activeCell="I54" sqref="I54"/>
    </sheetView>
  </sheetViews>
  <sheetFormatPr baseColWidth="10" defaultColWidth="11" defaultRowHeight="12.75" x14ac:dyDescent="0.2"/>
  <cols>
    <col min="1" max="1" width="4.5703125" style="11" customWidth="1"/>
    <col min="2" max="2" width="14.140625" style="11" customWidth="1"/>
    <col min="3" max="3" width="26.7109375" style="11" customWidth="1"/>
    <col min="4" max="4" width="8.42578125" style="11" customWidth="1"/>
    <col min="5" max="5" width="79" style="46" customWidth="1"/>
    <col min="6" max="6" width="10.28515625" style="12" customWidth="1"/>
    <col min="7" max="7" width="12.7109375" style="11" customWidth="1"/>
    <col min="8" max="8" width="13.85546875" style="11" customWidth="1"/>
    <col min="9" max="9" width="18.5703125" style="11" customWidth="1"/>
    <col min="10" max="16384" width="11" style="11"/>
  </cols>
  <sheetData>
    <row r="1" spans="1:9" ht="37.5" customHeight="1" x14ac:dyDescent="0.2"/>
    <row r="2" spans="1:9" ht="27" x14ac:dyDescent="0.35">
      <c r="B2" s="81" t="s">
        <v>0</v>
      </c>
      <c r="C2" s="81"/>
      <c r="D2" s="81"/>
      <c r="E2" s="81"/>
      <c r="F2" s="81"/>
      <c r="G2" s="81"/>
      <c r="H2" s="81"/>
      <c r="I2" s="81"/>
    </row>
    <row r="4" spans="1:9" ht="15.75" x14ac:dyDescent="0.25">
      <c r="A4" s="82" t="s">
        <v>1</v>
      </c>
      <c r="B4" s="82"/>
      <c r="C4" s="83" t="s">
        <v>42</v>
      </c>
      <c r="D4" s="83"/>
      <c r="E4" s="83"/>
      <c r="F4" s="35"/>
      <c r="G4" s="36"/>
      <c r="H4" s="37"/>
    </row>
    <row r="5" spans="1:9" ht="15.75" x14ac:dyDescent="0.25">
      <c r="A5" s="82" t="s">
        <v>2</v>
      </c>
      <c r="B5" s="82"/>
      <c r="C5" s="83" t="s">
        <v>130</v>
      </c>
      <c r="D5" s="83"/>
      <c r="E5" s="83"/>
      <c r="F5" s="35"/>
      <c r="G5" s="36"/>
      <c r="H5" s="37"/>
    </row>
    <row r="6" spans="1:9" ht="15.75" x14ac:dyDescent="0.25">
      <c r="A6" s="82" t="s">
        <v>3</v>
      </c>
      <c r="B6" s="82"/>
      <c r="C6" s="33">
        <v>2021</v>
      </c>
      <c r="D6" s="34"/>
      <c r="E6" s="34"/>
      <c r="F6" s="35"/>
      <c r="G6" s="36"/>
      <c r="H6" s="37"/>
    </row>
    <row r="7" spans="1:9" ht="15.75" x14ac:dyDescent="0.25">
      <c r="A7" s="82" t="s">
        <v>4</v>
      </c>
      <c r="B7" s="82"/>
      <c r="C7" s="33">
        <v>4</v>
      </c>
      <c r="D7" s="34"/>
      <c r="E7" s="34"/>
      <c r="F7" s="35"/>
      <c r="G7" s="36"/>
      <c r="H7" s="37"/>
    </row>
    <row r="8" spans="1:9" ht="13.5" thickBot="1" x14ac:dyDescent="0.25">
      <c r="B8" s="37"/>
      <c r="C8" s="36"/>
      <c r="D8" s="37"/>
      <c r="E8" s="37"/>
      <c r="F8" s="35"/>
      <c r="G8" s="36"/>
      <c r="H8" s="37"/>
    </row>
    <row r="9" spans="1:9" ht="39.75" thickTop="1" thickBot="1" x14ac:dyDescent="0.25">
      <c r="A9" s="60" t="s">
        <v>5</v>
      </c>
      <c r="B9" s="61" t="s">
        <v>6</v>
      </c>
      <c r="C9" s="62" t="s">
        <v>7</v>
      </c>
      <c r="D9" s="63" t="s">
        <v>8</v>
      </c>
      <c r="E9" s="62" t="s">
        <v>9</v>
      </c>
      <c r="F9" s="64" t="s">
        <v>10</v>
      </c>
      <c r="G9" s="65" t="s">
        <v>11</v>
      </c>
      <c r="H9" s="65" t="s">
        <v>12</v>
      </c>
      <c r="I9" s="65" t="s">
        <v>13</v>
      </c>
    </row>
    <row r="10" spans="1:9" s="38" customFormat="1" ht="45" x14ac:dyDescent="0.2">
      <c r="A10" s="66">
        <v>1</v>
      </c>
      <c r="B10" s="67" t="s">
        <v>104</v>
      </c>
      <c r="C10" s="68" t="s">
        <v>105</v>
      </c>
      <c r="D10" s="69" t="s">
        <v>121</v>
      </c>
      <c r="E10" s="68" t="s">
        <v>106</v>
      </c>
      <c r="F10" s="70" t="s">
        <v>137</v>
      </c>
      <c r="G10" s="70">
        <v>20</v>
      </c>
      <c r="H10" s="71">
        <v>999</v>
      </c>
      <c r="I10" s="72">
        <f>+H10*G10</f>
        <v>19980</v>
      </c>
    </row>
    <row r="11" spans="1:9" s="38" customFormat="1" ht="30" x14ac:dyDescent="0.2">
      <c r="A11" s="39">
        <v>2</v>
      </c>
      <c r="B11" s="40" t="s">
        <v>46</v>
      </c>
      <c r="C11" s="40" t="s">
        <v>47</v>
      </c>
      <c r="D11" s="73" t="str">
        <f>+LEFT(B11,5)</f>
        <v>2.3.4</v>
      </c>
      <c r="E11" s="41" t="s">
        <v>48</v>
      </c>
      <c r="F11" s="42" t="s">
        <v>135</v>
      </c>
      <c r="G11" s="42">
        <v>30</v>
      </c>
      <c r="H11" s="43">
        <v>185</v>
      </c>
      <c r="I11" s="44">
        <f t="shared" ref="I11:I43" si="0">+H11*G11</f>
        <v>5550</v>
      </c>
    </row>
    <row r="12" spans="1:9" s="38" customFormat="1" ht="30" x14ac:dyDescent="0.2">
      <c r="A12" s="39">
        <v>3</v>
      </c>
      <c r="B12" s="40" t="s">
        <v>50</v>
      </c>
      <c r="C12" s="40" t="s">
        <v>49</v>
      </c>
      <c r="D12" s="73" t="str">
        <f t="shared" ref="D12:D42" si="1">+LEFT(B12,5)</f>
        <v>2.3.4</v>
      </c>
      <c r="E12" s="41" t="s">
        <v>51</v>
      </c>
      <c r="F12" s="42" t="s">
        <v>135</v>
      </c>
      <c r="G12" s="54">
        <v>100</v>
      </c>
      <c r="H12" s="43">
        <v>347.75</v>
      </c>
      <c r="I12" s="44">
        <f t="shared" si="0"/>
        <v>34775</v>
      </c>
    </row>
    <row r="13" spans="1:9" s="38" customFormat="1" ht="15" x14ac:dyDescent="0.2">
      <c r="A13" s="39">
        <v>4</v>
      </c>
      <c r="B13" s="40" t="s">
        <v>52</v>
      </c>
      <c r="C13" s="40" t="s">
        <v>49</v>
      </c>
      <c r="D13" s="73" t="s">
        <v>134</v>
      </c>
      <c r="E13" s="41" t="s">
        <v>53</v>
      </c>
      <c r="F13" s="42" t="s">
        <v>44</v>
      </c>
      <c r="G13" s="42">
        <v>10</v>
      </c>
      <c r="H13" s="43">
        <v>280</v>
      </c>
      <c r="I13" s="44">
        <f t="shared" si="0"/>
        <v>2800</v>
      </c>
    </row>
    <row r="14" spans="1:9" s="38" customFormat="1" ht="30" x14ac:dyDescent="0.2">
      <c r="A14" s="39">
        <v>5</v>
      </c>
      <c r="B14" s="40" t="s">
        <v>54</v>
      </c>
      <c r="C14" s="40" t="s">
        <v>49</v>
      </c>
      <c r="D14" s="73" t="str">
        <f t="shared" si="1"/>
        <v>2.5.4</v>
      </c>
      <c r="E14" s="41" t="s">
        <v>55</v>
      </c>
      <c r="F14" s="42" t="s">
        <v>44</v>
      </c>
      <c r="G14" s="42">
        <v>60</v>
      </c>
      <c r="H14" s="43">
        <v>309</v>
      </c>
      <c r="I14" s="44">
        <f t="shared" si="0"/>
        <v>18540</v>
      </c>
    </row>
    <row r="15" spans="1:9" s="38" customFormat="1" ht="30" x14ac:dyDescent="0.2">
      <c r="A15" s="39">
        <v>6</v>
      </c>
      <c r="B15" s="40" t="s">
        <v>56</v>
      </c>
      <c r="C15" s="40" t="s">
        <v>49</v>
      </c>
      <c r="D15" s="73" t="str">
        <f t="shared" si="1"/>
        <v>2.5.4</v>
      </c>
      <c r="E15" s="41" t="s">
        <v>141</v>
      </c>
      <c r="F15" s="42" t="s">
        <v>44</v>
      </c>
      <c r="G15" s="42">
        <v>20</v>
      </c>
      <c r="H15" s="43">
        <v>299</v>
      </c>
      <c r="I15" s="44">
        <f t="shared" si="0"/>
        <v>5980</v>
      </c>
    </row>
    <row r="16" spans="1:9" s="38" customFormat="1" ht="45" x14ac:dyDescent="0.2">
      <c r="A16" s="39">
        <v>7</v>
      </c>
      <c r="B16" s="40" t="s">
        <v>57</v>
      </c>
      <c r="C16" s="40" t="s">
        <v>49</v>
      </c>
      <c r="D16" s="73" t="str">
        <f t="shared" si="1"/>
        <v>2.5.4</v>
      </c>
      <c r="E16" s="41" t="s">
        <v>58</v>
      </c>
      <c r="F16" s="42" t="s">
        <v>44</v>
      </c>
      <c r="G16" s="42">
        <v>20</v>
      </c>
      <c r="H16" s="43">
        <v>311.83</v>
      </c>
      <c r="I16" s="44">
        <f t="shared" si="0"/>
        <v>6236.5999999999995</v>
      </c>
    </row>
    <row r="17" spans="1:9" s="38" customFormat="1" ht="30" x14ac:dyDescent="0.2">
      <c r="A17" s="39">
        <v>8</v>
      </c>
      <c r="B17" s="40" t="s">
        <v>59</v>
      </c>
      <c r="C17" s="40" t="s">
        <v>49</v>
      </c>
      <c r="D17" s="73" t="str">
        <f t="shared" si="1"/>
        <v>2.9.1</v>
      </c>
      <c r="E17" s="41" t="s">
        <v>60</v>
      </c>
      <c r="F17" s="42" t="s">
        <v>44</v>
      </c>
      <c r="G17" s="42">
        <v>10</v>
      </c>
      <c r="H17" s="43">
        <v>688</v>
      </c>
      <c r="I17" s="44">
        <f t="shared" si="0"/>
        <v>6880</v>
      </c>
    </row>
    <row r="18" spans="1:9" s="38" customFormat="1" ht="45" x14ac:dyDescent="0.2">
      <c r="A18" s="39">
        <v>9</v>
      </c>
      <c r="B18" s="40" t="s">
        <v>61</v>
      </c>
      <c r="C18" s="40" t="s">
        <v>49</v>
      </c>
      <c r="D18" s="73" t="str">
        <f t="shared" si="1"/>
        <v>2.9.1</v>
      </c>
      <c r="E18" s="41" t="s">
        <v>62</v>
      </c>
      <c r="F18" s="42" t="s">
        <v>44</v>
      </c>
      <c r="G18" s="42">
        <v>20</v>
      </c>
      <c r="H18" s="43">
        <v>197</v>
      </c>
      <c r="I18" s="44">
        <f t="shared" si="0"/>
        <v>3940</v>
      </c>
    </row>
    <row r="19" spans="1:9" s="38" customFormat="1" ht="30" x14ac:dyDescent="0.2">
      <c r="A19" s="39">
        <v>10</v>
      </c>
      <c r="B19" s="40" t="s">
        <v>63</v>
      </c>
      <c r="C19" s="40" t="s">
        <v>49</v>
      </c>
      <c r="D19" s="73" t="str">
        <f t="shared" si="1"/>
        <v>2.9.1</v>
      </c>
      <c r="E19" s="41" t="s">
        <v>64</v>
      </c>
      <c r="F19" s="42" t="s">
        <v>44</v>
      </c>
      <c r="G19" s="42">
        <v>40</v>
      </c>
      <c r="H19" s="43">
        <v>65.34</v>
      </c>
      <c r="I19" s="44">
        <f t="shared" si="0"/>
        <v>2613.6000000000004</v>
      </c>
    </row>
    <row r="20" spans="1:9" s="38" customFormat="1" ht="30" x14ac:dyDescent="0.2">
      <c r="A20" s="39">
        <v>11</v>
      </c>
      <c r="B20" s="40" t="s">
        <v>65</v>
      </c>
      <c r="C20" s="40" t="s">
        <v>49</v>
      </c>
      <c r="D20" s="73" t="str">
        <f t="shared" si="1"/>
        <v>2.9.1</v>
      </c>
      <c r="E20" s="45" t="s">
        <v>66</v>
      </c>
      <c r="F20" s="42" t="s">
        <v>44</v>
      </c>
      <c r="G20" s="42">
        <v>15</v>
      </c>
      <c r="H20" s="43">
        <v>999</v>
      </c>
      <c r="I20" s="44">
        <f t="shared" si="0"/>
        <v>14985</v>
      </c>
    </row>
    <row r="21" spans="1:9" s="38" customFormat="1" ht="30" x14ac:dyDescent="0.2">
      <c r="A21" s="39">
        <v>12</v>
      </c>
      <c r="B21" s="40" t="s">
        <v>107</v>
      </c>
      <c r="C21" s="40" t="s">
        <v>49</v>
      </c>
      <c r="D21" s="73" t="str">
        <f t="shared" si="1"/>
        <v>2.9.1</v>
      </c>
      <c r="E21" s="45" t="s">
        <v>108</v>
      </c>
      <c r="F21" s="42" t="s">
        <v>44</v>
      </c>
      <c r="G21" s="42">
        <v>20</v>
      </c>
      <c r="H21" s="43">
        <v>1399</v>
      </c>
      <c r="I21" s="44">
        <f t="shared" si="0"/>
        <v>27980</v>
      </c>
    </row>
    <row r="22" spans="1:9" s="38" customFormat="1" ht="38.25" customHeight="1" x14ac:dyDescent="0.2">
      <c r="A22" s="39">
        <v>13</v>
      </c>
      <c r="B22" s="40" t="s">
        <v>67</v>
      </c>
      <c r="C22" s="40" t="s">
        <v>49</v>
      </c>
      <c r="D22" s="73" t="str">
        <f t="shared" si="1"/>
        <v>2.9.1</v>
      </c>
      <c r="E22" s="41" t="s">
        <v>138</v>
      </c>
      <c r="F22" s="42" t="s">
        <v>44</v>
      </c>
      <c r="G22" s="42">
        <v>30</v>
      </c>
      <c r="H22" s="43">
        <v>228.34</v>
      </c>
      <c r="I22" s="44">
        <f t="shared" si="0"/>
        <v>6850.2</v>
      </c>
    </row>
    <row r="23" spans="1:9" s="38" customFormat="1" ht="15" x14ac:dyDescent="0.2">
      <c r="A23" s="39">
        <v>14</v>
      </c>
      <c r="B23" s="40" t="s">
        <v>68</v>
      </c>
      <c r="C23" s="40" t="s">
        <v>49</v>
      </c>
      <c r="D23" s="73" t="str">
        <f t="shared" si="1"/>
        <v>2.9.1</v>
      </c>
      <c r="E23" s="41" t="s">
        <v>69</v>
      </c>
      <c r="F23" s="42" t="s">
        <v>44</v>
      </c>
      <c r="G23" s="42">
        <v>10</v>
      </c>
      <c r="H23" s="43">
        <v>768.9</v>
      </c>
      <c r="I23" s="44">
        <f t="shared" si="0"/>
        <v>7689</v>
      </c>
    </row>
    <row r="24" spans="1:9" s="38" customFormat="1" ht="30" x14ac:dyDescent="0.2">
      <c r="A24" s="39">
        <v>15</v>
      </c>
      <c r="B24" s="40" t="s">
        <v>109</v>
      </c>
      <c r="C24" s="40" t="s">
        <v>49</v>
      </c>
      <c r="D24" s="73" t="s">
        <v>142</v>
      </c>
      <c r="E24" s="41" t="s">
        <v>110</v>
      </c>
      <c r="F24" s="42" t="s">
        <v>44</v>
      </c>
      <c r="G24" s="42">
        <v>100</v>
      </c>
      <c r="H24" s="43">
        <v>148</v>
      </c>
      <c r="I24" s="44">
        <f t="shared" si="0"/>
        <v>14800</v>
      </c>
    </row>
    <row r="25" spans="1:9" s="38" customFormat="1" ht="30" x14ac:dyDescent="0.2">
      <c r="A25" s="39">
        <v>16</v>
      </c>
      <c r="B25" s="40" t="s">
        <v>70</v>
      </c>
      <c r="C25" s="40" t="s">
        <v>49</v>
      </c>
      <c r="D25" s="73" t="str">
        <f t="shared" si="1"/>
        <v>2.9.1</v>
      </c>
      <c r="E25" s="41" t="s">
        <v>71</v>
      </c>
      <c r="F25" s="42" t="s">
        <v>44</v>
      </c>
      <c r="G25" s="42">
        <v>50</v>
      </c>
      <c r="H25" s="43">
        <v>140</v>
      </c>
      <c r="I25" s="44">
        <f t="shared" si="0"/>
        <v>7000</v>
      </c>
    </row>
    <row r="26" spans="1:9" s="38" customFormat="1" ht="15" x14ac:dyDescent="0.2">
      <c r="A26" s="39">
        <v>17</v>
      </c>
      <c r="B26" s="40" t="s">
        <v>72</v>
      </c>
      <c r="C26" s="40" t="s">
        <v>49</v>
      </c>
      <c r="D26" s="73" t="str">
        <f t="shared" si="1"/>
        <v>2.9.1</v>
      </c>
      <c r="E26" s="41" t="s">
        <v>73</v>
      </c>
      <c r="F26" s="42" t="s">
        <v>44</v>
      </c>
      <c r="G26" s="42">
        <v>10</v>
      </c>
      <c r="H26" s="43">
        <v>480</v>
      </c>
      <c r="I26" s="44">
        <f t="shared" si="0"/>
        <v>4800</v>
      </c>
    </row>
    <row r="27" spans="1:9" s="38" customFormat="1" ht="30" x14ac:dyDescent="0.2">
      <c r="A27" s="39">
        <v>18</v>
      </c>
      <c r="B27" s="40" t="s">
        <v>74</v>
      </c>
      <c r="C27" s="40" t="s">
        <v>49</v>
      </c>
      <c r="D27" s="73" t="str">
        <f t="shared" si="1"/>
        <v>2.9.1</v>
      </c>
      <c r="E27" s="41" t="s">
        <v>75</v>
      </c>
      <c r="F27" s="42" t="s">
        <v>44</v>
      </c>
      <c r="G27" s="42">
        <v>50</v>
      </c>
      <c r="H27" s="43">
        <v>253.92</v>
      </c>
      <c r="I27" s="44">
        <f t="shared" si="0"/>
        <v>12696</v>
      </c>
    </row>
    <row r="28" spans="1:9" s="38" customFormat="1" ht="15" x14ac:dyDescent="0.2">
      <c r="A28" s="39">
        <v>19</v>
      </c>
      <c r="B28" s="40" t="s">
        <v>76</v>
      </c>
      <c r="C28" s="40" t="s">
        <v>49</v>
      </c>
      <c r="D28" s="73" t="str">
        <f t="shared" si="1"/>
        <v>2.9.1</v>
      </c>
      <c r="E28" s="41" t="s">
        <v>77</v>
      </c>
      <c r="F28" s="42" t="s">
        <v>44</v>
      </c>
      <c r="G28" s="42">
        <v>20</v>
      </c>
      <c r="H28" s="43">
        <v>496</v>
      </c>
      <c r="I28" s="44">
        <f t="shared" si="0"/>
        <v>9920</v>
      </c>
    </row>
    <row r="29" spans="1:9" s="38" customFormat="1" ht="15" x14ac:dyDescent="0.2">
      <c r="A29" s="39">
        <v>20</v>
      </c>
      <c r="B29" s="40" t="s">
        <v>78</v>
      </c>
      <c r="C29" s="40" t="s">
        <v>49</v>
      </c>
      <c r="D29" s="73" t="str">
        <f t="shared" si="1"/>
        <v>2.9.1</v>
      </c>
      <c r="E29" s="41" t="s">
        <v>111</v>
      </c>
      <c r="F29" s="42" t="s">
        <v>44</v>
      </c>
      <c r="G29" s="42">
        <v>10</v>
      </c>
      <c r="H29" s="43">
        <v>916.08</v>
      </c>
      <c r="I29" s="44">
        <f t="shared" si="0"/>
        <v>9160.8000000000011</v>
      </c>
    </row>
    <row r="30" spans="1:9" s="38" customFormat="1" ht="15" x14ac:dyDescent="0.2">
      <c r="A30" s="39">
        <v>21</v>
      </c>
      <c r="B30" s="40" t="s">
        <v>79</v>
      </c>
      <c r="C30" s="40" t="s">
        <v>49</v>
      </c>
      <c r="D30" s="73" t="str">
        <f t="shared" si="1"/>
        <v>2.9.1</v>
      </c>
      <c r="E30" s="41" t="s">
        <v>80</v>
      </c>
      <c r="F30" s="42" t="s">
        <v>44</v>
      </c>
      <c r="G30" s="42">
        <v>50</v>
      </c>
      <c r="H30" s="43">
        <v>326.83</v>
      </c>
      <c r="I30" s="44">
        <f t="shared" si="0"/>
        <v>16341.5</v>
      </c>
    </row>
    <row r="31" spans="1:9" s="38" customFormat="1" ht="30" x14ac:dyDescent="0.2">
      <c r="A31" s="39">
        <v>22</v>
      </c>
      <c r="B31" s="40" t="s">
        <v>112</v>
      </c>
      <c r="C31" s="40" t="s">
        <v>49</v>
      </c>
      <c r="D31" s="73" t="str">
        <f t="shared" si="1"/>
        <v>2.9.1</v>
      </c>
      <c r="E31" s="41" t="s">
        <v>113</v>
      </c>
      <c r="F31" s="42" t="s">
        <v>44</v>
      </c>
      <c r="G31" s="42">
        <v>20</v>
      </c>
      <c r="H31" s="43">
        <v>311</v>
      </c>
      <c r="I31" s="44">
        <f t="shared" si="0"/>
        <v>6220</v>
      </c>
    </row>
    <row r="32" spans="1:9" s="38" customFormat="1" ht="15" x14ac:dyDescent="0.2">
      <c r="A32" s="39">
        <v>23</v>
      </c>
      <c r="B32" s="40" t="s">
        <v>81</v>
      </c>
      <c r="C32" s="40" t="s">
        <v>49</v>
      </c>
      <c r="D32" s="73" t="str">
        <f t="shared" si="1"/>
        <v>2.9.1</v>
      </c>
      <c r="E32" s="41" t="s">
        <v>82</v>
      </c>
      <c r="F32" s="42" t="s">
        <v>44</v>
      </c>
      <c r="G32" s="42">
        <v>5</v>
      </c>
      <c r="H32" s="43">
        <v>1240</v>
      </c>
      <c r="I32" s="44">
        <f t="shared" si="0"/>
        <v>6200</v>
      </c>
    </row>
    <row r="33" spans="1:9" s="38" customFormat="1" ht="15" x14ac:dyDescent="0.2">
      <c r="A33" s="39">
        <v>24</v>
      </c>
      <c r="B33" s="40" t="s">
        <v>83</v>
      </c>
      <c r="C33" s="40" t="s">
        <v>49</v>
      </c>
      <c r="D33" s="73" t="str">
        <f t="shared" si="1"/>
        <v>2.9.1</v>
      </c>
      <c r="E33" s="41" t="s">
        <v>84</v>
      </c>
      <c r="F33" s="42" t="s">
        <v>44</v>
      </c>
      <c r="G33" s="42">
        <v>15</v>
      </c>
      <c r="H33" s="43">
        <v>299</v>
      </c>
      <c r="I33" s="44">
        <f t="shared" si="0"/>
        <v>4485</v>
      </c>
    </row>
    <row r="34" spans="1:9" s="38" customFormat="1" ht="30" x14ac:dyDescent="0.2">
      <c r="A34" s="39">
        <v>25</v>
      </c>
      <c r="B34" s="40" t="s">
        <v>85</v>
      </c>
      <c r="C34" s="40" t="s">
        <v>49</v>
      </c>
      <c r="D34" s="73" t="str">
        <f t="shared" si="1"/>
        <v>2.9.1</v>
      </c>
      <c r="E34" s="41" t="s">
        <v>86</v>
      </c>
      <c r="F34" s="42" t="s">
        <v>44</v>
      </c>
      <c r="G34" s="42">
        <v>10</v>
      </c>
      <c r="H34" s="43">
        <v>234.35</v>
      </c>
      <c r="I34" s="44">
        <f t="shared" si="0"/>
        <v>2343.5</v>
      </c>
    </row>
    <row r="35" spans="1:9" s="38" customFormat="1" ht="15" x14ac:dyDescent="0.2">
      <c r="A35" s="39">
        <v>26</v>
      </c>
      <c r="B35" s="40" t="s">
        <v>87</v>
      </c>
      <c r="C35" s="40" t="s">
        <v>49</v>
      </c>
      <c r="D35" s="73" t="str">
        <f t="shared" si="1"/>
        <v>2.9.1</v>
      </c>
      <c r="E35" s="41" t="s">
        <v>88</v>
      </c>
      <c r="F35" s="42" t="s">
        <v>44</v>
      </c>
      <c r="G35" s="42">
        <v>15</v>
      </c>
      <c r="H35" s="43">
        <v>354</v>
      </c>
      <c r="I35" s="44">
        <f t="shared" si="0"/>
        <v>5310</v>
      </c>
    </row>
    <row r="36" spans="1:9" s="38" customFormat="1" ht="30" x14ac:dyDescent="0.2">
      <c r="A36" s="39">
        <v>27</v>
      </c>
      <c r="B36" s="40" t="s">
        <v>89</v>
      </c>
      <c r="C36" s="40" t="s">
        <v>49</v>
      </c>
      <c r="D36" s="73" t="str">
        <f t="shared" si="1"/>
        <v>2.9.1</v>
      </c>
      <c r="E36" s="41" t="s">
        <v>139</v>
      </c>
      <c r="F36" s="42" t="s">
        <v>44</v>
      </c>
      <c r="G36" s="42">
        <v>20</v>
      </c>
      <c r="H36" s="43">
        <v>664.99</v>
      </c>
      <c r="I36" s="44">
        <f t="shared" si="0"/>
        <v>13299.8</v>
      </c>
    </row>
    <row r="37" spans="1:9" s="38" customFormat="1" ht="30" x14ac:dyDescent="0.2">
      <c r="A37" s="39">
        <v>28</v>
      </c>
      <c r="B37" s="40" t="s">
        <v>90</v>
      </c>
      <c r="C37" s="40" t="s">
        <v>49</v>
      </c>
      <c r="D37" s="73" t="str">
        <f t="shared" si="1"/>
        <v>2.9.1</v>
      </c>
      <c r="E37" s="41" t="s">
        <v>91</v>
      </c>
      <c r="F37" s="42" t="s">
        <v>137</v>
      </c>
      <c r="G37" s="42">
        <v>10</v>
      </c>
      <c r="H37" s="43">
        <v>1885</v>
      </c>
      <c r="I37" s="44">
        <f t="shared" si="0"/>
        <v>18850</v>
      </c>
    </row>
    <row r="38" spans="1:9" s="38" customFormat="1" ht="30" x14ac:dyDescent="0.2">
      <c r="A38" s="39">
        <v>29</v>
      </c>
      <c r="B38" s="40" t="s">
        <v>92</v>
      </c>
      <c r="C38" s="41" t="s">
        <v>116</v>
      </c>
      <c r="D38" s="73" t="s">
        <v>117</v>
      </c>
      <c r="E38" s="41" t="s">
        <v>114</v>
      </c>
      <c r="F38" s="42" t="s">
        <v>44</v>
      </c>
      <c r="G38" s="42">
        <v>10</v>
      </c>
      <c r="H38" s="43">
        <v>1045</v>
      </c>
      <c r="I38" s="44">
        <f t="shared" si="0"/>
        <v>10450</v>
      </c>
    </row>
    <row r="39" spans="1:9" s="38" customFormat="1" ht="30" x14ac:dyDescent="0.2">
      <c r="A39" s="39">
        <v>30</v>
      </c>
      <c r="B39" s="40" t="s">
        <v>115</v>
      </c>
      <c r="C39" s="41" t="s">
        <v>116</v>
      </c>
      <c r="D39" s="73" t="s">
        <v>117</v>
      </c>
      <c r="E39" s="41" t="s">
        <v>118</v>
      </c>
      <c r="F39" s="42" t="s">
        <v>44</v>
      </c>
      <c r="G39" s="42">
        <v>50</v>
      </c>
      <c r="H39" s="43">
        <v>1200</v>
      </c>
      <c r="I39" s="44">
        <f t="shared" si="0"/>
        <v>60000</v>
      </c>
    </row>
    <row r="40" spans="1:9" s="38" customFormat="1" ht="36" customHeight="1" x14ac:dyDescent="0.2">
      <c r="A40" s="39">
        <v>31</v>
      </c>
      <c r="B40" s="40" t="s">
        <v>119</v>
      </c>
      <c r="C40" s="41" t="s">
        <v>120</v>
      </c>
      <c r="D40" s="73" t="s">
        <v>121</v>
      </c>
      <c r="E40" s="41" t="s">
        <v>122</v>
      </c>
      <c r="F40" s="42" t="s">
        <v>135</v>
      </c>
      <c r="G40" s="42">
        <v>720</v>
      </c>
      <c r="H40" s="43">
        <v>790</v>
      </c>
      <c r="I40" s="44">
        <f>+H40*G40</f>
        <v>568800</v>
      </c>
    </row>
    <row r="41" spans="1:9" s="38" customFormat="1" ht="15" x14ac:dyDescent="0.2">
      <c r="A41" s="39">
        <v>32</v>
      </c>
      <c r="B41" s="40" t="s">
        <v>93</v>
      </c>
      <c r="C41" s="40" t="s">
        <v>49</v>
      </c>
      <c r="D41" s="73" t="str">
        <f t="shared" si="1"/>
        <v>2.9.1</v>
      </c>
      <c r="E41" s="41" t="s">
        <v>94</v>
      </c>
      <c r="F41" s="42" t="s">
        <v>44</v>
      </c>
      <c r="G41" s="42">
        <v>40</v>
      </c>
      <c r="H41" s="43">
        <v>294.16000000000003</v>
      </c>
      <c r="I41" s="44">
        <f t="shared" si="0"/>
        <v>11766.400000000001</v>
      </c>
    </row>
    <row r="42" spans="1:9" s="38" customFormat="1" ht="15" x14ac:dyDescent="0.2">
      <c r="A42" s="39">
        <v>33</v>
      </c>
      <c r="B42" s="40" t="s">
        <v>95</v>
      </c>
      <c r="C42" s="40" t="s">
        <v>49</v>
      </c>
      <c r="D42" s="73" t="str">
        <f t="shared" si="1"/>
        <v>2.9.1</v>
      </c>
      <c r="E42" s="41" t="s">
        <v>96</v>
      </c>
      <c r="F42" s="42" t="s">
        <v>44</v>
      </c>
      <c r="G42" s="42">
        <v>50</v>
      </c>
      <c r="H42" s="43">
        <v>229</v>
      </c>
      <c r="I42" s="44">
        <f t="shared" si="0"/>
        <v>11450</v>
      </c>
    </row>
    <row r="43" spans="1:9" s="38" customFormat="1" ht="22.5" customHeight="1" x14ac:dyDescent="0.2">
      <c r="A43" s="39">
        <v>34</v>
      </c>
      <c r="B43" s="40" t="s">
        <v>123</v>
      </c>
      <c r="C43" s="40" t="s">
        <v>49</v>
      </c>
      <c r="D43" s="73" t="s">
        <v>142</v>
      </c>
      <c r="E43" s="41" t="s">
        <v>124</v>
      </c>
      <c r="F43" s="42" t="s">
        <v>44</v>
      </c>
      <c r="G43" s="42">
        <v>50</v>
      </c>
      <c r="H43" s="43">
        <v>241</v>
      </c>
      <c r="I43" s="43">
        <f t="shared" si="0"/>
        <v>12050</v>
      </c>
    </row>
    <row r="44" spans="1:9" s="38" customFormat="1" ht="15" x14ac:dyDescent="0.2">
      <c r="A44" s="39"/>
      <c r="B44" s="40"/>
      <c r="C44" s="40"/>
      <c r="D44" s="73"/>
      <c r="E44" s="41"/>
      <c r="F44" s="42"/>
      <c r="G44" s="42"/>
      <c r="H44" s="43"/>
      <c r="I44" s="43"/>
    </row>
    <row r="45" spans="1:9" ht="19.5" thickBot="1" x14ac:dyDescent="0.35">
      <c r="A45" s="92" t="s">
        <v>143</v>
      </c>
      <c r="B45" s="93"/>
      <c r="C45" s="93"/>
      <c r="D45" s="93"/>
      <c r="E45" s="93"/>
      <c r="F45" s="93"/>
      <c r="G45" s="93"/>
      <c r="H45" s="94"/>
      <c r="I45" s="79">
        <f>SUM(I10:I43)</f>
        <v>970742.4</v>
      </c>
    </row>
    <row r="46" spans="1:9" ht="13.5" thickBot="1" x14ac:dyDescent="0.25"/>
    <row r="47" spans="1:9" ht="23.25" customHeight="1" x14ac:dyDescent="0.2">
      <c r="B47" s="47" t="s">
        <v>127</v>
      </c>
      <c r="C47" s="13"/>
      <c r="D47" s="13"/>
      <c r="E47" s="48"/>
    </row>
    <row r="48" spans="1:9" ht="12.75" customHeight="1" x14ac:dyDescent="0.2">
      <c r="B48" s="49"/>
      <c r="C48" s="14"/>
      <c r="D48" s="14"/>
      <c r="E48" s="74"/>
      <c r="I48" s="80"/>
    </row>
    <row r="49" spans="2:9" ht="18" customHeight="1" x14ac:dyDescent="0.2">
      <c r="B49" s="17" t="s">
        <v>45</v>
      </c>
      <c r="C49" s="56"/>
      <c r="D49" s="56"/>
      <c r="E49" s="57"/>
      <c r="I49" s="80"/>
    </row>
    <row r="50" spans="2:9" ht="41.25" customHeight="1" x14ac:dyDescent="0.2">
      <c r="B50" s="49"/>
      <c r="C50" s="84" t="s">
        <v>136</v>
      </c>
      <c r="D50" s="84"/>
      <c r="E50" s="85"/>
    </row>
    <row r="51" spans="2:9" ht="14.25" customHeight="1" x14ac:dyDescent="0.2">
      <c r="B51" s="49"/>
      <c r="C51" s="56"/>
      <c r="D51" s="56"/>
      <c r="E51" s="57"/>
    </row>
    <row r="52" spans="2:9" x14ac:dyDescent="0.2">
      <c r="B52" s="75" t="s">
        <v>140</v>
      </c>
      <c r="C52" s="76"/>
      <c r="D52" s="77"/>
      <c r="E52" s="78"/>
    </row>
    <row r="53" spans="2:9" ht="18" customHeight="1" x14ac:dyDescent="0.2">
      <c r="B53" s="17" t="s">
        <v>45</v>
      </c>
      <c r="C53" s="14"/>
      <c r="D53" s="14"/>
      <c r="E53" s="50"/>
    </row>
    <row r="54" spans="2:9" ht="35.25" customHeight="1" x14ac:dyDescent="0.2">
      <c r="B54" s="17"/>
      <c r="C54" s="86" t="s">
        <v>125</v>
      </c>
      <c r="D54" s="86"/>
      <c r="E54" s="87"/>
    </row>
    <row r="55" spans="2:9" x14ac:dyDescent="0.2">
      <c r="B55" s="17" t="s">
        <v>14</v>
      </c>
      <c r="C55" s="14"/>
      <c r="D55" s="14"/>
      <c r="E55" s="50"/>
    </row>
    <row r="56" spans="2:9" ht="114.75" customHeight="1" x14ac:dyDescent="0.2">
      <c r="B56" s="16"/>
      <c r="C56" s="88" t="s">
        <v>97</v>
      </c>
      <c r="D56" s="88"/>
      <c r="E56" s="89"/>
    </row>
    <row r="57" spans="2:9" ht="25.5" customHeight="1" x14ac:dyDescent="0.2">
      <c r="B57" s="16"/>
      <c r="C57" s="51"/>
      <c r="D57" s="51"/>
      <c r="E57" s="20"/>
    </row>
    <row r="58" spans="2:9" x14ac:dyDescent="0.2">
      <c r="B58" s="17" t="s">
        <v>128</v>
      </c>
      <c r="C58" s="14"/>
      <c r="D58" s="14"/>
      <c r="E58" s="50"/>
    </row>
    <row r="59" spans="2:9" x14ac:dyDescent="0.2">
      <c r="B59" s="16"/>
      <c r="C59" s="90" t="s">
        <v>98</v>
      </c>
      <c r="D59" s="90"/>
      <c r="E59" s="91"/>
    </row>
    <row r="60" spans="2:9" x14ac:dyDescent="0.2">
      <c r="B60" s="17" t="s">
        <v>15</v>
      </c>
      <c r="C60" s="19"/>
      <c r="D60" s="19"/>
      <c r="E60" s="52"/>
    </row>
    <row r="61" spans="2:9" x14ac:dyDescent="0.2">
      <c r="B61" s="16"/>
      <c r="C61" s="58" t="s">
        <v>99</v>
      </c>
      <c r="D61" s="58"/>
      <c r="E61" s="59"/>
    </row>
    <row r="62" spans="2:9" x14ac:dyDescent="0.2">
      <c r="B62" s="17" t="s">
        <v>129</v>
      </c>
      <c r="C62" s="14"/>
      <c r="D62" s="14"/>
      <c r="E62" s="50"/>
    </row>
    <row r="63" spans="2:9" x14ac:dyDescent="0.2">
      <c r="B63" s="17"/>
      <c r="C63" s="51"/>
      <c r="D63" s="51"/>
      <c r="E63" s="20"/>
    </row>
    <row r="64" spans="2:9" ht="13.5" thickBot="1" x14ac:dyDescent="0.25">
      <c r="B64" s="18"/>
      <c r="C64" s="15"/>
      <c r="D64" s="15"/>
      <c r="E64" s="53"/>
    </row>
  </sheetData>
  <mergeCells count="12">
    <mergeCell ref="C50:E50"/>
    <mergeCell ref="C54:E54"/>
    <mergeCell ref="C56:E56"/>
    <mergeCell ref="C59:E59"/>
    <mergeCell ref="A6:B6"/>
    <mergeCell ref="A45:H45"/>
    <mergeCell ref="A7:B7"/>
    <mergeCell ref="B2:I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6"/>
  <sheetViews>
    <sheetView topLeftCell="A10" zoomScale="90" zoomScaleNormal="90" workbookViewId="0">
      <selection activeCell="A25" sqref="A25:Q26"/>
    </sheetView>
  </sheetViews>
  <sheetFormatPr baseColWidth="10" defaultColWidth="11" defaultRowHeight="13.5" x14ac:dyDescent="0.25"/>
  <cols>
    <col min="1" max="5" width="4.42578125" style="1" customWidth="1"/>
    <col min="6" max="6" width="5.85546875" style="1" customWidth="1"/>
    <col min="7" max="7" width="4.42578125" style="5" customWidth="1"/>
    <col min="8" max="14" width="4.42578125" style="1" customWidth="1"/>
    <col min="15" max="15" width="14.85546875" style="1" customWidth="1"/>
    <col min="16" max="16" width="17" style="1" customWidth="1"/>
    <col min="17" max="17" width="14.7109375" style="1" customWidth="1"/>
    <col min="18" max="18" width="16.42578125" style="1" customWidth="1"/>
    <col min="19" max="16384" width="11" style="1"/>
  </cols>
  <sheetData>
    <row r="1" spans="1:17" ht="15.75" customHeight="1" thickBot="1" x14ac:dyDescent="0.3">
      <c r="A1" s="127" t="s">
        <v>3</v>
      </c>
      <c r="B1" s="128"/>
      <c r="C1" s="128"/>
      <c r="D1" s="129">
        <v>2021</v>
      </c>
      <c r="E1" s="130"/>
      <c r="F1" s="3"/>
      <c r="G1" s="3"/>
      <c r="H1" s="4"/>
      <c r="I1" s="4"/>
      <c r="J1" s="4"/>
      <c r="K1" s="4"/>
      <c r="L1" s="4"/>
      <c r="M1" s="4"/>
      <c r="N1" s="4"/>
      <c r="P1" s="131" t="s">
        <v>16</v>
      </c>
      <c r="Q1" s="132"/>
    </row>
    <row r="2" spans="1:17" ht="15.75" customHeight="1" thickBot="1" x14ac:dyDescent="0.3">
      <c r="H2" s="4"/>
      <c r="I2" s="4"/>
      <c r="J2" s="4"/>
      <c r="K2" s="4"/>
      <c r="L2" s="4"/>
      <c r="M2" s="4"/>
      <c r="N2" s="4"/>
      <c r="P2" s="133"/>
      <c r="Q2" s="134"/>
    </row>
    <row r="3" spans="1:17" ht="14.25" thickBot="1" x14ac:dyDescent="0.3"/>
    <row r="4" spans="1:17" ht="18" customHeight="1" thickBot="1" x14ac:dyDescent="0.35">
      <c r="A4" s="135" t="s">
        <v>17</v>
      </c>
      <c r="B4" s="136"/>
      <c r="C4" s="136"/>
      <c r="D4" s="136"/>
      <c r="E4" s="136"/>
      <c r="F4" s="137"/>
      <c r="G4" s="138" t="s">
        <v>42</v>
      </c>
      <c r="H4" s="139"/>
      <c r="I4" s="139"/>
      <c r="J4" s="139"/>
      <c r="K4" s="139"/>
      <c r="L4" s="139"/>
      <c r="M4" s="139"/>
      <c r="N4" s="139"/>
      <c r="O4" s="139"/>
      <c r="P4" s="139"/>
      <c r="Q4" s="140"/>
    </row>
    <row r="5" spans="1:17" ht="18" customHeight="1" thickBot="1" x14ac:dyDescent="0.35">
      <c r="A5" s="149" t="s">
        <v>38</v>
      </c>
      <c r="B5" s="150"/>
      <c r="C5" s="150"/>
      <c r="D5" s="150"/>
      <c r="E5" s="150"/>
      <c r="F5" s="151"/>
      <c r="G5" s="152" t="s">
        <v>103</v>
      </c>
      <c r="H5" s="153"/>
      <c r="I5" s="153"/>
      <c r="J5" s="153"/>
      <c r="K5" s="153"/>
      <c r="L5" s="153"/>
      <c r="M5" s="153"/>
      <c r="N5" s="153"/>
      <c r="O5" s="153"/>
      <c r="P5" s="153"/>
      <c r="Q5" s="154"/>
    </row>
    <row r="6" spans="1:17" ht="18" customHeight="1" thickBot="1" x14ac:dyDescent="0.35">
      <c r="A6" s="149" t="s">
        <v>18</v>
      </c>
      <c r="B6" s="150"/>
      <c r="C6" s="150"/>
      <c r="D6" s="150"/>
      <c r="E6" s="150"/>
      <c r="F6" s="151"/>
      <c r="G6" s="158" t="s">
        <v>43</v>
      </c>
      <c r="H6" s="159"/>
      <c r="I6" s="159"/>
      <c r="J6" s="159"/>
      <c r="K6" s="159"/>
      <c r="L6" s="159"/>
      <c r="M6" s="159"/>
      <c r="N6" s="159"/>
      <c r="O6" s="159"/>
      <c r="P6" s="159"/>
      <c r="Q6" s="160"/>
    </row>
    <row r="7" spans="1:17" ht="18" customHeight="1" thickBot="1" x14ac:dyDescent="0.35">
      <c r="A7" s="149" t="s">
        <v>39</v>
      </c>
      <c r="B7" s="150"/>
      <c r="C7" s="150"/>
      <c r="D7" s="150"/>
      <c r="E7" s="150"/>
      <c r="F7" s="151"/>
      <c r="G7" s="158" t="str">
        <f>+G6</f>
        <v>Ministerio de Trabajo y Reursos Humanos</v>
      </c>
      <c r="H7" s="159"/>
      <c r="I7" s="159"/>
      <c r="J7" s="159"/>
      <c r="K7" s="159"/>
      <c r="L7" s="159"/>
      <c r="M7" s="159"/>
      <c r="N7" s="159"/>
      <c r="O7" s="159"/>
      <c r="P7" s="159"/>
      <c r="Q7" s="160"/>
    </row>
    <row r="8" spans="1:17" ht="18" customHeight="1" thickBot="1" x14ac:dyDescent="0.3">
      <c r="A8" s="155" t="s">
        <v>40</v>
      </c>
      <c r="B8" s="156"/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7"/>
    </row>
    <row r="9" spans="1:17" ht="18" customHeight="1" x14ac:dyDescent="0.3">
      <c r="A9" s="141" t="s">
        <v>19</v>
      </c>
      <c r="B9" s="142"/>
      <c r="C9" s="142"/>
      <c r="D9" s="142"/>
      <c r="E9" s="142"/>
      <c r="F9" s="142"/>
      <c r="G9" s="142"/>
      <c r="H9" s="142"/>
      <c r="I9" s="142"/>
      <c r="J9" s="142"/>
      <c r="K9" s="142"/>
      <c r="L9" s="142"/>
      <c r="M9" s="142"/>
      <c r="N9" s="142"/>
      <c r="O9" s="2"/>
      <c r="P9" s="2"/>
      <c r="Q9" s="6"/>
    </row>
    <row r="10" spans="1:17" ht="65.25" customHeight="1" x14ac:dyDescent="0.25">
      <c r="A10" s="143" t="s">
        <v>126</v>
      </c>
      <c r="B10" s="144"/>
      <c r="C10" s="144"/>
      <c r="D10" s="144"/>
      <c r="E10" s="144"/>
      <c r="F10" s="144"/>
      <c r="G10" s="144"/>
      <c r="H10" s="144"/>
      <c r="I10" s="144"/>
      <c r="J10" s="144"/>
      <c r="K10" s="144"/>
      <c r="L10" s="144"/>
      <c r="M10" s="144"/>
      <c r="N10" s="144"/>
      <c r="O10" s="144"/>
      <c r="P10" s="144"/>
      <c r="Q10" s="145"/>
    </row>
    <row r="11" spans="1:17" ht="9" customHeight="1" thickBot="1" x14ac:dyDescent="0.3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thickBot="1" x14ac:dyDescent="0.3">
      <c r="A12" s="146" t="s">
        <v>20</v>
      </c>
      <c r="B12" s="147"/>
      <c r="C12" s="147"/>
      <c r="D12" s="147"/>
      <c r="E12" s="147"/>
      <c r="F12" s="147"/>
      <c r="G12" s="147"/>
      <c r="H12" s="147"/>
      <c r="I12" s="147"/>
      <c r="J12" s="147"/>
      <c r="K12" s="147"/>
      <c r="L12" s="147"/>
      <c r="M12" s="147"/>
      <c r="N12" s="147"/>
      <c r="O12" s="147"/>
      <c r="P12" s="147"/>
      <c r="Q12" s="148"/>
    </row>
    <row r="13" spans="1:17" ht="15.75" customHeight="1" thickBot="1" x14ac:dyDescent="0.3">
      <c r="A13" s="108" t="s">
        <v>21</v>
      </c>
      <c r="B13" s="109"/>
      <c r="C13" s="109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10"/>
      <c r="O13" s="111" t="s">
        <v>22</v>
      </c>
      <c r="P13" s="112"/>
      <c r="Q13" s="115" t="s">
        <v>23</v>
      </c>
    </row>
    <row r="14" spans="1:17" ht="15.75" customHeight="1" thickBot="1" x14ac:dyDescent="0.3">
      <c r="A14" s="23" t="s">
        <v>24</v>
      </c>
      <c r="B14" s="24" t="s">
        <v>25</v>
      </c>
      <c r="C14" s="24" t="s">
        <v>26</v>
      </c>
      <c r="D14" s="24" t="s">
        <v>27</v>
      </c>
      <c r="E14" s="24" t="s">
        <v>28</v>
      </c>
      <c r="F14" s="24" t="s">
        <v>29</v>
      </c>
      <c r="G14" s="25" t="s">
        <v>30</v>
      </c>
      <c r="H14" s="24" t="s">
        <v>31</v>
      </c>
      <c r="I14" s="24" t="s">
        <v>32</v>
      </c>
      <c r="J14" s="24" t="s">
        <v>33</v>
      </c>
      <c r="K14" s="24" t="s">
        <v>33</v>
      </c>
      <c r="L14" s="24" t="s">
        <v>34</v>
      </c>
      <c r="M14" s="26" t="s">
        <v>35</v>
      </c>
      <c r="N14" s="27" t="s">
        <v>36</v>
      </c>
      <c r="O14" s="113"/>
      <c r="P14" s="114"/>
      <c r="Q14" s="116"/>
    </row>
    <row r="15" spans="1:17" ht="17.25" customHeight="1" x14ac:dyDescent="0.25">
      <c r="A15" s="28">
        <v>1</v>
      </c>
      <c r="B15" s="29">
        <v>0</v>
      </c>
      <c r="C15" s="29">
        <v>0</v>
      </c>
      <c r="D15" s="29">
        <v>1</v>
      </c>
      <c r="E15" s="29">
        <v>0</v>
      </c>
      <c r="F15" s="29">
        <v>4901</v>
      </c>
      <c r="G15" s="29">
        <v>3</v>
      </c>
      <c r="H15" s="29">
        <v>6</v>
      </c>
      <c r="I15" s="29">
        <v>2</v>
      </c>
      <c r="J15" s="29">
        <v>3</v>
      </c>
      <c r="K15" s="29">
        <v>4</v>
      </c>
      <c r="L15" s="29">
        <v>0</v>
      </c>
      <c r="M15" s="29">
        <v>1</v>
      </c>
      <c r="N15" s="29" t="s">
        <v>41</v>
      </c>
      <c r="O15" s="123" t="s">
        <v>100</v>
      </c>
      <c r="P15" s="124"/>
      <c r="Q15" s="30">
        <v>40325</v>
      </c>
    </row>
    <row r="16" spans="1:17" ht="27.75" customHeight="1" x14ac:dyDescent="0.25">
      <c r="A16" s="31">
        <v>1</v>
      </c>
      <c r="B16" s="22">
        <v>0</v>
      </c>
      <c r="C16" s="22">
        <v>0</v>
      </c>
      <c r="D16" s="22">
        <v>1</v>
      </c>
      <c r="E16" s="22">
        <v>0</v>
      </c>
      <c r="F16" s="22">
        <v>4901</v>
      </c>
      <c r="G16" s="22">
        <v>3</v>
      </c>
      <c r="H16" s="22">
        <v>6</v>
      </c>
      <c r="I16" s="22">
        <v>2</v>
      </c>
      <c r="J16" s="22">
        <v>5</v>
      </c>
      <c r="K16" s="22">
        <v>2</v>
      </c>
      <c r="L16" s="22">
        <v>0</v>
      </c>
      <c r="M16" s="22">
        <v>1</v>
      </c>
      <c r="N16" s="22" t="s">
        <v>41</v>
      </c>
      <c r="O16" s="125" t="s">
        <v>131</v>
      </c>
      <c r="P16" s="126"/>
      <c r="Q16" s="32">
        <v>70450</v>
      </c>
    </row>
    <row r="17" spans="1:18" ht="17.25" customHeight="1" x14ac:dyDescent="0.25">
      <c r="A17" s="31">
        <v>1</v>
      </c>
      <c r="B17" s="22">
        <v>0</v>
      </c>
      <c r="C17" s="22">
        <v>0</v>
      </c>
      <c r="D17" s="22">
        <v>1</v>
      </c>
      <c r="E17" s="22">
        <v>0</v>
      </c>
      <c r="F17" s="22">
        <v>4901</v>
      </c>
      <c r="G17" s="22">
        <v>3</v>
      </c>
      <c r="H17" s="22">
        <v>6</v>
      </c>
      <c r="I17" s="22">
        <v>2</v>
      </c>
      <c r="J17" s="22">
        <v>5</v>
      </c>
      <c r="K17" s="22">
        <v>4</v>
      </c>
      <c r="L17" s="22">
        <v>0</v>
      </c>
      <c r="M17" s="22">
        <v>1</v>
      </c>
      <c r="N17" s="22" t="s">
        <v>41</v>
      </c>
      <c r="O17" s="107" t="s">
        <v>101</v>
      </c>
      <c r="P17" s="107"/>
      <c r="Q17" s="32">
        <v>30756.6</v>
      </c>
      <c r="R17" s="21"/>
    </row>
    <row r="18" spans="1:18" ht="17.25" customHeight="1" x14ac:dyDescent="0.25">
      <c r="A18" s="31">
        <v>1</v>
      </c>
      <c r="B18" s="22">
        <v>0</v>
      </c>
      <c r="C18" s="22">
        <v>0</v>
      </c>
      <c r="D18" s="22">
        <v>1</v>
      </c>
      <c r="E18" s="22">
        <v>0</v>
      </c>
      <c r="F18" s="22">
        <v>4901</v>
      </c>
      <c r="G18" s="22">
        <v>3</v>
      </c>
      <c r="H18" s="22">
        <v>6</v>
      </c>
      <c r="I18" s="22">
        <v>2</v>
      </c>
      <c r="J18" s="22">
        <v>5</v>
      </c>
      <c r="K18" s="22">
        <v>8</v>
      </c>
      <c r="L18" s="22">
        <v>0</v>
      </c>
      <c r="M18" s="22">
        <v>1</v>
      </c>
      <c r="N18" s="22" t="s">
        <v>41</v>
      </c>
      <c r="O18" s="125" t="s">
        <v>144</v>
      </c>
      <c r="P18" s="126"/>
      <c r="Q18" s="32">
        <v>26850</v>
      </c>
      <c r="R18" s="21"/>
    </row>
    <row r="19" spans="1:18" ht="21" customHeight="1" x14ac:dyDescent="0.25">
      <c r="A19" s="31">
        <v>1</v>
      </c>
      <c r="B19" s="22">
        <v>0</v>
      </c>
      <c r="C19" s="22">
        <v>0</v>
      </c>
      <c r="D19" s="22">
        <v>1</v>
      </c>
      <c r="E19" s="22">
        <v>0</v>
      </c>
      <c r="F19" s="22">
        <v>4901</v>
      </c>
      <c r="G19" s="22">
        <v>3</v>
      </c>
      <c r="H19" s="22">
        <v>6</v>
      </c>
      <c r="I19" s="22">
        <v>2</v>
      </c>
      <c r="J19" s="22">
        <v>9</v>
      </c>
      <c r="K19" s="22">
        <v>1</v>
      </c>
      <c r="L19" s="22">
        <v>0</v>
      </c>
      <c r="M19" s="22">
        <v>1</v>
      </c>
      <c r="N19" s="22" t="s">
        <v>41</v>
      </c>
      <c r="O19" s="107" t="s">
        <v>102</v>
      </c>
      <c r="P19" s="107"/>
      <c r="Q19" s="32">
        <v>113580.8</v>
      </c>
    </row>
    <row r="20" spans="1:18" ht="17.25" customHeight="1" x14ac:dyDescent="0.25">
      <c r="A20" s="31">
        <v>3</v>
      </c>
      <c r="B20" s="22">
        <v>0</v>
      </c>
      <c r="C20" s="22">
        <v>0</v>
      </c>
      <c r="D20" s="22">
        <v>1</v>
      </c>
      <c r="E20" s="22">
        <v>0</v>
      </c>
      <c r="F20" s="22">
        <v>4901</v>
      </c>
      <c r="G20" s="22">
        <v>1</v>
      </c>
      <c r="H20" s="22">
        <v>3</v>
      </c>
      <c r="I20" s="22">
        <v>2</v>
      </c>
      <c r="J20" s="22">
        <v>9</v>
      </c>
      <c r="K20" s="22">
        <v>1</v>
      </c>
      <c r="L20" s="22">
        <v>0</v>
      </c>
      <c r="M20" s="22">
        <v>1</v>
      </c>
      <c r="N20" s="22" t="s">
        <v>41</v>
      </c>
      <c r="O20" s="107" t="s">
        <v>102</v>
      </c>
      <c r="P20" s="107"/>
      <c r="Q20" s="32">
        <v>100000</v>
      </c>
      <c r="R20" s="21"/>
    </row>
    <row r="21" spans="1:18" ht="28.5" customHeight="1" thickBot="1" x14ac:dyDescent="0.3">
      <c r="A21" s="31">
        <v>1</v>
      </c>
      <c r="B21" s="22">
        <v>0</v>
      </c>
      <c r="C21" s="22">
        <v>0</v>
      </c>
      <c r="D21" s="22">
        <v>1</v>
      </c>
      <c r="E21" s="22">
        <v>0</v>
      </c>
      <c r="F21" s="22">
        <v>4901</v>
      </c>
      <c r="G21" s="22">
        <v>3</v>
      </c>
      <c r="H21" s="22">
        <v>6</v>
      </c>
      <c r="I21" s="22">
        <v>2</v>
      </c>
      <c r="J21" s="22">
        <v>9</v>
      </c>
      <c r="K21" s="22">
        <v>5</v>
      </c>
      <c r="L21" s="22">
        <v>0</v>
      </c>
      <c r="M21" s="22">
        <v>1</v>
      </c>
      <c r="N21" s="22" t="s">
        <v>41</v>
      </c>
      <c r="O21" s="107" t="s">
        <v>132</v>
      </c>
      <c r="P21" s="107"/>
      <c r="Q21" s="32">
        <v>588780</v>
      </c>
    </row>
    <row r="22" spans="1:18" ht="28.5" customHeight="1" thickBot="1" x14ac:dyDescent="0.3">
      <c r="A22" s="101" t="str">
        <f>+'ELEM. LIMPIEZA'!A45:H45</f>
        <v>COSTO ESTIMADO TOTAL: Novecientos Setenta Mil Setecientos Cuarenta y Dos con 40/100</v>
      </c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3"/>
      <c r="Q22" s="55">
        <f>SUM(Q15:Q21)</f>
        <v>970742.4</v>
      </c>
      <c r="R22" s="21"/>
    </row>
    <row r="23" spans="1:18" ht="18" customHeight="1" thickBot="1" x14ac:dyDescent="0.3">
      <c r="A23" s="104"/>
      <c r="B23" s="105"/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6"/>
    </row>
    <row r="24" spans="1:18" ht="17.25" customHeight="1" thickBot="1" x14ac:dyDescent="0.3">
      <c r="A24" s="117" t="s">
        <v>37</v>
      </c>
      <c r="B24" s="118"/>
      <c r="C24" s="118"/>
      <c r="D24" s="118"/>
      <c r="E24" s="118"/>
      <c r="F24" s="119"/>
      <c r="G24" s="120"/>
      <c r="H24" s="121"/>
      <c r="I24" s="121"/>
      <c r="J24" s="121"/>
      <c r="K24" s="121"/>
      <c r="L24" s="121"/>
      <c r="M24" s="121"/>
      <c r="N24" s="121"/>
      <c r="O24" s="121"/>
      <c r="P24" s="121"/>
      <c r="Q24" s="122"/>
    </row>
    <row r="25" spans="1:18" ht="18" customHeight="1" x14ac:dyDescent="0.25">
      <c r="A25" s="95" t="s">
        <v>133</v>
      </c>
      <c r="B25" s="96"/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7"/>
    </row>
    <row r="26" spans="1:18" ht="4.5" customHeight="1" thickBot="1" x14ac:dyDescent="0.3">
      <c r="A26" s="98"/>
      <c r="B26" s="99"/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100"/>
    </row>
  </sheetData>
  <mergeCells count="30">
    <mergeCell ref="A9:N9"/>
    <mergeCell ref="A10:Q10"/>
    <mergeCell ref="A12:Q12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  <mergeCell ref="A13:N13"/>
    <mergeCell ref="O13:P14"/>
    <mergeCell ref="Q13:Q14"/>
    <mergeCell ref="A24:F24"/>
    <mergeCell ref="G24:Q24"/>
    <mergeCell ref="O15:P15"/>
    <mergeCell ref="O20:P20"/>
    <mergeCell ref="O18:P18"/>
    <mergeCell ref="O17:P17"/>
    <mergeCell ref="O16:P16"/>
    <mergeCell ref="A25:Q26"/>
    <mergeCell ref="A22:P22"/>
    <mergeCell ref="A23:Q23"/>
    <mergeCell ref="O21:P21"/>
    <mergeCell ref="O19:P19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ELEM. LIMPIEZA</vt:lpstr>
      <vt:lpstr>Autor Gastar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SILVINA ATENCIO</dc:creator>
  <dc:description/>
  <cp:lastModifiedBy>SILVINA ATENCIO</cp:lastModifiedBy>
  <cp:revision>2</cp:revision>
  <cp:lastPrinted>2020-11-24T14:25:44Z</cp:lastPrinted>
  <dcterms:created xsi:type="dcterms:W3CDTF">2020-07-17T23:44:49Z</dcterms:created>
  <dcterms:modified xsi:type="dcterms:W3CDTF">2021-09-27T15:41:42Z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