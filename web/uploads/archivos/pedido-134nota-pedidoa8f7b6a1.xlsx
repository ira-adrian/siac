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901"/>
  <workbookPr/>
  <mc:AlternateContent xmlns:mc="http://schemas.openxmlformats.org/markup-compatibility/2006">
    <mc:Choice Requires="x15">
      <x15ac:absPath xmlns:x15ac="http://schemas.microsoft.com/office/spreadsheetml/2010/11/ac" url="C:\Users\COMPRAS\Downloads\"/>
    </mc:Choice>
  </mc:AlternateContent>
  <xr:revisionPtr revIDLastSave="0" documentId="8_{CA14FBA5-9F60-4FC6-930F-D41376B56FE9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NECESIDADES TRIMESTRALES" sheetId="1" r:id="rId1"/>
  </sheets>
  <definedNames>
    <definedName name="_xlnm._FilterDatabase" localSheetId="0" hidden="1">'NECESIDADES TRIMESTRALES'!$A$9:$I$30</definedName>
    <definedName name="_xlnm.Print_Area" localSheetId="0">'NECESIDADES TRIMESTRALES'!$A$9:$G$30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48" i="1" l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49" i="1" l="1"/>
</calcChain>
</file>

<file path=xl/sharedStrings.xml><?xml version="1.0" encoding="utf-8"?>
<sst xmlns="http://schemas.openxmlformats.org/spreadsheetml/2006/main" count="227" uniqueCount="114">
  <si>
    <t>Pedido de Necesidades Trimestrales</t>
  </si>
  <si>
    <t>JURISDICCION:</t>
  </si>
  <si>
    <t>90 - MINISTERIO DE SEGURIDAD</t>
  </si>
  <si>
    <t xml:space="preserve">SAF N°: </t>
  </si>
  <si>
    <t>8 - DIRECCION GENERAL SERVICIO PENITENCIARIO PROVINCIAL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</si>
  <si>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</si>
  <si>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</si>
  <si>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</si>
  <si>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</si>
  <si>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</si>
  <si>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</si>
  <si>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</si>
  <si>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</si>
  <si>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</si>
  <si>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</si>
  <si>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</si>
  <si>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2.5.2-1849.3</t>
  </si>
  <si>
    <t>PROD. MEDICO/FARMACEUTICOS/LAB</t>
  </si>
  <si>
    <t>2.5.2</t>
  </si>
  <si>
    <t>ANTIULCEROSOS; TIPO: MONODROGA, DROGA GENERICA: OMEPRAZOL, FORMA FARMACEUTICA: CAPSULA, PRESENTACION: 20 mGr</t>
  </si>
  <si>
    <t>COMP</t>
  </si>
  <si>
    <t>2.5.2-1843.1</t>
  </si>
  <si>
    <t>ANTIESPASMODICOS; TIPO: MONODROGA, PRESENTACION: 10 mGr, FORMA FARMACEUTICA: COMPRIMIDO, DROGA GENERICA: HIOSCINA N-BUTILBROMURO</t>
  </si>
  <si>
    <t>2.5.2-1821.9</t>
  </si>
  <si>
    <t>ANTIBIOTICOS P/PERSONAS; TIPO: MONODROGA, DROGA GENERICA: AMOXICILINA, PRESENTACION: 500 mGr, FORMA FARMACEUTICA: COMPRIMIDOS</t>
  </si>
  <si>
    <t>2.5.2-1821.15</t>
  </si>
  <si>
    <t>ANTIBIOTICOS P/PERSONAS; TIPO: MONODROGA, DROGA GENERICA: CEFALEXINA, PRESENTACION: 500 mGr, FORMA FARMACEUTICA: CAPSULA</t>
  </si>
  <si>
    <t>2.5.2-1821.37</t>
  </si>
  <si>
    <t>ANTIBIOTICOS P/PERSONAS; TIPO: MONODROGA, DROGA GENERICA: CLARITROMICINA, FORMA FARMACEUTICA: COMPRIMIDO, PRESENTACION: 500 mGr</t>
  </si>
  <si>
    <t>2.5.2-1821.46</t>
  </si>
  <si>
    <t>ANTIBIOTICOS P/PERSONAS; TIPO: MONODROGA, FORMA FARMACEUTICA: COMPRIMIDO, PRESENTACION: 500 mGr, DROGA GENERICA: CIPROFLOXACINA</t>
  </si>
  <si>
    <t>2.5.2-1725.9</t>
  </si>
  <si>
    <t>ANTIINFLAMATORIOS NO ESTEROIDE; TIPO: MONODROGA, FORMA FARMACEUTICA: COMPRIMIDO, PRESENTACION: 75 mGr, DROGA GENERICA: DICLOFENAC SODICO</t>
  </si>
  <si>
    <t>2.5.2-1725.68</t>
  </si>
  <si>
    <t>ANTIINFLAMATORIOS NO ESTEROIDE; TIPO: MONODROGA, DROGA GENERICA: IBUPROFENO, FORMA FARMACEUTICA: COMPRIMIDO, PRESENTACION: 400 mGr</t>
  </si>
  <si>
    <t>2.5.2-1724.8</t>
  </si>
  <si>
    <t>ANALGESICOS ; TIPO: MONODROGA, FORMA FARMACEUTICA: COMPRIMIDO, PRESENTACION: 500 GR, DROGA GENERICA: PARACETAMOL</t>
  </si>
  <si>
    <t>2.5.2-1725.49</t>
  </si>
  <si>
    <t>ANTIINFLAMATORIOS NO ESTEROIDE; DROGA GENERICA: KETOROLAC, FORMA FARMACEUTICA: COMPRIMIDO, PRESENTACION: 10 mGr, TIPO: MONODROGA</t>
  </si>
  <si>
    <t>2.5.2-1823.16</t>
  </si>
  <si>
    <t>ANTIMICOTICOS; TIPO: ASOCIACION, DROGA GENERICA: CLOTRIMAZOL + BETAMETASONA, FORMA FARMACEUTICA: CREMA, PRESENTACION: 30 GR</t>
  </si>
  <si>
    <t>POMO</t>
  </si>
  <si>
    <t>2.5.2-1903.20</t>
  </si>
  <si>
    <t>RECONSTITUYENTE GENERAL; TIPO: MONODROGA, DROGA GENERICA: HORMONA TIROIDEA LEVOTIROXINA, PRESENTACION: 100 mGr, FORMA FARMACEUTICA: COMPRIMIDO</t>
  </si>
  <si>
    <t>2.5.2-1837.17</t>
  </si>
  <si>
    <t>HIPOTENSORES; TIPO: MONODROGA, DROGA GENERICA: LOSARTAN, FORMA FARMACEUTICA: COMPRIMIDO, PRESENTACION: 50 mGr</t>
  </si>
  <si>
    <t>2.5.2-1837.42</t>
  </si>
  <si>
    <t>HIPOTENSORES; TIPO: MONODROGA, DROGA GENERICA: CARVEDILOL, FORMA FARMACEUTICA: COMPRIMIDO, PRESENTACION: 25 mGr</t>
  </si>
  <si>
    <t>2.5.2-1837.33</t>
  </si>
  <si>
    <t>HIPOTENSORES; TIPO: MONODROGA, DROGA GENERICA: VALSARTAN, FORMA FARMACEUTICA: CAPSULA, PRESENTACION: 80 mGr</t>
  </si>
  <si>
    <t>2.5.2-1862.3</t>
  </si>
  <si>
    <t>HIPOGLUCEMIANTES ORALES; TIPO: MONODROGA, FORMA FARMACEUTICA: COMPRIMIDO, PRESENTACION: 5 mGr, DROGA GENERICA: GLIBENCLAMIDA</t>
  </si>
  <si>
    <t>2.5.2-1837.79</t>
  </si>
  <si>
    <t>HIPOTENSORES; TIPO: MONODROGA, DROGA GENERICA: VALSARTAN 160 mGr, FORMA FARMACEUTICA: COMPRIMIDOS, PRESENTACION: UNIDAD</t>
  </si>
  <si>
    <t>2.5.2-1868.12</t>
  </si>
  <si>
    <t>ANSIOLITICOS; TIPO: MONODROGA, DROGA GENERICA: ALPRAZOLAM, FORMA FARMACEUTICA: COMPRIMIDOS, PRESENTACION: 2 mGr</t>
  </si>
  <si>
    <t>2.5.2-1868.37</t>
  </si>
  <si>
    <t>ANSIOLITICOS; TIPO: MONODROGA, DROGA GENERICA: CLONAZEPAN 2 MG, FORMA FARMACEUTICA: COMPRIMIDOS, PRESENTACION: UNIDAD</t>
  </si>
  <si>
    <t>2.5.2-7316.6</t>
  </si>
  <si>
    <t>ANTIPSICOTICOS; PRESENTACION: COMPRIMIDOS, TIPO: MONODROGA, DROGA GENERICA: QUETIAPINA 200 mGr</t>
  </si>
  <si>
    <t>2.5.2-1868.6</t>
  </si>
  <si>
    <t>ANSIOLITICOS; TIPO: MONODROGA, FORMA FARMACEUTICA: COMPRIMIDO, PRESENTACION: 10 mGr, DROGA GENERICA: DIAZEPAN</t>
  </si>
  <si>
    <t>2.5.2-2200.2</t>
  </si>
  <si>
    <t>CORTICOIDES; DROGA GENERICA: DEXAMETASONA, FORMA FARMACEUTICA: AMPOLLA, PRESENTACION: 8 mGr, TIPO: MONODROGA</t>
  </si>
  <si>
    <t>AMP</t>
  </si>
  <si>
    <t>2.9.5-2157.2</t>
  </si>
  <si>
    <t>2.9.5</t>
  </si>
  <si>
    <t>JERINGAS DESCARTABLES; CAPACIDAD: 5 mL, AGUJA: 40/08, USO: SIN VALOR</t>
  </si>
  <si>
    <t>UNIDAD</t>
  </si>
  <si>
    <t>2.9.5-2157.4</t>
  </si>
  <si>
    <t>JERINGAS DESCARTABLES; CAPACIDAD: 10 mL, AGUJA: 40/08, USO: EXTRACCION</t>
  </si>
  <si>
    <t>2.9.5-2157.11</t>
  </si>
  <si>
    <t>JERINGAS DESCARTABLES; CAPACIDAD: 1 mL, AGUJA: 25/5, USO: ADMINISTRACION DE INSULINA</t>
  </si>
  <si>
    <t>2.9.5-2157.25</t>
  </si>
  <si>
    <t>JERINGAS DESCARTABLES; CAPACIDAD: SIN VALOR, AGUJA: 27 X 1/2, USO: TUBERCULINA</t>
  </si>
  <si>
    <t>2.5.2-1866.5</t>
  </si>
  <si>
    <t>ANTIPARKINSONIANOS; TIPO: ASOCIACION, DROGA GENERICA: LEVEDOPA - BENZERAZIDA, FORMA FARMACEUTICA: COMPRIMIDO, PRESENTACION: 250 mGr</t>
  </si>
  <si>
    <t>2.5.2-1867.7</t>
  </si>
  <si>
    <t>VASODILATADORES CEREBRALES; TIPO: MONODROGA, DROGA GENERICA: FLUNARIZINA, FORMA FARMACEUTICA: COMPRIMIDO, PRESENTACION: 10 mGr</t>
  </si>
  <si>
    <t>2.5.2-1868.82</t>
  </si>
  <si>
    <t>ANSIOLITICOS; TIPO: MONODROGA, DROGA GENERICA: PREGABALINA 75 MG, FORMA FARMACEUTICA: COMPRIMIDO, PRESENTACION: UNIDAD</t>
  </si>
  <si>
    <t>2.5.2-1875.23</t>
  </si>
  <si>
    <t>ANTIASMATICO BRONCODILATADOR; TIPO: MONODROGA, DROGA GENERICA: SALBUTAMOL, FORMA FARMACEUTICA: AEROSOL, PRESENTACION: 100 DOSIS</t>
  </si>
  <si>
    <t>AER</t>
  </si>
  <si>
    <t>2.5.2-1875.54</t>
  </si>
  <si>
    <t>ANTIASMATICO BRONCODILATADOR; TIPO: MONODROGA, DROGA GENERICA: BUDENOSIDE, FORMA FARMACEUTICA: AEROSOL, PRESENTACION: 100 mGr</t>
  </si>
  <si>
    <t>2.5.2-1837.11</t>
  </si>
  <si>
    <t>HIPOTENSORES; TIPO: MONODROGA, DROGA GENERICA: AMLOPIDINA, FORMA FARMACEUTICA: COMPRIMIDO, PRESENTACION: 10 mGr</t>
  </si>
  <si>
    <t>2.5.2-1843.15</t>
  </si>
  <si>
    <t>ANTIESPASMODICOS; TIPO: MONODROGA, DROGA GENERICA: HIOSCINA N-BUTILBROMURO, FORMA FARMACEUTICA: AMPOLLA, PRESENTACION: 20 mGr</t>
  </si>
  <si>
    <t>2.5.2-1851.35</t>
  </si>
  <si>
    <t>GENITOURINARIO; TIPO: MONODROGA, DROGA GENERICA: TAMSULOSINA 0,4 mGr, FORMA FARMACEUTICA: COMPRIMIDO, PRESENTACION: UNIDAD</t>
  </si>
  <si>
    <t>2.5.2-1725.1</t>
  </si>
  <si>
    <t>ANTIINFLAMATORIOS NO ESTEROIDE; TIPO: MONODROGA, DROGA GENERICA: DICLOFENACO SODICO, PRESENTACION: 75 mGr, FORMA FARMACEUTICA: AMPOLLA</t>
  </si>
  <si>
    <t>2.5.2-1725.99</t>
  </si>
  <si>
    <t>ANTIINFLAMATORIOS NO ESTEROIDE; TIPO: ASOCIACION, DROGA GENERICA: DICLOFENAC+BETAMETASONA+B12, FORMA FARMACEUTICA: COMPRIMIDO, PRESENTACION: UNIDAD</t>
  </si>
  <si>
    <t>2.5.2-1821.220</t>
  </si>
  <si>
    <t>ANTIBIOTICOS P/PERSONAS; TIPO: MONODROGA, DROGA GENERICA: PENICILINA G. BENZATINICA, FORMA FARMACEUTICA: FRASCO AMPOLLA, PRESENTACION: 2.400.000 UI</t>
  </si>
  <si>
    <t>2.5.2-1724.6</t>
  </si>
  <si>
    <t>ANALGESICOS ; TIPO: MONODROGA, PRESENTACION: 1 GR, DROGA GENERICA: DIPIRONA, FORMA FARMACEUTICA: AMPOLLA</t>
  </si>
  <si>
    <t>2.5.2-711.19</t>
  </si>
  <si>
    <t>ALCOHOL USO MEDICINAL; PUREZA: 99 %, PRESENTACION: ENVASE X 5 L</t>
  </si>
  <si>
    <t>BIDON</t>
  </si>
  <si>
    <t>Descripción técnica</t>
  </si>
  <si>
    <t>Deberan tener una fecha de vencimiento mínimo de 365 días contados a partir de la fecha de recepción</t>
  </si>
  <si>
    <t>Plazos y lugares de entrega</t>
  </si>
  <si>
    <t xml:space="preserve">05 dias de recibida la Orden de Compras </t>
  </si>
  <si>
    <t>Ruta Nacional 38, KM 558 Colonia del Valle, Capayan</t>
  </si>
  <si>
    <t>Calidad Minima esperada</t>
  </si>
  <si>
    <t>Mantenimiento</t>
  </si>
  <si>
    <t>Garantia</t>
  </si>
  <si>
    <t>Especificidades Item N° 2:</t>
  </si>
  <si>
    <t>45 días</t>
  </si>
  <si>
    <t>Especificidades Item N° 1-39: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</si>
</sst>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&quot; €&quot;_-;\-* #,##0.00&quot; €&quot;_-;_-* \-??&quot; €&quot;_-;_-@_-"/>
    <numFmt numFmtId="165" formatCode="[$$-2C0A]\ #,##0.00;[$$-2C0A]&quot; -&quot;#,##0.00"/>
    <numFmt numFmtId="166" formatCode="\$#,##0.00"/>
  </numFmts>
  <fonts count="12" x14ac:knownFonts="1">
    <font>
      <sz val="10"/>
      <name val="Arial"/>
      <family val="2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indexed="8"/>
      <name val="Times New Roman"/>
      <family val="1"/>
    </font>
    <font>
      <b/>
      <sz val="12"/>
      <color indexed="8"/>
      <name val="Times New Roman"/>
      <family val="1"/>
    </font>
    <font>
      <sz val="10"/>
      <color indexed="8"/>
      <name val="Times New Roman"/>
      <family val="1"/>
    </font>
    <font>
      <b/>
      <sz val="10"/>
      <color indexed="8"/>
      <name val="Times New Roman"/>
      <family val="1"/>
    </font>
    <font>
      <sz val="9"/>
      <name val="Times New Roman"/>
      <family val="1"/>
    </font>
    <font>
      <sz val="9"/>
      <color indexed="8"/>
      <name val="Times New Roman"/>
      <family val="1"/>
    </font>
    <font>
      <sz val="12"/>
      <name val="Times New Roman"/>
      <family val="1"/>
    </font>
    <font>
      <u/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2">
    <border>
      <left/>
      <right/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/>
      <right/>
      <top style="medium">
        <color indexed="8"/>
      </top>
      <bottom/>
      <diagonal/>
    </border>
    <border>
      <left style="medium">
        <color indexed="8"/>
      </left>
      <right style="thick">
        <color indexed="8"/>
      </right>
      <top style="medium">
        <color indexed="8"/>
      </top>
      <bottom style="medium">
        <color indexed="8"/>
      </bottom>
      <diagonal/>
    </border>
    <border>
      <left style="thick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/>
      <right style="thick">
        <color indexed="8"/>
      </right>
      <top style="medium">
        <color indexed="8"/>
      </top>
      <bottom/>
      <diagonal/>
    </border>
    <border>
      <left style="thick">
        <color indexed="8"/>
      </left>
      <right style="thick">
        <color indexed="8"/>
      </right>
      <top style="medium">
        <color indexed="8"/>
      </top>
      <bottom/>
      <diagonal/>
    </border>
    <border>
      <left style="thick">
        <color indexed="8"/>
      </left>
      <right/>
      <top style="medium">
        <color indexed="8"/>
      </top>
      <bottom/>
      <diagonal/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 style="medium">
        <color indexed="8"/>
      </top>
      <bottom/>
      <diagonal/>
    </border>
    <border>
      <left style="thin">
        <color indexed="8"/>
      </left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medium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indexed="8"/>
      </right>
      <top style="thin">
        <color indexed="8"/>
      </top>
      <bottom/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/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/>
      <top/>
      <bottom/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</borders>
  <cellStyleXfs count="2">
    <xf numFmtId="0" fontId="0" fillId="0" borderId="0"/>
    <xf numFmtId="164" fontId="1" fillId="0" borderId="0" applyBorder="0" applyProtection="0"/>
  </cellStyleXfs>
  <cellXfs count="58">
    <xf numFmtId="0" fontId="0" fillId="0" borderId="0" xfId="0"/>
    <xf numFmtId="0" fontId="2" fillId="0" borderId="0" xfId="0" applyFont="1" applyFill="1"/>
    <xf numFmtId="0" fontId="6" fillId="0" borderId="0" xfId="0" applyFont="1" applyFill="1" applyAlignment="1">
      <alignment horizontal="left" wrapText="1"/>
    </xf>
    <xf numFmtId="0" fontId="6" fillId="0" borderId="0" xfId="0" applyFont="1" applyFill="1" applyAlignment="1">
      <alignment horizontal="center" wrapText="1"/>
    </xf>
    <xf numFmtId="0" fontId="5" fillId="0" borderId="0" xfId="0" applyFont="1" applyFill="1" applyAlignment="1">
      <alignment horizontal="left" wrapText="1" indent="1"/>
    </xf>
    <xf numFmtId="0" fontId="7" fillId="0" borderId="0" xfId="0" applyFont="1" applyFill="1" applyAlignment="1">
      <alignment horizontal="left" wrapText="1"/>
    </xf>
    <xf numFmtId="0" fontId="7" fillId="0" borderId="1" xfId="0" applyFont="1" applyFill="1" applyBorder="1" applyAlignment="1">
      <alignment horizontal="center" vertical="center" wrapText="1"/>
    </xf>
    <xf numFmtId="0" fontId="7" fillId="0" borderId="2" xfId="0" applyFont="1" applyFill="1" applyBorder="1" applyAlignment="1">
      <alignment horizontal="center" vertical="center" wrapText="1"/>
    </xf>
    <xf numFmtId="0" fontId="7" fillId="0" borderId="3" xfId="0" applyFont="1" applyFill="1" applyBorder="1" applyAlignment="1">
      <alignment horizontal="center" vertical="center" wrapText="1"/>
    </xf>
    <xf numFmtId="0" fontId="7" fillId="0" borderId="4" xfId="0" applyFont="1" applyFill="1" applyBorder="1" applyAlignment="1">
      <alignment horizontal="center" vertical="center" wrapText="1"/>
    </xf>
    <xf numFmtId="0" fontId="7" fillId="0" borderId="5" xfId="0" applyFont="1" applyFill="1" applyBorder="1" applyAlignment="1">
      <alignment horizontal="center" vertical="center" wrapText="1"/>
    </xf>
    <xf numFmtId="0" fontId="7" fillId="0" borderId="6" xfId="0" applyFont="1" applyFill="1" applyBorder="1" applyAlignment="1">
      <alignment horizontal="center" vertical="center" wrapText="1"/>
    </xf>
    <xf numFmtId="0" fontId="7" fillId="0" borderId="7" xfId="0" applyFont="1" applyFill="1" applyBorder="1" applyAlignment="1">
      <alignment horizontal="center" vertical="center" wrapText="1"/>
    </xf>
    <xf numFmtId="0" fontId="8" fillId="0" borderId="8" xfId="0" applyFont="1" applyFill="1" applyBorder="1" applyAlignment="1">
      <alignment horizontal="center" vertical="center"/>
    </xf>
    <xf numFmtId="0" fontId="9" fillId="0" borderId="9" xfId="0" applyFont="1" applyFill="1" applyBorder="1" applyAlignment="1">
      <alignment horizontal="center" vertical="center" wrapText="1"/>
    </xf>
    <xf numFmtId="0" fontId="9" fillId="0" borderId="9" xfId="0" applyFont="1" applyFill="1" applyBorder="1" applyAlignment="1">
      <alignment horizontal="left" vertical="center" wrapText="1"/>
    </xf>
    <xf numFmtId="165" fontId="8" fillId="0" borderId="10" xfId="1" applyNumberFormat="1" applyFont="1" applyFill="1" applyBorder="1" applyAlignment="1" applyProtection="1">
      <alignment horizontal="right" vertical="center" wrapText="1"/>
    </xf>
    <xf numFmtId="165" fontId="8" fillId="0" borderId="11" xfId="1" applyNumberFormat="1" applyFont="1" applyFill="1" applyBorder="1" applyAlignment="1" applyProtection="1">
      <alignment horizontal="right" vertical="center" wrapText="1"/>
    </xf>
    <xf numFmtId="0" fontId="8" fillId="0" borderId="12" xfId="0" applyFont="1" applyFill="1" applyBorder="1" applyAlignment="1">
      <alignment horizontal="center" vertical="center"/>
    </xf>
    <xf numFmtId="0" fontId="9" fillId="0" borderId="13" xfId="0" applyFont="1" applyFill="1" applyBorder="1" applyAlignment="1">
      <alignment horizontal="center" vertical="center" wrapText="1"/>
    </xf>
    <xf numFmtId="0" fontId="9" fillId="0" borderId="13" xfId="0" applyFont="1" applyFill="1" applyBorder="1" applyAlignment="1">
      <alignment horizontal="left" vertical="center" wrapText="1"/>
    </xf>
    <xf numFmtId="165" fontId="8" fillId="0" borderId="13" xfId="1" applyNumberFormat="1" applyFont="1" applyFill="1" applyBorder="1" applyAlignment="1" applyProtection="1">
      <alignment horizontal="right" vertical="center" wrapText="1"/>
    </xf>
    <xf numFmtId="165" fontId="8" fillId="0" borderId="14" xfId="1" applyNumberFormat="1" applyFont="1" applyFill="1" applyBorder="1" applyAlignment="1" applyProtection="1">
      <alignment horizontal="right" vertical="center" wrapText="1"/>
    </xf>
    <xf numFmtId="0" fontId="9" fillId="0" borderId="15" xfId="0" applyFont="1" applyFill="1" applyBorder="1" applyAlignment="1">
      <alignment horizontal="center" vertical="center" wrapText="1"/>
    </xf>
    <xf numFmtId="0" fontId="8" fillId="0" borderId="16" xfId="0" applyFont="1" applyFill="1" applyBorder="1" applyAlignment="1">
      <alignment horizontal="center" vertical="center"/>
    </xf>
    <xf numFmtId="0" fontId="2" fillId="0" borderId="13" xfId="0" applyFont="1" applyFill="1" applyBorder="1" applyAlignment="1">
      <alignment horizontal="center" vertical="center"/>
    </xf>
    <xf numFmtId="0" fontId="8" fillId="0" borderId="17" xfId="0" applyFont="1" applyFill="1" applyBorder="1" applyAlignment="1">
      <alignment horizontal="left" vertical="center" wrapText="1"/>
    </xf>
    <xf numFmtId="0" fontId="8" fillId="0" borderId="13" xfId="0" applyFont="1" applyFill="1" applyBorder="1" applyAlignment="1">
      <alignment horizontal="center" vertical="center" wrapText="1"/>
    </xf>
    <xf numFmtId="0" fontId="8" fillId="0" borderId="13" xfId="0" applyFont="1" applyFill="1" applyBorder="1" applyAlignment="1">
      <alignment horizontal="left" vertical="center" wrapText="1"/>
    </xf>
    <xf numFmtId="166" fontId="9" fillId="0" borderId="18" xfId="0" applyNumberFormat="1" applyFont="1" applyFill="1" applyBorder="1" applyAlignment="1">
      <alignment horizontal="right" wrapText="1"/>
    </xf>
    <xf numFmtId="0" fontId="8" fillId="0" borderId="13" xfId="0" applyFont="1" applyFill="1" applyBorder="1" applyAlignment="1">
      <alignment horizontal="center" vertical="center"/>
    </xf>
    <xf numFmtId="166" fontId="9" fillId="0" borderId="18" xfId="0" applyNumberFormat="1" applyFont="1" applyFill="1" applyBorder="1" applyAlignment="1">
      <alignment horizontal="right" vertical="center" wrapText="1"/>
    </xf>
    <xf numFmtId="0" fontId="8" fillId="0" borderId="13" xfId="0" applyFont="1" applyFill="1" applyBorder="1" applyAlignment="1">
      <alignment horizontal="left" vertical="center"/>
    </xf>
    <xf numFmtId="166" fontId="9" fillId="0" borderId="19" xfId="0" applyNumberFormat="1" applyFont="1" applyFill="1" applyBorder="1" applyAlignment="1">
      <alignment horizontal="right" vertical="center" wrapText="1"/>
    </xf>
    <xf numFmtId="165" fontId="8" fillId="0" borderId="20" xfId="1" applyNumberFormat="1" applyFont="1" applyFill="1" applyBorder="1" applyAlignment="1" applyProtection="1">
      <alignment horizontal="right" vertical="center" wrapText="1"/>
    </xf>
    <xf numFmtId="0" fontId="8" fillId="0" borderId="0" xfId="0" applyFont="1" applyFill="1" applyBorder="1" applyAlignment="1">
      <alignment horizontal="left" vertical="center"/>
    </xf>
    <xf numFmtId="0" fontId="2" fillId="0" borderId="21" xfId="0" applyFont="1" applyFill="1" applyBorder="1"/>
    <xf numFmtId="0" fontId="2" fillId="0" borderId="22" xfId="0" applyFont="1" applyFill="1" applyBorder="1"/>
    <xf numFmtId="0" fontId="2" fillId="0" borderId="23" xfId="0" applyFont="1" applyFill="1" applyBorder="1"/>
    <xf numFmtId="165" fontId="10" fillId="0" borderId="24" xfId="0" applyNumberFormat="1" applyFont="1" applyFill="1" applyBorder="1" applyAlignment="1">
      <alignment horizontal="center" vertical="center"/>
    </xf>
    <xf numFmtId="0" fontId="11" fillId="0" borderId="25" xfId="0" applyFont="1" applyFill="1" applyBorder="1"/>
    <xf numFmtId="0" fontId="2" fillId="0" borderId="2" xfId="0" applyFont="1" applyFill="1" applyBorder="1"/>
    <xf numFmtId="0" fontId="2" fillId="0" borderId="26" xfId="0" applyFont="1" applyFill="1" applyBorder="1"/>
    <xf numFmtId="0" fontId="2" fillId="0" borderId="27" xfId="0" applyFont="1" applyFill="1" applyBorder="1"/>
    <xf numFmtId="0" fontId="2" fillId="0" borderId="28" xfId="0" applyFont="1" applyFill="1" applyBorder="1"/>
    <xf numFmtId="0" fontId="11" fillId="0" borderId="27" xfId="0" applyFont="1" applyFill="1" applyBorder="1" applyAlignment="1">
      <alignment horizontal="left" indent="3"/>
    </xf>
    <xf numFmtId="0" fontId="2" fillId="0" borderId="27" xfId="0" applyFont="1" applyFill="1" applyBorder="1" applyAlignment="1">
      <alignment horizontal="left" indent="3"/>
    </xf>
    <xf numFmtId="0" fontId="2" fillId="0" borderId="0" xfId="0" applyFont="1" applyFill="1" applyAlignment="1">
      <alignment horizontal="center" wrapText="1"/>
    </xf>
    <xf numFmtId="0" fontId="2" fillId="0" borderId="28" xfId="0" applyFont="1" applyFill="1" applyBorder="1" applyAlignment="1">
      <alignment horizontal="center" wrapText="1"/>
    </xf>
    <xf numFmtId="0" fontId="2" fillId="0" borderId="29" xfId="0" applyFont="1" applyFill="1" applyBorder="1" applyAlignment="1">
      <alignment horizontal="left" indent="3"/>
    </xf>
    <xf numFmtId="0" fontId="2" fillId="0" borderId="30" xfId="0" applyFont="1" applyFill="1" applyBorder="1"/>
    <xf numFmtId="0" fontId="2" fillId="0" borderId="31" xfId="0" applyFont="1" applyFill="1" applyBorder="1"/>
    <xf numFmtId="0" fontId="2" fillId="0" borderId="0" xfId="0" applyFont="1"/>
    <xf numFmtId="0" fontId="2" fillId="0" borderId="28" xfId="0" applyFont="1" applyFill="1" applyBorder="1" applyAlignment="1">
      <alignment horizontal="center" wrapText="1"/>
    </xf>
    <xf numFmtId="0" fontId="3" fillId="0" borderId="0" xfId="0" applyFont="1" applyFill="1" applyBorder="1" applyAlignment="1">
      <alignment horizontal="center"/>
    </xf>
    <xf numFmtId="0" fontId="4" fillId="0" borderId="0" xfId="0" applyFont="1" applyFill="1" applyBorder="1" applyAlignment="1">
      <alignment horizontal="left" vertical="center" wrapText="1"/>
    </xf>
    <xf numFmtId="0" fontId="5" fillId="0" borderId="0" xfId="0" applyFont="1" applyFill="1" applyBorder="1" applyAlignment="1">
      <alignment horizontal="left" wrapText="1" indent="1"/>
    </xf>
    <xf numFmtId="0" fontId="2" fillId="0" borderId="28" xfId="0" applyFont="1" applyFill="1" applyBorder="1" applyAlignment="1">
      <alignment horizont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79"/>
  <sheetViews>
    <sheetView tabSelected="1" topLeftCell="A17" zoomScale="90" zoomScaleNormal="90" workbookViewId="0">
      <selection activeCell="I49" sqref="I49"/>
    </sheetView>
  </sheetViews>
  <sheetFormatPr baseColWidth="10" defaultColWidth="11" defaultRowHeight="12.75" x14ac:dyDescent="0.2"/>
  <cols>
    <col min="1" max="1" width="4.85546875" style="1" customWidth="1"/>
    <col min="2" max="2" width="12.85546875" style="1" customWidth="1"/>
    <col min="3" max="3" width="33.140625" style="1" customWidth="1"/>
    <col min="4" max="4" width="9.7109375" style="1" customWidth="1"/>
    <col min="5" max="5" width="80.28515625" style="1" customWidth="1"/>
    <col min="6" max="6" width="11" style="1" customWidth="1"/>
    <col min="7" max="7" width="12.7109375" style="1" customWidth="1"/>
    <col min="8" max="8" width="13.85546875" style="1" customWidth="1"/>
    <col min="9" max="9" width="18.5703125" style="1" customWidth="1"/>
    <col min="10" max="11" width="11" style="1" customWidth="1"/>
    <col min="12" max="16384" width="11" style="52"/>
  </cols>
  <sheetData>
    <row r="2" spans="1:9" ht="27" x14ac:dyDescent="0.35">
      <c r="B2" s="54" t="s">
        <v>0</v>
      </c>
      <c r="C2" s="54"/>
      <c r="D2" s="54"/>
      <c r="E2" s="54"/>
      <c r="F2" s="54"/>
      <c r="G2" s="54"/>
      <c r="H2" s="54"/>
    </row>
    <row r="4" spans="1:9" ht="18" customHeight="1" x14ac:dyDescent="0.25">
      <c r="A4" s="55" t="s">
        <v>1</v>
      </c>
      <c r="B4" s="55"/>
      <c r="C4" s="56" t="s">
        <v>2</v>
      </c>
      <c r="D4" s="56"/>
      <c r="E4" s="56"/>
      <c r="F4" s="2"/>
      <c r="G4" s="3"/>
      <c r="H4" s="2"/>
    </row>
    <row r="5" spans="1:9" ht="18" customHeight="1" x14ac:dyDescent="0.25">
      <c r="A5" s="55" t="s">
        <v>3</v>
      </c>
      <c r="B5" s="55"/>
      <c r="C5" s="56" t="s">
        <v>4</v>
      </c>
      <c r="D5" s="56"/>
      <c r="E5" s="56"/>
      <c r="F5" s="2"/>
      <c r="G5" s="3"/>
      <c r="H5" s="2"/>
    </row>
    <row r="6" spans="1:9" ht="16.5" customHeight="1" x14ac:dyDescent="0.25">
      <c r="A6" s="55" t="s">
        <v>5</v>
      </c>
      <c r="B6" s="55"/>
      <c r="C6" s="4">
        <v>2021</v>
      </c>
      <c r="D6" s="5"/>
      <c r="E6" s="5"/>
      <c r="F6" s="2"/>
      <c r="G6" s="3"/>
      <c r="H6" s="2"/>
    </row>
    <row r="7" spans="1:9" ht="16.5" customHeight="1" x14ac:dyDescent="0.25">
      <c r="A7" s="55" t="s">
        <v>6</v>
      </c>
      <c r="B7" s="55"/>
      <c r="C7" s="4">
        <v>3</v>
      </c>
      <c r="D7" s="5"/>
      <c r="E7" s="5"/>
      <c r="F7" s="2"/>
      <c r="G7" s="3"/>
      <c r="H7" s="2"/>
    </row>
    <row r="8" spans="1:9" ht="13.5" thickBot="1" x14ac:dyDescent="0.25">
      <c r="B8" s="2"/>
      <c r="C8" s="3"/>
      <c r="D8" s="2"/>
      <c r="E8" s="2"/>
      <c r="F8" s="2"/>
      <c r="G8" s="3"/>
      <c r="H8" s="2"/>
    </row>
    <row r="9" spans="1:9" ht="39" thickBot="1" x14ac:dyDescent="0.25">
      <c r="A9" s="6" t="s">
        <v>7</v>
      </c>
      <c r="B9" s="7" t="s">
        <v>8</v>
      </c>
      <c r="C9" s="8" t="s">
        <v>9</v>
      </c>
      <c r="D9" s="9" t="s">
        <v>10</v>
      </c>
      <c r="E9" s="10" t="s">
        <v>11</v>
      </c>
      <c r="F9" s="11" t="s">
        <v>12</v>
      </c>
      <c r="G9" s="11" t="s">
        <v>13</v>
      </c>
      <c r="H9" s="12" t="s">
        <v>14</v>
      </c>
      <c r="I9" s="6" t="s">
        <v>15</v>
      </c>
    </row>
    <row r="10" spans="1:9" s="1" customFormat="1" ht="24" x14ac:dyDescent="0.2">
      <c r="A10" s="13">
        <v>1</v>
      </c>
      <c r="B10" s="14" t="s">
        <v>16</v>
      </c>
      <c r="C10" s="15" t="s">
        <v>17</v>
      </c>
      <c r="D10" s="14" t="s">
        <v>18</v>
      </c>
      <c r="E10" s="15" t="s">
        <v>19</v>
      </c>
      <c r="F10" s="14" t="s">
        <v>20</v>
      </c>
      <c r="G10" s="14">
        <v>4000</v>
      </c>
      <c r="H10" s="16">
        <v>2.7</v>
      </c>
      <c r="I10" s="17">
        <f t="shared" ref="I10:I48" si="0">+G10*H10</f>
        <v>10800</v>
      </c>
    </row>
    <row r="11" spans="1:9" s="1" customFormat="1" ht="24" x14ac:dyDescent="0.2">
      <c r="A11" s="18">
        <v>2</v>
      </c>
      <c r="B11" s="19" t="s">
        <v>21</v>
      </c>
      <c r="C11" s="20" t="s">
        <v>17</v>
      </c>
      <c r="D11" s="19" t="s">
        <v>18</v>
      </c>
      <c r="E11" s="20" t="s">
        <v>22</v>
      </c>
      <c r="F11" s="19" t="s">
        <v>20</v>
      </c>
      <c r="G11" s="19">
        <v>1000</v>
      </c>
      <c r="H11" s="21">
        <v>49</v>
      </c>
      <c r="I11" s="22">
        <f t="shared" si="0"/>
        <v>49000</v>
      </c>
    </row>
    <row r="12" spans="1:9" s="1" customFormat="1" ht="24" x14ac:dyDescent="0.2">
      <c r="A12" s="18">
        <v>3</v>
      </c>
      <c r="B12" s="19" t="s">
        <v>23</v>
      </c>
      <c r="C12" s="20" t="s">
        <v>17</v>
      </c>
      <c r="D12" s="19" t="s">
        <v>18</v>
      </c>
      <c r="E12" s="20" t="s">
        <v>24</v>
      </c>
      <c r="F12" s="19" t="s">
        <v>20</v>
      </c>
      <c r="G12" s="19">
        <v>1000</v>
      </c>
      <c r="H12" s="21">
        <v>11</v>
      </c>
      <c r="I12" s="22">
        <f t="shared" si="0"/>
        <v>11000</v>
      </c>
    </row>
    <row r="13" spans="1:9" s="1" customFormat="1" ht="24" x14ac:dyDescent="0.2">
      <c r="A13" s="18">
        <v>4</v>
      </c>
      <c r="B13" s="19" t="s">
        <v>25</v>
      </c>
      <c r="C13" s="20" t="s">
        <v>17</v>
      </c>
      <c r="D13" s="19" t="s">
        <v>18</v>
      </c>
      <c r="E13" s="20" t="s">
        <v>26</v>
      </c>
      <c r="F13" s="19" t="s">
        <v>20</v>
      </c>
      <c r="G13" s="19">
        <v>1500</v>
      </c>
      <c r="H13" s="21">
        <v>19.8</v>
      </c>
      <c r="I13" s="22">
        <f t="shared" si="0"/>
        <v>29700</v>
      </c>
    </row>
    <row r="14" spans="1:9" s="1" customFormat="1" ht="24" x14ac:dyDescent="0.2">
      <c r="A14" s="18">
        <v>5</v>
      </c>
      <c r="B14" s="19" t="s">
        <v>27</v>
      </c>
      <c r="C14" s="20" t="s">
        <v>17</v>
      </c>
      <c r="D14" s="19" t="s">
        <v>18</v>
      </c>
      <c r="E14" s="20" t="s">
        <v>28</v>
      </c>
      <c r="F14" s="19" t="s">
        <v>20</v>
      </c>
      <c r="G14" s="19">
        <v>1000</v>
      </c>
      <c r="H14" s="21">
        <v>52.7</v>
      </c>
      <c r="I14" s="22">
        <f t="shared" si="0"/>
        <v>52700</v>
      </c>
    </row>
    <row r="15" spans="1:9" s="1" customFormat="1" ht="24" x14ac:dyDescent="0.2">
      <c r="A15" s="18">
        <v>6</v>
      </c>
      <c r="B15" s="19" t="s">
        <v>29</v>
      </c>
      <c r="C15" s="20" t="s">
        <v>17</v>
      </c>
      <c r="D15" s="19" t="s">
        <v>18</v>
      </c>
      <c r="E15" s="20" t="s">
        <v>30</v>
      </c>
      <c r="F15" s="19" t="s">
        <v>20</v>
      </c>
      <c r="G15" s="19">
        <v>500</v>
      </c>
      <c r="H15" s="21">
        <v>13.8</v>
      </c>
      <c r="I15" s="22">
        <f t="shared" si="0"/>
        <v>6900</v>
      </c>
    </row>
    <row r="16" spans="1:9" s="1" customFormat="1" ht="24" x14ac:dyDescent="0.2">
      <c r="A16" s="18">
        <v>7</v>
      </c>
      <c r="B16" s="23" t="s">
        <v>31</v>
      </c>
      <c r="C16" s="20" t="s">
        <v>17</v>
      </c>
      <c r="D16" s="19" t="s">
        <v>18</v>
      </c>
      <c r="E16" s="20" t="s">
        <v>32</v>
      </c>
      <c r="F16" s="19" t="s">
        <v>20</v>
      </c>
      <c r="G16" s="19">
        <v>2000</v>
      </c>
      <c r="H16" s="21">
        <v>3.9</v>
      </c>
      <c r="I16" s="22">
        <f t="shared" si="0"/>
        <v>7800</v>
      </c>
    </row>
    <row r="17" spans="1:9" s="1" customFormat="1" ht="24.75" customHeight="1" x14ac:dyDescent="0.2">
      <c r="A17" s="24">
        <v>8</v>
      </c>
      <c r="B17" s="25" t="s">
        <v>33</v>
      </c>
      <c r="C17" s="26" t="s">
        <v>17</v>
      </c>
      <c r="D17" s="27" t="s">
        <v>18</v>
      </c>
      <c r="E17" s="28" t="s">
        <v>34</v>
      </c>
      <c r="F17" s="19" t="s">
        <v>20</v>
      </c>
      <c r="G17" s="27">
        <v>2500</v>
      </c>
      <c r="H17" s="21">
        <v>5.6</v>
      </c>
      <c r="I17" s="22">
        <f t="shared" si="0"/>
        <v>14000</v>
      </c>
    </row>
    <row r="18" spans="1:9" s="1" customFormat="1" ht="24" x14ac:dyDescent="0.2">
      <c r="A18" s="18">
        <v>9</v>
      </c>
      <c r="B18" s="19" t="s">
        <v>35</v>
      </c>
      <c r="C18" s="20" t="s">
        <v>17</v>
      </c>
      <c r="D18" s="19" t="s">
        <v>18</v>
      </c>
      <c r="E18" s="20" t="s">
        <v>36</v>
      </c>
      <c r="F18" s="19" t="s">
        <v>20</v>
      </c>
      <c r="G18" s="19">
        <v>3000</v>
      </c>
      <c r="H18" s="21">
        <v>5.5</v>
      </c>
      <c r="I18" s="22">
        <f t="shared" si="0"/>
        <v>16500</v>
      </c>
    </row>
    <row r="19" spans="1:9" s="1" customFormat="1" ht="24" x14ac:dyDescent="0.2">
      <c r="A19" s="18">
        <v>10</v>
      </c>
      <c r="B19" s="19" t="s">
        <v>37</v>
      </c>
      <c r="C19" s="20" t="s">
        <v>17</v>
      </c>
      <c r="D19" s="19" t="s">
        <v>18</v>
      </c>
      <c r="E19" s="20" t="s">
        <v>38</v>
      </c>
      <c r="F19" s="19" t="s">
        <v>20</v>
      </c>
      <c r="G19" s="19">
        <v>1000</v>
      </c>
      <c r="H19" s="21">
        <v>6.7</v>
      </c>
      <c r="I19" s="22">
        <f t="shared" si="0"/>
        <v>6700</v>
      </c>
    </row>
    <row r="20" spans="1:9" s="1" customFormat="1" ht="24" x14ac:dyDescent="0.2">
      <c r="A20" s="18">
        <v>11</v>
      </c>
      <c r="B20" s="19" t="s">
        <v>39</v>
      </c>
      <c r="C20" s="20" t="s">
        <v>17</v>
      </c>
      <c r="D20" s="19" t="s">
        <v>18</v>
      </c>
      <c r="E20" s="20" t="s">
        <v>40</v>
      </c>
      <c r="F20" s="19" t="s">
        <v>41</v>
      </c>
      <c r="G20" s="19">
        <v>60</v>
      </c>
      <c r="H20" s="21">
        <v>490</v>
      </c>
      <c r="I20" s="22">
        <f t="shared" si="0"/>
        <v>29400</v>
      </c>
    </row>
    <row r="21" spans="1:9" s="1" customFormat="1" ht="24" x14ac:dyDescent="0.2">
      <c r="A21" s="18">
        <v>12</v>
      </c>
      <c r="B21" s="19" t="s">
        <v>42</v>
      </c>
      <c r="C21" s="20" t="s">
        <v>17</v>
      </c>
      <c r="D21" s="19" t="s">
        <v>18</v>
      </c>
      <c r="E21" s="20" t="s">
        <v>43</v>
      </c>
      <c r="F21" s="19" t="s">
        <v>20</v>
      </c>
      <c r="G21" s="19">
        <v>300</v>
      </c>
      <c r="H21" s="29">
        <v>23.6</v>
      </c>
      <c r="I21" s="22">
        <f t="shared" si="0"/>
        <v>7080</v>
      </c>
    </row>
    <row r="22" spans="1:9" s="1" customFormat="1" ht="24" x14ac:dyDescent="0.2">
      <c r="A22" s="18">
        <v>13</v>
      </c>
      <c r="B22" s="19" t="s">
        <v>44</v>
      </c>
      <c r="C22" s="20" t="s">
        <v>17</v>
      </c>
      <c r="D22" s="19" t="s">
        <v>18</v>
      </c>
      <c r="E22" s="20" t="s">
        <v>45</v>
      </c>
      <c r="F22" s="19" t="s">
        <v>20</v>
      </c>
      <c r="G22" s="19">
        <v>4000</v>
      </c>
      <c r="H22" s="29">
        <v>5.7</v>
      </c>
      <c r="I22" s="22">
        <f t="shared" si="0"/>
        <v>22800</v>
      </c>
    </row>
    <row r="23" spans="1:9" s="1" customFormat="1" ht="24" x14ac:dyDescent="0.2">
      <c r="A23" s="18">
        <v>14</v>
      </c>
      <c r="B23" s="19" t="s">
        <v>46</v>
      </c>
      <c r="C23" s="20" t="s">
        <v>17</v>
      </c>
      <c r="D23" s="19" t="s">
        <v>18</v>
      </c>
      <c r="E23" s="20" t="s">
        <v>47</v>
      </c>
      <c r="F23" s="19" t="s">
        <v>20</v>
      </c>
      <c r="G23" s="19">
        <v>1000</v>
      </c>
      <c r="H23" s="29">
        <v>7.3</v>
      </c>
      <c r="I23" s="22">
        <f t="shared" si="0"/>
        <v>7300</v>
      </c>
    </row>
    <row r="24" spans="1:9" s="1" customFormat="1" ht="24" x14ac:dyDescent="0.2">
      <c r="A24" s="18">
        <v>15</v>
      </c>
      <c r="B24" s="19" t="s">
        <v>48</v>
      </c>
      <c r="C24" s="20" t="s">
        <v>17</v>
      </c>
      <c r="D24" s="19" t="s">
        <v>18</v>
      </c>
      <c r="E24" s="20" t="s">
        <v>49</v>
      </c>
      <c r="F24" s="19" t="s">
        <v>20</v>
      </c>
      <c r="G24" s="19">
        <v>200</v>
      </c>
      <c r="H24" s="29">
        <v>48.5</v>
      </c>
      <c r="I24" s="22">
        <f t="shared" si="0"/>
        <v>9700</v>
      </c>
    </row>
    <row r="25" spans="1:9" s="1" customFormat="1" ht="24" x14ac:dyDescent="0.2">
      <c r="A25" s="18">
        <v>16</v>
      </c>
      <c r="B25" s="19" t="s">
        <v>50</v>
      </c>
      <c r="C25" s="20" t="s">
        <v>17</v>
      </c>
      <c r="D25" s="19" t="s">
        <v>18</v>
      </c>
      <c r="E25" s="20" t="s">
        <v>51</v>
      </c>
      <c r="F25" s="19" t="s">
        <v>20</v>
      </c>
      <c r="G25" s="19">
        <v>1000</v>
      </c>
      <c r="H25" s="29">
        <v>5.3</v>
      </c>
      <c r="I25" s="22">
        <f t="shared" si="0"/>
        <v>5300</v>
      </c>
    </row>
    <row r="26" spans="1:9" ht="24" x14ac:dyDescent="0.2">
      <c r="A26" s="18">
        <v>17</v>
      </c>
      <c r="B26" s="19" t="s">
        <v>52</v>
      </c>
      <c r="C26" s="20" t="s">
        <v>17</v>
      </c>
      <c r="D26" s="19" t="s">
        <v>18</v>
      </c>
      <c r="E26" s="20" t="s">
        <v>53</v>
      </c>
      <c r="F26" s="19" t="s">
        <v>20</v>
      </c>
      <c r="G26" s="19">
        <v>200</v>
      </c>
      <c r="H26" s="29">
        <v>62.8</v>
      </c>
      <c r="I26" s="22">
        <f t="shared" si="0"/>
        <v>12560</v>
      </c>
    </row>
    <row r="27" spans="1:9" ht="24" x14ac:dyDescent="0.2">
      <c r="A27" s="18">
        <v>18</v>
      </c>
      <c r="B27" s="19" t="s">
        <v>54</v>
      </c>
      <c r="C27" s="20" t="s">
        <v>17</v>
      </c>
      <c r="D27" s="19" t="s">
        <v>18</v>
      </c>
      <c r="E27" s="20" t="s">
        <v>55</v>
      </c>
      <c r="F27" s="19" t="s">
        <v>20</v>
      </c>
      <c r="G27" s="19">
        <v>9000</v>
      </c>
      <c r="H27" s="29">
        <v>4.9000000000000004</v>
      </c>
      <c r="I27" s="22">
        <f t="shared" si="0"/>
        <v>44100</v>
      </c>
    </row>
    <row r="28" spans="1:9" ht="24" x14ac:dyDescent="0.2">
      <c r="A28" s="18">
        <v>19</v>
      </c>
      <c r="B28" s="19" t="s">
        <v>56</v>
      </c>
      <c r="C28" s="20" t="s">
        <v>17</v>
      </c>
      <c r="D28" s="19" t="s">
        <v>18</v>
      </c>
      <c r="E28" s="20" t="s">
        <v>57</v>
      </c>
      <c r="F28" s="19" t="s">
        <v>20</v>
      </c>
      <c r="G28" s="19">
        <v>5000</v>
      </c>
      <c r="H28" s="29">
        <v>4.9000000000000004</v>
      </c>
      <c r="I28" s="22">
        <f t="shared" si="0"/>
        <v>24500</v>
      </c>
    </row>
    <row r="29" spans="1:9" ht="24" x14ac:dyDescent="0.2">
      <c r="A29" s="18">
        <v>20</v>
      </c>
      <c r="B29" s="19" t="s">
        <v>58</v>
      </c>
      <c r="C29" s="20" t="s">
        <v>17</v>
      </c>
      <c r="D29" s="19" t="s">
        <v>18</v>
      </c>
      <c r="E29" s="20" t="s">
        <v>59</v>
      </c>
      <c r="F29" s="19" t="s">
        <v>20</v>
      </c>
      <c r="G29" s="19">
        <v>3000</v>
      </c>
      <c r="H29" s="29">
        <v>37</v>
      </c>
      <c r="I29" s="22">
        <f t="shared" si="0"/>
        <v>111000</v>
      </c>
    </row>
    <row r="30" spans="1:9" ht="24" x14ac:dyDescent="0.2">
      <c r="A30" s="18">
        <v>21</v>
      </c>
      <c r="B30" s="19" t="s">
        <v>60</v>
      </c>
      <c r="C30" s="20" t="s">
        <v>17</v>
      </c>
      <c r="D30" s="19" t="s">
        <v>18</v>
      </c>
      <c r="E30" s="20" t="s">
        <v>61</v>
      </c>
      <c r="F30" s="19" t="s">
        <v>20</v>
      </c>
      <c r="G30" s="19">
        <v>2000</v>
      </c>
      <c r="H30" s="29">
        <v>5.8</v>
      </c>
      <c r="I30" s="22">
        <f t="shared" si="0"/>
        <v>11600</v>
      </c>
    </row>
    <row r="31" spans="1:9" ht="24.75" customHeight="1" x14ac:dyDescent="0.2">
      <c r="A31" s="18">
        <v>22</v>
      </c>
      <c r="B31" s="30" t="s">
        <v>62</v>
      </c>
      <c r="C31" s="20" t="s">
        <v>17</v>
      </c>
      <c r="D31" s="19" t="s">
        <v>18</v>
      </c>
      <c r="E31" s="28" t="s">
        <v>63</v>
      </c>
      <c r="F31" s="19" t="s">
        <v>64</v>
      </c>
      <c r="G31" s="19">
        <v>250</v>
      </c>
      <c r="H31" s="31">
        <v>61</v>
      </c>
      <c r="I31" s="22">
        <f t="shared" si="0"/>
        <v>15250</v>
      </c>
    </row>
    <row r="32" spans="1:9" ht="24.75" customHeight="1" x14ac:dyDescent="0.2">
      <c r="A32" s="18">
        <v>23</v>
      </c>
      <c r="B32" s="30" t="s">
        <v>65</v>
      </c>
      <c r="C32" s="20" t="s">
        <v>17</v>
      </c>
      <c r="D32" s="19" t="s">
        <v>66</v>
      </c>
      <c r="E32" s="32" t="s">
        <v>67</v>
      </c>
      <c r="F32" s="19" t="s">
        <v>68</v>
      </c>
      <c r="G32" s="19">
        <v>500</v>
      </c>
      <c r="H32" s="31">
        <v>10.6</v>
      </c>
      <c r="I32" s="22">
        <f t="shared" si="0"/>
        <v>5300</v>
      </c>
    </row>
    <row r="33" spans="1:9" ht="24.75" customHeight="1" x14ac:dyDescent="0.2">
      <c r="A33" s="18">
        <v>24</v>
      </c>
      <c r="B33" s="30" t="s">
        <v>69</v>
      </c>
      <c r="C33" s="20" t="s">
        <v>17</v>
      </c>
      <c r="D33" s="19" t="s">
        <v>66</v>
      </c>
      <c r="E33" s="32" t="s">
        <v>70</v>
      </c>
      <c r="F33" s="19" t="s">
        <v>68</v>
      </c>
      <c r="G33" s="19">
        <v>500</v>
      </c>
      <c r="H33" s="31">
        <v>17.600000000000001</v>
      </c>
      <c r="I33" s="22">
        <f t="shared" si="0"/>
        <v>8800</v>
      </c>
    </row>
    <row r="34" spans="1:9" ht="24.75" customHeight="1" x14ac:dyDescent="0.2">
      <c r="A34" s="18">
        <v>25</v>
      </c>
      <c r="B34" s="30" t="s">
        <v>71</v>
      </c>
      <c r="C34" s="20" t="s">
        <v>17</v>
      </c>
      <c r="D34" s="19" t="s">
        <v>66</v>
      </c>
      <c r="E34" s="32" t="s">
        <v>72</v>
      </c>
      <c r="F34" s="19" t="s">
        <v>68</v>
      </c>
      <c r="G34" s="19">
        <v>1000</v>
      </c>
      <c r="H34" s="31">
        <v>12</v>
      </c>
      <c r="I34" s="22">
        <f t="shared" si="0"/>
        <v>12000</v>
      </c>
    </row>
    <row r="35" spans="1:9" ht="24.75" customHeight="1" x14ac:dyDescent="0.2">
      <c r="A35" s="18">
        <v>26</v>
      </c>
      <c r="B35" s="30" t="s">
        <v>73</v>
      </c>
      <c r="C35" s="20" t="s">
        <v>17</v>
      </c>
      <c r="D35" s="19" t="s">
        <v>66</v>
      </c>
      <c r="E35" s="32" t="s">
        <v>74</v>
      </c>
      <c r="F35" s="19" t="s">
        <v>68</v>
      </c>
      <c r="G35" s="19">
        <v>1000</v>
      </c>
      <c r="H35" s="31">
        <v>9</v>
      </c>
      <c r="I35" s="22">
        <f t="shared" si="0"/>
        <v>9000</v>
      </c>
    </row>
    <row r="36" spans="1:9" ht="24.75" customHeight="1" x14ac:dyDescent="0.2">
      <c r="A36" s="18">
        <v>27</v>
      </c>
      <c r="B36" s="30" t="s">
        <v>75</v>
      </c>
      <c r="C36" s="20" t="s">
        <v>17</v>
      </c>
      <c r="D36" s="19" t="s">
        <v>18</v>
      </c>
      <c r="E36" s="28" t="s">
        <v>76</v>
      </c>
      <c r="F36" s="19" t="s">
        <v>20</v>
      </c>
      <c r="G36" s="19">
        <v>400</v>
      </c>
      <c r="H36" s="31">
        <v>83.8</v>
      </c>
      <c r="I36" s="22">
        <f t="shared" si="0"/>
        <v>33520</v>
      </c>
    </row>
    <row r="37" spans="1:9" ht="24.75" customHeight="1" x14ac:dyDescent="0.2">
      <c r="A37" s="18">
        <v>28</v>
      </c>
      <c r="B37" s="30" t="s">
        <v>77</v>
      </c>
      <c r="C37" s="20" t="s">
        <v>17</v>
      </c>
      <c r="D37" s="19" t="s">
        <v>18</v>
      </c>
      <c r="E37" s="28" t="s">
        <v>78</v>
      </c>
      <c r="F37" s="19" t="s">
        <v>20</v>
      </c>
      <c r="G37" s="19">
        <v>120</v>
      </c>
      <c r="H37" s="31">
        <v>18</v>
      </c>
      <c r="I37" s="22">
        <f t="shared" si="0"/>
        <v>2160</v>
      </c>
    </row>
    <row r="38" spans="1:9" ht="24.75" customHeight="1" x14ac:dyDescent="0.2">
      <c r="A38" s="18">
        <v>29</v>
      </c>
      <c r="B38" s="30" t="s">
        <v>79</v>
      </c>
      <c r="C38" s="20" t="s">
        <v>17</v>
      </c>
      <c r="D38" s="19" t="s">
        <v>18</v>
      </c>
      <c r="E38" s="28" t="s">
        <v>80</v>
      </c>
      <c r="F38" s="19" t="s">
        <v>20</v>
      </c>
      <c r="G38" s="19">
        <v>300</v>
      </c>
      <c r="H38" s="31">
        <v>15.5</v>
      </c>
      <c r="I38" s="22">
        <f t="shared" si="0"/>
        <v>4650</v>
      </c>
    </row>
    <row r="39" spans="1:9" ht="24.75" customHeight="1" x14ac:dyDescent="0.2">
      <c r="A39" s="18">
        <v>30</v>
      </c>
      <c r="B39" s="30" t="s">
        <v>81</v>
      </c>
      <c r="C39" s="20" t="s">
        <v>17</v>
      </c>
      <c r="D39" s="19" t="s">
        <v>18</v>
      </c>
      <c r="E39" s="28" t="s">
        <v>82</v>
      </c>
      <c r="F39" s="19" t="s">
        <v>83</v>
      </c>
      <c r="G39" s="19">
        <v>80</v>
      </c>
      <c r="H39" s="31">
        <v>498.3</v>
      </c>
      <c r="I39" s="22">
        <f t="shared" si="0"/>
        <v>39864</v>
      </c>
    </row>
    <row r="40" spans="1:9" ht="24.75" customHeight="1" x14ac:dyDescent="0.2">
      <c r="A40" s="18">
        <v>31</v>
      </c>
      <c r="B40" s="30" t="s">
        <v>84</v>
      </c>
      <c r="C40" s="20" t="s">
        <v>17</v>
      </c>
      <c r="D40" s="19" t="s">
        <v>18</v>
      </c>
      <c r="E40" s="28" t="s">
        <v>85</v>
      </c>
      <c r="F40" s="19" t="s">
        <v>83</v>
      </c>
      <c r="G40" s="19">
        <v>20</v>
      </c>
      <c r="H40" s="31">
        <v>718.8</v>
      </c>
      <c r="I40" s="22">
        <f t="shared" si="0"/>
        <v>14376</v>
      </c>
    </row>
    <row r="41" spans="1:9" ht="24.75" customHeight="1" x14ac:dyDescent="0.2">
      <c r="A41" s="18">
        <v>32</v>
      </c>
      <c r="B41" s="30" t="s">
        <v>86</v>
      </c>
      <c r="C41" s="20" t="s">
        <v>17</v>
      </c>
      <c r="D41" s="19" t="s">
        <v>18</v>
      </c>
      <c r="E41" s="28" t="s">
        <v>87</v>
      </c>
      <c r="F41" s="19" t="s">
        <v>20</v>
      </c>
      <c r="G41" s="19">
        <v>300</v>
      </c>
      <c r="H41" s="31">
        <v>4.5999999999999996</v>
      </c>
      <c r="I41" s="22">
        <f t="shared" si="0"/>
        <v>1380</v>
      </c>
    </row>
    <row r="42" spans="1:9" ht="24.75" customHeight="1" x14ac:dyDescent="0.2">
      <c r="A42" s="18">
        <v>33</v>
      </c>
      <c r="B42" s="30" t="s">
        <v>88</v>
      </c>
      <c r="C42" s="20" t="s">
        <v>17</v>
      </c>
      <c r="D42" s="19" t="s">
        <v>18</v>
      </c>
      <c r="E42" s="28" t="s">
        <v>89</v>
      </c>
      <c r="F42" s="19" t="s">
        <v>64</v>
      </c>
      <c r="G42" s="19">
        <v>200</v>
      </c>
      <c r="H42" s="31">
        <v>78.5</v>
      </c>
      <c r="I42" s="22">
        <f t="shared" si="0"/>
        <v>15700</v>
      </c>
    </row>
    <row r="43" spans="1:9" ht="24.75" customHeight="1" x14ac:dyDescent="0.2">
      <c r="A43" s="18">
        <v>34</v>
      </c>
      <c r="B43" s="30" t="s">
        <v>90</v>
      </c>
      <c r="C43" s="20" t="s">
        <v>17</v>
      </c>
      <c r="D43" s="19" t="s">
        <v>18</v>
      </c>
      <c r="E43" s="28" t="s">
        <v>91</v>
      </c>
      <c r="F43" s="19" t="s">
        <v>20</v>
      </c>
      <c r="G43" s="19">
        <v>400</v>
      </c>
      <c r="H43" s="31">
        <v>31.6</v>
      </c>
      <c r="I43" s="22">
        <f t="shared" si="0"/>
        <v>12640</v>
      </c>
    </row>
    <row r="44" spans="1:9" ht="24.75" customHeight="1" x14ac:dyDescent="0.2">
      <c r="A44" s="18">
        <v>35</v>
      </c>
      <c r="B44" s="30" t="s">
        <v>92</v>
      </c>
      <c r="C44" s="20" t="s">
        <v>17</v>
      </c>
      <c r="D44" s="19" t="s">
        <v>18</v>
      </c>
      <c r="E44" s="28" t="s">
        <v>93</v>
      </c>
      <c r="F44" s="19" t="s">
        <v>64</v>
      </c>
      <c r="G44" s="19">
        <v>200</v>
      </c>
      <c r="H44" s="31">
        <v>54.3</v>
      </c>
      <c r="I44" s="22">
        <f t="shared" si="0"/>
        <v>10860</v>
      </c>
    </row>
    <row r="45" spans="1:9" ht="36.75" customHeight="1" x14ac:dyDescent="0.2">
      <c r="A45" s="18">
        <v>36</v>
      </c>
      <c r="B45" s="30" t="s">
        <v>94</v>
      </c>
      <c r="C45" s="20" t="s">
        <v>17</v>
      </c>
      <c r="D45" s="19" t="s">
        <v>18</v>
      </c>
      <c r="E45" s="28" t="s">
        <v>95</v>
      </c>
      <c r="F45" s="23" t="s">
        <v>20</v>
      </c>
      <c r="G45" s="23">
        <v>200</v>
      </c>
      <c r="H45" s="33">
        <v>37.4</v>
      </c>
      <c r="I45" s="34">
        <f t="shared" si="0"/>
        <v>7480</v>
      </c>
    </row>
    <row r="46" spans="1:9" ht="24.75" customHeight="1" x14ac:dyDescent="0.2">
      <c r="A46" s="18">
        <v>37</v>
      </c>
      <c r="B46" s="30" t="s">
        <v>96</v>
      </c>
      <c r="C46" s="20" t="s">
        <v>17</v>
      </c>
      <c r="D46" s="19" t="s">
        <v>18</v>
      </c>
      <c r="E46" s="28" t="s">
        <v>97</v>
      </c>
      <c r="F46" s="23" t="s">
        <v>64</v>
      </c>
      <c r="G46" s="23">
        <v>100</v>
      </c>
      <c r="H46" s="33">
        <v>283</v>
      </c>
      <c r="I46" s="34">
        <f t="shared" si="0"/>
        <v>28300</v>
      </c>
    </row>
    <row r="47" spans="1:9" ht="24.75" customHeight="1" x14ac:dyDescent="0.2">
      <c r="A47" s="18">
        <v>38</v>
      </c>
      <c r="B47" s="30" t="s">
        <v>98</v>
      </c>
      <c r="C47" s="20" t="s">
        <v>17</v>
      </c>
      <c r="D47" s="19" t="s">
        <v>18</v>
      </c>
      <c r="E47" s="28" t="s">
        <v>99</v>
      </c>
      <c r="F47" s="23" t="s">
        <v>64</v>
      </c>
      <c r="G47" s="23">
        <v>200</v>
      </c>
      <c r="H47" s="33">
        <v>50.5</v>
      </c>
      <c r="I47" s="34">
        <f t="shared" si="0"/>
        <v>10100</v>
      </c>
    </row>
    <row r="48" spans="1:9" ht="24.75" customHeight="1" x14ac:dyDescent="0.2">
      <c r="A48" s="18">
        <v>39</v>
      </c>
      <c r="B48" s="30" t="s">
        <v>100</v>
      </c>
      <c r="C48" s="20" t="s">
        <v>17</v>
      </c>
      <c r="D48" s="19" t="s">
        <v>18</v>
      </c>
      <c r="E48" s="35" t="s">
        <v>101</v>
      </c>
      <c r="F48" s="23" t="s">
        <v>102</v>
      </c>
      <c r="G48" s="23">
        <v>24</v>
      </c>
      <c r="H48" s="33">
        <v>950</v>
      </c>
      <c r="I48" s="34">
        <f t="shared" si="0"/>
        <v>22800</v>
      </c>
    </row>
    <row r="49" spans="1:9" ht="20.25" customHeight="1" thickBot="1" x14ac:dyDescent="0.25">
      <c r="A49" s="36"/>
      <c r="B49" s="37"/>
      <c r="C49" s="37"/>
      <c r="D49" s="37"/>
      <c r="E49" s="37"/>
      <c r="F49" s="37"/>
      <c r="G49" s="37"/>
      <c r="H49" s="38"/>
      <c r="I49" s="39">
        <f>SUM(I10:I48)</f>
        <v>744620</v>
      </c>
    </row>
    <row r="51" spans="1:9" x14ac:dyDescent="0.2">
      <c r="B51" s="40" t="s">
        <v>113</v>
      </c>
      <c r="C51" s="41"/>
      <c r="D51" s="41"/>
      <c r="E51" s="42"/>
    </row>
    <row r="52" spans="1:9" ht="5.25" customHeight="1" x14ac:dyDescent="0.2">
      <c r="B52" s="43"/>
      <c r="E52" s="44"/>
    </row>
    <row r="53" spans="1:9" x14ac:dyDescent="0.2">
      <c r="B53" s="45" t="s">
        <v>103</v>
      </c>
      <c r="E53" s="44"/>
    </row>
    <row r="54" spans="1:9" ht="41.25" customHeight="1" x14ac:dyDescent="0.2">
      <c r="B54" s="45"/>
      <c r="C54" s="53" t="s">
        <v>104</v>
      </c>
      <c r="D54" s="53"/>
      <c r="E54" s="53"/>
    </row>
    <row r="55" spans="1:9" x14ac:dyDescent="0.2">
      <c r="B55" s="45" t="s">
        <v>105</v>
      </c>
      <c r="E55" s="44"/>
    </row>
    <row r="56" spans="1:9" x14ac:dyDescent="0.2">
      <c r="B56" s="46"/>
      <c r="C56" s="57" t="s">
        <v>106</v>
      </c>
      <c r="D56" s="57"/>
      <c r="E56" s="57"/>
    </row>
    <row r="57" spans="1:9" x14ac:dyDescent="0.2">
      <c r="B57" s="46"/>
      <c r="C57" s="57" t="s">
        <v>107</v>
      </c>
      <c r="D57" s="57"/>
      <c r="E57" s="57"/>
    </row>
    <row r="58" spans="1:9" x14ac:dyDescent="0.2">
      <c r="B58" s="45" t="s">
        <v>108</v>
      </c>
      <c r="E58" s="44"/>
    </row>
    <row r="59" spans="1:9" ht="26.25" customHeight="1" x14ac:dyDescent="0.2">
      <c r="B59" s="46"/>
      <c r="C59" s="53"/>
      <c r="D59" s="53"/>
      <c r="E59" s="53"/>
    </row>
    <row r="60" spans="1:9" x14ac:dyDescent="0.2">
      <c r="B60" s="45" t="s">
        <v>109</v>
      </c>
      <c r="C60" s="47"/>
      <c r="D60" s="47"/>
      <c r="E60" s="48"/>
    </row>
    <row r="61" spans="1:9" ht="26.25" customHeight="1" x14ac:dyDescent="0.2">
      <c r="B61" s="46"/>
      <c r="C61" s="53" t="s">
        <v>112</v>
      </c>
      <c r="D61" s="53"/>
      <c r="E61" s="53"/>
    </row>
    <row r="62" spans="1:9" x14ac:dyDescent="0.2">
      <c r="B62" s="45" t="s">
        <v>110</v>
      </c>
      <c r="E62" s="44"/>
    </row>
    <row r="63" spans="1:9" ht="23.25" customHeight="1" x14ac:dyDescent="0.2">
      <c r="B63" s="45"/>
      <c r="C63" s="57"/>
      <c r="D63" s="57"/>
      <c r="E63" s="57"/>
    </row>
    <row r="64" spans="1:9" ht="13.5" thickBot="1" x14ac:dyDescent="0.25">
      <c r="B64" s="49"/>
      <c r="C64" s="50"/>
      <c r="D64" s="50"/>
      <c r="E64" s="51"/>
    </row>
    <row r="66" spans="2:5" x14ac:dyDescent="0.2">
      <c r="B66" s="40" t="s">
        <v>111</v>
      </c>
      <c r="C66" s="41"/>
      <c r="D66" s="41"/>
      <c r="E66" s="42"/>
    </row>
    <row r="67" spans="2:5" ht="7.5" customHeight="1" x14ac:dyDescent="0.2">
      <c r="B67" s="43"/>
      <c r="E67" s="44"/>
    </row>
    <row r="68" spans="2:5" x14ac:dyDescent="0.2">
      <c r="B68" s="45" t="s">
        <v>103</v>
      </c>
      <c r="E68" s="44"/>
    </row>
    <row r="69" spans="2:5" ht="39" customHeight="1" x14ac:dyDescent="0.2">
      <c r="B69" s="45"/>
      <c r="C69" s="53"/>
      <c r="D69" s="53"/>
      <c r="E69" s="53"/>
    </row>
    <row r="70" spans="2:5" x14ac:dyDescent="0.2">
      <c r="B70" s="45" t="s">
        <v>105</v>
      </c>
      <c r="E70" s="44"/>
    </row>
    <row r="71" spans="2:5" x14ac:dyDescent="0.2">
      <c r="B71" s="46"/>
      <c r="C71" s="57"/>
      <c r="D71" s="57"/>
      <c r="E71" s="57"/>
    </row>
    <row r="72" spans="2:5" x14ac:dyDescent="0.2">
      <c r="B72" s="46"/>
      <c r="C72" s="57"/>
      <c r="D72" s="57"/>
      <c r="E72" s="57"/>
    </row>
    <row r="73" spans="2:5" x14ac:dyDescent="0.2">
      <c r="B73" s="45" t="s">
        <v>108</v>
      </c>
      <c r="E73" s="44"/>
    </row>
    <row r="74" spans="2:5" ht="12.75" customHeight="1" x14ac:dyDescent="0.2">
      <c r="B74" s="46"/>
      <c r="C74" s="53"/>
      <c r="D74" s="53"/>
      <c r="E74" s="53"/>
    </row>
    <row r="75" spans="2:5" x14ac:dyDescent="0.2">
      <c r="B75" s="45" t="s">
        <v>109</v>
      </c>
      <c r="C75" s="47"/>
      <c r="D75" s="47"/>
      <c r="E75" s="48"/>
    </row>
    <row r="76" spans="2:5" ht="12.75" customHeight="1" x14ac:dyDescent="0.2">
      <c r="B76" s="46"/>
      <c r="C76" s="53"/>
      <c r="D76" s="53"/>
      <c r="E76" s="53"/>
    </row>
    <row r="77" spans="2:5" x14ac:dyDescent="0.2">
      <c r="B77" s="45" t="s">
        <v>110</v>
      </c>
      <c r="E77" s="44"/>
    </row>
    <row r="78" spans="2:5" x14ac:dyDescent="0.2">
      <c r="B78" s="45"/>
      <c r="C78" s="57"/>
      <c r="D78" s="57"/>
      <c r="E78" s="57"/>
    </row>
    <row r="79" spans="2:5" ht="13.5" thickBot="1" x14ac:dyDescent="0.25">
      <c r="B79" s="49"/>
      <c r="C79" s="50"/>
      <c r="D79" s="50"/>
      <c r="E79" s="51"/>
    </row>
  </sheetData>
  <sheetProtection selectLockedCells="1" selectUnlockedCells="1"/>
  <autoFilter ref="A9:I30" xr:uid="{00000000-0009-0000-0000-000000000000}"/>
  <mergeCells count="19">
    <mergeCell ref="C78:E78"/>
    <mergeCell ref="C63:E63"/>
    <mergeCell ref="C69:E69"/>
    <mergeCell ref="C71:E71"/>
    <mergeCell ref="C72:E72"/>
    <mergeCell ref="C74:E74"/>
    <mergeCell ref="C76:E76"/>
    <mergeCell ref="C61:E61"/>
    <mergeCell ref="B2:H2"/>
    <mergeCell ref="A4:B4"/>
    <mergeCell ref="C4:E4"/>
    <mergeCell ref="A5:B5"/>
    <mergeCell ref="C5:E5"/>
    <mergeCell ref="A6:B6"/>
    <mergeCell ref="A7:B7"/>
    <mergeCell ref="C54:E54"/>
    <mergeCell ref="C56:E56"/>
    <mergeCell ref="C57:E57"/>
    <mergeCell ref="C59:E59"/>
  </mergeCells>
  <pageMargins left="0.7" right="0.7" top="0.75" bottom="0.75" header="0.51180555555555551" footer="0.51180555555555551"/>
  <pageSetup paperSize="9" firstPageNumber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NECESIDADES TRIMESTRALES</vt:lpstr>
      <vt:lpstr>'NECESIDADES TRIMESTRALES'!Área_de_impresión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soy_gisuarez@hotmail.com</dc:creator>
  <cp:lastModifiedBy>COMPRAS</cp:lastModifiedBy>
  <dcterms:created xsi:type="dcterms:W3CDTF">2021-06-04T14:00:43Z</dcterms:created>
  <dcterms:modified xsi:type="dcterms:W3CDTF">2021-08-12T12:13:12Z</dcterms:modified>
</cp:coreProperties>
</file>