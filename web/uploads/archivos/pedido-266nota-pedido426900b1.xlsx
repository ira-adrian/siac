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19440" windowHeight="1104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NotaPedido'!$A$1:$K$34</definedName>
    <definedName name="_xlnm.Print_Area" localSheetId="2">'Autor Gastar'!$A$1:$Q$20</definedName>
    <definedName name="_xlnm.Print_Area" localSheetId="0">'Necesidades Trimestrales'!$A$1:$I$38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5" i="1"/>
  <c r="L14"/>
  <c r="L11"/>
  <c r="L10"/>
  <c r="K14"/>
  <c r="J14"/>
  <c r="K13"/>
  <c r="K12"/>
  <c r="K10"/>
  <c r="J13"/>
  <c r="J12"/>
  <c r="J11"/>
  <c r="J10"/>
  <c r="K11" l="1"/>
  <c r="J12" i="2"/>
  <c r="J13"/>
  <c r="J14"/>
  <c r="J15"/>
  <c r="J16"/>
  <c r="J17"/>
  <c r="J18"/>
  <c r="J19"/>
  <c r="J20"/>
  <c r="J21"/>
  <c r="J22"/>
  <c r="J23"/>
  <c r="J24"/>
  <c r="J25"/>
  <c r="J26"/>
  <c r="J27"/>
  <c r="J29"/>
  <c r="J30"/>
  <c r="J31"/>
  <c r="J32"/>
  <c r="J33"/>
  <c r="A12"/>
  <c r="B12"/>
  <c r="C12"/>
  <c r="A13"/>
  <c r="B13"/>
  <c r="C13"/>
  <c r="A14"/>
  <c r="B14"/>
  <c r="C14"/>
  <c r="A15"/>
  <c r="B15"/>
  <c r="C15"/>
  <c r="A16"/>
  <c r="B16"/>
  <c r="C16"/>
  <c r="A17"/>
  <c r="B17"/>
  <c r="C17"/>
  <c r="A18"/>
  <c r="B18"/>
  <c r="C18"/>
  <c r="A19"/>
  <c r="B19"/>
  <c r="C19"/>
  <c r="A20"/>
  <c r="B20"/>
  <c r="C20"/>
  <c r="A21"/>
  <c r="B21"/>
  <c r="C21"/>
  <c r="A22"/>
  <c r="B22"/>
  <c r="C22"/>
  <c r="A23"/>
  <c r="B23"/>
  <c r="C23"/>
  <c r="A24"/>
  <c r="B24"/>
  <c r="C24"/>
  <c r="A25"/>
  <c r="B25"/>
  <c r="C25"/>
  <c r="A26"/>
  <c r="B26"/>
  <c r="C26"/>
  <c r="A27"/>
  <c r="B27"/>
  <c r="C27"/>
  <c r="A28"/>
  <c r="B28"/>
  <c r="C28"/>
  <c r="A29"/>
  <c r="B29"/>
  <c r="C29"/>
  <c r="A30"/>
  <c r="B30"/>
  <c r="C30"/>
  <c r="A31"/>
  <c r="B31"/>
  <c r="C31"/>
  <c r="A32"/>
  <c r="B32"/>
  <c r="C32"/>
  <c r="A33"/>
  <c r="B33"/>
  <c r="C33"/>
  <c r="K12"/>
  <c r="K13"/>
  <c r="K14"/>
  <c r="K15"/>
  <c r="K16"/>
  <c r="K17"/>
  <c r="K18"/>
  <c r="K19"/>
  <c r="K20"/>
  <c r="K21"/>
  <c r="K22"/>
  <c r="K23"/>
  <c r="K24"/>
  <c r="K25"/>
  <c r="K26"/>
  <c r="K27"/>
  <c r="J28"/>
  <c r="K28"/>
  <c r="K29"/>
  <c r="K30"/>
  <c r="K31"/>
  <c r="K32"/>
  <c r="K33"/>
  <c r="I10" i="1"/>
  <c r="I11"/>
  <c r="E17" i="3" l="1"/>
  <c r="A19"/>
  <c r="I12" i="1" l="1"/>
  <c r="G6" i="3"/>
  <c r="G7"/>
  <c r="D3" i="2"/>
  <c r="G4" i="3" s="1"/>
  <c r="D4" i="2"/>
  <c r="G5" i="3" s="1"/>
  <c r="A10" l="1"/>
  <c r="D1"/>
  <c r="J34" i="2"/>
  <c r="Q15" i="3" s="1"/>
  <c r="Q16" s="1"/>
</calcChain>
</file>

<file path=xl/sharedStrings.xml><?xml version="1.0" encoding="utf-8"?>
<sst xmlns="http://schemas.openxmlformats.org/spreadsheetml/2006/main" count="456" uniqueCount="85">
  <si>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</si>
  <si>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</si>
  <si>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</si>
  <si>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</si>
  <si>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</si>
  <si>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</si>
  <si>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</si>
  <si>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</si>
  <si>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</si>
  <si>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</si>
  <si>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</si>
  <si>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</si>
  <si>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</si>
  <si>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</si>
  <si>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</si>
  <si>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</si>
  <si>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2.5.6-797.54</t>
  </si>
  <si>
    <t>COMBUSTIBLES Y LUBRICANTES</t>
  </si>
  <si>
    <t>2.5.6</t>
  </si>
  <si>
    <r>
      <t>NAFTA SUPER; TIPO: SEGUN PLIEGO, OCTANO: DESDE 95, PRESENTACION: POR LITRO, DESTINO: DPTO.</t>
    </r>
    <r>
      <rPr>
        <b/>
        <sz val="10"/>
        <rFont val="Century Gothic"/>
        <family val="2"/>
      </rPr>
      <t xml:space="preserve"> S.F.V. DE CATAMARCA</t>
    </r>
    <r>
      <rPr>
        <sz val="10"/>
        <rFont val="Century Gothic"/>
        <family val="2"/>
      </rPr>
      <t>, COMERCIALIZACION: SIN VALOR</t>
    </r>
  </si>
  <si>
    <t>LITROS EN VALES</t>
  </si>
  <si>
    <t>2.5.6-793.31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</si>
  <si>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S.F.V. DE CATAMARCA</t>
    </r>
  </si>
  <si>
    <t>UNIDAD</t>
  </si>
  <si>
    <t>Especificidades:</t>
  </si>
  <si>
    <t> </t>
  </si>
  <si>
    <t>Plazos y lugares de entrega</t>
  </si>
  <si>
    <t>Calidad Minima esperada</t>
  </si>
  <si>
    <t>Que Cumpla con lo Solicitado de Forma Integra.</t>
  </si>
  <si>
    <t>Mantenimiento</t>
  </si>
  <si>
    <t>30 (treinta) días</t>
  </si>
  <si>
    <t>Garantia</t>
  </si>
  <si>
    <t>*</t>
  </si>
  <si>
    <t>NOTA DE PEDIDO</t>
  </si>
  <si>
    <t>N°</t>
  </si>
  <si>
    <t>76/2021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</si>
  <si>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</si>
  <si>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</si>
  <si>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</si>
  <si>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</si>
  <si>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</si>
  <si>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Transporte- Departamento Logística (D-4)</t>
  </si>
  <si>
    <t>PERIODO UTILIZACIÓN:</t>
  </si>
  <si>
    <t>3er trimestre Año 2021.-</t>
  </si>
  <si>
    <t>OBJETO:</t>
  </si>
  <si>
    <t>Adquisición de Combustible destinados a los moviles de la Institucion Policial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</si>
  <si>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</si>
  <si>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</si>
  <si>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</si>
  <si>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</si>
  <si>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</si>
  <si>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</si>
  <si>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</si>
  <si>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</si>
  <si>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</t>
  </si>
  <si>
    <t>Cuarenta y Nueve Millones Quinientos Sesenta y Cuatro Mil Setecientos Siete con 50/100.-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</si>
  <si>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</si>
  <si>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</si>
  <si>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</si>
  <si>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</si>
  <si>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</si>
  <si>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</si>
  <si>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</si>
  <si>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</si>
  <si>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</si>
  <si>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</si>
  <si>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</si>
  <si>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</si>
  <si>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</si>
  <si>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</si>
  <si>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</si>
  <si>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</si>
  <si>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</si>
  <si>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</si>
  <si>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</si>
  <si>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</si>
  <si>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</si>
  <si>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</si>
  <si>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  </t>
  </si>
  <si>
    <t>JUSTIFICACIÓN:</t>
  </si>
  <si>
    <t>Descripción técnica ITEM 1</t>
  </si>
  <si>
    <t>NAFTA SUPER; TIPO: PREMIUN, OCTANO: 98, PRESENTACION: X LITRO. REQUISITO: Se debe contar con mas de una Boca de expendio para Actividad 1 y 7</t>
  </si>
  <si>
    <t>Descripción técnica ITEM 2</t>
  </si>
  <si>
    <t xml:space="preserve"> GAS OIL; PRESENTACION: POR LITRO, USO: MOTORES DIESEL, COMERCIALIZACION: GRADO 3, REQUISITO: Se debe contar con mas de una Boca de expendio para Actividad 1 y 7  </t>
  </si>
  <si>
    <t xml:space="preserve">Plazo de entrega tres 3 días hábiles. Periodo de utilización tres meses. ENTREGA en VALES, según pliego, en la DIRECCIÓN DE ADMINISTRACIÓN sito en Chacabuco N* 809 , San Fernando del Valle de Catamarca, en horario de 8 a 12 horas. El COMBUSTIBLE en la boca de expendio de las cabeceras departamentales. 
Actividad 1 – U.R. I (Dpto. CAPITAL)  COMBUSTIBLE ( $ 17.142.375,00)
31.250 litros Nafta Súper.-
76.250 litros Gasoil Grado 3.-
Actividad 7 – INTERIOR PROVINCIAL  (Dpto. VALLE VIEJO- Dpto. FME- Dpto.AMBATO - Dpto. PACLIN) COMBUSTIBLE ( $ 10.285.425,00)
18.750 litros Nafta Súper.-
45.750 litros Gasoil Grado 3.-
</t>
  </si>
</sst>
</file>

<file path=xl/styles.xml><?xml version="1.0" encoding="utf-8"?>
<styleSheet xmlns="http://schemas.openxmlformats.org/spreadsheetml/2006/main">
  <numFmts count="7">
    <numFmt numFmtId="44" formatCode="_ &quot;$&quot;\ * #,##0.00_ ;_ &quot;$&quot;\ * \-#,##0.00_ ;_ &quot;$&quot;\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4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10"/>
      <color theme="0"/>
      <name val="Century Gothic"/>
      <family val="2"/>
    </font>
    <font>
      <sz val="10"/>
      <color rgb="FFFF0000"/>
      <name val="Century Gothic"/>
      <family val="2"/>
    </font>
    <font>
      <sz val="10"/>
      <color rgb="FFFFFFFF"/>
      <name val="Century Gothic"/>
      <family val="2"/>
    </font>
    <font>
      <sz val="14"/>
      <name val="Century Gothic"/>
      <family val="2"/>
    </font>
    <font>
      <b/>
      <sz val="14"/>
      <name val="Century Gothic"/>
      <family val="2"/>
    </font>
    <font>
      <u/>
      <sz val="12"/>
      <name val="Century Gothic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74">
    <xf numFmtId="0" fontId="0" fillId="0" borderId="0" xfId="0"/>
    <xf numFmtId="0" fontId="5" fillId="3" borderId="0" xfId="0" applyFont="1" applyFill="1" applyAlignment="1">
      <alignment horizontal="center" vertical="center"/>
    </xf>
    <xf numFmtId="169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49" fontId="5" fillId="3" borderId="0" xfId="0" applyNumberFormat="1" applyFont="1" applyFill="1"/>
    <xf numFmtId="0" fontId="11" fillId="3" borderId="2" xfId="0" applyFont="1" applyFill="1" applyBorder="1" applyAlignment="1">
      <alignment horizontal="right" vertical="center"/>
    </xf>
    <xf numFmtId="0" fontId="12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32" xfId="0" applyFont="1" applyFill="1" applyBorder="1"/>
    <xf numFmtId="0" fontId="5" fillId="3" borderId="31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 wrapText="1"/>
    </xf>
    <xf numFmtId="169" fontId="5" fillId="3" borderId="31" xfId="1" applyNumberFormat="1" applyFont="1" applyFill="1" applyBorder="1" applyAlignment="1" applyProtection="1">
      <alignment horizontal="center" vertical="center"/>
    </xf>
    <xf numFmtId="3" fontId="5" fillId="3" borderId="31" xfId="0" applyNumberFormat="1" applyFont="1" applyFill="1" applyBorder="1" applyAlignment="1">
      <alignment horizontal="center" vertical="center"/>
    </xf>
    <xf numFmtId="169" fontId="5" fillId="3" borderId="0" xfId="0" applyNumberFormat="1" applyFont="1" applyFill="1" applyBorder="1" applyAlignment="1">
      <alignment vertical="center"/>
    </xf>
    <xf numFmtId="3" fontId="14" fillId="3" borderId="0" xfId="0" applyNumberFormat="1" applyFont="1" applyFill="1" applyBorder="1" applyAlignment="1"/>
    <xf numFmtId="168" fontId="5" fillId="3" borderId="0" xfId="0" applyNumberFormat="1" applyFont="1" applyFill="1" applyAlignment="1">
      <alignment horizontal="left"/>
    </xf>
    <xf numFmtId="0" fontId="5" fillId="3" borderId="2" xfId="0" applyFont="1" applyFill="1" applyBorder="1"/>
    <xf numFmtId="0" fontId="5" fillId="3" borderId="16" xfId="0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17" xfId="0" applyFont="1" applyFill="1" applyBorder="1"/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166" fontId="5" fillId="3" borderId="25" xfId="3" applyNumberFormat="1" applyFont="1" applyFill="1" applyBorder="1" applyAlignment="1" applyProtection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left" vertical="center" wrapText="1"/>
    </xf>
    <xf numFmtId="169" fontId="7" fillId="3" borderId="38" xfId="0" applyNumberFormat="1" applyFont="1" applyFill="1" applyBorder="1" applyAlignment="1">
      <alignment horizontal="center" vertical="center" wrapText="1"/>
    </xf>
    <xf numFmtId="0" fontId="14" fillId="3" borderId="39" xfId="0" applyFont="1" applyFill="1" applyBorder="1" applyAlignment="1">
      <alignment vertical="center"/>
    </xf>
    <xf numFmtId="0" fontId="14" fillId="3" borderId="40" xfId="0" applyFont="1" applyFill="1" applyBorder="1" applyAlignment="1">
      <alignment vertical="center"/>
    </xf>
    <xf numFmtId="0" fontId="14" fillId="3" borderId="0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5" fillId="3" borderId="32" xfId="0" applyFont="1" applyFill="1" applyBorder="1" applyAlignment="1">
      <alignment horizontal="center" vertical="center" wrapText="1"/>
    </xf>
    <xf numFmtId="0" fontId="17" fillId="3" borderId="0" xfId="0" applyFont="1" applyFill="1"/>
    <xf numFmtId="0" fontId="18" fillId="3" borderId="0" xfId="0" applyFont="1" applyFill="1"/>
    <xf numFmtId="0" fontId="0" fillId="0" borderId="0" xfId="0" applyAlignment="1">
      <alignment wrapText="1"/>
    </xf>
    <xf numFmtId="169" fontId="6" fillId="3" borderId="64" xfId="0" applyNumberFormat="1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0" fontId="5" fillId="3" borderId="63" xfId="0" applyFont="1" applyFill="1" applyBorder="1" applyAlignment="1">
      <alignment vertical="center" wrapText="1"/>
    </xf>
    <xf numFmtId="49" fontId="5" fillId="3" borderId="63" xfId="0" applyNumberFormat="1" applyFont="1" applyFill="1" applyBorder="1" applyAlignment="1">
      <alignment vertical="center" wrapText="1"/>
    </xf>
    <xf numFmtId="49" fontId="5" fillId="3" borderId="63" xfId="0" applyNumberFormat="1" applyFont="1" applyFill="1" applyBorder="1" applyAlignment="1">
      <alignment horizontal="left" vertical="center"/>
    </xf>
    <xf numFmtId="49" fontId="5" fillId="3" borderId="63" xfId="0" applyNumberFormat="1" applyFont="1" applyFill="1" applyBorder="1" applyAlignment="1">
      <alignment horizontal="left" vertical="center" wrapText="1"/>
    </xf>
    <xf numFmtId="49" fontId="5" fillId="3" borderId="63" xfId="0" applyNumberFormat="1" applyFont="1" applyFill="1" applyBorder="1" applyAlignment="1">
      <alignment horizontal="center" vertical="center" wrapText="1"/>
    </xf>
    <xf numFmtId="49" fontId="5" fillId="3" borderId="63" xfId="0" applyNumberFormat="1" applyFont="1" applyFill="1" applyBorder="1" applyAlignment="1">
      <alignment vertical="center"/>
    </xf>
    <xf numFmtId="0" fontId="17" fillId="3" borderId="0" xfId="0" applyFont="1" applyFill="1" applyBorder="1"/>
    <xf numFmtId="0" fontId="17" fillId="4" borderId="0" xfId="0" applyFont="1" applyFill="1" applyBorder="1" applyAlignment="1">
      <alignment wrapText="1"/>
    </xf>
    <xf numFmtId="0" fontId="18" fillId="3" borderId="0" xfId="0" applyFont="1" applyFill="1" applyBorder="1"/>
    <xf numFmtId="0" fontId="19" fillId="4" borderId="0" xfId="0" applyFont="1" applyFill="1" applyBorder="1" applyAlignment="1">
      <alignment wrapText="1"/>
    </xf>
    <xf numFmtId="0" fontId="18" fillId="4" borderId="0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0" fontId="11" fillId="3" borderId="54" xfId="0" applyFont="1" applyFill="1" applyBorder="1"/>
    <xf numFmtId="0" fontId="20" fillId="3" borderId="55" xfId="0" applyFont="1" applyFill="1" applyBorder="1"/>
    <xf numFmtId="0" fontId="20" fillId="3" borderId="56" xfId="0" applyFont="1" applyFill="1" applyBorder="1"/>
    <xf numFmtId="0" fontId="11" fillId="3" borderId="57" xfId="0" applyFont="1" applyFill="1" applyBorder="1" applyAlignment="1">
      <alignment horizontal="left" indent="3"/>
    </xf>
    <xf numFmtId="0" fontId="21" fillId="3" borderId="0" xfId="0" applyFont="1" applyFill="1" applyBorder="1"/>
    <xf numFmtId="0" fontId="20" fillId="3" borderId="58" xfId="0" applyFont="1" applyFill="1" applyBorder="1"/>
    <xf numFmtId="0" fontId="22" fillId="3" borderId="57" xfId="0" applyFont="1" applyFill="1" applyBorder="1" applyAlignment="1">
      <alignment horizontal="left" indent="3"/>
    </xf>
    <xf numFmtId="0" fontId="13" fillId="4" borderId="44" xfId="0" applyFont="1" applyFill="1" applyBorder="1" applyAlignment="1">
      <alignment wrapText="1"/>
    </xf>
    <xf numFmtId="0" fontId="13" fillId="4" borderId="46" xfId="0" applyFont="1" applyFill="1" applyBorder="1" applyAlignment="1">
      <alignment wrapText="1"/>
    </xf>
    <xf numFmtId="0" fontId="13" fillId="4" borderId="59" xfId="0" applyFont="1" applyFill="1" applyBorder="1" applyAlignment="1">
      <alignment wrapText="1"/>
    </xf>
    <xf numFmtId="0" fontId="11" fillId="4" borderId="57" xfId="0" applyFont="1" applyFill="1" applyBorder="1" applyAlignment="1">
      <alignment wrapText="1"/>
    </xf>
    <xf numFmtId="0" fontId="20" fillId="4" borderId="0" xfId="0" applyFont="1" applyFill="1" applyBorder="1" applyAlignment="1">
      <alignment wrapText="1"/>
    </xf>
    <xf numFmtId="0" fontId="20" fillId="4" borderId="58" xfId="0" applyFont="1" applyFill="1" applyBorder="1" applyAlignment="1">
      <alignment wrapText="1"/>
    </xf>
    <xf numFmtId="0" fontId="22" fillId="4" borderId="57" xfId="0" applyFont="1" applyFill="1" applyBorder="1" applyAlignment="1">
      <alignment wrapText="1"/>
    </xf>
    <xf numFmtId="0" fontId="20" fillId="4" borderId="60" xfId="0" applyFont="1" applyFill="1" applyBorder="1" applyAlignment="1">
      <alignment wrapText="1"/>
    </xf>
    <xf numFmtId="0" fontId="20" fillId="4" borderId="61" xfId="0" applyFont="1" applyFill="1" applyBorder="1" applyAlignment="1">
      <alignment wrapText="1"/>
    </xf>
    <xf numFmtId="0" fontId="9" fillId="3" borderId="63" xfId="0" applyFont="1" applyFill="1" applyBorder="1" applyAlignment="1">
      <alignment horizontal="center" vertical="center" wrapText="1"/>
    </xf>
    <xf numFmtId="169" fontId="9" fillId="3" borderId="63" xfId="0" applyNumberFormat="1" applyFont="1" applyFill="1" applyBorder="1" applyAlignment="1">
      <alignment vertical="center" wrapText="1"/>
    </xf>
    <xf numFmtId="44" fontId="9" fillId="3" borderId="63" xfId="1" applyNumberFormat="1" applyFont="1" applyFill="1" applyBorder="1" applyAlignment="1">
      <alignment vertical="center"/>
    </xf>
    <xf numFmtId="0" fontId="17" fillId="3" borderId="0" xfId="0" applyNumberFormat="1" applyFont="1" applyFill="1"/>
    <xf numFmtId="0" fontId="5" fillId="3" borderId="0" xfId="0" applyNumberFormat="1" applyFont="1" applyFill="1"/>
    <xf numFmtId="169" fontId="18" fillId="3" borderId="0" xfId="0" applyNumberFormat="1" applyFont="1" applyFill="1" applyBorder="1" applyAlignment="1"/>
    <xf numFmtId="169" fontId="18" fillId="3" borderId="0" xfId="0" applyNumberFormat="1" applyFont="1" applyFill="1"/>
    <xf numFmtId="169" fontId="17" fillId="3" borderId="0" xfId="0" applyNumberFormat="1" applyFont="1" applyFill="1"/>
    <xf numFmtId="2" fontId="17" fillId="3" borderId="0" xfId="0" applyNumberFormat="1" applyFont="1" applyFill="1" applyBorder="1" applyAlignment="1"/>
    <xf numFmtId="169" fontId="23" fillId="0" borderId="0" xfId="1" applyNumberFormat="1" applyFont="1"/>
    <xf numFmtId="0" fontId="7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wrapText="1" indent="1"/>
    </xf>
    <xf numFmtId="0" fontId="7" fillId="3" borderId="0" xfId="0" applyFont="1" applyFill="1" applyBorder="1" applyAlignment="1">
      <alignment horizontal="left" wrapText="1" indent="1"/>
    </xf>
    <xf numFmtId="0" fontId="19" fillId="4" borderId="0" xfId="0" applyFont="1" applyFill="1" applyBorder="1" applyAlignment="1">
      <alignment wrapText="1"/>
    </xf>
    <xf numFmtId="0" fontId="18" fillId="4" borderId="0" xfId="0" applyFont="1" applyFill="1" applyBorder="1" applyAlignment="1">
      <alignment wrapText="1"/>
    </xf>
    <xf numFmtId="0" fontId="11" fillId="4" borderId="44" xfId="0" applyFont="1" applyFill="1" applyBorder="1" applyAlignment="1">
      <alignment horizontal="left" wrapText="1"/>
    </xf>
    <xf numFmtId="0" fontId="11" fillId="4" borderId="0" xfId="0" applyFont="1" applyFill="1" applyBorder="1" applyAlignment="1">
      <alignment horizontal="left" wrapText="1"/>
    </xf>
    <xf numFmtId="0" fontId="11" fillId="4" borderId="45" xfId="0" applyFont="1" applyFill="1" applyBorder="1" applyAlignment="1">
      <alignment horizontal="left" wrapText="1"/>
    </xf>
    <xf numFmtId="0" fontId="20" fillId="4" borderId="60" xfId="0" applyFont="1" applyFill="1" applyBorder="1" applyAlignment="1">
      <alignment wrapText="1"/>
    </xf>
    <xf numFmtId="0" fontId="20" fillId="4" borderId="62" xfId="0" applyFont="1" applyFill="1" applyBorder="1" applyAlignment="1">
      <alignment wrapText="1"/>
    </xf>
    <xf numFmtId="0" fontId="20" fillId="4" borderId="0" xfId="0" applyFont="1" applyFill="1" applyBorder="1" applyAlignment="1">
      <alignment wrapText="1"/>
    </xf>
    <xf numFmtId="0" fontId="20" fillId="4" borderId="45" xfId="0" applyFont="1" applyFill="1" applyBorder="1" applyAlignment="1">
      <alignment wrapText="1"/>
    </xf>
    <xf numFmtId="0" fontId="20" fillId="3" borderId="0" xfId="0" applyFont="1" applyFill="1" applyBorder="1" applyAlignment="1">
      <alignment horizontal="left" vertical="center" wrapText="1"/>
    </xf>
    <xf numFmtId="0" fontId="20" fillId="3" borderId="58" xfId="0" applyFont="1" applyFill="1" applyBorder="1" applyAlignment="1">
      <alignment horizontal="left" vertical="center" wrapText="1"/>
    </xf>
    <xf numFmtId="0" fontId="11" fillId="4" borderId="41" xfId="0" applyFont="1" applyFill="1" applyBorder="1" applyAlignment="1">
      <alignment horizontal="left" wrapText="1"/>
    </xf>
    <xf numFmtId="0" fontId="11" fillId="4" borderId="42" xfId="0" applyFont="1" applyFill="1" applyBorder="1" applyAlignment="1">
      <alignment horizontal="left" wrapText="1"/>
    </xf>
    <xf numFmtId="0" fontId="11" fillId="4" borderId="43" xfId="0" applyFont="1" applyFill="1" applyBorder="1" applyAlignment="1">
      <alignment horizontal="left" wrapText="1"/>
    </xf>
    <xf numFmtId="0" fontId="21" fillId="4" borderId="0" xfId="0" applyFont="1" applyFill="1" applyBorder="1" applyAlignment="1">
      <alignment vertical="center" wrapText="1"/>
    </xf>
    <xf numFmtId="0" fontId="21" fillId="4" borderId="45" xfId="0" applyFont="1" applyFill="1" applyBorder="1" applyAlignment="1">
      <alignment vertical="center" wrapText="1"/>
    </xf>
    <xf numFmtId="0" fontId="21" fillId="4" borderId="47" xfId="0" applyFont="1" applyFill="1" applyBorder="1" applyAlignment="1">
      <alignment vertical="center" wrapText="1"/>
    </xf>
    <xf numFmtId="0" fontId="21" fillId="4" borderId="48" xfId="0" applyFont="1" applyFill="1" applyBorder="1" applyAlignment="1">
      <alignment vertical="center" wrapText="1"/>
    </xf>
    <xf numFmtId="0" fontId="20" fillId="4" borderId="47" xfId="0" applyFont="1" applyFill="1" applyBorder="1" applyAlignment="1">
      <alignment wrapText="1"/>
    </xf>
    <xf numFmtId="0" fontId="20" fillId="4" borderId="48" xfId="0" applyFont="1" applyFill="1" applyBorder="1" applyAlignment="1">
      <alignment wrapText="1"/>
    </xf>
    <xf numFmtId="0" fontId="11" fillId="4" borderId="57" xfId="0" applyFont="1" applyFill="1" applyBorder="1" applyAlignment="1">
      <alignment horizontal="left" wrapText="1"/>
    </xf>
    <xf numFmtId="0" fontId="11" fillId="4" borderId="58" xfId="0" applyFont="1" applyFill="1" applyBorder="1" applyAlignment="1">
      <alignment horizontal="left" wrapText="1"/>
    </xf>
    <xf numFmtId="0" fontId="15" fillId="3" borderId="52" xfId="0" applyFont="1" applyFill="1" applyBorder="1" applyAlignment="1">
      <alignment horizontal="left" wrapText="1"/>
    </xf>
    <xf numFmtId="0" fontId="15" fillId="3" borderId="34" xfId="0" applyFont="1" applyFill="1" applyBorder="1" applyAlignment="1">
      <alignment horizontal="left" wrapText="1"/>
    </xf>
    <xf numFmtId="0" fontId="15" fillId="3" borderId="53" xfId="0" applyFont="1" applyFill="1" applyBorder="1" applyAlignment="1">
      <alignment horizontal="left" wrapText="1"/>
    </xf>
    <xf numFmtId="167" fontId="12" fillId="3" borderId="6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 wrapText="1" indent="1"/>
    </xf>
    <xf numFmtId="0" fontId="12" fillId="3" borderId="34" xfId="0" applyFont="1" applyFill="1" applyBorder="1" applyAlignment="1">
      <alignment horizontal="left" vertical="center" wrapText="1" indent="1"/>
    </xf>
    <xf numFmtId="0" fontId="12" fillId="3" borderId="12" xfId="0" applyFont="1" applyFill="1" applyBorder="1" applyAlignment="1">
      <alignment horizontal="left" vertical="center" wrapText="1" indent="1"/>
    </xf>
    <xf numFmtId="0" fontId="14" fillId="3" borderId="8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right" vertical="center" wrapText="1"/>
    </xf>
    <xf numFmtId="0" fontId="12" fillId="3" borderId="34" xfId="0" applyFont="1" applyFill="1" applyBorder="1" applyAlignment="1">
      <alignment horizontal="right" vertical="center" wrapText="1"/>
    </xf>
    <xf numFmtId="0" fontId="12" fillId="3" borderId="34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wrapText="1"/>
    </xf>
    <xf numFmtId="0" fontId="15" fillId="3" borderId="50" xfId="0" applyFont="1" applyFill="1" applyBorder="1" applyAlignment="1">
      <alignment horizontal="left" wrapText="1"/>
    </xf>
    <xf numFmtId="0" fontId="15" fillId="3" borderId="51" xfId="0" applyFont="1" applyFill="1" applyBorder="1" applyAlignment="1">
      <alignment horizontal="left" wrapText="1"/>
    </xf>
    <xf numFmtId="0" fontId="11" fillId="3" borderId="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 indent="1"/>
    </xf>
    <xf numFmtId="0" fontId="13" fillId="3" borderId="7" xfId="0" applyFont="1" applyFill="1" applyBorder="1" applyAlignment="1">
      <alignment horizontal="left" vertical="center" wrapText="1"/>
    </xf>
    <xf numFmtId="0" fontId="5" fillId="3" borderId="24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0" fillId="0" borderId="34" xfId="0" applyBorder="1" applyAlignment="1"/>
    <xf numFmtId="0" fontId="0" fillId="0" borderId="12" xfId="0" applyBorder="1" applyAlignment="1"/>
    <xf numFmtId="0" fontId="16" fillId="3" borderId="35" xfId="0" applyFont="1" applyFill="1" applyBorder="1" applyAlignment="1">
      <alignment vertical="center" wrapText="1"/>
    </xf>
    <xf numFmtId="0" fontId="16" fillId="3" borderId="30" xfId="0" applyFont="1" applyFill="1" applyBorder="1" applyAlignment="1">
      <alignment vertical="center" wrapText="1"/>
    </xf>
    <xf numFmtId="0" fontId="16" fillId="3" borderId="18" xfId="0" applyFont="1" applyFill="1" applyBorder="1" applyAlignment="1">
      <alignment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16" xfId="0" applyBorder="1" applyAlignment="1"/>
    <xf numFmtId="0" fontId="0" fillId="0" borderId="4" xfId="0" applyBorder="1" applyAlignment="1"/>
    <xf numFmtId="0" fontId="0" fillId="0" borderId="17" xfId="0" applyBorder="1" applyAlignment="1"/>
    <xf numFmtId="0" fontId="5" fillId="3" borderId="0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16" fillId="3" borderId="14" xfId="0" applyFont="1" applyFill="1" applyBorder="1" applyAlignment="1"/>
    <xf numFmtId="0" fontId="16" fillId="3" borderId="15" xfId="0" applyFont="1" applyFill="1" applyBorder="1" applyAlignment="1">
      <alignment horizontal="left" vertical="center" wrapText="1" indent="1"/>
    </xf>
    <xf numFmtId="0" fontId="6" fillId="3" borderId="1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3" fontId="14" fillId="3" borderId="12" xfId="0" applyNumberFormat="1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view="pageBreakPreview" topLeftCell="C1" zoomScale="70" zoomScaleNormal="70" zoomScaleSheetLayoutView="70" workbookViewId="0">
      <selection activeCell="L17" sqref="L17"/>
    </sheetView>
  </sheetViews>
  <sheetFormatPr baseColWidth="10" defaultColWidth="11" defaultRowHeight="13.5"/>
  <cols>
    <col min="1" max="1" width="7.140625" style="1" customWidth="1"/>
    <col min="2" max="2" width="21" style="1" customWidth="1"/>
    <col min="3" max="3" width="29" style="1" customWidth="1"/>
    <col min="4" max="4" width="8.42578125" style="3" customWidth="1"/>
    <col min="5" max="5" width="103.140625" style="9" customWidth="1"/>
    <col min="6" max="6" width="11" style="1"/>
    <col min="7" max="7" width="12.7109375" style="1" customWidth="1"/>
    <col min="8" max="8" width="15.42578125" style="1" customWidth="1"/>
    <col min="9" max="9" width="18.5703125" style="2" customWidth="1"/>
    <col min="10" max="11" width="15.85546875" style="51" bestFit="1" customWidth="1"/>
    <col min="12" max="12" width="16.5703125" style="3" customWidth="1"/>
    <col min="13" max="13" width="14.5703125" style="3" bestFit="1" customWidth="1"/>
    <col min="14" max="16384" width="11" style="3"/>
  </cols>
  <sheetData>
    <row r="1" spans="1:20">
      <c r="L1" s="52"/>
    </row>
    <row r="2" spans="1:20">
      <c r="B2" s="95" t="s">
        <v>0</v>
      </c>
      <c r="C2" s="95"/>
      <c r="D2" s="95"/>
      <c r="E2" s="95"/>
      <c r="F2" s="95"/>
      <c r="G2" s="95"/>
      <c r="H2" s="95"/>
      <c r="L2" s="52"/>
    </row>
    <row r="3" spans="1:20">
      <c r="L3" s="52"/>
    </row>
    <row r="4" spans="1:20" ht="18" customHeight="1">
      <c r="A4" s="94" t="s">
        <v>1</v>
      </c>
      <c r="B4" s="94"/>
      <c r="C4" s="96" t="s">
        <v>2</v>
      </c>
      <c r="D4" s="96"/>
      <c r="E4" s="96"/>
      <c r="F4" s="4"/>
      <c r="G4" s="4"/>
      <c r="H4" s="4"/>
      <c r="L4" s="52"/>
    </row>
    <row r="5" spans="1:20" ht="18" customHeight="1">
      <c r="A5" s="94" t="s">
        <v>3</v>
      </c>
      <c r="B5" s="94"/>
      <c r="C5" s="97" t="s">
        <v>4</v>
      </c>
      <c r="D5" s="97"/>
      <c r="E5" s="97"/>
      <c r="F5" s="4"/>
      <c r="G5" s="4"/>
      <c r="H5" s="4"/>
      <c r="L5" s="52"/>
    </row>
    <row r="6" spans="1:20" ht="16.5" customHeight="1">
      <c r="A6" s="94" t="s">
        <v>5</v>
      </c>
      <c r="B6" s="94"/>
      <c r="C6" s="5">
        <v>2022</v>
      </c>
      <c r="D6" s="6"/>
      <c r="E6" s="6"/>
      <c r="F6" s="4"/>
      <c r="G6" s="4"/>
      <c r="H6" s="4"/>
      <c r="L6" s="52"/>
    </row>
    <row r="7" spans="1:20" ht="16.5" customHeight="1">
      <c r="A7" s="94" t="s">
        <v>6</v>
      </c>
      <c r="B7" s="94"/>
      <c r="C7" s="5">
        <v>2</v>
      </c>
      <c r="D7" s="6"/>
      <c r="E7" s="6"/>
      <c r="F7" s="4"/>
      <c r="G7" s="4"/>
      <c r="H7" s="4"/>
      <c r="L7" s="52"/>
    </row>
    <row r="8" spans="1:20" ht="14.25" thickBot="1">
      <c r="B8" s="4"/>
      <c r="C8" s="4"/>
      <c r="D8" s="7"/>
      <c r="E8" s="7"/>
      <c r="F8" s="4"/>
      <c r="G8" s="4"/>
      <c r="H8" s="4"/>
      <c r="L8" s="52"/>
    </row>
    <row r="9" spans="1:20" s="8" customFormat="1" ht="38.25">
      <c r="A9" s="40" t="s">
        <v>7</v>
      </c>
      <c r="B9" s="41" t="s">
        <v>8</v>
      </c>
      <c r="C9" s="41" t="s">
        <v>9</v>
      </c>
      <c r="D9" s="41" t="s">
        <v>10</v>
      </c>
      <c r="E9" s="42" t="s">
        <v>11</v>
      </c>
      <c r="F9" s="41" t="s">
        <v>12</v>
      </c>
      <c r="G9" s="41" t="s">
        <v>13</v>
      </c>
      <c r="H9" s="41" t="s">
        <v>14</v>
      </c>
      <c r="I9" s="43" t="s">
        <v>15</v>
      </c>
      <c r="J9" s="62"/>
      <c r="K9" s="62"/>
      <c r="L9" s="64"/>
    </row>
    <row r="10" spans="1:20" s="8" customFormat="1" ht="27">
      <c r="A10" s="55">
        <v>1</v>
      </c>
      <c r="B10" s="56" t="s">
        <v>16</v>
      </c>
      <c r="C10" s="57" t="s">
        <v>17</v>
      </c>
      <c r="D10" s="58" t="s">
        <v>18</v>
      </c>
      <c r="E10" s="59" t="s">
        <v>19</v>
      </c>
      <c r="F10" s="60" t="s">
        <v>20</v>
      </c>
      <c r="G10" s="84">
        <v>50000</v>
      </c>
      <c r="H10" s="85">
        <v>158.4</v>
      </c>
      <c r="I10" s="86">
        <f t="shared" ref="I10:I11" si="0">H10*G10</f>
        <v>7920000</v>
      </c>
      <c r="J10" s="92">
        <f>G10/1.6</f>
        <v>31250</v>
      </c>
      <c r="K10" s="92">
        <f>+G10-J10</f>
        <v>18750</v>
      </c>
      <c r="L10" s="89">
        <f>+J10+K10</f>
        <v>50000</v>
      </c>
      <c r="M10" s="89"/>
      <c r="N10" s="64"/>
    </row>
    <row r="11" spans="1:20" s="8" customFormat="1" ht="27">
      <c r="A11" s="55">
        <v>2</v>
      </c>
      <c r="B11" s="56" t="s">
        <v>21</v>
      </c>
      <c r="C11" s="57" t="s">
        <v>17</v>
      </c>
      <c r="D11" s="61" t="s">
        <v>18</v>
      </c>
      <c r="E11" s="59" t="s">
        <v>22</v>
      </c>
      <c r="F11" s="60" t="s">
        <v>20</v>
      </c>
      <c r="G11" s="84">
        <v>122000</v>
      </c>
      <c r="H11" s="85">
        <v>159.9</v>
      </c>
      <c r="I11" s="86">
        <f t="shared" si="0"/>
        <v>19507800</v>
      </c>
      <c r="J11" s="92">
        <f>G11/1.6</f>
        <v>76250</v>
      </c>
      <c r="K11" s="92">
        <f>+G11-J11</f>
        <v>45750</v>
      </c>
      <c r="L11" s="89">
        <f>+J11+K11</f>
        <v>122000</v>
      </c>
      <c r="M11" s="89"/>
      <c r="N11" s="64"/>
    </row>
    <row r="12" spans="1:20" ht="19.5" customHeight="1" thickBot="1">
      <c r="I12" s="54">
        <f>SUM(I10:I11)</f>
        <v>27427800</v>
      </c>
      <c r="J12" s="93">
        <f>+H10*J10</f>
        <v>4950000</v>
      </c>
      <c r="K12" s="91">
        <f>+K10*H10</f>
        <v>2970000</v>
      </c>
      <c r="L12" s="87"/>
      <c r="M12" s="88"/>
    </row>
    <row r="13" spans="1:20" ht="14.25" thickBot="1">
      <c r="A13" s="10"/>
      <c r="B13" s="10"/>
      <c r="C13" s="10"/>
      <c r="D13" s="10"/>
      <c r="E13" s="3"/>
      <c r="F13" s="3"/>
      <c r="G13" s="3"/>
      <c r="H13" s="3"/>
      <c r="I13" s="3"/>
      <c r="J13" s="91">
        <f>+J11*H11</f>
        <v>12192375</v>
      </c>
      <c r="K13" s="91">
        <f>+K11*H11</f>
        <v>7315425</v>
      </c>
      <c r="L13" s="90"/>
    </row>
    <row r="14" spans="1:20" ht="34.5" customHeight="1">
      <c r="A14" s="3"/>
      <c r="B14" s="68" t="s">
        <v>24</v>
      </c>
      <c r="C14" s="69"/>
      <c r="D14" s="69"/>
      <c r="E14" s="70"/>
      <c r="F14" s="3"/>
      <c r="G14" s="3"/>
      <c r="H14" s="3"/>
      <c r="I14" s="3"/>
      <c r="J14" s="91">
        <f>+J12+J13</f>
        <v>17142375</v>
      </c>
      <c r="K14" s="91">
        <f>+K12+K13</f>
        <v>10285425</v>
      </c>
      <c r="L14" s="90">
        <f>+J12+K12</f>
        <v>7920000</v>
      </c>
      <c r="M14" s="51"/>
      <c r="N14" s="51"/>
      <c r="O14" s="51"/>
      <c r="P14" s="51"/>
      <c r="Q14" s="51"/>
      <c r="R14" s="52"/>
      <c r="S14" s="52"/>
    </row>
    <row r="15" spans="1:20" ht="34.5" customHeight="1">
      <c r="A15" s="3"/>
      <c r="B15" s="71" t="s">
        <v>80</v>
      </c>
      <c r="C15" s="72"/>
      <c r="D15" s="72"/>
      <c r="E15" s="73"/>
      <c r="F15" s="3"/>
      <c r="G15" s="3"/>
      <c r="H15" s="3"/>
      <c r="I15" s="3"/>
      <c r="J15" s="91"/>
      <c r="L15" s="90">
        <f>+J13+K13</f>
        <v>19507800</v>
      </c>
      <c r="M15" s="51"/>
      <c r="N15" s="51"/>
      <c r="O15" s="51"/>
      <c r="P15" s="51"/>
      <c r="Q15" s="51"/>
      <c r="R15" s="52"/>
      <c r="S15" s="52"/>
      <c r="T15" s="52"/>
    </row>
    <row r="16" spans="1:20" ht="34.5" customHeight="1">
      <c r="A16" s="3"/>
      <c r="B16" s="74"/>
      <c r="C16" s="107" t="s">
        <v>81</v>
      </c>
      <c r="D16" s="107"/>
      <c r="E16" s="108"/>
      <c r="F16" s="3"/>
      <c r="G16" s="3"/>
      <c r="H16" s="3"/>
      <c r="I16" s="3"/>
      <c r="J16" s="91"/>
      <c r="L16" s="51"/>
      <c r="M16" s="51"/>
      <c r="N16" s="51"/>
      <c r="O16" s="51"/>
      <c r="P16" s="51"/>
      <c r="Q16" s="51"/>
      <c r="R16" s="52"/>
      <c r="S16" s="52"/>
      <c r="T16" s="52"/>
    </row>
    <row r="17" spans="1:21" ht="34.5" customHeight="1">
      <c r="A17" s="3"/>
      <c r="B17" s="71" t="s">
        <v>82</v>
      </c>
      <c r="C17" s="72"/>
      <c r="D17" s="72"/>
      <c r="E17" s="73"/>
      <c r="F17" s="3"/>
      <c r="G17" s="3"/>
      <c r="H17" s="3"/>
      <c r="I17" s="3"/>
      <c r="L17" s="51"/>
      <c r="M17" s="51"/>
      <c r="N17" s="51"/>
      <c r="O17" s="51"/>
      <c r="P17" s="51"/>
      <c r="Q17" s="51"/>
      <c r="R17" s="52"/>
      <c r="S17" s="52"/>
      <c r="T17" s="52"/>
    </row>
    <row r="18" spans="1:21" ht="46.5" customHeight="1" thickBot="1">
      <c r="A18" s="3"/>
      <c r="B18" s="74"/>
      <c r="C18" s="107" t="s">
        <v>83</v>
      </c>
      <c r="D18" s="107"/>
      <c r="E18" s="108"/>
      <c r="F18" s="3"/>
      <c r="G18" s="3"/>
      <c r="H18" s="3"/>
      <c r="I18" s="3"/>
      <c r="L18" s="51"/>
      <c r="M18" s="51"/>
      <c r="N18" s="51"/>
      <c r="O18" s="51"/>
      <c r="P18" s="51"/>
      <c r="Q18" s="51"/>
      <c r="R18" s="52"/>
      <c r="S18" s="52"/>
      <c r="T18" s="52"/>
    </row>
    <row r="19" spans="1:21" ht="38.25" customHeight="1">
      <c r="A19" s="67" t="s">
        <v>25</v>
      </c>
      <c r="B19" s="109" t="s">
        <v>26</v>
      </c>
      <c r="C19" s="110"/>
      <c r="D19" s="110"/>
      <c r="E19" s="111"/>
      <c r="F19" s="67" t="s">
        <v>25</v>
      </c>
      <c r="G19" s="67" t="s">
        <v>25</v>
      </c>
      <c r="H19" s="67" t="s">
        <v>25</v>
      </c>
      <c r="I19" s="65" t="s">
        <v>25</v>
      </c>
      <c r="J19" s="63" t="s">
        <v>25</v>
      </c>
      <c r="K19" s="65" t="s">
        <v>25</v>
      </c>
      <c r="L19" s="65" t="s">
        <v>25</v>
      </c>
      <c r="M19" s="65" t="s">
        <v>25</v>
      </c>
      <c r="N19" s="65" t="s">
        <v>25</v>
      </c>
      <c r="O19" s="65" t="s">
        <v>25</v>
      </c>
      <c r="P19" s="65" t="s">
        <v>25</v>
      </c>
      <c r="Q19" s="66" t="s">
        <v>25</v>
      </c>
      <c r="R19" s="66" t="s">
        <v>25</v>
      </c>
      <c r="S19" s="66" t="s">
        <v>25</v>
      </c>
      <c r="T19" s="67" t="s">
        <v>25</v>
      </c>
      <c r="U19" s="53"/>
    </row>
    <row r="20" spans="1:21" ht="5.25" customHeight="1">
      <c r="A20" s="67" t="s">
        <v>25</v>
      </c>
      <c r="B20" s="75" t="s">
        <v>25</v>
      </c>
      <c r="C20" s="112" t="s">
        <v>84</v>
      </c>
      <c r="D20" s="112"/>
      <c r="E20" s="113"/>
      <c r="F20" s="67" t="s">
        <v>25</v>
      </c>
      <c r="G20" s="65" t="s">
        <v>25</v>
      </c>
      <c r="H20" s="67" t="s">
        <v>25</v>
      </c>
      <c r="I20" s="67" t="s">
        <v>25</v>
      </c>
      <c r="J20" s="63" t="s">
        <v>25</v>
      </c>
      <c r="K20" s="98" t="s">
        <v>25</v>
      </c>
      <c r="L20" s="98"/>
      <c r="M20" s="98"/>
      <c r="N20" s="65" t="s">
        <v>25</v>
      </c>
      <c r="O20" s="65" t="s">
        <v>25</v>
      </c>
      <c r="P20" s="65" t="s">
        <v>25</v>
      </c>
      <c r="Q20" s="65" t="s">
        <v>25</v>
      </c>
      <c r="R20" s="66" t="s">
        <v>25</v>
      </c>
      <c r="S20" s="66" t="s">
        <v>25</v>
      </c>
      <c r="T20" s="66" t="s">
        <v>25</v>
      </c>
      <c r="U20" s="65" t="s">
        <v>25</v>
      </c>
    </row>
    <row r="21" spans="1:21" ht="20.25" hidden="1" customHeight="1">
      <c r="A21" s="67" t="s">
        <v>25</v>
      </c>
      <c r="B21" s="75" t="s">
        <v>25</v>
      </c>
      <c r="C21" s="112"/>
      <c r="D21" s="112"/>
      <c r="E21" s="113"/>
      <c r="F21" s="67" t="s">
        <v>25</v>
      </c>
      <c r="G21" s="65" t="s">
        <v>25</v>
      </c>
      <c r="H21" s="65" t="s">
        <v>25</v>
      </c>
      <c r="I21" s="65" t="s">
        <v>25</v>
      </c>
      <c r="J21" s="63" t="s">
        <v>25</v>
      </c>
      <c r="K21" s="98"/>
      <c r="L21" s="98"/>
      <c r="M21" s="98"/>
      <c r="N21" s="65" t="s">
        <v>25</v>
      </c>
      <c r="O21" s="65" t="s">
        <v>25</v>
      </c>
      <c r="P21" s="65" t="s">
        <v>25</v>
      </c>
      <c r="Q21" s="65" t="s">
        <v>25</v>
      </c>
      <c r="R21" s="66" t="s">
        <v>25</v>
      </c>
      <c r="S21" s="66" t="s">
        <v>25</v>
      </c>
      <c r="T21" s="66" t="s">
        <v>25</v>
      </c>
      <c r="U21" s="65" t="s">
        <v>25</v>
      </c>
    </row>
    <row r="22" spans="1:21" ht="6.75" customHeight="1">
      <c r="A22" s="67" t="s">
        <v>25</v>
      </c>
      <c r="B22" s="75" t="s">
        <v>25</v>
      </c>
      <c r="C22" s="112"/>
      <c r="D22" s="112"/>
      <c r="E22" s="113"/>
      <c r="F22" s="67" t="s">
        <v>25</v>
      </c>
      <c r="G22" s="66" t="s">
        <v>25</v>
      </c>
      <c r="H22" s="66" t="s">
        <v>25</v>
      </c>
      <c r="I22" s="66" t="s">
        <v>25</v>
      </c>
      <c r="J22" s="63" t="s">
        <v>25</v>
      </c>
      <c r="K22" s="98"/>
      <c r="L22" s="98"/>
      <c r="M22" s="98"/>
      <c r="N22" s="65" t="s">
        <v>25</v>
      </c>
      <c r="O22" s="65" t="s">
        <v>25</v>
      </c>
      <c r="P22" s="65" t="s">
        <v>25</v>
      </c>
      <c r="Q22" s="65" t="s">
        <v>25</v>
      </c>
      <c r="R22" s="66" t="s">
        <v>25</v>
      </c>
      <c r="S22" s="66" t="s">
        <v>25</v>
      </c>
      <c r="T22" s="66" t="s">
        <v>25</v>
      </c>
      <c r="U22" s="65" t="s">
        <v>25</v>
      </c>
    </row>
    <row r="23" spans="1:21" ht="26.25" hidden="1" customHeight="1">
      <c r="A23" s="67" t="s">
        <v>25</v>
      </c>
      <c r="B23" s="75" t="s">
        <v>25</v>
      </c>
      <c r="C23" s="112"/>
      <c r="D23" s="112"/>
      <c r="E23" s="113"/>
      <c r="F23" s="67" t="s">
        <v>25</v>
      </c>
      <c r="G23" s="99" t="s">
        <v>25</v>
      </c>
      <c r="H23" s="66" t="s">
        <v>25</v>
      </c>
      <c r="I23" s="66" t="s">
        <v>25</v>
      </c>
      <c r="J23" s="63" t="s">
        <v>25</v>
      </c>
      <c r="K23" s="98"/>
      <c r="L23" s="98"/>
      <c r="M23" s="98"/>
      <c r="N23" s="65" t="s">
        <v>25</v>
      </c>
      <c r="O23" s="65" t="s">
        <v>25</v>
      </c>
      <c r="P23" s="65" t="s">
        <v>25</v>
      </c>
      <c r="Q23" s="65" t="s">
        <v>25</v>
      </c>
      <c r="R23" s="66" t="s">
        <v>25</v>
      </c>
      <c r="S23" s="66" t="s">
        <v>25</v>
      </c>
      <c r="T23" s="66" t="s">
        <v>25</v>
      </c>
      <c r="U23" s="65" t="s">
        <v>25</v>
      </c>
    </row>
    <row r="24" spans="1:21" ht="9" hidden="1" customHeight="1">
      <c r="A24" s="67" t="s">
        <v>25</v>
      </c>
      <c r="B24" s="75" t="s">
        <v>25</v>
      </c>
      <c r="C24" s="112"/>
      <c r="D24" s="112"/>
      <c r="E24" s="113"/>
      <c r="F24" s="67" t="s">
        <v>25</v>
      </c>
      <c r="G24" s="99"/>
      <c r="H24" s="66" t="s">
        <v>25</v>
      </c>
      <c r="I24" s="66" t="s">
        <v>25</v>
      </c>
      <c r="J24" s="63" t="s">
        <v>25</v>
      </c>
      <c r="K24" s="98"/>
      <c r="L24" s="98"/>
      <c r="M24" s="98"/>
      <c r="N24" s="65" t="s">
        <v>25</v>
      </c>
      <c r="O24" s="65" t="s">
        <v>25</v>
      </c>
      <c r="P24" s="65" t="s">
        <v>25</v>
      </c>
      <c r="Q24" s="65" t="s">
        <v>25</v>
      </c>
      <c r="R24" s="66" t="s">
        <v>25</v>
      </c>
      <c r="S24" s="66" t="s">
        <v>25</v>
      </c>
      <c r="T24" s="66" t="s">
        <v>25</v>
      </c>
      <c r="U24" s="65" t="s">
        <v>25</v>
      </c>
    </row>
    <row r="25" spans="1:21" ht="11.25" customHeight="1">
      <c r="A25" s="67" t="s">
        <v>25</v>
      </c>
      <c r="B25" s="75" t="s">
        <v>25</v>
      </c>
      <c r="C25" s="112"/>
      <c r="D25" s="112"/>
      <c r="E25" s="113"/>
      <c r="F25" s="67" t="s">
        <v>25</v>
      </c>
      <c r="G25" s="99" t="s">
        <v>25</v>
      </c>
      <c r="H25" s="66" t="s">
        <v>25</v>
      </c>
      <c r="I25" s="66" t="s">
        <v>25</v>
      </c>
      <c r="J25" s="63" t="s">
        <v>25</v>
      </c>
      <c r="K25" s="98"/>
      <c r="L25" s="98"/>
      <c r="M25" s="98"/>
      <c r="N25" s="65" t="s">
        <v>25</v>
      </c>
      <c r="O25" s="65" t="s">
        <v>25</v>
      </c>
      <c r="P25" s="65" t="s">
        <v>25</v>
      </c>
      <c r="Q25" s="65" t="s">
        <v>25</v>
      </c>
      <c r="R25" s="66" t="s">
        <v>25</v>
      </c>
      <c r="S25" s="66" t="s">
        <v>25</v>
      </c>
      <c r="T25" s="66" t="s">
        <v>25</v>
      </c>
      <c r="U25" s="65" t="s">
        <v>25</v>
      </c>
    </row>
    <row r="26" spans="1:21" ht="26.25" hidden="1" customHeight="1">
      <c r="A26" s="67" t="s">
        <v>25</v>
      </c>
      <c r="B26" s="75" t="s">
        <v>25</v>
      </c>
      <c r="C26" s="112"/>
      <c r="D26" s="112"/>
      <c r="E26" s="113"/>
      <c r="F26" s="67" t="s">
        <v>25</v>
      </c>
      <c r="G26" s="99"/>
      <c r="H26" s="66" t="s">
        <v>25</v>
      </c>
      <c r="I26" s="66" t="s">
        <v>25</v>
      </c>
      <c r="J26" s="63" t="s">
        <v>25</v>
      </c>
      <c r="K26" s="98"/>
      <c r="L26" s="98"/>
      <c r="M26" s="98"/>
      <c r="N26" s="65" t="s">
        <v>25</v>
      </c>
      <c r="O26" s="65" t="s">
        <v>25</v>
      </c>
      <c r="P26" s="65" t="s">
        <v>25</v>
      </c>
      <c r="Q26" s="65" t="s">
        <v>25</v>
      </c>
      <c r="R26" s="66" t="s">
        <v>25</v>
      </c>
      <c r="S26" s="66" t="s">
        <v>25</v>
      </c>
      <c r="T26" s="66" t="s">
        <v>25</v>
      </c>
      <c r="U26" s="65" t="s">
        <v>25</v>
      </c>
    </row>
    <row r="27" spans="1:21" ht="26.25" hidden="1" customHeight="1">
      <c r="A27" s="67" t="s">
        <v>25</v>
      </c>
      <c r="B27" s="75" t="s">
        <v>25</v>
      </c>
      <c r="C27" s="112"/>
      <c r="D27" s="112"/>
      <c r="E27" s="113"/>
      <c r="F27" s="67" t="s">
        <v>25</v>
      </c>
      <c r="G27" s="66" t="s">
        <v>25</v>
      </c>
      <c r="H27" s="66" t="s">
        <v>25</v>
      </c>
      <c r="I27" s="66" t="s">
        <v>25</v>
      </c>
      <c r="J27" s="63" t="s">
        <v>25</v>
      </c>
      <c r="K27" s="98"/>
      <c r="L27" s="98"/>
      <c r="M27" s="98"/>
      <c r="N27" s="65" t="s">
        <v>25</v>
      </c>
      <c r="O27" s="65" t="s">
        <v>25</v>
      </c>
      <c r="P27" s="65" t="s">
        <v>25</v>
      </c>
      <c r="Q27" s="65" t="s">
        <v>25</v>
      </c>
      <c r="R27" s="66" t="s">
        <v>25</v>
      </c>
      <c r="S27" s="66" t="s">
        <v>25</v>
      </c>
      <c r="T27" s="66" t="s">
        <v>25</v>
      </c>
      <c r="U27" s="65" t="s">
        <v>25</v>
      </c>
    </row>
    <row r="28" spans="1:21" ht="26.25" hidden="1" customHeight="1">
      <c r="A28" s="67" t="s">
        <v>25</v>
      </c>
      <c r="B28" s="75" t="s">
        <v>25</v>
      </c>
      <c r="C28" s="112"/>
      <c r="D28" s="112"/>
      <c r="E28" s="113"/>
      <c r="F28" s="67" t="s">
        <v>25</v>
      </c>
      <c r="G28" s="66" t="s">
        <v>25</v>
      </c>
      <c r="H28" s="66" t="s">
        <v>25</v>
      </c>
      <c r="I28" s="66" t="s">
        <v>25</v>
      </c>
      <c r="J28" s="63" t="s">
        <v>25</v>
      </c>
      <c r="K28" s="98"/>
      <c r="L28" s="98"/>
      <c r="M28" s="98"/>
      <c r="N28" s="65" t="s">
        <v>25</v>
      </c>
      <c r="O28" s="65" t="s">
        <v>25</v>
      </c>
      <c r="P28" s="65" t="s">
        <v>25</v>
      </c>
      <c r="Q28" s="65" t="s">
        <v>25</v>
      </c>
      <c r="R28" s="66" t="s">
        <v>25</v>
      </c>
      <c r="S28" s="66" t="s">
        <v>25</v>
      </c>
      <c r="T28" s="66" t="s">
        <v>25</v>
      </c>
      <c r="U28" s="65" t="s">
        <v>25</v>
      </c>
    </row>
    <row r="29" spans="1:21" ht="26.25" hidden="1" customHeight="1">
      <c r="A29" s="67" t="s">
        <v>25</v>
      </c>
      <c r="B29" s="75" t="s">
        <v>25</v>
      </c>
      <c r="C29" s="112"/>
      <c r="D29" s="112"/>
      <c r="E29" s="113"/>
      <c r="F29" s="67" t="s">
        <v>25</v>
      </c>
      <c r="G29" s="66"/>
      <c r="H29" s="66" t="s">
        <v>25</v>
      </c>
      <c r="I29" s="66" t="s">
        <v>25</v>
      </c>
      <c r="J29" s="63" t="s">
        <v>25</v>
      </c>
      <c r="K29" s="98"/>
      <c r="L29" s="98"/>
      <c r="M29" s="98"/>
      <c r="N29" s="65" t="s">
        <v>25</v>
      </c>
      <c r="O29" s="65" t="s">
        <v>25</v>
      </c>
      <c r="P29" s="65" t="s">
        <v>25</v>
      </c>
      <c r="Q29" s="65" t="s">
        <v>25</v>
      </c>
      <c r="R29" s="66" t="s">
        <v>25</v>
      </c>
      <c r="S29" s="66" t="s">
        <v>25</v>
      </c>
      <c r="T29" s="66" t="s">
        <v>25</v>
      </c>
      <c r="U29" s="65" t="s">
        <v>25</v>
      </c>
    </row>
    <row r="30" spans="1:21" ht="41.25" customHeight="1">
      <c r="A30" s="67" t="s">
        <v>25</v>
      </c>
      <c r="B30" s="75" t="s">
        <v>25</v>
      </c>
      <c r="C30" s="112"/>
      <c r="D30" s="112"/>
      <c r="E30" s="113"/>
      <c r="F30" s="67" t="s">
        <v>25</v>
      </c>
      <c r="G30" s="99" t="s">
        <v>25</v>
      </c>
      <c r="H30" s="66" t="s">
        <v>25</v>
      </c>
      <c r="I30" s="66" t="s">
        <v>25</v>
      </c>
      <c r="J30" s="63" t="s">
        <v>25</v>
      </c>
      <c r="K30" s="98"/>
      <c r="L30" s="98"/>
      <c r="M30" s="98"/>
      <c r="N30" s="65" t="s">
        <v>25</v>
      </c>
      <c r="O30" s="65" t="s">
        <v>25</v>
      </c>
      <c r="P30" s="65" t="s">
        <v>25</v>
      </c>
      <c r="Q30" s="65" t="s">
        <v>25</v>
      </c>
      <c r="R30" s="66" t="s">
        <v>25</v>
      </c>
      <c r="S30" s="66" t="s">
        <v>25</v>
      </c>
      <c r="T30" s="66" t="s">
        <v>25</v>
      </c>
      <c r="U30" s="65" t="s">
        <v>25</v>
      </c>
    </row>
    <row r="31" spans="1:21" ht="192.75" customHeight="1" thickBot="1">
      <c r="A31" s="67" t="s">
        <v>25</v>
      </c>
      <c r="B31" s="76" t="s">
        <v>25</v>
      </c>
      <c r="C31" s="114"/>
      <c r="D31" s="114"/>
      <c r="E31" s="115"/>
      <c r="F31" s="67" t="s">
        <v>25</v>
      </c>
      <c r="G31" s="99"/>
      <c r="H31" s="66" t="s">
        <v>25</v>
      </c>
      <c r="I31" s="66" t="s">
        <v>25</v>
      </c>
      <c r="J31" s="63" t="s">
        <v>25</v>
      </c>
      <c r="K31" s="98"/>
      <c r="L31" s="98"/>
      <c r="M31" s="98"/>
      <c r="N31" s="65" t="s">
        <v>25</v>
      </c>
      <c r="O31" s="65" t="s">
        <v>25</v>
      </c>
      <c r="P31" s="65" t="s">
        <v>25</v>
      </c>
      <c r="Q31" s="65" t="s">
        <v>25</v>
      </c>
      <c r="R31" s="66" t="s">
        <v>25</v>
      </c>
      <c r="S31" s="66" t="s">
        <v>25</v>
      </c>
      <c r="T31" s="66" t="s">
        <v>25</v>
      </c>
      <c r="U31" s="65" t="s">
        <v>25</v>
      </c>
    </row>
    <row r="32" spans="1:21" ht="33" customHeight="1">
      <c r="A32" s="67" t="s">
        <v>25</v>
      </c>
      <c r="B32" s="100" t="s">
        <v>27</v>
      </c>
      <c r="C32" s="101"/>
      <c r="D32" s="101"/>
      <c r="E32" s="102"/>
      <c r="F32" s="65" t="s">
        <v>25</v>
      </c>
      <c r="G32" s="65" t="s">
        <v>25</v>
      </c>
      <c r="H32" s="65" t="s">
        <v>25</v>
      </c>
      <c r="I32" s="65" t="s">
        <v>25</v>
      </c>
      <c r="J32" s="63" t="s">
        <v>25</v>
      </c>
      <c r="K32" s="65" t="s">
        <v>25</v>
      </c>
      <c r="L32" s="65" t="s">
        <v>25</v>
      </c>
      <c r="M32" s="65" t="s">
        <v>25</v>
      </c>
      <c r="N32" s="65" t="s">
        <v>25</v>
      </c>
      <c r="O32" s="65" t="s">
        <v>25</v>
      </c>
      <c r="P32" s="65" t="s">
        <v>25</v>
      </c>
      <c r="Q32" s="66" t="s">
        <v>25</v>
      </c>
      <c r="R32" s="66" t="s">
        <v>25</v>
      </c>
      <c r="S32" s="66" t="s">
        <v>25</v>
      </c>
      <c r="T32" s="65" t="s">
        <v>25</v>
      </c>
      <c r="U32" s="53"/>
    </row>
    <row r="33" spans="1:21" ht="33" customHeight="1" thickBot="1">
      <c r="A33" s="67" t="s">
        <v>25</v>
      </c>
      <c r="B33" s="76" t="s">
        <v>25</v>
      </c>
      <c r="C33" s="116" t="s">
        <v>28</v>
      </c>
      <c r="D33" s="116"/>
      <c r="E33" s="117"/>
      <c r="F33" s="67" t="s">
        <v>25</v>
      </c>
      <c r="G33" s="67" t="s">
        <v>25</v>
      </c>
      <c r="H33" s="67" t="s">
        <v>25</v>
      </c>
      <c r="I33" s="67" t="s">
        <v>25</v>
      </c>
      <c r="J33" s="63" t="s">
        <v>25</v>
      </c>
      <c r="K33" s="65" t="s">
        <v>25</v>
      </c>
      <c r="L33" s="65" t="s">
        <v>25</v>
      </c>
      <c r="M33" s="65" t="s">
        <v>25</v>
      </c>
      <c r="N33" s="65" t="s">
        <v>25</v>
      </c>
      <c r="O33" s="65" t="s">
        <v>25</v>
      </c>
      <c r="P33" s="65" t="s">
        <v>25</v>
      </c>
      <c r="Q33" s="65" t="s">
        <v>25</v>
      </c>
      <c r="R33" s="66" t="s">
        <v>25</v>
      </c>
      <c r="S33" s="66" t="s">
        <v>25</v>
      </c>
      <c r="T33" s="66" t="s">
        <v>25</v>
      </c>
      <c r="U33" s="65" t="s">
        <v>25</v>
      </c>
    </row>
    <row r="34" spans="1:21" ht="33" customHeight="1">
      <c r="A34" s="67" t="s">
        <v>25</v>
      </c>
      <c r="B34" s="118" t="s">
        <v>29</v>
      </c>
      <c r="C34" s="101"/>
      <c r="D34" s="101"/>
      <c r="E34" s="119"/>
      <c r="F34" s="67" t="s">
        <v>25</v>
      </c>
      <c r="G34" s="67" t="s">
        <v>25</v>
      </c>
      <c r="H34" s="67" t="s">
        <v>25</v>
      </c>
      <c r="I34" s="67" t="s">
        <v>25</v>
      </c>
      <c r="J34" s="63" t="s">
        <v>25</v>
      </c>
      <c r="K34" s="65" t="s">
        <v>25</v>
      </c>
      <c r="L34" s="65" t="s">
        <v>25</v>
      </c>
      <c r="M34" s="65" t="s">
        <v>25</v>
      </c>
      <c r="N34" s="65" t="s">
        <v>25</v>
      </c>
      <c r="O34" s="65" t="s">
        <v>25</v>
      </c>
      <c r="P34" s="65" t="s">
        <v>25</v>
      </c>
      <c r="Q34" s="65" t="s">
        <v>25</v>
      </c>
      <c r="R34" s="66" t="s">
        <v>25</v>
      </c>
      <c r="S34" s="66" t="s">
        <v>25</v>
      </c>
      <c r="T34" s="66" t="s">
        <v>25</v>
      </c>
      <c r="U34" s="65" t="s">
        <v>25</v>
      </c>
    </row>
    <row r="35" spans="1:21" ht="33" customHeight="1" thickBot="1">
      <c r="A35" s="67" t="s">
        <v>25</v>
      </c>
      <c r="B35" s="77" t="s">
        <v>25</v>
      </c>
      <c r="C35" s="103" t="s">
        <v>30</v>
      </c>
      <c r="D35" s="103"/>
      <c r="E35" s="104"/>
      <c r="F35" s="67" t="s">
        <v>25</v>
      </c>
      <c r="G35" s="67" t="s">
        <v>25</v>
      </c>
      <c r="H35" s="67" t="s">
        <v>25</v>
      </c>
      <c r="I35" s="67" t="s">
        <v>25</v>
      </c>
      <c r="J35" s="63" t="s">
        <v>25</v>
      </c>
      <c r="K35" s="65" t="s">
        <v>25</v>
      </c>
      <c r="L35" s="65" t="s">
        <v>25</v>
      </c>
      <c r="M35" s="65" t="s">
        <v>25</v>
      </c>
      <c r="N35" s="65" t="s">
        <v>25</v>
      </c>
      <c r="O35" s="65" t="s">
        <v>25</v>
      </c>
      <c r="P35" s="65" t="s">
        <v>25</v>
      </c>
      <c r="Q35" s="65" t="s">
        <v>25</v>
      </c>
      <c r="R35" s="66" t="s">
        <v>25</v>
      </c>
      <c r="S35" s="66" t="s">
        <v>25</v>
      </c>
      <c r="T35" s="66" t="s">
        <v>25</v>
      </c>
      <c r="U35" s="65" t="s">
        <v>25</v>
      </c>
    </row>
    <row r="36" spans="1:21" ht="33" customHeight="1">
      <c r="A36" s="67" t="s">
        <v>25</v>
      </c>
      <c r="B36" s="78" t="s">
        <v>31</v>
      </c>
      <c r="C36" s="79" t="s">
        <v>25</v>
      </c>
      <c r="D36" s="79" t="s">
        <v>25</v>
      </c>
      <c r="E36" s="80" t="s">
        <v>25</v>
      </c>
      <c r="F36" s="67" t="s">
        <v>25</v>
      </c>
      <c r="G36" s="67" t="s">
        <v>25</v>
      </c>
      <c r="H36" s="67" t="s">
        <v>25</v>
      </c>
      <c r="I36" s="67" t="s">
        <v>25</v>
      </c>
      <c r="J36" s="63" t="s">
        <v>25</v>
      </c>
      <c r="K36" s="65" t="s">
        <v>25</v>
      </c>
      <c r="L36" s="65" t="s">
        <v>25</v>
      </c>
      <c r="M36" s="65" t="s">
        <v>25</v>
      </c>
      <c r="N36" s="65" t="s">
        <v>25</v>
      </c>
      <c r="O36" s="65" t="s">
        <v>25</v>
      </c>
      <c r="P36" s="65" t="s">
        <v>25</v>
      </c>
      <c r="Q36" s="65" t="s">
        <v>25</v>
      </c>
      <c r="R36" s="66" t="s">
        <v>25</v>
      </c>
      <c r="S36" s="66" t="s">
        <v>25</v>
      </c>
      <c r="T36" s="66" t="s">
        <v>25</v>
      </c>
      <c r="U36" s="65" t="s">
        <v>25</v>
      </c>
    </row>
    <row r="37" spans="1:21" ht="33" customHeight="1">
      <c r="A37" s="67" t="s">
        <v>25</v>
      </c>
      <c r="B37" s="81" t="s">
        <v>25</v>
      </c>
      <c r="C37" s="105" t="s">
        <v>32</v>
      </c>
      <c r="D37" s="105"/>
      <c r="E37" s="106"/>
      <c r="F37" s="67" t="s">
        <v>25</v>
      </c>
      <c r="G37" s="65" t="s">
        <v>25</v>
      </c>
      <c r="H37" s="65" t="s">
        <v>25</v>
      </c>
      <c r="I37" s="65" t="s">
        <v>25</v>
      </c>
      <c r="J37" s="63" t="s">
        <v>25</v>
      </c>
      <c r="K37" s="65" t="s">
        <v>25</v>
      </c>
      <c r="L37" s="65" t="s">
        <v>25</v>
      </c>
      <c r="M37" s="65" t="s">
        <v>25</v>
      </c>
      <c r="N37" s="65" t="s">
        <v>25</v>
      </c>
      <c r="O37" s="65" t="s">
        <v>25</v>
      </c>
      <c r="P37" s="65" t="s">
        <v>25</v>
      </c>
      <c r="Q37" s="65" t="s">
        <v>25</v>
      </c>
      <c r="R37" s="66" t="s">
        <v>25</v>
      </c>
      <c r="S37" s="66" t="s">
        <v>25</v>
      </c>
      <c r="T37" s="66" t="s">
        <v>25</v>
      </c>
      <c r="U37" s="65" t="s">
        <v>25</v>
      </c>
    </row>
    <row r="38" spans="1:21" ht="7.5" customHeight="1" thickBot="1">
      <c r="A38" s="67" t="s">
        <v>25</v>
      </c>
      <c r="B38" s="77" t="s">
        <v>25</v>
      </c>
      <c r="C38" s="82" t="s">
        <v>25</v>
      </c>
      <c r="D38" s="82" t="s">
        <v>25</v>
      </c>
      <c r="E38" s="83" t="s">
        <v>25</v>
      </c>
      <c r="F38" s="67" t="s">
        <v>25</v>
      </c>
      <c r="G38" s="65" t="s">
        <v>25</v>
      </c>
      <c r="H38" s="65" t="s">
        <v>25</v>
      </c>
      <c r="I38" s="65" t="s">
        <v>25</v>
      </c>
      <c r="J38" s="63" t="s">
        <v>25</v>
      </c>
      <c r="K38" s="65" t="s">
        <v>25</v>
      </c>
      <c r="L38" s="65" t="s">
        <v>25</v>
      </c>
      <c r="M38" s="65" t="s">
        <v>25</v>
      </c>
      <c r="N38" s="65" t="s">
        <v>25</v>
      </c>
      <c r="O38" s="65" t="s">
        <v>25</v>
      </c>
      <c r="P38" s="65" t="s">
        <v>25</v>
      </c>
      <c r="Q38" s="65" t="s">
        <v>25</v>
      </c>
      <c r="R38" s="66" t="s">
        <v>25</v>
      </c>
      <c r="S38" s="66" t="s">
        <v>25</v>
      </c>
      <c r="T38" s="66" t="s">
        <v>25</v>
      </c>
      <c r="U38" s="65" t="s">
        <v>25</v>
      </c>
    </row>
  </sheetData>
  <mergeCells count="20">
    <mergeCell ref="C35:E35"/>
    <mergeCell ref="C37:E37"/>
    <mergeCell ref="C18:E18"/>
    <mergeCell ref="C16:E16"/>
    <mergeCell ref="B19:E19"/>
    <mergeCell ref="C20:E31"/>
    <mergeCell ref="C33:E33"/>
    <mergeCell ref="B34:E34"/>
    <mergeCell ref="K20:M31"/>
    <mergeCell ref="G23:G24"/>
    <mergeCell ref="G25:G26"/>
    <mergeCell ref="G30:G31"/>
    <mergeCell ref="B32:E32"/>
    <mergeCell ref="A6:B6"/>
    <mergeCell ref="A7:B7"/>
    <mergeCell ref="B2:H2"/>
    <mergeCell ref="A4:B4"/>
    <mergeCell ref="C4:E4"/>
    <mergeCell ref="A5:B5"/>
    <mergeCell ref="C5:E5"/>
  </mergeCells>
  <pageMargins left="0.70866141732283472" right="0.70866141732283472" top="0.74803149606299213" bottom="0.74803149606299213" header="0.51181102362204722" footer="0.51181102362204722"/>
  <pageSetup paperSize="5" scale="44" firstPageNumber="0" fitToWidth="0" fitToHeight="0" orientation="landscape" verticalDpi="30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MJ35"/>
  <sheetViews>
    <sheetView topLeftCell="C29" zoomScale="85" zoomScaleNormal="85" workbookViewId="0">
      <selection activeCell="D7" sqref="D7:K7"/>
    </sheetView>
  </sheetViews>
  <sheetFormatPr baseColWidth="10" defaultColWidth="9.140625" defaultRowHeight="13.5"/>
  <cols>
    <col min="1" max="1" width="5.42578125" style="13" customWidth="1"/>
    <col min="2" max="2" width="13.5703125" style="13" customWidth="1"/>
    <col min="3" max="3" width="17.85546875" style="13" customWidth="1"/>
    <col min="4" max="4" width="26" style="13" customWidth="1"/>
    <col min="5" max="5" width="8" style="13" customWidth="1"/>
    <col min="6" max="6" width="7.85546875" style="13" customWidth="1"/>
    <col min="7" max="7" width="77.42578125" style="13" customWidth="1"/>
    <col min="8" max="8" width="8.42578125" style="13" customWidth="1"/>
    <col min="9" max="9" width="12" style="13" customWidth="1"/>
    <col min="10" max="10" width="21.5703125" style="13" customWidth="1"/>
    <col min="11" max="11" width="10.85546875" style="13" customWidth="1"/>
    <col min="12" max="14" width="5.85546875" style="13" customWidth="1"/>
    <col min="15" max="15" width="12.5703125" style="13" customWidth="1"/>
    <col min="16" max="1024" width="9.140625" style="13"/>
    <col min="1025" max="16384" width="9.140625" style="3"/>
  </cols>
  <sheetData>
    <row r="1" spans="1:11" ht="18" customHeight="1">
      <c r="A1" s="139" t="s">
        <v>33</v>
      </c>
      <c r="B1" s="139"/>
      <c r="C1" s="139"/>
      <c r="D1" s="139"/>
      <c r="E1" s="139"/>
      <c r="F1" s="139"/>
      <c r="G1" s="139"/>
      <c r="H1" s="139"/>
      <c r="I1" s="139"/>
      <c r="J1" s="11" t="s">
        <v>34</v>
      </c>
      <c r="K1" s="12" t="s">
        <v>35</v>
      </c>
    </row>
    <row r="2" spans="1:11" ht="18.75" customHeight="1" thickBot="1">
      <c r="A2" s="14"/>
      <c r="B2" s="14"/>
      <c r="C2" s="14"/>
      <c r="D2" s="15"/>
      <c r="E2" s="15"/>
      <c r="F2" s="15"/>
      <c r="G2" s="15"/>
      <c r="H2" s="15"/>
      <c r="I2" s="15"/>
      <c r="J2" s="15"/>
      <c r="K2" s="15"/>
    </row>
    <row r="3" spans="1:11" ht="18.75" customHeight="1" thickBot="1">
      <c r="A3" s="140" t="s">
        <v>36</v>
      </c>
      <c r="B3" s="140"/>
      <c r="C3" s="140"/>
      <c r="D3" s="141" t="str">
        <f>'Necesidades Trimestrales'!C4</f>
        <v>90 - Ministerio de Seguridad</v>
      </c>
      <c r="E3" s="141"/>
      <c r="F3" s="141"/>
      <c r="G3" s="141"/>
      <c r="H3" s="141"/>
      <c r="I3" s="141"/>
      <c r="J3" s="141"/>
      <c r="K3" s="141"/>
    </row>
    <row r="4" spans="1:11" ht="18.75" customHeight="1" thickBot="1">
      <c r="A4" s="142" t="s">
        <v>37</v>
      </c>
      <c r="B4" s="142"/>
      <c r="C4" s="142"/>
      <c r="D4" s="141" t="str">
        <f>'Necesidades Trimestrales'!C5</f>
        <v>7 - Direccion de Administracion de la Policia de la Provincia de Catamarca</v>
      </c>
      <c r="E4" s="141"/>
      <c r="F4" s="141"/>
      <c r="G4" s="141"/>
      <c r="H4" s="141"/>
      <c r="I4" s="141"/>
      <c r="J4" s="141"/>
      <c r="K4" s="141"/>
    </row>
    <row r="5" spans="1:11" ht="18.75" customHeight="1" thickBot="1">
      <c r="A5" s="142" t="s">
        <v>38</v>
      </c>
      <c r="B5" s="142"/>
      <c r="C5" s="142"/>
      <c r="D5" s="141" t="s">
        <v>39</v>
      </c>
      <c r="E5" s="141"/>
      <c r="F5" s="141"/>
      <c r="G5" s="141"/>
      <c r="H5" s="141"/>
      <c r="I5" s="141"/>
      <c r="J5" s="141"/>
      <c r="K5" s="141"/>
    </row>
    <row r="6" spans="1:11" ht="16.5" customHeight="1" thickBot="1">
      <c r="A6" s="140" t="s">
        <v>40</v>
      </c>
      <c r="B6" s="140"/>
      <c r="C6" s="140"/>
      <c r="D6" s="141" t="s">
        <v>41</v>
      </c>
      <c r="E6" s="141"/>
      <c r="F6" s="141"/>
      <c r="G6" s="141"/>
      <c r="H6" s="141"/>
      <c r="I6" s="141"/>
      <c r="J6" s="141"/>
      <c r="K6" s="141"/>
    </row>
    <row r="7" spans="1:11" ht="16.5" customHeight="1" thickBot="1">
      <c r="A7" s="142" t="s">
        <v>42</v>
      </c>
      <c r="B7" s="142"/>
      <c r="C7" s="142"/>
      <c r="D7" s="141" t="s">
        <v>43</v>
      </c>
      <c r="E7" s="141"/>
      <c r="F7" s="141"/>
      <c r="G7" s="141"/>
      <c r="H7" s="141"/>
      <c r="I7" s="141"/>
      <c r="J7" s="141"/>
      <c r="K7" s="141"/>
    </row>
    <row r="8" spans="1:11" ht="16.5" customHeight="1" thickBot="1">
      <c r="A8" s="131" t="s">
        <v>44</v>
      </c>
      <c r="B8" s="131"/>
      <c r="C8" s="131"/>
      <c r="D8" s="124" t="s">
        <v>45</v>
      </c>
      <c r="E8" s="125"/>
      <c r="F8" s="125"/>
      <c r="G8" s="125"/>
      <c r="H8" s="125"/>
      <c r="I8" s="125"/>
      <c r="J8" s="125"/>
      <c r="K8" s="126"/>
    </row>
    <row r="9" spans="1:11" ht="18" thickBot="1">
      <c r="A9" s="16"/>
      <c r="B9" s="16"/>
      <c r="C9" s="16"/>
      <c r="D9" s="17"/>
      <c r="E9" s="17"/>
      <c r="F9" s="17"/>
      <c r="G9" s="17"/>
      <c r="H9" s="17"/>
      <c r="I9" s="17"/>
      <c r="J9" s="17"/>
      <c r="K9" s="17"/>
    </row>
    <row r="10" spans="1:11" ht="14.25" thickBot="1">
      <c r="A10" s="127" t="s">
        <v>46</v>
      </c>
      <c r="B10" s="128" t="s">
        <v>47</v>
      </c>
      <c r="C10" s="128" t="s">
        <v>48</v>
      </c>
      <c r="D10" s="128"/>
      <c r="E10" s="128"/>
      <c r="F10" s="128"/>
      <c r="G10" s="128"/>
      <c r="H10" s="128" t="s">
        <v>49</v>
      </c>
      <c r="I10" s="128" t="s">
        <v>50</v>
      </c>
      <c r="J10" s="128" t="s">
        <v>51</v>
      </c>
      <c r="K10" s="130" t="s">
        <v>52</v>
      </c>
    </row>
    <row r="11" spans="1:11" ht="14.25" thickBot="1">
      <c r="A11" s="127"/>
      <c r="B11" s="128"/>
      <c r="C11" s="129"/>
      <c r="D11" s="129"/>
      <c r="E11" s="129"/>
      <c r="F11" s="129"/>
      <c r="G11" s="129"/>
      <c r="H11" s="128"/>
      <c r="I11" s="128"/>
      <c r="J11" s="128"/>
      <c r="K11" s="130"/>
    </row>
    <row r="12" spans="1:11" ht="15" thickBot="1">
      <c r="A12" s="18">
        <f>'Necesidades Trimestrales'!A10</f>
        <v>1</v>
      </c>
      <c r="B12" s="50" t="str">
        <f>'Necesidades Trimestrales'!B10</f>
        <v>2.5.6-797.54</v>
      </c>
      <c r="C12" s="136" t="str">
        <f>('Necesidades Trimestrales'!E10)</f>
        <v>NAFTA SUPER; TIPO: SEGUN PLIEGO, OCTANO: DESDE 95, PRESENTACION: POR LITRO, DESTINO: DPTO. S.F.V. DE CATAMARCA, COMERCIALIZACION: SIN VALOR</v>
      </c>
      <c r="D12" s="137"/>
      <c r="E12" s="137"/>
      <c r="F12" s="137"/>
      <c r="G12" s="138"/>
      <c r="H12" s="19" t="s">
        <v>53</v>
      </c>
      <c r="I12" s="20" t="s">
        <v>23</v>
      </c>
      <c r="J12" s="21">
        <f>'Necesidades Trimestrales'!H10</f>
        <v>158.4</v>
      </c>
      <c r="K12" s="22">
        <f>'Necesidades Trimestrales'!G10</f>
        <v>50000</v>
      </c>
    </row>
    <row r="13" spans="1:11" ht="15" thickBot="1">
      <c r="A13" s="18">
        <f>'Necesidades Trimestrales'!A11</f>
        <v>2</v>
      </c>
      <c r="B13" s="50" t="str">
        <f>'Necesidades Trimestrales'!B11</f>
        <v>2.5.6-793.31</v>
      </c>
      <c r="C13" s="120" t="str">
        <f>('Necesidades Trimestrales'!E11)</f>
        <v>GAS OIL; PRESENTACION: POR LITRO, USO: MOTORES DIESEL, COMERCIALIZACION: GRADO 3, DESTINO: DPTO. S.F.V. DE CATAMARCA</v>
      </c>
      <c r="D13" s="121"/>
      <c r="E13" s="121"/>
      <c r="F13" s="121"/>
      <c r="G13" s="122"/>
      <c r="H13" s="19" t="s">
        <v>53</v>
      </c>
      <c r="I13" s="20" t="s">
        <v>23</v>
      </c>
      <c r="J13" s="21">
        <f>'Necesidades Trimestrales'!H11</f>
        <v>159.9</v>
      </c>
      <c r="K13" s="22">
        <f>'Necesidades Trimestrales'!G11</f>
        <v>122000</v>
      </c>
    </row>
    <row r="14" spans="1:11" ht="15" thickBot="1">
      <c r="A14" s="18" t="e">
        <f>'Necesidades Trimestrales'!#REF!</f>
        <v>#REF!</v>
      </c>
      <c r="B14" s="50" t="e">
        <f>'Necesidades Trimestrales'!#REF!</f>
        <v>#REF!</v>
      </c>
      <c r="C14" s="120" t="e">
        <f>('Necesidades Trimestrales'!#REF!)</f>
        <v>#REF!</v>
      </c>
      <c r="D14" s="121"/>
      <c r="E14" s="121"/>
      <c r="F14" s="121"/>
      <c r="G14" s="122"/>
      <c r="H14" s="19" t="s">
        <v>53</v>
      </c>
      <c r="I14" s="20" t="s">
        <v>23</v>
      </c>
      <c r="J14" s="21" t="e">
        <f>'Necesidades Trimestrales'!#REF!</f>
        <v>#REF!</v>
      </c>
      <c r="K14" s="22" t="e">
        <f>'Necesidades Trimestrales'!#REF!</f>
        <v>#REF!</v>
      </c>
    </row>
    <row r="15" spans="1:11" ht="15" thickBot="1">
      <c r="A15" s="18" t="e">
        <f>'Necesidades Trimestrales'!#REF!</f>
        <v>#REF!</v>
      </c>
      <c r="B15" s="50" t="e">
        <f>'Necesidades Trimestrales'!#REF!</f>
        <v>#REF!</v>
      </c>
      <c r="C15" s="120" t="e">
        <f>('Necesidades Trimestrales'!#REF!)</f>
        <v>#REF!</v>
      </c>
      <c r="D15" s="121"/>
      <c r="E15" s="121"/>
      <c r="F15" s="121"/>
      <c r="G15" s="122"/>
      <c r="H15" s="19" t="s">
        <v>53</v>
      </c>
      <c r="I15" s="20" t="s">
        <v>23</v>
      </c>
      <c r="J15" s="21" t="e">
        <f>'Necesidades Trimestrales'!#REF!</f>
        <v>#REF!</v>
      </c>
      <c r="K15" s="22" t="e">
        <f>'Necesidades Trimestrales'!#REF!</f>
        <v>#REF!</v>
      </c>
    </row>
    <row r="16" spans="1:11" ht="15" thickBot="1">
      <c r="A16" s="18" t="e">
        <f>'Necesidades Trimestrales'!#REF!</f>
        <v>#REF!</v>
      </c>
      <c r="B16" s="50" t="e">
        <f>'Necesidades Trimestrales'!#REF!</f>
        <v>#REF!</v>
      </c>
      <c r="C16" s="120" t="e">
        <f>('Necesidades Trimestrales'!#REF!)</f>
        <v>#REF!</v>
      </c>
      <c r="D16" s="121"/>
      <c r="E16" s="121"/>
      <c r="F16" s="121"/>
      <c r="G16" s="122"/>
      <c r="H16" s="19" t="s">
        <v>53</v>
      </c>
      <c r="I16" s="20" t="s">
        <v>23</v>
      </c>
      <c r="J16" s="21" t="e">
        <f>'Necesidades Trimestrales'!#REF!</f>
        <v>#REF!</v>
      </c>
      <c r="K16" s="22" t="e">
        <f>'Necesidades Trimestrales'!#REF!</f>
        <v>#REF!</v>
      </c>
    </row>
    <row r="17" spans="1:11" ht="15" thickBot="1">
      <c r="A17" s="18" t="e">
        <f>'Necesidades Trimestrales'!#REF!</f>
        <v>#REF!</v>
      </c>
      <c r="B17" s="50" t="e">
        <f>'Necesidades Trimestrales'!#REF!</f>
        <v>#REF!</v>
      </c>
      <c r="C17" s="120" t="e">
        <f>('Necesidades Trimestrales'!#REF!)</f>
        <v>#REF!</v>
      </c>
      <c r="D17" s="121"/>
      <c r="E17" s="121"/>
      <c r="F17" s="121"/>
      <c r="G17" s="122"/>
      <c r="H17" s="19" t="s">
        <v>53</v>
      </c>
      <c r="I17" s="20" t="s">
        <v>23</v>
      </c>
      <c r="J17" s="21" t="e">
        <f>'Necesidades Trimestrales'!#REF!</f>
        <v>#REF!</v>
      </c>
      <c r="K17" s="22" t="e">
        <f>'Necesidades Trimestrales'!#REF!</f>
        <v>#REF!</v>
      </c>
    </row>
    <row r="18" spans="1:11" ht="15" thickBot="1">
      <c r="A18" s="18" t="e">
        <f>'Necesidades Trimestrales'!#REF!</f>
        <v>#REF!</v>
      </c>
      <c r="B18" s="50" t="e">
        <f>'Necesidades Trimestrales'!#REF!</f>
        <v>#REF!</v>
      </c>
      <c r="C18" s="120" t="e">
        <f>('Necesidades Trimestrales'!#REF!)</f>
        <v>#REF!</v>
      </c>
      <c r="D18" s="121"/>
      <c r="E18" s="121"/>
      <c r="F18" s="121"/>
      <c r="G18" s="122"/>
      <c r="H18" s="19" t="s">
        <v>53</v>
      </c>
      <c r="I18" s="20" t="s">
        <v>23</v>
      </c>
      <c r="J18" s="21" t="e">
        <f>'Necesidades Trimestrales'!#REF!</f>
        <v>#REF!</v>
      </c>
      <c r="K18" s="22" t="e">
        <f>'Necesidades Trimestrales'!#REF!</f>
        <v>#REF!</v>
      </c>
    </row>
    <row r="19" spans="1:11" ht="15" thickBot="1">
      <c r="A19" s="18" t="e">
        <f>'Necesidades Trimestrales'!#REF!</f>
        <v>#REF!</v>
      </c>
      <c r="B19" s="50" t="e">
        <f>'Necesidades Trimestrales'!#REF!</f>
        <v>#REF!</v>
      </c>
      <c r="C19" s="120" t="e">
        <f>('Necesidades Trimestrales'!#REF!)</f>
        <v>#REF!</v>
      </c>
      <c r="D19" s="121"/>
      <c r="E19" s="121"/>
      <c r="F19" s="121"/>
      <c r="G19" s="122"/>
      <c r="H19" s="19" t="s">
        <v>53</v>
      </c>
      <c r="I19" s="20" t="s">
        <v>23</v>
      </c>
      <c r="J19" s="21" t="e">
        <f>'Necesidades Trimestrales'!#REF!</f>
        <v>#REF!</v>
      </c>
      <c r="K19" s="22" t="e">
        <f>'Necesidades Trimestrales'!#REF!</f>
        <v>#REF!</v>
      </c>
    </row>
    <row r="20" spans="1:11" ht="15" thickBot="1">
      <c r="A20" s="18" t="e">
        <f>'Necesidades Trimestrales'!#REF!</f>
        <v>#REF!</v>
      </c>
      <c r="B20" s="50" t="e">
        <f>'Necesidades Trimestrales'!#REF!</f>
        <v>#REF!</v>
      </c>
      <c r="C20" s="120" t="e">
        <f>('Necesidades Trimestrales'!#REF!)</f>
        <v>#REF!</v>
      </c>
      <c r="D20" s="121"/>
      <c r="E20" s="121"/>
      <c r="F20" s="121"/>
      <c r="G20" s="122"/>
      <c r="H20" s="19" t="s">
        <v>53</v>
      </c>
      <c r="I20" s="20" t="s">
        <v>23</v>
      </c>
      <c r="J20" s="21" t="e">
        <f>'Necesidades Trimestrales'!#REF!</f>
        <v>#REF!</v>
      </c>
      <c r="K20" s="22" t="e">
        <f>'Necesidades Trimestrales'!#REF!</f>
        <v>#REF!</v>
      </c>
    </row>
    <row r="21" spans="1:11" ht="15" thickBot="1">
      <c r="A21" s="18" t="e">
        <f>'Necesidades Trimestrales'!#REF!</f>
        <v>#REF!</v>
      </c>
      <c r="B21" s="50" t="e">
        <f>'Necesidades Trimestrales'!#REF!</f>
        <v>#REF!</v>
      </c>
      <c r="C21" s="120" t="e">
        <f>('Necesidades Trimestrales'!#REF!)</f>
        <v>#REF!</v>
      </c>
      <c r="D21" s="121"/>
      <c r="E21" s="121"/>
      <c r="F21" s="121"/>
      <c r="G21" s="122"/>
      <c r="H21" s="19" t="s">
        <v>53</v>
      </c>
      <c r="I21" s="20" t="s">
        <v>23</v>
      </c>
      <c r="J21" s="21" t="e">
        <f>'Necesidades Trimestrales'!#REF!</f>
        <v>#REF!</v>
      </c>
      <c r="K21" s="22" t="e">
        <f>'Necesidades Trimestrales'!#REF!</f>
        <v>#REF!</v>
      </c>
    </row>
    <row r="22" spans="1:11" ht="15" thickBot="1">
      <c r="A22" s="18" t="e">
        <f>'Necesidades Trimestrales'!#REF!</f>
        <v>#REF!</v>
      </c>
      <c r="B22" s="50" t="e">
        <f>'Necesidades Trimestrales'!#REF!</f>
        <v>#REF!</v>
      </c>
      <c r="C22" s="120" t="e">
        <f>('Necesidades Trimestrales'!#REF!)</f>
        <v>#REF!</v>
      </c>
      <c r="D22" s="121"/>
      <c r="E22" s="121"/>
      <c r="F22" s="121"/>
      <c r="G22" s="122"/>
      <c r="H22" s="19" t="s">
        <v>53</v>
      </c>
      <c r="I22" s="20" t="s">
        <v>23</v>
      </c>
      <c r="J22" s="21" t="e">
        <f>'Necesidades Trimestrales'!#REF!</f>
        <v>#REF!</v>
      </c>
      <c r="K22" s="22" t="e">
        <f>'Necesidades Trimestrales'!#REF!</f>
        <v>#REF!</v>
      </c>
    </row>
    <row r="23" spans="1:11" ht="15" thickBot="1">
      <c r="A23" s="18" t="e">
        <f>'Necesidades Trimestrales'!#REF!</f>
        <v>#REF!</v>
      </c>
      <c r="B23" s="50" t="e">
        <f>'Necesidades Trimestrales'!#REF!</f>
        <v>#REF!</v>
      </c>
      <c r="C23" s="120" t="e">
        <f>('Necesidades Trimestrales'!#REF!)</f>
        <v>#REF!</v>
      </c>
      <c r="D23" s="121"/>
      <c r="E23" s="121"/>
      <c r="F23" s="121"/>
      <c r="G23" s="122"/>
      <c r="H23" s="19" t="s">
        <v>53</v>
      </c>
      <c r="I23" s="20" t="s">
        <v>23</v>
      </c>
      <c r="J23" s="21" t="e">
        <f>'Necesidades Trimestrales'!#REF!</f>
        <v>#REF!</v>
      </c>
      <c r="K23" s="22" t="e">
        <f>'Necesidades Trimestrales'!#REF!</f>
        <v>#REF!</v>
      </c>
    </row>
    <row r="24" spans="1:11" ht="15" thickBot="1">
      <c r="A24" s="18" t="e">
        <f>'Necesidades Trimestrales'!#REF!</f>
        <v>#REF!</v>
      </c>
      <c r="B24" s="50" t="e">
        <f>'Necesidades Trimestrales'!#REF!</f>
        <v>#REF!</v>
      </c>
      <c r="C24" s="120" t="e">
        <f>('Necesidades Trimestrales'!#REF!)</f>
        <v>#REF!</v>
      </c>
      <c r="D24" s="121"/>
      <c r="E24" s="121"/>
      <c r="F24" s="121"/>
      <c r="G24" s="122"/>
      <c r="H24" s="19" t="s">
        <v>53</v>
      </c>
      <c r="I24" s="20" t="s">
        <v>23</v>
      </c>
      <c r="J24" s="21" t="e">
        <f>'Necesidades Trimestrales'!#REF!</f>
        <v>#REF!</v>
      </c>
      <c r="K24" s="22" t="e">
        <f>'Necesidades Trimestrales'!#REF!</f>
        <v>#REF!</v>
      </c>
    </row>
    <row r="25" spans="1:11" ht="15" thickBot="1">
      <c r="A25" s="18" t="e">
        <f>'Necesidades Trimestrales'!#REF!</f>
        <v>#REF!</v>
      </c>
      <c r="B25" s="50" t="e">
        <f>'Necesidades Trimestrales'!#REF!</f>
        <v>#REF!</v>
      </c>
      <c r="C25" s="120" t="e">
        <f>('Necesidades Trimestrales'!#REF!)</f>
        <v>#REF!</v>
      </c>
      <c r="D25" s="121"/>
      <c r="E25" s="121"/>
      <c r="F25" s="121"/>
      <c r="G25" s="122"/>
      <c r="H25" s="19" t="s">
        <v>53</v>
      </c>
      <c r="I25" s="20" t="s">
        <v>23</v>
      </c>
      <c r="J25" s="21" t="e">
        <f>'Necesidades Trimestrales'!#REF!</f>
        <v>#REF!</v>
      </c>
      <c r="K25" s="22" t="e">
        <f>'Necesidades Trimestrales'!#REF!</f>
        <v>#REF!</v>
      </c>
    </row>
    <row r="26" spans="1:11" ht="15" thickBot="1">
      <c r="A26" s="18" t="e">
        <f>'Necesidades Trimestrales'!#REF!</f>
        <v>#REF!</v>
      </c>
      <c r="B26" s="50" t="e">
        <f>'Necesidades Trimestrales'!#REF!</f>
        <v>#REF!</v>
      </c>
      <c r="C26" s="120" t="e">
        <f>('Necesidades Trimestrales'!#REF!)</f>
        <v>#REF!</v>
      </c>
      <c r="D26" s="121"/>
      <c r="E26" s="121"/>
      <c r="F26" s="121"/>
      <c r="G26" s="122"/>
      <c r="H26" s="19" t="s">
        <v>53</v>
      </c>
      <c r="I26" s="20" t="s">
        <v>23</v>
      </c>
      <c r="J26" s="21" t="e">
        <f>'Necesidades Trimestrales'!#REF!</f>
        <v>#REF!</v>
      </c>
      <c r="K26" s="22" t="e">
        <f>'Necesidades Trimestrales'!#REF!</f>
        <v>#REF!</v>
      </c>
    </row>
    <row r="27" spans="1:11" ht="15" thickBot="1">
      <c r="A27" s="18" t="e">
        <f>'Necesidades Trimestrales'!#REF!</f>
        <v>#REF!</v>
      </c>
      <c r="B27" s="50" t="e">
        <f>'Necesidades Trimestrales'!#REF!</f>
        <v>#REF!</v>
      </c>
      <c r="C27" s="120" t="e">
        <f>('Necesidades Trimestrales'!#REF!)</f>
        <v>#REF!</v>
      </c>
      <c r="D27" s="121"/>
      <c r="E27" s="121"/>
      <c r="F27" s="121"/>
      <c r="G27" s="122"/>
      <c r="H27" s="19" t="s">
        <v>53</v>
      </c>
      <c r="I27" s="20" t="s">
        <v>23</v>
      </c>
      <c r="J27" s="21" t="e">
        <f>'Necesidades Trimestrales'!#REF!</f>
        <v>#REF!</v>
      </c>
      <c r="K27" s="22" t="e">
        <f>'Necesidades Trimestrales'!#REF!</f>
        <v>#REF!</v>
      </c>
    </row>
    <row r="28" spans="1:11" ht="27" customHeight="1" thickBot="1">
      <c r="A28" s="18" t="e">
        <f>'Necesidades Trimestrales'!#REF!</f>
        <v>#REF!</v>
      </c>
      <c r="B28" s="50" t="e">
        <f>'Necesidades Trimestrales'!#REF!</f>
        <v>#REF!</v>
      </c>
      <c r="C28" s="120" t="e">
        <f>('Necesidades Trimestrales'!#REF!)</f>
        <v>#REF!</v>
      </c>
      <c r="D28" s="121"/>
      <c r="E28" s="121"/>
      <c r="F28" s="121"/>
      <c r="G28" s="122"/>
      <c r="H28" s="19" t="s">
        <v>53</v>
      </c>
      <c r="I28" s="20" t="s">
        <v>23</v>
      </c>
      <c r="J28" s="21" t="e">
        <f>'Necesidades Trimestrales'!#REF!</f>
        <v>#REF!</v>
      </c>
      <c r="K28" s="22" t="e">
        <f>'Necesidades Trimestrales'!#REF!</f>
        <v>#REF!</v>
      </c>
    </row>
    <row r="29" spans="1:11" ht="27" customHeight="1" thickBot="1">
      <c r="A29" s="18" t="e">
        <f>'Necesidades Trimestrales'!#REF!</f>
        <v>#REF!</v>
      </c>
      <c r="B29" s="50" t="e">
        <f>'Necesidades Trimestrales'!#REF!</f>
        <v>#REF!</v>
      </c>
      <c r="C29" s="120" t="e">
        <f>('Necesidades Trimestrales'!#REF!)</f>
        <v>#REF!</v>
      </c>
      <c r="D29" s="121"/>
      <c r="E29" s="121"/>
      <c r="F29" s="121"/>
      <c r="G29" s="122"/>
      <c r="H29" s="19" t="s">
        <v>53</v>
      </c>
      <c r="I29" s="20" t="s">
        <v>23</v>
      </c>
      <c r="J29" s="21" t="e">
        <f>'Necesidades Trimestrales'!#REF!</f>
        <v>#REF!</v>
      </c>
      <c r="K29" s="22" t="e">
        <f>'Necesidades Trimestrales'!#REF!</f>
        <v>#REF!</v>
      </c>
    </row>
    <row r="30" spans="1:11" ht="29.25" customHeight="1" thickBot="1">
      <c r="A30" s="18" t="e">
        <f>'Necesidades Trimestrales'!#REF!</f>
        <v>#REF!</v>
      </c>
      <c r="B30" s="50" t="e">
        <f>'Necesidades Trimestrales'!#REF!</f>
        <v>#REF!</v>
      </c>
      <c r="C30" s="120" t="e">
        <f>('Necesidades Trimestrales'!#REF!)</f>
        <v>#REF!</v>
      </c>
      <c r="D30" s="121"/>
      <c r="E30" s="121"/>
      <c r="F30" s="121"/>
      <c r="G30" s="122"/>
      <c r="H30" s="19" t="s">
        <v>53</v>
      </c>
      <c r="I30" s="20" t="s">
        <v>23</v>
      </c>
      <c r="J30" s="21" t="e">
        <f>'Necesidades Trimestrales'!#REF!</f>
        <v>#REF!</v>
      </c>
      <c r="K30" s="22" t="e">
        <f>'Necesidades Trimestrales'!#REF!</f>
        <v>#REF!</v>
      </c>
    </row>
    <row r="31" spans="1:11" ht="26.25" customHeight="1" thickBot="1">
      <c r="A31" s="18" t="e">
        <f>'Necesidades Trimestrales'!#REF!</f>
        <v>#REF!</v>
      </c>
      <c r="B31" s="50" t="e">
        <f>'Necesidades Trimestrales'!#REF!</f>
        <v>#REF!</v>
      </c>
      <c r="C31" s="120" t="e">
        <f>('Necesidades Trimestrales'!#REF!)</f>
        <v>#REF!</v>
      </c>
      <c r="D31" s="121"/>
      <c r="E31" s="121"/>
      <c r="F31" s="121"/>
      <c r="G31" s="122"/>
      <c r="H31" s="19" t="s">
        <v>53</v>
      </c>
      <c r="I31" s="20" t="s">
        <v>23</v>
      </c>
      <c r="J31" s="21" t="e">
        <f>'Necesidades Trimestrales'!#REF!</f>
        <v>#REF!</v>
      </c>
      <c r="K31" s="22" t="e">
        <f>'Necesidades Trimestrales'!#REF!</f>
        <v>#REF!</v>
      </c>
    </row>
    <row r="32" spans="1:11" ht="15" thickBot="1">
      <c r="A32" s="18" t="e">
        <f>'Necesidades Trimestrales'!#REF!</f>
        <v>#REF!</v>
      </c>
      <c r="B32" s="50" t="e">
        <f>'Necesidades Trimestrales'!#REF!</f>
        <v>#REF!</v>
      </c>
      <c r="C32" s="120" t="e">
        <f>('Necesidades Trimestrales'!#REF!)</f>
        <v>#REF!</v>
      </c>
      <c r="D32" s="121"/>
      <c r="E32" s="121"/>
      <c r="F32" s="121"/>
      <c r="G32" s="122"/>
      <c r="H32" s="19" t="s">
        <v>53</v>
      </c>
      <c r="I32" s="20" t="s">
        <v>23</v>
      </c>
      <c r="J32" s="21" t="e">
        <f>'Necesidades Trimestrales'!#REF!</f>
        <v>#REF!</v>
      </c>
      <c r="K32" s="22" t="e">
        <f>'Necesidades Trimestrales'!#REF!</f>
        <v>#REF!</v>
      </c>
    </row>
    <row r="33" spans="1:11" ht="26.25" customHeight="1" thickBot="1">
      <c r="A33" s="18" t="e">
        <f>'Necesidades Trimestrales'!#REF!</f>
        <v>#REF!</v>
      </c>
      <c r="B33" s="50" t="e">
        <f>'Necesidades Trimestrales'!#REF!</f>
        <v>#REF!</v>
      </c>
      <c r="C33" s="120" t="e">
        <f>('Necesidades Trimestrales'!#REF!)</f>
        <v>#REF!</v>
      </c>
      <c r="D33" s="121"/>
      <c r="E33" s="121"/>
      <c r="F33" s="121"/>
      <c r="G33" s="122"/>
      <c r="H33" s="19" t="s">
        <v>53</v>
      </c>
      <c r="I33" s="20" t="s">
        <v>23</v>
      </c>
      <c r="J33" s="21" t="e">
        <f>'Necesidades Trimestrales'!#REF!</f>
        <v>#REF!</v>
      </c>
      <c r="K33" s="22" t="e">
        <f>'Necesidades Trimestrales'!#REF!</f>
        <v>#REF!</v>
      </c>
    </row>
    <row r="34" spans="1:11" ht="20.25" customHeight="1" thickBot="1">
      <c r="A34" s="132" t="s">
        <v>54</v>
      </c>
      <c r="B34" s="133"/>
      <c r="C34" s="133"/>
      <c r="D34" s="134" t="s">
        <v>55</v>
      </c>
      <c r="E34" s="134"/>
      <c r="F34" s="134"/>
      <c r="G34" s="134"/>
      <c r="H34" s="134"/>
      <c r="I34" s="135"/>
      <c r="J34" s="123" t="e">
        <f>SUMPRODUCT(J12:J33,K12:K33)</f>
        <v>#REF!</v>
      </c>
      <c r="K34" s="123"/>
    </row>
    <row r="35" spans="1:11">
      <c r="J35" s="23"/>
    </row>
  </sheetData>
  <mergeCells count="4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34:K3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33:G33"/>
    <mergeCell ref="A34:C34"/>
    <mergeCell ref="D34:I3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9:G29"/>
    <mergeCell ref="C30:G30"/>
    <mergeCell ref="C31:G31"/>
    <mergeCell ref="C32:G32"/>
    <mergeCell ref="C24:G24"/>
    <mergeCell ref="C25:G25"/>
    <mergeCell ref="C26:G26"/>
    <mergeCell ref="C27:G27"/>
    <mergeCell ref="C28:G2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workbookViewId="0">
      <selection activeCell="Q15" sqref="Q15"/>
    </sheetView>
  </sheetViews>
  <sheetFormatPr baseColWidth="10" defaultColWidth="11" defaultRowHeight="13.5"/>
  <cols>
    <col min="1" max="6" width="4.42578125" style="3" customWidth="1"/>
    <col min="7" max="7" width="4.42578125" style="9" customWidth="1"/>
    <col min="8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>
      <c r="A1" s="170" t="s">
        <v>5</v>
      </c>
      <c r="B1" s="170"/>
      <c r="C1" s="170"/>
      <c r="D1" s="171">
        <f>'Necesidades Trimestrales'!C6</f>
        <v>2022</v>
      </c>
      <c r="E1" s="171"/>
      <c r="F1" s="24"/>
      <c r="G1" s="24"/>
      <c r="H1" s="25"/>
      <c r="I1" s="25"/>
      <c r="J1" s="25"/>
      <c r="K1" s="25"/>
      <c r="L1" s="25"/>
      <c r="M1" s="25"/>
      <c r="N1" s="25"/>
      <c r="P1" s="172" t="s">
        <v>56</v>
      </c>
      <c r="Q1" s="172"/>
    </row>
    <row r="2" spans="1:17" ht="15.75" customHeight="1">
      <c r="H2" s="25"/>
      <c r="I2" s="25"/>
      <c r="J2" s="25"/>
      <c r="K2" s="25"/>
      <c r="L2" s="25"/>
      <c r="M2" s="25"/>
      <c r="N2" s="25"/>
      <c r="P2" s="172"/>
      <c r="Q2" s="172"/>
    </row>
    <row r="4" spans="1:17" ht="18" customHeight="1" thickBot="1">
      <c r="A4" s="173" t="s">
        <v>57</v>
      </c>
      <c r="B4" s="173"/>
      <c r="C4" s="173"/>
      <c r="D4" s="173"/>
      <c r="E4" s="173"/>
      <c r="F4" s="173"/>
      <c r="G4" s="168" t="str">
        <f>' NotaPedido'!D3</f>
        <v>90 - Ministerio de Seguridad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</row>
    <row r="5" spans="1:17" ht="18" customHeight="1" thickBot="1">
      <c r="A5" s="165" t="s">
        <v>37</v>
      </c>
      <c r="B5" s="166"/>
      <c r="C5" s="166"/>
      <c r="D5" s="166"/>
      <c r="E5" s="166"/>
      <c r="F5" s="167"/>
      <c r="G5" s="168" t="str">
        <f>' NotaPedido'!D4</f>
        <v>7 - Direccion de Administracion de la Policia de la Provincia de Catamarca</v>
      </c>
      <c r="H5" s="168"/>
      <c r="I5" s="168"/>
      <c r="J5" s="168"/>
      <c r="K5" s="168"/>
      <c r="L5" s="168"/>
      <c r="M5" s="168"/>
      <c r="N5" s="168"/>
      <c r="O5" s="168"/>
      <c r="P5" s="168"/>
      <c r="Q5" s="168"/>
    </row>
    <row r="6" spans="1:17" ht="18" customHeight="1" thickBot="1">
      <c r="A6" s="165" t="s">
        <v>38</v>
      </c>
      <c r="B6" s="166"/>
      <c r="C6" s="166"/>
      <c r="D6" s="166"/>
      <c r="E6" s="166"/>
      <c r="F6" s="167"/>
      <c r="G6" s="168" t="str">
        <f>' NotaPedido'!D5</f>
        <v>Policía de la Provincia de Catamarca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</row>
    <row r="7" spans="1:17" ht="18" customHeight="1" thickBot="1">
      <c r="A7" s="165" t="s">
        <v>40</v>
      </c>
      <c r="B7" s="166"/>
      <c r="C7" s="166"/>
      <c r="D7" s="166"/>
      <c r="E7" s="166"/>
      <c r="F7" s="167"/>
      <c r="G7" s="168" t="str">
        <f>' NotaPedido'!D6</f>
        <v>División Transporte- Departamento Logística (D-4)</v>
      </c>
      <c r="H7" s="168"/>
      <c r="I7" s="168"/>
      <c r="J7" s="168"/>
      <c r="K7" s="168"/>
      <c r="L7" s="168"/>
      <c r="M7" s="168"/>
      <c r="N7" s="168"/>
      <c r="O7" s="168"/>
      <c r="P7" s="168"/>
      <c r="Q7" s="168"/>
    </row>
    <row r="8" spans="1:17" ht="18" customHeight="1" thickBot="1">
      <c r="A8" s="169" t="s">
        <v>58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</row>
    <row r="9" spans="1:17" ht="18" customHeight="1">
      <c r="A9" s="159" t="s">
        <v>59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8"/>
      <c r="P9" s="8"/>
      <c r="Q9" s="26"/>
    </row>
    <row r="10" spans="1:17" ht="75" customHeight="1">
      <c r="A10" s="16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76/2021,  afectando la erogación resultante a los créditos presupuestarios aprobados a favor de esta Unidad Ejecutora, conforme al siguiente detalle:</v>
      </c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</row>
    <row r="11" spans="1:17" ht="9" customHeight="1">
      <c r="A11" s="27"/>
      <c r="B11" s="28"/>
      <c r="C11" s="28"/>
      <c r="D11" s="28"/>
      <c r="E11" s="28"/>
      <c r="F11" s="28"/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30"/>
    </row>
    <row r="12" spans="1:17" ht="15.75" customHeight="1">
      <c r="A12" s="161" t="s">
        <v>60</v>
      </c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</row>
    <row r="13" spans="1:17" ht="15.75" customHeight="1">
      <c r="A13" s="162" t="s">
        <v>61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3" t="s">
        <v>62</v>
      </c>
      <c r="P13" s="163"/>
      <c r="Q13" s="164" t="s">
        <v>63</v>
      </c>
    </row>
    <row r="14" spans="1:17" ht="15.75" customHeight="1" thickBot="1">
      <c r="A14" s="31" t="s">
        <v>64</v>
      </c>
      <c r="B14" s="32" t="s">
        <v>65</v>
      </c>
      <c r="C14" s="32" t="s">
        <v>66</v>
      </c>
      <c r="D14" s="32" t="s">
        <v>67</v>
      </c>
      <c r="E14" s="32" t="s">
        <v>68</v>
      </c>
      <c r="F14" s="32" t="s">
        <v>69</v>
      </c>
      <c r="G14" s="33" t="s">
        <v>70</v>
      </c>
      <c r="H14" s="32" t="s">
        <v>71</v>
      </c>
      <c r="I14" s="32" t="s">
        <v>72</v>
      </c>
      <c r="J14" s="32" t="s">
        <v>73</v>
      </c>
      <c r="K14" s="32" t="s">
        <v>73</v>
      </c>
      <c r="L14" s="32" t="s">
        <v>74</v>
      </c>
      <c r="M14" s="34" t="s">
        <v>75</v>
      </c>
      <c r="N14" s="35" t="s">
        <v>76</v>
      </c>
      <c r="O14" s="163"/>
      <c r="P14" s="163"/>
      <c r="Q14" s="164"/>
    </row>
    <row r="15" spans="1:17" ht="17.25" customHeight="1" thickBot="1">
      <c r="A15" s="36">
        <v>16</v>
      </c>
      <c r="B15" s="37">
        <v>0</v>
      </c>
      <c r="C15" s="37">
        <v>0</v>
      </c>
      <c r="D15" s="37">
        <v>1</v>
      </c>
      <c r="E15" s="37">
        <v>0</v>
      </c>
      <c r="F15" s="37">
        <v>10</v>
      </c>
      <c r="G15" s="37">
        <v>2</v>
      </c>
      <c r="H15" s="37">
        <v>1</v>
      </c>
      <c r="I15" s="37">
        <v>2</v>
      </c>
      <c r="J15" s="37">
        <v>5</v>
      </c>
      <c r="K15" s="37">
        <v>6</v>
      </c>
      <c r="L15" s="37">
        <v>0</v>
      </c>
      <c r="M15" s="38">
        <v>1</v>
      </c>
      <c r="N15" s="37" t="s">
        <v>77</v>
      </c>
      <c r="O15" s="143" t="s">
        <v>17</v>
      </c>
      <c r="P15" s="144"/>
      <c r="Q15" s="39" t="e">
        <f>' NotaPedido'!J34</f>
        <v>#REF!</v>
      </c>
    </row>
    <row r="16" spans="1:17" ht="15" customHeight="1">
      <c r="A16" s="44" t="s">
        <v>78</v>
      </c>
      <c r="B16" s="45"/>
      <c r="C16" s="45"/>
      <c r="D16" s="45"/>
      <c r="E16" s="45"/>
      <c r="F16" s="45"/>
      <c r="G16" s="45"/>
      <c r="H16" s="46"/>
      <c r="I16" s="46"/>
      <c r="J16" s="46"/>
      <c r="K16" s="46"/>
      <c r="L16" s="46"/>
      <c r="M16" s="46"/>
      <c r="N16" s="46"/>
      <c r="O16" s="46"/>
      <c r="P16" s="47"/>
      <c r="Q16" s="39" t="e">
        <f>Q15</f>
        <v>#REF!</v>
      </c>
    </row>
    <row r="17" spans="1:17" ht="14.25" thickBot="1">
      <c r="A17" s="48"/>
      <c r="B17" s="49"/>
      <c r="C17" s="49"/>
      <c r="D17" s="49"/>
      <c r="E17" s="157" t="str">
        <f>' NotaPedido'!D34</f>
        <v>Cuarenta y Nueve Millones Quinientos Sesenta y Cuatro Mil Setecientos Siete con 50/100.-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8"/>
    </row>
    <row r="18" spans="1:17" ht="17.25" customHeight="1" thickBot="1">
      <c r="A18" s="145" t="s">
        <v>79</v>
      </c>
      <c r="B18" s="146"/>
      <c r="C18" s="146"/>
      <c r="D18" s="146"/>
      <c r="E18" s="146"/>
      <c r="F18" s="147"/>
      <c r="G18" s="148"/>
      <c r="H18" s="149"/>
      <c r="I18" s="149"/>
      <c r="J18" s="149"/>
      <c r="K18" s="149"/>
      <c r="L18" s="149"/>
      <c r="M18" s="149"/>
      <c r="N18" s="149"/>
      <c r="O18" s="149"/>
      <c r="P18" s="149"/>
      <c r="Q18" s="150"/>
    </row>
    <row r="19" spans="1:17" ht="13.5" customHeight="1">
      <c r="A19" s="151" t="str">
        <f>' NotaPedido'!D8</f>
        <v>Adquisición de Combustible destinados a los moviles de la Institucion Policial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3"/>
    </row>
    <row r="20" spans="1:17" ht="14.25" customHeight="1" thickBot="1">
      <c r="A20" s="154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6"/>
    </row>
  </sheetData>
  <mergeCells count="23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E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Policia</cp:lastModifiedBy>
  <cp:revision>2</cp:revision>
  <dcterms:created xsi:type="dcterms:W3CDTF">2020-07-17T23:44:49Z</dcterms:created>
  <dcterms:modified xsi:type="dcterms:W3CDTF">2022-05-31T15:51:47Z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