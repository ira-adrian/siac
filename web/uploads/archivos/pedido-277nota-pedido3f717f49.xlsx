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edicamentos fracasados 1 trim\corregido\"/>
    </mc:Choice>
  </mc:AlternateContent>
  <xr:revisionPtr revIDLastSave="0" documentId="8_{1A31A3AF-1739-4C0C-B39D-7D1DADB7D37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1">NotaPedido!$A$1:$K$29</definedName>
  </definedNames>
  <calcPr calcId="181029"/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7" i="2"/>
  <c r="K18" i="2"/>
  <c r="K19" i="2"/>
  <c r="K20" i="2"/>
  <c r="K21" i="2"/>
  <c r="K22" i="2"/>
  <c r="K23" i="2"/>
  <c r="K24" i="2"/>
  <c r="K25" i="2"/>
  <c r="K26" i="2"/>
  <c r="K27" i="2"/>
  <c r="K28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J18" i="2"/>
  <c r="J19" i="2"/>
  <c r="J20" i="2"/>
  <c r="J21" i="2"/>
  <c r="J22" i="2"/>
  <c r="J23" i="2"/>
  <c r="J24" i="2"/>
  <c r="J25" i="2"/>
  <c r="J26" i="2"/>
  <c r="J27" i="2"/>
  <c r="J28" i="2"/>
  <c r="I17" i="2"/>
  <c r="I18" i="2"/>
  <c r="I19" i="2"/>
  <c r="I20" i="2"/>
  <c r="I21" i="2"/>
  <c r="I22" i="2"/>
  <c r="I23" i="2"/>
  <c r="I24" i="2"/>
  <c r="I25" i="2"/>
  <c r="I26" i="2"/>
  <c r="I27" i="2"/>
  <c r="I28" i="2"/>
  <c r="A24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29" i="2" l="1"/>
  <c r="G6" i="3" l="1"/>
  <c r="G7" i="3"/>
  <c r="D7" i="2"/>
  <c r="D3" i="2"/>
  <c r="G4" i="3" s="1"/>
  <c r="D4" i="2"/>
  <c r="G5" i="3" s="1"/>
  <c r="D1" i="3" l="1"/>
  <c r="Q21" i="3"/>
</calcChain>
</file>

<file path=xl/sharedStrings.xml><?xml version="1.0" encoding="utf-8"?>
<sst xmlns="http://schemas.openxmlformats.org/spreadsheetml/2006/main" count="192" uniqueCount="120">
  <si>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</si>
  <si>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</si>
  <si>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</si>
  <si>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</si>
  <si>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</si>
  <si>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</si>
  <si>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</si>
  <si>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</si>
  <si>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</si>
  <si>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</si>
  <si>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</si>
  <si>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</si>
  <si>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</si>
  <si>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</si>
  <si>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</si>
  <si>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</si>
  <si>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</si>
  <si>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</si>
  <si>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</si>
  <si>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</si>
  <si>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</si>
  <si>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</si>
  <si>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</si>
  <si>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</si>
  <si>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</si>
  <si>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</si>
  <si>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</si>
  <si>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</si>
  <si>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</si>
  <si>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</si>
  <si>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</si>
  <si>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</si>
  <si>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</si>
  <si>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</si>
  <si>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</si>
  <si>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</si>
  <si>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</si>
  <si>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</si>
  <si>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</si>
  <si>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</si>
  <si>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</si>
  <si>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</si>
  <si>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</si>
  <si>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</si>
  <si>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</si>
  <si>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</si>
  <si>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</si>
  <si>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</si>
  <si>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</si>
  <si>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</si>
  <si>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</si>
  <si>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</si>
  <si>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</si>
  <si>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</si>
  <si>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</si>
  <si>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</si>
  <si>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</si>
  <si>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</si>
  <si>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</si>
  <si>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</si>
  <si>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</si>
  <si>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</si>
  <si>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</si>
  <si>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</si>
  <si>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</si>
  <si>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ANTIDIARREICOS; TIPO: MONODROGA, DROGA GENERICA: LOPERAMIDA, FORMA FARMACEUTICA: COMPRIMIDO, PRESENTACION: 2 mGr</t>
  </si>
  <si>
    <t>EXCIPIENTES; TIPO: MONODROGA, PRESENTACION: ENVASE X 1 Kg, COMPUESTO: CARBON ACTIVADO, CONCENTRACION/PUREZA: 100 %</t>
  </si>
  <si>
    <t>2.5.2-1816.3</t>
  </si>
  <si>
    <t>PROD.MEDICO/FARMACEUTICOS/LAB</t>
  </si>
  <si>
    <t>2.5.2</t>
  </si>
  <si>
    <t>comprimido</t>
  </si>
  <si>
    <t>2.5.2-8078.68</t>
  </si>
  <si>
    <t>unidad</t>
  </si>
  <si>
    <t>2.5.2-1872.65</t>
  </si>
  <si>
    <t>ANTIANEMICOS; TIPO: MONODROGA, DROGA GENERICA: COMPLEJO VITAMINICO B, FORMA FARMACEUTICA: COMPRIMIDO, PRESENTACION: UNIDAD</t>
  </si>
  <si>
    <t>2.5.2-3603.13</t>
  </si>
  <si>
    <t>EVACUANTES INTESTINALES; TIPO: ASOCIACION, DROGA GENERICA: FOSFATO MONOSODICO-BISODICO, FORMA FARMACEUTICA: SOLUCION, PRESENTACION: ENVASE X 45 mL</t>
  </si>
  <si>
    <t>frasco</t>
  </si>
  <si>
    <t>2.5.2-1862.16</t>
  </si>
  <si>
    <t>HIPOGLUCEMIANTES ORALES; TIPO: MONODROGA, DROGA GENERICA: METFORMINA, FORMA FARMACEUTICA: COMPRIMIDO, PRESENTACION: 850 mGr</t>
  </si>
  <si>
    <t>2.5.2-1903.89</t>
  </si>
  <si>
    <t>RECONSTITUYENTE GENERAL; TIPO: MONODROGA, DROGA GENERICA: CALCIO CARBONATO, FORMA FARMACEUTICA: COMPRIMIDO, PRESENTACION: 500 mGr</t>
  </si>
  <si>
    <t>2.5.2-7404.8</t>
  </si>
  <si>
    <t>COAGULANTES P/PERSONAS; TIPO: MONODROGA, DROGA GENERICA: PROTAMINA 50 mGr, FORMA FARMACEUTICA: AMPOLLA, PRESENTACION: ENVASE X 5 mL</t>
  </si>
  <si>
    <t>ampolla</t>
  </si>
  <si>
    <t>2.5.2-1865.11</t>
  </si>
  <si>
    <t>ANTIEPILEPTICOS; TIPO: MONODROGA, DROGA GENERICA: CLONAZEPAN, FORMA FARMACEUTICA: COMPRIMIDO, PRESENTACION: 0.50 mGr</t>
  </si>
  <si>
    <t>2.5.2-2233.5</t>
  </si>
  <si>
    <t>ANTICONVULSIVANTES; TIPO: MONODROGA, FORMA FARMACEUTICA: COMPRIMIDO, PRESENTACION: 100 mGr, DROGA GENERICA: FENITOINA</t>
  </si>
  <si>
    <t>2.5.2-1869.52</t>
  </si>
  <si>
    <t>ANTIDEPRESIVOS; TIPO: MONODROGA, DROGA GENERICA: CITALOPRAM 20 MG, FORMA FARMACEUTICA: COMPRIMIDO, PRESENTACION: UNIDAD</t>
  </si>
  <si>
    <t>2.5.2-1838.1</t>
  </si>
  <si>
    <t>INOTROPICOS; TIPO: MONODROGA, FORMA FARMACEUTICA: COMPRIMIDO, PRESENTACION: 0,25 mGr, DROGA GENERICA: DIGOXINA</t>
  </si>
  <si>
    <t>2.5.2-1872.27</t>
  </si>
  <si>
    <t>ANTIANEMICOS; TIPO: MONODROGA, DROGA GENERICA: ERITROPOYETINA HUMANA, FORMA FARMACEUTICA: FRASCO AMPOLLA 4000UI, PRESENTACION: UNIDAD</t>
  </si>
  <si>
    <t>2.5.2-1872.56</t>
  </si>
  <si>
    <t>ANTIANEMICOS; TIPO: MONODROGA, DROGA GENERICA: HIERRO DEXTRAN 50 mGr/ML, FORMA FARMACEUTICA: AMPOLLA, PRESENTACION: 2 mL</t>
  </si>
  <si>
    <t>2.5.2-1839.38</t>
  </si>
  <si>
    <t>VASODILATADORES CORONARIOS; TIPO: MONODROGA, DROGA GENERICA: DINITRATO DE ISOSORBIDE 5 mGr, FORMA FARMACEUTICA: COMPRIMIDO, PRESENTACION: ENVASE X 30 UN</t>
  </si>
  <si>
    <t>caja</t>
  </si>
  <si>
    <t>2.5.2-4817.44</t>
  </si>
  <si>
    <t>ANTIHIPERTENSIVOS; TIPO: MONODROGA, DROGA GENERICA: NIFEDIPINA 30 MG, FORMA FARMACEUTICA: COMPRIMIDO, PRESENTACION: UNIDAD</t>
  </si>
  <si>
    <t>2.5.2-1837.64</t>
  </si>
  <si>
    <t>HIPOTENSORES; TIPO: MONODROGA, DROGA GENERICA: NITROPRUSIATO DE SODIO, FORMA FARMACEUTICA: FRASCO AMPOLLA, PRESENTACION: ENVASE X 50 mGr</t>
  </si>
  <si>
    <t>2.5.2-1837.67</t>
  </si>
  <si>
    <t>HIPOTENSORES; TIPO: MONODROGA, DROGA GENERICA: PROPANOLOL 40 mGr, FORMA FARMACEUTICA: COMPRIMIDO, PRESENTACION: UNIDAD</t>
  </si>
  <si>
    <t xml:space="preserve">PLAZO DE MANTENIMIENTO DE OFERTA: 45 DIAS HABILES </t>
  </si>
  <si>
    <t xml:space="preserve">Adquisición de Medicamentos </t>
  </si>
  <si>
    <t>Costo total estimado: UN MILLON SEISCIENTOS CINCUENTA Y DOS MIL SETECIENTOS NOVENTA CON 00/100.----</t>
  </si>
  <si>
    <t>TOTAL DE PESOS: UN MILLON SEISCIENTOS CINCUENTA Y DOS MIL SETECIENTOS NOVENTA CON 00/100.---</t>
  </si>
  <si>
    <t>DOCFI-2022-00857387-CAT-DASIS#HSJB</t>
  </si>
  <si>
    <t>Especificidades Item N° 06:</t>
  </si>
  <si>
    <t>Especificidades Item N° 14:</t>
  </si>
  <si>
    <t xml:space="preserve">RECONSTITUYENTE GENERAL; TIPO: MONODROGA, DROGA GENERICA: CALCIO CARBONATO, FORMA FARMACEUTICA: COMPRIMIDO, PRESENTACION: 500 mGr COMPRIMIDOS MASTICABLES </t>
  </si>
  <si>
    <t>VASODILATADORES CORONARIOS; TIPO: MONODROGA, DROGA GENERICA: DINITRATO DE ISOSORBIDE 5 mGr, FORMA FARMACEUTICA: COMPRIMIDO, PRESENTACION: ENVASE X 30 UN - COMPRIMIDO SUBLINGUAL</t>
  </si>
  <si>
    <t>SI</t>
  </si>
  <si>
    <t xml:space="preserve">PLAZO DE ENTREGA: 20 DIAS HABILES EN EL SERVICIO DE FARMACIA - AVDA. ILLIA Y MARIANO MORENO - DE LUNES A VIERNES EN EL HORARIO DE 08 A 11 HORAS </t>
  </si>
  <si>
    <t>20 dias habiles  - Servicio de Farmacia del HISJB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</si>
  <si>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12 MESES DE LA FECHA DE RECEPCION.</t>
  </si>
  <si>
    <t xml:space="preserve">DE ACUERDO AL PLIEGO DE BASES Y CONDICIONES PARTICULARES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</si>
</sst>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name val="Times New Roman"/>
      <family val="1"/>
    </font>
    <font>
      <sz val="8"/>
      <name val="Arial"/>
      <family val="2"/>
    </font>
    <font>
      <b/>
      <sz val="8"/>
      <name val="Arial"/>
      <family val="2"/>
      <charset val="1"/>
    </font>
    <font>
      <b/>
      <sz val="9"/>
      <name val="Times New Roman"/>
      <family val="1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1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1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4" fillId="5" borderId="14" xfId="0" applyFont="1" applyFill="1" applyBorder="1" applyAlignment="1">
      <alignment vertical="center"/>
    </xf>
    <xf numFmtId="0" fontId="24" fillId="5" borderId="14" xfId="0" applyFont="1" applyFill="1" applyBorder="1" applyAlignment="1">
      <alignment horizontal="left" vertical="center" wrapText="1"/>
    </xf>
    <xf numFmtId="0" fontId="25" fillId="7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24" fillId="7" borderId="14" xfId="0" applyFont="1" applyFill="1" applyBorder="1" applyAlignment="1">
      <alignment horizontal="center" vertical="center"/>
    </xf>
    <xf numFmtId="3" fontId="24" fillId="7" borderId="14" xfId="0" applyNumberFormat="1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horizontal="center" vertical="center" wrapText="1"/>
    </xf>
    <xf numFmtId="0" fontId="24" fillId="7" borderId="14" xfId="0" applyFont="1" applyFill="1" applyBorder="1" applyAlignment="1">
      <alignment horizontal="left" vertical="center" wrapText="1"/>
    </xf>
    <xf numFmtId="0" fontId="25" fillId="7" borderId="14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center" vertical="center"/>
    </xf>
    <xf numFmtId="0" fontId="24" fillId="7" borderId="14" xfId="0" applyFont="1" applyFill="1" applyBorder="1" applyAlignment="1">
      <alignment vertical="center" wrapText="1"/>
    </xf>
    <xf numFmtId="166" fontId="20" fillId="4" borderId="21" xfId="1" applyNumberFormat="1" applyFont="1" applyFill="1" applyBorder="1" applyAlignment="1" applyProtection="1">
      <alignment horizontal="right" vertical="center" wrapText="1"/>
    </xf>
    <xf numFmtId="169" fontId="24" fillId="7" borderId="14" xfId="0" applyNumberFormat="1" applyFont="1" applyFill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15" fillId="5" borderId="0" xfId="0" applyFont="1" applyFill="1"/>
    <xf numFmtId="0" fontId="29" fillId="4" borderId="1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4" borderId="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  <xf numFmtId="0" fontId="27" fillId="0" borderId="32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2"/>
  <sheetViews>
    <sheetView tabSelected="1" zoomScale="80" zoomScaleNormal="80" workbookViewId="0">
      <selection activeCell="N14" sqref="N14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3.8554687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95" t="s">
        <v>1</v>
      </c>
      <c r="B4" s="95"/>
      <c r="C4" s="105" t="s">
        <v>57</v>
      </c>
      <c r="D4" s="105"/>
      <c r="E4" s="105"/>
      <c r="F4" s="40"/>
      <c r="G4" s="41"/>
      <c r="H4" s="40"/>
    </row>
    <row r="5" spans="1:9" ht="18" customHeight="1" x14ac:dyDescent="0.25">
      <c r="A5" s="95" t="s">
        <v>2</v>
      </c>
      <c r="B5" s="95"/>
      <c r="C5" s="105" t="s">
        <v>58</v>
      </c>
      <c r="D5" s="105"/>
      <c r="E5" s="105"/>
      <c r="F5" s="40"/>
      <c r="G5" s="41"/>
      <c r="H5" s="40"/>
    </row>
    <row r="6" spans="1:9" ht="16.5" customHeight="1" x14ac:dyDescent="0.25">
      <c r="A6" s="95" t="s">
        <v>3</v>
      </c>
      <c r="B6" s="95"/>
      <c r="C6" s="56">
        <v>2022</v>
      </c>
      <c r="D6" s="57"/>
      <c r="E6" s="57"/>
      <c r="F6" s="40"/>
      <c r="G6" s="41"/>
      <c r="H6" s="40"/>
    </row>
    <row r="7" spans="1:9" ht="16.5" customHeight="1" x14ac:dyDescent="0.25">
      <c r="A7" s="95" t="s">
        <v>4</v>
      </c>
      <c r="B7" s="95"/>
      <c r="C7" s="56">
        <v>2</v>
      </c>
      <c r="D7" s="57"/>
      <c r="E7" s="57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s="85" customFormat="1" ht="31.9" customHeight="1" thickBot="1" x14ac:dyDescent="0.25">
      <c r="A10" s="84">
        <v>1</v>
      </c>
      <c r="B10" s="71" t="s">
        <v>67</v>
      </c>
      <c r="C10" s="72" t="s">
        <v>68</v>
      </c>
      <c r="D10" s="73" t="s">
        <v>69</v>
      </c>
      <c r="E10" s="74" t="s">
        <v>65</v>
      </c>
      <c r="F10" s="75" t="s">
        <v>70</v>
      </c>
      <c r="G10" s="76">
        <v>600</v>
      </c>
      <c r="H10" s="83">
        <v>2.6</v>
      </c>
      <c r="I10" s="82">
        <f t="shared" ref="I10:I26" si="0">G10*H10</f>
        <v>1560</v>
      </c>
    </row>
    <row r="11" spans="1:9" s="85" customFormat="1" ht="42.75" customHeight="1" thickBot="1" x14ac:dyDescent="0.25">
      <c r="A11" s="84">
        <v>2</v>
      </c>
      <c r="B11" s="77" t="s">
        <v>71</v>
      </c>
      <c r="C11" s="72" t="s">
        <v>68</v>
      </c>
      <c r="D11" s="73" t="s">
        <v>69</v>
      </c>
      <c r="E11" s="78" t="s">
        <v>66</v>
      </c>
      <c r="F11" s="75" t="s">
        <v>72</v>
      </c>
      <c r="G11" s="76">
        <v>1</v>
      </c>
      <c r="H11" s="83">
        <v>2700</v>
      </c>
      <c r="I11" s="82">
        <f t="shared" si="0"/>
        <v>2700</v>
      </c>
    </row>
    <row r="12" spans="1:9" s="85" customFormat="1" ht="45.75" customHeight="1" thickBot="1" x14ac:dyDescent="0.25">
      <c r="A12" s="84">
        <v>3</v>
      </c>
      <c r="B12" s="77" t="s">
        <v>73</v>
      </c>
      <c r="C12" s="72" t="s">
        <v>68</v>
      </c>
      <c r="D12" s="73" t="s">
        <v>69</v>
      </c>
      <c r="E12" s="78" t="s">
        <v>74</v>
      </c>
      <c r="F12" s="75" t="s">
        <v>70</v>
      </c>
      <c r="G12" s="76">
        <v>400</v>
      </c>
      <c r="H12" s="83">
        <v>12</v>
      </c>
      <c r="I12" s="82">
        <f t="shared" si="0"/>
        <v>4800</v>
      </c>
    </row>
    <row r="13" spans="1:9" s="85" customFormat="1" ht="45" customHeight="1" thickBot="1" x14ac:dyDescent="0.25">
      <c r="A13" s="84">
        <v>4</v>
      </c>
      <c r="B13" s="75" t="s">
        <v>75</v>
      </c>
      <c r="C13" s="72" t="s">
        <v>68</v>
      </c>
      <c r="D13" s="73" t="s">
        <v>69</v>
      </c>
      <c r="E13" s="78" t="s">
        <v>76</v>
      </c>
      <c r="F13" s="75" t="s">
        <v>77</v>
      </c>
      <c r="G13" s="76">
        <v>150</v>
      </c>
      <c r="H13" s="83">
        <v>1491</v>
      </c>
      <c r="I13" s="82">
        <f t="shared" si="0"/>
        <v>223650</v>
      </c>
    </row>
    <row r="14" spans="1:9" s="85" customFormat="1" ht="37.5" customHeight="1" thickBot="1" x14ac:dyDescent="0.25">
      <c r="A14" s="84">
        <v>5</v>
      </c>
      <c r="B14" s="75" t="s">
        <v>78</v>
      </c>
      <c r="C14" s="72" t="s">
        <v>68</v>
      </c>
      <c r="D14" s="73" t="s">
        <v>69</v>
      </c>
      <c r="E14" s="78" t="s">
        <v>79</v>
      </c>
      <c r="F14" s="75" t="s">
        <v>70</v>
      </c>
      <c r="G14" s="76">
        <v>150</v>
      </c>
      <c r="H14" s="83">
        <v>7.2</v>
      </c>
      <c r="I14" s="82">
        <f t="shared" si="0"/>
        <v>1080</v>
      </c>
    </row>
    <row r="15" spans="1:9" s="85" customFormat="1" ht="42" customHeight="1" thickBot="1" x14ac:dyDescent="0.25">
      <c r="A15" s="84">
        <v>6</v>
      </c>
      <c r="B15" s="77" t="s">
        <v>80</v>
      </c>
      <c r="C15" s="72" t="s">
        <v>68</v>
      </c>
      <c r="D15" s="73" t="s">
        <v>69</v>
      </c>
      <c r="E15" s="79" t="s">
        <v>81</v>
      </c>
      <c r="F15" s="75" t="s">
        <v>70</v>
      </c>
      <c r="G15" s="76">
        <v>9000</v>
      </c>
      <c r="H15" s="83">
        <v>5.98</v>
      </c>
      <c r="I15" s="82">
        <f t="shared" si="0"/>
        <v>53820.000000000007</v>
      </c>
    </row>
    <row r="16" spans="1:9" s="85" customFormat="1" ht="40.5" customHeight="1" thickBot="1" x14ac:dyDescent="0.25">
      <c r="A16" s="84">
        <v>7</v>
      </c>
      <c r="B16" s="80" t="s">
        <v>82</v>
      </c>
      <c r="C16" s="72" t="s">
        <v>68</v>
      </c>
      <c r="D16" s="73" t="s">
        <v>69</v>
      </c>
      <c r="E16" s="74" t="s">
        <v>83</v>
      </c>
      <c r="F16" s="75" t="s">
        <v>84</v>
      </c>
      <c r="G16" s="76">
        <v>200</v>
      </c>
      <c r="H16" s="83">
        <v>1100</v>
      </c>
      <c r="I16" s="82">
        <f t="shared" si="0"/>
        <v>220000</v>
      </c>
    </row>
    <row r="17" spans="1:9" s="85" customFormat="1" ht="38.25" customHeight="1" thickBot="1" x14ac:dyDescent="0.25">
      <c r="A17" s="84">
        <v>8</v>
      </c>
      <c r="B17" s="80" t="s">
        <v>85</v>
      </c>
      <c r="C17" s="72" t="s">
        <v>68</v>
      </c>
      <c r="D17" s="73" t="s">
        <v>69</v>
      </c>
      <c r="E17" s="74" t="s">
        <v>86</v>
      </c>
      <c r="F17" s="75" t="s">
        <v>70</v>
      </c>
      <c r="G17" s="76">
        <v>18000</v>
      </c>
      <c r="H17" s="83">
        <v>4.3</v>
      </c>
      <c r="I17" s="82">
        <f t="shared" si="0"/>
        <v>77400</v>
      </c>
    </row>
    <row r="18" spans="1:9" s="85" customFormat="1" ht="43.5" customHeight="1" thickBot="1" x14ac:dyDescent="0.25">
      <c r="A18" s="84">
        <v>9</v>
      </c>
      <c r="B18" s="80" t="s">
        <v>87</v>
      </c>
      <c r="C18" s="72" t="s">
        <v>68</v>
      </c>
      <c r="D18" s="73" t="s">
        <v>69</v>
      </c>
      <c r="E18" s="74" t="s">
        <v>88</v>
      </c>
      <c r="F18" s="75" t="s">
        <v>70</v>
      </c>
      <c r="G18" s="76">
        <v>2000</v>
      </c>
      <c r="H18" s="83">
        <v>5.87</v>
      </c>
      <c r="I18" s="82">
        <f t="shared" si="0"/>
        <v>11740</v>
      </c>
    </row>
    <row r="19" spans="1:9" s="85" customFormat="1" ht="39.75" customHeight="1" thickBot="1" x14ac:dyDescent="0.25">
      <c r="A19" s="84">
        <v>10</v>
      </c>
      <c r="B19" s="80" t="s">
        <v>89</v>
      </c>
      <c r="C19" s="72" t="s">
        <v>68</v>
      </c>
      <c r="D19" s="73" t="s">
        <v>69</v>
      </c>
      <c r="E19" s="74" t="s">
        <v>90</v>
      </c>
      <c r="F19" s="75" t="s">
        <v>70</v>
      </c>
      <c r="G19" s="76">
        <v>50</v>
      </c>
      <c r="H19" s="83">
        <v>28</v>
      </c>
      <c r="I19" s="82">
        <f t="shared" si="0"/>
        <v>1400</v>
      </c>
    </row>
    <row r="20" spans="1:9" s="85" customFormat="1" ht="31.9" customHeight="1" thickBot="1" x14ac:dyDescent="0.25">
      <c r="A20" s="84">
        <v>11</v>
      </c>
      <c r="B20" s="80" t="s">
        <v>91</v>
      </c>
      <c r="C20" s="72" t="s">
        <v>68</v>
      </c>
      <c r="D20" s="73" t="s">
        <v>69</v>
      </c>
      <c r="E20" s="74" t="s">
        <v>92</v>
      </c>
      <c r="F20" s="75" t="s">
        <v>70</v>
      </c>
      <c r="G20" s="76">
        <v>100</v>
      </c>
      <c r="H20" s="83">
        <v>7.8</v>
      </c>
      <c r="I20" s="82">
        <f t="shared" si="0"/>
        <v>780</v>
      </c>
    </row>
    <row r="21" spans="1:9" s="85" customFormat="1" ht="31.9" customHeight="1" thickBot="1" x14ac:dyDescent="0.25">
      <c r="A21" s="84">
        <v>12</v>
      </c>
      <c r="B21" s="71" t="s">
        <v>93</v>
      </c>
      <c r="C21" s="72" t="s">
        <v>68</v>
      </c>
      <c r="D21" s="73" t="s">
        <v>69</v>
      </c>
      <c r="E21" s="81" t="s">
        <v>94</v>
      </c>
      <c r="F21" s="75" t="s">
        <v>84</v>
      </c>
      <c r="G21" s="76">
        <v>1500</v>
      </c>
      <c r="H21" s="83">
        <v>410</v>
      </c>
      <c r="I21" s="82">
        <f t="shared" si="0"/>
        <v>615000</v>
      </c>
    </row>
    <row r="22" spans="1:9" s="85" customFormat="1" ht="31.9" customHeight="1" thickBot="1" x14ac:dyDescent="0.25">
      <c r="A22" s="84">
        <v>13</v>
      </c>
      <c r="B22" s="80" t="s">
        <v>95</v>
      </c>
      <c r="C22" s="72" t="s">
        <v>68</v>
      </c>
      <c r="D22" s="73" t="s">
        <v>69</v>
      </c>
      <c r="E22" s="81" t="s">
        <v>96</v>
      </c>
      <c r="F22" s="75" t="s">
        <v>84</v>
      </c>
      <c r="G22" s="76">
        <v>600</v>
      </c>
      <c r="H22" s="83">
        <v>484</v>
      </c>
      <c r="I22" s="82">
        <f t="shared" si="0"/>
        <v>290400</v>
      </c>
    </row>
    <row r="23" spans="1:9" s="85" customFormat="1" ht="47.25" customHeight="1" thickBot="1" x14ac:dyDescent="0.25">
      <c r="A23" s="84">
        <v>14</v>
      </c>
      <c r="B23" s="75" t="s">
        <v>97</v>
      </c>
      <c r="C23" s="72" t="s">
        <v>68</v>
      </c>
      <c r="D23" s="73" t="s">
        <v>69</v>
      </c>
      <c r="E23" s="74" t="s">
        <v>98</v>
      </c>
      <c r="F23" s="75" t="s">
        <v>99</v>
      </c>
      <c r="G23" s="76">
        <v>30</v>
      </c>
      <c r="H23" s="83">
        <v>1199</v>
      </c>
      <c r="I23" s="82">
        <f t="shared" si="0"/>
        <v>35970</v>
      </c>
    </row>
    <row r="24" spans="1:9" s="85" customFormat="1" ht="37.5" customHeight="1" thickBot="1" x14ac:dyDescent="0.25">
      <c r="A24" s="84">
        <v>15</v>
      </c>
      <c r="B24" s="75" t="s">
        <v>100</v>
      </c>
      <c r="C24" s="72" t="s">
        <v>68</v>
      </c>
      <c r="D24" s="73" t="s">
        <v>69</v>
      </c>
      <c r="E24" s="74" t="s">
        <v>101</v>
      </c>
      <c r="F24" s="75" t="s">
        <v>70</v>
      </c>
      <c r="G24" s="76">
        <v>30</v>
      </c>
      <c r="H24" s="83">
        <v>23</v>
      </c>
      <c r="I24" s="82">
        <f t="shared" si="0"/>
        <v>690</v>
      </c>
    </row>
    <row r="25" spans="1:9" s="85" customFormat="1" ht="37.5" customHeight="1" thickBot="1" x14ac:dyDescent="0.25">
      <c r="A25" s="84">
        <v>16</v>
      </c>
      <c r="B25" s="75" t="s">
        <v>102</v>
      </c>
      <c r="C25" s="72" t="s">
        <v>68</v>
      </c>
      <c r="D25" s="73" t="s">
        <v>69</v>
      </c>
      <c r="E25" s="74" t="s">
        <v>103</v>
      </c>
      <c r="F25" s="75" t="s">
        <v>84</v>
      </c>
      <c r="G25" s="76">
        <v>100</v>
      </c>
      <c r="H25" s="83">
        <v>950</v>
      </c>
      <c r="I25" s="82">
        <f t="shared" si="0"/>
        <v>95000</v>
      </c>
    </row>
    <row r="26" spans="1:9" s="85" customFormat="1" ht="36.75" customHeight="1" thickBot="1" x14ac:dyDescent="0.25">
      <c r="A26" s="84">
        <v>17</v>
      </c>
      <c r="B26" s="75" t="s">
        <v>104</v>
      </c>
      <c r="C26" s="72" t="s">
        <v>68</v>
      </c>
      <c r="D26" s="73" t="s">
        <v>69</v>
      </c>
      <c r="E26" s="74" t="s">
        <v>105</v>
      </c>
      <c r="F26" s="75" t="s">
        <v>70</v>
      </c>
      <c r="G26" s="76">
        <v>800</v>
      </c>
      <c r="H26" s="83">
        <v>21</v>
      </c>
      <c r="I26" s="82">
        <f t="shared" si="0"/>
        <v>16800</v>
      </c>
    </row>
    <row r="28" spans="1:9" ht="13.5" thickBot="1" x14ac:dyDescent="0.25"/>
    <row r="29" spans="1:9" ht="75" customHeight="1" thickBot="1" x14ac:dyDescent="0.25">
      <c r="C29" s="96" t="s">
        <v>118</v>
      </c>
      <c r="D29" s="97"/>
      <c r="E29" s="97"/>
    </row>
    <row r="30" spans="1:9" ht="32.25" customHeight="1" thickBot="1" x14ac:dyDescent="0.25">
      <c r="C30" s="98" t="s">
        <v>106</v>
      </c>
      <c r="D30" s="99"/>
      <c r="E30" s="100"/>
    </row>
    <row r="31" spans="1:9" ht="45.75" customHeight="1" thickBot="1" x14ac:dyDescent="0.25">
      <c r="C31" s="101" t="s">
        <v>116</v>
      </c>
      <c r="D31" s="102"/>
      <c r="E31" s="103"/>
    </row>
    <row r="32" spans="1:9" ht="13.5" thickBot="1" x14ac:dyDescent="0.25"/>
    <row r="33" spans="2:5" x14ac:dyDescent="0.2">
      <c r="B33" s="42" t="s">
        <v>111</v>
      </c>
      <c r="C33" s="43"/>
      <c r="D33" s="43"/>
      <c r="E33" s="44"/>
    </row>
    <row r="34" spans="2:5" ht="5.25" customHeight="1" x14ac:dyDescent="0.2">
      <c r="B34" s="45"/>
      <c r="C34" s="46"/>
      <c r="D34" s="46"/>
      <c r="E34" s="47"/>
    </row>
    <row r="35" spans="2:5" x14ac:dyDescent="0.2">
      <c r="B35" s="48" t="s">
        <v>14</v>
      </c>
      <c r="C35" s="46"/>
      <c r="D35" s="46"/>
      <c r="E35" s="47"/>
    </row>
    <row r="36" spans="2:5" ht="75" customHeight="1" x14ac:dyDescent="0.2">
      <c r="B36" s="48"/>
      <c r="C36" s="88" t="s">
        <v>113</v>
      </c>
      <c r="D36" s="88"/>
      <c r="E36" s="89"/>
    </row>
    <row r="37" spans="2:5" x14ac:dyDescent="0.2">
      <c r="B37" s="48" t="s">
        <v>15</v>
      </c>
      <c r="C37" s="46"/>
      <c r="D37" s="46"/>
      <c r="E37" s="47"/>
    </row>
    <row r="38" spans="2:5" x14ac:dyDescent="0.2">
      <c r="B38" s="49"/>
      <c r="C38" s="90" t="s">
        <v>117</v>
      </c>
      <c r="D38" s="90"/>
      <c r="E38" s="90"/>
    </row>
    <row r="39" spans="2:5" x14ac:dyDescent="0.2">
      <c r="B39" s="49"/>
      <c r="C39" s="91"/>
      <c r="D39" s="91"/>
      <c r="E39" s="91"/>
    </row>
    <row r="40" spans="2:5" x14ac:dyDescent="0.2">
      <c r="B40" s="48" t="s">
        <v>16</v>
      </c>
      <c r="C40" s="46"/>
      <c r="D40" s="46"/>
      <c r="E40" s="47"/>
    </row>
    <row r="41" spans="2:5" ht="26.25" customHeight="1" x14ac:dyDescent="0.2">
      <c r="B41" s="49"/>
      <c r="C41" s="92" t="s">
        <v>119</v>
      </c>
      <c r="D41" s="92"/>
      <c r="E41" s="93"/>
    </row>
    <row r="42" spans="2:5" x14ac:dyDescent="0.2">
      <c r="B42" s="48" t="s">
        <v>17</v>
      </c>
      <c r="C42" s="50"/>
      <c r="D42" s="50"/>
      <c r="E42" s="51"/>
    </row>
    <row r="43" spans="2:5" ht="26.25" customHeight="1" x14ac:dyDescent="0.2">
      <c r="B43" s="49"/>
      <c r="C43" s="94" t="s">
        <v>62</v>
      </c>
      <c r="D43" s="94"/>
      <c r="E43" s="94"/>
    </row>
    <row r="44" spans="2:5" x14ac:dyDescent="0.2">
      <c r="B44" s="48" t="s">
        <v>18</v>
      </c>
      <c r="C44" s="46"/>
      <c r="D44" s="46"/>
      <c r="E44" s="47"/>
    </row>
    <row r="45" spans="2:5" ht="23.25" customHeight="1" x14ac:dyDescent="0.2">
      <c r="B45" s="48"/>
      <c r="C45" s="87"/>
      <c r="D45" s="87"/>
      <c r="E45" s="87"/>
    </row>
    <row r="46" spans="2:5" x14ac:dyDescent="0.2">
      <c r="B46" s="52"/>
      <c r="C46" s="53"/>
      <c r="D46" s="53"/>
      <c r="E46" s="54"/>
    </row>
    <row r="48" spans="2:5" ht="13.5" thickBot="1" x14ac:dyDescent="0.25"/>
    <row r="49" spans="2:5" x14ac:dyDescent="0.2">
      <c r="B49" s="42" t="s">
        <v>112</v>
      </c>
      <c r="C49" s="43"/>
      <c r="D49" s="43"/>
      <c r="E49" s="44"/>
    </row>
    <row r="50" spans="2:5" x14ac:dyDescent="0.2">
      <c r="B50" s="45"/>
      <c r="C50" s="46"/>
      <c r="D50" s="46"/>
      <c r="E50" s="47"/>
    </row>
    <row r="51" spans="2:5" x14ac:dyDescent="0.2">
      <c r="B51" s="48" t="s">
        <v>14</v>
      </c>
      <c r="C51" s="46"/>
      <c r="D51" s="46"/>
      <c r="E51" s="47"/>
    </row>
    <row r="52" spans="2:5" ht="55.5" customHeight="1" x14ac:dyDescent="0.2">
      <c r="B52" s="48"/>
      <c r="C52" s="88" t="s">
        <v>114</v>
      </c>
      <c r="D52" s="88"/>
      <c r="E52" s="89"/>
    </row>
    <row r="53" spans="2:5" x14ac:dyDescent="0.2">
      <c r="B53" s="48" t="s">
        <v>15</v>
      </c>
      <c r="C53" s="46"/>
      <c r="D53" s="46"/>
      <c r="E53" s="47"/>
    </row>
    <row r="54" spans="2:5" x14ac:dyDescent="0.2">
      <c r="B54" s="49"/>
      <c r="C54" s="90" t="s">
        <v>117</v>
      </c>
      <c r="D54" s="90"/>
      <c r="E54" s="90"/>
    </row>
    <row r="55" spans="2:5" x14ac:dyDescent="0.2">
      <c r="B55" s="49"/>
      <c r="C55" s="91"/>
      <c r="D55" s="91"/>
      <c r="E55" s="91"/>
    </row>
    <row r="56" spans="2:5" x14ac:dyDescent="0.2">
      <c r="B56" s="48" t="s">
        <v>16</v>
      </c>
      <c r="C56" s="46"/>
      <c r="D56" s="46"/>
      <c r="E56" s="47"/>
    </row>
    <row r="57" spans="2:5" ht="26.25" customHeight="1" x14ac:dyDescent="0.2">
      <c r="B57" s="49"/>
      <c r="C57" s="92" t="s">
        <v>119</v>
      </c>
      <c r="D57" s="92"/>
      <c r="E57" s="93"/>
    </row>
    <row r="58" spans="2:5" x14ac:dyDescent="0.2">
      <c r="B58" s="48" t="s">
        <v>17</v>
      </c>
      <c r="C58" s="50"/>
      <c r="D58" s="50"/>
      <c r="E58" s="51"/>
    </row>
    <row r="59" spans="2:5" x14ac:dyDescent="0.2">
      <c r="B59" s="49"/>
      <c r="C59" s="94" t="s">
        <v>62</v>
      </c>
      <c r="D59" s="94"/>
      <c r="E59" s="94"/>
    </row>
    <row r="60" spans="2:5" x14ac:dyDescent="0.2">
      <c r="B60" s="48" t="s">
        <v>18</v>
      </c>
      <c r="C60" s="46"/>
      <c r="D60" s="46"/>
      <c r="E60" s="47"/>
    </row>
    <row r="61" spans="2:5" ht="23.25" customHeight="1" x14ac:dyDescent="0.2">
      <c r="B61" s="48"/>
      <c r="C61" s="87"/>
      <c r="D61" s="87"/>
      <c r="E61" s="87"/>
    </row>
    <row r="62" spans="2:5" ht="31.5" customHeight="1" thickBot="1" x14ac:dyDescent="0.25">
      <c r="B62" s="52"/>
      <c r="C62" s="53"/>
      <c r="D62" s="53"/>
      <c r="E62" s="54"/>
    </row>
  </sheetData>
  <mergeCells count="22">
    <mergeCell ref="B2:H2"/>
    <mergeCell ref="A4:B4"/>
    <mergeCell ref="C4:E4"/>
    <mergeCell ref="A5:B5"/>
    <mergeCell ref="C5:E5"/>
    <mergeCell ref="C41:E41"/>
    <mergeCell ref="C43:E43"/>
    <mergeCell ref="C45:E45"/>
    <mergeCell ref="A6:B6"/>
    <mergeCell ref="A7:B7"/>
    <mergeCell ref="C36:E36"/>
    <mergeCell ref="C38:E38"/>
    <mergeCell ref="C39:E39"/>
    <mergeCell ref="C29:E29"/>
    <mergeCell ref="C30:E30"/>
    <mergeCell ref="C31:E31"/>
    <mergeCell ref="C61:E61"/>
    <mergeCell ref="C52:E52"/>
    <mergeCell ref="C54:E54"/>
    <mergeCell ref="C55:E55"/>
    <mergeCell ref="C57:E57"/>
    <mergeCell ref="C59:E59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"/>
  <sheetViews>
    <sheetView zoomScale="70" zoomScaleNormal="70" workbookViewId="0">
      <selection activeCell="P17" sqref="P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3.140625" style="2" customWidth="1"/>
    <col min="11" max="11" width="33.140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4" t="s">
        <v>19</v>
      </c>
      <c r="B1" s="114"/>
      <c r="C1" s="114"/>
      <c r="D1" s="114"/>
      <c r="E1" s="114"/>
      <c r="F1" s="114"/>
      <c r="G1" s="114"/>
      <c r="H1" s="114"/>
      <c r="I1" s="114"/>
      <c r="J1" s="3" t="s">
        <v>20</v>
      </c>
      <c r="K1" s="86" t="s">
        <v>110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5" t="s">
        <v>53</v>
      </c>
      <c r="B3" s="115"/>
      <c r="C3" s="115"/>
      <c r="D3" s="116" t="str">
        <f>'Necesidades Trimestrales'!C4</f>
        <v>40 - Ministerio de Salud</v>
      </c>
      <c r="E3" s="116"/>
      <c r="F3" s="116"/>
      <c r="G3" s="116"/>
      <c r="H3" s="116"/>
      <c r="I3" s="116"/>
      <c r="J3" s="116"/>
      <c r="K3" s="116"/>
    </row>
    <row r="4" spans="1:11" ht="18.75" customHeight="1" thickBot="1" x14ac:dyDescent="0.25">
      <c r="A4" s="117" t="s">
        <v>54</v>
      </c>
      <c r="B4" s="117"/>
      <c r="C4" s="117"/>
      <c r="D4" s="116" t="str">
        <f>'Necesidades Trimestrales'!C5</f>
        <v>23 - Hospital Interzonal San Juan Bautista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25">
      <c r="A5" s="117" t="s">
        <v>32</v>
      </c>
      <c r="B5" s="117"/>
      <c r="C5" s="117"/>
      <c r="D5" s="116" t="s">
        <v>59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25">
      <c r="A6" s="115" t="s">
        <v>55</v>
      </c>
      <c r="B6" s="115"/>
      <c r="C6" s="115"/>
      <c r="D6" s="116" t="s">
        <v>60</v>
      </c>
      <c r="E6" s="116"/>
      <c r="F6" s="116"/>
      <c r="G6" s="116"/>
      <c r="H6" s="116"/>
      <c r="I6" s="116"/>
      <c r="J6" s="116"/>
      <c r="K6" s="116"/>
    </row>
    <row r="7" spans="1:11" ht="16.5" customHeight="1" x14ac:dyDescent="0.2">
      <c r="A7" s="117" t="s">
        <v>21</v>
      </c>
      <c r="B7" s="117"/>
      <c r="C7" s="117"/>
      <c r="D7" s="116" t="str">
        <f>'Necesidades Trimestrales'!C7 &amp; "° Trimestre - Año " &amp; 'Necesidades Trimestrales'!C6</f>
        <v>2° Trimestre - Año 2022</v>
      </c>
      <c r="E7" s="116"/>
      <c r="F7" s="116"/>
      <c r="G7" s="116"/>
      <c r="H7" s="116"/>
      <c r="I7" s="116"/>
      <c r="J7" s="116"/>
      <c r="K7" s="116"/>
    </row>
    <row r="8" spans="1:11" ht="16.5" customHeight="1" x14ac:dyDescent="0.2">
      <c r="A8" s="109" t="s">
        <v>22</v>
      </c>
      <c r="B8" s="109"/>
      <c r="C8" s="109"/>
      <c r="D8" s="110" t="s">
        <v>107</v>
      </c>
      <c r="E8" s="110"/>
      <c r="F8" s="110"/>
      <c r="G8" s="110"/>
      <c r="H8" s="110"/>
      <c r="I8" s="110"/>
      <c r="J8" s="110"/>
      <c r="K8" s="11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1" t="s">
        <v>23</v>
      </c>
      <c r="B10" s="112" t="s">
        <v>24</v>
      </c>
      <c r="C10" s="112" t="s">
        <v>25</v>
      </c>
      <c r="D10" s="112"/>
      <c r="E10" s="112"/>
      <c r="F10" s="112"/>
      <c r="G10" s="112"/>
      <c r="H10" s="112" t="s">
        <v>26</v>
      </c>
      <c r="I10" s="112" t="s">
        <v>27</v>
      </c>
      <c r="J10" s="112" t="s">
        <v>28</v>
      </c>
      <c r="K10" s="113" t="s">
        <v>29</v>
      </c>
    </row>
    <row r="11" spans="1:11" ht="24" customHeight="1" thickBot="1" x14ac:dyDescent="0.25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3"/>
    </row>
    <row r="12" spans="1:11" ht="33" customHeight="1" thickBot="1" x14ac:dyDescent="0.25">
      <c r="A12" s="8">
        <v>1</v>
      </c>
      <c r="B12" s="58" t="str">
        <f>'Necesidades Trimestrales'!B10</f>
        <v>2.5.2-1816.3</v>
      </c>
      <c r="C12" s="106" t="str">
        <f>'Necesidades Trimestrales'!E10</f>
        <v>ANTIDIARREICOS; TIPO: MONODROGA, DROGA GENERICA: LOPERAMIDA, FORMA FARMACEUTICA: COMPRIMIDO, PRESENTACION: 2 mGr</v>
      </c>
      <c r="D12" s="106"/>
      <c r="E12" s="106"/>
      <c r="F12" s="106"/>
      <c r="G12" s="106"/>
      <c r="H12" s="59" t="s">
        <v>56</v>
      </c>
      <c r="I12" s="60" t="str">
        <f>'Necesidades Trimestrales'!F10</f>
        <v>comprimido</v>
      </c>
      <c r="J12" s="61">
        <f>'Necesidades Trimestrales'!H10</f>
        <v>2.6</v>
      </c>
      <c r="K12" s="62">
        <f>'Necesidades Trimestrales'!G10</f>
        <v>600</v>
      </c>
    </row>
    <row r="13" spans="1:11" ht="27.75" customHeight="1" thickBot="1" x14ac:dyDescent="0.25">
      <c r="A13" s="8">
        <v>2</v>
      </c>
      <c r="B13" s="58" t="str">
        <f>'Necesidades Trimestrales'!B11</f>
        <v>2.5.2-8078.68</v>
      </c>
      <c r="C13" s="106" t="str">
        <f>'Necesidades Trimestrales'!E11</f>
        <v>EXCIPIENTES; TIPO: MONODROGA, PRESENTACION: ENVASE X 1 Kg, COMPUESTO: CARBON ACTIVADO, CONCENTRACION/PUREZA: 100 %</v>
      </c>
      <c r="D13" s="106"/>
      <c r="E13" s="106"/>
      <c r="F13" s="106"/>
      <c r="G13" s="106"/>
      <c r="H13" s="59" t="s">
        <v>56</v>
      </c>
      <c r="I13" s="60" t="str">
        <f>'Necesidades Trimestrales'!F11</f>
        <v>unidad</v>
      </c>
      <c r="J13" s="61">
        <f>'Necesidades Trimestrales'!H11</f>
        <v>2700</v>
      </c>
      <c r="K13" s="62">
        <f>'Necesidades Trimestrales'!G11</f>
        <v>1</v>
      </c>
    </row>
    <row r="14" spans="1:11" ht="40.5" customHeight="1" thickBot="1" x14ac:dyDescent="0.25">
      <c r="A14" s="8">
        <v>3</v>
      </c>
      <c r="B14" s="58" t="str">
        <f>'Necesidades Trimestrales'!B12</f>
        <v>2.5.2-1872.65</v>
      </c>
      <c r="C14" s="106" t="str">
        <f>'Necesidades Trimestrales'!E12</f>
        <v>ANTIANEMICOS; TIPO: MONODROGA, DROGA GENERICA: COMPLEJO VITAMINICO B, FORMA FARMACEUTICA: COMPRIMIDO, PRESENTACION: UNIDAD</v>
      </c>
      <c r="D14" s="106"/>
      <c r="E14" s="106"/>
      <c r="F14" s="106"/>
      <c r="G14" s="106"/>
      <c r="H14" s="59" t="s">
        <v>56</v>
      </c>
      <c r="I14" s="60" t="str">
        <f>'Necesidades Trimestrales'!F12</f>
        <v>comprimido</v>
      </c>
      <c r="J14" s="61">
        <f>'Necesidades Trimestrales'!H12</f>
        <v>12</v>
      </c>
      <c r="K14" s="62">
        <f>'Necesidades Trimestrales'!G12</f>
        <v>400</v>
      </c>
    </row>
    <row r="15" spans="1:11" ht="37.5" customHeight="1" thickBot="1" x14ac:dyDescent="0.25">
      <c r="A15" s="8">
        <v>4</v>
      </c>
      <c r="B15" s="58" t="str">
        <f>'Necesidades Trimestrales'!B13</f>
        <v>2.5.2-3603.13</v>
      </c>
      <c r="C15" s="106" t="str">
        <f>'Necesidades Trimestrales'!E13</f>
        <v>EVACUANTES INTESTINALES; TIPO: ASOCIACION, DROGA GENERICA: FOSFATO MONOSODICO-BISODICO, FORMA FARMACEUTICA: SOLUCION, PRESENTACION: ENVASE X 45 mL</v>
      </c>
      <c r="D15" s="106"/>
      <c r="E15" s="106"/>
      <c r="F15" s="106"/>
      <c r="G15" s="106"/>
      <c r="H15" s="59" t="s">
        <v>56</v>
      </c>
      <c r="I15" s="60" t="str">
        <f>'Necesidades Trimestrales'!F13</f>
        <v>frasco</v>
      </c>
      <c r="J15" s="61">
        <f>'Necesidades Trimestrales'!H13</f>
        <v>1491</v>
      </c>
      <c r="K15" s="62">
        <f>'Necesidades Trimestrales'!G13</f>
        <v>150</v>
      </c>
    </row>
    <row r="16" spans="1:11" ht="38.25" customHeight="1" thickBot="1" x14ac:dyDescent="0.25">
      <c r="A16" s="8">
        <v>5</v>
      </c>
      <c r="B16" s="58" t="str">
        <f>'Necesidades Trimestrales'!B14</f>
        <v>2.5.2-1862.16</v>
      </c>
      <c r="C16" s="106" t="str">
        <f>'Necesidades Trimestrales'!E14</f>
        <v>HIPOGLUCEMIANTES ORALES; TIPO: MONODROGA, DROGA GENERICA: METFORMINA, FORMA FARMACEUTICA: COMPRIMIDO, PRESENTACION: 850 mGr</v>
      </c>
      <c r="D16" s="106"/>
      <c r="E16" s="106"/>
      <c r="F16" s="106"/>
      <c r="G16" s="106"/>
      <c r="H16" s="59" t="s">
        <v>56</v>
      </c>
      <c r="I16" s="60" t="str">
        <f>'Necesidades Trimestrales'!F14</f>
        <v>comprimido</v>
      </c>
      <c r="J16" s="61">
        <f>'Necesidades Trimestrales'!H14</f>
        <v>7.2</v>
      </c>
      <c r="K16" s="62">
        <f>'Necesidades Trimestrales'!G14</f>
        <v>150</v>
      </c>
    </row>
    <row r="17" spans="1:1024" ht="40.5" customHeight="1" thickBot="1" x14ac:dyDescent="0.25">
      <c r="A17" s="8">
        <v>6</v>
      </c>
      <c r="B17" s="58" t="str">
        <f>'Necesidades Trimestrales'!B15</f>
        <v>2.5.2-1903.89</v>
      </c>
      <c r="C17" s="106" t="str">
        <f>'Necesidades Trimestrales'!E15</f>
        <v>RECONSTITUYENTE GENERAL; TIPO: MONODROGA, DROGA GENERICA: CALCIO CARBONATO, FORMA FARMACEUTICA: COMPRIMIDO, PRESENTACION: 500 mGr</v>
      </c>
      <c r="D17" s="106"/>
      <c r="E17" s="106"/>
      <c r="F17" s="106"/>
      <c r="G17" s="106"/>
      <c r="H17" s="59" t="s">
        <v>115</v>
      </c>
      <c r="I17" s="60" t="str">
        <f>'Necesidades Trimestrales'!F15</f>
        <v>comprimido</v>
      </c>
      <c r="J17" s="61">
        <f>'Necesidades Trimestrales'!H15</f>
        <v>5.98</v>
      </c>
      <c r="K17" s="62">
        <f>'Necesidades Trimestrales'!G15</f>
        <v>9000</v>
      </c>
    </row>
    <row r="18" spans="1:1024" ht="33" customHeight="1" thickBot="1" x14ac:dyDescent="0.25">
      <c r="A18" s="8">
        <v>7</v>
      </c>
      <c r="B18" s="58" t="str">
        <f>'Necesidades Trimestrales'!B16</f>
        <v>2.5.2-7404.8</v>
      </c>
      <c r="C18" s="106" t="str">
        <f>'Necesidades Trimestrales'!E16</f>
        <v>COAGULANTES P/PERSONAS; TIPO: MONODROGA, DROGA GENERICA: PROTAMINA 50 mGr, FORMA FARMACEUTICA: AMPOLLA, PRESENTACION: ENVASE X 5 mL</v>
      </c>
      <c r="D18" s="106"/>
      <c r="E18" s="106"/>
      <c r="F18" s="106"/>
      <c r="G18" s="106"/>
      <c r="H18" s="59" t="s">
        <v>56</v>
      </c>
      <c r="I18" s="60" t="str">
        <f>'Necesidades Trimestrales'!F16</f>
        <v>ampolla</v>
      </c>
      <c r="J18" s="61">
        <f>'Necesidades Trimestrales'!H16</f>
        <v>1100</v>
      </c>
      <c r="K18" s="62">
        <f>'Necesidades Trimestrales'!G16</f>
        <v>200</v>
      </c>
    </row>
    <row r="19" spans="1:1024" ht="34.5" customHeight="1" thickBot="1" x14ac:dyDescent="0.25">
      <c r="A19" s="8">
        <v>8</v>
      </c>
      <c r="B19" s="58" t="str">
        <f>'Necesidades Trimestrales'!B17</f>
        <v>2.5.2-1865.11</v>
      </c>
      <c r="C19" s="106" t="str">
        <f>'Necesidades Trimestrales'!E17</f>
        <v>ANTIEPILEPTICOS; TIPO: MONODROGA, DROGA GENERICA: CLONAZEPAN, FORMA FARMACEUTICA: COMPRIMIDO, PRESENTACION: 0.50 mGr</v>
      </c>
      <c r="D19" s="106"/>
      <c r="E19" s="106"/>
      <c r="F19" s="106"/>
      <c r="G19" s="106"/>
      <c r="H19" s="59" t="s">
        <v>56</v>
      </c>
      <c r="I19" s="60" t="str">
        <f>'Necesidades Trimestrales'!F17</f>
        <v>comprimido</v>
      </c>
      <c r="J19" s="61">
        <f>'Necesidades Trimestrales'!H17</f>
        <v>4.3</v>
      </c>
      <c r="K19" s="62">
        <f>'Necesidades Trimestrales'!G17</f>
        <v>18000</v>
      </c>
    </row>
    <row r="20" spans="1:1024" ht="45.75" customHeight="1" thickBot="1" x14ac:dyDescent="0.25">
      <c r="A20" s="8">
        <v>9</v>
      </c>
      <c r="B20" s="58" t="str">
        <f>'Necesidades Trimestrales'!B18</f>
        <v>2.5.2-2233.5</v>
      </c>
      <c r="C20" s="106" t="str">
        <f>'Necesidades Trimestrales'!E18</f>
        <v>ANTICONVULSIVANTES; TIPO: MONODROGA, FORMA FARMACEUTICA: COMPRIMIDO, PRESENTACION: 100 mGr, DROGA GENERICA: FENITOINA</v>
      </c>
      <c r="D20" s="106"/>
      <c r="E20" s="106"/>
      <c r="F20" s="106"/>
      <c r="G20" s="106"/>
      <c r="H20" s="59" t="s">
        <v>56</v>
      </c>
      <c r="I20" s="60" t="str">
        <f>'Necesidades Trimestrales'!F18</f>
        <v>comprimido</v>
      </c>
      <c r="J20" s="61">
        <f>'Necesidades Trimestrales'!H18</f>
        <v>5.87</v>
      </c>
      <c r="K20" s="62">
        <f>'Necesidades Trimestrales'!G18</f>
        <v>2000</v>
      </c>
    </row>
    <row r="21" spans="1:1024" ht="43.5" customHeight="1" thickBot="1" x14ac:dyDescent="0.25">
      <c r="A21" s="8">
        <v>10</v>
      </c>
      <c r="B21" s="58" t="str">
        <f>'Necesidades Trimestrales'!B19</f>
        <v>2.5.2-1869.52</v>
      </c>
      <c r="C21" s="106" t="str">
        <f>'Necesidades Trimestrales'!E19</f>
        <v>ANTIDEPRESIVOS; TIPO: MONODROGA, DROGA GENERICA: CITALOPRAM 20 MG, FORMA FARMACEUTICA: COMPRIMIDO, PRESENTACION: UNIDAD</v>
      </c>
      <c r="D21" s="106"/>
      <c r="E21" s="106"/>
      <c r="F21" s="106"/>
      <c r="G21" s="106"/>
      <c r="H21" s="59" t="s">
        <v>56</v>
      </c>
      <c r="I21" s="60" t="str">
        <f>'Necesidades Trimestrales'!F19</f>
        <v>comprimido</v>
      </c>
      <c r="J21" s="61">
        <f>'Necesidades Trimestrales'!H19</f>
        <v>28</v>
      </c>
      <c r="K21" s="62">
        <f>'Necesidades Trimestrales'!G19</f>
        <v>50</v>
      </c>
    </row>
    <row r="22" spans="1:1024" ht="47.25" customHeight="1" thickBot="1" x14ac:dyDescent="0.25">
      <c r="A22" s="8">
        <v>11</v>
      </c>
      <c r="B22" s="58" t="str">
        <f>'Necesidades Trimestrales'!B20</f>
        <v>2.5.2-1838.1</v>
      </c>
      <c r="C22" s="106" t="str">
        <f>'Necesidades Trimestrales'!E20</f>
        <v>INOTROPICOS; TIPO: MONODROGA, FORMA FARMACEUTICA: COMPRIMIDO, PRESENTACION: 0,25 mGr, DROGA GENERICA: DIGOXINA</v>
      </c>
      <c r="D22" s="106"/>
      <c r="E22" s="106"/>
      <c r="F22" s="106"/>
      <c r="G22" s="106"/>
      <c r="H22" s="59" t="s">
        <v>56</v>
      </c>
      <c r="I22" s="60" t="str">
        <f>'Necesidades Trimestrales'!F20</f>
        <v>comprimido</v>
      </c>
      <c r="J22" s="61">
        <f>'Necesidades Trimestrales'!H20</f>
        <v>7.8</v>
      </c>
      <c r="K22" s="62">
        <f>'Necesidades Trimestrales'!G20</f>
        <v>100</v>
      </c>
    </row>
    <row r="23" spans="1:1024" ht="42" customHeight="1" thickBot="1" x14ac:dyDescent="0.25">
      <c r="A23" s="8">
        <v>12</v>
      </c>
      <c r="B23" s="58" t="str">
        <f>'Necesidades Trimestrales'!B21</f>
        <v>2.5.2-1872.27</v>
      </c>
      <c r="C23" s="106" t="str">
        <f>'Necesidades Trimestrales'!E21</f>
        <v>ANTIANEMICOS; TIPO: MONODROGA, DROGA GENERICA: ERITROPOYETINA HUMANA, FORMA FARMACEUTICA: FRASCO AMPOLLA 4000UI, PRESENTACION: UNIDAD</v>
      </c>
      <c r="D23" s="106"/>
      <c r="E23" s="106"/>
      <c r="F23" s="106"/>
      <c r="G23" s="106"/>
      <c r="H23" s="59" t="s">
        <v>56</v>
      </c>
      <c r="I23" s="60" t="str">
        <f>'Necesidades Trimestrales'!F21</f>
        <v>ampolla</v>
      </c>
      <c r="J23" s="61">
        <f>'Necesidades Trimestrales'!H21</f>
        <v>410</v>
      </c>
      <c r="K23" s="62">
        <f>'Necesidades Trimestrales'!G21</f>
        <v>1500</v>
      </c>
    </row>
    <row r="24" spans="1:1024" ht="39.75" customHeight="1" thickBot="1" x14ac:dyDescent="0.25">
      <c r="A24" s="8">
        <v>13</v>
      </c>
      <c r="B24" s="58" t="str">
        <f>'Necesidades Trimestrales'!B22</f>
        <v>2.5.2-1872.56</v>
      </c>
      <c r="C24" s="106" t="str">
        <f>'Necesidades Trimestrales'!E22</f>
        <v>ANTIANEMICOS; TIPO: MONODROGA, DROGA GENERICA: HIERRO DEXTRAN 50 mGr/ML, FORMA FARMACEUTICA: AMPOLLA, PRESENTACION: 2 mL</v>
      </c>
      <c r="D24" s="106"/>
      <c r="E24" s="106"/>
      <c r="F24" s="106"/>
      <c r="G24" s="106"/>
      <c r="H24" s="59" t="s">
        <v>56</v>
      </c>
      <c r="I24" s="60" t="str">
        <f>'Necesidades Trimestrales'!F22</f>
        <v>ampolla</v>
      </c>
      <c r="J24" s="61">
        <f>'Necesidades Trimestrales'!H22</f>
        <v>484</v>
      </c>
      <c r="K24" s="62">
        <f>'Necesidades Trimestrales'!G22</f>
        <v>600</v>
      </c>
    </row>
    <row r="25" spans="1:1024" ht="37.5" customHeight="1" thickBot="1" x14ac:dyDescent="0.25">
      <c r="A25" s="8">
        <v>14</v>
      </c>
      <c r="B25" s="58" t="str">
        <f>'Necesidades Trimestrales'!B23</f>
        <v>2.5.2-1839.38</v>
      </c>
      <c r="C25" s="106" t="str">
        <f>'Necesidades Trimestrales'!E23</f>
        <v>VASODILATADORES CORONARIOS; TIPO: MONODROGA, DROGA GENERICA: DINITRATO DE ISOSORBIDE 5 mGr, FORMA FARMACEUTICA: COMPRIMIDO, PRESENTACION: ENVASE X 30 UN</v>
      </c>
      <c r="D25" s="106"/>
      <c r="E25" s="106"/>
      <c r="F25" s="106"/>
      <c r="G25" s="106"/>
      <c r="H25" s="59" t="s">
        <v>115</v>
      </c>
      <c r="I25" s="60" t="str">
        <f>'Necesidades Trimestrales'!F23</f>
        <v>caja</v>
      </c>
      <c r="J25" s="61">
        <f>'Necesidades Trimestrales'!H23</f>
        <v>1199</v>
      </c>
      <c r="K25" s="62">
        <f>'Necesidades Trimestrales'!G23</f>
        <v>30</v>
      </c>
    </row>
    <row r="26" spans="1:1024" ht="38.25" customHeight="1" thickBot="1" x14ac:dyDescent="0.25">
      <c r="A26" s="8">
        <v>15</v>
      </c>
      <c r="B26" s="58" t="str">
        <f>'Necesidades Trimestrales'!B24</f>
        <v>2.5.2-4817.44</v>
      </c>
      <c r="C26" s="106" t="str">
        <f>'Necesidades Trimestrales'!E24</f>
        <v>ANTIHIPERTENSIVOS; TIPO: MONODROGA, DROGA GENERICA: NIFEDIPINA 30 MG, FORMA FARMACEUTICA: COMPRIMIDO, PRESENTACION: UNIDAD</v>
      </c>
      <c r="D26" s="106"/>
      <c r="E26" s="106"/>
      <c r="F26" s="106"/>
      <c r="G26" s="106"/>
      <c r="H26" s="59" t="s">
        <v>56</v>
      </c>
      <c r="I26" s="60" t="str">
        <f>'Necesidades Trimestrales'!F24</f>
        <v>comprimido</v>
      </c>
      <c r="J26" s="61">
        <f>'Necesidades Trimestrales'!H24</f>
        <v>23</v>
      </c>
      <c r="K26" s="62">
        <f>'Necesidades Trimestrales'!G24</f>
        <v>30</v>
      </c>
    </row>
    <row r="27" spans="1:1024" ht="37.5" customHeight="1" thickBot="1" x14ac:dyDescent="0.25">
      <c r="A27" s="8">
        <v>16</v>
      </c>
      <c r="B27" s="58" t="str">
        <f>'Necesidades Trimestrales'!B25</f>
        <v>2.5.2-1837.64</v>
      </c>
      <c r="C27" s="106" t="str">
        <f>'Necesidades Trimestrales'!E25</f>
        <v>HIPOTENSORES; TIPO: MONODROGA, DROGA GENERICA: NITROPRUSIATO DE SODIO, FORMA FARMACEUTICA: FRASCO AMPOLLA, PRESENTACION: ENVASE X 50 mGr</v>
      </c>
      <c r="D27" s="106"/>
      <c r="E27" s="106"/>
      <c r="F27" s="106"/>
      <c r="G27" s="106"/>
      <c r="H27" s="59" t="s">
        <v>56</v>
      </c>
      <c r="I27" s="60" t="str">
        <f>'Necesidades Trimestrales'!F25</f>
        <v>ampolla</v>
      </c>
      <c r="J27" s="61">
        <f>'Necesidades Trimestrales'!H25</f>
        <v>950</v>
      </c>
      <c r="K27" s="62">
        <f>'Necesidades Trimestrales'!G25</f>
        <v>100</v>
      </c>
    </row>
    <row r="28" spans="1:1024" ht="40.5" customHeight="1" thickBot="1" x14ac:dyDescent="0.25">
      <c r="A28" s="8">
        <v>17</v>
      </c>
      <c r="B28" s="58" t="str">
        <f>'Necesidades Trimestrales'!B26</f>
        <v>2.5.2-1837.67</v>
      </c>
      <c r="C28" s="106" t="str">
        <f>'Necesidades Trimestrales'!E26</f>
        <v>HIPOTENSORES; TIPO: MONODROGA, DROGA GENERICA: PROPANOLOL 40 mGr, FORMA FARMACEUTICA: COMPRIMIDO, PRESENTACION: UNIDAD</v>
      </c>
      <c r="D28" s="106"/>
      <c r="E28" s="106"/>
      <c r="F28" s="106"/>
      <c r="G28" s="106"/>
      <c r="H28" s="59" t="s">
        <v>56</v>
      </c>
      <c r="I28" s="60" t="str">
        <f>'Necesidades Trimestrales'!F26</f>
        <v>comprimido</v>
      </c>
      <c r="J28" s="61">
        <f>'Necesidades Trimestrales'!H26</f>
        <v>21</v>
      </c>
      <c r="K28" s="62">
        <f>'Necesidades Trimestrales'!G26</f>
        <v>800</v>
      </c>
    </row>
    <row r="29" spans="1:1024" ht="30.75" customHeight="1" thickBot="1" x14ac:dyDescent="0.25">
      <c r="A29" s="107" t="s">
        <v>108</v>
      </c>
      <c r="B29" s="107"/>
      <c r="C29" s="107"/>
      <c r="D29" s="107"/>
      <c r="E29" s="107"/>
      <c r="F29" s="107"/>
      <c r="G29" s="107"/>
      <c r="H29" s="107"/>
      <c r="I29" s="107"/>
      <c r="J29" s="108">
        <f>SUMPRODUCT(J12:J28,K12:K28)</f>
        <v>1652790</v>
      </c>
      <c r="K29" s="108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9:I29"/>
    <mergeCell ref="J29:K2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6:G26"/>
    <mergeCell ref="C27:G27"/>
    <mergeCell ref="C28:G28"/>
    <mergeCell ref="C12:G12"/>
    <mergeCell ref="C13:G13"/>
    <mergeCell ref="C14:G14"/>
    <mergeCell ref="C15:G15"/>
    <mergeCell ref="C16:G16"/>
    <mergeCell ref="C17:G17"/>
    <mergeCell ref="C18:G18"/>
    <mergeCell ref="C24:G24"/>
    <mergeCell ref="C25:G25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opLeftCell="A16" zoomScale="130" zoomScaleNormal="130" workbookViewId="0">
      <selection activeCell="H28" sqref="H2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1" t="s">
        <v>3</v>
      </c>
      <c r="B1" s="141"/>
      <c r="C1" s="141"/>
      <c r="D1" s="142">
        <f>'Necesidades Trimestrales'!C6</f>
        <v>2022</v>
      </c>
      <c r="E1" s="142"/>
      <c r="F1" s="10"/>
      <c r="G1" s="10"/>
      <c r="H1" s="11"/>
      <c r="I1" s="11"/>
      <c r="J1" s="11"/>
      <c r="K1" s="11"/>
      <c r="L1" s="11"/>
      <c r="M1" s="11"/>
      <c r="N1" s="11"/>
      <c r="P1" s="143" t="s">
        <v>30</v>
      </c>
      <c r="Q1" s="143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3"/>
      <c r="Q2" s="143"/>
    </row>
    <row r="4" spans="1:17" s="12" customFormat="1" ht="18" customHeight="1" thickBot="1" x14ac:dyDescent="0.25">
      <c r="A4" s="144" t="s">
        <v>31</v>
      </c>
      <c r="B4" s="144"/>
      <c r="C4" s="144"/>
      <c r="D4" s="144"/>
      <c r="E4" s="144"/>
      <c r="F4" s="144"/>
      <c r="G4" s="139" t="str">
        <f>NotaPedido!D3</f>
        <v>40 - Ministerio de Salud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7" s="12" customFormat="1" ht="18" customHeight="1" thickBot="1" x14ac:dyDescent="0.25">
      <c r="A5" s="136" t="s">
        <v>54</v>
      </c>
      <c r="B5" s="137"/>
      <c r="C5" s="137"/>
      <c r="D5" s="137"/>
      <c r="E5" s="137"/>
      <c r="F5" s="138"/>
      <c r="G5" s="139" t="str">
        <f>NotaPedido!D4</f>
        <v>23 - Hospital Interzonal San Juan Bautista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7" s="12" customFormat="1" ht="18" customHeight="1" thickBot="1" x14ac:dyDescent="0.25">
      <c r="A6" s="136" t="s">
        <v>32</v>
      </c>
      <c r="B6" s="137"/>
      <c r="C6" s="137"/>
      <c r="D6" s="137"/>
      <c r="E6" s="137"/>
      <c r="F6" s="138"/>
      <c r="G6" s="139" t="str">
        <f>NotaPedido!D5</f>
        <v>168 - Direccion Asistencial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1:17" s="12" customFormat="1" ht="18" customHeight="1" thickBot="1" x14ac:dyDescent="0.25">
      <c r="A7" s="136" t="s">
        <v>55</v>
      </c>
      <c r="B7" s="137"/>
      <c r="C7" s="137"/>
      <c r="D7" s="137"/>
      <c r="E7" s="137"/>
      <c r="F7" s="138"/>
      <c r="G7" s="139" t="str">
        <f>NotaPedido!D6</f>
        <v>Servicio de Farmacia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7" ht="18" customHeight="1" thickBot="1" x14ac:dyDescent="0.25">
      <c r="A8" s="140" t="s">
        <v>33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</row>
    <row r="9" spans="1:17" ht="18" customHeight="1" x14ac:dyDescent="0.2">
      <c r="A9" s="130" t="s">
        <v>34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"/>
      <c r="P9" s="1"/>
      <c r="Q9" s="13"/>
    </row>
    <row r="10" spans="1:17" ht="54.75" customHeight="1" x14ac:dyDescent="0.2">
      <c r="A10" s="131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DOCFI-2022-00857387-CAT-DASIS#HSJB,  afectando la erogación resultante a los créditos presupuestarios aprobados a favor de esta Unidad Ejecutora, conforme al siguiente detalle: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2" t="s">
        <v>35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</row>
    <row r="13" spans="1:17" ht="15.75" customHeight="1" x14ac:dyDescent="0.2">
      <c r="A13" s="133" t="s">
        <v>36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37</v>
      </c>
      <c r="P13" s="134"/>
      <c r="Q13" s="135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4"/>
      <c r="P14" s="134"/>
      <c r="Q14" s="135"/>
    </row>
    <row r="15" spans="1:17" ht="17.25" customHeight="1" x14ac:dyDescent="0.2">
      <c r="A15" s="65">
        <v>33</v>
      </c>
      <c r="B15" s="66"/>
      <c r="C15" s="66"/>
      <c r="D15" s="66">
        <v>2</v>
      </c>
      <c r="E15" s="66"/>
      <c r="F15" s="66">
        <v>4901</v>
      </c>
      <c r="G15" s="66">
        <v>3</v>
      </c>
      <c r="H15" s="67" t="s">
        <v>63</v>
      </c>
      <c r="I15" s="68">
        <v>2</v>
      </c>
      <c r="J15" s="68">
        <v>5</v>
      </c>
      <c r="K15" s="68">
        <v>2</v>
      </c>
      <c r="L15" s="66"/>
      <c r="M15" s="69">
        <v>1</v>
      </c>
      <c r="N15" s="67" t="s">
        <v>64</v>
      </c>
      <c r="O15" s="128" t="s">
        <v>61</v>
      </c>
      <c r="P15" s="128"/>
      <c r="Q15" s="23">
        <v>1652790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3"/>
      <c r="I16" s="25"/>
      <c r="J16" s="25"/>
      <c r="K16" s="25"/>
      <c r="L16" s="25"/>
      <c r="M16" s="26"/>
      <c r="N16" s="64"/>
      <c r="O16" s="129"/>
      <c r="P16" s="12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3"/>
      <c r="I17" s="25"/>
      <c r="J17" s="25"/>
      <c r="K17" s="25"/>
      <c r="L17" s="25"/>
      <c r="M17" s="26"/>
      <c r="N17" s="64"/>
      <c r="O17" s="129"/>
      <c r="P17" s="129"/>
      <c r="Q17" s="28"/>
      <c r="S17" s="70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23"/>
      <c r="P18" s="123"/>
      <c r="Q18" s="28"/>
    </row>
    <row r="19" spans="1:19" ht="17.25" customHeight="1" x14ac:dyDescent="0.2">
      <c r="A19" s="29"/>
      <c r="B19" s="30"/>
      <c r="C19" s="30"/>
      <c r="D19" s="30"/>
      <c r="E19" s="30"/>
      <c r="F19" s="31"/>
      <c r="G19" s="30"/>
      <c r="H19" s="30"/>
      <c r="I19" s="30"/>
      <c r="J19" s="30"/>
      <c r="K19" s="30"/>
      <c r="L19" s="30"/>
      <c r="M19" s="32"/>
      <c r="N19" s="33"/>
      <c r="O19" s="124"/>
      <c r="P19" s="124"/>
      <c r="Q19" s="28"/>
      <c r="R19" s="1"/>
    </row>
    <row r="20" spans="1:19" ht="17.25" customHeight="1" x14ac:dyDescent="0.2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35"/>
      <c r="O20" s="125"/>
      <c r="P20" s="125"/>
      <c r="Q20" s="37"/>
    </row>
    <row r="21" spans="1:19" ht="20.25" customHeight="1" x14ac:dyDescent="0.2">
      <c r="A21" s="126" t="s">
        <v>109</v>
      </c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38">
        <f>SUM(Q15:Q20)</f>
        <v>1652790</v>
      </c>
    </row>
    <row r="22" spans="1:19" ht="18" customHeight="1" thickBot="1" x14ac:dyDescent="0.25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</row>
    <row r="23" spans="1:19" ht="17.25" customHeight="1" thickBot="1" x14ac:dyDescent="0.25">
      <c r="A23" s="118" t="s">
        <v>52</v>
      </c>
      <c r="B23" s="119"/>
      <c r="C23" s="119"/>
      <c r="D23" s="119"/>
      <c r="E23" s="119"/>
      <c r="F23" s="120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</row>
    <row r="24" spans="1:19" ht="18" customHeight="1" thickBot="1" x14ac:dyDescent="0.25">
      <c r="A24" s="122" t="str">
        <f>"Para la "&amp; NotaPedido!D8 &amp;" para ser destinados al " &amp; NotaPedido!D6 &amp;"  del HISJB del Ministerio de Salud."</f>
        <v>Para la Adquisición de Medicamentos  para ser destinados al Servicio de Farmacia  del HISJB del Ministerio de Salud.</v>
      </c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</row>
    <row r="25" spans="1:19" ht="15" customHeight="1" x14ac:dyDescent="0.2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A9:N9"/>
    <mergeCell ref="A10:Q10"/>
    <mergeCell ref="A12:Q12"/>
    <mergeCell ref="A13:N13"/>
    <mergeCell ref="O13:P14"/>
    <mergeCell ref="Q13:Q14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2020-07-17T22:18:48Z</cp:lastPrinted>
  <dcterms:created xsi:type="dcterms:W3CDTF">2020-07-17T23:44:49Z</dcterms:created>
  <dcterms:modified xsi:type="dcterms:W3CDTF">2022-05-30T12:32:26Z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