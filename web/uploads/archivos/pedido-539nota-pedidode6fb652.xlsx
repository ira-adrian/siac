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D:\Users\USER\Desktop\NECESIDADES TRIMESTRALES\"/>
    </mc:Choice>
  </mc:AlternateContent>
  <xr:revisionPtr revIDLastSave="0" documentId="13_ncr:1_{3016F29B-1730-4767-8D7A-EA3A04F65842}" xr6:coauthVersionLast="47" xr6:coauthVersionMax="47" xr10:uidLastSave="{00000000-0000-0000-0000-000000000000}"/>
  <bookViews>
    <workbookView xWindow="-120" yWindow="-120" windowWidth="20640" windowHeight="11160" activeTab="1" xr2:uid="{00000000-000D-0000-FFFF-FFFF00000000}"/>
  </bookViews>
  <sheets>
    <sheet name="NECESIDADES TRIM. LIBRERIA" sheetId="2" r:id="rId1"/>
    <sheet name="NOTA DE PEDIDO" sheetId="3" r:id="rId2"/>
    <sheet name="APG" sheetId="4" r:id="rId3"/>
  </sheets>
  <calcPr calcId="181029" iterateDelta="1E-4"/>
</workbook>
</file>

<file path=xl/calcChain.xml><?xml version="1.0" encoding="utf-8"?>
<calcChain xmlns="http://schemas.openxmlformats.org/spreadsheetml/2006/main">
  <c r="Q19" i="4" l="1"/>
  <c r="I17" i="2" l="1"/>
  <c r="I16" i="2"/>
  <c r="I15" i="2"/>
  <c r="I14" i="2"/>
  <c r="I13" i="2"/>
  <c r="I12" i="2"/>
  <c r="I11" i="2"/>
  <c r="I10" i="2"/>
  <c r="I9" i="2"/>
  <c r="I8" i="2" l="1"/>
  <c r="I18" i="2" s="1"/>
</calcChain>
</file>

<file path=xl/sharedStrings.xml><?xml version="1.0" encoding="utf-8"?>
<sst xmlns="http://schemas.openxmlformats.org/spreadsheetml/2006/main" count="185" uniqueCount="102">
  <si>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</si>
  <si>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</si>
  <si>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</si>
  <si>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</si>
  <si>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</si>
  <si>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</si>
  <si>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</si>
  <si>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</si>
  <si>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</si>
  <si>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</si>
  <si>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</si>
  <si>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</si>
  <si>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</si>
  <si>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</si>
  <si>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</si>
  <si>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Descripción técnica</t>
  </si>
  <si>
    <t>SAF 9 - DIRECCION PROVINCIAL DE ADMINISTRACION DE LA SECRETARIA DE FINANZAS PUBLICAS</t>
  </si>
  <si>
    <t>30 - MINISTERIO DE HACIENDA PUBLICA</t>
  </si>
  <si>
    <t>UNIDAD EJECUTORA</t>
  </si>
  <si>
    <t>2.3.1-6563.763</t>
  </si>
  <si>
    <t>LIBRERIA,PAP. Y UTILES OFICINA</t>
  </si>
  <si>
    <t>2.3.1</t>
  </si>
  <si>
    <t>PAPELES EN HOJA; TIPO DE PAPEL: MULTIFUNCION, DIMENSION: 21 X 29,7 Cm, GRAMAJE: 80 GR/M2, PRESENTACION: ENVASE X 500 HOJAS, CERTIFICADO FORESTAL (GFS): SIN</t>
  </si>
  <si>
    <t>Especificidades Item N° 1:</t>
  </si>
  <si>
    <t>Papel - tamaño A4 - 80g - resmas por 500 hojas</t>
  </si>
  <si>
    <t>2.9.2-1358.353</t>
  </si>
  <si>
    <t>2.9.2</t>
  </si>
  <si>
    <t>CARPETAS; MATERIAL PLASTICO - TAMAÑO A4.</t>
  </si>
  <si>
    <t>2.9.2-1358.354</t>
  </si>
  <si>
    <t>CARPETAS; MATERIAL PLASTICO - TAMAÑO OFICIO.</t>
  </si>
  <si>
    <t>2.9.2-261.4</t>
  </si>
  <si>
    <t>ABROCHADORAS DE PAPEL; TIPO: PINZA, MATERIAL: SIN VALOR, P/BROCHES: 21/6, MEDIDA: 21/6</t>
  </si>
  <si>
    <t>2.9.2-700.2</t>
  </si>
  <si>
    <t>BROCHES P/ABROCHADORA; NUMERO: 21/6, PRESENTACION: CAJA X 1000 UNIDADES</t>
  </si>
  <si>
    <t>2.9.2-272.14</t>
  </si>
  <si>
    <t>BANDEJAS PORTAPAPELES; MATERIAL: PLASTICO, TIPO: DOBLE, TAMAÑO: OFICIO</t>
  </si>
  <si>
    <t>PAPELES ANOTADOR AUTOADHESIVOS; PRESENTACION: 100 HOJAS, LARGO X ANCHO: 76 X 76 mm</t>
  </si>
  <si>
    <t>2.9.2-1062.12</t>
  </si>
  <si>
    <t xml:space="preserve">Notas autoadhesivas - 76x76mm aprox - preferentemente amarillas (no excluyente) </t>
  </si>
  <si>
    <t>Costo total estimado: LIBRERIA,PAP. Y UTILES OFICINA</t>
  </si>
  <si>
    <t>Plazos y lugares de entrega ( para todos los Items)</t>
  </si>
  <si>
    <t>2.9.2-1354.28</t>
  </si>
  <si>
    <t>RESALTADORES; PUNTA: FINA, ACCESORIO: SIN, COLOR: AMARILLO, TIPO PUNTA: FINA</t>
  </si>
  <si>
    <t>2.3.1-6587.346</t>
  </si>
  <si>
    <t>PAPELES ENCUADERNADOS; CANT. DE HOJAS: 100, TAMAÑO: A4, TIPO: CUADERNO ESPIRALADO TAPA DURA, CERTIFICADO FORESTAL (GFS): SIN, PORC. FIBRAS RECICLADAS: 0 %, CERT. FIBRA ALTERNATIVA (FCA): SIN</t>
  </si>
  <si>
    <t>Especificidades Item N° 10:</t>
  </si>
  <si>
    <t>Cuaderno tapa dura 100 hojas con espiral, tipo rivadavia ABC.</t>
  </si>
  <si>
    <t xml:space="preserve">El plazo de entrega  no podrá ser superior a los Treinta (30) días hábiles a partir de la fecha de recepción de la respectiva Orden de Compra en el domicilio especial electrónico constituido, en virtud del método de contratación. La entrega de dichos bienes se realizará en  el Ministerio de Hacienda Pública, en las oficinas de la Dirección Pronvicial de Credito Público, sito en calle Sarmiento 589, 5to piso, San Fernando del Valle de Catamarca..
</t>
  </si>
  <si>
    <t>2.9.2-317.32</t>
  </si>
  <si>
    <t>BOLIGRAFOS; TRAZO: 0,8 mm</t>
  </si>
  <si>
    <t>CAJA</t>
  </si>
  <si>
    <t>NOTA DE PEDIDO</t>
  </si>
  <si>
    <t>Nº</t>
  </si>
  <si>
    <t>DEPENDENCIA SOLICITANTE</t>
  </si>
  <si>
    <t>TERCER TRIMESTRE 2021</t>
  </si>
  <si>
    <t>OBJETO</t>
  </si>
  <si>
    <t>Adquisicion de elementos de librería</t>
  </si>
  <si>
    <t>CODIGO</t>
  </si>
  <si>
    <t>ADJUNTA DETALLE TECNICO</t>
  </si>
  <si>
    <t>SI</t>
  </si>
  <si>
    <t>NO</t>
  </si>
  <si>
    <t>COSTO TOTAL ESTIMADO</t>
  </si>
  <si>
    <t>01/2021</t>
  </si>
  <si>
    <t>PESOS VEINTISEIS MIL CUARENTA CON 00/100</t>
  </si>
  <si>
    <t>AUTORIZACION PARA GASTAR</t>
  </si>
  <si>
    <t>JURISDICCIÓN:</t>
  </si>
  <si>
    <t>30 - Ministerio de Hacienda Publica</t>
  </si>
  <si>
    <t>SAF:</t>
  </si>
  <si>
    <t>9 - Direccion Provincial de Administracion de la Secretaria de Finanzas Publicas</t>
  </si>
  <si>
    <t>UNIDAD EJECUTORA:</t>
  </si>
  <si>
    <t xml:space="preserve">DEPENDENCIA SOLICITANTE: </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</si>
  <si>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</si>
  <si>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</si>
  <si>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</si>
  <si>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</si>
  <si>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</si>
  <si>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</si>
  <si>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</si>
  <si>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</si>
  <si>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</si>
  <si>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</si>
  <si>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</si>
  <si>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</si>
  <si>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</si>
  <si>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</si>
  <si>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</si>
  <si>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</si>
  <si>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</si>
  <si>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</si>
  <si>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</si>
  <si>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</si>
  <si>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Papel de Escritorio y Cartón</t>
  </si>
  <si>
    <t>Utiles de Escritorio, Oficina y Enseñanza</t>
  </si>
  <si>
    <t>JUSTIFICACIÓN:</t>
  </si>
  <si>
    <t xml:space="preserve">Adquisicion de elementos de librería </t>
  </si>
  <si>
    <t>OBSERVACIONES:</t>
  </si>
  <si>
    <t>TOTAL DE PESOS: VEINTISEIS MIL CUARENTA CON 00/100</t>
  </si>
  <si>
    <t>DIRECCION PROVINCIAL DE CREDITO PUBLICO</t>
  </si>
  <si>
    <t>Autorizo la realización de los  trámites correspondientes, a fin de proveer a  este Organismo los bienes y/o servicios que se detallan en Nota  de Pedido N° 01/2021,  afectando la erogación resultante a los créditos presupuestarios aprobados a favor de esta Unidad Ejecutora, conforme al siguiente detalle.</t>
  </si>
  <si>
    <t>Especificidades Item N° 8:</t>
  </si>
  <si>
    <t>Especificidades Item N° 7:</t>
  </si>
  <si>
    <t>Boligrafos color azul tipo BIC. Caja por 50 unidades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</si>
</sst>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164" formatCode="&quot;$&quot;\ #,##0.00"/>
    <numFmt numFmtId="165" formatCode="_-[$$-2C0A]\ * #,##0.00_-;\-[$$-2C0A]\ * #,##0.00_-;_-[$$-2C0A]\ * &quot;-&quot;??_-;_-@"/>
    <numFmt numFmtId="166" formatCode="[$$-2C0A]\ #,##0.00"/>
    <numFmt numFmtId="167" formatCode="dd\-mm\-yy;@"/>
    <numFmt numFmtId="168" formatCode="_(\$* #,##0.00_);_(\$* \(#,##0.00\);_(\$* \-??_);_(@_)"/>
    <numFmt numFmtId="169" formatCode="[$$-2C0A]\ #,##0.00;[$$-2C0A]&quot; -&quot;#,##0.00"/>
  </numFmts>
  <fonts count="35" x14ac:knownFonts="1">
    <font>
      <sz val="10"/>
      <color rgb="FF000000"/>
      <name val="Arial"/>
    </font>
    <font>
      <sz val="10"/>
      <name val="Times New Roman"/>
    </font>
    <font>
      <b/>
      <sz val="11"/>
      <color rgb="FF333333"/>
      <name val="Arial"/>
    </font>
    <font>
      <sz val="10"/>
      <name val="Arial"/>
    </font>
    <font>
      <sz val="11"/>
      <color rgb="FF333333"/>
      <name val="Arial"/>
    </font>
    <font>
      <sz val="11"/>
      <name val="Arial"/>
    </font>
    <font>
      <b/>
      <sz val="11"/>
      <name val="Arial"/>
    </font>
    <font>
      <sz val="11"/>
      <name val="Arial"/>
      <family val="2"/>
    </font>
    <font>
      <sz val="11"/>
      <color rgb="FF333333"/>
      <name val="Arial"/>
      <family val="2"/>
    </font>
    <font>
      <b/>
      <sz val="11"/>
      <name val="Arial"/>
      <family val="2"/>
    </font>
    <font>
      <sz val="12"/>
      <name val="Times New Roman"/>
      <family val="1"/>
    </font>
    <font>
      <b/>
      <u/>
      <sz val="22"/>
      <name val="Times New Roman"/>
      <family val="1"/>
    </font>
    <font>
      <u/>
      <sz val="10"/>
      <color rgb="FF000000"/>
      <name val="Arial"/>
      <family val="2"/>
    </font>
    <font>
      <sz val="10"/>
      <color rgb="FF000000"/>
      <name val="Arial"/>
    </font>
    <font>
      <u/>
      <sz val="12"/>
      <name val="Times New Roman"/>
      <family val="1"/>
    </font>
    <font>
      <u/>
      <sz val="13"/>
      <name val="Times New Roman"/>
      <family val="1"/>
    </font>
    <font>
      <sz val="13"/>
      <name val="Times New Roman"/>
      <family val="1"/>
    </font>
    <font>
      <sz val="10"/>
      <name val="Times New Roman"/>
      <family val="1"/>
    </font>
    <font>
      <sz val="11"/>
      <name val="Times New Roman"/>
      <family val="1"/>
    </font>
    <font>
      <b/>
      <sz val="11"/>
      <color rgb="FF333333"/>
      <name val="Arial"/>
      <family val="2"/>
    </font>
    <font>
      <sz val="10"/>
      <name val="Arial"/>
      <family val="2"/>
    </font>
    <font>
      <sz val="11"/>
      <color rgb="FF000000"/>
      <name val="Arial"/>
      <family val="2"/>
    </font>
    <font>
      <sz val="10"/>
      <color rgb="FF000000"/>
      <name val="Arial"/>
      <family val="2"/>
    </font>
    <font>
      <b/>
      <sz val="11"/>
      <name val="Arial"/>
      <family val="2"/>
      <charset val="1"/>
    </font>
    <font>
      <b/>
      <sz val="12"/>
      <name val="Arial"/>
      <family val="2"/>
      <charset val="1"/>
    </font>
    <font>
      <sz val="10"/>
      <name val="Arial"/>
      <family val="2"/>
      <charset val="1"/>
    </font>
    <font>
      <sz val="11"/>
      <name val="Arial"/>
      <family val="2"/>
      <charset val="1"/>
    </font>
    <font>
      <sz val="10"/>
      <name val="Times New Roman"/>
      <family val="1"/>
      <charset val="1"/>
    </font>
    <font>
      <b/>
      <u/>
      <sz val="10"/>
      <name val="Arial"/>
      <family val="2"/>
      <charset val="1"/>
    </font>
    <font>
      <b/>
      <sz val="10"/>
      <name val="Arial"/>
      <family val="2"/>
      <charset val="1"/>
    </font>
    <font>
      <b/>
      <u/>
      <sz val="18"/>
      <name val="Arial"/>
      <family val="2"/>
    </font>
    <font>
      <b/>
      <sz val="14"/>
      <name val="Arial"/>
      <family val="2"/>
    </font>
    <font>
      <sz val="14"/>
      <color rgb="FF000000"/>
      <name val="Arial"/>
      <family val="2"/>
    </font>
    <font>
      <b/>
      <sz val="10"/>
      <color rgb="FF000000"/>
      <name val="Arial"/>
      <family val="2"/>
    </font>
    <font>
      <b/>
      <sz val="10"/>
      <color theme="1"/>
      <name val="Arial"/>
      <family val="2"/>
    </font>
  </fonts>
  <fills count="10">
    <fill>
      <patternFill patternType="none"/>
    </fill>
    <fill>
      <patternFill patternType="gray125"/>
    </fill>
    <fill>
      <patternFill patternType="solid">
        <fgColor rgb="FFCCFFFF"/>
        <bgColor rgb="FFCCFFFF"/>
      </patternFill>
    </fill>
    <fill>
      <patternFill patternType="solid">
        <fgColor theme="6" tint="0.59999389629810485"/>
        <bgColor rgb="FFC0C0C0"/>
      </patternFill>
    </fill>
    <fill>
      <patternFill patternType="solid">
        <fgColor theme="6" tint="0.59999389629810485"/>
        <bgColor indexed="64"/>
      </patternFill>
    </fill>
    <fill>
      <patternFill patternType="solid">
        <fgColor theme="8" tint="0.79998168889431442"/>
        <bgColor rgb="FFCCFFFF"/>
      </patternFill>
    </fill>
    <fill>
      <patternFill patternType="solid">
        <fgColor theme="9" tint="0.79998168889431442"/>
        <bgColor indexed="64"/>
      </patternFill>
    </fill>
    <fill>
      <patternFill patternType="solid">
        <fgColor theme="9" tint="0.79998168889431442"/>
        <bgColor rgb="FFC0C0C0"/>
      </patternFill>
    </fill>
    <fill>
      <patternFill patternType="solid">
        <fgColor theme="0"/>
        <bgColor rgb="FFFFFF00"/>
      </patternFill>
    </fill>
    <fill>
      <patternFill patternType="solid">
        <fgColor theme="0"/>
        <bgColor rgb="FFCCFFFF"/>
      </patternFill>
    </fill>
  </fills>
  <borders count="73">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style="thick">
        <color rgb="FF00000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rgb="FF3D3D3D"/>
      </left>
      <right style="medium">
        <color rgb="FF3D3D3D"/>
      </right>
      <top style="medium">
        <color rgb="FF3D3D3D"/>
      </top>
      <bottom style="medium">
        <color rgb="FF3D3D3D"/>
      </bottom>
      <diagonal/>
    </border>
    <border>
      <left style="medium">
        <color rgb="FF3D3D3D"/>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bottom/>
      <diagonal/>
    </border>
    <border>
      <left/>
      <right style="medium">
        <color rgb="FF3D3D3D"/>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top/>
      <bottom style="medium">
        <color rgb="FF3D3D3D"/>
      </bottom>
      <diagonal/>
    </border>
    <border>
      <left/>
      <right style="medium">
        <color rgb="FF3D3D3D"/>
      </right>
      <top/>
      <bottom style="medium">
        <color rgb="FF3D3D3D"/>
      </bottom>
      <diagonal/>
    </border>
    <border>
      <left style="medium">
        <color rgb="FF3D3D3D"/>
      </left>
      <right style="medium">
        <color rgb="FF3D3D3D"/>
      </right>
      <top style="medium">
        <color rgb="FF3D3D3D"/>
      </top>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top style="thin">
        <color indexed="64"/>
      </top>
      <bottom style="thin">
        <color rgb="FF3D3D3D"/>
      </bottom>
      <diagonal/>
    </border>
    <border>
      <left/>
      <right style="thin">
        <color rgb="FF3D3D3D"/>
      </right>
      <top style="thin">
        <color indexed="64"/>
      </top>
      <bottom style="thin">
        <color rgb="FF3D3D3D"/>
      </bottom>
      <diagonal/>
    </border>
    <border>
      <left style="thin">
        <color rgb="FF3D3D3D"/>
      </left>
      <right style="medium">
        <color rgb="FF3D3D3D"/>
      </right>
      <top style="thin">
        <color indexed="64"/>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style="medium">
        <color rgb="FF3D3D3D"/>
      </left>
      <right style="medium">
        <color auto="1"/>
      </right>
      <top style="medium">
        <color auto="1"/>
      </top>
      <bottom style="medium">
        <color auto="1"/>
      </bottom>
      <diagonal/>
    </border>
    <border>
      <left style="thin">
        <color rgb="FF000000"/>
      </left>
      <right style="thin">
        <color rgb="FF000000"/>
      </right>
      <top style="thin">
        <color indexed="64"/>
      </top>
      <bottom style="thin">
        <color rgb="FF000000"/>
      </bottom>
      <diagonal/>
    </border>
    <border>
      <left style="medium">
        <color auto="1"/>
      </left>
      <right style="thin">
        <color rgb="FF3D3D3D"/>
      </right>
      <top style="medium">
        <color rgb="FF3D3D3D"/>
      </top>
      <bottom/>
      <diagonal/>
    </border>
    <border>
      <left style="thin">
        <color rgb="FF3D3D3D"/>
      </left>
      <right style="thin">
        <color rgb="FF3D3D3D"/>
      </right>
      <top style="medium">
        <color rgb="FF3D3D3D"/>
      </top>
      <bottom/>
      <diagonal/>
    </border>
    <border>
      <left style="thin">
        <color rgb="FF3D3D3D"/>
      </left>
      <right/>
      <top style="medium">
        <color rgb="FF3D3D3D"/>
      </top>
      <bottom/>
      <diagonal/>
    </border>
    <border>
      <left style="thin">
        <color rgb="FF3D3D3D"/>
      </left>
      <right/>
      <top style="thin">
        <color indexed="64"/>
      </top>
      <bottom/>
      <diagonal/>
    </border>
    <border>
      <left/>
      <right style="thin">
        <color rgb="FF3D3D3D"/>
      </right>
      <top style="thin">
        <color indexed="64"/>
      </top>
      <bottom/>
      <diagonal/>
    </border>
    <border>
      <left style="thin">
        <color rgb="FF3D3D3D"/>
      </left>
      <right style="medium">
        <color rgb="FF3D3D3D"/>
      </right>
      <top style="thin">
        <color indexed="64"/>
      </top>
      <bottom/>
      <diagonal/>
    </border>
    <border>
      <left style="medium">
        <color auto="1"/>
      </left>
      <right style="thin">
        <color rgb="FF3D3D3D"/>
      </right>
      <top style="thin">
        <color auto="1"/>
      </top>
      <bottom style="thin">
        <color rgb="FF3D3D3D"/>
      </bottom>
      <diagonal/>
    </border>
    <border>
      <left style="thin">
        <color rgb="FF3D3D3D"/>
      </left>
      <right style="thin">
        <color rgb="FF3D3D3D"/>
      </right>
      <top style="thin">
        <color auto="1"/>
      </top>
      <bottom style="thin">
        <color rgb="FF3D3D3D"/>
      </bottom>
      <diagonal/>
    </border>
    <border>
      <left style="medium">
        <color rgb="FF000000"/>
      </left>
      <right style="thin">
        <color rgb="FF000000"/>
      </right>
      <top style="thin">
        <color indexed="64"/>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26">
    <xf numFmtId="0" fontId="0" fillId="0" borderId="0"/>
    <xf numFmtId="0" fontId="13" fillId="0" borderId="1"/>
    <xf numFmtId="0" fontId="13" fillId="0" borderId="1"/>
    <xf numFmtId="0" fontId="13" fillId="0" borderId="1"/>
    <xf numFmtId="0" fontId="13" fillId="0" borderId="1"/>
    <xf numFmtId="0" fontId="13" fillId="0" borderId="1"/>
    <xf numFmtId="0" fontId="13" fillId="0" borderId="1"/>
    <xf numFmtId="0" fontId="13" fillId="0" borderId="1"/>
    <xf numFmtId="0" fontId="13" fillId="0" borderId="1"/>
    <xf numFmtId="0" fontId="13" fillId="0" borderId="1"/>
    <xf numFmtId="0" fontId="13" fillId="0" borderId="1"/>
    <xf numFmtId="0" fontId="13" fillId="0" borderId="1"/>
    <xf numFmtId="0" fontId="13" fillId="0" borderId="1"/>
    <xf numFmtId="0" fontId="13" fillId="0" borderId="1"/>
    <xf numFmtId="0" fontId="13" fillId="0" borderId="1"/>
    <xf numFmtId="0" fontId="13" fillId="0" borderId="1"/>
    <xf numFmtId="0" fontId="13" fillId="0" borderId="1"/>
    <xf numFmtId="44" fontId="22" fillId="0" borderId="1" applyFont="0" applyFill="0" applyBorder="0" applyAlignment="0" applyProtection="0"/>
    <xf numFmtId="168" fontId="25" fillId="0" borderId="1" applyBorder="0" applyProtection="0"/>
    <xf numFmtId="0" fontId="13" fillId="0" borderId="1"/>
    <xf numFmtId="0" fontId="13" fillId="0" borderId="1"/>
    <xf numFmtId="0" fontId="13" fillId="0" borderId="1"/>
    <xf numFmtId="0" fontId="13" fillId="0" borderId="1"/>
    <xf numFmtId="0" fontId="13" fillId="0" borderId="1"/>
    <xf numFmtId="0" fontId="13" fillId="0" borderId="1"/>
    <xf numFmtId="0" fontId="22" fillId="0" borderId="1"/>
  </cellStyleXfs>
  <cellXfs count="222">
    <xf numFmtId="0" fontId="0" fillId="0" borderId="0" xfId="0" applyFont="1" applyAlignment="1"/>
    <xf numFmtId="0" fontId="1" fillId="0" borderId="0" xfId="0" applyFont="1"/>
    <xf numFmtId="0" fontId="1" fillId="0" borderId="0" xfId="0" applyFont="1" applyAlignment="1">
      <alignment vertical="center"/>
    </xf>
    <xf numFmtId="166" fontId="1" fillId="0" borderId="0" xfId="0" applyNumberFormat="1" applyFont="1" applyAlignment="1">
      <alignment horizontal="center" vertical="center"/>
    </xf>
    <xf numFmtId="0" fontId="0" fillId="0" borderId="0" xfId="0" applyFont="1" applyAlignment="1"/>
    <xf numFmtId="0" fontId="1" fillId="0" borderId="9" xfId="0" applyFont="1" applyBorder="1"/>
    <xf numFmtId="0" fontId="1" fillId="0" borderId="10" xfId="0" applyFont="1" applyBorder="1"/>
    <xf numFmtId="0" fontId="4" fillId="4" borderId="1" xfId="0" applyFont="1" applyFill="1" applyBorder="1" applyAlignment="1">
      <alignment horizontal="left" wrapText="1"/>
    </xf>
    <xf numFmtId="0" fontId="4" fillId="4" borderId="1" xfId="0" applyFont="1" applyFill="1" applyBorder="1" applyAlignment="1">
      <alignment horizontal="center" wrapText="1"/>
    </xf>
    <xf numFmtId="164" fontId="4" fillId="4" borderId="1" xfId="0" applyNumberFormat="1" applyFont="1" applyFill="1" applyBorder="1" applyAlignment="1">
      <alignment horizontal="center" wrapText="1"/>
    </xf>
    <xf numFmtId="0" fontId="5" fillId="4" borderId="10" xfId="0" applyFont="1" applyFill="1" applyBorder="1"/>
    <xf numFmtId="0" fontId="2" fillId="3" borderId="1" xfId="0" applyFont="1" applyFill="1" applyBorder="1" applyAlignment="1">
      <alignment horizontal="left" wrapText="1"/>
    </xf>
    <xf numFmtId="0" fontId="2" fillId="3" borderId="1" xfId="0" applyFont="1" applyFill="1" applyBorder="1" applyAlignment="1">
      <alignment horizontal="left" vertical="top" wrapText="1"/>
    </xf>
    <xf numFmtId="0" fontId="2" fillId="3" borderId="1" xfId="0" applyFont="1" applyFill="1" applyBorder="1" applyAlignment="1">
      <alignment horizontal="center" wrapText="1"/>
    </xf>
    <xf numFmtId="0" fontId="0" fillId="0" borderId="0" xfId="0" applyFont="1" applyAlignment="1">
      <alignment horizontal="center"/>
    </xf>
    <xf numFmtId="0" fontId="2" fillId="5" borderId="5" xfId="0" applyFont="1" applyFill="1" applyBorder="1" applyAlignment="1">
      <alignment horizontal="center" vertical="center" wrapText="1"/>
    </xf>
    <xf numFmtId="164" fontId="2" fillId="5" borderId="5" xfId="0" applyNumberFormat="1" applyFont="1" applyFill="1" applyBorder="1" applyAlignment="1">
      <alignment horizontal="center" vertical="center" wrapText="1"/>
    </xf>
    <xf numFmtId="0" fontId="9" fillId="0" borderId="2" xfId="0" applyFont="1" applyBorder="1" applyAlignment="1">
      <alignment horizontal="center" vertical="center"/>
    </xf>
    <xf numFmtId="0" fontId="9" fillId="0" borderId="2" xfId="0" applyFont="1" applyBorder="1" applyAlignment="1">
      <alignment horizontal="center" vertical="center" wrapText="1"/>
    </xf>
    <xf numFmtId="0" fontId="7" fillId="0" borderId="2" xfId="0" applyFont="1" applyBorder="1" applyAlignment="1">
      <alignment horizontal="center" vertical="center"/>
    </xf>
    <xf numFmtId="0" fontId="5" fillId="7" borderId="15" xfId="0" applyFont="1" applyFill="1" applyBorder="1" applyAlignment="1">
      <alignment horizontal="center"/>
    </xf>
    <xf numFmtId="0" fontId="7" fillId="0" borderId="2" xfId="1" applyFont="1" applyBorder="1" applyAlignment="1">
      <alignment horizontal="center" vertical="center"/>
    </xf>
    <xf numFmtId="0" fontId="7" fillId="0" borderId="2" xfId="1" applyFont="1" applyFill="1" applyBorder="1" applyAlignment="1">
      <alignment horizontal="left" vertical="center" wrapText="1"/>
    </xf>
    <xf numFmtId="0" fontId="9" fillId="0" borderId="2" xfId="1" applyFont="1" applyBorder="1" applyAlignment="1">
      <alignment horizontal="center" vertical="center"/>
    </xf>
    <xf numFmtId="0" fontId="9" fillId="0" borderId="2" xfId="1" applyFont="1" applyFill="1" applyBorder="1" applyAlignment="1">
      <alignment horizontal="center" vertical="center"/>
    </xf>
    <xf numFmtId="164" fontId="9" fillId="0" borderId="2" xfId="1" applyNumberFormat="1" applyFont="1" applyFill="1" applyBorder="1" applyAlignment="1">
      <alignment horizontal="center" vertical="center"/>
    </xf>
    <xf numFmtId="165" fontId="9" fillId="6" borderId="2" xfId="1" applyNumberFormat="1" applyFont="1" applyFill="1" applyBorder="1" applyAlignment="1">
      <alignment vertical="center"/>
    </xf>
    <xf numFmtId="0" fontId="8" fillId="0" borderId="14" xfId="1" applyFont="1" applyFill="1" applyBorder="1" applyAlignment="1">
      <alignment horizontal="center" vertical="center" wrapText="1"/>
    </xf>
    <xf numFmtId="0" fontId="7" fillId="7" borderId="15" xfId="1" applyFont="1" applyFill="1" applyBorder="1" applyAlignment="1">
      <alignment horizontal="center"/>
    </xf>
    <xf numFmtId="0" fontId="14" fillId="0" borderId="6" xfId="2" applyFont="1" applyBorder="1"/>
    <xf numFmtId="0" fontId="10" fillId="0" borderId="7" xfId="2" applyFont="1" applyBorder="1"/>
    <xf numFmtId="0" fontId="10" fillId="0" borderId="8" xfId="2" applyFont="1" applyBorder="1"/>
    <xf numFmtId="0" fontId="10" fillId="0" borderId="9" xfId="2" applyFont="1" applyBorder="1"/>
    <xf numFmtId="0" fontId="10" fillId="0" borderId="10" xfId="2" applyFont="1" applyBorder="1"/>
    <xf numFmtId="0" fontId="14" fillId="0" borderId="9" xfId="2" applyFont="1" applyBorder="1" applyAlignment="1">
      <alignment horizontal="left" indent="3"/>
    </xf>
    <xf numFmtId="0" fontId="10" fillId="0" borderId="1" xfId="2" applyFont="1" applyBorder="1"/>
    <xf numFmtId="0" fontId="10" fillId="8" borderId="1" xfId="2" applyFont="1" applyFill="1" applyBorder="1" applyAlignment="1">
      <alignment horizontal="left" wrapText="1"/>
    </xf>
    <xf numFmtId="0" fontId="7" fillId="0" borderId="2" xfId="4" applyFont="1" applyBorder="1" applyAlignment="1">
      <alignment horizontal="center" vertical="center"/>
    </xf>
    <xf numFmtId="0" fontId="7" fillId="0" borderId="2" xfId="4" applyFont="1" applyBorder="1" applyAlignment="1">
      <alignment horizontal="center" vertical="center" wrapText="1"/>
    </xf>
    <xf numFmtId="0" fontId="9" fillId="0" borderId="2" xfId="4" applyFont="1" applyFill="1" applyBorder="1" applyAlignment="1">
      <alignment horizontal="center" vertical="center"/>
    </xf>
    <xf numFmtId="164" fontId="9" fillId="0" borderId="2" xfId="4" applyNumberFormat="1" applyFont="1" applyFill="1" applyBorder="1" applyAlignment="1">
      <alignment horizontal="center" vertical="center"/>
    </xf>
    <xf numFmtId="0" fontId="9" fillId="0" borderId="2" xfId="4" applyFont="1" applyBorder="1" applyAlignment="1">
      <alignment horizontal="center" vertical="center" wrapText="1"/>
    </xf>
    <xf numFmtId="165" fontId="9" fillId="6" borderId="2" xfId="4" applyNumberFormat="1" applyFont="1" applyFill="1" applyBorder="1" applyAlignment="1">
      <alignment vertical="center"/>
    </xf>
    <xf numFmtId="0" fontId="8" fillId="0" borderId="14" xfId="4" applyFont="1" applyFill="1" applyBorder="1" applyAlignment="1">
      <alignment horizontal="center" vertical="center" wrapText="1"/>
    </xf>
    <xf numFmtId="0" fontId="7" fillId="0" borderId="2" xfId="5" applyFont="1" applyBorder="1" applyAlignment="1">
      <alignment horizontal="center" vertical="center"/>
    </xf>
    <xf numFmtId="0" fontId="7" fillId="0" borderId="2" xfId="5" applyFont="1" applyBorder="1" applyAlignment="1">
      <alignment horizontal="center" vertical="center" wrapText="1"/>
    </xf>
    <xf numFmtId="0" fontId="7" fillId="0" borderId="2" xfId="5" applyFont="1" applyBorder="1" applyAlignment="1">
      <alignment horizontal="left" vertical="center" wrapText="1"/>
    </xf>
    <xf numFmtId="0" fontId="9" fillId="0" borderId="2" xfId="5" applyFont="1" applyFill="1" applyBorder="1" applyAlignment="1">
      <alignment horizontal="center" vertical="center"/>
    </xf>
    <xf numFmtId="164" fontId="9" fillId="0" borderId="2" xfId="5" applyNumberFormat="1" applyFont="1" applyFill="1" applyBorder="1" applyAlignment="1">
      <alignment horizontal="center" vertical="center"/>
    </xf>
    <xf numFmtId="0" fontId="9" fillId="0" borderId="2" xfId="5" applyFont="1" applyBorder="1" applyAlignment="1">
      <alignment horizontal="center" vertical="center" wrapText="1"/>
    </xf>
    <xf numFmtId="165" fontId="9" fillId="6" borderId="2" xfId="5" applyNumberFormat="1" applyFont="1" applyFill="1" applyBorder="1" applyAlignment="1">
      <alignment vertical="center"/>
    </xf>
    <xf numFmtId="0" fontId="8" fillId="0" borderId="14" xfId="5" applyFont="1" applyFill="1" applyBorder="1" applyAlignment="1">
      <alignment horizontal="center" vertical="center" wrapText="1"/>
    </xf>
    <xf numFmtId="0" fontId="7" fillId="0" borderId="2" xfId="6" applyFont="1" applyBorder="1" applyAlignment="1">
      <alignment horizontal="center" vertical="center"/>
    </xf>
    <xf numFmtId="0" fontId="7" fillId="0" borderId="2" xfId="6" applyFont="1" applyBorder="1" applyAlignment="1">
      <alignment horizontal="center" vertical="center" wrapText="1"/>
    </xf>
    <xf numFmtId="0" fontId="7" fillId="0" borderId="2" xfId="6" applyFont="1" applyBorder="1" applyAlignment="1">
      <alignment horizontal="left" vertical="center" wrapText="1"/>
    </xf>
    <xf numFmtId="0" fontId="9" fillId="0" borderId="2" xfId="6" applyFont="1" applyFill="1" applyBorder="1" applyAlignment="1">
      <alignment horizontal="center" vertical="center"/>
    </xf>
    <xf numFmtId="164" fontId="9" fillId="0" borderId="2" xfId="6" applyNumberFormat="1" applyFont="1" applyFill="1" applyBorder="1" applyAlignment="1">
      <alignment horizontal="center" vertical="center"/>
    </xf>
    <xf numFmtId="0" fontId="9" fillId="0" borderId="2" xfId="6" applyFont="1" applyBorder="1" applyAlignment="1">
      <alignment horizontal="center" vertical="center" wrapText="1"/>
    </xf>
    <xf numFmtId="165" fontId="9" fillId="6" borderId="2" xfId="6" applyNumberFormat="1" applyFont="1" applyFill="1" applyBorder="1" applyAlignment="1">
      <alignment vertical="center"/>
    </xf>
    <xf numFmtId="0" fontId="8" fillId="0" borderId="14" xfId="6" applyFont="1" applyFill="1" applyBorder="1" applyAlignment="1">
      <alignment horizontal="center" vertical="center" wrapText="1"/>
    </xf>
    <xf numFmtId="0" fontId="7" fillId="0" borderId="2" xfId="8" applyFont="1" applyBorder="1" applyAlignment="1">
      <alignment horizontal="center" vertical="center"/>
    </xf>
    <xf numFmtId="0" fontId="7" fillId="0" borderId="2" xfId="8" applyFont="1" applyBorder="1" applyAlignment="1">
      <alignment horizontal="left" vertical="center" wrapText="1"/>
    </xf>
    <xf numFmtId="164" fontId="9" fillId="0" borderId="2" xfId="8" applyNumberFormat="1" applyFont="1" applyFill="1" applyBorder="1" applyAlignment="1">
      <alignment horizontal="center" vertical="center"/>
    </xf>
    <xf numFmtId="0" fontId="9" fillId="0" borderId="2" xfId="8" applyFont="1" applyBorder="1" applyAlignment="1">
      <alignment horizontal="center" vertical="center" wrapText="1"/>
    </xf>
    <xf numFmtId="0" fontId="9" fillId="0" borderId="2" xfId="8" applyFont="1" applyFill="1" applyBorder="1" applyAlignment="1">
      <alignment horizontal="center" vertical="center" wrapText="1"/>
    </xf>
    <xf numFmtId="0" fontId="8" fillId="0" borderId="14" xfId="8" applyFont="1" applyFill="1" applyBorder="1" applyAlignment="1">
      <alignment horizontal="center" vertical="center" wrapText="1"/>
    </xf>
    <xf numFmtId="0" fontId="14" fillId="0" borderId="6" xfId="9" applyFont="1" applyBorder="1"/>
    <xf numFmtId="0" fontId="10" fillId="0" borderId="7" xfId="9" applyFont="1" applyBorder="1"/>
    <xf numFmtId="0" fontId="10" fillId="0" borderId="8" xfId="9" applyFont="1" applyBorder="1"/>
    <xf numFmtId="0" fontId="10" fillId="0" borderId="9" xfId="9" applyFont="1" applyBorder="1"/>
    <xf numFmtId="0" fontId="10" fillId="0" borderId="10" xfId="9" applyFont="1" applyBorder="1"/>
    <xf numFmtId="0" fontId="14" fillId="0" borderId="9" xfId="9" applyFont="1" applyBorder="1" applyAlignment="1">
      <alignment horizontal="left" indent="3"/>
    </xf>
    <xf numFmtId="0" fontId="10" fillId="0" borderId="1" xfId="9" applyFont="1" applyBorder="1"/>
    <xf numFmtId="0" fontId="14" fillId="0" borderId="11" xfId="9" applyFont="1" applyBorder="1" applyAlignment="1">
      <alignment horizontal="left" indent="3"/>
    </xf>
    <xf numFmtId="0" fontId="3" fillId="0" borderId="1" xfId="0" applyFont="1" applyBorder="1"/>
    <xf numFmtId="0" fontId="14" fillId="0" borderId="11" xfId="2" applyFont="1" applyBorder="1" applyAlignment="1">
      <alignment horizontal="left" indent="3"/>
    </xf>
    <xf numFmtId="0" fontId="14" fillId="0" borderId="1" xfId="2" applyFont="1" applyBorder="1" applyAlignment="1">
      <alignment horizontal="left" indent="3"/>
    </xf>
    <xf numFmtId="0" fontId="14" fillId="0" borderId="1" xfId="11" applyFont="1" applyBorder="1" applyAlignment="1">
      <alignment horizontal="left" indent="3"/>
    </xf>
    <xf numFmtId="0" fontId="10" fillId="8" borderId="1" xfId="11" applyFont="1" applyFill="1" applyBorder="1" applyAlignment="1">
      <alignment horizontal="left" vertical="center" wrapText="1"/>
    </xf>
    <xf numFmtId="0" fontId="15" fillId="0" borderId="6" xfId="0" applyFont="1" applyBorder="1" applyAlignment="1">
      <alignment horizontal="left"/>
    </xf>
    <xf numFmtId="0" fontId="16" fillId="0" borderId="7" xfId="0" applyFont="1" applyBorder="1"/>
    <xf numFmtId="0" fontId="10" fillId="0" borderId="7" xfId="0" applyFont="1" applyBorder="1"/>
    <xf numFmtId="0" fontId="10" fillId="0" borderId="8" xfId="0" applyFont="1" applyBorder="1"/>
    <xf numFmtId="0" fontId="7" fillId="0" borderId="2" xfId="0" applyFont="1" applyBorder="1" applyAlignment="1">
      <alignment horizontal="center" vertical="center" wrapText="1"/>
    </xf>
    <xf numFmtId="0" fontId="8" fillId="0" borderId="14" xfId="0" applyFont="1" applyBorder="1" applyAlignment="1">
      <alignment horizontal="center" vertical="center" wrapText="1"/>
    </xf>
    <xf numFmtId="0" fontId="7" fillId="0" borderId="2" xfId="0" applyFont="1" applyBorder="1" applyAlignment="1">
      <alignment horizontal="left" vertical="center" wrapText="1"/>
    </xf>
    <xf numFmtId="164" fontId="9" fillId="0" borderId="2" xfId="0" applyNumberFormat="1" applyFont="1" applyBorder="1" applyAlignment="1">
      <alignment horizontal="center" vertical="center"/>
    </xf>
    <xf numFmtId="0" fontId="7" fillId="0" borderId="2" xfId="4" applyFont="1" applyBorder="1" applyAlignment="1">
      <alignment horizontal="left" vertical="center" wrapText="1"/>
    </xf>
    <xf numFmtId="0" fontId="7" fillId="0" borderId="2" xfId="1" applyFont="1" applyFill="1" applyBorder="1" applyAlignment="1">
      <alignment horizontal="center" vertical="center" wrapText="1"/>
    </xf>
    <xf numFmtId="0" fontId="7" fillId="0" borderId="2" xfId="8" applyFont="1" applyBorder="1" applyAlignment="1">
      <alignment horizontal="center" vertical="center" wrapText="1"/>
    </xf>
    <xf numFmtId="0" fontId="0" fillId="0" borderId="1" xfId="0" applyFont="1" applyBorder="1" applyAlignment="1"/>
    <xf numFmtId="165" fontId="6" fillId="9" borderId="1" xfId="0" applyNumberFormat="1" applyFont="1" applyFill="1" applyBorder="1"/>
    <xf numFmtId="0" fontId="9" fillId="9" borderId="1" xfId="0" applyFont="1" applyFill="1" applyBorder="1" applyAlignment="1">
      <alignment horizontal="center"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166" fontId="1" fillId="0" borderId="1" xfId="0" applyNumberFormat="1" applyFont="1" applyBorder="1" applyAlignment="1">
      <alignment horizontal="center" vertical="center"/>
    </xf>
    <xf numFmtId="165" fontId="5" fillId="0" borderId="17" xfId="0" applyNumberFormat="1" applyFont="1" applyBorder="1"/>
    <xf numFmtId="0" fontId="5" fillId="0" borderId="1" xfId="0" applyFont="1" applyBorder="1" applyAlignment="1">
      <alignment horizontal="center" vertical="center" wrapText="1"/>
    </xf>
    <xf numFmtId="165" fontId="6" fillId="2" borderId="3" xfId="0" applyNumberFormat="1" applyFont="1" applyFill="1" applyBorder="1"/>
    <xf numFmtId="164" fontId="9" fillId="0" borderId="18" xfId="8" applyNumberFormat="1" applyFont="1" applyFill="1" applyBorder="1" applyAlignment="1">
      <alignment horizontal="center" vertical="center"/>
    </xf>
    <xf numFmtId="165" fontId="9" fillId="2" borderId="14" xfId="15" applyNumberFormat="1" applyFont="1" applyFill="1" applyBorder="1"/>
    <xf numFmtId="0" fontId="19" fillId="3" borderId="1" xfId="24" applyFont="1" applyFill="1" applyBorder="1" applyAlignment="1">
      <alignment horizontal="center" vertical="center" wrapText="1"/>
    </xf>
    <xf numFmtId="0" fontId="19" fillId="3" borderId="1" xfId="24" applyFont="1" applyFill="1" applyBorder="1" applyAlignment="1">
      <alignment horizontal="left" vertical="center" wrapText="1"/>
    </xf>
    <xf numFmtId="0" fontId="19" fillId="5" borderId="14" xfId="24" applyFont="1" applyFill="1" applyBorder="1" applyAlignment="1">
      <alignment horizontal="center" vertical="center" wrapText="1"/>
    </xf>
    <xf numFmtId="164" fontId="19" fillId="5" borderId="14" xfId="24" applyNumberFormat="1" applyFont="1" applyFill="1" applyBorder="1" applyAlignment="1">
      <alignment horizontal="center" vertical="center" wrapText="1"/>
    </xf>
    <xf numFmtId="0" fontId="17" fillId="0" borderId="21" xfId="24" applyFont="1" applyBorder="1" applyAlignment="1">
      <alignment vertical="center"/>
    </xf>
    <xf numFmtId="0" fontId="17" fillId="0" borderId="22" xfId="24" applyFont="1" applyBorder="1" applyAlignment="1">
      <alignment horizontal="center" vertical="center"/>
    </xf>
    <xf numFmtId="0" fontId="18" fillId="0" borderId="22" xfId="24" applyFont="1" applyBorder="1" applyAlignment="1">
      <alignment horizontal="left" vertical="center"/>
    </xf>
    <xf numFmtId="0" fontId="17" fillId="0" borderId="28" xfId="24" applyFont="1" applyBorder="1" applyAlignment="1">
      <alignment vertical="center"/>
    </xf>
    <xf numFmtId="0" fontId="8" fillId="4" borderId="25" xfId="24" applyFont="1" applyFill="1" applyBorder="1" applyAlignment="1">
      <alignment horizontal="left" vertical="center" wrapText="1"/>
    </xf>
    <xf numFmtId="0" fontId="8" fillId="4" borderId="27" xfId="24" applyFont="1" applyFill="1" applyBorder="1" applyAlignment="1">
      <alignment horizontal="left" vertical="center" wrapText="1"/>
    </xf>
    <xf numFmtId="0" fontId="22" fillId="0" borderId="26" xfId="24" applyFont="1" applyBorder="1" applyAlignment="1">
      <alignment vertical="center"/>
    </xf>
    <xf numFmtId="0" fontId="22" fillId="0" borderId="1" xfId="24" applyFont="1" applyBorder="1" applyAlignment="1">
      <alignment horizontal="center" vertical="center"/>
    </xf>
    <xf numFmtId="0" fontId="22" fillId="0" borderId="1" xfId="24" applyFont="1" applyBorder="1" applyAlignment="1">
      <alignment vertical="center"/>
    </xf>
    <xf numFmtId="0" fontId="22" fillId="0" borderId="27" xfId="24" applyFont="1" applyBorder="1" applyAlignment="1">
      <alignment vertical="center"/>
    </xf>
    <xf numFmtId="49" fontId="31" fillId="0" borderId="25" xfId="24" applyNumberFormat="1" applyFont="1" applyBorder="1" applyAlignment="1">
      <alignment vertical="center"/>
    </xf>
    <xf numFmtId="0" fontId="32" fillId="0" borderId="24" xfId="24" applyFont="1" applyBorder="1" applyAlignment="1">
      <alignment horizontal="right" vertical="center"/>
    </xf>
    <xf numFmtId="0" fontId="7" fillId="0" borderId="59" xfId="24" applyFont="1" applyBorder="1" applyAlignment="1">
      <alignment horizontal="center" vertical="center" wrapText="1"/>
    </xf>
    <xf numFmtId="0" fontId="7" fillId="7" borderId="68" xfId="24" applyFont="1" applyFill="1" applyBorder="1" applyAlignment="1">
      <alignment horizontal="center" vertical="center"/>
    </xf>
    <xf numFmtId="0" fontId="7" fillId="7" borderId="69" xfId="24" applyFont="1" applyFill="1" applyBorder="1" applyAlignment="1">
      <alignment horizontal="center" vertical="center"/>
    </xf>
    <xf numFmtId="0" fontId="7" fillId="7" borderId="70" xfId="24" applyFont="1" applyFill="1" applyBorder="1" applyAlignment="1">
      <alignment horizontal="center" vertical="center"/>
    </xf>
    <xf numFmtId="0" fontId="13" fillId="0" borderId="71" xfId="24" applyBorder="1" applyAlignment="1">
      <alignment vertical="center"/>
    </xf>
    <xf numFmtId="0" fontId="33" fillId="0" borderId="72" xfId="24" applyFont="1" applyBorder="1" applyAlignment="1">
      <alignment horizontal="center" vertical="center"/>
    </xf>
    <xf numFmtId="0" fontId="22" fillId="0" borderId="1" xfId="25" applyFont="1" applyAlignment="1"/>
    <xf numFmtId="3" fontId="23" fillId="0" borderId="1" xfId="25" applyNumberFormat="1" applyFont="1" applyBorder="1"/>
    <xf numFmtId="167" fontId="22" fillId="0" borderId="1" xfId="25" applyNumberFormat="1" applyAlignment="1">
      <alignment horizontal="left"/>
    </xf>
    <xf numFmtId="0" fontId="22" fillId="0" borderId="1" xfId="25" applyBorder="1"/>
    <xf numFmtId="0" fontId="22" fillId="0" borderId="34" xfId="25" applyBorder="1"/>
    <xf numFmtId="0" fontId="22" fillId="0" borderId="36" xfId="25" applyBorder="1"/>
    <xf numFmtId="0" fontId="22" fillId="0" borderId="37" xfId="25" applyBorder="1"/>
    <xf numFmtId="0" fontId="22" fillId="0" borderId="37" xfId="25" applyBorder="1" applyAlignment="1">
      <alignment horizontal="left"/>
    </xf>
    <xf numFmtId="0" fontId="22" fillId="0" borderId="38" xfId="25" applyBorder="1"/>
    <xf numFmtId="0" fontId="29" fillId="0" borderId="41" xfId="25" applyFont="1" applyBorder="1" applyAlignment="1">
      <alignment horizontal="center" vertical="center"/>
    </xf>
    <xf numFmtId="0" fontId="29" fillId="0" borderId="42" xfId="25" applyFont="1" applyBorder="1" applyAlignment="1">
      <alignment horizontal="center" vertical="center"/>
    </xf>
    <xf numFmtId="0" fontId="29" fillId="0" borderId="42" xfId="25" applyFont="1" applyBorder="1" applyAlignment="1">
      <alignment horizontal="left" vertical="center"/>
    </xf>
    <xf numFmtId="0" fontId="29" fillId="0" borderId="43" xfId="25" applyFont="1" applyBorder="1" applyAlignment="1">
      <alignment horizontal="center" vertical="center"/>
    </xf>
    <xf numFmtId="0" fontId="29" fillId="0" borderId="35" xfId="25" applyFont="1" applyBorder="1" applyAlignment="1">
      <alignment horizontal="center" vertical="center"/>
    </xf>
    <xf numFmtId="0" fontId="22" fillId="0" borderId="50" xfId="25" applyBorder="1" applyAlignment="1">
      <alignment horizontal="center" vertical="center"/>
    </xf>
    <xf numFmtId="169" fontId="22" fillId="0" borderId="51" xfId="18" applyNumberFormat="1" applyFont="1" applyBorder="1" applyAlignment="1" applyProtection="1">
      <alignment horizontal="center" vertical="center"/>
    </xf>
    <xf numFmtId="0" fontId="26" fillId="0" borderId="47" xfId="25" applyFont="1" applyBorder="1" applyAlignment="1">
      <alignment horizontal="center" vertical="center"/>
    </xf>
    <xf numFmtId="0" fontId="26" fillId="0" borderId="48" xfId="25" applyFont="1" applyBorder="1" applyAlignment="1">
      <alignment horizontal="center" vertical="center"/>
    </xf>
    <xf numFmtId="0" fontId="26" fillId="0" borderId="49" xfId="25" applyFont="1" applyBorder="1" applyAlignment="1">
      <alignment horizontal="center" vertical="center"/>
    </xf>
    <xf numFmtId="0" fontId="26" fillId="0" borderId="50" xfId="25" applyFont="1" applyBorder="1" applyAlignment="1">
      <alignment horizontal="center" vertical="center"/>
    </xf>
    <xf numFmtId="0" fontId="22" fillId="0" borderId="52" xfId="25" applyBorder="1" applyAlignment="1">
      <alignment horizontal="center" vertical="center"/>
    </xf>
    <xf numFmtId="0" fontId="22" fillId="0" borderId="53" xfId="25" applyBorder="1" applyAlignment="1">
      <alignment horizontal="center" vertical="center"/>
    </xf>
    <xf numFmtId="0" fontId="22" fillId="0" borderId="54" xfId="25" applyBorder="1" applyAlignment="1">
      <alignment horizontal="center" vertical="center"/>
    </xf>
    <xf numFmtId="169" fontId="22" fillId="0" borderId="55" xfId="18" applyNumberFormat="1" applyFont="1" applyBorder="1" applyAlignment="1" applyProtection="1">
      <alignment horizontal="center" vertical="center"/>
    </xf>
    <xf numFmtId="169" fontId="29" fillId="0" borderId="56" xfId="25" applyNumberFormat="1" applyFont="1" applyBorder="1" applyAlignment="1">
      <alignment horizontal="center" vertical="center"/>
    </xf>
    <xf numFmtId="0" fontId="22" fillId="0" borderId="60" xfId="25" applyBorder="1" applyAlignment="1">
      <alignment horizontal="center" vertical="center"/>
    </xf>
    <xf numFmtId="0" fontId="22" fillId="0" borderId="61" xfId="25" applyBorder="1" applyAlignment="1">
      <alignment horizontal="center" vertical="center"/>
    </xf>
    <xf numFmtId="0" fontId="22" fillId="0" borderId="62" xfId="25" applyBorder="1" applyAlignment="1">
      <alignment horizontal="center" vertical="center"/>
    </xf>
    <xf numFmtId="0" fontId="20" fillId="0" borderId="61" xfId="25" applyFont="1" applyBorder="1" applyAlignment="1">
      <alignment horizontal="center" vertical="center"/>
    </xf>
    <xf numFmtId="0" fontId="22" fillId="0" borderId="66" xfId="25" applyBorder="1" applyAlignment="1">
      <alignment horizontal="center" vertical="center"/>
    </xf>
    <xf numFmtId="0" fontId="22" fillId="0" borderId="67" xfId="25" applyBorder="1" applyAlignment="1">
      <alignment horizontal="center" vertical="center"/>
    </xf>
    <xf numFmtId="0" fontId="22" fillId="0" borderId="44" xfId="25" applyBorder="1" applyAlignment="1">
      <alignment horizontal="center" vertical="center"/>
    </xf>
    <xf numFmtId="0" fontId="20" fillId="0" borderId="67" xfId="25" applyFont="1" applyBorder="1" applyAlignment="1">
      <alignment horizontal="center" vertical="center"/>
    </xf>
    <xf numFmtId="166" fontId="22" fillId="0" borderId="65" xfId="17" applyNumberFormat="1" applyBorder="1" applyAlignment="1" applyProtection="1">
      <alignment horizontal="right"/>
    </xf>
    <xf numFmtId="166" fontId="22" fillId="0" borderId="46" xfId="18" applyNumberFormat="1" applyFont="1" applyBorder="1" applyAlignment="1" applyProtection="1">
      <alignment horizontal="right" vertical="center"/>
    </xf>
    <xf numFmtId="0" fontId="0" fillId="0" borderId="1" xfId="0" applyFont="1" applyBorder="1" applyAlignment="1"/>
    <xf numFmtId="0" fontId="10" fillId="8" borderId="1" xfId="9" applyFont="1" applyFill="1" applyBorder="1" applyAlignment="1">
      <alignment horizontal="left" vertical="center" wrapText="1"/>
    </xf>
    <xf numFmtId="0" fontId="14" fillId="0" borderId="1" xfId="9" applyFont="1" applyBorder="1" applyAlignment="1">
      <alignment horizontal="left" indent="3"/>
    </xf>
    <xf numFmtId="0" fontId="10" fillId="8" borderId="12" xfId="2" applyFont="1" applyFill="1" applyBorder="1" applyAlignment="1">
      <alignment horizontal="left" wrapText="1"/>
    </xf>
    <xf numFmtId="0" fontId="10" fillId="8" borderId="13" xfId="2" applyFont="1" applyFill="1" applyBorder="1" applyAlignment="1">
      <alignment horizontal="left" wrapText="1"/>
    </xf>
    <xf numFmtId="0" fontId="10" fillId="8" borderId="12" xfId="9" applyFont="1" applyFill="1" applyBorder="1" applyAlignment="1">
      <alignment horizontal="left" vertical="center" wrapText="1"/>
    </xf>
    <xf numFmtId="0" fontId="10" fillId="8" borderId="13" xfId="9" applyFont="1" applyFill="1" applyBorder="1" applyAlignment="1">
      <alignment horizontal="left" vertical="center" wrapText="1"/>
    </xf>
    <xf numFmtId="0" fontId="2" fillId="0" borderId="9" xfId="0" applyFont="1" applyBorder="1" applyAlignment="1">
      <alignment horizontal="left" vertical="center" wrapText="1"/>
    </xf>
    <xf numFmtId="0" fontId="0" fillId="0" borderId="1" xfId="0" applyFont="1" applyBorder="1" applyAlignment="1"/>
    <xf numFmtId="0" fontId="2" fillId="0" borderId="1" xfId="0" applyFont="1" applyBorder="1" applyAlignment="1">
      <alignment horizontal="left" vertical="center" wrapText="1"/>
    </xf>
    <xf numFmtId="0" fontId="2" fillId="3" borderId="1" xfId="0" applyFont="1" applyFill="1" applyBorder="1" applyAlignment="1">
      <alignment horizontal="left" wrapText="1"/>
    </xf>
    <xf numFmtId="0" fontId="9" fillId="2" borderId="4" xfId="15" applyFont="1" applyFill="1" applyBorder="1" applyAlignment="1">
      <alignment horizontal="center" vertical="center" wrapText="1"/>
    </xf>
    <xf numFmtId="0" fontId="10" fillId="0" borderId="9" xfId="0" applyFont="1" applyBorder="1" applyAlignment="1">
      <alignment horizontal="left" wrapText="1"/>
    </xf>
    <xf numFmtId="0" fontId="10" fillId="0" borderId="1" xfId="0" applyFont="1" applyBorder="1" applyAlignment="1">
      <alignment horizontal="left" wrapText="1"/>
    </xf>
    <xf numFmtId="0" fontId="10" fillId="0" borderId="10" xfId="0" applyFont="1" applyBorder="1" applyAlignment="1">
      <alignment horizontal="left" wrapText="1"/>
    </xf>
    <xf numFmtId="0" fontId="10" fillId="0" borderId="11" xfId="0" applyFont="1" applyBorder="1" applyAlignment="1">
      <alignment horizontal="left" wrapText="1"/>
    </xf>
    <xf numFmtId="0" fontId="10" fillId="0" borderId="12" xfId="0" applyFont="1" applyBorder="1" applyAlignment="1">
      <alignment horizontal="left" wrapText="1"/>
    </xf>
    <xf numFmtId="0" fontId="10" fillId="0" borderId="13" xfId="0" applyFont="1" applyBorder="1" applyAlignment="1">
      <alignment horizontal="left" wrapText="1"/>
    </xf>
    <xf numFmtId="0" fontId="11" fillId="0" borderId="1" xfId="0" applyFont="1" applyBorder="1" applyAlignment="1">
      <alignment horizontal="center"/>
    </xf>
    <xf numFmtId="0" fontId="12" fillId="0" borderId="1" xfId="0" applyFont="1" applyBorder="1" applyAlignment="1"/>
    <xf numFmtId="0" fontId="3" fillId="4" borderId="1" xfId="0" applyFont="1" applyFill="1" applyBorder="1"/>
    <xf numFmtId="0" fontId="19" fillId="3" borderId="24" xfId="24" applyFont="1" applyFill="1" applyBorder="1" applyAlignment="1">
      <alignment horizontal="left" vertical="center" wrapText="1"/>
    </xf>
    <xf numFmtId="0" fontId="19" fillId="3" borderId="1" xfId="24" applyFont="1" applyFill="1" applyBorder="1" applyAlignment="1">
      <alignment horizontal="left" vertical="center" wrapText="1"/>
    </xf>
    <xf numFmtId="0" fontId="30" fillId="0" borderId="23" xfId="24" applyFont="1" applyBorder="1" applyAlignment="1">
      <alignment horizontal="center" vertical="center"/>
    </xf>
    <xf numFmtId="0" fontId="30" fillId="0" borderId="24" xfId="24" applyFont="1" applyBorder="1" applyAlignment="1">
      <alignment horizontal="center" vertical="center"/>
    </xf>
    <xf numFmtId="0" fontId="19" fillId="4" borderId="23" xfId="24" applyFont="1" applyFill="1" applyBorder="1" applyAlignment="1">
      <alignment horizontal="left" vertical="center" wrapText="1"/>
    </xf>
    <xf numFmtId="0" fontId="21" fillId="4" borderId="24" xfId="24" applyFont="1" applyFill="1" applyBorder="1" applyAlignment="1">
      <alignment vertical="center"/>
    </xf>
    <xf numFmtId="0" fontId="19" fillId="4" borderId="26" xfId="24" applyFont="1" applyFill="1" applyBorder="1" applyAlignment="1">
      <alignment horizontal="left" vertical="center" wrapText="1"/>
    </xf>
    <xf numFmtId="0" fontId="21" fillId="4" borderId="1" xfId="24" applyFont="1" applyFill="1" applyBorder="1" applyAlignment="1">
      <alignment vertical="center"/>
    </xf>
    <xf numFmtId="0" fontId="33" fillId="0" borderId="72" xfId="24" applyFont="1" applyBorder="1" applyAlignment="1">
      <alignment horizontal="right" vertical="center"/>
    </xf>
    <xf numFmtId="166" fontId="34" fillId="0" borderId="71" xfId="24" applyNumberFormat="1" applyFont="1" applyBorder="1" applyAlignment="1">
      <alignment horizontal="center" vertical="center"/>
    </xf>
    <xf numFmtId="166" fontId="34" fillId="0" borderId="3" xfId="24" applyNumberFormat="1" applyFont="1" applyBorder="1" applyAlignment="1">
      <alignment horizontal="center" vertical="center"/>
    </xf>
    <xf numFmtId="0" fontId="19" fillId="3" borderId="22" xfId="24" applyNumberFormat="1" applyFont="1" applyFill="1" applyBorder="1" applyAlignment="1">
      <alignment horizontal="left" vertical="center" wrapText="1"/>
    </xf>
    <xf numFmtId="0" fontId="19" fillId="3" borderId="28" xfId="24" applyNumberFormat="1" applyFont="1" applyFill="1" applyBorder="1" applyAlignment="1">
      <alignment horizontal="left" vertical="center" wrapText="1"/>
    </xf>
    <xf numFmtId="0" fontId="23" fillId="0" borderId="19" xfId="25" applyFont="1" applyBorder="1" applyAlignment="1">
      <alignment vertical="center" wrapText="1"/>
    </xf>
    <xf numFmtId="0" fontId="23" fillId="0" borderId="57" xfId="25" applyFont="1" applyBorder="1" applyAlignment="1">
      <alignment vertical="center" wrapText="1"/>
    </xf>
    <xf numFmtId="0" fontId="23" fillId="0" borderId="58" xfId="25" applyFont="1" applyBorder="1" applyAlignment="1">
      <alignment vertical="center" wrapText="1"/>
    </xf>
    <xf numFmtId="0" fontId="26" fillId="0" borderId="40" xfId="25" applyFont="1" applyBorder="1" applyAlignment="1">
      <alignment vertical="center" wrapText="1"/>
    </xf>
    <xf numFmtId="0" fontId="26" fillId="0" borderId="56" xfId="25" applyFont="1" applyBorder="1" applyAlignment="1">
      <alignment horizontal="left" vertical="center" wrapText="1" indent="1"/>
    </xf>
    <xf numFmtId="0" fontId="22" fillId="0" borderId="53" xfId="25" applyBorder="1" applyAlignment="1">
      <alignment horizontal="left" vertical="center"/>
    </xf>
    <xf numFmtId="0" fontId="23" fillId="0" borderId="56" xfId="25" applyFont="1" applyBorder="1" applyAlignment="1">
      <alignment horizontal="left" vertical="center" wrapText="1"/>
    </xf>
    <xf numFmtId="0" fontId="22" fillId="0" borderId="39" xfId="25" applyBorder="1"/>
    <xf numFmtId="0" fontId="26" fillId="0" borderId="56" xfId="25" applyNumberFormat="1" applyFont="1" applyBorder="1" applyAlignment="1">
      <alignment horizontal="left" vertical="center" wrapText="1" indent="1"/>
    </xf>
    <xf numFmtId="0" fontId="24" fillId="0" borderId="29" xfId="25" applyFont="1" applyBorder="1" applyAlignment="1">
      <alignment horizontal="center" vertical="center" wrapText="1"/>
    </xf>
    <xf numFmtId="0" fontId="25" fillId="0" borderId="29" xfId="25" applyFont="1" applyBorder="1"/>
    <xf numFmtId="0" fontId="26" fillId="0" borderId="29" xfId="25" applyFont="1" applyBorder="1" applyAlignment="1">
      <alignment horizontal="left" indent="1"/>
    </xf>
    <xf numFmtId="0" fontId="27" fillId="0" borderId="30" xfId="25" applyFont="1" applyBorder="1" applyAlignment="1">
      <alignment horizontal="left" vertical="center" wrapText="1"/>
    </xf>
    <xf numFmtId="0" fontId="27" fillId="0" borderId="31" xfId="25" applyFont="1" applyBorder="1" applyAlignment="1">
      <alignment horizontal="left" vertical="center" wrapText="1"/>
    </xf>
    <xf numFmtId="0" fontId="27" fillId="0" borderId="32" xfId="25" applyFont="1" applyBorder="1" applyAlignment="1">
      <alignment horizontal="left" vertical="center" wrapText="1"/>
    </xf>
    <xf numFmtId="0" fontId="22" fillId="0" borderId="19" xfId="25" applyFont="1" applyBorder="1" applyAlignment="1">
      <alignment horizontal="center"/>
    </xf>
    <xf numFmtId="0" fontId="22" fillId="0" borderId="19" xfId="25" applyBorder="1" applyAlignment="1">
      <alignment horizontal="center"/>
    </xf>
    <xf numFmtId="3" fontId="23" fillId="0" borderId="20" xfId="25" applyNumberFormat="1" applyFont="1" applyBorder="1" applyAlignment="1">
      <alignment horizontal="center"/>
    </xf>
    <xf numFmtId="0" fontId="28" fillId="0" borderId="29" xfId="25" applyFont="1" applyBorder="1" applyAlignment="1">
      <alignment horizontal="left"/>
    </xf>
    <xf numFmtId="0" fontId="26" fillId="0" borderId="33" xfId="25" applyFont="1" applyBorder="1"/>
    <xf numFmtId="0" fontId="20" fillId="0" borderId="44" xfId="25" applyFont="1" applyBorder="1" applyAlignment="1">
      <alignment horizontal="left" vertical="center" wrapText="1"/>
    </xf>
    <xf numFmtId="0" fontId="20" fillId="0" borderId="45" xfId="25" applyFont="1" applyBorder="1" applyAlignment="1">
      <alignment horizontal="left" vertical="center" wrapText="1"/>
    </xf>
    <xf numFmtId="0" fontId="22" fillId="0" borderId="50" xfId="25" applyBorder="1" applyAlignment="1">
      <alignment horizontal="left" vertical="center"/>
    </xf>
    <xf numFmtId="0" fontId="26" fillId="0" borderId="35" xfId="25" applyFont="1" applyBorder="1" applyAlignment="1">
      <alignment horizontal="left" vertical="center" wrapText="1" indent="1"/>
    </xf>
    <xf numFmtId="0" fontId="29" fillId="0" borderId="39" xfId="25" applyFont="1" applyBorder="1" applyAlignment="1">
      <alignment horizontal="center" vertical="center"/>
    </xf>
    <xf numFmtId="0" fontId="29" fillId="0" borderId="29" xfId="25" applyFont="1" applyBorder="1" applyAlignment="1">
      <alignment horizontal="center" vertical="center"/>
    </xf>
    <xf numFmtId="0" fontId="29" fillId="0" borderId="39" xfId="25" applyFont="1" applyBorder="1" applyAlignment="1">
      <alignment horizontal="center" vertical="center" wrapText="1"/>
    </xf>
    <xf numFmtId="0" fontId="29" fillId="0" borderId="40" xfId="25" applyFont="1" applyBorder="1" applyAlignment="1">
      <alignment horizontal="center" vertical="center"/>
    </xf>
    <xf numFmtId="0" fontId="20" fillId="0" borderId="63" xfId="25" applyFont="1" applyBorder="1" applyAlignment="1">
      <alignment horizontal="left" vertical="center" wrapText="1"/>
    </xf>
    <xf numFmtId="0" fontId="20" fillId="0" borderId="64" xfId="25" applyFont="1" applyBorder="1" applyAlignment="1">
      <alignment horizontal="left" vertical="center" wrapText="1"/>
    </xf>
  </cellXfs>
  <cellStyles count="26">
    <cellStyle name="Moneda 2" xfId="17" xr:uid="{DD3A5661-30F6-422C-9D23-EC698562828D}"/>
    <cellStyle name="Moneda_AUTORIZACION Y NOTA DE PEDIDO" xfId="18" xr:uid="{D29BD858-E246-4A58-90F0-8430129CC7EA}"/>
    <cellStyle name="Normal" xfId="0" builtinId="0"/>
    <cellStyle name="Normal 10" xfId="9" xr:uid="{E9EF94C0-43EC-474A-ACFC-B81279493FE8}"/>
    <cellStyle name="Normal 11" xfId="10" xr:uid="{F6B195B8-DD01-4275-8A16-77B1BD0A9940}"/>
    <cellStyle name="Normal 12" xfId="11" xr:uid="{176D11DF-0264-4ACA-BDCB-64092ECE4F27}"/>
    <cellStyle name="Normal 13" xfId="12" xr:uid="{642C1D4E-612A-46C8-933A-BC3155CB7929}"/>
    <cellStyle name="Normal 14" xfId="13" xr:uid="{CBE3B2D5-F847-4DFF-916B-BC040276D4FB}"/>
    <cellStyle name="Normal 15" xfId="14" xr:uid="{31657C87-5C54-4138-A4E0-2B32A88EE74B}"/>
    <cellStyle name="Normal 16" xfId="15" xr:uid="{5605B3A6-B80D-44AD-BAAA-24C47E6C311F}"/>
    <cellStyle name="Normal 17" xfId="16" xr:uid="{E8DC5590-41A4-4C25-8CD8-0CD8B11908E6}"/>
    <cellStyle name="Normal 18" xfId="19" xr:uid="{0E7C1935-541A-4209-B8EE-42D62A969D79}"/>
    <cellStyle name="Normal 19" xfId="20" xr:uid="{1EF55C34-F389-4EB9-A495-6BF1A1DF5271}"/>
    <cellStyle name="Normal 2" xfId="1" xr:uid="{5FE42088-A26F-4C0E-ACD6-1B19A789EB14}"/>
    <cellStyle name="Normal 20" xfId="21" xr:uid="{B1B4BF2C-06C3-47AB-B103-B2D792097D1B}"/>
    <cellStyle name="Normal 21" xfId="22" xr:uid="{491C2138-10B1-42A1-AC24-6F7A2CA95A48}"/>
    <cellStyle name="Normal 22" xfId="23" xr:uid="{B7979F70-9C20-4A13-8703-D2F4B929DF31}"/>
    <cellStyle name="Normal 23" xfId="24" xr:uid="{EABF7B2C-29D2-46CC-980A-14D7918C908B}"/>
    <cellStyle name="Normal 24" xfId="25" xr:uid="{E828DDA1-DFE8-4A70-BFEE-25121459B01F}"/>
    <cellStyle name="Normal 3" xfId="2" xr:uid="{98777A0B-E30F-4478-B6E7-B9EAE7866915}"/>
    <cellStyle name="Normal 4" xfId="3" xr:uid="{E0C24376-ABF4-4B56-B694-60BADEC0F15A}"/>
    <cellStyle name="Normal 5" xfId="4" xr:uid="{375804CF-CFF6-4255-BE9A-15EB1854C58B}"/>
    <cellStyle name="Normal 6" xfId="5" xr:uid="{CD39BAB8-EDDC-4F9D-8BAD-569B164D84AF}"/>
    <cellStyle name="Normal 7" xfId="6" xr:uid="{FC5327D5-BB14-4FCB-A355-9D68145AE94A}"/>
    <cellStyle name="Normal 8" xfId="7" xr:uid="{B5E52861-1508-410C-8743-150CF561DE76}"/>
    <cellStyle name="Normal 9" xfId="8" xr:uid="{24878F6F-DF05-4AEF-99A3-A963FC706B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8F91E-B865-4374-8048-D9F181A93E58}">
  <dimension ref="A1:AB61"/>
  <sheetViews>
    <sheetView topLeftCell="A34" zoomScaleNormal="100" workbookViewId="0">
      <selection activeCell="G22" sqref="G22"/>
    </sheetView>
  </sheetViews>
  <sheetFormatPr baseColWidth="10" defaultColWidth="12.5703125" defaultRowHeight="12.75" x14ac:dyDescent="0.2"/>
  <cols>
    <col min="1" max="1" width="3.85546875" style="4" customWidth="1"/>
    <col min="2" max="2" width="15.28515625" style="14" customWidth="1"/>
    <col min="3" max="3" width="21.42578125" style="4" customWidth="1"/>
    <col min="4" max="4" width="6.7109375" style="14" customWidth="1"/>
    <col min="5" max="5" width="76.42578125" style="4" customWidth="1"/>
    <col min="6" max="6" width="11.5703125" style="4" customWidth="1"/>
    <col min="7" max="7" width="7.42578125" style="4" customWidth="1"/>
    <col min="8" max="8" width="10.7109375" style="4" customWidth="1"/>
    <col min="9" max="9" width="14.140625" style="4" customWidth="1"/>
    <col min="10" max="28" width="11" style="4" customWidth="1"/>
    <col min="29" max="16384" width="12.5703125" style="4"/>
  </cols>
  <sheetData>
    <row r="1" spans="1:28" ht="27" x14ac:dyDescent="0.35">
      <c r="A1" s="5"/>
      <c r="B1" s="176" t="s">
        <v>0</v>
      </c>
      <c r="C1" s="177"/>
      <c r="D1" s="177"/>
      <c r="E1" s="177"/>
      <c r="F1" s="177"/>
      <c r="G1" s="177"/>
      <c r="H1" s="177"/>
      <c r="I1" s="6"/>
      <c r="J1" s="1"/>
      <c r="K1" s="1"/>
      <c r="L1" s="1"/>
      <c r="M1" s="1"/>
      <c r="N1" s="1"/>
      <c r="O1" s="1"/>
      <c r="P1" s="1"/>
      <c r="Q1" s="1"/>
      <c r="R1" s="1"/>
      <c r="S1" s="1"/>
      <c r="T1" s="1"/>
      <c r="U1" s="1"/>
      <c r="V1" s="1"/>
      <c r="W1" s="1"/>
      <c r="X1" s="1"/>
      <c r="Y1" s="1"/>
      <c r="Z1" s="1"/>
      <c r="AA1" s="1"/>
      <c r="AB1" s="1"/>
    </row>
    <row r="2" spans="1:28" ht="18" customHeight="1" x14ac:dyDescent="0.25">
      <c r="A2" s="165" t="s">
        <v>1</v>
      </c>
      <c r="B2" s="166"/>
      <c r="C2" s="168" t="s">
        <v>17</v>
      </c>
      <c r="D2" s="178"/>
      <c r="E2" s="178"/>
      <c r="F2" s="7"/>
      <c r="G2" s="8"/>
      <c r="H2" s="9"/>
      <c r="I2" s="10"/>
      <c r="J2" s="1"/>
      <c r="K2" s="1"/>
      <c r="L2" s="1"/>
      <c r="M2" s="1"/>
      <c r="N2" s="1"/>
      <c r="O2" s="1"/>
      <c r="P2" s="1"/>
      <c r="Q2" s="1"/>
      <c r="R2" s="1"/>
      <c r="S2" s="1"/>
      <c r="T2" s="1"/>
      <c r="U2" s="1"/>
      <c r="V2" s="1"/>
      <c r="W2" s="1"/>
      <c r="X2" s="1"/>
      <c r="Y2" s="1"/>
      <c r="Z2" s="1"/>
      <c r="AA2" s="1"/>
      <c r="AB2" s="1"/>
    </row>
    <row r="3" spans="1:28" ht="18" customHeight="1" x14ac:dyDescent="0.25">
      <c r="A3" s="165" t="s">
        <v>2</v>
      </c>
      <c r="B3" s="166"/>
      <c r="C3" s="168" t="s">
        <v>16</v>
      </c>
      <c r="D3" s="178"/>
      <c r="E3" s="178"/>
      <c r="F3" s="7"/>
      <c r="G3" s="8"/>
      <c r="H3" s="9"/>
      <c r="I3" s="10"/>
      <c r="J3" s="1"/>
      <c r="K3" s="1"/>
      <c r="L3" s="1"/>
      <c r="M3" s="1"/>
      <c r="N3" s="1"/>
      <c r="O3" s="1"/>
      <c r="P3" s="1"/>
      <c r="Q3" s="1"/>
      <c r="R3" s="1"/>
      <c r="S3" s="1"/>
      <c r="T3" s="1"/>
      <c r="U3" s="1"/>
      <c r="V3" s="1"/>
      <c r="W3" s="1"/>
      <c r="X3" s="1"/>
      <c r="Y3" s="1"/>
      <c r="Z3" s="1"/>
      <c r="AA3" s="1"/>
      <c r="AB3" s="1"/>
    </row>
    <row r="4" spans="1:28" ht="30.75" customHeight="1" x14ac:dyDescent="0.25">
      <c r="A4" s="165" t="s">
        <v>18</v>
      </c>
      <c r="B4" s="167"/>
      <c r="C4" s="168" t="s">
        <v>97</v>
      </c>
      <c r="D4" s="168"/>
      <c r="E4" s="168"/>
      <c r="F4" s="7"/>
      <c r="G4" s="8"/>
      <c r="H4" s="9"/>
      <c r="I4" s="10"/>
      <c r="J4" s="1"/>
      <c r="K4" s="1"/>
      <c r="L4" s="1"/>
      <c r="M4" s="1"/>
      <c r="N4" s="1"/>
      <c r="O4" s="1"/>
      <c r="P4" s="1"/>
      <c r="Q4" s="1"/>
      <c r="R4" s="1"/>
      <c r="S4" s="1"/>
      <c r="T4" s="1"/>
      <c r="U4" s="1"/>
      <c r="V4" s="1"/>
      <c r="W4" s="1"/>
      <c r="X4" s="1"/>
      <c r="Y4" s="1"/>
      <c r="Z4" s="1"/>
      <c r="AA4" s="1"/>
      <c r="AB4" s="1"/>
    </row>
    <row r="5" spans="1:28" ht="19.5" customHeight="1" x14ac:dyDescent="0.25">
      <c r="A5" s="165" t="s">
        <v>3</v>
      </c>
      <c r="B5" s="166"/>
      <c r="C5" s="11">
        <v>2021</v>
      </c>
      <c r="D5" s="13"/>
      <c r="E5" s="12"/>
      <c r="F5" s="7"/>
      <c r="G5" s="8"/>
      <c r="H5" s="9"/>
      <c r="I5" s="10"/>
      <c r="J5" s="1"/>
      <c r="K5" s="1"/>
      <c r="L5" s="1"/>
      <c r="M5" s="1"/>
      <c r="N5" s="1"/>
      <c r="O5" s="1"/>
      <c r="P5" s="1"/>
      <c r="Q5" s="1"/>
      <c r="R5" s="1"/>
      <c r="S5" s="1"/>
      <c r="T5" s="1"/>
      <c r="U5" s="1"/>
      <c r="V5" s="1"/>
      <c r="W5" s="1"/>
      <c r="X5" s="1"/>
      <c r="Y5" s="1"/>
      <c r="Z5" s="1"/>
      <c r="AA5" s="1"/>
      <c r="AB5" s="1"/>
    </row>
    <row r="6" spans="1:28" ht="16.5" customHeight="1" x14ac:dyDescent="0.25">
      <c r="A6" s="165" t="s">
        <v>4</v>
      </c>
      <c r="B6" s="166"/>
      <c r="C6" s="11">
        <v>3</v>
      </c>
      <c r="D6" s="13"/>
      <c r="E6" s="12"/>
      <c r="F6" s="7"/>
      <c r="G6" s="8"/>
      <c r="H6" s="9"/>
      <c r="I6" s="10"/>
      <c r="J6" s="1"/>
      <c r="K6" s="1"/>
      <c r="L6" s="1"/>
      <c r="M6" s="1"/>
      <c r="N6" s="1"/>
      <c r="O6" s="1"/>
      <c r="P6" s="1"/>
      <c r="Q6" s="1"/>
      <c r="R6" s="1"/>
      <c r="S6" s="1"/>
      <c r="T6" s="1"/>
      <c r="U6" s="1"/>
      <c r="V6" s="1"/>
      <c r="W6" s="1"/>
      <c r="X6" s="1"/>
      <c r="Y6" s="1"/>
      <c r="Z6" s="1"/>
      <c r="AA6" s="1"/>
      <c r="AB6" s="1"/>
    </row>
    <row r="7" spans="1:28" ht="75" x14ac:dyDescent="0.2">
      <c r="A7" s="15" t="s">
        <v>5</v>
      </c>
      <c r="B7" s="15" t="s">
        <v>6</v>
      </c>
      <c r="C7" s="15" t="s">
        <v>7</v>
      </c>
      <c r="D7" s="15" t="s">
        <v>8</v>
      </c>
      <c r="E7" s="15" t="s">
        <v>9</v>
      </c>
      <c r="F7" s="15" t="s">
        <v>10</v>
      </c>
      <c r="G7" s="15" t="s">
        <v>11</v>
      </c>
      <c r="H7" s="16" t="s">
        <v>12</v>
      </c>
      <c r="I7" s="15" t="s">
        <v>13</v>
      </c>
      <c r="J7" s="1"/>
      <c r="K7" s="1"/>
      <c r="L7" s="1"/>
      <c r="M7" s="1"/>
      <c r="N7" s="1"/>
      <c r="O7" s="1"/>
      <c r="P7" s="1"/>
      <c r="Q7" s="1"/>
      <c r="R7" s="1"/>
      <c r="S7" s="1"/>
      <c r="T7" s="1"/>
      <c r="U7" s="1"/>
      <c r="V7" s="1"/>
      <c r="W7" s="1"/>
      <c r="X7" s="1"/>
      <c r="Y7" s="1"/>
      <c r="Z7" s="1"/>
      <c r="AA7" s="1"/>
      <c r="AB7" s="1"/>
    </row>
    <row r="8" spans="1:28" ht="50.1" customHeight="1" x14ac:dyDescent="0.2">
      <c r="A8" s="28">
        <v>1</v>
      </c>
      <c r="B8" s="21" t="s">
        <v>19</v>
      </c>
      <c r="C8" s="88" t="s">
        <v>20</v>
      </c>
      <c r="D8" s="27" t="s">
        <v>21</v>
      </c>
      <c r="E8" s="22" t="s">
        <v>22</v>
      </c>
      <c r="F8" s="23" t="s">
        <v>14</v>
      </c>
      <c r="G8" s="24">
        <v>10</v>
      </c>
      <c r="H8" s="25">
        <v>600</v>
      </c>
      <c r="I8" s="26">
        <f t="shared" ref="I8:I17" si="0">G8*H8</f>
        <v>6000</v>
      </c>
      <c r="J8" s="2"/>
      <c r="K8" s="2"/>
      <c r="L8" s="2"/>
      <c r="M8" s="2"/>
      <c r="N8" s="2"/>
      <c r="O8" s="2"/>
      <c r="P8" s="2"/>
      <c r="Q8" s="2"/>
      <c r="R8" s="2"/>
      <c r="S8" s="2"/>
      <c r="T8" s="2"/>
      <c r="U8" s="2"/>
      <c r="V8" s="2"/>
      <c r="W8" s="2"/>
      <c r="X8" s="2"/>
      <c r="Y8" s="2"/>
      <c r="Z8" s="2"/>
      <c r="AA8" s="2"/>
      <c r="AB8" s="2"/>
    </row>
    <row r="9" spans="1:28" ht="50.1" customHeight="1" x14ac:dyDescent="0.2">
      <c r="A9" s="20">
        <v>2</v>
      </c>
      <c r="B9" s="37" t="s">
        <v>25</v>
      </c>
      <c r="C9" s="38" t="s">
        <v>20</v>
      </c>
      <c r="D9" s="43" t="s">
        <v>26</v>
      </c>
      <c r="E9" s="87" t="s">
        <v>27</v>
      </c>
      <c r="F9" s="41" t="s">
        <v>14</v>
      </c>
      <c r="G9" s="39">
        <v>10</v>
      </c>
      <c r="H9" s="40">
        <v>60</v>
      </c>
      <c r="I9" s="42">
        <f t="shared" si="0"/>
        <v>600</v>
      </c>
      <c r="J9" s="2"/>
      <c r="K9" s="2"/>
      <c r="L9" s="2"/>
      <c r="M9" s="2"/>
      <c r="N9" s="2"/>
      <c r="O9" s="2"/>
      <c r="P9" s="2"/>
      <c r="Q9" s="2"/>
      <c r="R9" s="2"/>
      <c r="S9" s="2"/>
      <c r="T9" s="2"/>
      <c r="U9" s="2"/>
      <c r="V9" s="2"/>
      <c r="W9" s="2"/>
      <c r="X9" s="2"/>
      <c r="Y9" s="2"/>
      <c r="Z9" s="2"/>
      <c r="AA9" s="2"/>
      <c r="AB9" s="2"/>
    </row>
    <row r="10" spans="1:28" ht="50.1" customHeight="1" x14ac:dyDescent="0.2">
      <c r="A10" s="20">
        <v>3</v>
      </c>
      <c r="B10" s="37" t="s">
        <v>28</v>
      </c>
      <c r="C10" s="38" t="s">
        <v>20</v>
      </c>
      <c r="D10" s="43" t="s">
        <v>26</v>
      </c>
      <c r="E10" s="87" t="s">
        <v>29</v>
      </c>
      <c r="F10" s="41" t="s">
        <v>14</v>
      </c>
      <c r="G10" s="39">
        <v>10</v>
      </c>
      <c r="H10" s="40">
        <v>85</v>
      </c>
      <c r="I10" s="42">
        <f t="shared" si="0"/>
        <v>850</v>
      </c>
      <c r="J10" s="2"/>
      <c r="K10" s="2"/>
      <c r="L10" s="2"/>
      <c r="M10" s="2"/>
      <c r="N10" s="2"/>
      <c r="O10" s="2"/>
      <c r="P10" s="2"/>
      <c r="Q10" s="2"/>
      <c r="R10" s="2"/>
      <c r="S10" s="2"/>
      <c r="T10" s="2"/>
      <c r="U10" s="2"/>
      <c r="V10" s="2"/>
      <c r="W10" s="2"/>
      <c r="X10" s="2"/>
      <c r="Y10" s="2"/>
      <c r="Z10" s="2"/>
      <c r="AA10" s="2"/>
      <c r="AB10" s="2"/>
    </row>
    <row r="11" spans="1:28" ht="50.1" customHeight="1" x14ac:dyDescent="0.2">
      <c r="A11" s="20">
        <v>4</v>
      </c>
      <c r="B11" s="44" t="s">
        <v>30</v>
      </c>
      <c r="C11" s="45" t="s">
        <v>20</v>
      </c>
      <c r="D11" s="51" t="s">
        <v>26</v>
      </c>
      <c r="E11" s="46" t="s">
        <v>31</v>
      </c>
      <c r="F11" s="49" t="s">
        <v>14</v>
      </c>
      <c r="G11" s="47">
        <v>1</v>
      </c>
      <c r="H11" s="48">
        <v>990</v>
      </c>
      <c r="I11" s="50">
        <f t="shared" si="0"/>
        <v>990</v>
      </c>
      <c r="J11" s="2"/>
      <c r="K11" s="2"/>
      <c r="L11" s="2"/>
      <c r="M11" s="2"/>
      <c r="N11" s="2"/>
      <c r="O11" s="2"/>
      <c r="P11" s="2"/>
      <c r="Q11" s="2"/>
      <c r="R11" s="2"/>
      <c r="S11" s="2"/>
      <c r="T11" s="2"/>
      <c r="U11" s="2"/>
      <c r="V11" s="2"/>
      <c r="W11" s="2"/>
      <c r="X11" s="2"/>
      <c r="Y11" s="2"/>
      <c r="Z11" s="2"/>
      <c r="AA11" s="2"/>
      <c r="AB11" s="2"/>
    </row>
    <row r="12" spans="1:28" ht="50.1" customHeight="1" x14ac:dyDescent="0.2">
      <c r="A12" s="20">
        <v>5</v>
      </c>
      <c r="B12" s="44" t="s">
        <v>32</v>
      </c>
      <c r="C12" s="45" t="s">
        <v>20</v>
      </c>
      <c r="D12" s="51" t="s">
        <v>26</v>
      </c>
      <c r="E12" s="46" t="s">
        <v>33</v>
      </c>
      <c r="F12" s="49" t="s">
        <v>14</v>
      </c>
      <c r="G12" s="47">
        <v>4</v>
      </c>
      <c r="H12" s="48">
        <v>150</v>
      </c>
      <c r="I12" s="50">
        <f t="shared" si="0"/>
        <v>600</v>
      </c>
      <c r="J12" s="2"/>
      <c r="K12" s="2"/>
      <c r="L12" s="2"/>
      <c r="M12" s="2"/>
      <c r="N12" s="2"/>
      <c r="O12" s="2"/>
      <c r="P12" s="2"/>
      <c r="Q12" s="2"/>
      <c r="R12" s="2"/>
      <c r="S12" s="2"/>
      <c r="T12" s="2"/>
      <c r="U12" s="2"/>
      <c r="V12" s="2"/>
      <c r="W12" s="2"/>
      <c r="X12" s="2"/>
      <c r="Y12" s="2"/>
      <c r="Z12" s="2"/>
      <c r="AA12" s="2"/>
      <c r="AB12" s="2"/>
    </row>
    <row r="13" spans="1:28" ht="50.1" customHeight="1" x14ac:dyDescent="0.2">
      <c r="A13" s="20">
        <v>6</v>
      </c>
      <c r="B13" s="52" t="s">
        <v>34</v>
      </c>
      <c r="C13" s="53" t="s">
        <v>20</v>
      </c>
      <c r="D13" s="59" t="s">
        <v>26</v>
      </c>
      <c r="E13" s="54" t="s">
        <v>35</v>
      </c>
      <c r="F13" s="57" t="s">
        <v>14</v>
      </c>
      <c r="G13" s="55">
        <v>2</v>
      </c>
      <c r="H13" s="56">
        <v>2000</v>
      </c>
      <c r="I13" s="58">
        <f t="shared" si="0"/>
        <v>4000</v>
      </c>
      <c r="J13" s="2"/>
      <c r="K13" s="2"/>
      <c r="L13" s="2"/>
      <c r="M13" s="2"/>
      <c r="N13" s="2"/>
      <c r="O13" s="2"/>
      <c r="P13" s="2"/>
      <c r="Q13" s="2"/>
      <c r="R13" s="2"/>
      <c r="S13" s="2"/>
      <c r="T13" s="2"/>
      <c r="U13" s="2"/>
      <c r="V13" s="2"/>
      <c r="W13" s="2"/>
      <c r="X13" s="2"/>
      <c r="Y13" s="2"/>
      <c r="Z13" s="2"/>
      <c r="AA13" s="2"/>
      <c r="AB13" s="2"/>
    </row>
    <row r="14" spans="1:28" ht="50.1" customHeight="1" x14ac:dyDescent="0.2">
      <c r="A14" s="20">
        <v>7</v>
      </c>
      <c r="B14" s="60" t="s">
        <v>37</v>
      </c>
      <c r="C14" s="89" t="s">
        <v>20</v>
      </c>
      <c r="D14" s="65" t="s">
        <v>26</v>
      </c>
      <c r="E14" s="61" t="s">
        <v>36</v>
      </c>
      <c r="F14" s="63" t="s">
        <v>14</v>
      </c>
      <c r="G14" s="64">
        <v>20</v>
      </c>
      <c r="H14" s="62">
        <v>150</v>
      </c>
      <c r="I14" s="58">
        <f t="shared" si="0"/>
        <v>3000</v>
      </c>
      <c r="J14" s="2"/>
      <c r="K14" s="2"/>
      <c r="L14" s="2"/>
      <c r="M14" s="2"/>
      <c r="N14" s="2"/>
      <c r="O14" s="2"/>
      <c r="P14" s="2"/>
      <c r="Q14" s="2"/>
      <c r="R14" s="2"/>
      <c r="S14" s="2"/>
      <c r="T14" s="2"/>
      <c r="U14" s="2"/>
      <c r="V14" s="2"/>
      <c r="W14" s="2"/>
      <c r="X14" s="2"/>
      <c r="Y14" s="2"/>
      <c r="Z14" s="2"/>
      <c r="AA14" s="2"/>
      <c r="AB14" s="2"/>
    </row>
    <row r="15" spans="1:28" ht="50.1" customHeight="1" x14ac:dyDescent="0.2">
      <c r="A15" s="20">
        <v>8</v>
      </c>
      <c r="B15" s="19" t="s">
        <v>48</v>
      </c>
      <c r="C15" s="83" t="s">
        <v>20</v>
      </c>
      <c r="D15" s="84" t="s">
        <v>26</v>
      </c>
      <c r="E15" s="85" t="s">
        <v>49</v>
      </c>
      <c r="F15" s="18" t="s">
        <v>50</v>
      </c>
      <c r="G15" s="17">
        <v>1</v>
      </c>
      <c r="H15" s="86">
        <v>1500</v>
      </c>
      <c r="I15" s="58">
        <f t="shared" si="0"/>
        <v>1500</v>
      </c>
      <c r="J15" s="2"/>
      <c r="K15" s="2"/>
      <c r="L15" s="2"/>
      <c r="M15" s="2"/>
      <c r="N15" s="2"/>
      <c r="O15" s="2"/>
      <c r="P15" s="2"/>
      <c r="Q15" s="2"/>
      <c r="R15" s="2"/>
      <c r="S15" s="2"/>
      <c r="T15" s="2"/>
      <c r="U15" s="2"/>
      <c r="V15" s="2"/>
      <c r="W15" s="2"/>
      <c r="X15" s="2"/>
      <c r="Y15" s="2"/>
      <c r="Z15" s="2"/>
      <c r="AA15" s="2"/>
      <c r="AB15" s="2"/>
    </row>
    <row r="16" spans="1:28" ht="50.1" customHeight="1" x14ac:dyDescent="0.2">
      <c r="A16" s="20">
        <v>9</v>
      </c>
      <c r="B16" s="19" t="s">
        <v>41</v>
      </c>
      <c r="C16" s="83" t="s">
        <v>20</v>
      </c>
      <c r="D16" s="84" t="s">
        <v>26</v>
      </c>
      <c r="E16" s="85" t="s">
        <v>42</v>
      </c>
      <c r="F16" s="18" t="s">
        <v>14</v>
      </c>
      <c r="G16" s="17">
        <v>5</v>
      </c>
      <c r="H16" s="86">
        <v>100</v>
      </c>
      <c r="I16" s="58">
        <f t="shared" si="0"/>
        <v>500</v>
      </c>
      <c r="J16" s="2"/>
      <c r="K16" s="2"/>
      <c r="L16" s="2"/>
      <c r="M16" s="2"/>
      <c r="N16" s="2"/>
      <c r="O16" s="2"/>
      <c r="P16" s="2"/>
      <c r="Q16" s="2"/>
      <c r="R16" s="2"/>
      <c r="S16" s="2"/>
      <c r="T16" s="2"/>
      <c r="U16" s="2"/>
      <c r="V16" s="2"/>
      <c r="W16" s="2"/>
      <c r="X16" s="2"/>
      <c r="Y16" s="2"/>
      <c r="Z16" s="2"/>
      <c r="AA16" s="2"/>
      <c r="AB16" s="2"/>
    </row>
    <row r="17" spans="1:28" ht="50.1" customHeight="1" x14ac:dyDescent="0.2">
      <c r="A17" s="20">
        <v>10</v>
      </c>
      <c r="B17" s="60" t="s">
        <v>43</v>
      </c>
      <c r="C17" s="89" t="s">
        <v>20</v>
      </c>
      <c r="D17" s="65" t="s">
        <v>21</v>
      </c>
      <c r="E17" s="61" t="s">
        <v>44</v>
      </c>
      <c r="F17" s="63" t="s">
        <v>14</v>
      </c>
      <c r="G17" s="64">
        <v>10</v>
      </c>
      <c r="H17" s="99">
        <v>800</v>
      </c>
      <c r="I17" s="58">
        <f t="shared" si="0"/>
        <v>8000</v>
      </c>
      <c r="J17" s="2"/>
      <c r="K17" s="2"/>
      <c r="L17" s="2"/>
      <c r="M17" s="2"/>
      <c r="N17" s="2"/>
      <c r="O17" s="2"/>
      <c r="P17" s="2"/>
      <c r="Q17" s="2"/>
      <c r="R17" s="2"/>
      <c r="S17" s="2"/>
      <c r="T17" s="2"/>
      <c r="U17" s="2"/>
      <c r="V17" s="2"/>
      <c r="W17" s="2"/>
      <c r="X17" s="2"/>
      <c r="Y17" s="2"/>
      <c r="Z17" s="2"/>
      <c r="AA17" s="2"/>
      <c r="AB17" s="2"/>
    </row>
    <row r="18" spans="1:28" ht="24.95" customHeight="1" x14ac:dyDescent="0.25">
      <c r="A18" s="169" t="s">
        <v>39</v>
      </c>
      <c r="B18" s="169"/>
      <c r="C18" s="169"/>
      <c r="D18" s="169"/>
      <c r="E18" s="169"/>
      <c r="F18" s="169"/>
      <c r="G18" s="169"/>
      <c r="H18" s="100"/>
      <c r="I18" s="98">
        <f>SUM(I8:I17)</f>
        <v>26040</v>
      </c>
      <c r="J18" s="3"/>
      <c r="K18" s="1"/>
      <c r="L18" s="1"/>
      <c r="M18" s="1"/>
      <c r="N18" s="1"/>
      <c r="O18" s="1"/>
      <c r="P18" s="1"/>
      <c r="Q18" s="1"/>
      <c r="R18" s="1"/>
      <c r="S18" s="1"/>
      <c r="T18" s="1"/>
      <c r="U18" s="1"/>
      <c r="V18" s="1"/>
      <c r="W18" s="1"/>
      <c r="X18" s="1"/>
      <c r="Y18" s="1"/>
      <c r="Z18" s="1"/>
      <c r="AA18" s="1"/>
      <c r="AB18" s="1"/>
    </row>
    <row r="19" spans="1:28" ht="15.75" customHeight="1" thickBot="1" x14ac:dyDescent="0.25">
      <c r="A19" s="93"/>
      <c r="B19" s="94"/>
      <c r="C19" s="94"/>
      <c r="D19" s="94"/>
      <c r="E19" s="94"/>
      <c r="F19" s="94"/>
      <c r="G19" s="94"/>
      <c r="H19" s="97"/>
      <c r="I19" s="96"/>
      <c r="J19" s="95"/>
      <c r="K19" s="1"/>
      <c r="L19" s="1"/>
      <c r="M19" s="1"/>
      <c r="N19" s="1"/>
      <c r="O19" s="1"/>
      <c r="P19" s="1"/>
      <c r="Q19" s="1"/>
      <c r="R19" s="1"/>
      <c r="S19" s="1"/>
      <c r="T19" s="1"/>
      <c r="U19" s="1"/>
      <c r="V19" s="1"/>
      <c r="W19" s="1"/>
      <c r="X19" s="1"/>
      <c r="Y19" s="1"/>
      <c r="Z19" s="1"/>
      <c r="AA19" s="1"/>
      <c r="AB19" s="1"/>
    </row>
    <row r="20" spans="1:28" ht="15.75" customHeight="1" x14ac:dyDescent="0.25">
      <c r="A20" s="90"/>
      <c r="B20" s="79" t="s">
        <v>40</v>
      </c>
      <c r="C20" s="80"/>
      <c r="D20" s="81"/>
      <c r="E20" s="82"/>
      <c r="F20" s="90"/>
      <c r="G20" s="90"/>
      <c r="H20" s="90"/>
      <c r="I20" s="90"/>
      <c r="J20" s="1"/>
      <c r="K20" s="1"/>
      <c r="L20" s="1"/>
      <c r="M20" s="1"/>
      <c r="N20" s="1"/>
      <c r="O20" s="1"/>
      <c r="P20" s="1"/>
      <c r="Q20" s="1"/>
      <c r="R20" s="1"/>
      <c r="S20" s="1"/>
      <c r="T20" s="1"/>
      <c r="U20" s="1"/>
      <c r="V20" s="1"/>
      <c r="W20" s="1"/>
      <c r="X20" s="1"/>
      <c r="Y20" s="1"/>
      <c r="Z20" s="1"/>
      <c r="AA20" s="1"/>
      <c r="AB20" s="1"/>
    </row>
    <row r="21" spans="1:28" ht="15.75" customHeight="1" x14ac:dyDescent="0.2">
      <c r="B21" s="170" t="s">
        <v>47</v>
      </c>
      <c r="C21" s="171"/>
      <c r="D21" s="171"/>
      <c r="E21" s="172"/>
      <c r="J21" s="1"/>
      <c r="K21" s="1"/>
      <c r="L21" s="1"/>
      <c r="M21" s="1"/>
      <c r="N21" s="1"/>
      <c r="O21" s="1"/>
      <c r="P21" s="1"/>
      <c r="Q21" s="1"/>
      <c r="R21" s="1"/>
      <c r="S21" s="1"/>
      <c r="T21" s="1"/>
      <c r="U21" s="1"/>
      <c r="V21" s="1"/>
      <c r="W21" s="1"/>
      <c r="X21" s="1"/>
      <c r="Y21" s="1"/>
      <c r="Z21" s="1"/>
      <c r="AA21" s="1"/>
      <c r="AB21" s="1"/>
    </row>
    <row r="22" spans="1:28" ht="15.75" customHeight="1" x14ac:dyDescent="0.2">
      <c r="B22" s="170"/>
      <c r="C22" s="171"/>
      <c r="D22" s="171"/>
      <c r="E22" s="172"/>
      <c r="J22" s="3"/>
      <c r="K22" s="1"/>
      <c r="L22" s="1"/>
      <c r="M22" s="1"/>
      <c r="N22" s="1"/>
      <c r="O22" s="1"/>
      <c r="P22" s="1"/>
      <c r="Q22" s="1"/>
      <c r="R22" s="1"/>
      <c r="S22" s="1"/>
      <c r="T22" s="1"/>
      <c r="U22" s="1"/>
      <c r="V22" s="1"/>
      <c r="W22" s="1"/>
      <c r="X22" s="1"/>
      <c r="Y22" s="1"/>
      <c r="Z22" s="1"/>
      <c r="AA22" s="1"/>
      <c r="AB22" s="1"/>
    </row>
    <row r="23" spans="1:28" ht="15.75" customHeight="1" x14ac:dyDescent="0.25">
      <c r="A23" s="92"/>
      <c r="B23" s="170"/>
      <c r="C23" s="171"/>
      <c r="D23" s="171"/>
      <c r="E23" s="172"/>
      <c r="F23" s="74"/>
      <c r="G23" s="74"/>
      <c r="H23" s="74"/>
      <c r="I23" s="91"/>
      <c r="J23" s="1"/>
      <c r="K23" s="1"/>
      <c r="L23" s="1"/>
      <c r="M23" s="1"/>
      <c r="N23" s="1"/>
      <c r="O23" s="1"/>
      <c r="P23" s="1"/>
      <c r="Q23" s="1"/>
      <c r="R23" s="1"/>
      <c r="S23" s="1"/>
      <c r="T23" s="1"/>
      <c r="U23" s="1"/>
      <c r="V23" s="1"/>
      <c r="W23" s="1"/>
      <c r="X23" s="1"/>
      <c r="Y23" s="1"/>
      <c r="Z23" s="1"/>
      <c r="AA23" s="1"/>
      <c r="AB23" s="1"/>
    </row>
    <row r="24" spans="1:28" ht="15.75" customHeight="1" x14ac:dyDescent="0.2">
      <c r="B24" s="170"/>
      <c r="C24" s="171"/>
      <c r="D24" s="171"/>
      <c r="E24" s="172"/>
      <c r="J24" s="1"/>
      <c r="K24" s="1"/>
      <c r="L24" s="1"/>
      <c r="M24" s="1"/>
      <c r="N24" s="1"/>
      <c r="O24" s="1"/>
      <c r="P24" s="1"/>
      <c r="Q24" s="1"/>
      <c r="R24" s="1"/>
      <c r="S24" s="1"/>
      <c r="T24" s="1"/>
      <c r="U24" s="1"/>
      <c r="V24" s="1"/>
      <c r="W24" s="1"/>
      <c r="X24" s="1"/>
      <c r="Y24" s="1"/>
      <c r="Z24" s="1"/>
      <c r="AA24" s="1"/>
      <c r="AB24" s="1"/>
    </row>
    <row r="25" spans="1:28" ht="15.75" customHeight="1" thickBot="1" x14ac:dyDescent="0.25">
      <c r="B25" s="173"/>
      <c r="C25" s="174"/>
      <c r="D25" s="174"/>
      <c r="E25" s="175"/>
      <c r="J25" s="1"/>
      <c r="K25" s="1"/>
      <c r="L25" s="1"/>
      <c r="M25" s="1"/>
      <c r="N25" s="1"/>
      <c r="O25" s="1"/>
      <c r="P25" s="1"/>
      <c r="Q25" s="1"/>
      <c r="R25" s="1"/>
      <c r="S25" s="1"/>
      <c r="T25" s="1"/>
      <c r="U25" s="1"/>
      <c r="V25" s="1"/>
      <c r="W25" s="1"/>
      <c r="X25" s="1"/>
      <c r="Y25" s="1"/>
      <c r="Z25" s="1"/>
      <c r="AA25" s="1"/>
      <c r="AB25" s="1"/>
    </row>
    <row r="27" spans="1:28" ht="13.5" thickBot="1" x14ac:dyDescent="0.25"/>
    <row r="28" spans="1:28" ht="15.75" x14ac:dyDescent="0.25">
      <c r="B28" s="29" t="s">
        <v>23</v>
      </c>
      <c r="C28" s="30"/>
      <c r="D28" s="30"/>
      <c r="E28" s="31"/>
    </row>
    <row r="29" spans="1:28" ht="15.75" x14ac:dyDescent="0.25">
      <c r="B29" s="32"/>
      <c r="C29" s="35"/>
      <c r="D29" s="35"/>
      <c r="E29" s="33"/>
    </row>
    <row r="30" spans="1:28" ht="15.75" x14ac:dyDescent="0.25">
      <c r="B30" s="34" t="s">
        <v>15</v>
      </c>
      <c r="C30" s="35"/>
      <c r="D30" s="35"/>
      <c r="E30" s="33"/>
    </row>
    <row r="31" spans="1:28" ht="16.5" thickBot="1" x14ac:dyDescent="0.3">
      <c r="B31" s="75"/>
      <c r="C31" s="161" t="s">
        <v>24</v>
      </c>
      <c r="D31" s="161"/>
      <c r="E31" s="162"/>
    </row>
    <row r="32" spans="1:28" ht="15.75" x14ac:dyDescent="0.25">
      <c r="B32" s="76"/>
      <c r="C32" s="36"/>
      <c r="D32" s="36"/>
      <c r="E32" s="36"/>
    </row>
    <row r="33" spans="1:6" ht="16.5" thickBot="1" x14ac:dyDescent="0.3">
      <c r="B33" s="76"/>
      <c r="C33" s="36"/>
      <c r="D33" s="36"/>
      <c r="E33" s="36"/>
    </row>
    <row r="34" spans="1:6" ht="15.75" x14ac:dyDescent="0.25">
      <c r="B34" s="66" t="s">
        <v>100</v>
      </c>
      <c r="C34" s="67"/>
      <c r="D34" s="67"/>
      <c r="E34" s="68"/>
    </row>
    <row r="35" spans="1:6" ht="15.75" x14ac:dyDescent="0.25">
      <c r="B35" s="69"/>
      <c r="C35" s="72"/>
      <c r="D35" s="72"/>
      <c r="E35" s="70"/>
    </row>
    <row r="36" spans="1:6" ht="15.75" x14ac:dyDescent="0.25">
      <c r="B36" s="71" t="s">
        <v>15</v>
      </c>
      <c r="C36" s="72"/>
      <c r="D36" s="72"/>
      <c r="E36" s="70"/>
    </row>
    <row r="37" spans="1:6" ht="16.5" thickBot="1" x14ac:dyDescent="0.3">
      <c r="B37" s="73"/>
      <c r="C37" s="163" t="s">
        <v>38</v>
      </c>
      <c r="D37" s="163"/>
      <c r="E37" s="164"/>
    </row>
    <row r="38" spans="1:6" ht="15.75" x14ac:dyDescent="0.25">
      <c r="B38" s="76"/>
      <c r="C38" s="36"/>
      <c r="D38" s="36"/>
      <c r="E38" s="36"/>
    </row>
    <row r="39" spans="1:6" ht="16.5" thickBot="1" x14ac:dyDescent="0.3">
      <c r="B39" s="76"/>
      <c r="C39" s="36"/>
      <c r="D39" s="36"/>
      <c r="E39" s="36"/>
    </row>
    <row r="40" spans="1:6" ht="15.75" x14ac:dyDescent="0.25">
      <c r="B40" s="66" t="s">
        <v>99</v>
      </c>
      <c r="C40" s="67"/>
      <c r="D40" s="67"/>
      <c r="E40" s="68"/>
    </row>
    <row r="41" spans="1:6" ht="15.75" x14ac:dyDescent="0.25">
      <c r="B41" s="69"/>
      <c r="C41" s="72"/>
      <c r="D41" s="72"/>
      <c r="E41" s="70"/>
    </row>
    <row r="42" spans="1:6" ht="15.75" x14ac:dyDescent="0.25">
      <c r="B42" s="71" t="s">
        <v>15</v>
      </c>
      <c r="C42" s="72"/>
      <c r="D42" s="72"/>
      <c r="E42" s="70"/>
    </row>
    <row r="43" spans="1:6" ht="16.5" thickBot="1" x14ac:dyDescent="0.3">
      <c r="B43" s="73"/>
      <c r="C43" s="163" t="s">
        <v>101</v>
      </c>
      <c r="D43" s="163"/>
      <c r="E43" s="164"/>
    </row>
    <row r="44" spans="1:6" ht="15.75" x14ac:dyDescent="0.25">
      <c r="A44" s="158"/>
      <c r="B44" s="160"/>
      <c r="C44" s="159"/>
      <c r="D44" s="159"/>
      <c r="E44" s="159"/>
      <c r="F44" s="158"/>
    </row>
    <row r="45" spans="1:6" ht="16.5" thickBot="1" x14ac:dyDescent="0.3">
      <c r="B45" s="76"/>
      <c r="C45" s="36"/>
      <c r="D45" s="36"/>
      <c r="E45" s="36"/>
    </row>
    <row r="46" spans="1:6" ht="15.75" x14ac:dyDescent="0.25">
      <c r="B46" s="29" t="s">
        <v>45</v>
      </c>
      <c r="C46" s="30"/>
      <c r="D46" s="30"/>
      <c r="E46" s="31"/>
    </row>
    <row r="47" spans="1:6" ht="15.75" x14ac:dyDescent="0.25">
      <c r="B47" s="32"/>
      <c r="C47" s="35"/>
      <c r="D47" s="35"/>
      <c r="E47" s="33"/>
    </row>
    <row r="48" spans="1:6" ht="15.75" x14ac:dyDescent="0.25">
      <c r="B48" s="34" t="s">
        <v>15</v>
      </c>
      <c r="C48" s="35"/>
      <c r="D48" s="35"/>
      <c r="E48" s="33"/>
    </row>
    <row r="49" spans="2:5" ht="16.5" thickBot="1" x14ac:dyDescent="0.3">
      <c r="B49" s="75"/>
      <c r="C49" s="161" t="s">
        <v>46</v>
      </c>
      <c r="D49" s="161"/>
      <c r="E49" s="162"/>
    </row>
    <row r="50" spans="2:5" x14ac:dyDescent="0.2">
      <c r="B50" s="4"/>
      <c r="D50" s="4"/>
    </row>
    <row r="52" spans="2:5" x14ac:dyDescent="0.2">
      <c r="B52" s="4"/>
      <c r="D52" s="4"/>
    </row>
    <row r="53" spans="2:5" x14ac:dyDescent="0.2">
      <c r="B53" s="4"/>
      <c r="D53" s="4"/>
    </row>
    <row r="54" spans="2:5" x14ac:dyDescent="0.2">
      <c r="B54" s="4"/>
      <c r="D54" s="4"/>
    </row>
    <row r="55" spans="2:5" x14ac:dyDescent="0.2">
      <c r="B55" s="4"/>
      <c r="D55" s="4"/>
    </row>
    <row r="56" spans="2:5" ht="15.75" x14ac:dyDescent="0.25">
      <c r="B56" s="77"/>
      <c r="C56" s="78"/>
      <c r="D56" s="78"/>
      <c r="E56" s="78"/>
    </row>
    <row r="58" spans="2:5" x14ac:dyDescent="0.2">
      <c r="B58" s="4"/>
      <c r="D58" s="4"/>
    </row>
    <row r="59" spans="2:5" x14ac:dyDescent="0.2">
      <c r="B59" s="4"/>
      <c r="D59" s="4"/>
    </row>
    <row r="60" spans="2:5" x14ac:dyDescent="0.2">
      <c r="B60" s="4"/>
      <c r="D60" s="4"/>
    </row>
    <row r="61" spans="2:5" x14ac:dyDescent="0.2">
      <c r="B61" s="4"/>
      <c r="D61" s="4"/>
    </row>
  </sheetData>
  <mergeCells count="15">
    <mergeCell ref="B1:H1"/>
    <mergeCell ref="A2:B2"/>
    <mergeCell ref="C2:E2"/>
    <mergeCell ref="A3:B3"/>
    <mergeCell ref="C3:E3"/>
    <mergeCell ref="C49:E49"/>
    <mergeCell ref="C37:E37"/>
    <mergeCell ref="C31:E31"/>
    <mergeCell ref="A5:B5"/>
    <mergeCell ref="A4:B4"/>
    <mergeCell ref="C4:E4"/>
    <mergeCell ref="A18:G18"/>
    <mergeCell ref="A6:B6"/>
    <mergeCell ref="B21:E25"/>
    <mergeCell ref="C43:E43"/>
  </mergeCells>
  <pageMargins left="0.7" right="0.7" top="0.75" bottom="0.75" header="0.3" footer="0.3"/>
  <pageSetup paperSize="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DBE86-DDD5-4A1A-B85E-14A0F4CE5703}">
  <dimension ref="A1:G21"/>
  <sheetViews>
    <sheetView tabSelected="1" topLeftCell="A16" workbookViewId="0">
      <selection activeCell="E19" sqref="E19"/>
    </sheetView>
  </sheetViews>
  <sheetFormatPr baseColWidth="10" defaultRowHeight="12.75" x14ac:dyDescent="0.2"/>
  <cols>
    <col min="1" max="1" width="5.5703125" customWidth="1"/>
    <col min="2" max="2" width="24.85546875" bestFit="1" customWidth="1"/>
    <col min="3" max="3" width="47" customWidth="1"/>
    <col min="4" max="4" width="17.85546875" customWidth="1"/>
    <col min="5" max="5" width="17.7109375" customWidth="1"/>
    <col min="6" max="6" width="17.42578125" customWidth="1"/>
    <col min="7" max="7" width="19.7109375" customWidth="1"/>
  </cols>
  <sheetData>
    <row r="1" spans="1:7" ht="23.25" x14ac:dyDescent="0.2">
      <c r="A1" s="181" t="s">
        <v>51</v>
      </c>
      <c r="B1" s="182"/>
      <c r="C1" s="182"/>
      <c r="D1" s="182"/>
      <c r="E1" s="182"/>
      <c r="F1" s="116" t="s">
        <v>52</v>
      </c>
      <c r="G1" s="115" t="s">
        <v>62</v>
      </c>
    </row>
    <row r="2" spans="1:7" x14ac:dyDescent="0.2">
      <c r="A2" s="111"/>
      <c r="B2" s="112"/>
      <c r="C2" s="113"/>
      <c r="D2" s="113"/>
      <c r="E2" s="112"/>
      <c r="F2" s="113"/>
      <c r="G2" s="114"/>
    </row>
    <row r="3" spans="1:7" ht="15" x14ac:dyDescent="0.2">
      <c r="A3" s="105"/>
      <c r="B3" s="106"/>
      <c r="C3" s="106"/>
      <c r="D3" s="106"/>
      <c r="E3" s="106"/>
      <c r="F3" s="107"/>
      <c r="G3" s="108"/>
    </row>
    <row r="4" spans="1:7" ht="15" x14ac:dyDescent="0.2">
      <c r="A4" s="183" t="s">
        <v>1</v>
      </c>
      <c r="B4" s="184"/>
      <c r="C4" s="179" t="s">
        <v>17</v>
      </c>
      <c r="D4" s="179"/>
      <c r="E4" s="179"/>
      <c r="F4" s="179"/>
      <c r="G4" s="109"/>
    </row>
    <row r="5" spans="1:7" ht="15" customHeight="1" x14ac:dyDescent="0.2">
      <c r="A5" s="185" t="s">
        <v>2</v>
      </c>
      <c r="B5" s="186"/>
      <c r="C5" s="180" t="s">
        <v>16</v>
      </c>
      <c r="D5" s="180"/>
      <c r="E5" s="180"/>
      <c r="F5" s="180"/>
      <c r="G5" s="110"/>
    </row>
    <row r="6" spans="1:7" ht="15" customHeight="1" x14ac:dyDescent="0.2">
      <c r="A6" s="185" t="s">
        <v>18</v>
      </c>
      <c r="B6" s="186"/>
      <c r="C6" s="180"/>
      <c r="D6" s="180"/>
      <c r="E6" s="180"/>
      <c r="F6" s="180"/>
      <c r="G6" s="110"/>
    </row>
    <row r="7" spans="1:7" ht="15" customHeight="1" x14ac:dyDescent="0.2">
      <c r="A7" s="185" t="s">
        <v>53</v>
      </c>
      <c r="B7" s="186"/>
      <c r="C7" s="180" t="s">
        <v>97</v>
      </c>
      <c r="D7" s="180"/>
      <c r="E7" s="180"/>
      <c r="F7" s="180"/>
      <c r="G7" s="110"/>
    </row>
    <row r="8" spans="1:7" ht="45" customHeight="1" x14ac:dyDescent="0.2">
      <c r="A8" s="185" t="s">
        <v>4</v>
      </c>
      <c r="B8" s="186"/>
      <c r="C8" s="102" t="s">
        <v>54</v>
      </c>
      <c r="D8" s="102"/>
      <c r="E8" s="101"/>
      <c r="F8" s="102"/>
      <c r="G8" s="110"/>
    </row>
    <row r="9" spans="1:7" ht="15" x14ac:dyDescent="0.2">
      <c r="A9" s="185" t="s">
        <v>55</v>
      </c>
      <c r="B9" s="186"/>
      <c r="C9" s="190" t="s">
        <v>56</v>
      </c>
      <c r="D9" s="190"/>
      <c r="E9" s="190"/>
      <c r="F9" s="190"/>
      <c r="G9" s="191"/>
    </row>
    <row r="10" spans="1:7" ht="45" x14ac:dyDescent="0.2">
      <c r="A10" s="103" t="s">
        <v>5</v>
      </c>
      <c r="B10" s="103" t="s">
        <v>57</v>
      </c>
      <c r="C10" s="103" t="s">
        <v>9</v>
      </c>
      <c r="D10" s="103" t="s">
        <v>58</v>
      </c>
      <c r="E10" s="103" t="s">
        <v>10</v>
      </c>
      <c r="F10" s="103" t="s">
        <v>12</v>
      </c>
      <c r="G10" s="104" t="s">
        <v>11</v>
      </c>
    </row>
    <row r="11" spans="1:7" ht="54.95" customHeight="1" x14ac:dyDescent="0.2">
      <c r="A11" s="118">
        <v>1</v>
      </c>
      <c r="B11" s="21" t="s">
        <v>19</v>
      </c>
      <c r="C11" s="22" t="s">
        <v>22</v>
      </c>
      <c r="D11" s="117" t="s">
        <v>59</v>
      </c>
      <c r="E11" s="23" t="s">
        <v>14</v>
      </c>
      <c r="F11" s="25">
        <v>600</v>
      </c>
      <c r="G11" s="24">
        <v>10</v>
      </c>
    </row>
    <row r="12" spans="1:7" ht="54.95" customHeight="1" x14ac:dyDescent="0.2">
      <c r="A12" s="120">
        <v>2</v>
      </c>
      <c r="B12" s="37" t="s">
        <v>25</v>
      </c>
      <c r="C12" s="87" t="s">
        <v>27</v>
      </c>
      <c r="D12" s="117" t="s">
        <v>60</v>
      </c>
      <c r="E12" s="41" t="s">
        <v>14</v>
      </c>
      <c r="F12" s="40">
        <v>60</v>
      </c>
      <c r="G12" s="39">
        <v>10</v>
      </c>
    </row>
    <row r="13" spans="1:7" ht="54.95" customHeight="1" x14ac:dyDescent="0.2">
      <c r="A13" s="120">
        <v>3</v>
      </c>
      <c r="B13" s="37" t="s">
        <v>28</v>
      </c>
      <c r="C13" s="87" t="s">
        <v>29</v>
      </c>
      <c r="D13" s="117" t="s">
        <v>60</v>
      </c>
      <c r="E13" s="41" t="s">
        <v>14</v>
      </c>
      <c r="F13" s="40">
        <v>85</v>
      </c>
      <c r="G13" s="39">
        <v>10</v>
      </c>
    </row>
    <row r="14" spans="1:7" ht="54.95" customHeight="1" x14ac:dyDescent="0.2">
      <c r="A14" s="119">
        <v>4</v>
      </c>
      <c r="B14" s="44" t="s">
        <v>30</v>
      </c>
      <c r="C14" s="46" t="s">
        <v>31</v>
      </c>
      <c r="D14" s="117" t="s">
        <v>60</v>
      </c>
      <c r="E14" s="49" t="s">
        <v>14</v>
      </c>
      <c r="F14" s="48">
        <v>990</v>
      </c>
      <c r="G14" s="47">
        <v>1</v>
      </c>
    </row>
    <row r="15" spans="1:7" ht="54.95" customHeight="1" x14ac:dyDescent="0.2">
      <c r="A15" s="119">
        <v>5</v>
      </c>
      <c r="B15" s="44" t="s">
        <v>32</v>
      </c>
      <c r="C15" s="46" t="s">
        <v>33</v>
      </c>
      <c r="D15" s="117" t="s">
        <v>60</v>
      </c>
      <c r="E15" s="49" t="s">
        <v>14</v>
      </c>
      <c r="F15" s="48">
        <v>150</v>
      </c>
      <c r="G15" s="47">
        <v>4</v>
      </c>
    </row>
    <row r="16" spans="1:7" s="4" customFormat="1" ht="54.95" customHeight="1" x14ac:dyDescent="0.2">
      <c r="A16" s="119">
        <v>6</v>
      </c>
      <c r="B16" s="52" t="s">
        <v>34</v>
      </c>
      <c r="C16" s="54" t="s">
        <v>35</v>
      </c>
      <c r="D16" s="117" t="s">
        <v>60</v>
      </c>
      <c r="E16" s="57" t="s">
        <v>14</v>
      </c>
      <c r="F16" s="56">
        <v>2000</v>
      </c>
      <c r="G16" s="55">
        <v>2</v>
      </c>
    </row>
    <row r="17" spans="1:7" s="4" customFormat="1" ht="54.95" customHeight="1" x14ac:dyDescent="0.2">
      <c r="A17" s="119">
        <v>7</v>
      </c>
      <c r="B17" s="60" t="s">
        <v>37</v>
      </c>
      <c r="C17" s="61" t="s">
        <v>36</v>
      </c>
      <c r="D17" s="117" t="s">
        <v>59</v>
      </c>
      <c r="E17" s="63" t="s">
        <v>14</v>
      </c>
      <c r="F17" s="62">
        <v>150</v>
      </c>
      <c r="G17" s="64">
        <v>20</v>
      </c>
    </row>
    <row r="18" spans="1:7" s="4" customFormat="1" ht="54.95" customHeight="1" x14ac:dyDescent="0.2">
      <c r="A18" s="119">
        <v>8</v>
      </c>
      <c r="B18" s="19" t="s">
        <v>48</v>
      </c>
      <c r="C18" s="85" t="s">
        <v>49</v>
      </c>
      <c r="D18" s="117" t="s">
        <v>59</v>
      </c>
      <c r="E18" s="18" t="s">
        <v>50</v>
      </c>
      <c r="F18" s="86">
        <v>1500</v>
      </c>
      <c r="G18" s="17">
        <v>1</v>
      </c>
    </row>
    <row r="19" spans="1:7" ht="54.95" customHeight="1" x14ac:dyDescent="0.2">
      <c r="A19" s="119">
        <v>9</v>
      </c>
      <c r="B19" s="19" t="s">
        <v>41</v>
      </c>
      <c r="C19" s="85" t="s">
        <v>42</v>
      </c>
      <c r="D19" s="117" t="s">
        <v>60</v>
      </c>
      <c r="E19" s="18" t="s">
        <v>14</v>
      </c>
      <c r="F19" s="86">
        <v>100</v>
      </c>
      <c r="G19" s="17">
        <v>5</v>
      </c>
    </row>
    <row r="20" spans="1:7" ht="54.95" customHeight="1" x14ac:dyDescent="0.2">
      <c r="A20" s="119">
        <v>10</v>
      </c>
      <c r="B20" s="60" t="s">
        <v>43</v>
      </c>
      <c r="C20" s="61" t="s">
        <v>44</v>
      </c>
      <c r="D20" s="117" t="s">
        <v>59</v>
      </c>
      <c r="E20" s="63" t="s">
        <v>14</v>
      </c>
      <c r="F20" s="99">
        <v>800</v>
      </c>
      <c r="G20" s="64">
        <v>10</v>
      </c>
    </row>
    <row r="21" spans="1:7" ht="21.75" customHeight="1" x14ac:dyDescent="0.2">
      <c r="A21" s="121"/>
      <c r="B21" s="122" t="s">
        <v>61</v>
      </c>
      <c r="C21" s="187" t="s">
        <v>63</v>
      </c>
      <c r="D21" s="187"/>
      <c r="E21" s="187"/>
      <c r="F21" s="188">
        <v>26040</v>
      </c>
      <c r="G21" s="189"/>
    </row>
  </sheetData>
  <mergeCells count="14">
    <mergeCell ref="A6:B6"/>
    <mergeCell ref="C6:F6"/>
    <mergeCell ref="A7:B7"/>
    <mergeCell ref="C7:F7"/>
    <mergeCell ref="C21:E21"/>
    <mergeCell ref="F21:G21"/>
    <mergeCell ref="A9:B9"/>
    <mergeCell ref="C9:G9"/>
    <mergeCell ref="A8:B8"/>
    <mergeCell ref="C4:F4"/>
    <mergeCell ref="C5:F5"/>
    <mergeCell ref="A1:E1"/>
    <mergeCell ref="A4:B4"/>
    <mergeCell ref="A5:B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CAFDD-5D8A-4F7B-AE28-696F014E8774}">
  <dimension ref="A1:Q26"/>
  <sheetViews>
    <sheetView topLeftCell="A16" workbookViewId="0">
      <selection activeCell="A11" sqref="A11"/>
    </sheetView>
  </sheetViews>
  <sheetFormatPr baseColWidth="10" defaultRowHeight="12.75" x14ac:dyDescent="0.2"/>
  <cols>
    <col min="1" max="15" width="5.7109375" customWidth="1"/>
    <col min="16" max="16" width="18.85546875" customWidth="1"/>
    <col min="17" max="17" width="24.85546875" customWidth="1"/>
  </cols>
  <sheetData>
    <row r="1" spans="1:17" ht="15.75" thickBot="1" x14ac:dyDescent="0.3">
      <c r="A1" s="207" t="s">
        <v>3</v>
      </c>
      <c r="B1" s="208"/>
      <c r="C1" s="208"/>
      <c r="D1" s="209">
        <v>2021</v>
      </c>
      <c r="E1" s="209"/>
      <c r="F1" s="124"/>
      <c r="G1" s="124"/>
      <c r="H1" s="125"/>
      <c r="I1" s="125"/>
      <c r="J1" s="125"/>
      <c r="K1" s="125"/>
      <c r="L1" s="125"/>
      <c r="M1" s="125"/>
      <c r="N1" s="125"/>
      <c r="O1" s="123"/>
      <c r="P1" s="201" t="s">
        <v>64</v>
      </c>
      <c r="Q1" s="201"/>
    </row>
    <row r="2" spans="1:17" ht="13.5" thickBot="1" x14ac:dyDescent="0.25">
      <c r="A2" s="123"/>
      <c r="B2" s="123"/>
      <c r="C2" s="123"/>
      <c r="D2" s="123"/>
      <c r="E2" s="123"/>
      <c r="F2" s="123"/>
      <c r="G2" s="123"/>
      <c r="H2" s="125"/>
      <c r="I2" s="125"/>
      <c r="J2" s="125"/>
      <c r="K2" s="125"/>
      <c r="L2" s="125"/>
      <c r="M2" s="125"/>
      <c r="N2" s="125"/>
      <c r="O2" s="123"/>
      <c r="P2" s="201"/>
      <c r="Q2" s="201"/>
    </row>
    <row r="3" spans="1:17" ht="13.5" thickBot="1" x14ac:dyDescent="0.25">
      <c r="A3" s="4"/>
      <c r="B3" s="4"/>
      <c r="C3" s="4"/>
      <c r="D3" s="4"/>
      <c r="E3" s="4"/>
      <c r="F3" s="4"/>
      <c r="G3" s="4"/>
      <c r="H3" s="4"/>
      <c r="I3" s="4"/>
      <c r="J3" s="4"/>
      <c r="K3" s="4"/>
      <c r="L3" s="4"/>
      <c r="M3" s="4"/>
      <c r="N3" s="4"/>
      <c r="O3" s="4"/>
      <c r="P3" s="4"/>
      <c r="Q3" s="4"/>
    </row>
    <row r="4" spans="1:17" ht="15" thickBot="1" x14ac:dyDescent="0.25">
      <c r="A4" s="202" t="s">
        <v>65</v>
      </c>
      <c r="B4" s="202"/>
      <c r="C4" s="202"/>
      <c r="D4" s="202"/>
      <c r="E4" s="202"/>
      <c r="F4" s="202"/>
      <c r="G4" s="203" t="s">
        <v>66</v>
      </c>
      <c r="H4" s="203"/>
      <c r="I4" s="203"/>
      <c r="J4" s="203"/>
      <c r="K4" s="203"/>
      <c r="L4" s="203"/>
      <c r="M4" s="203"/>
      <c r="N4" s="203"/>
      <c r="O4" s="203"/>
      <c r="P4" s="203"/>
      <c r="Q4" s="203"/>
    </row>
    <row r="5" spans="1:17" ht="15" thickBot="1" x14ac:dyDescent="0.25">
      <c r="A5" s="204" t="s">
        <v>67</v>
      </c>
      <c r="B5" s="205"/>
      <c r="C5" s="205"/>
      <c r="D5" s="205"/>
      <c r="E5" s="205"/>
      <c r="F5" s="206"/>
      <c r="G5" s="203" t="s">
        <v>68</v>
      </c>
      <c r="H5" s="203"/>
      <c r="I5" s="203"/>
      <c r="J5" s="203"/>
      <c r="K5" s="203"/>
      <c r="L5" s="203"/>
      <c r="M5" s="203"/>
      <c r="N5" s="203"/>
      <c r="O5" s="203"/>
      <c r="P5" s="203"/>
      <c r="Q5" s="203"/>
    </row>
    <row r="6" spans="1:17" ht="15" thickBot="1" x14ac:dyDescent="0.25">
      <c r="A6" s="204" t="s">
        <v>69</v>
      </c>
      <c r="B6" s="205"/>
      <c r="C6" s="205"/>
      <c r="D6" s="205"/>
      <c r="E6" s="205"/>
      <c r="F6" s="206"/>
      <c r="G6" s="203" t="s">
        <v>97</v>
      </c>
      <c r="H6" s="203"/>
      <c r="I6" s="203"/>
      <c r="J6" s="203"/>
      <c r="K6" s="203"/>
      <c r="L6" s="203"/>
      <c r="M6" s="203"/>
      <c r="N6" s="203"/>
      <c r="O6" s="203"/>
      <c r="P6" s="203"/>
      <c r="Q6" s="203"/>
    </row>
    <row r="7" spans="1:17" ht="15" thickBot="1" x14ac:dyDescent="0.25">
      <c r="A7" s="204" t="s">
        <v>70</v>
      </c>
      <c r="B7" s="205"/>
      <c r="C7" s="205"/>
      <c r="D7" s="205"/>
      <c r="E7" s="205"/>
      <c r="F7" s="206"/>
      <c r="G7" s="203" t="s">
        <v>97</v>
      </c>
      <c r="H7" s="203"/>
      <c r="I7" s="203"/>
      <c r="J7" s="203"/>
      <c r="K7" s="203"/>
      <c r="L7" s="203"/>
      <c r="M7" s="203"/>
      <c r="N7" s="203"/>
      <c r="O7" s="203"/>
      <c r="P7" s="203"/>
      <c r="Q7" s="203"/>
    </row>
    <row r="8" spans="1:17" ht="13.5" thickBot="1" x14ac:dyDescent="0.25">
      <c r="A8" s="210" t="s">
        <v>71</v>
      </c>
      <c r="B8" s="210"/>
      <c r="C8" s="210"/>
      <c r="D8" s="210"/>
      <c r="E8" s="210"/>
      <c r="F8" s="210"/>
      <c r="G8" s="210"/>
      <c r="H8" s="210"/>
      <c r="I8" s="210"/>
      <c r="J8" s="210"/>
      <c r="K8" s="210"/>
      <c r="L8" s="210"/>
      <c r="M8" s="210"/>
      <c r="N8" s="210"/>
      <c r="O8" s="210"/>
      <c r="P8" s="210"/>
      <c r="Q8" s="210"/>
    </row>
    <row r="9" spans="1:17" ht="14.25" x14ac:dyDescent="0.2">
      <c r="A9" s="211" t="s">
        <v>72</v>
      </c>
      <c r="B9" s="211"/>
      <c r="C9" s="211"/>
      <c r="D9" s="211"/>
      <c r="E9" s="211"/>
      <c r="F9" s="211"/>
      <c r="G9" s="211"/>
      <c r="H9" s="211"/>
      <c r="I9" s="211"/>
      <c r="J9" s="211"/>
      <c r="K9" s="211"/>
      <c r="L9" s="211"/>
      <c r="M9" s="211"/>
      <c r="N9" s="211"/>
      <c r="O9" s="126"/>
      <c r="P9" s="126"/>
      <c r="Q9" s="127"/>
    </row>
    <row r="10" spans="1:17" ht="44.25" customHeight="1" x14ac:dyDescent="0.2">
      <c r="A10" s="215" t="s">
        <v>98</v>
      </c>
      <c r="B10" s="215"/>
      <c r="C10" s="215"/>
      <c r="D10" s="215"/>
      <c r="E10" s="215"/>
      <c r="F10" s="215"/>
      <c r="G10" s="215"/>
      <c r="H10" s="215"/>
      <c r="I10" s="215"/>
      <c r="J10" s="215"/>
      <c r="K10" s="215"/>
      <c r="L10" s="215"/>
      <c r="M10" s="215"/>
      <c r="N10" s="215"/>
      <c r="O10" s="215"/>
      <c r="P10" s="215"/>
      <c r="Q10" s="215"/>
    </row>
    <row r="11" spans="1:17" ht="13.5" thickBot="1" x14ac:dyDescent="0.25">
      <c r="A11" s="128"/>
      <c r="B11" s="129"/>
      <c r="C11" s="129"/>
      <c r="D11" s="129"/>
      <c r="E11" s="129"/>
      <c r="F11" s="129"/>
      <c r="G11" s="130"/>
      <c r="H11" s="129"/>
      <c r="I11" s="129"/>
      <c r="J11" s="129"/>
      <c r="K11" s="129"/>
      <c r="L11" s="129"/>
      <c r="M11" s="129"/>
      <c r="N11" s="129"/>
      <c r="O11" s="129"/>
      <c r="P11" s="129"/>
      <c r="Q11" s="131"/>
    </row>
    <row r="12" spans="1:17" ht="13.5" thickBot="1" x14ac:dyDescent="0.25">
      <c r="A12" s="216" t="s">
        <v>73</v>
      </c>
      <c r="B12" s="216"/>
      <c r="C12" s="216"/>
      <c r="D12" s="216"/>
      <c r="E12" s="216"/>
      <c r="F12" s="216"/>
      <c r="G12" s="216"/>
      <c r="H12" s="216"/>
      <c r="I12" s="216"/>
      <c r="J12" s="216"/>
      <c r="K12" s="216"/>
      <c r="L12" s="216"/>
      <c r="M12" s="216"/>
      <c r="N12" s="216"/>
      <c r="O12" s="216"/>
      <c r="P12" s="216"/>
      <c r="Q12" s="216"/>
    </row>
    <row r="13" spans="1:17" ht="13.5" thickBot="1" x14ac:dyDescent="0.25">
      <c r="A13" s="217" t="s">
        <v>74</v>
      </c>
      <c r="B13" s="217"/>
      <c r="C13" s="217"/>
      <c r="D13" s="217"/>
      <c r="E13" s="217"/>
      <c r="F13" s="217"/>
      <c r="G13" s="217"/>
      <c r="H13" s="217"/>
      <c r="I13" s="217"/>
      <c r="J13" s="217"/>
      <c r="K13" s="217"/>
      <c r="L13" s="217"/>
      <c r="M13" s="217"/>
      <c r="N13" s="217"/>
      <c r="O13" s="218" t="s">
        <v>75</v>
      </c>
      <c r="P13" s="218"/>
      <c r="Q13" s="219" t="s">
        <v>76</v>
      </c>
    </row>
    <row r="14" spans="1:17" ht="28.5" customHeight="1" thickBot="1" x14ac:dyDescent="0.25">
      <c r="A14" s="132" t="s">
        <v>77</v>
      </c>
      <c r="B14" s="133" t="s">
        <v>78</v>
      </c>
      <c r="C14" s="133" t="s">
        <v>79</v>
      </c>
      <c r="D14" s="133" t="s">
        <v>80</v>
      </c>
      <c r="E14" s="133" t="s">
        <v>81</v>
      </c>
      <c r="F14" s="133" t="s">
        <v>82</v>
      </c>
      <c r="G14" s="134" t="s">
        <v>83</v>
      </c>
      <c r="H14" s="133" t="s">
        <v>84</v>
      </c>
      <c r="I14" s="133" t="s">
        <v>85</v>
      </c>
      <c r="J14" s="133" t="s">
        <v>86</v>
      </c>
      <c r="K14" s="133" t="s">
        <v>86</v>
      </c>
      <c r="L14" s="133" t="s">
        <v>87</v>
      </c>
      <c r="M14" s="135" t="s">
        <v>88</v>
      </c>
      <c r="N14" s="136" t="s">
        <v>89</v>
      </c>
      <c r="O14" s="218"/>
      <c r="P14" s="218"/>
      <c r="Q14" s="219"/>
    </row>
    <row r="15" spans="1:17" x14ac:dyDescent="0.2">
      <c r="A15" s="148">
        <v>27</v>
      </c>
      <c r="B15" s="149">
        <v>0</v>
      </c>
      <c r="C15" s="149">
        <v>0</v>
      </c>
      <c r="D15" s="149">
        <v>1</v>
      </c>
      <c r="E15" s="149">
        <v>0</v>
      </c>
      <c r="F15" s="149">
        <v>4901</v>
      </c>
      <c r="G15" s="149">
        <v>1</v>
      </c>
      <c r="H15" s="149">
        <v>6</v>
      </c>
      <c r="I15" s="149">
        <v>2</v>
      </c>
      <c r="J15" s="149">
        <v>3</v>
      </c>
      <c r="K15" s="149">
        <v>1</v>
      </c>
      <c r="L15" s="149">
        <v>0</v>
      </c>
      <c r="M15" s="150">
        <v>1</v>
      </c>
      <c r="N15" s="151" t="s">
        <v>90</v>
      </c>
      <c r="O15" s="220" t="s">
        <v>91</v>
      </c>
      <c r="P15" s="221"/>
      <c r="Q15" s="156">
        <v>14000</v>
      </c>
    </row>
    <row r="16" spans="1:17" x14ac:dyDescent="0.2">
      <c r="A16" s="152">
        <v>27</v>
      </c>
      <c r="B16" s="153">
        <v>0</v>
      </c>
      <c r="C16" s="153">
        <v>0</v>
      </c>
      <c r="D16" s="153">
        <v>1</v>
      </c>
      <c r="E16" s="153">
        <v>0</v>
      </c>
      <c r="F16" s="153">
        <v>4901</v>
      </c>
      <c r="G16" s="153">
        <v>1</v>
      </c>
      <c r="H16" s="153">
        <v>6</v>
      </c>
      <c r="I16" s="153">
        <v>2</v>
      </c>
      <c r="J16" s="153">
        <v>9</v>
      </c>
      <c r="K16" s="153">
        <v>2</v>
      </c>
      <c r="L16" s="153">
        <v>0</v>
      </c>
      <c r="M16" s="154">
        <v>1</v>
      </c>
      <c r="N16" s="155" t="s">
        <v>90</v>
      </c>
      <c r="O16" s="212" t="s">
        <v>92</v>
      </c>
      <c r="P16" s="213"/>
      <c r="Q16" s="157">
        <v>12040</v>
      </c>
    </row>
    <row r="17" spans="1:17" ht="14.25" x14ac:dyDescent="0.2">
      <c r="A17" s="139"/>
      <c r="B17" s="140"/>
      <c r="C17" s="140"/>
      <c r="D17" s="140"/>
      <c r="E17" s="140"/>
      <c r="F17" s="137"/>
      <c r="G17" s="140"/>
      <c r="H17" s="140"/>
      <c r="I17" s="140"/>
      <c r="J17" s="140"/>
      <c r="K17" s="140"/>
      <c r="L17" s="140"/>
      <c r="M17" s="141"/>
      <c r="N17" s="142"/>
      <c r="O17" s="214"/>
      <c r="P17" s="214"/>
      <c r="Q17" s="138"/>
    </row>
    <row r="18" spans="1:17" ht="13.5" thickBot="1" x14ac:dyDescent="0.25">
      <c r="A18" s="143"/>
      <c r="B18" s="144"/>
      <c r="C18" s="144"/>
      <c r="D18" s="144"/>
      <c r="E18" s="144"/>
      <c r="F18" s="144"/>
      <c r="G18" s="144"/>
      <c r="H18" s="144"/>
      <c r="I18" s="144"/>
      <c r="J18" s="144"/>
      <c r="K18" s="144"/>
      <c r="L18" s="144"/>
      <c r="M18" s="145"/>
      <c r="N18" s="144"/>
      <c r="O18" s="197"/>
      <c r="P18" s="197"/>
      <c r="Q18" s="146"/>
    </row>
    <row r="19" spans="1:17" ht="15.75" thickBot="1" x14ac:dyDescent="0.25">
      <c r="A19" s="198" t="s">
        <v>96</v>
      </c>
      <c r="B19" s="198"/>
      <c r="C19" s="198"/>
      <c r="D19" s="198"/>
      <c r="E19" s="198"/>
      <c r="F19" s="198"/>
      <c r="G19" s="198"/>
      <c r="H19" s="198"/>
      <c r="I19" s="198"/>
      <c r="J19" s="198"/>
      <c r="K19" s="198"/>
      <c r="L19" s="198"/>
      <c r="M19" s="198"/>
      <c r="N19" s="198"/>
      <c r="O19" s="198"/>
      <c r="P19" s="198"/>
      <c r="Q19" s="147">
        <f>SUM(Q15:Q18)</f>
        <v>26040</v>
      </c>
    </row>
    <row r="20" spans="1:17" ht="13.5" thickBot="1" x14ac:dyDescent="0.25">
      <c r="A20" s="199"/>
      <c r="B20" s="199"/>
      <c r="C20" s="199"/>
      <c r="D20" s="199"/>
      <c r="E20" s="199"/>
      <c r="F20" s="199"/>
      <c r="G20" s="199"/>
      <c r="H20" s="199"/>
      <c r="I20" s="199"/>
      <c r="J20" s="199"/>
      <c r="K20" s="199"/>
      <c r="L20" s="199"/>
      <c r="M20" s="199"/>
      <c r="N20" s="199"/>
      <c r="O20" s="199"/>
      <c r="P20" s="199"/>
      <c r="Q20" s="199"/>
    </row>
    <row r="21" spans="1:17" ht="15.75" thickBot="1" x14ac:dyDescent="0.25">
      <c r="A21" s="192" t="s">
        <v>93</v>
      </c>
      <c r="B21" s="193"/>
      <c r="C21" s="193"/>
      <c r="D21" s="193"/>
      <c r="E21" s="193"/>
      <c r="F21" s="194"/>
      <c r="G21" s="195"/>
      <c r="H21" s="195"/>
      <c r="I21" s="195"/>
      <c r="J21" s="195"/>
      <c r="K21" s="195"/>
      <c r="L21" s="195"/>
      <c r="M21" s="195"/>
      <c r="N21" s="195"/>
      <c r="O21" s="195"/>
      <c r="P21" s="195"/>
      <c r="Q21" s="195"/>
    </row>
    <row r="22" spans="1:17" ht="13.5" thickBot="1" x14ac:dyDescent="0.25">
      <c r="A22" s="200" t="s">
        <v>94</v>
      </c>
      <c r="B22" s="200"/>
      <c r="C22" s="200"/>
      <c r="D22" s="200"/>
      <c r="E22" s="200"/>
      <c r="F22" s="200"/>
      <c r="G22" s="200"/>
      <c r="H22" s="200"/>
      <c r="I22" s="200"/>
      <c r="J22" s="200"/>
      <c r="K22" s="200"/>
      <c r="L22" s="200"/>
      <c r="M22" s="200"/>
      <c r="N22" s="200"/>
      <c r="O22" s="200"/>
      <c r="P22" s="200"/>
      <c r="Q22" s="200"/>
    </row>
    <row r="23" spans="1:17" ht="13.5" thickBot="1" x14ac:dyDescent="0.25">
      <c r="A23" s="200"/>
      <c r="B23" s="200"/>
      <c r="C23" s="200"/>
      <c r="D23" s="200"/>
      <c r="E23" s="200"/>
      <c r="F23" s="200"/>
      <c r="G23" s="200"/>
      <c r="H23" s="200"/>
      <c r="I23" s="200"/>
      <c r="J23" s="200"/>
      <c r="K23" s="200"/>
      <c r="L23" s="200"/>
      <c r="M23" s="200"/>
      <c r="N23" s="200"/>
      <c r="O23" s="200"/>
      <c r="P23" s="200"/>
      <c r="Q23" s="200"/>
    </row>
    <row r="24" spans="1:17" ht="15.75" thickBot="1" x14ac:dyDescent="0.25">
      <c r="A24" s="192" t="s">
        <v>95</v>
      </c>
      <c r="B24" s="193"/>
      <c r="C24" s="193"/>
      <c r="D24" s="193"/>
      <c r="E24" s="193"/>
      <c r="F24" s="194"/>
      <c r="G24" s="195"/>
      <c r="H24" s="195"/>
      <c r="I24" s="195"/>
      <c r="J24" s="195"/>
      <c r="K24" s="195"/>
      <c r="L24" s="195"/>
      <c r="M24" s="195"/>
      <c r="N24" s="195"/>
      <c r="O24" s="195"/>
      <c r="P24" s="195"/>
      <c r="Q24" s="195"/>
    </row>
    <row r="25" spans="1:17" ht="13.5" thickBot="1" x14ac:dyDescent="0.25">
      <c r="A25" s="196"/>
      <c r="B25" s="196"/>
      <c r="C25" s="196"/>
      <c r="D25" s="196"/>
      <c r="E25" s="196"/>
      <c r="F25" s="196"/>
      <c r="G25" s="196"/>
      <c r="H25" s="196"/>
      <c r="I25" s="196"/>
      <c r="J25" s="196"/>
      <c r="K25" s="196"/>
      <c r="L25" s="196"/>
      <c r="M25" s="196"/>
      <c r="N25" s="196"/>
      <c r="O25" s="196"/>
      <c r="P25" s="196"/>
      <c r="Q25" s="196"/>
    </row>
    <row r="26" spans="1:17" ht="13.5" thickBot="1" x14ac:dyDescent="0.25">
      <c r="A26" s="196"/>
      <c r="B26" s="196"/>
      <c r="C26" s="196"/>
      <c r="D26" s="196"/>
      <c r="E26" s="196"/>
      <c r="F26" s="196"/>
      <c r="G26" s="196"/>
      <c r="H26" s="196"/>
      <c r="I26" s="196"/>
      <c r="J26" s="196"/>
      <c r="K26" s="196"/>
      <c r="L26" s="196"/>
      <c r="M26" s="196"/>
      <c r="N26" s="196"/>
      <c r="O26" s="196"/>
      <c r="P26" s="196"/>
      <c r="Q26" s="196"/>
    </row>
  </sheetData>
  <mergeCells count="30">
    <mergeCell ref="A9:N9"/>
    <mergeCell ref="O16:P16"/>
    <mergeCell ref="O17:P17"/>
    <mergeCell ref="A10:Q10"/>
    <mergeCell ref="A12:Q12"/>
    <mergeCell ref="A13:N13"/>
    <mergeCell ref="O13:P14"/>
    <mergeCell ref="Q13:Q14"/>
    <mergeCell ref="O15:P15"/>
    <mergeCell ref="A6:F6"/>
    <mergeCell ref="G6:Q6"/>
    <mergeCell ref="A7:F7"/>
    <mergeCell ref="G7:Q7"/>
    <mergeCell ref="A8:Q8"/>
    <mergeCell ref="P1:Q2"/>
    <mergeCell ref="A4:F4"/>
    <mergeCell ref="G4:Q4"/>
    <mergeCell ref="A5:F5"/>
    <mergeCell ref="G5:Q5"/>
    <mergeCell ref="A1:C1"/>
    <mergeCell ref="D1:E1"/>
    <mergeCell ref="A24:F24"/>
    <mergeCell ref="G24:Q24"/>
    <mergeCell ref="A25:Q26"/>
    <mergeCell ref="O18:P18"/>
    <mergeCell ref="A19:P19"/>
    <mergeCell ref="A20:Q20"/>
    <mergeCell ref="A21:F21"/>
    <mergeCell ref="G21:Q21"/>
    <mergeCell ref="A22:Q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 LIBRERIA</vt:lpstr>
      <vt:lpstr>NOTA DE PEDIDO</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USER</cp:lastModifiedBy>
  <cp:revision>2</cp:revision>
  <cp:lastPrinted>2021-05-31T11:58:28Z</cp:lastPrinted>
  <dcterms:created xsi:type="dcterms:W3CDTF">2020-07-17T23:44:49Z</dcterms:created>
  <dcterms:modified xsi:type="dcterms:W3CDTF">2021-08-20T13:30:14Z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