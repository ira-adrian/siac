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228"/>
  <workbookPr defaultThemeVersion="124226"/>
  <mc:AlternateContent xmlns:mc="http://schemas.openxmlformats.org/markup-compatibility/2006">
    <mc:Choice Requires="x15">
      <x15ac:absPath xmlns:x15ac="http://schemas.microsoft.com/office/spreadsheetml/2010/11/ac" url="E:\SILVINA\AGOSTO 2021\CONSOLIDADO DESCARTABLE (Desier.yFracas.II trimestre)\"/>
    </mc:Choice>
  </mc:AlternateContent>
  <xr:revisionPtr revIDLastSave="0" documentId="8_{7DF55C06-0C97-40DD-8B68-4A1CC559EF19}" xr6:coauthVersionLast="47" xr6:coauthVersionMax="47" xr10:uidLastSave="{00000000-0000-0000-0000-000000000000}"/>
  <bookViews>
    <workbookView xWindow="-120" yWindow="-120" windowWidth="29040" windowHeight="15840" tabRatio="500" activeTab="1" xr2:uid="{00000000-000D-0000-FFFF-FFFF00000000}"/>
  </bookViews>
  <sheets>
    <sheet name="Necesidades Trimestrales" sheetId="1" r:id="rId1"/>
    <sheet name="NotaPedido" sheetId="2" r:id="rId2"/>
    <sheet name="Autor Gastar" sheetId="3" r:id="rId3"/>
  </sheets>
  <definedNames>
    <definedName name="_xlnm._FilterDatabase" localSheetId="0" hidden="1">'Necesidades Trimestrales'!$A$9:$K$61</definedName>
    <definedName name="_xlnm.Print_Area" localSheetId="2">'Autor Gastar'!$A$1:$Q$28</definedName>
    <definedName name="_xlnm.Print_Area" localSheetId="1">NotaPedido!$A$1:$K$62</definedName>
  </definedNames>
  <calcPr calcId="181029"/>
</workbook>
</file>

<file path=xl/calcChain.xml><?xml version="1.0" encoding="utf-8"?>
<calcChain xmlns="http://schemas.openxmlformats.org/spreadsheetml/2006/main">
  <c r="I13" i="2" l="1"/>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C55" i="2"/>
  <c r="C56" i="2"/>
  <c r="C57" i="2"/>
  <c r="C58" i="2"/>
  <c r="C59" i="2"/>
  <c r="C60" i="2"/>
  <c r="C61" i="2"/>
  <c r="C44" i="2"/>
  <c r="C45" i="2"/>
  <c r="C46" i="2"/>
  <c r="C47" i="2"/>
  <c r="C48" i="2"/>
  <c r="C49" i="2"/>
  <c r="C50" i="2"/>
  <c r="C51" i="2"/>
  <c r="C52" i="2"/>
  <c r="C53" i="2"/>
  <c r="C54" i="2"/>
  <c r="C37" i="2"/>
  <c r="C38" i="2"/>
  <c r="C39" i="2"/>
  <c r="C40" i="2"/>
  <c r="C41" i="2"/>
  <c r="C42" i="2"/>
  <c r="C43" i="2"/>
  <c r="C28" i="2"/>
  <c r="C29" i="2"/>
  <c r="C30" i="2"/>
  <c r="C31" i="2"/>
  <c r="C32" i="2"/>
  <c r="C33" i="2"/>
  <c r="C34" i="2"/>
  <c r="C35" i="2"/>
  <c r="C36" i="2"/>
  <c r="C13" i="2"/>
  <c r="C14" i="2"/>
  <c r="C15" i="2"/>
  <c r="C16" i="2"/>
  <c r="C17" i="2"/>
  <c r="C18" i="2"/>
  <c r="C19" i="2"/>
  <c r="C20" i="2"/>
  <c r="C21" i="2"/>
  <c r="C22" i="2"/>
  <c r="C23" i="2"/>
  <c r="C24" i="2"/>
  <c r="C25" i="2"/>
  <c r="C26" i="2"/>
  <c r="C27"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J13" i="2" l="1"/>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12" i="2"/>
  <c r="I51" i="1" l="1"/>
  <c r="I48" i="1"/>
  <c r="I47" i="1"/>
  <c r="I22" i="1"/>
  <c r="I21" i="1"/>
  <c r="L56" i="2"/>
  <c r="L60" i="2"/>
  <c r="L42" i="2"/>
  <c r="L43" i="2"/>
  <c r="L44" i="2"/>
  <c r="L45" i="2"/>
  <c r="L46" i="2"/>
  <c r="L47" i="2"/>
  <c r="L48" i="2"/>
  <c r="L59" i="2" l="1"/>
  <c r="L58" i="2"/>
  <c r="L61" i="2"/>
  <c r="L57" i="2"/>
  <c r="L49" i="2"/>
  <c r="L53" i="2"/>
  <c r="L54" i="2"/>
  <c r="L55" i="2"/>
  <c r="I50" i="1"/>
  <c r="I49" i="1"/>
  <c r="I45" i="1"/>
  <c r="I44" i="1"/>
  <c r="I30" i="1"/>
  <c r="I29" i="1"/>
  <c r="I25" i="1"/>
  <c r="I24" i="1"/>
  <c r="L52" i="2" l="1"/>
  <c r="L51" i="2"/>
  <c r="L50" i="2"/>
  <c r="I33" i="1"/>
  <c r="I32" i="1"/>
  <c r="I28" i="1"/>
  <c r="L36" i="2" l="1"/>
  <c r="L39" i="2"/>
  <c r="L38" i="2"/>
  <c r="J11" i="1"/>
  <c r="I59" i="1" l="1"/>
  <c r="I23" i="1"/>
  <c r="I26" i="1"/>
  <c r="I27" i="1"/>
  <c r="I31" i="1"/>
  <c r="I39" i="1"/>
  <c r="I41" i="1"/>
  <c r="I56" i="1"/>
  <c r="J14" i="1" s="1"/>
  <c r="Q15" i="3" s="1"/>
  <c r="L34" i="2" l="1"/>
  <c r="L41" i="2"/>
  <c r="L35" i="2"/>
  <c r="L40" i="2"/>
  <c r="L37" i="2"/>
  <c r="B15" i="2" l="1"/>
  <c r="B16" i="2"/>
  <c r="B17" i="2"/>
  <c r="B18" i="2"/>
  <c r="B19" i="2"/>
  <c r="B20" i="2"/>
  <c r="B21" i="2"/>
  <c r="L18" i="2"/>
  <c r="L21" i="2"/>
  <c r="L22" i="2"/>
  <c r="L25" i="2"/>
  <c r="L26" i="2"/>
  <c r="L29" i="2"/>
  <c r="L30" i="2"/>
  <c r="L32" i="2"/>
  <c r="A27" i="3"/>
  <c r="A10" i="3"/>
  <c r="L17" i="2"/>
  <c r="L16" i="2"/>
  <c r="B14" i="2"/>
  <c r="L13" i="2"/>
  <c r="B13" i="2"/>
  <c r="L12" i="2"/>
  <c r="I12" i="2"/>
  <c r="C12" i="2"/>
  <c r="B12" i="2"/>
  <c r="I46" i="1"/>
  <c r="I43" i="1"/>
  <c r="I42" i="1"/>
  <c r="I20" i="1"/>
  <c r="I19" i="1"/>
  <c r="I18" i="1"/>
  <c r="I17" i="1"/>
  <c r="I10" i="1"/>
  <c r="I16" i="1"/>
  <c r="I15" i="1"/>
  <c r="I14" i="1"/>
  <c r="I13" i="1"/>
  <c r="I12" i="1"/>
  <c r="I11" i="1"/>
  <c r="I58" i="1"/>
  <c r="I57" i="1"/>
  <c r="I40" i="1"/>
  <c r="I55" i="1"/>
  <c r="I54" i="1"/>
  <c r="I53" i="1"/>
  <c r="I52" i="1"/>
  <c r="I38" i="1"/>
  <c r="I37" i="1"/>
  <c r="I36" i="1"/>
  <c r="I35" i="1"/>
  <c r="I34" i="1"/>
  <c r="J12" i="1" l="1"/>
  <c r="J13" i="1"/>
  <c r="Q17" i="3" s="1"/>
  <c r="J10" i="1"/>
  <c r="H60" i="1"/>
  <c r="L14" i="2"/>
  <c r="L15" i="2"/>
  <c r="L33" i="2"/>
  <c r="L31" i="2"/>
  <c r="L27" i="2"/>
  <c r="L23" i="2"/>
  <c r="L19" i="2"/>
  <c r="L28" i="2"/>
  <c r="L24" i="2"/>
  <c r="L20" i="2"/>
  <c r="J62" i="2"/>
  <c r="G6" i="3"/>
  <c r="D7" i="2"/>
  <c r="D3" i="2"/>
  <c r="G4" i="3" s="1"/>
  <c r="D4" i="2"/>
  <c r="G5" i="3" s="1"/>
  <c r="Q24" i="3" l="1"/>
  <c r="J15" i="1"/>
  <c r="L62" i="2"/>
  <c r="D1" i="3"/>
</calcChain>
</file>

<file path=xl/sharedStrings.xml><?xml version="1.0" encoding="utf-8"?>
<sst xmlns="http://schemas.openxmlformats.org/spreadsheetml/2006/main" count="357" uniqueCount="145">
  <si>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</si>
  <si>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</si>
  <si>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</si>
  <si>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</si>
  <si>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</si>
  <si>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</si>
  <si>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</si>
  <si>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</si>
  <si>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</si>
  <si>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</si>
  <si>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</si>
  <si>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</si>
  <si>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</si>
  <si>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</si>
  <si>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Descripción técnica</t>
  </si>
  <si>
    <t>Plazos y lugares de entrega</t>
  </si>
  <si>
    <t>Calidad Minima esperada</t>
  </si>
  <si>
    <t>Mantenimiento</t>
  </si>
  <si>
    <t>Garantia</t>
  </si>
  <si>
    <t>NOTA DE PEDIDO</t>
  </si>
  <si>
    <t>N°</t>
  </si>
  <si>
    <t>PERIODO UTILIZACIÓN:</t>
  </si>
  <si>
    <t>OBJETO:</t>
  </si>
  <si>
    <t>Ítem</t>
  </si>
  <si>
    <t>Codigo Item</t>
  </si>
  <si>
    <t>DESCRIPCIÓN</t>
  </si>
  <si>
    <t>Adjunta Detalle Técnico</t>
  </si>
  <si>
    <t>Unidad Medida</t>
  </si>
  <si>
    <t>Precio Unitario Estimado</t>
  </si>
  <si>
    <t>Cantidad Solicitada</t>
  </si>
  <si>
    <t>AUTORIZACION PARA GASTAR</t>
  </si>
  <si>
    <t>JURISDICCIÓN:</t>
  </si>
  <si>
    <t>UNIDAD EJECUTORA:</t>
  </si>
  <si>
    <r>
      <rPr>
        <b/>
        <u/>
        <sz val="10"/>
        <rFont val="Arial"/>
        <family val="2"/>
        <charset val="1"/>
      </rPr>
      <t>AUTORIZACIÓN</t>
    </r>
    <r>
      <rPr>
        <b/>
        <sz val="10"/>
        <rFont val="Arial"/>
        <family val="2"/>
        <charset val="1"/>
      </rPr>
      <t>:</t>
    </r>
  </si>
  <si>
    <t>Señor Jefe de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</si>
  <si>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</si>
  <si>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</si>
  <si>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</si>
  <si>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</si>
  <si>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</si>
  <si>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</si>
  <si>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</si>
  <si>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</si>
  <si>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</si>
  <si>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</si>
  <si>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</si>
  <si>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</si>
  <si>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</si>
  <si>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</si>
  <si>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</si>
  <si>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</si>
  <si>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</si>
  <si>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</si>
  <si>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 xml:space="preserve">JURISDICCIÓN: </t>
  </si>
  <si>
    <t>SAF:</t>
  </si>
  <si>
    <t xml:space="preserve">DEPENDENCIA SOLICITANTE: </t>
  </si>
  <si>
    <t>NO</t>
  </si>
  <si>
    <t>40 - Ministerio de Salud</t>
  </si>
  <si>
    <t>23 - Hospital Interzonal San Juan Bautista</t>
  </si>
  <si>
    <t>168 - Direccion Asistencial</t>
  </si>
  <si>
    <t>Servicio de Farmacia</t>
  </si>
  <si>
    <t>Compuestos Quimicos</t>
  </si>
  <si>
    <t xml:space="preserve">45 dias habiles </t>
  </si>
  <si>
    <t xml:space="preserve">Otros NEP </t>
  </si>
  <si>
    <t>3.1</t>
  </si>
  <si>
    <t>1.1</t>
  </si>
  <si>
    <t>Utiles Menores Med. Quir. y de Lab.</t>
  </si>
  <si>
    <t>GLUTARALDEHIDO 2% SIN SURFACTANTE BIDON X 4 LITROS</t>
  </si>
  <si>
    <t xml:space="preserve">COMPUESTOS QUIMICOS </t>
  </si>
  <si>
    <t>2.5.1</t>
  </si>
  <si>
    <t>UNIDAD</t>
  </si>
  <si>
    <t>HILO DE SUTURA CATGUT  CROMICO Nº0</t>
  </si>
  <si>
    <t>HILO DE SUTURA CATGUT CROMICO Nro 1 CON AGUJA TIPO TAGUM</t>
  </si>
  <si>
    <t>HILO DE SUTURA CATGUT CROMICO Nro 2 CON AGUJA TIPO TAGUM</t>
  </si>
  <si>
    <t>HILO DE SUTURA MONOFILAMENTO 4-0 AGUJA PS-1 3/8 CIRC 24 MM</t>
  </si>
  <si>
    <t>SUT.ABS.CATGUT  SIMP. 1  SIN AGUJA</t>
  </si>
  <si>
    <t>SUT.ABS.CATGUT SIMP. 2  SIN AGUJA</t>
  </si>
  <si>
    <t>2.9.5</t>
  </si>
  <si>
    <t>Ut. Menor. Med. Quirurg. Y de Laborat.</t>
  </si>
  <si>
    <t xml:space="preserve">SUTURA QUIRURGICA ACIDO POLIGLICOLICO Nª 8/0 J546G OFTALMOLOGICO TIPO VICRYL </t>
  </si>
  <si>
    <t>Ut. Men. Med. Quirurg. Y de Laborator.</t>
  </si>
  <si>
    <t>MANOPLAS DE POLIETILENO X 100</t>
  </si>
  <si>
    <t>TIRAS REACTIVAS PARA DETERMINACION GLUCOSA X 50 UNIDADES</t>
  </si>
  <si>
    <t>TUBO DE LATEX  3 X 5 X METRO</t>
  </si>
  <si>
    <t>TUBO DE LATEX 5 X 8 MM X METRO</t>
  </si>
  <si>
    <t>Ut. Menores med. Quirúrg. Y de Lab.</t>
  </si>
  <si>
    <t>AGUJA ESPINAL 25G 31/2 PUNTA LAPIZ</t>
  </si>
  <si>
    <t>Aguja ESPINAL 26 G 31/2</t>
  </si>
  <si>
    <t>Aguja ESPINAL 27 G 3 1/2</t>
  </si>
  <si>
    <t xml:space="preserve">AGUJA ESPINAL 27G 3 1/2 PUNTA LAPIZ </t>
  </si>
  <si>
    <t>Aguja espinal para obesos  25 G  punta lapiz</t>
  </si>
  <si>
    <t xml:space="preserve">Aguja espinal para obesos  27 G </t>
  </si>
  <si>
    <t>Aguja ESPINAL 21 G 3 1/2 PUNTA LAPIZ</t>
  </si>
  <si>
    <t>AGUJA PUNTA CURVA HUBER Nº 20 X 25 MM</t>
  </si>
  <si>
    <t>AGUJA PUNTA CURVA HUBER Nº 21 X 25 MM</t>
  </si>
  <si>
    <t>AGUJA PUNTA CURVA HUBER Nº 22 X 25 MM</t>
  </si>
  <si>
    <t>AGUJA TROCAR X 1 - 30/12</t>
  </si>
  <si>
    <t>2.5.9</t>
  </si>
  <si>
    <t>PLACA MAMOGRAFICA TIPO DI MI 20/25 FUJIFILM CAJA X 150 UNIDADES</t>
  </si>
  <si>
    <t>PLACA MAMOGRAFICA TIPO DI MI 26/36 FUJIFILM CAJA X 150 UNIDADES</t>
  </si>
  <si>
    <t>SISTEMA DE REGULACION DE FLUJO B-2763</t>
  </si>
  <si>
    <t>054 - 2021</t>
  </si>
  <si>
    <t>La totalidad de los insumos debera tener un vencimiento minimo de un año. Las firmas comerciales deberan poseer Habilitación Sanitaria emitida por las autoridades sanitarias provinciales competentes en caso de empresas locales y para empresa no locales Habilitación de transito
interjurisdiccional por autoridad sanitaria nacional (ANMAT). Empresas importadoras de productos médicos, disposición del registro de sus productos. Establecimientos elaboradores de productos médicos certificado de Buenas Prácticas de Fabricación (BPF). Como así también toda otra
documentación obligatoria en virtud del rubro que se pretende contratar con el Estado Provincial (Rubricado por personal).
idóneo).</t>
  </si>
  <si>
    <t>Ut. Menores Med. Quirurg. Y de Lab.</t>
  </si>
  <si>
    <t>Camisolin P/Cirugia de tela verde brin con puño caña larga</t>
  </si>
  <si>
    <t>CEPILLO P/LAVAR TUBOS GRANDES X 1</t>
  </si>
  <si>
    <t>CEPILLO P/LAVAR TUBOS MEDIANOS X 1</t>
  </si>
  <si>
    <t xml:space="preserve">Envoltorio para esterilización de Tela no tejida 100% a base de Polipropileno SMS. Gramaje 45 gr/m2 Bobina x 200 metros </t>
  </si>
  <si>
    <t>LUPAS; POTENCIA: 75 Diop, DIAMETRO: 65 mm, MATERIAL LENTE: VIDRIO, ACCESORIO: C/LUZ, ARMAZON: PLASTICO, ESTRUCTURA: PLASTICO</t>
  </si>
  <si>
    <t>PAPELES P/ESTERILIZACION; TIPO: PAPEL CREPPE, PRESENTACION: 100 X 100 Cm</t>
  </si>
  <si>
    <t xml:space="preserve">Hilados y Telas </t>
  </si>
  <si>
    <t>2.2.1</t>
  </si>
  <si>
    <t>Tela verde brin de algodón rollo 50 mtrs largo (doble ancho) Indantrend</t>
  </si>
  <si>
    <t>Cinta Testigo p/calor seco  (en rollo) Tipo Kims</t>
  </si>
  <si>
    <t>GASA HIDROFILA PIEZA X 1,8 KGS. TIPO HIDROSAN</t>
  </si>
  <si>
    <t>GASAS; TIPO: CORTADA, MEDIDA: 40 X 40 Cm, PRESENTACION: X KILO</t>
  </si>
  <si>
    <t>CATETER DOBLE J 4.8 FRENCH X 46 CM TIPO COOK</t>
  </si>
  <si>
    <t>CATETER DOBLE J 7 FRENCH X 46 CM TIPO COOK</t>
  </si>
  <si>
    <t xml:space="preserve">CONECTOR 150 CM DE BAJA PRESION </t>
  </si>
  <si>
    <t>DRENAJE DE SILICONA ESTERIL TIPO DRENAJE BLAKE</t>
  </si>
  <si>
    <t>SET DE NEFROSTOMIA 14 FRENCH TIPO COOK</t>
  </si>
  <si>
    <t>SET DE NEFROSTOMIA 16 FRENCH TIPO COOK</t>
  </si>
  <si>
    <t>SONDA FOLEY TRIPLE VIA HEMATURICA Nº 22</t>
  </si>
  <si>
    <t>Ut. Menores Med. Quirurg. Y de Laboratorio</t>
  </si>
  <si>
    <t>BUTERFLY Nº 19</t>
  </si>
  <si>
    <t>BUTERFLY Nº 21</t>
  </si>
  <si>
    <t>SONDA FOLEY DOBLE VIA DE LATEX RECUBIERTA CON SILICONA  Nº 16</t>
  </si>
  <si>
    <t>SONDA FOLEY DOBLE VIA DE LATEX RECUBIERTA CON SILICONA Nº 18</t>
  </si>
  <si>
    <t>SONDA PARA INTUBACION GASTRICA K11</t>
  </si>
  <si>
    <t>Adquisición de Descartables</t>
  </si>
  <si>
    <t>Hilados y Telas</t>
  </si>
  <si>
    <t>20 dias corridos - Servicio de Farmacia del HISJB</t>
  </si>
  <si>
    <t>2.3.4</t>
  </si>
  <si>
    <t xml:space="preserve">Productos de papel y cartón </t>
  </si>
  <si>
    <t>SONDA FOLEY TRIPLE VIA HEMATURICA Nº 18</t>
  </si>
  <si>
    <t>SUT.ABS.CATGUT SIMP. 0 SIN AGUJA</t>
  </si>
  <si>
    <t>Especificidades Item N° 47:</t>
  </si>
  <si>
    <t>La totalidad de los insumos debera tener un vencimiento minimo de un año. Las firmas comerciales deberan poseer Habilitación Sanitaria emitida por las autoridades sanitarias provinciales competentes en caso de empresas locales y para empresa no locales Habilitación de transito
interjurisdiccional por autoridad sanitaria nacional (ANMAT). Empresas importadoras de productos médicos, disposición del registro de sus productos. Establecimientos elaboradores de productos médicos certificado de Buenas Prácticas de Fabricación (BPF). Como así también toda otra
documentación obligatoria en virtud del rubro que se pretende contratar con el Estado Provincial (Rubricado por personal).
idóneo). Entiendase el ancho del rollo de tela de 1,50 mts - se solicita doble ancho.</t>
  </si>
  <si>
    <t>Especificidades Item N° 48:</t>
  </si>
  <si>
    <t>La totalidad de los insumos debera tener un vencimiento minimo de un año. Las firmas comerciales deberan poseer Habilitación Sanitaria emitida por las autoridades sanitarias provinciales competentes en caso de empresas locales y para empresa no locales Habilitación de transito
interjurisdiccional por autoridad sanitaria nacional (ANMAT). Empresas importadoras de productos médicos, disposición del registro de sus productos. Establecimientos elaboradores de productos médicos certificado de Buenas Prácticas de Fabricación (BPF). Como así también toda otra
documentación obligatoria en virtud del rubro que se pretende contratar con el Estado Provincial (Rubricado por personal).
idóneo). Tiras reactivas para ser utilizadas en aparatos marca Optium Abbott</t>
  </si>
  <si>
    <t>Especificidades Item N° 1 al 46, 49 y 50:</t>
  </si>
  <si>
    <t>Productos de Papel y Cartón</t>
  </si>
  <si>
    <t>TOTAL DE PESOS: SEIS MILLONES DOSCIENTOS NOVENTA Y NUEVE MIL NOVENTA Y SEIS CON 60/100.-</t>
  </si>
  <si>
    <t>SI</t>
  </si>
  <si>
    <t>Costo total estimado: SEIS MILLONES DOSCIENTOS NOVENTA Y NUEVE MIL NOVENTA Y SEIS CON 60/100.-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</si>
</sst>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_);_(@_)"/>
    <numFmt numFmtId="165" formatCode="_-* #,##0.00&quot; €&quot;_-;\-* #,##0.00&quot; €&quot;_-;_-* \-??&quot; €&quot;_-;_-@_-"/>
    <numFmt numFmtId="166" formatCode="[$$-2C0A]\ #,##0.00;[$$-2C0A]&quot; -&quot;#,##0.00"/>
    <numFmt numFmtId="167" formatCode="[$$-2C0A]\ #,##0.00"/>
    <numFmt numFmtId="168" formatCode="dd\-mm\-yy;@"/>
    <numFmt numFmtId="169" formatCode="&quot;$&quot;\ #,##0.00"/>
  </numFmts>
  <fonts count="34" x14ac:knownFonts="1">
    <font>
      <sz val="10"/>
      <name val="Arial"/>
      <charset val="1"/>
    </font>
    <font>
      <sz val="11"/>
      <color theme="1"/>
      <name val="Calibri"/>
      <family val="2"/>
      <scheme val="minor"/>
    </font>
    <font>
      <b/>
      <sz val="15"/>
      <color rgb="FF666699"/>
      <name val="Calibri"/>
      <family val="2"/>
      <charset val="1"/>
    </font>
    <font>
      <sz val="10"/>
      <name val="Arial"/>
      <family val="2"/>
      <charset val="1"/>
    </font>
    <font>
      <sz val="11"/>
      <color rgb="FF993300"/>
      <name val="Calibri"/>
      <family val="2"/>
      <charset val="1"/>
    </font>
    <font>
      <sz val="10"/>
      <name val="Times New Roman"/>
      <family val="1"/>
      <charset val="1"/>
    </font>
    <font>
      <b/>
      <u/>
      <sz val="12"/>
      <name val="Times New Roman"/>
      <family val="1"/>
      <charset val="1"/>
    </font>
    <font>
      <b/>
      <sz val="12"/>
      <name val="Times New Roman"/>
      <family val="1"/>
      <charset val="1"/>
    </font>
    <font>
      <sz val="12"/>
      <name val="Times New Roman"/>
      <family val="1"/>
      <charset val="1"/>
    </font>
    <font>
      <b/>
      <sz val="11"/>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10"/>
      <name val="Arial"/>
      <family val="2"/>
    </font>
    <font>
      <sz val="10"/>
      <name val="Times New Roman"/>
      <family val="1"/>
    </font>
    <font>
      <b/>
      <sz val="22"/>
      <name val="Times New Roman"/>
      <family val="1"/>
    </font>
    <font>
      <b/>
      <sz val="11"/>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u/>
      <sz val="10"/>
      <name val="Times New Roman"/>
      <family val="1"/>
    </font>
    <font>
      <b/>
      <sz val="12"/>
      <color rgb="FF000000"/>
      <name val="Times New Roman"/>
      <family val="1"/>
    </font>
    <font>
      <sz val="9"/>
      <name val="Arial"/>
      <family val="2"/>
    </font>
    <font>
      <sz val="10"/>
      <color theme="1"/>
      <name val="Arial"/>
      <family val="2"/>
    </font>
    <font>
      <sz val="11"/>
      <color theme="1"/>
      <name val="Arial"/>
      <family val="2"/>
    </font>
    <font>
      <sz val="9"/>
      <name val="Calibri"/>
      <family val="2"/>
    </font>
    <font>
      <b/>
      <sz val="8"/>
      <name val="Arial"/>
      <family val="2"/>
      <charset val="1"/>
    </font>
    <font>
      <sz val="11"/>
      <name val="Arial"/>
      <family val="2"/>
    </font>
    <font>
      <sz val="12"/>
      <name val="Calibri"/>
      <family val="2"/>
    </font>
    <font>
      <sz val="10"/>
      <color theme="0"/>
      <name val="Arial"/>
      <family val="2"/>
      <charset val="1"/>
    </font>
    <font>
      <sz val="10"/>
      <color theme="0"/>
      <name val="Times New Roman"/>
      <family val="1"/>
    </font>
  </fonts>
  <fills count="6">
    <fill>
      <patternFill patternType="none"/>
    </fill>
    <fill>
      <patternFill patternType="gray125"/>
    </fill>
    <fill>
      <patternFill patternType="solid">
        <fgColor rgb="FFFFFF99"/>
        <bgColor rgb="FFFFFFCC"/>
      </patternFill>
    </fill>
    <fill>
      <patternFill patternType="solid">
        <fgColor rgb="FFFFFF00"/>
        <bgColor rgb="FFFFFF00"/>
      </patternFill>
    </fill>
    <fill>
      <patternFill patternType="solid">
        <fgColor theme="0"/>
        <bgColor rgb="FFFFFF00"/>
      </patternFill>
    </fill>
    <fill>
      <patternFill patternType="solid">
        <fgColor theme="0"/>
        <bgColor indexed="64"/>
      </patternFill>
    </fill>
  </fills>
  <borders count="60">
    <border>
      <left/>
      <right/>
      <top/>
      <bottom/>
      <diagonal/>
    </border>
    <border>
      <left/>
      <right/>
      <top/>
      <bottom style="thick">
        <color rgb="FF33CCCC"/>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rgb="FF3D3D3D"/>
      </right>
      <top/>
      <bottom/>
      <diagonal/>
    </border>
    <border>
      <left style="medium">
        <color rgb="FF3D3D3D"/>
      </left>
      <right style="medium">
        <color rgb="FF3D3D3D"/>
      </right>
      <top style="medium">
        <color rgb="FF3D3D3D"/>
      </top>
      <bottom style="medium">
        <color rgb="FF3D3D3D"/>
      </bottom>
      <diagonal/>
    </border>
    <border>
      <left/>
      <right/>
      <top/>
      <bottom style="medium">
        <color rgb="FF3D3D3D"/>
      </bottom>
      <diagonal/>
    </border>
    <border>
      <left style="medium">
        <color rgb="FF3D3D3D"/>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rgb="FF3D3D3D"/>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rgb="FF3D3D3D"/>
      </left>
      <right style="medium">
        <color rgb="FF3D3D3D"/>
      </right>
      <top style="medium">
        <color auto="1"/>
      </top>
      <bottom style="medium">
        <color auto="1"/>
      </bottom>
      <diagonal/>
    </border>
    <border>
      <left style="medium">
        <color auto="1"/>
      </left>
      <right style="medium">
        <color auto="1"/>
      </right>
      <top style="medium">
        <color auto="1"/>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3D3D3D"/>
      </left>
      <right style="medium">
        <color rgb="FF3D3D3D"/>
      </right>
      <top style="medium">
        <color rgb="FF3D3D3D"/>
      </top>
      <bottom/>
      <diagonal/>
    </border>
    <border>
      <left style="medium">
        <color rgb="FF3D3D3D"/>
      </left>
      <right/>
      <top/>
      <bottom/>
      <diagonal/>
    </border>
    <border>
      <left style="medium">
        <color rgb="FF3D3D3D"/>
      </left>
      <right style="medium">
        <color rgb="FF3D3D3D"/>
      </right>
      <top/>
      <bottom/>
      <diagonal/>
    </border>
    <border>
      <left style="medium">
        <color rgb="FF3D3D3D"/>
      </left>
      <right/>
      <top/>
      <bottom style="medium">
        <color rgb="FF3D3D3D"/>
      </bottom>
      <diagonal/>
    </border>
    <border>
      <left/>
      <right style="medium">
        <color rgb="FF3D3D3D"/>
      </right>
      <top/>
      <bottom style="medium">
        <color rgb="FF3D3D3D"/>
      </bottom>
      <diagonal/>
    </border>
    <border>
      <left/>
      <right style="medium">
        <color rgb="FF3D3D3D"/>
      </right>
      <top style="medium">
        <color rgb="FF3D3D3D"/>
      </top>
      <bottom/>
      <diagonal/>
    </border>
    <border>
      <left style="thin">
        <color rgb="FF3D3D3D"/>
      </left>
      <right style="thin">
        <color rgb="FF3D3D3D"/>
      </right>
      <top/>
      <bottom/>
      <diagonal/>
    </border>
    <border>
      <left style="thin">
        <color rgb="FF3D3D3D"/>
      </left>
      <right/>
      <top/>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medium">
        <color rgb="FF3D3D3D"/>
      </left>
      <right style="medium">
        <color rgb="FF3D3D3D"/>
      </right>
      <top/>
      <bottom style="medium">
        <color rgb="FF3D3D3D"/>
      </bottom>
      <diagonal/>
    </border>
    <border>
      <left style="medium">
        <color rgb="FF3D3D3D"/>
      </left>
      <right/>
      <top style="medium">
        <color indexed="64"/>
      </top>
      <bottom style="medium">
        <color indexed="64"/>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rgb="FF3D3D3D"/>
      </right>
      <top style="medium">
        <color indexed="64"/>
      </top>
      <bottom style="medium">
        <color rgb="FF3D3D3D"/>
      </bottom>
      <diagonal/>
    </border>
    <border>
      <left style="medium">
        <color rgb="FF3D3D3D"/>
      </left>
      <right style="medium">
        <color rgb="FF3D3D3D"/>
      </right>
      <top style="medium">
        <color indexed="64"/>
      </top>
      <bottom style="medium">
        <color rgb="FF3D3D3D"/>
      </bottom>
      <diagonal/>
    </border>
    <border>
      <left style="medium">
        <color rgb="FF3D3D3D"/>
      </left>
      <right style="medium">
        <color rgb="FF3D3D3D"/>
      </right>
      <top style="medium">
        <color indexed="64"/>
      </top>
      <bottom/>
      <diagonal/>
    </border>
    <border>
      <left style="medium">
        <color indexed="64"/>
      </left>
      <right style="thin">
        <color rgb="FF3D3D3D"/>
      </right>
      <top/>
      <bottom/>
      <diagonal/>
    </border>
    <border>
      <left/>
      <right style="medium">
        <color indexed="64"/>
      </right>
      <top style="medium">
        <color rgb="FF3D3D3D"/>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rgb="FF3D3D3D"/>
      </right>
      <top/>
      <bottom style="thin">
        <color rgb="FF3D3D3D"/>
      </bottom>
      <diagonal/>
    </border>
    <border>
      <left style="thin">
        <color rgb="FF3D3D3D"/>
      </left>
      <right style="medium">
        <color indexed="64"/>
      </right>
      <top/>
      <bottom style="thin">
        <color rgb="FF3D3D3D"/>
      </bottom>
      <diagonal/>
    </border>
    <border>
      <left style="thin">
        <color rgb="FF3D3D3D"/>
      </left>
      <right style="medium">
        <color indexed="64"/>
      </right>
      <top style="thin">
        <color rgb="FF3D3D3D"/>
      </top>
      <bottom style="thin">
        <color rgb="FF3D3D3D"/>
      </bottom>
      <diagonal/>
    </border>
    <border>
      <left style="medium">
        <color indexed="64"/>
      </left>
      <right style="thin">
        <color rgb="FF3D3D3D"/>
      </right>
      <top style="thin">
        <color rgb="FF3D3D3D"/>
      </top>
      <bottom style="medium">
        <color indexed="64"/>
      </bottom>
      <diagonal/>
    </border>
    <border>
      <left style="thin">
        <color rgb="FF3D3D3D"/>
      </left>
      <right style="thin">
        <color rgb="FF3D3D3D"/>
      </right>
      <top style="thin">
        <color rgb="FF3D3D3D"/>
      </top>
      <bottom style="medium">
        <color indexed="64"/>
      </bottom>
      <diagonal/>
    </border>
    <border>
      <left style="thin">
        <color rgb="FF3D3D3D"/>
      </left>
      <right/>
      <top style="thin">
        <color rgb="FF3D3D3D"/>
      </top>
      <bottom style="medium">
        <color indexed="64"/>
      </bottom>
      <diagonal/>
    </border>
    <border>
      <left style="thin">
        <color rgb="FF3D3D3D"/>
      </left>
      <right style="medium">
        <color indexed="64"/>
      </right>
      <top style="thin">
        <color rgb="FF3D3D3D"/>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8">
    <xf numFmtId="0" fontId="0" fillId="0" borderId="0"/>
    <xf numFmtId="165" fontId="15" fillId="0" borderId="0" applyBorder="0" applyProtection="0"/>
    <xf numFmtId="0" fontId="2" fillId="0" borderId="1" applyProtection="0"/>
    <xf numFmtId="164" fontId="3" fillId="0" borderId="0" applyBorder="0" applyProtection="0"/>
    <xf numFmtId="0" fontId="4" fillId="2" borderId="0" applyBorder="0" applyProtection="0"/>
    <xf numFmtId="0" fontId="1" fillId="0" borderId="0"/>
    <xf numFmtId="0" fontId="15" fillId="0" borderId="0"/>
    <xf numFmtId="0" fontId="15" fillId="0" borderId="0"/>
  </cellStyleXfs>
  <cellXfs count="182">
    <xf numFmtId="0" fontId="0" fillId="0" borderId="0" xfId="0"/>
    <xf numFmtId="0" fontId="0" fillId="0" borderId="0" xfId="0" applyBorder="1"/>
    <xf numFmtId="0" fontId="3" fillId="0" borderId="0" xfId="0" applyFont="1" applyBorder="1" applyAlignment="1">
      <alignment vertical="center"/>
    </xf>
    <xf numFmtId="0" fontId="6" fillId="0" borderId="10" xfId="0" applyFont="1" applyBorder="1" applyAlignment="1">
      <alignment horizontal="right" vertical="center"/>
    </xf>
    <xf numFmtId="0" fontId="6" fillId="0" borderId="12" xfId="0" applyFont="1" applyBorder="1" applyAlignment="1">
      <alignment vertical="center"/>
    </xf>
    <xf numFmtId="0" fontId="6" fillId="0" borderId="0" xfId="0" applyFont="1" applyBorder="1" applyAlignment="1">
      <alignment vertical="center"/>
    </xf>
    <xf numFmtId="0" fontId="8" fillId="0" borderId="0" xfId="0" applyFont="1" applyBorder="1" applyAlignment="1">
      <alignment horizontal="left" vertical="center"/>
    </xf>
    <xf numFmtId="0" fontId="7" fillId="0" borderId="0" xfId="0" applyFont="1" applyBorder="1" applyAlignment="1">
      <alignment horizontal="left" vertical="center" wrapText="1" indent="1"/>
    </xf>
    <xf numFmtId="0" fontId="5" fillId="0" borderId="19" xfId="0" applyFont="1" applyBorder="1" applyAlignment="1">
      <alignment horizontal="center" vertical="center"/>
    </xf>
    <xf numFmtId="0" fontId="0" fillId="0" borderId="0" xfId="0" applyAlignment="1">
      <alignment horizontal="left"/>
    </xf>
    <xf numFmtId="3" fontId="10" fillId="0" borderId="0" xfId="0" applyNumberFormat="1" applyFont="1" applyBorder="1" applyAlignment="1"/>
    <xf numFmtId="168" fontId="0" fillId="0" borderId="0" xfId="0" applyNumberFormat="1" applyAlignment="1">
      <alignment horizontal="left"/>
    </xf>
    <xf numFmtId="0" fontId="3" fillId="0" borderId="0" xfId="0" applyFont="1"/>
    <xf numFmtId="0" fontId="0" fillId="0" borderId="10" xfId="0" applyBorder="1"/>
    <xf numFmtId="0" fontId="0" fillId="0" borderId="25" xfId="0" applyBorder="1"/>
    <xf numFmtId="0" fontId="0" fillId="0" borderId="12" xfId="0" applyBorder="1"/>
    <xf numFmtId="0" fontId="0" fillId="0" borderId="12" xfId="0" applyBorder="1" applyAlignment="1">
      <alignment horizontal="left"/>
    </xf>
    <xf numFmtId="0" fontId="0" fillId="0" borderId="26" xfId="0" applyBorder="1"/>
    <xf numFmtId="0" fontId="14" fillId="0" borderId="28" xfId="0" applyFont="1" applyBorder="1" applyAlignment="1">
      <alignment horizontal="center" vertical="center"/>
    </xf>
    <xf numFmtId="0" fontId="14" fillId="0" borderId="28" xfId="0" applyFont="1" applyBorder="1" applyAlignment="1">
      <alignment horizontal="left" vertical="center"/>
    </xf>
    <xf numFmtId="0" fontId="14" fillId="0" borderId="29" xfId="0" applyFont="1" applyBorder="1" applyAlignment="1">
      <alignment horizontal="center" vertical="center"/>
    </xf>
    <xf numFmtId="0" fontId="14" fillId="0" borderId="24" xfId="0" applyFont="1" applyBorder="1" applyAlignment="1">
      <alignment horizontal="center" vertical="center"/>
    </xf>
    <xf numFmtId="0" fontId="0" fillId="0" borderId="30" xfId="0" applyFont="1" applyBorder="1" applyAlignment="1">
      <alignment horizontal="center" vertical="center"/>
    </xf>
    <xf numFmtId="0" fontId="0" fillId="0" borderId="31" xfId="0" applyFont="1" applyBorder="1" applyAlignment="1">
      <alignment horizontal="center" vertical="center"/>
    </xf>
    <xf numFmtId="0" fontId="0" fillId="0" borderId="32" xfId="0" applyFont="1" applyBorder="1" applyAlignment="1">
      <alignment horizontal="center" vertical="center"/>
    </xf>
    <xf numFmtId="0" fontId="12" fillId="0" borderId="30" xfId="0" applyFont="1" applyBorder="1" applyAlignment="1">
      <alignment horizontal="center" vertical="center"/>
    </xf>
    <xf numFmtId="0" fontId="0" fillId="0" borderId="32" xfId="0" applyBorder="1" applyAlignment="1">
      <alignment horizontal="center" vertical="center"/>
    </xf>
    <xf numFmtId="0" fontId="12" fillId="0" borderId="31" xfId="0" applyFont="1" applyBorder="1" applyAlignment="1">
      <alignment horizontal="center" vertical="center"/>
    </xf>
    <xf numFmtId="0" fontId="12" fillId="0" borderId="32" xfId="0" applyFont="1" applyBorder="1" applyAlignment="1">
      <alignment horizontal="center" vertical="center"/>
    </xf>
    <xf numFmtId="0" fontId="16" fillId="0" borderId="0" xfId="0" applyFont="1"/>
    <xf numFmtId="0" fontId="19" fillId="0" borderId="0" xfId="0" applyFont="1" applyAlignment="1">
      <alignment horizontal="left" wrapText="1"/>
    </xf>
    <xf numFmtId="0" fontId="19" fillId="0" borderId="0" xfId="0" applyFont="1" applyAlignment="1">
      <alignment horizontal="center" wrapText="1"/>
    </xf>
    <xf numFmtId="0" fontId="23" fillId="0" borderId="2" xfId="0" applyFont="1" applyBorder="1"/>
    <xf numFmtId="0" fontId="16" fillId="0" borderId="3" xfId="0" applyFont="1" applyBorder="1"/>
    <xf numFmtId="0" fontId="16" fillId="0" borderId="4" xfId="0" applyFont="1" applyBorder="1"/>
    <xf numFmtId="0" fontId="16" fillId="0" borderId="5" xfId="0" applyFont="1" applyBorder="1"/>
    <xf numFmtId="0" fontId="16" fillId="0" borderId="0" xfId="0" applyFont="1" applyBorder="1"/>
    <xf numFmtId="0" fontId="16" fillId="0" borderId="6" xfId="0" applyFont="1" applyBorder="1"/>
    <xf numFmtId="0" fontId="23" fillId="0" borderId="5" xfId="0" applyFont="1" applyBorder="1" applyAlignment="1">
      <alignment horizontal="left" indent="3"/>
    </xf>
    <xf numFmtId="0" fontId="16" fillId="0" borderId="5" xfId="0" applyFont="1" applyBorder="1" applyAlignment="1">
      <alignment horizontal="left" indent="3"/>
    </xf>
    <xf numFmtId="0" fontId="16" fillId="0" borderId="0" xfId="0" applyFont="1" applyBorder="1" applyAlignment="1">
      <alignment horizontal="center" wrapText="1"/>
    </xf>
    <xf numFmtId="0" fontId="16" fillId="0" borderId="6" xfId="0" applyFont="1" applyBorder="1" applyAlignment="1">
      <alignment horizontal="center" wrapText="1"/>
    </xf>
    <xf numFmtId="0" fontId="16" fillId="0" borderId="7" xfId="0" applyFont="1" applyBorder="1" applyAlignment="1">
      <alignment horizontal="left" indent="3"/>
    </xf>
    <xf numFmtId="0" fontId="16" fillId="0" borderId="8" xfId="0" applyFont="1" applyBorder="1"/>
    <xf numFmtId="0" fontId="16" fillId="0" borderId="9" xfId="0" applyFont="1" applyBorder="1"/>
    <xf numFmtId="0" fontId="20" fillId="0" borderId="14" xfId="0" applyFont="1" applyBorder="1" applyAlignment="1">
      <alignment horizontal="center" vertical="center" wrapText="1"/>
    </xf>
    <xf numFmtId="0" fontId="22" fillId="4" borderId="14" xfId="0" applyFont="1" applyFill="1" applyBorder="1" applyAlignment="1">
      <alignment horizontal="center" vertical="center" wrapText="1"/>
    </xf>
    <xf numFmtId="0" fontId="24" fillId="4" borderId="0" xfId="0" applyFont="1" applyFill="1" applyAlignment="1">
      <alignment horizontal="left" wrapText="1" indent="1"/>
    </xf>
    <xf numFmtId="0" fontId="20" fillId="5" borderId="0" xfId="0" applyFont="1" applyFill="1" applyAlignment="1">
      <alignment horizontal="left" wrapText="1"/>
    </xf>
    <xf numFmtId="0" fontId="7" fillId="4" borderId="11" xfId="0" applyFont="1" applyFill="1" applyBorder="1" applyAlignment="1">
      <alignment horizontal="center" vertical="center"/>
    </xf>
    <xf numFmtId="0" fontId="5" fillId="5" borderId="19" xfId="0" applyFont="1" applyFill="1" applyBorder="1" applyAlignment="1">
      <alignment horizontal="left" vertical="center"/>
    </xf>
    <xf numFmtId="0" fontId="5" fillId="4" borderId="19" xfId="0" applyFont="1" applyFill="1" applyBorder="1" applyAlignment="1">
      <alignment horizontal="center" vertical="center"/>
    </xf>
    <xf numFmtId="0" fontId="5" fillId="5" borderId="19" xfId="0" applyFont="1" applyFill="1" applyBorder="1" applyAlignment="1">
      <alignment horizontal="center" vertical="center" wrapText="1"/>
    </xf>
    <xf numFmtId="166" fontId="5" fillId="5" borderId="19" xfId="1" applyNumberFormat="1" applyFont="1" applyFill="1" applyBorder="1" applyAlignment="1" applyProtection="1">
      <alignment horizontal="right" vertical="center" wrapText="1"/>
    </xf>
    <xf numFmtId="3" fontId="5" fillId="5" borderId="19" xfId="0" applyNumberFormat="1" applyFont="1" applyFill="1" applyBorder="1" applyAlignment="1">
      <alignment horizontal="center" vertical="center"/>
    </xf>
    <xf numFmtId="0" fontId="15" fillId="0" borderId="30" xfId="0" applyFont="1" applyBorder="1" applyAlignment="1">
      <alignment horizontal="center" vertical="center"/>
    </xf>
    <xf numFmtId="0" fontId="15" fillId="0" borderId="32" xfId="0" applyFont="1" applyBorder="1" applyAlignment="1">
      <alignment horizontal="center" vertical="center"/>
    </xf>
    <xf numFmtId="166" fontId="0" fillId="0" borderId="0" xfId="0" applyNumberFormat="1"/>
    <xf numFmtId="0" fontId="22" fillId="0" borderId="0" xfId="0" applyFont="1" applyFill="1" applyBorder="1" applyAlignment="1">
      <alignment horizontal="center" vertical="center" wrapText="1"/>
    </xf>
    <xf numFmtId="0" fontId="22" fillId="0" borderId="0" xfId="0" applyFont="1" applyFill="1" applyBorder="1" applyAlignment="1">
      <alignment horizontal="left" vertical="center" wrapText="1"/>
    </xf>
    <xf numFmtId="0" fontId="0" fillId="0" borderId="0" xfId="0" applyFill="1" applyBorder="1" applyAlignment="1">
      <alignment wrapText="1"/>
    </xf>
    <xf numFmtId="0" fontId="19" fillId="0" borderId="0" xfId="0" applyFont="1" applyFill="1" applyBorder="1" applyAlignment="1">
      <alignment horizontal="center" vertical="center" wrapText="1"/>
    </xf>
    <xf numFmtId="166" fontId="21" fillId="0" borderId="0" xfId="1" applyNumberFormat="1" applyFont="1" applyFill="1" applyBorder="1" applyAlignment="1" applyProtection="1">
      <alignment horizontal="center" vertical="center" wrapText="1"/>
    </xf>
    <xf numFmtId="166" fontId="21" fillId="0" borderId="0" xfId="1" applyNumberFormat="1" applyFont="1" applyFill="1" applyBorder="1" applyAlignment="1" applyProtection="1">
      <alignment horizontal="right" vertical="center" wrapText="1"/>
    </xf>
    <xf numFmtId="0" fontId="16" fillId="0" borderId="0" xfId="0" applyFont="1" applyFill="1"/>
    <xf numFmtId="0" fontId="22" fillId="0" borderId="14" xfId="0" applyFont="1" applyFill="1" applyBorder="1" applyAlignment="1">
      <alignment horizontal="center" vertical="center" wrapText="1"/>
    </xf>
    <xf numFmtId="0" fontId="32" fillId="0" borderId="0" xfId="0" applyFont="1" applyBorder="1" applyAlignment="1">
      <alignment vertical="center"/>
    </xf>
    <xf numFmtId="167" fontId="32" fillId="0" borderId="0" xfId="0" applyNumberFormat="1" applyFont="1" applyBorder="1" applyAlignment="1">
      <alignment vertical="center"/>
    </xf>
    <xf numFmtId="167" fontId="32" fillId="0" borderId="0" xfId="0" applyNumberFormat="1" applyFont="1"/>
    <xf numFmtId="0" fontId="20" fillId="0" borderId="14" xfId="0" applyFont="1" applyFill="1" applyBorder="1" applyAlignment="1">
      <alignment horizontal="center" vertical="center" wrapText="1"/>
    </xf>
    <xf numFmtId="0" fontId="21" fillId="0" borderId="14" xfId="0" applyFont="1" applyFill="1" applyBorder="1" applyAlignment="1">
      <alignment horizontal="center" vertical="center"/>
    </xf>
    <xf numFmtId="166" fontId="14" fillId="0" borderId="33" xfId="0" applyNumberFormat="1" applyFont="1" applyFill="1" applyBorder="1" applyAlignment="1">
      <alignment horizontal="center" vertical="center"/>
    </xf>
    <xf numFmtId="0" fontId="0" fillId="0" borderId="38" xfId="0" applyFont="1" applyBorder="1" applyAlignment="1">
      <alignment horizontal="center" vertical="center"/>
    </xf>
    <xf numFmtId="0" fontId="15" fillId="0" borderId="38" xfId="0" applyFont="1" applyBorder="1" applyAlignment="1">
      <alignment horizontal="center" vertical="center"/>
    </xf>
    <xf numFmtId="0" fontId="0" fillId="4" borderId="38" xfId="0" applyFont="1" applyFill="1" applyBorder="1" applyAlignment="1">
      <alignment horizontal="center" vertical="center"/>
    </xf>
    <xf numFmtId="0" fontId="15" fillId="4" borderId="38" xfId="0" applyFont="1" applyFill="1" applyBorder="1" applyAlignment="1">
      <alignment horizontal="center" vertical="center"/>
    </xf>
    <xf numFmtId="0" fontId="0" fillId="5" borderId="38" xfId="0" applyFont="1" applyFill="1" applyBorder="1" applyAlignment="1">
      <alignment horizontal="center" vertical="center"/>
    </xf>
    <xf numFmtId="0" fontId="14" fillId="0" borderId="42" xfId="0" applyFont="1" applyBorder="1" applyAlignment="1">
      <alignment horizontal="center" vertical="center"/>
    </xf>
    <xf numFmtId="0" fontId="0" fillId="0" borderId="44" xfId="0" applyFont="1" applyBorder="1" applyAlignment="1">
      <alignment horizontal="center" vertical="center"/>
    </xf>
    <xf numFmtId="166" fontId="0" fillId="0" borderId="45" xfId="3" applyNumberFormat="1" applyFont="1" applyBorder="1" applyAlignment="1" applyProtection="1">
      <alignment horizontal="center" vertical="center"/>
    </xf>
    <xf numFmtId="0" fontId="0" fillId="4" borderId="44" xfId="0" applyFont="1" applyFill="1" applyBorder="1" applyAlignment="1">
      <alignment horizontal="center" vertical="center"/>
    </xf>
    <xf numFmtId="0" fontId="0" fillId="0" borderId="46" xfId="0" applyFont="1" applyBorder="1" applyAlignment="1">
      <alignment horizontal="center" vertical="center"/>
    </xf>
    <xf numFmtId="166" fontId="0" fillId="0" borderId="47" xfId="3" applyNumberFormat="1" applyFont="1" applyBorder="1" applyAlignment="1" applyProtection="1">
      <alignment horizontal="center" vertical="center"/>
    </xf>
    <xf numFmtId="166" fontId="0" fillId="0" borderId="48" xfId="3" applyNumberFormat="1" applyFont="1" applyBorder="1" applyAlignment="1" applyProtection="1">
      <alignment horizontal="center" vertical="center"/>
    </xf>
    <xf numFmtId="0" fontId="12" fillId="0" borderId="46" xfId="0" applyFont="1" applyBorder="1" applyAlignment="1">
      <alignment horizontal="center" vertical="center"/>
    </xf>
    <xf numFmtId="0" fontId="0" fillId="0" borderId="49" xfId="0" applyBorder="1" applyAlignment="1">
      <alignment horizontal="center" vertical="center"/>
    </xf>
    <xf numFmtId="0" fontId="0" fillId="0" borderId="50" xfId="0" applyBorder="1" applyAlignment="1">
      <alignment horizontal="center" vertical="center"/>
    </xf>
    <xf numFmtId="0" fontId="0" fillId="0" borderId="51" xfId="0" applyBorder="1" applyAlignment="1">
      <alignment horizontal="center" vertical="center"/>
    </xf>
    <xf numFmtId="166" fontId="0" fillId="0" borderId="52" xfId="3" applyNumberFormat="1" applyFont="1" applyBorder="1" applyAlignment="1" applyProtection="1">
      <alignment horizontal="center" vertical="center"/>
    </xf>
    <xf numFmtId="0" fontId="0" fillId="0" borderId="53" xfId="0" applyFont="1" applyBorder="1" applyAlignment="1">
      <alignment horizontal="center" vertical="center"/>
    </xf>
    <xf numFmtId="0" fontId="0" fillId="0" borderId="54" xfId="0" applyFont="1" applyBorder="1" applyAlignment="1">
      <alignment horizontal="center" vertical="center"/>
    </xf>
    <xf numFmtId="0" fontId="15" fillId="0" borderId="54" xfId="0" applyFont="1" applyBorder="1" applyAlignment="1">
      <alignment horizontal="center" vertical="center"/>
    </xf>
    <xf numFmtId="166" fontId="0" fillId="0" borderId="55" xfId="3" applyNumberFormat="1" applyFont="1" applyBorder="1" applyAlignment="1" applyProtection="1">
      <alignment horizontal="center" vertical="center"/>
    </xf>
    <xf numFmtId="166" fontId="33" fillId="0" borderId="0" xfId="0" applyNumberFormat="1" applyFont="1" applyFill="1"/>
    <xf numFmtId="0" fontId="33" fillId="0" borderId="0" xfId="0" applyFont="1" applyFill="1"/>
    <xf numFmtId="0" fontId="33" fillId="0" borderId="0" xfId="0" applyFont="1"/>
    <xf numFmtId="167" fontId="33" fillId="0" borderId="0" xfId="0" applyNumberFormat="1" applyFont="1" applyFill="1"/>
    <xf numFmtId="0" fontId="22" fillId="5" borderId="14" xfId="0" applyFont="1" applyFill="1" applyBorder="1" applyAlignment="1">
      <alignment horizontal="left" vertical="center" wrapText="1"/>
    </xf>
    <xf numFmtId="0" fontId="22" fillId="5" borderId="14" xfId="0" applyFont="1" applyFill="1" applyBorder="1" applyAlignment="1">
      <alignment horizontal="center" vertical="center" wrapText="1"/>
    </xf>
    <xf numFmtId="0" fontId="15" fillId="5" borderId="14" xfId="5" applyNumberFormat="1" applyFont="1" applyFill="1" applyBorder="1" applyAlignment="1">
      <alignment horizontal="left" vertical="center"/>
    </xf>
    <xf numFmtId="0" fontId="27" fillId="5" borderId="14" xfId="0" applyFont="1" applyFill="1" applyBorder="1" applyAlignment="1">
      <alignment horizontal="center" vertical="center"/>
    </xf>
    <xf numFmtId="169" fontId="27" fillId="5" borderId="14" xfId="0" applyNumberFormat="1" applyFont="1" applyFill="1" applyBorder="1" applyAlignment="1">
      <alignment horizontal="center" vertical="center"/>
    </xf>
    <xf numFmtId="166" fontId="21" fillId="4" borderId="14" xfId="1" applyNumberFormat="1" applyFont="1" applyFill="1" applyBorder="1" applyAlignment="1" applyProtection="1">
      <alignment horizontal="right" vertical="center" wrapText="1"/>
    </xf>
    <xf numFmtId="0" fontId="26" fillId="5" borderId="14" xfId="0" applyFont="1" applyFill="1" applyBorder="1" applyAlignment="1">
      <alignment vertical="center"/>
    </xf>
    <xf numFmtId="0" fontId="26" fillId="5" borderId="14" xfId="0" applyFont="1" applyFill="1" applyBorder="1" applyAlignment="1">
      <alignment horizontal="center" vertical="center"/>
    </xf>
    <xf numFmtId="169" fontId="26" fillId="5" borderId="14" xfId="0" applyNumberFormat="1" applyFont="1" applyFill="1" applyBorder="1" applyAlignment="1">
      <alignment horizontal="center" vertical="center"/>
    </xf>
    <xf numFmtId="0" fontId="31" fillId="5" borderId="14" xfId="0" applyFont="1" applyFill="1" applyBorder="1" applyAlignment="1">
      <alignment vertical="center" wrapText="1"/>
    </xf>
    <xf numFmtId="166" fontId="21" fillId="4" borderId="14" xfId="1" applyNumberFormat="1" applyFont="1" applyFill="1" applyBorder="1" applyAlignment="1" applyProtection="1">
      <alignment horizontal="center" vertical="center" wrapText="1"/>
    </xf>
    <xf numFmtId="0" fontId="27" fillId="5" borderId="14" xfId="0" applyFont="1" applyFill="1" applyBorder="1" applyAlignment="1">
      <alignment vertical="center"/>
    </xf>
    <xf numFmtId="166" fontId="21" fillId="5" borderId="14" xfId="1" applyNumberFormat="1" applyFont="1" applyFill="1" applyBorder="1" applyAlignment="1" applyProtection="1">
      <alignment horizontal="right" vertical="center" wrapText="1"/>
    </xf>
    <xf numFmtId="0" fontId="30" fillId="5" borderId="14" xfId="6" applyFont="1" applyFill="1" applyBorder="1" applyAlignment="1">
      <alignment horizontal="left" vertical="center"/>
    </xf>
    <xf numFmtId="0" fontId="28" fillId="5" borderId="14" xfId="0" applyFont="1" applyFill="1" applyBorder="1" applyAlignment="1">
      <alignment vertical="center" wrapText="1"/>
    </xf>
    <xf numFmtId="0" fontId="26" fillId="5" borderId="14" xfId="6" applyNumberFormat="1" applyFont="1" applyFill="1" applyBorder="1" applyAlignment="1">
      <alignment vertical="center" wrapText="1"/>
    </xf>
    <xf numFmtId="0" fontId="31" fillId="5" borderId="37" xfId="0" applyFont="1" applyFill="1" applyBorder="1" applyAlignment="1">
      <alignment vertical="center" wrapText="1"/>
    </xf>
    <xf numFmtId="0" fontId="22" fillId="4" borderId="21" xfId="0" applyFont="1" applyFill="1" applyBorder="1" applyAlignment="1">
      <alignment horizontal="center" vertical="center" wrapText="1"/>
    </xf>
    <xf numFmtId="0" fontId="22" fillId="5" borderId="21" xfId="0" applyFont="1" applyFill="1" applyBorder="1" applyAlignment="1">
      <alignment horizontal="center" vertical="center" wrapText="1"/>
    </xf>
    <xf numFmtId="0" fontId="30" fillId="5" borderId="14" xfId="5" applyNumberFormat="1" applyFont="1" applyFill="1" applyBorder="1" applyAlignment="1">
      <alignment horizontal="left" vertical="center"/>
    </xf>
    <xf numFmtId="0" fontId="26" fillId="5" borderId="14" xfId="0" applyFont="1" applyFill="1" applyBorder="1" applyAlignment="1">
      <alignment horizontal="left" vertical="center"/>
    </xf>
    <xf numFmtId="0" fontId="16" fillId="5" borderId="0" xfId="0" applyFont="1" applyFill="1"/>
    <xf numFmtId="0" fontId="16" fillId="5" borderId="5" xfId="0" applyFont="1" applyFill="1" applyBorder="1" applyAlignment="1"/>
    <xf numFmtId="0" fontId="16" fillId="5" borderId="0" xfId="0" applyFont="1" applyFill="1" applyBorder="1" applyAlignment="1"/>
    <xf numFmtId="0" fontId="0" fillId="0" borderId="56" xfId="0" applyFont="1" applyBorder="1" applyAlignment="1">
      <alignment horizontal="center" vertical="center"/>
    </xf>
    <xf numFmtId="0" fontId="0" fillId="0" borderId="37" xfId="0" applyFont="1" applyBorder="1" applyAlignment="1">
      <alignment horizontal="center" vertical="center"/>
    </xf>
    <xf numFmtId="0" fontId="15" fillId="0" borderId="37" xfId="0" applyFont="1" applyBorder="1" applyAlignment="1">
      <alignment horizontal="center" vertical="center"/>
    </xf>
    <xf numFmtId="166" fontId="0" fillId="0" borderId="57" xfId="3" applyNumberFormat="1" applyFont="1" applyBorder="1" applyAlignment="1" applyProtection="1">
      <alignment horizontal="center" vertical="center"/>
    </xf>
    <xf numFmtId="0" fontId="16" fillId="4" borderId="6" xfId="0" applyFont="1" applyFill="1" applyBorder="1" applyAlignment="1">
      <alignment horizontal="left" wrapText="1"/>
    </xf>
    <xf numFmtId="0" fontId="16" fillId="3" borderId="6" xfId="0" applyFont="1" applyFill="1" applyBorder="1" applyAlignment="1">
      <alignment horizontal="center"/>
    </xf>
    <xf numFmtId="0" fontId="16" fillId="3" borderId="6" xfId="0" applyFont="1" applyFill="1" applyBorder="1" applyAlignment="1">
      <alignment horizontal="center" vertical="center" wrapText="1"/>
    </xf>
    <xf numFmtId="0" fontId="16" fillId="4" borderId="6" xfId="0" applyFont="1" applyFill="1" applyBorder="1" applyAlignment="1">
      <alignment horizontal="left"/>
    </xf>
    <xf numFmtId="0" fontId="16" fillId="4" borderId="6" xfId="0" applyFont="1" applyFill="1" applyBorder="1" applyAlignment="1">
      <alignment horizontal="center"/>
    </xf>
    <xf numFmtId="0" fontId="16" fillId="3" borderId="6" xfId="0" applyFont="1" applyFill="1" applyBorder="1" applyAlignment="1">
      <alignment horizontal="center" wrapText="1"/>
    </xf>
    <xf numFmtId="0" fontId="18" fillId="0" borderId="0" xfId="0" applyFont="1" applyBorder="1" applyAlignment="1">
      <alignment horizontal="left" vertical="center" wrapText="1"/>
    </xf>
    <xf numFmtId="0" fontId="17" fillId="0" borderId="0" xfId="0" applyFont="1" applyBorder="1" applyAlignment="1">
      <alignment horizontal="center"/>
    </xf>
    <xf numFmtId="0" fontId="24" fillId="4" borderId="0" xfId="0" applyFont="1" applyFill="1" applyBorder="1" applyAlignment="1">
      <alignment horizontal="left" wrapText="1" indent="1"/>
    </xf>
    <xf numFmtId="0" fontId="5" fillId="5" borderId="19" xfId="0" applyFont="1" applyFill="1" applyBorder="1" applyAlignment="1">
      <alignment horizontal="left" vertical="center" wrapText="1"/>
    </xf>
    <xf numFmtId="0" fontId="6" fillId="0" borderId="0" xfId="0" applyFont="1" applyBorder="1" applyAlignment="1">
      <alignment horizontal="center" vertical="center"/>
    </xf>
    <xf numFmtId="0" fontId="8" fillId="0" borderId="13" xfId="0" applyFont="1" applyBorder="1" applyAlignment="1">
      <alignment horizontal="left" vertical="center" wrapText="1"/>
    </xf>
    <xf numFmtId="0" fontId="7" fillId="5" borderId="14" xfId="0" applyFont="1" applyFill="1" applyBorder="1" applyAlignment="1">
      <alignment horizontal="left" vertical="center" wrapText="1" indent="1"/>
    </xf>
    <xf numFmtId="0" fontId="8" fillId="0" borderId="15" xfId="0" applyFont="1" applyBorder="1" applyAlignment="1">
      <alignment horizontal="left" vertical="center" wrapText="1"/>
    </xf>
    <xf numFmtId="0" fontId="7" fillId="0" borderId="14" xfId="0" applyFont="1" applyBorder="1" applyAlignment="1">
      <alignment horizontal="left" vertical="center" wrapText="1" indent="1"/>
    </xf>
    <xf numFmtId="167" fontId="8" fillId="0" borderId="14" xfId="0" applyNumberFormat="1" applyFont="1" applyBorder="1" applyAlignment="1">
      <alignment horizontal="center" vertical="center"/>
    </xf>
    <xf numFmtId="0" fontId="8" fillId="0" borderId="16" xfId="0" applyFont="1" applyBorder="1" applyAlignment="1">
      <alignment horizontal="left" vertical="center"/>
    </xf>
    <xf numFmtId="0" fontId="7" fillId="4" borderId="17" xfId="0" applyFont="1" applyFill="1" applyBorder="1" applyAlignment="1">
      <alignment horizontal="left" vertical="center" wrapText="1" indent="1"/>
    </xf>
    <xf numFmtId="0" fontId="9" fillId="0" borderId="16" xfId="0" applyFont="1" applyBorder="1" applyAlignment="1">
      <alignment horizontal="center" vertical="center"/>
    </xf>
    <xf numFmtId="0" fontId="9" fillId="0" borderId="18" xfId="0" applyFont="1" applyBorder="1" applyAlignment="1">
      <alignment horizontal="center" vertical="center" wrapText="1"/>
    </xf>
    <xf numFmtId="0" fontId="9" fillId="0" borderId="17" xfId="0" applyFont="1" applyBorder="1" applyAlignment="1">
      <alignment horizontal="center" vertical="center" wrapText="1"/>
    </xf>
    <xf numFmtId="0" fontId="0" fillId="0" borderId="20" xfId="0" applyFont="1" applyBorder="1" applyAlignment="1">
      <alignment horizontal="center"/>
    </xf>
    <xf numFmtId="3" fontId="10" fillId="0" borderId="21" xfId="0" applyNumberFormat="1" applyFont="1" applyBorder="1" applyAlignment="1">
      <alignment horizontal="center"/>
    </xf>
    <xf numFmtId="0" fontId="11" fillId="0" borderId="11" xfId="0" applyFont="1" applyBorder="1" applyAlignment="1">
      <alignment horizontal="center" vertical="center" wrapText="1"/>
    </xf>
    <xf numFmtId="0" fontId="3" fillId="0" borderId="11" xfId="0" applyFont="1" applyBorder="1"/>
    <xf numFmtId="0" fontId="12" fillId="0" borderId="11" xfId="0" applyFont="1" applyBorder="1" applyAlignment="1">
      <alignment horizontal="left" indent="1"/>
    </xf>
    <xf numFmtId="0" fontId="5" fillId="0" borderId="13" xfId="0" applyFont="1" applyBorder="1" applyAlignment="1">
      <alignment horizontal="left" vertical="center" wrapText="1"/>
    </xf>
    <xf numFmtId="0" fontId="5" fillId="0" borderId="35" xfId="0" applyFont="1" applyBorder="1" applyAlignment="1">
      <alignment horizontal="left" vertical="center" wrapText="1"/>
    </xf>
    <xf numFmtId="0" fontId="5" fillId="0" borderId="36" xfId="0" applyFont="1" applyBorder="1" applyAlignment="1">
      <alignment horizontal="left" vertical="center" wrapText="1"/>
    </xf>
    <xf numFmtId="0" fontId="13" fillId="0" borderId="11" xfId="0" applyFont="1" applyBorder="1" applyAlignment="1">
      <alignment horizontal="left"/>
    </xf>
    <xf numFmtId="0" fontId="12" fillId="0" borderId="23" xfId="0" applyFont="1" applyBorder="1"/>
    <xf numFmtId="0" fontId="12" fillId="0" borderId="24" xfId="0" applyFont="1" applyBorder="1" applyAlignment="1">
      <alignment horizontal="left" vertical="center" wrapText="1" indent="1"/>
    </xf>
    <xf numFmtId="0" fontId="14" fillId="0" borderId="22" xfId="0" applyFont="1" applyBorder="1" applyAlignment="1">
      <alignment horizontal="center" vertical="center"/>
    </xf>
    <xf numFmtId="0" fontId="14" fillId="0" borderId="39" xfId="0" applyFont="1" applyBorder="1" applyAlignment="1">
      <alignment horizontal="center" vertical="center"/>
    </xf>
    <xf numFmtId="0" fontId="14" fillId="0" borderId="40" xfId="0" applyFont="1" applyBorder="1" applyAlignment="1">
      <alignment horizontal="center" vertical="center"/>
    </xf>
    <xf numFmtId="0" fontId="14" fillId="0" borderId="41" xfId="0" applyFont="1" applyBorder="1" applyAlignment="1">
      <alignment horizontal="center" vertical="center" wrapText="1"/>
    </xf>
    <xf numFmtId="0" fontId="14" fillId="0" borderId="22" xfId="0" applyFont="1" applyBorder="1" applyAlignment="1">
      <alignment horizontal="center" vertical="center" wrapText="1"/>
    </xf>
    <xf numFmtId="0" fontId="14" fillId="0" borderId="4" xfId="0" applyFont="1" applyBorder="1" applyAlignment="1">
      <alignment horizontal="center" vertical="center"/>
    </xf>
    <xf numFmtId="0" fontId="14" fillId="0" borderId="43" xfId="0" applyFont="1" applyBorder="1" applyAlignment="1">
      <alignment horizontal="center" vertical="center"/>
    </xf>
    <xf numFmtId="0" fontId="25" fillId="0" borderId="38" xfId="0" applyFont="1" applyBorder="1" applyAlignment="1">
      <alignment horizontal="left" vertical="center" wrapText="1"/>
    </xf>
    <xf numFmtId="0" fontId="25" fillId="0" borderId="38" xfId="0" applyFont="1" applyBorder="1" applyAlignment="1">
      <alignment horizontal="left" vertical="center"/>
    </xf>
    <xf numFmtId="0" fontId="25" fillId="0" borderId="30" xfId="0" applyFont="1" applyBorder="1" applyAlignment="1">
      <alignment horizontal="left" vertical="center"/>
    </xf>
    <xf numFmtId="0" fontId="15" fillId="0" borderId="54" xfId="0" applyFont="1" applyBorder="1" applyAlignment="1">
      <alignment horizontal="left" vertical="center"/>
    </xf>
    <xf numFmtId="0" fontId="0" fillId="0" borderId="54" xfId="0" applyFont="1" applyBorder="1" applyAlignment="1">
      <alignment horizontal="left" vertical="center"/>
    </xf>
    <xf numFmtId="0" fontId="15" fillId="0" borderId="32" xfId="0" applyFont="1" applyBorder="1" applyAlignment="1">
      <alignment horizontal="left" vertical="center"/>
    </xf>
    <xf numFmtId="0" fontId="0" fillId="0" borderId="32" xfId="0" applyFont="1" applyBorder="1" applyAlignment="1">
      <alignment horizontal="left" vertical="center"/>
    </xf>
    <xf numFmtId="0" fontId="15" fillId="0" borderId="58" xfId="0" applyFont="1" applyBorder="1" applyAlignment="1">
      <alignment horizontal="left" vertical="center"/>
    </xf>
    <xf numFmtId="0" fontId="15" fillId="0" borderId="59" xfId="0" applyFont="1" applyBorder="1" applyAlignment="1">
      <alignment horizontal="left" vertical="center"/>
    </xf>
    <xf numFmtId="0" fontId="10" fillId="0" borderId="20" xfId="0" applyFont="1" applyBorder="1" applyAlignment="1">
      <alignment vertical="center" wrapText="1"/>
    </xf>
    <xf numFmtId="0" fontId="10" fillId="0" borderId="34" xfId="0" applyFont="1" applyBorder="1" applyAlignment="1">
      <alignment vertical="center" wrapText="1"/>
    </xf>
    <xf numFmtId="0" fontId="10" fillId="0" borderId="17" xfId="0" applyFont="1" applyBorder="1" applyAlignment="1">
      <alignment vertical="center" wrapText="1"/>
    </xf>
    <xf numFmtId="0" fontId="12" fillId="0" borderId="27" xfId="0" applyFont="1" applyBorder="1" applyAlignment="1">
      <alignment vertical="center" wrapText="1"/>
    </xf>
    <xf numFmtId="0" fontId="12" fillId="4" borderId="33" xfId="0" applyFont="1" applyFill="1" applyBorder="1" applyAlignment="1">
      <alignment horizontal="left" vertical="center" wrapText="1" indent="1"/>
    </xf>
    <xf numFmtId="0" fontId="0" fillId="0" borderId="32" xfId="0" applyBorder="1" applyAlignment="1">
      <alignment horizontal="left" vertical="center"/>
    </xf>
    <xf numFmtId="0" fontId="0" fillId="0" borderId="50" xfId="0" applyBorder="1" applyAlignment="1">
      <alignment horizontal="left" vertical="center"/>
    </xf>
    <xf numFmtId="0" fontId="29" fillId="0" borderId="33" xfId="0" applyFont="1" applyBorder="1" applyAlignment="1">
      <alignment horizontal="left" vertical="center" wrapText="1"/>
    </xf>
    <xf numFmtId="0" fontId="0" fillId="0" borderId="22" xfId="0" applyBorder="1"/>
  </cellXfs>
  <cellStyles count="8">
    <cellStyle name="Encabezado 1" xfId="2" xr:uid="{00000000-0005-0000-0000-000000000000}"/>
    <cellStyle name="Moneda" xfId="1" builtinId="4"/>
    <cellStyle name="Moneda_AUTORIZACION Y NOTA DE PEDIDO" xfId="3" xr:uid="{00000000-0005-0000-0000-000002000000}"/>
    <cellStyle name="Neutral 1" xfId="4" xr:uid="{00000000-0005-0000-0000-000003000000}"/>
    <cellStyle name="Normal" xfId="0" builtinId="0"/>
    <cellStyle name="Normal 2" xfId="6" xr:uid="{00000000-0005-0000-0000-000005000000}"/>
    <cellStyle name="Normal 3" xfId="7" xr:uid="{00000000-0005-0000-0000-000006000000}"/>
    <cellStyle name="Normal 4" xfId="5" xr:uid="{00000000-0005-0000-0000-000007000000}"/>
  </cellStyles>
  <dxfs count="1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mruColors>
      <color rgb="FFFF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733320</xdr:colOff>
      <xdr:row>0</xdr:row>
      <xdr:rowOff>0</xdr:rowOff>
    </xdr:to>
    <xdr:sp macro="" textlink="">
      <xdr:nvSpPr>
        <xdr:cNvPr id="2" name="Freeform 1">
          <a:extLst>
            <a:ext uri="{FF2B5EF4-FFF2-40B4-BE49-F238E27FC236}">
              <a16:creationId xmlns:a16="http://schemas.microsoft.com/office/drawing/2014/main" id="{00000000-0008-0000-0200-000002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3" name="Freeform 1">
          <a:extLst>
            <a:ext uri="{FF2B5EF4-FFF2-40B4-BE49-F238E27FC236}">
              <a16:creationId xmlns:a16="http://schemas.microsoft.com/office/drawing/2014/main" id="{00000000-0008-0000-0200-000003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4" name="Freeform 1">
          <a:extLst>
            <a:ext uri="{FF2B5EF4-FFF2-40B4-BE49-F238E27FC236}">
              <a16:creationId xmlns:a16="http://schemas.microsoft.com/office/drawing/2014/main" id="{00000000-0008-0000-0200-000004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5" name="Freeform 1">
          <a:extLst>
            <a:ext uri="{FF2B5EF4-FFF2-40B4-BE49-F238E27FC236}">
              <a16:creationId xmlns:a16="http://schemas.microsoft.com/office/drawing/2014/main" id="{00000000-0008-0000-0200-000005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6"/>
  <sheetViews>
    <sheetView zoomScale="85" zoomScaleNormal="85" workbookViewId="0">
      <selection activeCell="C7" sqref="C7"/>
    </sheetView>
  </sheetViews>
  <sheetFormatPr baseColWidth="10" defaultColWidth="11" defaultRowHeight="12.75" x14ac:dyDescent="0.2"/>
  <cols>
    <col min="1" max="1" width="4.5703125" style="64" customWidth="1"/>
    <col min="2" max="2" width="12.85546875" style="29" customWidth="1"/>
    <col min="3" max="3" width="42.5703125" style="29" customWidth="1"/>
    <col min="4" max="4" width="11.42578125" style="29" customWidth="1"/>
    <col min="5" max="5" width="79" style="29" customWidth="1"/>
    <col min="6" max="6" width="11" style="29"/>
    <col min="7" max="7" width="12.7109375" style="29" customWidth="1"/>
    <col min="8" max="8" width="13.85546875" style="29" customWidth="1"/>
    <col min="9" max="9" width="18.5703125" style="29" customWidth="1"/>
    <col min="10" max="10" width="16.140625" style="29" customWidth="1"/>
    <col min="11" max="16384" width="11" style="29"/>
  </cols>
  <sheetData>
    <row r="1" spans="1:13" x14ac:dyDescent="0.2">
      <c r="J1" s="118"/>
      <c r="K1" s="118"/>
      <c r="L1" s="118"/>
      <c r="M1" s="118"/>
    </row>
    <row r="2" spans="1:13" ht="27" x14ac:dyDescent="0.35">
      <c r="B2" s="132" t="s">
        <v>0</v>
      </c>
      <c r="C2" s="132"/>
      <c r="D2" s="132"/>
      <c r="E2" s="132"/>
      <c r="F2" s="132"/>
      <c r="G2" s="132"/>
      <c r="H2" s="132"/>
      <c r="J2" s="118"/>
      <c r="K2" s="118"/>
      <c r="L2" s="118"/>
      <c r="M2" s="118"/>
    </row>
    <row r="3" spans="1:13" x14ac:dyDescent="0.2">
      <c r="J3" s="118"/>
      <c r="K3" s="118"/>
      <c r="L3" s="118"/>
      <c r="M3" s="118"/>
    </row>
    <row r="4" spans="1:13" ht="18" customHeight="1" x14ac:dyDescent="0.25">
      <c r="A4" s="131" t="s">
        <v>1</v>
      </c>
      <c r="B4" s="131"/>
      <c r="C4" s="133" t="s">
        <v>57</v>
      </c>
      <c r="D4" s="133"/>
      <c r="E4" s="133"/>
      <c r="F4" s="30"/>
      <c r="G4" s="31"/>
      <c r="H4" s="30"/>
      <c r="J4" s="118"/>
      <c r="K4" s="118"/>
      <c r="L4" s="118"/>
      <c r="M4" s="118"/>
    </row>
    <row r="5" spans="1:13" ht="18" customHeight="1" x14ac:dyDescent="0.25">
      <c r="A5" s="131" t="s">
        <v>2</v>
      </c>
      <c r="B5" s="131"/>
      <c r="C5" s="133" t="s">
        <v>58</v>
      </c>
      <c r="D5" s="133"/>
      <c r="E5" s="133"/>
      <c r="F5" s="30"/>
      <c r="G5" s="31"/>
      <c r="H5" s="30"/>
      <c r="J5" s="118"/>
      <c r="K5" s="118"/>
      <c r="L5" s="118"/>
      <c r="M5" s="118"/>
    </row>
    <row r="6" spans="1:13" ht="16.5" customHeight="1" x14ac:dyDescent="0.25">
      <c r="A6" s="131" t="s">
        <v>3</v>
      </c>
      <c r="B6" s="131"/>
      <c r="C6" s="47">
        <v>2021</v>
      </c>
      <c r="D6" s="48"/>
      <c r="E6" s="48"/>
      <c r="F6" s="30"/>
      <c r="G6" s="31"/>
      <c r="H6" s="30"/>
      <c r="J6" s="118"/>
      <c r="K6" s="118"/>
      <c r="L6" s="118"/>
      <c r="M6" s="118"/>
    </row>
    <row r="7" spans="1:13" ht="16.5" customHeight="1" x14ac:dyDescent="0.25">
      <c r="A7" s="131" t="s">
        <v>4</v>
      </c>
      <c r="B7" s="131"/>
      <c r="C7" s="47">
        <v>3</v>
      </c>
      <c r="D7" s="48"/>
      <c r="E7" s="48"/>
      <c r="F7" s="30"/>
      <c r="G7" s="31"/>
      <c r="H7" s="30"/>
      <c r="J7" s="118"/>
      <c r="K7" s="118"/>
      <c r="L7" s="118"/>
      <c r="M7" s="118"/>
    </row>
    <row r="8" spans="1:13" ht="13.5" thickBot="1" x14ac:dyDescent="0.25">
      <c r="B8" s="30"/>
      <c r="C8" s="31"/>
      <c r="D8" s="30"/>
      <c r="E8" s="30"/>
      <c r="F8" s="30"/>
      <c r="G8" s="31"/>
      <c r="H8" s="30"/>
      <c r="J8" s="119"/>
      <c r="K8" s="120"/>
      <c r="L8" s="120"/>
      <c r="M8" s="118"/>
    </row>
    <row r="9" spans="1:13" ht="39" thickBot="1" x14ac:dyDescent="0.25">
      <c r="A9" s="69" t="s">
        <v>5</v>
      </c>
      <c r="B9" s="45" t="s">
        <v>6</v>
      </c>
      <c r="C9" s="45" t="s">
        <v>7</v>
      </c>
      <c r="D9" s="45" t="s">
        <v>8</v>
      </c>
      <c r="E9" s="45" t="s">
        <v>9</v>
      </c>
      <c r="F9" s="45" t="s">
        <v>10</v>
      </c>
      <c r="G9" s="45" t="s">
        <v>11</v>
      </c>
      <c r="H9" s="45" t="s">
        <v>12</v>
      </c>
      <c r="I9" s="45" t="s">
        <v>13</v>
      </c>
      <c r="J9" s="118"/>
      <c r="K9" s="118"/>
      <c r="L9" s="118"/>
      <c r="M9" s="118"/>
    </row>
    <row r="10" spans="1:13" ht="31.9" customHeight="1" thickBot="1" x14ac:dyDescent="0.25">
      <c r="A10" s="70">
        <v>1</v>
      </c>
      <c r="B10" s="65"/>
      <c r="C10" s="97" t="s">
        <v>85</v>
      </c>
      <c r="D10" s="98" t="s">
        <v>77</v>
      </c>
      <c r="E10" s="99" t="s">
        <v>92</v>
      </c>
      <c r="F10" s="46" t="s">
        <v>70</v>
      </c>
      <c r="G10" s="100">
        <v>400</v>
      </c>
      <c r="H10" s="101">
        <v>520</v>
      </c>
      <c r="I10" s="102">
        <f t="shared" ref="I10:I35" si="0">G10*H10</f>
        <v>208000</v>
      </c>
      <c r="J10" s="93" t="e">
        <f>I10+I11+I12+I13+I14+I15+I16+I17+I18+I19+I20+I21+I22+I23+I24+I25+I26+I27+I28+I29+#REF!+I30+I31+#REF!+#REF!+#REF!+I32+I33+I35+I36+I37+I38+#REF!+I39+I40+#REF!+I44+I45+I46+I47+I48+I49+I50+#REF!+I51+I52+I53+I54+I55+I58+I59</f>
        <v>#REF!</v>
      </c>
      <c r="K10" s="94">
        <v>295</v>
      </c>
      <c r="L10" s="95"/>
    </row>
    <row r="11" spans="1:13" ht="31.9" customHeight="1" thickBot="1" x14ac:dyDescent="0.25">
      <c r="A11" s="70">
        <v>2</v>
      </c>
      <c r="B11" s="65"/>
      <c r="C11" s="97" t="s">
        <v>85</v>
      </c>
      <c r="D11" s="98" t="s">
        <v>77</v>
      </c>
      <c r="E11" s="103" t="s">
        <v>86</v>
      </c>
      <c r="F11" s="46" t="s">
        <v>70</v>
      </c>
      <c r="G11" s="100">
        <v>400</v>
      </c>
      <c r="H11" s="101">
        <v>520</v>
      </c>
      <c r="I11" s="102">
        <f t="shared" si="0"/>
        <v>208000</v>
      </c>
      <c r="J11" s="93" t="e">
        <f>#REF!</f>
        <v>#REF!</v>
      </c>
      <c r="K11" s="94">
        <v>296</v>
      </c>
      <c r="L11" s="95"/>
    </row>
    <row r="12" spans="1:13" ht="31.9" customHeight="1" thickBot="1" x14ac:dyDescent="0.25">
      <c r="A12" s="70">
        <v>3</v>
      </c>
      <c r="B12" s="65"/>
      <c r="C12" s="97" t="s">
        <v>85</v>
      </c>
      <c r="D12" s="98" t="s">
        <v>77</v>
      </c>
      <c r="E12" s="99" t="s">
        <v>87</v>
      </c>
      <c r="F12" s="46" t="s">
        <v>70</v>
      </c>
      <c r="G12" s="100">
        <v>400</v>
      </c>
      <c r="H12" s="101">
        <v>520</v>
      </c>
      <c r="I12" s="102">
        <f t="shared" si="0"/>
        <v>208000</v>
      </c>
      <c r="J12" s="96" t="e">
        <f>#REF!+I41+I42+I43</f>
        <v>#REF!</v>
      </c>
      <c r="K12" s="94">
        <v>259</v>
      </c>
      <c r="L12" s="95"/>
    </row>
    <row r="13" spans="1:13" ht="31.9" customHeight="1" thickBot="1" x14ac:dyDescent="0.25">
      <c r="A13" s="70">
        <v>4</v>
      </c>
      <c r="B13" s="65"/>
      <c r="C13" s="97" t="s">
        <v>85</v>
      </c>
      <c r="D13" s="98" t="s">
        <v>77</v>
      </c>
      <c r="E13" s="99" t="s">
        <v>88</v>
      </c>
      <c r="F13" s="46" t="s">
        <v>70</v>
      </c>
      <c r="G13" s="100">
        <v>400</v>
      </c>
      <c r="H13" s="101">
        <v>520</v>
      </c>
      <c r="I13" s="102">
        <f t="shared" si="0"/>
        <v>208000</v>
      </c>
      <c r="J13" s="96">
        <f>I34+I57</f>
        <v>612800</v>
      </c>
      <c r="K13" s="94">
        <v>251</v>
      </c>
      <c r="L13" s="95"/>
    </row>
    <row r="14" spans="1:13" ht="31.9" customHeight="1" thickBot="1" x14ac:dyDescent="0.25">
      <c r="A14" s="70">
        <v>5</v>
      </c>
      <c r="B14" s="65"/>
      <c r="C14" s="97" t="s">
        <v>85</v>
      </c>
      <c r="D14" s="98" t="s">
        <v>77</v>
      </c>
      <c r="E14" s="103" t="s">
        <v>89</v>
      </c>
      <c r="F14" s="46" t="s">
        <v>70</v>
      </c>
      <c r="G14" s="100">
        <v>400</v>
      </c>
      <c r="H14" s="101">
        <v>520</v>
      </c>
      <c r="I14" s="102">
        <f t="shared" si="0"/>
        <v>208000</v>
      </c>
      <c r="J14" s="93">
        <f>I56</f>
        <v>45000</v>
      </c>
      <c r="K14" s="94">
        <v>221</v>
      </c>
      <c r="L14" s="95"/>
    </row>
    <row r="15" spans="1:13" ht="31.9" customHeight="1" thickBot="1" x14ac:dyDescent="0.25">
      <c r="A15" s="70">
        <v>6</v>
      </c>
      <c r="B15" s="65"/>
      <c r="C15" s="97" t="s">
        <v>85</v>
      </c>
      <c r="D15" s="98" t="s">
        <v>77</v>
      </c>
      <c r="E15" s="99" t="s">
        <v>90</v>
      </c>
      <c r="F15" s="46" t="s">
        <v>70</v>
      </c>
      <c r="G15" s="100">
        <v>50</v>
      </c>
      <c r="H15" s="101">
        <v>620</v>
      </c>
      <c r="I15" s="102">
        <f t="shared" si="0"/>
        <v>31000</v>
      </c>
      <c r="J15" s="93" t="e">
        <f>SUM(J10:J14)</f>
        <v>#REF!</v>
      </c>
      <c r="K15" s="94"/>
      <c r="L15" s="95"/>
    </row>
    <row r="16" spans="1:13" ht="31.9" customHeight="1" thickBot="1" x14ac:dyDescent="0.25">
      <c r="A16" s="70">
        <v>7</v>
      </c>
      <c r="B16" s="65"/>
      <c r="C16" s="97" t="s">
        <v>85</v>
      </c>
      <c r="D16" s="98" t="s">
        <v>77</v>
      </c>
      <c r="E16" s="99" t="s">
        <v>91</v>
      </c>
      <c r="F16" s="46" t="s">
        <v>70</v>
      </c>
      <c r="G16" s="100">
        <v>50</v>
      </c>
      <c r="H16" s="101">
        <v>620</v>
      </c>
      <c r="I16" s="102">
        <f t="shared" si="0"/>
        <v>31000</v>
      </c>
      <c r="J16" s="95"/>
      <c r="K16" s="95"/>
      <c r="L16" s="95"/>
    </row>
    <row r="17" spans="1:9" ht="31.9" customHeight="1" thickBot="1" x14ac:dyDescent="0.25">
      <c r="A17" s="70">
        <v>8</v>
      </c>
      <c r="B17" s="65"/>
      <c r="C17" s="97" t="s">
        <v>85</v>
      </c>
      <c r="D17" s="98" t="s">
        <v>77</v>
      </c>
      <c r="E17" s="103" t="s">
        <v>93</v>
      </c>
      <c r="F17" s="46" t="s">
        <v>70</v>
      </c>
      <c r="G17" s="100">
        <v>60</v>
      </c>
      <c r="H17" s="101">
        <v>182</v>
      </c>
      <c r="I17" s="102">
        <f t="shared" si="0"/>
        <v>10920</v>
      </c>
    </row>
    <row r="18" spans="1:9" ht="31.9" customHeight="1" thickBot="1" x14ac:dyDescent="0.25">
      <c r="A18" s="70">
        <v>9</v>
      </c>
      <c r="B18" s="65"/>
      <c r="C18" s="97" t="s">
        <v>85</v>
      </c>
      <c r="D18" s="98" t="s">
        <v>77</v>
      </c>
      <c r="E18" s="103" t="s">
        <v>94</v>
      </c>
      <c r="F18" s="46" t="s">
        <v>70</v>
      </c>
      <c r="G18" s="100">
        <v>60</v>
      </c>
      <c r="H18" s="101">
        <v>182</v>
      </c>
      <c r="I18" s="102">
        <f t="shared" si="0"/>
        <v>10920</v>
      </c>
    </row>
    <row r="19" spans="1:9" ht="31.9" customHeight="1" thickBot="1" x14ac:dyDescent="0.25">
      <c r="A19" s="70">
        <v>10</v>
      </c>
      <c r="B19" s="65"/>
      <c r="C19" s="97" t="s">
        <v>85</v>
      </c>
      <c r="D19" s="98" t="s">
        <v>77</v>
      </c>
      <c r="E19" s="103" t="s">
        <v>95</v>
      </c>
      <c r="F19" s="46" t="s">
        <v>70</v>
      </c>
      <c r="G19" s="100">
        <v>60</v>
      </c>
      <c r="H19" s="101">
        <v>182</v>
      </c>
      <c r="I19" s="102">
        <f t="shared" si="0"/>
        <v>10920</v>
      </c>
    </row>
    <row r="20" spans="1:9" ht="31.9" customHeight="1" thickBot="1" x14ac:dyDescent="0.25">
      <c r="A20" s="70">
        <v>11</v>
      </c>
      <c r="B20" s="65"/>
      <c r="C20" s="97" t="s">
        <v>85</v>
      </c>
      <c r="D20" s="98" t="s">
        <v>77</v>
      </c>
      <c r="E20" s="103" t="s">
        <v>96</v>
      </c>
      <c r="F20" s="46" t="s">
        <v>70</v>
      </c>
      <c r="G20" s="100">
        <v>5000</v>
      </c>
      <c r="H20" s="101">
        <v>1.32</v>
      </c>
      <c r="I20" s="102">
        <f t="shared" si="0"/>
        <v>6600</v>
      </c>
    </row>
    <row r="21" spans="1:9" ht="31.9" customHeight="1" thickBot="1" x14ac:dyDescent="0.25">
      <c r="A21" s="70">
        <v>12</v>
      </c>
      <c r="B21" s="46"/>
      <c r="C21" s="97" t="s">
        <v>123</v>
      </c>
      <c r="D21" s="98" t="s">
        <v>77</v>
      </c>
      <c r="E21" s="103" t="s">
        <v>124</v>
      </c>
      <c r="F21" s="46" t="s">
        <v>70</v>
      </c>
      <c r="G21" s="104">
        <v>1200</v>
      </c>
      <c r="H21" s="105">
        <v>14.5</v>
      </c>
      <c r="I21" s="102">
        <f t="shared" si="0"/>
        <v>17400</v>
      </c>
    </row>
    <row r="22" spans="1:9" ht="31.9" customHeight="1" thickBot="1" x14ac:dyDescent="0.25">
      <c r="A22" s="70">
        <v>13</v>
      </c>
      <c r="B22" s="46"/>
      <c r="C22" s="97" t="s">
        <v>123</v>
      </c>
      <c r="D22" s="98" t="s">
        <v>77</v>
      </c>
      <c r="E22" s="103" t="s">
        <v>125</v>
      </c>
      <c r="F22" s="46" t="s">
        <v>70</v>
      </c>
      <c r="G22" s="104">
        <v>1200</v>
      </c>
      <c r="H22" s="105">
        <v>14.5</v>
      </c>
      <c r="I22" s="102">
        <f t="shared" si="0"/>
        <v>17400</v>
      </c>
    </row>
    <row r="23" spans="1:9" ht="31.9" customHeight="1" thickBot="1" x14ac:dyDescent="0.25">
      <c r="A23" s="70">
        <v>14</v>
      </c>
      <c r="B23" s="46"/>
      <c r="C23" s="97" t="s">
        <v>103</v>
      </c>
      <c r="D23" s="98" t="s">
        <v>77</v>
      </c>
      <c r="E23" s="106" t="s">
        <v>104</v>
      </c>
      <c r="F23" s="46" t="s">
        <v>70</v>
      </c>
      <c r="G23" s="46">
        <v>80</v>
      </c>
      <c r="H23" s="107">
        <v>1990</v>
      </c>
      <c r="I23" s="102">
        <f t="shared" si="0"/>
        <v>159200</v>
      </c>
    </row>
    <row r="24" spans="1:9" ht="31.9" customHeight="1" thickBot="1" x14ac:dyDescent="0.25">
      <c r="A24" s="70">
        <v>15</v>
      </c>
      <c r="B24" s="65"/>
      <c r="C24" s="97" t="s">
        <v>85</v>
      </c>
      <c r="D24" s="98" t="s">
        <v>77</v>
      </c>
      <c r="E24" s="108" t="s">
        <v>116</v>
      </c>
      <c r="F24" s="98" t="s">
        <v>70</v>
      </c>
      <c r="G24" s="104">
        <v>6</v>
      </c>
      <c r="H24" s="105">
        <v>6870</v>
      </c>
      <c r="I24" s="109">
        <f t="shared" si="0"/>
        <v>41220</v>
      </c>
    </row>
    <row r="25" spans="1:9" ht="31.9" customHeight="1" thickBot="1" x14ac:dyDescent="0.25">
      <c r="A25" s="70">
        <v>16</v>
      </c>
      <c r="B25" s="65"/>
      <c r="C25" s="97" t="s">
        <v>85</v>
      </c>
      <c r="D25" s="98" t="s">
        <v>77</v>
      </c>
      <c r="E25" s="108" t="s">
        <v>117</v>
      </c>
      <c r="F25" s="98" t="s">
        <v>70</v>
      </c>
      <c r="G25" s="104">
        <v>6</v>
      </c>
      <c r="H25" s="105">
        <v>7800</v>
      </c>
      <c r="I25" s="109">
        <f t="shared" si="0"/>
        <v>46800</v>
      </c>
    </row>
    <row r="26" spans="1:9" ht="31.9" customHeight="1" thickBot="1" x14ac:dyDescent="0.25">
      <c r="A26" s="70">
        <v>17</v>
      </c>
      <c r="B26" s="46"/>
      <c r="C26" s="97" t="s">
        <v>103</v>
      </c>
      <c r="D26" s="98" t="s">
        <v>77</v>
      </c>
      <c r="E26" s="106" t="s">
        <v>105</v>
      </c>
      <c r="F26" s="46" t="s">
        <v>70</v>
      </c>
      <c r="G26" s="46">
        <v>3</v>
      </c>
      <c r="H26" s="107">
        <v>290</v>
      </c>
      <c r="I26" s="102">
        <f t="shared" si="0"/>
        <v>870</v>
      </c>
    </row>
    <row r="27" spans="1:9" ht="31.9" customHeight="1" thickBot="1" x14ac:dyDescent="0.25">
      <c r="A27" s="70">
        <v>18</v>
      </c>
      <c r="B27" s="46"/>
      <c r="C27" s="97" t="s">
        <v>103</v>
      </c>
      <c r="D27" s="98" t="s">
        <v>77</v>
      </c>
      <c r="E27" s="106" t="s">
        <v>106</v>
      </c>
      <c r="F27" s="46" t="s">
        <v>70</v>
      </c>
      <c r="G27" s="46">
        <v>3</v>
      </c>
      <c r="H27" s="107">
        <v>310</v>
      </c>
      <c r="I27" s="102">
        <f t="shared" si="0"/>
        <v>930</v>
      </c>
    </row>
    <row r="28" spans="1:9" ht="31.9" customHeight="1" thickBot="1" x14ac:dyDescent="0.25">
      <c r="A28" s="70">
        <v>19</v>
      </c>
      <c r="B28" s="46"/>
      <c r="C28" s="97" t="s">
        <v>103</v>
      </c>
      <c r="D28" s="98" t="s">
        <v>77</v>
      </c>
      <c r="E28" s="110" t="s">
        <v>113</v>
      </c>
      <c r="F28" s="46" t="s">
        <v>70</v>
      </c>
      <c r="G28" s="46">
        <v>30</v>
      </c>
      <c r="H28" s="107">
        <v>290</v>
      </c>
      <c r="I28" s="102">
        <f t="shared" si="0"/>
        <v>8700</v>
      </c>
    </row>
    <row r="29" spans="1:9" ht="31.9" customHeight="1" thickBot="1" x14ac:dyDescent="0.25">
      <c r="A29" s="70">
        <v>20</v>
      </c>
      <c r="B29" s="65"/>
      <c r="C29" s="97" t="s">
        <v>85</v>
      </c>
      <c r="D29" s="98" t="s">
        <v>77</v>
      </c>
      <c r="E29" s="108" t="s">
        <v>118</v>
      </c>
      <c r="F29" s="98" t="s">
        <v>70</v>
      </c>
      <c r="G29" s="104">
        <v>5</v>
      </c>
      <c r="H29" s="105">
        <v>1850</v>
      </c>
      <c r="I29" s="109">
        <f t="shared" si="0"/>
        <v>9250</v>
      </c>
    </row>
    <row r="30" spans="1:9" ht="31.9" customHeight="1" thickBot="1" x14ac:dyDescent="0.25">
      <c r="A30" s="70">
        <v>21</v>
      </c>
      <c r="B30" s="65"/>
      <c r="C30" s="97" t="s">
        <v>85</v>
      </c>
      <c r="D30" s="98" t="s">
        <v>77</v>
      </c>
      <c r="E30" s="108" t="s">
        <v>119</v>
      </c>
      <c r="F30" s="98" t="s">
        <v>70</v>
      </c>
      <c r="G30" s="104">
        <v>60</v>
      </c>
      <c r="H30" s="105">
        <v>320</v>
      </c>
      <c r="I30" s="109">
        <f t="shared" si="0"/>
        <v>19200</v>
      </c>
    </row>
    <row r="31" spans="1:9" ht="36.75" customHeight="1" thickBot="1" x14ac:dyDescent="0.25">
      <c r="A31" s="70">
        <v>22</v>
      </c>
      <c r="B31" s="46"/>
      <c r="C31" s="97" t="s">
        <v>103</v>
      </c>
      <c r="D31" s="98" t="s">
        <v>77</v>
      </c>
      <c r="E31" s="106" t="s">
        <v>107</v>
      </c>
      <c r="F31" s="46" t="s">
        <v>70</v>
      </c>
      <c r="G31" s="46">
        <v>15</v>
      </c>
      <c r="H31" s="107">
        <v>22400</v>
      </c>
      <c r="I31" s="102">
        <f t="shared" si="0"/>
        <v>336000</v>
      </c>
    </row>
    <row r="32" spans="1:9" ht="31.9" customHeight="1" thickBot="1" x14ac:dyDescent="0.25">
      <c r="A32" s="70">
        <v>23</v>
      </c>
      <c r="B32" s="46"/>
      <c r="C32" s="97" t="s">
        <v>103</v>
      </c>
      <c r="D32" s="98" t="s">
        <v>77</v>
      </c>
      <c r="E32" s="106" t="s">
        <v>114</v>
      </c>
      <c r="F32" s="46" t="s">
        <v>70</v>
      </c>
      <c r="G32" s="46">
        <v>1500</v>
      </c>
      <c r="H32" s="107">
        <v>1500</v>
      </c>
      <c r="I32" s="102">
        <f t="shared" si="0"/>
        <v>2250000</v>
      </c>
    </row>
    <row r="33" spans="1:9" ht="31.9" customHeight="1" thickBot="1" x14ac:dyDescent="0.25">
      <c r="A33" s="70">
        <v>24</v>
      </c>
      <c r="B33" s="46"/>
      <c r="C33" s="97" t="s">
        <v>103</v>
      </c>
      <c r="D33" s="98" t="s">
        <v>77</v>
      </c>
      <c r="E33" s="106" t="s">
        <v>115</v>
      </c>
      <c r="F33" s="46" t="s">
        <v>70</v>
      </c>
      <c r="G33" s="46">
        <v>12</v>
      </c>
      <c r="H33" s="107">
        <v>850</v>
      </c>
      <c r="I33" s="102">
        <f t="shared" si="0"/>
        <v>10200</v>
      </c>
    </row>
    <row r="34" spans="1:9" ht="31.9" customHeight="1" thickBot="1" x14ac:dyDescent="0.25">
      <c r="A34" s="70">
        <v>25</v>
      </c>
      <c r="B34" s="65"/>
      <c r="C34" s="97" t="s">
        <v>68</v>
      </c>
      <c r="D34" s="98" t="s">
        <v>69</v>
      </c>
      <c r="E34" s="111" t="s">
        <v>67</v>
      </c>
      <c r="F34" s="46" t="s">
        <v>70</v>
      </c>
      <c r="G34" s="46">
        <v>48</v>
      </c>
      <c r="H34" s="107">
        <v>1100</v>
      </c>
      <c r="I34" s="102">
        <f t="shared" si="0"/>
        <v>52800</v>
      </c>
    </row>
    <row r="35" spans="1:9" ht="31.9" customHeight="1" thickBot="1" x14ac:dyDescent="0.25">
      <c r="A35" s="70">
        <v>26</v>
      </c>
      <c r="B35" s="65"/>
      <c r="C35" s="97" t="s">
        <v>78</v>
      </c>
      <c r="D35" s="98" t="s">
        <v>77</v>
      </c>
      <c r="E35" s="99" t="s">
        <v>71</v>
      </c>
      <c r="F35" s="46" t="s">
        <v>70</v>
      </c>
      <c r="G35" s="100">
        <v>288</v>
      </c>
      <c r="H35" s="101">
        <v>320</v>
      </c>
      <c r="I35" s="102">
        <f t="shared" si="0"/>
        <v>92160</v>
      </c>
    </row>
    <row r="36" spans="1:9" ht="31.9" customHeight="1" thickBot="1" x14ac:dyDescent="0.25">
      <c r="A36" s="70">
        <v>27</v>
      </c>
      <c r="B36" s="65"/>
      <c r="C36" s="97" t="s">
        <v>78</v>
      </c>
      <c r="D36" s="98" t="s">
        <v>77</v>
      </c>
      <c r="E36" s="103" t="s">
        <v>72</v>
      </c>
      <c r="F36" s="46" t="s">
        <v>70</v>
      </c>
      <c r="G36" s="100">
        <v>288</v>
      </c>
      <c r="H36" s="101">
        <v>320</v>
      </c>
      <c r="I36" s="102">
        <f t="shared" ref="I36:I59" si="1">G36*H36</f>
        <v>92160</v>
      </c>
    </row>
    <row r="37" spans="1:9" ht="31.9" customHeight="1" thickBot="1" x14ac:dyDescent="0.25">
      <c r="A37" s="70">
        <v>28</v>
      </c>
      <c r="B37" s="65"/>
      <c r="C37" s="97" t="s">
        <v>78</v>
      </c>
      <c r="D37" s="98" t="s">
        <v>77</v>
      </c>
      <c r="E37" s="103" t="s">
        <v>73</v>
      </c>
      <c r="F37" s="46" t="s">
        <v>70</v>
      </c>
      <c r="G37" s="100">
        <v>288</v>
      </c>
      <c r="H37" s="101">
        <v>320</v>
      </c>
      <c r="I37" s="102">
        <f t="shared" si="1"/>
        <v>92160</v>
      </c>
    </row>
    <row r="38" spans="1:9" ht="31.9" customHeight="1" thickBot="1" x14ac:dyDescent="0.25">
      <c r="A38" s="70">
        <v>29</v>
      </c>
      <c r="B38" s="65"/>
      <c r="C38" s="97" t="s">
        <v>78</v>
      </c>
      <c r="D38" s="98" t="s">
        <v>77</v>
      </c>
      <c r="E38" s="112" t="s">
        <v>74</v>
      </c>
      <c r="F38" s="46" t="s">
        <v>70</v>
      </c>
      <c r="G38" s="100">
        <v>72</v>
      </c>
      <c r="H38" s="101">
        <v>180</v>
      </c>
      <c r="I38" s="102">
        <f t="shared" si="1"/>
        <v>12960</v>
      </c>
    </row>
    <row r="39" spans="1:9" ht="31.9" customHeight="1" thickBot="1" x14ac:dyDescent="0.25">
      <c r="A39" s="70">
        <v>30</v>
      </c>
      <c r="B39" s="46"/>
      <c r="C39" s="97" t="s">
        <v>103</v>
      </c>
      <c r="D39" s="98" t="s">
        <v>77</v>
      </c>
      <c r="E39" s="113" t="s">
        <v>108</v>
      </c>
      <c r="F39" s="46" t="s">
        <v>70</v>
      </c>
      <c r="G39" s="46">
        <v>3</v>
      </c>
      <c r="H39" s="107">
        <v>900</v>
      </c>
      <c r="I39" s="102">
        <f t="shared" si="1"/>
        <v>2700</v>
      </c>
    </row>
    <row r="40" spans="1:9" ht="31.9" customHeight="1" thickBot="1" x14ac:dyDescent="0.25">
      <c r="A40" s="70">
        <v>31</v>
      </c>
      <c r="B40" s="65"/>
      <c r="C40" s="97" t="s">
        <v>80</v>
      </c>
      <c r="D40" s="98" t="s">
        <v>77</v>
      </c>
      <c r="E40" s="103" t="s">
        <v>81</v>
      </c>
      <c r="F40" s="114" t="s">
        <v>70</v>
      </c>
      <c r="G40" s="104">
        <v>14</v>
      </c>
      <c r="H40" s="105">
        <v>79.900000000000006</v>
      </c>
      <c r="I40" s="102">
        <f t="shared" si="1"/>
        <v>1118.6000000000001</v>
      </c>
    </row>
    <row r="41" spans="1:9" ht="31.9" customHeight="1" thickBot="1" x14ac:dyDescent="0.25">
      <c r="A41" s="70">
        <v>32</v>
      </c>
      <c r="B41" s="46"/>
      <c r="C41" s="97" t="s">
        <v>133</v>
      </c>
      <c r="D41" s="98" t="s">
        <v>132</v>
      </c>
      <c r="E41" s="106" t="s">
        <v>109</v>
      </c>
      <c r="F41" s="114" t="s">
        <v>70</v>
      </c>
      <c r="G41" s="46">
        <v>20</v>
      </c>
      <c r="H41" s="107">
        <v>9414</v>
      </c>
      <c r="I41" s="102">
        <f t="shared" si="1"/>
        <v>188280</v>
      </c>
    </row>
    <row r="42" spans="1:9" ht="31.9" customHeight="1" thickBot="1" x14ac:dyDescent="0.25">
      <c r="A42" s="70">
        <v>33</v>
      </c>
      <c r="B42" s="65"/>
      <c r="C42" s="97" t="s">
        <v>63</v>
      </c>
      <c r="D42" s="98" t="s">
        <v>97</v>
      </c>
      <c r="E42" s="103" t="s">
        <v>98</v>
      </c>
      <c r="F42" s="114" t="s">
        <v>70</v>
      </c>
      <c r="G42" s="100">
        <v>12</v>
      </c>
      <c r="H42" s="101">
        <v>10291</v>
      </c>
      <c r="I42" s="102">
        <f t="shared" si="1"/>
        <v>123492</v>
      </c>
    </row>
    <row r="43" spans="1:9" ht="31.9" customHeight="1" thickBot="1" x14ac:dyDescent="0.25">
      <c r="A43" s="70">
        <v>34</v>
      </c>
      <c r="B43" s="65"/>
      <c r="C43" s="97" t="s">
        <v>63</v>
      </c>
      <c r="D43" s="98" t="s">
        <v>97</v>
      </c>
      <c r="E43" s="103" t="s">
        <v>99</v>
      </c>
      <c r="F43" s="114" t="s">
        <v>70</v>
      </c>
      <c r="G43" s="100">
        <v>12</v>
      </c>
      <c r="H43" s="101">
        <v>19311</v>
      </c>
      <c r="I43" s="102">
        <f t="shared" si="1"/>
        <v>231732</v>
      </c>
    </row>
    <row r="44" spans="1:9" ht="31.9" customHeight="1" thickBot="1" x14ac:dyDescent="0.25">
      <c r="A44" s="70">
        <v>35</v>
      </c>
      <c r="B44" s="65"/>
      <c r="C44" s="97" t="s">
        <v>85</v>
      </c>
      <c r="D44" s="98" t="s">
        <v>77</v>
      </c>
      <c r="E44" s="108" t="s">
        <v>120</v>
      </c>
      <c r="F44" s="115" t="s">
        <v>70</v>
      </c>
      <c r="G44" s="104">
        <v>1</v>
      </c>
      <c r="H44" s="105">
        <v>43000</v>
      </c>
      <c r="I44" s="109">
        <f t="shared" si="1"/>
        <v>43000</v>
      </c>
    </row>
    <row r="45" spans="1:9" ht="31.9" customHeight="1" thickBot="1" x14ac:dyDescent="0.25">
      <c r="A45" s="70">
        <v>36</v>
      </c>
      <c r="B45" s="65"/>
      <c r="C45" s="97" t="s">
        <v>85</v>
      </c>
      <c r="D45" s="98" t="s">
        <v>77</v>
      </c>
      <c r="E45" s="108" t="s">
        <v>121</v>
      </c>
      <c r="F45" s="98" t="s">
        <v>70</v>
      </c>
      <c r="G45" s="104">
        <v>2</v>
      </c>
      <c r="H45" s="105">
        <v>43000</v>
      </c>
      <c r="I45" s="109">
        <f t="shared" si="1"/>
        <v>86000</v>
      </c>
    </row>
    <row r="46" spans="1:9" ht="31.9" customHeight="1" thickBot="1" x14ac:dyDescent="0.25">
      <c r="A46" s="70">
        <v>37</v>
      </c>
      <c r="B46" s="65"/>
      <c r="C46" s="97" t="s">
        <v>85</v>
      </c>
      <c r="D46" s="98" t="s">
        <v>77</v>
      </c>
      <c r="E46" s="103" t="s">
        <v>100</v>
      </c>
      <c r="F46" s="46" t="s">
        <v>70</v>
      </c>
      <c r="G46" s="100">
        <v>1800</v>
      </c>
      <c r="H46" s="101">
        <v>138</v>
      </c>
      <c r="I46" s="102">
        <f t="shared" si="1"/>
        <v>248400</v>
      </c>
    </row>
    <row r="47" spans="1:9" ht="31.9" customHeight="1" thickBot="1" x14ac:dyDescent="0.25">
      <c r="A47" s="70">
        <v>38</v>
      </c>
      <c r="B47" s="46"/>
      <c r="C47" s="97" t="s">
        <v>123</v>
      </c>
      <c r="D47" s="98" t="s">
        <v>77</v>
      </c>
      <c r="E47" s="103" t="s">
        <v>126</v>
      </c>
      <c r="F47" s="46" t="s">
        <v>70</v>
      </c>
      <c r="G47" s="104">
        <v>30</v>
      </c>
      <c r="H47" s="105">
        <v>85</v>
      </c>
      <c r="I47" s="102">
        <f t="shared" si="1"/>
        <v>2550</v>
      </c>
    </row>
    <row r="48" spans="1:9" ht="31.9" customHeight="1" thickBot="1" x14ac:dyDescent="0.25">
      <c r="A48" s="70">
        <v>39</v>
      </c>
      <c r="B48" s="46"/>
      <c r="C48" s="97" t="s">
        <v>123</v>
      </c>
      <c r="D48" s="98" t="s">
        <v>77</v>
      </c>
      <c r="E48" s="103" t="s">
        <v>127</v>
      </c>
      <c r="F48" s="46" t="s">
        <v>70</v>
      </c>
      <c r="G48" s="104">
        <v>240</v>
      </c>
      <c r="H48" s="105">
        <v>85</v>
      </c>
      <c r="I48" s="102">
        <f t="shared" si="1"/>
        <v>20400</v>
      </c>
    </row>
    <row r="49" spans="1:9" s="64" customFormat="1" ht="31.9" customHeight="1" thickBot="1" x14ac:dyDescent="0.25">
      <c r="A49" s="70">
        <v>40</v>
      </c>
      <c r="B49" s="65"/>
      <c r="C49" s="97" t="s">
        <v>85</v>
      </c>
      <c r="D49" s="98" t="s">
        <v>77</v>
      </c>
      <c r="E49" s="108" t="s">
        <v>122</v>
      </c>
      <c r="F49" s="98" t="s">
        <v>70</v>
      </c>
      <c r="G49" s="104">
        <v>6</v>
      </c>
      <c r="H49" s="105">
        <v>1350</v>
      </c>
      <c r="I49" s="109">
        <f t="shared" si="1"/>
        <v>8100</v>
      </c>
    </row>
    <row r="50" spans="1:9" s="64" customFormat="1" ht="31.9" customHeight="1" thickBot="1" x14ac:dyDescent="0.25">
      <c r="A50" s="70">
        <v>41</v>
      </c>
      <c r="B50" s="65"/>
      <c r="C50" s="97" t="s">
        <v>85</v>
      </c>
      <c r="D50" s="98" t="s">
        <v>77</v>
      </c>
      <c r="E50" s="116" t="s">
        <v>134</v>
      </c>
      <c r="F50" s="98" t="s">
        <v>70</v>
      </c>
      <c r="G50" s="104">
        <v>12</v>
      </c>
      <c r="H50" s="105">
        <v>1350</v>
      </c>
      <c r="I50" s="109">
        <f t="shared" si="1"/>
        <v>16200</v>
      </c>
    </row>
    <row r="51" spans="1:9" s="64" customFormat="1" ht="31.9" customHeight="1" thickBot="1" x14ac:dyDescent="0.25">
      <c r="A51" s="70">
        <v>42</v>
      </c>
      <c r="B51" s="46"/>
      <c r="C51" s="97" t="s">
        <v>123</v>
      </c>
      <c r="D51" s="98" t="s">
        <v>77</v>
      </c>
      <c r="E51" s="103" t="s">
        <v>128</v>
      </c>
      <c r="F51" s="46" t="s">
        <v>70</v>
      </c>
      <c r="G51" s="104">
        <v>120</v>
      </c>
      <c r="H51" s="105">
        <v>58.2</v>
      </c>
      <c r="I51" s="102">
        <f t="shared" si="1"/>
        <v>6984</v>
      </c>
    </row>
    <row r="52" spans="1:9" s="64" customFormat="1" ht="31.9" customHeight="1" thickBot="1" x14ac:dyDescent="0.25">
      <c r="A52" s="70">
        <v>43</v>
      </c>
      <c r="B52" s="65"/>
      <c r="C52" s="97" t="s">
        <v>78</v>
      </c>
      <c r="D52" s="98" t="s">
        <v>77</v>
      </c>
      <c r="E52" s="99" t="s">
        <v>75</v>
      </c>
      <c r="F52" s="46" t="s">
        <v>70</v>
      </c>
      <c r="G52" s="100">
        <v>288</v>
      </c>
      <c r="H52" s="101">
        <v>260</v>
      </c>
      <c r="I52" s="102">
        <f t="shared" si="1"/>
        <v>74880</v>
      </c>
    </row>
    <row r="53" spans="1:9" s="64" customFormat="1" ht="31.9" customHeight="1" thickBot="1" x14ac:dyDescent="0.25">
      <c r="A53" s="70">
        <v>44</v>
      </c>
      <c r="B53" s="65"/>
      <c r="C53" s="97" t="s">
        <v>78</v>
      </c>
      <c r="D53" s="98" t="s">
        <v>77</v>
      </c>
      <c r="E53" s="99" t="s">
        <v>135</v>
      </c>
      <c r="F53" s="46" t="s">
        <v>70</v>
      </c>
      <c r="G53" s="100">
        <v>288</v>
      </c>
      <c r="H53" s="101">
        <v>260</v>
      </c>
      <c r="I53" s="102">
        <f t="shared" si="1"/>
        <v>74880</v>
      </c>
    </row>
    <row r="54" spans="1:9" s="64" customFormat="1" ht="31.9" customHeight="1" thickBot="1" x14ac:dyDescent="0.25">
      <c r="A54" s="70">
        <v>45</v>
      </c>
      <c r="B54" s="65"/>
      <c r="C54" s="97" t="s">
        <v>78</v>
      </c>
      <c r="D54" s="98" t="s">
        <v>77</v>
      </c>
      <c r="E54" s="99" t="s">
        <v>76</v>
      </c>
      <c r="F54" s="46" t="s">
        <v>70</v>
      </c>
      <c r="G54" s="100">
        <v>288</v>
      </c>
      <c r="H54" s="101">
        <v>260</v>
      </c>
      <c r="I54" s="102">
        <f t="shared" si="1"/>
        <v>74880</v>
      </c>
    </row>
    <row r="55" spans="1:9" s="64" customFormat="1" ht="31.9" customHeight="1" thickBot="1" x14ac:dyDescent="0.25">
      <c r="A55" s="70">
        <v>46</v>
      </c>
      <c r="B55" s="65"/>
      <c r="C55" s="97" t="s">
        <v>78</v>
      </c>
      <c r="D55" s="98" t="s">
        <v>77</v>
      </c>
      <c r="E55" s="117" t="s">
        <v>79</v>
      </c>
      <c r="F55" s="46" t="s">
        <v>70</v>
      </c>
      <c r="G55" s="46">
        <v>144</v>
      </c>
      <c r="H55" s="107">
        <v>580</v>
      </c>
      <c r="I55" s="102">
        <f t="shared" si="1"/>
        <v>83520</v>
      </c>
    </row>
    <row r="56" spans="1:9" s="64" customFormat="1" ht="31.9" customHeight="1" thickBot="1" x14ac:dyDescent="0.25">
      <c r="A56" s="70">
        <v>47</v>
      </c>
      <c r="B56" s="46"/>
      <c r="C56" s="97" t="s">
        <v>110</v>
      </c>
      <c r="D56" s="98" t="s">
        <v>111</v>
      </c>
      <c r="E56" s="106" t="s">
        <v>112</v>
      </c>
      <c r="F56" s="46" t="s">
        <v>70</v>
      </c>
      <c r="G56" s="46">
        <v>2</v>
      </c>
      <c r="H56" s="107">
        <v>22500</v>
      </c>
      <c r="I56" s="102">
        <f t="shared" si="1"/>
        <v>45000</v>
      </c>
    </row>
    <row r="57" spans="1:9" ht="31.9" customHeight="1" thickBot="1" x14ac:dyDescent="0.25">
      <c r="A57" s="70">
        <v>48</v>
      </c>
      <c r="B57" s="65"/>
      <c r="C57" s="97" t="s">
        <v>61</v>
      </c>
      <c r="D57" s="98" t="s">
        <v>69</v>
      </c>
      <c r="E57" s="103" t="s">
        <v>82</v>
      </c>
      <c r="F57" s="46" t="s">
        <v>70</v>
      </c>
      <c r="G57" s="104">
        <v>400</v>
      </c>
      <c r="H57" s="105">
        <v>1400</v>
      </c>
      <c r="I57" s="102">
        <f t="shared" si="1"/>
        <v>560000</v>
      </c>
    </row>
    <row r="58" spans="1:9" ht="31.9" customHeight="1" thickBot="1" x14ac:dyDescent="0.25">
      <c r="A58" s="70">
        <v>49</v>
      </c>
      <c r="B58" s="65"/>
      <c r="C58" s="97" t="s">
        <v>80</v>
      </c>
      <c r="D58" s="98" t="s">
        <v>77</v>
      </c>
      <c r="E58" s="103" t="s">
        <v>83</v>
      </c>
      <c r="F58" s="46" t="s">
        <v>70</v>
      </c>
      <c r="G58" s="104">
        <v>15</v>
      </c>
      <c r="H58" s="105">
        <v>84</v>
      </c>
      <c r="I58" s="102">
        <f t="shared" si="1"/>
        <v>1260</v>
      </c>
    </row>
    <row r="59" spans="1:9" ht="31.9" customHeight="1" thickBot="1" x14ac:dyDescent="0.25">
      <c r="A59" s="70">
        <v>50</v>
      </c>
      <c r="B59" s="65"/>
      <c r="C59" s="97" t="s">
        <v>80</v>
      </c>
      <c r="D59" s="98" t="s">
        <v>77</v>
      </c>
      <c r="E59" s="117" t="s">
        <v>84</v>
      </c>
      <c r="F59" s="46" t="s">
        <v>70</v>
      </c>
      <c r="G59" s="104">
        <v>50</v>
      </c>
      <c r="H59" s="105">
        <v>99</v>
      </c>
      <c r="I59" s="102">
        <f t="shared" si="1"/>
        <v>4950</v>
      </c>
    </row>
    <row r="60" spans="1:9" ht="31.9" customHeight="1" thickBot="1" x14ac:dyDescent="0.25">
      <c r="A60" s="58"/>
      <c r="B60" s="59"/>
      <c r="C60" s="58"/>
      <c r="D60" s="60"/>
      <c r="E60" s="61"/>
      <c r="F60" s="58"/>
      <c r="G60" s="62"/>
      <c r="H60" s="63">
        <f>SUM(I10:I59)</f>
        <v>6299096.5999999996</v>
      </c>
    </row>
    <row r="61" spans="1:9" ht="12.75" customHeight="1" x14ac:dyDescent="0.2">
      <c r="B61" s="32" t="s">
        <v>140</v>
      </c>
      <c r="C61" s="33"/>
      <c r="D61" s="33"/>
      <c r="E61" s="34"/>
    </row>
    <row r="62" spans="1:9" x14ac:dyDescent="0.2">
      <c r="B62" s="35"/>
      <c r="C62" s="36"/>
      <c r="D62" s="36"/>
      <c r="E62" s="37"/>
    </row>
    <row r="63" spans="1:9" x14ac:dyDescent="0.2">
      <c r="B63" s="38" t="s">
        <v>14</v>
      </c>
      <c r="C63" s="36"/>
      <c r="D63" s="36"/>
      <c r="E63" s="37"/>
    </row>
    <row r="64" spans="1:9" ht="82.5" customHeight="1" x14ac:dyDescent="0.2">
      <c r="B64" s="38"/>
      <c r="C64" s="130" t="s">
        <v>102</v>
      </c>
      <c r="D64" s="130"/>
      <c r="E64" s="130"/>
    </row>
    <row r="65" spans="2:5" ht="12.75" customHeight="1" x14ac:dyDescent="0.2">
      <c r="B65" s="38" t="s">
        <v>15</v>
      </c>
      <c r="C65" s="36"/>
      <c r="D65" s="36"/>
      <c r="E65" s="37"/>
    </row>
    <row r="66" spans="2:5" x14ac:dyDescent="0.2">
      <c r="B66" s="39"/>
      <c r="C66" s="128" t="s">
        <v>131</v>
      </c>
      <c r="D66" s="128"/>
      <c r="E66" s="128"/>
    </row>
    <row r="67" spans="2:5" x14ac:dyDescent="0.2">
      <c r="B67" s="39"/>
      <c r="C67" s="129"/>
      <c r="D67" s="129"/>
      <c r="E67" s="129"/>
    </row>
    <row r="68" spans="2:5" x14ac:dyDescent="0.2">
      <c r="B68" s="38" t="s">
        <v>16</v>
      </c>
      <c r="C68" s="36"/>
      <c r="D68" s="36"/>
      <c r="E68" s="37"/>
    </row>
    <row r="69" spans="2:5" x14ac:dyDescent="0.2">
      <c r="B69" s="39"/>
      <c r="C69" s="130"/>
      <c r="D69" s="130"/>
      <c r="E69" s="130"/>
    </row>
    <row r="70" spans="2:5" x14ac:dyDescent="0.2">
      <c r="B70" s="38" t="s">
        <v>17</v>
      </c>
      <c r="C70" s="40"/>
      <c r="D70" s="40"/>
      <c r="E70" s="41"/>
    </row>
    <row r="71" spans="2:5" x14ac:dyDescent="0.2">
      <c r="B71" s="39"/>
      <c r="C71" s="125" t="s">
        <v>62</v>
      </c>
      <c r="D71" s="125"/>
      <c r="E71" s="125"/>
    </row>
    <row r="72" spans="2:5" x14ac:dyDescent="0.2">
      <c r="B72" s="38" t="s">
        <v>18</v>
      </c>
      <c r="C72" s="36"/>
      <c r="D72" s="36"/>
      <c r="E72" s="37"/>
    </row>
    <row r="73" spans="2:5" x14ac:dyDescent="0.2">
      <c r="B73" s="38"/>
      <c r="C73" s="126"/>
      <c r="D73" s="126"/>
      <c r="E73" s="126"/>
    </row>
    <row r="74" spans="2:5" ht="13.5" thickBot="1" x14ac:dyDescent="0.25">
      <c r="B74" s="42"/>
      <c r="C74" s="43"/>
      <c r="D74" s="43"/>
      <c r="E74" s="44"/>
    </row>
    <row r="76" spans="2:5" ht="13.5" thickBot="1" x14ac:dyDescent="0.25"/>
    <row r="77" spans="2:5" x14ac:dyDescent="0.2">
      <c r="B77" s="32" t="s">
        <v>136</v>
      </c>
      <c r="C77" s="33"/>
      <c r="D77" s="33"/>
      <c r="E77" s="34"/>
    </row>
    <row r="78" spans="2:5" x14ac:dyDescent="0.2">
      <c r="B78" s="35"/>
      <c r="C78" s="36"/>
      <c r="D78" s="36"/>
      <c r="E78" s="37"/>
    </row>
    <row r="79" spans="2:5" x14ac:dyDescent="0.2">
      <c r="B79" s="38" t="s">
        <v>14</v>
      </c>
      <c r="C79" s="36"/>
      <c r="D79" s="36"/>
      <c r="E79" s="37"/>
    </row>
    <row r="80" spans="2:5" ht="100.5" customHeight="1" x14ac:dyDescent="0.2">
      <c r="B80" s="38"/>
      <c r="C80" s="127" t="s">
        <v>137</v>
      </c>
      <c r="D80" s="127"/>
      <c r="E80" s="127"/>
    </row>
    <row r="81" spans="2:5" x14ac:dyDescent="0.2">
      <c r="B81" s="38" t="s">
        <v>15</v>
      </c>
      <c r="C81" s="36"/>
      <c r="D81" s="36"/>
      <c r="E81" s="37"/>
    </row>
    <row r="82" spans="2:5" x14ac:dyDescent="0.2">
      <c r="B82" s="39"/>
      <c r="C82" s="128" t="s">
        <v>131</v>
      </c>
      <c r="D82" s="128"/>
      <c r="E82" s="128"/>
    </row>
    <row r="83" spans="2:5" x14ac:dyDescent="0.2">
      <c r="B83" s="39"/>
      <c r="C83" s="129"/>
      <c r="D83" s="129"/>
      <c r="E83" s="129"/>
    </row>
    <row r="84" spans="2:5" x14ac:dyDescent="0.2">
      <c r="B84" s="38" t="s">
        <v>16</v>
      </c>
      <c r="C84" s="36"/>
      <c r="D84" s="36"/>
      <c r="E84" s="37"/>
    </row>
    <row r="85" spans="2:5" x14ac:dyDescent="0.2">
      <c r="B85" s="39"/>
      <c r="C85" s="130"/>
      <c r="D85" s="130"/>
      <c r="E85" s="130"/>
    </row>
    <row r="86" spans="2:5" x14ac:dyDescent="0.2">
      <c r="B86" s="38" t="s">
        <v>17</v>
      </c>
      <c r="C86" s="40"/>
      <c r="D86" s="40"/>
      <c r="E86" s="41"/>
    </row>
    <row r="87" spans="2:5" x14ac:dyDescent="0.2">
      <c r="B87" s="39"/>
      <c r="C87" s="125" t="s">
        <v>62</v>
      </c>
      <c r="D87" s="125"/>
      <c r="E87" s="125"/>
    </row>
    <row r="88" spans="2:5" x14ac:dyDescent="0.2">
      <c r="B88" s="38" t="s">
        <v>18</v>
      </c>
      <c r="C88" s="36"/>
      <c r="D88" s="36"/>
      <c r="E88" s="37"/>
    </row>
    <row r="89" spans="2:5" x14ac:dyDescent="0.2">
      <c r="B89" s="38"/>
      <c r="C89" s="126"/>
      <c r="D89" s="126"/>
      <c r="E89" s="126"/>
    </row>
    <row r="90" spans="2:5" ht="13.5" thickBot="1" x14ac:dyDescent="0.25">
      <c r="B90" s="42"/>
      <c r="C90" s="43"/>
      <c r="D90" s="43"/>
      <c r="E90" s="44"/>
    </row>
    <row r="92" spans="2:5" ht="13.5" thickBot="1" x14ac:dyDescent="0.25"/>
    <row r="93" spans="2:5" x14ac:dyDescent="0.2">
      <c r="B93" s="32" t="s">
        <v>138</v>
      </c>
      <c r="C93" s="33"/>
      <c r="D93" s="33"/>
      <c r="E93" s="34"/>
    </row>
    <row r="94" spans="2:5" x14ac:dyDescent="0.2">
      <c r="B94" s="35"/>
      <c r="C94" s="36"/>
      <c r="D94" s="36"/>
      <c r="E94" s="37"/>
    </row>
    <row r="95" spans="2:5" x14ac:dyDescent="0.2">
      <c r="B95" s="38" t="s">
        <v>14</v>
      </c>
      <c r="C95" s="36"/>
      <c r="D95" s="36"/>
      <c r="E95" s="37"/>
    </row>
    <row r="96" spans="2:5" ht="104.25" customHeight="1" x14ac:dyDescent="0.2">
      <c r="B96" s="38"/>
      <c r="C96" s="127" t="s">
        <v>139</v>
      </c>
      <c r="D96" s="127"/>
      <c r="E96" s="127"/>
    </row>
    <row r="97" spans="2:5" x14ac:dyDescent="0.2">
      <c r="B97" s="38" t="s">
        <v>15</v>
      </c>
      <c r="C97" s="36"/>
      <c r="D97" s="36"/>
      <c r="E97" s="37"/>
    </row>
    <row r="98" spans="2:5" x14ac:dyDescent="0.2">
      <c r="B98" s="39"/>
      <c r="C98" s="128" t="s">
        <v>131</v>
      </c>
      <c r="D98" s="128"/>
      <c r="E98" s="128"/>
    </row>
    <row r="99" spans="2:5" x14ac:dyDescent="0.2">
      <c r="B99" s="39"/>
      <c r="C99" s="129"/>
      <c r="D99" s="129"/>
      <c r="E99" s="129"/>
    </row>
    <row r="100" spans="2:5" x14ac:dyDescent="0.2">
      <c r="B100" s="38" t="s">
        <v>16</v>
      </c>
      <c r="C100" s="36"/>
      <c r="D100" s="36"/>
      <c r="E100" s="37"/>
    </row>
    <row r="101" spans="2:5" ht="17.25" customHeight="1" x14ac:dyDescent="0.2">
      <c r="B101" s="39"/>
      <c r="C101" s="130"/>
      <c r="D101" s="130"/>
      <c r="E101" s="130"/>
    </row>
    <row r="102" spans="2:5" x14ac:dyDescent="0.2">
      <c r="B102" s="38" t="s">
        <v>17</v>
      </c>
      <c r="C102" s="40"/>
      <c r="D102" s="40"/>
      <c r="E102" s="41"/>
    </row>
    <row r="103" spans="2:5" x14ac:dyDescent="0.2">
      <c r="B103" s="39"/>
      <c r="C103" s="125" t="s">
        <v>62</v>
      </c>
      <c r="D103" s="125"/>
      <c r="E103" s="125"/>
    </row>
    <row r="104" spans="2:5" x14ac:dyDescent="0.2">
      <c r="B104" s="38" t="s">
        <v>18</v>
      </c>
      <c r="C104" s="36"/>
      <c r="D104" s="36"/>
      <c r="E104" s="37"/>
    </row>
    <row r="105" spans="2:5" x14ac:dyDescent="0.2">
      <c r="B105" s="38"/>
      <c r="C105" s="126"/>
      <c r="D105" s="126"/>
      <c r="E105" s="126"/>
    </row>
    <row r="106" spans="2:5" ht="13.5" thickBot="1" x14ac:dyDescent="0.25">
      <c r="B106" s="42"/>
      <c r="C106" s="43"/>
      <c r="D106" s="43"/>
      <c r="E106" s="44"/>
    </row>
  </sheetData>
  <sortState xmlns:xlrd2="http://schemas.microsoft.com/office/spreadsheetml/2017/richdata2" ref="A10:I69">
    <sortCondition ref="E10"/>
  </sortState>
  <mergeCells count="25">
    <mergeCell ref="C73:E73"/>
    <mergeCell ref="A6:B6"/>
    <mergeCell ref="A7:B7"/>
    <mergeCell ref="B2:H2"/>
    <mergeCell ref="A4:B4"/>
    <mergeCell ref="C4:E4"/>
    <mergeCell ref="A5:B5"/>
    <mergeCell ref="C5:E5"/>
    <mergeCell ref="C67:E67"/>
    <mergeCell ref="C64:E64"/>
    <mergeCell ref="C66:E66"/>
    <mergeCell ref="C69:E69"/>
    <mergeCell ref="C71:E71"/>
    <mergeCell ref="C80:E80"/>
    <mergeCell ref="C82:E82"/>
    <mergeCell ref="C83:E83"/>
    <mergeCell ref="C85:E85"/>
    <mergeCell ref="C87:E87"/>
    <mergeCell ref="C103:E103"/>
    <mergeCell ref="C105:E105"/>
    <mergeCell ref="C89:E89"/>
    <mergeCell ref="C96:E96"/>
    <mergeCell ref="C98:E98"/>
    <mergeCell ref="C99:E99"/>
    <mergeCell ref="C101:E101"/>
  </mergeCells>
  <conditionalFormatting sqref="D60 E45:E59">
    <cfRule type="cellIs" dxfId="9" priority="11" operator="equal">
      <formula>"duplicado"</formula>
    </cfRule>
  </conditionalFormatting>
  <conditionalFormatting sqref="E45">
    <cfRule type="duplicateValues" dxfId="8" priority="8"/>
    <cfRule type="duplicateValues" dxfId="7" priority="9"/>
    <cfRule type="cellIs" dxfId="6" priority="10" operator="equal">
      <formula>"calibra"</formula>
    </cfRule>
  </conditionalFormatting>
  <conditionalFormatting sqref="E45">
    <cfRule type="duplicateValues" dxfId="5" priority="12"/>
    <cfRule type="duplicateValues" dxfId="4" priority="13"/>
    <cfRule type="cellIs" dxfId="3" priority="14" operator="equal">
      <formula>"calibra"</formula>
    </cfRule>
  </conditionalFormatting>
  <conditionalFormatting sqref="D60 E46:E59">
    <cfRule type="duplicateValues" dxfId="2" priority="22"/>
    <cfRule type="duplicateValues" dxfId="1" priority="23"/>
    <cfRule type="cellIs" dxfId="0" priority="24" operator="equal">
      <formula>"calibra"</formula>
    </cfRule>
  </conditionalFormatting>
  <pageMargins left="0.7" right="0.7" top="0.75" bottom="0.75" header="0.51180555555555496" footer="0.51180555555555496"/>
  <pageSetup paperSize="9" firstPageNumber="0"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62"/>
  <sheetViews>
    <sheetView tabSelected="1" topLeftCell="A13" zoomScale="70" zoomScaleNormal="70" workbookViewId="0">
      <selection activeCell="R63" sqref="R63"/>
    </sheetView>
  </sheetViews>
  <sheetFormatPr baseColWidth="10" defaultColWidth="9.140625" defaultRowHeight="12.75" x14ac:dyDescent="0.2"/>
  <cols>
    <col min="1" max="1" width="5.5703125" style="2" customWidth="1"/>
    <col min="2" max="2" width="15.140625" style="2" customWidth="1"/>
    <col min="3" max="3" width="14.140625" style="2" customWidth="1"/>
    <col min="4" max="4" width="26" style="2" customWidth="1"/>
    <col min="5" max="5" width="8" style="2" customWidth="1"/>
    <col min="6" max="6" width="7.85546875" style="2" customWidth="1"/>
    <col min="7" max="7" width="42" style="2" customWidth="1"/>
    <col min="8" max="8" width="9.28515625" style="2" customWidth="1"/>
    <col min="9" max="9" width="22.7109375" style="2" customWidth="1"/>
    <col min="10" max="10" width="14.7109375" style="2" customWidth="1"/>
    <col min="11" max="11" width="15.5703125" style="2" customWidth="1"/>
    <col min="12" max="12" width="17.85546875" style="66" customWidth="1"/>
    <col min="13" max="14" width="5.85546875" style="2" customWidth="1"/>
    <col min="15" max="15" width="12.5703125" style="2" customWidth="1"/>
    <col min="16" max="1024" width="9.140625" style="2"/>
  </cols>
  <sheetData>
    <row r="1" spans="1:12" ht="18" customHeight="1" x14ac:dyDescent="0.2">
      <c r="A1" s="135" t="s">
        <v>19</v>
      </c>
      <c r="B1" s="135"/>
      <c r="C1" s="135"/>
      <c r="D1" s="135"/>
      <c r="E1" s="135"/>
      <c r="F1" s="135"/>
      <c r="G1" s="135"/>
      <c r="H1" s="135"/>
      <c r="I1" s="135"/>
      <c r="J1" s="3" t="s">
        <v>20</v>
      </c>
      <c r="K1" s="49" t="s">
        <v>101</v>
      </c>
    </row>
    <row r="2" spans="1:12" ht="18.75" customHeight="1" thickBot="1" x14ac:dyDescent="0.25">
      <c r="A2" s="4"/>
      <c r="B2" s="4"/>
      <c r="C2" s="4"/>
      <c r="D2" s="5"/>
      <c r="E2" s="5"/>
      <c r="F2" s="5"/>
      <c r="G2" s="5"/>
      <c r="H2" s="5"/>
      <c r="I2" s="5"/>
      <c r="J2" s="5"/>
      <c r="K2" s="5"/>
    </row>
    <row r="3" spans="1:12" ht="18.75" customHeight="1" thickBot="1" x14ac:dyDescent="0.25">
      <c r="A3" s="136" t="s">
        <v>53</v>
      </c>
      <c r="B3" s="136"/>
      <c r="C3" s="136"/>
      <c r="D3" s="137" t="str">
        <f>'Necesidades Trimestrales'!C4</f>
        <v>40 - Ministerio de Salud</v>
      </c>
      <c r="E3" s="137"/>
      <c r="F3" s="137"/>
      <c r="G3" s="137"/>
      <c r="H3" s="137"/>
      <c r="I3" s="137"/>
      <c r="J3" s="137"/>
      <c r="K3" s="137"/>
    </row>
    <row r="4" spans="1:12" ht="18.75" customHeight="1" thickBot="1" x14ac:dyDescent="0.25">
      <c r="A4" s="138" t="s">
        <v>54</v>
      </c>
      <c r="B4" s="138"/>
      <c r="C4" s="138"/>
      <c r="D4" s="137" t="str">
        <f>'Necesidades Trimestrales'!C5</f>
        <v>23 - Hospital Interzonal San Juan Bautista</v>
      </c>
      <c r="E4" s="137"/>
      <c r="F4" s="137"/>
      <c r="G4" s="137"/>
      <c r="H4" s="137"/>
      <c r="I4" s="137"/>
      <c r="J4" s="137"/>
      <c r="K4" s="137"/>
    </row>
    <row r="5" spans="1:12" ht="18.75" customHeight="1" thickBot="1" x14ac:dyDescent="0.25">
      <c r="A5" s="138" t="s">
        <v>32</v>
      </c>
      <c r="B5" s="138"/>
      <c r="C5" s="138"/>
      <c r="D5" s="137" t="s">
        <v>59</v>
      </c>
      <c r="E5" s="137"/>
      <c r="F5" s="137"/>
      <c r="G5" s="137"/>
      <c r="H5" s="137"/>
      <c r="I5" s="137"/>
      <c r="J5" s="137"/>
      <c r="K5" s="137"/>
    </row>
    <row r="6" spans="1:12" ht="16.5" customHeight="1" thickBot="1" x14ac:dyDescent="0.25">
      <c r="A6" s="136" t="s">
        <v>55</v>
      </c>
      <c r="B6" s="136"/>
      <c r="C6" s="136"/>
      <c r="D6" s="137" t="s">
        <v>60</v>
      </c>
      <c r="E6" s="137"/>
      <c r="F6" s="137"/>
      <c r="G6" s="137"/>
      <c r="H6" s="137"/>
      <c r="I6" s="137"/>
      <c r="J6" s="137"/>
      <c r="K6" s="137"/>
    </row>
    <row r="7" spans="1:12" ht="16.5" customHeight="1" x14ac:dyDescent="0.2">
      <c r="A7" s="138" t="s">
        <v>21</v>
      </c>
      <c r="B7" s="138"/>
      <c r="C7" s="138"/>
      <c r="D7" s="137" t="str">
        <f>'Necesidades Trimestrales'!C7 &amp; "° Trimestre - Año " &amp; 'Necesidades Trimestrales'!C6</f>
        <v>3° Trimestre - Año 2021</v>
      </c>
      <c r="E7" s="137"/>
      <c r="F7" s="137"/>
      <c r="G7" s="137"/>
      <c r="H7" s="137"/>
      <c r="I7" s="137"/>
      <c r="J7" s="137"/>
      <c r="K7" s="137"/>
    </row>
    <row r="8" spans="1:12" ht="16.5" customHeight="1" x14ac:dyDescent="0.2">
      <c r="A8" s="141" t="s">
        <v>22</v>
      </c>
      <c r="B8" s="141"/>
      <c r="C8" s="141"/>
      <c r="D8" s="142" t="s">
        <v>129</v>
      </c>
      <c r="E8" s="142"/>
      <c r="F8" s="142"/>
      <c r="G8" s="142"/>
      <c r="H8" s="142"/>
      <c r="I8" s="142"/>
      <c r="J8" s="142"/>
      <c r="K8" s="142"/>
    </row>
    <row r="9" spans="1:12" ht="15.75" x14ac:dyDescent="0.2">
      <c r="A9" s="6"/>
      <c r="B9" s="6"/>
      <c r="C9" s="6"/>
      <c r="D9" s="7"/>
      <c r="E9" s="7"/>
      <c r="F9" s="7"/>
      <c r="G9" s="7"/>
      <c r="H9" s="7"/>
      <c r="I9" s="7"/>
      <c r="J9" s="7"/>
      <c r="K9" s="7"/>
    </row>
    <row r="10" spans="1:12" ht="18.75" customHeight="1" x14ac:dyDescent="0.2">
      <c r="A10" s="143" t="s">
        <v>23</v>
      </c>
      <c r="B10" s="144" t="s">
        <v>24</v>
      </c>
      <c r="C10" s="144" t="s">
        <v>25</v>
      </c>
      <c r="D10" s="144"/>
      <c r="E10" s="144"/>
      <c r="F10" s="144"/>
      <c r="G10" s="144"/>
      <c r="H10" s="144" t="s">
        <v>26</v>
      </c>
      <c r="I10" s="144" t="s">
        <v>27</v>
      </c>
      <c r="J10" s="144" t="s">
        <v>28</v>
      </c>
      <c r="K10" s="145" t="s">
        <v>29</v>
      </c>
    </row>
    <row r="11" spans="1:12" ht="24" customHeight="1" thickBot="1" x14ac:dyDescent="0.25">
      <c r="A11" s="143"/>
      <c r="B11" s="144"/>
      <c r="C11" s="144"/>
      <c r="D11" s="144"/>
      <c r="E11" s="144"/>
      <c r="F11" s="144"/>
      <c r="G11" s="144"/>
      <c r="H11" s="144"/>
      <c r="I11" s="144"/>
      <c r="J11" s="144"/>
      <c r="K11" s="145"/>
    </row>
    <row r="12" spans="1:12" ht="20.25" customHeight="1" thickBot="1" x14ac:dyDescent="0.25">
      <c r="A12" s="8">
        <v>1</v>
      </c>
      <c r="B12" s="50">
        <f>'Necesidades Trimestrales'!B10</f>
        <v>0</v>
      </c>
      <c r="C12" s="134" t="str">
        <f>'Necesidades Trimestrales'!E10</f>
        <v>Aguja ESPINAL 21 G 3 1/2 PUNTA LAPIZ</v>
      </c>
      <c r="D12" s="134"/>
      <c r="E12" s="134"/>
      <c r="F12" s="134"/>
      <c r="G12" s="134"/>
      <c r="H12" s="51" t="s">
        <v>56</v>
      </c>
      <c r="I12" s="52" t="str">
        <f>'Necesidades Trimestrales'!F10</f>
        <v>UNIDAD</v>
      </c>
      <c r="J12" s="53">
        <f>'Necesidades Trimestrales'!H10</f>
        <v>520</v>
      </c>
      <c r="K12" s="54">
        <f>'Necesidades Trimestrales'!G10</f>
        <v>400</v>
      </c>
      <c r="L12" s="67">
        <f>J12*K12</f>
        <v>208000</v>
      </c>
    </row>
    <row r="13" spans="1:12" ht="20.25" customHeight="1" thickBot="1" x14ac:dyDescent="0.25">
      <c r="A13" s="8">
        <v>2</v>
      </c>
      <c r="B13" s="50">
        <f>'Necesidades Trimestrales'!B11</f>
        <v>0</v>
      </c>
      <c r="C13" s="134" t="str">
        <f>'Necesidades Trimestrales'!E11</f>
        <v>AGUJA ESPINAL 25G 31/2 PUNTA LAPIZ</v>
      </c>
      <c r="D13" s="134"/>
      <c r="E13" s="134"/>
      <c r="F13" s="134"/>
      <c r="G13" s="134"/>
      <c r="H13" s="51" t="s">
        <v>56</v>
      </c>
      <c r="I13" s="52" t="str">
        <f>'Necesidades Trimestrales'!F11</f>
        <v>UNIDAD</v>
      </c>
      <c r="J13" s="53">
        <f>'Necesidades Trimestrales'!H11</f>
        <v>520</v>
      </c>
      <c r="K13" s="54">
        <f>'Necesidades Trimestrales'!G11</f>
        <v>400</v>
      </c>
      <c r="L13" s="67">
        <f t="shared" ref="L13:L61" si="0">J13*K13</f>
        <v>208000</v>
      </c>
    </row>
    <row r="14" spans="1:12" ht="20.25" customHeight="1" thickBot="1" x14ac:dyDescent="0.25">
      <c r="A14" s="8">
        <v>3</v>
      </c>
      <c r="B14" s="50">
        <f>'Necesidades Trimestrales'!B12</f>
        <v>0</v>
      </c>
      <c r="C14" s="134" t="str">
        <f>'Necesidades Trimestrales'!E12</f>
        <v>Aguja ESPINAL 26 G 31/2</v>
      </c>
      <c r="D14" s="134"/>
      <c r="E14" s="134"/>
      <c r="F14" s="134"/>
      <c r="G14" s="134"/>
      <c r="H14" s="51" t="s">
        <v>56</v>
      </c>
      <c r="I14" s="52" t="str">
        <f>'Necesidades Trimestrales'!F12</f>
        <v>UNIDAD</v>
      </c>
      <c r="J14" s="53">
        <f>'Necesidades Trimestrales'!H12</f>
        <v>520</v>
      </c>
      <c r="K14" s="54">
        <f>'Necesidades Trimestrales'!G12</f>
        <v>400</v>
      </c>
      <c r="L14" s="67">
        <f t="shared" si="0"/>
        <v>208000</v>
      </c>
    </row>
    <row r="15" spans="1:12" ht="20.25" customHeight="1" thickBot="1" x14ac:dyDescent="0.25">
      <c r="A15" s="8">
        <v>4</v>
      </c>
      <c r="B15" s="50">
        <f>'Necesidades Trimestrales'!B13</f>
        <v>0</v>
      </c>
      <c r="C15" s="134" t="str">
        <f>'Necesidades Trimestrales'!E13</f>
        <v>Aguja ESPINAL 27 G 3 1/2</v>
      </c>
      <c r="D15" s="134"/>
      <c r="E15" s="134"/>
      <c r="F15" s="134"/>
      <c r="G15" s="134"/>
      <c r="H15" s="51" t="s">
        <v>56</v>
      </c>
      <c r="I15" s="52" t="str">
        <f>'Necesidades Trimestrales'!F13</f>
        <v>UNIDAD</v>
      </c>
      <c r="J15" s="53">
        <f>'Necesidades Trimestrales'!H13</f>
        <v>520</v>
      </c>
      <c r="K15" s="54">
        <f>'Necesidades Trimestrales'!G13</f>
        <v>400</v>
      </c>
      <c r="L15" s="67">
        <f t="shared" si="0"/>
        <v>208000</v>
      </c>
    </row>
    <row r="16" spans="1:12" ht="20.25" customHeight="1" thickBot="1" x14ac:dyDescent="0.25">
      <c r="A16" s="8">
        <v>5</v>
      </c>
      <c r="B16" s="50">
        <f>'Necesidades Trimestrales'!B14</f>
        <v>0</v>
      </c>
      <c r="C16" s="134" t="str">
        <f>'Necesidades Trimestrales'!E14</f>
        <v xml:space="preserve">AGUJA ESPINAL 27G 3 1/2 PUNTA LAPIZ </v>
      </c>
      <c r="D16" s="134"/>
      <c r="E16" s="134"/>
      <c r="F16" s="134"/>
      <c r="G16" s="134"/>
      <c r="H16" s="51" t="s">
        <v>56</v>
      </c>
      <c r="I16" s="52" t="str">
        <f>'Necesidades Trimestrales'!F14</f>
        <v>UNIDAD</v>
      </c>
      <c r="J16" s="53">
        <f>'Necesidades Trimestrales'!H14</f>
        <v>520</v>
      </c>
      <c r="K16" s="54">
        <f>'Necesidades Trimestrales'!G14</f>
        <v>400</v>
      </c>
      <c r="L16" s="67">
        <f t="shared" si="0"/>
        <v>208000</v>
      </c>
    </row>
    <row r="17" spans="1:12" ht="20.25" customHeight="1" thickBot="1" x14ac:dyDescent="0.25">
      <c r="A17" s="8">
        <v>6</v>
      </c>
      <c r="B17" s="50">
        <f>'Necesidades Trimestrales'!B15</f>
        <v>0</v>
      </c>
      <c r="C17" s="134" t="str">
        <f>'Necesidades Trimestrales'!E15</f>
        <v>Aguja espinal para obesos  25 G  punta lapiz</v>
      </c>
      <c r="D17" s="134"/>
      <c r="E17" s="134"/>
      <c r="F17" s="134"/>
      <c r="G17" s="134"/>
      <c r="H17" s="51" t="s">
        <v>56</v>
      </c>
      <c r="I17" s="52" t="str">
        <f>'Necesidades Trimestrales'!F15</f>
        <v>UNIDAD</v>
      </c>
      <c r="J17" s="53">
        <f>'Necesidades Trimestrales'!H15</f>
        <v>620</v>
      </c>
      <c r="K17" s="54">
        <f>'Necesidades Trimestrales'!G15</f>
        <v>50</v>
      </c>
      <c r="L17" s="67">
        <f t="shared" si="0"/>
        <v>31000</v>
      </c>
    </row>
    <row r="18" spans="1:12" ht="20.25" customHeight="1" thickBot="1" x14ac:dyDescent="0.25">
      <c r="A18" s="8">
        <v>7</v>
      </c>
      <c r="B18" s="50">
        <f>'Necesidades Trimestrales'!B16</f>
        <v>0</v>
      </c>
      <c r="C18" s="134" t="str">
        <f>'Necesidades Trimestrales'!E16</f>
        <v xml:space="preserve">Aguja espinal para obesos  27 G </v>
      </c>
      <c r="D18" s="134"/>
      <c r="E18" s="134"/>
      <c r="F18" s="134"/>
      <c r="G18" s="134"/>
      <c r="H18" s="51" t="s">
        <v>56</v>
      </c>
      <c r="I18" s="52" t="str">
        <f>'Necesidades Trimestrales'!F16</f>
        <v>UNIDAD</v>
      </c>
      <c r="J18" s="53">
        <f>'Necesidades Trimestrales'!H16</f>
        <v>620</v>
      </c>
      <c r="K18" s="54">
        <f>'Necesidades Trimestrales'!G16</f>
        <v>50</v>
      </c>
      <c r="L18" s="67">
        <f t="shared" si="0"/>
        <v>31000</v>
      </c>
    </row>
    <row r="19" spans="1:12" ht="20.25" customHeight="1" thickBot="1" x14ac:dyDescent="0.25">
      <c r="A19" s="8">
        <v>8</v>
      </c>
      <c r="B19" s="50">
        <f>'Necesidades Trimestrales'!B17</f>
        <v>0</v>
      </c>
      <c r="C19" s="134" t="str">
        <f>'Necesidades Trimestrales'!E17</f>
        <v>AGUJA PUNTA CURVA HUBER Nº 20 X 25 MM</v>
      </c>
      <c r="D19" s="134"/>
      <c r="E19" s="134"/>
      <c r="F19" s="134"/>
      <c r="G19" s="134"/>
      <c r="H19" s="51" t="s">
        <v>56</v>
      </c>
      <c r="I19" s="52" t="str">
        <f>'Necesidades Trimestrales'!F17</f>
        <v>UNIDAD</v>
      </c>
      <c r="J19" s="53">
        <f>'Necesidades Trimestrales'!H17</f>
        <v>182</v>
      </c>
      <c r="K19" s="54">
        <f>'Necesidades Trimestrales'!G17</f>
        <v>60</v>
      </c>
      <c r="L19" s="67">
        <f t="shared" si="0"/>
        <v>10920</v>
      </c>
    </row>
    <row r="20" spans="1:12" ht="20.25" customHeight="1" thickBot="1" x14ac:dyDescent="0.25">
      <c r="A20" s="8">
        <v>9</v>
      </c>
      <c r="B20" s="50">
        <f>'Necesidades Trimestrales'!B18</f>
        <v>0</v>
      </c>
      <c r="C20" s="134" t="str">
        <f>'Necesidades Trimestrales'!E18</f>
        <v>AGUJA PUNTA CURVA HUBER Nº 21 X 25 MM</v>
      </c>
      <c r="D20" s="134"/>
      <c r="E20" s="134"/>
      <c r="F20" s="134"/>
      <c r="G20" s="134"/>
      <c r="H20" s="51" t="s">
        <v>56</v>
      </c>
      <c r="I20" s="52" t="str">
        <f>'Necesidades Trimestrales'!F18</f>
        <v>UNIDAD</v>
      </c>
      <c r="J20" s="53">
        <f>'Necesidades Trimestrales'!H18</f>
        <v>182</v>
      </c>
      <c r="K20" s="54">
        <f>'Necesidades Trimestrales'!G18</f>
        <v>60</v>
      </c>
      <c r="L20" s="67">
        <f t="shared" si="0"/>
        <v>10920</v>
      </c>
    </row>
    <row r="21" spans="1:12" ht="20.25" customHeight="1" thickBot="1" x14ac:dyDescent="0.25">
      <c r="A21" s="8">
        <v>10</v>
      </c>
      <c r="B21" s="50">
        <f>'Necesidades Trimestrales'!B19</f>
        <v>0</v>
      </c>
      <c r="C21" s="134" t="str">
        <f>'Necesidades Trimestrales'!E19</f>
        <v>AGUJA PUNTA CURVA HUBER Nº 22 X 25 MM</v>
      </c>
      <c r="D21" s="134"/>
      <c r="E21" s="134"/>
      <c r="F21" s="134"/>
      <c r="G21" s="134"/>
      <c r="H21" s="51" t="s">
        <v>56</v>
      </c>
      <c r="I21" s="52" t="str">
        <f>'Necesidades Trimestrales'!F19</f>
        <v>UNIDAD</v>
      </c>
      <c r="J21" s="53">
        <f>'Necesidades Trimestrales'!H19</f>
        <v>182</v>
      </c>
      <c r="K21" s="54">
        <f>'Necesidades Trimestrales'!G19</f>
        <v>60</v>
      </c>
      <c r="L21" s="67">
        <f t="shared" si="0"/>
        <v>10920</v>
      </c>
    </row>
    <row r="22" spans="1:12" ht="20.25" customHeight="1" thickBot="1" x14ac:dyDescent="0.25">
      <c r="A22" s="8">
        <v>11</v>
      </c>
      <c r="B22" s="50">
        <f>'Necesidades Trimestrales'!B20</f>
        <v>0</v>
      </c>
      <c r="C22" s="134" t="str">
        <f>'Necesidades Trimestrales'!E20</f>
        <v>AGUJA TROCAR X 1 - 30/12</v>
      </c>
      <c r="D22" s="134"/>
      <c r="E22" s="134"/>
      <c r="F22" s="134"/>
      <c r="G22" s="134"/>
      <c r="H22" s="51" t="s">
        <v>56</v>
      </c>
      <c r="I22" s="52" t="str">
        <f>'Necesidades Trimestrales'!F20</f>
        <v>UNIDAD</v>
      </c>
      <c r="J22" s="53">
        <f>'Necesidades Trimestrales'!H20</f>
        <v>1.32</v>
      </c>
      <c r="K22" s="54">
        <f>'Necesidades Trimestrales'!G20</f>
        <v>5000</v>
      </c>
      <c r="L22" s="67">
        <f t="shared" si="0"/>
        <v>6600</v>
      </c>
    </row>
    <row r="23" spans="1:12" ht="20.25" customHeight="1" thickBot="1" x14ac:dyDescent="0.25">
      <c r="A23" s="8">
        <v>12</v>
      </c>
      <c r="B23" s="50">
        <f>'Necesidades Trimestrales'!B21</f>
        <v>0</v>
      </c>
      <c r="C23" s="134" t="str">
        <f>'Necesidades Trimestrales'!E21</f>
        <v>BUTERFLY Nº 19</v>
      </c>
      <c r="D23" s="134"/>
      <c r="E23" s="134"/>
      <c r="F23" s="134"/>
      <c r="G23" s="134"/>
      <c r="H23" s="51" t="s">
        <v>56</v>
      </c>
      <c r="I23" s="52" t="str">
        <f>'Necesidades Trimestrales'!F21</f>
        <v>UNIDAD</v>
      </c>
      <c r="J23" s="53">
        <f>'Necesidades Trimestrales'!H21</f>
        <v>14.5</v>
      </c>
      <c r="K23" s="54">
        <f>'Necesidades Trimestrales'!G21</f>
        <v>1200</v>
      </c>
      <c r="L23" s="67">
        <f t="shared" si="0"/>
        <v>17400</v>
      </c>
    </row>
    <row r="24" spans="1:12" ht="20.25" customHeight="1" thickBot="1" x14ac:dyDescent="0.25">
      <c r="A24" s="8">
        <v>13</v>
      </c>
      <c r="B24" s="50">
        <f>'Necesidades Trimestrales'!B22</f>
        <v>0</v>
      </c>
      <c r="C24" s="134" t="str">
        <f>'Necesidades Trimestrales'!E22</f>
        <v>BUTERFLY Nº 21</v>
      </c>
      <c r="D24" s="134"/>
      <c r="E24" s="134"/>
      <c r="F24" s="134"/>
      <c r="G24" s="134"/>
      <c r="H24" s="51" t="s">
        <v>56</v>
      </c>
      <c r="I24" s="52" t="str">
        <f>'Necesidades Trimestrales'!F22</f>
        <v>UNIDAD</v>
      </c>
      <c r="J24" s="53">
        <f>'Necesidades Trimestrales'!H22</f>
        <v>14.5</v>
      </c>
      <c r="K24" s="54">
        <f>'Necesidades Trimestrales'!G22</f>
        <v>1200</v>
      </c>
      <c r="L24" s="67">
        <f t="shared" si="0"/>
        <v>17400</v>
      </c>
    </row>
    <row r="25" spans="1:12" ht="20.25" customHeight="1" thickBot="1" x14ac:dyDescent="0.25">
      <c r="A25" s="8">
        <v>14</v>
      </c>
      <c r="B25" s="50">
        <f>'Necesidades Trimestrales'!B23</f>
        <v>0</v>
      </c>
      <c r="C25" s="134" t="str">
        <f>'Necesidades Trimestrales'!E23</f>
        <v>Camisolin P/Cirugia de tela verde brin con puño caña larga</v>
      </c>
      <c r="D25" s="134"/>
      <c r="E25" s="134"/>
      <c r="F25" s="134"/>
      <c r="G25" s="134"/>
      <c r="H25" s="51" t="s">
        <v>56</v>
      </c>
      <c r="I25" s="52" t="str">
        <f>'Necesidades Trimestrales'!F23</f>
        <v>UNIDAD</v>
      </c>
      <c r="J25" s="53">
        <f>'Necesidades Trimestrales'!H23</f>
        <v>1990</v>
      </c>
      <c r="K25" s="54">
        <f>'Necesidades Trimestrales'!G23</f>
        <v>80</v>
      </c>
      <c r="L25" s="67">
        <f t="shared" si="0"/>
        <v>159200</v>
      </c>
    </row>
    <row r="26" spans="1:12" ht="20.25" customHeight="1" thickBot="1" x14ac:dyDescent="0.25">
      <c r="A26" s="8">
        <v>15</v>
      </c>
      <c r="B26" s="50">
        <f>'Necesidades Trimestrales'!B24</f>
        <v>0</v>
      </c>
      <c r="C26" s="134" t="str">
        <f>'Necesidades Trimestrales'!E24</f>
        <v>CATETER DOBLE J 4.8 FRENCH X 46 CM TIPO COOK</v>
      </c>
      <c r="D26" s="134"/>
      <c r="E26" s="134"/>
      <c r="F26" s="134"/>
      <c r="G26" s="134"/>
      <c r="H26" s="51" t="s">
        <v>56</v>
      </c>
      <c r="I26" s="52" t="str">
        <f>'Necesidades Trimestrales'!F24</f>
        <v>UNIDAD</v>
      </c>
      <c r="J26" s="53">
        <f>'Necesidades Trimestrales'!H24</f>
        <v>6870</v>
      </c>
      <c r="K26" s="54">
        <f>'Necesidades Trimestrales'!G24</f>
        <v>6</v>
      </c>
      <c r="L26" s="67">
        <f t="shared" si="0"/>
        <v>41220</v>
      </c>
    </row>
    <row r="27" spans="1:12" ht="20.25" customHeight="1" thickBot="1" x14ac:dyDescent="0.25">
      <c r="A27" s="8">
        <v>16</v>
      </c>
      <c r="B27" s="50">
        <f>'Necesidades Trimestrales'!B25</f>
        <v>0</v>
      </c>
      <c r="C27" s="134" t="str">
        <f>'Necesidades Trimestrales'!E25</f>
        <v>CATETER DOBLE J 7 FRENCH X 46 CM TIPO COOK</v>
      </c>
      <c r="D27" s="134"/>
      <c r="E27" s="134"/>
      <c r="F27" s="134"/>
      <c r="G27" s="134"/>
      <c r="H27" s="51" t="s">
        <v>56</v>
      </c>
      <c r="I27" s="52" t="str">
        <f>'Necesidades Trimestrales'!F25</f>
        <v>UNIDAD</v>
      </c>
      <c r="J27" s="53">
        <f>'Necesidades Trimestrales'!H25</f>
        <v>7800</v>
      </c>
      <c r="K27" s="54">
        <f>'Necesidades Trimestrales'!G25</f>
        <v>6</v>
      </c>
      <c r="L27" s="67">
        <f t="shared" si="0"/>
        <v>46800</v>
      </c>
    </row>
    <row r="28" spans="1:12" ht="20.25" customHeight="1" thickBot="1" x14ac:dyDescent="0.25">
      <c r="A28" s="8">
        <v>17</v>
      </c>
      <c r="B28" s="50">
        <f>'Necesidades Trimestrales'!B26</f>
        <v>0</v>
      </c>
      <c r="C28" s="134" t="str">
        <f>'Necesidades Trimestrales'!E26</f>
        <v>CEPILLO P/LAVAR TUBOS GRANDES X 1</v>
      </c>
      <c r="D28" s="134"/>
      <c r="E28" s="134"/>
      <c r="F28" s="134"/>
      <c r="G28" s="134"/>
      <c r="H28" s="51" t="s">
        <v>56</v>
      </c>
      <c r="I28" s="52" t="str">
        <f>'Necesidades Trimestrales'!F26</f>
        <v>UNIDAD</v>
      </c>
      <c r="J28" s="53">
        <f>'Necesidades Trimestrales'!H26</f>
        <v>290</v>
      </c>
      <c r="K28" s="54">
        <f>'Necesidades Trimestrales'!G26</f>
        <v>3</v>
      </c>
      <c r="L28" s="67">
        <f t="shared" si="0"/>
        <v>870</v>
      </c>
    </row>
    <row r="29" spans="1:12" ht="20.25" customHeight="1" thickBot="1" x14ac:dyDescent="0.25">
      <c r="A29" s="8">
        <v>18</v>
      </c>
      <c r="B29" s="50">
        <f>'Necesidades Trimestrales'!B27</f>
        <v>0</v>
      </c>
      <c r="C29" s="134" t="str">
        <f>'Necesidades Trimestrales'!E27</f>
        <v>CEPILLO P/LAVAR TUBOS MEDIANOS X 1</v>
      </c>
      <c r="D29" s="134"/>
      <c r="E29" s="134"/>
      <c r="F29" s="134"/>
      <c r="G29" s="134"/>
      <c r="H29" s="51" t="s">
        <v>56</v>
      </c>
      <c r="I29" s="52" t="str">
        <f>'Necesidades Trimestrales'!F27</f>
        <v>UNIDAD</v>
      </c>
      <c r="J29" s="53">
        <f>'Necesidades Trimestrales'!H27</f>
        <v>310</v>
      </c>
      <c r="K29" s="54">
        <f>'Necesidades Trimestrales'!G27</f>
        <v>3</v>
      </c>
      <c r="L29" s="67">
        <f t="shared" si="0"/>
        <v>930</v>
      </c>
    </row>
    <row r="30" spans="1:12" ht="20.25" customHeight="1" thickBot="1" x14ac:dyDescent="0.25">
      <c r="A30" s="8">
        <v>19</v>
      </c>
      <c r="B30" s="50">
        <f>'Necesidades Trimestrales'!B28</f>
        <v>0</v>
      </c>
      <c r="C30" s="134" t="str">
        <f>'Necesidades Trimestrales'!E28</f>
        <v>Cinta Testigo p/calor seco  (en rollo) Tipo Kims</v>
      </c>
      <c r="D30" s="134"/>
      <c r="E30" s="134"/>
      <c r="F30" s="134"/>
      <c r="G30" s="134"/>
      <c r="H30" s="51" t="s">
        <v>56</v>
      </c>
      <c r="I30" s="52" t="str">
        <f>'Necesidades Trimestrales'!F28</f>
        <v>UNIDAD</v>
      </c>
      <c r="J30" s="53">
        <f>'Necesidades Trimestrales'!H28</f>
        <v>290</v>
      </c>
      <c r="K30" s="54">
        <f>'Necesidades Trimestrales'!G28</f>
        <v>30</v>
      </c>
      <c r="L30" s="67">
        <f t="shared" si="0"/>
        <v>8700</v>
      </c>
    </row>
    <row r="31" spans="1:12" ht="20.25" customHeight="1" thickBot="1" x14ac:dyDescent="0.25">
      <c r="A31" s="8">
        <v>20</v>
      </c>
      <c r="B31" s="50">
        <f>'Necesidades Trimestrales'!B29</f>
        <v>0</v>
      </c>
      <c r="C31" s="134" t="str">
        <f>'Necesidades Trimestrales'!E29</f>
        <v xml:space="preserve">CONECTOR 150 CM DE BAJA PRESION </v>
      </c>
      <c r="D31" s="134"/>
      <c r="E31" s="134"/>
      <c r="F31" s="134"/>
      <c r="G31" s="134"/>
      <c r="H31" s="51" t="s">
        <v>56</v>
      </c>
      <c r="I31" s="52" t="str">
        <f>'Necesidades Trimestrales'!F29</f>
        <v>UNIDAD</v>
      </c>
      <c r="J31" s="53">
        <f>'Necesidades Trimestrales'!H29</f>
        <v>1850</v>
      </c>
      <c r="K31" s="54">
        <f>'Necesidades Trimestrales'!G29</f>
        <v>5</v>
      </c>
      <c r="L31" s="67">
        <f t="shared" si="0"/>
        <v>9250</v>
      </c>
    </row>
    <row r="32" spans="1:12" ht="20.25" customHeight="1" thickBot="1" x14ac:dyDescent="0.25">
      <c r="A32" s="8">
        <v>21</v>
      </c>
      <c r="B32" s="50">
        <f>'Necesidades Trimestrales'!B30</f>
        <v>0</v>
      </c>
      <c r="C32" s="134" t="str">
        <f>'Necesidades Trimestrales'!E30</f>
        <v>DRENAJE DE SILICONA ESTERIL TIPO DRENAJE BLAKE</v>
      </c>
      <c r="D32" s="134"/>
      <c r="E32" s="134"/>
      <c r="F32" s="134"/>
      <c r="G32" s="134"/>
      <c r="H32" s="51" t="s">
        <v>56</v>
      </c>
      <c r="I32" s="52" t="str">
        <f>'Necesidades Trimestrales'!F30</f>
        <v>UNIDAD</v>
      </c>
      <c r="J32" s="53">
        <f>'Necesidades Trimestrales'!H30</f>
        <v>320</v>
      </c>
      <c r="K32" s="54">
        <f>'Necesidades Trimestrales'!G30</f>
        <v>60</v>
      </c>
      <c r="L32" s="67">
        <f t="shared" si="0"/>
        <v>19200</v>
      </c>
    </row>
    <row r="33" spans="1:12" ht="20.25" customHeight="1" thickBot="1" x14ac:dyDescent="0.25">
      <c r="A33" s="8">
        <v>22</v>
      </c>
      <c r="B33" s="50">
        <f>'Necesidades Trimestrales'!B31</f>
        <v>0</v>
      </c>
      <c r="C33" s="134" t="str">
        <f>'Necesidades Trimestrales'!E31</f>
        <v xml:space="preserve">Envoltorio para esterilización de Tela no tejida 100% a base de Polipropileno SMS. Gramaje 45 gr/m2 Bobina x 200 metros </v>
      </c>
      <c r="D33" s="134"/>
      <c r="E33" s="134"/>
      <c r="F33" s="134"/>
      <c r="G33" s="134"/>
      <c r="H33" s="51" t="s">
        <v>56</v>
      </c>
      <c r="I33" s="52" t="str">
        <f>'Necesidades Trimestrales'!F31</f>
        <v>UNIDAD</v>
      </c>
      <c r="J33" s="53">
        <f>'Necesidades Trimestrales'!H31</f>
        <v>22400</v>
      </c>
      <c r="K33" s="54">
        <f>'Necesidades Trimestrales'!G31</f>
        <v>15</v>
      </c>
      <c r="L33" s="67">
        <f t="shared" si="0"/>
        <v>336000</v>
      </c>
    </row>
    <row r="34" spans="1:12" ht="20.25" customHeight="1" thickBot="1" x14ac:dyDescent="0.25">
      <c r="A34" s="8">
        <v>23</v>
      </c>
      <c r="B34" s="50">
        <f>'Necesidades Trimestrales'!B32</f>
        <v>0</v>
      </c>
      <c r="C34" s="134" t="str">
        <f>'Necesidades Trimestrales'!E32</f>
        <v>GASA HIDROFILA PIEZA X 1,8 KGS. TIPO HIDROSAN</v>
      </c>
      <c r="D34" s="134"/>
      <c r="E34" s="134"/>
      <c r="F34" s="134"/>
      <c r="G34" s="134"/>
      <c r="H34" s="51" t="s">
        <v>56</v>
      </c>
      <c r="I34" s="52" t="str">
        <f>'Necesidades Trimestrales'!F32</f>
        <v>UNIDAD</v>
      </c>
      <c r="J34" s="53">
        <f>'Necesidades Trimestrales'!H32</f>
        <v>1500</v>
      </c>
      <c r="K34" s="54">
        <f>'Necesidades Trimestrales'!G32</f>
        <v>1500</v>
      </c>
      <c r="L34" s="67">
        <f t="shared" si="0"/>
        <v>2250000</v>
      </c>
    </row>
    <row r="35" spans="1:12" ht="20.25" customHeight="1" thickBot="1" x14ac:dyDescent="0.25">
      <c r="A35" s="8">
        <v>24</v>
      </c>
      <c r="B35" s="50">
        <f>'Necesidades Trimestrales'!B33</f>
        <v>0</v>
      </c>
      <c r="C35" s="134" t="str">
        <f>'Necesidades Trimestrales'!E33</f>
        <v>GASAS; TIPO: CORTADA, MEDIDA: 40 X 40 Cm, PRESENTACION: X KILO</v>
      </c>
      <c r="D35" s="134"/>
      <c r="E35" s="134"/>
      <c r="F35" s="134"/>
      <c r="G35" s="134"/>
      <c r="H35" s="51" t="s">
        <v>56</v>
      </c>
      <c r="I35" s="52" t="str">
        <f>'Necesidades Trimestrales'!F33</f>
        <v>UNIDAD</v>
      </c>
      <c r="J35" s="53">
        <f>'Necesidades Trimestrales'!H33</f>
        <v>850</v>
      </c>
      <c r="K35" s="54">
        <f>'Necesidades Trimestrales'!G33</f>
        <v>12</v>
      </c>
      <c r="L35" s="67">
        <f t="shared" si="0"/>
        <v>10200</v>
      </c>
    </row>
    <row r="36" spans="1:12" ht="20.25" customHeight="1" thickBot="1" x14ac:dyDescent="0.25">
      <c r="A36" s="8">
        <v>25</v>
      </c>
      <c r="B36" s="50">
        <f>'Necesidades Trimestrales'!B34</f>
        <v>0</v>
      </c>
      <c r="C36" s="134" t="str">
        <f>'Necesidades Trimestrales'!E34</f>
        <v>GLUTARALDEHIDO 2% SIN SURFACTANTE BIDON X 4 LITROS</v>
      </c>
      <c r="D36" s="134"/>
      <c r="E36" s="134"/>
      <c r="F36" s="134"/>
      <c r="G36" s="134"/>
      <c r="H36" s="51" t="s">
        <v>56</v>
      </c>
      <c r="I36" s="52" t="str">
        <f>'Necesidades Trimestrales'!F34</f>
        <v>UNIDAD</v>
      </c>
      <c r="J36" s="53">
        <f>'Necesidades Trimestrales'!H34</f>
        <v>1100</v>
      </c>
      <c r="K36" s="54">
        <f>'Necesidades Trimestrales'!G34</f>
        <v>48</v>
      </c>
      <c r="L36" s="67">
        <f t="shared" si="0"/>
        <v>52800</v>
      </c>
    </row>
    <row r="37" spans="1:12" ht="37.5" customHeight="1" thickBot="1" x14ac:dyDescent="0.25">
      <c r="A37" s="8">
        <v>26</v>
      </c>
      <c r="B37" s="50">
        <f>'Necesidades Trimestrales'!B35</f>
        <v>0</v>
      </c>
      <c r="C37" s="134" t="str">
        <f>'Necesidades Trimestrales'!E35</f>
        <v>HILO DE SUTURA CATGUT  CROMICO Nº0</v>
      </c>
      <c r="D37" s="134"/>
      <c r="E37" s="134"/>
      <c r="F37" s="134"/>
      <c r="G37" s="134"/>
      <c r="H37" s="51" t="s">
        <v>56</v>
      </c>
      <c r="I37" s="52" t="str">
        <f>'Necesidades Trimestrales'!F35</f>
        <v>UNIDAD</v>
      </c>
      <c r="J37" s="53">
        <f>'Necesidades Trimestrales'!H35</f>
        <v>320</v>
      </c>
      <c r="K37" s="54">
        <f>'Necesidades Trimestrales'!G35</f>
        <v>288</v>
      </c>
      <c r="L37" s="67">
        <f t="shared" si="0"/>
        <v>92160</v>
      </c>
    </row>
    <row r="38" spans="1:12" ht="37.5" customHeight="1" thickBot="1" x14ac:dyDescent="0.25">
      <c r="A38" s="8">
        <v>27</v>
      </c>
      <c r="B38" s="50">
        <f>'Necesidades Trimestrales'!B36</f>
        <v>0</v>
      </c>
      <c r="C38" s="134" t="str">
        <f>'Necesidades Trimestrales'!E36</f>
        <v>HILO DE SUTURA CATGUT CROMICO Nro 1 CON AGUJA TIPO TAGUM</v>
      </c>
      <c r="D38" s="134"/>
      <c r="E38" s="134"/>
      <c r="F38" s="134"/>
      <c r="G38" s="134"/>
      <c r="H38" s="51" t="s">
        <v>56</v>
      </c>
      <c r="I38" s="52" t="str">
        <f>'Necesidades Trimestrales'!F36</f>
        <v>UNIDAD</v>
      </c>
      <c r="J38" s="53">
        <f>'Necesidades Trimestrales'!H36</f>
        <v>320</v>
      </c>
      <c r="K38" s="54">
        <f>'Necesidades Trimestrales'!G36</f>
        <v>288</v>
      </c>
      <c r="L38" s="67">
        <f t="shared" si="0"/>
        <v>92160</v>
      </c>
    </row>
    <row r="39" spans="1:12" ht="37.5" customHeight="1" thickBot="1" x14ac:dyDescent="0.25">
      <c r="A39" s="8">
        <v>28</v>
      </c>
      <c r="B39" s="50">
        <f>'Necesidades Trimestrales'!B37</f>
        <v>0</v>
      </c>
      <c r="C39" s="134" t="str">
        <f>'Necesidades Trimestrales'!E37</f>
        <v>HILO DE SUTURA CATGUT CROMICO Nro 2 CON AGUJA TIPO TAGUM</v>
      </c>
      <c r="D39" s="134"/>
      <c r="E39" s="134"/>
      <c r="F39" s="134"/>
      <c r="G39" s="134"/>
      <c r="H39" s="51" t="s">
        <v>56</v>
      </c>
      <c r="I39" s="52" t="str">
        <f>'Necesidades Trimestrales'!F37</f>
        <v>UNIDAD</v>
      </c>
      <c r="J39" s="53">
        <f>'Necesidades Trimestrales'!H37</f>
        <v>320</v>
      </c>
      <c r="K39" s="54">
        <f>'Necesidades Trimestrales'!G37</f>
        <v>288</v>
      </c>
      <c r="L39" s="67">
        <f t="shared" si="0"/>
        <v>92160</v>
      </c>
    </row>
    <row r="40" spans="1:12" ht="39.75" customHeight="1" thickBot="1" x14ac:dyDescent="0.25">
      <c r="A40" s="8">
        <v>29</v>
      </c>
      <c r="B40" s="50">
        <f>'Necesidades Trimestrales'!B38</f>
        <v>0</v>
      </c>
      <c r="C40" s="134" t="str">
        <f>'Necesidades Trimestrales'!E38</f>
        <v>HILO DE SUTURA MONOFILAMENTO 4-0 AGUJA PS-1 3/8 CIRC 24 MM</v>
      </c>
      <c r="D40" s="134"/>
      <c r="E40" s="134"/>
      <c r="F40" s="134"/>
      <c r="G40" s="134"/>
      <c r="H40" s="51" t="s">
        <v>56</v>
      </c>
      <c r="I40" s="52" t="str">
        <f>'Necesidades Trimestrales'!F38</f>
        <v>UNIDAD</v>
      </c>
      <c r="J40" s="53">
        <f>'Necesidades Trimestrales'!H38</f>
        <v>180</v>
      </c>
      <c r="K40" s="54">
        <f>'Necesidades Trimestrales'!G38</f>
        <v>72</v>
      </c>
      <c r="L40" s="67">
        <f t="shared" si="0"/>
        <v>12960</v>
      </c>
    </row>
    <row r="41" spans="1:12" ht="37.5" customHeight="1" thickBot="1" x14ac:dyDescent="0.25">
      <c r="A41" s="8">
        <v>30</v>
      </c>
      <c r="B41" s="50">
        <f>'Necesidades Trimestrales'!B39</f>
        <v>0</v>
      </c>
      <c r="C41" s="134" t="str">
        <f>'Necesidades Trimestrales'!E39</f>
        <v>LUPAS; POTENCIA: 75 Diop, DIAMETRO: 65 mm, MATERIAL LENTE: VIDRIO, ACCESORIO: C/LUZ, ARMAZON: PLASTICO, ESTRUCTURA: PLASTICO</v>
      </c>
      <c r="D41" s="134"/>
      <c r="E41" s="134"/>
      <c r="F41" s="134"/>
      <c r="G41" s="134"/>
      <c r="H41" s="51" t="s">
        <v>56</v>
      </c>
      <c r="I41" s="52" t="str">
        <f>'Necesidades Trimestrales'!F39</f>
        <v>UNIDAD</v>
      </c>
      <c r="J41" s="53">
        <f>'Necesidades Trimestrales'!H39</f>
        <v>900</v>
      </c>
      <c r="K41" s="54">
        <f>'Necesidades Trimestrales'!G39</f>
        <v>3</v>
      </c>
      <c r="L41" s="67">
        <f t="shared" si="0"/>
        <v>2700</v>
      </c>
    </row>
    <row r="42" spans="1:12" ht="20.25" customHeight="1" thickBot="1" x14ac:dyDescent="0.25">
      <c r="A42" s="8">
        <v>31</v>
      </c>
      <c r="B42" s="50">
        <f>'Necesidades Trimestrales'!B40</f>
        <v>0</v>
      </c>
      <c r="C42" s="134" t="str">
        <f>'Necesidades Trimestrales'!E40</f>
        <v>MANOPLAS DE POLIETILENO X 100</v>
      </c>
      <c r="D42" s="134"/>
      <c r="E42" s="134"/>
      <c r="F42" s="134"/>
      <c r="G42" s="134"/>
      <c r="H42" s="51" t="s">
        <v>56</v>
      </c>
      <c r="I42" s="52" t="str">
        <f>'Necesidades Trimestrales'!F40</f>
        <v>UNIDAD</v>
      </c>
      <c r="J42" s="53">
        <f>'Necesidades Trimestrales'!H40</f>
        <v>79.900000000000006</v>
      </c>
      <c r="K42" s="54">
        <f>'Necesidades Trimestrales'!G40</f>
        <v>14</v>
      </c>
      <c r="L42" s="67">
        <f t="shared" si="0"/>
        <v>1118.6000000000001</v>
      </c>
    </row>
    <row r="43" spans="1:12" ht="20.25" customHeight="1" thickBot="1" x14ac:dyDescent="0.25">
      <c r="A43" s="8">
        <v>32</v>
      </c>
      <c r="B43" s="50">
        <f>'Necesidades Trimestrales'!B41</f>
        <v>0</v>
      </c>
      <c r="C43" s="134" t="str">
        <f>'Necesidades Trimestrales'!E41</f>
        <v>PAPELES P/ESTERILIZACION; TIPO: PAPEL CREPPE, PRESENTACION: 100 X 100 Cm</v>
      </c>
      <c r="D43" s="134"/>
      <c r="E43" s="134"/>
      <c r="F43" s="134"/>
      <c r="G43" s="134"/>
      <c r="H43" s="51" t="s">
        <v>56</v>
      </c>
      <c r="I43" s="52" t="str">
        <f>'Necesidades Trimestrales'!F41</f>
        <v>UNIDAD</v>
      </c>
      <c r="J43" s="53">
        <f>'Necesidades Trimestrales'!H41</f>
        <v>9414</v>
      </c>
      <c r="K43" s="54">
        <f>'Necesidades Trimestrales'!G41</f>
        <v>20</v>
      </c>
      <c r="L43" s="67">
        <f t="shared" si="0"/>
        <v>188280</v>
      </c>
    </row>
    <row r="44" spans="1:12" ht="20.25" customHeight="1" thickBot="1" x14ac:dyDescent="0.25">
      <c r="A44" s="8">
        <v>33</v>
      </c>
      <c r="B44" s="50">
        <f>'Necesidades Trimestrales'!B42</f>
        <v>0</v>
      </c>
      <c r="C44" s="134" t="str">
        <f>'Necesidades Trimestrales'!E42</f>
        <v>PLACA MAMOGRAFICA TIPO DI MI 20/25 FUJIFILM CAJA X 150 UNIDADES</v>
      </c>
      <c r="D44" s="134"/>
      <c r="E44" s="134"/>
      <c r="F44" s="134"/>
      <c r="G44" s="134"/>
      <c r="H44" s="51" t="s">
        <v>56</v>
      </c>
      <c r="I44" s="52" t="str">
        <f>'Necesidades Trimestrales'!F42</f>
        <v>UNIDAD</v>
      </c>
      <c r="J44" s="53">
        <f>'Necesidades Trimestrales'!H42</f>
        <v>10291</v>
      </c>
      <c r="K44" s="54">
        <f>'Necesidades Trimestrales'!G42</f>
        <v>12</v>
      </c>
      <c r="L44" s="67">
        <f t="shared" si="0"/>
        <v>123492</v>
      </c>
    </row>
    <row r="45" spans="1:12" ht="20.25" customHeight="1" thickBot="1" x14ac:dyDescent="0.25">
      <c r="A45" s="8">
        <v>34</v>
      </c>
      <c r="B45" s="50">
        <f>'Necesidades Trimestrales'!B43</f>
        <v>0</v>
      </c>
      <c r="C45" s="134" t="str">
        <f>'Necesidades Trimestrales'!E43</f>
        <v>PLACA MAMOGRAFICA TIPO DI MI 26/36 FUJIFILM CAJA X 150 UNIDADES</v>
      </c>
      <c r="D45" s="134"/>
      <c r="E45" s="134"/>
      <c r="F45" s="134"/>
      <c r="G45" s="134"/>
      <c r="H45" s="51" t="s">
        <v>56</v>
      </c>
      <c r="I45" s="52" t="str">
        <f>'Necesidades Trimestrales'!F43</f>
        <v>UNIDAD</v>
      </c>
      <c r="J45" s="53">
        <f>'Necesidades Trimestrales'!H43</f>
        <v>19311</v>
      </c>
      <c r="K45" s="54">
        <f>'Necesidades Trimestrales'!G43</f>
        <v>12</v>
      </c>
      <c r="L45" s="67">
        <f t="shared" si="0"/>
        <v>231732</v>
      </c>
    </row>
    <row r="46" spans="1:12" ht="20.25" customHeight="1" thickBot="1" x14ac:dyDescent="0.25">
      <c r="A46" s="8">
        <v>35</v>
      </c>
      <c r="B46" s="50">
        <f>'Necesidades Trimestrales'!B44</f>
        <v>0</v>
      </c>
      <c r="C46" s="134" t="str">
        <f>'Necesidades Trimestrales'!E44</f>
        <v>SET DE NEFROSTOMIA 14 FRENCH TIPO COOK</v>
      </c>
      <c r="D46" s="134"/>
      <c r="E46" s="134"/>
      <c r="F46" s="134"/>
      <c r="G46" s="134"/>
      <c r="H46" s="51" t="s">
        <v>56</v>
      </c>
      <c r="I46" s="52" t="str">
        <f>'Necesidades Trimestrales'!F44</f>
        <v>UNIDAD</v>
      </c>
      <c r="J46" s="53">
        <f>'Necesidades Trimestrales'!H44</f>
        <v>43000</v>
      </c>
      <c r="K46" s="54">
        <f>'Necesidades Trimestrales'!G44</f>
        <v>1</v>
      </c>
      <c r="L46" s="67">
        <f t="shared" si="0"/>
        <v>43000</v>
      </c>
    </row>
    <row r="47" spans="1:12" ht="20.25" customHeight="1" thickBot="1" x14ac:dyDescent="0.25">
      <c r="A47" s="8">
        <v>36</v>
      </c>
      <c r="B47" s="50">
        <f>'Necesidades Trimestrales'!B45</f>
        <v>0</v>
      </c>
      <c r="C47" s="134" t="str">
        <f>'Necesidades Trimestrales'!E45</f>
        <v>SET DE NEFROSTOMIA 16 FRENCH TIPO COOK</v>
      </c>
      <c r="D47" s="134"/>
      <c r="E47" s="134"/>
      <c r="F47" s="134"/>
      <c r="G47" s="134"/>
      <c r="H47" s="51" t="s">
        <v>56</v>
      </c>
      <c r="I47" s="52" t="str">
        <f>'Necesidades Trimestrales'!F45</f>
        <v>UNIDAD</v>
      </c>
      <c r="J47" s="53">
        <f>'Necesidades Trimestrales'!H45</f>
        <v>43000</v>
      </c>
      <c r="K47" s="54">
        <f>'Necesidades Trimestrales'!G45</f>
        <v>2</v>
      </c>
      <c r="L47" s="67">
        <f t="shared" si="0"/>
        <v>86000</v>
      </c>
    </row>
    <row r="48" spans="1:12" ht="20.25" customHeight="1" thickBot="1" x14ac:dyDescent="0.25">
      <c r="A48" s="8">
        <v>37</v>
      </c>
      <c r="B48" s="50">
        <f>'Necesidades Trimestrales'!B46</f>
        <v>0</v>
      </c>
      <c r="C48" s="134" t="str">
        <f>'Necesidades Trimestrales'!E46</f>
        <v>SISTEMA DE REGULACION DE FLUJO B-2763</v>
      </c>
      <c r="D48" s="134"/>
      <c r="E48" s="134"/>
      <c r="F48" s="134"/>
      <c r="G48" s="134"/>
      <c r="H48" s="51" t="s">
        <v>56</v>
      </c>
      <c r="I48" s="52" t="str">
        <f>'Necesidades Trimestrales'!F46</f>
        <v>UNIDAD</v>
      </c>
      <c r="J48" s="53">
        <f>'Necesidades Trimestrales'!H46</f>
        <v>138</v>
      </c>
      <c r="K48" s="54">
        <f>'Necesidades Trimestrales'!G46</f>
        <v>1800</v>
      </c>
      <c r="L48" s="67">
        <f t="shared" si="0"/>
        <v>248400</v>
      </c>
    </row>
    <row r="49" spans="1:1024" ht="20.25" customHeight="1" thickBot="1" x14ac:dyDescent="0.25">
      <c r="A49" s="8">
        <v>38</v>
      </c>
      <c r="B49" s="50">
        <f>'Necesidades Trimestrales'!B47</f>
        <v>0</v>
      </c>
      <c r="C49" s="134" t="str">
        <f>'Necesidades Trimestrales'!E47</f>
        <v>SONDA FOLEY DOBLE VIA DE LATEX RECUBIERTA CON SILICONA  Nº 16</v>
      </c>
      <c r="D49" s="134"/>
      <c r="E49" s="134"/>
      <c r="F49" s="134"/>
      <c r="G49" s="134"/>
      <c r="H49" s="51" t="s">
        <v>56</v>
      </c>
      <c r="I49" s="52" t="str">
        <f>'Necesidades Trimestrales'!F47</f>
        <v>UNIDAD</v>
      </c>
      <c r="J49" s="53">
        <f>'Necesidades Trimestrales'!H47</f>
        <v>85</v>
      </c>
      <c r="K49" s="54">
        <f>'Necesidades Trimestrales'!G47</f>
        <v>30</v>
      </c>
      <c r="L49" s="67">
        <f t="shared" si="0"/>
        <v>2550</v>
      </c>
    </row>
    <row r="50" spans="1:1024" ht="20.25" customHeight="1" thickBot="1" x14ac:dyDescent="0.25">
      <c r="A50" s="8">
        <v>39</v>
      </c>
      <c r="B50" s="50">
        <f>'Necesidades Trimestrales'!B48</f>
        <v>0</v>
      </c>
      <c r="C50" s="134" t="str">
        <f>'Necesidades Trimestrales'!E48</f>
        <v>SONDA FOLEY DOBLE VIA DE LATEX RECUBIERTA CON SILICONA Nº 18</v>
      </c>
      <c r="D50" s="134"/>
      <c r="E50" s="134"/>
      <c r="F50" s="134"/>
      <c r="G50" s="134"/>
      <c r="H50" s="51" t="s">
        <v>56</v>
      </c>
      <c r="I50" s="52" t="str">
        <f>'Necesidades Trimestrales'!F48</f>
        <v>UNIDAD</v>
      </c>
      <c r="J50" s="53">
        <f>'Necesidades Trimestrales'!H48</f>
        <v>85</v>
      </c>
      <c r="K50" s="54">
        <f>'Necesidades Trimestrales'!G48</f>
        <v>240</v>
      </c>
      <c r="L50" s="67">
        <f t="shared" si="0"/>
        <v>20400</v>
      </c>
    </row>
    <row r="51" spans="1:1024" ht="20.25" customHeight="1" thickBot="1" x14ac:dyDescent="0.25">
      <c r="A51" s="8">
        <v>40</v>
      </c>
      <c r="B51" s="50">
        <f>'Necesidades Trimestrales'!B49</f>
        <v>0</v>
      </c>
      <c r="C51" s="134" t="str">
        <f>'Necesidades Trimestrales'!E49</f>
        <v>SONDA FOLEY TRIPLE VIA HEMATURICA Nº 22</v>
      </c>
      <c r="D51" s="134"/>
      <c r="E51" s="134"/>
      <c r="F51" s="134"/>
      <c r="G51" s="134"/>
      <c r="H51" s="51" t="s">
        <v>56</v>
      </c>
      <c r="I51" s="52" t="str">
        <f>'Necesidades Trimestrales'!F49</f>
        <v>UNIDAD</v>
      </c>
      <c r="J51" s="53">
        <f>'Necesidades Trimestrales'!H49</f>
        <v>1350</v>
      </c>
      <c r="K51" s="54">
        <f>'Necesidades Trimestrales'!G49</f>
        <v>6</v>
      </c>
      <c r="L51" s="67">
        <f t="shared" si="0"/>
        <v>8100</v>
      </c>
    </row>
    <row r="52" spans="1:1024" ht="20.25" customHeight="1" thickBot="1" x14ac:dyDescent="0.25">
      <c r="A52" s="8">
        <v>41</v>
      </c>
      <c r="B52" s="50">
        <f>'Necesidades Trimestrales'!B50</f>
        <v>0</v>
      </c>
      <c r="C52" s="134" t="str">
        <f>'Necesidades Trimestrales'!E50</f>
        <v>SONDA FOLEY TRIPLE VIA HEMATURICA Nº 18</v>
      </c>
      <c r="D52" s="134"/>
      <c r="E52" s="134"/>
      <c r="F52" s="134"/>
      <c r="G52" s="134"/>
      <c r="H52" s="51" t="s">
        <v>56</v>
      </c>
      <c r="I52" s="52" t="str">
        <f>'Necesidades Trimestrales'!F50</f>
        <v>UNIDAD</v>
      </c>
      <c r="J52" s="53">
        <f>'Necesidades Trimestrales'!H50</f>
        <v>1350</v>
      </c>
      <c r="K52" s="54">
        <f>'Necesidades Trimestrales'!G50</f>
        <v>12</v>
      </c>
      <c r="L52" s="67">
        <f t="shared" si="0"/>
        <v>16200</v>
      </c>
    </row>
    <row r="53" spans="1:1024" ht="20.25" customHeight="1" thickBot="1" x14ac:dyDescent="0.25">
      <c r="A53" s="8">
        <v>42</v>
      </c>
      <c r="B53" s="50">
        <f>'Necesidades Trimestrales'!B51</f>
        <v>0</v>
      </c>
      <c r="C53" s="134" t="str">
        <f>'Necesidades Trimestrales'!E51</f>
        <v>SONDA PARA INTUBACION GASTRICA K11</v>
      </c>
      <c r="D53" s="134"/>
      <c r="E53" s="134"/>
      <c r="F53" s="134"/>
      <c r="G53" s="134"/>
      <c r="H53" s="51" t="s">
        <v>56</v>
      </c>
      <c r="I53" s="52" t="str">
        <f>'Necesidades Trimestrales'!F51</f>
        <v>UNIDAD</v>
      </c>
      <c r="J53" s="53">
        <f>'Necesidades Trimestrales'!H51</f>
        <v>58.2</v>
      </c>
      <c r="K53" s="54">
        <f>'Necesidades Trimestrales'!G51</f>
        <v>120</v>
      </c>
      <c r="L53" s="67">
        <f t="shared" si="0"/>
        <v>6984</v>
      </c>
    </row>
    <row r="54" spans="1:1024" ht="20.25" customHeight="1" thickBot="1" x14ac:dyDescent="0.25">
      <c r="A54" s="8">
        <v>43</v>
      </c>
      <c r="B54" s="50">
        <f>'Necesidades Trimestrales'!B52</f>
        <v>0</v>
      </c>
      <c r="C54" s="134" t="str">
        <f>'Necesidades Trimestrales'!E52</f>
        <v>SUT.ABS.CATGUT  SIMP. 1  SIN AGUJA</v>
      </c>
      <c r="D54" s="134"/>
      <c r="E54" s="134"/>
      <c r="F54" s="134"/>
      <c r="G54" s="134"/>
      <c r="H54" s="51" t="s">
        <v>56</v>
      </c>
      <c r="I54" s="52" t="str">
        <f>'Necesidades Trimestrales'!F52</f>
        <v>UNIDAD</v>
      </c>
      <c r="J54" s="53">
        <f>'Necesidades Trimestrales'!H52</f>
        <v>260</v>
      </c>
      <c r="K54" s="54">
        <f>'Necesidades Trimestrales'!G52</f>
        <v>288</v>
      </c>
      <c r="L54" s="67">
        <f t="shared" si="0"/>
        <v>74880</v>
      </c>
    </row>
    <row r="55" spans="1:1024" ht="20.25" customHeight="1" thickBot="1" x14ac:dyDescent="0.25">
      <c r="A55" s="8">
        <v>44</v>
      </c>
      <c r="B55" s="50">
        <f>'Necesidades Trimestrales'!B53</f>
        <v>0</v>
      </c>
      <c r="C55" s="134" t="str">
        <f>'Necesidades Trimestrales'!E53</f>
        <v>SUT.ABS.CATGUT SIMP. 0 SIN AGUJA</v>
      </c>
      <c r="D55" s="134"/>
      <c r="E55" s="134"/>
      <c r="F55" s="134"/>
      <c r="G55" s="134"/>
      <c r="H55" s="51" t="s">
        <v>56</v>
      </c>
      <c r="I55" s="52" t="str">
        <f>'Necesidades Trimestrales'!F53</f>
        <v>UNIDAD</v>
      </c>
      <c r="J55" s="53">
        <f>'Necesidades Trimestrales'!H53</f>
        <v>260</v>
      </c>
      <c r="K55" s="54">
        <f>'Necesidades Trimestrales'!G53</f>
        <v>288</v>
      </c>
      <c r="L55" s="67">
        <f t="shared" si="0"/>
        <v>74880</v>
      </c>
    </row>
    <row r="56" spans="1:1024" ht="20.25" customHeight="1" thickBot="1" x14ac:dyDescent="0.25">
      <c r="A56" s="8">
        <v>45</v>
      </c>
      <c r="B56" s="50">
        <f>'Necesidades Trimestrales'!B54</f>
        <v>0</v>
      </c>
      <c r="C56" s="134" t="str">
        <f>'Necesidades Trimestrales'!E54</f>
        <v>SUT.ABS.CATGUT SIMP. 2  SIN AGUJA</v>
      </c>
      <c r="D56" s="134"/>
      <c r="E56" s="134"/>
      <c r="F56" s="134"/>
      <c r="G56" s="134"/>
      <c r="H56" s="51" t="s">
        <v>56</v>
      </c>
      <c r="I56" s="52" t="str">
        <f>'Necesidades Trimestrales'!F54</f>
        <v>UNIDAD</v>
      </c>
      <c r="J56" s="53">
        <f>'Necesidades Trimestrales'!H54</f>
        <v>260</v>
      </c>
      <c r="K56" s="54">
        <f>'Necesidades Trimestrales'!G54</f>
        <v>288</v>
      </c>
      <c r="L56" s="67">
        <f t="shared" si="0"/>
        <v>74880</v>
      </c>
    </row>
    <row r="57" spans="1:1024" ht="20.25" customHeight="1" thickBot="1" x14ac:dyDescent="0.25">
      <c r="A57" s="8">
        <v>46</v>
      </c>
      <c r="B57" s="50">
        <f>'Necesidades Trimestrales'!B55</f>
        <v>0</v>
      </c>
      <c r="C57" s="134" t="str">
        <f>'Necesidades Trimestrales'!E55</f>
        <v xml:space="preserve">SUTURA QUIRURGICA ACIDO POLIGLICOLICO Nª 8/0 J546G OFTALMOLOGICO TIPO VICRYL </v>
      </c>
      <c r="D57" s="134"/>
      <c r="E57" s="134"/>
      <c r="F57" s="134"/>
      <c r="G57" s="134"/>
      <c r="H57" s="51" t="s">
        <v>56</v>
      </c>
      <c r="I57" s="52" t="str">
        <f>'Necesidades Trimestrales'!F55</f>
        <v>UNIDAD</v>
      </c>
      <c r="J57" s="53">
        <f>'Necesidades Trimestrales'!H55</f>
        <v>580</v>
      </c>
      <c r="K57" s="54">
        <f>'Necesidades Trimestrales'!G55</f>
        <v>144</v>
      </c>
      <c r="L57" s="67">
        <f t="shared" si="0"/>
        <v>83520</v>
      </c>
    </row>
    <row r="58" spans="1:1024" ht="20.25" customHeight="1" thickBot="1" x14ac:dyDescent="0.25">
      <c r="A58" s="8">
        <v>47</v>
      </c>
      <c r="B58" s="50">
        <f>'Necesidades Trimestrales'!B56</f>
        <v>0</v>
      </c>
      <c r="C58" s="134" t="str">
        <f>'Necesidades Trimestrales'!E56</f>
        <v>Tela verde brin de algodón rollo 50 mtrs largo (doble ancho) Indantrend</v>
      </c>
      <c r="D58" s="134"/>
      <c r="E58" s="134"/>
      <c r="F58" s="134"/>
      <c r="G58" s="134"/>
      <c r="H58" s="51" t="s">
        <v>143</v>
      </c>
      <c r="I58" s="52" t="str">
        <f>'Necesidades Trimestrales'!F56</f>
        <v>UNIDAD</v>
      </c>
      <c r="J58" s="53">
        <f>'Necesidades Trimestrales'!H56</f>
        <v>22500</v>
      </c>
      <c r="K58" s="54">
        <f>'Necesidades Trimestrales'!G56</f>
        <v>2</v>
      </c>
      <c r="L58" s="67">
        <f t="shared" si="0"/>
        <v>45000</v>
      </c>
    </row>
    <row r="59" spans="1:1024" ht="20.25" customHeight="1" thickBot="1" x14ac:dyDescent="0.25">
      <c r="A59" s="8">
        <v>48</v>
      </c>
      <c r="B59" s="50">
        <f>'Necesidades Trimestrales'!B57</f>
        <v>0</v>
      </c>
      <c r="C59" s="134" t="str">
        <f>'Necesidades Trimestrales'!E57</f>
        <v>TIRAS REACTIVAS PARA DETERMINACION GLUCOSA X 50 UNIDADES</v>
      </c>
      <c r="D59" s="134"/>
      <c r="E59" s="134"/>
      <c r="F59" s="134"/>
      <c r="G59" s="134"/>
      <c r="H59" s="51" t="s">
        <v>143</v>
      </c>
      <c r="I59" s="52" t="str">
        <f>'Necesidades Trimestrales'!F57</f>
        <v>UNIDAD</v>
      </c>
      <c r="J59" s="53">
        <f>'Necesidades Trimestrales'!H57</f>
        <v>1400</v>
      </c>
      <c r="K59" s="54">
        <f>'Necesidades Trimestrales'!G57</f>
        <v>400</v>
      </c>
      <c r="L59" s="67">
        <f t="shared" si="0"/>
        <v>560000</v>
      </c>
    </row>
    <row r="60" spans="1:1024" ht="20.25" customHeight="1" thickBot="1" x14ac:dyDescent="0.25">
      <c r="A60" s="8">
        <v>49</v>
      </c>
      <c r="B60" s="50">
        <f>'Necesidades Trimestrales'!B58</f>
        <v>0</v>
      </c>
      <c r="C60" s="134" t="str">
        <f>'Necesidades Trimestrales'!E58</f>
        <v>TUBO DE LATEX  3 X 5 X METRO</v>
      </c>
      <c r="D60" s="134"/>
      <c r="E60" s="134"/>
      <c r="F60" s="134"/>
      <c r="G60" s="134"/>
      <c r="H60" s="51" t="s">
        <v>56</v>
      </c>
      <c r="I60" s="52" t="str">
        <f>'Necesidades Trimestrales'!F58</f>
        <v>UNIDAD</v>
      </c>
      <c r="J60" s="53">
        <f>'Necesidades Trimestrales'!H58</f>
        <v>84</v>
      </c>
      <c r="K60" s="54">
        <f>'Necesidades Trimestrales'!G58</f>
        <v>15</v>
      </c>
      <c r="L60" s="67">
        <f t="shared" si="0"/>
        <v>1260</v>
      </c>
    </row>
    <row r="61" spans="1:1024" ht="20.25" customHeight="1" thickBot="1" x14ac:dyDescent="0.25">
      <c r="A61" s="8">
        <v>50</v>
      </c>
      <c r="B61" s="50">
        <f>'Necesidades Trimestrales'!B59</f>
        <v>0</v>
      </c>
      <c r="C61" s="134" t="str">
        <f>'Necesidades Trimestrales'!E59</f>
        <v>TUBO DE LATEX 5 X 8 MM X METRO</v>
      </c>
      <c r="D61" s="134"/>
      <c r="E61" s="134"/>
      <c r="F61" s="134"/>
      <c r="G61" s="134"/>
      <c r="H61" s="51" t="s">
        <v>56</v>
      </c>
      <c r="I61" s="52" t="str">
        <f>'Necesidades Trimestrales'!F59</f>
        <v>UNIDAD</v>
      </c>
      <c r="J61" s="53">
        <f>'Necesidades Trimestrales'!H59</f>
        <v>99</v>
      </c>
      <c r="K61" s="54">
        <f>'Necesidades Trimestrales'!G59</f>
        <v>50</v>
      </c>
      <c r="L61" s="67">
        <f t="shared" si="0"/>
        <v>4950</v>
      </c>
    </row>
    <row r="62" spans="1:1024" ht="32.25" customHeight="1" thickBot="1" x14ac:dyDescent="0.25">
      <c r="A62" s="139" t="s">
        <v>144</v>
      </c>
      <c r="B62" s="139"/>
      <c r="C62" s="139"/>
      <c r="D62" s="139"/>
      <c r="E62" s="139"/>
      <c r="F62" s="139"/>
      <c r="G62" s="139"/>
      <c r="H62" s="139"/>
      <c r="I62" s="139"/>
      <c r="J62" s="140">
        <f>SUMPRODUCT(J12:J61,K12:K61)</f>
        <v>6299096.5999999996</v>
      </c>
      <c r="K62" s="140"/>
      <c r="L62" s="68">
        <f>SUM(L12:L61)</f>
        <v>6299096.5999999996</v>
      </c>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c r="FS62"/>
      <c r="FT62"/>
      <c r="FU62"/>
      <c r="FV62"/>
      <c r="FW62"/>
      <c r="FX62"/>
      <c r="FY62"/>
      <c r="FZ62"/>
      <c r="GA62"/>
      <c r="GB62"/>
      <c r="GC62"/>
      <c r="GD62"/>
      <c r="GE62"/>
      <c r="GF62"/>
      <c r="GG62"/>
      <c r="GH62"/>
      <c r="GI62"/>
      <c r="GJ62"/>
      <c r="GK62"/>
      <c r="GL62"/>
      <c r="GM62"/>
      <c r="GN62"/>
      <c r="GO62"/>
      <c r="GP62"/>
      <c r="GQ62"/>
      <c r="GR62"/>
      <c r="GS62"/>
      <c r="GT62"/>
      <c r="GU62"/>
      <c r="GV62"/>
      <c r="GW62"/>
      <c r="GX62"/>
      <c r="GY62"/>
      <c r="GZ62"/>
      <c r="HA62"/>
      <c r="HB62"/>
      <c r="HC62"/>
      <c r="HD62"/>
      <c r="HE62"/>
      <c r="HF62"/>
      <c r="HG62"/>
      <c r="HH62"/>
      <c r="HI62"/>
      <c r="HJ62"/>
      <c r="HK62"/>
      <c r="HL62"/>
      <c r="HM62"/>
      <c r="HN62"/>
      <c r="HO62"/>
      <c r="HP62"/>
      <c r="HQ62"/>
      <c r="HR62"/>
      <c r="HS62"/>
      <c r="HT62"/>
      <c r="HU62"/>
      <c r="HV62"/>
      <c r="HW62"/>
      <c r="HX62"/>
      <c r="HY62"/>
      <c r="HZ62"/>
      <c r="IA62"/>
      <c r="IB62"/>
      <c r="IC62"/>
      <c r="ID62"/>
      <c r="IE62"/>
      <c r="IF62"/>
      <c r="IG62"/>
      <c r="IH62"/>
      <c r="II62"/>
      <c r="IJ62"/>
      <c r="IK62"/>
      <c r="IL62"/>
      <c r="IM62"/>
      <c r="IN62"/>
      <c r="IO62"/>
      <c r="IP62"/>
      <c r="IQ62"/>
      <c r="IR62"/>
      <c r="IS62"/>
      <c r="IT62"/>
      <c r="IU62"/>
      <c r="IV62"/>
      <c r="IW62"/>
      <c r="IX62"/>
      <c r="IY62"/>
      <c r="IZ62"/>
      <c r="JA62"/>
      <c r="JB62"/>
      <c r="JC62"/>
      <c r="JD62"/>
      <c r="JE62"/>
      <c r="JF62"/>
      <c r="JG62"/>
      <c r="JH62"/>
      <c r="JI62"/>
      <c r="JJ62"/>
      <c r="JK62"/>
      <c r="JL62"/>
      <c r="JM62"/>
      <c r="JN62"/>
      <c r="JO62"/>
      <c r="JP62"/>
      <c r="JQ62"/>
      <c r="JR62"/>
      <c r="JS62"/>
      <c r="JT62"/>
      <c r="JU62"/>
      <c r="JV62"/>
      <c r="JW62"/>
      <c r="JX62"/>
      <c r="JY62"/>
      <c r="JZ62"/>
      <c r="KA62"/>
      <c r="KB62"/>
      <c r="KC62"/>
      <c r="KD62"/>
      <c r="KE62"/>
      <c r="KF62"/>
      <c r="KG62"/>
      <c r="KH62"/>
      <c r="KI62"/>
      <c r="KJ62"/>
      <c r="KK62"/>
      <c r="KL62"/>
      <c r="KM62"/>
      <c r="KN62"/>
      <c r="KO62"/>
      <c r="KP62"/>
      <c r="KQ62"/>
      <c r="KR62"/>
      <c r="KS62"/>
      <c r="KT62"/>
      <c r="KU62"/>
      <c r="KV62"/>
      <c r="KW62"/>
      <c r="KX62"/>
      <c r="KY62"/>
      <c r="KZ62"/>
      <c r="LA62"/>
      <c r="LB62"/>
      <c r="LC62"/>
      <c r="LD62"/>
      <c r="LE62"/>
      <c r="LF62"/>
      <c r="LG62"/>
      <c r="LH62"/>
      <c r="LI62"/>
      <c r="LJ62"/>
      <c r="LK62"/>
      <c r="LL62"/>
      <c r="LM62"/>
      <c r="LN62"/>
      <c r="LO62"/>
      <c r="LP62"/>
      <c r="LQ62"/>
      <c r="LR62"/>
      <c r="LS62"/>
      <c r="LT62"/>
      <c r="LU62"/>
      <c r="LV62"/>
      <c r="LW62"/>
      <c r="LX62"/>
      <c r="LY62"/>
      <c r="LZ62"/>
      <c r="MA62"/>
      <c r="MB62"/>
      <c r="MC62"/>
      <c r="MD62"/>
      <c r="ME62"/>
      <c r="MF62"/>
      <c r="MG62"/>
      <c r="MH62"/>
      <c r="MI62"/>
      <c r="MJ62"/>
      <c r="MK62"/>
      <c r="ML62"/>
      <c r="MM62"/>
      <c r="MN62"/>
      <c r="MO62"/>
      <c r="MP62"/>
      <c r="MQ62"/>
      <c r="MR62"/>
      <c r="MS62"/>
      <c r="MT62"/>
      <c r="MU62"/>
      <c r="MV62"/>
      <c r="MW62"/>
      <c r="MX62"/>
      <c r="MY62"/>
      <c r="MZ62"/>
      <c r="NA62"/>
      <c r="NB62"/>
      <c r="NC62"/>
      <c r="ND62"/>
      <c r="NE62"/>
      <c r="NF62"/>
      <c r="NG62"/>
      <c r="NH62"/>
      <c r="NI62"/>
      <c r="NJ62"/>
      <c r="NK62"/>
      <c r="NL62"/>
      <c r="NM62"/>
      <c r="NN62"/>
      <c r="NO62"/>
      <c r="NP62"/>
      <c r="NQ62"/>
      <c r="NR62"/>
      <c r="NS62"/>
      <c r="NT62"/>
      <c r="NU62"/>
      <c r="NV62"/>
      <c r="NW62"/>
      <c r="NX62"/>
      <c r="NY62"/>
      <c r="NZ62"/>
      <c r="OA62"/>
      <c r="OB62"/>
      <c r="OC62"/>
      <c r="OD62"/>
      <c r="OE62"/>
      <c r="OF62"/>
      <c r="OG62"/>
      <c r="OH62"/>
      <c r="OI62"/>
      <c r="OJ62"/>
      <c r="OK62"/>
      <c r="OL62"/>
      <c r="OM62"/>
      <c r="ON62"/>
      <c r="OO62"/>
      <c r="OP62"/>
      <c r="OQ62"/>
      <c r="OR62"/>
      <c r="OS62"/>
      <c r="OT62"/>
      <c r="OU62"/>
      <c r="OV62"/>
      <c r="OW62"/>
      <c r="OX62"/>
      <c r="OY62"/>
      <c r="OZ62"/>
      <c r="PA62"/>
      <c r="PB62"/>
      <c r="PC62"/>
      <c r="PD62"/>
      <c r="PE62"/>
      <c r="PF62"/>
      <c r="PG62"/>
      <c r="PH62"/>
      <c r="PI62"/>
      <c r="PJ62"/>
      <c r="PK62"/>
      <c r="PL62"/>
      <c r="PM62"/>
      <c r="PN62"/>
      <c r="PO62"/>
      <c r="PP62"/>
      <c r="PQ62"/>
      <c r="PR62"/>
      <c r="PS62"/>
      <c r="PT62"/>
      <c r="PU62"/>
      <c r="PV62"/>
      <c r="PW62"/>
      <c r="PX62"/>
      <c r="PY62"/>
      <c r="PZ62"/>
      <c r="QA62"/>
      <c r="QB62"/>
      <c r="QC62"/>
      <c r="QD62"/>
      <c r="QE62"/>
      <c r="QF62"/>
      <c r="QG62"/>
      <c r="QH62"/>
      <c r="QI62"/>
      <c r="QJ62"/>
      <c r="QK62"/>
      <c r="QL62"/>
      <c r="QM62"/>
      <c r="QN62"/>
      <c r="QO62"/>
      <c r="QP62"/>
      <c r="QQ62"/>
      <c r="QR62"/>
      <c r="QS62"/>
      <c r="QT62"/>
      <c r="QU62"/>
      <c r="QV62"/>
      <c r="QW62"/>
      <c r="QX62"/>
      <c r="QY62"/>
      <c r="QZ62"/>
      <c r="RA62"/>
      <c r="RB62"/>
      <c r="RC62"/>
      <c r="RD62"/>
      <c r="RE62"/>
      <c r="RF62"/>
      <c r="RG62"/>
      <c r="RH62"/>
      <c r="RI62"/>
      <c r="RJ62"/>
      <c r="RK62"/>
      <c r="RL62"/>
      <c r="RM62"/>
      <c r="RN62"/>
      <c r="RO62"/>
      <c r="RP62"/>
      <c r="RQ62"/>
      <c r="RR62"/>
      <c r="RS62"/>
      <c r="RT62"/>
      <c r="RU62"/>
      <c r="RV62"/>
      <c r="RW62"/>
      <c r="RX62"/>
      <c r="RY62"/>
      <c r="RZ62"/>
      <c r="SA62"/>
      <c r="SB62"/>
      <c r="SC62"/>
      <c r="SD62"/>
      <c r="SE62"/>
      <c r="SF62"/>
      <c r="SG62"/>
      <c r="SH62"/>
      <c r="SI62"/>
      <c r="SJ62"/>
      <c r="SK62"/>
      <c r="SL62"/>
      <c r="SM62"/>
      <c r="SN62"/>
      <c r="SO62"/>
      <c r="SP62"/>
      <c r="SQ62"/>
      <c r="SR62"/>
      <c r="SS62"/>
      <c r="ST62"/>
      <c r="SU62"/>
      <c r="SV62"/>
      <c r="SW62"/>
      <c r="SX62"/>
      <c r="SY62"/>
      <c r="SZ62"/>
      <c r="TA62"/>
      <c r="TB62"/>
      <c r="TC62"/>
      <c r="TD62"/>
      <c r="TE62"/>
      <c r="TF62"/>
      <c r="TG62"/>
      <c r="TH62"/>
      <c r="TI62"/>
      <c r="TJ62"/>
      <c r="TK62"/>
      <c r="TL62"/>
      <c r="TM62"/>
      <c r="TN62"/>
      <c r="TO62"/>
      <c r="TP62"/>
      <c r="TQ62"/>
      <c r="TR62"/>
      <c r="TS62"/>
      <c r="TT62"/>
      <c r="TU62"/>
      <c r="TV62"/>
      <c r="TW62"/>
      <c r="TX62"/>
      <c r="TY62"/>
      <c r="TZ62"/>
      <c r="UA62"/>
      <c r="UB62"/>
      <c r="UC62"/>
      <c r="UD62"/>
      <c r="UE62"/>
      <c r="UF62"/>
      <c r="UG62"/>
      <c r="UH62"/>
      <c r="UI62"/>
      <c r="UJ62"/>
      <c r="UK62"/>
      <c r="UL62"/>
      <c r="UM62"/>
      <c r="UN62"/>
      <c r="UO62"/>
      <c r="UP62"/>
      <c r="UQ62"/>
      <c r="UR62"/>
      <c r="US62"/>
      <c r="UT62"/>
      <c r="UU62"/>
      <c r="UV62"/>
      <c r="UW62"/>
      <c r="UX62"/>
      <c r="UY62"/>
      <c r="UZ62"/>
      <c r="VA62"/>
      <c r="VB62"/>
      <c r="VC62"/>
      <c r="VD62"/>
      <c r="VE62"/>
      <c r="VF62"/>
      <c r="VG62"/>
      <c r="VH62"/>
      <c r="VI62"/>
      <c r="VJ62"/>
      <c r="VK62"/>
      <c r="VL62"/>
      <c r="VM62"/>
      <c r="VN62"/>
      <c r="VO62"/>
      <c r="VP62"/>
      <c r="VQ62"/>
      <c r="VR62"/>
      <c r="VS62"/>
      <c r="VT62"/>
      <c r="VU62"/>
      <c r="VV62"/>
      <c r="VW62"/>
      <c r="VX62"/>
      <c r="VY62"/>
      <c r="VZ62"/>
      <c r="WA62"/>
      <c r="WB62"/>
      <c r="WC62"/>
      <c r="WD62"/>
      <c r="WE62"/>
      <c r="WF62"/>
      <c r="WG62"/>
      <c r="WH62"/>
      <c r="WI62"/>
      <c r="WJ62"/>
      <c r="WK62"/>
      <c r="WL62"/>
      <c r="WM62"/>
      <c r="WN62"/>
      <c r="WO62"/>
      <c r="WP62"/>
      <c r="WQ62"/>
      <c r="WR62"/>
      <c r="WS62"/>
      <c r="WT62"/>
      <c r="WU62"/>
      <c r="WV62"/>
      <c r="WW62"/>
      <c r="WX62"/>
      <c r="WY62"/>
      <c r="WZ62"/>
      <c r="XA62"/>
      <c r="XB62"/>
      <c r="XC62"/>
      <c r="XD62"/>
      <c r="XE62"/>
      <c r="XF62"/>
      <c r="XG62"/>
      <c r="XH62"/>
      <c r="XI62"/>
      <c r="XJ62"/>
      <c r="XK62"/>
      <c r="XL62"/>
      <c r="XM62"/>
      <c r="XN62"/>
      <c r="XO62"/>
      <c r="XP62"/>
      <c r="XQ62"/>
      <c r="XR62"/>
      <c r="XS62"/>
      <c r="XT62"/>
      <c r="XU62"/>
      <c r="XV62"/>
      <c r="XW62"/>
      <c r="XX62"/>
      <c r="XY62"/>
      <c r="XZ62"/>
      <c r="YA62"/>
      <c r="YB62"/>
      <c r="YC62"/>
      <c r="YD62"/>
      <c r="YE62"/>
      <c r="YF62"/>
      <c r="YG62"/>
      <c r="YH62"/>
      <c r="YI62"/>
      <c r="YJ62"/>
      <c r="YK62"/>
      <c r="YL62"/>
      <c r="YM62"/>
      <c r="YN62"/>
      <c r="YO62"/>
      <c r="YP62"/>
      <c r="YQ62"/>
      <c r="YR62"/>
      <c r="YS62"/>
      <c r="YT62"/>
      <c r="YU62"/>
      <c r="YV62"/>
      <c r="YW62"/>
      <c r="YX62"/>
      <c r="YY62"/>
      <c r="YZ62"/>
      <c r="ZA62"/>
      <c r="ZB62"/>
      <c r="ZC62"/>
      <c r="ZD62"/>
      <c r="ZE62"/>
      <c r="ZF62"/>
      <c r="ZG62"/>
      <c r="ZH62"/>
      <c r="ZI62"/>
      <c r="ZJ62"/>
      <c r="ZK62"/>
      <c r="ZL62"/>
      <c r="ZM62"/>
      <c r="ZN62"/>
      <c r="ZO62"/>
      <c r="ZP62"/>
      <c r="ZQ62"/>
      <c r="ZR62"/>
      <c r="ZS62"/>
      <c r="ZT62"/>
      <c r="ZU62"/>
      <c r="ZV62"/>
      <c r="ZW62"/>
      <c r="ZX62"/>
      <c r="ZY62"/>
      <c r="ZZ62"/>
      <c r="AAA62"/>
      <c r="AAB62"/>
      <c r="AAC62"/>
      <c r="AAD62"/>
      <c r="AAE62"/>
      <c r="AAF62"/>
      <c r="AAG62"/>
      <c r="AAH62"/>
      <c r="AAI62"/>
      <c r="AAJ62"/>
      <c r="AAK62"/>
      <c r="AAL62"/>
      <c r="AAM62"/>
      <c r="AAN62"/>
      <c r="AAO62"/>
      <c r="AAP62"/>
      <c r="AAQ62"/>
      <c r="AAR62"/>
      <c r="AAS62"/>
      <c r="AAT62"/>
      <c r="AAU62"/>
      <c r="AAV62"/>
      <c r="AAW62"/>
      <c r="AAX62"/>
      <c r="AAY62"/>
      <c r="AAZ62"/>
      <c r="ABA62"/>
      <c r="ABB62"/>
      <c r="ABC62"/>
      <c r="ABD62"/>
      <c r="ABE62"/>
      <c r="ABF62"/>
      <c r="ABG62"/>
      <c r="ABH62"/>
      <c r="ABI62"/>
      <c r="ABJ62"/>
      <c r="ABK62"/>
      <c r="ABL62"/>
      <c r="ABM62"/>
      <c r="ABN62"/>
      <c r="ABO62"/>
      <c r="ABP62"/>
      <c r="ABQ62"/>
      <c r="ABR62"/>
      <c r="ABS62"/>
      <c r="ABT62"/>
      <c r="ABU62"/>
      <c r="ABV62"/>
      <c r="ABW62"/>
      <c r="ABX62"/>
      <c r="ABY62"/>
      <c r="ABZ62"/>
      <c r="ACA62"/>
      <c r="ACB62"/>
      <c r="ACC62"/>
      <c r="ACD62"/>
      <c r="ACE62"/>
      <c r="ACF62"/>
      <c r="ACG62"/>
      <c r="ACH62"/>
      <c r="ACI62"/>
      <c r="ACJ62"/>
      <c r="ACK62"/>
      <c r="ACL62"/>
      <c r="ACM62"/>
      <c r="ACN62"/>
      <c r="ACO62"/>
      <c r="ACP62"/>
      <c r="ACQ62"/>
      <c r="ACR62"/>
      <c r="ACS62"/>
      <c r="ACT62"/>
      <c r="ACU62"/>
      <c r="ACV62"/>
      <c r="ACW62"/>
      <c r="ACX62"/>
      <c r="ACY62"/>
      <c r="ACZ62"/>
      <c r="ADA62"/>
      <c r="ADB62"/>
      <c r="ADC62"/>
      <c r="ADD62"/>
      <c r="ADE62"/>
      <c r="ADF62"/>
      <c r="ADG62"/>
      <c r="ADH62"/>
      <c r="ADI62"/>
      <c r="ADJ62"/>
      <c r="ADK62"/>
      <c r="ADL62"/>
      <c r="ADM62"/>
      <c r="ADN62"/>
      <c r="ADO62"/>
      <c r="ADP62"/>
      <c r="ADQ62"/>
      <c r="ADR62"/>
      <c r="ADS62"/>
      <c r="ADT62"/>
      <c r="ADU62"/>
      <c r="ADV62"/>
      <c r="ADW62"/>
      <c r="ADX62"/>
      <c r="ADY62"/>
      <c r="ADZ62"/>
      <c r="AEA62"/>
      <c r="AEB62"/>
      <c r="AEC62"/>
      <c r="AED62"/>
      <c r="AEE62"/>
      <c r="AEF62"/>
      <c r="AEG62"/>
      <c r="AEH62"/>
      <c r="AEI62"/>
      <c r="AEJ62"/>
      <c r="AEK62"/>
      <c r="AEL62"/>
      <c r="AEM62"/>
      <c r="AEN62"/>
      <c r="AEO62"/>
      <c r="AEP62"/>
      <c r="AEQ62"/>
      <c r="AER62"/>
      <c r="AES62"/>
      <c r="AET62"/>
      <c r="AEU62"/>
      <c r="AEV62"/>
      <c r="AEW62"/>
      <c r="AEX62"/>
      <c r="AEY62"/>
      <c r="AEZ62"/>
      <c r="AFA62"/>
      <c r="AFB62"/>
      <c r="AFC62"/>
      <c r="AFD62"/>
      <c r="AFE62"/>
      <c r="AFF62"/>
      <c r="AFG62"/>
      <c r="AFH62"/>
      <c r="AFI62"/>
      <c r="AFJ62"/>
      <c r="AFK62"/>
      <c r="AFL62"/>
      <c r="AFM62"/>
      <c r="AFN62"/>
      <c r="AFO62"/>
      <c r="AFP62"/>
      <c r="AFQ62"/>
      <c r="AFR62"/>
      <c r="AFS62"/>
      <c r="AFT62"/>
      <c r="AFU62"/>
      <c r="AFV62"/>
      <c r="AFW62"/>
      <c r="AFX62"/>
      <c r="AFY62"/>
      <c r="AFZ62"/>
      <c r="AGA62"/>
      <c r="AGB62"/>
      <c r="AGC62"/>
      <c r="AGD62"/>
      <c r="AGE62"/>
      <c r="AGF62"/>
      <c r="AGG62"/>
      <c r="AGH62"/>
      <c r="AGI62"/>
      <c r="AGJ62"/>
      <c r="AGK62"/>
      <c r="AGL62"/>
      <c r="AGM62"/>
      <c r="AGN62"/>
      <c r="AGO62"/>
      <c r="AGP62"/>
      <c r="AGQ62"/>
      <c r="AGR62"/>
      <c r="AGS62"/>
      <c r="AGT62"/>
      <c r="AGU62"/>
      <c r="AGV62"/>
      <c r="AGW62"/>
      <c r="AGX62"/>
      <c r="AGY62"/>
      <c r="AGZ62"/>
      <c r="AHA62"/>
      <c r="AHB62"/>
      <c r="AHC62"/>
      <c r="AHD62"/>
      <c r="AHE62"/>
      <c r="AHF62"/>
      <c r="AHG62"/>
      <c r="AHH62"/>
      <c r="AHI62"/>
      <c r="AHJ62"/>
      <c r="AHK62"/>
      <c r="AHL62"/>
      <c r="AHM62"/>
      <c r="AHN62"/>
      <c r="AHO62"/>
      <c r="AHP62"/>
      <c r="AHQ62"/>
      <c r="AHR62"/>
      <c r="AHS62"/>
      <c r="AHT62"/>
      <c r="AHU62"/>
      <c r="AHV62"/>
      <c r="AHW62"/>
      <c r="AHX62"/>
      <c r="AHY62"/>
      <c r="AHZ62"/>
      <c r="AIA62"/>
      <c r="AIB62"/>
      <c r="AIC62"/>
      <c r="AID62"/>
      <c r="AIE62"/>
      <c r="AIF62"/>
      <c r="AIG62"/>
      <c r="AIH62"/>
      <c r="AII62"/>
      <c r="AIJ62"/>
      <c r="AIK62"/>
      <c r="AIL62"/>
      <c r="AIM62"/>
      <c r="AIN62"/>
      <c r="AIO62"/>
      <c r="AIP62"/>
      <c r="AIQ62"/>
      <c r="AIR62"/>
      <c r="AIS62"/>
      <c r="AIT62"/>
      <c r="AIU62"/>
      <c r="AIV62"/>
      <c r="AIW62"/>
      <c r="AIX62"/>
      <c r="AIY62"/>
      <c r="AIZ62"/>
      <c r="AJA62"/>
      <c r="AJB62"/>
      <c r="AJC62"/>
      <c r="AJD62"/>
      <c r="AJE62"/>
      <c r="AJF62"/>
      <c r="AJG62"/>
      <c r="AJH62"/>
      <c r="AJI62"/>
      <c r="AJJ62"/>
      <c r="AJK62"/>
      <c r="AJL62"/>
      <c r="AJM62"/>
      <c r="AJN62"/>
      <c r="AJO62"/>
      <c r="AJP62"/>
      <c r="AJQ62"/>
      <c r="AJR62"/>
      <c r="AJS62"/>
      <c r="AJT62"/>
      <c r="AJU62"/>
      <c r="AJV62"/>
      <c r="AJW62"/>
      <c r="AJX62"/>
      <c r="AJY62"/>
      <c r="AJZ62"/>
      <c r="AKA62"/>
      <c r="AKB62"/>
      <c r="AKC62"/>
      <c r="AKD62"/>
      <c r="AKE62"/>
      <c r="AKF62"/>
      <c r="AKG62"/>
      <c r="AKH62"/>
      <c r="AKI62"/>
      <c r="AKJ62"/>
      <c r="AKK62"/>
      <c r="AKL62"/>
      <c r="AKM62"/>
      <c r="AKN62"/>
      <c r="AKO62"/>
      <c r="AKP62"/>
      <c r="AKQ62"/>
      <c r="AKR62"/>
      <c r="AKS62"/>
      <c r="AKT62"/>
      <c r="AKU62"/>
      <c r="AKV62"/>
      <c r="AKW62"/>
      <c r="AKX62"/>
      <c r="AKY62"/>
      <c r="AKZ62"/>
      <c r="ALA62"/>
      <c r="ALB62"/>
      <c r="ALC62"/>
      <c r="ALD62"/>
      <c r="ALE62"/>
      <c r="ALF62"/>
      <c r="ALG62"/>
      <c r="ALH62"/>
      <c r="ALI62"/>
      <c r="ALJ62"/>
      <c r="ALK62"/>
      <c r="ALL62"/>
      <c r="ALM62"/>
      <c r="ALN62"/>
      <c r="ALO62"/>
      <c r="ALP62"/>
      <c r="ALQ62"/>
      <c r="ALR62"/>
      <c r="ALS62"/>
      <c r="ALT62"/>
      <c r="ALU62"/>
      <c r="ALV62"/>
      <c r="ALW62"/>
      <c r="ALX62"/>
      <c r="ALY62"/>
      <c r="ALZ62"/>
      <c r="AMA62"/>
      <c r="AMB62"/>
      <c r="AMC62"/>
      <c r="AMD62"/>
      <c r="AME62"/>
      <c r="AMF62"/>
      <c r="AMG62"/>
      <c r="AMH62"/>
      <c r="AMI62"/>
      <c r="AMJ62"/>
    </row>
  </sheetData>
  <mergeCells count="72">
    <mergeCell ref="C61:G61"/>
    <mergeCell ref="C57:G57"/>
    <mergeCell ref="C58:G58"/>
    <mergeCell ref="C59:G59"/>
    <mergeCell ref="C60:G60"/>
    <mergeCell ref="C47:G47"/>
    <mergeCell ref="C48:G48"/>
    <mergeCell ref="C49:G49"/>
    <mergeCell ref="C56:G56"/>
    <mergeCell ref="C43:G43"/>
    <mergeCell ref="C44:G44"/>
    <mergeCell ref="C45:G45"/>
    <mergeCell ref="C46:G46"/>
    <mergeCell ref="C53:G53"/>
    <mergeCell ref="C54:G54"/>
    <mergeCell ref="C55:G55"/>
    <mergeCell ref="C50:G50"/>
    <mergeCell ref="C51:G51"/>
    <mergeCell ref="C52:G52"/>
    <mergeCell ref="C42:G42"/>
    <mergeCell ref="C30:G30"/>
    <mergeCell ref="C31:G31"/>
    <mergeCell ref="C32:G32"/>
    <mergeCell ref="C33:G33"/>
    <mergeCell ref="C34:G34"/>
    <mergeCell ref="C35:G35"/>
    <mergeCell ref="C36:G36"/>
    <mergeCell ref="C37:G37"/>
    <mergeCell ref="C41:G41"/>
    <mergeCell ref="C40:G40"/>
    <mergeCell ref="C38:G38"/>
    <mergeCell ref="C39:G39"/>
    <mergeCell ref="C21:G21"/>
    <mergeCell ref="C22:G22"/>
    <mergeCell ref="C23:G23"/>
    <mergeCell ref="C24:G24"/>
    <mergeCell ref="C25:G25"/>
    <mergeCell ref="C16:G16"/>
    <mergeCell ref="C17:G17"/>
    <mergeCell ref="C18:G18"/>
    <mergeCell ref="C19:G19"/>
    <mergeCell ref="C20:G20"/>
    <mergeCell ref="A62:I62"/>
    <mergeCell ref="J62:K62"/>
    <mergeCell ref="A8:C8"/>
    <mergeCell ref="D8:K8"/>
    <mergeCell ref="A10:A11"/>
    <mergeCell ref="B10:B11"/>
    <mergeCell ref="C10:G11"/>
    <mergeCell ref="H10:H11"/>
    <mergeCell ref="I10:I11"/>
    <mergeCell ref="J10:J11"/>
    <mergeCell ref="K10:K11"/>
    <mergeCell ref="C26:G26"/>
    <mergeCell ref="C27:G27"/>
    <mergeCell ref="C28:G28"/>
    <mergeCell ref="C29:G29"/>
    <mergeCell ref="C12:G12"/>
    <mergeCell ref="C13:G13"/>
    <mergeCell ref="C14:G14"/>
    <mergeCell ref="C15:G15"/>
    <mergeCell ref="A1:I1"/>
    <mergeCell ref="A6:C6"/>
    <mergeCell ref="D6:K6"/>
    <mergeCell ref="A7:C7"/>
    <mergeCell ref="D7:K7"/>
    <mergeCell ref="A3:C3"/>
    <mergeCell ref="D3:K3"/>
    <mergeCell ref="A4:C4"/>
    <mergeCell ref="D4:K4"/>
    <mergeCell ref="A5:C5"/>
    <mergeCell ref="D5:K5"/>
  </mergeCells>
  <printOptions horizontalCentered="1"/>
  <pageMargins left="0.196527777777778" right="0.196527777777778" top="0.98402777777777795" bottom="0.98402777777777795" header="0.51180555555555496" footer="0.51180555555555496"/>
  <pageSetup paperSize="9" scale="90" firstPageNumber="0" orientation="landscape"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28"/>
  <sheetViews>
    <sheetView topLeftCell="A14" zoomScale="130" zoomScaleNormal="130" workbookViewId="0">
      <selection activeCell="B2" sqref="B2"/>
    </sheetView>
  </sheetViews>
  <sheetFormatPr baseColWidth="10" defaultColWidth="11" defaultRowHeight="12.75" x14ac:dyDescent="0.2"/>
  <cols>
    <col min="1" max="4" width="4.42578125" customWidth="1"/>
    <col min="5" max="5" width="4.140625" customWidth="1"/>
    <col min="6" max="6" width="5.140625" customWidth="1"/>
    <col min="7" max="7" width="4.42578125" style="9" customWidth="1"/>
    <col min="8" max="14" width="4.42578125" customWidth="1"/>
    <col min="15" max="16" width="14.85546875" customWidth="1"/>
    <col min="17" max="17" width="14.7109375" customWidth="1"/>
    <col min="19" max="19" width="13.28515625" bestFit="1" customWidth="1"/>
  </cols>
  <sheetData>
    <row r="1" spans="1:17" ht="15.75" customHeight="1" x14ac:dyDescent="0.25">
      <c r="A1" s="146" t="s">
        <v>3</v>
      </c>
      <c r="B1" s="146"/>
      <c r="C1" s="146"/>
      <c r="D1" s="147">
        <f>'Necesidades Trimestrales'!C6</f>
        <v>2021</v>
      </c>
      <c r="E1" s="147"/>
      <c r="F1" s="10"/>
      <c r="G1" s="10"/>
      <c r="H1" s="11"/>
      <c r="I1" s="11"/>
      <c r="J1" s="11"/>
      <c r="K1" s="11"/>
      <c r="L1" s="11"/>
      <c r="M1" s="11"/>
      <c r="N1" s="11"/>
      <c r="P1" s="148" t="s">
        <v>30</v>
      </c>
      <c r="Q1" s="148"/>
    </row>
    <row r="2" spans="1:17" ht="15.75" customHeight="1" x14ac:dyDescent="0.2">
      <c r="H2" s="11"/>
      <c r="I2" s="11"/>
      <c r="J2" s="11"/>
      <c r="K2" s="11"/>
      <c r="L2" s="11"/>
      <c r="M2" s="11"/>
      <c r="N2" s="11"/>
      <c r="P2" s="148"/>
      <c r="Q2" s="148"/>
    </row>
    <row r="4" spans="1:17" s="12" customFormat="1" ht="18" customHeight="1" thickBot="1" x14ac:dyDescent="0.25">
      <c r="A4" s="149" t="s">
        <v>31</v>
      </c>
      <c r="B4" s="149"/>
      <c r="C4" s="149"/>
      <c r="D4" s="149"/>
      <c r="E4" s="149"/>
      <c r="F4" s="149"/>
      <c r="G4" s="150" t="str">
        <f>NotaPedido!D3</f>
        <v>40 - Ministerio de Salud</v>
      </c>
      <c r="H4" s="150"/>
      <c r="I4" s="150"/>
      <c r="J4" s="150"/>
      <c r="K4" s="150"/>
      <c r="L4" s="150"/>
      <c r="M4" s="150"/>
      <c r="N4" s="150"/>
      <c r="O4" s="150"/>
      <c r="P4" s="150"/>
      <c r="Q4" s="150"/>
    </row>
    <row r="5" spans="1:17" s="12" customFormat="1" ht="18" customHeight="1" thickBot="1" x14ac:dyDescent="0.25">
      <c r="A5" s="151" t="s">
        <v>54</v>
      </c>
      <c r="B5" s="152"/>
      <c r="C5" s="152"/>
      <c r="D5" s="152"/>
      <c r="E5" s="152"/>
      <c r="F5" s="153"/>
      <c r="G5" s="150" t="str">
        <f>NotaPedido!D4</f>
        <v>23 - Hospital Interzonal San Juan Bautista</v>
      </c>
      <c r="H5" s="150"/>
      <c r="I5" s="150"/>
      <c r="J5" s="150"/>
      <c r="K5" s="150"/>
      <c r="L5" s="150"/>
      <c r="M5" s="150"/>
      <c r="N5" s="150"/>
      <c r="O5" s="150"/>
      <c r="P5" s="150"/>
      <c r="Q5" s="150"/>
    </row>
    <row r="6" spans="1:17" s="12" customFormat="1" ht="18" customHeight="1" thickBot="1" x14ac:dyDescent="0.25">
      <c r="A6" s="151" t="s">
        <v>32</v>
      </c>
      <c r="B6" s="152"/>
      <c r="C6" s="152"/>
      <c r="D6" s="152"/>
      <c r="E6" s="152"/>
      <c r="F6" s="153"/>
      <c r="G6" s="150" t="str">
        <f>NotaPedido!D5</f>
        <v>168 - Direccion Asistencial</v>
      </c>
      <c r="H6" s="150"/>
      <c r="I6" s="150"/>
      <c r="J6" s="150"/>
      <c r="K6" s="150"/>
      <c r="L6" s="150"/>
      <c r="M6" s="150"/>
      <c r="N6" s="150"/>
      <c r="O6" s="150"/>
      <c r="P6" s="150"/>
      <c r="Q6" s="150"/>
    </row>
    <row r="7" spans="1:17" s="12" customFormat="1" ht="18" customHeight="1" thickBot="1" x14ac:dyDescent="0.25">
      <c r="A7" s="151" t="s">
        <v>55</v>
      </c>
      <c r="B7" s="152"/>
      <c r="C7" s="152"/>
      <c r="D7" s="152"/>
      <c r="E7" s="152"/>
      <c r="F7" s="153"/>
      <c r="G7" s="150" t="s">
        <v>60</v>
      </c>
      <c r="H7" s="150"/>
      <c r="I7" s="150"/>
      <c r="J7" s="150"/>
      <c r="K7" s="150"/>
      <c r="L7" s="150"/>
      <c r="M7" s="150"/>
      <c r="N7" s="150"/>
      <c r="O7" s="150"/>
      <c r="P7" s="150"/>
      <c r="Q7" s="150"/>
    </row>
    <row r="8" spans="1:17" ht="18" customHeight="1" thickBot="1" x14ac:dyDescent="0.25">
      <c r="A8" s="154" t="s">
        <v>33</v>
      </c>
      <c r="B8" s="154"/>
      <c r="C8" s="154"/>
      <c r="D8" s="154"/>
      <c r="E8" s="154"/>
      <c r="F8" s="154"/>
      <c r="G8" s="154"/>
      <c r="H8" s="154"/>
      <c r="I8" s="154"/>
      <c r="J8" s="154"/>
      <c r="K8" s="154"/>
      <c r="L8" s="154"/>
      <c r="M8" s="154"/>
      <c r="N8" s="154"/>
      <c r="O8" s="154"/>
      <c r="P8" s="154"/>
      <c r="Q8" s="154"/>
    </row>
    <row r="9" spans="1:17" ht="18" customHeight="1" x14ac:dyDescent="0.2">
      <c r="A9" s="155" t="s">
        <v>34</v>
      </c>
      <c r="B9" s="155"/>
      <c r="C9" s="155"/>
      <c r="D9" s="155"/>
      <c r="E9" s="155"/>
      <c r="F9" s="155"/>
      <c r="G9" s="155"/>
      <c r="H9" s="155"/>
      <c r="I9" s="155"/>
      <c r="J9" s="155"/>
      <c r="K9" s="155"/>
      <c r="L9" s="155"/>
      <c r="M9" s="155"/>
      <c r="N9" s="155"/>
      <c r="O9" s="1"/>
      <c r="P9" s="1"/>
      <c r="Q9" s="13"/>
    </row>
    <row r="10" spans="1:17" ht="54.75" customHeight="1" x14ac:dyDescent="0.2">
      <c r="A10" s="156" t="str">
        <f>"Autorizo la realización de los  trámites correspondientes, a fin de proveer a  este Organismo los bienes y/o servicios que se detallan en Nota de Pedido N° " &amp; NotaPedido!K1&amp;",  afectando la erogación resultante a los créditos presupuestarios aprobados a favor de esta Unidad Ejecutora, conforme al siguiente detalle:"</f>
        <v>Autorizo la realización de los  trámites correspondientes, a fin de proveer a  este Organismo los bienes y/o servicios que se detallan en Nota de Pedido N° 054 - 2021,  afectando la erogación resultante a los créditos presupuestarios aprobados a favor de esta Unidad Ejecutora, conforme al siguiente detalle:</v>
      </c>
      <c r="B10" s="156"/>
      <c r="C10" s="156"/>
      <c r="D10" s="156"/>
      <c r="E10" s="156"/>
      <c r="F10" s="156"/>
      <c r="G10" s="156"/>
      <c r="H10" s="156"/>
      <c r="I10" s="156"/>
      <c r="J10" s="156"/>
      <c r="K10" s="156"/>
      <c r="L10" s="156"/>
      <c r="M10" s="156"/>
      <c r="N10" s="156"/>
      <c r="O10" s="156"/>
      <c r="P10" s="156"/>
      <c r="Q10" s="156"/>
    </row>
    <row r="11" spans="1:17" ht="9" customHeight="1" x14ac:dyDescent="0.2">
      <c r="A11" s="14"/>
      <c r="B11" s="15"/>
      <c r="C11" s="15"/>
      <c r="D11" s="15"/>
      <c r="E11" s="15"/>
      <c r="F11" s="15"/>
      <c r="G11" s="16"/>
      <c r="H11" s="15"/>
      <c r="I11" s="15"/>
      <c r="J11" s="15"/>
      <c r="K11" s="15"/>
      <c r="L11" s="15"/>
      <c r="M11" s="15"/>
      <c r="N11" s="15"/>
      <c r="O11" s="15"/>
      <c r="P11" s="15"/>
      <c r="Q11" s="17"/>
    </row>
    <row r="12" spans="1:17" ht="15.75" customHeight="1" x14ac:dyDescent="0.2">
      <c r="A12" s="157" t="s">
        <v>35</v>
      </c>
      <c r="B12" s="157"/>
      <c r="C12" s="157"/>
      <c r="D12" s="157"/>
      <c r="E12" s="157"/>
      <c r="F12" s="157"/>
      <c r="G12" s="157"/>
      <c r="H12" s="157"/>
      <c r="I12" s="157"/>
      <c r="J12" s="157"/>
      <c r="K12" s="157"/>
      <c r="L12" s="157"/>
      <c r="M12" s="157"/>
      <c r="N12" s="157"/>
      <c r="O12" s="157"/>
      <c r="P12" s="157"/>
      <c r="Q12" s="157"/>
    </row>
    <row r="13" spans="1:17" ht="15.75" customHeight="1" x14ac:dyDescent="0.2">
      <c r="A13" s="158" t="s">
        <v>36</v>
      </c>
      <c r="B13" s="159"/>
      <c r="C13" s="159"/>
      <c r="D13" s="159"/>
      <c r="E13" s="159"/>
      <c r="F13" s="159"/>
      <c r="G13" s="159"/>
      <c r="H13" s="159"/>
      <c r="I13" s="159"/>
      <c r="J13" s="159"/>
      <c r="K13" s="159"/>
      <c r="L13" s="159"/>
      <c r="M13" s="159"/>
      <c r="N13" s="159"/>
      <c r="O13" s="160" t="s">
        <v>37</v>
      </c>
      <c r="P13" s="160"/>
      <c r="Q13" s="162" t="s">
        <v>38</v>
      </c>
    </row>
    <row r="14" spans="1:17" ht="15.75" customHeight="1" thickBot="1" x14ac:dyDescent="0.25">
      <c r="A14" s="77" t="s">
        <v>39</v>
      </c>
      <c r="B14" s="18" t="s">
        <v>40</v>
      </c>
      <c r="C14" s="18" t="s">
        <v>41</v>
      </c>
      <c r="D14" s="18" t="s">
        <v>42</v>
      </c>
      <c r="E14" s="18" t="s">
        <v>43</v>
      </c>
      <c r="F14" s="18" t="s">
        <v>44</v>
      </c>
      <c r="G14" s="19" t="s">
        <v>45</v>
      </c>
      <c r="H14" s="18" t="s">
        <v>46</v>
      </c>
      <c r="I14" s="18" t="s">
        <v>47</v>
      </c>
      <c r="J14" s="18" t="s">
        <v>48</v>
      </c>
      <c r="K14" s="18" t="s">
        <v>48</v>
      </c>
      <c r="L14" s="18" t="s">
        <v>49</v>
      </c>
      <c r="M14" s="20" t="s">
        <v>50</v>
      </c>
      <c r="N14" s="21" t="s">
        <v>51</v>
      </c>
      <c r="O14" s="161"/>
      <c r="P14" s="161"/>
      <c r="Q14" s="163"/>
    </row>
    <row r="15" spans="1:17" ht="17.25" customHeight="1" x14ac:dyDescent="0.2">
      <c r="A15" s="89">
        <v>33</v>
      </c>
      <c r="B15" s="90"/>
      <c r="C15" s="90"/>
      <c r="D15" s="90">
        <v>2</v>
      </c>
      <c r="E15" s="90"/>
      <c r="F15" s="90">
        <v>4901</v>
      </c>
      <c r="G15" s="90">
        <v>3</v>
      </c>
      <c r="H15" s="91" t="s">
        <v>64</v>
      </c>
      <c r="I15" s="90">
        <v>2</v>
      </c>
      <c r="J15" s="90">
        <v>2</v>
      </c>
      <c r="K15" s="90">
        <v>1</v>
      </c>
      <c r="L15" s="90"/>
      <c r="M15" s="90">
        <v>1</v>
      </c>
      <c r="N15" s="91" t="s">
        <v>65</v>
      </c>
      <c r="O15" s="167" t="s">
        <v>130</v>
      </c>
      <c r="P15" s="168"/>
      <c r="Q15" s="92">
        <f>'Necesidades Trimestrales'!J14</f>
        <v>45000</v>
      </c>
    </row>
    <row r="16" spans="1:17" ht="17.25" customHeight="1" x14ac:dyDescent="0.2">
      <c r="A16" s="121">
        <v>33</v>
      </c>
      <c r="B16" s="122"/>
      <c r="C16" s="122"/>
      <c r="D16" s="122">
        <v>2</v>
      </c>
      <c r="E16" s="122"/>
      <c r="F16" s="122">
        <v>4901</v>
      </c>
      <c r="G16" s="122">
        <v>3</v>
      </c>
      <c r="H16" s="123" t="s">
        <v>64</v>
      </c>
      <c r="I16" s="122">
        <v>2</v>
      </c>
      <c r="J16" s="122">
        <v>3</v>
      </c>
      <c r="K16" s="122">
        <v>4</v>
      </c>
      <c r="L16" s="122"/>
      <c r="M16" s="122">
        <v>1</v>
      </c>
      <c r="N16" s="123" t="s">
        <v>65</v>
      </c>
      <c r="O16" s="171" t="s">
        <v>141</v>
      </c>
      <c r="P16" s="172"/>
      <c r="Q16" s="124">
        <v>188280</v>
      </c>
    </row>
    <row r="17" spans="1:19" ht="17.25" customHeight="1" x14ac:dyDescent="0.2">
      <c r="A17" s="80">
        <v>33</v>
      </c>
      <c r="B17" s="74"/>
      <c r="C17" s="74"/>
      <c r="D17" s="74">
        <v>2</v>
      </c>
      <c r="E17" s="74"/>
      <c r="F17" s="74">
        <v>4901</v>
      </c>
      <c r="G17" s="74">
        <v>3</v>
      </c>
      <c r="H17" s="75" t="s">
        <v>64</v>
      </c>
      <c r="I17" s="76">
        <v>2</v>
      </c>
      <c r="J17" s="76">
        <v>5</v>
      </c>
      <c r="K17" s="76">
        <v>1</v>
      </c>
      <c r="L17" s="74"/>
      <c r="M17" s="74">
        <v>1</v>
      </c>
      <c r="N17" s="75" t="s">
        <v>65</v>
      </c>
      <c r="O17" s="164" t="s">
        <v>61</v>
      </c>
      <c r="P17" s="164"/>
      <c r="Q17" s="79">
        <f>'Necesidades Trimestrales'!J13</f>
        <v>612800</v>
      </c>
    </row>
    <row r="18" spans="1:19" ht="17.25" customHeight="1" x14ac:dyDescent="0.2">
      <c r="A18" s="78">
        <v>33</v>
      </c>
      <c r="B18" s="72"/>
      <c r="C18" s="72"/>
      <c r="D18" s="72">
        <v>2</v>
      </c>
      <c r="E18" s="72"/>
      <c r="F18" s="72">
        <v>4901</v>
      </c>
      <c r="G18" s="72">
        <v>3</v>
      </c>
      <c r="H18" s="73" t="s">
        <v>64</v>
      </c>
      <c r="I18" s="72">
        <v>2</v>
      </c>
      <c r="J18" s="72">
        <v>5</v>
      </c>
      <c r="K18" s="72">
        <v>9</v>
      </c>
      <c r="L18" s="72"/>
      <c r="M18" s="72">
        <v>1</v>
      </c>
      <c r="N18" s="73" t="s">
        <v>65</v>
      </c>
      <c r="O18" s="165" t="s">
        <v>63</v>
      </c>
      <c r="P18" s="165"/>
      <c r="Q18" s="79">
        <v>355224</v>
      </c>
    </row>
    <row r="19" spans="1:19" ht="17.25" customHeight="1" x14ac:dyDescent="0.2">
      <c r="A19" s="81">
        <v>33</v>
      </c>
      <c r="B19" s="22"/>
      <c r="C19" s="22"/>
      <c r="D19" s="22">
        <v>2</v>
      </c>
      <c r="E19" s="22"/>
      <c r="F19" s="22">
        <v>4901</v>
      </c>
      <c r="G19" s="22">
        <v>3</v>
      </c>
      <c r="H19" s="55" t="s">
        <v>64</v>
      </c>
      <c r="I19" s="22">
        <v>2</v>
      </c>
      <c r="J19" s="22">
        <v>9</v>
      </c>
      <c r="K19" s="22">
        <v>5</v>
      </c>
      <c r="L19" s="22"/>
      <c r="M19" s="23">
        <v>1</v>
      </c>
      <c r="N19" s="55" t="s">
        <v>65</v>
      </c>
      <c r="O19" s="166" t="s">
        <v>66</v>
      </c>
      <c r="P19" s="166"/>
      <c r="Q19" s="82">
        <v>5097792.5999999996</v>
      </c>
      <c r="S19" s="57"/>
    </row>
    <row r="20" spans="1:19" ht="17.25" customHeight="1" x14ac:dyDescent="0.2">
      <c r="A20" s="81"/>
      <c r="B20" s="22"/>
      <c r="C20" s="22"/>
      <c r="D20" s="22"/>
      <c r="E20" s="22"/>
      <c r="F20" s="24"/>
      <c r="G20" s="22"/>
      <c r="H20" s="55"/>
      <c r="I20" s="22"/>
      <c r="J20" s="22"/>
      <c r="K20" s="22"/>
      <c r="L20" s="22"/>
      <c r="M20" s="23"/>
      <c r="N20" s="56"/>
      <c r="O20" s="169"/>
      <c r="P20" s="170"/>
      <c r="Q20" s="83"/>
    </row>
    <row r="21" spans="1:19" ht="17.25" customHeight="1" x14ac:dyDescent="0.2">
      <c r="A21" s="81"/>
      <c r="B21" s="22"/>
      <c r="C21" s="22"/>
      <c r="D21" s="22"/>
      <c r="E21" s="22"/>
      <c r="F21" s="24"/>
      <c r="G21" s="22"/>
      <c r="H21" s="22"/>
      <c r="I21" s="22"/>
      <c r="J21" s="22"/>
      <c r="K21" s="22"/>
      <c r="L21" s="22"/>
      <c r="M21" s="23"/>
      <c r="N21" s="24"/>
      <c r="O21" s="170"/>
      <c r="P21" s="170"/>
      <c r="Q21" s="83"/>
    </row>
    <row r="22" spans="1:19" ht="17.25" customHeight="1" x14ac:dyDescent="0.2">
      <c r="A22" s="84"/>
      <c r="B22" s="25"/>
      <c r="C22" s="25"/>
      <c r="D22" s="25"/>
      <c r="E22" s="25"/>
      <c r="F22" s="26"/>
      <c r="G22" s="25"/>
      <c r="H22" s="25"/>
      <c r="I22" s="25"/>
      <c r="J22" s="25"/>
      <c r="K22" s="25"/>
      <c r="L22" s="25"/>
      <c r="M22" s="27"/>
      <c r="N22" s="28"/>
      <c r="O22" s="178"/>
      <c r="P22" s="178"/>
      <c r="Q22" s="83"/>
      <c r="R22" s="1"/>
    </row>
    <row r="23" spans="1:19" ht="17.25" customHeight="1" thickBot="1" x14ac:dyDescent="0.25">
      <c r="A23" s="85"/>
      <c r="B23" s="86"/>
      <c r="C23" s="86"/>
      <c r="D23" s="86"/>
      <c r="E23" s="86"/>
      <c r="F23" s="86"/>
      <c r="G23" s="86"/>
      <c r="H23" s="86"/>
      <c r="I23" s="86"/>
      <c r="J23" s="86"/>
      <c r="K23" s="86"/>
      <c r="L23" s="86"/>
      <c r="M23" s="87"/>
      <c r="N23" s="86"/>
      <c r="O23" s="179"/>
      <c r="P23" s="179"/>
      <c r="Q23" s="88"/>
    </row>
    <row r="24" spans="1:19" ht="29.25" customHeight="1" thickBot="1" x14ac:dyDescent="0.25">
      <c r="A24" s="180" t="s">
        <v>142</v>
      </c>
      <c r="B24" s="180"/>
      <c r="C24" s="180"/>
      <c r="D24" s="180"/>
      <c r="E24" s="180"/>
      <c r="F24" s="180"/>
      <c r="G24" s="180"/>
      <c r="H24" s="180"/>
      <c r="I24" s="180"/>
      <c r="J24" s="180"/>
      <c r="K24" s="180"/>
      <c r="L24" s="180"/>
      <c r="M24" s="180"/>
      <c r="N24" s="180"/>
      <c r="O24" s="180"/>
      <c r="P24" s="180"/>
      <c r="Q24" s="71">
        <f>SUM(Q15:Q23)</f>
        <v>6299096.5999999996</v>
      </c>
    </row>
    <row r="25" spans="1:19" ht="18" customHeight="1" thickBot="1" x14ac:dyDescent="0.25">
      <c r="A25" s="181"/>
      <c r="B25" s="181"/>
      <c r="C25" s="181"/>
      <c r="D25" s="181"/>
      <c r="E25" s="181"/>
      <c r="F25" s="181"/>
      <c r="G25" s="181"/>
      <c r="H25" s="181"/>
      <c r="I25" s="181"/>
      <c r="J25" s="181"/>
      <c r="K25" s="181"/>
      <c r="L25" s="181"/>
      <c r="M25" s="181"/>
      <c r="N25" s="181"/>
      <c r="O25" s="181"/>
      <c r="P25" s="181"/>
      <c r="Q25" s="181"/>
    </row>
    <row r="26" spans="1:19" ht="17.25" customHeight="1" thickBot="1" x14ac:dyDescent="0.25">
      <c r="A26" s="173" t="s">
        <v>52</v>
      </c>
      <c r="B26" s="174"/>
      <c r="C26" s="174"/>
      <c r="D26" s="174"/>
      <c r="E26" s="174"/>
      <c r="F26" s="175"/>
      <c r="G26" s="176"/>
      <c r="H26" s="176"/>
      <c r="I26" s="176"/>
      <c r="J26" s="176"/>
      <c r="K26" s="176"/>
      <c r="L26" s="176"/>
      <c r="M26" s="176"/>
      <c r="N26" s="176"/>
      <c r="O26" s="176"/>
      <c r="P26" s="176"/>
      <c r="Q26" s="176"/>
    </row>
    <row r="27" spans="1:19" ht="18" customHeight="1" thickBot="1" x14ac:dyDescent="0.25">
      <c r="A27" s="177" t="str">
        <f>"Para la "&amp; NotaPedido!D8 &amp;" para ser destinados al " &amp; NotaPedido!D6 &amp;"  del HISJB del Ministerio de Salud."</f>
        <v>Para la Adquisición de Descartables para ser destinados al Servicio de Farmacia  del HISJB del Ministerio de Salud.</v>
      </c>
      <c r="B27" s="177"/>
      <c r="C27" s="177"/>
      <c r="D27" s="177"/>
      <c r="E27" s="177"/>
      <c r="F27" s="177"/>
      <c r="G27" s="177"/>
      <c r="H27" s="177"/>
      <c r="I27" s="177"/>
      <c r="J27" s="177"/>
      <c r="K27" s="177"/>
      <c r="L27" s="177"/>
      <c r="M27" s="177"/>
      <c r="N27" s="177"/>
      <c r="O27" s="177"/>
      <c r="P27" s="177"/>
      <c r="Q27" s="177"/>
    </row>
    <row r="28" spans="1:19" ht="15" customHeight="1" x14ac:dyDescent="0.2">
      <c r="A28" s="177"/>
      <c r="B28" s="177"/>
      <c r="C28" s="177"/>
      <c r="D28" s="177"/>
      <c r="E28" s="177"/>
      <c r="F28" s="177"/>
      <c r="G28" s="177"/>
      <c r="H28" s="177"/>
      <c r="I28" s="177"/>
      <c r="J28" s="177"/>
      <c r="K28" s="177"/>
      <c r="L28" s="177"/>
      <c r="M28" s="177"/>
      <c r="N28" s="177"/>
      <c r="O28" s="177"/>
      <c r="P28" s="177"/>
      <c r="Q28" s="177"/>
    </row>
  </sheetData>
  <mergeCells count="32">
    <mergeCell ref="A26:F26"/>
    <mergeCell ref="G26:Q26"/>
    <mergeCell ref="A27:Q28"/>
    <mergeCell ref="O21:P21"/>
    <mergeCell ref="O22:P22"/>
    <mergeCell ref="O23:P23"/>
    <mergeCell ref="A24:P24"/>
    <mergeCell ref="A25:Q25"/>
    <mergeCell ref="O17:P17"/>
    <mergeCell ref="O18:P18"/>
    <mergeCell ref="O19:P19"/>
    <mergeCell ref="O15:P15"/>
    <mergeCell ref="O20:P20"/>
    <mergeCell ref="O16:P16"/>
    <mergeCell ref="A9:N9"/>
    <mergeCell ref="A10:Q10"/>
    <mergeCell ref="A12:Q12"/>
    <mergeCell ref="A13:N13"/>
    <mergeCell ref="O13:P14"/>
    <mergeCell ref="Q13:Q14"/>
    <mergeCell ref="A5:F5"/>
    <mergeCell ref="G5:Q5"/>
    <mergeCell ref="A8:Q8"/>
    <mergeCell ref="A6:F6"/>
    <mergeCell ref="G6:Q6"/>
    <mergeCell ref="A7:F7"/>
    <mergeCell ref="G7:Q7"/>
    <mergeCell ref="A1:C1"/>
    <mergeCell ref="D1:E1"/>
    <mergeCell ref="P1:Q2"/>
    <mergeCell ref="A4:F4"/>
    <mergeCell ref="G4:Q4"/>
  </mergeCells>
  <printOptions horizontalCentered="1"/>
  <pageMargins left="0.39374999999999999" right="0.39374999999999999" top="0.98402777777777795" bottom="0.98402777777777795" header="0.51180555555555496" footer="0.51180555555555496"/>
  <pageSetup paperSize="9" scale="90" firstPageNumber="0"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Necesidades Trimestrales</vt:lpstr>
      <vt:lpstr>NotaPedido</vt:lpstr>
      <vt:lpstr>Autor Gastar</vt:lpstr>
      <vt:lpstr>'Autor Gastar'!Área_de_impresión</vt:lpstr>
      <vt:lpstr>NotaPedido!Área_de_impresión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llicta6</dc:creator>
  <cp:lastModifiedBy>SILVINA ATENCIO</cp:lastModifiedBy>
  <cp:revision>2</cp:revision>
  <cp:lastPrinted>2020-07-17T22:18:48Z</cp:lastPrinted>
  <dcterms:created xsi:type="dcterms:W3CDTF">2020-07-17T23:44:49Z</dcterms:created>
  <dcterms:modified xsi:type="dcterms:W3CDTF">2021-08-17T13:54:33Z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