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15600" windowHeight="11250"/>
  </bookViews>
  <sheets>
    <sheet name="Necesidades Trimestrales" sheetId="1" r:id="rId1"/>
    <sheet name="Nota Pedido" sheetId="2" r:id="rId2"/>
  </sheets>
  <definedNames>
    <definedName name="_xlnm.Print_Area" localSheetId="0">'Necesidades Trimestrales'!$A$2:$I$87</definedName>
    <definedName name="_xlnm.Print_Area" localSheetId="1">'Nota Pedido'!$A$1:$K$53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J12" i="2"/>
  <c r="J13" i="2"/>
  <c r="I15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A34" i="2"/>
  <c r="A35" i="2"/>
  <c r="A36" i="2"/>
  <c r="B15" i="2"/>
  <c r="C15" i="2"/>
  <c r="B50" i="2"/>
  <c r="B51" i="2"/>
  <c r="B52" i="2"/>
  <c r="B47" i="2"/>
  <c r="B48" i="2"/>
  <c r="B49" i="2"/>
  <c r="B44" i="2"/>
  <c r="B45" i="2"/>
  <c r="B46" i="2"/>
  <c r="B40" i="2"/>
  <c r="B41" i="2"/>
  <c r="B42" i="2"/>
  <c r="B43" i="2"/>
  <c r="B37" i="2"/>
  <c r="B38" i="2"/>
  <c r="B39" i="2"/>
  <c r="B32" i="2"/>
  <c r="B33" i="2"/>
  <c r="B34" i="2"/>
  <c r="B35" i="2"/>
  <c r="B36" i="2"/>
  <c r="B27" i="2"/>
  <c r="B28" i="2"/>
  <c r="B29" i="2"/>
  <c r="B30" i="2"/>
  <c r="B31" i="2"/>
  <c r="B20" i="2"/>
  <c r="B21" i="2"/>
  <c r="B22" i="2"/>
  <c r="B23" i="2"/>
  <c r="B24" i="2"/>
  <c r="B25" i="2"/>
  <c r="B26" i="2"/>
  <c r="B19" i="2"/>
  <c r="B17" i="2"/>
  <c r="B18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16" i="2" l="1"/>
  <c r="C14" i="2"/>
  <c r="B16" i="2"/>
  <c r="B14" i="2"/>
  <c r="I13" i="1"/>
  <c r="I11" i="1"/>
  <c r="I12" i="1"/>
  <c r="D3" i="2"/>
  <c r="D4" i="2"/>
  <c r="D7" i="2"/>
  <c r="C13" i="2"/>
  <c r="B13" i="2"/>
  <c r="K12" i="2"/>
  <c r="I12" i="2"/>
  <c r="C12" i="2"/>
  <c r="B12" i="2"/>
  <c r="I53" i="1" l="1"/>
  <c r="J53" i="2"/>
</calcChain>
</file>

<file path=xl/sharedStrings.xml><?xml version="1.0" encoding="utf-8"?>
<sst xmlns="http://schemas.openxmlformats.org/spreadsheetml/2006/main" count="310" uniqueCount="147">
  <si>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</si>
  <si>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</si>
  <si>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</si>
  <si>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</si>
  <si>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</si>
  <si>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</si>
  <si>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</si>
  <si>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</si>
  <si>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</si>
  <si>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</si>
  <si>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</si>
  <si>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</si>
  <si>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</si>
  <si>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</si>
  <si>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 y Lugar de entrega:</t>
  </si>
  <si>
    <t xml:space="preserve"> </t>
  </si>
  <si>
    <t>Mantenimiento:</t>
  </si>
  <si>
    <t>Garantia:</t>
  </si>
  <si>
    <t>Descripción técnica:</t>
  </si>
  <si>
    <t>Calidad Minima esperada: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</si>
  <si>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</si>
  <si>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</si>
  <si>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</si>
  <si>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</si>
  <si>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</si>
  <si>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</si>
  <si>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</si>
  <si>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</si>
  <si>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</si>
  <si>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</si>
  <si>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</si>
  <si>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</si>
  <si>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</si>
  <si>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Cantidad Solicitada</t>
  </si>
  <si>
    <t>Precio Unitario Estimado</t>
  </si>
  <si>
    <t xml:space="preserve">Costo total estimado: </t>
  </si>
  <si>
    <t>UNIDAD</t>
  </si>
  <si>
    <t>2.9.2-261.14</t>
  </si>
  <si>
    <t>ABROCHADORAS DE PAPEL; TIPO: PINZA, P/BROCHES: 10/50, MATERIAL: METALICA, MEDIDA: 10/50</t>
  </si>
  <si>
    <t>2.9.2-700.28</t>
  </si>
  <si>
    <t>BROCHES P/ABROCHADORA; NUMERO: 10/50, PRESENTACION: CAJA X 1000 UNIDADES</t>
  </si>
  <si>
    <t>2.9.2-700.6</t>
  </si>
  <si>
    <t>BROCHES P/ABROCHADORA; NUMERO: 23/10, PRESENTACION: CAJA X 1000</t>
  </si>
  <si>
    <t>2.9.2-700.29</t>
  </si>
  <si>
    <t>BROCHES P/ABROCHADORA; NUMERO: 24/6, PRESENTACION: CAJA X 1000 UNIDADES</t>
  </si>
  <si>
    <t>2.9.2-262.28</t>
  </si>
  <si>
    <t xml:space="preserve"> ADHESIVOS P/PAPEL; PRESENTACION: 30 mL, TIPO: SINTETICO TRANSPARENTE</t>
  </si>
  <si>
    <t>2.9.2-1354.21</t>
  </si>
  <si>
    <t>RESALTADORES; PUNTA: BISELADA, ACCESORIO: SIN, COLOR: SIN VALOR, TIPO PUNTA: BISELADA</t>
  </si>
  <si>
    <t>2.9.2-848.5</t>
  </si>
  <si>
    <t>LAPIZ; TIPO: COMUN NRO 2, COLOR: NEGRO</t>
  </si>
  <si>
    <t>2.9.2-317.5</t>
  </si>
  <si>
    <t>BOLIGRAFOS; TRAZO 1,0mm</t>
  </si>
  <si>
    <t>2.9.2-317.32</t>
  </si>
  <si>
    <t>BOLIGRAFOS; TRAZO: 0,8 mm</t>
  </si>
  <si>
    <t>2.9.2-791.9</t>
  </si>
  <si>
    <t>TALONARIOS NOTAS AUTOADHESIVAS; MEDIDA 76 X 76mm</t>
  </si>
  <si>
    <t>2.9.2-1428.44</t>
  </si>
  <si>
    <t>BANDAS ELASTICAS; DIAMETRO: 40 mm, PRESENTACION: ENVASE X 500 GR, ESPESOR: 1 mm</t>
  </si>
  <si>
    <t>2.9.2-850.202</t>
  </si>
  <si>
    <t>CAJAS DE ARCHIVO; MATERIAL: PLASTICO, DIMENSION: 45 X 39 X 12 Cm</t>
  </si>
  <si>
    <t>2.9.2-1611.18</t>
  </si>
  <si>
    <t>FOLIOS TRANSPARENTES; TAMAÑO: OFICIO, PERFORACIONES: 5, MATERIAL: PLASTICO (POLIETILENO)</t>
  </si>
  <si>
    <t>2.9.2-1611.19</t>
  </si>
  <si>
    <t>FOLIOS TRANSPARENTES; TAMAÑO: A4, PERFORACIONES: 5, MATERIAL: PLASTICO (POLIETILENO)</t>
  </si>
  <si>
    <t>2.9.2-852.7</t>
  </si>
  <si>
    <t>BROCHES DORADOS; N° PATAS: 2, N°: 14, PRESENTACION: CAJA X 100 UNIDADES, CANTIDAD PATAS: 2, NUMERO: 14</t>
  </si>
  <si>
    <t>2.9.2-852.5</t>
  </si>
  <si>
    <t>BROCHES DORADOS; N° PATAS: 2, N°: 10, PRESENTACION: CAJA X 100 UNIDADES, CANTIDAD PATAS: 2, NUMERO: 10</t>
  </si>
  <si>
    <t>2.9.2-852.3</t>
  </si>
  <si>
    <t>BROCHES DORADOS; N°: 6, N° PATAS: 2, PRESENTACION: CAJA X 100 UNIDADES, CANTIDAD PATAS: 2, NUMERO: 6</t>
  </si>
  <si>
    <t>2.9.2-1358.353</t>
  </si>
  <si>
    <t>CARPETAS; MATERIAL PLASTICO - TAMAÑO A4.</t>
  </si>
  <si>
    <t>2.9.2-1358.354</t>
  </si>
  <si>
    <t>CARPETAS; MATERIAL PLASTICO - TAMAÑO OFICIO.</t>
  </si>
  <si>
    <t>2.9.2-291.12</t>
  </si>
  <si>
    <t>ALMOHADILLAS P/SELLOS; MEDIDA: 9 X 16 Cm, MATERIAL: METAL</t>
  </si>
  <si>
    <t>2.9.2-1450.16</t>
  </si>
  <si>
    <t>TINTAS P/SELLOS; TIPO DE SELLO: DE METAL, COLOR: NEGRO, ENVASE: 30 CM3, PRESENTACION: ENVASE X 30 CM3</t>
  </si>
  <si>
    <t>2.9.2-274.3</t>
  </si>
  <si>
    <t>BIBLIORATOS; ANCHO 80mm - ANILLO 2 Y PALANCA - TAMAÑO OFICIO - MATERIAL CARTON</t>
  </si>
  <si>
    <t>2.3.1-928.8</t>
  </si>
  <si>
    <t>ARANDELAS DE CARTON; DIAMETRO: 1 pulg, PRESENTACION: CAJA X 500 UNIDADES</t>
  </si>
  <si>
    <t>2.9.2-323.4</t>
  </si>
  <si>
    <t>CORRECTORES DE ESCRITURA; CAPACIDAD: 7 mL, ENVASE: LAPIZ (PUNTA METAL), PRESENTACION: LAPIZ (PUNTA METAL) X 7 mL</t>
  </si>
  <si>
    <t>2.9.2-1153.9</t>
  </si>
  <si>
    <t>CINTAS ADHESIVAS; ANCHO: 48 mm, LARGO ROLLO: 50 M, MATERIAL: POLIPROPILENO, ACCESORIO: SIN VALOR, TIPO: TRANSPARENTE, LARGO: 50 M</t>
  </si>
  <si>
    <t>2.9.2-1153.220</t>
  </si>
  <si>
    <t>CINTAS ADHESIVAS; TIPO: TRANSPARENTE, ANCHO: 24 mm, LARGO: 50 M, MATERIAL: POLIPROPILENO, ACCESORIO: SIN</t>
  </si>
  <si>
    <t>2.9.2-660.1</t>
  </si>
  <si>
    <t>CLIPS P/PAPEL; NUMERO: 3, MATERIAL: METAL, CANT. X CAJA: 100, PRESENTACION: CAJA X 100</t>
  </si>
  <si>
    <t>2.9.2-660.17</t>
  </si>
  <si>
    <t>CLIPS P/PAPEL; NUMERO: 4, MATERIAL: ACERO INOXIDABLE TRIANGULARES, CANT. X CAJA: 100, PRESENTACION: CAJA X 100</t>
  </si>
  <si>
    <t>2.9.2-790.3</t>
  </si>
  <si>
    <t>CUTER; MATERIAL MANGO: PLASTICO, TIPO HOJA: FIJA, ANCHO HOJA: 9 mm, TIPO DE HOJA: FIJA, ANCHO DE HOJA: 9 mm</t>
  </si>
  <si>
    <t>2.9.2-790.19</t>
  </si>
  <si>
    <t>CUTER; MATERIAL MANGO: PLASTICO, ANCHO HOJA: 20 mm, TIPO DE HOJA: MOVIL, TIPO HOJA: MOVIL, ANCHO DE HOJA: 20 mm</t>
  </si>
  <si>
    <t>2.9.2-866.4</t>
  </si>
  <si>
    <t>MAQUINAS SACABROCHES; EXTRACTOR: ACERO INOXIDABLE, MATERIAL: PLASTICO</t>
  </si>
  <si>
    <t>2.3.1-6563.953</t>
  </si>
  <si>
    <t>PAPELES EN HOJA; TIPO DE PAPEL: OBRA, DIMENSION: 21 X 29,7 Cm, GRAMAJE: 80 GR/M2, PRESENTACION: ENVASE X 500 HOJAS, CERTIFICADO FORESTAL (GFS): SIN, PORC. FIBRAS RECICLADAS: 0 %, CERT. FIBRA ALTERNATIVA (FCA): SIN</t>
  </si>
  <si>
    <t>2.3.1-6563.917</t>
  </si>
  <si>
    <t>PAPELES EN HOJA; TIPO DE PAPEL: OBRA, DIMENSION: 21,6 X 35,6 Cm, GRAMAJE: 80 GR/M2, PRESENTACION: ENVASE X 500 HOJAS, CERTIFICADO FORESTAL (GFS): SIN, PORC. FIBRAS RECICLADAS: 0 %, CERT. FIBRA ALTERNATIVA (FCA): SIN</t>
  </si>
  <si>
    <t>2.3.1-6587.305</t>
  </si>
  <si>
    <t>PAPELES ENCUADERNADOS; CANT. DE HOJAS: 100 HOJAS, TAMAÑO: 17 X 27 Cm, TIPO: LIBRO DE ACTAS, CERTIFICADO FORESTAL (GFS): SIN, PORC. FIBRAS RECICLADAS: 0 %, CERT. FIBRA ALTERNATIVA (FCA): SIN</t>
  </si>
  <si>
    <t>2.9.2.</t>
  </si>
  <si>
    <t>2.3.1.</t>
  </si>
  <si>
    <t>CAJA</t>
  </si>
  <si>
    <t>PAQUETE</t>
  </si>
  <si>
    <t>RESMA</t>
  </si>
  <si>
    <t>LIBRERIA,PAP. Y UTILES OFICINA</t>
  </si>
  <si>
    <t>NO</t>
  </si>
  <si>
    <t xml:space="preserve">Compra de elementos de librería para ser usados por las areas y direcciones pertenecientes al Ministerio de Cultura y Turismo.- </t>
  </si>
  <si>
    <t>2.3.1-6587.359</t>
  </si>
  <si>
    <t>PAPELES ENCUADERNADOS; CANT. DE HOJAS: 84 HOJAS, TAMAÑO: 22 X 29 Cm, TIPO: RAYADO ESPIRALADO, CERTIFICADO FORESTAL (GFS): SIN, PORC. FIBRAS RECICLADAS: 0 %, CERT. FIBRA ALTERNATIVA (FCA): SIN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</si>
  <si>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</si>
  <si>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</si>
  <si>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2.9.2-261.6</t>
  </si>
  <si>
    <t>ABROCHADORAS DE PAPEL; MATERIAL: METALICA, TIPO: DE ESCRITORIO, MEDIDA: 21/6, P/BROCHES: 21/6</t>
  </si>
  <si>
    <t>2.9.2-700.2</t>
  </si>
  <si>
    <t>BROCHES P/ABROCHADORA; NUMERO: 21/6, PRESENTACION: CAJA X 1000 UNIDADES</t>
  </si>
  <si>
    <t>Especificidades Item N° 8:</t>
  </si>
  <si>
    <t xml:space="preserve">COLOR AMARILLO, PUNTA BISELADA. </t>
  </si>
  <si>
    <t>Especificidades Item N° 10:</t>
  </si>
  <si>
    <t>COLOR: AZUL, CANTIDAD: 75 - COLOR: NEGRO, CANTIDAD: 75</t>
  </si>
  <si>
    <t>Especificidades Item N° 11:</t>
  </si>
  <si>
    <t>Especificidades Item N° 14:</t>
  </si>
  <si>
    <t>COLOR: AZUL</t>
  </si>
  <si>
    <t xml:space="preserve">BASE OPACA, TAPA TRANSPARENTE </t>
  </si>
  <si>
    <t>Especificidades Item N° 21 y 22:</t>
  </si>
  <si>
    <t>CINTAS TRASNPARENTES</t>
  </si>
  <si>
    <t>PRIMERA CALIDAD</t>
  </si>
  <si>
    <t>Treinta (30) días hábiles.-</t>
  </si>
  <si>
    <t>Especificidades Item N° 27 y 28:</t>
  </si>
  <si>
    <t>PERFORADORAS; TAMAÑO: CHICA, N° PERFORACIONES: 2, DIST. ENTRE AGUJ.: REGULABLE, GUIA POSICION PAPEL: CON, MATERIAL: METAL</t>
  </si>
  <si>
    <t>2.9.2-858.24</t>
  </si>
  <si>
    <t>2.3.1-6590.555</t>
  </si>
  <si>
    <t>SOBRES DE PAPEL; TIPO: MANILA, TAMAÑO: OFICIO, GRAMAJE: 80 GR, PRESENTACION: UNIDAD, CERTIFICADO FORESTAL (GFS): SIN, PORC. FIBRAS RECICLADAS: 0 %, CERT. FIBRA ALTERNATIVA (FCA): SIN</t>
  </si>
  <si>
    <t>2.3.1-6590.556</t>
  </si>
  <si>
    <t>SOBRES DE PAPEL; TIPO: MANILA, TAMAÑO: A4, GRAMAJE: 80 GR, PRESENTACION: UNIDAD, CERTIFICADO FORESTAL (GFS): SIN, PORC. FIBRAS RECICLADAS: 0 %, CERT. FIBRA ALTERNATIVA (FCA): SIN</t>
  </si>
  <si>
    <t>95 - Ministerio de Cultura , Turismo y Deporte.-</t>
  </si>
  <si>
    <t>18 - Secretaria de Administracion y Recursos Humanos.-</t>
  </si>
  <si>
    <t xml:space="preserve">El plazo de entrega no podrá ser superior a los Diez (10) días hábiles a partir de la fecha de recepción de la respectiva Orden de Compra. La entrega de dichos bienes se realizará en la Secretaria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</si>
  <si>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>Ministerio de Cultura, Turismo y Deporte.-</t>
  </si>
  <si>
    <t>006/2022</t>
  </si>
  <si>
    <t xml:space="preserve">UN MILLON CIENTO VEINTICUATRO MIL QUINIENTOS SETENTA CON 00/100 CENTAVOS.- </t>
  </si>
  <si>
    <t>2°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</si>
</sst>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\ * #,##0.00_-;\-&quot;$&quot;\ * #,##0.00_-;_-&quot;$&quot;\ * &quot;-&quot;??_-;_-@_-"/>
    <numFmt numFmtId="165" formatCode="&quot;$&quot;\ #,##0.00"/>
    <numFmt numFmtId="166" formatCode="[$$-2C0A]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2"/>
      <color rgb="FF000000"/>
      <name val="Times New Roman"/>
      <family val="1"/>
    </font>
    <font>
      <b/>
      <u/>
      <sz val="22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Fill="1" applyBorder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vertical="center"/>
    </xf>
    <xf numFmtId="165" fontId="8" fillId="0" borderId="10" xfId="1" applyNumberFormat="1" applyFont="1" applyBorder="1" applyAlignment="1" applyProtection="1">
      <alignment horizontal="center" vertical="center" wrapText="1"/>
    </xf>
    <xf numFmtId="165" fontId="8" fillId="0" borderId="14" xfId="1" applyNumberFormat="1" applyFont="1" applyBorder="1" applyAlignment="1" applyProtection="1">
      <alignment horizontal="center" vertical="center" wrapText="1"/>
    </xf>
    <xf numFmtId="165" fontId="8" fillId="0" borderId="16" xfId="1" applyNumberFormat="1" applyFont="1" applyBorder="1" applyAlignment="1" applyProtection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29" xfId="0" applyBorder="1"/>
    <xf numFmtId="0" fontId="0" fillId="0" borderId="7" xfId="0" applyBorder="1"/>
    <xf numFmtId="0" fontId="2" fillId="0" borderId="28" xfId="0" applyFont="1" applyBorder="1"/>
    <xf numFmtId="0" fontId="12" fillId="0" borderId="4" xfId="0" applyFont="1" applyBorder="1"/>
    <xf numFmtId="0" fontId="12" fillId="0" borderId="28" xfId="0" applyFont="1" applyBorder="1"/>
    <xf numFmtId="0" fontId="13" fillId="0" borderId="30" xfId="0" applyFont="1" applyBorder="1" applyAlignment="1">
      <alignment horizontal="right" vertical="center"/>
    </xf>
    <xf numFmtId="0" fontId="13" fillId="0" borderId="3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 indent="1"/>
    </xf>
    <xf numFmtId="0" fontId="14" fillId="0" borderId="9" xfId="0" applyFont="1" applyBorder="1" applyAlignment="1">
      <alignment horizontal="left" vertical="center" wrapText="1" indent="1"/>
    </xf>
    <xf numFmtId="0" fontId="8" fillId="0" borderId="12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left" vertical="center" wrapText="1"/>
    </xf>
    <xf numFmtId="1" fontId="8" fillId="0" borderId="12" xfId="0" applyNumberFormat="1" applyFont="1" applyFill="1" applyBorder="1" applyAlignment="1">
      <alignment horizontal="center" vertical="center" wrapText="1"/>
    </xf>
    <xf numFmtId="165" fontId="8" fillId="0" borderId="13" xfId="1" applyNumberFormat="1" applyFont="1" applyFill="1" applyBorder="1" applyAlignment="1" applyProtection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 wrapText="1"/>
    </xf>
    <xf numFmtId="1" fontId="9" fillId="0" borderId="14" xfId="0" applyNumberFormat="1" applyFont="1" applyFill="1" applyBorder="1" applyAlignment="1">
      <alignment horizontal="center" vertical="center" wrapText="1"/>
    </xf>
    <xf numFmtId="165" fontId="9" fillId="0" borderId="15" xfId="0" applyNumberFormat="1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center" vertical="center" wrapText="1"/>
    </xf>
    <xf numFmtId="1" fontId="9" fillId="0" borderId="16" xfId="0" applyNumberFormat="1" applyFont="1" applyFill="1" applyBorder="1" applyAlignment="1">
      <alignment horizontal="center" vertical="center" wrapText="1"/>
    </xf>
    <xf numFmtId="165" fontId="9" fillId="0" borderId="17" xfId="0" applyNumberFormat="1" applyFont="1" applyFill="1" applyBorder="1" applyAlignment="1">
      <alignment horizontal="center" vertical="center" wrapText="1"/>
    </xf>
    <xf numFmtId="49" fontId="14" fillId="0" borderId="31" xfId="0" applyNumberFormat="1" applyFont="1" applyFill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1" fontId="16" fillId="0" borderId="45" xfId="0" applyNumberFormat="1" applyFont="1" applyBorder="1" applyAlignment="1">
      <alignment horizontal="center" vertical="center" wrapText="1"/>
    </xf>
    <xf numFmtId="165" fontId="16" fillId="0" borderId="44" xfId="1" applyNumberFormat="1" applyFont="1" applyFill="1" applyBorder="1" applyAlignment="1" applyProtection="1">
      <alignment horizontal="center" vertical="center" wrapText="1"/>
    </xf>
    <xf numFmtId="0" fontId="8" fillId="0" borderId="4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 vertical="center" wrapText="1"/>
    </xf>
    <xf numFmtId="1" fontId="9" fillId="0" borderId="18" xfId="0" applyNumberFormat="1" applyFont="1" applyFill="1" applyBorder="1" applyAlignment="1">
      <alignment horizontal="center" vertical="center" wrapText="1"/>
    </xf>
    <xf numFmtId="165" fontId="9" fillId="0" borderId="19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29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44" xfId="0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9" fillId="0" borderId="45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8" fillId="0" borderId="16" xfId="0" applyFont="1" applyFill="1" applyBorder="1" applyAlignment="1">
      <alignment horizontal="center" vertical="center"/>
    </xf>
    <xf numFmtId="165" fontId="22" fillId="0" borderId="25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0" xfId="0" applyBorder="1" applyAlignment="1">
      <alignment horizontal="center" wrapText="1"/>
    </xf>
    <xf numFmtId="0" fontId="5" fillId="0" borderId="0" xfId="0" applyFont="1" applyFill="1" applyAlignment="1">
      <alignment horizontal="left" wrapText="1"/>
    </xf>
    <xf numFmtId="0" fontId="2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0" fontId="16" fillId="0" borderId="41" xfId="0" applyFont="1" applyBorder="1" applyAlignment="1">
      <alignment horizontal="left" vertical="center" wrapText="1"/>
    </xf>
    <xf numFmtId="0" fontId="16" fillId="0" borderId="38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39" xfId="0" applyFont="1" applyBorder="1" applyAlignment="1">
      <alignment horizontal="left" vertical="center" wrapText="1"/>
    </xf>
    <xf numFmtId="166" fontId="21" fillId="0" borderId="1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left" vertical="center" wrapText="1"/>
    </xf>
    <xf numFmtId="0" fontId="16" fillId="0" borderId="11" xfId="0" applyFont="1" applyFill="1" applyBorder="1" applyAlignment="1">
      <alignment horizontal="left" vertical="center" wrapText="1" indent="1"/>
    </xf>
    <xf numFmtId="0" fontId="15" fillId="0" borderId="34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6" fillId="0" borderId="2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zoomScale="89" zoomScaleNormal="89" workbookViewId="0">
      <selection activeCell="C8" sqref="C8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26.28515625" customWidth="1"/>
    <col min="4" max="4" width="8.42578125" customWidth="1"/>
    <col min="5" max="5" width="77.42578125" customWidth="1"/>
    <col min="7" max="7" width="11.5703125" customWidth="1"/>
    <col min="8" max="8" width="13.85546875" customWidth="1"/>
    <col min="9" max="9" width="22.5703125" customWidth="1"/>
  </cols>
  <sheetData>
    <row r="1" spans="1:9" ht="32.25" customHeight="1" x14ac:dyDescent="0.25">
      <c r="B1" s="74"/>
      <c r="C1" s="99"/>
      <c r="D1" s="99"/>
    </row>
    <row r="2" spans="1:9" ht="27" x14ac:dyDescent="0.35">
      <c r="A2" s="1"/>
      <c r="B2" s="101" t="s">
        <v>0</v>
      </c>
      <c r="C2" s="101"/>
      <c r="D2" s="101"/>
      <c r="E2" s="101"/>
      <c r="F2" s="101"/>
      <c r="G2" s="101"/>
      <c r="H2" s="10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102" t="s">
        <v>1</v>
      </c>
      <c r="B4" s="102"/>
      <c r="C4" s="103" t="s">
        <v>140</v>
      </c>
      <c r="D4" s="103"/>
      <c r="E4" s="103"/>
      <c r="F4" s="2"/>
      <c r="G4" s="3"/>
      <c r="H4" s="2"/>
      <c r="I4" s="1"/>
    </row>
    <row r="5" spans="1:9" ht="15.75" customHeight="1" x14ac:dyDescent="0.25">
      <c r="A5" s="102" t="s">
        <v>2</v>
      </c>
      <c r="B5" s="102"/>
      <c r="C5" s="103" t="s">
        <v>141</v>
      </c>
      <c r="D5" s="103"/>
      <c r="E5" s="103"/>
      <c r="F5" s="104"/>
      <c r="G5" s="104"/>
      <c r="H5" s="104"/>
      <c r="I5" s="104"/>
    </row>
    <row r="6" spans="1:9" ht="15.75" x14ac:dyDescent="0.25">
      <c r="A6" s="102" t="s">
        <v>3</v>
      </c>
      <c r="B6" s="102"/>
      <c r="C6" s="100">
        <v>2022</v>
      </c>
      <c r="D6" s="100"/>
      <c r="E6" s="100"/>
      <c r="F6" s="12"/>
      <c r="G6" s="13"/>
      <c r="H6" s="12"/>
      <c r="I6" s="11"/>
    </row>
    <row r="7" spans="1:9" ht="15.75" x14ac:dyDescent="0.25">
      <c r="A7" s="102" t="s">
        <v>4</v>
      </c>
      <c r="B7" s="102"/>
      <c r="C7" s="100" t="s">
        <v>146</v>
      </c>
      <c r="D7" s="100"/>
      <c r="E7" s="100"/>
      <c r="F7" s="12"/>
      <c r="G7" s="13"/>
      <c r="H7" s="105"/>
      <c r="I7" s="105"/>
    </row>
    <row r="8" spans="1:9" x14ac:dyDescent="0.25">
      <c r="A8" s="1"/>
      <c r="B8" s="2"/>
      <c r="C8" s="3"/>
      <c r="D8" s="2"/>
      <c r="E8" s="2"/>
      <c r="F8" s="12"/>
      <c r="G8" s="13"/>
      <c r="H8" s="105"/>
      <c r="I8" s="105"/>
    </row>
    <row r="9" spans="1:9" ht="15.75" thickBot="1" x14ac:dyDescent="0.3">
      <c r="A9" s="1"/>
      <c r="B9" s="2"/>
      <c r="C9" s="3"/>
      <c r="D9" s="2"/>
      <c r="E9" s="2"/>
      <c r="F9" s="2"/>
      <c r="G9" s="3"/>
      <c r="H9" s="4"/>
      <c r="I9" s="4"/>
    </row>
    <row r="10" spans="1:9" ht="39" thickBot="1" x14ac:dyDescent="0.3">
      <c r="A10" s="5" t="s">
        <v>5</v>
      </c>
      <c r="B10" s="6" t="s">
        <v>6</v>
      </c>
      <c r="C10" s="5" t="s">
        <v>7</v>
      </c>
      <c r="D10" s="6" t="s">
        <v>8</v>
      </c>
      <c r="E10" s="5" t="s">
        <v>9</v>
      </c>
      <c r="F10" s="6" t="s">
        <v>10</v>
      </c>
      <c r="G10" s="7" t="s">
        <v>11</v>
      </c>
      <c r="H10" s="8" t="s">
        <v>12</v>
      </c>
      <c r="I10" s="7" t="s">
        <v>13</v>
      </c>
    </row>
    <row r="11" spans="1:9" ht="25.5" x14ac:dyDescent="0.25">
      <c r="A11" s="34">
        <v>1</v>
      </c>
      <c r="B11" s="35" t="s">
        <v>37</v>
      </c>
      <c r="C11" s="61" t="s">
        <v>110</v>
      </c>
      <c r="D11" s="70" t="s">
        <v>105</v>
      </c>
      <c r="E11" s="36" t="s">
        <v>38</v>
      </c>
      <c r="F11" s="70" t="s">
        <v>36</v>
      </c>
      <c r="G11" s="37">
        <v>10</v>
      </c>
      <c r="H11" s="38">
        <v>2750</v>
      </c>
      <c r="I11" s="15">
        <f>G11*H11</f>
        <v>27500</v>
      </c>
    </row>
    <row r="12" spans="1:9" ht="25.5" x14ac:dyDescent="0.25">
      <c r="A12" s="14">
        <v>2</v>
      </c>
      <c r="B12" s="39" t="s">
        <v>117</v>
      </c>
      <c r="C12" s="62" t="s">
        <v>110</v>
      </c>
      <c r="D12" s="71" t="s">
        <v>105</v>
      </c>
      <c r="E12" s="41" t="s">
        <v>118</v>
      </c>
      <c r="F12" s="75" t="s">
        <v>36</v>
      </c>
      <c r="G12" s="42">
        <v>10</v>
      </c>
      <c r="H12" s="43">
        <v>3540</v>
      </c>
      <c r="I12" s="16">
        <f t="shared" ref="I12:I51" si="0">G12*H12</f>
        <v>35400</v>
      </c>
    </row>
    <row r="13" spans="1:9" ht="25.5" x14ac:dyDescent="0.25">
      <c r="A13" s="14">
        <v>3</v>
      </c>
      <c r="B13" s="56" t="s">
        <v>39</v>
      </c>
      <c r="C13" s="62" t="s">
        <v>110</v>
      </c>
      <c r="D13" s="71" t="s">
        <v>105</v>
      </c>
      <c r="E13" s="57" t="s">
        <v>40</v>
      </c>
      <c r="F13" s="58" t="s">
        <v>107</v>
      </c>
      <c r="G13" s="59">
        <v>30</v>
      </c>
      <c r="H13" s="60">
        <v>142</v>
      </c>
      <c r="I13" s="16">
        <f t="shared" si="0"/>
        <v>4260</v>
      </c>
    </row>
    <row r="14" spans="1:9" ht="25.5" customHeight="1" x14ac:dyDescent="0.25">
      <c r="A14" s="14">
        <v>4</v>
      </c>
      <c r="B14" s="56" t="s">
        <v>41</v>
      </c>
      <c r="C14" s="62" t="s">
        <v>110</v>
      </c>
      <c r="D14" s="71" t="s">
        <v>105</v>
      </c>
      <c r="E14" s="57" t="s">
        <v>42</v>
      </c>
      <c r="F14" s="58" t="s">
        <v>107</v>
      </c>
      <c r="G14" s="59">
        <v>30</v>
      </c>
      <c r="H14" s="60">
        <v>120</v>
      </c>
      <c r="I14" s="16">
        <f t="shared" si="0"/>
        <v>3600</v>
      </c>
    </row>
    <row r="15" spans="1:9" ht="25.5" x14ac:dyDescent="0.25">
      <c r="A15" s="14">
        <v>5</v>
      </c>
      <c r="B15" s="56" t="s">
        <v>119</v>
      </c>
      <c r="C15" s="62" t="s">
        <v>110</v>
      </c>
      <c r="D15" s="71" t="s">
        <v>105</v>
      </c>
      <c r="E15" s="57" t="s">
        <v>120</v>
      </c>
      <c r="F15" s="58" t="s">
        <v>107</v>
      </c>
      <c r="G15" s="59">
        <v>30</v>
      </c>
      <c r="H15" s="60">
        <v>195</v>
      </c>
      <c r="I15" s="16">
        <f t="shared" si="0"/>
        <v>5850</v>
      </c>
    </row>
    <row r="16" spans="1:9" ht="25.5" customHeight="1" x14ac:dyDescent="0.25">
      <c r="A16" s="14">
        <v>6</v>
      </c>
      <c r="B16" s="56" t="s">
        <v>43</v>
      </c>
      <c r="C16" s="62" t="s">
        <v>110</v>
      </c>
      <c r="D16" s="71" t="s">
        <v>105</v>
      </c>
      <c r="E16" s="57" t="s">
        <v>44</v>
      </c>
      <c r="F16" s="58" t="s">
        <v>107</v>
      </c>
      <c r="G16" s="59">
        <v>30</v>
      </c>
      <c r="H16" s="60">
        <v>230</v>
      </c>
      <c r="I16" s="16">
        <f t="shared" si="0"/>
        <v>6900</v>
      </c>
    </row>
    <row r="17" spans="1:9" ht="25.5" customHeight="1" x14ac:dyDescent="0.25">
      <c r="A17" s="14">
        <v>7</v>
      </c>
      <c r="B17" s="56" t="s">
        <v>45</v>
      </c>
      <c r="C17" s="62" t="s">
        <v>110</v>
      </c>
      <c r="D17" s="71" t="s">
        <v>105</v>
      </c>
      <c r="E17" s="57" t="s">
        <v>46</v>
      </c>
      <c r="F17" s="58" t="s">
        <v>36</v>
      </c>
      <c r="G17" s="59">
        <v>30</v>
      </c>
      <c r="H17" s="60">
        <v>96</v>
      </c>
      <c r="I17" s="16">
        <f t="shared" si="0"/>
        <v>2880</v>
      </c>
    </row>
    <row r="18" spans="1:9" ht="25.5" customHeight="1" x14ac:dyDescent="0.25">
      <c r="A18" s="14">
        <v>8</v>
      </c>
      <c r="B18" s="56" t="s">
        <v>47</v>
      </c>
      <c r="C18" s="62" t="s">
        <v>110</v>
      </c>
      <c r="D18" s="71" t="s">
        <v>105</v>
      </c>
      <c r="E18" s="57" t="s">
        <v>48</v>
      </c>
      <c r="F18" s="58" t="s">
        <v>36</v>
      </c>
      <c r="G18" s="59">
        <v>100</v>
      </c>
      <c r="H18" s="60">
        <v>95</v>
      </c>
      <c r="I18" s="16">
        <f t="shared" si="0"/>
        <v>9500</v>
      </c>
    </row>
    <row r="19" spans="1:9" ht="25.5" customHeight="1" x14ac:dyDescent="0.25">
      <c r="A19" s="14">
        <v>9</v>
      </c>
      <c r="B19" s="56" t="s">
        <v>49</v>
      </c>
      <c r="C19" s="62" t="s">
        <v>110</v>
      </c>
      <c r="D19" s="71" t="s">
        <v>105</v>
      </c>
      <c r="E19" s="57" t="s">
        <v>50</v>
      </c>
      <c r="F19" s="58" t="s">
        <v>36</v>
      </c>
      <c r="G19" s="59">
        <v>50</v>
      </c>
      <c r="H19" s="60">
        <v>55</v>
      </c>
      <c r="I19" s="16">
        <f t="shared" si="0"/>
        <v>2750</v>
      </c>
    </row>
    <row r="20" spans="1:9" ht="25.5" customHeight="1" x14ac:dyDescent="0.25">
      <c r="A20" s="14">
        <v>10</v>
      </c>
      <c r="B20" s="56" t="s">
        <v>51</v>
      </c>
      <c r="C20" s="62" t="s">
        <v>110</v>
      </c>
      <c r="D20" s="71" t="s">
        <v>105</v>
      </c>
      <c r="E20" s="57" t="s">
        <v>52</v>
      </c>
      <c r="F20" s="58" t="s">
        <v>36</v>
      </c>
      <c r="G20" s="59">
        <v>150</v>
      </c>
      <c r="H20" s="60">
        <v>35</v>
      </c>
      <c r="I20" s="16">
        <f t="shared" si="0"/>
        <v>5250</v>
      </c>
    </row>
    <row r="21" spans="1:9" ht="25.5" customHeight="1" x14ac:dyDescent="0.25">
      <c r="A21" s="14">
        <v>11</v>
      </c>
      <c r="B21" s="56" t="s">
        <v>53</v>
      </c>
      <c r="C21" s="62" t="s">
        <v>110</v>
      </c>
      <c r="D21" s="71" t="s">
        <v>105</v>
      </c>
      <c r="E21" s="57" t="s">
        <v>54</v>
      </c>
      <c r="F21" s="58" t="s">
        <v>36</v>
      </c>
      <c r="G21" s="59">
        <v>150</v>
      </c>
      <c r="H21" s="60">
        <v>95</v>
      </c>
      <c r="I21" s="16">
        <f t="shared" si="0"/>
        <v>14250</v>
      </c>
    </row>
    <row r="22" spans="1:9" ht="25.5" customHeight="1" x14ac:dyDescent="0.25">
      <c r="A22" s="14">
        <v>12</v>
      </c>
      <c r="B22" s="56" t="s">
        <v>55</v>
      </c>
      <c r="C22" s="62" t="s">
        <v>110</v>
      </c>
      <c r="D22" s="71" t="s">
        <v>105</v>
      </c>
      <c r="E22" s="57" t="s">
        <v>56</v>
      </c>
      <c r="F22" s="58" t="s">
        <v>36</v>
      </c>
      <c r="G22" s="59">
        <v>30</v>
      </c>
      <c r="H22" s="60">
        <v>200</v>
      </c>
      <c r="I22" s="16">
        <f t="shared" si="0"/>
        <v>6000</v>
      </c>
    </row>
    <row r="23" spans="1:9" ht="25.5" customHeight="1" x14ac:dyDescent="0.25">
      <c r="A23" s="14">
        <v>13</v>
      </c>
      <c r="B23" s="56" t="s">
        <v>57</v>
      </c>
      <c r="C23" s="62" t="s">
        <v>110</v>
      </c>
      <c r="D23" s="71" t="s">
        <v>105</v>
      </c>
      <c r="E23" s="57" t="s">
        <v>58</v>
      </c>
      <c r="F23" s="58" t="s">
        <v>108</v>
      </c>
      <c r="G23" s="59">
        <v>10</v>
      </c>
      <c r="H23" s="60">
        <v>1225</v>
      </c>
      <c r="I23" s="16">
        <f t="shared" si="0"/>
        <v>12250</v>
      </c>
    </row>
    <row r="24" spans="1:9" ht="25.5" customHeight="1" x14ac:dyDescent="0.25">
      <c r="A24" s="14">
        <v>14</v>
      </c>
      <c r="B24" s="56" t="s">
        <v>59</v>
      </c>
      <c r="C24" s="62" t="s">
        <v>110</v>
      </c>
      <c r="D24" s="71" t="s">
        <v>105</v>
      </c>
      <c r="E24" s="57" t="s">
        <v>60</v>
      </c>
      <c r="F24" s="58" t="s">
        <v>36</v>
      </c>
      <c r="G24" s="59">
        <v>50</v>
      </c>
      <c r="H24" s="60">
        <v>455</v>
      </c>
      <c r="I24" s="16">
        <f t="shared" si="0"/>
        <v>22750</v>
      </c>
    </row>
    <row r="25" spans="1:9" ht="25.5" customHeight="1" x14ac:dyDescent="0.25">
      <c r="A25" s="14">
        <v>15</v>
      </c>
      <c r="B25" s="56" t="s">
        <v>61</v>
      </c>
      <c r="C25" s="62" t="s">
        <v>110</v>
      </c>
      <c r="D25" s="71" t="s">
        <v>105</v>
      </c>
      <c r="E25" s="57" t="s">
        <v>62</v>
      </c>
      <c r="F25" s="58" t="s">
        <v>36</v>
      </c>
      <c r="G25" s="59">
        <v>30</v>
      </c>
      <c r="H25" s="60">
        <v>1150</v>
      </c>
      <c r="I25" s="16">
        <f t="shared" si="0"/>
        <v>34500</v>
      </c>
    </row>
    <row r="26" spans="1:9" ht="25.5" customHeight="1" x14ac:dyDescent="0.25">
      <c r="A26" s="14">
        <v>16</v>
      </c>
      <c r="B26" s="56" t="s">
        <v>63</v>
      </c>
      <c r="C26" s="62" t="s">
        <v>110</v>
      </c>
      <c r="D26" s="71" t="s">
        <v>105</v>
      </c>
      <c r="E26" s="57" t="s">
        <v>64</v>
      </c>
      <c r="F26" s="58" t="s">
        <v>36</v>
      </c>
      <c r="G26" s="59">
        <v>30</v>
      </c>
      <c r="H26" s="60">
        <v>1022</v>
      </c>
      <c r="I26" s="16">
        <f t="shared" si="0"/>
        <v>30660</v>
      </c>
    </row>
    <row r="27" spans="1:9" ht="25.5" customHeight="1" x14ac:dyDescent="0.25">
      <c r="A27" s="14">
        <v>17</v>
      </c>
      <c r="B27" s="56" t="s">
        <v>65</v>
      </c>
      <c r="C27" s="62" t="s">
        <v>110</v>
      </c>
      <c r="D27" s="71" t="s">
        <v>105</v>
      </c>
      <c r="E27" s="57" t="s">
        <v>66</v>
      </c>
      <c r="F27" s="58" t="s">
        <v>107</v>
      </c>
      <c r="G27" s="59">
        <v>20</v>
      </c>
      <c r="H27" s="60">
        <v>945</v>
      </c>
      <c r="I27" s="16">
        <f t="shared" si="0"/>
        <v>18900</v>
      </c>
    </row>
    <row r="28" spans="1:9" ht="25.5" customHeight="1" x14ac:dyDescent="0.25">
      <c r="A28" s="14">
        <v>18</v>
      </c>
      <c r="B28" s="56" t="s">
        <v>67</v>
      </c>
      <c r="C28" s="62" t="s">
        <v>110</v>
      </c>
      <c r="D28" s="71" t="s">
        <v>105</v>
      </c>
      <c r="E28" s="57" t="s">
        <v>68</v>
      </c>
      <c r="F28" s="58" t="s">
        <v>107</v>
      </c>
      <c r="G28" s="59">
        <v>20</v>
      </c>
      <c r="H28" s="60">
        <v>475</v>
      </c>
      <c r="I28" s="16">
        <f t="shared" si="0"/>
        <v>9500</v>
      </c>
    </row>
    <row r="29" spans="1:9" ht="25.5" customHeight="1" x14ac:dyDescent="0.25">
      <c r="A29" s="14">
        <v>19</v>
      </c>
      <c r="B29" s="56" t="s">
        <v>69</v>
      </c>
      <c r="C29" s="62" t="s">
        <v>110</v>
      </c>
      <c r="D29" s="71" t="s">
        <v>105</v>
      </c>
      <c r="E29" s="57" t="s">
        <v>70</v>
      </c>
      <c r="F29" s="58" t="s">
        <v>107</v>
      </c>
      <c r="G29" s="59">
        <v>20</v>
      </c>
      <c r="H29" s="60">
        <v>295</v>
      </c>
      <c r="I29" s="16">
        <f t="shared" si="0"/>
        <v>5900</v>
      </c>
    </row>
    <row r="30" spans="1:9" ht="45.75" customHeight="1" x14ac:dyDescent="0.25">
      <c r="A30" s="14">
        <v>20</v>
      </c>
      <c r="B30" s="56" t="s">
        <v>135</v>
      </c>
      <c r="C30" s="62" t="s">
        <v>110</v>
      </c>
      <c r="D30" s="71" t="s">
        <v>105</v>
      </c>
      <c r="E30" s="57" t="s">
        <v>134</v>
      </c>
      <c r="F30" s="58" t="s">
        <v>36</v>
      </c>
      <c r="G30" s="59">
        <v>10</v>
      </c>
      <c r="H30" s="60">
        <v>1297</v>
      </c>
      <c r="I30" s="16">
        <f t="shared" si="0"/>
        <v>12970</v>
      </c>
    </row>
    <row r="31" spans="1:9" ht="26.25" customHeight="1" x14ac:dyDescent="0.25">
      <c r="A31" s="14">
        <v>21</v>
      </c>
      <c r="B31" s="56" t="s">
        <v>71</v>
      </c>
      <c r="C31" s="62" t="s">
        <v>110</v>
      </c>
      <c r="D31" s="71" t="s">
        <v>105</v>
      </c>
      <c r="E31" s="57" t="s">
        <v>72</v>
      </c>
      <c r="F31" s="58" t="s">
        <v>36</v>
      </c>
      <c r="G31" s="59">
        <v>100</v>
      </c>
      <c r="H31" s="60">
        <v>90</v>
      </c>
      <c r="I31" s="16">
        <f t="shared" si="0"/>
        <v>9000</v>
      </c>
    </row>
    <row r="32" spans="1:9" ht="25.5" customHeight="1" x14ac:dyDescent="0.25">
      <c r="A32" s="14">
        <v>22</v>
      </c>
      <c r="B32" s="56" t="s">
        <v>73</v>
      </c>
      <c r="C32" s="62" t="s">
        <v>110</v>
      </c>
      <c r="D32" s="71" t="s">
        <v>105</v>
      </c>
      <c r="E32" s="57" t="s">
        <v>74</v>
      </c>
      <c r="F32" s="58" t="s">
        <v>36</v>
      </c>
      <c r="G32" s="59">
        <v>100</v>
      </c>
      <c r="H32" s="60">
        <v>70</v>
      </c>
      <c r="I32" s="16">
        <f t="shared" si="0"/>
        <v>7000</v>
      </c>
    </row>
    <row r="33" spans="1:9" ht="25.5" customHeight="1" x14ac:dyDescent="0.25">
      <c r="A33" s="14">
        <v>23</v>
      </c>
      <c r="B33" s="56" t="s">
        <v>75</v>
      </c>
      <c r="C33" s="62" t="s">
        <v>110</v>
      </c>
      <c r="D33" s="71" t="s">
        <v>105</v>
      </c>
      <c r="E33" s="57" t="s">
        <v>76</v>
      </c>
      <c r="F33" s="58" t="s">
        <v>36</v>
      </c>
      <c r="G33" s="59">
        <v>25</v>
      </c>
      <c r="H33" s="60">
        <v>470</v>
      </c>
      <c r="I33" s="16">
        <f t="shared" si="0"/>
        <v>11750</v>
      </c>
    </row>
    <row r="34" spans="1:9" ht="25.5" customHeight="1" x14ac:dyDescent="0.25">
      <c r="A34" s="14">
        <v>24</v>
      </c>
      <c r="B34" s="56" t="s">
        <v>77</v>
      </c>
      <c r="C34" s="62" t="s">
        <v>110</v>
      </c>
      <c r="D34" s="71" t="s">
        <v>105</v>
      </c>
      <c r="E34" s="57" t="s">
        <v>78</v>
      </c>
      <c r="F34" s="58" t="s">
        <v>36</v>
      </c>
      <c r="G34" s="59">
        <v>25</v>
      </c>
      <c r="H34" s="60">
        <v>230</v>
      </c>
      <c r="I34" s="16">
        <f t="shared" si="0"/>
        <v>5750</v>
      </c>
    </row>
    <row r="35" spans="1:9" ht="25.5" customHeight="1" x14ac:dyDescent="0.25">
      <c r="A35" s="14">
        <v>25</v>
      </c>
      <c r="B35" s="56" t="s">
        <v>79</v>
      </c>
      <c r="C35" s="62" t="s">
        <v>110</v>
      </c>
      <c r="D35" s="71" t="s">
        <v>105</v>
      </c>
      <c r="E35" s="57" t="s">
        <v>80</v>
      </c>
      <c r="F35" s="58" t="s">
        <v>36</v>
      </c>
      <c r="G35" s="59">
        <v>30</v>
      </c>
      <c r="H35" s="60">
        <v>505</v>
      </c>
      <c r="I35" s="16">
        <f t="shared" si="0"/>
        <v>15150</v>
      </c>
    </row>
    <row r="36" spans="1:9" ht="25.5" customHeight="1" x14ac:dyDescent="0.25">
      <c r="A36" s="14">
        <v>26</v>
      </c>
      <c r="B36" s="56" t="s">
        <v>83</v>
      </c>
      <c r="C36" s="62" t="s">
        <v>110</v>
      </c>
      <c r="D36" s="72" t="s">
        <v>105</v>
      </c>
      <c r="E36" s="57" t="s">
        <v>84</v>
      </c>
      <c r="F36" s="58" t="s">
        <v>36</v>
      </c>
      <c r="G36" s="59">
        <v>50</v>
      </c>
      <c r="H36" s="60">
        <v>115</v>
      </c>
      <c r="I36" s="16">
        <f t="shared" si="0"/>
        <v>5750</v>
      </c>
    </row>
    <row r="37" spans="1:9" ht="25.5" customHeight="1" x14ac:dyDescent="0.25">
      <c r="A37" s="14">
        <v>27</v>
      </c>
      <c r="B37" s="56" t="s">
        <v>85</v>
      </c>
      <c r="C37" s="62" t="s">
        <v>110</v>
      </c>
      <c r="D37" s="71" t="s">
        <v>105</v>
      </c>
      <c r="E37" s="57" t="s">
        <v>86</v>
      </c>
      <c r="F37" s="58" t="s">
        <v>36</v>
      </c>
      <c r="G37" s="59">
        <v>20</v>
      </c>
      <c r="H37" s="60">
        <v>190</v>
      </c>
      <c r="I37" s="16">
        <f t="shared" si="0"/>
        <v>3800</v>
      </c>
    </row>
    <row r="38" spans="1:9" ht="25.5" customHeight="1" x14ac:dyDescent="0.25">
      <c r="A38" s="14">
        <v>28</v>
      </c>
      <c r="B38" s="56" t="s">
        <v>87</v>
      </c>
      <c r="C38" s="62" t="s">
        <v>110</v>
      </c>
      <c r="D38" s="71" t="s">
        <v>105</v>
      </c>
      <c r="E38" s="57" t="s">
        <v>88</v>
      </c>
      <c r="F38" s="58" t="s">
        <v>36</v>
      </c>
      <c r="G38" s="59">
        <v>10</v>
      </c>
      <c r="H38" s="60">
        <v>140</v>
      </c>
      <c r="I38" s="16">
        <f t="shared" si="0"/>
        <v>1400</v>
      </c>
    </row>
    <row r="39" spans="1:9" ht="25.5" customHeight="1" x14ac:dyDescent="0.25">
      <c r="A39" s="14">
        <v>29</v>
      </c>
      <c r="B39" s="56" t="s">
        <v>89</v>
      </c>
      <c r="C39" s="62" t="s">
        <v>110</v>
      </c>
      <c r="D39" s="71" t="s">
        <v>105</v>
      </c>
      <c r="E39" s="57" t="s">
        <v>90</v>
      </c>
      <c r="F39" s="58" t="s">
        <v>107</v>
      </c>
      <c r="G39" s="59">
        <v>20</v>
      </c>
      <c r="H39" s="60">
        <v>85</v>
      </c>
      <c r="I39" s="16">
        <f t="shared" si="0"/>
        <v>1700</v>
      </c>
    </row>
    <row r="40" spans="1:9" ht="25.5" customHeight="1" x14ac:dyDescent="0.25">
      <c r="A40" s="14">
        <v>30</v>
      </c>
      <c r="B40" s="56" t="s">
        <v>91</v>
      </c>
      <c r="C40" s="62" t="s">
        <v>110</v>
      </c>
      <c r="D40" s="71" t="s">
        <v>105</v>
      </c>
      <c r="E40" s="57" t="s">
        <v>92</v>
      </c>
      <c r="F40" s="58" t="s">
        <v>107</v>
      </c>
      <c r="G40" s="59">
        <v>20</v>
      </c>
      <c r="H40" s="60">
        <v>92</v>
      </c>
      <c r="I40" s="16">
        <f t="shared" si="0"/>
        <v>1840</v>
      </c>
    </row>
    <row r="41" spans="1:9" ht="25.5" customHeight="1" x14ac:dyDescent="0.25">
      <c r="A41" s="14">
        <v>31</v>
      </c>
      <c r="B41" s="56" t="s">
        <v>93</v>
      </c>
      <c r="C41" s="62" t="s">
        <v>110</v>
      </c>
      <c r="D41" s="71" t="s">
        <v>105</v>
      </c>
      <c r="E41" s="57" t="s">
        <v>94</v>
      </c>
      <c r="F41" s="58" t="s">
        <v>36</v>
      </c>
      <c r="G41" s="59">
        <v>10</v>
      </c>
      <c r="H41" s="60">
        <v>130</v>
      </c>
      <c r="I41" s="16">
        <f t="shared" si="0"/>
        <v>1300</v>
      </c>
    </row>
    <row r="42" spans="1:9" ht="25.5" customHeight="1" x14ac:dyDescent="0.25">
      <c r="A42" s="14">
        <v>32</v>
      </c>
      <c r="B42" s="56" t="s">
        <v>95</v>
      </c>
      <c r="C42" s="62" t="s">
        <v>110</v>
      </c>
      <c r="D42" s="71" t="s">
        <v>105</v>
      </c>
      <c r="E42" s="57" t="s">
        <v>96</v>
      </c>
      <c r="F42" s="58" t="s">
        <v>36</v>
      </c>
      <c r="G42" s="59">
        <v>10</v>
      </c>
      <c r="H42" s="60">
        <v>236</v>
      </c>
      <c r="I42" s="16">
        <f t="shared" si="0"/>
        <v>2360</v>
      </c>
    </row>
    <row r="43" spans="1:9" ht="33" customHeight="1" x14ac:dyDescent="0.25">
      <c r="A43" s="14">
        <v>33</v>
      </c>
      <c r="B43" s="56" t="s">
        <v>97</v>
      </c>
      <c r="C43" s="62" t="s">
        <v>110</v>
      </c>
      <c r="D43" s="69" t="s">
        <v>105</v>
      </c>
      <c r="E43" s="57" t="s">
        <v>98</v>
      </c>
      <c r="F43" s="58" t="s">
        <v>36</v>
      </c>
      <c r="G43" s="59">
        <v>20</v>
      </c>
      <c r="H43" s="60">
        <v>305</v>
      </c>
      <c r="I43" s="16">
        <f t="shared" si="0"/>
        <v>6100</v>
      </c>
    </row>
    <row r="44" spans="1:9" ht="46.5" customHeight="1" x14ac:dyDescent="0.25">
      <c r="A44" s="14">
        <v>34</v>
      </c>
      <c r="B44" s="56" t="s">
        <v>136</v>
      </c>
      <c r="C44" s="62" t="s">
        <v>110</v>
      </c>
      <c r="D44" s="40" t="s">
        <v>106</v>
      </c>
      <c r="E44" s="57" t="s">
        <v>137</v>
      </c>
      <c r="F44" s="58" t="s">
        <v>36</v>
      </c>
      <c r="G44" s="59">
        <v>30</v>
      </c>
      <c r="H44" s="60">
        <v>2075</v>
      </c>
      <c r="I44" s="16">
        <f t="shared" si="0"/>
        <v>62250</v>
      </c>
    </row>
    <row r="45" spans="1:9" ht="47.25" customHeight="1" x14ac:dyDescent="0.25">
      <c r="A45" s="14">
        <v>35</v>
      </c>
      <c r="B45" s="56" t="s">
        <v>138</v>
      </c>
      <c r="C45" s="62" t="s">
        <v>110</v>
      </c>
      <c r="D45" s="40" t="s">
        <v>106</v>
      </c>
      <c r="E45" s="57" t="s">
        <v>139</v>
      </c>
      <c r="F45" s="58" t="s">
        <v>36</v>
      </c>
      <c r="G45" s="59">
        <v>30</v>
      </c>
      <c r="H45" s="60">
        <v>1690</v>
      </c>
      <c r="I45" s="16">
        <f t="shared" si="0"/>
        <v>50700</v>
      </c>
    </row>
    <row r="46" spans="1:9" ht="45.75" customHeight="1" x14ac:dyDescent="0.25">
      <c r="A46" s="14">
        <v>36</v>
      </c>
      <c r="B46" s="56" t="s">
        <v>99</v>
      </c>
      <c r="C46" s="62" t="s">
        <v>110</v>
      </c>
      <c r="D46" s="40" t="s">
        <v>106</v>
      </c>
      <c r="E46" s="57" t="s">
        <v>100</v>
      </c>
      <c r="F46" s="58" t="s">
        <v>109</v>
      </c>
      <c r="G46" s="59">
        <v>250</v>
      </c>
      <c r="H46" s="60">
        <v>1090</v>
      </c>
      <c r="I46" s="16">
        <f t="shared" si="0"/>
        <v>272500</v>
      </c>
    </row>
    <row r="47" spans="1:9" ht="51.75" customHeight="1" x14ac:dyDescent="0.25">
      <c r="A47" s="14">
        <v>37</v>
      </c>
      <c r="B47" s="56" t="s">
        <v>101</v>
      </c>
      <c r="C47" s="62" t="s">
        <v>110</v>
      </c>
      <c r="D47" s="40" t="s">
        <v>106</v>
      </c>
      <c r="E47" s="57" t="s">
        <v>102</v>
      </c>
      <c r="F47" s="58" t="s">
        <v>109</v>
      </c>
      <c r="G47" s="59">
        <v>250</v>
      </c>
      <c r="H47" s="60">
        <v>1345</v>
      </c>
      <c r="I47" s="16">
        <f t="shared" si="0"/>
        <v>336250</v>
      </c>
    </row>
    <row r="48" spans="1:9" ht="48" customHeight="1" x14ac:dyDescent="0.25">
      <c r="A48" s="14">
        <v>38</v>
      </c>
      <c r="B48" s="56" t="s">
        <v>103</v>
      </c>
      <c r="C48" s="62" t="s">
        <v>110</v>
      </c>
      <c r="D48" s="40" t="s">
        <v>106</v>
      </c>
      <c r="E48" s="57" t="s">
        <v>104</v>
      </c>
      <c r="F48" s="58" t="s">
        <v>36</v>
      </c>
      <c r="G48" s="59">
        <v>20</v>
      </c>
      <c r="H48" s="60">
        <v>1015</v>
      </c>
      <c r="I48" s="16">
        <f t="shared" si="0"/>
        <v>20300</v>
      </c>
    </row>
    <row r="49" spans="1:9" ht="44.25" customHeight="1" x14ac:dyDescent="0.25">
      <c r="A49" s="14">
        <v>39</v>
      </c>
      <c r="B49" s="56" t="s">
        <v>115</v>
      </c>
      <c r="C49" s="62" t="s">
        <v>110</v>
      </c>
      <c r="D49" s="40" t="s">
        <v>106</v>
      </c>
      <c r="E49" s="57" t="s">
        <v>116</v>
      </c>
      <c r="F49" s="58" t="s">
        <v>36</v>
      </c>
      <c r="G49" s="59">
        <v>20</v>
      </c>
      <c r="H49" s="60">
        <v>1005</v>
      </c>
      <c r="I49" s="16">
        <f t="shared" si="0"/>
        <v>20100</v>
      </c>
    </row>
    <row r="50" spans="1:9" ht="46.5" customHeight="1" x14ac:dyDescent="0.25">
      <c r="A50" s="14">
        <v>40</v>
      </c>
      <c r="B50" s="56" t="s">
        <v>113</v>
      </c>
      <c r="C50" s="62" t="s">
        <v>110</v>
      </c>
      <c r="D50" s="40" t="s">
        <v>106</v>
      </c>
      <c r="E50" s="57" t="s">
        <v>114</v>
      </c>
      <c r="F50" s="58" t="s">
        <v>36</v>
      </c>
      <c r="G50" s="59">
        <v>20</v>
      </c>
      <c r="H50" s="60">
        <v>340</v>
      </c>
      <c r="I50" s="16">
        <f t="shared" si="0"/>
        <v>6800</v>
      </c>
    </row>
    <row r="51" spans="1:9" ht="26.25" customHeight="1" x14ac:dyDescent="0.25">
      <c r="A51" s="76">
        <v>41</v>
      </c>
      <c r="B51" s="56" t="s">
        <v>81</v>
      </c>
      <c r="C51" s="73" t="s">
        <v>110</v>
      </c>
      <c r="D51" s="40" t="s">
        <v>106</v>
      </c>
      <c r="E51" s="57" t="s">
        <v>82</v>
      </c>
      <c r="F51" s="58" t="s">
        <v>107</v>
      </c>
      <c r="G51" s="59">
        <v>20</v>
      </c>
      <c r="H51" s="60">
        <v>560</v>
      </c>
      <c r="I51" s="16">
        <f t="shared" si="0"/>
        <v>11200</v>
      </c>
    </row>
    <row r="52" spans="1:9" ht="15.75" thickBot="1" x14ac:dyDescent="0.3">
      <c r="A52" s="87"/>
      <c r="B52" s="44"/>
      <c r="C52" s="45"/>
      <c r="D52" s="46"/>
      <c r="E52" s="47"/>
      <c r="F52" s="48"/>
      <c r="G52" s="49"/>
      <c r="H52" s="50"/>
      <c r="I52" s="17"/>
    </row>
    <row r="53" spans="1:9" ht="25.5" customHeight="1" thickBot="1" x14ac:dyDescent="0.3">
      <c r="A53" s="1"/>
      <c r="B53" s="1"/>
      <c r="C53" s="1"/>
      <c r="D53" s="1"/>
      <c r="E53" s="9"/>
      <c r="F53" s="10"/>
      <c r="G53" s="10"/>
      <c r="H53" s="10"/>
      <c r="I53" s="88">
        <f>SUM(I11:I52)</f>
        <v>1124570</v>
      </c>
    </row>
    <row r="54" spans="1:9" ht="15.75" thickBot="1" x14ac:dyDescent="0.3"/>
    <row r="55" spans="1:9" x14ac:dyDescent="0.25">
      <c r="B55" s="24" t="s">
        <v>121</v>
      </c>
      <c r="C55" s="18"/>
      <c r="D55" s="18"/>
      <c r="E55" s="19"/>
    </row>
    <row r="56" spans="1:9" x14ac:dyDescent="0.25">
      <c r="B56" s="23"/>
      <c r="C56" s="20"/>
      <c r="D56" s="20"/>
      <c r="E56" s="21"/>
    </row>
    <row r="57" spans="1:9" x14ac:dyDescent="0.25">
      <c r="B57" s="23" t="s">
        <v>18</v>
      </c>
      <c r="C57" s="20"/>
      <c r="D57" s="20"/>
      <c r="E57" s="21"/>
    </row>
    <row r="58" spans="1:9" s="68" customFormat="1" ht="42" customHeight="1" thickBot="1" x14ac:dyDescent="0.3">
      <c r="B58" s="67"/>
      <c r="C58" s="106" t="s">
        <v>122</v>
      </c>
      <c r="D58" s="106"/>
      <c r="E58" s="107"/>
    </row>
    <row r="59" spans="1:9" x14ac:dyDescent="0.25">
      <c r="B59" s="25" t="s">
        <v>123</v>
      </c>
      <c r="C59" s="20"/>
      <c r="D59" s="20"/>
      <c r="E59" s="21"/>
    </row>
    <row r="60" spans="1:9" x14ac:dyDescent="0.25">
      <c r="B60" s="23"/>
      <c r="C60" s="20"/>
      <c r="D60" s="20"/>
      <c r="E60" s="21"/>
    </row>
    <row r="61" spans="1:9" x14ac:dyDescent="0.25">
      <c r="B61" s="23" t="s">
        <v>18</v>
      </c>
      <c r="C61" s="20"/>
      <c r="D61" s="20"/>
      <c r="E61" s="21"/>
    </row>
    <row r="62" spans="1:9" s="68" customFormat="1" ht="39" customHeight="1" thickBot="1" x14ac:dyDescent="0.3">
      <c r="B62" s="67"/>
      <c r="C62" s="91" t="s">
        <v>124</v>
      </c>
      <c r="D62" s="91"/>
      <c r="E62" s="92"/>
    </row>
    <row r="63" spans="1:9" ht="13.5" customHeight="1" x14ac:dyDescent="0.25">
      <c r="B63" s="25" t="s">
        <v>125</v>
      </c>
      <c r="C63" s="20"/>
      <c r="D63" s="20"/>
      <c r="E63" s="21"/>
    </row>
    <row r="64" spans="1:9" x14ac:dyDescent="0.25">
      <c r="B64" s="23"/>
      <c r="C64" s="20"/>
      <c r="D64" s="20"/>
      <c r="E64" s="21"/>
    </row>
    <row r="65" spans="2:5" x14ac:dyDescent="0.25">
      <c r="B65" s="23" t="s">
        <v>18</v>
      </c>
      <c r="C65" s="20"/>
      <c r="D65" s="20"/>
      <c r="E65" s="21"/>
    </row>
    <row r="66" spans="2:5" s="68" customFormat="1" ht="30.75" customHeight="1" thickBot="1" x14ac:dyDescent="0.3">
      <c r="B66" s="67"/>
      <c r="C66" s="91" t="s">
        <v>124</v>
      </c>
      <c r="D66" s="91"/>
      <c r="E66" s="92"/>
    </row>
    <row r="67" spans="2:5" x14ac:dyDescent="0.25">
      <c r="B67" s="25" t="s">
        <v>126</v>
      </c>
      <c r="C67" s="20"/>
      <c r="D67" s="20"/>
      <c r="E67" s="21"/>
    </row>
    <row r="68" spans="2:5" x14ac:dyDescent="0.25">
      <c r="B68" s="23"/>
      <c r="C68" s="20"/>
      <c r="D68" s="20"/>
      <c r="E68" s="21"/>
    </row>
    <row r="69" spans="2:5" x14ac:dyDescent="0.25">
      <c r="B69" s="23" t="s">
        <v>18</v>
      </c>
      <c r="C69" s="20"/>
      <c r="D69" s="20"/>
      <c r="E69" s="21"/>
    </row>
    <row r="70" spans="2:5" s="68" customFormat="1" ht="42.75" customHeight="1" thickBot="1" x14ac:dyDescent="0.3">
      <c r="B70" s="67"/>
      <c r="C70" s="91" t="s">
        <v>127</v>
      </c>
      <c r="D70" s="91"/>
      <c r="E70" s="92"/>
    </row>
    <row r="71" spans="2:5" s="68" customFormat="1" x14ac:dyDescent="0.25">
      <c r="B71" s="78" t="s">
        <v>129</v>
      </c>
      <c r="C71" s="79"/>
      <c r="D71" s="79"/>
      <c r="E71" s="80"/>
    </row>
    <row r="72" spans="2:5" s="68" customFormat="1" x14ac:dyDescent="0.25">
      <c r="B72" s="77"/>
      <c r="C72" s="81"/>
      <c r="D72" s="81"/>
      <c r="E72" s="82"/>
    </row>
    <row r="73" spans="2:5" s="68" customFormat="1" x14ac:dyDescent="0.25">
      <c r="B73" s="77" t="s">
        <v>18</v>
      </c>
      <c r="C73" s="81"/>
      <c r="D73" s="81"/>
      <c r="E73" s="82"/>
    </row>
    <row r="74" spans="2:5" s="68" customFormat="1" ht="30" customHeight="1" thickBot="1" x14ac:dyDescent="0.3">
      <c r="B74" s="67"/>
      <c r="C74" s="91" t="s">
        <v>128</v>
      </c>
      <c r="D74" s="91"/>
      <c r="E74" s="92"/>
    </row>
    <row r="75" spans="2:5" s="68" customFormat="1" x14ac:dyDescent="0.25">
      <c r="B75" s="78" t="s">
        <v>133</v>
      </c>
      <c r="C75" s="79"/>
      <c r="D75" s="79"/>
      <c r="E75" s="80"/>
    </row>
    <row r="76" spans="2:5" s="68" customFormat="1" x14ac:dyDescent="0.25">
      <c r="B76" s="77"/>
      <c r="C76" s="81"/>
      <c r="D76" s="81"/>
      <c r="E76" s="82"/>
    </row>
    <row r="77" spans="2:5" s="68" customFormat="1" x14ac:dyDescent="0.25">
      <c r="B77" s="77" t="s">
        <v>18</v>
      </c>
      <c r="C77" s="81"/>
      <c r="D77" s="81"/>
      <c r="E77" s="82"/>
    </row>
    <row r="78" spans="2:5" s="68" customFormat="1" x14ac:dyDescent="0.25">
      <c r="B78" s="95"/>
      <c r="C78" s="93" t="s">
        <v>130</v>
      </c>
      <c r="D78" s="93"/>
      <c r="E78" s="94"/>
    </row>
    <row r="79" spans="2:5" s="68" customFormat="1" ht="15.75" thickBot="1" x14ac:dyDescent="0.3">
      <c r="B79" s="96"/>
      <c r="C79" s="91"/>
      <c r="D79" s="91"/>
      <c r="E79" s="92"/>
    </row>
    <row r="80" spans="2:5" x14ac:dyDescent="0.25">
      <c r="B80" s="25" t="s">
        <v>14</v>
      </c>
      <c r="C80" s="20"/>
      <c r="D80" s="20"/>
      <c r="E80" s="21"/>
    </row>
    <row r="81" spans="2:5" s="83" customFormat="1" ht="90.75" customHeight="1" thickBot="1" x14ac:dyDescent="0.3">
      <c r="B81" s="84" t="s">
        <v>15</v>
      </c>
      <c r="C81" s="91" t="s">
        <v>142</v>
      </c>
      <c r="D81" s="97"/>
      <c r="E81" s="98"/>
    </row>
    <row r="82" spans="2:5" x14ac:dyDescent="0.25">
      <c r="B82" s="25" t="s">
        <v>19</v>
      </c>
      <c r="C82" s="20"/>
      <c r="D82" s="20"/>
      <c r="E82" s="21"/>
    </row>
    <row r="83" spans="2:5" s="68" customFormat="1" ht="25.5" customHeight="1" thickBot="1" x14ac:dyDescent="0.3">
      <c r="B83" s="67"/>
      <c r="C83" s="85" t="s">
        <v>131</v>
      </c>
      <c r="D83" s="85"/>
      <c r="E83" s="86"/>
    </row>
    <row r="84" spans="2:5" x14ac:dyDescent="0.25">
      <c r="B84" s="25" t="s">
        <v>16</v>
      </c>
      <c r="C84" s="20"/>
      <c r="D84" s="20"/>
      <c r="E84" s="21"/>
    </row>
    <row r="85" spans="2:5" s="83" customFormat="1" ht="33" customHeight="1" thickBot="1" x14ac:dyDescent="0.3">
      <c r="B85" s="84"/>
      <c r="C85" s="85" t="s">
        <v>132</v>
      </c>
      <c r="D85" s="85"/>
      <c r="E85" s="86"/>
    </row>
    <row r="86" spans="2:5" x14ac:dyDescent="0.25">
      <c r="B86" s="24" t="s">
        <v>17</v>
      </c>
      <c r="C86" s="18"/>
      <c r="D86" s="18"/>
      <c r="E86" s="19"/>
    </row>
    <row r="87" spans="2:5" ht="15.75" thickBot="1" x14ac:dyDescent="0.3">
      <c r="B87" s="22"/>
      <c r="C87" s="89"/>
      <c r="D87" s="89"/>
      <c r="E87" s="90"/>
    </row>
  </sheetData>
  <mergeCells count="21">
    <mergeCell ref="B78:B79"/>
    <mergeCell ref="C81:E81"/>
    <mergeCell ref="C1:D1"/>
    <mergeCell ref="C7:E7"/>
    <mergeCell ref="C6:E6"/>
    <mergeCell ref="B2:H2"/>
    <mergeCell ref="A4:B4"/>
    <mergeCell ref="C4:E4"/>
    <mergeCell ref="A5:B5"/>
    <mergeCell ref="C5:E5"/>
    <mergeCell ref="F5:I5"/>
    <mergeCell ref="A6:B6"/>
    <mergeCell ref="A7:B7"/>
    <mergeCell ref="H7:I8"/>
    <mergeCell ref="C58:E58"/>
    <mergeCell ref="C62:E62"/>
    <mergeCell ref="C87:E87"/>
    <mergeCell ref="C66:E66"/>
    <mergeCell ref="C70:E70"/>
    <mergeCell ref="C74:E74"/>
    <mergeCell ref="C78:E79"/>
  </mergeCells>
  <pageMargins left="0.70866141732283472" right="0.70866141732283472" top="0.74803149606299213" bottom="0.74803149606299213" header="0.31496062992125984" footer="0.31496062992125984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zoomScale="96" zoomScaleNormal="96" workbookViewId="0">
      <selection activeCell="D7" sqref="D7:K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15" customWidth="1"/>
    <col min="7" max="7" width="7.5703125" customWidth="1"/>
    <col min="8" max="8" width="9.28515625" customWidth="1"/>
    <col min="9" max="9" width="11.85546875" customWidth="1"/>
    <col min="10" max="10" width="11.28515625" customWidth="1"/>
    <col min="11" max="11" width="13.28515625" customWidth="1"/>
  </cols>
  <sheetData>
    <row r="1" spans="1:11" ht="16.5" thickBot="1" x14ac:dyDescent="0.3">
      <c r="A1" s="136" t="s">
        <v>20</v>
      </c>
      <c r="B1" s="136"/>
      <c r="C1" s="136"/>
      <c r="D1" s="136"/>
      <c r="E1" s="136"/>
      <c r="F1" s="136"/>
      <c r="G1" s="136"/>
      <c r="H1" s="136"/>
      <c r="I1" s="136"/>
      <c r="J1" s="26" t="s">
        <v>21</v>
      </c>
      <c r="K1" s="51" t="s">
        <v>144</v>
      </c>
    </row>
    <row r="2" spans="1:11" ht="16.5" thickBot="1" x14ac:dyDescent="0.3">
      <c r="A2" s="27"/>
      <c r="B2" s="27"/>
      <c r="C2" s="27"/>
      <c r="D2" s="28"/>
      <c r="E2" s="28"/>
      <c r="F2" s="28"/>
      <c r="G2" s="28"/>
      <c r="H2" s="28"/>
      <c r="I2" s="28"/>
      <c r="J2" s="28"/>
      <c r="K2" s="28"/>
    </row>
    <row r="3" spans="1:11" ht="16.5" thickBot="1" x14ac:dyDescent="0.3">
      <c r="A3" s="127" t="s">
        <v>22</v>
      </c>
      <c r="B3" s="127"/>
      <c r="C3" s="127"/>
      <c r="D3" s="137" t="str">
        <f>'Necesidades Trimestrales'!C4</f>
        <v>95 - Ministerio de Cultura , Turismo y Deporte.-</v>
      </c>
      <c r="E3" s="138"/>
      <c r="F3" s="138"/>
      <c r="G3" s="138"/>
      <c r="H3" s="138"/>
      <c r="I3" s="138"/>
      <c r="J3" s="138"/>
      <c r="K3" s="139"/>
    </row>
    <row r="4" spans="1:11" ht="16.5" thickBot="1" x14ac:dyDescent="0.3">
      <c r="A4" s="129" t="s">
        <v>23</v>
      </c>
      <c r="B4" s="129"/>
      <c r="C4" s="129"/>
      <c r="D4" s="140" t="str">
        <f>'Necesidades Trimestrales'!C5</f>
        <v>18 - Secretaria de Administracion y Recursos Humanos.-</v>
      </c>
      <c r="E4" s="140"/>
      <c r="F4" s="140"/>
      <c r="G4" s="140"/>
      <c r="H4" s="140"/>
      <c r="I4" s="140"/>
      <c r="J4" s="140"/>
      <c r="K4" s="140"/>
    </row>
    <row r="5" spans="1:11" ht="16.5" thickBot="1" x14ac:dyDescent="0.3">
      <c r="A5" s="129" t="s">
        <v>24</v>
      </c>
      <c r="B5" s="129"/>
      <c r="C5" s="129"/>
      <c r="D5" s="128" t="s">
        <v>143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3">
      <c r="A6" s="127" t="s">
        <v>25</v>
      </c>
      <c r="B6" s="127"/>
      <c r="C6" s="127"/>
      <c r="D6" s="128" t="s">
        <v>143</v>
      </c>
      <c r="E6" s="128"/>
      <c r="F6" s="128"/>
      <c r="G6" s="128"/>
      <c r="H6" s="128"/>
      <c r="I6" s="128"/>
      <c r="J6" s="128"/>
      <c r="K6" s="128"/>
    </row>
    <row r="7" spans="1:11" ht="16.5" thickBot="1" x14ac:dyDescent="0.3">
      <c r="A7" s="129" t="s">
        <v>26</v>
      </c>
      <c r="B7" s="129"/>
      <c r="C7" s="129"/>
      <c r="D7" s="130" t="str">
        <f xml:space="preserve"> 'Necesidades Trimestrales'!C7 &amp; "  - Año " &amp; 'Necesidades Trimestrales'!C6</f>
        <v>2° Trimestre  - Año 2022</v>
      </c>
      <c r="E7" s="130"/>
      <c r="F7" s="130"/>
      <c r="G7" s="130"/>
      <c r="H7" s="130"/>
      <c r="I7" s="130"/>
      <c r="J7" s="130"/>
      <c r="K7" s="130"/>
    </row>
    <row r="8" spans="1:11" ht="36.75" customHeight="1" thickBot="1" x14ac:dyDescent="0.3">
      <c r="A8" s="131" t="s">
        <v>27</v>
      </c>
      <c r="B8" s="132"/>
      <c r="C8" s="133"/>
      <c r="D8" s="134" t="s">
        <v>112</v>
      </c>
      <c r="E8" s="134"/>
      <c r="F8" s="134"/>
      <c r="G8" s="134"/>
      <c r="H8" s="134"/>
      <c r="I8" s="134"/>
      <c r="J8" s="134"/>
      <c r="K8" s="135"/>
    </row>
    <row r="9" spans="1:11" ht="16.5" thickBot="1" x14ac:dyDescent="0.3">
      <c r="A9" s="29"/>
      <c r="B9" s="30"/>
      <c r="C9" s="31"/>
      <c r="D9" s="32"/>
      <c r="E9" s="32"/>
      <c r="F9" s="32"/>
      <c r="G9" s="32"/>
      <c r="H9" s="32"/>
      <c r="I9" s="32"/>
      <c r="J9" s="32"/>
      <c r="K9" s="33"/>
    </row>
    <row r="10" spans="1:11" ht="24.75" customHeight="1" thickBot="1" x14ac:dyDescent="0.3">
      <c r="A10" s="121" t="s">
        <v>28</v>
      </c>
      <c r="B10" s="113" t="s">
        <v>29</v>
      </c>
      <c r="C10" s="122" t="s">
        <v>30</v>
      </c>
      <c r="D10" s="123"/>
      <c r="E10" s="123"/>
      <c r="F10" s="123"/>
      <c r="G10" s="124"/>
      <c r="H10" s="125" t="s">
        <v>31</v>
      </c>
      <c r="I10" s="113" t="s">
        <v>32</v>
      </c>
      <c r="J10" s="126" t="s">
        <v>33</v>
      </c>
      <c r="K10" s="113" t="s">
        <v>34</v>
      </c>
    </row>
    <row r="11" spans="1:11" ht="21.75" customHeight="1" thickBot="1" x14ac:dyDescent="0.3">
      <c r="A11" s="121"/>
      <c r="B11" s="113"/>
      <c r="C11" s="122"/>
      <c r="D11" s="123"/>
      <c r="E11" s="123"/>
      <c r="F11" s="123"/>
      <c r="G11" s="124"/>
      <c r="H11" s="125"/>
      <c r="I11" s="113"/>
      <c r="J11" s="126"/>
      <c r="K11" s="113"/>
    </row>
    <row r="12" spans="1:11" ht="45" customHeight="1" x14ac:dyDescent="0.25">
      <c r="A12" s="63">
        <v>1</v>
      </c>
      <c r="B12" s="65" t="str">
        <f>'Necesidades Trimestrales'!B11</f>
        <v>2.9.2-261.14</v>
      </c>
      <c r="C12" s="114" t="str">
        <f>'Necesidades Trimestrales'!E11</f>
        <v>ABROCHADORAS DE PAPEL; TIPO: PINZA, P/BROCHES: 10/50, MATERIAL: METALICA, MEDIDA: 10/50</v>
      </c>
      <c r="D12" s="115"/>
      <c r="E12" s="115"/>
      <c r="F12" s="115"/>
      <c r="G12" s="116"/>
      <c r="H12" s="52" t="s">
        <v>111</v>
      </c>
      <c r="I12" s="53" t="str">
        <f>'Necesidades Trimestrales'!F11</f>
        <v>UNIDAD</v>
      </c>
      <c r="J12" s="54">
        <f>'Necesidades Trimestrales'!G11</f>
        <v>10</v>
      </c>
      <c r="K12" s="55">
        <f>'Necesidades Trimestrales'!H11</f>
        <v>2750</v>
      </c>
    </row>
    <row r="13" spans="1:11" ht="45" customHeight="1" x14ac:dyDescent="0.25">
      <c r="A13" s="64">
        <f>'Necesidades Trimestrales'!A12</f>
        <v>2</v>
      </c>
      <c r="B13" s="66" t="str">
        <f>'Necesidades Trimestrales'!B12</f>
        <v>2.9.2-261.6</v>
      </c>
      <c r="C13" s="117" t="str">
        <f>'Necesidades Trimestrales'!E12</f>
        <v>ABROCHADORAS DE PAPEL; MATERIAL: METALICA, TIPO: DE ESCRITORIO, MEDIDA: 21/6, P/BROCHES: 21/6</v>
      </c>
      <c r="D13" s="118"/>
      <c r="E13" s="118"/>
      <c r="F13" s="118"/>
      <c r="G13" s="119"/>
      <c r="H13" s="52" t="s">
        <v>111</v>
      </c>
      <c r="I13" s="53" t="str">
        <f>'Necesidades Trimestrales'!F12</f>
        <v>UNIDAD</v>
      </c>
      <c r="J13" s="54">
        <f>'Necesidades Trimestrales'!G12</f>
        <v>10</v>
      </c>
      <c r="K13" s="55">
        <f>'Necesidades Trimestrales'!H12</f>
        <v>3540</v>
      </c>
    </row>
    <row r="14" spans="1:11" ht="45" customHeight="1" x14ac:dyDescent="0.25">
      <c r="A14" s="64">
        <f>'Necesidades Trimestrales'!A13</f>
        <v>3</v>
      </c>
      <c r="B14" s="66" t="str">
        <f>'Necesidades Trimestrales'!B13</f>
        <v>2.9.2-700.28</v>
      </c>
      <c r="C14" s="117" t="str">
        <f>'Necesidades Trimestrales'!E13</f>
        <v>BROCHES P/ABROCHADORA; NUMERO: 10/50, PRESENTACION: CAJA X 1000 UNIDADES</v>
      </c>
      <c r="D14" s="118"/>
      <c r="E14" s="118"/>
      <c r="F14" s="118"/>
      <c r="G14" s="119"/>
      <c r="H14" s="52" t="s">
        <v>111</v>
      </c>
      <c r="I14" s="53" t="str">
        <f>'Necesidades Trimestrales'!F13</f>
        <v>CAJA</v>
      </c>
      <c r="J14" s="54">
        <f>'Necesidades Trimestrales'!G13</f>
        <v>30</v>
      </c>
      <c r="K14" s="55">
        <f>'Necesidades Trimestrales'!H13</f>
        <v>142</v>
      </c>
    </row>
    <row r="15" spans="1:11" ht="45" customHeight="1" x14ac:dyDescent="0.25">
      <c r="A15" s="64">
        <f>'Necesidades Trimestrales'!A14</f>
        <v>4</v>
      </c>
      <c r="B15" s="66" t="str">
        <f>'Necesidades Trimestrales'!B14</f>
        <v>2.9.2-700.6</v>
      </c>
      <c r="C15" s="117" t="str">
        <f>'Necesidades Trimestrales'!E14</f>
        <v>BROCHES P/ABROCHADORA; NUMERO: 23/10, PRESENTACION: CAJA X 1000</v>
      </c>
      <c r="D15" s="118"/>
      <c r="E15" s="118"/>
      <c r="F15" s="118"/>
      <c r="G15" s="119"/>
      <c r="H15" s="52" t="s">
        <v>111</v>
      </c>
      <c r="I15" s="53" t="str">
        <f>'Necesidades Trimestrales'!F14</f>
        <v>CAJA</v>
      </c>
      <c r="J15" s="54">
        <f>'Necesidades Trimestrales'!G14</f>
        <v>30</v>
      </c>
      <c r="K15" s="55">
        <f>'Necesidades Trimestrales'!H14</f>
        <v>120</v>
      </c>
    </row>
    <row r="16" spans="1:11" ht="45" customHeight="1" x14ac:dyDescent="0.25">
      <c r="A16" s="64">
        <f>'Necesidades Trimestrales'!A15</f>
        <v>5</v>
      </c>
      <c r="B16" s="66" t="str">
        <f>'Necesidades Trimestrales'!B15</f>
        <v>2.9.2-700.2</v>
      </c>
      <c r="C16" s="117" t="str">
        <f>'Necesidades Trimestrales'!E15</f>
        <v>BROCHES P/ABROCHADORA; NUMERO: 21/6, PRESENTACION: CAJA X 1000 UNIDADES</v>
      </c>
      <c r="D16" s="118"/>
      <c r="E16" s="118"/>
      <c r="F16" s="118"/>
      <c r="G16" s="119"/>
      <c r="H16" s="52" t="s">
        <v>111</v>
      </c>
      <c r="I16" s="53" t="str">
        <f>'Necesidades Trimestrales'!F15</f>
        <v>CAJA</v>
      </c>
      <c r="J16" s="54">
        <f>'Necesidades Trimestrales'!G15</f>
        <v>30</v>
      </c>
      <c r="K16" s="55">
        <f>'Necesidades Trimestrales'!H15</f>
        <v>195</v>
      </c>
    </row>
    <row r="17" spans="1:11" ht="45" customHeight="1" x14ac:dyDescent="0.25">
      <c r="A17" s="64">
        <f>'Necesidades Trimestrales'!A16</f>
        <v>6</v>
      </c>
      <c r="B17" s="66" t="str">
        <f>'Necesidades Trimestrales'!B16</f>
        <v>2.9.2-700.29</v>
      </c>
      <c r="C17" s="117" t="str">
        <f>'Necesidades Trimestrales'!E16</f>
        <v>BROCHES P/ABROCHADORA; NUMERO: 24/6, PRESENTACION: CAJA X 1000 UNIDADES</v>
      </c>
      <c r="D17" s="118"/>
      <c r="E17" s="118"/>
      <c r="F17" s="118"/>
      <c r="G17" s="119"/>
      <c r="H17" s="52" t="s">
        <v>111</v>
      </c>
      <c r="I17" s="53" t="str">
        <f>'Necesidades Trimestrales'!F16</f>
        <v>CAJA</v>
      </c>
      <c r="J17" s="54">
        <f>'Necesidades Trimestrales'!G16</f>
        <v>30</v>
      </c>
      <c r="K17" s="55">
        <f>'Necesidades Trimestrales'!H16</f>
        <v>230</v>
      </c>
    </row>
    <row r="18" spans="1:11" ht="45" customHeight="1" x14ac:dyDescent="0.25">
      <c r="A18" s="64">
        <f>'Necesidades Trimestrales'!A17</f>
        <v>7</v>
      </c>
      <c r="B18" s="66" t="str">
        <f>'Necesidades Trimestrales'!B17</f>
        <v>2.9.2-262.28</v>
      </c>
      <c r="C18" s="117" t="str">
        <f>'Necesidades Trimestrales'!E17</f>
        <v xml:space="preserve"> ADHESIVOS P/PAPEL; PRESENTACION: 30 mL, TIPO: SINTETICO TRANSPARENTE</v>
      </c>
      <c r="D18" s="118"/>
      <c r="E18" s="118"/>
      <c r="F18" s="118"/>
      <c r="G18" s="119"/>
      <c r="H18" s="52" t="s">
        <v>111</v>
      </c>
      <c r="I18" s="53" t="str">
        <f>'Necesidades Trimestrales'!F17</f>
        <v>UNIDAD</v>
      </c>
      <c r="J18" s="54">
        <f>'Necesidades Trimestrales'!G17</f>
        <v>30</v>
      </c>
      <c r="K18" s="55">
        <f>'Necesidades Trimestrales'!H17</f>
        <v>96</v>
      </c>
    </row>
    <row r="19" spans="1:11" ht="45" customHeight="1" x14ac:dyDescent="0.25">
      <c r="A19" s="64">
        <f>'Necesidades Trimestrales'!A18</f>
        <v>8</v>
      </c>
      <c r="B19" s="66" t="str">
        <f>'Necesidades Trimestrales'!B18</f>
        <v>2.9.2-1354.21</v>
      </c>
      <c r="C19" s="117" t="str">
        <f>'Necesidades Trimestrales'!E18</f>
        <v>RESALTADORES; PUNTA: BISELADA, ACCESORIO: SIN, COLOR: SIN VALOR, TIPO PUNTA: BISELADA</v>
      </c>
      <c r="D19" s="118"/>
      <c r="E19" s="118"/>
      <c r="F19" s="118"/>
      <c r="G19" s="119"/>
      <c r="H19" s="52" t="s">
        <v>111</v>
      </c>
      <c r="I19" s="53" t="str">
        <f>'Necesidades Trimestrales'!F18</f>
        <v>UNIDAD</v>
      </c>
      <c r="J19" s="54">
        <f>'Necesidades Trimestrales'!G18</f>
        <v>100</v>
      </c>
      <c r="K19" s="55">
        <f>'Necesidades Trimestrales'!H18</f>
        <v>95</v>
      </c>
    </row>
    <row r="20" spans="1:11" ht="33.75" customHeight="1" x14ac:dyDescent="0.25">
      <c r="A20" s="64">
        <f>'Necesidades Trimestrales'!A19</f>
        <v>9</v>
      </c>
      <c r="B20" s="66" t="str">
        <f>'Necesidades Trimestrales'!B19</f>
        <v>2.9.2-848.5</v>
      </c>
      <c r="C20" s="117" t="str">
        <f>'Necesidades Trimestrales'!E19</f>
        <v>LAPIZ; TIPO: COMUN NRO 2, COLOR: NEGRO</v>
      </c>
      <c r="D20" s="118"/>
      <c r="E20" s="118"/>
      <c r="F20" s="118"/>
      <c r="G20" s="119"/>
      <c r="H20" s="52" t="s">
        <v>111</v>
      </c>
      <c r="I20" s="53" t="str">
        <f>'Necesidades Trimestrales'!F19</f>
        <v>UNIDAD</v>
      </c>
      <c r="J20" s="54">
        <f>'Necesidades Trimestrales'!G19</f>
        <v>50</v>
      </c>
      <c r="K20" s="55">
        <f>'Necesidades Trimestrales'!H19</f>
        <v>55</v>
      </c>
    </row>
    <row r="21" spans="1:11" ht="33.75" customHeight="1" x14ac:dyDescent="0.25">
      <c r="A21" s="64">
        <f>'Necesidades Trimestrales'!A20</f>
        <v>10</v>
      </c>
      <c r="B21" s="66" t="str">
        <f>'Necesidades Trimestrales'!B20</f>
        <v>2.9.2-317.5</v>
      </c>
      <c r="C21" s="117" t="str">
        <f>'Necesidades Trimestrales'!E20</f>
        <v>BOLIGRAFOS; TRAZO 1,0mm</v>
      </c>
      <c r="D21" s="118"/>
      <c r="E21" s="118"/>
      <c r="F21" s="118"/>
      <c r="G21" s="119"/>
      <c r="H21" s="52" t="s">
        <v>111</v>
      </c>
      <c r="I21" s="53" t="str">
        <f>'Necesidades Trimestrales'!F20</f>
        <v>UNIDAD</v>
      </c>
      <c r="J21" s="54">
        <f>'Necesidades Trimestrales'!G20</f>
        <v>150</v>
      </c>
      <c r="K21" s="55">
        <f>'Necesidades Trimestrales'!H20</f>
        <v>35</v>
      </c>
    </row>
    <row r="22" spans="1:11" ht="30.75" customHeight="1" x14ac:dyDescent="0.25">
      <c r="A22" s="64">
        <f>'Necesidades Trimestrales'!A21</f>
        <v>11</v>
      </c>
      <c r="B22" s="66" t="str">
        <f>'Necesidades Trimestrales'!B21</f>
        <v>2.9.2-317.32</v>
      </c>
      <c r="C22" s="117" t="str">
        <f>'Necesidades Trimestrales'!E21</f>
        <v>BOLIGRAFOS; TRAZO: 0,8 mm</v>
      </c>
      <c r="D22" s="118"/>
      <c r="E22" s="118"/>
      <c r="F22" s="118"/>
      <c r="G22" s="119"/>
      <c r="H22" s="52" t="s">
        <v>111</v>
      </c>
      <c r="I22" s="53" t="str">
        <f>'Necesidades Trimestrales'!F21</f>
        <v>UNIDAD</v>
      </c>
      <c r="J22" s="54">
        <f>'Necesidades Trimestrales'!G21</f>
        <v>150</v>
      </c>
      <c r="K22" s="55">
        <f>'Necesidades Trimestrales'!H21</f>
        <v>95</v>
      </c>
    </row>
    <row r="23" spans="1:11" ht="32.25" customHeight="1" x14ac:dyDescent="0.25">
      <c r="A23" s="64">
        <f>'Necesidades Trimestrales'!A22</f>
        <v>12</v>
      </c>
      <c r="B23" s="66" t="str">
        <f>'Necesidades Trimestrales'!B22</f>
        <v>2.9.2-791.9</v>
      </c>
      <c r="C23" s="117" t="str">
        <f>'Necesidades Trimestrales'!E22</f>
        <v>TALONARIOS NOTAS AUTOADHESIVAS; MEDIDA 76 X 76mm</v>
      </c>
      <c r="D23" s="118"/>
      <c r="E23" s="118"/>
      <c r="F23" s="118"/>
      <c r="G23" s="119"/>
      <c r="H23" s="52" t="s">
        <v>111</v>
      </c>
      <c r="I23" s="53" t="str">
        <f>'Necesidades Trimestrales'!F22</f>
        <v>UNIDAD</v>
      </c>
      <c r="J23" s="54">
        <f>'Necesidades Trimestrales'!G22</f>
        <v>30</v>
      </c>
      <c r="K23" s="55">
        <f>'Necesidades Trimestrales'!H22</f>
        <v>200</v>
      </c>
    </row>
    <row r="24" spans="1:11" ht="45" customHeight="1" x14ac:dyDescent="0.25">
      <c r="A24" s="64">
        <f>'Necesidades Trimestrales'!A23</f>
        <v>13</v>
      </c>
      <c r="B24" s="66" t="str">
        <f>'Necesidades Trimestrales'!B23</f>
        <v>2.9.2-1428.44</v>
      </c>
      <c r="C24" s="117" t="str">
        <f>'Necesidades Trimestrales'!E23</f>
        <v>BANDAS ELASTICAS; DIAMETRO: 40 mm, PRESENTACION: ENVASE X 500 GR, ESPESOR: 1 mm</v>
      </c>
      <c r="D24" s="118"/>
      <c r="E24" s="118"/>
      <c r="F24" s="118"/>
      <c r="G24" s="119"/>
      <c r="H24" s="52" t="s">
        <v>111</v>
      </c>
      <c r="I24" s="53" t="str">
        <f>'Necesidades Trimestrales'!F23</f>
        <v>PAQUETE</v>
      </c>
      <c r="J24" s="54">
        <f>'Necesidades Trimestrales'!G23</f>
        <v>10</v>
      </c>
      <c r="K24" s="55">
        <f>'Necesidades Trimestrales'!H23</f>
        <v>1225</v>
      </c>
    </row>
    <row r="25" spans="1:11" ht="45" customHeight="1" x14ac:dyDescent="0.25">
      <c r="A25" s="64">
        <f>'Necesidades Trimestrales'!A24</f>
        <v>14</v>
      </c>
      <c r="B25" s="66" t="str">
        <f>'Necesidades Trimestrales'!B24</f>
        <v>2.9.2-850.202</v>
      </c>
      <c r="C25" s="117" t="str">
        <f>'Necesidades Trimestrales'!E24</f>
        <v>CAJAS DE ARCHIVO; MATERIAL: PLASTICO, DIMENSION: 45 X 39 X 12 Cm</v>
      </c>
      <c r="D25" s="118"/>
      <c r="E25" s="118"/>
      <c r="F25" s="118"/>
      <c r="G25" s="119"/>
      <c r="H25" s="52" t="s">
        <v>111</v>
      </c>
      <c r="I25" s="53" t="str">
        <f>'Necesidades Trimestrales'!F24</f>
        <v>UNIDAD</v>
      </c>
      <c r="J25" s="54">
        <f>'Necesidades Trimestrales'!G24</f>
        <v>50</v>
      </c>
      <c r="K25" s="55">
        <f>'Necesidades Trimestrales'!H24</f>
        <v>455</v>
      </c>
    </row>
    <row r="26" spans="1:11" ht="45" customHeight="1" x14ac:dyDescent="0.25">
      <c r="A26" s="64">
        <f>'Necesidades Trimestrales'!A25</f>
        <v>15</v>
      </c>
      <c r="B26" s="66" t="str">
        <f>'Necesidades Trimestrales'!B25</f>
        <v>2.9.2-1611.18</v>
      </c>
      <c r="C26" s="117" t="str">
        <f>'Necesidades Trimestrales'!E25</f>
        <v>FOLIOS TRANSPARENTES; TAMAÑO: OFICIO, PERFORACIONES: 5, MATERIAL: PLASTICO (POLIETILENO)</v>
      </c>
      <c r="D26" s="118"/>
      <c r="E26" s="118"/>
      <c r="F26" s="118"/>
      <c r="G26" s="119"/>
      <c r="H26" s="52" t="s">
        <v>111</v>
      </c>
      <c r="I26" s="53" t="str">
        <f>'Necesidades Trimestrales'!F25</f>
        <v>UNIDAD</v>
      </c>
      <c r="J26" s="54">
        <f>'Necesidades Trimestrales'!G25</f>
        <v>30</v>
      </c>
      <c r="K26" s="55">
        <f>'Necesidades Trimestrales'!H25</f>
        <v>1150</v>
      </c>
    </row>
    <row r="27" spans="1:11" ht="45" customHeight="1" x14ac:dyDescent="0.25">
      <c r="A27" s="64">
        <f>'Necesidades Trimestrales'!A26</f>
        <v>16</v>
      </c>
      <c r="B27" s="66" t="str">
        <f>'Necesidades Trimestrales'!B26</f>
        <v>2.9.2-1611.19</v>
      </c>
      <c r="C27" s="117" t="str">
        <f>'Necesidades Trimestrales'!E26</f>
        <v>FOLIOS TRANSPARENTES; TAMAÑO: A4, PERFORACIONES: 5, MATERIAL: PLASTICO (POLIETILENO)</v>
      </c>
      <c r="D27" s="118"/>
      <c r="E27" s="118"/>
      <c r="F27" s="118"/>
      <c r="G27" s="119"/>
      <c r="H27" s="52" t="s">
        <v>111</v>
      </c>
      <c r="I27" s="53" t="str">
        <f>'Necesidades Trimestrales'!F26</f>
        <v>UNIDAD</v>
      </c>
      <c r="J27" s="54">
        <f>'Necesidades Trimestrales'!G26</f>
        <v>30</v>
      </c>
      <c r="K27" s="55">
        <f>'Necesidades Trimestrales'!H26</f>
        <v>1022</v>
      </c>
    </row>
    <row r="28" spans="1:11" ht="45" customHeight="1" x14ac:dyDescent="0.25">
      <c r="A28" s="64">
        <f>'Necesidades Trimestrales'!A27</f>
        <v>17</v>
      </c>
      <c r="B28" s="66" t="str">
        <f>'Necesidades Trimestrales'!B27</f>
        <v>2.9.2-852.7</v>
      </c>
      <c r="C28" s="117" t="str">
        <f>'Necesidades Trimestrales'!E27</f>
        <v>BROCHES DORADOS; N° PATAS: 2, N°: 14, PRESENTACION: CAJA X 100 UNIDADES, CANTIDAD PATAS: 2, NUMERO: 14</v>
      </c>
      <c r="D28" s="118"/>
      <c r="E28" s="118"/>
      <c r="F28" s="118"/>
      <c r="G28" s="119"/>
      <c r="H28" s="52" t="s">
        <v>111</v>
      </c>
      <c r="I28" s="53" t="str">
        <f>'Necesidades Trimestrales'!F27</f>
        <v>CAJA</v>
      </c>
      <c r="J28" s="54">
        <f>'Necesidades Trimestrales'!G27</f>
        <v>20</v>
      </c>
      <c r="K28" s="55">
        <f>'Necesidades Trimestrales'!H27</f>
        <v>945</v>
      </c>
    </row>
    <row r="29" spans="1:11" ht="45" customHeight="1" x14ac:dyDescent="0.25">
      <c r="A29" s="64">
        <f>'Necesidades Trimestrales'!A28</f>
        <v>18</v>
      </c>
      <c r="B29" s="66" t="str">
        <f>'Necesidades Trimestrales'!B28</f>
        <v>2.9.2-852.5</v>
      </c>
      <c r="C29" s="117" t="str">
        <f>'Necesidades Trimestrales'!E28</f>
        <v>BROCHES DORADOS; N° PATAS: 2, N°: 10, PRESENTACION: CAJA X 100 UNIDADES, CANTIDAD PATAS: 2, NUMERO: 10</v>
      </c>
      <c r="D29" s="118"/>
      <c r="E29" s="118"/>
      <c r="F29" s="118"/>
      <c r="G29" s="119"/>
      <c r="H29" s="52" t="s">
        <v>111</v>
      </c>
      <c r="I29" s="53" t="str">
        <f>'Necesidades Trimestrales'!F28</f>
        <v>CAJA</v>
      </c>
      <c r="J29" s="54">
        <f>'Necesidades Trimestrales'!G28</f>
        <v>20</v>
      </c>
      <c r="K29" s="55">
        <f>'Necesidades Trimestrales'!H28</f>
        <v>475</v>
      </c>
    </row>
    <row r="30" spans="1:11" ht="45" customHeight="1" x14ac:dyDescent="0.25">
      <c r="A30" s="64">
        <f>'Necesidades Trimestrales'!A29</f>
        <v>19</v>
      </c>
      <c r="B30" s="66" t="str">
        <f>'Necesidades Trimestrales'!B29</f>
        <v>2.9.2-852.3</v>
      </c>
      <c r="C30" s="117" t="str">
        <f>'Necesidades Trimestrales'!E29</f>
        <v>BROCHES DORADOS; N°: 6, N° PATAS: 2, PRESENTACION: CAJA X 100 UNIDADES, CANTIDAD PATAS: 2, NUMERO: 6</v>
      </c>
      <c r="D30" s="118"/>
      <c r="E30" s="118"/>
      <c r="F30" s="118"/>
      <c r="G30" s="119"/>
      <c r="H30" s="52" t="s">
        <v>111</v>
      </c>
      <c r="I30" s="53" t="str">
        <f>'Necesidades Trimestrales'!F29</f>
        <v>CAJA</v>
      </c>
      <c r="J30" s="54">
        <f>'Necesidades Trimestrales'!G29</f>
        <v>20</v>
      </c>
      <c r="K30" s="55">
        <f>'Necesidades Trimestrales'!H29</f>
        <v>295</v>
      </c>
    </row>
    <row r="31" spans="1:11" ht="45" customHeight="1" x14ac:dyDescent="0.25">
      <c r="A31" s="64">
        <f>'Necesidades Trimestrales'!A30</f>
        <v>20</v>
      </c>
      <c r="B31" s="66" t="str">
        <f>'Necesidades Trimestrales'!B30</f>
        <v>2.9.2-858.24</v>
      </c>
      <c r="C31" s="117" t="str">
        <f>'Necesidades Trimestrales'!E30</f>
        <v>PERFORADORAS; TAMAÑO: CHICA, N° PERFORACIONES: 2, DIST. ENTRE AGUJ.: REGULABLE, GUIA POSICION PAPEL: CON, MATERIAL: METAL</v>
      </c>
      <c r="D31" s="118"/>
      <c r="E31" s="118"/>
      <c r="F31" s="118"/>
      <c r="G31" s="119"/>
      <c r="H31" s="52" t="s">
        <v>111</v>
      </c>
      <c r="I31" s="53" t="str">
        <f>'Necesidades Trimestrales'!F30</f>
        <v>UNIDAD</v>
      </c>
      <c r="J31" s="54">
        <f>'Necesidades Trimestrales'!G30</f>
        <v>10</v>
      </c>
      <c r="K31" s="55">
        <f>'Necesidades Trimestrales'!H30</f>
        <v>1297</v>
      </c>
    </row>
    <row r="32" spans="1:11" ht="45" customHeight="1" x14ac:dyDescent="0.25">
      <c r="A32" s="64">
        <f>'Necesidades Trimestrales'!A31</f>
        <v>21</v>
      </c>
      <c r="B32" s="66" t="str">
        <f>'Necesidades Trimestrales'!B31</f>
        <v>2.9.2-1358.353</v>
      </c>
      <c r="C32" s="117" t="str">
        <f>'Necesidades Trimestrales'!E31</f>
        <v>CARPETAS; MATERIAL PLASTICO - TAMAÑO A4.</v>
      </c>
      <c r="D32" s="118"/>
      <c r="E32" s="118"/>
      <c r="F32" s="118"/>
      <c r="G32" s="119"/>
      <c r="H32" s="52" t="s">
        <v>111</v>
      </c>
      <c r="I32" s="53" t="str">
        <f>'Necesidades Trimestrales'!F31</f>
        <v>UNIDAD</v>
      </c>
      <c r="J32" s="54">
        <f>'Necesidades Trimestrales'!G31</f>
        <v>100</v>
      </c>
      <c r="K32" s="55">
        <f>'Necesidades Trimestrales'!H31</f>
        <v>90</v>
      </c>
    </row>
    <row r="33" spans="1:11" ht="45" customHeight="1" x14ac:dyDescent="0.25">
      <c r="A33" s="64">
        <f>'Necesidades Trimestrales'!A32</f>
        <v>22</v>
      </c>
      <c r="B33" s="66" t="str">
        <f>'Necesidades Trimestrales'!B32</f>
        <v>2.9.2-1358.354</v>
      </c>
      <c r="C33" s="117" t="str">
        <f>'Necesidades Trimestrales'!E32</f>
        <v>CARPETAS; MATERIAL PLASTICO - TAMAÑO OFICIO.</v>
      </c>
      <c r="D33" s="118"/>
      <c r="E33" s="118"/>
      <c r="F33" s="118"/>
      <c r="G33" s="119"/>
      <c r="H33" s="52" t="s">
        <v>111</v>
      </c>
      <c r="I33" s="53" t="str">
        <f>'Necesidades Trimestrales'!F32</f>
        <v>UNIDAD</v>
      </c>
      <c r="J33" s="54">
        <f>'Necesidades Trimestrales'!G32</f>
        <v>100</v>
      </c>
      <c r="K33" s="55">
        <f>'Necesidades Trimestrales'!H32</f>
        <v>70</v>
      </c>
    </row>
    <row r="34" spans="1:11" ht="45" customHeight="1" x14ac:dyDescent="0.25">
      <c r="A34" s="64">
        <f>'Necesidades Trimestrales'!A33</f>
        <v>23</v>
      </c>
      <c r="B34" s="66" t="str">
        <f>'Necesidades Trimestrales'!B33</f>
        <v>2.9.2-291.12</v>
      </c>
      <c r="C34" s="117" t="str">
        <f>'Necesidades Trimestrales'!E33</f>
        <v>ALMOHADILLAS P/SELLOS; MEDIDA: 9 X 16 Cm, MATERIAL: METAL</v>
      </c>
      <c r="D34" s="118"/>
      <c r="E34" s="118"/>
      <c r="F34" s="118"/>
      <c r="G34" s="119"/>
      <c r="H34" s="52" t="s">
        <v>111</v>
      </c>
      <c r="I34" s="53" t="str">
        <f>'Necesidades Trimestrales'!F33</f>
        <v>UNIDAD</v>
      </c>
      <c r="J34" s="54">
        <f>'Necesidades Trimestrales'!G33</f>
        <v>25</v>
      </c>
      <c r="K34" s="55">
        <f>'Necesidades Trimestrales'!H33</f>
        <v>470</v>
      </c>
    </row>
    <row r="35" spans="1:11" ht="45" customHeight="1" x14ac:dyDescent="0.25">
      <c r="A35" s="64">
        <f>'Necesidades Trimestrales'!A34</f>
        <v>24</v>
      </c>
      <c r="B35" s="66" t="str">
        <f>'Necesidades Trimestrales'!B34</f>
        <v>2.9.2-1450.16</v>
      </c>
      <c r="C35" s="117" t="str">
        <f>'Necesidades Trimestrales'!E34</f>
        <v>TINTAS P/SELLOS; TIPO DE SELLO: DE METAL, COLOR: NEGRO, ENVASE: 30 CM3, PRESENTACION: ENVASE X 30 CM3</v>
      </c>
      <c r="D35" s="118"/>
      <c r="E35" s="118"/>
      <c r="F35" s="118"/>
      <c r="G35" s="119"/>
      <c r="H35" s="52" t="s">
        <v>111</v>
      </c>
      <c r="I35" s="53" t="str">
        <f>'Necesidades Trimestrales'!F34</f>
        <v>UNIDAD</v>
      </c>
      <c r="J35" s="54">
        <f>'Necesidades Trimestrales'!G34</f>
        <v>25</v>
      </c>
      <c r="K35" s="55">
        <f>'Necesidades Trimestrales'!H34</f>
        <v>230</v>
      </c>
    </row>
    <row r="36" spans="1:11" ht="45" customHeight="1" x14ac:dyDescent="0.25">
      <c r="A36" s="64">
        <f>'Necesidades Trimestrales'!A35</f>
        <v>25</v>
      </c>
      <c r="B36" s="66" t="str">
        <f>'Necesidades Trimestrales'!B35</f>
        <v>2.9.2-274.3</v>
      </c>
      <c r="C36" s="117" t="str">
        <f>'Necesidades Trimestrales'!E35</f>
        <v>BIBLIORATOS; ANCHO 80mm - ANILLO 2 Y PALANCA - TAMAÑO OFICIO - MATERIAL CARTON</v>
      </c>
      <c r="D36" s="118"/>
      <c r="E36" s="118"/>
      <c r="F36" s="118"/>
      <c r="G36" s="119"/>
      <c r="H36" s="52" t="s">
        <v>111</v>
      </c>
      <c r="I36" s="53" t="str">
        <f>'Necesidades Trimestrales'!F35</f>
        <v>UNIDAD</v>
      </c>
      <c r="J36" s="54">
        <f>'Necesidades Trimestrales'!G35</f>
        <v>30</v>
      </c>
      <c r="K36" s="55">
        <f>'Necesidades Trimestrales'!H35</f>
        <v>505</v>
      </c>
    </row>
    <row r="37" spans="1:11" ht="45" customHeight="1" x14ac:dyDescent="0.25">
      <c r="A37" s="64">
        <v>26</v>
      </c>
      <c r="B37" s="66" t="str">
        <f>'Necesidades Trimestrales'!B36</f>
        <v>2.9.2-323.4</v>
      </c>
      <c r="C37" s="117" t="str">
        <f>'Necesidades Trimestrales'!E36</f>
        <v>CORRECTORES DE ESCRITURA; CAPACIDAD: 7 mL, ENVASE: LAPIZ (PUNTA METAL), PRESENTACION: LAPIZ (PUNTA METAL) X 7 mL</v>
      </c>
      <c r="D37" s="118"/>
      <c r="E37" s="118"/>
      <c r="F37" s="118"/>
      <c r="G37" s="119"/>
      <c r="H37" s="52" t="s">
        <v>111</v>
      </c>
      <c r="I37" s="53" t="str">
        <f>'Necesidades Trimestrales'!F36</f>
        <v>UNIDAD</v>
      </c>
      <c r="J37" s="54">
        <f>'Necesidades Trimestrales'!G36</f>
        <v>50</v>
      </c>
      <c r="K37" s="55">
        <f>'Necesidades Trimestrales'!H36</f>
        <v>115</v>
      </c>
    </row>
    <row r="38" spans="1:11" ht="45" customHeight="1" x14ac:dyDescent="0.25">
      <c r="A38" s="64">
        <v>27</v>
      </c>
      <c r="B38" s="66" t="str">
        <f>'Necesidades Trimestrales'!B37</f>
        <v>2.9.2-1153.9</v>
      </c>
      <c r="C38" s="117" t="str">
        <f>'Necesidades Trimestrales'!E37</f>
        <v>CINTAS ADHESIVAS; ANCHO: 48 mm, LARGO ROLLO: 50 M, MATERIAL: POLIPROPILENO, ACCESORIO: SIN VALOR, TIPO: TRANSPARENTE, LARGO: 50 M</v>
      </c>
      <c r="D38" s="118"/>
      <c r="E38" s="118"/>
      <c r="F38" s="118"/>
      <c r="G38" s="119"/>
      <c r="H38" s="52" t="s">
        <v>111</v>
      </c>
      <c r="I38" s="53" t="str">
        <f>'Necesidades Trimestrales'!F37</f>
        <v>UNIDAD</v>
      </c>
      <c r="J38" s="54">
        <f>'Necesidades Trimestrales'!G37</f>
        <v>20</v>
      </c>
      <c r="K38" s="55">
        <f>'Necesidades Trimestrales'!H37</f>
        <v>190</v>
      </c>
    </row>
    <row r="39" spans="1:11" ht="45" customHeight="1" x14ac:dyDescent="0.25">
      <c r="A39" s="64">
        <v>28</v>
      </c>
      <c r="B39" s="66" t="str">
        <f>'Necesidades Trimestrales'!B38</f>
        <v>2.9.2-1153.220</v>
      </c>
      <c r="C39" s="117" t="str">
        <f>'Necesidades Trimestrales'!E38</f>
        <v>CINTAS ADHESIVAS; TIPO: TRANSPARENTE, ANCHO: 24 mm, LARGO: 50 M, MATERIAL: POLIPROPILENO, ACCESORIO: SIN</v>
      </c>
      <c r="D39" s="118"/>
      <c r="E39" s="118"/>
      <c r="F39" s="118"/>
      <c r="G39" s="119"/>
      <c r="H39" s="52" t="s">
        <v>111</v>
      </c>
      <c r="I39" s="53" t="str">
        <f>'Necesidades Trimestrales'!F38</f>
        <v>UNIDAD</v>
      </c>
      <c r="J39" s="54">
        <f>'Necesidades Trimestrales'!G38</f>
        <v>10</v>
      </c>
      <c r="K39" s="55">
        <f>'Necesidades Trimestrales'!H38</f>
        <v>140</v>
      </c>
    </row>
    <row r="40" spans="1:11" ht="45" customHeight="1" x14ac:dyDescent="0.25">
      <c r="A40" s="64">
        <v>29</v>
      </c>
      <c r="B40" s="66" t="str">
        <f>'Necesidades Trimestrales'!B39</f>
        <v>2.9.2-660.1</v>
      </c>
      <c r="C40" s="117" t="str">
        <f>'Necesidades Trimestrales'!E39</f>
        <v>CLIPS P/PAPEL; NUMERO: 3, MATERIAL: METAL, CANT. X CAJA: 100, PRESENTACION: CAJA X 100</v>
      </c>
      <c r="D40" s="118"/>
      <c r="E40" s="118"/>
      <c r="F40" s="118"/>
      <c r="G40" s="119"/>
      <c r="H40" s="52" t="s">
        <v>111</v>
      </c>
      <c r="I40" s="53" t="str">
        <f>'Necesidades Trimestrales'!F39</f>
        <v>CAJA</v>
      </c>
      <c r="J40" s="54">
        <f>'Necesidades Trimestrales'!G39</f>
        <v>20</v>
      </c>
      <c r="K40" s="55">
        <f>'Necesidades Trimestrales'!H39</f>
        <v>85</v>
      </c>
    </row>
    <row r="41" spans="1:11" ht="45" customHeight="1" x14ac:dyDescent="0.25">
      <c r="A41" s="64">
        <v>30</v>
      </c>
      <c r="B41" s="66" t="str">
        <f>'Necesidades Trimestrales'!B40</f>
        <v>2.9.2-660.17</v>
      </c>
      <c r="C41" s="117" t="str">
        <f>'Necesidades Trimestrales'!E40</f>
        <v>CLIPS P/PAPEL; NUMERO: 4, MATERIAL: ACERO INOXIDABLE TRIANGULARES, CANT. X CAJA: 100, PRESENTACION: CAJA X 100</v>
      </c>
      <c r="D41" s="118"/>
      <c r="E41" s="118"/>
      <c r="F41" s="118"/>
      <c r="G41" s="119"/>
      <c r="H41" s="52" t="s">
        <v>111</v>
      </c>
      <c r="I41" s="53" t="str">
        <f>'Necesidades Trimestrales'!F40</f>
        <v>CAJA</v>
      </c>
      <c r="J41" s="54">
        <f>'Necesidades Trimestrales'!G40</f>
        <v>20</v>
      </c>
      <c r="K41" s="55">
        <f>'Necesidades Trimestrales'!H40</f>
        <v>92</v>
      </c>
    </row>
    <row r="42" spans="1:11" ht="45" customHeight="1" x14ac:dyDescent="0.25">
      <c r="A42" s="64">
        <v>31</v>
      </c>
      <c r="B42" s="66" t="str">
        <f>'Necesidades Trimestrales'!B41</f>
        <v>2.9.2-790.3</v>
      </c>
      <c r="C42" s="117" t="str">
        <f>'Necesidades Trimestrales'!E41</f>
        <v>CUTER; MATERIAL MANGO: PLASTICO, TIPO HOJA: FIJA, ANCHO HOJA: 9 mm, TIPO DE HOJA: FIJA, ANCHO DE HOJA: 9 mm</v>
      </c>
      <c r="D42" s="118"/>
      <c r="E42" s="118"/>
      <c r="F42" s="118"/>
      <c r="G42" s="119"/>
      <c r="H42" s="52" t="s">
        <v>111</v>
      </c>
      <c r="I42" s="53" t="str">
        <f>'Necesidades Trimestrales'!F41</f>
        <v>UNIDAD</v>
      </c>
      <c r="J42" s="54">
        <f>'Necesidades Trimestrales'!G41</f>
        <v>10</v>
      </c>
      <c r="K42" s="55">
        <f>'Necesidades Trimestrales'!H41</f>
        <v>130</v>
      </c>
    </row>
    <row r="43" spans="1:11" ht="52.5" customHeight="1" x14ac:dyDescent="0.25">
      <c r="A43" s="64">
        <v>32</v>
      </c>
      <c r="B43" s="66" t="str">
        <f>'Necesidades Trimestrales'!B42</f>
        <v>2.9.2-790.19</v>
      </c>
      <c r="C43" s="117" t="str">
        <f>'Necesidades Trimestrales'!E42</f>
        <v>CUTER; MATERIAL MANGO: PLASTICO, ANCHO HOJA: 20 mm, TIPO DE HOJA: MOVIL, TIPO HOJA: MOVIL, ANCHO DE HOJA: 20 mm</v>
      </c>
      <c r="D43" s="118"/>
      <c r="E43" s="118"/>
      <c r="F43" s="118"/>
      <c r="G43" s="119"/>
      <c r="H43" s="52" t="s">
        <v>111</v>
      </c>
      <c r="I43" s="53" t="str">
        <f>'Necesidades Trimestrales'!F42</f>
        <v>UNIDAD</v>
      </c>
      <c r="J43" s="54">
        <f>'Necesidades Trimestrales'!G42</f>
        <v>10</v>
      </c>
      <c r="K43" s="55">
        <f>'Necesidades Trimestrales'!H42</f>
        <v>236</v>
      </c>
    </row>
    <row r="44" spans="1:11" ht="45" customHeight="1" x14ac:dyDescent="0.25">
      <c r="A44" s="64">
        <v>33</v>
      </c>
      <c r="B44" s="66" t="str">
        <f>'Necesidades Trimestrales'!B43</f>
        <v>2.9.2-866.4</v>
      </c>
      <c r="C44" s="117" t="str">
        <f>'Necesidades Trimestrales'!E43</f>
        <v>MAQUINAS SACABROCHES; EXTRACTOR: ACERO INOXIDABLE, MATERIAL: PLASTICO</v>
      </c>
      <c r="D44" s="118"/>
      <c r="E44" s="118"/>
      <c r="F44" s="118"/>
      <c r="G44" s="119"/>
      <c r="H44" s="52" t="s">
        <v>111</v>
      </c>
      <c r="I44" s="53" t="str">
        <f>'Necesidades Trimestrales'!F43</f>
        <v>UNIDAD</v>
      </c>
      <c r="J44" s="54">
        <f>'Necesidades Trimestrales'!G43</f>
        <v>20</v>
      </c>
      <c r="K44" s="55">
        <f>'Necesidades Trimestrales'!H43</f>
        <v>305</v>
      </c>
    </row>
    <row r="45" spans="1:11" ht="72.75" customHeight="1" x14ac:dyDescent="0.25">
      <c r="A45" s="64">
        <v>34</v>
      </c>
      <c r="B45" s="66" t="str">
        <f>'Necesidades Trimestrales'!B44</f>
        <v>2.3.1-6590.555</v>
      </c>
      <c r="C45" s="117" t="str">
        <f>'Necesidades Trimestrales'!E44</f>
        <v>SOBRES DE PAPEL; TIPO: MANILA, TAMAÑO: OFICIO, GRAMAJE: 80 GR, PRESENTACION: UNIDAD, CERTIFICADO FORESTAL (GFS): SIN, PORC. FIBRAS RECICLADAS: 0 %, CERT. FIBRA ALTERNATIVA (FCA): SIN</v>
      </c>
      <c r="D45" s="118"/>
      <c r="E45" s="118"/>
      <c r="F45" s="118"/>
      <c r="G45" s="119"/>
      <c r="H45" s="52" t="s">
        <v>111</v>
      </c>
      <c r="I45" s="53" t="str">
        <f>'Necesidades Trimestrales'!F44</f>
        <v>UNIDAD</v>
      </c>
      <c r="J45" s="54">
        <f>'Necesidades Trimestrales'!G44</f>
        <v>30</v>
      </c>
      <c r="K45" s="55">
        <f>'Necesidades Trimestrales'!H44</f>
        <v>2075</v>
      </c>
    </row>
    <row r="46" spans="1:11" ht="68.25" customHeight="1" x14ac:dyDescent="0.25">
      <c r="A46" s="64">
        <v>35</v>
      </c>
      <c r="B46" s="66" t="str">
        <f>'Necesidades Trimestrales'!B45</f>
        <v>2.3.1-6590.556</v>
      </c>
      <c r="C46" s="117" t="str">
        <f>'Necesidades Trimestrales'!E45</f>
        <v>SOBRES DE PAPEL; TIPO: MANILA, TAMAÑO: A4, GRAMAJE: 80 GR, PRESENTACION: UNIDAD, CERTIFICADO FORESTAL (GFS): SIN, PORC. FIBRAS RECICLADAS: 0 %, CERT. FIBRA ALTERNATIVA (FCA): SIN</v>
      </c>
      <c r="D46" s="118"/>
      <c r="E46" s="118"/>
      <c r="F46" s="118"/>
      <c r="G46" s="119"/>
      <c r="H46" s="52" t="s">
        <v>111</v>
      </c>
      <c r="I46" s="53" t="str">
        <f>'Necesidades Trimestrales'!F45</f>
        <v>UNIDAD</v>
      </c>
      <c r="J46" s="54">
        <f>'Necesidades Trimestrales'!G45</f>
        <v>30</v>
      </c>
      <c r="K46" s="55">
        <f>'Necesidades Trimestrales'!H45</f>
        <v>1690</v>
      </c>
    </row>
    <row r="47" spans="1:11" ht="70.5" customHeight="1" x14ac:dyDescent="0.25">
      <c r="A47" s="64">
        <v>36</v>
      </c>
      <c r="B47" s="66" t="str">
        <f>'Necesidades Trimestrales'!B46</f>
        <v>2.3.1-6563.953</v>
      </c>
      <c r="C47" s="117" t="str">
        <f>'Necesidades Trimestrales'!E46</f>
        <v>PAPELES EN HOJA; TIPO DE PAPEL: OBRA, DIMENSION: 21 X 29,7 Cm, GRAMAJE: 80 GR/M2, PRESENTACION: ENVASE X 500 HOJAS, CERTIFICADO FORESTAL (GFS): SIN, PORC. FIBRAS RECICLADAS: 0 %, CERT. FIBRA ALTERNATIVA (FCA): SIN</v>
      </c>
      <c r="D47" s="118"/>
      <c r="E47" s="118"/>
      <c r="F47" s="118"/>
      <c r="G47" s="119"/>
      <c r="H47" s="52" t="s">
        <v>111</v>
      </c>
      <c r="I47" s="53" t="str">
        <f>'Necesidades Trimestrales'!F46</f>
        <v>RESMA</v>
      </c>
      <c r="J47" s="54">
        <f>'Necesidades Trimestrales'!G46</f>
        <v>250</v>
      </c>
      <c r="K47" s="55">
        <f>'Necesidades Trimestrales'!H46</f>
        <v>1090</v>
      </c>
    </row>
    <row r="48" spans="1:11" ht="69.75" customHeight="1" x14ac:dyDescent="0.25">
      <c r="A48" s="64">
        <v>37</v>
      </c>
      <c r="B48" s="66" t="str">
        <f>'Necesidades Trimestrales'!B47</f>
        <v>2.3.1-6563.917</v>
      </c>
      <c r="C48" s="117" t="str">
        <f>'Necesidades Trimestrales'!E47</f>
        <v>PAPELES EN HOJA; TIPO DE PAPEL: OBRA, DIMENSION: 21,6 X 35,6 Cm, GRAMAJE: 80 GR/M2, PRESENTACION: ENVASE X 500 HOJAS, CERTIFICADO FORESTAL (GFS): SIN, PORC. FIBRAS RECICLADAS: 0 %, CERT. FIBRA ALTERNATIVA (FCA): SIN</v>
      </c>
      <c r="D48" s="118"/>
      <c r="E48" s="118"/>
      <c r="F48" s="118"/>
      <c r="G48" s="119"/>
      <c r="H48" s="52" t="s">
        <v>111</v>
      </c>
      <c r="I48" s="53" t="str">
        <f>'Necesidades Trimestrales'!F47</f>
        <v>RESMA</v>
      </c>
      <c r="J48" s="54">
        <f>'Necesidades Trimestrales'!G47</f>
        <v>250</v>
      </c>
      <c r="K48" s="55">
        <f>'Necesidades Trimestrales'!H47</f>
        <v>1345</v>
      </c>
    </row>
    <row r="49" spans="1:11" ht="72" customHeight="1" x14ac:dyDescent="0.25">
      <c r="A49" s="64">
        <v>38</v>
      </c>
      <c r="B49" s="66" t="str">
        <f>'Necesidades Trimestrales'!B48</f>
        <v>2.3.1-6587.305</v>
      </c>
      <c r="C49" s="117" t="str">
        <f>'Necesidades Trimestrales'!E48</f>
        <v>PAPELES ENCUADERNADOS; CANT. DE HOJAS: 100 HOJAS, TAMAÑO: 17 X 27 Cm, TIPO: LIBRO DE ACTAS, CERTIFICADO FORESTAL (GFS): SIN, PORC. FIBRAS RECICLADAS: 0 %, CERT. FIBRA ALTERNATIVA (FCA): SIN</v>
      </c>
      <c r="D49" s="118"/>
      <c r="E49" s="118"/>
      <c r="F49" s="118"/>
      <c r="G49" s="119"/>
      <c r="H49" s="52" t="s">
        <v>111</v>
      </c>
      <c r="I49" s="53" t="str">
        <f>'Necesidades Trimestrales'!F48</f>
        <v>UNIDAD</v>
      </c>
      <c r="J49" s="54">
        <f>'Necesidades Trimestrales'!G48</f>
        <v>20</v>
      </c>
      <c r="K49" s="55">
        <f>'Necesidades Trimestrales'!H48</f>
        <v>1015</v>
      </c>
    </row>
    <row r="50" spans="1:11" ht="81" customHeight="1" x14ac:dyDescent="0.25">
      <c r="A50" s="64">
        <v>39</v>
      </c>
      <c r="B50" s="66" t="str">
        <f>'Necesidades Trimestrales'!B49</f>
        <v>2.3.1-6587.346</v>
      </c>
      <c r="C50" s="117" t="str">
        <f>'Necesidades Trimestrales'!E49</f>
        <v>PAPELES ENCUADERNADOS; CANT. DE HOJAS: 100, TAMAÑO: A4, TIPO: CUADERNO ESPIRALADO TAPA DURA, CERTIFICADO FORESTAL (GFS): SIN, PORC. FIBRAS RECICLADAS: 0 %, CERT. FIBRA ALTERNATIVA (FCA): SIN</v>
      </c>
      <c r="D50" s="118"/>
      <c r="E50" s="118"/>
      <c r="F50" s="118"/>
      <c r="G50" s="119"/>
      <c r="H50" s="52" t="s">
        <v>111</v>
      </c>
      <c r="I50" s="53" t="str">
        <f>'Necesidades Trimestrales'!F49</f>
        <v>UNIDAD</v>
      </c>
      <c r="J50" s="54">
        <f>'Necesidades Trimestrales'!G49</f>
        <v>20</v>
      </c>
      <c r="K50" s="55">
        <f>'Necesidades Trimestrales'!H49</f>
        <v>1005</v>
      </c>
    </row>
    <row r="51" spans="1:11" ht="78" customHeight="1" x14ac:dyDescent="0.25">
      <c r="A51" s="64">
        <v>40</v>
      </c>
      <c r="B51" s="66" t="str">
        <f>'Necesidades Trimestrales'!B50</f>
        <v>2.3.1-6587.359</v>
      </c>
      <c r="C51" s="117" t="str">
        <f>'Necesidades Trimestrales'!E50</f>
        <v>PAPELES ENCUADERNADOS; CANT. DE HOJAS: 84 HOJAS, TAMAÑO: 22 X 29 Cm, TIPO: RAYADO ESPIRALADO, CERTIFICADO FORESTAL (GFS): SIN, PORC. FIBRAS RECICLADAS: 0 %, CERT. FIBRA ALTERNATIVA (FCA): SIN</v>
      </c>
      <c r="D51" s="118"/>
      <c r="E51" s="118"/>
      <c r="F51" s="118"/>
      <c r="G51" s="119"/>
      <c r="H51" s="52" t="s">
        <v>111</v>
      </c>
      <c r="I51" s="53" t="str">
        <f>'Necesidades Trimestrales'!F50</f>
        <v>UNIDAD</v>
      </c>
      <c r="J51" s="54">
        <f>'Necesidades Trimestrales'!G50</f>
        <v>20</v>
      </c>
      <c r="K51" s="55">
        <f>'Necesidades Trimestrales'!H50</f>
        <v>340</v>
      </c>
    </row>
    <row r="52" spans="1:11" ht="45" customHeight="1" thickBot="1" x14ac:dyDescent="0.3">
      <c r="A52" s="64">
        <v>41</v>
      </c>
      <c r="B52" s="66" t="str">
        <f>'Necesidades Trimestrales'!B51</f>
        <v>2.3.1-928.8</v>
      </c>
      <c r="C52" s="117" t="str">
        <f>'Necesidades Trimestrales'!E51</f>
        <v>ARANDELAS DE CARTON; DIAMETRO: 1 pulg, PRESENTACION: CAJA X 500 UNIDADES</v>
      </c>
      <c r="D52" s="118"/>
      <c r="E52" s="118"/>
      <c r="F52" s="118"/>
      <c r="G52" s="119"/>
      <c r="H52" s="52" t="s">
        <v>111</v>
      </c>
      <c r="I52" s="53" t="str">
        <f>'Necesidades Trimestrales'!F51</f>
        <v>CAJA</v>
      </c>
      <c r="J52" s="54">
        <f>'Necesidades Trimestrales'!G51</f>
        <v>20</v>
      </c>
      <c r="K52" s="55">
        <f>'Necesidades Trimestrales'!H51</f>
        <v>560</v>
      </c>
    </row>
    <row r="53" spans="1:11" ht="32.25" customHeight="1" thickBot="1" x14ac:dyDescent="0.3">
      <c r="A53" s="108" t="s">
        <v>35</v>
      </c>
      <c r="B53" s="109"/>
      <c r="C53" s="110" t="s">
        <v>145</v>
      </c>
      <c r="D53" s="111"/>
      <c r="E53" s="111"/>
      <c r="F53" s="111"/>
      <c r="G53" s="111"/>
      <c r="H53" s="111"/>
      <c r="I53" s="112"/>
      <c r="J53" s="120">
        <f>SUMPRODUCT(J12:J52*K12:K52)</f>
        <v>1124570</v>
      </c>
      <c r="K53" s="120"/>
    </row>
  </sheetData>
  <mergeCells count="64">
    <mergeCell ref="C45:G45"/>
    <mergeCell ref="C15:G15"/>
    <mergeCell ref="C51:G51"/>
    <mergeCell ref="C52:G52"/>
    <mergeCell ref="C47:G47"/>
    <mergeCell ref="C48:G48"/>
    <mergeCell ref="C49:G49"/>
    <mergeCell ref="C50:G50"/>
    <mergeCell ref="C43:G43"/>
    <mergeCell ref="C44:G44"/>
    <mergeCell ref="C46:G46"/>
    <mergeCell ref="C40:G40"/>
    <mergeCell ref="C41:G41"/>
    <mergeCell ref="C33:G33"/>
    <mergeCell ref="C34:G34"/>
    <mergeCell ref="C36:G36"/>
    <mergeCell ref="C42:G42"/>
    <mergeCell ref="C37:G37"/>
    <mergeCell ref="C38:G38"/>
    <mergeCell ref="C39:G39"/>
    <mergeCell ref="C29:G29"/>
    <mergeCell ref="C30:G30"/>
    <mergeCell ref="C31:G31"/>
    <mergeCell ref="C32:G32"/>
    <mergeCell ref="C35:G35"/>
    <mergeCell ref="C24:G24"/>
    <mergeCell ref="C25:G25"/>
    <mergeCell ref="C26:G26"/>
    <mergeCell ref="C27:G27"/>
    <mergeCell ref="C28:G28"/>
    <mergeCell ref="C19:G19"/>
    <mergeCell ref="C20:G20"/>
    <mergeCell ref="C21:G21"/>
    <mergeCell ref="C22:G22"/>
    <mergeCell ref="C23:G23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53:B53"/>
    <mergeCell ref="C53:I53"/>
    <mergeCell ref="K10:K11"/>
    <mergeCell ref="C12:G12"/>
    <mergeCell ref="C13:G13"/>
    <mergeCell ref="J53:K53"/>
    <mergeCell ref="A10:A11"/>
    <mergeCell ref="B10:B11"/>
    <mergeCell ref="C10:G11"/>
    <mergeCell ref="H10:H11"/>
    <mergeCell ref="C14:G14"/>
    <mergeCell ref="C16:G16"/>
    <mergeCell ref="I10:I11"/>
    <mergeCell ref="J10:J11"/>
    <mergeCell ref="C17:G17"/>
    <mergeCell ref="C18:G18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Necesidades Trimestrales</vt:lpstr>
      <vt:lpstr>Nota Pedido</vt:lpstr>
      <vt:lpstr>'Necesidades Trimestrales'!Área_de_impresión</vt:lpstr>
      <vt:lpstr>'Nota Pedido'!Área_de_impresión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Luffi</cp:lastModifiedBy>
  <cp:lastPrinted>2022-04-12T15:37:10Z</cp:lastPrinted>
  <dcterms:created xsi:type="dcterms:W3CDTF">2021-02-24T16:51:27Z</dcterms:created>
  <dcterms:modified xsi:type="dcterms:W3CDTF">2022-04-12T15:37:17Z</dcterms:modified>
</cp:coreProperties>
</file>