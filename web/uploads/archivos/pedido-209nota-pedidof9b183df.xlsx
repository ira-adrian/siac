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266F580F-3782-4958-B8FE-98C4A2833825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NotaPedido'!$A$1:$K$15</definedName>
    <definedName name="_xlnm.Print_Area" localSheetId="2">'Autor Gastar'!$A$1:$Q$21</definedName>
  </definedNames>
  <calcPr calcId="181029"/>
</workbook>
</file>

<file path=xl/calcChain.xml><?xml version="1.0" encoding="utf-8"?>
<calcChain xmlns="http://schemas.openxmlformats.org/spreadsheetml/2006/main">
  <c r="D10" i="1" l="1"/>
  <c r="D11" i="1"/>
  <c r="D12" i="1"/>
  <c r="A13" i="2"/>
  <c r="A14" i="2"/>
  <c r="A12" i="2"/>
  <c r="A10" i="3" l="1"/>
  <c r="K13" i="2"/>
  <c r="K14" i="2"/>
  <c r="J13" i="2"/>
  <c r="J14" i="2"/>
  <c r="I13" i="2"/>
  <c r="I14" i="2"/>
  <c r="C13" i="2"/>
  <c r="C14" i="2"/>
  <c r="B13" i="2"/>
  <c r="B14" i="2"/>
  <c r="K12" i="2"/>
  <c r="J12" i="2"/>
  <c r="I12" i="2"/>
  <c r="C12" i="2"/>
  <c r="B12" i="2"/>
  <c r="J15" i="2" l="1"/>
  <c r="G6" i="3"/>
  <c r="G7" i="3"/>
  <c r="D3" i="2"/>
  <c r="G4" i="3" s="1"/>
  <c r="D4" i="2"/>
  <c r="G5" i="3" s="1"/>
  <c r="D1" i="3" l="1"/>
  <c r="Q17" i="3"/>
</calcChain>
</file>

<file path=xl/sharedStrings.xml><?xml version="1.0" encoding="utf-8"?>
<sst xmlns="http://schemas.openxmlformats.org/spreadsheetml/2006/main" count="115" uniqueCount="87">
  <si>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</si>
  <si>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</si>
  <si>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</si>
  <si>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</si>
  <si>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</si>
  <si>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</si>
  <si>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</si>
  <si>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</si>
  <si>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</si>
  <si>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</si>
  <si>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</si>
  <si>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</si>
  <si>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</si>
  <si>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</si>
  <si>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</si>
  <si>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</si>
  <si>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</si>
  <si>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</si>
  <si>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</si>
  <si>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</si>
  <si>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</si>
  <si>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</si>
  <si>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</si>
  <si>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</si>
  <si>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</si>
  <si>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</si>
  <si>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</si>
  <si>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</si>
  <si>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</si>
  <si>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</si>
  <si>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</si>
  <si>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</si>
  <si>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</si>
  <si>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</si>
  <si>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</si>
  <si>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</si>
  <si>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</si>
  <si>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</si>
  <si>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</si>
  <si>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</si>
  <si>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</si>
  <si>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</si>
  <si>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</si>
  <si>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</si>
  <si>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</si>
  <si>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</si>
  <si>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</si>
  <si>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</si>
  <si>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</si>
  <si>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</si>
  <si>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</si>
  <si>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</si>
  <si>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</si>
  <si>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</si>
  <si>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</si>
  <si>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</si>
  <si>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</si>
  <si>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28- Maternidad Provincial 25 de Mayo</t>
  </si>
  <si>
    <t xml:space="preserve">Direccion Asistencial </t>
  </si>
  <si>
    <t>1.1</t>
  </si>
  <si>
    <t>División de Enfermería</t>
  </si>
  <si>
    <t>ARTICULOS DEL HOGAR</t>
  </si>
  <si>
    <t>UNIDAD</t>
  </si>
  <si>
    <t>MATERNIDAD   PROVINCIAL 25 DE MAYO,   HERNANDO DE PEDRAZA 1500</t>
  </si>
  <si>
    <t>Otros N.E.P.</t>
  </si>
  <si>
    <t>40- Ministerio de Salud</t>
  </si>
  <si>
    <t>ALMOHADAS; DIMENSION: 70 X 35 Cm, CONSTRUCCION: ESPUMA</t>
  </si>
  <si>
    <t>2.2.9-702.2</t>
  </si>
  <si>
    <t>COLCHONES; CONSTRUCCION: ARTICULADO ESPUMA ALTA DENS, DIMENSION: 1900 X 870 mm, ESPESOR: 18 Cm, DENSIDAD: 33 Kg/m3, TERMINACION: FORRO PVC SANITARIO</t>
  </si>
  <si>
    <t>2.2.9-701.177</t>
  </si>
  <si>
    <t>COLCHONES; CONSTRUCCION: ESPUMA, DIMENSION: 30 X 70 Cm, ESPESOR: 6 Cm, DENSIDAD: 200 Kg/m3, TERMINACION: FUNDA</t>
  </si>
  <si>
    <t>2.2.9-701.116</t>
  </si>
  <si>
    <t>30 DIAS</t>
  </si>
  <si>
    <t>Costo total estimado: NOVECIENTOS OCHENTA Y SIETE MIL CON 00/100 CENTAVOS.</t>
  </si>
  <si>
    <t>TOTAL DE PESOS: NOVECIENTOS OCHENTA Y SIETE MIL CON 00/100 CENTAVOS.</t>
  </si>
  <si>
    <t xml:space="preserve">10 DIAS DESDE LA FIRMA DEL INSTRUMENTO CONTRACTUAL </t>
  </si>
  <si>
    <t>SERVICIO DE ENFERMERIA HORARIO DE 08:00 A 12:00</t>
  </si>
  <si>
    <t>3° trimestre 2021</t>
  </si>
  <si>
    <t>Para la adquisición de Colchones, para ser destinados la internacion de pacientes embarazadas y/ o puerperas que ingresan a nuestra Institucion.</t>
  </si>
  <si>
    <t>92/2021</t>
  </si>
  <si>
    <t>NO</t>
  </si>
  <si>
    <t>SI</t>
  </si>
  <si>
    <t>Especificidades Item N° 2:</t>
  </si>
  <si>
    <t>COLCHONES  NEONATALES CON FORRO DE VINIL COLOR BLANCO</t>
  </si>
  <si>
    <t xml:space="preserve">ALMOHADA CON FORRO DE VINIL COLOR BLANCO </t>
  </si>
  <si>
    <t>Especificidades Item N° 3:</t>
  </si>
  <si>
    <t xml:space="preserve">FORRO PVC SANITARIO COLOR BLANCO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</si>
</sst>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indexed="64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7" xfId="0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6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7" xfId="0" applyBorder="1"/>
    <xf numFmtId="0" fontId="0" fillId="0" borderId="33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4" xfId="0" applyBorder="1"/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7" xfId="0" applyFont="1" applyBorder="1" applyAlignment="1">
      <alignment horizontal="left" vertical="center"/>
    </xf>
    <xf numFmtId="0" fontId="13" fillId="0" borderId="38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21" fillId="0" borderId="9" xfId="0" applyFont="1" applyBorder="1"/>
    <xf numFmtId="0" fontId="15" fillId="0" borderId="10" xfId="0" applyFont="1" applyBorder="1"/>
    <xf numFmtId="0" fontId="15" fillId="0" borderId="11" xfId="0" applyFont="1" applyBorder="1"/>
    <xf numFmtId="0" fontId="15" fillId="0" borderId="12" xfId="0" applyFont="1" applyBorder="1"/>
    <xf numFmtId="0" fontId="15" fillId="0" borderId="0" xfId="0" applyFont="1" applyBorder="1"/>
    <xf numFmtId="0" fontId="15" fillId="0" borderId="13" xfId="0" applyFont="1" applyBorder="1"/>
    <xf numFmtId="0" fontId="21" fillId="0" borderId="12" xfId="0" applyFont="1" applyBorder="1" applyAlignment="1">
      <alignment horizontal="left" indent="3"/>
    </xf>
    <xf numFmtId="0" fontId="15" fillId="0" borderId="12" xfId="0" applyFont="1" applyBorder="1" applyAlignment="1">
      <alignment horizontal="left" indent="3"/>
    </xf>
    <xf numFmtId="0" fontId="15" fillId="0" borderId="14" xfId="0" applyFont="1" applyBorder="1" applyAlignment="1">
      <alignment horizontal="left" indent="3"/>
    </xf>
    <xf numFmtId="0" fontId="15" fillId="0" borderId="15" xfId="0" applyFont="1" applyBorder="1"/>
    <xf numFmtId="0" fontId="15" fillId="0" borderId="16" xfId="0" applyFont="1" applyBorder="1"/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15" fillId="0" borderId="0" xfId="0" applyFont="1" applyFill="1" applyBorder="1"/>
    <xf numFmtId="0" fontId="15" fillId="0" borderId="13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 wrapText="1"/>
    </xf>
    <xf numFmtId="166" fontId="4" fillId="0" borderId="27" xfId="1" applyNumberFormat="1" applyFont="1" applyFill="1" applyBorder="1" applyAlignment="1" applyProtection="1">
      <alignment horizontal="right" vertical="center" wrapText="1"/>
    </xf>
    <xf numFmtId="3" fontId="4" fillId="0" borderId="27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6" fontId="18" fillId="0" borderId="4" xfId="0" applyNumberFormat="1" applyFont="1" applyBorder="1" applyAlignment="1">
      <alignment horizontal="center" vertical="center" wrapText="1"/>
    </xf>
    <xf numFmtId="6" fontId="18" fillId="0" borderId="5" xfId="0" applyNumberFormat="1" applyFont="1" applyBorder="1" applyAlignment="1">
      <alignment horizontal="center" vertical="center" wrapText="1"/>
    </xf>
    <xf numFmtId="6" fontId="18" fillId="0" borderId="7" xfId="0" applyNumberFormat="1" applyFont="1" applyBorder="1" applyAlignment="1">
      <alignment horizontal="center" vertical="center" wrapText="1"/>
    </xf>
    <xf numFmtId="6" fontId="18" fillId="0" borderId="8" xfId="0" applyNumberFormat="1" applyFont="1" applyBorder="1" applyAlignment="1">
      <alignment horizontal="center" vertical="center" wrapText="1"/>
    </xf>
    <xf numFmtId="0" fontId="15" fillId="0" borderId="7" xfId="0" applyFont="1" applyBorder="1"/>
    <xf numFmtId="0" fontId="15" fillId="0" borderId="7" xfId="0" applyFont="1" applyBorder="1" applyAlignment="1">
      <alignment wrapText="1"/>
    </xf>
    <xf numFmtId="0" fontId="19" fillId="0" borderId="49" xfId="0" applyFont="1" applyBorder="1" applyAlignment="1">
      <alignment horizontal="center" vertical="center" wrapText="1"/>
    </xf>
    <xf numFmtId="0" fontId="15" fillId="3" borderId="7" xfId="0" applyFont="1" applyFill="1" applyBorder="1"/>
    <xf numFmtId="0" fontId="15" fillId="0" borderId="0" xfId="0" applyFont="1" applyFill="1" applyBorder="1" applyAlignment="1">
      <alignment horizontal="center" wrapText="1"/>
    </xf>
    <xf numFmtId="0" fontId="15" fillId="3" borderId="0" xfId="0" applyFont="1" applyFill="1" applyBorder="1"/>
    <xf numFmtId="0" fontId="21" fillId="0" borderId="0" xfId="0" applyFont="1" applyBorder="1"/>
    <xf numFmtId="0" fontId="15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3"/>
    </xf>
    <xf numFmtId="0" fontId="15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 wrapText="1"/>
    </xf>
    <xf numFmtId="49" fontId="6" fillId="0" borderId="18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wrapText="1"/>
    </xf>
    <xf numFmtId="0" fontId="15" fillId="0" borderId="13" xfId="0" applyFont="1" applyFill="1" applyBorder="1" applyAlignment="1">
      <alignment horizont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wrapText="1" indent="1"/>
    </xf>
    <xf numFmtId="0" fontId="6" fillId="0" borderId="21" xfId="0" applyFont="1" applyBorder="1" applyAlignment="1">
      <alignment horizontal="left" vertical="center" wrapText="1" indent="1"/>
    </xf>
    <xf numFmtId="167" fontId="7" fillId="0" borderId="21" xfId="0" applyNumberFormat="1" applyFont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Border="1" applyAlignment="1">
      <alignment horizontal="left" vertical="center" wrapText="1"/>
    </xf>
    <xf numFmtId="0" fontId="9" fillId="0" borderId="28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11" fillId="0" borderId="35" xfId="0" applyFont="1" applyBorder="1" applyAlignment="1">
      <alignment vertical="center" wrapText="1"/>
    </xf>
    <xf numFmtId="0" fontId="11" fillId="0" borderId="44" xfId="0" applyFont="1" applyFill="1" applyBorder="1" applyAlignment="1">
      <alignment horizontal="left" vertical="center" wrapText="1" indent="1"/>
    </xf>
    <xf numFmtId="0" fontId="9" fillId="0" borderId="44" xfId="0" applyFont="1" applyBorder="1" applyAlignment="1">
      <alignment horizontal="left" vertical="center" wrapText="1"/>
    </xf>
    <xf numFmtId="0" fontId="0" fillId="0" borderId="30" xfId="0" applyBorder="1"/>
    <xf numFmtId="0" fontId="14" fillId="0" borderId="42" xfId="0" applyFont="1" applyBorder="1" applyAlignment="1">
      <alignment horizontal="left" vertical="center"/>
    </xf>
    <xf numFmtId="0" fontId="0" fillId="0" borderId="42" xfId="0" applyFont="1" applyBorder="1" applyAlignment="1">
      <alignment horizontal="left" vertical="center"/>
    </xf>
    <xf numFmtId="0" fontId="11" fillId="0" borderId="31" xfId="0" applyFont="1" applyBorder="1"/>
    <xf numFmtId="0" fontId="11" fillId="0" borderId="32" xfId="0" applyFont="1" applyFill="1" applyBorder="1" applyAlignment="1">
      <alignment horizontal="left" vertical="center" wrapText="1" indent="1"/>
    </xf>
    <xf numFmtId="0" fontId="13" fillId="0" borderId="3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indent="1"/>
    </xf>
    <xf numFmtId="0" fontId="12" fillId="0" borderId="18" xfId="0" applyFont="1" applyBorder="1" applyAlignment="1">
      <alignment horizontal="left"/>
    </xf>
    <xf numFmtId="0" fontId="0" fillId="0" borderId="28" xfId="0" applyFont="1" applyBorder="1" applyAlignment="1">
      <alignment horizontal="center"/>
    </xf>
    <xf numFmtId="3" fontId="9" fillId="0" borderId="29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 vertical="center" wrapText="1"/>
    </xf>
    <xf numFmtId="0" fontId="2" fillId="0" borderId="18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94"/>
  <sheetViews>
    <sheetView tabSelected="1" zoomScaleNormal="100" workbookViewId="0">
      <selection activeCell="I10" sqref="I10:I12"/>
    </sheetView>
  </sheetViews>
  <sheetFormatPr baseColWidth="10" defaultColWidth="11" defaultRowHeight="12.75" x14ac:dyDescent="0.2"/>
  <cols>
    <col min="1" max="1" width="4.5703125" style="29" customWidth="1"/>
    <col min="2" max="2" width="12.85546875" style="29" customWidth="1"/>
    <col min="3" max="3" width="32.42578125" style="29" customWidth="1"/>
    <col min="4" max="4" width="8.42578125" style="29" customWidth="1"/>
    <col min="5" max="5" width="114.140625" style="29" customWidth="1"/>
    <col min="6" max="6" width="11" style="29"/>
    <col min="7" max="7" width="12.7109375" style="29" customWidth="1"/>
    <col min="8" max="8" width="13.85546875" style="29" customWidth="1"/>
    <col min="9" max="9" width="18.5703125" style="29" customWidth="1"/>
    <col min="10" max="16384" width="11" style="29"/>
  </cols>
  <sheetData>
    <row r="2" spans="1:9" ht="27" x14ac:dyDescent="0.35">
      <c r="B2" s="90" t="s">
        <v>0</v>
      </c>
      <c r="C2" s="90"/>
      <c r="D2" s="90"/>
      <c r="E2" s="90"/>
      <c r="F2" s="90"/>
      <c r="G2" s="90"/>
      <c r="H2" s="90"/>
    </row>
    <row r="4" spans="1:9" ht="18" customHeight="1" x14ac:dyDescent="0.25">
      <c r="A4" s="91" t="s">
        <v>1</v>
      </c>
      <c r="B4" s="91"/>
      <c r="C4" s="92" t="s">
        <v>65</v>
      </c>
      <c r="D4" s="92"/>
      <c r="E4" s="92"/>
      <c r="F4" s="30"/>
      <c r="G4" s="31"/>
      <c r="H4" s="30"/>
    </row>
    <row r="5" spans="1:9" ht="18" customHeight="1" x14ac:dyDescent="0.25">
      <c r="A5" s="91" t="s">
        <v>2</v>
      </c>
      <c r="B5" s="91"/>
      <c r="C5" s="92" t="s">
        <v>57</v>
      </c>
      <c r="D5" s="92"/>
      <c r="E5" s="92"/>
      <c r="F5" s="30"/>
      <c r="G5" s="31"/>
      <c r="H5" s="30"/>
    </row>
    <row r="6" spans="1:9" ht="16.5" customHeight="1" x14ac:dyDescent="0.25">
      <c r="A6" s="91" t="s">
        <v>3</v>
      </c>
      <c r="B6" s="91"/>
      <c r="C6" s="44">
        <v>2021</v>
      </c>
      <c r="D6" s="45"/>
      <c r="E6" s="45"/>
      <c r="F6" s="30"/>
      <c r="G6" s="31"/>
      <c r="H6" s="30"/>
    </row>
    <row r="7" spans="1:9" ht="16.5" customHeight="1" x14ac:dyDescent="0.25">
      <c r="A7" s="91" t="s">
        <v>4</v>
      </c>
      <c r="B7" s="91"/>
      <c r="C7" s="44">
        <v>3</v>
      </c>
      <c r="D7" s="45"/>
      <c r="E7" s="45"/>
      <c r="F7" s="30"/>
      <c r="G7" s="31"/>
      <c r="H7" s="30"/>
    </row>
    <row r="8" spans="1:9" ht="13.5" thickBot="1" x14ac:dyDescent="0.25">
      <c r="B8" s="30"/>
      <c r="C8" s="31"/>
      <c r="D8" s="30"/>
      <c r="E8" s="30"/>
      <c r="F8" s="30"/>
      <c r="G8" s="31"/>
      <c r="H8" s="30"/>
    </row>
    <row r="9" spans="1:9" ht="39.75" thickTop="1" thickBot="1" x14ac:dyDescent="0.25">
      <c r="A9" s="32" t="s">
        <v>5</v>
      </c>
      <c r="B9" s="74" t="s">
        <v>6</v>
      </c>
      <c r="C9" s="32" t="s">
        <v>7</v>
      </c>
      <c r="D9" s="32" t="s">
        <v>8</v>
      </c>
      <c r="E9" s="74" t="s">
        <v>9</v>
      </c>
      <c r="F9" s="32" t="s">
        <v>10</v>
      </c>
      <c r="G9" s="32" t="s">
        <v>11</v>
      </c>
      <c r="H9" s="32" t="s">
        <v>12</v>
      </c>
      <c r="I9" s="32" t="s">
        <v>13</v>
      </c>
    </row>
    <row r="10" spans="1:9" ht="29.25" customHeight="1" thickBot="1" x14ac:dyDescent="0.25">
      <c r="A10" s="65">
        <v>1</v>
      </c>
      <c r="B10" t="s">
        <v>71</v>
      </c>
      <c r="C10" s="67" t="s">
        <v>61</v>
      </c>
      <c r="D10" s="52" t="str">
        <f t="shared" ref="D10:D11" si="0">LEFT(B10,5)</f>
        <v>2.2.9</v>
      </c>
      <c r="E10" s="75" t="s">
        <v>70</v>
      </c>
      <c r="F10" s="66" t="s">
        <v>62</v>
      </c>
      <c r="G10" s="66">
        <v>30</v>
      </c>
      <c r="H10" s="68">
        <v>2500</v>
      </c>
      <c r="I10" s="69">
        <v>75000</v>
      </c>
    </row>
    <row r="11" spans="1:9" ht="27.75" customHeight="1" x14ac:dyDescent="0.2">
      <c r="A11" s="50">
        <v>2</v>
      </c>
      <c r="B11" s="72" t="s">
        <v>67</v>
      </c>
      <c r="C11" s="72" t="s">
        <v>61</v>
      </c>
      <c r="D11" s="52" t="str">
        <f t="shared" si="0"/>
        <v>2.2.9</v>
      </c>
      <c r="E11" s="72" t="s">
        <v>66</v>
      </c>
      <c r="F11" s="64" t="s">
        <v>62</v>
      </c>
      <c r="G11" s="64">
        <v>30</v>
      </c>
      <c r="H11" s="64">
        <v>1200</v>
      </c>
      <c r="I11" s="71">
        <v>36000</v>
      </c>
    </row>
    <row r="12" spans="1:9" ht="32.25" customHeight="1" x14ac:dyDescent="0.2">
      <c r="A12" s="51">
        <v>3</v>
      </c>
      <c r="B12" s="72" t="s">
        <v>69</v>
      </c>
      <c r="C12" s="72" t="s">
        <v>61</v>
      </c>
      <c r="D12" s="63" t="str">
        <f t="shared" ref="D12" si="1">LEFT(B12,5)</f>
        <v>2.2.9</v>
      </c>
      <c r="E12" s="73" t="s">
        <v>68</v>
      </c>
      <c r="F12" s="64" t="s">
        <v>62</v>
      </c>
      <c r="G12" s="64">
        <v>60</v>
      </c>
      <c r="H12" s="70">
        <v>14600</v>
      </c>
      <c r="I12" s="71">
        <v>876000</v>
      </c>
    </row>
    <row r="15" spans="1:9" x14ac:dyDescent="0.2">
      <c r="B15" s="33" t="s">
        <v>14</v>
      </c>
      <c r="C15" s="34"/>
      <c r="D15" s="34"/>
      <c r="E15" s="35"/>
    </row>
    <row r="16" spans="1:9" ht="5.25" customHeight="1" x14ac:dyDescent="0.2">
      <c r="B16" s="36"/>
      <c r="C16" s="37"/>
      <c r="D16" s="37"/>
      <c r="E16" s="38"/>
    </row>
    <row r="17" spans="1:6" x14ac:dyDescent="0.2">
      <c r="B17" s="39" t="s">
        <v>15</v>
      </c>
      <c r="C17" s="37"/>
      <c r="D17" s="37"/>
      <c r="E17" s="38"/>
    </row>
    <row r="18" spans="1:6" ht="41.25" customHeight="1" x14ac:dyDescent="0.2">
      <c r="B18" s="39"/>
      <c r="C18" s="88" t="s">
        <v>83</v>
      </c>
      <c r="D18" s="88"/>
      <c r="E18" s="89"/>
    </row>
    <row r="19" spans="1:6" x14ac:dyDescent="0.2">
      <c r="B19" s="39" t="s">
        <v>16</v>
      </c>
      <c r="C19" s="46"/>
      <c r="D19" s="46"/>
      <c r="E19" s="47"/>
    </row>
    <row r="20" spans="1:6" x14ac:dyDescent="0.2">
      <c r="B20" s="40"/>
      <c r="C20" s="86" t="s">
        <v>75</v>
      </c>
      <c r="D20" s="86"/>
      <c r="E20" s="87"/>
    </row>
    <row r="21" spans="1:6" x14ac:dyDescent="0.2">
      <c r="B21" s="40"/>
      <c r="C21" s="81"/>
      <c r="D21" s="86" t="s">
        <v>76</v>
      </c>
      <c r="E21" s="87"/>
    </row>
    <row r="22" spans="1:6" x14ac:dyDescent="0.2">
      <c r="B22" s="40"/>
      <c r="C22" s="86" t="s">
        <v>63</v>
      </c>
      <c r="D22" s="86"/>
      <c r="E22" s="87"/>
    </row>
    <row r="23" spans="1:6" x14ac:dyDescent="0.2">
      <c r="B23" s="39" t="s">
        <v>17</v>
      </c>
      <c r="C23" s="46"/>
      <c r="D23" s="46"/>
      <c r="E23" s="47"/>
    </row>
    <row r="24" spans="1:6" ht="26.25" customHeight="1" x14ac:dyDescent="0.2">
      <c r="B24" s="40"/>
      <c r="C24" s="88"/>
      <c r="D24" s="88"/>
      <c r="E24" s="89"/>
    </row>
    <row r="25" spans="1:6" x14ac:dyDescent="0.2">
      <c r="B25" s="39" t="s">
        <v>18</v>
      </c>
      <c r="C25" s="48"/>
      <c r="D25" s="48"/>
      <c r="E25" s="49"/>
    </row>
    <row r="26" spans="1:6" ht="26.25" customHeight="1" x14ac:dyDescent="0.2">
      <c r="B26" s="40"/>
      <c r="C26" s="88" t="s">
        <v>72</v>
      </c>
      <c r="D26" s="88"/>
      <c r="E26" s="89"/>
    </row>
    <row r="27" spans="1:6" x14ac:dyDescent="0.2">
      <c r="B27" s="39" t="s">
        <v>19</v>
      </c>
      <c r="C27" s="46"/>
      <c r="D27" s="77"/>
      <c r="E27" s="47"/>
    </row>
    <row r="28" spans="1:6" ht="23.25" customHeight="1" x14ac:dyDescent="0.2">
      <c r="B28" s="39"/>
      <c r="C28" s="86"/>
      <c r="D28" s="86"/>
      <c r="E28" s="87"/>
    </row>
    <row r="29" spans="1:6" ht="13.5" thickBot="1" x14ac:dyDescent="0.25">
      <c r="B29" s="41"/>
      <c r="C29" s="42"/>
      <c r="D29" s="42"/>
      <c r="E29" s="43"/>
    </row>
    <row r="30" spans="1:6" ht="13.5" thickBot="1" x14ac:dyDescent="0.25"/>
    <row r="31" spans="1:6" x14ac:dyDescent="0.2">
      <c r="B31" s="33" t="s">
        <v>82</v>
      </c>
      <c r="C31" s="34"/>
      <c r="D31" s="34"/>
      <c r="E31" s="35"/>
    </row>
    <row r="32" spans="1:6" ht="7.5" customHeight="1" x14ac:dyDescent="0.2">
      <c r="A32" s="37"/>
      <c r="B32" s="36"/>
      <c r="C32" s="37"/>
      <c r="D32" s="37"/>
      <c r="E32" s="38"/>
      <c r="F32" s="37"/>
    </row>
    <row r="33" spans="2:5" ht="5.25" customHeight="1" x14ac:dyDescent="0.2">
      <c r="B33" s="39" t="s">
        <v>15</v>
      </c>
      <c r="C33" s="37"/>
      <c r="D33" s="37"/>
      <c r="E33" s="38"/>
    </row>
    <row r="34" spans="2:5" x14ac:dyDescent="0.2">
      <c r="B34" s="39"/>
      <c r="C34" s="88" t="s">
        <v>84</v>
      </c>
      <c r="D34" s="88"/>
      <c r="E34" s="89"/>
    </row>
    <row r="35" spans="2:5" ht="41.25" customHeight="1" x14ac:dyDescent="0.2">
      <c r="B35" s="39" t="s">
        <v>16</v>
      </c>
      <c r="C35" s="46"/>
      <c r="D35" s="46"/>
      <c r="E35" s="47"/>
    </row>
    <row r="36" spans="2:5" x14ac:dyDescent="0.2">
      <c r="B36" s="40"/>
      <c r="C36" s="86" t="s">
        <v>75</v>
      </c>
      <c r="D36" s="86"/>
      <c r="E36" s="87"/>
    </row>
    <row r="37" spans="2:5" x14ac:dyDescent="0.2">
      <c r="B37" s="40"/>
      <c r="C37" s="82"/>
      <c r="D37" s="86" t="s">
        <v>76</v>
      </c>
      <c r="E37" s="87"/>
    </row>
    <row r="38" spans="2:5" x14ac:dyDescent="0.2">
      <c r="B38" s="40"/>
      <c r="C38" s="86" t="s">
        <v>63</v>
      </c>
      <c r="D38" s="86"/>
      <c r="E38" s="87"/>
    </row>
    <row r="39" spans="2:5" x14ac:dyDescent="0.2">
      <c r="B39" s="39" t="s">
        <v>17</v>
      </c>
      <c r="C39" s="46"/>
      <c r="D39" s="46"/>
      <c r="E39" s="47"/>
    </row>
    <row r="40" spans="2:5" ht="26.25" customHeight="1" x14ac:dyDescent="0.2">
      <c r="B40" s="40"/>
      <c r="C40" s="88"/>
      <c r="D40" s="88"/>
      <c r="E40" s="89"/>
    </row>
    <row r="41" spans="2:5" x14ac:dyDescent="0.2">
      <c r="B41" s="39" t="s">
        <v>18</v>
      </c>
      <c r="C41" s="83"/>
      <c r="D41" s="83"/>
      <c r="E41" s="84"/>
    </row>
    <row r="42" spans="2:5" ht="26.25" customHeight="1" x14ac:dyDescent="0.2">
      <c r="B42" s="40"/>
      <c r="C42" s="88" t="s">
        <v>72</v>
      </c>
      <c r="D42" s="88"/>
      <c r="E42" s="89"/>
    </row>
    <row r="43" spans="2:5" x14ac:dyDescent="0.2">
      <c r="B43" s="39" t="s">
        <v>19</v>
      </c>
      <c r="C43" s="46"/>
      <c r="D43" s="77"/>
      <c r="E43" s="47"/>
    </row>
    <row r="44" spans="2:5" ht="23.25" customHeight="1" x14ac:dyDescent="0.2">
      <c r="B44" s="39"/>
      <c r="C44" s="86"/>
      <c r="D44" s="86"/>
      <c r="E44" s="87"/>
    </row>
    <row r="45" spans="2:5" ht="13.5" thickBot="1" x14ac:dyDescent="0.25">
      <c r="B45" s="41"/>
      <c r="C45" s="42"/>
      <c r="D45" s="42"/>
      <c r="E45" s="43"/>
    </row>
    <row r="46" spans="2:5" ht="13.5" thickBot="1" x14ac:dyDescent="0.25">
      <c r="B46" s="37"/>
      <c r="C46" s="37"/>
      <c r="D46" s="37"/>
      <c r="E46" s="37"/>
    </row>
    <row r="47" spans="2:5" x14ac:dyDescent="0.2">
      <c r="B47" s="33" t="s">
        <v>85</v>
      </c>
      <c r="C47" s="34"/>
      <c r="D47" s="34"/>
      <c r="E47" s="35"/>
    </row>
    <row r="48" spans="2:5" ht="7.5" customHeight="1" x14ac:dyDescent="0.2">
      <c r="B48" s="36"/>
      <c r="C48" s="37"/>
      <c r="D48" s="37"/>
      <c r="E48" s="38"/>
    </row>
    <row r="49" spans="2:5" x14ac:dyDescent="0.2">
      <c r="B49" s="39" t="s">
        <v>15</v>
      </c>
      <c r="C49" s="37"/>
      <c r="D49" s="37"/>
      <c r="E49" s="38"/>
    </row>
    <row r="50" spans="2:5" ht="39" customHeight="1" x14ac:dyDescent="0.2">
      <c r="B50" s="39"/>
      <c r="C50" s="88" t="s">
        <v>86</v>
      </c>
      <c r="D50" s="88"/>
      <c r="E50" s="89"/>
    </row>
    <row r="51" spans="2:5" x14ac:dyDescent="0.2">
      <c r="B51" s="39" t="s">
        <v>16</v>
      </c>
      <c r="C51" s="46"/>
      <c r="D51" s="46"/>
      <c r="E51" s="47"/>
    </row>
    <row r="52" spans="2:5" x14ac:dyDescent="0.2">
      <c r="B52" s="40"/>
      <c r="C52" s="86" t="s">
        <v>75</v>
      </c>
      <c r="D52" s="86"/>
      <c r="E52" s="87"/>
    </row>
    <row r="53" spans="2:5" x14ac:dyDescent="0.2">
      <c r="B53" s="40"/>
      <c r="C53" s="82"/>
      <c r="D53" s="86" t="s">
        <v>76</v>
      </c>
      <c r="E53" s="87"/>
    </row>
    <row r="54" spans="2:5" x14ac:dyDescent="0.2">
      <c r="B54" s="40"/>
      <c r="C54" s="86" t="s">
        <v>63</v>
      </c>
      <c r="D54" s="86"/>
      <c r="E54" s="87"/>
    </row>
    <row r="55" spans="2:5" x14ac:dyDescent="0.2">
      <c r="B55" s="39" t="s">
        <v>17</v>
      </c>
      <c r="C55" s="46"/>
      <c r="D55" s="46"/>
      <c r="E55" s="47"/>
    </row>
    <row r="56" spans="2:5" x14ac:dyDescent="0.2">
      <c r="B56" s="40"/>
      <c r="C56" s="88"/>
      <c r="D56" s="88"/>
      <c r="E56" s="89"/>
    </row>
    <row r="57" spans="2:5" x14ac:dyDescent="0.2">
      <c r="B57" s="39" t="s">
        <v>18</v>
      </c>
      <c r="C57" s="83"/>
      <c r="D57" s="83"/>
      <c r="E57" s="84"/>
    </row>
    <row r="58" spans="2:5" x14ac:dyDescent="0.2">
      <c r="B58" s="40"/>
      <c r="C58" s="88" t="s">
        <v>72</v>
      </c>
      <c r="D58" s="88"/>
      <c r="E58" s="89"/>
    </row>
    <row r="59" spans="2:5" x14ac:dyDescent="0.2">
      <c r="B59" s="39" t="s">
        <v>19</v>
      </c>
      <c r="C59" s="46"/>
      <c r="D59" s="77"/>
      <c r="E59" s="47"/>
    </row>
    <row r="60" spans="2:5" x14ac:dyDescent="0.2">
      <c r="B60" s="39"/>
      <c r="C60" s="86"/>
      <c r="D60" s="86"/>
      <c r="E60" s="87"/>
    </row>
    <row r="61" spans="2:5" ht="13.5" thickBot="1" x14ac:dyDescent="0.25">
      <c r="B61" s="41"/>
      <c r="C61" s="42"/>
      <c r="D61" s="42"/>
      <c r="E61" s="43"/>
    </row>
    <row r="66" spans="2:7" ht="30" customHeight="1" x14ac:dyDescent="0.2"/>
    <row r="79" spans="2:7" x14ac:dyDescent="0.2">
      <c r="D79" s="37"/>
      <c r="E79" s="37"/>
      <c r="F79" s="37"/>
      <c r="G79" s="37"/>
    </row>
    <row r="80" spans="2:7" x14ac:dyDescent="0.2">
      <c r="B80" s="37"/>
      <c r="C80" s="78"/>
      <c r="D80" s="37"/>
      <c r="E80" s="37"/>
      <c r="F80" s="37"/>
      <c r="G80" s="37"/>
    </row>
    <row r="81" spans="2:7" x14ac:dyDescent="0.2">
      <c r="B81" s="37"/>
      <c r="C81" s="37"/>
      <c r="D81" s="37"/>
      <c r="E81" s="37"/>
      <c r="F81" s="37"/>
      <c r="G81" s="37"/>
    </row>
    <row r="82" spans="2:7" x14ac:dyDescent="0.2">
      <c r="B82" s="37"/>
      <c r="C82" s="80"/>
      <c r="D82" s="37"/>
      <c r="E82" s="37"/>
      <c r="F82" s="37"/>
      <c r="G82" s="37"/>
    </row>
    <row r="83" spans="2:7" ht="12.75" customHeight="1" x14ac:dyDescent="0.2">
      <c r="B83" s="37"/>
      <c r="C83" s="80"/>
      <c r="D83" s="88"/>
      <c r="E83" s="88"/>
      <c r="F83" s="88"/>
      <c r="G83" s="37"/>
    </row>
    <row r="84" spans="2:7" x14ac:dyDescent="0.2">
      <c r="B84" s="37"/>
      <c r="C84" s="80"/>
      <c r="D84" s="46"/>
      <c r="E84" s="46"/>
      <c r="F84" s="46"/>
      <c r="G84" s="37"/>
    </row>
    <row r="85" spans="2:7" x14ac:dyDescent="0.2">
      <c r="B85" s="37"/>
      <c r="C85" s="79"/>
      <c r="D85" s="86"/>
      <c r="E85" s="86"/>
      <c r="F85" s="86"/>
      <c r="G85" s="37"/>
    </row>
    <row r="86" spans="2:7" x14ac:dyDescent="0.2">
      <c r="B86" s="37"/>
      <c r="C86" s="79"/>
      <c r="D86" s="86"/>
      <c r="E86" s="86"/>
      <c r="F86" s="86"/>
      <c r="G86" s="37"/>
    </row>
    <row r="87" spans="2:7" x14ac:dyDescent="0.2">
      <c r="B87" s="37"/>
      <c r="C87" s="80"/>
      <c r="D87" s="46"/>
      <c r="E87" s="46"/>
      <c r="F87" s="46"/>
      <c r="G87" s="37"/>
    </row>
    <row r="88" spans="2:7" x14ac:dyDescent="0.2">
      <c r="B88" s="37"/>
      <c r="C88" s="79"/>
      <c r="D88" s="88"/>
      <c r="E88" s="88"/>
      <c r="F88" s="88"/>
      <c r="G88" s="37"/>
    </row>
    <row r="89" spans="2:7" x14ac:dyDescent="0.2">
      <c r="B89" s="37"/>
      <c r="C89" s="80"/>
      <c r="D89" s="76"/>
      <c r="E89" s="76"/>
      <c r="F89" s="76"/>
      <c r="G89" s="37"/>
    </row>
    <row r="90" spans="2:7" x14ac:dyDescent="0.2">
      <c r="B90" s="37"/>
      <c r="C90" s="79"/>
      <c r="D90" s="88"/>
      <c r="E90" s="88"/>
      <c r="F90" s="88"/>
      <c r="G90" s="37"/>
    </row>
    <row r="91" spans="2:7" x14ac:dyDescent="0.2">
      <c r="B91" s="37"/>
      <c r="C91" s="80"/>
      <c r="D91" s="46"/>
      <c r="E91" s="77"/>
      <c r="F91" s="46"/>
      <c r="G91" s="37"/>
    </row>
    <row r="92" spans="2:7" x14ac:dyDescent="0.2">
      <c r="B92" s="37"/>
      <c r="C92" s="80"/>
      <c r="D92" s="86"/>
      <c r="E92" s="86"/>
      <c r="F92" s="86"/>
      <c r="G92" s="37"/>
    </row>
    <row r="93" spans="2:7" x14ac:dyDescent="0.2">
      <c r="B93" s="37"/>
      <c r="C93" s="79"/>
      <c r="D93" s="37"/>
      <c r="E93" s="37"/>
      <c r="F93" s="37"/>
    </row>
    <row r="94" spans="2:7" x14ac:dyDescent="0.2">
      <c r="B94" s="37"/>
      <c r="C94" s="37"/>
      <c r="D94" s="37"/>
      <c r="E94" s="37"/>
      <c r="F94" s="37"/>
    </row>
  </sheetData>
  <mergeCells count="34">
    <mergeCell ref="C28:E28"/>
    <mergeCell ref="C34:E34"/>
    <mergeCell ref="C36:E36"/>
    <mergeCell ref="D37:E37"/>
    <mergeCell ref="B2:H2"/>
    <mergeCell ref="A6:B6"/>
    <mergeCell ref="A7:B7"/>
    <mergeCell ref="C18:E18"/>
    <mergeCell ref="C20:E20"/>
    <mergeCell ref="C5:E5"/>
    <mergeCell ref="C4:E4"/>
    <mergeCell ref="A5:B5"/>
    <mergeCell ref="A4:B4"/>
    <mergeCell ref="D21:E21"/>
    <mergeCell ref="D90:F90"/>
    <mergeCell ref="D92:F92"/>
    <mergeCell ref="D83:F83"/>
    <mergeCell ref="D85:F85"/>
    <mergeCell ref="D86:F86"/>
    <mergeCell ref="D88:F88"/>
    <mergeCell ref="C44:E44"/>
    <mergeCell ref="C50:E50"/>
    <mergeCell ref="C52:E52"/>
    <mergeCell ref="C38:E38"/>
    <mergeCell ref="C40:E40"/>
    <mergeCell ref="C42:E42"/>
    <mergeCell ref="C22:E22"/>
    <mergeCell ref="C24:E24"/>
    <mergeCell ref="C26:E26"/>
    <mergeCell ref="D53:E53"/>
    <mergeCell ref="C54:E54"/>
    <mergeCell ref="C56:E56"/>
    <mergeCell ref="C58:E58"/>
    <mergeCell ref="C60:E60"/>
  </mergeCells>
  <pageMargins left="0.23622047244094491" right="0" top="0.74803149606299213" bottom="0.74803149606299213" header="0.31496062992125984" footer="0.31496062992125984"/>
  <pageSetup paperSize="5" scale="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5"/>
  <sheetViews>
    <sheetView zoomScale="75" zoomScaleNormal="75" workbookViewId="0">
      <selection activeCell="H13" sqref="H1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2" t="s">
        <v>20</v>
      </c>
      <c r="B1" s="102"/>
      <c r="C1" s="102"/>
      <c r="D1" s="102"/>
      <c r="E1" s="102"/>
      <c r="F1" s="102"/>
      <c r="G1" s="102"/>
      <c r="H1" s="102"/>
      <c r="I1" s="102"/>
      <c r="J1" s="3" t="s">
        <v>21</v>
      </c>
      <c r="K1" s="85" t="s">
        <v>79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3" t="s">
        <v>54</v>
      </c>
      <c r="B3" s="103"/>
      <c r="C3" s="103"/>
      <c r="D3" s="104" t="str">
        <f>'Necesidades Trimestrales'!C4</f>
        <v>40- Ministerio de Salud</v>
      </c>
      <c r="E3" s="104"/>
      <c r="F3" s="104"/>
      <c r="G3" s="104"/>
      <c r="H3" s="104"/>
      <c r="I3" s="104"/>
      <c r="J3" s="104"/>
      <c r="K3" s="104"/>
    </row>
    <row r="4" spans="1:11" ht="18.75" customHeight="1" thickBot="1" x14ac:dyDescent="0.25">
      <c r="A4" s="105" t="s">
        <v>55</v>
      </c>
      <c r="B4" s="105"/>
      <c r="C4" s="105"/>
      <c r="D4" s="104" t="str">
        <f>'Necesidades Trimestrales'!C5</f>
        <v>28- Maternidad Provincial 25 de Mayo</v>
      </c>
      <c r="E4" s="104"/>
      <c r="F4" s="104"/>
      <c r="G4" s="104"/>
      <c r="H4" s="104"/>
      <c r="I4" s="104"/>
      <c r="J4" s="104"/>
      <c r="K4" s="104"/>
    </row>
    <row r="5" spans="1:11" ht="18.75" customHeight="1" thickBot="1" x14ac:dyDescent="0.25">
      <c r="A5" s="105" t="s">
        <v>33</v>
      </c>
      <c r="B5" s="105"/>
      <c r="C5" s="105"/>
      <c r="D5" s="104" t="s">
        <v>58</v>
      </c>
      <c r="E5" s="104"/>
      <c r="F5" s="104"/>
      <c r="G5" s="104"/>
      <c r="H5" s="104"/>
      <c r="I5" s="104"/>
      <c r="J5" s="104"/>
      <c r="K5" s="104"/>
    </row>
    <row r="6" spans="1:11" ht="16.5" customHeight="1" thickBot="1" x14ac:dyDescent="0.25">
      <c r="A6" s="103" t="s">
        <v>56</v>
      </c>
      <c r="B6" s="103"/>
      <c r="C6" s="103"/>
      <c r="D6" s="104" t="s">
        <v>60</v>
      </c>
      <c r="E6" s="104"/>
      <c r="F6" s="104"/>
      <c r="G6" s="104"/>
      <c r="H6" s="104"/>
      <c r="I6" s="104"/>
      <c r="J6" s="104"/>
      <c r="K6" s="104"/>
    </row>
    <row r="7" spans="1:11" ht="16.5" customHeight="1" thickBot="1" x14ac:dyDescent="0.25">
      <c r="A7" s="105" t="s">
        <v>22</v>
      </c>
      <c r="B7" s="105"/>
      <c r="C7" s="105"/>
      <c r="D7" s="104" t="s">
        <v>77</v>
      </c>
      <c r="E7" s="104"/>
      <c r="F7" s="104"/>
      <c r="G7" s="104"/>
      <c r="H7" s="104"/>
      <c r="I7" s="104"/>
      <c r="J7" s="104"/>
      <c r="K7" s="104"/>
    </row>
    <row r="8" spans="1:11" ht="16.5" customHeight="1" x14ac:dyDescent="0.2">
      <c r="A8" s="96" t="s">
        <v>23</v>
      </c>
      <c r="B8" s="96"/>
      <c r="C8" s="96"/>
      <c r="D8" s="97"/>
      <c r="E8" s="97"/>
      <c r="F8" s="97"/>
      <c r="G8" s="97"/>
      <c r="H8" s="97"/>
      <c r="I8" s="97"/>
      <c r="J8" s="97"/>
      <c r="K8" s="97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8" t="s">
        <v>24</v>
      </c>
      <c r="B10" s="99" t="s">
        <v>25</v>
      </c>
      <c r="C10" s="99" t="s">
        <v>26</v>
      </c>
      <c r="D10" s="99"/>
      <c r="E10" s="99"/>
      <c r="F10" s="99"/>
      <c r="G10" s="99"/>
      <c r="H10" s="99" t="s">
        <v>27</v>
      </c>
      <c r="I10" s="99" t="s">
        <v>28</v>
      </c>
      <c r="J10" s="99" t="s">
        <v>29</v>
      </c>
      <c r="K10" s="100" t="s">
        <v>30</v>
      </c>
    </row>
    <row r="11" spans="1:11" ht="24" customHeight="1" thickBot="1" x14ac:dyDescent="0.25">
      <c r="A11" s="98"/>
      <c r="B11" s="99"/>
      <c r="C11" s="99"/>
      <c r="D11" s="99"/>
      <c r="E11" s="99"/>
      <c r="F11" s="99"/>
      <c r="G11" s="99"/>
      <c r="H11" s="99"/>
      <c r="I11" s="99"/>
      <c r="J11" s="99"/>
      <c r="K11" s="100"/>
    </row>
    <row r="12" spans="1:11" ht="24" customHeight="1" thickBot="1" x14ac:dyDescent="0.25">
      <c r="A12" s="8">
        <f>'Necesidades Trimestrales'!A10</f>
        <v>1</v>
      </c>
      <c r="B12" s="53" t="str">
        <f>'Necesidades Trimestrales'!B10</f>
        <v>2.2.9-701.116</v>
      </c>
      <c r="C12" s="95" t="str">
        <f>'Necesidades Trimestrales'!E10</f>
        <v>COLCHONES; CONSTRUCCION: ESPUMA, DIMENSION: 30 X 70 Cm, ESPESOR: 6 Cm, DENSIDAD: 200 Kg/m3, TERMINACION: FUNDA</v>
      </c>
      <c r="D12" s="95"/>
      <c r="E12" s="95"/>
      <c r="F12" s="95"/>
      <c r="G12" s="95"/>
      <c r="H12" s="54" t="s">
        <v>81</v>
      </c>
      <c r="I12" s="55" t="str">
        <f>'Necesidades Trimestrales'!F10</f>
        <v>UNIDAD</v>
      </c>
      <c r="J12" s="56">
        <f>'Necesidades Trimestrales'!H10</f>
        <v>2500</v>
      </c>
      <c r="K12" s="57">
        <f>'Necesidades Trimestrales'!G10</f>
        <v>30</v>
      </c>
    </row>
    <row r="13" spans="1:11" ht="20.25" customHeight="1" thickBot="1" x14ac:dyDescent="0.25">
      <c r="A13" s="8">
        <f>'Necesidades Trimestrales'!A11</f>
        <v>2</v>
      </c>
      <c r="B13" s="58" t="str">
        <f>'Necesidades Trimestrales'!B11</f>
        <v>2.2.9-702.2</v>
      </c>
      <c r="C13" s="101" t="str">
        <f>'Necesidades Trimestrales'!E11</f>
        <v>ALMOHADAS; DIMENSION: 70 X 35 Cm, CONSTRUCCION: ESPUMA</v>
      </c>
      <c r="D13" s="101"/>
      <c r="E13" s="101"/>
      <c r="F13" s="101"/>
      <c r="G13" s="101"/>
      <c r="H13" s="59" t="s">
        <v>80</v>
      </c>
      <c r="I13" s="60" t="str">
        <f>'Necesidades Trimestrales'!F11</f>
        <v>UNIDAD</v>
      </c>
      <c r="J13" s="61">
        <f>'Necesidades Trimestrales'!H11</f>
        <v>1200</v>
      </c>
      <c r="K13" s="62">
        <f>'Necesidades Trimestrales'!G11</f>
        <v>30</v>
      </c>
    </row>
    <row r="14" spans="1:11" ht="27" customHeight="1" thickBot="1" x14ac:dyDescent="0.25">
      <c r="A14" s="8">
        <f>'Necesidades Trimestrales'!A12</f>
        <v>3</v>
      </c>
      <c r="B14" s="58" t="str">
        <f>'Necesidades Trimestrales'!B12</f>
        <v>2.2.9-701.177</v>
      </c>
      <c r="C14" s="101" t="str">
        <f>'Necesidades Trimestrales'!E12</f>
        <v>COLCHONES; CONSTRUCCION: ARTICULADO ESPUMA ALTA DENS, DIMENSION: 1900 X 870 mm, ESPESOR: 18 Cm, DENSIDAD: 33 Kg/m3, TERMINACION: FORRO PVC SANITARIO</v>
      </c>
      <c r="D14" s="101"/>
      <c r="E14" s="101"/>
      <c r="F14" s="101"/>
      <c r="G14" s="101"/>
      <c r="H14" s="59" t="s">
        <v>80</v>
      </c>
      <c r="I14" s="60" t="str">
        <f>'Necesidades Trimestrales'!F12</f>
        <v>UNIDAD</v>
      </c>
      <c r="J14" s="61">
        <f>'Necesidades Trimestrales'!H12</f>
        <v>14600</v>
      </c>
      <c r="K14" s="62">
        <f>'Necesidades Trimestrales'!G12</f>
        <v>60</v>
      </c>
    </row>
    <row r="15" spans="1:11" ht="20.25" customHeight="1" thickBot="1" x14ac:dyDescent="0.25">
      <c r="A15" s="93" t="s">
        <v>73</v>
      </c>
      <c r="B15" s="93"/>
      <c r="C15" s="93"/>
      <c r="D15" s="93"/>
      <c r="E15" s="93"/>
      <c r="F15" s="93"/>
      <c r="G15" s="93"/>
      <c r="H15" s="93"/>
      <c r="I15" s="93"/>
      <c r="J15" s="94">
        <f>SUMPRODUCT(J12:J14,K12:K14)</f>
        <v>987000</v>
      </c>
      <c r="K15" s="94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5:I15"/>
    <mergeCell ref="J15:K15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3:G13"/>
    <mergeCell ref="C14:G14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8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"/>
  <sheetViews>
    <sheetView topLeftCell="A7" zoomScale="130" zoomScaleNormal="130" workbookViewId="0">
      <selection activeCell="L25" sqref="L2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26" t="s">
        <v>3</v>
      </c>
      <c r="B1" s="126"/>
      <c r="C1" s="126"/>
      <c r="D1" s="127">
        <f>'Necesidades Trimestrales'!C6</f>
        <v>2021</v>
      </c>
      <c r="E1" s="127"/>
      <c r="F1" s="10"/>
      <c r="G1" s="10"/>
      <c r="H1" s="11"/>
      <c r="I1" s="11"/>
      <c r="J1" s="11"/>
      <c r="K1" s="11"/>
      <c r="L1" s="11"/>
      <c r="M1" s="11"/>
      <c r="N1" s="11"/>
      <c r="P1" s="128" t="s">
        <v>31</v>
      </c>
      <c r="Q1" s="128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8"/>
      <c r="Q2" s="128"/>
    </row>
    <row r="4" spans="1:17" s="12" customFormat="1" ht="18" customHeight="1" thickBot="1" x14ac:dyDescent="0.25">
      <c r="A4" s="129" t="s">
        <v>32</v>
      </c>
      <c r="B4" s="129"/>
      <c r="C4" s="129"/>
      <c r="D4" s="129"/>
      <c r="E4" s="129"/>
      <c r="F4" s="129"/>
      <c r="G4" s="124" t="str">
        <f>' NotaPedido'!D3</f>
        <v>40- Ministerio de Salud</v>
      </c>
      <c r="H4" s="124"/>
      <c r="I4" s="124"/>
      <c r="J4" s="124"/>
      <c r="K4" s="124"/>
      <c r="L4" s="124"/>
      <c r="M4" s="124"/>
      <c r="N4" s="124"/>
      <c r="O4" s="124"/>
      <c r="P4" s="124"/>
      <c r="Q4" s="124"/>
    </row>
    <row r="5" spans="1:17" s="12" customFormat="1" ht="18" customHeight="1" thickBot="1" x14ac:dyDescent="0.25">
      <c r="A5" s="121" t="s">
        <v>55</v>
      </c>
      <c r="B5" s="122"/>
      <c r="C5" s="122"/>
      <c r="D5" s="122"/>
      <c r="E5" s="122"/>
      <c r="F5" s="123"/>
      <c r="G5" s="124" t="str">
        <f>' NotaPedido'!D4</f>
        <v>28- Maternidad Provincial 25 de Mayo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</row>
    <row r="6" spans="1:17" s="12" customFormat="1" ht="18" customHeight="1" thickBot="1" x14ac:dyDescent="0.25">
      <c r="A6" s="121" t="s">
        <v>33</v>
      </c>
      <c r="B6" s="122"/>
      <c r="C6" s="122"/>
      <c r="D6" s="122"/>
      <c r="E6" s="122"/>
      <c r="F6" s="123"/>
      <c r="G6" s="124" t="str">
        <f>' NotaPedido'!D5</f>
        <v xml:space="preserve">Direccion Asistencial </v>
      </c>
      <c r="H6" s="124"/>
      <c r="I6" s="124"/>
      <c r="J6" s="124"/>
      <c r="K6" s="124"/>
      <c r="L6" s="124"/>
      <c r="M6" s="124"/>
      <c r="N6" s="124"/>
      <c r="O6" s="124"/>
      <c r="P6" s="124"/>
      <c r="Q6" s="124"/>
    </row>
    <row r="7" spans="1:17" s="12" customFormat="1" ht="18" customHeight="1" thickBot="1" x14ac:dyDescent="0.25">
      <c r="A7" s="121" t="s">
        <v>56</v>
      </c>
      <c r="B7" s="122"/>
      <c r="C7" s="122"/>
      <c r="D7" s="122"/>
      <c r="E7" s="122"/>
      <c r="F7" s="123"/>
      <c r="G7" s="124" t="str">
        <f>' NotaPedido'!D6</f>
        <v>División de Enfermería</v>
      </c>
      <c r="H7" s="124"/>
      <c r="I7" s="124"/>
      <c r="J7" s="124"/>
      <c r="K7" s="124"/>
      <c r="L7" s="124"/>
      <c r="M7" s="124"/>
      <c r="N7" s="124"/>
      <c r="O7" s="124"/>
      <c r="P7" s="124"/>
      <c r="Q7" s="124"/>
    </row>
    <row r="8" spans="1:17" ht="18" customHeight="1" thickBot="1" x14ac:dyDescent="0.25">
      <c r="A8" s="125" t="s">
        <v>34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</row>
    <row r="9" spans="1:17" ht="18" customHeight="1" x14ac:dyDescent="0.2">
      <c r="A9" s="115" t="s">
        <v>35</v>
      </c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"/>
      <c r="P9" s="1"/>
      <c r="Q9" s="13"/>
    </row>
    <row r="10" spans="1:17" ht="54.75" customHeight="1" x14ac:dyDescent="0.2">
      <c r="A10" s="11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92/2021,  afectando la erogación resultante a los créditos presupuestarios aprobados a favor de esta Unidad Ejecutora, conforme al siguiente detalle: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7" t="s">
        <v>36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</row>
    <row r="13" spans="1:17" ht="15.75" customHeight="1" x14ac:dyDescent="0.2">
      <c r="A13" s="118" t="s">
        <v>37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9" t="s">
        <v>38</v>
      </c>
      <c r="P13" s="119"/>
      <c r="Q13" s="120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9"/>
      <c r="P14" s="119"/>
      <c r="Q14" s="120"/>
    </row>
    <row r="15" spans="1:17" ht="22.5" customHeight="1" x14ac:dyDescent="0.2">
      <c r="A15" s="23">
        <v>42</v>
      </c>
      <c r="B15" s="24"/>
      <c r="C15" s="24"/>
      <c r="D15" s="24">
        <v>2</v>
      </c>
      <c r="E15" s="24"/>
      <c r="F15" s="26">
        <v>4901</v>
      </c>
      <c r="G15" s="24">
        <v>3</v>
      </c>
      <c r="H15" s="24">
        <v>1</v>
      </c>
      <c r="I15" s="24">
        <v>2</v>
      </c>
      <c r="J15" s="24">
        <v>2</v>
      </c>
      <c r="K15" s="24">
        <v>9</v>
      </c>
      <c r="L15" s="24"/>
      <c r="M15" s="25"/>
      <c r="N15" s="26" t="s">
        <v>59</v>
      </c>
      <c r="O15" s="113" t="s">
        <v>64</v>
      </c>
      <c r="P15" s="114"/>
      <c r="Q15" s="27">
        <v>987000</v>
      </c>
    </row>
    <row r="16" spans="1:17" ht="22.5" customHeight="1" x14ac:dyDescent="0.2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6"/>
      <c r="O16" s="114"/>
      <c r="P16" s="114"/>
      <c r="Q16" s="27"/>
    </row>
    <row r="17" spans="1:17" ht="20.25" customHeight="1" thickBot="1" x14ac:dyDescent="0.25">
      <c r="A17" s="111" t="s">
        <v>74</v>
      </c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28">
        <f>SUM(Q15:Q16)</f>
        <v>987000</v>
      </c>
    </row>
    <row r="18" spans="1:17" ht="18" customHeight="1" thickBot="1" x14ac:dyDescent="0.25">
      <c r="A18" s="112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</row>
    <row r="19" spans="1:17" ht="17.25" customHeight="1" thickBot="1" x14ac:dyDescent="0.25">
      <c r="A19" s="106" t="s">
        <v>53</v>
      </c>
      <c r="B19" s="107"/>
      <c r="C19" s="107"/>
      <c r="D19" s="107"/>
      <c r="E19" s="107"/>
      <c r="F19" s="108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</row>
    <row r="20" spans="1:17" ht="18" customHeight="1" thickBot="1" x14ac:dyDescent="0.25">
      <c r="A20" s="110" t="s">
        <v>78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</row>
    <row r="21" spans="1:17" ht="15" customHeight="1" x14ac:dyDescent="0.2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</row>
  </sheetData>
  <mergeCells count="25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A9:N9"/>
    <mergeCell ref="A10:Q10"/>
    <mergeCell ref="A12:Q12"/>
    <mergeCell ref="A13:N13"/>
    <mergeCell ref="O13:P14"/>
    <mergeCell ref="Q13:Q14"/>
    <mergeCell ref="A19:F19"/>
    <mergeCell ref="G19:Q19"/>
    <mergeCell ref="A20:Q21"/>
    <mergeCell ref="A17:P17"/>
    <mergeCell ref="A18:Q18"/>
  </mergeCells>
  <printOptions horizontalCentered="1"/>
  <pageMargins left="0.25" right="0.25" top="0.75" bottom="0.75" header="0.3" footer="0.3"/>
  <pageSetup paperSize="9" scale="90"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COMPRAS</cp:lastModifiedBy>
  <cp:revision>2</cp:revision>
  <cp:lastPrinted>2021-02-12T13:00:22Z</cp:lastPrinted>
  <dcterms:created xsi:type="dcterms:W3CDTF">2020-07-17T23:44:49Z</dcterms:created>
  <dcterms:modified xsi:type="dcterms:W3CDTF">2021-08-12T16:27:42Z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