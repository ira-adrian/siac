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09. Adq materiales construcción SAF 25\3. Analisis\"/>
    </mc:Choice>
  </mc:AlternateContent>
  <xr:revisionPtr revIDLastSave="0" documentId="13_ncr:1_{C7F4CA56-70DB-4EEB-909F-C52DDCE39C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2" l="1"/>
  <c r="M16" i="2"/>
  <c r="Q16" i="2"/>
</calcChain>
</file>

<file path=xl/sharedStrings.xml><?xml version="1.0" encoding="utf-8"?>
<sst xmlns="http://schemas.openxmlformats.org/spreadsheetml/2006/main" count="79" uniqueCount="54">
  <si>
    <t>Número expediente:</t>
  </si>
  <si>
    <t>EX-2022-00312407-   -CAT-SCA#MEC</t>
  </si>
  <si>
    <t>Número proceso de compra:</t>
  </si>
  <si>
    <t>100-0014-CPR22</t>
  </si>
  <si>
    <t>Nombre descriptivo proceso de compra:</t>
  </si>
  <si>
    <t>Adquisición de materiales de construcción requerida por el MDS</t>
  </si>
  <si>
    <t>Unidad Operativa de Compras:</t>
  </si>
  <si>
    <t>Secretaria de Compras y Abastecimiento</t>
  </si>
  <si>
    <t>Fecha de Apertura:</t>
  </si>
  <si>
    <t>14/03/2022</t>
  </si>
  <si>
    <t>Renglón</t>
  </si>
  <si>
    <t>Bernardi SRL</t>
  </si>
  <si>
    <t>GAMIN S.R.L.</t>
  </si>
  <si>
    <t>SERGIO ANIBAL PEREZ BURGOS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</si>
  <si>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</si>
  <si>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</si>
  <si>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</si>
  <si>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</si>
  <si>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</si>
  <si>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</si>
  <si>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</si>
  <si>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</si>
  <si>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</si>
  <si>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</si>
  <si>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2.6.5-335.18 </t>
  </si>
  <si>
    <t xml:space="preserve">CEMENTO PORTLAND; CANT. PLIEGOS BOLSA: 3, PRESENTACION: BOLSA X 50 
Kg, TIPO: NORMAL </t>
  </si>
  <si>
    <t xml:space="preserve">UNIDAD </t>
  </si>
  <si>
    <t xml:space="preserve">cemento marca loma negra presentacion x 50 kg </t>
  </si>
  <si>
    <t xml:space="preserve">CEMENTO PORTLAND; CANT. PLIEGOS BOLSA: 3, PRESENTACION: BOLSA X 50 
Kg, TIPO: NORMAL. marca holcim </t>
  </si>
  <si>
    <t xml:space="preserve">CEMENTO PORTLAND; CANT. PLIEGOS BOLSA: 3, PRESENTACION: BOLSA X 50 
Kg, Marca HOLCIM CPC 40 </t>
  </si>
  <si>
    <t xml:space="preserve">2 </t>
  </si>
  <si>
    <t xml:space="preserve">CEMENTO PORTLAND; CANT. PLIEGOS BOLSA: 3, PRESENTACION: BOLSA X 50 
Kg, Marca LOMA NEGRA </t>
  </si>
  <si>
    <t xml:space="preserve">2.7.1-7291.1 </t>
  </si>
  <si>
    <t xml:space="preserve">VARILLAS DE HIERRO ALETEADA; DIMENSION: 12 mm, LARGO: 12 M 
</t>
  </si>
  <si>
    <t xml:space="preserve">varilla de hierro diametro 12 mm x 12 mts </t>
  </si>
  <si>
    <t xml:space="preserve">VARILLAS DE HIERRO ALETEADA; DIMENSION: 12 mm, LARGO: 12 M. 
marca acindar </t>
  </si>
  <si>
    <t xml:space="preserve">VARILLAS DE HIERRO ALETEADA 12 mm X 12 MTS Marca 
SINPAR/ACINDAR </t>
  </si>
  <si>
    <t xml:space="preserve">3 </t>
  </si>
  <si>
    <t xml:space="preserve">2.7.1-7291.2 </t>
  </si>
  <si>
    <t xml:space="preserve">VARILLAS DE HIERRO ALETEADA; DIMENSION: 8 mm, LARGO: 12 M 
</t>
  </si>
  <si>
    <t xml:space="preserve">varilla de hierro diametro 8 mm x 12 mts </t>
  </si>
  <si>
    <t xml:space="preserve">VARILLAS DE HIERRO ALETEADA; DIMENSION: 8 mm, LARGO: 12 M. 
marca acindar </t>
  </si>
  <si>
    <t xml:space="preserve">VARILLAS DE HIERRO ALETEADA 8 mm X 12 MTS Marca 
SINPAR/ACINDAR </t>
  </si>
  <si>
    <t xml:space="preserve">4 </t>
  </si>
  <si>
    <t xml:space="preserve">2.7.1-977.224 </t>
  </si>
  <si>
    <t xml:space="preserve">PERFILES NORMALIZADOS; TIPO: C, TRATAMIENTO: LAMINADO EN FRIO, ALMA X 
ALA X ESP.: 80 X 40 X 1,6 mm </t>
  </si>
  <si>
    <t xml:space="preserve">perfil tipo c negro 80 x 40 x 1.6 mm 
x 12 mts </t>
  </si>
  <si>
    <t xml:space="preserve">PERFILES NORMALIZADOS; TIPO: C, TRATAMIENTO: LAMINADO EN FRIO, ALMA X 
ALA X ESP.: 80 X 40 X 1,6 mm. Marca 
ternium </t>
  </si>
  <si>
    <t xml:space="preserve">5 </t>
  </si>
  <si>
    <t xml:space="preserve">2.7.2-2722.27 </t>
  </si>
  <si>
    <t xml:space="preserve">CHAPAS DE ZINC; LARGO: 6 M, ANCHO: 110 Cm, ESPESOR: 
BWG 27 </t>
  </si>
  <si>
    <t xml:space="preserve">chapa canaleta calibre nª 27 de 1.10 x 6 mts 
</t>
  </si>
  <si>
    <t xml:space="preserve">CHAPAS DE ZINC; LARGO: 6 M, ANCHO: 110 Cm, ESPESOR: 
BWG 27 marca ternium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</si>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</sst>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6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6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70.5703125" customWidth="1"/>
    <col min="5" max="5" width="57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43.28515625" customWidth="1"/>
    <col min="11" max="11" width="14.28515625" customWidth="1"/>
    <col min="12" max="12" width="17.28515625" customWidth="1"/>
    <col min="13" max="13" width="16.5703125" customWidth="1"/>
    <col min="14" max="14" width="70.5703125" customWidth="1"/>
    <col min="15" max="15" width="14.28515625" customWidth="1"/>
    <col min="16" max="16" width="17.28515625" customWidth="1"/>
    <col min="17" max="17" width="16.5703125" customWidth="1"/>
    <col min="18" max="18" width="70.57031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30" x14ac:dyDescent="0.25">
      <c r="A10" t="s">
        <v>23</v>
      </c>
      <c r="B10" t="s">
        <v>23</v>
      </c>
      <c r="C10" t="s">
        <v>24</v>
      </c>
      <c r="D10" s="4" t="s">
        <v>25</v>
      </c>
      <c r="E10">
        <v>2500</v>
      </c>
      <c r="F10" t="s">
        <v>26</v>
      </c>
      <c r="G10" s="3">
        <v>1325</v>
      </c>
      <c r="H10" s="3">
        <v>2500</v>
      </c>
      <c r="I10" s="5">
        <v>3312500</v>
      </c>
      <c r="J10" t="s">
        <v>27</v>
      </c>
      <c r="K10" s="3">
        <v>1050</v>
      </c>
      <c r="L10" s="3">
        <v>2500</v>
      </c>
      <c r="M10" s="5">
        <v>2625000</v>
      </c>
      <c r="N10" s="4" t="s">
        <v>28</v>
      </c>
      <c r="O10" s="3">
        <v>1300</v>
      </c>
      <c r="P10" s="3">
        <v>2500</v>
      </c>
      <c r="Q10" s="5">
        <v>3250000</v>
      </c>
      <c r="R10" s="4" t="s">
        <v>29</v>
      </c>
    </row>
    <row r="11" spans="1:18" ht="30" x14ac:dyDescent="0.25">
      <c r="A11" t="s">
        <v>23</v>
      </c>
      <c r="B11" t="s">
        <v>30</v>
      </c>
      <c r="C11" t="s">
        <v>24</v>
      </c>
      <c r="D11" s="4" t="s">
        <v>25</v>
      </c>
      <c r="E11">
        <v>2500</v>
      </c>
      <c r="F11" t="s">
        <v>26</v>
      </c>
      <c r="G11" s="3"/>
      <c r="H11" s="3"/>
      <c r="I11" s="5"/>
      <c r="K11" s="3"/>
      <c r="L11" s="3"/>
      <c r="M11" s="5"/>
      <c r="O11" s="3">
        <v>1290</v>
      </c>
      <c r="P11" s="3">
        <v>2500</v>
      </c>
      <c r="Q11" s="5">
        <v>3225000</v>
      </c>
      <c r="R11" s="4" t="s">
        <v>31</v>
      </c>
    </row>
    <row r="12" spans="1:18" ht="30" x14ac:dyDescent="0.25">
      <c r="A12" t="s">
        <v>30</v>
      </c>
      <c r="B12" t="s">
        <v>23</v>
      </c>
      <c r="C12" t="s">
        <v>32</v>
      </c>
      <c r="D12" s="4" t="s">
        <v>33</v>
      </c>
      <c r="E12">
        <v>700</v>
      </c>
      <c r="F12" t="s">
        <v>26</v>
      </c>
      <c r="G12" s="3">
        <v>2675</v>
      </c>
      <c r="H12" s="3">
        <v>700</v>
      </c>
      <c r="I12" s="5">
        <v>1872500</v>
      </c>
      <c r="J12" t="s">
        <v>34</v>
      </c>
      <c r="K12" s="3">
        <v>2272.61</v>
      </c>
      <c r="L12" s="3">
        <v>700</v>
      </c>
      <c r="M12" s="5">
        <v>1590827</v>
      </c>
      <c r="N12" s="4" t="s">
        <v>35</v>
      </c>
      <c r="O12" s="3">
        <v>2650</v>
      </c>
      <c r="P12" s="3">
        <v>700</v>
      </c>
      <c r="Q12" s="5">
        <v>1855000</v>
      </c>
      <c r="R12" s="4" t="s">
        <v>36</v>
      </c>
    </row>
    <row r="13" spans="1:18" ht="30" x14ac:dyDescent="0.25">
      <c r="A13" t="s">
        <v>37</v>
      </c>
      <c r="B13" t="s">
        <v>23</v>
      </c>
      <c r="C13" t="s">
        <v>38</v>
      </c>
      <c r="D13" s="4" t="s">
        <v>39</v>
      </c>
      <c r="E13">
        <v>700</v>
      </c>
      <c r="F13" t="s">
        <v>26</v>
      </c>
      <c r="G13" s="3">
        <v>1197</v>
      </c>
      <c r="H13" s="3">
        <v>700</v>
      </c>
      <c r="I13" s="5">
        <v>837900</v>
      </c>
      <c r="J13" t="s">
        <v>40</v>
      </c>
      <c r="K13" s="3">
        <v>1019.09</v>
      </c>
      <c r="L13" s="3">
        <v>700</v>
      </c>
      <c r="M13" s="5">
        <v>713363</v>
      </c>
      <c r="N13" s="4" t="s">
        <v>41</v>
      </c>
      <c r="O13" s="3">
        <v>1180</v>
      </c>
      <c r="P13" s="3">
        <v>700</v>
      </c>
      <c r="Q13" s="5">
        <v>826000</v>
      </c>
      <c r="R13" s="4" t="s">
        <v>42</v>
      </c>
    </row>
    <row r="14" spans="1:18" ht="60" x14ac:dyDescent="0.25">
      <c r="A14" t="s">
        <v>43</v>
      </c>
      <c r="B14" t="s">
        <v>23</v>
      </c>
      <c r="C14" t="s">
        <v>44</v>
      </c>
      <c r="D14" s="4" t="s">
        <v>45</v>
      </c>
      <c r="E14">
        <v>500</v>
      </c>
      <c r="F14" t="s">
        <v>26</v>
      </c>
      <c r="G14" s="3">
        <v>9515</v>
      </c>
      <c r="H14" s="3">
        <v>500</v>
      </c>
      <c r="I14" s="5">
        <v>4757500</v>
      </c>
      <c r="J14" s="4" t="s">
        <v>46</v>
      </c>
      <c r="K14" s="3">
        <v>4920</v>
      </c>
      <c r="L14" s="3">
        <v>500</v>
      </c>
      <c r="M14" s="5">
        <v>2460000</v>
      </c>
      <c r="N14" s="4" t="s">
        <v>47</v>
      </c>
      <c r="O14" s="3">
        <v>9500</v>
      </c>
      <c r="P14" s="3">
        <v>500</v>
      </c>
      <c r="Q14" s="5">
        <v>4750000</v>
      </c>
      <c r="R14" s="4" t="s">
        <v>45</v>
      </c>
    </row>
    <row r="15" spans="1:18" ht="30" x14ac:dyDescent="0.25">
      <c r="A15" t="s">
        <v>48</v>
      </c>
      <c r="B15" t="s">
        <v>23</v>
      </c>
      <c r="C15" t="s">
        <v>49</v>
      </c>
      <c r="D15" s="4" t="s">
        <v>50</v>
      </c>
      <c r="E15">
        <v>600</v>
      </c>
      <c r="F15" t="s">
        <v>26</v>
      </c>
      <c r="G15" s="3">
        <v>9662</v>
      </c>
      <c r="H15" s="3">
        <v>600</v>
      </c>
      <c r="I15" s="5">
        <v>5797200</v>
      </c>
      <c r="J15" s="4" t="s">
        <v>51</v>
      </c>
      <c r="K15" s="3">
        <v>9700</v>
      </c>
      <c r="L15" s="3">
        <v>600</v>
      </c>
      <c r="M15" s="5">
        <v>5820000</v>
      </c>
      <c r="N15" s="4" t="s">
        <v>52</v>
      </c>
      <c r="O15" s="3">
        <v>9650</v>
      </c>
      <c r="P15" s="3">
        <v>600</v>
      </c>
      <c r="Q15" s="5">
        <v>5790000</v>
      </c>
      <c r="R15" s="4" t="s">
        <v>50</v>
      </c>
    </row>
    <row r="16" spans="1:18" x14ac:dyDescent="0.25">
      <c r="C16" t="s">
        <v>53</v>
      </c>
      <c r="D16" s="4"/>
      <c r="G16" s="3"/>
      <c r="H16" s="3"/>
      <c r="I16" s="5">
        <f>SUBTOTAL(109,Table2[Total por renglón])</f>
        <v>16577600</v>
      </c>
      <c r="J16" s="4"/>
      <c r="K16" s="3"/>
      <c r="L16" s="3"/>
      <c r="M16" s="5">
        <f>SUBTOTAL(109,Table3[Total por renglón])</f>
        <v>13209190</v>
      </c>
      <c r="N16" s="4"/>
      <c r="O16" s="3"/>
      <c r="P16" s="3"/>
      <c r="Q16" s="5">
        <f>SUBTOTAL(109,Table4[Total por renglón])</f>
        <v>19696000</v>
      </c>
      <c r="R16" s="4"/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2022-03-14T18:35:28Z</dcterms:created>
  <dcterms:modified xsi:type="dcterms:W3CDTF">2022-05-25T00:07:20Z</dcterms:modified>
</cp:coreProperties>
</file>