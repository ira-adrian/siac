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360" yWindow="-120" windowWidth="14295" windowHeight="11640" tabRatio="641" activeTab="1"/>
  </bookViews>
  <sheets>
    <sheet name="SAF 011" sheetId="1" r:id="rId1"/>
    <sheet name=" NP FARMACIA" sheetId="2" r:id="rId2"/>
    <sheet name="APG FARMACIA" sheetId="3" r:id="rId3"/>
  </sheets>
  <definedNames>
    <definedName name="_xlnm._FilterDatabase" localSheetId="0" hidden="1">'SAF 011'!$A$9:$AU$9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" l="1"/>
  <c r="C14" i="2"/>
  <c r="C15" i="2"/>
  <c r="C16" i="2"/>
  <c r="C17" i="2"/>
  <c r="C18" i="2"/>
  <c r="C19" i="2"/>
  <c r="C20" i="2"/>
  <c r="A42" i="3" l="1"/>
  <c r="F39" i="3"/>
  <c r="K13" i="2" l="1"/>
  <c r="K14" i="2"/>
  <c r="K12" i="2"/>
  <c r="J13" i="2"/>
  <c r="J14" i="2"/>
  <c r="J12" i="2"/>
  <c r="I14" i="2"/>
  <c r="I13" i="2"/>
  <c r="I12" i="2"/>
  <c r="C12" i="2"/>
  <c r="AU11" i="1"/>
  <c r="AU12" i="1"/>
  <c r="AU10" i="1"/>
  <c r="Q15" i="3" s="1"/>
  <c r="M14" i="2" l="1"/>
  <c r="M13" i="2"/>
  <c r="M12" i="2"/>
  <c r="K16" i="2"/>
  <c r="K17" i="2"/>
  <c r="K18" i="2"/>
  <c r="K19" i="2"/>
  <c r="K20" i="2"/>
  <c r="J16" i="2"/>
  <c r="J17" i="2"/>
  <c r="J18" i="2"/>
  <c r="J19" i="2"/>
  <c r="J20" i="2"/>
  <c r="I16" i="2"/>
  <c r="I17" i="2"/>
  <c r="I18" i="2"/>
  <c r="I19" i="2"/>
  <c r="I20" i="2"/>
  <c r="I15" i="2"/>
  <c r="AU15" i="1"/>
  <c r="AU16" i="1"/>
  <c r="AU17" i="1"/>
  <c r="AU13" i="1"/>
  <c r="AU18" i="1"/>
  <c r="Q16" i="3" s="1"/>
  <c r="M18" i="2" l="1"/>
  <c r="M20" i="2"/>
  <c r="M16" i="2"/>
  <c r="M19" i="2"/>
  <c r="M17" i="2"/>
  <c r="K15" i="2"/>
  <c r="J15" i="2"/>
  <c r="P19" i="1" l="1"/>
  <c r="R19" i="1"/>
  <c r="N19" i="1" l="1"/>
  <c r="X19" i="1"/>
  <c r="L19" i="1"/>
  <c r="Z19" i="1"/>
  <c r="V19" i="1"/>
  <c r="G5" i="3" l="1"/>
  <c r="G6" i="3"/>
  <c r="G7" i="3"/>
  <c r="G4" i="3"/>
  <c r="M15" i="2"/>
  <c r="M22" i="2" s="1"/>
  <c r="J22" i="2" s="1"/>
  <c r="T19" i="1" l="1"/>
  <c r="AU14" i="1" l="1"/>
  <c r="AU19" i="1" l="1"/>
  <c r="Q17" i="3"/>
  <c r="Q39" i="3" s="1"/>
</calcChain>
</file>

<file path=xl/sharedStrings.xml><?xml version="1.0" encoding="utf-8"?>
<sst xmlns="http://schemas.openxmlformats.org/spreadsheetml/2006/main" count="160" uniqueCount="129">
  <si>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</si>
  <si>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</si>
  <si>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</si>
  <si>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</si>
  <si>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</si>
  <si>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</si>
  <si>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</si>
  <si>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</si>
  <si>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</si>
  <si>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</si>
  <si>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</si>
  <si>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</si>
  <si>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</si>
  <si>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</si>
  <si>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</si>
  <si>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</si>
  <si>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</si>
  <si>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</si>
  <si>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</si>
  <si>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</si>
  <si>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</si>
  <si>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</si>
  <si>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</si>
  <si>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</si>
  <si>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</si>
  <si>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</si>
  <si>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</si>
  <si>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</si>
  <si>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</si>
  <si>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</si>
  <si>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</si>
  <si>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</si>
  <si>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</si>
  <si>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</si>
  <si>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</si>
  <si>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PRECIO UNITARIO ESTIMADO</t>
  </si>
  <si>
    <t xml:space="preserve">IMPORTE TOTAL ESTIMADO </t>
  </si>
  <si>
    <t>PROD. MEDICO/FARMACEUTICOS/LAB</t>
  </si>
  <si>
    <t>CAJA</t>
  </si>
  <si>
    <t>UNIDAD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</si>
  <si>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</si>
  <si>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</si>
  <si>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</si>
  <si>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</si>
  <si>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</si>
  <si>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</si>
  <si>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</si>
  <si>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</si>
  <si>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</si>
  <si>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</si>
  <si>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</si>
  <si>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</si>
  <si>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</si>
  <si>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</si>
  <si>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</si>
  <si>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</si>
  <si>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 xml:space="preserve">CUARTO 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</si>
  <si>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</si>
  <si>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</si>
  <si>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</si>
  <si>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</si>
  <si>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</si>
  <si>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</si>
  <si>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</si>
  <si>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</si>
  <si>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</si>
  <si>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4TO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</si>
  <si>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</si>
  <si>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</si>
  <si>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</si>
  <si>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</si>
  <si>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</si>
  <si>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</si>
  <si>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</si>
  <si>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</si>
  <si>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</si>
  <si>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</si>
  <si>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</si>
  <si>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</si>
  <si>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</si>
  <si>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</si>
  <si>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</si>
  <si>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</si>
  <si>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</si>
  <si>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</si>
  <si>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</si>
  <si>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</si>
  <si>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</si>
  <si>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</si>
  <si>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</si>
  <si>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</si>
  <si>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</si>
  <si>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</si>
  <si>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</si>
  <si>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</si>
  <si>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</si>
  <si>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</si>
  <si>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</si>
  <si>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</si>
  <si>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</si>
  <si>
    <t>UTILES MENORES MEDICOS, QUIRURGICOS Y DE LABORATORIO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</si>
  <si>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</si>
  <si>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</si>
  <si>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</si>
  <si>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corridos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</si>
  <si>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</si>
  <si>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</si>
  <si>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</si>
  <si>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</si>
  <si>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</si>
  <si>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TOTAL </t>
  </si>
  <si>
    <t>NO</t>
  </si>
  <si>
    <t>GUANTES DE EXAMINACION TAMAÑO M X 100</t>
  </si>
  <si>
    <t>PLACAS RADIOGRAFICAS 24 X 30 SENSIBLE AL VERDE X 100 UNIDADES</t>
  </si>
  <si>
    <t xml:space="preserve"> 87/2021</t>
  </si>
  <si>
    <t>Autorizo la realización de los  trámites correspondientes, a fin de proveer a  este Organismo los bienes que se detallan en Nota  de Pedido N° 87/2021 afectando la erogación resultante a los créditos presupuestarios aprobados a favor de esta Unidad Ejecutora, conforme al siguiente detalle:</t>
  </si>
  <si>
    <t>Otros N.E.P.</t>
  </si>
  <si>
    <t xml:space="preserve">CANTIDAD </t>
  </si>
  <si>
    <t>PLACAS RADIOGRAFICAS 18 X 24 SENSIBLE AL VERDE X 100 UNIDADES</t>
  </si>
  <si>
    <t>PLACAS RADIOGRAFICAS 35 X 43 SENSIBLE AL VERDE X 100 UNIDADES</t>
  </si>
  <si>
    <t>Compuestos Quimicos</t>
  </si>
  <si>
    <t>ADQ. DEL RUBRO DESCARTABLES VARIOS PARA FARMACIA CENTRAL</t>
  </si>
  <si>
    <t xml:space="preserve">LIQUIDO FIJADOR PARA PROCESO MANUAL </t>
  </si>
  <si>
    <t xml:space="preserve">LIQUIDO FIJADOR PARA PROCESO AUTOMATICO </t>
  </si>
  <si>
    <t xml:space="preserve">LIQUIDO REVELADOR PARA PROCESO AUTOMATICO </t>
  </si>
  <si>
    <t>LIQUIDO REVELADOR PARA PROCESO MANUAL</t>
  </si>
  <si>
    <t>DIEZ MILLONES TRESCIENTOS TREINTA Y UN MIL CUATROCIENTOS OCHENTA Y TRES CON 54/100.-</t>
  </si>
  <si>
    <t>BIDON</t>
  </si>
  <si>
    <t>TIRAS REACTIVAS PARA DETERMINACION GLUCOSA X 50 UNIDADES  que incluye 300 aparatos para medicion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</si>
</sst>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2" formatCode="_-&quot;$&quot;* #,##0_-;\-&quot;$&quot;* #,##0_-;_-&quot;$&quot;* &quot;-&quot;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&quot;$&quot;\ #,##0.00"/>
    <numFmt numFmtId="167" formatCode="[$$-2C0A]\ #,##0.00"/>
    <numFmt numFmtId="168" formatCode="_-[$$-2C0A]\ * #,##0.00_-;\-[$$-2C0A]\ * #,##0.00_-;_-[$$-2C0A]\ * &quot;-&quot;??_-;_-@_-"/>
    <numFmt numFmtId="169" formatCode="dd\-mm\-yy;@"/>
    <numFmt numFmtId="170" formatCode="_(\$* #,##0.00_);_(\$* \(#,##0.00\);_(\$* \-??_);_(@_)"/>
    <numFmt numFmtId="171" formatCode="#,##0_ ;\-#,##0\ "/>
    <numFmt numFmtId="172" formatCode="#,##0.00_ ;\-#,##0.00\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164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70" fontId="21" fillId="0" borderId="0" applyBorder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168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8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5" fontId="0" fillId="0" borderId="0" xfId="1" applyFont="1"/>
    <xf numFmtId="0" fontId="0" fillId="0" borderId="0" xfId="0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8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168" fontId="7" fillId="0" borderId="0" xfId="0" applyNumberFormat="1" applyFont="1" applyBorder="1" applyAlignment="1">
      <alignment horizontal="center" vertical="center"/>
    </xf>
    <xf numFmtId="3" fontId="7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8" fillId="0" borderId="5" xfId="0" applyFont="1" applyBorder="1" applyAlignment="1">
      <alignment horizontal="center" vertical="center"/>
    </xf>
    <xf numFmtId="168" fontId="11" fillId="0" borderId="6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8" fontId="11" fillId="0" borderId="0" xfId="0" applyNumberFormat="1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168" fontId="12" fillId="0" borderId="0" xfId="0" applyNumberFormat="1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 indent="1"/>
    </xf>
    <xf numFmtId="0" fontId="15" fillId="0" borderId="20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8" fontId="16" fillId="0" borderId="1" xfId="0" applyNumberFormat="1" applyFont="1" applyBorder="1" applyAlignment="1">
      <alignment horizontal="center" vertical="center" wrapText="1"/>
    </xf>
    <xf numFmtId="3" fontId="16" fillId="0" borderId="24" xfId="0" applyNumberFormat="1" applyFont="1" applyBorder="1" applyAlignment="1">
      <alignment horizontal="center" vertical="center"/>
    </xf>
    <xf numFmtId="3" fontId="19" fillId="0" borderId="29" xfId="0" applyNumberFormat="1" applyFont="1" applyBorder="1" applyAlignment="1"/>
    <xf numFmtId="169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16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8" xfId="0" applyBorder="1"/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9" fillId="0" borderId="0" xfId="0" applyFont="1"/>
    <xf numFmtId="168" fontId="9" fillId="0" borderId="0" xfId="0" applyNumberFormat="1" applyFont="1"/>
    <xf numFmtId="0" fontId="25" fillId="0" borderId="5" xfId="5" applyFont="1" applyFill="1" applyBorder="1" applyAlignment="1">
      <alignment horizontal="center" vertical="center" wrapText="1"/>
    </xf>
    <xf numFmtId="0" fontId="25" fillId="0" borderId="16" xfId="5" applyFont="1" applyFill="1" applyBorder="1" applyAlignment="1">
      <alignment horizontal="center" vertical="center" wrapText="1"/>
    </xf>
    <xf numFmtId="0" fontId="25" fillId="0" borderId="16" xfId="5" applyFont="1" applyFill="1" applyBorder="1" applyAlignment="1">
      <alignment horizontal="center" wrapText="1"/>
    </xf>
    <xf numFmtId="0" fontId="25" fillId="0" borderId="16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2" fillId="0" borderId="0" xfId="5" applyFont="1" applyBorder="1" applyAlignment="1">
      <alignment horizontal="left" vertical="center"/>
    </xf>
    <xf numFmtId="168" fontId="0" fillId="0" borderId="48" xfId="8" applyNumberFormat="1" applyFont="1" applyBorder="1" applyAlignment="1" applyProtection="1">
      <alignment horizontal="center" vertical="center"/>
    </xf>
    <xf numFmtId="168" fontId="0" fillId="0" borderId="53" xfId="8" applyNumberFormat="1" applyFont="1" applyBorder="1" applyAlignment="1" applyProtection="1">
      <alignment horizontal="center" vertical="center"/>
    </xf>
    <xf numFmtId="168" fontId="0" fillId="0" borderId="57" xfId="8" applyNumberFormat="1" applyFont="1" applyBorder="1" applyAlignment="1" applyProtection="1">
      <alignment horizontal="center" vertical="center"/>
    </xf>
    <xf numFmtId="168" fontId="24" fillId="0" borderId="59" xfId="0" applyNumberFormat="1" applyFont="1" applyBorder="1" applyAlignment="1">
      <alignment horizontal="center" vertical="center"/>
    </xf>
    <xf numFmtId="168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52" xfId="0" applyFont="1" applyBorder="1" applyAlignment="1">
      <alignment horizontal="center" vertical="center"/>
    </xf>
    <xf numFmtId="0" fontId="2" fillId="0" borderId="0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wrapText="1"/>
    </xf>
    <xf numFmtId="165" fontId="30" fillId="2" borderId="1" xfId="0" applyNumberFormat="1" applyFont="1" applyFill="1" applyBorder="1" applyAlignment="1">
      <alignment wrapText="1"/>
    </xf>
    <xf numFmtId="171" fontId="30" fillId="2" borderId="1" xfId="1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172" fontId="30" fillId="2" borderId="1" xfId="0" applyNumberFormat="1" applyFont="1" applyFill="1" applyBorder="1" applyAlignment="1">
      <alignment wrapText="1"/>
    </xf>
    <xf numFmtId="42" fontId="30" fillId="2" borderId="1" xfId="1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/>
    </xf>
    <xf numFmtId="3" fontId="25" fillId="2" borderId="1" xfId="0" applyNumberFormat="1" applyFont="1" applyFill="1" applyBorder="1" applyAlignment="1">
      <alignment horizontal="center" vertical="center" wrapText="1"/>
    </xf>
    <xf numFmtId="168" fontId="25" fillId="2" borderId="1" xfId="0" applyNumberFormat="1" applyFont="1" applyFill="1" applyBorder="1" applyAlignment="1">
      <alignment horizontal="center" vertical="center" wrapText="1"/>
    </xf>
    <xf numFmtId="168" fontId="7" fillId="0" borderId="10" xfId="0" applyNumberFormat="1" applyFont="1" applyBorder="1" applyAlignment="1">
      <alignment horizontal="center" vertical="center"/>
    </xf>
    <xf numFmtId="0" fontId="2" fillId="0" borderId="64" xfId="5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 wrapText="1"/>
    </xf>
    <xf numFmtId="0" fontId="7" fillId="0" borderId="64" xfId="0" applyFont="1" applyBorder="1" applyAlignment="1">
      <alignment horizontal="center" vertical="center"/>
    </xf>
    <xf numFmtId="3" fontId="7" fillId="0" borderId="64" xfId="0" applyNumberFormat="1" applyFont="1" applyBorder="1" applyAlignment="1">
      <alignment horizontal="center" vertical="center"/>
    </xf>
    <xf numFmtId="168" fontId="7" fillId="0" borderId="65" xfId="0" applyNumberFormat="1" applyFont="1" applyBorder="1" applyAlignment="1">
      <alignment horizontal="center" vertical="center"/>
    </xf>
    <xf numFmtId="0" fontId="31" fillId="0" borderId="0" xfId="0" applyFont="1"/>
    <xf numFmtId="168" fontId="0" fillId="0" borderId="0" xfId="0" applyNumberFormat="1"/>
    <xf numFmtId="0" fontId="2" fillId="0" borderId="0" xfId="5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" fillId="0" borderId="29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" fillId="0" borderId="10" xfId="5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168" fontId="14" fillId="0" borderId="18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167" fontId="18" fillId="0" borderId="28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center" vertical="center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4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0" fillId="0" borderId="31" xfId="0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 wrapText="1"/>
    </xf>
    <xf numFmtId="0" fontId="21" fillId="0" borderId="33" xfId="0" applyFont="1" applyBorder="1"/>
    <xf numFmtId="0" fontId="22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 indent="1"/>
    </xf>
    <xf numFmtId="0" fontId="0" fillId="0" borderId="36" xfId="0" applyBorder="1"/>
    <xf numFmtId="0" fontId="19" fillId="0" borderId="12" xfId="0" applyFont="1" applyBorder="1" applyAlignment="1">
      <alignment vertical="center" wrapText="1"/>
    </xf>
    <xf numFmtId="0" fontId="22" fillId="0" borderId="40" xfId="0" applyFont="1" applyBorder="1" applyAlignment="1">
      <alignment vertical="center" wrapText="1"/>
    </xf>
    <xf numFmtId="0" fontId="23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NumberFormat="1" applyFont="1" applyBorder="1" applyAlignment="1">
      <alignment horizontal="justify" vertical="center" wrapText="1"/>
    </xf>
    <xf numFmtId="0" fontId="24" fillId="0" borderId="36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</cellXfs>
  <cellStyles count="11">
    <cellStyle name="Millares" xfId="10" builtinId="3"/>
    <cellStyle name="Millares 2" xfId="9"/>
    <cellStyle name="Moneda" xfId="1" builtinId="4"/>
    <cellStyle name="Moneda 2" xfId="3"/>
    <cellStyle name="Moneda_AUTORIZACION Y NOTA DE PEDIDO" xfId="8"/>
    <cellStyle name="Normal" xfId="0" builtinId="0"/>
    <cellStyle name="Normal 2" xfId="2"/>
    <cellStyle name="Normal 2 2" xfId="5"/>
    <cellStyle name="Normal 3" xfId="7"/>
    <cellStyle name="Normal 4" xfId="6"/>
    <cellStyle name="Normal 5" xfId="4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9"/>
  <sheetViews>
    <sheetView topLeftCell="A13" zoomScale="110" zoomScaleNormal="110" workbookViewId="0">
      <selection activeCell="AT18" sqref="AT18"/>
    </sheetView>
  </sheetViews>
  <sheetFormatPr baseColWidth="10" defaultRowHeight="15" x14ac:dyDescent="0.25"/>
  <cols>
    <col min="1" max="1" width="5.140625" style="24" bestFit="1" customWidth="1"/>
    <col min="2" max="2" width="10.140625" style="24" customWidth="1"/>
    <col min="3" max="3" width="31.42578125" style="24" bestFit="1" customWidth="1"/>
    <col min="4" max="4" width="6.85546875" style="24" customWidth="1"/>
    <col min="5" max="5" width="39.42578125" style="32" customWidth="1"/>
    <col min="6" max="6" width="12.140625" style="24" bestFit="1" customWidth="1"/>
    <col min="7" max="7" width="19.28515625" style="24" hidden="1" customWidth="1"/>
    <col min="8" max="8" width="10.85546875" style="24" hidden="1" customWidth="1"/>
    <col min="9" max="9" width="8" style="24" hidden="1" customWidth="1"/>
    <col min="10" max="10" width="14.5703125" style="24" hidden="1" customWidth="1"/>
    <col min="11" max="11" width="10.5703125" style="24" hidden="1" customWidth="1"/>
    <col min="12" max="12" width="15.140625" style="24" hidden="1" customWidth="1"/>
    <col min="13" max="13" width="9" style="24" hidden="1" customWidth="1"/>
    <col min="14" max="14" width="15.5703125" style="24" hidden="1" customWidth="1"/>
    <col min="15" max="15" width="4.5703125" style="24" hidden="1" customWidth="1"/>
    <col min="16" max="16" width="12.42578125" style="24" hidden="1" customWidth="1"/>
    <col min="17" max="17" width="14.7109375" style="24" hidden="1" customWidth="1"/>
    <col min="18" max="18" width="15.140625" style="24" hidden="1" customWidth="1"/>
    <col min="19" max="19" width="10.5703125" style="24" hidden="1" customWidth="1"/>
    <col min="20" max="20" width="14.85546875" style="24" hidden="1" customWidth="1"/>
    <col min="21" max="21" width="14.7109375" style="24" hidden="1" customWidth="1"/>
    <col min="22" max="22" width="14" style="24" hidden="1" customWidth="1"/>
    <col min="23" max="23" width="6" style="24" hidden="1" customWidth="1"/>
    <col min="24" max="24" width="12.42578125" style="24" hidden="1" customWidth="1"/>
    <col min="25" max="25" width="11.28515625" style="24" hidden="1" customWidth="1"/>
    <col min="26" max="26" width="15.140625" style="24" hidden="1" customWidth="1"/>
    <col min="27" max="27" width="14.5703125" style="24" hidden="1" customWidth="1"/>
    <col min="28" max="28" width="22.42578125" style="24" hidden="1" customWidth="1"/>
    <col min="29" max="29" width="5.7109375" style="24" hidden="1" customWidth="1"/>
    <col min="30" max="30" width="13" style="24" hidden="1" customWidth="1"/>
    <col min="31" max="31" width="17" style="24" hidden="1" customWidth="1"/>
    <col min="32" max="32" width="19.42578125" style="24" hidden="1" customWidth="1"/>
    <col min="33" max="33" width="12.85546875" style="24" hidden="1" customWidth="1"/>
    <col min="34" max="34" width="14.28515625" style="24" hidden="1" customWidth="1"/>
    <col min="35" max="35" width="7.42578125" style="24" hidden="1" customWidth="1"/>
    <col min="36" max="36" width="14" style="24" hidden="1" customWidth="1"/>
    <col min="37" max="37" width="4.7109375" style="24" hidden="1" customWidth="1"/>
    <col min="38" max="38" width="11.28515625" style="24" hidden="1" customWidth="1"/>
    <col min="39" max="39" width="6.5703125" style="24" hidden="1" customWidth="1"/>
    <col min="40" max="40" width="13.140625" style="24" hidden="1" customWidth="1"/>
    <col min="41" max="41" width="14.85546875" style="24" hidden="1" customWidth="1"/>
    <col min="42" max="42" width="15" style="24" hidden="1" customWidth="1"/>
    <col min="43" max="43" width="13.85546875" style="24" hidden="1" customWidth="1"/>
    <col min="44" max="44" width="12.42578125" style="24" hidden="1" customWidth="1"/>
    <col min="45" max="45" width="13" style="44" customWidth="1"/>
    <col min="46" max="46" width="19.85546875" style="28" bestFit="1" customWidth="1"/>
    <col min="47" max="47" width="18.42578125" style="28" bestFit="1" customWidth="1"/>
  </cols>
  <sheetData>
    <row r="1" spans="1:49" x14ac:dyDescent="0.25">
      <c r="A1" s="7">
        <v>2021</v>
      </c>
      <c r="B1" s="2"/>
      <c r="C1" s="1"/>
      <c r="D1" s="1"/>
      <c r="E1" s="25"/>
      <c r="F1" s="1"/>
      <c r="G1" s="1"/>
      <c r="H1" s="1"/>
      <c r="I1" s="1"/>
      <c r="J1" s="1"/>
      <c r="K1" s="1"/>
      <c r="L1" s="1"/>
      <c r="M1" s="15"/>
      <c r="N1" s="16"/>
      <c r="O1" s="3"/>
      <c r="P1" s="1"/>
      <c r="Q1" s="15"/>
      <c r="R1" s="1"/>
      <c r="S1" s="3"/>
      <c r="T1" s="17"/>
      <c r="U1" s="15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1"/>
      <c r="AU1" s="30"/>
    </row>
    <row r="2" spans="1:49" x14ac:dyDescent="0.25">
      <c r="A2" s="1"/>
      <c r="B2" s="148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30"/>
    </row>
    <row r="3" spans="1:49" x14ac:dyDescent="0.25">
      <c r="A3" s="1"/>
      <c r="B3" s="2"/>
      <c r="C3" s="1"/>
      <c r="D3" s="1"/>
      <c r="E3" s="25"/>
      <c r="F3" s="1"/>
      <c r="G3" s="1"/>
      <c r="H3" s="1"/>
      <c r="I3" s="1"/>
      <c r="J3" s="1"/>
      <c r="K3" s="1"/>
      <c r="L3" s="1"/>
      <c r="M3" s="15"/>
      <c r="N3" s="16"/>
      <c r="O3" s="3"/>
      <c r="P3" s="1"/>
      <c r="Q3" s="15"/>
      <c r="R3" s="1"/>
      <c r="S3" s="3"/>
      <c r="T3" s="17"/>
      <c r="U3" s="15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1"/>
      <c r="AU3" s="30"/>
    </row>
    <row r="4" spans="1:49" ht="26.25" customHeight="1" x14ac:dyDescent="0.25">
      <c r="A4" s="147" t="s">
        <v>1</v>
      </c>
      <c r="B4" s="147"/>
      <c r="C4" s="149" t="s">
        <v>41</v>
      </c>
      <c r="D4" s="149"/>
      <c r="E4" s="149"/>
      <c r="F4" s="6"/>
      <c r="G4" s="6"/>
      <c r="H4" s="6"/>
      <c r="I4" s="6"/>
      <c r="J4" s="6"/>
      <c r="K4" s="6"/>
      <c r="L4" s="6"/>
      <c r="M4" s="18"/>
      <c r="N4" s="19"/>
      <c r="O4" s="4"/>
      <c r="P4" s="6"/>
      <c r="Q4" s="18"/>
      <c r="R4" s="6"/>
      <c r="S4" s="4"/>
      <c r="T4" s="20"/>
      <c r="U4" s="18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1"/>
      <c r="AU4" s="30"/>
    </row>
    <row r="5" spans="1:49" x14ac:dyDescent="0.25">
      <c r="A5" s="147" t="s">
        <v>2</v>
      </c>
      <c r="B5" s="147"/>
      <c r="C5" s="150" t="s">
        <v>40</v>
      </c>
      <c r="D5" s="150"/>
      <c r="E5" s="150"/>
      <c r="F5" s="6"/>
      <c r="G5" s="6"/>
      <c r="H5" s="6"/>
      <c r="I5" s="6"/>
      <c r="J5" s="6"/>
      <c r="K5" s="6"/>
      <c r="L5" s="6"/>
      <c r="M5" s="18"/>
      <c r="N5" s="19"/>
      <c r="O5" s="4"/>
      <c r="P5" s="6"/>
      <c r="Q5" s="18"/>
      <c r="R5" s="6"/>
      <c r="S5" s="4"/>
      <c r="T5" s="20"/>
      <c r="U5" s="18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1"/>
      <c r="AU5" s="30"/>
    </row>
    <row r="6" spans="1:49" x14ac:dyDescent="0.25">
      <c r="A6" s="147" t="s">
        <v>3</v>
      </c>
      <c r="B6" s="147"/>
      <c r="C6" s="5">
        <v>2021</v>
      </c>
      <c r="D6" s="22"/>
      <c r="E6" s="5"/>
      <c r="F6" s="6"/>
      <c r="G6" s="6"/>
      <c r="H6" s="6"/>
      <c r="I6" s="6"/>
      <c r="J6" s="6"/>
      <c r="K6" s="6"/>
      <c r="L6" s="6"/>
      <c r="M6" s="18"/>
      <c r="N6" s="19"/>
      <c r="O6" s="4"/>
      <c r="P6" s="6"/>
      <c r="Q6" s="18"/>
      <c r="R6" s="6"/>
      <c r="S6" s="4"/>
      <c r="T6" s="20"/>
      <c r="U6" s="18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1"/>
      <c r="AU6" s="30"/>
    </row>
    <row r="7" spans="1:49" x14ac:dyDescent="0.25">
      <c r="A7" s="147" t="s">
        <v>4</v>
      </c>
      <c r="B7" s="147"/>
      <c r="C7" s="5" t="s">
        <v>56</v>
      </c>
      <c r="D7" s="22"/>
      <c r="E7" s="5"/>
      <c r="F7" s="6"/>
      <c r="G7" s="6"/>
      <c r="H7" s="6"/>
      <c r="I7" s="6"/>
      <c r="J7" s="6"/>
      <c r="K7" s="6"/>
      <c r="L7" s="6"/>
      <c r="M7" s="18"/>
      <c r="N7" s="19"/>
      <c r="O7" s="4"/>
      <c r="P7" s="6"/>
      <c r="Q7" s="18"/>
      <c r="R7" s="6"/>
      <c r="S7" s="4"/>
      <c r="T7" s="20"/>
      <c r="U7" s="18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1"/>
      <c r="AU7" s="30"/>
    </row>
    <row r="8" spans="1:49" x14ac:dyDescent="0.25">
      <c r="A8" s="1"/>
      <c r="B8" s="6"/>
      <c r="C8" s="6"/>
      <c r="D8" s="6"/>
      <c r="E8" s="26"/>
      <c r="F8" s="6"/>
      <c r="G8" s="6"/>
      <c r="H8" s="6"/>
      <c r="I8" s="6"/>
      <c r="J8" s="6"/>
      <c r="K8" s="6"/>
      <c r="L8" s="6"/>
      <c r="M8" s="18"/>
      <c r="N8" s="19"/>
      <c r="O8" s="4"/>
      <c r="P8" s="6"/>
      <c r="Q8" s="18"/>
      <c r="R8" s="6"/>
      <c r="S8" s="4"/>
      <c r="T8" s="20"/>
      <c r="U8" s="18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1"/>
      <c r="AU8" s="30"/>
    </row>
    <row r="9" spans="1:49" ht="25.5" x14ac:dyDescent="0.25">
      <c r="A9" s="8" t="s">
        <v>5</v>
      </c>
      <c r="B9" s="9" t="s">
        <v>6</v>
      </c>
      <c r="C9" s="9" t="s">
        <v>7</v>
      </c>
      <c r="D9" s="8" t="s">
        <v>8</v>
      </c>
      <c r="E9" s="27" t="s">
        <v>9</v>
      </c>
      <c r="F9" s="9" t="s">
        <v>10</v>
      </c>
      <c r="G9" s="9" t="s">
        <v>55</v>
      </c>
      <c r="H9" s="9" t="s">
        <v>42</v>
      </c>
      <c r="I9" s="9" t="s">
        <v>43</v>
      </c>
      <c r="J9" s="9" t="s">
        <v>44</v>
      </c>
      <c r="K9" s="9" t="s">
        <v>11</v>
      </c>
      <c r="L9" s="9" t="s">
        <v>12</v>
      </c>
      <c r="M9" s="10" t="s">
        <v>13</v>
      </c>
      <c r="N9" s="11" t="s">
        <v>14</v>
      </c>
      <c r="O9" s="12" t="s">
        <v>50</v>
      </c>
      <c r="P9" s="9" t="s">
        <v>45</v>
      </c>
      <c r="Q9" s="10" t="s">
        <v>15</v>
      </c>
      <c r="R9" s="9" t="s">
        <v>16</v>
      </c>
      <c r="S9" s="12" t="s">
        <v>17</v>
      </c>
      <c r="T9" s="13" t="s">
        <v>18</v>
      </c>
      <c r="U9" s="10" t="s">
        <v>19</v>
      </c>
      <c r="V9" s="9" t="s">
        <v>20</v>
      </c>
      <c r="W9" s="12" t="s">
        <v>21</v>
      </c>
      <c r="X9" s="9" t="s">
        <v>22</v>
      </c>
      <c r="Y9" s="12" t="s">
        <v>46</v>
      </c>
      <c r="Z9" s="9" t="s">
        <v>47</v>
      </c>
      <c r="AA9" s="12" t="s">
        <v>48</v>
      </c>
      <c r="AB9" s="9" t="s">
        <v>49</v>
      </c>
      <c r="AC9" s="14" t="s">
        <v>51</v>
      </c>
      <c r="AD9" s="9" t="s">
        <v>52</v>
      </c>
      <c r="AE9" s="12" t="s">
        <v>23</v>
      </c>
      <c r="AF9" s="9" t="s">
        <v>24</v>
      </c>
      <c r="AG9" s="12" t="s">
        <v>25</v>
      </c>
      <c r="AH9" s="9" t="s">
        <v>26</v>
      </c>
      <c r="AI9" s="12" t="s">
        <v>27</v>
      </c>
      <c r="AJ9" s="9" t="s">
        <v>28</v>
      </c>
      <c r="AK9" s="12" t="s">
        <v>29</v>
      </c>
      <c r="AL9" s="9" t="s">
        <v>30</v>
      </c>
      <c r="AM9" s="14" t="s">
        <v>53</v>
      </c>
      <c r="AN9" s="9" t="s">
        <v>54</v>
      </c>
      <c r="AO9" s="12" t="s">
        <v>31</v>
      </c>
      <c r="AP9" s="9" t="s">
        <v>32</v>
      </c>
      <c r="AQ9" s="12" t="s">
        <v>33</v>
      </c>
      <c r="AR9" s="9" t="s">
        <v>34</v>
      </c>
      <c r="AS9" s="12" t="s">
        <v>117</v>
      </c>
      <c r="AT9" s="23" t="s">
        <v>35</v>
      </c>
      <c r="AU9" s="29" t="s">
        <v>36</v>
      </c>
      <c r="AW9" s="144"/>
    </row>
    <row r="10" spans="1:49" ht="30" x14ac:dyDescent="0.25">
      <c r="A10" s="114">
        <v>1</v>
      </c>
      <c r="B10" s="9"/>
      <c r="C10" s="36" t="s">
        <v>37</v>
      </c>
      <c r="D10" s="122">
        <v>295</v>
      </c>
      <c r="E10" s="123" t="s">
        <v>112</v>
      </c>
      <c r="F10" s="122" t="s">
        <v>38</v>
      </c>
      <c r="G10" s="124">
        <v>790</v>
      </c>
      <c r="H10" s="125">
        <v>3000</v>
      </c>
      <c r="I10" s="126"/>
      <c r="J10" s="126"/>
      <c r="K10" s="126"/>
      <c r="L10" s="126"/>
      <c r="M10" s="127"/>
      <c r="N10" s="128"/>
      <c r="O10" s="129"/>
      <c r="P10" s="126"/>
      <c r="Q10" s="127"/>
      <c r="R10" s="126"/>
      <c r="S10" s="129"/>
      <c r="T10" s="130"/>
      <c r="U10" s="127"/>
      <c r="V10" s="126"/>
      <c r="W10" s="129"/>
      <c r="X10" s="126"/>
      <c r="Y10" s="129"/>
      <c r="Z10" s="126"/>
      <c r="AA10" s="129"/>
      <c r="AB10" s="126"/>
      <c r="AC10" s="129"/>
      <c r="AD10" s="126"/>
      <c r="AE10" s="129"/>
      <c r="AF10" s="126"/>
      <c r="AG10" s="129"/>
      <c r="AH10" s="126"/>
      <c r="AI10" s="129"/>
      <c r="AJ10" s="126"/>
      <c r="AK10" s="129"/>
      <c r="AL10" s="126"/>
      <c r="AM10" s="129"/>
      <c r="AN10" s="126"/>
      <c r="AO10" s="129"/>
      <c r="AP10" s="126"/>
      <c r="AQ10" s="129"/>
      <c r="AR10" s="126"/>
      <c r="AS10" s="131">
        <v>3000</v>
      </c>
      <c r="AT10" s="132">
        <v>790</v>
      </c>
      <c r="AU10" s="113">
        <f>+AT10*AS10</f>
        <v>2370000</v>
      </c>
      <c r="AW10" s="144"/>
    </row>
    <row r="11" spans="1:49" ht="35.25" customHeight="1" x14ac:dyDescent="0.25">
      <c r="A11" s="114">
        <v>2</v>
      </c>
      <c r="B11" s="9"/>
      <c r="C11" s="36" t="s">
        <v>37</v>
      </c>
      <c r="D11" s="133">
        <v>259</v>
      </c>
      <c r="E11" s="123" t="s">
        <v>118</v>
      </c>
      <c r="F11" s="122" t="s">
        <v>38</v>
      </c>
      <c r="G11" s="126"/>
      <c r="H11" s="126"/>
      <c r="I11" s="126"/>
      <c r="J11" s="126"/>
      <c r="K11" s="126"/>
      <c r="L11" s="126"/>
      <c r="M11" s="127"/>
      <c r="N11" s="128"/>
      <c r="O11" s="129"/>
      <c r="P11" s="126"/>
      <c r="Q11" s="127"/>
      <c r="R11" s="126"/>
      <c r="S11" s="129"/>
      <c r="T11" s="130"/>
      <c r="U11" s="127"/>
      <c r="V11" s="126"/>
      <c r="W11" s="129"/>
      <c r="X11" s="126"/>
      <c r="Y11" s="129"/>
      <c r="Z11" s="126"/>
      <c r="AA11" s="129"/>
      <c r="AB11" s="126"/>
      <c r="AC11" s="129"/>
      <c r="AD11" s="126"/>
      <c r="AE11" s="129"/>
      <c r="AF11" s="126"/>
      <c r="AG11" s="129"/>
      <c r="AH11" s="126"/>
      <c r="AI11" s="129"/>
      <c r="AJ11" s="126"/>
      <c r="AK11" s="129"/>
      <c r="AL11" s="126"/>
      <c r="AM11" s="129"/>
      <c r="AN11" s="126"/>
      <c r="AO11" s="129"/>
      <c r="AP11" s="126"/>
      <c r="AQ11" s="129"/>
      <c r="AR11" s="126"/>
      <c r="AS11" s="125">
        <v>10</v>
      </c>
      <c r="AT11" s="124">
        <v>4776.71</v>
      </c>
      <c r="AU11" s="113">
        <f t="shared" ref="AU11:AU12" si="0">+AT11*AS11</f>
        <v>47767.1</v>
      </c>
      <c r="AW11" s="144"/>
    </row>
    <row r="12" spans="1:49" ht="45" x14ac:dyDescent="0.25">
      <c r="A12" s="114">
        <v>3</v>
      </c>
      <c r="B12" s="9"/>
      <c r="C12" s="36" t="s">
        <v>37</v>
      </c>
      <c r="D12" s="133">
        <v>259</v>
      </c>
      <c r="E12" s="123" t="s">
        <v>113</v>
      </c>
      <c r="F12" s="122" t="s">
        <v>38</v>
      </c>
      <c r="G12" s="126"/>
      <c r="H12" s="126"/>
      <c r="I12" s="126"/>
      <c r="J12" s="126"/>
      <c r="K12" s="126"/>
      <c r="L12" s="126"/>
      <c r="M12" s="127"/>
      <c r="N12" s="128"/>
      <c r="O12" s="129"/>
      <c r="P12" s="126"/>
      <c r="Q12" s="127"/>
      <c r="R12" s="126"/>
      <c r="S12" s="129"/>
      <c r="T12" s="130"/>
      <c r="U12" s="127"/>
      <c r="V12" s="126"/>
      <c r="W12" s="129"/>
      <c r="X12" s="126"/>
      <c r="Y12" s="129"/>
      <c r="Z12" s="126"/>
      <c r="AA12" s="129"/>
      <c r="AB12" s="126"/>
      <c r="AC12" s="129"/>
      <c r="AD12" s="126"/>
      <c r="AE12" s="129"/>
      <c r="AF12" s="126"/>
      <c r="AG12" s="129"/>
      <c r="AH12" s="126"/>
      <c r="AI12" s="129"/>
      <c r="AJ12" s="126"/>
      <c r="AK12" s="129"/>
      <c r="AL12" s="126"/>
      <c r="AM12" s="129"/>
      <c r="AN12" s="126"/>
      <c r="AO12" s="129"/>
      <c r="AP12" s="126"/>
      <c r="AQ12" s="129"/>
      <c r="AR12" s="126"/>
      <c r="AS12" s="125">
        <v>50</v>
      </c>
      <c r="AT12" s="124">
        <v>7942.01</v>
      </c>
      <c r="AU12" s="113">
        <f t="shared" si="0"/>
        <v>397100.5</v>
      </c>
      <c r="AW12" s="144"/>
    </row>
    <row r="13" spans="1:49" ht="45" x14ac:dyDescent="0.25">
      <c r="A13" s="114">
        <v>4</v>
      </c>
      <c r="B13" s="36"/>
      <c r="C13" s="36" t="s">
        <v>37</v>
      </c>
      <c r="D13" s="133">
        <v>259</v>
      </c>
      <c r="E13" s="123" t="s">
        <v>119</v>
      </c>
      <c r="F13" s="133" t="s">
        <v>38</v>
      </c>
      <c r="G13" s="134"/>
      <c r="H13" s="134"/>
      <c r="I13" s="134"/>
      <c r="J13" s="134"/>
      <c r="K13" s="134"/>
      <c r="L13" s="135"/>
      <c r="M13" s="134"/>
      <c r="N13" s="135"/>
      <c r="O13" s="134"/>
      <c r="P13" s="134"/>
      <c r="Q13" s="134"/>
      <c r="R13" s="134"/>
      <c r="S13" s="134"/>
      <c r="T13" s="135"/>
      <c r="U13" s="134"/>
      <c r="V13" s="135"/>
      <c r="W13" s="134"/>
      <c r="X13" s="135"/>
      <c r="Y13" s="134"/>
      <c r="Z13" s="135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6">
        <v>110</v>
      </c>
      <c r="AT13" s="137">
        <v>16604.759999999998</v>
      </c>
      <c r="AU13" s="37">
        <f>+AS13*AT13</f>
        <v>1826523.5999999999</v>
      </c>
      <c r="AV13" s="145"/>
      <c r="AW13" s="144"/>
    </row>
    <row r="14" spans="1:49" ht="30" x14ac:dyDescent="0.25">
      <c r="A14" s="114">
        <v>5</v>
      </c>
      <c r="B14" s="36"/>
      <c r="C14" s="36" t="s">
        <v>37</v>
      </c>
      <c r="D14" s="133">
        <v>259</v>
      </c>
      <c r="E14" s="123" t="s">
        <v>122</v>
      </c>
      <c r="F14" s="133" t="s">
        <v>127</v>
      </c>
      <c r="G14" s="134"/>
      <c r="H14" s="134"/>
      <c r="I14" s="134"/>
      <c r="J14" s="134"/>
      <c r="K14" s="134"/>
      <c r="L14" s="135"/>
      <c r="M14" s="134"/>
      <c r="N14" s="135"/>
      <c r="O14" s="134"/>
      <c r="P14" s="134"/>
      <c r="Q14" s="134"/>
      <c r="R14" s="134"/>
      <c r="S14" s="134"/>
      <c r="T14" s="135"/>
      <c r="U14" s="134"/>
      <c r="V14" s="135"/>
      <c r="W14" s="134"/>
      <c r="X14" s="135"/>
      <c r="Y14" s="134"/>
      <c r="Z14" s="135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6">
        <v>60</v>
      </c>
      <c r="AT14" s="137">
        <v>9184.9599999999991</v>
      </c>
      <c r="AU14" s="37">
        <f t="shared" ref="AU14:AU18" si="1">+AS14*AT14</f>
        <v>551097.59999999998</v>
      </c>
      <c r="AW14" s="144"/>
    </row>
    <row r="15" spans="1:49" ht="30" x14ac:dyDescent="0.25">
      <c r="A15" s="114">
        <v>6</v>
      </c>
      <c r="B15" s="36"/>
      <c r="C15" s="36" t="s">
        <v>37</v>
      </c>
      <c r="D15" s="133">
        <v>259</v>
      </c>
      <c r="E15" s="123" t="s">
        <v>123</v>
      </c>
      <c r="F15" s="133" t="s">
        <v>127</v>
      </c>
      <c r="G15" s="134"/>
      <c r="H15" s="134"/>
      <c r="I15" s="134"/>
      <c r="J15" s="134"/>
      <c r="K15" s="134"/>
      <c r="L15" s="135"/>
      <c r="M15" s="134"/>
      <c r="N15" s="135"/>
      <c r="O15" s="134"/>
      <c r="P15" s="134"/>
      <c r="Q15" s="134"/>
      <c r="R15" s="134"/>
      <c r="S15" s="134"/>
      <c r="T15" s="135"/>
      <c r="U15" s="134"/>
      <c r="V15" s="135"/>
      <c r="W15" s="134"/>
      <c r="X15" s="135"/>
      <c r="Y15" s="134"/>
      <c r="Z15" s="135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6">
        <v>50</v>
      </c>
      <c r="AT15" s="137">
        <v>6460.81</v>
      </c>
      <c r="AU15" s="37">
        <f t="shared" si="1"/>
        <v>323040.5</v>
      </c>
      <c r="AW15" s="144"/>
    </row>
    <row r="16" spans="1:49" ht="30" x14ac:dyDescent="0.25">
      <c r="A16" s="114">
        <v>7</v>
      </c>
      <c r="B16" s="36"/>
      <c r="C16" s="36" t="s">
        <v>37</v>
      </c>
      <c r="D16" s="133">
        <v>259</v>
      </c>
      <c r="E16" s="123" t="s">
        <v>124</v>
      </c>
      <c r="F16" s="133" t="s">
        <v>127</v>
      </c>
      <c r="G16" s="134"/>
      <c r="H16" s="134"/>
      <c r="I16" s="134"/>
      <c r="J16" s="134"/>
      <c r="K16" s="134"/>
      <c r="L16" s="135"/>
      <c r="M16" s="134"/>
      <c r="N16" s="135"/>
      <c r="O16" s="134"/>
      <c r="P16" s="134"/>
      <c r="Q16" s="134"/>
      <c r="R16" s="134"/>
      <c r="S16" s="134"/>
      <c r="T16" s="135"/>
      <c r="U16" s="134"/>
      <c r="V16" s="135"/>
      <c r="W16" s="134"/>
      <c r="X16" s="135"/>
      <c r="Y16" s="134"/>
      <c r="Z16" s="135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6">
        <v>18</v>
      </c>
      <c r="AT16" s="137">
        <v>6670.08</v>
      </c>
      <c r="AU16" s="37">
        <f t="shared" si="1"/>
        <v>120061.44</v>
      </c>
      <c r="AW16" s="144"/>
    </row>
    <row r="17" spans="1:49" ht="30" x14ac:dyDescent="0.25">
      <c r="A17" s="114">
        <v>8</v>
      </c>
      <c r="B17" s="36"/>
      <c r="C17" s="36" t="s">
        <v>37</v>
      </c>
      <c r="D17" s="133">
        <v>259</v>
      </c>
      <c r="E17" s="123" t="s">
        <v>125</v>
      </c>
      <c r="F17" s="133" t="s">
        <v>127</v>
      </c>
      <c r="G17" s="134"/>
      <c r="H17" s="134"/>
      <c r="I17" s="134"/>
      <c r="J17" s="134"/>
      <c r="K17" s="134"/>
      <c r="L17" s="135"/>
      <c r="M17" s="134"/>
      <c r="N17" s="135"/>
      <c r="O17" s="134"/>
      <c r="P17" s="134"/>
      <c r="Q17" s="134"/>
      <c r="R17" s="134"/>
      <c r="S17" s="134"/>
      <c r="T17" s="135"/>
      <c r="U17" s="134"/>
      <c r="V17" s="135"/>
      <c r="W17" s="134"/>
      <c r="X17" s="135"/>
      <c r="Y17" s="134"/>
      <c r="Z17" s="135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6">
        <v>20</v>
      </c>
      <c r="AT17" s="137">
        <v>8894.64</v>
      </c>
      <c r="AU17" s="37">
        <f t="shared" si="1"/>
        <v>177892.8</v>
      </c>
      <c r="AW17" s="144"/>
    </row>
    <row r="18" spans="1:49" ht="69" customHeight="1" thickBot="1" x14ac:dyDescent="0.3">
      <c r="A18" s="114">
        <v>9</v>
      </c>
      <c r="B18" s="36"/>
      <c r="C18" s="36" t="s">
        <v>37</v>
      </c>
      <c r="D18" s="133">
        <v>251</v>
      </c>
      <c r="E18" s="123" t="s">
        <v>128</v>
      </c>
      <c r="F18" s="122" t="s">
        <v>39</v>
      </c>
      <c r="G18" s="134"/>
      <c r="H18" s="134"/>
      <c r="I18" s="134"/>
      <c r="J18" s="134"/>
      <c r="K18" s="134"/>
      <c r="L18" s="135"/>
      <c r="M18" s="134"/>
      <c r="N18" s="135"/>
      <c r="O18" s="134"/>
      <c r="P18" s="134"/>
      <c r="Q18" s="134"/>
      <c r="R18" s="134"/>
      <c r="S18" s="134"/>
      <c r="T18" s="135"/>
      <c r="U18" s="134"/>
      <c r="V18" s="135"/>
      <c r="W18" s="134"/>
      <c r="X18" s="135"/>
      <c r="Y18" s="134"/>
      <c r="Z18" s="135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25">
        <v>2000</v>
      </c>
      <c r="AT18" s="124">
        <v>2259</v>
      </c>
      <c r="AU18" s="37">
        <f t="shared" si="1"/>
        <v>4518000</v>
      </c>
      <c r="AW18" s="144"/>
    </row>
    <row r="19" spans="1:49" ht="15.75" thickBot="1" x14ac:dyDescent="0.3">
      <c r="A19" s="51"/>
      <c r="B19" s="45"/>
      <c r="C19" s="34"/>
      <c r="D19" s="34"/>
      <c r="E19" s="33" t="s">
        <v>110</v>
      </c>
      <c r="F19" s="34"/>
      <c r="G19" s="34"/>
      <c r="H19" s="34"/>
      <c r="I19" s="34"/>
      <c r="J19" s="34"/>
      <c r="K19" s="34"/>
      <c r="L19" s="39">
        <f>+SUM(L14:L18)</f>
        <v>0</v>
      </c>
      <c r="M19" s="39"/>
      <c r="N19" s="39">
        <f>+SUM(N14:N18)</f>
        <v>0</v>
      </c>
      <c r="O19" s="39"/>
      <c r="P19" s="39">
        <f>+SUM(P14:P18)</f>
        <v>0</v>
      </c>
      <c r="Q19" s="39"/>
      <c r="R19" s="39">
        <f>+SUM(R14:R18)</f>
        <v>0</v>
      </c>
      <c r="S19" s="39"/>
      <c r="T19" s="39">
        <f>+SUM(T14:T18)</f>
        <v>0</v>
      </c>
      <c r="U19" s="39"/>
      <c r="V19" s="39">
        <f>+SUM(V14:V18)</f>
        <v>0</v>
      </c>
      <c r="W19" s="39"/>
      <c r="X19" s="39">
        <f>+SUM(X14:X18)</f>
        <v>0</v>
      </c>
      <c r="Y19" s="39"/>
      <c r="Z19" s="39">
        <f>+SUM(Z14:Z18)</f>
        <v>0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5"/>
      <c r="AT19" s="39"/>
      <c r="AU19" s="38">
        <f>+SUM(AU10:AU18)</f>
        <v>10331483.539999999</v>
      </c>
    </row>
    <row r="20" spans="1:49" s="50" customFormat="1" ht="15.75" thickBot="1" x14ac:dyDescent="0.3">
      <c r="A20" s="46"/>
      <c r="B20" s="46"/>
      <c r="C20" s="46"/>
      <c r="D20" s="46"/>
      <c r="E20" s="47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8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9"/>
      <c r="AT20" s="48"/>
      <c r="AU20" s="48"/>
    </row>
    <row r="21" spans="1:49" s="50" customFormat="1" ht="103.5" customHeight="1" x14ac:dyDescent="0.25">
      <c r="A21" s="46"/>
      <c r="B21" s="46"/>
      <c r="C21" s="103" t="s">
        <v>101</v>
      </c>
      <c r="D21" s="151" t="s">
        <v>102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2"/>
      <c r="AU21" s="48"/>
    </row>
    <row r="22" spans="1:49" s="50" customFormat="1" x14ac:dyDescent="0.25">
      <c r="A22" s="46"/>
      <c r="B22" s="46"/>
      <c r="C22" s="104"/>
      <c r="D22" s="121"/>
      <c r="E22" s="47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8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9"/>
      <c r="AT22" s="138"/>
      <c r="AU22" s="48"/>
    </row>
    <row r="23" spans="1:49" s="50" customFormat="1" x14ac:dyDescent="0.25">
      <c r="A23" s="46"/>
      <c r="B23" s="46"/>
      <c r="C23" s="105" t="s">
        <v>103</v>
      </c>
      <c r="D23" s="146" t="s">
        <v>104</v>
      </c>
      <c r="E23" s="1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8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9"/>
      <c r="AT23" s="138"/>
      <c r="AU23" s="48"/>
    </row>
    <row r="24" spans="1:49" s="50" customFormat="1" x14ac:dyDescent="0.25">
      <c r="A24" s="46"/>
      <c r="B24" s="46"/>
      <c r="C24" s="105"/>
      <c r="D24" s="120"/>
      <c r="E24" s="47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8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9"/>
      <c r="AT24" s="138"/>
      <c r="AU24" s="48"/>
    </row>
    <row r="25" spans="1:49" s="50" customFormat="1" ht="21.75" customHeight="1" x14ac:dyDescent="0.25">
      <c r="A25" s="46"/>
      <c r="B25" s="46"/>
      <c r="C25" s="105" t="s">
        <v>105</v>
      </c>
      <c r="D25" s="153" t="s">
        <v>106</v>
      </c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4"/>
      <c r="AU25" s="48"/>
    </row>
    <row r="26" spans="1:49" s="50" customFormat="1" x14ac:dyDescent="0.25">
      <c r="A26" s="46"/>
      <c r="B26" s="46"/>
      <c r="C26" s="105"/>
      <c r="D26" s="146"/>
      <c r="E26" s="1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8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9"/>
      <c r="AT26" s="138"/>
      <c r="AU26" s="48"/>
    </row>
    <row r="27" spans="1:49" s="50" customFormat="1" x14ac:dyDescent="0.25">
      <c r="A27" s="46"/>
      <c r="B27" s="46"/>
      <c r="C27" s="105"/>
      <c r="D27" s="146"/>
      <c r="E27" s="1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8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9"/>
      <c r="AT27" s="138"/>
      <c r="AU27" s="48"/>
    </row>
    <row r="28" spans="1:49" s="50" customFormat="1" x14ac:dyDescent="0.25">
      <c r="A28" s="46"/>
      <c r="B28" s="46"/>
      <c r="C28" s="105"/>
      <c r="D28" s="146"/>
      <c r="E28" s="1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8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9"/>
      <c r="AT28" s="138"/>
      <c r="AU28" s="48"/>
    </row>
    <row r="29" spans="1:49" s="50" customFormat="1" x14ac:dyDescent="0.25">
      <c r="A29" s="46"/>
      <c r="B29" s="46"/>
      <c r="C29" s="105"/>
      <c r="D29" s="146"/>
      <c r="E29" s="1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8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9"/>
      <c r="AT29" s="138"/>
      <c r="AU29" s="48"/>
    </row>
    <row r="30" spans="1:49" s="50" customFormat="1" x14ac:dyDescent="0.25">
      <c r="A30" s="46"/>
      <c r="B30" s="46"/>
      <c r="C30" s="105"/>
      <c r="D30" s="120"/>
      <c r="E30" s="47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9"/>
      <c r="AT30" s="138"/>
      <c r="AU30" s="48"/>
    </row>
    <row r="31" spans="1:49" s="50" customFormat="1" x14ac:dyDescent="0.25">
      <c r="A31" s="46"/>
      <c r="B31" s="46"/>
      <c r="C31" s="106" t="s">
        <v>107</v>
      </c>
      <c r="D31" s="108"/>
      <c r="E31" s="47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9"/>
      <c r="AT31" s="138"/>
      <c r="AU31" s="48"/>
    </row>
    <row r="32" spans="1:49" s="50" customFormat="1" x14ac:dyDescent="0.25">
      <c r="A32" s="46"/>
      <c r="B32" s="46"/>
      <c r="C32" s="106"/>
      <c r="D32" s="108"/>
      <c r="E32" s="47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9"/>
      <c r="AT32" s="138"/>
      <c r="AU32" s="48"/>
    </row>
    <row r="33" spans="1:47" s="50" customFormat="1" ht="15.75" thickBot="1" x14ac:dyDescent="0.3">
      <c r="A33" s="46"/>
      <c r="B33" s="46"/>
      <c r="C33" s="107" t="s">
        <v>108</v>
      </c>
      <c r="D33" s="139" t="s">
        <v>109</v>
      </c>
      <c r="E33" s="140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2"/>
      <c r="AT33" s="143"/>
      <c r="AU33" s="48"/>
    </row>
    <row r="34" spans="1:47" s="50" customFormat="1" x14ac:dyDescent="0.25">
      <c r="A34" s="46"/>
      <c r="B34" s="46"/>
      <c r="C34" s="46"/>
      <c r="D34" s="46"/>
      <c r="E34" s="47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9"/>
      <c r="AT34" s="48"/>
      <c r="AU34" s="48"/>
    </row>
    <row r="35" spans="1:47" s="50" customFormat="1" x14ac:dyDescent="0.25">
      <c r="A35" s="46"/>
      <c r="B35" s="46"/>
      <c r="C35" s="46"/>
      <c r="D35" s="46"/>
      <c r="E35" s="47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9"/>
      <c r="AT35" s="48"/>
      <c r="AU35" s="48"/>
    </row>
    <row r="36" spans="1:47" s="50" customFormat="1" x14ac:dyDescent="0.25">
      <c r="A36" s="46"/>
      <c r="B36" s="46"/>
      <c r="C36" s="46"/>
      <c r="D36" s="46"/>
      <c r="E36" s="47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9"/>
      <c r="AT36" s="48"/>
      <c r="AU36" s="48"/>
    </row>
    <row r="37" spans="1:47" s="50" customFormat="1" x14ac:dyDescent="0.25">
      <c r="A37" s="46"/>
      <c r="B37" s="46"/>
      <c r="C37" s="46"/>
      <c r="D37" s="46"/>
      <c r="E37" s="47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9"/>
      <c r="AT37" s="48"/>
      <c r="AU37" s="48"/>
    </row>
    <row r="38" spans="1:47" s="50" customFormat="1" x14ac:dyDescent="0.25">
      <c r="A38" s="46"/>
      <c r="B38" s="46"/>
      <c r="C38" s="46"/>
      <c r="D38" s="46"/>
      <c r="E38" s="4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9"/>
      <c r="AT38" s="48"/>
      <c r="AU38" s="48"/>
    </row>
    <row r="39" spans="1:47" s="50" customFormat="1" x14ac:dyDescent="0.25">
      <c r="A39" s="46"/>
      <c r="B39" s="46"/>
      <c r="C39" s="46"/>
      <c r="D39" s="46"/>
      <c r="E39" s="47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9"/>
      <c r="AT39" s="48"/>
      <c r="AU39" s="48"/>
    </row>
    <row r="40" spans="1:47" s="50" customFormat="1" x14ac:dyDescent="0.25">
      <c r="A40" s="46"/>
      <c r="B40" s="46"/>
      <c r="C40" s="46"/>
      <c r="D40" s="46"/>
      <c r="E40" s="47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9"/>
      <c r="AT40" s="48"/>
      <c r="AU40" s="48"/>
    </row>
    <row r="41" spans="1:47" s="50" customFormat="1" x14ac:dyDescent="0.25">
      <c r="A41" s="46"/>
      <c r="B41" s="46"/>
      <c r="C41" s="46"/>
      <c r="D41" s="46"/>
      <c r="E41" s="47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9"/>
      <c r="AT41" s="48"/>
      <c r="AU41" s="48"/>
    </row>
    <row r="42" spans="1:47" s="50" customFormat="1" x14ac:dyDescent="0.25">
      <c r="A42" s="46"/>
      <c r="B42" s="46"/>
      <c r="C42" s="46"/>
      <c r="D42" s="46"/>
      <c r="E42" s="47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9"/>
      <c r="AT42" s="48"/>
      <c r="AU42" s="48"/>
    </row>
    <row r="43" spans="1:47" s="50" customFormat="1" x14ac:dyDescent="0.25">
      <c r="A43" s="46"/>
      <c r="B43" s="46"/>
      <c r="C43" s="46"/>
      <c r="D43" s="46"/>
      <c r="E43" s="47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9"/>
      <c r="AT43" s="48"/>
      <c r="AU43" s="48"/>
    </row>
    <row r="44" spans="1:47" s="50" customFormat="1" x14ac:dyDescent="0.25">
      <c r="A44" s="46"/>
      <c r="B44" s="46"/>
      <c r="C44" s="46"/>
      <c r="D44" s="46"/>
      <c r="E44" s="47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9"/>
      <c r="AT44" s="48"/>
      <c r="AU44" s="48"/>
    </row>
    <row r="45" spans="1:47" s="50" customFormat="1" x14ac:dyDescent="0.25">
      <c r="A45" s="46"/>
      <c r="B45" s="46"/>
      <c r="C45" s="46"/>
      <c r="D45" s="46"/>
      <c r="E45" s="47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9"/>
      <c r="AT45" s="48"/>
      <c r="AU45" s="48"/>
    </row>
    <row r="46" spans="1:47" s="50" customFormat="1" x14ac:dyDescent="0.25">
      <c r="A46" s="46"/>
      <c r="B46" s="46"/>
      <c r="C46" s="46"/>
      <c r="D46" s="46"/>
      <c r="E46" s="47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9"/>
      <c r="AT46" s="48"/>
      <c r="AU46" s="48"/>
    </row>
    <row r="47" spans="1:47" s="50" customFormat="1" x14ac:dyDescent="0.25">
      <c r="A47" s="46"/>
      <c r="B47" s="46"/>
      <c r="C47" s="46"/>
      <c r="D47" s="46"/>
      <c r="E47" s="47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9"/>
      <c r="AT47" s="48"/>
      <c r="AU47" s="48"/>
    </row>
    <row r="48" spans="1:47" s="50" customFormat="1" x14ac:dyDescent="0.25">
      <c r="A48" s="46"/>
      <c r="B48" s="46"/>
      <c r="C48" s="46"/>
      <c r="D48" s="46"/>
      <c r="E48" s="47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9"/>
      <c r="AT48" s="48"/>
      <c r="AU48" s="48"/>
    </row>
    <row r="49" spans="1:47" s="50" customFormat="1" x14ac:dyDescent="0.25">
      <c r="A49" s="46"/>
      <c r="B49" s="46"/>
      <c r="C49" s="46"/>
      <c r="D49" s="46"/>
      <c r="E49" s="47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9"/>
      <c r="AT49" s="48"/>
      <c r="AU49" s="48"/>
    </row>
    <row r="50" spans="1:47" s="50" customFormat="1" x14ac:dyDescent="0.25">
      <c r="A50" s="46"/>
      <c r="B50" s="46"/>
      <c r="C50" s="46"/>
      <c r="D50" s="46"/>
      <c r="E50" s="47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9"/>
      <c r="AT50" s="48"/>
      <c r="AU50" s="48"/>
    </row>
    <row r="51" spans="1:47" s="50" customFormat="1" x14ac:dyDescent="0.25">
      <c r="A51" s="46"/>
      <c r="B51" s="46"/>
      <c r="C51" s="46"/>
      <c r="D51" s="46"/>
      <c r="E51" s="47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9"/>
      <c r="AT51" s="48"/>
      <c r="AU51" s="48"/>
    </row>
    <row r="52" spans="1:47" s="50" customFormat="1" x14ac:dyDescent="0.25">
      <c r="A52" s="46"/>
      <c r="B52" s="46"/>
      <c r="C52" s="46"/>
      <c r="D52" s="46"/>
      <c r="E52" s="47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9"/>
      <c r="AT52" s="48"/>
      <c r="AU52" s="48"/>
    </row>
    <row r="53" spans="1:47" s="50" customFormat="1" x14ac:dyDescent="0.25">
      <c r="A53" s="46"/>
      <c r="B53" s="46"/>
      <c r="C53" s="46"/>
      <c r="D53" s="46"/>
      <c r="E53" s="47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9"/>
      <c r="AT53" s="48"/>
      <c r="AU53" s="48"/>
    </row>
    <row r="54" spans="1:47" s="50" customFormat="1" x14ac:dyDescent="0.25">
      <c r="A54" s="46"/>
      <c r="B54" s="46"/>
      <c r="C54" s="46"/>
      <c r="D54" s="46"/>
      <c r="E54" s="47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9"/>
      <c r="AT54" s="48"/>
      <c r="AU54" s="48"/>
    </row>
    <row r="55" spans="1:47" s="50" customFormat="1" x14ac:dyDescent="0.25">
      <c r="A55" s="46"/>
      <c r="B55" s="46"/>
      <c r="C55" s="46"/>
      <c r="D55" s="46"/>
      <c r="E55" s="47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9"/>
      <c r="AT55" s="48"/>
      <c r="AU55" s="48"/>
    </row>
    <row r="56" spans="1:47" s="50" customFormat="1" x14ac:dyDescent="0.25">
      <c r="A56" s="46"/>
      <c r="B56" s="46"/>
      <c r="C56" s="46"/>
      <c r="D56" s="46"/>
      <c r="E56" s="47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9"/>
      <c r="AT56" s="48"/>
      <c r="AU56" s="48"/>
    </row>
    <row r="57" spans="1:47" s="50" customFormat="1" x14ac:dyDescent="0.25">
      <c r="A57" s="46"/>
      <c r="B57" s="46"/>
      <c r="C57" s="46"/>
      <c r="D57" s="46"/>
      <c r="E57" s="47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9"/>
      <c r="AT57" s="48"/>
      <c r="AU57" s="48"/>
    </row>
    <row r="58" spans="1:47" s="50" customFormat="1" x14ac:dyDescent="0.25">
      <c r="A58" s="46"/>
      <c r="B58" s="46"/>
      <c r="C58" s="46"/>
      <c r="D58" s="46"/>
      <c r="E58" s="47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9"/>
      <c r="AT58" s="48"/>
      <c r="AU58" s="48"/>
    </row>
    <row r="59" spans="1:47" s="50" customFormat="1" x14ac:dyDescent="0.25">
      <c r="A59" s="46"/>
      <c r="B59" s="46"/>
      <c r="C59" s="46"/>
      <c r="D59" s="46"/>
      <c r="E59" s="47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9"/>
      <c r="AT59" s="48"/>
      <c r="AU59" s="48"/>
    </row>
    <row r="60" spans="1:47" s="50" customFormat="1" x14ac:dyDescent="0.25">
      <c r="A60" s="46"/>
      <c r="B60" s="46"/>
      <c r="C60" s="46"/>
      <c r="D60" s="46"/>
      <c r="E60" s="47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9"/>
      <c r="AT60" s="48"/>
      <c r="AU60" s="48"/>
    </row>
    <row r="61" spans="1:47" s="50" customFormat="1" x14ac:dyDescent="0.25">
      <c r="A61" s="46"/>
      <c r="B61" s="46"/>
      <c r="C61" s="46"/>
      <c r="D61" s="46"/>
      <c r="E61" s="47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9"/>
      <c r="AT61" s="48"/>
      <c r="AU61" s="48"/>
    </row>
    <row r="62" spans="1:47" s="50" customFormat="1" x14ac:dyDescent="0.25">
      <c r="A62" s="46"/>
      <c r="B62" s="46"/>
      <c r="C62" s="46"/>
      <c r="D62" s="46"/>
      <c r="E62" s="47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9"/>
      <c r="AT62" s="48"/>
      <c r="AU62" s="48"/>
    </row>
    <row r="63" spans="1:47" s="50" customFormat="1" x14ac:dyDescent="0.25">
      <c r="A63" s="46"/>
      <c r="B63" s="46"/>
      <c r="C63" s="46"/>
      <c r="D63" s="46"/>
      <c r="E63" s="47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9"/>
      <c r="AT63" s="48"/>
      <c r="AU63" s="48"/>
    </row>
    <row r="64" spans="1:47" s="50" customFormat="1" x14ac:dyDescent="0.25">
      <c r="A64" s="46"/>
      <c r="B64" s="46"/>
      <c r="C64" s="46"/>
      <c r="D64" s="46"/>
      <c r="E64" s="47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9"/>
      <c r="AT64" s="48"/>
      <c r="AU64" s="48"/>
    </row>
    <row r="65" spans="1:47" s="50" customFormat="1" x14ac:dyDescent="0.25">
      <c r="A65" s="46"/>
      <c r="B65" s="46"/>
      <c r="C65" s="46"/>
      <c r="D65" s="46"/>
      <c r="E65" s="47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9"/>
      <c r="AT65" s="48"/>
      <c r="AU65" s="48"/>
    </row>
    <row r="66" spans="1:47" s="50" customFormat="1" x14ac:dyDescent="0.25">
      <c r="A66" s="46"/>
      <c r="B66" s="46"/>
      <c r="C66" s="46"/>
      <c r="D66" s="46"/>
      <c r="E66" s="47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9"/>
      <c r="AT66" s="48"/>
      <c r="AU66" s="48"/>
    </row>
    <row r="67" spans="1:47" s="50" customFormat="1" x14ac:dyDescent="0.25">
      <c r="A67" s="46"/>
      <c r="B67" s="46"/>
      <c r="C67" s="46"/>
      <c r="D67" s="46"/>
      <c r="E67" s="47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9"/>
      <c r="AT67" s="48"/>
      <c r="AU67" s="48"/>
    </row>
    <row r="68" spans="1:47" s="50" customFormat="1" x14ac:dyDescent="0.25">
      <c r="A68" s="46"/>
      <c r="B68" s="46"/>
      <c r="C68" s="46"/>
      <c r="D68" s="46"/>
      <c r="E68" s="47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9"/>
      <c r="AT68" s="48"/>
      <c r="AU68" s="48"/>
    </row>
    <row r="69" spans="1:47" s="50" customFormat="1" x14ac:dyDescent="0.25">
      <c r="A69" s="46"/>
      <c r="B69" s="46"/>
      <c r="C69" s="46"/>
      <c r="D69" s="46"/>
      <c r="E69" s="47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9"/>
      <c r="AT69" s="48"/>
      <c r="AU69" s="48"/>
    </row>
    <row r="70" spans="1:47" s="50" customFormat="1" x14ac:dyDescent="0.25">
      <c r="A70" s="46"/>
      <c r="B70" s="46"/>
      <c r="C70" s="46"/>
      <c r="D70" s="46"/>
      <c r="E70" s="47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9"/>
      <c r="AT70" s="48"/>
      <c r="AU70" s="48"/>
    </row>
    <row r="71" spans="1:47" s="50" customFormat="1" x14ac:dyDescent="0.25">
      <c r="A71" s="46"/>
      <c r="B71" s="46"/>
      <c r="C71" s="46"/>
      <c r="D71" s="46"/>
      <c r="E71" s="47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9"/>
      <c r="AT71" s="48"/>
      <c r="AU71" s="48"/>
    </row>
    <row r="72" spans="1:47" x14ac:dyDescent="0.25">
      <c r="A72" s="40"/>
      <c r="B72" s="40"/>
      <c r="C72" s="40"/>
      <c r="D72" s="40"/>
      <c r="E72" s="41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3"/>
      <c r="AT72" s="42"/>
      <c r="AU72" s="42"/>
    </row>
    <row r="73" spans="1:47" x14ac:dyDescent="0.25">
      <c r="A73" s="40"/>
      <c r="B73" s="40"/>
      <c r="C73" s="40"/>
      <c r="D73" s="40"/>
      <c r="E73" s="41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3"/>
      <c r="AT73" s="42"/>
      <c r="AU73" s="42"/>
    </row>
    <row r="74" spans="1:47" x14ac:dyDescent="0.25">
      <c r="A74" s="40"/>
      <c r="B74" s="40"/>
      <c r="C74" s="40"/>
      <c r="D74" s="40"/>
      <c r="E74" s="41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3"/>
      <c r="AT74" s="42"/>
      <c r="AU74" s="42"/>
    </row>
    <row r="75" spans="1:47" x14ac:dyDescent="0.25">
      <c r="A75" s="40"/>
      <c r="B75" s="40"/>
      <c r="C75" s="40"/>
      <c r="D75" s="40"/>
      <c r="E75" s="41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3"/>
      <c r="AT75" s="42"/>
      <c r="AU75" s="42"/>
    </row>
    <row r="76" spans="1:47" x14ac:dyDescent="0.25">
      <c r="A76" s="40"/>
      <c r="B76" s="40"/>
      <c r="C76" s="40"/>
      <c r="D76" s="40"/>
      <c r="E76" s="41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3"/>
      <c r="AT76" s="42"/>
      <c r="AU76" s="42"/>
    </row>
    <row r="77" spans="1:47" x14ac:dyDescent="0.25">
      <c r="A77" s="40"/>
      <c r="B77" s="40"/>
      <c r="C77" s="40"/>
      <c r="D77" s="40"/>
      <c r="E77" s="41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3"/>
      <c r="AT77" s="42"/>
      <c r="AU77" s="42"/>
    </row>
    <row r="78" spans="1:47" x14ac:dyDescent="0.25">
      <c r="A78" s="40"/>
      <c r="B78" s="40"/>
      <c r="C78" s="40"/>
      <c r="D78" s="40"/>
      <c r="E78" s="41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3"/>
      <c r="AT78" s="42"/>
      <c r="AU78" s="42"/>
    </row>
    <row r="79" spans="1:47" x14ac:dyDescent="0.25">
      <c r="A79" s="40"/>
      <c r="B79" s="40"/>
      <c r="C79" s="40"/>
      <c r="D79" s="40"/>
      <c r="E79" s="41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3"/>
      <c r="AT79" s="42"/>
      <c r="AU79" s="42"/>
    </row>
    <row r="80" spans="1:47" x14ac:dyDescent="0.25">
      <c r="A80" s="40"/>
      <c r="B80" s="40"/>
      <c r="C80" s="40"/>
      <c r="D80" s="40"/>
      <c r="E80" s="41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3"/>
      <c r="AT80" s="42"/>
      <c r="AU80" s="42"/>
    </row>
    <row r="81" spans="1:47" x14ac:dyDescent="0.25">
      <c r="A81" s="40"/>
      <c r="B81" s="40"/>
      <c r="C81" s="40"/>
      <c r="D81" s="40"/>
      <c r="E81" s="41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3"/>
      <c r="AT81" s="42"/>
      <c r="AU81" s="42"/>
    </row>
    <row r="82" spans="1:47" x14ac:dyDescent="0.25">
      <c r="A82" s="40"/>
      <c r="B82" s="40"/>
      <c r="C82" s="40"/>
      <c r="D82" s="40"/>
      <c r="E82" s="41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3"/>
      <c r="AT82" s="42"/>
      <c r="AU82" s="42"/>
    </row>
    <row r="83" spans="1:47" x14ac:dyDescent="0.25">
      <c r="A83" s="40"/>
      <c r="B83" s="40"/>
      <c r="C83" s="40"/>
      <c r="D83" s="40"/>
      <c r="E83" s="4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3"/>
      <c r="AT83" s="42"/>
      <c r="AU83" s="42"/>
    </row>
    <row r="84" spans="1:47" x14ac:dyDescent="0.25">
      <c r="A84" s="40"/>
      <c r="B84" s="40"/>
      <c r="C84" s="40"/>
      <c r="D84" s="40"/>
      <c r="E84" s="4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3"/>
      <c r="AT84" s="42"/>
      <c r="AU84" s="42"/>
    </row>
    <row r="85" spans="1:47" x14ac:dyDescent="0.25">
      <c r="A85" s="40"/>
      <c r="B85" s="40"/>
      <c r="C85" s="40"/>
      <c r="D85" s="40"/>
      <c r="E85" s="4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3"/>
      <c r="AT85" s="42"/>
      <c r="AU85" s="42"/>
    </row>
    <row r="86" spans="1:47" x14ac:dyDescent="0.25">
      <c r="A86" s="40"/>
      <c r="B86" s="40"/>
      <c r="C86" s="40"/>
      <c r="D86" s="40"/>
      <c r="E86" s="4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3"/>
      <c r="AT86" s="42"/>
      <c r="AU86" s="42"/>
    </row>
    <row r="87" spans="1:47" x14ac:dyDescent="0.25">
      <c r="A87" s="40"/>
      <c r="B87" s="40"/>
      <c r="C87" s="40"/>
      <c r="D87" s="40"/>
      <c r="E87" s="4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3"/>
      <c r="AT87" s="42"/>
      <c r="AU87" s="42"/>
    </row>
    <row r="88" spans="1:47" x14ac:dyDescent="0.25">
      <c r="A88" s="40"/>
      <c r="B88" s="40"/>
      <c r="C88" s="40"/>
      <c r="D88" s="40"/>
      <c r="E88" s="4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3"/>
      <c r="AT88" s="42"/>
      <c r="AU88" s="42"/>
    </row>
    <row r="89" spans="1:47" x14ac:dyDescent="0.25">
      <c r="A89" s="40"/>
      <c r="B89" s="40"/>
      <c r="C89" s="40"/>
      <c r="D89" s="40"/>
      <c r="E89" s="4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3"/>
      <c r="AT89" s="42"/>
      <c r="AU89" s="42"/>
    </row>
    <row r="90" spans="1:47" x14ac:dyDescent="0.25">
      <c r="A90" s="40"/>
      <c r="B90" s="40"/>
      <c r="C90" s="40"/>
      <c r="D90" s="40"/>
      <c r="E90" s="41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3"/>
      <c r="AT90" s="42"/>
      <c r="AU90" s="42"/>
    </row>
    <row r="91" spans="1:47" x14ac:dyDescent="0.25">
      <c r="A91" s="40"/>
      <c r="B91" s="40"/>
      <c r="C91" s="40"/>
      <c r="D91" s="40"/>
      <c r="E91" s="41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3"/>
      <c r="AT91" s="42"/>
      <c r="AU91" s="42"/>
    </row>
    <row r="92" spans="1:47" x14ac:dyDescent="0.25">
      <c r="A92" s="40"/>
      <c r="B92" s="40"/>
      <c r="C92" s="40"/>
      <c r="D92" s="40"/>
      <c r="E92" s="41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3"/>
      <c r="AT92" s="42"/>
      <c r="AU92" s="42"/>
    </row>
    <row r="93" spans="1:47" x14ac:dyDescent="0.25">
      <c r="A93" s="40"/>
      <c r="B93" s="40"/>
      <c r="C93" s="40"/>
      <c r="D93" s="40"/>
      <c r="E93" s="41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3"/>
      <c r="AT93" s="42"/>
      <c r="AU93" s="42"/>
    </row>
    <row r="94" spans="1:47" x14ac:dyDescent="0.25">
      <c r="A94" s="40"/>
      <c r="B94" s="40"/>
      <c r="C94" s="40"/>
      <c r="D94" s="40"/>
      <c r="E94" s="41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3"/>
      <c r="AT94" s="42"/>
      <c r="AU94" s="42"/>
    </row>
    <row r="95" spans="1:47" x14ac:dyDescent="0.25">
      <c r="A95" s="40"/>
      <c r="B95" s="40"/>
      <c r="C95" s="40"/>
      <c r="D95" s="40"/>
      <c r="E95" s="41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3"/>
      <c r="AT95" s="42"/>
      <c r="AU95" s="42"/>
    </row>
    <row r="96" spans="1:47" x14ac:dyDescent="0.25">
      <c r="A96" s="40"/>
      <c r="B96" s="40"/>
      <c r="C96" s="40"/>
      <c r="D96" s="40"/>
      <c r="E96" s="41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3"/>
      <c r="AT96" s="42"/>
      <c r="AU96" s="42"/>
    </row>
    <row r="97" spans="1:47" x14ac:dyDescent="0.25">
      <c r="A97" s="40"/>
      <c r="B97" s="40"/>
      <c r="C97" s="40"/>
      <c r="D97" s="40"/>
      <c r="E97" s="41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3"/>
      <c r="AT97" s="42"/>
      <c r="AU97" s="42"/>
    </row>
    <row r="98" spans="1:47" x14ac:dyDescent="0.25">
      <c r="A98" s="40"/>
      <c r="B98" s="40"/>
      <c r="C98" s="40"/>
      <c r="D98" s="40"/>
      <c r="E98" s="41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3"/>
      <c r="AT98" s="42"/>
      <c r="AU98" s="42"/>
    </row>
    <row r="99" spans="1:47" x14ac:dyDescent="0.25">
      <c r="A99" s="40"/>
      <c r="B99" s="40"/>
      <c r="C99" s="40"/>
      <c r="D99" s="40"/>
      <c r="E99" s="41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3"/>
      <c r="AT99" s="42"/>
      <c r="AU99" s="42"/>
    </row>
  </sheetData>
  <sortState ref="A10:AV38">
    <sortCondition ref="E10"/>
  </sortState>
  <mergeCells count="14">
    <mergeCell ref="D29:E29"/>
    <mergeCell ref="D23:E23"/>
    <mergeCell ref="A7:B7"/>
    <mergeCell ref="B2:AT2"/>
    <mergeCell ref="A4:B4"/>
    <mergeCell ref="C4:E4"/>
    <mergeCell ref="A5:B5"/>
    <mergeCell ref="C5:E5"/>
    <mergeCell ref="A6:B6"/>
    <mergeCell ref="D21:AT21"/>
    <mergeCell ref="D25:AT25"/>
    <mergeCell ref="D26:E26"/>
    <mergeCell ref="D27:E27"/>
    <mergeCell ref="D28:E28"/>
  </mergeCells>
  <conditionalFormatting sqref="B1:B12 E1:E9">
    <cfRule type="duplicateValues" dxfId="7" priority="1006"/>
  </conditionalFormatting>
  <conditionalFormatting sqref="E1:E9 B1:B12">
    <cfRule type="duplicateValues" dxfId="6" priority="1008"/>
  </conditionalFormatting>
  <conditionalFormatting sqref="B1:B12">
    <cfRule type="duplicateValues" dxfId="5" priority="1009"/>
  </conditionalFormatting>
  <conditionalFormatting sqref="E1:E9">
    <cfRule type="duplicateValues" dxfId="4" priority="1010"/>
  </conditionalFormatting>
  <conditionalFormatting sqref="E1:E9">
    <cfRule type="duplicateValues" dxfId="3" priority="1011"/>
    <cfRule type="duplicateValues" dxfId="2" priority="1012"/>
  </conditionalFormatting>
  <conditionalFormatting sqref="C23:C33">
    <cfRule type="duplicateValues" dxfId="1" priority="1013"/>
  </conditionalFormatting>
  <conditionalFormatting sqref="C23:C33">
    <cfRule type="duplicateValues" dxfId="0" priority="10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topLeftCell="A4" zoomScale="80" zoomScaleNormal="80" workbookViewId="0">
      <selection activeCell="C17" sqref="C17:G17"/>
    </sheetView>
  </sheetViews>
  <sheetFormatPr baseColWidth="10" defaultRowHeight="15" x14ac:dyDescent="0.25"/>
  <cols>
    <col min="1" max="1" width="5.5703125" style="31" customWidth="1"/>
    <col min="2" max="2" width="15.140625" customWidth="1"/>
    <col min="3" max="3" width="14.140625" style="31" customWidth="1"/>
    <col min="4" max="4" width="26" customWidth="1"/>
    <col min="5" max="5" width="8" customWidth="1"/>
    <col min="6" max="6" width="7.85546875" customWidth="1"/>
    <col min="7" max="7" width="46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7.85546875" style="101" bestFit="1" customWidth="1"/>
  </cols>
  <sheetData>
    <row r="1" spans="1:13" ht="30.75" thickBot="1" x14ac:dyDescent="0.3">
      <c r="A1" s="155" t="s">
        <v>57</v>
      </c>
      <c r="B1" s="155"/>
      <c r="C1" s="155"/>
      <c r="D1" s="155"/>
      <c r="E1" s="155"/>
      <c r="F1" s="155"/>
      <c r="G1" s="155"/>
      <c r="H1" s="155"/>
      <c r="I1" s="155"/>
      <c r="J1" s="52" t="s">
        <v>58</v>
      </c>
      <c r="K1" s="53" t="s">
        <v>114</v>
      </c>
    </row>
    <row r="2" spans="1:13" ht="16.5" thickBot="1" x14ac:dyDescent="0.3">
      <c r="A2" s="54"/>
      <c r="B2" s="55"/>
      <c r="C2" s="55"/>
      <c r="D2" s="56"/>
      <c r="E2" s="56"/>
      <c r="F2" s="56"/>
      <c r="G2" s="56"/>
      <c r="H2" s="56"/>
      <c r="I2" s="56"/>
      <c r="J2" s="57"/>
      <c r="K2" s="58"/>
    </row>
    <row r="3" spans="1:13" ht="16.5" customHeight="1" thickBot="1" x14ac:dyDescent="0.3">
      <c r="A3" s="156" t="s">
        <v>59</v>
      </c>
      <c r="B3" s="156"/>
      <c r="C3" s="156"/>
      <c r="D3" s="157" t="s">
        <v>41</v>
      </c>
      <c r="E3" s="157"/>
      <c r="F3" s="157"/>
      <c r="G3" s="157"/>
      <c r="H3" s="157"/>
      <c r="I3" s="157"/>
      <c r="J3" s="157"/>
      <c r="K3" s="157"/>
    </row>
    <row r="4" spans="1:13" ht="16.5" customHeight="1" thickBot="1" x14ac:dyDescent="0.3">
      <c r="A4" s="158" t="s">
        <v>60</v>
      </c>
      <c r="B4" s="158"/>
      <c r="C4" s="158"/>
      <c r="D4" s="157" t="s">
        <v>61</v>
      </c>
      <c r="E4" s="157"/>
      <c r="F4" s="157"/>
      <c r="G4" s="157"/>
      <c r="H4" s="157"/>
      <c r="I4" s="157"/>
      <c r="J4" s="157"/>
      <c r="K4" s="157"/>
    </row>
    <row r="5" spans="1:13" ht="16.5" customHeight="1" thickBot="1" x14ac:dyDescent="0.3">
      <c r="A5" s="158" t="s">
        <v>62</v>
      </c>
      <c r="B5" s="158"/>
      <c r="C5" s="158"/>
      <c r="D5" s="157" t="s">
        <v>63</v>
      </c>
      <c r="E5" s="157"/>
      <c r="F5" s="157"/>
      <c r="G5" s="157"/>
      <c r="H5" s="157"/>
      <c r="I5" s="157"/>
      <c r="J5" s="157"/>
      <c r="K5" s="157"/>
    </row>
    <row r="6" spans="1:13" ht="16.5" customHeight="1" thickBot="1" x14ac:dyDescent="0.3">
      <c r="A6" s="156" t="s">
        <v>64</v>
      </c>
      <c r="B6" s="156"/>
      <c r="C6" s="156"/>
      <c r="D6" s="157" t="s">
        <v>63</v>
      </c>
      <c r="E6" s="157"/>
      <c r="F6" s="157"/>
      <c r="G6" s="157"/>
      <c r="H6" s="157"/>
      <c r="I6" s="157"/>
      <c r="J6" s="157"/>
      <c r="K6" s="157"/>
    </row>
    <row r="7" spans="1:13" ht="16.5" customHeight="1" thickBot="1" x14ac:dyDescent="0.3">
      <c r="A7" s="158" t="s">
        <v>65</v>
      </c>
      <c r="B7" s="158"/>
      <c r="C7" s="158"/>
      <c r="D7" s="157" t="s">
        <v>66</v>
      </c>
      <c r="E7" s="157"/>
      <c r="F7" s="157"/>
      <c r="G7" s="157"/>
      <c r="H7" s="157"/>
      <c r="I7" s="157"/>
      <c r="J7" s="157"/>
      <c r="K7" s="157"/>
    </row>
    <row r="8" spans="1:13" ht="16.5" customHeight="1" thickBot="1" x14ac:dyDescent="0.3">
      <c r="A8" s="159" t="s">
        <v>67</v>
      </c>
      <c r="B8" s="159"/>
      <c r="C8" s="159"/>
      <c r="D8" s="160" t="s">
        <v>121</v>
      </c>
      <c r="E8" s="160"/>
      <c r="F8" s="160"/>
      <c r="G8" s="160"/>
      <c r="H8" s="160"/>
      <c r="I8" s="160"/>
      <c r="J8" s="160"/>
      <c r="K8" s="160"/>
    </row>
    <row r="9" spans="1:13" ht="16.5" thickBot="1" x14ac:dyDescent="0.3">
      <c r="A9" s="59"/>
      <c r="B9" s="60"/>
      <c r="C9" s="60"/>
      <c r="D9" s="61"/>
      <c r="E9" s="61"/>
      <c r="F9" s="61"/>
      <c r="G9" s="61"/>
      <c r="H9" s="61"/>
      <c r="I9" s="61"/>
      <c r="J9" s="62"/>
      <c r="K9" s="63"/>
    </row>
    <row r="10" spans="1:13" ht="15.75" customHeight="1" thickBot="1" x14ac:dyDescent="0.3">
      <c r="A10" s="161" t="s">
        <v>68</v>
      </c>
      <c r="B10" s="162" t="s">
        <v>69</v>
      </c>
      <c r="C10" s="162" t="s">
        <v>70</v>
      </c>
      <c r="D10" s="162"/>
      <c r="E10" s="162"/>
      <c r="F10" s="162"/>
      <c r="G10" s="162"/>
      <c r="H10" s="162" t="s">
        <v>71</v>
      </c>
      <c r="I10" s="162" t="s">
        <v>72</v>
      </c>
      <c r="J10" s="163" t="s">
        <v>73</v>
      </c>
      <c r="K10" s="164" t="s">
        <v>74</v>
      </c>
    </row>
    <row r="11" spans="1:13" ht="33" customHeight="1" x14ac:dyDescent="0.25">
      <c r="A11" s="161"/>
      <c r="B11" s="162"/>
      <c r="C11" s="162"/>
      <c r="D11" s="162"/>
      <c r="E11" s="162"/>
      <c r="F11" s="162"/>
      <c r="G11" s="162"/>
      <c r="H11" s="162"/>
      <c r="I11" s="162"/>
      <c r="J11" s="163"/>
      <c r="K11" s="164"/>
    </row>
    <row r="12" spans="1:13" ht="33" customHeight="1" x14ac:dyDescent="0.25">
      <c r="A12" s="116">
        <v>1</v>
      </c>
      <c r="B12" s="115"/>
      <c r="C12" s="169" t="str">
        <f>+'SAF 011'!E10</f>
        <v>GUANTES DE EXAMINACION TAMAÑO M X 100</v>
      </c>
      <c r="D12" s="170"/>
      <c r="E12" s="170"/>
      <c r="F12" s="170"/>
      <c r="G12" s="171"/>
      <c r="H12" s="66" t="s">
        <v>111</v>
      </c>
      <c r="I12" s="67" t="str">
        <f>+'SAF 011'!F10</f>
        <v>CAJA</v>
      </c>
      <c r="J12" s="117">
        <f>+'SAF 011'!AT10</f>
        <v>790</v>
      </c>
      <c r="K12" s="118">
        <f>+'SAF 011'!AS10</f>
        <v>3000</v>
      </c>
      <c r="L12" s="144"/>
      <c r="M12" s="101">
        <f>+J12*K12</f>
        <v>2370000</v>
      </c>
    </row>
    <row r="13" spans="1:13" ht="33" customHeight="1" x14ac:dyDescent="0.25">
      <c r="A13" s="116">
        <v>2</v>
      </c>
      <c r="B13" s="115"/>
      <c r="C13" s="169" t="str">
        <f>+'SAF 011'!E11</f>
        <v>PLACAS RADIOGRAFICAS 18 X 24 SENSIBLE AL VERDE X 100 UNIDADES</v>
      </c>
      <c r="D13" s="170"/>
      <c r="E13" s="170"/>
      <c r="F13" s="170"/>
      <c r="G13" s="171"/>
      <c r="H13" s="66" t="s">
        <v>111</v>
      </c>
      <c r="I13" s="67" t="str">
        <f>+'SAF 011'!F11</f>
        <v>CAJA</v>
      </c>
      <c r="J13" s="117">
        <f>+'SAF 011'!AT11</f>
        <v>4776.71</v>
      </c>
      <c r="K13" s="118">
        <f>+'SAF 011'!AS11</f>
        <v>10</v>
      </c>
      <c r="L13" s="144"/>
      <c r="M13" s="101">
        <f t="shared" ref="M13:M14" si="0">+J13*K13</f>
        <v>47767.1</v>
      </c>
    </row>
    <row r="14" spans="1:13" ht="33" customHeight="1" x14ac:dyDescent="0.25">
      <c r="A14" s="116">
        <v>3</v>
      </c>
      <c r="B14" s="115"/>
      <c r="C14" s="169" t="str">
        <f>+'SAF 011'!E12</f>
        <v>PLACAS RADIOGRAFICAS 24 X 30 SENSIBLE AL VERDE X 100 UNIDADES</v>
      </c>
      <c r="D14" s="170"/>
      <c r="E14" s="170"/>
      <c r="F14" s="170"/>
      <c r="G14" s="171"/>
      <c r="H14" s="66" t="s">
        <v>111</v>
      </c>
      <c r="I14" s="67" t="str">
        <f>+'SAF 011'!F12</f>
        <v>CAJA</v>
      </c>
      <c r="J14" s="117">
        <f>+'SAF 011'!AT12</f>
        <v>7942.01</v>
      </c>
      <c r="K14" s="118">
        <f>+'SAF 011'!AS12</f>
        <v>50</v>
      </c>
      <c r="L14" s="144"/>
      <c r="M14" s="101">
        <f t="shared" si="0"/>
        <v>397100.5</v>
      </c>
    </row>
    <row r="15" spans="1:13" ht="22.5" customHeight="1" x14ac:dyDescent="0.25">
      <c r="A15" s="116">
        <v>4</v>
      </c>
      <c r="B15" s="65"/>
      <c r="C15" s="169" t="str">
        <f>+'SAF 011'!E13</f>
        <v>PLACAS RADIOGRAFICAS 35 X 43 SENSIBLE AL VERDE X 100 UNIDADES</v>
      </c>
      <c r="D15" s="170"/>
      <c r="E15" s="170"/>
      <c r="F15" s="170"/>
      <c r="G15" s="171"/>
      <c r="H15" s="66" t="s">
        <v>111</v>
      </c>
      <c r="I15" s="67" t="str">
        <f>+'SAF 011'!F14</f>
        <v>BIDON</v>
      </c>
      <c r="J15" s="68">
        <f>+'SAF 011'!AT14</f>
        <v>9184.9599999999991</v>
      </c>
      <c r="K15" s="69">
        <f>+'SAF 011'!AS14</f>
        <v>60</v>
      </c>
      <c r="L15" s="144"/>
      <c r="M15" s="102">
        <f t="shared" ref="M15:M20" si="1">+K15*J15</f>
        <v>551097.59999999998</v>
      </c>
    </row>
    <row r="16" spans="1:13" ht="22.5" customHeight="1" x14ac:dyDescent="0.25">
      <c r="A16" s="116">
        <v>5</v>
      </c>
      <c r="B16" s="65"/>
      <c r="C16" s="169" t="str">
        <f>+'SAF 011'!E14</f>
        <v xml:space="preserve">LIQUIDO FIJADOR PARA PROCESO MANUAL </v>
      </c>
      <c r="D16" s="170"/>
      <c r="E16" s="170"/>
      <c r="F16" s="170"/>
      <c r="G16" s="171"/>
      <c r="H16" s="66" t="s">
        <v>111</v>
      </c>
      <c r="I16" s="67" t="str">
        <f>+'SAF 011'!F15</f>
        <v>BIDON</v>
      </c>
      <c r="J16" s="68">
        <f>+'SAF 011'!AT15</f>
        <v>6460.81</v>
      </c>
      <c r="K16" s="69">
        <f>+'SAF 011'!AS15</f>
        <v>50</v>
      </c>
      <c r="L16" s="144"/>
      <c r="M16" s="102">
        <f t="shared" si="1"/>
        <v>323040.5</v>
      </c>
    </row>
    <row r="17" spans="1:13" ht="22.5" customHeight="1" x14ac:dyDescent="0.25">
      <c r="A17" s="116">
        <v>6</v>
      </c>
      <c r="B17" s="65"/>
      <c r="C17" s="169" t="str">
        <f>+'SAF 011'!E15</f>
        <v xml:space="preserve">LIQUIDO FIJADOR PARA PROCESO AUTOMATICO </v>
      </c>
      <c r="D17" s="170"/>
      <c r="E17" s="170"/>
      <c r="F17" s="170"/>
      <c r="G17" s="171"/>
      <c r="H17" s="66" t="s">
        <v>111</v>
      </c>
      <c r="I17" s="67" t="str">
        <f>+'SAF 011'!F16</f>
        <v>BIDON</v>
      </c>
      <c r="J17" s="68">
        <f>+'SAF 011'!AT16</f>
        <v>6670.08</v>
      </c>
      <c r="K17" s="69">
        <f>+'SAF 011'!AS16</f>
        <v>18</v>
      </c>
      <c r="L17" s="144"/>
      <c r="M17" s="102">
        <f t="shared" si="1"/>
        <v>120061.44</v>
      </c>
    </row>
    <row r="18" spans="1:13" ht="22.5" customHeight="1" x14ac:dyDescent="0.25">
      <c r="A18" s="116">
        <v>7</v>
      </c>
      <c r="B18" s="65"/>
      <c r="C18" s="169" t="str">
        <f>+'SAF 011'!E16</f>
        <v xml:space="preserve">LIQUIDO REVELADOR PARA PROCESO AUTOMATICO </v>
      </c>
      <c r="D18" s="170"/>
      <c r="E18" s="170"/>
      <c r="F18" s="170"/>
      <c r="G18" s="171"/>
      <c r="H18" s="66" t="s">
        <v>111</v>
      </c>
      <c r="I18" s="67" t="str">
        <f>+'SAF 011'!F17</f>
        <v>BIDON</v>
      </c>
      <c r="J18" s="68">
        <f>+'SAF 011'!AT17</f>
        <v>8894.64</v>
      </c>
      <c r="K18" s="69">
        <f>+'SAF 011'!AS17</f>
        <v>20</v>
      </c>
      <c r="L18" s="144"/>
      <c r="M18" s="102">
        <f t="shared" si="1"/>
        <v>177892.8</v>
      </c>
    </row>
    <row r="19" spans="1:13" ht="22.5" customHeight="1" x14ac:dyDescent="0.25">
      <c r="A19" s="116">
        <v>8</v>
      </c>
      <c r="B19" s="65"/>
      <c r="C19" s="169" t="str">
        <f>+'SAF 011'!E17</f>
        <v>LIQUIDO REVELADOR PARA PROCESO MANUAL</v>
      </c>
      <c r="D19" s="170"/>
      <c r="E19" s="170"/>
      <c r="F19" s="170"/>
      <c r="G19" s="171"/>
      <c r="H19" s="66" t="s">
        <v>111</v>
      </c>
      <c r="I19" s="67" t="str">
        <f>+'SAF 011'!F13</f>
        <v>CAJA</v>
      </c>
      <c r="J19" s="68">
        <f>+'SAF 011'!AT13</f>
        <v>16604.759999999998</v>
      </c>
      <c r="K19" s="69">
        <f>+'SAF 011'!AS13</f>
        <v>110</v>
      </c>
      <c r="L19" s="144"/>
      <c r="M19" s="102">
        <f t="shared" si="1"/>
        <v>1826523.5999999999</v>
      </c>
    </row>
    <row r="20" spans="1:13" ht="37.5" customHeight="1" x14ac:dyDescent="0.25">
      <c r="A20" s="116">
        <v>9</v>
      </c>
      <c r="B20" s="65"/>
      <c r="C20" s="169" t="str">
        <f>+'SAF 011'!E18</f>
        <v>TIRAS REACTIVAS PARA DETERMINACION GLUCOSA X 50 UNIDADES  que incluye 300 aparatos para medicion</v>
      </c>
      <c r="D20" s="170"/>
      <c r="E20" s="170"/>
      <c r="F20" s="170"/>
      <c r="G20" s="171"/>
      <c r="H20" s="66" t="s">
        <v>111</v>
      </c>
      <c r="I20" s="67" t="str">
        <f>+'SAF 011'!F18</f>
        <v>UNIDAD</v>
      </c>
      <c r="J20" s="68">
        <f>+'SAF 011'!AT18</f>
        <v>2259</v>
      </c>
      <c r="K20" s="69">
        <f>+'SAF 011'!AS18</f>
        <v>2000</v>
      </c>
      <c r="L20" s="144"/>
      <c r="M20" s="102">
        <f t="shared" si="1"/>
        <v>4518000</v>
      </c>
    </row>
    <row r="21" spans="1:13" ht="15.75" x14ac:dyDescent="0.25">
      <c r="A21" s="64"/>
      <c r="B21" s="65"/>
      <c r="C21" s="173"/>
      <c r="D21" s="173"/>
      <c r="E21" s="173"/>
      <c r="F21" s="173"/>
      <c r="G21" s="173"/>
      <c r="H21" s="66"/>
      <c r="I21" s="67"/>
      <c r="J21" s="68"/>
      <c r="K21" s="69"/>
      <c r="L21" s="144"/>
      <c r="M21" s="144"/>
    </row>
    <row r="22" spans="1:13" ht="43.5" customHeight="1" thickBot="1" x14ac:dyDescent="0.3">
      <c r="A22" s="165" t="s">
        <v>75</v>
      </c>
      <c r="B22" s="166"/>
      <c r="C22" s="167" t="s">
        <v>126</v>
      </c>
      <c r="D22" s="167"/>
      <c r="E22" s="167"/>
      <c r="F22" s="167"/>
      <c r="G22" s="167"/>
      <c r="H22" s="167"/>
      <c r="I22" s="168"/>
      <c r="J22" s="172">
        <f>+M22</f>
        <v>10331483.539999999</v>
      </c>
      <c r="K22" s="172"/>
      <c r="M22" s="102">
        <f>SUM(M12:M21)</f>
        <v>10331483.539999999</v>
      </c>
    </row>
  </sheetData>
  <mergeCells count="33">
    <mergeCell ref="J22:K22"/>
    <mergeCell ref="C21:G21"/>
    <mergeCell ref="C12:G12"/>
    <mergeCell ref="C13:G13"/>
    <mergeCell ref="C14:G14"/>
    <mergeCell ref="A22:B22"/>
    <mergeCell ref="C22:I22"/>
    <mergeCell ref="C15:G15"/>
    <mergeCell ref="C16:G16"/>
    <mergeCell ref="C17:G17"/>
    <mergeCell ref="C18:G18"/>
    <mergeCell ref="C19:G19"/>
    <mergeCell ref="C20:G2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9" workbookViewId="0">
      <selection activeCell="J35" sqref="J35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9.140625" customWidth="1"/>
    <col min="17" max="17" width="17.7109375" customWidth="1"/>
    <col min="18" max="18" width="12" bestFit="1" customWidth="1"/>
  </cols>
  <sheetData>
    <row r="1" spans="1:17" ht="15.75" customHeight="1" thickBot="1" x14ac:dyDescent="0.3">
      <c r="A1" s="187" t="s">
        <v>3</v>
      </c>
      <c r="B1" s="187"/>
      <c r="C1" s="187"/>
      <c r="D1" s="188">
        <v>2021</v>
      </c>
      <c r="E1" s="188"/>
      <c r="F1" s="70"/>
      <c r="G1" s="70"/>
      <c r="H1" s="71"/>
      <c r="I1" s="71"/>
      <c r="J1" s="71"/>
      <c r="K1" s="71"/>
      <c r="L1" s="71"/>
      <c r="M1" s="71"/>
      <c r="N1" s="71"/>
      <c r="O1" s="72"/>
      <c r="P1" s="189" t="s">
        <v>76</v>
      </c>
      <c r="Q1" s="189"/>
    </row>
    <row r="2" spans="1:17" ht="15.75" customHeight="1" thickBot="1" x14ac:dyDescent="0.3">
      <c r="A2" s="73"/>
      <c r="B2" s="50"/>
      <c r="C2" s="50"/>
      <c r="D2" s="50"/>
      <c r="E2" s="50"/>
      <c r="F2" s="50"/>
      <c r="G2" s="74"/>
      <c r="H2" s="75"/>
      <c r="I2" s="75"/>
      <c r="J2" s="75"/>
      <c r="K2" s="75"/>
      <c r="L2" s="75"/>
      <c r="M2" s="75"/>
      <c r="N2" s="75"/>
      <c r="O2" s="50"/>
      <c r="P2" s="189"/>
      <c r="Q2" s="189"/>
    </row>
    <row r="3" spans="1:17" ht="15.75" thickBot="1" x14ac:dyDescent="0.3">
      <c r="A3" s="73"/>
      <c r="B3" s="50"/>
      <c r="C3" s="50"/>
      <c r="D3" s="50"/>
      <c r="E3" s="50"/>
      <c r="F3" s="50"/>
      <c r="G3" s="74"/>
      <c r="H3" s="50"/>
      <c r="I3" s="50"/>
      <c r="J3" s="50"/>
      <c r="K3" s="50"/>
      <c r="L3" s="50"/>
      <c r="M3" s="50"/>
      <c r="N3" s="50"/>
      <c r="O3" s="50"/>
      <c r="P3" s="50"/>
      <c r="Q3" s="76"/>
    </row>
    <row r="4" spans="1:17" ht="15.75" thickBot="1" x14ac:dyDescent="0.3">
      <c r="A4" s="190" t="s">
        <v>77</v>
      </c>
      <c r="B4" s="190"/>
      <c r="C4" s="190"/>
      <c r="D4" s="190"/>
      <c r="E4" s="190"/>
      <c r="F4" s="190"/>
      <c r="G4" s="191" t="str">
        <f>' NP FARMACIA'!D3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7" ht="15.75" thickBot="1" x14ac:dyDescent="0.3">
      <c r="A5" s="192" t="s">
        <v>60</v>
      </c>
      <c r="B5" s="192"/>
      <c r="C5" s="192"/>
      <c r="D5" s="192"/>
      <c r="E5" s="192"/>
      <c r="F5" s="192"/>
      <c r="G5" s="191" t="str">
        <f>' NP FARMACIA'!D4</f>
        <v>011 - DIRECCION PROVINCIAL DE ADMINISTRACION DEL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</row>
    <row r="6" spans="1:17" ht="15.75" customHeight="1" thickBot="1" x14ac:dyDescent="0.3">
      <c r="A6" s="192" t="s">
        <v>62</v>
      </c>
      <c r="B6" s="192"/>
      <c r="C6" s="192"/>
      <c r="D6" s="192"/>
      <c r="E6" s="192"/>
      <c r="F6" s="192"/>
      <c r="G6" s="191" t="str">
        <f>' NP FARMACIA'!D5</f>
        <v>469 - DIRECCION PROVINCIAL DE FARMACIA E INSUMOS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</row>
    <row r="7" spans="1:17" ht="15.75" customHeight="1" thickBot="1" x14ac:dyDescent="0.3">
      <c r="A7" s="192" t="s">
        <v>64</v>
      </c>
      <c r="B7" s="192"/>
      <c r="C7" s="192"/>
      <c r="D7" s="192"/>
      <c r="E7" s="192"/>
      <c r="F7" s="192"/>
      <c r="G7" s="191" t="str">
        <f>' NP FARMACIA'!D6</f>
        <v>469 - DIRECCION PROVINCIAL DE FARMACIA E INSUMOS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</row>
    <row r="8" spans="1:17" ht="15.75" thickBot="1" x14ac:dyDescent="0.3">
      <c r="A8" s="197" t="s">
        <v>78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</row>
    <row r="9" spans="1:17" x14ac:dyDescent="0.25">
      <c r="A9" s="198" t="s">
        <v>79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</row>
    <row r="10" spans="1:17" ht="50.25" customHeight="1" x14ac:dyDescent="0.25">
      <c r="A10" s="199" t="s">
        <v>115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</row>
    <row r="11" spans="1:17" ht="15.75" thickBot="1" x14ac:dyDescent="0.3">
      <c r="A11" s="77"/>
      <c r="B11" s="78"/>
      <c r="C11" s="78"/>
      <c r="D11" s="78"/>
      <c r="E11" s="78"/>
      <c r="F11" s="78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80"/>
    </row>
    <row r="12" spans="1:17" ht="15.75" thickBot="1" x14ac:dyDescent="0.3">
      <c r="A12" s="200" t="s">
        <v>80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</row>
    <row r="13" spans="1:17" ht="15.75" customHeight="1" thickBot="1" x14ac:dyDescent="0.3">
      <c r="A13" s="201" t="s">
        <v>81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2" t="s">
        <v>82</v>
      </c>
      <c r="P13" s="202"/>
      <c r="Q13" s="182" t="s">
        <v>83</v>
      </c>
    </row>
    <row r="14" spans="1:17" ht="15.75" thickBot="1" x14ac:dyDescent="0.3">
      <c r="A14" s="81" t="s">
        <v>84</v>
      </c>
      <c r="B14" s="82" t="s">
        <v>85</v>
      </c>
      <c r="C14" s="82" t="s">
        <v>86</v>
      </c>
      <c r="D14" s="82" t="s">
        <v>87</v>
      </c>
      <c r="E14" s="82" t="s">
        <v>88</v>
      </c>
      <c r="F14" s="82" t="s">
        <v>89</v>
      </c>
      <c r="G14" s="83" t="s">
        <v>90</v>
      </c>
      <c r="H14" s="82" t="s">
        <v>91</v>
      </c>
      <c r="I14" s="82" t="s">
        <v>92</v>
      </c>
      <c r="J14" s="82" t="s">
        <v>93</v>
      </c>
      <c r="K14" s="82" t="s">
        <v>93</v>
      </c>
      <c r="L14" s="82" t="s">
        <v>94</v>
      </c>
      <c r="M14" s="84" t="s">
        <v>95</v>
      </c>
      <c r="N14" s="85" t="s">
        <v>96</v>
      </c>
      <c r="O14" s="202"/>
      <c r="P14" s="202"/>
      <c r="Q14" s="182"/>
    </row>
    <row r="15" spans="1:17" ht="47.25" customHeight="1" x14ac:dyDescent="0.25">
      <c r="A15" s="86">
        <v>30</v>
      </c>
      <c r="B15" s="87"/>
      <c r="C15" s="87"/>
      <c r="D15" s="87">
        <v>1</v>
      </c>
      <c r="E15" s="87"/>
      <c r="F15" s="87">
        <v>4901</v>
      </c>
      <c r="G15" s="87">
        <v>3</v>
      </c>
      <c r="H15" s="87">
        <v>1</v>
      </c>
      <c r="I15" s="87">
        <v>2</v>
      </c>
      <c r="J15" s="87">
        <v>9</v>
      </c>
      <c r="K15" s="87">
        <v>5</v>
      </c>
      <c r="L15" s="87"/>
      <c r="M15" s="88">
        <v>1</v>
      </c>
      <c r="N15" s="87" t="s">
        <v>97</v>
      </c>
      <c r="O15" s="183" t="s">
        <v>100</v>
      </c>
      <c r="P15" s="183"/>
      <c r="Q15" s="109">
        <f>+'SAF 011'!AU10</f>
        <v>2370000</v>
      </c>
    </row>
    <row r="16" spans="1:17" ht="30.75" customHeight="1" x14ac:dyDescent="0.25">
      <c r="A16" s="89">
        <v>30</v>
      </c>
      <c r="B16" s="90"/>
      <c r="C16" s="90"/>
      <c r="D16" s="90">
        <v>1</v>
      </c>
      <c r="E16" s="90"/>
      <c r="F16" s="90">
        <v>4901</v>
      </c>
      <c r="G16" s="90">
        <v>3</v>
      </c>
      <c r="H16" s="90">
        <v>1</v>
      </c>
      <c r="I16" s="90">
        <v>2</v>
      </c>
      <c r="J16" s="90">
        <v>5</v>
      </c>
      <c r="K16" s="90">
        <v>1</v>
      </c>
      <c r="L16" s="90"/>
      <c r="M16" s="91">
        <v>1</v>
      </c>
      <c r="N16" s="92" t="s">
        <v>97</v>
      </c>
      <c r="O16" s="184" t="s">
        <v>120</v>
      </c>
      <c r="P16" s="185"/>
      <c r="Q16" s="110">
        <f>+'SAF 011'!AU18</f>
        <v>4518000</v>
      </c>
    </row>
    <row r="17" spans="1:18" ht="30.75" customHeight="1" x14ac:dyDescent="0.25">
      <c r="A17" s="89">
        <v>30</v>
      </c>
      <c r="B17" s="90"/>
      <c r="C17" s="90"/>
      <c r="D17" s="90">
        <v>1</v>
      </c>
      <c r="E17" s="90"/>
      <c r="F17" s="90">
        <v>4901</v>
      </c>
      <c r="G17" s="90">
        <v>3</v>
      </c>
      <c r="H17" s="90">
        <v>1</v>
      </c>
      <c r="I17" s="90">
        <v>2</v>
      </c>
      <c r="J17" s="90">
        <v>5</v>
      </c>
      <c r="K17" s="90">
        <v>9</v>
      </c>
      <c r="L17" s="90"/>
      <c r="M17" s="91">
        <v>1</v>
      </c>
      <c r="N17" s="119" t="s">
        <v>97</v>
      </c>
      <c r="O17" s="184" t="s">
        <v>116</v>
      </c>
      <c r="P17" s="185"/>
      <c r="Q17" s="110">
        <f>+'SAF 011'!AU13+'SAF 011'!AU17+'SAF 011'!AU16+'SAF 011'!AU15+'SAF 011'!AU14+'SAF 011'!AU12+'SAF 011'!AU11</f>
        <v>3443483.54</v>
      </c>
    </row>
    <row r="18" spans="1:18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1"/>
      <c r="N18" s="92"/>
      <c r="O18" s="186"/>
      <c r="P18" s="186"/>
      <c r="Q18" s="110"/>
      <c r="R18" s="145"/>
    </row>
    <row r="19" spans="1:18" x14ac:dyDescent="0.25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1"/>
      <c r="N19" s="92"/>
      <c r="O19" s="178"/>
      <c r="P19" s="178"/>
      <c r="Q19" s="110"/>
    </row>
    <row r="20" spans="1:18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1"/>
      <c r="N20" s="92"/>
      <c r="O20" s="178"/>
      <c r="P20" s="178"/>
      <c r="Q20" s="110"/>
    </row>
    <row r="21" spans="1:18" x14ac:dyDescent="0.25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1"/>
      <c r="N21" s="92"/>
      <c r="O21" s="178"/>
      <c r="P21" s="178"/>
      <c r="Q21" s="110"/>
    </row>
    <row r="22" spans="1:18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1"/>
      <c r="N22" s="92"/>
      <c r="O22" s="178"/>
      <c r="P22" s="178"/>
      <c r="Q22" s="110"/>
    </row>
    <row r="23" spans="1:18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1"/>
      <c r="N23" s="92"/>
      <c r="O23" s="178"/>
      <c r="P23" s="178"/>
      <c r="Q23" s="110"/>
    </row>
    <row r="24" spans="1:18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92"/>
      <c r="O24" s="178"/>
      <c r="P24" s="178"/>
      <c r="Q24" s="110"/>
    </row>
    <row r="25" spans="1:18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1"/>
      <c r="N25" s="92"/>
      <c r="O25" s="178"/>
      <c r="P25" s="178"/>
      <c r="Q25" s="110"/>
    </row>
    <row r="26" spans="1:18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1"/>
      <c r="N26" s="92"/>
      <c r="O26" s="178"/>
      <c r="P26" s="178"/>
      <c r="Q26" s="110"/>
    </row>
    <row r="27" spans="1:18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1"/>
      <c r="N27" s="92"/>
      <c r="O27" s="178"/>
      <c r="P27" s="178"/>
      <c r="Q27" s="110"/>
    </row>
    <row r="28" spans="1:18" x14ac:dyDescent="0.25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1"/>
      <c r="N28" s="92"/>
      <c r="O28" s="178"/>
      <c r="P28" s="178"/>
      <c r="Q28" s="110"/>
    </row>
    <row r="29" spans="1:18" x14ac:dyDescent="0.25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1"/>
      <c r="N29" s="92"/>
      <c r="O29" s="178"/>
      <c r="P29" s="178"/>
      <c r="Q29" s="110"/>
    </row>
    <row r="30" spans="1:18" x14ac:dyDescent="0.25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1"/>
      <c r="N30" s="92"/>
      <c r="O30" s="178"/>
      <c r="P30" s="178"/>
      <c r="Q30" s="110"/>
    </row>
    <row r="31" spans="1:18" x14ac:dyDescent="0.25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1"/>
      <c r="N31" s="92"/>
      <c r="O31" s="178"/>
      <c r="P31" s="178"/>
      <c r="Q31" s="110"/>
    </row>
    <row r="32" spans="1:18" x14ac:dyDescent="0.25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1"/>
      <c r="N32" s="92"/>
      <c r="O32" s="178"/>
      <c r="P32" s="178"/>
      <c r="Q32" s="110"/>
    </row>
    <row r="33" spans="1:17" x14ac:dyDescent="0.25">
      <c r="A33" s="89"/>
      <c r="B33" s="90"/>
      <c r="C33" s="90"/>
      <c r="D33" s="90"/>
      <c r="E33" s="90"/>
      <c r="F33" s="92"/>
      <c r="G33" s="90"/>
      <c r="H33" s="90"/>
      <c r="I33" s="90"/>
      <c r="J33" s="90"/>
      <c r="K33" s="90"/>
      <c r="L33" s="90"/>
      <c r="M33" s="91"/>
      <c r="N33" s="92"/>
      <c r="O33" s="179"/>
      <c r="P33" s="179"/>
      <c r="Q33" s="110"/>
    </row>
    <row r="34" spans="1:17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1"/>
      <c r="N34" s="92"/>
      <c r="O34" s="179"/>
      <c r="P34" s="179"/>
      <c r="Q34" s="110"/>
    </row>
    <row r="35" spans="1:17" x14ac:dyDescent="0.25">
      <c r="A35" s="89"/>
      <c r="B35" s="90"/>
      <c r="C35" s="90"/>
      <c r="D35" s="90"/>
      <c r="E35" s="90"/>
      <c r="F35" s="92"/>
      <c r="G35" s="90"/>
      <c r="H35" s="90"/>
      <c r="I35" s="90"/>
      <c r="J35" s="90"/>
      <c r="K35" s="90"/>
      <c r="L35" s="90"/>
      <c r="M35" s="91"/>
      <c r="N35" s="92"/>
      <c r="O35" s="179"/>
      <c r="P35" s="179"/>
      <c r="Q35" s="110"/>
    </row>
    <row r="36" spans="1:17" x14ac:dyDescent="0.25">
      <c r="A36" s="89"/>
      <c r="B36" s="90"/>
      <c r="C36" s="90"/>
      <c r="D36" s="90"/>
      <c r="E36" s="90"/>
      <c r="F36" s="92"/>
      <c r="G36" s="90"/>
      <c r="H36" s="90"/>
      <c r="I36" s="90"/>
      <c r="J36" s="90"/>
      <c r="K36" s="90"/>
      <c r="L36" s="90"/>
      <c r="M36" s="91"/>
      <c r="N36" s="92"/>
      <c r="O36" s="179"/>
      <c r="P36" s="179"/>
      <c r="Q36" s="110"/>
    </row>
    <row r="37" spans="1:17" x14ac:dyDescent="0.25">
      <c r="A37" s="93"/>
      <c r="B37" s="94"/>
      <c r="C37" s="94"/>
      <c r="D37" s="94"/>
      <c r="E37" s="94"/>
      <c r="F37" s="95"/>
      <c r="G37" s="94"/>
      <c r="H37" s="94"/>
      <c r="I37" s="94"/>
      <c r="J37" s="94"/>
      <c r="K37" s="94"/>
      <c r="L37" s="94"/>
      <c r="M37" s="96"/>
      <c r="N37" s="97"/>
      <c r="O37" s="180"/>
      <c r="P37" s="180"/>
      <c r="Q37" s="110"/>
    </row>
    <row r="38" spans="1:17" ht="15.75" thickBot="1" x14ac:dyDescent="0.3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100"/>
      <c r="N38" s="99"/>
      <c r="O38" s="181"/>
      <c r="P38" s="181"/>
      <c r="Q38" s="111"/>
    </row>
    <row r="39" spans="1:17" ht="34.5" customHeight="1" thickBot="1" x14ac:dyDescent="0.3">
      <c r="A39" s="174" t="s">
        <v>98</v>
      </c>
      <c r="B39" s="175"/>
      <c r="C39" s="175"/>
      <c r="D39" s="175"/>
      <c r="E39" s="175"/>
      <c r="F39" s="176" t="str">
        <f>' NP FARMACIA'!C22</f>
        <v>DIEZ MILLONES TRESCIENTOS TREINTA Y UN MIL CUATROCIENTOS OCHENTA Y TRES CON 54/100.-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7"/>
      <c r="Q39" s="112">
        <f>SUM(Q15:Q38)</f>
        <v>10331483.539999999</v>
      </c>
    </row>
    <row r="40" spans="1:17" ht="15.75" thickBot="1" x14ac:dyDescent="0.3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1:17" ht="15.75" customHeight="1" thickBot="1" x14ac:dyDescent="0.3">
      <c r="A41" s="195" t="s">
        <v>99</v>
      </c>
      <c r="B41" s="195"/>
      <c r="C41" s="195"/>
      <c r="D41" s="195"/>
      <c r="E41" s="195"/>
      <c r="F41" s="195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</row>
    <row r="42" spans="1:17" ht="15.75" customHeight="1" thickBot="1" x14ac:dyDescent="0.3">
      <c r="A42" s="193" t="str">
        <f>' NP FARMACIA'!D8</f>
        <v>ADQ. DEL RUBRO DESCARTABLES VARIOS PARA FARMACIA CENTRAL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</row>
    <row r="43" spans="1:17" ht="15.75" thickBot="1" x14ac:dyDescent="0.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</row>
  </sheetData>
  <mergeCells count="48">
    <mergeCell ref="A5:F5"/>
    <mergeCell ref="G5:Q5"/>
    <mergeCell ref="A6:F6"/>
    <mergeCell ref="G6:Q6"/>
    <mergeCell ref="A42:Q43"/>
    <mergeCell ref="A40:Q40"/>
    <mergeCell ref="A41:F41"/>
    <mergeCell ref="G41:Q41"/>
    <mergeCell ref="A7:F7"/>
    <mergeCell ref="G7:Q7"/>
    <mergeCell ref="A8:Q8"/>
    <mergeCell ref="A9:Q9"/>
    <mergeCell ref="A10:Q10"/>
    <mergeCell ref="A12:Q12"/>
    <mergeCell ref="A13:N13"/>
    <mergeCell ref="O13:P14"/>
    <mergeCell ref="A1:C1"/>
    <mergeCell ref="D1:E1"/>
    <mergeCell ref="P1:Q2"/>
    <mergeCell ref="A4:F4"/>
    <mergeCell ref="G4:Q4"/>
    <mergeCell ref="Q13:Q14"/>
    <mergeCell ref="O27:P27"/>
    <mergeCell ref="O15:P15"/>
    <mergeCell ref="O16:P16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17:P17"/>
    <mergeCell ref="A39:E39"/>
    <mergeCell ref="F39:P39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 NP FARMACIA</vt:lpstr>
      <vt:lpstr>APG FARMACIA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usuario</cp:lastModifiedBy>
  <dcterms:created xsi:type="dcterms:W3CDTF">2021-08-30T13:24:26Z</dcterms:created>
  <dcterms:modified xsi:type="dcterms:W3CDTF">2021-11-12T13:10:20Z</dcterms:modified>
</cp:coreProperties>
</file>